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filterPrivacy="1" codeName="ThisWorkbook"/>
  <xr:revisionPtr revIDLastSave="0" documentId="13_ncr:1_{53ABA7D9-7BD1-41CB-8CD7-2DEEEF786017}" xr6:coauthVersionLast="43" xr6:coauthVersionMax="43" xr10:uidLastSave="{00000000-0000-0000-0000-000000000000}"/>
  <bookViews>
    <workbookView xWindow="-120" yWindow="-120" windowWidth="20730" windowHeight="11160" tabRatio="796" xr2:uid="{00000000-000D-0000-FFFF-FFFF00000000}"/>
  </bookViews>
  <sheets>
    <sheet name="Aggregated" sheetId="29" r:id="rId1"/>
    <sheet name="Demand_CWRS" sheetId="25" r:id="rId2"/>
    <sheet name="Demand_LP" sheetId="27" r:id="rId3"/>
    <sheet name="Demand_SW" sheetId="28" r:id="rId4"/>
    <sheet name="Parameters" sheetId="30" r:id="rId5"/>
  </sheets>
  <externalReferences>
    <externalReference r:id="rId6"/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D256" i="29" l="1"/>
  <c r="F14" i="28" l="1"/>
  <c r="E14" i="28"/>
  <c r="D14" i="28"/>
  <c r="C14" i="28"/>
  <c r="B14" i="28"/>
  <c r="F13" i="28"/>
  <c r="E13" i="28"/>
  <c r="D13" i="28"/>
  <c r="C13" i="28"/>
  <c r="B13" i="28"/>
  <c r="F12" i="28"/>
  <c r="E12" i="28"/>
  <c r="D12" i="28"/>
  <c r="C12" i="28"/>
  <c r="B12" i="28"/>
  <c r="F11" i="28"/>
  <c r="E11" i="28"/>
  <c r="D11" i="28"/>
  <c r="C11" i="28"/>
  <c r="B11" i="28"/>
  <c r="F10" i="28"/>
  <c r="E10" i="28"/>
  <c r="D10" i="28"/>
  <c r="C10" i="28"/>
  <c r="B10" i="28"/>
  <c r="F9" i="28"/>
  <c r="E9" i="28"/>
  <c r="D9" i="28"/>
  <c r="C9" i="28"/>
  <c r="B9" i="28"/>
  <c r="F8" i="28"/>
  <c r="E8" i="28"/>
  <c r="D8" i="28"/>
  <c r="C8" i="28"/>
  <c r="B8" i="28"/>
  <c r="F7" i="28"/>
  <c r="E7" i="28"/>
  <c r="D7" i="28"/>
  <c r="C7" i="28"/>
  <c r="B7" i="28"/>
  <c r="F6" i="28"/>
  <c r="E6" i="28"/>
  <c r="D6" i="28"/>
  <c r="B6" i="28"/>
  <c r="C6" i="28"/>
  <c r="F5" i="28"/>
  <c r="E5" i="28"/>
  <c r="D5" i="28"/>
  <c r="C5" i="28"/>
  <c r="B5" i="28"/>
  <c r="F4" i="28"/>
  <c r="E4" i="28"/>
  <c r="C4" i="28"/>
  <c r="B4" i="28"/>
  <c r="D4" i="28"/>
  <c r="F14" i="27"/>
  <c r="E14" i="27"/>
  <c r="D14" i="27"/>
  <c r="C14" i="27"/>
  <c r="B14" i="27"/>
  <c r="F13" i="27"/>
  <c r="E13" i="27"/>
  <c r="D13" i="27"/>
  <c r="C13" i="27"/>
  <c r="B13" i="27"/>
  <c r="F12" i="27"/>
  <c r="E12" i="27"/>
  <c r="D12" i="27"/>
  <c r="C12" i="27"/>
  <c r="B12" i="27"/>
  <c r="F11" i="27"/>
  <c r="E11" i="27"/>
  <c r="D11" i="27"/>
  <c r="C11" i="27"/>
  <c r="B11" i="27"/>
  <c r="F10" i="27"/>
  <c r="E10" i="27"/>
  <c r="D10" i="27"/>
  <c r="C10" i="27"/>
  <c r="B10" i="27"/>
  <c r="F9" i="27"/>
  <c r="E9" i="27"/>
  <c r="D9" i="27"/>
  <c r="C9" i="27"/>
  <c r="B9" i="27"/>
  <c r="F8" i="27"/>
  <c r="E8" i="27"/>
  <c r="D8" i="27"/>
  <c r="C8" i="27"/>
  <c r="B8" i="27"/>
  <c r="F7" i="27"/>
  <c r="E7" i="27"/>
  <c r="D7" i="27"/>
  <c r="C7" i="27"/>
  <c r="B7" i="27"/>
  <c r="F6" i="27"/>
  <c r="E6" i="27"/>
  <c r="D6" i="27"/>
  <c r="C6" i="27"/>
  <c r="B6" i="27"/>
  <c r="F5" i="27"/>
  <c r="E5" i="27"/>
  <c r="D5" i="27"/>
  <c r="C5" i="27"/>
  <c r="B5" i="27"/>
  <c r="F4" i="27"/>
  <c r="E4" i="27"/>
  <c r="D4" i="27"/>
  <c r="C4" i="27"/>
  <c r="B4" i="27"/>
  <c r="F14" i="25"/>
  <c r="E14" i="25"/>
  <c r="D14" i="25"/>
  <c r="C14" i="25"/>
  <c r="B14" i="25"/>
  <c r="F13" i="25"/>
  <c r="E13" i="25"/>
  <c r="D13" i="25"/>
  <c r="C13" i="25"/>
  <c r="B13" i="25"/>
  <c r="F12" i="25"/>
  <c r="E12" i="25"/>
  <c r="D12" i="25"/>
  <c r="C12" i="25"/>
  <c r="B12" i="25"/>
  <c r="F11" i="25"/>
  <c r="E11" i="25"/>
  <c r="D11" i="25"/>
  <c r="C11" i="25"/>
  <c r="B11" i="25"/>
  <c r="F10" i="25"/>
  <c r="E10" i="25"/>
  <c r="D10" i="25"/>
  <c r="C10" i="25"/>
  <c r="B10" i="25"/>
  <c r="F9" i="25"/>
  <c r="E9" i="25"/>
  <c r="D9" i="25"/>
  <c r="C9" i="25"/>
  <c r="B9" i="25"/>
  <c r="F8" i="25"/>
  <c r="E8" i="25"/>
  <c r="D8" i="25"/>
  <c r="C8" i="25"/>
  <c r="B8" i="25"/>
  <c r="F7" i="25"/>
  <c r="E7" i="25"/>
  <c r="D7" i="25"/>
  <c r="C7" i="25"/>
  <c r="B7" i="25"/>
  <c r="F6" i="25"/>
  <c r="E6" i="25"/>
  <c r="D6" i="25"/>
  <c r="C6" i="25"/>
  <c r="B6" i="25"/>
  <c r="F5" i="25"/>
  <c r="E5" i="25"/>
  <c r="D5" i="25"/>
  <c r="C5" i="25"/>
  <c r="B5" i="25"/>
  <c r="F4" i="25"/>
  <c r="E4" i="25"/>
  <c r="D4" i="25"/>
  <c r="C4" i="25"/>
  <c r="B4" i="25"/>
  <c r="D3" i="28"/>
  <c r="C3" i="28"/>
  <c r="D3" i="27"/>
  <c r="C3" i="27"/>
  <c r="D3" i="25"/>
  <c r="C3" i="25"/>
  <c r="E3" i="25" l="1"/>
  <c r="E3" i="27"/>
  <c r="E3" i="28"/>
  <c r="B3" i="28" l="1"/>
  <c r="B3" i="25"/>
  <c r="B3" i="27"/>
  <c r="F3" i="25" l="1"/>
  <c r="F3" i="28"/>
  <c r="F3" i="27"/>
  <c r="Q6" i="30"/>
  <c r="Q5" i="30"/>
  <c r="Q4" i="30"/>
  <c r="Q3" i="30"/>
  <c r="Q2" i="30"/>
  <c r="K1" i="30" l="1"/>
  <c r="J1" i="30"/>
  <c r="I1" i="30"/>
  <c r="H1" i="30"/>
  <c r="G1" i="30"/>
  <c r="F1" i="30"/>
  <c r="E1" i="30"/>
  <c r="D1" i="30"/>
  <c r="C1" i="30"/>
  <c r="B1" i="30"/>
  <c r="CK6" i="29" l="1"/>
  <c r="BW4" i="29" l="1"/>
  <c r="EL220" i="29" l="1"/>
  <c r="EM220" i="29"/>
  <c r="EN220" i="29"/>
  <c r="EO220" i="29"/>
  <c r="EP220" i="29"/>
  <c r="EQ220" i="29"/>
  <c r="ER220" i="29"/>
  <c r="ES220" i="29"/>
  <c r="ET220" i="29"/>
  <c r="EU220" i="29"/>
  <c r="EV220" i="29"/>
  <c r="EW220" i="29"/>
  <c r="EX220" i="29"/>
  <c r="EY220" i="29"/>
  <c r="EZ220" i="29"/>
  <c r="FA220" i="29"/>
  <c r="FB220" i="29"/>
  <c r="FC220" i="29"/>
  <c r="FD220" i="29"/>
  <c r="FE220" i="29"/>
  <c r="FF220" i="29"/>
  <c r="FG220" i="29"/>
  <c r="FH220" i="29"/>
  <c r="FI220" i="29"/>
  <c r="FJ220" i="29"/>
  <c r="FK220" i="29"/>
  <c r="FL220" i="29"/>
  <c r="FM220" i="29"/>
  <c r="FN220" i="29"/>
  <c r="FO220" i="29"/>
  <c r="EB4" i="29" l="1"/>
  <c r="EC4" i="29"/>
  <c r="ED4" i="29"/>
  <c r="EE4" i="29"/>
  <c r="EF4" i="29"/>
  <c r="EG4" i="29"/>
  <c r="EH4" i="29"/>
  <c r="EI4" i="29"/>
  <c r="EJ4" i="29"/>
  <c r="EK4" i="29"/>
  <c r="EB5" i="29"/>
  <c r="EC5" i="29"/>
  <c r="ED5" i="29"/>
  <c r="EE5" i="29"/>
  <c r="EF5" i="29"/>
  <c r="EG5" i="29"/>
  <c r="EH5" i="29"/>
  <c r="EI5" i="29"/>
  <c r="EJ5" i="29"/>
  <c r="EK5" i="29"/>
  <c r="EB6" i="29"/>
  <c r="EC6" i="29"/>
  <c r="ED6" i="29"/>
  <c r="EE6" i="29"/>
  <c r="EF6" i="29"/>
  <c r="EG6" i="29"/>
  <c r="EH6" i="29"/>
  <c r="EI6" i="29"/>
  <c r="EJ6" i="29"/>
  <c r="EK6" i="29"/>
  <c r="EB7" i="29"/>
  <c r="EC7" i="29"/>
  <c r="ED7" i="29"/>
  <c r="EE7" i="29"/>
  <c r="EF7" i="29"/>
  <c r="EG7" i="29"/>
  <c r="EH7" i="29"/>
  <c r="EI7" i="29"/>
  <c r="EJ7" i="29"/>
  <c r="EK7" i="29"/>
  <c r="EB8" i="29"/>
  <c r="EC8" i="29"/>
  <c r="ED8" i="29"/>
  <c r="EE8" i="29"/>
  <c r="EF8" i="29"/>
  <c r="EG8" i="29"/>
  <c r="EH8" i="29"/>
  <c r="EI8" i="29"/>
  <c r="EJ8" i="29"/>
  <c r="EK8" i="29"/>
  <c r="EB9" i="29"/>
  <c r="EC9" i="29"/>
  <c r="ED9" i="29"/>
  <c r="EE9" i="29"/>
  <c r="EF9" i="29"/>
  <c r="EG9" i="29"/>
  <c r="EH9" i="29"/>
  <c r="EI9" i="29"/>
  <c r="EJ9" i="29"/>
  <c r="EK9" i="29"/>
  <c r="EB10" i="29"/>
  <c r="EC10" i="29"/>
  <c r="ED10" i="29"/>
  <c r="EE10" i="29"/>
  <c r="EF10" i="29"/>
  <c r="EG10" i="29"/>
  <c r="EH10" i="29"/>
  <c r="EI10" i="29"/>
  <c r="EJ10" i="29"/>
  <c r="EK10" i="29"/>
  <c r="EB11" i="29"/>
  <c r="EC11" i="29"/>
  <c r="ED11" i="29"/>
  <c r="EE11" i="29"/>
  <c r="EF11" i="29"/>
  <c r="EG11" i="29"/>
  <c r="EH11" i="29"/>
  <c r="EI11" i="29"/>
  <c r="EJ11" i="29"/>
  <c r="EK11" i="29"/>
  <c r="EB12" i="29"/>
  <c r="EC12" i="29"/>
  <c r="ED12" i="29"/>
  <c r="EE12" i="29"/>
  <c r="EF12" i="29"/>
  <c r="EG12" i="29"/>
  <c r="EH12" i="29"/>
  <c r="EI12" i="29"/>
  <c r="EJ12" i="29"/>
  <c r="EK12" i="29"/>
  <c r="EB13" i="29"/>
  <c r="EC13" i="29"/>
  <c r="ED13" i="29"/>
  <c r="EE13" i="29"/>
  <c r="EF13" i="29"/>
  <c r="EG13" i="29"/>
  <c r="EH13" i="29"/>
  <c r="EI13" i="29"/>
  <c r="EJ13" i="29"/>
  <c r="EK13" i="29"/>
  <c r="EB14" i="29"/>
  <c r="EC14" i="29"/>
  <c r="ED14" i="29"/>
  <c r="EE14" i="29"/>
  <c r="EF14" i="29"/>
  <c r="EG14" i="29"/>
  <c r="EH14" i="29"/>
  <c r="EI14" i="29"/>
  <c r="EJ14" i="29"/>
  <c r="EK14" i="29"/>
  <c r="EB15" i="29"/>
  <c r="EC15" i="29"/>
  <c r="ED15" i="29"/>
  <c r="EE15" i="29"/>
  <c r="EF15" i="29"/>
  <c r="EG15" i="29"/>
  <c r="EH15" i="29"/>
  <c r="EI15" i="29"/>
  <c r="EJ15" i="29"/>
  <c r="EK15" i="29"/>
  <c r="EB16" i="29"/>
  <c r="EC16" i="29"/>
  <c r="ED16" i="29"/>
  <c r="EE16" i="29"/>
  <c r="EF16" i="29"/>
  <c r="EG16" i="29"/>
  <c r="EH16" i="29"/>
  <c r="EI16" i="29"/>
  <c r="EJ16" i="29"/>
  <c r="EK16" i="29"/>
  <c r="EB17" i="29"/>
  <c r="EC17" i="29"/>
  <c r="ED17" i="29"/>
  <c r="EE17" i="29"/>
  <c r="EF17" i="29"/>
  <c r="EG17" i="29"/>
  <c r="EH17" i="29"/>
  <c r="EI17" i="29"/>
  <c r="EJ17" i="29"/>
  <c r="EK17" i="29"/>
  <c r="EB18" i="29"/>
  <c r="EC18" i="29"/>
  <c r="ED18" i="29"/>
  <c r="EE18" i="29"/>
  <c r="EF18" i="29"/>
  <c r="EG18" i="29"/>
  <c r="EH18" i="29"/>
  <c r="EI18" i="29"/>
  <c r="EJ18" i="29"/>
  <c r="EK18" i="29"/>
  <c r="EB19" i="29"/>
  <c r="EC19" i="29"/>
  <c r="ED19" i="29"/>
  <c r="EE19" i="29"/>
  <c r="EF19" i="29"/>
  <c r="EG19" i="29"/>
  <c r="EH19" i="29"/>
  <c r="EI19" i="29"/>
  <c r="EJ19" i="29"/>
  <c r="EK19" i="29"/>
  <c r="EB20" i="29"/>
  <c r="EC20" i="29"/>
  <c r="ED20" i="29"/>
  <c r="EE20" i="29"/>
  <c r="EF20" i="29"/>
  <c r="EG20" i="29"/>
  <c r="EH20" i="29"/>
  <c r="EI20" i="29"/>
  <c r="EJ20" i="29"/>
  <c r="EK20" i="29"/>
  <c r="EB21" i="29"/>
  <c r="EC21" i="29"/>
  <c r="ED21" i="29"/>
  <c r="EE21" i="29"/>
  <c r="EF21" i="29"/>
  <c r="EG21" i="29"/>
  <c r="EH21" i="29"/>
  <c r="EI21" i="29"/>
  <c r="EJ21" i="29"/>
  <c r="EK21" i="29"/>
  <c r="EB22" i="29"/>
  <c r="EC22" i="29"/>
  <c r="ED22" i="29"/>
  <c r="EE22" i="29"/>
  <c r="EF22" i="29"/>
  <c r="EG22" i="29"/>
  <c r="EH22" i="29"/>
  <c r="EI22" i="29"/>
  <c r="EJ22" i="29"/>
  <c r="EK22" i="29"/>
  <c r="EB23" i="29"/>
  <c r="EC23" i="29"/>
  <c r="ED23" i="29"/>
  <c r="EE23" i="29"/>
  <c r="EF23" i="29"/>
  <c r="EG23" i="29"/>
  <c r="EH23" i="29"/>
  <c r="EI23" i="29"/>
  <c r="EJ23" i="29"/>
  <c r="EK23" i="29"/>
  <c r="EB24" i="29"/>
  <c r="EC24" i="29"/>
  <c r="ED24" i="29"/>
  <c r="EE24" i="29"/>
  <c r="EF24" i="29"/>
  <c r="EG24" i="29"/>
  <c r="EH24" i="29"/>
  <c r="EI24" i="29"/>
  <c r="EJ24" i="29"/>
  <c r="EK24" i="29"/>
  <c r="EB25" i="29"/>
  <c r="EC25" i="29"/>
  <c r="ED25" i="29"/>
  <c r="EE25" i="29"/>
  <c r="EF25" i="29"/>
  <c r="EG25" i="29"/>
  <c r="EH25" i="29"/>
  <c r="EI25" i="29"/>
  <c r="EJ25" i="29"/>
  <c r="EK25" i="29"/>
  <c r="EB26" i="29"/>
  <c r="EC26" i="29"/>
  <c r="ED26" i="29"/>
  <c r="EE26" i="29"/>
  <c r="EF26" i="29"/>
  <c r="EG26" i="29"/>
  <c r="EH26" i="29"/>
  <c r="EI26" i="29"/>
  <c r="EJ26" i="29"/>
  <c r="EK26" i="29"/>
  <c r="EB27" i="29"/>
  <c r="EC27" i="29"/>
  <c r="ED27" i="29"/>
  <c r="EE27" i="29"/>
  <c r="EF27" i="29"/>
  <c r="EG27" i="29"/>
  <c r="EH27" i="29"/>
  <c r="EI27" i="29"/>
  <c r="EJ27" i="29"/>
  <c r="EK27" i="29"/>
  <c r="EB28" i="29"/>
  <c r="EC28" i="29"/>
  <c r="ED28" i="29"/>
  <c r="EE28" i="29"/>
  <c r="EF28" i="29"/>
  <c r="EG28" i="29"/>
  <c r="EH28" i="29"/>
  <c r="EI28" i="29"/>
  <c r="EJ28" i="29"/>
  <c r="EK28" i="29"/>
  <c r="EB29" i="29"/>
  <c r="EC29" i="29"/>
  <c r="ED29" i="29"/>
  <c r="EE29" i="29"/>
  <c r="EF29" i="29"/>
  <c r="EG29" i="29"/>
  <c r="EH29" i="29"/>
  <c r="EI29" i="29"/>
  <c r="EJ29" i="29"/>
  <c r="EK29" i="29"/>
  <c r="EB30" i="29"/>
  <c r="EC30" i="29"/>
  <c r="ED30" i="29"/>
  <c r="EE30" i="29"/>
  <c r="EF30" i="29"/>
  <c r="EG30" i="29"/>
  <c r="EH30" i="29"/>
  <c r="EI30" i="29"/>
  <c r="EJ30" i="29"/>
  <c r="EK30" i="29"/>
  <c r="EB31" i="29"/>
  <c r="EC31" i="29"/>
  <c r="ED31" i="29"/>
  <c r="EE31" i="29"/>
  <c r="EF31" i="29"/>
  <c r="EG31" i="29"/>
  <c r="EH31" i="29"/>
  <c r="EI31" i="29"/>
  <c r="EJ31" i="29"/>
  <c r="EK31" i="29"/>
  <c r="EB32" i="29"/>
  <c r="EC32" i="29"/>
  <c r="ED32" i="29"/>
  <c r="EE32" i="29"/>
  <c r="EF32" i="29"/>
  <c r="EG32" i="29"/>
  <c r="EH32" i="29"/>
  <c r="EI32" i="29"/>
  <c r="EJ32" i="29"/>
  <c r="EK32" i="29"/>
  <c r="EB33" i="29"/>
  <c r="EC33" i="29"/>
  <c r="ED33" i="29"/>
  <c r="EE33" i="29"/>
  <c r="EF33" i="29"/>
  <c r="EG33" i="29"/>
  <c r="EH33" i="29"/>
  <c r="EI33" i="29"/>
  <c r="EJ33" i="29"/>
  <c r="EK33" i="29"/>
  <c r="EB34" i="29"/>
  <c r="EC34" i="29"/>
  <c r="ED34" i="29"/>
  <c r="EE34" i="29"/>
  <c r="EF34" i="29"/>
  <c r="EG34" i="29"/>
  <c r="EH34" i="29"/>
  <c r="EI34" i="29"/>
  <c r="EJ34" i="29"/>
  <c r="EK34" i="29"/>
  <c r="EB35" i="29"/>
  <c r="EC35" i="29"/>
  <c r="ED35" i="29"/>
  <c r="EE35" i="29"/>
  <c r="EF35" i="29"/>
  <c r="EG35" i="29"/>
  <c r="EH35" i="29"/>
  <c r="EI35" i="29"/>
  <c r="EJ35" i="29"/>
  <c r="EK35" i="29"/>
  <c r="EB36" i="29"/>
  <c r="EC36" i="29"/>
  <c r="ED36" i="29"/>
  <c r="EE36" i="29"/>
  <c r="EF36" i="29"/>
  <c r="EG36" i="29"/>
  <c r="EH36" i="29"/>
  <c r="EI36" i="29"/>
  <c r="EJ36" i="29"/>
  <c r="EK36" i="29"/>
  <c r="EB37" i="29"/>
  <c r="EC37" i="29"/>
  <c r="ED37" i="29"/>
  <c r="EE37" i="29"/>
  <c r="EF37" i="29"/>
  <c r="EG37" i="29"/>
  <c r="EH37" i="29"/>
  <c r="EI37" i="29"/>
  <c r="EJ37" i="29"/>
  <c r="EK37" i="29"/>
  <c r="EB38" i="29"/>
  <c r="EC38" i="29"/>
  <c r="ED38" i="29"/>
  <c r="EE38" i="29"/>
  <c r="EF38" i="29"/>
  <c r="EG38" i="29"/>
  <c r="EH38" i="29"/>
  <c r="EI38" i="29"/>
  <c r="EJ38" i="29"/>
  <c r="EK38" i="29"/>
  <c r="EB39" i="29"/>
  <c r="EC39" i="29"/>
  <c r="ED39" i="29"/>
  <c r="EE39" i="29"/>
  <c r="EF39" i="29"/>
  <c r="EG39" i="29"/>
  <c r="EH39" i="29"/>
  <c r="EI39" i="29"/>
  <c r="EJ39" i="29"/>
  <c r="EK39" i="29"/>
  <c r="EB40" i="29"/>
  <c r="EC40" i="29"/>
  <c r="ED40" i="29"/>
  <c r="EE40" i="29"/>
  <c r="EF40" i="29"/>
  <c r="EG40" i="29"/>
  <c r="EH40" i="29"/>
  <c r="EI40" i="29"/>
  <c r="EJ40" i="29"/>
  <c r="EK40" i="29"/>
  <c r="EB41" i="29"/>
  <c r="EC41" i="29"/>
  <c r="ED41" i="29"/>
  <c r="EE41" i="29"/>
  <c r="EF41" i="29"/>
  <c r="EG41" i="29"/>
  <c r="EH41" i="29"/>
  <c r="EI41" i="29"/>
  <c r="EJ41" i="29"/>
  <c r="EK41" i="29"/>
  <c r="EB42" i="29"/>
  <c r="EC42" i="29"/>
  <c r="ED42" i="29"/>
  <c r="EE42" i="29"/>
  <c r="EF42" i="29"/>
  <c r="EG42" i="29"/>
  <c r="EH42" i="29"/>
  <c r="EI42" i="29"/>
  <c r="EJ42" i="29"/>
  <c r="EK42" i="29"/>
  <c r="EB43" i="29"/>
  <c r="EC43" i="29"/>
  <c r="ED43" i="29"/>
  <c r="EE43" i="29"/>
  <c r="EF43" i="29"/>
  <c r="EG43" i="29"/>
  <c r="EH43" i="29"/>
  <c r="EI43" i="29"/>
  <c r="EJ43" i="29"/>
  <c r="EK43" i="29"/>
  <c r="EB44" i="29"/>
  <c r="EC44" i="29"/>
  <c r="ED44" i="29"/>
  <c r="EE44" i="29"/>
  <c r="EF44" i="29"/>
  <c r="EG44" i="29"/>
  <c r="EH44" i="29"/>
  <c r="EI44" i="29"/>
  <c r="EJ44" i="29"/>
  <c r="EK44" i="29"/>
  <c r="EB45" i="29"/>
  <c r="EC45" i="29"/>
  <c r="ED45" i="29"/>
  <c r="EE45" i="29"/>
  <c r="EF45" i="29"/>
  <c r="EG45" i="29"/>
  <c r="EH45" i="29"/>
  <c r="EI45" i="29"/>
  <c r="EJ45" i="29"/>
  <c r="EK45" i="29"/>
  <c r="EB46" i="29"/>
  <c r="EC46" i="29"/>
  <c r="ED46" i="29"/>
  <c r="EE46" i="29"/>
  <c r="EF46" i="29"/>
  <c r="EG46" i="29"/>
  <c r="EH46" i="29"/>
  <c r="EI46" i="29"/>
  <c r="EJ46" i="29"/>
  <c r="EK46" i="29"/>
  <c r="EB47" i="29"/>
  <c r="EC47" i="29"/>
  <c r="ED47" i="29"/>
  <c r="EE47" i="29"/>
  <c r="EF47" i="29"/>
  <c r="EG47" i="29"/>
  <c r="EH47" i="29"/>
  <c r="EI47" i="29"/>
  <c r="EJ47" i="29"/>
  <c r="EK47" i="29"/>
  <c r="EB48" i="29"/>
  <c r="EC48" i="29"/>
  <c r="ED48" i="29"/>
  <c r="EE48" i="29"/>
  <c r="EF48" i="29"/>
  <c r="EG48" i="29"/>
  <c r="EH48" i="29"/>
  <c r="EI48" i="29"/>
  <c r="EJ48" i="29"/>
  <c r="EK48" i="29"/>
  <c r="EB49" i="29"/>
  <c r="EC49" i="29"/>
  <c r="ED49" i="29"/>
  <c r="EE49" i="29"/>
  <c r="EF49" i="29"/>
  <c r="EG49" i="29"/>
  <c r="EH49" i="29"/>
  <c r="EI49" i="29"/>
  <c r="EJ49" i="29"/>
  <c r="EK49" i="29"/>
  <c r="EB50" i="29"/>
  <c r="EC50" i="29"/>
  <c r="ED50" i="29"/>
  <c r="EE50" i="29"/>
  <c r="EF50" i="29"/>
  <c r="EG50" i="29"/>
  <c r="EH50" i="29"/>
  <c r="EI50" i="29"/>
  <c r="EJ50" i="29"/>
  <c r="EK50" i="29"/>
  <c r="EB51" i="29"/>
  <c r="EC51" i="29"/>
  <c r="ED51" i="29"/>
  <c r="EE51" i="29"/>
  <c r="EF51" i="29"/>
  <c r="EG51" i="29"/>
  <c r="EH51" i="29"/>
  <c r="EI51" i="29"/>
  <c r="EJ51" i="29"/>
  <c r="EK51" i="29"/>
  <c r="EB52" i="29"/>
  <c r="EC52" i="29"/>
  <c r="ED52" i="29"/>
  <c r="EE52" i="29"/>
  <c r="EF52" i="29"/>
  <c r="EG52" i="29"/>
  <c r="EH52" i="29"/>
  <c r="EI52" i="29"/>
  <c r="EJ52" i="29"/>
  <c r="EK52" i="29"/>
  <c r="EB53" i="29"/>
  <c r="EC53" i="29"/>
  <c r="ED53" i="29"/>
  <c r="EE53" i="29"/>
  <c r="EF53" i="29"/>
  <c r="EG53" i="29"/>
  <c r="EH53" i="29"/>
  <c r="EI53" i="29"/>
  <c r="EJ53" i="29"/>
  <c r="EK53" i="29"/>
  <c r="EB54" i="29"/>
  <c r="EC54" i="29"/>
  <c r="ED54" i="29"/>
  <c r="EE54" i="29"/>
  <c r="EF54" i="29"/>
  <c r="EG54" i="29"/>
  <c r="EH54" i="29"/>
  <c r="EI54" i="29"/>
  <c r="EJ54" i="29"/>
  <c r="EK54" i="29"/>
  <c r="EB55" i="29"/>
  <c r="EC55" i="29"/>
  <c r="ED55" i="29"/>
  <c r="EE55" i="29"/>
  <c r="EF55" i="29"/>
  <c r="EG55" i="29"/>
  <c r="EH55" i="29"/>
  <c r="EI55" i="29"/>
  <c r="EJ55" i="29"/>
  <c r="EK55" i="29"/>
  <c r="EB56" i="29"/>
  <c r="EC56" i="29"/>
  <c r="ED56" i="29"/>
  <c r="EE56" i="29"/>
  <c r="EF56" i="29"/>
  <c r="EG56" i="29"/>
  <c r="EH56" i="29"/>
  <c r="EI56" i="29"/>
  <c r="EJ56" i="29"/>
  <c r="EK56" i="29"/>
  <c r="EB57" i="29"/>
  <c r="EC57" i="29"/>
  <c r="ED57" i="29"/>
  <c r="EE57" i="29"/>
  <c r="EF57" i="29"/>
  <c r="EG57" i="29"/>
  <c r="EH57" i="29"/>
  <c r="EI57" i="29"/>
  <c r="EJ57" i="29"/>
  <c r="EK57" i="29"/>
  <c r="EB58" i="29"/>
  <c r="EC58" i="29"/>
  <c r="ED58" i="29"/>
  <c r="EE58" i="29"/>
  <c r="EF58" i="29"/>
  <c r="EG58" i="29"/>
  <c r="EH58" i="29"/>
  <c r="EI58" i="29"/>
  <c r="EJ58" i="29"/>
  <c r="EK58" i="29"/>
  <c r="EB59" i="29"/>
  <c r="EC59" i="29"/>
  <c r="ED59" i="29"/>
  <c r="EE59" i="29"/>
  <c r="EF59" i="29"/>
  <c r="EG59" i="29"/>
  <c r="EH59" i="29"/>
  <c r="EI59" i="29"/>
  <c r="EJ59" i="29"/>
  <c r="EK59" i="29"/>
  <c r="EB60" i="29"/>
  <c r="EC60" i="29"/>
  <c r="ED60" i="29"/>
  <c r="EE60" i="29"/>
  <c r="EF60" i="29"/>
  <c r="EG60" i="29"/>
  <c r="EH60" i="29"/>
  <c r="EI60" i="29"/>
  <c r="EJ60" i="29"/>
  <c r="EK60" i="29"/>
  <c r="EB61" i="29"/>
  <c r="EC61" i="29"/>
  <c r="ED61" i="29"/>
  <c r="EE61" i="29"/>
  <c r="EF61" i="29"/>
  <c r="EG61" i="29"/>
  <c r="EH61" i="29"/>
  <c r="EI61" i="29"/>
  <c r="EJ61" i="29"/>
  <c r="EK61" i="29"/>
  <c r="EB62" i="29"/>
  <c r="EC62" i="29"/>
  <c r="ED62" i="29"/>
  <c r="EE62" i="29"/>
  <c r="EF62" i="29"/>
  <c r="EG62" i="29"/>
  <c r="EH62" i="29"/>
  <c r="EI62" i="29"/>
  <c r="EJ62" i="29"/>
  <c r="EK62" i="29"/>
  <c r="EB63" i="29"/>
  <c r="EC63" i="29"/>
  <c r="ED63" i="29"/>
  <c r="EE63" i="29"/>
  <c r="EF63" i="29"/>
  <c r="EG63" i="29"/>
  <c r="EH63" i="29"/>
  <c r="EI63" i="29"/>
  <c r="EJ63" i="29"/>
  <c r="EK63" i="29"/>
  <c r="EB64" i="29"/>
  <c r="EC64" i="29"/>
  <c r="ED64" i="29"/>
  <c r="EE64" i="29"/>
  <c r="EF64" i="29"/>
  <c r="EG64" i="29"/>
  <c r="EH64" i="29"/>
  <c r="EI64" i="29"/>
  <c r="EJ64" i="29"/>
  <c r="EK64" i="29"/>
  <c r="EB65" i="29"/>
  <c r="EC65" i="29"/>
  <c r="ED65" i="29"/>
  <c r="EE65" i="29"/>
  <c r="EF65" i="29"/>
  <c r="EG65" i="29"/>
  <c r="EH65" i="29"/>
  <c r="EI65" i="29"/>
  <c r="EJ65" i="29"/>
  <c r="EK65" i="29"/>
  <c r="EB66" i="29"/>
  <c r="EC66" i="29"/>
  <c r="ED66" i="29"/>
  <c r="EE66" i="29"/>
  <c r="EF66" i="29"/>
  <c r="EG66" i="29"/>
  <c r="EH66" i="29"/>
  <c r="EI66" i="29"/>
  <c r="EJ66" i="29"/>
  <c r="EK66" i="29"/>
  <c r="EB67" i="29"/>
  <c r="EC67" i="29"/>
  <c r="ED67" i="29"/>
  <c r="EE67" i="29"/>
  <c r="EF67" i="29"/>
  <c r="EG67" i="29"/>
  <c r="EH67" i="29"/>
  <c r="EI67" i="29"/>
  <c r="EJ67" i="29"/>
  <c r="EK67" i="29"/>
  <c r="EB68" i="29"/>
  <c r="EC68" i="29"/>
  <c r="ED68" i="29"/>
  <c r="EE68" i="29"/>
  <c r="EF68" i="29"/>
  <c r="EG68" i="29"/>
  <c r="EH68" i="29"/>
  <c r="EI68" i="29"/>
  <c r="EJ68" i="29"/>
  <c r="EK68" i="29"/>
  <c r="EB69" i="29"/>
  <c r="EC69" i="29"/>
  <c r="ED69" i="29"/>
  <c r="EE69" i="29"/>
  <c r="EF69" i="29"/>
  <c r="EG69" i="29"/>
  <c r="EH69" i="29"/>
  <c r="EI69" i="29"/>
  <c r="EJ69" i="29"/>
  <c r="EK69" i="29"/>
  <c r="EB70" i="29"/>
  <c r="EC70" i="29"/>
  <c r="ED70" i="29"/>
  <c r="EE70" i="29"/>
  <c r="EF70" i="29"/>
  <c r="EG70" i="29"/>
  <c r="EH70" i="29"/>
  <c r="EI70" i="29"/>
  <c r="EJ70" i="29"/>
  <c r="EK70" i="29"/>
  <c r="EB71" i="29"/>
  <c r="EC71" i="29"/>
  <c r="ED71" i="29"/>
  <c r="EE71" i="29"/>
  <c r="EF71" i="29"/>
  <c r="EG71" i="29"/>
  <c r="EH71" i="29"/>
  <c r="EI71" i="29"/>
  <c r="EJ71" i="29"/>
  <c r="EK71" i="29"/>
  <c r="EB72" i="29"/>
  <c r="EC72" i="29"/>
  <c r="ED72" i="29"/>
  <c r="EE72" i="29"/>
  <c r="EF72" i="29"/>
  <c r="EG72" i="29"/>
  <c r="EH72" i="29"/>
  <c r="EI72" i="29"/>
  <c r="EJ72" i="29"/>
  <c r="EK72" i="29"/>
  <c r="EB73" i="29"/>
  <c r="EC73" i="29"/>
  <c r="ED73" i="29"/>
  <c r="EE73" i="29"/>
  <c r="EF73" i="29"/>
  <c r="EG73" i="29"/>
  <c r="EH73" i="29"/>
  <c r="EI73" i="29"/>
  <c r="EJ73" i="29"/>
  <c r="EK73" i="29"/>
  <c r="EB74" i="29"/>
  <c r="EC74" i="29"/>
  <c r="ED74" i="29"/>
  <c r="EE74" i="29"/>
  <c r="EF74" i="29"/>
  <c r="EG74" i="29"/>
  <c r="EH74" i="29"/>
  <c r="EI74" i="29"/>
  <c r="EJ74" i="29"/>
  <c r="EK74" i="29"/>
  <c r="EB75" i="29"/>
  <c r="EC75" i="29"/>
  <c r="ED75" i="29"/>
  <c r="EE75" i="29"/>
  <c r="EF75" i="29"/>
  <c r="EG75" i="29"/>
  <c r="EH75" i="29"/>
  <c r="EI75" i="29"/>
  <c r="EJ75" i="29"/>
  <c r="EK75" i="29"/>
  <c r="EB76" i="29"/>
  <c r="EC76" i="29"/>
  <c r="ED76" i="29"/>
  <c r="EE76" i="29"/>
  <c r="EF76" i="29"/>
  <c r="EG76" i="29"/>
  <c r="EH76" i="29"/>
  <c r="EI76" i="29"/>
  <c r="EJ76" i="29"/>
  <c r="EK76" i="29"/>
  <c r="EB77" i="29"/>
  <c r="EC77" i="29"/>
  <c r="ED77" i="29"/>
  <c r="EE77" i="29"/>
  <c r="EF77" i="29"/>
  <c r="EG77" i="29"/>
  <c r="EH77" i="29"/>
  <c r="EI77" i="29"/>
  <c r="EJ77" i="29"/>
  <c r="EK77" i="29"/>
  <c r="EB78" i="29"/>
  <c r="EC78" i="29"/>
  <c r="ED78" i="29"/>
  <c r="EE78" i="29"/>
  <c r="EF78" i="29"/>
  <c r="EG78" i="29"/>
  <c r="EH78" i="29"/>
  <c r="EI78" i="29"/>
  <c r="EJ78" i="29"/>
  <c r="EK78" i="29"/>
  <c r="EB79" i="29"/>
  <c r="EC79" i="29"/>
  <c r="ED79" i="29"/>
  <c r="EE79" i="29"/>
  <c r="EF79" i="29"/>
  <c r="EG79" i="29"/>
  <c r="EH79" i="29"/>
  <c r="EI79" i="29"/>
  <c r="EJ79" i="29"/>
  <c r="EK79" i="29"/>
  <c r="EB80" i="29"/>
  <c r="EC80" i="29"/>
  <c r="ED80" i="29"/>
  <c r="EE80" i="29"/>
  <c r="EF80" i="29"/>
  <c r="EG80" i="29"/>
  <c r="EH80" i="29"/>
  <c r="EI80" i="29"/>
  <c r="EJ80" i="29"/>
  <c r="EK80" i="29"/>
  <c r="EB81" i="29"/>
  <c r="EC81" i="29"/>
  <c r="ED81" i="29"/>
  <c r="EE81" i="29"/>
  <c r="EF81" i="29"/>
  <c r="EG81" i="29"/>
  <c r="EH81" i="29"/>
  <c r="EI81" i="29"/>
  <c r="EJ81" i="29"/>
  <c r="EK81" i="29"/>
  <c r="EB82" i="29"/>
  <c r="EC82" i="29"/>
  <c r="ED82" i="29"/>
  <c r="EE82" i="29"/>
  <c r="EF82" i="29"/>
  <c r="EG82" i="29"/>
  <c r="EH82" i="29"/>
  <c r="EI82" i="29"/>
  <c r="EJ82" i="29"/>
  <c r="EK82" i="29"/>
  <c r="EB83" i="29"/>
  <c r="EC83" i="29"/>
  <c r="ED83" i="29"/>
  <c r="EE83" i="29"/>
  <c r="EF83" i="29"/>
  <c r="EG83" i="29"/>
  <c r="EH83" i="29"/>
  <c r="EI83" i="29"/>
  <c r="EJ83" i="29"/>
  <c r="EK83" i="29"/>
  <c r="EB84" i="29"/>
  <c r="EC84" i="29"/>
  <c r="ED84" i="29"/>
  <c r="EE84" i="29"/>
  <c r="EF84" i="29"/>
  <c r="EG84" i="29"/>
  <c r="EH84" i="29"/>
  <c r="EI84" i="29"/>
  <c r="EJ84" i="29"/>
  <c r="EK84" i="29"/>
  <c r="EB85" i="29"/>
  <c r="EC85" i="29"/>
  <c r="ED85" i="29"/>
  <c r="EE85" i="29"/>
  <c r="EF85" i="29"/>
  <c r="EG85" i="29"/>
  <c r="EH85" i="29"/>
  <c r="EI85" i="29"/>
  <c r="EJ85" i="29"/>
  <c r="EK85" i="29"/>
  <c r="EB86" i="29"/>
  <c r="EC86" i="29"/>
  <c r="ED86" i="29"/>
  <c r="EE86" i="29"/>
  <c r="EF86" i="29"/>
  <c r="EG86" i="29"/>
  <c r="EH86" i="29"/>
  <c r="EI86" i="29"/>
  <c r="EJ86" i="29"/>
  <c r="EK86" i="29"/>
  <c r="EB87" i="29"/>
  <c r="EC87" i="29"/>
  <c r="ED87" i="29"/>
  <c r="EE87" i="29"/>
  <c r="EF87" i="29"/>
  <c r="EG87" i="29"/>
  <c r="EH87" i="29"/>
  <c r="EI87" i="29"/>
  <c r="EJ87" i="29"/>
  <c r="EK87" i="29"/>
  <c r="EB88" i="29"/>
  <c r="EC88" i="29"/>
  <c r="ED88" i="29"/>
  <c r="EE88" i="29"/>
  <c r="EF88" i="29"/>
  <c r="EG88" i="29"/>
  <c r="EH88" i="29"/>
  <c r="EI88" i="29"/>
  <c r="EJ88" i="29"/>
  <c r="EK88" i="29"/>
  <c r="EB89" i="29"/>
  <c r="EC89" i="29"/>
  <c r="ED89" i="29"/>
  <c r="EE89" i="29"/>
  <c r="EF89" i="29"/>
  <c r="EG89" i="29"/>
  <c r="EH89" i="29"/>
  <c r="EI89" i="29"/>
  <c r="EJ89" i="29"/>
  <c r="EK89" i="29"/>
  <c r="EB90" i="29"/>
  <c r="EC90" i="29"/>
  <c r="ED90" i="29"/>
  <c r="EE90" i="29"/>
  <c r="EF90" i="29"/>
  <c r="EG90" i="29"/>
  <c r="EH90" i="29"/>
  <c r="EI90" i="29"/>
  <c r="EJ90" i="29"/>
  <c r="EK90" i="29"/>
  <c r="EB91" i="29"/>
  <c r="EC91" i="29"/>
  <c r="ED91" i="29"/>
  <c r="EE91" i="29"/>
  <c r="EF91" i="29"/>
  <c r="EG91" i="29"/>
  <c r="EH91" i="29"/>
  <c r="EI91" i="29"/>
  <c r="EJ91" i="29"/>
  <c r="EK91" i="29"/>
  <c r="EB92" i="29"/>
  <c r="EC92" i="29"/>
  <c r="ED92" i="29"/>
  <c r="EE92" i="29"/>
  <c r="EF92" i="29"/>
  <c r="EG92" i="29"/>
  <c r="EH92" i="29"/>
  <c r="EI92" i="29"/>
  <c r="EJ92" i="29"/>
  <c r="EK92" i="29"/>
  <c r="EB93" i="29"/>
  <c r="EC93" i="29"/>
  <c r="ED93" i="29"/>
  <c r="EE93" i="29"/>
  <c r="EF93" i="29"/>
  <c r="EG93" i="29"/>
  <c r="EH93" i="29"/>
  <c r="EI93" i="29"/>
  <c r="EJ93" i="29"/>
  <c r="EK93" i="29"/>
  <c r="EB94" i="29"/>
  <c r="EC94" i="29"/>
  <c r="ED94" i="29"/>
  <c r="EE94" i="29"/>
  <c r="EF94" i="29"/>
  <c r="EG94" i="29"/>
  <c r="EH94" i="29"/>
  <c r="EI94" i="29"/>
  <c r="EJ94" i="29"/>
  <c r="EK94" i="29"/>
  <c r="EB95" i="29"/>
  <c r="EC95" i="29"/>
  <c r="ED95" i="29"/>
  <c r="EE95" i="29"/>
  <c r="EF95" i="29"/>
  <c r="EG95" i="29"/>
  <c r="EH95" i="29"/>
  <c r="EI95" i="29"/>
  <c r="EJ95" i="29"/>
  <c r="EK95" i="29"/>
  <c r="EB96" i="29"/>
  <c r="EC96" i="29"/>
  <c r="ED96" i="29"/>
  <c r="EE96" i="29"/>
  <c r="EF96" i="29"/>
  <c r="EG96" i="29"/>
  <c r="EH96" i="29"/>
  <c r="EI96" i="29"/>
  <c r="EJ96" i="29"/>
  <c r="EK96" i="29"/>
  <c r="EB97" i="29"/>
  <c r="EC97" i="29"/>
  <c r="ED97" i="29"/>
  <c r="EE97" i="29"/>
  <c r="EF97" i="29"/>
  <c r="EG97" i="29"/>
  <c r="EH97" i="29"/>
  <c r="EI97" i="29"/>
  <c r="EJ97" i="29"/>
  <c r="EK97" i="29"/>
  <c r="EB98" i="29"/>
  <c r="EC98" i="29"/>
  <c r="ED98" i="29"/>
  <c r="EE98" i="29"/>
  <c r="EF98" i="29"/>
  <c r="EG98" i="29"/>
  <c r="EH98" i="29"/>
  <c r="EI98" i="29"/>
  <c r="EJ98" i="29"/>
  <c r="EK98" i="29"/>
  <c r="EB99" i="29"/>
  <c r="EC99" i="29"/>
  <c r="ED99" i="29"/>
  <c r="EE99" i="29"/>
  <c r="EF99" i="29"/>
  <c r="EG99" i="29"/>
  <c r="EH99" i="29"/>
  <c r="EI99" i="29"/>
  <c r="EJ99" i="29"/>
  <c r="EK99" i="29"/>
  <c r="EB100" i="29"/>
  <c r="EC100" i="29"/>
  <c r="ED100" i="29"/>
  <c r="EE100" i="29"/>
  <c r="EF100" i="29"/>
  <c r="EG100" i="29"/>
  <c r="EH100" i="29"/>
  <c r="EI100" i="29"/>
  <c r="EJ100" i="29"/>
  <c r="EK100" i="29"/>
  <c r="EB101" i="29"/>
  <c r="EC101" i="29"/>
  <c r="ED101" i="29"/>
  <c r="EE101" i="29"/>
  <c r="EF101" i="29"/>
  <c r="EG101" i="29"/>
  <c r="EH101" i="29"/>
  <c r="EI101" i="29"/>
  <c r="EJ101" i="29"/>
  <c r="EK101" i="29"/>
  <c r="EB102" i="29"/>
  <c r="EC102" i="29"/>
  <c r="ED102" i="29"/>
  <c r="EE102" i="29"/>
  <c r="EF102" i="29"/>
  <c r="EG102" i="29"/>
  <c r="EH102" i="29"/>
  <c r="EI102" i="29"/>
  <c r="EJ102" i="29"/>
  <c r="EK102" i="29"/>
  <c r="EB103" i="29"/>
  <c r="EC103" i="29"/>
  <c r="ED103" i="29"/>
  <c r="EE103" i="29"/>
  <c r="EF103" i="29"/>
  <c r="EG103" i="29"/>
  <c r="EH103" i="29"/>
  <c r="EI103" i="29"/>
  <c r="EJ103" i="29"/>
  <c r="EK103" i="29"/>
  <c r="EB104" i="29"/>
  <c r="EC104" i="29"/>
  <c r="ED104" i="29"/>
  <c r="EE104" i="29"/>
  <c r="EF104" i="29"/>
  <c r="EG104" i="29"/>
  <c r="EH104" i="29"/>
  <c r="EI104" i="29"/>
  <c r="EJ104" i="29"/>
  <c r="EK104" i="29"/>
  <c r="EB105" i="29"/>
  <c r="EC105" i="29"/>
  <c r="ED105" i="29"/>
  <c r="EE105" i="29"/>
  <c r="EF105" i="29"/>
  <c r="EG105" i="29"/>
  <c r="EH105" i="29"/>
  <c r="EI105" i="29"/>
  <c r="EJ105" i="29"/>
  <c r="EK105" i="29"/>
  <c r="EB106" i="29"/>
  <c r="EC106" i="29"/>
  <c r="ED106" i="29"/>
  <c r="EE106" i="29"/>
  <c r="EF106" i="29"/>
  <c r="EG106" i="29"/>
  <c r="EH106" i="29"/>
  <c r="EI106" i="29"/>
  <c r="EJ106" i="29"/>
  <c r="EK106" i="29"/>
  <c r="EB107" i="29"/>
  <c r="EC107" i="29"/>
  <c r="ED107" i="29"/>
  <c r="EE107" i="29"/>
  <c r="EF107" i="29"/>
  <c r="EG107" i="29"/>
  <c r="EH107" i="29"/>
  <c r="EI107" i="29"/>
  <c r="EJ107" i="29"/>
  <c r="EK107" i="29"/>
  <c r="EB108" i="29"/>
  <c r="EC108" i="29"/>
  <c r="ED108" i="29"/>
  <c r="EE108" i="29"/>
  <c r="EF108" i="29"/>
  <c r="EG108" i="29"/>
  <c r="EH108" i="29"/>
  <c r="EI108" i="29"/>
  <c r="EJ108" i="29"/>
  <c r="EK108" i="29"/>
  <c r="EB109" i="29"/>
  <c r="EC109" i="29"/>
  <c r="ED109" i="29"/>
  <c r="EE109" i="29"/>
  <c r="EF109" i="29"/>
  <c r="EG109" i="29"/>
  <c r="EH109" i="29"/>
  <c r="EI109" i="29"/>
  <c r="EJ109" i="29"/>
  <c r="EK109" i="29"/>
  <c r="EB110" i="29"/>
  <c r="EC110" i="29"/>
  <c r="ED110" i="29"/>
  <c r="EE110" i="29"/>
  <c r="EF110" i="29"/>
  <c r="EG110" i="29"/>
  <c r="EH110" i="29"/>
  <c r="EI110" i="29"/>
  <c r="EJ110" i="29"/>
  <c r="EK110" i="29"/>
  <c r="EB111" i="29"/>
  <c r="EC111" i="29"/>
  <c r="ED111" i="29"/>
  <c r="EE111" i="29"/>
  <c r="EF111" i="29"/>
  <c r="EG111" i="29"/>
  <c r="EH111" i="29"/>
  <c r="EI111" i="29"/>
  <c r="EJ111" i="29"/>
  <c r="EK111" i="29"/>
  <c r="EB112" i="29"/>
  <c r="EC112" i="29"/>
  <c r="ED112" i="29"/>
  <c r="EE112" i="29"/>
  <c r="EF112" i="29"/>
  <c r="EG112" i="29"/>
  <c r="EH112" i="29"/>
  <c r="EI112" i="29"/>
  <c r="EJ112" i="29"/>
  <c r="EK112" i="29"/>
  <c r="EB113" i="29"/>
  <c r="EC113" i="29"/>
  <c r="ED113" i="29"/>
  <c r="EE113" i="29"/>
  <c r="EF113" i="29"/>
  <c r="EG113" i="29"/>
  <c r="EH113" i="29"/>
  <c r="EI113" i="29"/>
  <c r="EJ113" i="29"/>
  <c r="EK113" i="29"/>
  <c r="EB114" i="29"/>
  <c r="EC114" i="29"/>
  <c r="ED114" i="29"/>
  <c r="EE114" i="29"/>
  <c r="EF114" i="29"/>
  <c r="EG114" i="29"/>
  <c r="EH114" i="29"/>
  <c r="EI114" i="29"/>
  <c r="EJ114" i="29"/>
  <c r="EK114" i="29"/>
  <c r="EB115" i="29"/>
  <c r="EC115" i="29"/>
  <c r="ED115" i="29"/>
  <c r="EE115" i="29"/>
  <c r="EF115" i="29"/>
  <c r="EG115" i="29"/>
  <c r="EH115" i="29"/>
  <c r="EI115" i="29"/>
  <c r="EJ115" i="29"/>
  <c r="EK115" i="29"/>
  <c r="EB116" i="29"/>
  <c r="EC116" i="29"/>
  <c r="ED116" i="29"/>
  <c r="EE116" i="29"/>
  <c r="EF116" i="29"/>
  <c r="EG116" i="29"/>
  <c r="EH116" i="29"/>
  <c r="EI116" i="29"/>
  <c r="EJ116" i="29"/>
  <c r="EK116" i="29"/>
  <c r="EB117" i="29"/>
  <c r="EC117" i="29"/>
  <c r="ED117" i="29"/>
  <c r="EE117" i="29"/>
  <c r="EF117" i="29"/>
  <c r="EG117" i="29"/>
  <c r="EH117" i="29"/>
  <c r="EI117" i="29"/>
  <c r="EJ117" i="29"/>
  <c r="EK117" i="29"/>
  <c r="EB118" i="29"/>
  <c r="EC118" i="29"/>
  <c r="ED118" i="29"/>
  <c r="EE118" i="29"/>
  <c r="EF118" i="29"/>
  <c r="EG118" i="29"/>
  <c r="EH118" i="29"/>
  <c r="EI118" i="29"/>
  <c r="EJ118" i="29"/>
  <c r="EK118" i="29"/>
  <c r="EB119" i="29"/>
  <c r="EC119" i="29"/>
  <c r="ED119" i="29"/>
  <c r="EE119" i="29"/>
  <c r="EF119" i="29"/>
  <c r="EG119" i="29"/>
  <c r="EH119" i="29"/>
  <c r="EI119" i="29"/>
  <c r="EJ119" i="29"/>
  <c r="EK119" i="29"/>
  <c r="EB120" i="29"/>
  <c r="EC120" i="29"/>
  <c r="ED120" i="29"/>
  <c r="EE120" i="29"/>
  <c r="EF120" i="29"/>
  <c r="EG120" i="29"/>
  <c r="EH120" i="29"/>
  <c r="EI120" i="29"/>
  <c r="EJ120" i="29"/>
  <c r="EK120" i="29"/>
  <c r="EB121" i="29"/>
  <c r="EC121" i="29"/>
  <c r="ED121" i="29"/>
  <c r="EE121" i="29"/>
  <c r="EF121" i="29"/>
  <c r="EG121" i="29"/>
  <c r="EH121" i="29"/>
  <c r="EI121" i="29"/>
  <c r="EJ121" i="29"/>
  <c r="EK121" i="29"/>
  <c r="EB122" i="29"/>
  <c r="EC122" i="29"/>
  <c r="ED122" i="29"/>
  <c r="EE122" i="29"/>
  <c r="EF122" i="29"/>
  <c r="EG122" i="29"/>
  <c r="EH122" i="29"/>
  <c r="EI122" i="29"/>
  <c r="EJ122" i="29"/>
  <c r="EK122" i="29"/>
  <c r="EB123" i="29"/>
  <c r="EC123" i="29"/>
  <c r="ED123" i="29"/>
  <c r="EE123" i="29"/>
  <c r="EF123" i="29"/>
  <c r="EG123" i="29"/>
  <c r="EH123" i="29"/>
  <c r="EI123" i="29"/>
  <c r="EJ123" i="29"/>
  <c r="EK123" i="29"/>
  <c r="EB124" i="29"/>
  <c r="EC124" i="29"/>
  <c r="ED124" i="29"/>
  <c r="EE124" i="29"/>
  <c r="EF124" i="29"/>
  <c r="EG124" i="29"/>
  <c r="EH124" i="29"/>
  <c r="EI124" i="29"/>
  <c r="EJ124" i="29"/>
  <c r="EK124" i="29"/>
  <c r="EB125" i="29"/>
  <c r="EC125" i="29"/>
  <c r="ED125" i="29"/>
  <c r="EE125" i="29"/>
  <c r="EF125" i="29"/>
  <c r="EG125" i="29"/>
  <c r="EH125" i="29"/>
  <c r="EI125" i="29"/>
  <c r="EJ125" i="29"/>
  <c r="EK125" i="29"/>
  <c r="EB126" i="29"/>
  <c r="EC126" i="29"/>
  <c r="ED126" i="29"/>
  <c r="EE126" i="29"/>
  <c r="EF126" i="29"/>
  <c r="EG126" i="29"/>
  <c r="EH126" i="29"/>
  <c r="EI126" i="29"/>
  <c r="EJ126" i="29"/>
  <c r="EK126" i="29"/>
  <c r="EB127" i="29"/>
  <c r="EC127" i="29"/>
  <c r="ED127" i="29"/>
  <c r="EE127" i="29"/>
  <c r="EF127" i="29"/>
  <c r="EG127" i="29"/>
  <c r="EH127" i="29"/>
  <c r="EI127" i="29"/>
  <c r="EJ127" i="29"/>
  <c r="EK127" i="29"/>
  <c r="EB128" i="29"/>
  <c r="EC128" i="29"/>
  <c r="ED128" i="29"/>
  <c r="EE128" i="29"/>
  <c r="EF128" i="29"/>
  <c r="EG128" i="29"/>
  <c r="EH128" i="29"/>
  <c r="EI128" i="29"/>
  <c r="EJ128" i="29"/>
  <c r="EK128" i="29"/>
  <c r="EB129" i="29"/>
  <c r="EC129" i="29"/>
  <c r="ED129" i="29"/>
  <c r="EE129" i="29"/>
  <c r="EF129" i="29"/>
  <c r="EG129" i="29"/>
  <c r="EH129" i="29"/>
  <c r="EI129" i="29"/>
  <c r="EJ129" i="29"/>
  <c r="EK129" i="29"/>
  <c r="EB130" i="29"/>
  <c r="EC130" i="29"/>
  <c r="ED130" i="29"/>
  <c r="EE130" i="29"/>
  <c r="EF130" i="29"/>
  <c r="EG130" i="29"/>
  <c r="EH130" i="29"/>
  <c r="EI130" i="29"/>
  <c r="EJ130" i="29"/>
  <c r="EK130" i="29"/>
  <c r="EB131" i="29"/>
  <c r="EC131" i="29"/>
  <c r="ED131" i="29"/>
  <c r="EE131" i="29"/>
  <c r="EF131" i="29"/>
  <c r="EG131" i="29"/>
  <c r="EH131" i="29"/>
  <c r="EI131" i="29"/>
  <c r="EJ131" i="29"/>
  <c r="EK131" i="29"/>
  <c r="EB132" i="29"/>
  <c r="EC132" i="29"/>
  <c r="ED132" i="29"/>
  <c r="EE132" i="29"/>
  <c r="EF132" i="29"/>
  <c r="EG132" i="29"/>
  <c r="EH132" i="29"/>
  <c r="EI132" i="29"/>
  <c r="EJ132" i="29"/>
  <c r="EK132" i="29"/>
  <c r="EB133" i="29"/>
  <c r="EC133" i="29"/>
  <c r="ED133" i="29"/>
  <c r="EE133" i="29"/>
  <c r="EF133" i="29"/>
  <c r="EG133" i="29"/>
  <c r="EH133" i="29"/>
  <c r="EI133" i="29"/>
  <c r="EJ133" i="29"/>
  <c r="EK133" i="29"/>
  <c r="EB134" i="29"/>
  <c r="EC134" i="29"/>
  <c r="ED134" i="29"/>
  <c r="EE134" i="29"/>
  <c r="EF134" i="29"/>
  <c r="EG134" i="29"/>
  <c r="EH134" i="29"/>
  <c r="EI134" i="29"/>
  <c r="EJ134" i="29"/>
  <c r="EK134" i="29"/>
  <c r="EB135" i="29"/>
  <c r="EC135" i="29"/>
  <c r="ED135" i="29"/>
  <c r="EE135" i="29"/>
  <c r="EF135" i="29"/>
  <c r="EG135" i="29"/>
  <c r="EH135" i="29"/>
  <c r="EI135" i="29"/>
  <c r="EJ135" i="29"/>
  <c r="EK135" i="29"/>
  <c r="EB136" i="29"/>
  <c r="EC136" i="29"/>
  <c r="ED136" i="29"/>
  <c r="EE136" i="29"/>
  <c r="EF136" i="29"/>
  <c r="EG136" i="29"/>
  <c r="EH136" i="29"/>
  <c r="EI136" i="29"/>
  <c r="EJ136" i="29"/>
  <c r="EK136" i="29"/>
  <c r="EB137" i="29"/>
  <c r="EC137" i="29"/>
  <c r="ED137" i="29"/>
  <c r="EE137" i="29"/>
  <c r="EF137" i="29"/>
  <c r="EG137" i="29"/>
  <c r="EH137" i="29"/>
  <c r="EI137" i="29"/>
  <c r="EJ137" i="29"/>
  <c r="EK137" i="29"/>
  <c r="EB138" i="29"/>
  <c r="EC138" i="29"/>
  <c r="ED138" i="29"/>
  <c r="EE138" i="29"/>
  <c r="EF138" i="29"/>
  <c r="EG138" i="29"/>
  <c r="EH138" i="29"/>
  <c r="EI138" i="29"/>
  <c r="EJ138" i="29"/>
  <c r="EK138" i="29"/>
  <c r="EB139" i="29"/>
  <c r="EC139" i="29"/>
  <c r="ED139" i="29"/>
  <c r="EE139" i="29"/>
  <c r="EF139" i="29"/>
  <c r="EG139" i="29"/>
  <c r="EH139" i="29"/>
  <c r="EI139" i="29"/>
  <c r="EJ139" i="29"/>
  <c r="EK139" i="29"/>
  <c r="EB140" i="29"/>
  <c r="EC140" i="29"/>
  <c r="ED140" i="29"/>
  <c r="EE140" i="29"/>
  <c r="EF140" i="29"/>
  <c r="EG140" i="29"/>
  <c r="EH140" i="29"/>
  <c r="EI140" i="29"/>
  <c r="EJ140" i="29"/>
  <c r="EK140" i="29"/>
  <c r="EB141" i="29"/>
  <c r="EC141" i="29"/>
  <c r="ED141" i="29"/>
  <c r="EE141" i="29"/>
  <c r="EF141" i="29"/>
  <c r="EG141" i="29"/>
  <c r="EH141" i="29"/>
  <c r="EI141" i="29"/>
  <c r="EJ141" i="29"/>
  <c r="EK141" i="29"/>
  <c r="EB142" i="29"/>
  <c r="EC142" i="29"/>
  <c r="ED142" i="29"/>
  <c r="EE142" i="29"/>
  <c r="EF142" i="29"/>
  <c r="EG142" i="29"/>
  <c r="EH142" i="29"/>
  <c r="EI142" i="29"/>
  <c r="EJ142" i="29"/>
  <c r="EK142" i="29"/>
  <c r="EB143" i="29"/>
  <c r="EC143" i="29"/>
  <c r="ED143" i="29"/>
  <c r="EE143" i="29"/>
  <c r="EF143" i="29"/>
  <c r="EG143" i="29"/>
  <c r="EH143" i="29"/>
  <c r="EI143" i="29"/>
  <c r="EJ143" i="29"/>
  <c r="EK143" i="29"/>
  <c r="EB144" i="29"/>
  <c r="EC144" i="29"/>
  <c r="ED144" i="29"/>
  <c r="EE144" i="29"/>
  <c r="EF144" i="29"/>
  <c r="EG144" i="29"/>
  <c r="EH144" i="29"/>
  <c r="EI144" i="29"/>
  <c r="EJ144" i="29"/>
  <c r="EK144" i="29"/>
  <c r="EB145" i="29"/>
  <c r="EC145" i="29"/>
  <c r="ED145" i="29"/>
  <c r="EE145" i="29"/>
  <c r="EF145" i="29"/>
  <c r="EG145" i="29"/>
  <c r="EH145" i="29"/>
  <c r="EI145" i="29"/>
  <c r="EJ145" i="29"/>
  <c r="EK145" i="29"/>
  <c r="EB146" i="29"/>
  <c r="EC146" i="29"/>
  <c r="ED146" i="29"/>
  <c r="EE146" i="29"/>
  <c r="EF146" i="29"/>
  <c r="EG146" i="29"/>
  <c r="EH146" i="29"/>
  <c r="EI146" i="29"/>
  <c r="EJ146" i="29"/>
  <c r="EK146" i="29"/>
  <c r="EB147" i="29"/>
  <c r="EC147" i="29"/>
  <c r="ED147" i="29"/>
  <c r="EE147" i="29"/>
  <c r="EF147" i="29"/>
  <c r="EG147" i="29"/>
  <c r="EH147" i="29"/>
  <c r="EI147" i="29"/>
  <c r="EJ147" i="29"/>
  <c r="EK147" i="29"/>
  <c r="EB148" i="29"/>
  <c r="EC148" i="29"/>
  <c r="ED148" i="29"/>
  <c r="EE148" i="29"/>
  <c r="EF148" i="29"/>
  <c r="EG148" i="29"/>
  <c r="EH148" i="29"/>
  <c r="EI148" i="29"/>
  <c r="EJ148" i="29"/>
  <c r="EK148" i="29"/>
  <c r="EB149" i="29"/>
  <c r="EC149" i="29"/>
  <c r="ED149" i="29"/>
  <c r="EE149" i="29"/>
  <c r="EF149" i="29"/>
  <c r="EG149" i="29"/>
  <c r="EH149" i="29"/>
  <c r="EI149" i="29"/>
  <c r="EJ149" i="29"/>
  <c r="EK149" i="29"/>
  <c r="EB150" i="29"/>
  <c r="EC150" i="29"/>
  <c r="ED150" i="29"/>
  <c r="EE150" i="29"/>
  <c r="EF150" i="29"/>
  <c r="EG150" i="29"/>
  <c r="EH150" i="29"/>
  <c r="EI150" i="29"/>
  <c r="EJ150" i="29"/>
  <c r="EK150" i="29"/>
  <c r="EB151" i="29"/>
  <c r="EC151" i="29"/>
  <c r="ED151" i="29"/>
  <c r="EE151" i="29"/>
  <c r="EF151" i="29"/>
  <c r="EG151" i="29"/>
  <c r="EH151" i="29"/>
  <c r="EI151" i="29"/>
  <c r="EJ151" i="29"/>
  <c r="EK151" i="29"/>
  <c r="EB152" i="29"/>
  <c r="EC152" i="29"/>
  <c r="ED152" i="29"/>
  <c r="EE152" i="29"/>
  <c r="EF152" i="29"/>
  <c r="EG152" i="29"/>
  <c r="EH152" i="29"/>
  <c r="EI152" i="29"/>
  <c r="EJ152" i="29"/>
  <c r="EK152" i="29"/>
  <c r="EB153" i="29"/>
  <c r="EC153" i="29"/>
  <c r="ED153" i="29"/>
  <c r="EE153" i="29"/>
  <c r="EF153" i="29"/>
  <c r="EG153" i="29"/>
  <c r="EH153" i="29"/>
  <c r="EI153" i="29"/>
  <c r="EJ153" i="29"/>
  <c r="EK153" i="29"/>
  <c r="EB154" i="29"/>
  <c r="EC154" i="29"/>
  <c r="ED154" i="29"/>
  <c r="EE154" i="29"/>
  <c r="EF154" i="29"/>
  <c r="EG154" i="29"/>
  <c r="EH154" i="29"/>
  <c r="EI154" i="29"/>
  <c r="EJ154" i="29"/>
  <c r="EK154" i="29"/>
  <c r="EB155" i="29"/>
  <c r="EC155" i="29"/>
  <c r="ED155" i="29"/>
  <c r="EE155" i="29"/>
  <c r="EF155" i="29"/>
  <c r="EG155" i="29"/>
  <c r="EH155" i="29"/>
  <c r="EI155" i="29"/>
  <c r="EJ155" i="29"/>
  <c r="EK155" i="29"/>
  <c r="EB156" i="29"/>
  <c r="EC156" i="29"/>
  <c r="ED156" i="29"/>
  <c r="EE156" i="29"/>
  <c r="EF156" i="29"/>
  <c r="EG156" i="29"/>
  <c r="EH156" i="29"/>
  <c r="EI156" i="29"/>
  <c r="EJ156" i="29"/>
  <c r="EK156" i="29"/>
  <c r="EB157" i="29"/>
  <c r="EC157" i="29"/>
  <c r="ED157" i="29"/>
  <c r="EE157" i="29"/>
  <c r="EF157" i="29"/>
  <c r="EG157" i="29"/>
  <c r="EH157" i="29"/>
  <c r="EI157" i="29"/>
  <c r="EJ157" i="29"/>
  <c r="EK157" i="29"/>
  <c r="EB158" i="29"/>
  <c r="EC158" i="29"/>
  <c r="ED158" i="29"/>
  <c r="EE158" i="29"/>
  <c r="EF158" i="29"/>
  <c r="EG158" i="29"/>
  <c r="EH158" i="29"/>
  <c r="EI158" i="29"/>
  <c r="EJ158" i="29"/>
  <c r="EK158" i="29"/>
  <c r="EB159" i="29"/>
  <c r="EC159" i="29"/>
  <c r="ED159" i="29"/>
  <c r="EE159" i="29"/>
  <c r="EF159" i="29"/>
  <c r="EG159" i="29"/>
  <c r="EH159" i="29"/>
  <c r="EI159" i="29"/>
  <c r="EJ159" i="29"/>
  <c r="EK159" i="29"/>
  <c r="EB160" i="29"/>
  <c r="EC160" i="29"/>
  <c r="ED160" i="29"/>
  <c r="EE160" i="29"/>
  <c r="EF160" i="29"/>
  <c r="EG160" i="29"/>
  <c r="EH160" i="29"/>
  <c r="EI160" i="29"/>
  <c r="EJ160" i="29"/>
  <c r="EK160" i="29"/>
  <c r="EB161" i="29"/>
  <c r="EC161" i="29"/>
  <c r="ED161" i="29"/>
  <c r="EE161" i="29"/>
  <c r="EF161" i="29"/>
  <c r="EG161" i="29"/>
  <c r="EH161" i="29"/>
  <c r="EI161" i="29"/>
  <c r="EJ161" i="29"/>
  <c r="EK161" i="29"/>
  <c r="EB162" i="29"/>
  <c r="EC162" i="29"/>
  <c r="ED162" i="29"/>
  <c r="EE162" i="29"/>
  <c r="EF162" i="29"/>
  <c r="EG162" i="29"/>
  <c r="EH162" i="29"/>
  <c r="EI162" i="29"/>
  <c r="EJ162" i="29"/>
  <c r="EK162" i="29"/>
  <c r="EB163" i="29"/>
  <c r="EC163" i="29"/>
  <c r="ED163" i="29"/>
  <c r="EE163" i="29"/>
  <c r="EF163" i="29"/>
  <c r="EG163" i="29"/>
  <c r="EH163" i="29"/>
  <c r="EI163" i="29"/>
  <c r="EJ163" i="29"/>
  <c r="EK163" i="29"/>
  <c r="EB164" i="29"/>
  <c r="EC164" i="29"/>
  <c r="ED164" i="29"/>
  <c r="EE164" i="29"/>
  <c r="EF164" i="29"/>
  <c r="EG164" i="29"/>
  <c r="EH164" i="29"/>
  <c r="EI164" i="29"/>
  <c r="EJ164" i="29"/>
  <c r="EK164" i="29"/>
  <c r="EB165" i="29"/>
  <c r="EC165" i="29"/>
  <c r="ED165" i="29"/>
  <c r="EE165" i="29"/>
  <c r="EF165" i="29"/>
  <c r="EG165" i="29"/>
  <c r="EH165" i="29"/>
  <c r="EI165" i="29"/>
  <c r="EJ165" i="29"/>
  <c r="EK165" i="29"/>
  <c r="EB166" i="29"/>
  <c r="EC166" i="29"/>
  <c r="ED166" i="29"/>
  <c r="EE166" i="29"/>
  <c r="EF166" i="29"/>
  <c r="EG166" i="29"/>
  <c r="EH166" i="29"/>
  <c r="EI166" i="29"/>
  <c r="EJ166" i="29"/>
  <c r="EK166" i="29"/>
  <c r="EB167" i="29"/>
  <c r="EC167" i="29"/>
  <c r="ED167" i="29"/>
  <c r="EE167" i="29"/>
  <c r="EF167" i="29"/>
  <c r="EG167" i="29"/>
  <c r="EH167" i="29"/>
  <c r="EI167" i="29"/>
  <c r="EJ167" i="29"/>
  <c r="EK167" i="29"/>
  <c r="EB168" i="29"/>
  <c r="EC168" i="29"/>
  <c r="ED168" i="29"/>
  <c r="EE168" i="29"/>
  <c r="EF168" i="29"/>
  <c r="EG168" i="29"/>
  <c r="EH168" i="29"/>
  <c r="EI168" i="29"/>
  <c r="EJ168" i="29"/>
  <c r="EK168" i="29"/>
  <c r="EB169" i="29"/>
  <c r="EC169" i="29"/>
  <c r="ED169" i="29"/>
  <c r="EE169" i="29"/>
  <c r="EF169" i="29"/>
  <c r="EG169" i="29"/>
  <c r="EH169" i="29"/>
  <c r="EI169" i="29"/>
  <c r="EJ169" i="29"/>
  <c r="EK169" i="29"/>
  <c r="EB170" i="29"/>
  <c r="EC170" i="29"/>
  <c r="ED170" i="29"/>
  <c r="EE170" i="29"/>
  <c r="EF170" i="29"/>
  <c r="EG170" i="29"/>
  <c r="EH170" i="29"/>
  <c r="EI170" i="29"/>
  <c r="EJ170" i="29"/>
  <c r="EK170" i="29"/>
  <c r="EB171" i="29"/>
  <c r="EC171" i="29"/>
  <c r="ED171" i="29"/>
  <c r="EE171" i="29"/>
  <c r="EF171" i="29"/>
  <c r="EG171" i="29"/>
  <c r="EH171" i="29"/>
  <c r="EI171" i="29"/>
  <c r="EJ171" i="29"/>
  <c r="EK171" i="29"/>
  <c r="EB172" i="29"/>
  <c r="EC172" i="29"/>
  <c r="ED172" i="29"/>
  <c r="EE172" i="29"/>
  <c r="EF172" i="29"/>
  <c r="EG172" i="29"/>
  <c r="EH172" i="29"/>
  <c r="EI172" i="29"/>
  <c r="EJ172" i="29"/>
  <c r="EK172" i="29"/>
  <c r="EB173" i="29"/>
  <c r="EC173" i="29"/>
  <c r="ED173" i="29"/>
  <c r="EE173" i="29"/>
  <c r="EF173" i="29"/>
  <c r="EG173" i="29"/>
  <c r="EH173" i="29"/>
  <c r="EI173" i="29"/>
  <c r="EJ173" i="29"/>
  <c r="EK173" i="29"/>
  <c r="EB174" i="29"/>
  <c r="EC174" i="29"/>
  <c r="ED174" i="29"/>
  <c r="EE174" i="29"/>
  <c r="EF174" i="29"/>
  <c r="EG174" i="29"/>
  <c r="EH174" i="29"/>
  <c r="EI174" i="29"/>
  <c r="EJ174" i="29"/>
  <c r="EK174" i="29"/>
  <c r="EB175" i="29"/>
  <c r="EC175" i="29"/>
  <c r="ED175" i="29"/>
  <c r="EE175" i="29"/>
  <c r="EF175" i="29"/>
  <c r="EG175" i="29"/>
  <c r="EH175" i="29"/>
  <c r="EI175" i="29"/>
  <c r="EJ175" i="29"/>
  <c r="EK175" i="29"/>
  <c r="EB176" i="29"/>
  <c r="EC176" i="29"/>
  <c r="ED176" i="29"/>
  <c r="EE176" i="29"/>
  <c r="EF176" i="29"/>
  <c r="EG176" i="29"/>
  <c r="EH176" i="29"/>
  <c r="EI176" i="29"/>
  <c r="EJ176" i="29"/>
  <c r="EK176" i="29"/>
  <c r="EB177" i="29"/>
  <c r="EC177" i="29"/>
  <c r="ED177" i="29"/>
  <c r="EE177" i="29"/>
  <c r="EF177" i="29"/>
  <c r="EG177" i="29"/>
  <c r="EH177" i="29"/>
  <c r="EI177" i="29"/>
  <c r="EJ177" i="29"/>
  <c r="EK177" i="29"/>
  <c r="EB178" i="29"/>
  <c r="EC178" i="29"/>
  <c r="ED178" i="29"/>
  <c r="EE178" i="29"/>
  <c r="EF178" i="29"/>
  <c r="EG178" i="29"/>
  <c r="EH178" i="29"/>
  <c r="EI178" i="29"/>
  <c r="EJ178" i="29"/>
  <c r="EK178" i="29"/>
  <c r="EB179" i="29"/>
  <c r="EC179" i="29"/>
  <c r="ED179" i="29"/>
  <c r="EE179" i="29"/>
  <c r="EF179" i="29"/>
  <c r="EG179" i="29"/>
  <c r="EH179" i="29"/>
  <c r="EI179" i="29"/>
  <c r="EJ179" i="29"/>
  <c r="EK179" i="29"/>
  <c r="EB180" i="29"/>
  <c r="EC180" i="29"/>
  <c r="ED180" i="29"/>
  <c r="EE180" i="29"/>
  <c r="EF180" i="29"/>
  <c r="EG180" i="29"/>
  <c r="EH180" i="29"/>
  <c r="EI180" i="29"/>
  <c r="EJ180" i="29"/>
  <c r="EK180" i="29"/>
  <c r="EB181" i="29"/>
  <c r="EC181" i="29"/>
  <c r="ED181" i="29"/>
  <c r="EE181" i="29"/>
  <c r="EF181" i="29"/>
  <c r="EG181" i="29"/>
  <c r="EH181" i="29"/>
  <c r="EI181" i="29"/>
  <c r="EJ181" i="29"/>
  <c r="EK181" i="29"/>
  <c r="EB182" i="29"/>
  <c r="EC182" i="29"/>
  <c r="ED182" i="29"/>
  <c r="EE182" i="29"/>
  <c r="EF182" i="29"/>
  <c r="EG182" i="29"/>
  <c r="EH182" i="29"/>
  <c r="EI182" i="29"/>
  <c r="EJ182" i="29"/>
  <c r="EK182" i="29"/>
  <c r="EB183" i="29"/>
  <c r="EC183" i="29"/>
  <c r="ED183" i="29"/>
  <c r="EE183" i="29"/>
  <c r="EF183" i="29"/>
  <c r="EG183" i="29"/>
  <c r="EH183" i="29"/>
  <c r="EI183" i="29"/>
  <c r="EJ183" i="29"/>
  <c r="EK183" i="29"/>
  <c r="EB184" i="29"/>
  <c r="EC184" i="29"/>
  <c r="ED184" i="29"/>
  <c r="EE184" i="29"/>
  <c r="EF184" i="29"/>
  <c r="EG184" i="29"/>
  <c r="EH184" i="29"/>
  <c r="EI184" i="29"/>
  <c r="EJ184" i="29"/>
  <c r="EK184" i="29"/>
  <c r="EB185" i="29"/>
  <c r="EC185" i="29"/>
  <c r="ED185" i="29"/>
  <c r="EE185" i="29"/>
  <c r="EF185" i="29"/>
  <c r="EG185" i="29"/>
  <c r="EH185" i="29"/>
  <c r="EI185" i="29"/>
  <c r="EJ185" i="29"/>
  <c r="EK185" i="29"/>
  <c r="EB186" i="29"/>
  <c r="EC186" i="29"/>
  <c r="ED186" i="29"/>
  <c r="EE186" i="29"/>
  <c r="EF186" i="29"/>
  <c r="EG186" i="29"/>
  <c r="EH186" i="29"/>
  <c r="EI186" i="29"/>
  <c r="EJ186" i="29"/>
  <c r="EK186" i="29"/>
  <c r="EB187" i="29"/>
  <c r="EC187" i="29"/>
  <c r="ED187" i="29"/>
  <c r="EE187" i="29"/>
  <c r="EF187" i="29"/>
  <c r="EG187" i="29"/>
  <c r="EH187" i="29"/>
  <c r="EI187" i="29"/>
  <c r="EJ187" i="29"/>
  <c r="EK187" i="29"/>
  <c r="EB188" i="29"/>
  <c r="EC188" i="29"/>
  <c r="ED188" i="29"/>
  <c r="EE188" i="29"/>
  <c r="EF188" i="29"/>
  <c r="EG188" i="29"/>
  <c r="EH188" i="29"/>
  <c r="EI188" i="29"/>
  <c r="EJ188" i="29"/>
  <c r="EK188" i="29"/>
  <c r="EB189" i="29"/>
  <c r="EC189" i="29"/>
  <c r="ED189" i="29"/>
  <c r="EE189" i="29"/>
  <c r="EF189" i="29"/>
  <c r="EG189" i="29"/>
  <c r="EH189" i="29"/>
  <c r="EI189" i="29"/>
  <c r="EJ189" i="29"/>
  <c r="EK189" i="29"/>
  <c r="EB190" i="29"/>
  <c r="EC190" i="29"/>
  <c r="ED190" i="29"/>
  <c r="EE190" i="29"/>
  <c r="EF190" i="29"/>
  <c r="EG190" i="29"/>
  <c r="EH190" i="29"/>
  <c r="EI190" i="29"/>
  <c r="EJ190" i="29"/>
  <c r="EK190" i="29"/>
  <c r="EB191" i="29"/>
  <c r="EC191" i="29"/>
  <c r="ED191" i="29"/>
  <c r="EE191" i="29"/>
  <c r="EF191" i="29"/>
  <c r="EG191" i="29"/>
  <c r="EH191" i="29"/>
  <c r="EI191" i="29"/>
  <c r="EJ191" i="29"/>
  <c r="EK191" i="29"/>
  <c r="EB192" i="29"/>
  <c r="EC192" i="29"/>
  <c r="ED192" i="29"/>
  <c r="EE192" i="29"/>
  <c r="EF192" i="29"/>
  <c r="EG192" i="29"/>
  <c r="EH192" i="29"/>
  <c r="EI192" i="29"/>
  <c r="EJ192" i="29"/>
  <c r="EK192" i="29"/>
  <c r="EB193" i="29"/>
  <c r="EC193" i="29"/>
  <c r="ED193" i="29"/>
  <c r="EE193" i="29"/>
  <c r="EF193" i="29"/>
  <c r="EG193" i="29"/>
  <c r="EH193" i="29"/>
  <c r="EI193" i="29"/>
  <c r="EJ193" i="29"/>
  <c r="EK193" i="29"/>
  <c r="EB194" i="29"/>
  <c r="EC194" i="29"/>
  <c r="ED194" i="29"/>
  <c r="EE194" i="29"/>
  <c r="EF194" i="29"/>
  <c r="EG194" i="29"/>
  <c r="EH194" i="29"/>
  <c r="EI194" i="29"/>
  <c r="EJ194" i="29"/>
  <c r="EK194" i="29"/>
  <c r="EB195" i="29"/>
  <c r="EC195" i="29"/>
  <c r="ED195" i="29"/>
  <c r="EE195" i="29"/>
  <c r="EF195" i="29"/>
  <c r="EG195" i="29"/>
  <c r="EH195" i="29"/>
  <c r="EI195" i="29"/>
  <c r="EJ195" i="29"/>
  <c r="EK195" i="29"/>
  <c r="EB196" i="29"/>
  <c r="EC196" i="29"/>
  <c r="ED196" i="29"/>
  <c r="EE196" i="29"/>
  <c r="EF196" i="29"/>
  <c r="EG196" i="29"/>
  <c r="EH196" i="29"/>
  <c r="EI196" i="29"/>
  <c r="EJ196" i="29"/>
  <c r="EK196" i="29"/>
  <c r="EB197" i="29"/>
  <c r="EC197" i="29"/>
  <c r="ED197" i="29"/>
  <c r="EE197" i="29"/>
  <c r="EF197" i="29"/>
  <c r="EG197" i="29"/>
  <c r="EH197" i="29"/>
  <c r="EI197" i="29"/>
  <c r="EJ197" i="29"/>
  <c r="EK197" i="29"/>
  <c r="EB198" i="29"/>
  <c r="EC198" i="29"/>
  <c r="ED198" i="29"/>
  <c r="EE198" i="29"/>
  <c r="EF198" i="29"/>
  <c r="EG198" i="29"/>
  <c r="EH198" i="29"/>
  <c r="EI198" i="29"/>
  <c r="EJ198" i="29"/>
  <c r="EK198" i="29"/>
  <c r="EB199" i="29"/>
  <c r="EC199" i="29"/>
  <c r="ED199" i="29"/>
  <c r="EE199" i="29"/>
  <c r="EF199" i="29"/>
  <c r="EG199" i="29"/>
  <c r="EH199" i="29"/>
  <c r="EI199" i="29"/>
  <c r="EJ199" i="29"/>
  <c r="EK199" i="29"/>
  <c r="EB200" i="29"/>
  <c r="EC200" i="29"/>
  <c r="ED200" i="29"/>
  <c r="EE200" i="29"/>
  <c r="EF200" i="29"/>
  <c r="EG200" i="29"/>
  <c r="EH200" i="29"/>
  <c r="EI200" i="29"/>
  <c r="EJ200" i="29"/>
  <c r="EK200" i="29"/>
  <c r="EB201" i="29"/>
  <c r="EC201" i="29"/>
  <c r="ED201" i="29"/>
  <c r="EE201" i="29"/>
  <c r="EF201" i="29"/>
  <c r="EG201" i="29"/>
  <c r="EH201" i="29"/>
  <c r="EI201" i="29"/>
  <c r="EJ201" i="29"/>
  <c r="EK201" i="29"/>
  <c r="EB202" i="29"/>
  <c r="EC202" i="29"/>
  <c r="ED202" i="29"/>
  <c r="EE202" i="29"/>
  <c r="EF202" i="29"/>
  <c r="EG202" i="29"/>
  <c r="EH202" i="29"/>
  <c r="EI202" i="29"/>
  <c r="EJ202" i="29"/>
  <c r="EK202" i="29"/>
  <c r="EB203" i="29"/>
  <c r="EC203" i="29"/>
  <c r="ED203" i="29"/>
  <c r="EE203" i="29"/>
  <c r="EF203" i="29"/>
  <c r="EG203" i="29"/>
  <c r="EH203" i="29"/>
  <c r="EI203" i="29"/>
  <c r="EJ203" i="29"/>
  <c r="EK203" i="29"/>
  <c r="EB204" i="29"/>
  <c r="EC204" i="29"/>
  <c r="ED204" i="29"/>
  <c r="EE204" i="29"/>
  <c r="EF204" i="29"/>
  <c r="EG204" i="29"/>
  <c r="EH204" i="29"/>
  <c r="EI204" i="29"/>
  <c r="EJ204" i="29"/>
  <c r="EK204" i="29"/>
  <c r="EB205" i="29"/>
  <c r="EC205" i="29"/>
  <c r="ED205" i="29"/>
  <c r="EE205" i="29"/>
  <c r="EF205" i="29"/>
  <c r="EG205" i="29"/>
  <c r="EH205" i="29"/>
  <c r="EI205" i="29"/>
  <c r="EJ205" i="29"/>
  <c r="EK205" i="29"/>
  <c r="EB206" i="29"/>
  <c r="EC206" i="29"/>
  <c r="ED206" i="29"/>
  <c r="EE206" i="29"/>
  <c r="EF206" i="29"/>
  <c r="EG206" i="29"/>
  <c r="EH206" i="29"/>
  <c r="EI206" i="29"/>
  <c r="EJ206" i="29"/>
  <c r="EK206" i="29"/>
  <c r="EB207" i="29"/>
  <c r="EC207" i="29"/>
  <c r="ED207" i="29"/>
  <c r="EE207" i="29"/>
  <c r="EF207" i="29"/>
  <c r="EG207" i="29"/>
  <c r="EH207" i="29"/>
  <c r="EI207" i="29"/>
  <c r="EJ207" i="29"/>
  <c r="EK207" i="29"/>
  <c r="EB208" i="29"/>
  <c r="EC208" i="29"/>
  <c r="ED208" i="29"/>
  <c r="EE208" i="29"/>
  <c r="EF208" i="29"/>
  <c r="EG208" i="29"/>
  <c r="EH208" i="29"/>
  <c r="EI208" i="29"/>
  <c r="EJ208" i="29"/>
  <c r="EK208" i="29"/>
  <c r="EB209" i="29"/>
  <c r="EC209" i="29"/>
  <c r="ED209" i="29"/>
  <c r="EE209" i="29"/>
  <c r="EF209" i="29"/>
  <c r="EG209" i="29"/>
  <c r="EH209" i="29"/>
  <c r="EI209" i="29"/>
  <c r="EJ209" i="29"/>
  <c r="EK209" i="29"/>
  <c r="EB210" i="29"/>
  <c r="EC210" i="29"/>
  <c r="ED210" i="29"/>
  <c r="EE210" i="29"/>
  <c r="EF210" i="29"/>
  <c r="EG210" i="29"/>
  <c r="EH210" i="29"/>
  <c r="EI210" i="29"/>
  <c r="EJ210" i="29"/>
  <c r="EK210" i="29"/>
  <c r="EB211" i="29"/>
  <c r="EC211" i="29"/>
  <c r="ED211" i="29"/>
  <c r="EE211" i="29"/>
  <c r="EF211" i="29"/>
  <c r="EG211" i="29"/>
  <c r="EH211" i="29"/>
  <c r="EI211" i="29"/>
  <c r="EJ211" i="29"/>
  <c r="EK211" i="29"/>
  <c r="EB212" i="29"/>
  <c r="EC212" i="29"/>
  <c r="ED212" i="29"/>
  <c r="EE212" i="29"/>
  <c r="EF212" i="29"/>
  <c r="EG212" i="29"/>
  <c r="EH212" i="29"/>
  <c r="EI212" i="29"/>
  <c r="EJ212" i="29"/>
  <c r="EK212" i="29"/>
  <c r="EB213" i="29"/>
  <c r="EC213" i="29"/>
  <c r="ED213" i="29"/>
  <c r="EE213" i="29"/>
  <c r="EF213" i="29"/>
  <c r="EG213" i="29"/>
  <c r="EH213" i="29"/>
  <c r="EI213" i="29"/>
  <c r="EJ213" i="29"/>
  <c r="EK213" i="29"/>
  <c r="EB214" i="29"/>
  <c r="EC214" i="29"/>
  <c r="ED214" i="29"/>
  <c r="EE214" i="29"/>
  <c r="EF214" i="29"/>
  <c r="EG214" i="29"/>
  <c r="EH214" i="29"/>
  <c r="EI214" i="29"/>
  <c r="EJ214" i="29"/>
  <c r="EK214" i="29"/>
  <c r="EB215" i="29"/>
  <c r="EC215" i="29"/>
  <c r="ED215" i="29"/>
  <c r="EE215" i="29"/>
  <c r="EF215" i="29"/>
  <c r="EG215" i="29"/>
  <c r="EH215" i="29"/>
  <c r="EI215" i="29"/>
  <c r="EJ215" i="29"/>
  <c r="EK215" i="29"/>
  <c r="EB216" i="29"/>
  <c r="EC216" i="29"/>
  <c r="ED216" i="29"/>
  <c r="EE216" i="29"/>
  <c r="EF216" i="29"/>
  <c r="EG216" i="29"/>
  <c r="EH216" i="29"/>
  <c r="EI216" i="29"/>
  <c r="EJ216" i="29"/>
  <c r="EK216" i="29"/>
  <c r="EB217" i="29"/>
  <c r="EC217" i="29"/>
  <c r="ED217" i="29"/>
  <c r="EE217" i="29"/>
  <c r="EF217" i="29"/>
  <c r="EG217" i="29"/>
  <c r="EH217" i="29"/>
  <c r="EI217" i="29"/>
  <c r="EJ217" i="29"/>
  <c r="EK217" i="29"/>
  <c r="EB218" i="29"/>
  <c r="EC218" i="29"/>
  <c r="ED218" i="29"/>
  <c r="EE218" i="29"/>
  <c r="EF218" i="29"/>
  <c r="EG218" i="29"/>
  <c r="EH218" i="29"/>
  <c r="EI218" i="29"/>
  <c r="EJ218" i="29"/>
  <c r="EK218" i="29"/>
  <c r="EB219" i="29"/>
  <c r="EC219" i="29"/>
  <c r="ED219" i="29"/>
  <c r="EE219" i="29"/>
  <c r="EF219" i="29"/>
  <c r="EG219" i="29"/>
  <c r="EH219" i="29"/>
  <c r="EI219" i="29"/>
  <c r="EJ219" i="29"/>
  <c r="EK219" i="29"/>
  <c r="EB220" i="29"/>
  <c r="EC220" i="29"/>
  <c r="ED220" i="29"/>
  <c r="EE220" i="29"/>
  <c r="EF220" i="29"/>
  <c r="EG220" i="29"/>
  <c r="EH220" i="29"/>
  <c r="EI220" i="29"/>
  <c r="EJ220" i="29"/>
  <c r="EK220" i="29"/>
  <c r="EB221" i="29"/>
  <c r="EC221" i="29"/>
  <c r="ED221" i="29"/>
  <c r="EE221" i="29"/>
  <c r="EF221" i="29"/>
  <c r="EG221" i="29"/>
  <c r="EH221" i="29"/>
  <c r="EI221" i="29"/>
  <c r="EJ221" i="29"/>
  <c r="EK221" i="29"/>
  <c r="EB222" i="29"/>
  <c r="EC222" i="29"/>
  <c r="ED222" i="29"/>
  <c r="EE222" i="29"/>
  <c r="EF222" i="29"/>
  <c r="EG222" i="29"/>
  <c r="EH222" i="29"/>
  <c r="EI222" i="29"/>
  <c r="EJ222" i="29"/>
  <c r="EK222" i="29"/>
  <c r="EB223" i="29"/>
  <c r="EC223" i="29"/>
  <c r="ED223" i="29"/>
  <c r="EE223" i="29"/>
  <c r="EF223" i="29"/>
  <c r="EG223" i="29"/>
  <c r="EH223" i="29"/>
  <c r="EI223" i="29"/>
  <c r="EJ223" i="29"/>
  <c r="EK223" i="29"/>
  <c r="EB224" i="29"/>
  <c r="EC224" i="29"/>
  <c r="ED224" i="29"/>
  <c r="EE224" i="29"/>
  <c r="EF224" i="29"/>
  <c r="EG224" i="29"/>
  <c r="EH224" i="29"/>
  <c r="EI224" i="29"/>
  <c r="EJ224" i="29"/>
  <c r="EK224" i="29"/>
  <c r="EB225" i="29"/>
  <c r="EC225" i="29"/>
  <c r="ED225" i="29"/>
  <c r="EE225" i="29"/>
  <c r="EF225" i="29"/>
  <c r="EG225" i="29"/>
  <c r="EH225" i="29"/>
  <c r="EI225" i="29"/>
  <c r="EJ225" i="29"/>
  <c r="EK225" i="29"/>
  <c r="EB226" i="29"/>
  <c r="EC226" i="29"/>
  <c r="ED226" i="29"/>
  <c r="EE226" i="29"/>
  <c r="EF226" i="29"/>
  <c r="EG226" i="29"/>
  <c r="EH226" i="29"/>
  <c r="EI226" i="29"/>
  <c r="EJ226" i="29"/>
  <c r="EK226" i="29"/>
  <c r="EB227" i="29"/>
  <c r="EC227" i="29"/>
  <c r="ED227" i="29"/>
  <c r="EE227" i="29"/>
  <c r="EF227" i="29"/>
  <c r="EG227" i="29"/>
  <c r="EH227" i="29"/>
  <c r="EI227" i="29"/>
  <c r="EJ227" i="29"/>
  <c r="EK227" i="29"/>
  <c r="EB228" i="29"/>
  <c r="EC228" i="29"/>
  <c r="ED228" i="29"/>
  <c r="EE228" i="29"/>
  <c r="EF228" i="29"/>
  <c r="EG228" i="29"/>
  <c r="EH228" i="29"/>
  <c r="EI228" i="29"/>
  <c r="EJ228" i="29"/>
  <c r="EK228" i="29"/>
  <c r="EB229" i="29"/>
  <c r="EC229" i="29"/>
  <c r="ED229" i="29"/>
  <c r="EE229" i="29"/>
  <c r="EF229" i="29"/>
  <c r="EG229" i="29"/>
  <c r="EH229" i="29"/>
  <c r="EI229" i="29"/>
  <c r="EJ229" i="29"/>
  <c r="EK229" i="29"/>
  <c r="EB230" i="29"/>
  <c r="EC230" i="29"/>
  <c r="ED230" i="29"/>
  <c r="EE230" i="29"/>
  <c r="EF230" i="29"/>
  <c r="EG230" i="29"/>
  <c r="EH230" i="29"/>
  <c r="EI230" i="29"/>
  <c r="EJ230" i="29"/>
  <c r="EK230" i="29"/>
  <c r="EB231" i="29"/>
  <c r="EC231" i="29"/>
  <c r="ED231" i="29"/>
  <c r="EE231" i="29"/>
  <c r="EF231" i="29"/>
  <c r="EG231" i="29"/>
  <c r="EH231" i="29"/>
  <c r="EI231" i="29"/>
  <c r="EJ231" i="29"/>
  <c r="EK231" i="29"/>
  <c r="EB232" i="29"/>
  <c r="EC232" i="29"/>
  <c r="ED232" i="29"/>
  <c r="EE232" i="29"/>
  <c r="EF232" i="29"/>
  <c r="EG232" i="29"/>
  <c r="EH232" i="29"/>
  <c r="EI232" i="29"/>
  <c r="EJ232" i="29"/>
  <c r="EK232" i="29"/>
  <c r="EB233" i="29"/>
  <c r="EC233" i="29"/>
  <c r="ED233" i="29"/>
  <c r="EE233" i="29"/>
  <c r="EF233" i="29"/>
  <c r="EG233" i="29"/>
  <c r="EH233" i="29"/>
  <c r="EI233" i="29"/>
  <c r="EJ233" i="29"/>
  <c r="EK233" i="29"/>
  <c r="EB234" i="29"/>
  <c r="EC234" i="29"/>
  <c r="ED234" i="29"/>
  <c r="EE234" i="29"/>
  <c r="EF234" i="29"/>
  <c r="EG234" i="29"/>
  <c r="EH234" i="29"/>
  <c r="EI234" i="29"/>
  <c r="EJ234" i="29"/>
  <c r="EK234" i="29"/>
  <c r="EB235" i="29"/>
  <c r="EC235" i="29"/>
  <c r="ED235" i="29"/>
  <c r="EE235" i="29"/>
  <c r="EF235" i="29"/>
  <c r="EG235" i="29"/>
  <c r="EH235" i="29"/>
  <c r="EI235" i="29"/>
  <c r="EJ235" i="29"/>
  <c r="EK235" i="29"/>
  <c r="EB236" i="29"/>
  <c r="EC236" i="29"/>
  <c r="ED236" i="29"/>
  <c r="EE236" i="29"/>
  <c r="EF236" i="29"/>
  <c r="EG236" i="29"/>
  <c r="EH236" i="29"/>
  <c r="EI236" i="29"/>
  <c r="EJ236" i="29"/>
  <c r="EK236" i="29"/>
  <c r="EB237" i="29"/>
  <c r="EC237" i="29"/>
  <c r="ED237" i="29"/>
  <c r="EE237" i="29"/>
  <c r="EF237" i="29"/>
  <c r="EG237" i="29"/>
  <c r="EH237" i="29"/>
  <c r="EI237" i="29"/>
  <c r="EJ237" i="29"/>
  <c r="EK237" i="29"/>
  <c r="EB238" i="29"/>
  <c r="EC238" i="29"/>
  <c r="ED238" i="29"/>
  <c r="EE238" i="29"/>
  <c r="EF238" i="29"/>
  <c r="EG238" i="29"/>
  <c r="EH238" i="29"/>
  <c r="EI238" i="29"/>
  <c r="EJ238" i="29"/>
  <c r="EK238" i="29"/>
  <c r="EB239" i="29"/>
  <c r="EC239" i="29"/>
  <c r="ED239" i="29"/>
  <c r="EE239" i="29"/>
  <c r="EF239" i="29"/>
  <c r="EG239" i="29"/>
  <c r="EH239" i="29"/>
  <c r="EI239" i="29"/>
  <c r="EJ239" i="29"/>
  <c r="EK239" i="29"/>
  <c r="EB240" i="29"/>
  <c r="EC240" i="29"/>
  <c r="ED240" i="29"/>
  <c r="EE240" i="29"/>
  <c r="EF240" i="29"/>
  <c r="EG240" i="29"/>
  <c r="EH240" i="29"/>
  <c r="EI240" i="29"/>
  <c r="EJ240" i="29"/>
  <c r="EK240" i="29"/>
  <c r="EB241" i="29"/>
  <c r="EC241" i="29"/>
  <c r="ED241" i="29"/>
  <c r="EE241" i="29"/>
  <c r="EF241" i="29"/>
  <c r="EG241" i="29"/>
  <c r="EH241" i="29"/>
  <c r="EI241" i="29"/>
  <c r="EJ241" i="29"/>
  <c r="EK241" i="29"/>
  <c r="EB242" i="29"/>
  <c r="EC242" i="29"/>
  <c r="ED242" i="29"/>
  <c r="EE242" i="29"/>
  <c r="EF242" i="29"/>
  <c r="EG242" i="29"/>
  <c r="EH242" i="29"/>
  <c r="EI242" i="29"/>
  <c r="EJ242" i="29"/>
  <c r="EK242" i="29"/>
  <c r="EB243" i="29"/>
  <c r="EC243" i="29"/>
  <c r="ED243" i="29"/>
  <c r="EE243" i="29"/>
  <c r="EF243" i="29"/>
  <c r="EG243" i="29"/>
  <c r="EH243" i="29"/>
  <c r="EI243" i="29"/>
  <c r="EJ243" i="29"/>
  <c r="EK243" i="29"/>
  <c r="EB244" i="29"/>
  <c r="EC244" i="29"/>
  <c r="ED244" i="29"/>
  <c r="EE244" i="29"/>
  <c r="EF244" i="29"/>
  <c r="EG244" i="29"/>
  <c r="EH244" i="29"/>
  <c r="EI244" i="29"/>
  <c r="EJ244" i="29"/>
  <c r="EK244" i="29"/>
  <c r="EB245" i="29"/>
  <c r="EC245" i="29"/>
  <c r="ED245" i="29"/>
  <c r="EE245" i="29"/>
  <c r="EF245" i="29"/>
  <c r="EG245" i="29"/>
  <c r="EH245" i="29"/>
  <c r="EI245" i="29"/>
  <c r="EJ245" i="29"/>
  <c r="EK245" i="29"/>
  <c r="EB246" i="29"/>
  <c r="EC246" i="29"/>
  <c r="ED246" i="29"/>
  <c r="EE246" i="29"/>
  <c r="EF246" i="29"/>
  <c r="EG246" i="29"/>
  <c r="EH246" i="29"/>
  <c r="EI246" i="29"/>
  <c r="EJ246" i="29"/>
  <c r="EK246" i="29"/>
  <c r="EB247" i="29"/>
  <c r="EC247" i="29"/>
  <c r="ED247" i="29"/>
  <c r="EE247" i="29"/>
  <c r="EF247" i="29"/>
  <c r="EG247" i="29"/>
  <c r="EH247" i="29"/>
  <c r="EI247" i="29"/>
  <c r="EJ247" i="29"/>
  <c r="EK247" i="29"/>
  <c r="EB248" i="29"/>
  <c r="EC248" i="29"/>
  <c r="ED248" i="29"/>
  <c r="EE248" i="29"/>
  <c r="EF248" i="29"/>
  <c r="EG248" i="29"/>
  <c r="EH248" i="29"/>
  <c r="EI248" i="29"/>
  <c r="EJ248" i="29"/>
  <c r="EK248" i="29"/>
  <c r="EB249" i="29"/>
  <c r="EC249" i="29"/>
  <c r="ED249" i="29"/>
  <c r="EE249" i="29"/>
  <c r="EF249" i="29"/>
  <c r="EG249" i="29"/>
  <c r="EH249" i="29"/>
  <c r="EI249" i="29"/>
  <c r="EJ249" i="29"/>
  <c r="EK249" i="29"/>
  <c r="EB250" i="29"/>
  <c r="EC250" i="29"/>
  <c r="ED250" i="29"/>
  <c r="EE250" i="29"/>
  <c r="EF250" i="29"/>
  <c r="EG250" i="29"/>
  <c r="EH250" i="29"/>
  <c r="EI250" i="29"/>
  <c r="EJ250" i="29"/>
  <c r="EK250" i="29"/>
  <c r="EB251" i="29"/>
  <c r="EC251" i="29"/>
  <c r="ED251" i="29"/>
  <c r="EE251" i="29"/>
  <c r="EF251" i="29"/>
  <c r="EG251" i="29"/>
  <c r="EH251" i="29"/>
  <c r="EI251" i="29"/>
  <c r="EJ251" i="29"/>
  <c r="EK251" i="29"/>
  <c r="EB252" i="29"/>
  <c r="EC252" i="29"/>
  <c r="ED252" i="29"/>
  <c r="EE252" i="29"/>
  <c r="EF252" i="29"/>
  <c r="EG252" i="29"/>
  <c r="EH252" i="29"/>
  <c r="EI252" i="29"/>
  <c r="EJ252" i="29"/>
  <c r="EK252" i="29"/>
  <c r="EB253" i="29"/>
  <c r="EC253" i="29"/>
  <c r="ED253" i="29"/>
  <c r="EE253" i="29"/>
  <c r="EF253" i="29"/>
  <c r="EG253" i="29"/>
  <c r="EH253" i="29"/>
  <c r="EI253" i="29"/>
  <c r="EJ253" i="29"/>
  <c r="EK253" i="29"/>
  <c r="EB254" i="29"/>
  <c r="EC254" i="29"/>
  <c r="ED254" i="29"/>
  <c r="EE254" i="29"/>
  <c r="EF254" i="29"/>
  <c r="EG254" i="29"/>
  <c r="EH254" i="29"/>
  <c r="EI254" i="29"/>
  <c r="EJ254" i="29"/>
  <c r="EK254" i="29"/>
  <c r="EB255" i="29"/>
  <c r="EC255" i="29"/>
  <c r="ED255" i="29"/>
  <c r="EE255" i="29"/>
  <c r="EF255" i="29"/>
  <c r="EG255" i="29"/>
  <c r="EH255" i="29"/>
  <c r="EI255" i="29"/>
  <c r="EJ255" i="29"/>
  <c r="EK255" i="29"/>
  <c r="EB256" i="29"/>
  <c r="EC256" i="29"/>
  <c r="EE256" i="29"/>
  <c r="EF256" i="29"/>
  <c r="EG256" i="29"/>
  <c r="EH256" i="29"/>
  <c r="EI256" i="29"/>
  <c r="EJ256" i="29"/>
  <c r="EK256" i="29"/>
  <c r="EB257" i="29"/>
  <c r="ED257" i="29"/>
  <c r="EE257" i="29"/>
  <c r="EF257" i="29"/>
  <c r="EG257" i="29"/>
  <c r="EH257" i="29"/>
  <c r="EI257" i="29"/>
  <c r="EJ257" i="29"/>
  <c r="EK257" i="29"/>
  <c r="EB258" i="29"/>
  <c r="EC258" i="29"/>
  <c r="ED258" i="29"/>
  <c r="EE258" i="29"/>
  <c r="EF258" i="29"/>
  <c r="EG258" i="29"/>
  <c r="EH258" i="29"/>
  <c r="EI258" i="29"/>
  <c r="EJ258" i="29"/>
  <c r="EK258" i="29"/>
  <c r="EB259" i="29"/>
  <c r="EC259" i="29"/>
  <c r="ED259" i="29"/>
  <c r="EE259" i="29"/>
  <c r="EF259" i="29"/>
  <c r="EG259" i="29"/>
  <c r="EH259" i="29"/>
  <c r="EI259" i="29"/>
  <c r="EJ259" i="29"/>
  <c r="EK259" i="29"/>
  <c r="EB260" i="29"/>
  <c r="EC260" i="29"/>
  <c r="ED260" i="29"/>
  <c r="EE260" i="29"/>
  <c r="EF260" i="29"/>
  <c r="EG260" i="29"/>
  <c r="EH260" i="29"/>
  <c r="EI260" i="29"/>
  <c r="EJ260" i="29"/>
  <c r="EK260" i="29"/>
  <c r="EB261" i="29"/>
  <c r="EC261" i="29"/>
  <c r="ED261" i="29"/>
  <c r="EE261" i="29"/>
  <c r="EF261" i="29"/>
  <c r="EG261" i="29"/>
  <c r="EH261" i="29"/>
  <c r="EI261" i="29"/>
  <c r="EJ261" i="29"/>
  <c r="EK261" i="29"/>
  <c r="EB262" i="29"/>
  <c r="EC262" i="29"/>
  <c r="ED262" i="29"/>
  <c r="EE262" i="29"/>
  <c r="EF262" i="29"/>
  <c r="EG262" i="29"/>
  <c r="EH262" i="29"/>
  <c r="EI262" i="29"/>
  <c r="EJ262" i="29"/>
  <c r="EK262" i="29"/>
  <c r="EB263" i="29"/>
  <c r="EC263" i="29"/>
  <c r="ED263" i="29"/>
  <c r="EE263" i="29"/>
  <c r="EF263" i="29"/>
  <c r="EG263" i="29"/>
  <c r="EH263" i="29"/>
  <c r="EI263" i="29"/>
  <c r="EJ263" i="29"/>
  <c r="EK263" i="29"/>
  <c r="EB264" i="29"/>
  <c r="EC264" i="29"/>
  <c r="ED264" i="29"/>
  <c r="EE264" i="29"/>
  <c r="EF264" i="29"/>
  <c r="EG264" i="29"/>
  <c r="EH264" i="29"/>
  <c r="EI264" i="29"/>
  <c r="EJ264" i="29"/>
  <c r="EK264" i="29"/>
  <c r="EB265" i="29"/>
  <c r="EC265" i="29"/>
  <c r="ED265" i="29"/>
  <c r="EE265" i="29"/>
  <c r="EF265" i="29"/>
  <c r="EG265" i="29"/>
  <c r="EH265" i="29"/>
  <c r="EI265" i="29"/>
  <c r="EJ265" i="29"/>
  <c r="EK265" i="29"/>
  <c r="EB266" i="29"/>
  <c r="EC266" i="29"/>
  <c r="ED266" i="29"/>
  <c r="EE266" i="29"/>
  <c r="EF266" i="29"/>
  <c r="EG266" i="29"/>
  <c r="EH266" i="29"/>
  <c r="EI266" i="29"/>
  <c r="EJ266" i="29"/>
  <c r="EK266" i="29"/>
  <c r="EB267" i="29"/>
  <c r="EC267" i="29"/>
  <c r="ED267" i="29"/>
  <c r="EE267" i="29"/>
  <c r="EF267" i="29"/>
  <c r="EG267" i="29"/>
  <c r="EH267" i="29"/>
  <c r="EI267" i="29"/>
  <c r="EJ267" i="29"/>
  <c r="EK267" i="29"/>
  <c r="EB268" i="29"/>
  <c r="EC268" i="29"/>
  <c r="ED268" i="29"/>
  <c r="EE268" i="29"/>
  <c r="EF268" i="29"/>
  <c r="EG268" i="29"/>
  <c r="EH268" i="29"/>
  <c r="EI268" i="29"/>
  <c r="EJ268" i="29"/>
  <c r="EK268" i="29"/>
  <c r="EB269" i="29"/>
  <c r="EC269" i="29"/>
  <c r="ED269" i="29"/>
  <c r="EE269" i="29"/>
  <c r="EF269" i="29"/>
  <c r="EG269" i="29"/>
  <c r="EH269" i="29"/>
  <c r="EI269" i="29"/>
  <c r="EJ269" i="29"/>
  <c r="EK269" i="29"/>
  <c r="EB270" i="29"/>
  <c r="EC270" i="29"/>
  <c r="ED270" i="29"/>
  <c r="EE270" i="29"/>
  <c r="EF270" i="29"/>
  <c r="EG270" i="29"/>
  <c r="EH270" i="29"/>
  <c r="EI270" i="29"/>
  <c r="EJ270" i="29"/>
  <c r="EK270" i="29"/>
  <c r="EB271" i="29"/>
  <c r="EC271" i="29"/>
  <c r="ED271" i="29"/>
  <c r="EE271" i="29"/>
  <c r="EF271" i="29"/>
  <c r="EG271" i="29"/>
  <c r="EH271" i="29"/>
  <c r="EI271" i="29"/>
  <c r="EJ271" i="29"/>
  <c r="EK271" i="29"/>
  <c r="EB272" i="29"/>
  <c r="EC272" i="29"/>
  <c r="ED272" i="29"/>
  <c r="EE272" i="29"/>
  <c r="EF272" i="29"/>
  <c r="EG272" i="29"/>
  <c r="EH272" i="29"/>
  <c r="EI272" i="29"/>
  <c r="EJ272" i="29"/>
  <c r="EK272" i="29"/>
  <c r="EB273" i="29"/>
  <c r="EC273" i="29"/>
  <c r="ED273" i="29"/>
  <c r="EE273" i="29"/>
  <c r="EF273" i="29"/>
  <c r="EG273" i="29"/>
  <c r="EH273" i="29"/>
  <c r="EI273" i="29"/>
  <c r="EJ273" i="29"/>
  <c r="EK273" i="29"/>
  <c r="EB274" i="29"/>
  <c r="EC274" i="29"/>
  <c r="ED274" i="29"/>
  <c r="EE274" i="29"/>
  <c r="EF274" i="29"/>
  <c r="EG274" i="29"/>
  <c r="EH274" i="29"/>
  <c r="EI274" i="29"/>
  <c r="EJ274" i="29"/>
  <c r="EK274" i="29"/>
  <c r="EB275" i="29"/>
  <c r="EC275" i="29"/>
  <c r="ED275" i="29"/>
  <c r="EE275" i="29"/>
  <c r="EF275" i="29"/>
  <c r="EG275" i="29"/>
  <c r="EH275" i="29"/>
  <c r="EI275" i="29"/>
  <c r="EJ275" i="29"/>
  <c r="EK275" i="29"/>
  <c r="EB276" i="29"/>
  <c r="EC276" i="29"/>
  <c r="ED276" i="29"/>
  <c r="EE276" i="29"/>
  <c r="EF276" i="29"/>
  <c r="EG276" i="29"/>
  <c r="EH276" i="29"/>
  <c r="EI276" i="29"/>
  <c r="EJ276" i="29"/>
  <c r="EK276" i="29"/>
  <c r="EB277" i="29"/>
  <c r="EC277" i="29"/>
  <c r="ED277" i="29"/>
  <c r="EE277" i="29"/>
  <c r="EF277" i="29"/>
  <c r="EG277" i="29"/>
  <c r="EH277" i="29"/>
  <c r="EI277" i="29"/>
  <c r="EJ277" i="29"/>
  <c r="EK277" i="29"/>
  <c r="EB278" i="29"/>
  <c r="EC278" i="29"/>
  <c r="ED278" i="29"/>
  <c r="EE278" i="29"/>
  <c r="EF278" i="29"/>
  <c r="EG278" i="29"/>
  <c r="EH278" i="29"/>
  <c r="EI278" i="29"/>
  <c r="EJ278" i="29"/>
  <c r="EK278" i="29"/>
  <c r="EB279" i="29"/>
  <c r="EC279" i="29"/>
  <c r="ED279" i="29"/>
  <c r="EE279" i="29"/>
  <c r="EF279" i="29"/>
  <c r="EG279" i="29"/>
  <c r="EH279" i="29"/>
  <c r="EI279" i="29"/>
  <c r="EJ279" i="29"/>
  <c r="EK279" i="29"/>
  <c r="EB280" i="29"/>
  <c r="EC280" i="29"/>
  <c r="ED280" i="29"/>
  <c r="EE280" i="29"/>
  <c r="EF280" i="29"/>
  <c r="EG280" i="29"/>
  <c r="EH280" i="29"/>
  <c r="EI280" i="29"/>
  <c r="EJ280" i="29"/>
  <c r="EK280" i="29"/>
  <c r="EB281" i="29"/>
  <c r="EC281" i="29"/>
  <c r="ED281" i="29"/>
  <c r="EE281" i="29"/>
  <c r="EF281" i="29"/>
  <c r="EG281" i="29"/>
  <c r="EH281" i="29"/>
  <c r="EI281" i="29"/>
  <c r="EJ281" i="29"/>
  <c r="EK281" i="29"/>
  <c r="EB282" i="29"/>
  <c r="EC282" i="29"/>
  <c r="ED282" i="29"/>
  <c r="EE282" i="29"/>
  <c r="EF282" i="29"/>
  <c r="EG282" i="29"/>
  <c r="EH282" i="29"/>
  <c r="EI282" i="29"/>
  <c r="EJ282" i="29"/>
  <c r="EK282" i="29"/>
  <c r="EB283" i="29"/>
  <c r="EC283" i="29"/>
  <c r="ED283" i="29"/>
  <c r="EE283" i="29"/>
  <c r="EF283" i="29"/>
  <c r="EG283" i="29"/>
  <c r="EH283" i="29"/>
  <c r="EI283" i="29"/>
  <c r="EJ283" i="29"/>
  <c r="EK283" i="29"/>
  <c r="EB284" i="29"/>
  <c r="EC284" i="29"/>
  <c r="ED284" i="29"/>
  <c r="EE284" i="29"/>
  <c r="EF284" i="29"/>
  <c r="EG284" i="29"/>
  <c r="EH284" i="29"/>
  <c r="EI284" i="29"/>
  <c r="EJ284" i="29"/>
  <c r="EK284" i="29"/>
  <c r="EB285" i="29"/>
  <c r="EC285" i="29"/>
  <c r="ED285" i="29"/>
  <c r="EE285" i="29"/>
  <c r="EF285" i="29"/>
  <c r="EG285" i="29"/>
  <c r="EH285" i="29"/>
  <c r="EI285" i="29"/>
  <c r="EJ285" i="29"/>
  <c r="EK285" i="29"/>
  <c r="EB286" i="29"/>
  <c r="EC286" i="29"/>
  <c r="ED286" i="29"/>
  <c r="EE286" i="29"/>
  <c r="EF286" i="29"/>
  <c r="EG286" i="29"/>
  <c r="EH286" i="29"/>
  <c r="EI286" i="29"/>
  <c r="EJ286" i="29"/>
  <c r="EK286" i="29"/>
  <c r="EB287" i="29"/>
  <c r="EC287" i="29"/>
  <c r="ED287" i="29"/>
  <c r="EE287" i="29"/>
  <c r="EF287" i="29"/>
  <c r="EG287" i="29"/>
  <c r="EH287" i="29"/>
  <c r="EI287" i="29"/>
  <c r="EJ287" i="29"/>
  <c r="EK287" i="29"/>
  <c r="EB288" i="29"/>
  <c r="EC288" i="29"/>
  <c r="ED288" i="29"/>
  <c r="EE288" i="29"/>
  <c r="EF288" i="29"/>
  <c r="EG288" i="29"/>
  <c r="EH288" i="29"/>
  <c r="EI288" i="29"/>
  <c r="EJ288" i="29"/>
  <c r="EK288" i="29"/>
  <c r="EB289" i="29"/>
  <c r="EC289" i="29"/>
  <c r="ED289" i="29"/>
  <c r="EE289" i="29"/>
  <c r="EF289" i="29"/>
  <c r="EG289" i="29"/>
  <c r="EH289" i="29"/>
  <c r="EI289" i="29"/>
  <c r="EJ289" i="29"/>
  <c r="EK289" i="29"/>
  <c r="EB290" i="29"/>
  <c r="EC290" i="29"/>
  <c r="ED290" i="29"/>
  <c r="EE290" i="29"/>
  <c r="EF290" i="29"/>
  <c r="EG290" i="29"/>
  <c r="EH290" i="29"/>
  <c r="EI290" i="29"/>
  <c r="EJ290" i="29"/>
  <c r="EK290" i="29"/>
  <c r="EB291" i="29"/>
  <c r="EC291" i="29"/>
  <c r="ED291" i="29"/>
  <c r="EE291" i="29"/>
  <c r="EF291" i="29"/>
  <c r="EG291" i="29"/>
  <c r="EH291" i="29"/>
  <c r="EI291" i="29"/>
  <c r="EJ291" i="29"/>
  <c r="EK291" i="29"/>
  <c r="EB292" i="29"/>
  <c r="EC292" i="29"/>
  <c r="ED292" i="29"/>
  <c r="EE292" i="29"/>
  <c r="EF292" i="29"/>
  <c r="EG292" i="29"/>
  <c r="EH292" i="29"/>
  <c r="EI292" i="29"/>
  <c r="EJ292" i="29"/>
  <c r="EK292" i="29"/>
  <c r="EB293" i="29"/>
  <c r="EC293" i="29"/>
  <c r="ED293" i="29"/>
  <c r="EE293" i="29"/>
  <c r="EF293" i="29"/>
  <c r="EG293" i="29"/>
  <c r="EH293" i="29"/>
  <c r="EI293" i="29"/>
  <c r="EJ293" i="29"/>
  <c r="EK293" i="29"/>
  <c r="EB294" i="29"/>
  <c r="EC294" i="29"/>
  <c r="ED294" i="29"/>
  <c r="EE294" i="29"/>
  <c r="EF294" i="29"/>
  <c r="EG294" i="29"/>
  <c r="EH294" i="29"/>
  <c r="EI294" i="29"/>
  <c r="EJ294" i="29"/>
  <c r="EK294" i="29"/>
  <c r="EB295" i="29"/>
  <c r="EC295" i="29"/>
  <c r="ED295" i="29"/>
  <c r="EE295" i="29"/>
  <c r="EF295" i="29"/>
  <c r="EG295" i="29"/>
  <c r="EH295" i="29"/>
  <c r="EI295" i="29"/>
  <c r="EJ295" i="29"/>
  <c r="EK295" i="29"/>
  <c r="EB296" i="29"/>
  <c r="EC296" i="29"/>
  <c r="ED296" i="29"/>
  <c r="EE296" i="29"/>
  <c r="EF296" i="29"/>
  <c r="EG296" i="29"/>
  <c r="EH296" i="29"/>
  <c r="EI296" i="29"/>
  <c r="EJ296" i="29"/>
  <c r="EK296" i="29"/>
  <c r="EB297" i="29"/>
  <c r="EC297" i="29"/>
  <c r="ED297" i="29"/>
  <c r="EE297" i="29"/>
  <c r="EF297" i="29"/>
  <c r="EG297" i="29"/>
  <c r="EH297" i="29"/>
  <c r="EI297" i="29"/>
  <c r="EJ297" i="29"/>
  <c r="EK297" i="29"/>
  <c r="EB298" i="29"/>
  <c r="EC298" i="29"/>
  <c r="ED298" i="29"/>
  <c r="EE298" i="29"/>
  <c r="EF298" i="29"/>
  <c r="EG298" i="29"/>
  <c r="EH298" i="29"/>
  <c r="EI298" i="29"/>
  <c r="EJ298" i="29"/>
  <c r="EK298" i="29"/>
  <c r="EB299" i="29"/>
  <c r="EC299" i="29"/>
  <c r="ED299" i="29"/>
  <c r="EE299" i="29"/>
  <c r="EF299" i="29"/>
  <c r="EG299" i="29"/>
  <c r="EH299" i="29"/>
  <c r="EI299" i="29"/>
  <c r="EJ299" i="29"/>
  <c r="EK299" i="29"/>
  <c r="EB300" i="29"/>
  <c r="EC300" i="29"/>
  <c r="ED300" i="29"/>
  <c r="EE300" i="29"/>
  <c r="EF300" i="29"/>
  <c r="EG300" i="29"/>
  <c r="EH300" i="29"/>
  <c r="EI300" i="29"/>
  <c r="EJ300" i="29"/>
  <c r="EK300" i="29"/>
  <c r="EB301" i="29"/>
  <c r="EC301" i="29"/>
  <c r="ED301" i="29"/>
  <c r="EE301" i="29"/>
  <c r="EF301" i="29"/>
  <c r="EG301" i="29"/>
  <c r="EH301" i="29"/>
  <c r="EI301" i="29"/>
  <c r="EJ301" i="29"/>
  <c r="EK301" i="29"/>
  <c r="EB302" i="29"/>
  <c r="EC302" i="29"/>
  <c r="ED302" i="29"/>
  <c r="EE302" i="29"/>
  <c r="EF302" i="29"/>
  <c r="EG302" i="29"/>
  <c r="EH302" i="29"/>
  <c r="EI302" i="29"/>
  <c r="EJ302" i="29"/>
  <c r="EK302" i="29"/>
  <c r="EB303" i="29"/>
  <c r="EC303" i="29"/>
  <c r="ED303" i="29"/>
  <c r="EE303" i="29"/>
  <c r="EF303" i="29"/>
  <c r="EG303" i="29"/>
  <c r="EH303" i="29"/>
  <c r="EI303" i="29"/>
  <c r="EJ303" i="29"/>
  <c r="EK303" i="29"/>
  <c r="EB304" i="29"/>
  <c r="EC304" i="29"/>
  <c r="ED304" i="29"/>
  <c r="EE304" i="29"/>
  <c r="EF304" i="29"/>
  <c r="EG304" i="29"/>
  <c r="EH304" i="29"/>
  <c r="EI304" i="29"/>
  <c r="EJ304" i="29"/>
  <c r="EK304" i="29"/>
  <c r="EB305" i="29"/>
  <c r="EC305" i="29"/>
  <c r="ED305" i="29"/>
  <c r="EE305" i="29"/>
  <c r="EF305" i="29"/>
  <c r="EG305" i="29"/>
  <c r="EH305" i="29"/>
  <c r="EI305" i="29"/>
  <c r="EJ305" i="29"/>
  <c r="EK305" i="29"/>
  <c r="EB306" i="29"/>
  <c r="EC306" i="29"/>
  <c r="ED306" i="29"/>
  <c r="EE306" i="29"/>
  <c r="EF306" i="29"/>
  <c r="EG306" i="29"/>
  <c r="EH306" i="29"/>
  <c r="EI306" i="29"/>
  <c r="EJ306" i="29"/>
  <c r="EK306" i="29"/>
  <c r="EB307" i="29"/>
  <c r="EC307" i="29"/>
  <c r="ED307" i="29"/>
  <c r="EE307" i="29"/>
  <c r="EF307" i="29"/>
  <c r="EG307" i="29"/>
  <c r="EH307" i="29"/>
  <c r="EI307" i="29"/>
  <c r="EJ307" i="29"/>
  <c r="EK307" i="29"/>
  <c r="EB308" i="29"/>
  <c r="EC308" i="29"/>
  <c r="ED308" i="29"/>
  <c r="EE308" i="29"/>
  <c r="EF308" i="29"/>
  <c r="EG308" i="29"/>
  <c r="EH308" i="29"/>
  <c r="EI308" i="29"/>
  <c r="EJ308" i="29"/>
  <c r="EK308" i="29"/>
  <c r="EB309" i="29"/>
  <c r="EC309" i="29"/>
  <c r="ED309" i="29"/>
  <c r="EE309" i="29"/>
  <c r="EF309" i="29"/>
  <c r="EG309" i="29"/>
  <c r="EH309" i="29"/>
  <c r="EI309" i="29"/>
  <c r="EJ309" i="29"/>
  <c r="EK309" i="29"/>
  <c r="EB310" i="29"/>
  <c r="EC310" i="29"/>
  <c r="ED310" i="29"/>
  <c r="EE310" i="29"/>
  <c r="EF310" i="29"/>
  <c r="EG310" i="29"/>
  <c r="EH310" i="29"/>
  <c r="EI310" i="29"/>
  <c r="EJ310" i="29"/>
  <c r="EK310" i="29"/>
  <c r="EB311" i="29"/>
  <c r="EC311" i="29"/>
  <c r="ED311" i="29"/>
  <c r="EE311" i="29"/>
  <c r="EF311" i="29"/>
  <c r="EG311" i="29"/>
  <c r="EH311" i="29"/>
  <c r="EI311" i="29"/>
  <c r="EJ311" i="29"/>
  <c r="EK311" i="29"/>
  <c r="EB312" i="29"/>
  <c r="EC312" i="29"/>
  <c r="ED312" i="29"/>
  <c r="EE312" i="29"/>
  <c r="EF312" i="29"/>
  <c r="EG312" i="29"/>
  <c r="EH312" i="29"/>
  <c r="EI312" i="29"/>
  <c r="EJ312" i="29"/>
  <c r="EK312" i="29"/>
  <c r="EB313" i="29"/>
  <c r="EC313" i="29"/>
  <c r="ED313" i="29"/>
  <c r="EE313" i="29"/>
  <c r="EF313" i="29"/>
  <c r="EG313" i="29"/>
  <c r="EH313" i="29"/>
  <c r="EI313" i="29"/>
  <c r="EJ313" i="29"/>
  <c r="EK313" i="29"/>
  <c r="EB314" i="29"/>
  <c r="EC314" i="29"/>
  <c r="ED314" i="29"/>
  <c r="EE314" i="29"/>
  <c r="EF314" i="29"/>
  <c r="EG314" i="29"/>
  <c r="EH314" i="29"/>
  <c r="EI314" i="29"/>
  <c r="EJ314" i="29"/>
  <c r="EK314" i="29"/>
  <c r="EB315" i="29"/>
  <c r="EC315" i="29"/>
  <c r="ED315" i="29"/>
  <c r="EE315" i="29"/>
  <c r="EF315" i="29"/>
  <c r="EG315" i="29"/>
  <c r="EH315" i="29"/>
  <c r="EI315" i="29"/>
  <c r="EJ315" i="29"/>
  <c r="EK315" i="29"/>
  <c r="EB316" i="29"/>
  <c r="EC316" i="29"/>
  <c r="ED316" i="29"/>
  <c r="EE316" i="29"/>
  <c r="EF316" i="29"/>
  <c r="EG316" i="29"/>
  <c r="EH316" i="29"/>
  <c r="EI316" i="29"/>
  <c r="EJ316" i="29"/>
  <c r="EK316" i="29"/>
  <c r="EB317" i="29"/>
  <c r="EC317" i="29"/>
  <c r="ED317" i="29"/>
  <c r="EE317" i="29"/>
  <c r="EF317" i="29"/>
  <c r="EG317" i="29"/>
  <c r="EH317" i="29"/>
  <c r="EI317" i="29"/>
  <c r="EJ317" i="29"/>
  <c r="EK317" i="29"/>
  <c r="EB318" i="29"/>
  <c r="EC318" i="29"/>
  <c r="ED318" i="29"/>
  <c r="EE318" i="29"/>
  <c r="EF318" i="29"/>
  <c r="EG318" i="29"/>
  <c r="EH318" i="29"/>
  <c r="EI318" i="29"/>
  <c r="EJ318" i="29"/>
  <c r="EK318" i="29"/>
  <c r="EB319" i="29"/>
  <c r="EC319" i="29"/>
  <c r="ED319" i="29"/>
  <c r="EE319" i="29"/>
  <c r="EF319" i="29"/>
  <c r="EG319" i="29"/>
  <c r="EH319" i="29"/>
  <c r="EI319" i="29"/>
  <c r="EJ319" i="29"/>
  <c r="EK319" i="29"/>
  <c r="EB320" i="29"/>
  <c r="EC320" i="29"/>
  <c r="ED320" i="29"/>
  <c r="EE320" i="29"/>
  <c r="EF320" i="29"/>
  <c r="EG320" i="29"/>
  <c r="EH320" i="29"/>
  <c r="EI320" i="29"/>
  <c r="EJ320" i="29"/>
  <c r="EK320" i="29"/>
  <c r="EB321" i="29"/>
  <c r="EC321" i="29"/>
  <c r="ED321" i="29"/>
  <c r="EE321" i="29"/>
  <c r="EF321" i="29"/>
  <c r="EG321" i="29"/>
  <c r="EH321" i="29"/>
  <c r="EI321" i="29"/>
  <c r="EJ321" i="29"/>
  <c r="EK321" i="29"/>
  <c r="EB322" i="29"/>
  <c r="EC322" i="29"/>
  <c r="ED322" i="29"/>
  <c r="EE322" i="29"/>
  <c r="EF322" i="29"/>
  <c r="EG322" i="29"/>
  <c r="EH322" i="29"/>
  <c r="EI322" i="29"/>
  <c r="EJ322" i="29"/>
  <c r="EK322" i="29"/>
  <c r="EB323" i="29"/>
  <c r="EC323" i="29"/>
  <c r="ED323" i="29"/>
  <c r="EE323" i="29"/>
  <c r="EF323" i="29"/>
  <c r="EG323" i="29"/>
  <c r="EH323" i="29"/>
  <c r="EI323" i="29"/>
  <c r="EJ323" i="29"/>
  <c r="EK323" i="29"/>
  <c r="EB324" i="29"/>
  <c r="EC324" i="29"/>
  <c r="ED324" i="29"/>
  <c r="EE324" i="29"/>
  <c r="EF324" i="29"/>
  <c r="EG324" i="29"/>
  <c r="EH324" i="29"/>
  <c r="EI324" i="29"/>
  <c r="EJ324" i="29"/>
  <c r="EK324" i="29"/>
  <c r="EB325" i="29"/>
  <c r="EC325" i="29"/>
  <c r="ED325" i="29"/>
  <c r="EE325" i="29"/>
  <c r="EF325" i="29"/>
  <c r="EG325" i="29"/>
  <c r="EH325" i="29"/>
  <c r="EI325" i="29"/>
  <c r="EJ325" i="29"/>
  <c r="EK325" i="29"/>
  <c r="EB326" i="29"/>
  <c r="EC326" i="29"/>
  <c r="ED326" i="29"/>
  <c r="EE326" i="29"/>
  <c r="EF326" i="29"/>
  <c r="EG326" i="29"/>
  <c r="EH326" i="29"/>
  <c r="EI326" i="29"/>
  <c r="EJ326" i="29"/>
  <c r="EK326" i="29"/>
  <c r="EB327" i="29"/>
  <c r="EC327" i="29"/>
  <c r="ED327" i="29"/>
  <c r="EE327" i="29"/>
  <c r="EF327" i="29"/>
  <c r="EG327" i="29"/>
  <c r="EH327" i="29"/>
  <c r="EI327" i="29"/>
  <c r="EJ327" i="29"/>
  <c r="EK327" i="29"/>
  <c r="EB328" i="29"/>
  <c r="EC328" i="29"/>
  <c r="ED328" i="29"/>
  <c r="EE328" i="29"/>
  <c r="EF328" i="29"/>
  <c r="EG328" i="29"/>
  <c r="EH328" i="29"/>
  <c r="EI328" i="29"/>
  <c r="EJ328" i="29"/>
  <c r="EK328" i="29"/>
  <c r="EB329" i="29"/>
  <c r="EC329" i="29"/>
  <c r="ED329" i="29"/>
  <c r="EE329" i="29"/>
  <c r="EF329" i="29"/>
  <c r="EG329" i="29"/>
  <c r="EH329" i="29"/>
  <c r="EI329" i="29"/>
  <c r="EJ329" i="29"/>
  <c r="EK329" i="29"/>
  <c r="EB330" i="29"/>
  <c r="EC330" i="29"/>
  <c r="ED330" i="29"/>
  <c r="EE330" i="29"/>
  <c r="EF330" i="29"/>
  <c r="EG330" i="29"/>
  <c r="EH330" i="29"/>
  <c r="EI330" i="29"/>
  <c r="EJ330" i="29"/>
  <c r="EK330" i="29"/>
  <c r="EB331" i="29"/>
  <c r="EC331" i="29"/>
  <c r="ED331" i="29"/>
  <c r="EE331" i="29"/>
  <c r="EF331" i="29"/>
  <c r="EG331" i="29"/>
  <c r="EH331" i="29"/>
  <c r="EI331" i="29"/>
  <c r="EJ331" i="29"/>
  <c r="EK331" i="29"/>
  <c r="EB332" i="29"/>
  <c r="EC332" i="29"/>
  <c r="ED332" i="29"/>
  <c r="EE332" i="29"/>
  <c r="EF332" i="29"/>
  <c r="EG332" i="29"/>
  <c r="EH332" i="29"/>
  <c r="EI332" i="29"/>
  <c r="EJ332" i="29"/>
  <c r="EK332" i="29"/>
  <c r="EB333" i="29"/>
  <c r="EC333" i="29"/>
  <c r="ED333" i="29"/>
  <c r="EE333" i="29"/>
  <c r="EF333" i="29"/>
  <c r="EG333" i="29"/>
  <c r="EH333" i="29"/>
  <c r="EI333" i="29"/>
  <c r="EJ333" i="29"/>
  <c r="EK333" i="29"/>
  <c r="EB334" i="29"/>
  <c r="EC334" i="29"/>
  <c r="ED334" i="29"/>
  <c r="EE334" i="29"/>
  <c r="EF334" i="29"/>
  <c r="EG334" i="29"/>
  <c r="EH334" i="29"/>
  <c r="EI334" i="29"/>
  <c r="EJ334" i="29"/>
  <c r="EK334" i="29"/>
  <c r="EB335" i="29"/>
  <c r="EC335" i="29"/>
  <c r="ED335" i="29"/>
  <c r="EE335" i="29"/>
  <c r="EF335" i="29"/>
  <c r="EG335" i="29"/>
  <c r="EH335" i="29"/>
  <c r="EI335" i="29"/>
  <c r="EJ335" i="29"/>
  <c r="EK335" i="29"/>
  <c r="EB336" i="29"/>
  <c r="EC336" i="29"/>
  <c r="ED336" i="29"/>
  <c r="EE336" i="29"/>
  <c r="EF336" i="29"/>
  <c r="EG336" i="29"/>
  <c r="EH336" i="29"/>
  <c r="EI336" i="29"/>
  <c r="EJ336" i="29"/>
  <c r="EK336" i="29"/>
  <c r="EB337" i="29"/>
  <c r="EC337" i="29"/>
  <c r="ED337" i="29"/>
  <c r="EE337" i="29"/>
  <c r="EF337" i="29"/>
  <c r="EG337" i="29"/>
  <c r="EH337" i="29"/>
  <c r="EI337" i="29"/>
  <c r="EJ337" i="29"/>
  <c r="EK337" i="29"/>
  <c r="EB338" i="29"/>
  <c r="EC338" i="29"/>
  <c r="ED338" i="29"/>
  <c r="EE338" i="29"/>
  <c r="EF338" i="29"/>
  <c r="EG338" i="29"/>
  <c r="EH338" i="29"/>
  <c r="EI338" i="29"/>
  <c r="EJ338" i="29"/>
  <c r="EK338" i="29"/>
  <c r="EB339" i="29"/>
  <c r="EC339" i="29"/>
  <c r="ED339" i="29"/>
  <c r="EE339" i="29"/>
  <c r="EF339" i="29"/>
  <c r="EG339" i="29"/>
  <c r="EH339" i="29"/>
  <c r="EI339" i="29"/>
  <c r="EJ339" i="29"/>
  <c r="EK339" i="29"/>
  <c r="EB340" i="29"/>
  <c r="EC340" i="29"/>
  <c r="ED340" i="29"/>
  <c r="EE340" i="29"/>
  <c r="EF340" i="29"/>
  <c r="EG340" i="29"/>
  <c r="EH340" i="29"/>
  <c r="EI340" i="29"/>
  <c r="EJ340" i="29"/>
  <c r="EK340" i="29"/>
  <c r="EB341" i="29"/>
  <c r="EC341" i="29"/>
  <c r="ED341" i="29"/>
  <c r="EE341" i="29"/>
  <c r="EF341" i="29"/>
  <c r="EG341" i="29"/>
  <c r="EH341" i="29"/>
  <c r="EI341" i="29"/>
  <c r="EJ341" i="29"/>
  <c r="EK341" i="29"/>
  <c r="EB342" i="29"/>
  <c r="EC342" i="29"/>
  <c r="ED342" i="29"/>
  <c r="EE342" i="29"/>
  <c r="EF342" i="29"/>
  <c r="EG342" i="29"/>
  <c r="EH342" i="29"/>
  <c r="EI342" i="29"/>
  <c r="EJ342" i="29"/>
  <c r="EK342" i="29"/>
  <c r="EB343" i="29"/>
  <c r="EC343" i="29"/>
  <c r="ED343" i="29"/>
  <c r="EE343" i="29"/>
  <c r="EF343" i="29"/>
  <c r="EG343" i="29"/>
  <c r="EH343" i="29"/>
  <c r="EI343" i="29"/>
  <c r="EJ343" i="29"/>
  <c r="EK343" i="29"/>
  <c r="EB344" i="29"/>
  <c r="EC344" i="29"/>
  <c r="ED344" i="29"/>
  <c r="EE344" i="29"/>
  <c r="EF344" i="29"/>
  <c r="EG344" i="29"/>
  <c r="EH344" i="29"/>
  <c r="EI344" i="29"/>
  <c r="EJ344" i="29"/>
  <c r="EK344" i="29"/>
  <c r="EB345" i="29"/>
  <c r="EC345" i="29"/>
  <c r="ED345" i="29"/>
  <c r="EE345" i="29"/>
  <c r="EF345" i="29"/>
  <c r="EG345" i="29"/>
  <c r="EH345" i="29"/>
  <c r="EI345" i="29"/>
  <c r="EJ345" i="29"/>
  <c r="EK345" i="29"/>
  <c r="EB346" i="29"/>
  <c r="EC346" i="29"/>
  <c r="ED346" i="29"/>
  <c r="EE346" i="29"/>
  <c r="EF346" i="29"/>
  <c r="EG346" i="29"/>
  <c r="EH346" i="29"/>
  <c r="EI346" i="29"/>
  <c r="EJ346" i="29"/>
  <c r="EK346" i="29"/>
  <c r="EB347" i="29"/>
  <c r="EC347" i="29"/>
  <c r="ED347" i="29"/>
  <c r="EE347" i="29"/>
  <c r="EF347" i="29"/>
  <c r="EG347" i="29"/>
  <c r="EH347" i="29"/>
  <c r="EI347" i="29"/>
  <c r="EJ347" i="29"/>
  <c r="EK347" i="29"/>
  <c r="EB348" i="29"/>
  <c r="EC348" i="29"/>
  <c r="ED348" i="29"/>
  <c r="EE348" i="29"/>
  <c r="EF348" i="29"/>
  <c r="EG348" i="29"/>
  <c r="EH348" i="29"/>
  <c r="EI348" i="29"/>
  <c r="EJ348" i="29"/>
  <c r="EK348" i="29"/>
  <c r="EB349" i="29"/>
  <c r="EC349" i="29"/>
  <c r="ED349" i="29"/>
  <c r="EE349" i="29"/>
  <c r="EF349" i="29"/>
  <c r="EG349" i="29"/>
  <c r="EH349" i="29"/>
  <c r="EI349" i="29"/>
  <c r="EJ349" i="29"/>
  <c r="EK349" i="29"/>
  <c r="EB350" i="29"/>
  <c r="EC350" i="29"/>
  <c r="ED350" i="29"/>
  <c r="EE350" i="29"/>
  <c r="EF350" i="29"/>
  <c r="EG350" i="29"/>
  <c r="EH350" i="29"/>
  <c r="EI350" i="29"/>
  <c r="EJ350" i="29"/>
  <c r="EK350" i="29"/>
  <c r="EB351" i="29"/>
  <c r="EC351" i="29"/>
  <c r="ED351" i="29"/>
  <c r="EE351" i="29"/>
  <c r="EF351" i="29"/>
  <c r="EG351" i="29"/>
  <c r="EH351" i="29"/>
  <c r="EI351" i="29"/>
  <c r="EJ351" i="29"/>
  <c r="EK351" i="29"/>
  <c r="EB352" i="29"/>
  <c r="EC352" i="29"/>
  <c r="ED352" i="29"/>
  <c r="EE352" i="29"/>
  <c r="EF352" i="29"/>
  <c r="EG352" i="29"/>
  <c r="EH352" i="29"/>
  <c r="EI352" i="29"/>
  <c r="EJ352" i="29"/>
  <c r="EK352" i="29"/>
  <c r="EB353" i="29"/>
  <c r="EC353" i="29"/>
  <c r="ED353" i="29"/>
  <c r="EE353" i="29"/>
  <c r="EF353" i="29"/>
  <c r="EG353" i="29"/>
  <c r="EH353" i="29"/>
  <c r="EI353" i="29"/>
  <c r="EJ353" i="29"/>
  <c r="EK353" i="29"/>
  <c r="EB354" i="29"/>
  <c r="EC354" i="29"/>
  <c r="ED354" i="29"/>
  <c r="EE354" i="29"/>
  <c r="EF354" i="29"/>
  <c r="EG354" i="29"/>
  <c r="EH354" i="29"/>
  <c r="EI354" i="29"/>
  <c r="EJ354" i="29"/>
  <c r="EK354" i="29"/>
  <c r="EB355" i="29"/>
  <c r="EC355" i="29"/>
  <c r="ED355" i="29"/>
  <c r="EE355" i="29"/>
  <c r="EF355" i="29"/>
  <c r="EG355" i="29"/>
  <c r="EH355" i="29"/>
  <c r="EI355" i="29"/>
  <c r="EJ355" i="29"/>
  <c r="EK355" i="29"/>
  <c r="EB356" i="29"/>
  <c r="EC356" i="29"/>
  <c r="ED356" i="29"/>
  <c r="EE356" i="29"/>
  <c r="EF356" i="29"/>
  <c r="EG356" i="29"/>
  <c r="EH356" i="29"/>
  <c r="EI356" i="29"/>
  <c r="EJ356" i="29"/>
  <c r="EK356" i="29"/>
  <c r="EB357" i="29"/>
  <c r="EC357" i="29"/>
  <c r="ED357" i="29"/>
  <c r="EE357" i="29"/>
  <c r="EF357" i="29"/>
  <c r="EG357" i="29"/>
  <c r="EH357" i="29"/>
  <c r="EI357" i="29"/>
  <c r="EJ357" i="29"/>
  <c r="EK357" i="29"/>
  <c r="EB358" i="29"/>
  <c r="EC358" i="29"/>
  <c r="ED358" i="29"/>
  <c r="EE358" i="29"/>
  <c r="EF358" i="29"/>
  <c r="EG358" i="29"/>
  <c r="EH358" i="29"/>
  <c r="EI358" i="29"/>
  <c r="EJ358" i="29"/>
  <c r="EK358" i="29"/>
  <c r="EB359" i="29"/>
  <c r="EC359" i="29"/>
  <c r="ED359" i="29"/>
  <c r="EE359" i="29"/>
  <c r="EF359" i="29"/>
  <c r="EG359" i="29"/>
  <c r="EH359" i="29"/>
  <c r="EI359" i="29"/>
  <c r="EJ359" i="29"/>
  <c r="EK359" i="29"/>
  <c r="EB360" i="29"/>
  <c r="EC360" i="29"/>
  <c r="ED360" i="29"/>
  <c r="EE360" i="29"/>
  <c r="EF360" i="29"/>
  <c r="EG360" i="29"/>
  <c r="EH360" i="29"/>
  <c r="EI360" i="29"/>
  <c r="EJ360" i="29"/>
  <c r="EK360" i="29"/>
  <c r="EB361" i="29"/>
  <c r="EC361" i="29"/>
  <c r="ED361" i="29"/>
  <c r="EE361" i="29"/>
  <c r="EF361" i="29"/>
  <c r="EG361" i="29"/>
  <c r="EH361" i="29"/>
  <c r="EI361" i="29"/>
  <c r="EJ361" i="29"/>
  <c r="EK361" i="29"/>
  <c r="EB362" i="29"/>
  <c r="EC362" i="29"/>
  <c r="ED362" i="29"/>
  <c r="EE362" i="29"/>
  <c r="EF362" i="29"/>
  <c r="EG362" i="29"/>
  <c r="EH362" i="29"/>
  <c r="EI362" i="29"/>
  <c r="EJ362" i="29"/>
  <c r="EK362" i="29"/>
  <c r="EB363" i="29"/>
  <c r="EC363" i="29"/>
  <c r="ED363" i="29"/>
  <c r="EE363" i="29"/>
  <c r="EF363" i="29"/>
  <c r="EG363" i="29"/>
  <c r="EH363" i="29"/>
  <c r="EI363" i="29"/>
  <c r="EJ363" i="29"/>
  <c r="EK363" i="29"/>
  <c r="EB364" i="29"/>
  <c r="EC364" i="29"/>
  <c r="ED364" i="29"/>
  <c r="EE364" i="29"/>
  <c r="EF364" i="29"/>
  <c r="EG364" i="29"/>
  <c r="EH364" i="29"/>
  <c r="EI364" i="29"/>
  <c r="EJ364" i="29"/>
  <c r="EK364" i="29"/>
  <c r="EB365" i="29"/>
  <c r="EC365" i="29"/>
  <c r="ED365" i="29"/>
  <c r="EE365" i="29"/>
  <c r="EF365" i="29"/>
  <c r="EG365" i="29"/>
  <c r="EH365" i="29"/>
  <c r="EI365" i="29"/>
  <c r="EJ365" i="29"/>
  <c r="EK365" i="29"/>
  <c r="EB366" i="29"/>
  <c r="EC366" i="29"/>
  <c r="ED366" i="29"/>
  <c r="EE366" i="29"/>
  <c r="EF366" i="29"/>
  <c r="EG366" i="29"/>
  <c r="EH366" i="29"/>
  <c r="EI366" i="29"/>
  <c r="EJ366" i="29"/>
  <c r="EK366" i="29"/>
  <c r="EB367" i="29"/>
  <c r="EC367" i="29"/>
  <c r="ED367" i="29"/>
  <c r="EE367" i="29"/>
  <c r="EF367" i="29"/>
  <c r="EG367" i="29"/>
  <c r="EH367" i="29"/>
  <c r="EI367" i="29"/>
  <c r="EJ367" i="29"/>
  <c r="EK367" i="29"/>
  <c r="EB368" i="29"/>
  <c r="EC368" i="29"/>
  <c r="ED368" i="29"/>
  <c r="EE368" i="29"/>
  <c r="EF368" i="29"/>
  <c r="EG368" i="29"/>
  <c r="EH368" i="29"/>
  <c r="EI368" i="29"/>
  <c r="EJ368" i="29"/>
  <c r="EK368" i="29"/>
  <c r="EC3" i="29"/>
  <c r="ED3" i="29"/>
  <c r="EE3" i="29"/>
  <c r="EF3" i="29"/>
  <c r="EG3" i="29"/>
  <c r="EH3" i="29"/>
  <c r="EI3" i="29"/>
  <c r="EJ3" i="29"/>
  <c r="EK3" i="29"/>
  <c r="EB3" i="29"/>
  <c r="BW8" i="29" l="1"/>
  <c r="E5" i="30" l="1"/>
  <c r="F5" i="30" l="1"/>
  <c r="I5" i="30" s="1"/>
  <c r="G5" i="30"/>
  <c r="E6" i="30"/>
  <c r="H5" i="30" l="1"/>
  <c r="F6" i="30"/>
  <c r="G6" i="30"/>
  <c r="H6" i="30"/>
  <c r="J5" i="30"/>
  <c r="K5" i="30"/>
  <c r="I6" i="30"/>
  <c r="K6" i="30" l="1"/>
  <c r="J6" i="30"/>
  <c r="DH4" i="29"/>
  <c r="DI4" i="29"/>
  <c r="DJ4" i="29"/>
  <c r="DK4" i="29"/>
  <c r="DL4" i="29"/>
  <c r="DM4" i="29"/>
  <c r="DN4" i="29"/>
  <c r="DO4" i="29"/>
  <c r="DP4" i="29"/>
  <c r="DQ4" i="29"/>
  <c r="DH5" i="29"/>
  <c r="DI5" i="29"/>
  <c r="DJ5" i="29"/>
  <c r="DK5" i="29"/>
  <c r="DL5" i="29"/>
  <c r="DM5" i="29"/>
  <c r="DN5" i="29"/>
  <c r="DO5" i="29"/>
  <c r="DP5" i="29"/>
  <c r="DQ5" i="29"/>
  <c r="DH6" i="29"/>
  <c r="DI6" i="29"/>
  <c r="DJ6" i="29"/>
  <c r="DK6" i="29"/>
  <c r="DL6" i="29"/>
  <c r="DM6" i="29"/>
  <c r="DN6" i="29"/>
  <c r="DO6" i="29"/>
  <c r="DP6" i="29"/>
  <c r="DQ6" i="29"/>
  <c r="DH7" i="29"/>
  <c r="DI7" i="29"/>
  <c r="DJ7" i="29"/>
  <c r="DK7" i="29"/>
  <c r="DL7" i="29"/>
  <c r="DM7" i="29"/>
  <c r="DN7" i="29"/>
  <c r="DO7" i="29"/>
  <c r="DP7" i="29"/>
  <c r="DQ7" i="29"/>
  <c r="DH8" i="29"/>
  <c r="DI8" i="29"/>
  <c r="DJ8" i="29"/>
  <c r="DK8" i="29"/>
  <c r="DL8" i="29"/>
  <c r="DM8" i="29"/>
  <c r="DN8" i="29"/>
  <c r="DO8" i="29"/>
  <c r="DP8" i="29"/>
  <c r="DQ8" i="29"/>
  <c r="DH9" i="29"/>
  <c r="DI9" i="29"/>
  <c r="DJ9" i="29"/>
  <c r="DK9" i="29"/>
  <c r="DL9" i="29"/>
  <c r="DM9" i="29"/>
  <c r="DN9" i="29"/>
  <c r="DO9" i="29"/>
  <c r="DP9" i="29"/>
  <c r="DQ9" i="29"/>
  <c r="DH10" i="29"/>
  <c r="DI10" i="29"/>
  <c r="DJ10" i="29"/>
  <c r="DK10" i="29"/>
  <c r="DL10" i="29"/>
  <c r="DM10" i="29"/>
  <c r="DN10" i="29"/>
  <c r="DO10" i="29"/>
  <c r="DP10" i="29"/>
  <c r="DQ10" i="29"/>
  <c r="DH11" i="29"/>
  <c r="DI11" i="29"/>
  <c r="DJ11" i="29"/>
  <c r="DK11" i="29"/>
  <c r="DL11" i="29"/>
  <c r="DM11" i="29"/>
  <c r="DN11" i="29"/>
  <c r="DO11" i="29"/>
  <c r="DP11" i="29"/>
  <c r="DQ11" i="29"/>
  <c r="DH12" i="29"/>
  <c r="DI12" i="29"/>
  <c r="DJ12" i="29"/>
  <c r="DK12" i="29"/>
  <c r="DL12" i="29"/>
  <c r="DM12" i="29"/>
  <c r="DN12" i="29"/>
  <c r="DO12" i="29"/>
  <c r="DP12" i="29"/>
  <c r="DQ12" i="29"/>
  <c r="DH13" i="29"/>
  <c r="DI13" i="29"/>
  <c r="DJ13" i="29"/>
  <c r="DK13" i="29"/>
  <c r="DL13" i="29"/>
  <c r="DM13" i="29"/>
  <c r="DN13" i="29"/>
  <c r="DO13" i="29"/>
  <c r="DP13" i="29"/>
  <c r="DQ13" i="29"/>
  <c r="DH14" i="29"/>
  <c r="DI14" i="29"/>
  <c r="DJ14" i="29"/>
  <c r="DK14" i="29"/>
  <c r="DL14" i="29"/>
  <c r="DM14" i="29"/>
  <c r="DN14" i="29"/>
  <c r="DO14" i="29"/>
  <c r="DP14" i="29"/>
  <c r="DQ14" i="29"/>
  <c r="DH15" i="29"/>
  <c r="DI15" i="29"/>
  <c r="DJ15" i="29"/>
  <c r="DK15" i="29"/>
  <c r="DL15" i="29"/>
  <c r="DM15" i="29"/>
  <c r="DN15" i="29"/>
  <c r="DO15" i="29"/>
  <c r="DP15" i="29"/>
  <c r="DQ15" i="29"/>
  <c r="DH16" i="29"/>
  <c r="DI16" i="29"/>
  <c r="DJ16" i="29"/>
  <c r="DK16" i="29"/>
  <c r="DL16" i="29"/>
  <c r="DM16" i="29"/>
  <c r="DN16" i="29"/>
  <c r="DO16" i="29"/>
  <c r="DP16" i="29"/>
  <c r="DQ16" i="29"/>
  <c r="DH17" i="29"/>
  <c r="DI17" i="29"/>
  <c r="DJ17" i="29"/>
  <c r="DK17" i="29"/>
  <c r="DL17" i="29"/>
  <c r="DM17" i="29"/>
  <c r="DN17" i="29"/>
  <c r="DO17" i="29"/>
  <c r="DP17" i="29"/>
  <c r="DQ17" i="29"/>
  <c r="DH18" i="29"/>
  <c r="DI18" i="29"/>
  <c r="DJ18" i="29"/>
  <c r="DK18" i="29"/>
  <c r="DL18" i="29"/>
  <c r="DM18" i="29"/>
  <c r="DN18" i="29"/>
  <c r="DO18" i="29"/>
  <c r="DP18" i="29"/>
  <c r="DQ18" i="29"/>
  <c r="DH19" i="29"/>
  <c r="DI19" i="29"/>
  <c r="DJ19" i="29"/>
  <c r="DK19" i="29"/>
  <c r="DL19" i="29"/>
  <c r="DM19" i="29"/>
  <c r="DN19" i="29"/>
  <c r="DO19" i="29"/>
  <c r="DP19" i="29"/>
  <c r="DQ19" i="29"/>
  <c r="DH20" i="29"/>
  <c r="DI20" i="29"/>
  <c r="DJ20" i="29"/>
  <c r="DK20" i="29"/>
  <c r="DL20" i="29"/>
  <c r="DM20" i="29"/>
  <c r="DN20" i="29"/>
  <c r="DO20" i="29"/>
  <c r="DP20" i="29"/>
  <c r="DQ20" i="29"/>
  <c r="DH21" i="29"/>
  <c r="DI21" i="29"/>
  <c r="DJ21" i="29"/>
  <c r="DK21" i="29"/>
  <c r="DL21" i="29"/>
  <c r="DM21" i="29"/>
  <c r="DN21" i="29"/>
  <c r="DO21" i="29"/>
  <c r="DP21" i="29"/>
  <c r="DQ21" i="29"/>
  <c r="DH22" i="29"/>
  <c r="DI22" i="29"/>
  <c r="DJ22" i="29"/>
  <c r="DK22" i="29"/>
  <c r="DL22" i="29"/>
  <c r="DM22" i="29"/>
  <c r="DN22" i="29"/>
  <c r="DO22" i="29"/>
  <c r="DP22" i="29"/>
  <c r="DQ22" i="29"/>
  <c r="DH23" i="29"/>
  <c r="DI23" i="29"/>
  <c r="DJ23" i="29"/>
  <c r="DK23" i="29"/>
  <c r="DL23" i="29"/>
  <c r="DM23" i="29"/>
  <c r="DN23" i="29"/>
  <c r="DO23" i="29"/>
  <c r="DP23" i="29"/>
  <c r="DQ23" i="29"/>
  <c r="DH24" i="29"/>
  <c r="DI24" i="29"/>
  <c r="DJ24" i="29"/>
  <c r="DK24" i="29"/>
  <c r="DL24" i="29"/>
  <c r="DM24" i="29"/>
  <c r="DN24" i="29"/>
  <c r="DO24" i="29"/>
  <c r="DP24" i="29"/>
  <c r="DQ24" i="29"/>
  <c r="DH25" i="29"/>
  <c r="DI25" i="29"/>
  <c r="DJ25" i="29"/>
  <c r="DK25" i="29"/>
  <c r="DL25" i="29"/>
  <c r="DM25" i="29"/>
  <c r="DN25" i="29"/>
  <c r="DO25" i="29"/>
  <c r="DP25" i="29"/>
  <c r="DQ25" i="29"/>
  <c r="DH26" i="29"/>
  <c r="DI26" i="29"/>
  <c r="DJ26" i="29"/>
  <c r="DK26" i="29"/>
  <c r="DL26" i="29"/>
  <c r="DM26" i="29"/>
  <c r="DN26" i="29"/>
  <c r="DO26" i="29"/>
  <c r="DP26" i="29"/>
  <c r="DQ26" i="29"/>
  <c r="DH27" i="29"/>
  <c r="DI27" i="29"/>
  <c r="DJ27" i="29"/>
  <c r="DK27" i="29"/>
  <c r="DL27" i="29"/>
  <c r="DM27" i="29"/>
  <c r="DN27" i="29"/>
  <c r="DO27" i="29"/>
  <c r="DP27" i="29"/>
  <c r="DQ27" i="29"/>
  <c r="DH28" i="29"/>
  <c r="DI28" i="29"/>
  <c r="DJ28" i="29"/>
  <c r="DK28" i="29"/>
  <c r="DL28" i="29"/>
  <c r="DM28" i="29"/>
  <c r="DN28" i="29"/>
  <c r="DO28" i="29"/>
  <c r="DP28" i="29"/>
  <c r="DQ28" i="29"/>
  <c r="DH29" i="29"/>
  <c r="DI29" i="29"/>
  <c r="DJ29" i="29"/>
  <c r="DK29" i="29"/>
  <c r="DL29" i="29"/>
  <c r="DM29" i="29"/>
  <c r="DN29" i="29"/>
  <c r="DO29" i="29"/>
  <c r="DP29" i="29"/>
  <c r="DQ29" i="29"/>
  <c r="DH30" i="29"/>
  <c r="DI30" i="29"/>
  <c r="DJ30" i="29"/>
  <c r="DK30" i="29"/>
  <c r="DL30" i="29"/>
  <c r="DM30" i="29"/>
  <c r="DN30" i="29"/>
  <c r="DO30" i="29"/>
  <c r="DP30" i="29"/>
  <c r="DQ30" i="29"/>
  <c r="DH31" i="29"/>
  <c r="DI31" i="29"/>
  <c r="DJ31" i="29"/>
  <c r="DK31" i="29"/>
  <c r="DL31" i="29"/>
  <c r="DM31" i="29"/>
  <c r="DN31" i="29"/>
  <c r="DO31" i="29"/>
  <c r="DP31" i="29"/>
  <c r="DQ31" i="29"/>
  <c r="DH32" i="29"/>
  <c r="DI32" i="29"/>
  <c r="DJ32" i="29"/>
  <c r="DK32" i="29"/>
  <c r="DL32" i="29"/>
  <c r="DM32" i="29"/>
  <c r="DN32" i="29"/>
  <c r="DO32" i="29"/>
  <c r="DP32" i="29"/>
  <c r="DQ32" i="29"/>
  <c r="DH33" i="29"/>
  <c r="DI33" i="29"/>
  <c r="DJ33" i="29"/>
  <c r="DK33" i="29"/>
  <c r="DL33" i="29"/>
  <c r="DM33" i="29"/>
  <c r="DN33" i="29"/>
  <c r="DO33" i="29"/>
  <c r="DP33" i="29"/>
  <c r="DQ33" i="29"/>
  <c r="DH34" i="29"/>
  <c r="DI34" i="29"/>
  <c r="DJ34" i="29"/>
  <c r="DK34" i="29"/>
  <c r="DL34" i="29"/>
  <c r="DM34" i="29"/>
  <c r="DN34" i="29"/>
  <c r="DO34" i="29"/>
  <c r="DP34" i="29"/>
  <c r="DQ34" i="29"/>
  <c r="DH35" i="29"/>
  <c r="DI35" i="29"/>
  <c r="DJ35" i="29"/>
  <c r="DK35" i="29"/>
  <c r="DL35" i="29"/>
  <c r="DM35" i="29"/>
  <c r="DN35" i="29"/>
  <c r="DO35" i="29"/>
  <c r="DP35" i="29"/>
  <c r="DQ35" i="29"/>
  <c r="DH36" i="29"/>
  <c r="DI36" i="29"/>
  <c r="DJ36" i="29"/>
  <c r="DK36" i="29"/>
  <c r="DL36" i="29"/>
  <c r="DM36" i="29"/>
  <c r="DN36" i="29"/>
  <c r="DO36" i="29"/>
  <c r="DP36" i="29"/>
  <c r="DQ36" i="29"/>
  <c r="DH37" i="29"/>
  <c r="DI37" i="29"/>
  <c r="DJ37" i="29"/>
  <c r="DK37" i="29"/>
  <c r="DL37" i="29"/>
  <c r="DM37" i="29"/>
  <c r="DN37" i="29"/>
  <c r="DO37" i="29"/>
  <c r="DP37" i="29"/>
  <c r="DQ37" i="29"/>
  <c r="DH38" i="29"/>
  <c r="DI38" i="29"/>
  <c r="DJ38" i="29"/>
  <c r="DK38" i="29"/>
  <c r="DL38" i="29"/>
  <c r="DM38" i="29"/>
  <c r="DN38" i="29"/>
  <c r="DO38" i="29"/>
  <c r="DP38" i="29"/>
  <c r="DQ38" i="29"/>
  <c r="DH39" i="29"/>
  <c r="DI39" i="29"/>
  <c r="DJ39" i="29"/>
  <c r="DK39" i="29"/>
  <c r="DL39" i="29"/>
  <c r="DM39" i="29"/>
  <c r="DN39" i="29"/>
  <c r="DO39" i="29"/>
  <c r="DP39" i="29"/>
  <c r="DQ39" i="29"/>
  <c r="DH40" i="29"/>
  <c r="DI40" i="29"/>
  <c r="DJ40" i="29"/>
  <c r="DK40" i="29"/>
  <c r="DL40" i="29"/>
  <c r="DM40" i="29"/>
  <c r="DN40" i="29"/>
  <c r="DO40" i="29"/>
  <c r="DP40" i="29"/>
  <c r="DQ40" i="29"/>
  <c r="DH41" i="29"/>
  <c r="DI41" i="29"/>
  <c r="DJ41" i="29"/>
  <c r="DK41" i="29"/>
  <c r="DL41" i="29"/>
  <c r="DM41" i="29"/>
  <c r="DN41" i="29"/>
  <c r="DO41" i="29"/>
  <c r="DP41" i="29"/>
  <c r="DQ41" i="29"/>
  <c r="DH42" i="29"/>
  <c r="DI42" i="29"/>
  <c r="DJ42" i="29"/>
  <c r="DK42" i="29"/>
  <c r="DL42" i="29"/>
  <c r="DM42" i="29"/>
  <c r="DN42" i="29"/>
  <c r="DO42" i="29"/>
  <c r="DP42" i="29"/>
  <c r="DQ42" i="29"/>
  <c r="DH43" i="29"/>
  <c r="DI43" i="29"/>
  <c r="DJ43" i="29"/>
  <c r="DK43" i="29"/>
  <c r="DL43" i="29"/>
  <c r="DM43" i="29"/>
  <c r="DN43" i="29"/>
  <c r="DO43" i="29"/>
  <c r="DP43" i="29"/>
  <c r="DQ43" i="29"/>
  <c r="DH44" i="29"/>
  <c r="DI44" i="29"/>
  <c r="DJ44" i="29"/>
  <c r="DK44" i="29"/>
  <c r="DL44" i="29"/>
  <c r="DM44" i="29"/>
  <c r="DN44" i="29"/>
  <c r="DO44" i="29"/>
  <c r="DP44" i="29"/>
  <c r="DQ44" i="29"/>
  <c r="DH45" i="29"/>
  <c r="DI45" i="29"/>
  <c r="DJ45" i="29"/>
  <c r="DK45" i="29"/>
  <c r="DL45" i="29"/>
  <c r="DM45" i="29"/>
  <c r="DN45" i="29"/>
  <c r="DO45" i="29"/>
  <c r="DP45" i="29"/>
  <c r="DQ45" i="29"/>
  <c r="DH46" i="29"/>
  <c r="DI46" i="29"/>
  <c r="DJ46" i="29"/>
  <c r="DK46" i="29"/>
  <c r="DL46" i="29"/>
  <c r="DM46" i="29"/>
  <c r="DN46" i="29"/>
  <c r="DO46" i="29"/>
  <c r="DP46" i="29"/>
  <c r="DQ46" i="29"/>
  <c r="DH47" i="29"/>
  <c r="DI47" i="29"/>
  <c r="DJ47" i="29"/>
  <c r="DK47" i="29"/>
  <c r="DL47" i="29"/>
  <c r="DM47" i="29"/>
  <c r="DN47" i="29"/>
  <c r="DO47" i="29"/>
  <c r="DP47" i="29"/>
  <c r="DQ47" i="29"/>
  <c r="DH48" i="29"/>
  <c r="DI48" i="29"/>
  <c r="DJ48" i="29"/>
  <c r="DK48" i="29"/>
  <c r="DL48" i="29"/>
  <c r="DM48" i="29"/>
  <c r="DN48" i="29"/>
  <c r="DO48" i="29"/>
  <c r="DP48" i="29"/>
  <c r="DQ48" i="29"/>
  <c r="DH49" i="29"/>
  <c r="DI49" i="29"/>
  <c r="DJ49" i="29"/>
  <c r="DK49" i="29"/>
  <c r="DL49" i="29"/>
  <c r="DM49" i="29"/>
  <c r="DN49" i="29"/>
  <c r="DO49" i="29"/>
  <c r="DP49" i="29"/>
  <c r="DQ49" i="29"/>
  <c r="DH50" i="29"/>
  <c r="DI50" i="29"/>
  <c r="DJ50" i="29"/>
  <c r="DK50" i="29"/>
  <c r="DL50" i="29"/>
  <c r="DM50" i="29"/>
  <c r="DN50" i="29"/>
  <c r="DO50" i="29"/>
  <c r="DP50" i="29"/>
  <c r="DQ50" i="29"/>
  <c r="DH51" i="29"/>
  <c r="DI51" i="29"/>
  <c r="DJ51" i="29"/>
  <c r="DK51" i="29"/>
  <c r="DL51" i="29"/>
  <c r="DM51" i="29"/>
  <c r="DN51" i="29"/>
  <c r="DO51" i="29"/>
  <c r="DP51" i="29"/>
  <c r="DQ51" i="29"/>
  <c r="DH52" i="29"/>
  <c r="DI52" i="29"/>
  <c r="DJ52" i="29"/>
  <c r="DK52" i="29"/>
  <c r="DL52" i="29"/>
  <c r="DM52" i="29"/>
  <c r="DN52" i="29"/>
  <c r="DO52" i="29"/>
  <c r="DP52" i="29"/>
  <c r="DQ52" i="29"/>
  <c r="DH53" i="29"/>
  <c r="DI53" i="29"/>
  <c r="DJ53" i="29"/>
  <c r="DK53" i="29"/>
  <c r="DL53" i="29"/>
  <c r="DM53" i="29"/>
  <c r="DN53" i="29"/>
  <c r="DO53" i="29"/>
  <c r="DP53" i="29"/>
  <c r="DQ53" i="29"/>
  <c r="DH54" i="29"/>
  <c r="DI54" i="29"/>
  <c r="DJ54" i="29"/>
  <c r="DK54" i="29"/>
  <c r="DL54" i="29"/>
  <c r="DM54" i="29"/>
  <c r="DN54" i="29"/>
  <c r="DO54" i="29"/>
  <c r="DP54" i="29"/>
  <c r="DQ54" i="29"/>
  <c r="DH55" i="29"/>
  <c r="DI55" i="29"/>
  <c r="DJ55" i="29"/>
  <c r="DK55" i="29"/>
  <c r="DL55" i="29"/>
  <c r="DM55" i="29"/>
  <c r="DN55" i="29"/>
  <c r="DO55" i="29"/>
  <c r="DP55" i="29"/>
  <c r="DQ55" i="29"/>
  <c r="DH56" i="29"/>
  <c r="DI56" i="29"/>
  <c r="DJ56" i="29"/>
  <c r="DK56" i="29"/>
  <c r="DL56" i="29"/>
  <c r="DM56" i="29"/>
  <c r="DN56" i="29"/>
  <c r="DO56" i="29"/>
  <c r="DP56" i="29"/>
  <c r="DQ56" i="29"/>
  <c r="DH57" i="29"/>
  <c r="DI57" i="29"/>
  <c r="DJ57" i="29"/>
  <c r="DK57" i="29"/>
  <c r="DL57" i="29"/>
  <c r="DM57" i="29"/>
  <c r="DN57" i="29"/>
  <c r="DO57" i="29"/>
  <c r="DP57" i="29"/>
  <c r="DQ57" i="29"/>
  <c r="DH58" i="29"/>
  <c r="DI58" i="29"/>
  <c r="DJ58" i="29"/>
  <c r="DK58" i="29"/>
  <c r="DL58" i="29"/>
  <c r="DM58" i="29"/>
  <c r="DN58" i="29"/>
  <c r="DO58" i="29"/>
  <c r="DP58" i="29"/>
  <c r="DQ58" i="29"/>
  <c r="DH59" i="29"/>
  <c r="DI59" i="29"/>
  <c r="DJ59" i="29"/>
  <c r="DK59" i="29"/>
  <c r="DL59" i="29"/>
  <c r="DM59" i="29"/>
  <c r="DN59" i="29"/>
  <c r="DO59" i="29"/>
  <c r="DP59" i="29"/>
  <c r="DQ59" i="29"/>
  <c r="DH60" i="29"/>
  <c r="DI60" i="29"/>
  <c r="DJ60" i="29"/>
  <c r="DK60" i="29"/>
  <c r="DL60" i="29"/>
  <c r="DM60" i="29"/>
  <c r="DN60" i="29"/>
  <c r="DO60" i="29"/>
  <c r="DP60" i="29"/>
  <c r="DQ60" i="29"/>
  <c r="DH61" i="29"/>
  <c r="DI61" i="29"/>
  <c r="DJ61" i="29"/>
  <c r="DK61" i="29"/>
  <c r="DL61" i="29"/>
  <c r="DM61" i="29"/>
  <c r="DN61" i="29"/>
  <c r="DO61" i="29"/>
  <c r="DP61" i="29"/>
  <c r="DQ61" i="29"/>
  <c r="DH62" i="29"/>
  <c r="DI62" i="29"/>
  <c r="DJ62" i="29"/>
  <c r="DK62" i="29"/>
  <c r="DL62" i="29"/>
  <c r="DM62" i="29"/>
  <c r="DN62" i="29"/>
  <c r="DO62" i="29"/>
  <c r="DP62" i="29"/>
  <c r="DQ62" i="29"/>
  <c r="DH63" i="29"/>
  <c r="DI63" i="29"/>
  <c r="DJ63" i="29"/>
  <c r="DK63" i="29"/>
  <c r="DL63" i="29"/>
  <c r="DM63" i="29"/>
  <c r="DN63" i="29"/>
  <c r="DO63" i="29"/>
  <c r="DP63" i="29"/>
  <c r="DQ63" i="29"/>
  <c r="DH64" i="29"/>
  <c r="DI64" i="29"/>
  <c r="DJ64" i="29"/>
  <c r="DK64" i="29"/>
  <c r="DL64" i="29"/>
  <c r="DM64" i="29"/>
  <c r="DN64" i="29"/>
  <c r="DO64" i="29"/>
  <c r="DP64" i="29"/>
  <c r="DQ64" i="29"/>
  <c r="DH65" i="29"/>
  <c r="DI65" i="29"/>
  <c r="DJ65" i="29"/>
  <c r="DK65" i="29"/>
  <c r="DL65" i="29"/>
  <c r="DM65" i="29"/>
  <c r="DN65" i="29"/>
  <c r="DO65" i="29"/>
  <c r="DP65" i="29"/>
  <c r="DQ65" i="29"/>
  <c r="DH66" i="29"/>
  <c r="DI66" i="29"/>
  <c r="DJ66" i="29"/>
  <c r="DK66" i="29"/>
  <c r="DL66" i="29"/>
  <c r="DM66" i="29"/>
  <c r="DN66" i="29"/>
  <c r="DO66" i="29"/>
  <c r="DP66" i="29"/>
  <c r="DQ66" i="29"/>
  <c r="DH67" i="29"/>
  <c r="DI67" i="29"/>
  <c r="DJ67" i="29"/>
  <c r="DK67" i="29"/>
  <c r="DL67" i="29"/>
  <c r="DM67" i="29"/>
  <c r="DN67" i="29"/>
  <c r="DO67" i="29"/>
  <c r="DP67" i="29"/>
  <c r="DQ67" i="29"/>
  <c r="DH68" i="29"/>
  <c r="DI68" i="29"/>
  <c r="DJ68" i="29"/>
  <c r="DK68" i="29"/>
  <c r="DL68" i="29"/>
  <c r="DM68" i="29"/>
  <c r="DN68" i="29"/>
  <c r="DO68" i="29"/>
  <c r="DP68" i="29"/>
  <c r="DQ68" i="29"/>
  <c r="DH69" i="29"/>
  <c r="DI69" i="29"/>
  <c r="DJ69" i="29"/>
  <c r="DK69" i="29"/>
  <c r="DL69" i="29"/>
  <c r="DM69" i="29"/>
  <c r="DN69" i="29"/>
  <c r="DO69" i="29"/>
  <c r="DP69" i="29"/>
  <c r="DQ69" i="29"/>
  <c r="DH70" i="29"/>
  <c r="DI70" i="29"/>
  <c r="DJ70" i="29"/>
  <c r="DK70" i="29"/>
  <c r="DL70" i="29"/>
  <c r="DM70" i="29"/>
  <c r="DN70" i="29"/>
  <c r="DO70" i="29"/>
  <c r="DP70" i="29"/>
  <c r="DQ70" i="29"/>
  <c r="DH71" i="29"/>
  <c r="DI71" i="29"/>
  <c r="DJ71" i="29"/>
  <c r="DK71" i="29"/>
  <c r="DL71" i="29"/>
  <c r="DM71" i="29"/>
  <c r="DN71" i="29"/>
  <c r="DO71" i="29"/>
  <c r="DP71" i="29"/>
  <c r="DQ71" i="29"/>
  <c r="DH72" i="29"/>
  <c r="DI72" i="29"/>
  <c r="DJ72" i="29"/>
  <c r="DK72" i="29"/>
  <c r="DL72" i="29"/>
  <c r="DM72" i="29"/>
  <c r="DN72" i="29"/>
  <c r="DO72" i="29"/>
  <c r="DP72" i="29"/>
  <c r="DQ72" i="29"/>
  <c r="DH73" i="29"/>
  <c r="DI73" i="29"/>
  <c r="DJ73" i="29"/>
  <c r="DK73" i="29"/>
  <c r="DL73" i="29"/>
  <c r="DM73" i="29"/>
  <c r="DN73" i="29"/>
  <c r="DO73" i="29"/>
  <c r="DP73" i="29"/>
  <c r="DQ73" i="29"/>
  <c r="DH74" i="29"/>
  <c r="DI74" i="29"/>
  <c r="DJ74" i="29"/>
  <c r="DK74" i="29"/>
  <c r="DL74" i="29"/>
  <c r="DM74" i="29"/>
  <c r="DN74" i="29"/>
  <c r="DO74" i="29"/>
  <c r="DP74" i="29"/>
  <c r="DQ74" i="29"/>
  <c r="DH75" i="29"/>
  <c r="DI75" i="29"/>
  <c r="DJ75" i="29"/>
  <c r="DK75" i="29"/>
  <c r="DL75" i="29"/>
  <c r="DM75" i="29"/>
  <c r="DN75" i="29"/>
  <c r="DO75" i="29"/>
  <c r="DP75" i="29"/>
  <c r="DQ75" i="29"/>
  <c r="DH76" i="29"/>
  <c r="DI76" i="29"/>
  <c r="DJ76" i="29"/>
  <c r="DK76" i="29"/>
  <c r="DL76" i="29"/>
  <c r="DM76" i="29"/>
  <c r="DN76" i="29"/>
  <c r="DO76" i="29"/>
  <c r="DP76" i="29"/>
  <c r="DQ76" i="29"/>
  <c r="DH77" i="29"/>
  <c r="DI77" i="29"/>
  <c r="DJ77" i="29"/>
  <c r="DK77" i="29"/>
  <c r="DL77" i="29"/>
  <c r="DM77" i="29"/>
  <c r="DN77" i="29"/>
  <c r="DO77" i="29"/>
  <c r="DP77" i="29"/>
  <c r="DQ77" i="29"/>
  <c r="DH78" i="29"/>
  <c r="DI78" i="29"/>
  <c r="DJ78" i="29"/>
  <c r="DK78" i="29"/>
  <c r="DL78" i="29"/>
  <c r="DM78" i="29"/>
  <c r="DN78" i="29"/>
  <c r="DO78" i="29"/>
  <c r="DP78" i="29"/>
  <c r="DQ78" i="29"/>
  <c r="DH79" i="29"/>
  <c r="DI79" i="29"/>
  <c r="DJ79" i="29"/>
  <c r="DK79" i="29"/>
  <c r="DL79" i="29"/>
  <c r="DM79" i="29"/>
  <c r="DN79" i="29"/>
  <c r="DO79" i="29"/>
  <c r="DP79" i="29"/>
  <c r="DQ79" i="29"/>
  <c r="DH80" i="29"/>
  <c r="DI80" i="29"/>
  <c r="DJ80" i="29"/>
  <c r="DK80" i="29"/>
  <c r="DL80" i="29"/>
  <c r="DM80" i="29"/>
  <c r="DN80" i="29"/>
  <c r="DO80" i="29"/>
  <c r="DP80" i="29"/>
  <c r="DQ80" i="29"/>
  <c r="DH81" i="29"/>
  <c r="DI81" i="29"/>
  <c r="DJ81" i="29"/>
  <c r="DK81" i="29"/>
  <c r="DL81" i="29"/>
  <c r="DM81" i="29"/>
  <c r="DN81" i="29"/>
  <c r="DO81" i="29"/>
  <c r="DP81" i="29"/>
  <c r="DQ81" i="29"/>
  <c r="DH82" i="29"/>
  <c r="DI82" i="29"/>
  <c r="DJ82" i="29"/>
  <c r="DK82" i="29"/>
  <c r="DL82" i="29"/>
  <c r="DM82" i="29"/>
  <c r="DN82" i="29"/>
  <c r="DO82" i="29"/>
  <c r="DP82" i="29"/>
  <c r="DQ82" i="29"/>
  <c r="DH83" i="29"/>
  <c r="DI83" i="29"/>
  <c r="DJ83" i="29"/>
  <c r="DK83" i="29"/>
  <c r="DL83" i="29"/>
  <c r="DM83" i="29"/>
  <c r="DN83" i="29"/>
  <c r="DO83" i="29"/>
  <c r="DP83" i="29"/>
  <c r="DQ83" i="29"/>
  <c r="DH84" i="29"/>
  <c r="DI84" i="29"/>
  <c r="DJ84" i="29"/>
  <c r="DK84" i="29"/>
  <c r="DL84" i="29"/>
  <c r="DM84" i="29"/>
  <c r="DN84" i="29"/>
  <c r="DO84" i="29"/>
  <c r="DP84" i="29"/>
  <c r="DQ84" i="29"/>
  <c r="DH85" i="29"/>
  <c r="DI85" i="29"/>
  <c r="DJ85" i="29"/>
  <c r="DK85" i="29"/>
  <c r="DL85" i="29"/>
  <c r="DM85" i="29"/>
  <c r="DN85" i="29"/>
  <c r="DO85" i="29"/>
  <c r="DP85" i="29"/>
  <c r="DQ85" i="29"/>
  <c r="DH86" i="29"/>
  <c r="DI86" i="29"/>
  <c r="DJ86" i="29"/>
  <c r="DK86" i="29"/>
  <c r="DL86" i="29"/>
  <c r="DM86" i="29"/>
  <c r="DN86" i="29"/>
  <c r="DO86" i="29"/>
  <c r="DP86" i="29"/>
  <c r="DQ86" i="29"/>
  <c r="DH87" i="29"/>
  <c r="DI87" i="29"/>
  <c r="DJ87" i="29"/>
  <c r="DK87" i="29"/>
  <c r="DL87" i="29"/>
  <c r="DM87" i="29"/>
  <c r="DN87" i="29"/>
  <c r="DO87" i="29"/>
  <c r="DP87" i="29"/>
  <c r="DQ87" i="29"/>
  <c r="DH88" i="29"/>
  <c r="DI88" i="29"/>
  <c r="DJ88" i="29"/>
  <c r="DK88" i="29"/>
  <c r="DL88" i="29"/>
  <c r="DM88" i="29"/>
  <c r="DN88" i="29"/>
  <c r="DO88" i="29"/>
  <c r="DP88" i="29"/>
  <c r="DQ88" i="29"/>
  <c r="DH89" i="29"/>
  <c r="DI89" i="29"/>
  <c r="DJ89" i="29"/>
  <c r="DK89" i="29"/>
  <c r="DL89" i="29"/>
  <c r="DM89" i="29"/>
  <c r="DN89" i="29"/>
  <c r="DO89" i="29"/>
  <c r="DP89" i="29"/>
  <c r="DQ89" i="29"/>
  <c r="DH90" i="29"/>
  <c r="DI90" i="29"/>
  <c r="DJ90" i="29"/>
  <c r="DK90" i="29"/>
  <c r="DL90" i="29"/>
  <c r="DM90" i="29"/>
  <c r="DN90" i="29"/>
  <c r="DO90" i="29"/>
  <c r="DP90" i="29"/>
  <c r="DQ90" i="29"/>
  <c r="DH91" i="29"/>
  <c r="DI91" i="29"/>
  <c r="DJ91" i="29"/>
  <c r="DK91" i="29"/>
  <c r="DL91" i="29"/>
  <c r="DM91" i="29"/>
  <c r="DN91" i="29"/>
  <c r="DO91" i="29"/>
  <c r="DP91" i="29"/>
  <c r="DQ91" i="29"/>
  <c r="DH92" i="29"/>
  <c r="DI92" i="29"/>
  <c r="DJ92" i="29"/>
  <c r="DK92" i="29"/>
  <c r="DL92" i="29"/>
  <c r="DM92" i="29"/>
  <c r="DN92" i="29"/>
  <c r="DO92" i="29"/>
  <c r="DP92" i="29"/>
  <c r="DQ92" i="29"/>
  <c r="DH93" i="29"/>
  <c r="DI93" i="29"/>
  <c r="DJ93" i="29"/>
  <c r="DK93" i="29"/>
  <c r="DL93" i="29"/>
  <c r="DM93" i="29"/>
  <c r="DN93" i="29"/>
  <c r="DO93" i="29"/>
  <c r="DP93" i="29"/>
  <c r="DQ93" i="29"/>
  <c r="DH94" i="29"/>
  <c r="DI94" i="29"/>
  <c r="DJ94" i="29"/>
  <c r="DK94" i="29"/>
  <c r="DL94" i="29"/>
  <c r="DM94" i="29"/>
  <c r="DN94" i="29"/>
  <c r="DO94" i="29"/>
  <c r="DP94" i="29"/>
  <c r="DQ94" i="29"/>
  <c r="DH95" i="29"/>
  <c r="DI95" i="29"/>
  <c r="DJ95" i="29"/>
  <c r="DK95" i="29"/>
  <c r="DL95" i="29"/>
  <c r="DM95" i="29"/>
  <c r="DN95" i="29"/>
  <c r="DO95" i="29"/>
  <c r="DP95" i="29"/>
  <c r="DQ95" i="29"/>
  <c r="DH96" i="29"/>
  <c r="DI96" i="29"/>
  <c r="DJ96" i="29"/>
  <c r="DK96" i="29"/>
  <c r="DL96" i="29"/>
  <c r="DM96" i="29"/>
  <c r="DN96" i="29"/>
  <c r="DO96" i="29"/>
  <c r="DP96" i="29"/>
  <c r="DQ96" i="29"/>
  <c r="DH97" i="29"/>
  <c r="DI97" i="29"/>
  <c r="DJ97" i="29"/>
  <c r="DK97" i="29"/>
  <c r="DL97" i="29"/>
  <c r="DM97" i="29"/>
  <c r="DN97" i="29"/>
  <c r="DO97" i="29"/>
  <c r="DP97" i="29"/>
  <c r="DQ97" i="29"/>
  <c r="DH98" i="29"/>
  <c r="DI98" i="29"/>
  <c r="DJ98" i="29"/>
  <c r="DK98" i="29"/>
  <c r="DL98" i="29"/>
  <c r="DM98" i="29"/>
  <c r="DN98" i="29"/>
  <c r="DO98" i="29"/>
  <c r="DP98" i="29"/>
  <c r="DQ98" i="29"/>
  <c r="DH99" i="29"/>
  <c r="DI99" i="29"/>
  <c r="DJ99" i="29"/>
  <c r="DK99" i="29"/>
  <c r="DL99" i="29"/>
  <c r="DM99" i="29"/>
  <c r="DN99" i="29"/>
  <c r="DO99" i="29"/>
  <c r="DP99" i="29"/>
  <c r="DQ99" i="29"/>
  <c r="DH100" i="29"/>
  <c r="DI100" i="29"/>
  <c r="DJ100" i="29"/>
  <c r="DK100" i="29"/>
  <c r="DL100" i="29"/>
  <c r="DM100" i="29"/>
  <c r="DN100" i="29"/>
  <c r="DO100" i="29"/>
  <c r="DP100" i="29"/>
  <c r="DQ100" i="29"/>
  <c r="DH101" i="29"/>
  <c r="DI101" i="29"/>
  <c r="DJ101" i="29"/>
  <c r="DK101" i="29"/>
  <c r="DL101" i="29"/>
  <c r="DM101" i="29"/>
  <c r="DN101" i="29"/>
  <c r="DO101" i="29"/>
  <c r="DP101" i="29"/>
  <c r="DQ101" i="29"/>
  <c r="DH102" i="29"/>
  <c r="DI102" i="29"/>
  <c r="DJ102" i="29"/>
  <c r="DK102" i="29"/>
  <c r="DL102" i="29"/>
  <c r="DM102" i="29"/>
  <c r="DN102" i="29"/>
  <c r="DO102" i="29"/>
  <c r="DP102" i="29"/>
  <c r="DQ102" i="29"/>
  <c r="DH103" i="29"/>
  <c r="DI103" i="29"/>
  <c r="DJ103" i="29"/>
  <c r="DK103" i="29"/>
  <c r="DL103" i="29"/>
  <c r="DM103" i="29"/>
  <c r="DN103" i="29"/>
  <c r="DO103" i="29"/>
  <c r="DP103" i="29"/>
  <c r="DQ103" i="29"/>
  <c r="DH104" i="29"/>
  <c r="DI104" i="29"/>
  <c r="DJ104" i="29"/>
  <c r="DK104" i="29"/>
  <c r="DL104" i="29"/>
  <c r="DM104" i="29"/>
  <c r="DN104" i="29"/>
  <c r="DO104" i="29"/>
  <c r="DP104" i="29"/>
  <c r="DQ104" i="29"/>
  <c r="DH105" i="29"/>
  <c r="DI105" i="29"/>
  <c r="DJ105" i="29"/>
  <c r="DK105" i="29"/>
  <c r="DL105" i="29"/>
  <c r="DM105" i="29"/>
  <c r="DN105" i="29"/>
  <c r="DO105" i="29"/>
  <c r="DP105" i="29"/>
  <c r="DQ105" i="29"/>
  <c r="DH106" i="29"/>
  <c r="DI106" i="29"/>
  <c r="DJ106" i="29"/>
  <c r="DK106" i="29"/>
  <c r="DL106" i="29"/>
  <c r="DM106" i="29"/>
  <c r="DN106" i="29"/>
  <c r="DO106" i="29"/>
  <c r="DP106" i="29"/>
  <c r="DQ106" i="29"/>
  <c r="DH107" i="29"/>
  <c r="DI107" i="29"/>
  <c r="DJ107" i="29"/>
  <c r="DK107" i="29"/>
  <c r="DL107" i="29"/>
  <c r="DM107" i="29"/>
  <c r="DN107" i="29"/>
  <c r="DO107" i="29"/>
  <c r="DP107" i="29"/>
  <c r="DQ107" i="29"/>
  <c r="DH108" i="29"/>
  <c r="DI108" i="29"/>
  <c r="DJ108" i="29"/>
  <c r="DK108" i="29"/>
  <c r="DL108" i="29"/>
  <c r="DM108" i="29"/>
  <c r="DN108" i="29"/>
  <c r="DO108" i="29"/>
  <c r="DP108" i="29"/>
  <c r="DQ108" i="29"/>
  <c r="DH109" i="29"/>
  <c r="DI109" i="29"/>
  <c r="DJ109" i="29"/>
  <c r="DK109" i="29"/>
  <c r="DL109" i="29"/>
  <c r="DM109" i="29"/>
  <c r="DN109" i="29"/>
  <c r="DO109" i="29"/>
  <c r="DP109" i="29"/>
  <c r="DQ109" i="29"/>
  <c r="DH110" i="29"/>
  <c r="DI110" i="29"/>
  <c r="DJ110" i="29"/>
  <c r="DK110" i="29"/>
  <c r="DL110" i="29"/>
  <c r="DM110" i="29"/>
  <c r="DN110" i="29"/>
  <c r="DO110" i="29"/>
  <c r="DP110" i="29"/>
  <c r="DQ110" i="29"/>
  <c r="DH111" i="29"/>
  <c r="DI111" i="29"/>
  <c r="DJ111" i="29"/>
  <c r="DK111" i="29"/>
  <c r="DL111" i="29"/>
  <c r="DM111" i="29"/>
  <c r="DN111" i="29"/>
  <c r="DO111" i="29"/>
  <c r="DP111" i="29"/>
  <c r="DQ111" i="29"/>
  <c r="DH112" i="29"/>
  <c r="DI112" i="29"/>
  <c r="DJ112" i="29"/>
  <c r="DK112" i="29"/>
  <c r="DL112" i="29"/>
  <c r="DM112" i="29"/>
  <c r="DN112" i="29"/>
  <c r="DO112" i="29"/>
  <c r="DP112" i="29"/>
  <c r="DQ112" i="29"/>
  <c r="DH113" i="29"/>
  <c r="DI113" i="29"/>
  <c r="DJ113" i="29"/>
  <c r="DK113" i="29"/>
  <c r="DL113" i="29"/>
  <c r="DM113" i="29"/>
  <c r="DN113" i="29"/>
  <c r="DO113" i="29"/>
  <c r="DP113" i="29"/>
  <c r="DQ113" i="29"/>
  <c r="DH114" i="29"/>
  <c r="DI114" i="29"/>
  <c r="DJ114" i="29"/>
  <c r="DK114" i="29"/>
  <c r="DL114" i="29"/>
  <c r="DM114" i="29"/>
  <c r="DN114" i="29"/>
  <c r="DO114" i="29"/>
  <c r="DP114" i="29"/>
  <c r="DQ114" i="29"/>
  <c r="DH115" i="29"/>
  <c r="DI115" i="29"/>
  <c r="DJ115" i="29"/>
  <c r="DK115" i="29"/>
  <c r="DL115" i="29"/>
  <c r="DM115" i="29"/>
  <c r="DN115" i="29"/>
  <c r="DO115" i="29"/>
  <c r="DP115" i="29"/>
  <c r="DQ115" i="29"/>
  <c r="DH116" i="29"/>
  <c r="DI116" i="29"/>
  <c r="DJ116" i="29"/>
  <c r="DK116" i="29"/>
  <c r="DL116" i="29"/>
  <c r="DM116" i="29"/>
  <c r="DN116" i="29"/>
  <c r="DO116" i="29"/>
  <c r="DP116" i="29"/>
  <c r="DQ116" i="29"/>
  <c r="DH117" i="29"/>
  <c r="DI117" i="29"/>
  <c r="DJ117" i="29"/>
  <c r="DK117" i="29"/>
  <c r="DL117" i="29"/>
  <c r="DM117" i="29"/>
  <c r="DN117" i="29"/>
  <c r="DO117" i="29"/>
  <c r="DP117" i="29"/>
  <c r="DQ117" i="29"/>
  <c r="DH118" i="29"/>
  <c r="DI118" i="29"/>
  <c r="DJ118" i="29"/>
  <c r="DK118" i="29"/>
  <c r="DL118" i="29"/>
  <c r="DM118" i="29"/>
  <c r="DN118" i="29"/>
  <c r="DO118" i="29"/>
  <c r="DP118" i="29"/>
  <c r="DQ118" i="29"/>
  <c r="DH119" i="29"/>
  <c r="DI119" i="29"/>
  <c r="DJ119" i="29"/>
  <c r="DK119" i="29"/>
  <c r="DL119" i="29"/>
  <c r="DM119" i="29"/>
  <c r="DN119" i="29"/>
  <c r="DO119" i="29"/>
  <c r="DP119" i="29"/>
  <c r="DQ119" i="29"/>
  <c r="DH120" i="29"/>
  <c r="DI120" i="29"/>
  <c r="DJ120" i="29"/>
  <c r="DK120" i="29"/>
  <c r="DL120" i="29"/>
  <c r="DM120" i="29"/>
  <c r="DN120" i="29"/>
  <c r="DO120" i="29"/>
  <c r="DP120" i="29"/>
  <c r="DQ120" i="29"/>
  <c r="DH121" i="29"/>
  <c r="DI121" i="29"/>
  <c r="DJ121" i="29"/>
  <c r="DK121" i="29"/>
  <c r="DL121" i="29"/>
  <c r="DM121" i="29"/>
  <c r="DN121" i="29"/>
  <c r="DO121" i="29"/>
  <c r="DP121" i="29"/>
  <c r="DQ121" i="29"/>
  <c r="DH122" i="29"/>
  <c r="DI122" i="29"/>
  <c r="DJ122" i="29"/>
  <c r="DK122" i="29"/>
  <c r="DL122" i="29"/>
  <c r="DM122" i="29"/>
  <c r="DN122" i="29"/>
  <c r="DO122" i="29"/>
  <c r="DP122" i="29"/>
  <c r="DQ122" i="29"/>
  <c r="DH123" i="29"/>
  <c r="DI123" i="29"/>
  <c r="DJ123" i="29"/>
  <c r="DK123" i="29"/>
  <c r="DL123" i="29"/>
  <c r="DM123" i="29"/>
  <c r="DN123" i="29"/>
  <c r="DO123" i="29"/>
  <c r="DP123" i="29"/>
  <c r="DQ123" i="29"/>
  <c r="DH124" i="29"/>
  <c r="DI124" i="29"/>
  <c r="DJ124" i="29"/>
  <c r="DK124" i="29"/>
  <c r="DL124" i="29"/>
  <c r="DM124" i="29"/>
  <c r="DN124" i="29"/>
  <c r="DO124" i="29"/>
  <c r="DP124" i="29"/>
  <c r="DQ124" i="29"/>
  <c r="DH125" i="29"/>
  <c r="DI125" i="29"/>
  <c r="DJ125" i="29"/>
  <c r="DK125" i="29"/>
  <c r="DL125" i="29"/>
  <c r="DM125" i="29"/>
  <c r="DN125" i="29"/>
  <c r="DO125" i="29"/>
  <c r="DP125" i="29"/>
  <c r="DQ125" i="29"/>
  <c r="DH126" i="29"/>
  <c r="DI126" i="29"/>
  <c r="DJ126" i="29"/>
  <c r="DK126" i="29"/>
  <c r="DL126" i="29"/>
  <c r="DM126" i="29"/>
  <c r="DN126" i="29"/>
  <c r="DO126" i="29"/>
  <c r="DP126" i="29"/>
  <c r="DQ126" i="29"/>
  <c r="DH127" i="29"/>
  <c r="DI127" i="29"/>
  <c r="DJ127" i="29"/>
  <c r="DK127" i="29"/>
  <c r="DL127" i="29"/>
  <c r="DM127" i="29"/>
  <c r="DN127" i="29"/>
  <c r="DO127" i="29"/>
  <c r="DP127" i="29"/>
  <c r="DQ127" i="29"/>
  <c r="DH128" i="29"/>
  <c r="DI128" i="29"/>
  <c r="DJ128" i="29"/>
  <c r="DK128" i="29"/>
  <c r="DL128" i="29"/>
  <c r="DM128" i="29"/>
  <c r="DN128" i="29"/>
  <c r="DO128" i="29"/>
  <c r="DP128" i="29"/>
  <c r="DQ128" i="29"/>
  <c r="DH129" i="29"/>
  <c r="DI129" i="29"/>
  <c r="DJ129" i="29"/>
  <c r="DK129" i="29"/>
  <c r="DL129" i="29"/>
  <c r="DM129" i="29"/>
  <c r="DN129" i="29"/>
  <c r="DO129" i="29"/>
  <c r="DP129" i="29"/>
  <c r="DQ129" i="29"/>
  <c r="DH130" i="29"/>
  <c r="DI130" i="29"/>
  <c r="DJ130" i="29"/>
  <c r="DK130" i="29"/>
  <c r="DL130" i="29"/>
  <c r="DM130" i="29"/>
  <c r="DN130" i="29"/>
  <c r="DO130" i="29"/>
  <c r="DP130" i="29"/>
  <c r="DQ130" i="29"/>
  <c r="DH131" i="29"/>
  <c r="DI131" i="29"/>
  <c r="DJ131" i="29"/>
  <c r="DK131" i="29"/>
  <c r="DL131" i="29"/>
  <c r="DM131" i="29"/>
  <c r="DN131" i="29"/>
  <c r="DO131" i="29"/>
  <c r="DP131" i="29"/>
  <c r="DQ131" i="29"/>
  <c r="DH132" i="29"/>
  <c r="DI132" i="29"/>
  <c r="DJ132" i="29"/>
  <c r="DK132" i="29"/>
  <c r="DL132" i="29"/>
  <c r="DM132" i="29"/>
  <c r="DN132" i="29"/>
  <c r="DO132" i="29"/>
  <c r="DP132" i="29"/>
  <c r="DQ132" i="29"/>
  <c r="DH133" i="29"/>
  <c r="DI133" i="29"/>
  <c r="DJ133" i="29"/>
  <c r="DK133" i="29"/>
  <c r="DL133" i="29"/>
  <c r="DM133" i="29"/>
  <c r="DN133" i="29"/>
  <c r="DO133" i="29"/>
  <c r="DP133" i="29"/>
  <c r="DQ133" i="29"/>
  <c r="DH134" i="29"/>
  <c r="DI134" i="29"/>
  <c r="DJ134" i="29"/>
  <c r="DK134" i="29"/>
  <c r="DL134" i="29"/>
  <c r="DM134" i="29"/>
  <c r="DN134" i="29"/>
  <c r="DO134" i="29"/>
  <c r="DP134" i="29"/>
  <c r="DQ134" i="29"/>
  <c r="DH135" i="29"/>
  <c r="DI135" i="29"/>
  <c r="DJ135" i="29"/>
  <c r="DK135" i="29"/>
  <c r="DL135" i="29"/>
  <c r="DM135" i="29"/>
  <c r="DN135" i="29"/>
  <c r="DO135" i="29"/>
  <c r="DP135" i="29"/>
  <c r="DQ135" i="29"/>
  <c r="DH136" i="29"/>
  <c r="DI136" i="29"/>
  <c r="DJ136" i="29"/>
  <c r="DK136" i="29"/>
  <c r="DL136" i="29"/>
  <c r="DM136" i="29"/>
  <c r="DN136" i="29"/>
  <c r="DO136" i="29"/>
  <c r="DP136" i="29"/>
  <c r="DQ136" i="29"/>
  <c r="DH137" i="29"/>
  <c r="DI137" i="29"/>
  <c r="DJ137" i="29"/>
  <c r="DK137" i="29"/>
  <c r="DL137" i="29"/>
  <c r="DM137" i="29"/>
  <c r="DN137" i="29"/>
  <c r="DO137" i="29"/>
  <c r="DP137" i="29"/>
  <c r="DQ137" i="29"/>
  <c r="DH138" i="29"/>
  <c r="DI138" i="29"/>
  <c r="DJ138" i="29"/>
  <c r="DK138" i="29"/>
  <c r="DL138" i="29"/>
  <c r="DM138" i="29"/>
  <c r="DN138" i="29"/>
  <c r="DO138" i="29"/>
  <c r="DP138" i="29"/>
  <c r="DQ138" i="29"/>
  <c r="DH139" i="29"/>
  <c r="DI139" i="29"/>
  <c r="DJ139" i="29"/>
  <c r="DK139" i="29"/>
  <c r="DL139" i="29"/>
  <c r="DM139" i="29"/>
  <c r="DN139" i="29"/>
  <c r="DO139" i="29"/>
  <c r="DP139" i="29"/>
  <c r="DQ139" i="29"/>
  <c r="DH140" i="29"/>
  <c r="DI140" i="29"/>
  <c r="DJ140" i="29"/>
  <c r="DK140" i="29"/>
  <c r="DL140" i="29"/>
  <c r="DM140" i="29"/>
  <c r="DN140" i="29"/>
  <c r="DO140" i="29"/>
  <c r="DP140" i="29"/>
  <c r="DQ140" i="29"/>
  <c r="DH141" i="29"/>
  <c r="DI141" i="29"/>
  <c r="DJ141" i="29"/>
  <c r="DK141" i="29"/>
  <c r="DL141" i="29"/>
  <c r="DM141" i="29"/>
  <c r="DN141" i="29"/>
  <c r="DO141" i="29"/>
  <c r="DP141" i="29"/>
  <c r="DQ141" i="29"/>
  <c r="DH142" i="29"/>
  <c r="DI142" i="29"/>
  <c r="DJ142" i="29"/>
  <c r="DK142" i="29"/>
  <c r="DL142" i="29"/>
  <c r="DM142" i="29"/>
  <c r="DN142" i="29"/>
  <c r="DO142" i="29"/>
  <c r="DP142" i="29"/>
  <c r="DQ142" i="29"/>
  <c r="DH143" i="29"/>
  <c r="DI143" i="29"/>
  <c r="DJ143" i="29"/>
  <c r="DK143" i="29"/>
  <c r="DL143" i="29"/>
  <c r="DM143" i="29"/>
  <c r="DN143" i="29"/>
  <c r="DO143" i="29"/>
  <c r="DP143" i="29"/>
  <c r="DQ143" i="29"/>
  <c r="DH144" i="29"/>
  <c r="DI144" i="29"/>
  <c r="DJ144" i="29"/>
  <c r="DK144" i="29"/>
  <c r="DL144" i="29"/>
  <c r="DM144" i="29"/>
  <c r="DN144" i="29"/>
  <c r="DO144" i="29"/>
  <c r="DP144" i="29"/>
  <c r="DQ144" i="29"/>
  <c r="DH145" i="29"/>
  <c r="DI145" i="29"/>
  <c r="DJ145" i="29"/>
  <c r="DK145" i="29"/>
  <c r="DL145" i="29"/>
  <c r="DM145" i="29"/>
  <c r="DN145" i="29"/>
  <c r="DO145" i="29"/>
  <c r="DP145" i="29"/>
  <c r="DQ145" i="29"/>
  <c r="DH146" i="29"/>
  <c r="DI146" i="29"/>
  <c r="DJ146" i="29"/>
  <c r="DK146" i="29"/>
  <c r="DL146" i="29"/>
  <c r="DM146" i="29"/>
  <c r="DN146" i="29"/>
  <c r="DO146" i="29"/>
  <c r="DP146" i="29"/>
  <c r="DQ146" i="29"/>
  <c r="DH147" i="29"/>
  <c r="DI147" i="29"/>
  <c r="DJ147" i="29"/>
  <c r="DK147" i="29"/>
  <c r="DL147" i="29"/>
  <c r="DM147" i="29"/>
  <c r="DN147" i="29"/>
  <c r="DO147" i="29"/>
  <c r="DP147" i="29"/>
  <c r="DQ147" i="29"/>
  <c r="DH148" i="29"/>
  <c r="DI148" i="29"/>
  <c r="DJ148" i="29"/>
  <c r="DK148" i="29"/>
  <c r="DL148" i="29"/>
  <c r="DM148" i="29"/>
  <c r="DN148" i="29"/>
  <c r="DO148" i="29"/>
  <c r="DP148" i="29"/>
  <c r="DQ148" i="29"/>
  <c r="DH149" i="29"/>
  <c r="DI149" i="29"/>
  <c r="DJ149" i="29"/>
  <c r="DK149" i="29"/>
  <c r="DL149" i="29"/>
  <c r="DM149" i="29"/>
  <c r="DN149" i="29"/>
  <c r="DO149" i="29"/>
  <c r="DP149" i="29"/>
  <c r="DQ149" i="29"/>
  <c r="DH150" i="29"/>
  <c r="DI150" i="29"/>
  <c r="DJ150" i="29"/>
  <c r="DK150" i="29"/>
  <c r="DL150" i="29"/>
  <c r="DM150" i="29"/>
  <c r="DN150" i="29"/>
  <c r="DO150" i="29"/>
  <c r="DP150" i="29"/>
  <c r="DQ150" i="29"/>
  <c r="DH151" i="29"/>
  <c r="DI151" i="29"/>
  <c r="DJ151" i="29"/>
  <c r="DK151" i="29"/>
  <c r="DL151" i="29"/>
  <c r="DM151" i="29"/>
  <c r="DN151" i="29"/>
  <c r="DO151" i="29"/>
  <c r="DP151" i="29"/>
  <c r="DQ151" i="29"/>
  <c r="DH152" i="29"/>
  <c r="DI152" i="29"/>
  <c r="DJ152" i="29"/>
  <c r="DK152" i="29"/>
  <c r="DL152" i="29"/>
  <c r="DM152" i="29"/>
  <c r="DN152" i="29"/>
  <c r="DO152" i="29"/>
  <c r="DP152" i="29"/>
  <c r="DQ152" i="29"/>
  <c r="DH153" i="29"/>
  <c r="DI153" i="29"/>
  <c r="DJ153" i="29"/>
  <c r="DK153" i="29"/>
  <c r="DL153" i="29"/>
  <c r="DM153" i="29"/>
  <c r="DN153" i="29"/>
  <c r="DO153" i="29"/>
  <c r="DP153" i="29"/>
  <c r="DQ153" i="29"/>
  <c r="DH154" i="29"/>
  <c r="DI154" i="29"/>
  <c r="DJ154" i="29"/>
  <c r="DK154" i="29"/>
  <c r="DL154" i="29"/>
  <c r="DM154" i="29"/>
  <c r="DN154" i="29"/>
  <c r="DO154" i="29"/>
  <c r="DP154" i="29"/>
  <c r="DQ154" i="29"/>
  <c r="DH155" i="29"/>
  <c r="DI155" i="29"/>
  <c r="DJ155" i="29"/>
  <c r="DK155" i="29"/>
  <c r="DL155" i="29"/>
  <c r="DM155" i="29"/>
  <c r="DN155" i="29"/>
  <c r="DO155" i="29"/>
  <c r="DP155" i="29"/>
  <c r="DQ155" i="29"/>
  <c r="DH156" i="29"/>
  <c r="DI156" i="29"/>
  <c r="DJ156" i="29"/>
  <c r="DK156" i="29"/>
  <c r="DL156" i="29"/>
  <c r="DM156" i="29"/>
  <c r="DN156" i="29"/>
  <c r="DO156" i="29"/>
  <c r="DP156" i="29"/>
  <c r="DQ156" i="29"/>
  <c r="DH157" i="29"/>
  <c r="DI157" i="29"/>
  <c r="DJ157" i="29"/>
  <c r="DK157" i="29"/>
  <c r="DL157" i="29"/>
  <c r="DM157" i="29"/>
  <c r="DN157" i="29"/>
  <c r="DO157" i="29"/>
  <c r="DP157" i="29"/>
  <c r="DQ157" i="29"/>
  <c r="DH158" i="29"/>
  <c r="DI158" i="29"/>
  <c r="DJ158" i="29"/>
  <c r="DK158" i="29"/>
  <c r="DL158" i="29"/>
  <c r="DM158" i="29"/>
  <c r="DN158" i="29"/>
  <c r="DO158" i="29"/>
  <c r="DP158" i="29"/>
  <c r="DQ158" i="29"/>
  <c r="DH159" i="29"/>
  <c r="DI159" i="29"/>
  <c r="DJ159" i="29"/>
  <c r="DK159" i="29"/>
  <c r="DL159" i="29"/>
  <c r="DM159" i="29"/>
  <c r="DN159" i="29"/>
  <c r="DO159" i="29"/>
  <c r="DP159" i="29"/>
  <c r="DQ159" i="29"/>
  <c r="DH160" i="29"/>
  <c r="DI160" i="29"/>
  <c r="DJ160" i="29"/>
  <c r="DK160" i="29"/>
  <c r="DL160" i="29"/>
  <c r="DM160" i="29"/>
  <c r="DN160" i="29"/>
  <c r="DO160" i="29"/>
  <c r="DP160" i="29"/>
  <c r="DQ160" i="29"/>
  <c r="DH161" i="29"/>
  <c r="DI161" i="29"/>
  <c r="DJ161" i="29"/>
  <c r="DK161" i="29"/>
  <c r="DL161" i="29"/>
  <c r="DM161" i="29"/>
  <c r="DN161" i="29"/>
  <c r="DO161" i="29"/>
  <c r="DP161" i="29"/>
  <c r="DQ161" i="29"/>
  <c r="DH162" i="29"/>
  <c r="DI162" i="29"/>
  <c r="DJ162" i="29"/>
  <c r="DK162" i="29"/>
  <c r="DL162" i="29"/>
  <c r="DM162" i="29"/>
  <c r="DN162" i="29"/>
  <c r="DO162" i="29"/>
  <c r="DP162" i="29"/>
  <c r="DQ162" i="29"/>
  <c r="DH163" i="29"/>
  <c r="DI163" i="29"/>
  <c r="DJ163" i="29"/>
  <c r="DK163" i="29"/>
  <c r="DL163" i="29"/>
  <c r="DM163" i="29"/>
  <c r="DN163" i="29"/>
  <c r="DO163" i="29"/>
  <c r="DP163" i="29"/>
  <c r="DQ163" i="29"/>
  <c r="DH164" i="29"/>
  <c r="DI164" i="29"/>
  <c r="DJ164" i="29"/>
  <c r="DK164" i="29"/>
  <c r="DL164" i="29"/>
  <c r="DM164" i="29"/>
  <c r="DN164" i="29"/>
  <c r="DO164" i="29"/>
  <c r="DP164" i="29"/>
  <c r="DQ164" i="29"/>
  <c r="DH165" i="29"/>
  <c r="DI165" i="29"/>
  <c r="DJ165" i="29"/>
  <c r="DK165" i="29"/>
  <c r="DL165" i="29"/>
  <c r="DM165" i="29"/>
  <c r="DN165" i="29"/>
  <c r="DO165" i="29"/>
  <c r="DP165" i="29"/>
  <c r="DQ165" i="29"/>
  <c r="DH166" i="29"/>
  <c r="DI166" i="29"/>
  <c r="DJ166" i="29"/>
  <c r="DK166" i="29"/>
  <c r="DL166" i="29"/>
  <c r="DM166" i="29"/>
  <c r="DN166" i="29"/>
  <c r="DO166" i="29"/>
  <c r="DP166" i="29"/>
  <c r="DQ166" i="29"/>
  <c r="DH167" i="29"/>
  <c r="DI167" i="29"/>
  <c r="DJ167" i="29"/>
  <c r="DK167" i="29"/>
  <c r="DL167" i="29"/>
  <c r="DM167" i="29"/>
  <c r="DN167" i="29"/>
  <c r="DO167" i="29"/>
  <c r="DP167" i="29"/>
  <c r="DQ167" i="29"/>
  <c r="DH168" i="29"/>
  <c r="DI168" i="29"/>
  <c r="DJ168" i="29"/>
  <c r="DK168" i="29"/>
  <c r="DL168" i="29"/>
  <c r="DM168" i="29"/>
  <c r="DN168" i="29"/>
  <c r="DO168" i="29"/>
  <c r="DP168" i="29"/>
  <c r="DQ168" i="29"/>
  <c r="DH169" i="29"/>
  <c r="DI169" i="29"/>
  <c r="DJ169" i="29"/>
  <c r="DK169" i="29"/>
  <c r="DL169" i="29"/>
  <c r="DM169" i="29"/>
  <c r="DN169" i="29"/>
  <c r="DO169" i="29"/>
  <c r="DP169" i="29"/>
  <c r="DQ169" i="29"/>
  <c r="DH170" i="29"/>
  <c r="DI170" i="29"/>
  <c r="DJ170" i="29"/>
  <c r="DK170" i="29"/>
  <c r="DL170" i="29"/>
  <c r="DM170" i="29"/>
  <c r="DN170" i="29"/>
  <c r="DO170" i="29"/>
  <c r="DP170" i="29"/>
  <c r="DQ170" i="29"/>
  <c r="DH171" i="29"/>
  <c r="DI171" i="29"/>
  <c r="DJ171" i="29"/>
  <c r="DK171" i="29"/>
  <c r="DL171" i="29"/>
  <c r="DM171" i="29"/>
  <c r="DN171" i="29"/>
  <c r="DO171" i="29"/>
  <c r="DP171" i="29"/>
  <c r="DQ171" i="29"/>
  <c r="DH172" i="29"/>
  <c r="DI172" i="29"/>
  <c r="DJ172" i="29"/>
  <c r="DK172" i="29"/>
  <c r="DL172" i="29"/>
  <c r="DM172" i="29"/>
  <c r="DN172" i="29"/>
  <c r="DO172" i="29"/>
  <c r="DP172" i="29"/>
  <c r="DQ172" i="29"/>
  <c r="DH173" i="29"/>
  <c r="DI173" i="29"/>
  <c r="DJ173" i="29"/>
  <c r="DK173" i="29"/>
  <c r="DL173" i="29"/>
  <c r="DM173" i="29"/>
  <c r="DN173" i="29"/>
  <c r="DO173" i="29"/>
  <c r="DP173" i="29"/>
  <c r="DQ173" i="29"/>
  <c r="DH174" i="29"/>
  <c r="DI174" i="29"/>
  <c r="DJ174" i="29"/>
  <c r="DK174" i="29"/>
  <c r="DL174" i="29"/>
  <c r="DM174" i="29"/>
  <c r="DN174" i="29"/>
  <c r="DO174" i="29"/>
  <c r="DP174" i="29"/>
  <c r="DQ174" i="29"/>
  <c r="DH175" i="29"/>
  <c r="DI175" i="29"/>
  <c r="DJ175" i="29"/>
  <c r="DK175" i="29"/>
  <c r="DL175" i="29"/>
  <c r="DM175" i="29"/>
  <c r="DN175" i="29"/>
  <c r="DO175" i="29"/>
  <c r="DP175" i="29"/>
  <c r="DQ175" i="29"/>
  <c r="DH176" i="29"/>
  <c r="DI176" i="29"/>
  <c r="DJ176" i="29"/>
  <c r="DK176" i="29"/>
  <c r="DL176" i="29"/>
  <c r="DM176" i="29"/>
  <c r="DN176" i="29"/>
  <c r="DO176" i="29"/>
  <c r="DP176" i="29"/>
  <c r="DQ176" i="29"/>
  <c r="DH177" i="29"/>
  <c r="DI177" i="29"/>
  <c r="DJ177" i="29"/>
  <c r="DK177" i="29"/>
  <c r="DL177" i="29"/>
  <c r="DM177" i="29"/>
  <c r="DN177" i="29"/>
  <c r="DO177" i="29"/>
  <c r="DP177" i="29"/>
  <c r="DQ177" i="29"/>
  <c r="DH178" i="29"/>
  <c r="DI178" i="29"/>
  <c r="DJ178" i="29"/>
  <c r="DK178" i="29"/>
  <c r="DL178" i="29"/>
  <c r="DM178" i="29"/>
  <c r="DN178" i="29"/>
  <c r="DO178" i="29"/>
  <c r="DP178" i="29"/>
  <c r="DQ178" i="29"/>
  <c r="DH179" i="29"/>
  <c r="DI179" i="29"/>
  <c r="DJ179" i="29"/>
  <c r="DK179" i="29"/>
  <c r="DL179" i="29"/>
  <c r="DM179" i="29"/>
  <c r="DN179" i="29"/>
  <c r="DO179" i="29"/>
  <c r="DP179" i="29"/>
  <c r="DQ179" i="29"/>
  <c r="DH180" i="29"/>
  <c r="DI180" i="29"/>
  <c r="DJ180" i="29"/>
  <c r="DK180" i="29"/>
  <c r="DL180" i="29"/>
  <c r="DM180" i="29"/>
  <c r="DN180" i="29"/>
  <c r="DO180" i="29"/>
  <c r="DP180" i="29"/>
  <c r="DQ180" i="29"/>
  <c r="DH181" i="29"/>
  <c r="DI181" i="29"/>
  <c r="DJ181" i="29"/>
  <c r="DK181" i="29"/>
  <c r="DL181" i="29"/>
  <c r="DM181" i="29"/>
  <c r="DN181" i="29"/>
  <c r="DO181" i="29"/>
  <c r="DP181" i="29"/>
  <c r="DQ181" i="29"/>
  <c r="DH182" i="29"/>
  <c r="DI182" i="29"/>
  <c r="DJ182" i="29"/>
  <c r="DK182" i="29"/>
  <c r="DL182" i="29"/>
  <c r="DM182" i="29"/>
  <c r="DN182" i="29"/>
  <c r="DO182" i="29"/>
  <c r="DP182" i="29"/>
  <c r="DQ182" i="29"/>
  <c r="DH183" i="29"/>
  <c r="DI183" i="29"/>
  <c r="DJ183" i="29"/>
  <c r="DK183" i="29"/>
  <c r="DL183" i="29"/>
  <c r="DM183" i="29"/>
  <c r="DN183" i="29"/>
  <c r="DO183" i="29"/>
  <c r="DP183" i="29"/>
  <c r="DQ183" i="29"/>
  <c r="DH184" i="29"/>
  <c r="DI184" i="29"/>
  <c r="DJ184" i="29"/>
  <c r="DK184" i="29"/>
  <c r="DL184" i="29"/>
  <c r="DM184" i="29"/>
  <c r="DN184" i="29"/>
  <c r="DO184" i="29"/>
  <c r="DP184" i="29"/>
  <c r="DQ184" i="29"/>
  <c r="DH185" i="29"/>
  <c r="DI185" i="29"/>
  <c r="DJ185" i="29"/>
  <c r="DK185" i="29"/>
  <c r="DL185" i="29"/>
  <c r="DM185" i="29"/>
  <c r="DN185" i="29"/>
  <c r="DO185" i="29"/>
  <c r="DP185" i="29"/>
  <c r="DQ185" i="29"/>
  <c r="DH186" i="29"/>
  <c r="DI186" i="29"/>
  <c r="DJ186" i="29"/>
  <c r="DK186" i="29"/>
  <c r="DL186" i="29"/>
  <c r="DM186" i="29"/>
  <c r="DN186" i="29"/>
  <c r="DO186" i="29"/>
  <c r="DP186" i="29"/>
  <c r="DQ186" i="29"/>
  <c r="DH187" i="29"/>
  <c r="DI187" i="29"/>
  <c r="DJ187" i="29"/>
  <c r="DK187" i="29"/>
  <c r="DL187" i="29"/>
  <c r="DM187" i="29"/>
  <c r="DN187" i="29"/>
  <c r="DO187" i="29"/>
  <c r="DP187" i="29"/>
  <c r="DQ187" i="29"/>
  <c r="DH188" i="29"/>
  <c r="DI188" i="29"/>
  <c r="DJ188" i="29"/>
  <c r="DK188" i="29"/>
  <c r="DL188" i="29"/>
  <c r="DM188" i="29"/>
  <c r="DN188" i="29"/>
  <c r="DO188" i="29"/>
  <c r="DP188" i="29"/>
  <c r="DQ188" i="29"/>
  <c r="DH189" i="29"/>
  <c r="DI189" i="29"/>
  <c r="DJ189" i="29"/>
  <c r="DK189" i="29"/>
  <c r="DL189" i="29"/>
  <c r="DM189" i="29"/>
  <c r="DN189" i="29"/>
  <c r="DO189" i="29"/>
  <c r="DP189" i="29"/>
  <c r="DQ189" i="29"/>
  <c r="DH190" i="29"/>
  <c r="DI190" i="29"/>
  <c r="DJ190" i="29"/>
  <c r="DK190" i="29"/>
  <c r="DL190" i="29"/>
  <c r="DM190" i="29"/>
  <c r="DN190" i="29"/>
  <c r="DO190" i="29"/>
  <c r="DP190" i="29"/>
  <c r="DQ190" i="29"/>
  <c r="DH191" i="29"/>
  <c r="DI191" i="29"/>
  <c r="DJ191" i="29"/>
  <c r="DK191" i="29"/>
  <c r="DL191" i="29"/>
  <c r="DM191" i="29"/>
  <c r="DN191" i="29"/>
  <c r="DO191" i="29"/>
  <c r="DP191" i="29"/>
  <c r="DQ191" i="29"/>
  <c r="DH192" i="29"/>
  <c r="DI192" i="29"/>
  <c r="DJ192" i="29"/>
  <c r="DK192" i="29"/>
  <c r="DL192" i="29"/>
  <c r="DM192" i="29"/>
  <c r="DN192" i="29"/>
  <c r="DO192" i="29"/>
  <c r="DP192" i="29"/>
  <c r="DQ192" i="29"/>
  <c r="DH193" i="29"/>
  <c r="DI193" i="29"/>
  <c r="DJ193" i="29"/>
  <c r="DK193" i="29"/>
  <c r="DL193" i="29"/>
  <c r="DM193" i="29"/>
  <c r="DN193" i="29"/>
  <c r="DO193" i="29"/>
  <c r="DP193" i="29"/>
  <c r="DQ193" i="29"/>
  <c r="DH194" i="29"/>
  <c r="DI194" i="29"/>
  <c r="DJ194" i="29"/>
  <c r="DK194" i="29"/>
  <c r="DL194" i="29"/>
  <c r="DM194" i="29"/>
  <c r="DN194" i="29"/>
  <c r="DO194" i="29"/>
  <c r="DP194" i="29"/>
  <c r="DQ194" i="29"/>
  <c r="DH195" i="29"/>
  <c r="DI195" i="29"/>
  <c r="DJ195" i="29"/>
  <c r="DK195" i="29"/>
  <c r="DL195" i="29"/>
  <c r="DM195" i="29"/>
  <c r="DN195" i="29"/>
  <c r="DO195" i="29"/>
  <c r="DP195" i="29"/>
  <c r="DQ195" i="29"/>
  <c r="DH196" i="29"/>
  <c r="DI196" i="29"/>
  <c r="DJ196" i="29"/>
  <c r="DK196" i="29"/>
  <c r="DL196" i="29"/>
  <c r="DM196" i="29"/>
  <c r="DN196" i="29"/>
  <c r="DO196" i="29"/>
  <c r="DP196" i="29"/>
  <c r="DQ196" i="29"/>
  <c r="DH197" i="29"/>
  <c r="DI197" i="29"/>
  <c r="DJ197" i="29"/>
  <c r="DK197" i="29"/>
  <c r="DL197" i="29"/>
  <c r="DM197" i="29"/>
  <c r="DN197" i="29"/>
  <c r="DO197" i="29"/>
  <c r="DP197" i="29"/>
  <c r="DQ197" i="29"/>
  <c r="DH198" i="29"/>
  <c r="DI198" i="29"/>
  <c r="DJ198" i="29"/>
  <c r="DK198" i="29"/>
  <c r="DL198" i="29"/>
  <c r="DM198" i="29"/>
  <c r="DN198" i="29"/>
  <c r="DO198" i="29"/>
  <c r="DP198" i="29"/>
  <c r="DQ198" i="29"/>
  <c r="DH199" i="29"/>
  <c r="DI199" i="29"/>
  <c r="DJ199" i="29"/>
  <c r="DK199" i="29"/>
  <c r="DL199" i="29"/>
  <c r="DM199" i="29"/>
  <c r="DN199" i="29"/>
  <c r="DO199" i="29"/>
  <c r="DP199" i="29"/>
  <c r="DQ199" i="29"/>
  <c r="DH200" i="29"/>
  <c r="DI200" i="29"/>
  <c r="DJ200" i="29"/>
  <c r="DK200" i="29"/>
  <c r="DL200" i="29"/>
  <c r="DM200" i="29"/>
  <c r="DN200" i="29"/>
  <c r="DO200" i="29"/>
  <c r="DP200" i="29"/>
  <c r="DQ200" i="29"/>
  <c r="DH201" i="29"/>
  <c r="DI201" i="29"/>
  <c r="DJ201" i="29"/>
  <c r="DK201" i="29"/>
  <c r="DL201" i="29"/>
  <c r="DM201" i="29"/>
  <c r="DN201" i="29"/>
  <c r="DO201" i="29"/>
  <c r="DP201" i="29"/>
  <c r="DQ201" i="29"/>
  <c r="DH202" i="29"/>
  <c r="DI202" i="29"/>
  <c r="DJ202" i="29"/>
  <c r="DK202" i="29"/>
  <c r="DL202" i="29"/>
  <c r="DM202" i="29"/>
  <c r="DN202" i="29"/>
  <c r="DO202" i="29"/>
  <c r="DP202" i="29"/>
  <c r="DQ202" i="29"/>
  <c r="DH203" i="29"/>
  <c r="DI203" i="29"/>
  <c r="DJ203" i="29"/>
  <c r="DK203" i="29"/>
  <c r="DL203" i="29"/>
  <c r="DM203" i="29"/>
  <c r="DN203" i="29"/>
  <c r="DO203" i="29"/>
  <c r="DP203" i="29"/>
  <c r="DQ203" i="29"/>
  <c r="DH204" i="29"/>
  <c r="DI204" i="29"/>
  <c r="DJ204" i="29"/>
  <c r="DK204" i="29"/>
  <c r="DL204" i="29"/>
  <c r="DM204" i="29"/>
  <c r="DN204" i="29"/>
  <c r="DO204" i="29"/>
  <c r="DP204" i="29"/>
  <c r="DQ204" i="29"/>
  <c r="DH205" i="29"/>
  <c r="DI205" i="29"/>
  <c r="DJ205" i="29"/>
  <c r="DK205" i="29"/>
  <c r="DL205" i="29"/>
  <c r="DM205" i="29"/>
  <c r="DN205" i="29"/>
  <c r="DO205" i="29"/>
  <c r="DP205" i="29"/>
  <c r="DQ205" i="29"/>
  <c r="DH206" i="29"/>
  <c r="DI206" i="29"/>
  <c r="DJ206" i="29"/>
  <c r="DK206" i="29"/>
  <c r="DL206" i="29"/>
  <c r="DM206" i="29"/>
  <c r="DN206" i="29"/>
  <c r="DO206" i="29"/>
  <c r="DP206" i="29"/>
  <c r="DQ206" i="29"/>
  <c r="DH207" i="29"/>
  <c r="DI207" i="29"/>
  <c r="DJ207" i="29"/>
  <c r="DK207" i="29"/>
  <c r="DL207" i="29"/>
  <c r="DM207" i="29"/>
  <c r="DN207" i="29"/>
  <c r="DO207" i="29"/>
  <c r="DP207" i="29"/>
  <c r="DQ207" i="29"/>
  <c r="DH208" i="29"/>
  <c r="DI208" i="29"/>
  <c r="DJ208" i="29"/>
  <c r="DK208" i="29"/>
  <c r="DL208" i="29"/>
  <c r="DM208" i="29"/>
  <c r="DN208" i="29"/>
  <c r="DO208" i="29"/>
  <c r="DP208" i="29"/>
  <c r="DQ208" i="29"/>
  <c r="DH209" i="29"/>
  <c r="DI209" i="29"/>
  <c r="DJ209" i="29"/>
  <c r="DK209" i="29"/>
  <c r="DL209" i="29"/>
  <c r="DM209" i="29"/>
  <c r="DN209" i="29"/>
  <c r="DO209" i="29"/>
  <c r="DP209" i="29"/>
  <c r="DQ209" i="29"/>
  <c r="DH210" i="29"/>
  <c r="DI210" i="29"/>
  <c r="DJ210" i="29"/>
  <c r="DK210" i="29"/>
  <c r="DL210" i="29"/>
  <c r="DM210" i="29"/>
  <c r="DN210" i="29"/>
  <c r="DO210" i="29"/>
  <c r="DP210" i="29"/>
  <c r="DQ210" i="29"/>
  <c r="DH211" i="29"/>
  <c r="DI211" i="29"/>
  <c r="DJ211" i="29"/>
  <c r="DK211" i="29"/>
  <c r="DL211" i="29"/>
  <c r="DM211" i="29"/>
  <c r="DN211" i="29"/>
  <c r="DO211" i="29"/>
  <c r="DP211" i="29"/>
  <c r="DQ211" i="29"/>
  <c r="DH212" i="29"/>
  <c r="DI212" i="29"/>
  <c r="DJ212" i="29"/>
  <c r="DK212" i="29"/>
  <c r="DL212" i="29"/>
  <c r="DM212" i="29"/>
  <c r="DN212" i="29"/>
  <c r="DO212" i="29"/>
  <c r="DP212" i="29"/>
  <c r="DQ212" i="29"/>
  <c r="DH213" i="29"/>
  <c r="DI213" i="29"/>
  <c r="DJ213" i="29"/>
  <c r="DK213" i="29"/>
  <c r="DL213" i="29"/>
  <c r="DM213" i="29"/>
  <c r="DN213" i="29"/>
  <c r="DO213" i="29"/>
  <c r="DP213" i="29"/>
  <c r="DQ213" i="29"/>
  <c r="DH214" i="29"/>
  <c r="DI214" i="29"/>
  <c r="DJ214" i="29"/>
  <c r="DK214" i="29"/>
  <c r="DL214" i="29"/>
  <c r="DM214" i="29"/>
  <c r="DN214" i="29"/>
  <c r="DO214" i="29"/>
  <c r="DP214" i="29"/>
  <c r="DQ214" i="29"/>
  <c r="DH215" i="29"/>
  <c r="DI215" i="29"/>
  <c r="DJ215" i="29"/>
  <c r="DK215" i="29"/>
  <c r="DL215" i="29"/>
  <c r="DM215" i="29"/>
  <c r="DN215" i="29"/>
  <c r="DO215" i="29"/>
  <c r="DP215" i="29"/>
  <c r="DQ215" i="29"/>
  <c r="DH216" i="29"/>
  <c r="DI216" i="29"/>
  <c r="DJ216" i="29"/>
  <c r="DK216" i="29"/>
  <c r="DL216" i="29"/>
  <c r="DM216" i="29"/>
  <c r="DN216" i="29"/>
  <c r="DO216" i="29"/>
  <c r="DP216" i="29"/>
  <c r="DQ216" i="29"/>
  <c r="DH217" i="29"/>
  <c r="DI217" i="29"/>
  <c r="DJ217" i="29"/>
  <c r="DK217" i="29"/>
  <c r="DL217" i="29"/>
  <c r="DM217" i="29"/>
  <c r="DN217" i="29"/>
  <c r="DO217" i="29"/>
  <c r="DP217" i="29"/>
  <c r="DQ217" i="29"/>
  <c r="DH218" i="29"/>
  <c r="DI218" i="29"/>
  <c r="DJ218" i="29"/>
  <c r="DK218" i="29"/>
  <c r="DL218" i="29"/>
  <c r="DM218" i="29"/>
  <c r="DN218" i="29"/>
  <c r="DO218" i="29"/>
  <c r="DP218" i="29"/>
  <c r="DQ218" i="29"/>
  <c r="DH219" i="29"/>
  <c r="DI219" i="29"/>
  <c r="DJ219" i="29"/>
  <c r="DK219" i="29"/>
  <c r="DL219" i="29"/>
  <c r="DM219" i="29"/>
  <c r="DN219" i="29"/>
  <c r="DO219" i="29"/>
  <c r="DP219" i="29"/>
  <c r="DQ219" i="29"/>
  <c r="DH220" i="29"/>
  <c r="DI220" i="29"/>
  <c r="DJ220" i="29"/>
  <c r="DK220" i="29"/>
  <c r="DL220" i="29"/>
  <c r="DM220" i="29"/>
  <c r="DN220" i="29"/>
  <c r="DO220" i="29"/>
  <c r="DP220" i="29"/>
  <c r="DQ220" i="29"/>
  <c r="DH221" i="29"/>
  <c r="DI221" i="29"/>
  <c r="DJ221" i="29"/>
  <c r="DK221" i="29"/>
  <c r="DL221" i="29"/>
  <c r="DM221" i="29"/>
  <c r="DN221" i="29"/>
  <c r="DO221" i="29"/>
  <c r="DP221" i="29"/>
  <c r="DQ221" i="29"/>
  <c r="DH222" i="29"/>
  <c r="DI222" i="29"/>
  <c r="DJ222" i="29"/>
  <c r="DK222" i="29"/>
  <c r="DL222" i="29"/>
  <c r="DM222" i="29"/>
  <c r="DN222" i="29"/>
  <c r="DO222" i="29"/>
  <c r="DP222" i="29"/>
  <c r="DQ222" i="29"/>
  <c r="DH223" i="29"/>
  <c r="DI223" i="29"/>
  <c r="DJ223" i="29"/>
  <c r="DK223" i="29"/>
  <c r="DL223" i="29"/>
  <c r="DM223" i="29"/>
  <c r="DN223" i="29"/>
  <c r="DO223" i="29"/>
  <c r="DP223" i="29"/>
  <c r="DQ223" i="29"/>
  <c r="DH224" i="29"/>
  <c r="DI224" i="29"/>
  <c r="DJ224" i="29"/>
  <c r="DK224" i="29"/>
  <c r="DL224" i="29"/>
  <c r="DM224" i="29"/>
  <c r="DN224" i="29"/>
  <c r="DO224" i="29"/>
  <c r="DP224" i="29"/>
  <c r="DQ224" i="29"/>
  <c r="DH225" i="29"/>
  <c r="DI225" i="29"/>
  <c r="DJ225" i="29"/>
  <c r="DK225" i="29"/>
  <c r="DL225" i="29"/>
  <c r="DM225" i="29"/>
  <c r="DN225" i="29"/>
  <c r="DO225" i="29"/>
  <c r="DP225" i="29"/>
  <c r="DQ225" i="29"/>
  <c r="DH226" i="29"/>
  <c r="DI226" i="29"/>
  <c r="DJ226" i="29"/>
  <c r="DK226" i="29"/>
  <c r="DL226" i="29"/>
  <c r="DM226" i="29"/>
  <c r="DN226" i="29"/>
  <c r="DO226" i="29"/>
  <c r="DP226" i="29"/>
  <c r="DQ226" i="29"/>
  <c r="DH227" i="29"/>
  <c r="DI227" i="29"/>
  <c r="DJ227" i="29"/>
  <c r="DK227" i="29"/>
  <c r="DL227" i="29"/>
  <c r="DM227" i="29"/>
  <c r="DN227" i="29"/>
  <c r="DO227" i="29"/>
  <c r="DP227" i="29"/>
  <c r="DQ227" i="29"/>
  <c r="DH228" i="29"/>
  <c r="DI228" i="29"/>
  <c r="DJ228" i="29"/>
  <c r="DK228" i="29"/>
  <c r="DL228" i="29"/>
  <c r="DM228" i="29"/>
  <c r="DN228" i="29"/>
  <c r="DO228" i="29"/>
  <c r="DP228" i="29"/>
  <c r="DQ228" i="29"/>
  <c r="DH229" i="29"/>
  <c r="DI229" i="29"/>
  <c r="DJ229" i="29"/>
  <c r="DK229" i="29"/>
  <c r="DL229" i="29"/>
  <c r="DM229" i="29"/>
  <c r="DN229" i="29"/>
  <c r="DO229" i="29"/>
  <c r="DP229" i="29"/>
  <c r="DQ229" i="29"/>
  <c r="DH230" i="29"/>
  <c r="DI230" i="29"/>
  <c r="DJ230" i="29"/>
  <c r="DK230" i="29"/>
  <c r="DL230" i="29"/>
  <c r="DM230" i="29"/>
  <c r="DN230" i="29"/>
  <c r="DO230" i="29"/>
  <c r="DP230" i="29"/>
  <c r="DQ230" i="29"/>
  <c r="DH231" i="29"/>
  <c r="DI231" i="29"/>
  <c r="DJ231" i="29"/>
  <c r="DK231" i="29"/>
  <c r="DL231" i="29"/>
  <c r="DM231" i="29"/>
  <c r="DN231" i="29"/>
  <c r="DO231" i="29"/>
  <c r="DP231" i="29"/>
  <c r="DQ231" i="29"/>
  <c r="DH232" i="29"/>
  <c r="DI232" i="29"/>
  <c r="DJ232" i="29"/>
  <c r="DK232" i="29"/>
  <c r="DL232" i="29"/>
  <c r="DM232" i="29"/>
  <c r="DN232" i="29"/>
  <c r="DO232" i="29"/>
  <c r="DP232" i="29"/>
  <c r="DQ232" i="29"/>
  <c r="DH233" i="29"/>
  <c r="DI233" i="29"/>
  <c r="DJ233" i="29"/>
  <c r="DK233" i="29"/>
  <c r="DL233" i="29"/>
  <c r="DM233" i="29"/>
  <c r="DN233" i="29"/>
  <c r="DO233" i="29"/>
  <c r="DP233" i="29"/>
  <c r="DQ233" i="29"/>
  <c r="DH234" i="29"/>
  <c r="DI234" i="29"/>
  <c r="DJ234" i="29"/>
  <c r="DK234" i="29"/>
  <c r="DL234" i="29"/>
  <c r="DM234" i="29"/>
  <c r="DN234" i="29"/>
  <c r="DO234" i="29"/>
  <c r="DP234" i="29"/>
  <c r="DQ234" i="29"/>
  <c r="DH235" i="29"/>
  <c r="DI235" i="29"/>
  <c r="DJ235" i="29"/>
  <c r="DK235" i="29"/>
  <c r="DL235" i="29"/>
  <c r="DM235" i="29"/>
  <c r="DN235" i="29"/>
  <c r="DO235" i="29"/>
  <c r="DP235" i="29"/>
  <c r="DQ235" i="29"/>
  <c r="DH236" i="29"/>
  <c r="DI236" i="29"/>
  <c r="DJ236" i="29"/>
  <c r="DK236" i="29"/>
  <c r="DL236" i="29"/>
  <c r="DM236" i="29"/>
  <c r="DN236" i="29"/>
  <c r="DO236" i="29"/>
  <c r="DP236" i="29"/>
  <c r="DQ236" i="29"/>
  <c r="DH237" i="29"/>
  <c r="DI237" i="29"/>
  <c r="DJ237" i="29"/>
  <c r="DK237" i="29"/>
  <c r="DL237" i="29"/>
  <c r="DM237" i="29"/>
  <c r="DN237" i="29"/>
  <c r="DO237" i="29"/>
  <c r="DP237" i="29"/>
  <c r="DQ237" i="29"/>
  <c r="DH238" i="29"/>
  <c r="DI238" i="29"/>
  <c r="DJ238" i="29"/>
  <c r="DK238" i="29"/>
  <c r="DL238" i="29"/>
  <c r="DM238" i="29"/>
  <c r="DN238" i="29"/>
  <c r="DO238" i="29"/>
  <c r="DP238" i="29"/>
  <c r="DQ238" i="29"/>
  <c r="DH239" i="29"/>
  <c r="DI239" i="29"/>
  <c r="DJ239" i="29"/>
  <c r="DK239" i="29"/>
  <c r="DL239" i="29"/>
  <c r="DM239" i="29"/>
  <c r="DN239" i="29"/>
  <c r="DO239" i="29"/>
  <c r="DP239" i="29"/>
  <c r="DQ239" i="29"/>
  <c r="DH240" i="29"/>
  <c r="DI240" i="29"/>
  <c r="DJ240" i="29"/>
  <c r="DK240" i="29"/>
  <c r="DL240" i="29"/>
  <c r="DM240" i="29"/>
  <c r="DN240" i="29"/>
  <c r="DO240" i="29"/>
  <c r="DP240" i="29"/>
  <c r="DQ240" i="29"/>
  <c r="DH241" i="29"/>
  <c r="DI241" i="29"/>
  <c r="DJ241" i="29"/>
  <c r="DK241" i="29"/>
  <c r="DL241" i="29"/>
  <c r="DM241" i="29"/>
  <c r="DN241" i="29"/>
  <c r="DO241" i="29"/>
  <c r="DP241" i="29"/>
  <c r="DQ241" i="29"/>
  <c r="DH242" i="29"/>
  <c r="DI242" i="29"/>
  <c r="DJ242" i="29"/>
  <c r="DK242" i="29"/>
  <c r="DL242" i="29"/>
  <c r="DM242" i="29"/>
  <c r="DN242" i="29"/>
  <c r="DO242" i="29"/>
  <c r="DP242" i="29"/>
  <c r="DQ242" i="29"/>
  <c r="DH243" i="29"/>
  <c r="DI243" i="29"/>
  <c r="DJ243" i="29"/>
  <c r="DK243" i="29"/>
  <c r="DL243" i="29"/>
  <c r="DM243" i="29"/>
  <c r="DN243" i="29"/>
  <c r="DO243" i="29"/>
  <c r="DP243" i="29"/>
  <c r="DQ243" i="29"/>
  <c r="DH244" i="29"/>
  <c r="DI244" i="29"/>
  <c r="DJ244" i="29"/>
  <c r="DK244" i="29"/>
  <c r="DL244" i="29"/>
  <c r="DM244" i="29"/>
  <c r="DN244" i="29"/>
  <c r="DO244" i="29"/>
  <c r="DP244" i="29"/>
  <c r="DQ244" i="29"/>
  <c r="DH245" i="29"/>
  <c r="DI245" i="29"/>
  <c r="DJ245" i="29"/>
  <c r="DK245" i="29"/>
  <c r="DL245" i="29"/>
  <c r="DM245" i="29"/>
  <c r="DN245" i="29"/>
  <c r="DO245" i="29"/>
  <c r="DP245" i="29"/>
  <c r="DQ245" i="29"/>
  <c r="DH246" i="29"/>
  <c r="DI246" i="29"/>
  <c r="DJ246" i="29"/>
  <c r="DK246" i="29"/>
  <c r="DL246" i="29"/>
  <c r="DM246" i="29"/>
  <c r="DN246" i="29"/>
  <c r="DO246" i="29"/>
  <c r="DP246" i="29"/>
  <c r="DQ246" i="29"/>
  <c r="DH247" i="29"/>
  <c r="DI247" i="29"/>
  <c r="DJ247" i="29"/>
  <c r="DK247" i="29"/>
  <c r="DL247" i="29"/>
  <c r="DM247" i="29"/>
  <c r="DN247" i="29"/>
  <c r="DO247" i="29"/>
  <c r="DP247" i="29"/>
  <c r="DQ247" i="29"/>
  <c r="DH248" i="29"/>
  <c r="DI248" i="29"/>
  <c r="DJ248" i="29"/>
  <c r="DK248" i="29"/>
  <c r="DL248" i="29"/>
  <c r="DM248" i="29"/>
  <c r="DN248" i="29"/>
  <c r="DO248" i="29"/>
  <c r="DP248" i="29"/>
  <c r="DQ248" i="29"/>
  <c r="DH249" i="29"/>
  <c r="DI249" i="29"/>
  <c r="DJ249" i="29"/>
  <c r="DK249" i="29"/>
  <c r="DL249" i="29"/>
  <c r="DM249" i="29"/>
  <c r="DN249" i="29"/>
  <c r="DO249" i="29"/>
  <c r="DP249" i="29"/>
  <c r="DQ249" i="29"/>
  <c r="DH250" i="29"/>
  <c r="DI250" i="29"/>
  <c r="DJ250" i="29"/>
  <c r="DK250" i="29"/>
  <c r="DL250" i="29"/>
  <c r="DM250" i="29"/>
  <c r="DN250" i="29"/>
  <c r="DO250" i="29"/>
  <c r="DP250" i="29"/>
  <c r="DQ250" i="29"/>
  <c r="DH251" i="29"/>
  <c r="DI251" i="29"/>
  <c r="DJ251" i="29"/>
  <c r="DK251" i="29"/>
  <c r="DL251" i="29"/>
  <c r="DM251" i="29"/>
  <c r="DN251" i="29"/>
  <c r="DO251" i="29"/>
  <c r="DP251" i="29"/>
  <c r="DQ251" i="29"/>
  <c r="DH252" i="29"/>
  <c r="DI252" i="29"/>
  <c r="DJ252" i="29"/>
  <c r="DK252" i="29"/>
  <c r="DL252" i="29"/>
  <c r="DM252" i="29"/>
  <c r="DN252" i="29"/>
  <c r="DO252" i="29"/>
  <c r="DP252" i="29"/>
  <c r="DQ252" i="29"/>
  <c r="DH253" i="29"/>
  <c r="DI253" i="29"/>
  <c r="DJ253" i="29"/>
  <c r="DK253" i="29"/>
  <c r="DL253" i="29"/>
  <c r="DM253" i="29"/>
  <c r="DN253" i="29"/>
  <c r="DO253" i="29"/>
  <c r="DP253" i="29"/>
  <c r="DQ253" i="29"/>
  <c r="DH254" i="29"/>
  <c r="DI254" i="29"/>
  <c r="DJ254" i="29"/>
  <c r="DK254" i="29"/>
  <c r="DL254" i="29"/>
  <c r="DM254" i="29"/>
  <c r="DN254" i="29"/>
  <c r="DO254" i="29"/>
  <c r="DP254" i="29"/>
  <c r="DQ254" i="29"/>
  <c r="DH255" i="29"/>
  <c r="DI255" i="29"/>
  <c r="DJ255" i="29"/>
  <c r="DK255" i="29"/>
  <c r="DL255" i="29"/>
  <c r="DM255" i="29"/>
  <c r="DN255" i="29"/>
  <c r="DO255" i="29"/>
  <c r="DP255" i="29"/>
  <c r="DQ255" i="29"/>
  <c r="DH256" i="29"/>
  <c r="DI256" i="29"/>
  <c r="DJ256" i="29"/>
  <c r="DK256" i="29"/>
  <c r="DL256" i="29"/>
  <c r="DM256" i="29"/>
  <c r="DN256" i="29"/>
  <c r="DO256" i="29"/>
  <c r="DP256" i="29"/>
  <c r="DQ256" i="29"/>
  <c r="DH257" i="29"/>
  <c r="DI257" i="29"/>
  <c r="DJ257" i="29"/>
  <c r="DK257" i="29"/>
  <c r="DL257" i="29"/>
  <c r="DM257" i="29"/>
  <c r="DN257" i="29"/>
  <c r="DO257" i="29"/>
  <c r="DP257" i="29"/>
  <c r="DQ257" i="29"/>
  <c r="DH258" i="29"/>
  <c r="DI258" i="29"/>
  <c r="DJ258" i="29"/>
  <c r="DK258" i="29"/>
  <c r="DL258" i="29"/>
  <c r="DM258" i="29"/>
  <c r="DN258" i="29"/>
  <c r="DO258" i="29"/>
  <c r="DP258" i="29"/>
  <c r="DQ258" i="29"/>
  <c r="DH259" i="29"/>
  <c r="DI259" i="29"/>
  <c r="DJ259" i="29"/>
  <c r="DK259" i="29"/>
  <c r="DL259" i="29"/>
  <c r="DM259" i="29"/>
  <c r="DN259" i="29"/>
  <c r="DO259" i="29"/>
  <c r="DP259" i="29"/>
  <c r="DQ259" i="29"/>
  <c r="DH260" i="29"/>
  <c r="DI260" i="29"/>
  <c r="DJ260" i="29"/>
  <c r="DK260" i="29"/>
  <c r="DL260" i="29"/>
  <c r="DM260" i="29"/>
  <c r="DN260" i="29"/>
  <c r="DO260" i="29"/>
  <c r="DP260" i="29"/>
  <c r="DQ260" i="29"/>
  <c r="DH261" i="29"/>
  <c r="DI261" i="29"/>
  <c r="DJ261" i="29"/>
  <c r="DK261" i="29"/>
  <c r="DL261" i="29"/>
  <c r="DM261" i="29"/>
  <c r="DN261" i="29"/>
  <c r="DO261" i="29"/>
  <c r="DP261" i="29"/>
  <c r="DQ261" i="29"/>
  <c r="DH262" i="29"/>
  <c r="DI262" i="29"/>
  <c r="DJ262" i="29"/>
  <c r="DK262" i="29"/>
  <c r="DL262" i="29"/>
  <c r="DM262" i="29"/>
  <c r="DN262" i="29"/>
  <c r="DO262" i="29"/>
  <c r="DP262" i="29"/>
  <c r="DQ262" i="29"/>
  <c r="DH263" i="29"/>
  <c r="DI263" i="29"/>
  <c r="DJ263" i="29"/>
  <c r="DK263" i="29"/>
  <c r="DL263" i="29"/>
  <c r="DM263" i="29"/>
  <c r="DN263" i="29"/>
  <c r="DO263" i="29"/>
  <c r="DP263" i="29"/>
  <c r="DQ263" i="29"/>
  <c r="DH264" i="29"/>
  <c r="DI264" i="29"/>
  <c r="DJ264" i="29"/>
  <c r="DK264" i="29"/>
  <c r="DL264" i="29"/>
  <c r="DM264" i="29"/>
  <c r="DN264" i="29"/>
  <c r="DO264" i="29"/>
  <c r="DP264" i="29"/>
  <c r="DQ264" i="29"/>
  <c r="DH265" i="29"/>
  <c r="DI265" i="29"/>
  <c r="DJ265" i="29"/>
  <c r="DK265" i="29"/>
  <c r="DL265" i="29"/>
  <c r="DM265" i="29"/>
  <c r="DN265" i="29"/>
  <c r="DO265" i="29"/>
  <c r="DP265" i="29"/>
  <c r="DQ265" i="29"/>
  <c r="DH266" i="29"/>
  <c r="DI266" i="29"/>
  <c r="DJ266" i="29"/>
  <c r="DK266" i="29"/>
  <c r="DL266" i="29"/>
  <c r="DM266" i="29"/>
  <c r="DN266" i="29"/>
  <c r="DO266" i="29"/>
  <c r="DP266" i="29"/>
  <c r="DQ266" i="29"/>
  <c r="DH267" i="29"/>
  <c r="DI267" i="29"/>
  <c r="DJ267" i="29"/>
  <c r="DK267" i="29"/>
  <c r="DL267" i="29"/>
  <c r="DM267" i="29"/>
  <c r="DN267" i="29"/>
  <c r="DO267" i="29"/>
  <c r="DP267" i="29"/>
  <c r="DQ267" i="29"/>
  <c r="DH268" i="29"/>
  <c r="DI268" i="29"/>
  <c r="DJ268" i="29"/>
  <c r="DK268" i="29"/>
  <c r="DL268" i="29"/>
  <c r="DM268" i="29"/>
  <c r="DN268" i="29"/>
  <c r="DO268" i="29"/>
  <c r="DP268" i="29"/>
  <c r="DQ268" i="29"/>
  <c r="DH269" i="29"/>
  <c r="DI269" i="29"/>
  <c r="DJ269" i="29"/>
  <c r="DK269" i="29"/>
  <c r="DL269" i="29"/>
  <c r="DM269" i="29"/>
  <c r="DN269" i="29"/>
  <c r="DO269" i="29"/>
  <c r="DP269" i="29"/>
  <c r="DQ269" i="29"/>
  <c r="DH270" i="29"/>
  <c r="DI270" i="29"/>
  <c r="DJ270" i="29"/>
  <c r="DK270" i="29"/>
  <c r="DL270" i="29"/>
  <c r="DM270" i="29"/>
  <c r="DN270" i="29"/>
  <c r="DO270" i="29"/>
  <c r="DP270" i="29"/>
  <c r="DQ270" i="29"/>
  <c r="DH271" i="29"/>
  <c r="DI271" i="29"/>
  <c r="DJ271" i="29"/>
  <c r="DK271" i="29"/>
  <c r="DL271" i="29"/>
  <c r="DM271" i="29"/>
  <c r="DN271" i="29"/>
  <c r="DO271" i="29"/>
  <c r="DP271" i="29"/>
  <c r="DQ271" i="29"/>
  <c r="DH272" i="29"/>
  <c r="DI272" i="29"/>
  <c r="DJ272" i="29"/>
  <c r="DK272" i="29"/>
  <c r="DL272" i="29"/>
  <c r="DM272" i="29"/>
  <c r="DN272" i="29"/>
  <c r="DO272" i="29"/>
  <c r="DP272" i="29"/>
  <c r="DQ272" i="29"/>
  <c r="DH273" i="29"/>
  <c r="DI273" i="29"/>
  <c r="DJ273" i="29"/>
  <c r="DK273" i="29"/>
  <c r="DL273" i="29"/>
  <c r="DM273" i="29"/>
  <c r="DN273" i="29"/>
  <c r="DO273" i="29"/>
  <c r="DP273" i="29"/>
  <c r="DQ273" i="29"/>
  <c r="DH274" i="29"/>
  <c r="DI274" i="29"/>
  <c r="DJ274" i="29"/>
  <c r="DK274" i="29"/>
  <c r="DL274" i="29"/>
  <c r="DM274" i="29"/>
  <c r="DN274" i="29"/>
  <c r="DO274" i="29"/>
  <c r="DP274" i="29"/>
  <c r="DQ274" i="29"/>
  <c r="DH275" i="29"/>
  <c r="DI275" i="29"/>
  <c r="DJ275" i="29"/>
  <c r="DK275" i="29"/>
  <c r="DL275" i="29"/>
  <c r="DM275" i="29"/>
  <c r="DN275" i="29"/>
  <c r="DO275" i="29"/>
  <c r="DP275" i="29"/>
  <c r="DQ275" i="29"/>
  <c r="DH276" i="29"/>
  <c r="DI276" i="29"/>
  <c r="DJ276" i="29"/>
  <c r="DK276" i="29"/>
  <c r="DL276" i="29"/>
  <c r="DM276" i="29"/>
  <c r="DN276" i="29"/>
  <c r="DO276" i="29"/>
  <c r="DP276" i="29"/>
  <c r="DQ276" i="29"/>
  <c r="DH277" i="29"/>
  <c r="DI277" i="29"/>
  <c r="DJ277" i="29"/>
  <c r="DK277" i="29"/>
  <c r="DL277" i="29"/>
  <c r="DM277" i="29"/>
  <c r="DN277" i="29"/>
  <c r="DO277" i="29"/>
  <c r="DP277" i="29"/>
  <c r="DQ277" i="29"/>
  <c r="DH278" i="29"/>
  <c r="DI278" i="29"/>
  <c r="DJ278" i="29"/>
  <c r="DK278" i="29"/>
  <c r="DL278" i="29"/>
  <c r="DM278" i="29"/>
  <c r="DN278" i="29"/>
  <c r="DO278" i="29"/>
  <c r="DP278" i="29"/>
  <c r="DQ278" i="29"/>
  <c r="DH279" i="29"/>
  <c r="DI279" i="29"/>
  <c r="DJ279" i="29"/>
  <c r="DK279" i="29"/>
  <c r="DL279" i="29"/>
  <c r="DM279" i="29"/>
  <c r="DN279" i="29"/>
  <c r="DO279" i="29"/>
  <c r="DP279" i="29"/>
  <c r="DQ279" i="29"/>
  <c r="DH280" i="29"/>
  <c r="DI280" i="29"/>
  <c r="DJ280" i="29"/>
  <c r="DK280" i="29"/>
  <c r="DL280" i="29"/>
  <c r="DM280" i="29"/>
  <c r="DN280" i="29"/>
  <c r="DO280" i="29"/>
  <c r="DP280" i="29"/>
  <c r="DQ280" i="29"/>
  <c r="DH281" i="29"/>
  <c r="DI281" i="29"/>
  <c r="DJ281" i="29"/>
  <c r="DK281" i="29"/>
  <c r="DL281" i="29"/>
  <c r="DM281" i="29"/>
  <c r="DN281" i="29"/>
  <c r="DO281" i="29"/>
  <c r="DP281" i="29"/>
  <c r="DQ281" i="29"/>
  <c r="DH282" i="29"/>
  <c r="DI282" i="29"/>
  <c r="DJ282" i="29"/>
  <c r="DK282" i="29"/>
  <c r="DL282" i="29"/>
  <c r="DM282" i="29"/>
  <c r="DN282" i="29"/>
  <c r="DO282" i="29"/>
  <c r="DP282" i="29"/>
  <c r="DQ282" i="29"/>
  <c r="DH283" i="29"/>
  <c r="DI283" i="29"/>
  <c r="DJ283" i="29"/>
  <c r="DK283" i="29"/>
  <c r="DL283" i="29"/>
  <c r="DM283" i="29"/>
  <c r="DN283" i="29"/>
  <c r="DO283" i="29"/>
  <c r="DP283" i="29"/>
  <c r="DQ283" i="29"/>
  <c r="DH284" i="29"/>
  <c r="DI284" i="29"/>
  <c r="DJ284" i="29"/>
  <c r="DK284" i="29"/>
  <c r="DL284" i="29"/>
  <c r="DM284" i="29"/>
  <c r="DN284" i="29"/>
  <c r="DO284" i="29"/>
  <c r="DP284" i="29"/>
  <c r="DQ284" i="29"/>
  <c r="DH285" i="29"/>
  <c r="DI285" i="29"/>
  <c r="DJ285" i="29"/>
  <c r="DK285" i="29"/>
  <c r="DL285" i="29"/>
  <c r="DM285" i="29"/>
  <c r="DN285" i="29"/>
  <c r="DO285" i="29"/>
  <c r="DP285" i="29"/>
  <c r="DQ285" i="29"/>
  <c r="DH286" i="29"/>
  <c r="DI286" i="29"/>
  <c r="DJ286" i="29"/>
  <c r="DK286" i="29"/>
  <c r="DL286" i="29"/>
  <c r="DM286" i="29"/>
  <c r="DN286" i="29"/>
  <c r="DO286" i="29"/>
  <c r="DP286" i="29"/>
  <c r="DQ286" i="29"/>
  <c r="DH287" i="29"/>
  <c r="DI287" i="29"/>
  <c r="DJ287" i="29"/>
  <c r="DK287" i="29"/>
  <c r="DL287" i="29"/>
  <c r="DM287" i="29"/>
  <c r="DN287" i="29"/>
  <c r="DO287" i="29"/>
  <c r="DP287" i="29"/>
  <c r="DQ287" i="29"/>
  <c r="DH288" i="29"/>
  <c r="DI288" i="29"/>
  <c r="DJ288" i="29"/>
  <c r="DK288" i="29"/>
  <c r="DL288" i="29"/>
  <c r="DM288" i="29"/>
  <c r="DN288" i="29"/>
  <c r="DO288" i="29"/>
  <c r="DP288" i="29"/>
  <c r="DQ288" i="29"/>
  <c r="DH289" i="29"/>
  <c r="DI289" i="29"/>
  <c r="DJ289" i="29"/>
  <c r="DK289" i="29"/>
  <c r="DL289" i="29"/>
  <c r="DM289" i="29"/>
  <c r="DN289" i="29"/>
  <c r="DO289" i="29"/>
  <c r="DP289" i="29"/>
  <c r="DQ289" i="29"/>
  <c r="DH290" i="29"/>
  <c r="DI290" i="29"/>
  <c r="DJ290" i="29"/>
  <c r="DK290" i="29"/>
  <c r="DL290" i="29"/>
  <c r="DM290" i="29"/>
  <c r="DN290" i="29"/>
  <c r="DO290" i="29"/>
  <c r="DP290" i="29"/>
  <c r="DQ290" i="29"/>
  <c r="DH291" i="29"/>
  <c r="DI291" i="29"/>
  <c r="DJ291" i="29"/>
  <c r="DK291" i="29"/>
  <c r="DL291" i="29"/>
  <c r="DM291" i="29"/>
  <c r="DN291" i="29"/>
  <c r="DO291" i="29"/>
  <c r="DP291" i="29"/>
  <c r="DQ291" i="29"/>
  <c r="DH292" i="29"/>
  <c r="DI292" i="29"/>
  <c r="DJ292" i="29"/>
  <c r="DK292" i="29"/>
  <c r="DL292" i="29"/>
  <c r="DM292" i="29"/>
  <c r="DN292" i="29"/>
  <c r="DO292" i="29"/>
  <c r="DP292" i="29"/>
  <c r="DQ292" i="29"/>
  <c r="DH293" i="29"/>
  <c r="DI293" i="29"/>
  <c r="DJ293" i="29"/>
  <c r="DK293" i="29"/>
  <c r="DL293" i="29"/>
  <c r="DM293" i="29"/>
  <c r="DN293" i="29"/>
  <c r="DO293" i="29"/>
  <c r="DP293" i="29"/>
  <c r="DQ293" i="29"/>
  <c r="DH294" i="29"/>
  <c r="DI294" i="29"/>
  <c r="DJ294" i="29"/>
  <c r="DK294" i="29"/>
  <c r="DL294" i="29"/>
  <c r="DM294" i="29"/>
  <c r="DN294" i="29"/>
  <c r="DO294" i="29"/>
  <c r="DP294" i="29"/>
  <c r="DQ294" i="29"/>
  <c r="DH295" i="29"/>
  <c r="DI295" i="29"/>
  <c r="DJ295" i="29"/>
  <c r="DK295" i="29"/>
  <c r="DL295" i="29"/>
  <c r="DM295" i="29"/>
  <c r="DN295" i="29"/>
  <c r="DO295" i="29"/>
  <c r="DP295" i="29"/>
  <c r="DQ295" i="29"/>
  <c r="DH296" i="29"/>
  <c r="DI296" i="29"/>
  <c r="DJ296" i="29"/>
  <c r="DK296" i="29"/>
  <c r="DL296" i="29"/>
  <c r="DM296" i="29"/>
  <c r="DN296" i="29"/>
  <c r="DO296" i="29"/>
  <c r="DP296" i="29"/>
  <c r="DQ296" i="29"/>
  <c r="DH297" i="29"/>
  <c r="DI297" i="29"/>
  <c r="DJ297" i="29"/>
  <c r="DK297" i="29"/>
  <c r="DL297" i="29"/>
  <c r="DM297" i="29"/>
  <c r="DN297" i="29"/>
  <c r="DO297" i="29"/>
  <c r="DP297" i="29"/>
  <c r="DQ297" i="29"/>
  <c r="DH298" i="29"/>
  <c r="DI298" i="29"/>
  <c r="DJ298" i="29"/>
  <c r="DK298" i="29"/>
  <c r="DL298" i="29"/>
  <c r="DM298" i="29"/>
  <c r="DN298" i="29"/>
  <c r="DO298" i="29"/>
  <c r="DP298" i="29"/>
  <c r="DQ298" i="29"/>
  <c r="DH299" i="29"/>
  <c r="DI299" i="29"/>
  <c r="DJ299" i="29"/>
  <c r="DK299" i="29"/>
  <c r="DL299" i="29"/>
  <c r="DM299" i="29"/>
  <c r="DN299" i="29"/>
  <c r="DO299" i="29"/>
  <c r="DP299" i="29"/>
  <c r="DQ299" i="29"/>
  <c r="DH300" i="29"/>
  <c r="DI300" i="29"/>
  <c r="DJ300" i="29"/>
  <c r="DK300" i="29"/>
  <c r="DL300" i="29"/>
  <c r="DM300" i="29"/>
  <c r="DN300" i="29"/>
  <c r="DO300" i="29"/>
  <c r="DP300" i="29"/>
  <c r="DQ300" i="29"/>
  <c r="DH301" i="29"/>
  <c r="DI301" i="29"/>
  <c r="DJ301" i="29"/>
  <c r="DK301" i="29"/>
  <c r="DL301" i="29"/>
  <c r="DM301" i="29"/>
  <c r="DN301" i="29"/>
  <c r="DO301" i="29"/>
  <c r="DP301" i="29"/>
  <c r="DQ301" i="29"/>
  <c r="DH302" i="29"/>
  <c r="DI302" i="29"/>
  <c r="DJ302" i="29"/>
  <c r="DK302" i="29"/>
  <c r="DL302" i="29"/>
  <c r="DM302" i="29"/>
  <c r="DN302" i="29"/>
  <c r="DO302" i="29"/>
  <c r="DP302" i="29"/>
  <c r="DQ302" i="29"/>
  <c r="DH303" i="29"/>
  <c r="DI303" i="29"/>
  <c r="DJ303" i="29"/>
  <c r="DK303" i="29"/>
  <c r="DL303" i="29"/>
  <c r="DM303" i="29"/>
  <c r="DN303" i="29"/>
  <c r="DO303" i="29"/>
  <c r="DP303" i="29"/>
  <c r="DQ303" i="29"/>
  <c r="DH304" i="29"/>
  <c r="DI304" i="29"/>
  <c r="DJ304" i="29"/>
  <c r="DK304" i="29"/>
  <c r="DL304" i="29"/>
  <c r="DM304" i="29"/>
  <c r="DN304" i="29"/>
  <c r="DO304" i="29"/>
  <c r="DP304" i="29"/>
  <c r="DQ304" i="29"/>
  <c r="DH305" i="29"/>
  <c r="DI305" i="29"/>
  <c r="DJ305" i="29"/>
  <c r="DK305" i="29"/>
  <c r="DL305" i="29"/>
  <c r="DM305" i="29"/>
  <c r="DN305" i="29"/>
  <c r="DO305" i="29"/>
  <c r="DP305" i="29"/>
  <c r="DQ305" i="29"/>
  <c r="DH306" i="29"/>
  <c r="DI306" i="29"/>
  <c r="DJ306" i="29"/>
  <c r="DK306" i="29"/>
  <c r="DL306" i="29"/>
  <c r="DM306" i="29"/>
  <c r="DN306" i="29"/>
  <c r="DO306" i="29"/>
  <c r="DP306" i="29"/>
  <c r="DQ306" i="29"/>
  <c r="DH307" i="29"/>
  <c r="DI307" i="29"/>
  <c r="DJ307" i="29"/>
  <c r="DK307" i="29"/>
  <c r="DL307" i="29"/>
  <c r="DM307" i="29"/>
  <c r="DN307" i="29"/>
  <c r="DO307" i="29"/>
  <c r="DP307" i="29"/>
  <c r="DQ307" i="29"/>
  <c r="DH308" i="29"/>
  <c r="DI308" i="29"/>
  <c r="DJ308" i="29"/>
  <c r="DK308" i="29"/>
  <c r="DL308" i="29"/>
  <c r="DM308" i="29"/>
  <c r="DN308" i="29"/>
  <c r="DO308" i="29"/>
  <c r="DP308" i="29"/>
  <c r="DQ308" i="29"/>
  <c r="DH309" i="29"/>
  <c r="DI309" i="29"/>
  <c r="DJ309" i="29"/>
  <c r="DK309" i="29"/>
  <c r="DL309" i="29"/>
  <c r="DM309" i="29"/>
  <c r="DN309" i="29"/>
  <c r="DO309" i="29"/>
  <c r="DP309" i="29"/>
  <c r="DQ309" i="29"/>
  <c r="DH310" i="29"/>
  <c r="DI310" i="29"/>
  <c r="DJ310" i="29"/>
  <c r="DK310" i="29"/>
  <c r="DL310" i="29"/>
  <c r="DM310" i="29"/>
  <c r="DN310" i="29"/>
  <c r="DO310" i="29"/>
  <c r="DP310" i="29"/>
  <c r="DQ310" i="29"/>
  <c r="DH311" i="29"/>
  <c r="DI311" i="29"/>
  <c r="DJ311" i="29"/>
  <c r="DK311" i="29"/>
  <c r="DL311" i="29"/>
  <c r="DM311" i="29"/>
  <c r="DN311" i="29"/>
  <c r="DO311" i="29"/>
  <c r="DP311" i="29"/>
  <c r="DQ311" i="29"/>
  <c r="DH312" i="29"/>
  <c r="DI312" i="29"/>
  <c r="DJ312" i="29"/>
  <c r="DK312" i="29"/>
  <c r="DL312" i="29"/>
  <c r="DM312" i="29"/>
  <c r="DN312" i="29"/>
  <c r="DO312" i="29"/>
  <c r="DP312" i="29"/>
  <c r="DQ312" i="29"/>
  <c r="DH313" i="29"/>
  <c r="DI313" i="29"/>
  <c r="DJ313" i="29"/>
  <c r="DK313" i="29"/>
  <c r="DL313" i="29"/>
  <c r="DM313" i="29"/>
  <c r="DN313" i="29"/>
  <c r="DO313" i="29"/>
  <c r="DP313" i="29"/>
  <c r="DQ313" i="29"/>
  <c r="DH314" i="29"/>
  <c r="DI314" i="29"/>
  <c r="DJ314" i="29"/>
  <c r="DK314" i="29"/>
  <c r="DL314" i="29"/>
  <c r="DM314" i="29"/>
  <c r="DN314" i="29"/>
  <c r="DO314" i="29"/>
  <c r="DP314" i="29"/>
  <c r="DQ314" i="29"/>
  <c r="DH315" i="29"/>
  <c r="DI315" i="29"/>
  <c r="DJ315" i="29"/>
  <c r="DK315" i="29"/>
  <c r="DL315" i="29"/>
  <c r="DM315" i="29"/>
  <c r="DN315" i="29"/>
  <c r="DO315" i="29"/>
  <c r="DP315" i="29"/>
  <c r="DQ315" i="29"/>
  <c r="DH316" i="29"/>
  <c r="DI316" i="29"/>
  <c r="DJ316" i="29"/>
  <c r="DK316" i="29"/>
  <c r="DL316" i="29"/>
  <c r="DM316" i="29"/>
  <c r="DN316" i="29"/>
  <c r="DO316" i="29"/>
  <c r="DP316" i="29"/>
  <c r="DQ316" i="29"/>
  <c r="DH317" i="29"/>
  <c r="DI317" i="29"/>
  <c r="DJ317" i="29"/>
  <c r="DK317" i="29"/>
  <c r="DL317" i="29"/>
  <c r="DM317" i="29"/>
  <c r="DN317" i="29"/>
  <c r="DO317" i="29"/>
  <c r="DP317" i="29"/>
  <c r="DQ317" i="29"/>
  <c r="DH318" i="29"/>
  <c r="DI318" i="29"/>
  <c r="DJ318" i="29"/>
  <c r="DK318" i="29"/>
  <c r="DL318" i="29"/>
  <c r="DM318" i="29"/>
  <c r="DN318" i="29"/>
  <c r="DO318" i="29"/>
  <c r="DP318" i="29"/>
  <c r="DQ318" i="29"/>
  <c r="DH319" i="29"/>
  <c r="DI319" i="29"/>
  <c r="DJ319" i="29"/>
  <c r="DK319" i="29"/>
  <c r="DL319" i="29"/>
  <c r="DM319" i="29"/>
  <c r="DN319" i="29"/>
  <c r="DO319" i="29"/>
  <c r="DP319" i="29"/>
  <c r="DQ319" i="29"/>
  <c r="DH320" i="29"/>
  <c r="DI320" i="29"/>
  <c r="DJ320" i="29"/>
  <c r="DK320" i="29"/>
  <c r="DL320" i="29"/>
  <c r="DM320" i="29"/>
  <c r="DN320" i="29"/>
  <c r="DO320" i="29"/>
  <c r="DP320" i="29"/>
  <c r="DQ320" i="29"/>
  <c r="DH321" i="29"/>
  <c r="DI321" i="29"/>
  <c r="DJ321" i="29"/>
  <c r="DK321" i="29"/>
  <c r="DL321" i="29"/>
  <c r="DM321" i="29"/>
  <c r="DN321" i="29"/>
  <c r="DO321" i="29"/>
  <c r="DP321" i="29"/>
  <c r="DQ321" i="29"/>
  <c r="DH322" i="29"/>
  <c r="DI322" i="29"/>
  <c r="DJ322" i="29"/>
  <c r="DK322" i="29"/>
  <c r="DL322" i="29"/>
  <c r="DM322" i="29"/>
  <c r="DN322" i="29"/>
  <c r="DO322" i="29"/>
  <c r="DP322" i="29"/>
  <c r="DQ322" i="29"/>
  <c r="DH323" i="29"/>
  <c r="DI323" i="29"/>
  <c r="DJ323" i="29"/>
  <c r="DK323" i="29"/>
  <c r="DL323" i="29"/>
  <c r="DM323" i="29"/>
  <c r="DN323" i="29"/>
  <c r="DO323" i="29"/>
  <c r="DP323" i="29"/>
  <c r="DQ323" i="29"/>
  <c r="DH324" i="29"/>
  <c r="DI324" i="29"/>
  <c r="DJ324" i="29"/>
  <c r="DK324" i="29"/>
  <c r="DL324" i="29"/>
  <c r="DM324" i="29"/>
  <c r="DN324" i="29"/>
  <c r="DO324" i="29"/>
  <c r="DP324" i="29"/>
  <c r="DQ324" i="29"/>
  <c r="DH325" i="29"/>
  <c r="DI325" i="29"/>
  <c r="DJ325" i="29"/>
  <c r="DK325" i="29"/>
  <c r="DL325" i="29"/>
  <c r="DM325" i="29"/>
  <c r="DN325" i="29"/>
  <c r="DO325" i="29"/>
  <c r="DP325" i="29"/>
  <c r="DQ325" i="29"/>
  <c r="DH326" i="29"/>
  <c r="DI326" i="29"/>
  <c r="DJ326" i="29"/>
  <c r="DK326" i="29"/>
  <c r="DL326" i="29"/>
  <c r="DM326" i="29"/>
  <c r="DN326" i="29"/>
  <c r="DO326" i="29"/>
  <c r="DP326" i="29"/>
  <c r="DQ326" i="29"/>
  <c r="DH327" i="29"/>
  <c r="DI327" i="29"/>
  <c r="DJ327" i="29"/>
  <c r="DK327" i="29"/>
  <c r="DL327" i="29"/>
  <c r="DM327" i="29"/>
  <c r="DN327" i="29"/>
  <c r="DO327" i="29"/>
  <c r="DP327" i="29"/>
  <c r="DQ327" i="29"/>
  <c r="DH328" i="29"/>
  <c r="DI328" i="29"/>
  <c r="DJ328" i="29"/>
  <c r="DK328" i="29"/>
  <c r="DL328" i="29"/>
  <c r="DM328" i="29"/>
  <c r="DN328" i="29"/>
  <c r="DO328" i="29"/>
  <c r="DP328" i="29"/>
  <c r="DQ328" i="29"/>
  <c r="DH329" i="29"/>
  <c r="DI329" i="29"/>
  <c r="DJ329" i="29"/>
  <c r="DK329" i="29"/>
  <c r="DL329" i="29"/>
  <c r="DM329" i="29"/>
  <c r="DN329" i="29"/>
  <c r="DO329" i="29"/>
  <c r="DP329" i="29"/>
  <c r="DQ329" i="29"/>
  <c r="DH330" i="29"/>
  <c r="DI330" i="29"/>
  <c r="DJ330" i="29"/>
  <c r="DK330" i="29"/>
  <c r="DL330" i="29"/>
  <c r="DM330" i="29"/>
  <c r="DN330" i="29"/>
  <c r="DO330" i="29"/>
  <c r="DP330" i="29"/>
  <c r="DQ330" i="29"/>
  <c r="DH331" i="29"/>
  <c r="DI331" i="29"/>
  <c r="DJ331" i="29"/>
  <c r="DK331" i="29"/>
  <c r="DL331" i="29"/>
  <c r="DM331" i="29"/>
  <c r="DN331" i="29"/>
  <c r="DO331" i="29"/>
  <c r="DP331" i="29"/>
  <c r="DQ331" i="29"/>
  <c r="DH332" i="29"/>
  <c r="DI332" i="29"/>
  <c r="DJ332" i="29"/>
  <c r="DK332" i="29"/>
  <c r="DL332" i="29"/>
  <c r="DM332" i="29"/>
  <c r="DN332" i="29"/>
  <c r="DO332" i="29"/>
  <c r="DP332" i="29"/>
  <c r="DQ332" i="29"/>
  <c r="DH333" i="29"/>
  <c r="DI333" i="29"/>
  <c r="DJ333" i="29"/>
  <c r="DK333" i="29"/>
  <c r="DL333" i="29"/>
  <c r="DM333" i="29"/>
  <c r="DN333" i="29"/>
  <c r="DO333" i="29"/>
  <c r="DP333" i="29"/>
  <c r="DQ333" i="29"/>
  <c r="DH334" i="29"/>
  <c r="DI334" i="29"/>
  <c r="DJ334" i="29"/>
  <c r="DK334" i="29"/>
  <c r="DL334" i="29"/>
  <c r="DM334" i="29"/>
  <c r="DN334" i="29"/>
  <c r="DO334" i="29"/>
  <c r="DP334" i="29"/>
  <c r="DQ334" i="29"/>
  <c r="DH335" i="29"/>
  <c r="DI335" i="29"/>
  <c r="DJ335" i="29"/>
  <c r="DK335" i="29"/>
  <c r="DL335" i="29"/>
  <c r="DM335" i="29"/>
  <c r="DN335" i="29"/>
  <c r="DO335" i="29"/>
  <c r="DP335" i="29"/>
  <c r="DQ335" i="29"/>
  <c r="DH336" i="29"/>
  <c r="DI336" i="29"/>
  <c r="DJ336" i="29"/>
  <c r="DK336" i="29"/>
  <c r="DL336" i="29"/>
  <c r="DM336" i="29"/>
  <c r="DN336" i="29"/>
  <c r="DO336" i="29"/>
  <c r="DP336" i="29"/>
  <c r="DQ336" i="29"/>
  <c r="DH337" i="29"/>
  <c r="DI337" i="29"/>
  <c r="DJ337" i="29"/>
  <c r="DK337" i="29"/>
  <c r="DL337" i="29"/>
  <c r="DM337" i="29"/>
  <c r="DN337" i="29"/>
  <c r="DO337" i="29"/>
  <c r="DP337" i="29"/>
  <c r="DQ337" i="29"/>
  <c r="DH338" i="29"/>
  <c r="DI338" i="29"/>
  <c r="DJ338" i="29"/>
  <c r="DK338" i="29"/>
  <c r="DL338" i="29"/>
  <c r="DM338" i="29"/>
  <c r="DN338" i="29"/>
  <c r="DO338" i="29"/>
  <c r="DP338" i="29"/>
  <c r="DQ338" i="29"/>
  <c r="DH339" i="29"/>
  <c r="DI339" i="29"/>
  <c r="DJ339" i="29"/>
  <c r="DK339" i="29"/>
  <c r="DL339" i="29"/>
  <c r="DM339" i="29"/>
  <c r="DN339" i="29"/>
  <c r="DO339" i="29"/>
  <c r="DP339" i="29"/>
  <c r="DQ339" i="29"/>
  <c r="DH340" i="29"/>
  <c r="DI340" i="29"/>
  <c r="DJ340" i="29"/>
  <c r="DK340" i="29"/>
  <c r="DL340" i="29"/>
  <c r="DM340" i="29"/>
  <c r="DN340" i="29"/>
  <c r="DO340" i="29"/>
  <c r="DP340" i="29"/>
  <c r="DQ340" i="29"/>
  <c r="DH341" i="29"/>
  <c r="DI341" i="29"/>
  <c r="DJ341" i="29"/>
  <c r="DK341" i="29"/>
  <c r="DL341" i="29"/>
  <c r="DM341" i="29"/>
  <c r="DN341" i="29"/>
  <c r="DO341" i="29"/>
  <c r="DP341" i="29"/>
  <c r="DQ341" i="29"/>
  <c r="DH342" i="29"/>
  <c r="DI342" i="29"/>
  <c r="DJ342" i="29"/>
  <c r="DK342" i="29"/>
  <c r="DL342" i="29"/>
  <c r="DM342" i="29"/>
  <c r="DN342" i="29"/>
  <c r="DO342" i="29"/>
  <c r="DP342" i="29"/>
  <c r="DQ342" i="29"/>
  <c r="DH343" i="29"/>
  <c r="DI343" i="29"/>
  <c r="DJ343" i="29"/>
  <c r="DK343" i="29"/>
  <c r="DL343" i="29"/>
  <c r="DM343" i="29"/>
  <c r="DN343" i="29"/>
  <c r="DO343" i="29"/>
  <c r="DP343" i="29"/>
  <c r="DQ343" i="29"/>
  <c r="DH344" i="29"/>
  <c r="DI344" i="29"/>
  <c r="DJ344" i="29"/>
  <c r="DK344" i="29"/>
  <c r="DL344" i="29"/>
  <c r="DM344" i="29"/>
  <c r="DN344" i="29"/>
  <c r="DO344" i="29"/>
  <c r="DP344" i="29"/>
  <c r="DQ344" i="29"/>
  <c r="DH345" i="29"/>
  <c r="DI345" i="29"/>
  <c r="DJ345" i="29"/>
  <c r="DK345" i="29"/>
  <c r="DL345" i="29"/>
  <c r="DM345" i="29"/>
  <c r="DN345" i="29"/>
  <c r="DO345" i="29"/>
  <c r="DP345" i="29"/>
  <c r="DQ345" i="29"/>
  <c r="DH346" i="29"/>
  <c r="DI346" i="29"/>
  <c r="DJ346" i="29"/>
  <c r="DK346" i="29"/>
  <c r="DL346" i="29"/>
  <c r="DM346" i="29"/>
  <c r="DN346" i="29"/>
  <c r="DO346" i="29"/>
  <c r="DP346" i="29"/>
  <c r="DQ346" i="29"/>
  <c r="DH347" i="29"/>
  <c r="DI347" i="29"/>
  <c r="DJ347" i="29"/>
  <c r="DK347" i="29"/>
  <c r="DL347" i="29"/>
  <c r="DM347" i="29"/>
  <c r="DN347" i="29"/>
  <c r="DO347" i="29"/>
  <c r="DP347" i="29"/>
  <c r="DQ347" i="29"/>
  <c r="DH348" i="29"/>
  <c r="DI348" i="29"/>
  <c r="DJ348" i="29"/>
  <c r="DK348" i="29"/>
  <c r="DL348" i="29"/>
  <c r="DM348" i="29"/>
  <c r="DN348" i="29"/>
  <c r="DO348" i="29"/>
  <c r="DP348" i="29"/>
  <c r="DQ348" i="29"/>
  <c r="DH349" i="29"/>
  <c r="DI349" i="29"/>
  <c r="DJ349" i="29"/>
  <c r="DK349" i="29"/>
  <c r="DL349" i="29"/>
  <c r="DM349" i="29"/>
  <c r="DN349" i="29"/>
  <c r="DO349" i="29"/>
  <c r="DP349" i="29"/>
  <c r="DQ349" i="29"/>
  <c r="DH350" i="29"/>
  <c r="DI350" i="29"/>
  <c r="DJ350" i="29"/>
  <c r="DK350" i="29"/>
  <c r="DL350" i="29"/>
  <c r="DM350" i="29"/>
  <c r="DN350" i="29"/>
  <c r="DO350" i="29"/>
  <c r="DP350" i="29"/>
  <c r="DQ350" i="29"/>
  <c r="DH351" i="29"/>
  <c r="DI351" i="29"/>
  <c r="DJ351" i="29"/>
  <c r="DK351" i="29"/>
  <c r="DL351" i="29"/>
  <c r="DM351" i="29"/>
  <c r="DN351" i="29"/>
  <c r="DO351" i="29"/>
  <c r="DP351" i="29"/>
  <c r="DQ351" i="29"/>
  <c r="DH352" i="29"/>
  <c r="DI352" i="29"/>
  <c r="DJ352" i="29"/>
  <c r="DK352" i="29"/>
  <c r="DL352" i="29"/>
  <c r="DM352" i="29"/>
  <c r="DN352" i="29"/>
  <c r="DO352" i="29"/>
  <c r="DP352" i="29"/>
  <c r="DQ352" i="29"/>
  <c r="DH353" i="29"/>
  <c r="DI353" i="29"/>
  <c r="DJ353" i="29"/>
  <c r="DK353" i="29"/>
  <c r="DL353" i="29"/>
  <c r="DM353" i="29"/>
  <c r="DN353" i="29"/>
  <c r="DO353" i="29"/>
  <c r="DP353" i="29"/>
  <c r="DQ353" i="29"/>
  <c r="DH354" i="29"/>
  <c r="DI354" i="29"/>
  <c r="DJ354" i="29"/>
  <c r="DK354" i="29"/>
  <c r="DL354" i="29"/>
  <c r="DM354" i="29"/>
  <c r="DN354" i="29"/>
  <c r="DO354" i="29"/>
  <c r="DP354" i="29"/>
  <c r="DQ354" i="29"/>
  <c r="DH355" i="29"/>
  <c r="DI355" i="29"/>
  <c r="DJ355" i="29"/>
  <c r="DK355" i="29"/>
  <c r="DL355" i="29"/>
  <c r="DM355" i="29"/>
  <c r="DN355" i="29"/>
  <c r="DO355" i="29"/>
  <c r="DP355" i="29"/>
  <c r="DQ355" i="29"/>
  <c r="DH356" i="29"/>
  <c r="DI356" i="29"/>
  <c r="DJ356" i="29"/>
  <c r="DK356" i="29"/>
  <c r="DL356" i="29"/>
  <c r="DM356" i="29"/>
  <c r="DN356" i="29"/>
  <c r="DO356" i="29"/>
  <c r="DP356" i="29"/>
  <c r="DQ356" i="29"/>
  <c r="DH357" i="29"/>
  <c r="DI357" i="29"/>
  <c r="DJ357" i="29"/>
  <c r="DK357" i="29"/>
  <c r="DL357" i="29"/>
  <c r="DM357" i="29"/>
  <c r="DN357" i="29"/>
  <c r="DO357" i="29"/>
  <c r="DP357" i="29"/>
  <c r="DQ357" i="29"/>
  <c r="DH358" i="29"/>
  <c r="DI358" i="29"/>
  <c r="DJ358" i="29"/>
  <c r="DK358" i="29"/>
  <c r="DL358" i="29"/>
  <c r="DM358" i="29"/>
  <c r="DN358" i="29"/>
  <c r="DO358" i="29"/>
  <c r="DP358" i="29"/>
  <c r="DQ358" i="29"/>
  <c r="DH359" i="29"/>
  <c r="DI359" i="29"/>
  <c r="DJ359" i="29"/>
  <c r="DK359" i="29"/>
  <c r="DL359" i="29"/>
  <c r="DM359" i="29"/>
  <c r="DN359" i="29"/>
  <c r="DO359" i="29"/>
  <c r="DP359" i="29"/>
  <c r="DQ359" i="29"/>
  <c r="DH360" i="29"/>
  <c r="DI360" i="29"/>
  <c r="DJ360" i="29"/>
  <c r="DK360" i="29"/>
  <c r="DL360" i="29"/>
  <c r="DM360" i="29"/>
  <c r="DN360" i="29"/>
  <c r="DO360" i="29"/>
  <c r="DP360" i="29"/>
  <c r="DQ360" i="29"/>
  <c r="DH361" i="29"/>
  <c r="DI361" i="29"/>
  <c r="DJ361" i="29"/>
  <c r="DK361" i="29"/>
  <c r="DL361" i="29"/>
  <c r="DM361" i="29"/>
  <c r="DN361" i="29"/>
  <c r="DO361" i="29"/>
  <c r="DP361" i="29"/>
  <c r="DQ361" i="29"/>
  <c r="DH362" i="29"/>
  <c r="DI362" i="29"/>
  <c r="DJ362" i="29"/>
  <c r="DK362" i="29"/>
  <c r="DL362" i="29"/>
  <c r="DM362" i="29"/>
  <c r="DN362" i="29"/>
  <c r="DO362" i="29"/>
  <c r="DP362" i="29"/>
  <c r="DQ362" i="29"/>
  <c r="DH363" i="29"/>
  <c r="DI363" i="29"/>
  <c r="DJ363" i="29"/>
  <c r="DK363" i="29"/>
  <c r="DL363" i="29"/>
  <c r="DM363" i="29"/>
  <c r="DN363" i="29"/>
  <c r="DO363" i="29"/>
  <c r="DP363" i="29"/>
  <c r="DQ363" i="29"/>
  <c r="DH364" i="29"/>
  <c r="DI364" i="29"/>
  <c r="DJ364" i="29"/>
  <c r="DK364" i="29"/>
  <c r="DL364" i="29"/>
  <c r="DM364" i="29"/>
  <c r="DN364" i="29"/>
  <c r="DO364" i="29"/>
  <c r="DP364" i="29"/>
  <c r="DQ364" i="29"/>
  <c r="DH365" i="29"/>
  <c r="DI365" i="29"/>
  <c r="DJ365" i="29"/>
  <c r="DK365" i="29"/>
  <c r="DL365" i="29"/>
  <c r="DM365" i="29"/>
  <c r="DN365" i="29"/>
  <c r="DO365" i="29"/>
  <c r="DP365" i="29"/>
  <c r="DQ365" i="29"/>
  <c r="DH366" i="29"/>
  <c r="DI366" i="29"/>
  <c r="DJ366" i="29"/>
  <c r="DK366" i="29"/>
  <c r="DL366" i="29"/>
  <c r="DM366" i="29"/>
  <c r="DN366" i="29"/>
  <c r="DO366" i="29"/>
  <c r="DP366" i="29"/>
  <c r="DQ366" i="29"/>
  <c r="DH367" i="29"/>
  <c r="DI367" i="29"/>
  <c r="DJ367" i="29"/>
  <c r="DK367" i="29"/>
  <c r="DL367" i="29"/>
  <c r="DM367" i="29"/>
  <c r="DN367" i="29"/>
  <c r="DO367" i="29"/>
  <c r="DP367" i="29"/>
  <c r="DQ367" i="29"/>
  <c r="DH368" i="29"/>
  <c r="DI368" i="29"/>
  <c r="DJ368" i="29"/>
  <c r="DK368" i="29"/>
  <c r="DL368" i="29"/>
  <c r="DM368" i="29"/>
  <c r="DN368" i="29"/>
  <c r="DO368" i="29"/>
  <c r="DP368" i="29"/>
  <c r="DQ368" i="29"/>
  <c r="DQ3" i="29"/>
  <c r="DP3" i="29"/>
  <c r="DO3" i="29"/>
  <c r="DN3" i="29"/>
  <c r="DM3" i="29"/>
  <c r="DL3" i="29"/>
  <c r="DK3" i="29"/>
  <c r="DJ3" i="29"/>
  <c r="DI3" i="29"/>
  <c r="DH3" i="29"/>
  <c r="BT4" i="29"/>
  <c r="BU4" i="29"/>
  <c r="BV4" i="29"/>
  <c r="BX4" i="29"/>
  <c r="BY4" i="29"/>
  <c r="BZ4" i="29"/>
  <c r="CA4" i="29"/>
  <c r="CB4" i="29"/>
  <c r="CC4" i="29"/>
  <c r="BT5" i="29"/>
  <c r="BU5" i="29"/>
  <c r="BV5" i="29"/>
  <c r="BW5" i="29"/>
  <c r="BX5" i="29"/>
  <c r="BY5" i="29"/>
  <c r="BZ5" i="29"/>
  <c r="CA5" i="29"/>
  <c r="CB5" i="29"/>
  <c r="CC5" i="29"/>
  <c r="BT6" i="29"/>
  <c r="BU6" i="29"/>
  <c r="BV6" i="29"/>
  <c r="BW6" i="29"/>
  <c r="BX6" i="29"/>
  <c r="BY6" i="29"/>
  <c r="BZ6" i="29"/>
  <c r="CA6" i="29"/>
  <c r="CB6" i="29"/>
  <c r="CC6" i="29"/>
  <c r="BT7" i="29"/>
  <c r="BU7" i="29"/>
  <c r="BV7" i="29"/>
  <c r="BW7" i="29"/>
  <c r="BX7" i="29"/>
  <c r="BY7" i="29"/>
  <c r="BZ7" i="29"/>
  <c r="CA7" i="29"/>
  <c r="CB7" i="29"/>
  <c r="CC7" i="29"/>
  <c r="BT8" i="29"/>
  <c r="BU8" i="29"/>
  <c r="BV8" i="29"/>
  <c r="BX8" i="29"/>
  <c r="BY8" i="29"/>
  <c r="BZ8" i="29"/>
  <c r="CA8" i="29"/>
  <c r="CB8" i="29"/>
  <c r="CC8" i="29"/>
  <c r="BT9" i="29"/>
  <c r="BU9" i="29"/>
  <c r="BV9" i="29"/>
  <c r="BW9" i="29"/>
  <c r="BX9" i="29"/>
  <c r="BY9" i="29"/>
  <c r="BZ9" i="29"/>
  <c r="CA9" i="29"/>
  <c r="CB9" i="29"/>
  <c r="CC9" i="29"/>
  <c r="BT10" i="29"/>
  <c r="BU10" i="29"/>
  <c r="BV10" i="29"/>
  <c r="BW10" i="29"/>
  <c r="BX10" i="29"/>
  <c r="BY10" i="29"/>
  <c r="BZ10" i="29"/>
  <c r="CA10" i="29"/>
  <c r="CB10" i="29"/>
  <c r="CC10" i="29"/>
  <c r="BT11" i="29"/>
  <c r="BU11" i="29"/>
  <c r="BV11" i="29"/>
  <c r="BW11" i="29"/>
  <c r="BX11" i="29"/>
  <c r="BY11" i="29"/>
  <c r="BZ11" i="29"/>
  <c r="CA11" i="29"/>
  <c r="CB11" i="29"/>
  <c r="CC11" i="29"/>
  <c r="BT12" i="29"/>
  <c r="BU12" i="29"/>
  <c r="BV12" i="29"/>
  <c r="BW12" i="29"/>
  <c r="BX12" i="29"/>
  <c r="BY12" i="29"/>
  <c r="BZ12" i="29"/>
  <c r="CA12" i="29"/>
  <c r="CB12" i="29"/>
  <c r="CC12" i="29"/>
  <c r="BT13" i="29"/>
  <c r="BU13" i="29"/>
  <c r="BV13" i="29"/>
  <c r="BW13" i="29"/>
  <c r="BX13" i="29"/>
  <c r="BY13" i="29"/>
  <c r="BZ13" i="29"/>
  <c r="CA13" i="29"/>
  <c r="CB13" i="29"/>
  <c r="CC13" i="29"/>
  <c r="BT14" i="29"/>
  <c r="BU14" i="29"/>
  <c r="BV14" i="29"/>
  <c r="BW14" i="29"/>
  <c r="BX14" i="29"/>
  <c r="BY14" i="29"/>
  <c r="BZ14" i="29"/>
  <c r="CA14" i="29"/>
  <c r="CB14" i="29"/>
  <c r="CC14" i="29"/>
  <c r="BT15" i="29"/>
  <c r="BU15" i="29"/>
  <c r="BV15" i="29"/>
  <c r="BW15" i="29"/>
  <c r="BX15" i="29"/>
  <c r="BY15" i="29"/>
  <c r="BZ15" i="29"/>
  <c r="CA15" i="29"/>
  <c r="CB15" i="29"/>
  <c r="CC15" i="29"/>
  <c r="BT16" i="29"/>
  <c r="BU16" i="29"/>
  <c r="BV16" i="29"/>
  <c r="BW16" i="29"/>
  <c r="BX16" i="29"/>
  <c r="BY16" i="29"/>
  <c r="BZ16" i="29"/>
  <c r="CA16" i="29"/>
  <c r="CB16" i="29"/>
  <c r="CC16" i="29"/>
  <c r="BT17" i="29"/>
  <c r="BU17" i="29"/>
  <c r="BV17" i="29"/>
  <c r="BW17" i="29"/>
  <c r="BX17" i="29"/>
  <c r="BY17" i="29"/>
  <c r="BZ17" i="29"/>
  <c r="CA17" i="29"/>
  <c r="CB17" i="29"/>
  <c r="CC17" i="29"/>
  <c r="BT18" i="29"/>
  <c r="BU18" i="29"/>
  <c r="BV18" i="29"/>
  <c r="BW18" i="29"/>
  <c r="BX18" i="29"/>
  <c r="BY18" i="29"/>
  <c r="BZ18" i="29"/>
  <c r="CA18" i="29"/>
  <c r="CB18" i="29"/>
  <c r="CC18" i="29"/>
  <c r="BT19" i="29"/>
  <c r="BU19" i="29"/>
  <c r="BV19" i="29"/>
  <c r="BW19" i="29"/>
  <c r="BX19" i="29"/>
  <c r="BY19" i="29"/>
  <c r="BZ19" i="29"/>
  <c r="CA19" i="29"/>
  <c r="CB19" i="29"/>
  <c r="CC19" i="29"/>
  <c r="BT20" i="29"/>
  <c r="BU20" i="29"/>
  <c r="BV20" i="29"/>
  <c r="BW20" i="29"/>
  <c r="BX20" i="29"/>
  <c r="BY20" i="29"/>
  <c r="BZ20" i="29"/>
  <c r="CA20" i="29"/>
  <c r="CB20" i="29"/>
  <c r="CC20" i="29"/>
  <c r="BT21" i="29"/>
  <c r="BU21" i="29"/>
  <c r="BV21" i="29"/>
  <c r="BW21" i="29"/>
  <c r="BX21" i="29"/>
  <c r="BY21" i="29"/>
  <c r="BZ21" i="29"/>
  <c r="CA21" i="29"/>
  <c r="CB21" i="29"/>
  <c r="CC21" i="29"/>
  <c r="BT22" i="29"/>
  <c r="BU22" i="29"/>
  <c r="BV22" i="29"/>
  <c r="BW22" i="29"/>
  <c r="BX22" i="29"/>
  <c r="BY22" i="29"/>
  <c r="BZ22" i="29"/>
  <c r="CA22" i="29"/>
  <c r="CB22" i="29"/>
  <c r="CC22" i="29"/>
  <c r="BT23" i="29"/>
  <c r="BU23" i="29"/>
  <c r="BV23" i="29"/>
  <c r="BW23" i="29"/>
  <c r="BX23" i="29"/>
  <c r="BY23" i="29"/>
  <c r="BZ23" i="29"/>
  <c r="CA23" i="29"/>
  <c r="CB23" i="29"/>
  <c r="CC23" i="29"/>
  <c r="BT24" i="29"/>
  <c r="BU24" i="29"/>
  <c r="BV24" i="29"/>
  <c r="BW24" i="29"/>
  <c r="BX24" i="29"/>
  <c r="BY24" i="29"/>
  <c r="BZ24" i="29"/>
  <c r="CA24" i="29"/>
  <c r="CB24" i="29"/>
  <c r="CC24" i="29"/>
  <c r="BT25" i="29"/>
  <c r="BU25" i="29"/>
  <c r="BV25" i="29"/>
  <c r="BW25" i="29"/>
  <c r="BX25" i="29"/>
  <c r="BY25" i="29"/>
  <c r="BZ25" i="29"/>
  <c r="CA25" i="29"/>
  <c r="CB25" i="29"/>
  <c r="CC25" i="29"/>
  <c r="BT26" i="29"/>
  <c r="BU26" i="29"/>
  <c r="BV26" i="29"/>
  <c r="BW26" i="29"/>
  <c r="BX26" i="29"/>
  <c r="BY26" i="29"/>
  <c r="BZ26" i="29"/>
  <c r="CA26" i="29"/>
  <c r="CB26" i="29"/>
  <c r="CC26" i="29"/>
  <c r="BT27" i="29"/>
  <c r="BU27" i="29"/>
  <c r="BV27" i="29"/>
  <c r="BW27" i="29"/>
  <c r="BX27" i="29"/>
  <c r="BY27" i="29"/>
  <c r="BZ27" i="29"/>
  <c r="CA27" i="29"/>
  <c r="CB27" i="29"/>
  <c r="CC27" i="29"/>
  <c r="BT28" i="29"/>
  <c r="BU28" i="29"/>
  <c r="BV28" i="29"/>
  <c r="BW28" i="29"/>
  <c r="BX28" i="29"/>
  <c r="BY28" i="29"/>
  <c r="BZ28" i="29"/>
  <c r="CA28" i="29"/>
  <c r="CB28" i="29"/>
  <c r="CC28" i="29"/>
  <c r="BT29" i="29"/>
  <c r="BU29" i="29"/>
  <c r="BV29" i="29"/>
  <c r="BW29" i="29"/>
  <c r="BX29" i="29"/>
  <c r="BY29" i="29"/>
  <c r="BZ29" i="29"/>
  <c r="CA29" i="29"/>
  <c r="CB29" i="29"/>
  <c r="CC29" i="29"/>
  <c r="BT30" i="29"/>
  <c r="BU30" i="29"/>
  <c r="BV30" i="29"/>
  <c r="BW30" i="29"/>
  <c r="BX30" i="29"/>
  <c r="BY30" i="29"/>
  <c r="BZ30" i="29"/>
  <c r="CA30" i="29"/>
  <c r="CB30" i="29"/>
  <c r="CC30" i="29"/>
  <c r="BT31" i="29"/>
  <c r="BU31" i="29"/>
  <c r="BV31" i="29"/>
  <c r="BW31" i="29"/>
  <c r="BX31" i="29"/>
  <c r="BY31" i="29"/>
  <c r="BZ31" i="29"/>
  <c r="CA31" i="29"/>
  <c r="CB31" i="29"/>
  <c r="CC31" i="29"/>
  <c r="BT32" i="29"/>
  <c r="BU32" i="29"/>
  <c r="BV32" i="29"/>
  <c r="BW32" i="29"/>
  <c r="BX32" i="29"/>
  <c r="BY32" i="29"/>
  <c r="BZ32" i="29"/>
  <c r="CA32" i="29"/>
  <c r="CB32" i="29"/>
  <c r="CC32" i="29"/>
  <c r="BT33" i="29"/>
  <c r="BU33" i="29"/>
  <c r="BV33" i="29"/>
  <c r="BW33" i="29"/>
  <c r="BX33" i="29"/>
  <c r="BY33" i="29"/>
  <c r="BZ33" i="29"/>
  <c r="CA33" i="29"/>
  <c r="CB33" i="29"/>
  <c r="CC33" i="29"/>
  <c r="BT34" i="29"/>
  <c r="BU34" i="29"/>
  <c r="BV34" i="29"/>
  <c r="BW34" i="29"/>
  <c r="BX34" i="29"/>
  <c r="BY34" i="29"/>
  <c r="BZ34" i="29"/>
  <c r="CA34" i="29"/>
  <c r="CB34" i="29"/>
  <c r="CC34" i="29"/>
  <c r="BT35" i="29"/>
  <c r="BU35" i="29"/>
  <c r="BV35" i="29"/>
  <c r="BW35" i="29"/>
  <c r="BX35" i="29"/>
  <c r="BY35" i="29"/>
  <c r="BZ35" i="29"/>
  <c r="CA35" i="29"/>
  <c r="CB35" i="29"/>
  <c r="CC35" i="29"/>
  <c r="BT36" i="29"/>
  <c r="BU36" i="29"/>
  <c r="BV36" i="29"/>
  <c r="BW36" i="29"/>
  <c r="BX36" i="29"/>
  <c r="BY36" i="29"/>
  <c r="BZ36" i="29"/>
  <c r="CA36" i="29"/>
  <c r="CB36" i="29"/>
  <c r="CC36" i="29"/>
  <c r="BT37" i="29"/>
  <c r="BU37" i="29"/>
  <c r="BV37" i="29"/>
  <c r="BW37" i="29"/>
  <c r="BX37" i="29"/>
  <c r="BY37" i="29"/>
  <c r="BZ37" i="29"/>
  <c r="CA37" i="29"/>
  <c r="CB37" i="29"/>
  <c r="CC37" i="29"/>
  <c r="BT38" i="29"/>
  <c r="BU38" i="29"/>
  <c r="BV38" i="29"/>
  <c r="BW38" i="29"/>
  <c r="BX38" i="29"/>
  <c r="BY38" i="29"/>
  <c r="BZ38" i="29"/>
  <c r="CA38" i="29"/>
  <c r="CB38" i="29"/>
  <c r="CC38" i="29"/>
  <c r="BT39" i="29"/>
  <c r="BU39" i="29"/>
  <c r="BV39" i="29"/>
  <c r="BW39" i="29"/>
  <c r="BX39" i="29"/>
  <c r="BY39" i="29"/>
  <c r="BZ39" i="29"/>
  <c r="CA39" i="29"/>
  <c r="CB39" i="29"/>
  <c r="CC39" i="29"/>
  <c r="BT40" i="29"/>
  <c r="BU40" i="29"/>
  <c r="BV40" i="29"/>
  <c r="BW40" i="29"/>
  <c r="BX40" i="29"/>
  <c r="BY40" i="29"/>
  <c r="BZ40" i="29"/>
  <c r="CA40" i="29"/>
  <c r="CB40" i="29"/>
  <c r="CC40" i="29"/>
  <c r="BT41" i="29"/>
  <c r="BU41" i="29"/>
  <c r="BV41" i="29"/>
  <c r="BW41" i="29"/>
  <c r="BX41" i="29"/>
  <c r="BY41" i="29"/>
  <c r="BZ41" i="29"/>
  <c r="CA41" i="29"/>
  <c r="CB41" i="29"/>
  <c r="CC41" i="29"/>
  <c r="BT42" i="29"/>
  <c r="BU42" i="29"/>
  <c r="BV42" i="29"/>
  <c r="BW42" i="29"/>
  <c r="BX42" i="29"/>
  <c r="BY42" i="29"/>
  <c r="BZ42" i="29"/>
  <c r="CA42" i="29"/>
  <c r="CB42" i="29"/>
  <c r="CC42" i="29"/>
  <c r="BT43" i="29"/>
  <c r="BU43" i="29"/>
  <c r="BV43" i="29"/>
  <c r="BW43" i="29"/>
  <c r="BX43" i="29"/>
  <c r="BY43" i="29"/>
  <c r="BZ43" i="29"/>
  <c r="CA43" i="29"/>
  <c r="CB43" i="29"/>
  <c r="CC43" i="29"/>
  <c r="BT44" i="29"/>
  <c r="BU44" i="29"/>
  <c r="BV44" i="29"/>
  <c r="BW44" i="29"/>
  <c r="BX44" i="29"/>
  <c r="BY44" i="29"/>
  <c r="BZ44" i="29"/>
  <c r="CA44" i="29"/>
  <c r="CB44" i="29"/>
  <c r="CC44" i="29"/>
  <c r="BT45" i="29"/>
  <c r="BU45" i="29"/>
  <c r="BV45" i="29"/>
  <c r="BW45" i="29"/>
  <c r="BX45" i="29"/>
  <c r="BY45" i="29"/>
  <c r="BZ45" i="29"/>
  <c r="CA45" i="29"/>
  <c r="CB45" i="29"/>
  <c r="CC45" i="29"/>
  <c r="BT46" i="29"/>
  <c r="BU46" i="29"/>
  <c r="BV46" i="29"/>
  <c r="BW46" i="29"/>
  <c r="BX46" i="29"/>
  <c r="BY46" i="29"/>
  <c r="BZ46" i="29"/>
  <c r="CA46" i="29"/>
  <c r="CB46" i="29"/>
  <c r="CC46" i="29"/>
  <c r="BT47" i="29"/>
  <c r="BU47" i="29"/>
  <c r="BV47" i="29"/>
  <c r="BW47" i="29"/>
  <c r="BX47" i="29"/>
  <c r="BY47" i="29"/>
  <c r="BZ47" i="29"/>
  <c r="CA47" i="29"/>
  <c r="CB47" i="29"/>
  <c r="CC47" i="29"/>
  <c r="BT48" i="29"/>
  <c r="BU48" i="29"/>
  <c r="BV48" i="29"/>
  <c r="BW48" i="29"/>
  <c r="BX48" i="29"/>
  <c r="BY48" i="29"/>
  <c r="BZ48" i="29"/>
  <c r="CA48" i="29"/>
  <c r="CB48" i="29"/>
  <c r="CC48" i="29"/>
  <c r="BT49" i="29"/>
  <c r="BU49" i="29"/>
  <c r="BV49" i="29"/>
  <c r="BW49" i="29"/>
  <c r="BX49" i="29"/>
  <c r="BY49" i="29"/>
  <c r="BZ49" i="29"/>
  <c r="CA49" i="29"/>
  <c r="CB49" i="29"/>
  <c r="CC49" i="29"/>
  <c r="BT50" i="29"/>
  <c r="BU50" i="29"/>
  <c r="BV50" i="29"/>
  <c r="BW50" i="29"/>
  <c r="BX50" i="29"/>
  <c r="BY50" i="29"/>
  <c r="BZ50" i="29"/>
  <c r="CA50" i="29"/>
  <c r="CB50" i="29"/>
  <c r="CC50" i="29"/>
  <c r="BT51" i="29"/>
  <c r="BU51" i="29"/>
  <c r="BV51" i="29"/>
  <c r="BW51" i="29"/>
  <c r="BX51" i="29"/>
  <c r="BY51" i="29"/>
  <c r="BZ51" i="29"/>
  <c r="CA51" i="29"/>
  <c r="CB51" i="29"/>
  <c r="CC51" i="29"/>
  <c r="BT52" i="29"/>
  <c r="BU52" i="29"/>
  <c r="BV52" i="29"/>
  <c r="BW52" i="29"/>
  <c r="BX52" i="29"/>
  <c r="BY52" i="29"/>
  <c r="BZ52" i="29"/>
  <c r="CA52" i="29"/>
  <c r="CB52" i="29"/>
  <c r="CC52" i="29"/>
  <c r="BT53" i="29"/>
  <c r="BU53" i="29"/>
  <c r="BV53" i="29"/>
  <c r="BW53" i="29"/>
  <c r="BX53" i="29"/>
  <c r="BY53" i="29"/>
  <c r="BZ53" i="29"/>
  <c r="CA53" i="29"/>
  <c r="CB53" i="29"/>
  <c r="CC53" i="29"/>
  <c r="BT54" i="29"/>
  <c r="BU54" i="29"/>
  <c r="BV54" i="29"/>
  <c r="BW54" i="29"/>
  <c r="BX54" i="29"/>
  <c r="BY54" i="29"/>
  <c r="BZ54" i="29"/>
  <c r="CA54" i="29"/>
  <c r="CB54" i="29"/>
  <c r="CC54" i="29"/>
  <c r="BT55" i="29"/>
  <c r="BU55" i="29"/>
  <c r="BV55" i="29"/>
  <c r="BW55" i="29"/>
  <c r="BX55" i="29"/>
  <c r="BY55" i="29"/>
  <c r="BZ55" i="29"/>
  <c r="CA55" i="29"/>
  <c r="CB55" i="29"/>
  <c r="CC55" i="29"/>
  <c r="BT56" i="29"/>
  <c r="BU56" i="29"/>
  <c r="BV56" i="29"/>
  <c r="BW56" i="29"/>
  <c r="BX56" i="29"/>
  <c r="BY56" i="29"/>
  <c r="BZ56" i="29"/>
  <c r="CA56" i="29"/>
  <c r="CB56" i="29"/>
  <c r="CC56" i="29"/>
  <c r="BT57" i="29"/>
  <c r="BU57" i="29"/>
  <c r="BV57" i="29"/>
  <c r="BW57" i="29"/>
  <c r="BX57" i="29"/>
  <c r="BY57" i="29"/>
  <c r="BZ57" i="29"/>
  <c r="CA57" i="29"/>
  <c r="CB57" i="29"/>
  <c r="CC57" i="29"/>
  <c r="BT58" i="29"/>
  <c r="BU58" i="29"/>
  <c r="BV58" i="29"/>
  <c r="BW58" i="29"/>
  <c r="BX58" i="29"/>
  <c r="BY58" i="29"/>
  <c r="BZ58" i="29"/>
  <c r="CA58" i="29"/>
  <c r="CB58" i="29"/>
  <c r="CC58" i="29"/>
  <c r="BT59" i="29"/>
  <c r="BU59" i="29"/>
  <c r="BV59" i="29"/>
  <c r="BW59" i="29"/>
  <c r="BX59" i="29"/>
  <c r="BY59" i="29"/>
  <c r="BZ59" i="29"/>
  <c r="CA59" i="29"/>
  <c r="CB59" i="29"/>
  <c r="CC59" i="29"/>
  <c r="BT60" i="29"/>
  <c r="BU60" i="29"/>
  <c r="BV60" i="29"/>
  <c r="BW60" i="29"/>
  <c r="BX60" i="29"/>
  <c r="BY60" i="29"/>
  <c r="BZ60" i="29"/>
  <c r="CA60" i="29"/>
  <c r="CB60" i="29"/>
  <c r="CC60" i="29"/>
  <c r="BT61" i="29"/>
  <c r="BU61" i="29"/>
  <c r="BV61" i="29"/>
  <c r="BW61" i="29"/>
  <c r="BX61" i="29"/>
  <c r="BY61" i="29"/>
  <c r="BZ61" i="29"/>
  <c r="CA61" i="29"/>
  <c r="CB61" i="29"/>
  <c r="CC61" i="29"/>
  <c r="BT62" i="29"/>
  <c r="BU62" i="29"/>
  <c r="BV62" i="29"/>
  <c r="BW62" i="29"/>
  <c r="BX62" i="29"/>
  <c r="BY62" i="29"/>
  <c r="BZ62" i="29"/>
  <c r="CA62" i="29"/>
  <c r="CB62" i="29"/>
  <c r="CC62" i="29"/>
  <c r="BT63" i="29"/>
  <c r="BU63" i="29"/>
  <c r="BV63" i="29"/>
  <c r="BW63" i="29"/>
  <c r="BX63" i="29"/>
  <c r="BY63" i="29"/>
  <c r="BZ63" i="29"/>
  <c r="CA63" i="29"/>
  <c r="CB63" i="29"/>
  <c r="CC63" i="29"/>
  <c r="BT64" i="29"/>
  <c r="BU64" i="29"/>
  <c r="BV64" i="29"/>
  <c r="BW64" i="29"/>
  <c r="BX64" i="29"/>
  <c r="BY64" i="29"/>
  <c r="BZ64" i="29"/>
  <c r="CA64" i="29"/>
  <c r="CB64" i="29"/>
  <c r="CC64" i="29"/>
  <c r="BT65" i="29"/>
  <c r="BU65" i="29"/>
  <c r="BV65" i="29"/>
  <c r="BW65" i="29"/>
  <c r="BX65" i="29"/>
  <c r="BY65" i="29"/>
  <c r="BZ65" i="29"/>
  <c r="CA65" i="29"/>
  <c r="CB65" i="29"/>
  <c r="CC65" i="29"/>
  <c r="BT66" i="29"/>
  <c r="BU66" i="29"/>
  <c r="BV66" i="29"/>
  <c r="BW66" i="29"/>
  <c r="BX66" i="29"/>
  <c r="BY66" i="29"/>
  <c r="BZ66" i="29"/>
  <c r="CA66" i="29"/>
  <c r="CB66" i="29"/>
  <c r="CC66" i="29"/>
  <c r="BT67" i="29"/>
  <c r="BU67" i="29"/>
  <c r="BV67" i="29"/>
  <c r="BW67" i="29"/>
  <c r="BX67" i="29"/>
  <c r="BY67" i="29"/>
  <c r="BZ67" i="29"/>
  <c r="CA67" i="29"/>
  <c r="CB67" i="29"/>
  <c r="CC67" i="29"/>
  <c r="BT68" i="29"/>
  <c r="BU68" i="29"/>
  <c r="BV68" i="29"/>
  <c r="BW68" i="29"/>
  <c r="BX68" i="29"/>
  <c r="BY68" i="29"/>
  <c r="BZ68" i="29"/>
  <c r="CA68" i="29"/>
  <c r="CB68" i="29"/>
  <c r="CC68" i="29"/>
  <c r="BT69" i="29"/>
  <c r="BU69" i="29"/>
  <c r="BV69" i="29"/>
  <c r="BW69" i="29"/>
  <c r="BX69" i="29"/>
  <c r="BY69" i="29"/>
  <c r="BZ69" i="29"/>
  <c r="CA69" i="29"/>
  <c r="CB69" i="29"/>
  <c r="CC69" i="29"/>
  <c r="BT70" i="29"/>
  <c r="BU70" i="29"/>
  <c r="BV70" i="29"/>
  <c r="BW70" i="29"/>
  <c r="BX70" i="29"/>
  <c r="BY70" i="29"/>
  <c r="BZ70" i="29"/>
  <c r="CA70" i="29"/>
  <c r="CB70" i="29"/>
  <c r="CC70" i="29"/>
  <c r="BT71" i="29"/>
  <c r="BU71" i="29"/>
  <c r="BV71" i="29"/>
  <c r="BW71" i="29"/>
  <c r="BX71" i="29"/>
  <c r="BY71" i="29"/>
  <c r="BZ71" i="29"/>
  <c r="CA71" i="29"/>
  <c r="CB71" i="29"/>
  <c r="CC71" i="29"/>
  <c r="BT72" i="29"/>
  <c r="BU72" i="29"/>
  <c r="BV72" i="29"/>
  <c r="BW72" i="29"/>
  <c r="BX72" i="29"/>
  <c r="BY72" i="29"/>
  <c r="BZ72" i="29"/>
  <c r="CA72" i="29"/>
  <c r="CB72" i="29"/>
  <c r="CC72" i="29"/>
  <c r="BT73" i="29"/>
  <c r="BU73" i="29"/>
  <c r="BV73" i="29"/>
  <c r="BW73" i="29"/>
  <c r="BX73" i="29"/>
  <c r="BY73" i="29"/>
  <c r="BZ73" i="29"/>
  <c r="CA73" i="29"/>
  <c r="CB73" i="29"/>
  <c r="CC73" i="29"/>
  <c r="BT74" i="29"/>
  <c r="BU74" i="29"/>
  <c r="BV74" i="29"/>
  <c r="BW74" i="29"/>
  <c r="BX74" i="29"/>
  <c r="BY74" i="29"/>
  <c r="BZ74" i="29"/>
  <c r="CA74" i="29"/>
  <c r="CB74" i="29"/>
  <c r="CC74" i="29"/>
  <c r="BT75" i="29"/>
  <c r="BU75" i="29"/>
  <c r="BV75" i="29"/>
  <c r="BW75" i="29"/>
  <c r="BX75" i="29"/>
  <c r="BY75" i="29"/>
  <c r="BZ75" i="29"/>
  <c r="CA75" i="29"/>
  <c r="CB75" i="29"/>
  <c r="CC75" i="29"/>
  <c r="BT76" i="29"/>
  <c r="BU76" i="29"/>
  <c r="BV76" i="29"/>
  <c r="BW76" i="29"/>
  <c r="BX76" i="29"/>
  <c r="BY76" i="29"/>
  <c r="BZ76" i="29"/>
  <c r="CA76" i="29"/>
  <c r="CB76" i="29"/>
  <c r="CC76" i="29"/>
  <c r="BT77" i="29"/>
  <c r="BU77" i="29"/>
  <c r="BV77" i="29"/>
  <c r="BW77" i="29"/>
  <c r="BX77" i="29"/>
  <c r="BY77" i="29"/>
  <c r="BZ77" i="29"/>
  <c r="CA77" i="29"/>
  <c r="CB77" i="29"/>
  <c r="CC77" i="29"/>
  <c r="BT78" i="29"/>
  <c r="BU78" i="29"/>
  <c r="BV78" i="29"/>
  <c r="BW78" i="29"/>
  <c r="BX78" i="29"/>
  <c r="BY78" i="29"/>
  <c r="BZ78" i="29"/>
  <c r="CA78" i="29"/>
  <c r="CB78" i="29"/>
  <c r="CC78" i="29"/>
  <c r="BT79" i="29"/>
  <c r="BU79" i="29"/>
  <c r="BV79" i="29"/>
  <c r="BW79" i="29"/>
  <c r="BX79" i="29"/>
  <c r="BY79" i="29"/>
  <c r="BZ79" i="29"/>
  <c r="CA79" i="29"/>
  <c r="CB79" i="29"/>
  <c r="CC79" i="29"/>
  <c r="BT80" i="29"/>
  <c r="BU80" i="29"/>
  <c r="BV80" i="29"/>
  <c r="BW80" i="29"/>
  <c r="BX80" i="29"/>
  <c r="BY80" i="29"/>
  <c r="BZ80" i="29"/>
  <c r="CA80" i="29"/>
  <c r="CB80" i="29"/>
  <c r="CC80" i="29"/>
  <c r="BT81" i="29"/>
  <c r="BU81" i="29"/>
  <c r="BV81" i="29"/>
  <c r="BW81" i="29"/>
  <c r="BX81" i="29"/>
  <c r="BY81" i="29"/>
  <c r="BZ81" i="29"/>
  <c r="CA81" i="29"/>
  <c r="CB81" i="29"/>
  <c r="CC81" i="29"/>
  <c r="BT82" i="29"/>
  <c r="BU82" i="29"/>
  <c r="BV82" i="29"/>
  <c r="BW82" i="29"/>
  <c r="BX82" i="29"/>
  <c r="BY82" i="29"/>
  <c r="BZ82" i="29"/>
  <c r="CA82" i="29"/>
  <c r="CB82" i="29"/>
  <c r="CC82" i="29"/>
  <c r="BT83" i="29"/>
  <c r="BU83" i="29"/>
  <c r="BV83" i="29"/>
  <c r="BW83" i="29"/>
  <c r="BX83" i="29"/>
  <c r="BY83" i="29"/>
  <c r="BZ83" i="29"/>
  <c r="CA83" i="29"/>
  <c r="CB83" i="29"/>
  <c r="CC83" i="29"/>
  <c r="BT84" i="29"/>
  <c r="BU84" i="29"/>
  <c r="BV84" i="29"/>
  <c r="BW84" i="29"/>
  <c r="BX84" i="29"/>
  <c r="BY84" i="29"/>
  <c r="BZ84" i="29"/>
  <c r="CA84" i="29"/>
  <c r="CB84" i="29"/>
  <c r="CC84" i="29"/>
  <c r="BT85" i="29"/>
  <c r="BU85" i="29"/>
  <c r="BV85" i="29"/>
  <c r="BW85" i="29"/>
  <c r="BX85" i="29"/>
  <c r="BY85" i="29"/>
  <c r="BZ85" i="29"/>
  <c r="CA85" i="29"/>
  <c r="CB85" i="29"/>
  <c r="CC85" i="29"/>
  <c r="BT86" i="29"/>
  <c r="BU86" i="29"/>
  <c r="BV86" i="29"/>
  <c r="BW86" i="29"/>
  <c r="BX86" i="29"/>
  <c r="BY86" i="29"/>
  <c r="BZ86" i="29"/>
  <c r="CA86" i="29"/>
  <c r="CB86" i="29"/>
  <c r="CC86" i="29"/>
  <c r="BT87" i="29"/>
  <c r="BU87" i="29"/>
  <c r="BV87" i="29"/>
  <c r="BW87" i="29"/>
  <c r="BX87" i="29"/>
  <c r="BY87" i="29"/>
  <c r="BZ87" i="29"/>
  <c r="CA87" i="29"/>
  <c r="CB87" i="29"/>
  <c r="CC87" i="29"/>
  <c r="BT88" i="29"/>
  <c r="BU88" i="29"/>
  <c r="BV88" i="29"/>
  <c r="BW88" i="29"/>
  <c r="BX88" i="29"/>
  <c r="BY88" i="29"/>
  <c r="BZ88" i="29"/>
  <c r="CA88" i="29"/>
  <c r="CB88" i="29"/>
  <c r="CC88" i="29"/>
  <c r="BT89" i="29"/>
  <c r="BU89" i="29"/>
  <c r="BV89" i="29"/>
  <c r="BW89" i="29"/>
  <c r="BX89" i="29"/>
  <c r="BY89" i="29"/>
  <c r="BZ89" i="29"/>
  <c r="CA89" i="29"/>
  <c r="CB89" i="29"/>
  <c r="CC89" i="29"/>
  <c r="BT90" i="29"/>
  <c r="BU90" i="29"/>
  <c r="BV90" i="29"/>
  <c r="BW90" i="29"/>
  <c r="BX90" i="29"/>
  <c r="BY90" i="29"/>
  <c r="BZ90" i="29"/>
  <c r="CA90" i="29"/>
  <c r="CB90" i="29"/>
  <c r="CC90" i="29"/>
  <c r="BT91" i="29"/>
  <c r="BU91" i="29"/>
  <c r="BV91" i="29"/>
  <c r="BW91" i="29"/>
  <c r="BX91" i="29"/>
  <c r="BY91" i="29"/>
  <c r="BZ91" i="29"/>
  <c r="CA91" i="29"/>
  <c r="CB91" i="29"/>
  <c r="CC91" i="29"/>
  <c r="BT92" i="29"/>
  <c r="BU92" i="29"/>
  <c r="BV92" i="29"/>
  <c r="BW92" i="29"/>
  <c r="BX92" i="29"/>
  <c r="BY92" i="29"/>
  <c r="BZ92" i="29"/>
  <c r="CA92" i="29"/>
  <c r="CB92" i="29"/>
  <c r="CC92" i="29"/>
  <c r="BT93" i="29"/>
  <c r="BU93" i="29"/>
  <c r="BV93" i="29"/>
  <c r="BW93" i="29"/>
  <c r="BX93" i="29"/>
  <c r="BY93" i="29"/>
  <c r="BZ93" i="29"/>
  <c r="CA93" i="29"/>
  <c r="CB93" i="29"/>
  <c r="CC93" i="29"/>
  <c r="BT94" i="29"/>
  <c r="BU94" i="29"/>
  <c r="BV94" i="29"/>
  <c r="BW94" i="29"/>
  <c r="BX94" i="29"/>
  <c r="BY94" i="29"/>
  <c r="BZ94" i="29"/>
  <c r="CA94" i="29"/>
  <c r="CB94" i="29"/>
  <c r="CC94" i="29"/>
  <c r="BT95" i="29"/>
  <c r="BU95" i="29"/>
  <c r="BV95" i="29"/>
  <c r="BW95" i="29"/>
  <c r="BX95" i="29"/>
  <c r="BY95" i="29"/>
  <c r="BZ95" i="29"/>
  <c r="CA95" i="29"/>
  <c r="CB95" i="29"/>
  <c r="CC95" i="29"/>
  <c r="BT96" i="29"/>
  <c r="BU96" i="29"/>
  <c r="BV96" i="29"/>
  <c r="BW96" i="29"/>
  <c r="BX96" i="29"/>
  <c r="BY96" i="29"/>
  <c r="BZ96" i="29"/>
  <c r="CA96" i="29"/>
  <c r="CB96" i="29"/>
  <c r="CC96" i="29"/>
  <c r="BT97" i="29"/>
  <c r="BU97" i="29"/>
  <c r="BV97" i="29"/>
  <c r="BW97" i="29"/>
  <c r="BX97" i="29"/>
  <c r="BY97" i="29"/>
  <c r="BZ97" i="29"/>
  <c r="CA97" i="29"/>
  <c r="CB97" i="29"/>
  <c r="CC97" i="29"/>
  <c r="BT98" i="29"/>
  <c r="BU98" i="29"/>
  <c r="BV98" i="29"/>
  <c r="BW98" i="29"/>
  <c r="BX98" i="29"/>
  <c r="BY98" i="29"/>
  <c r="BZ98" i="29"/>
  <c r="CA98" i="29"/>
  <c r="CB98" i="29"/>
  <c r="CC98" i="29"/>
  <c r="BT99" i="29"/>
  <c r="BU99" i="29"/>
  <c r="BV99" i="29"/>
  <c r="BW99" i="29"/>
  <c r="BX99" i="29"/>
  <c r="BY99" i="29"/>
  <c r="BZ99" i="29"/>
  <c r="CA99" i="29"/>
  <c r="CB99" i="29"/>
  <c r="CC99" i="29"/>
  <c r="BT100" i="29"/>
  <c r="BU100" i="29"/>
  <c r="BV100" i="29"/>
  <c r="BW100" i="29"/>
  <c r="BX100" i="29"/>
  <c r="BY100" i="29"/>
  <c r="BZ100" i="29"/>
  <c r="CA100" i="29"/>
  <c r="CB100" i="29"/>
  <c r="CC100" i="29"/>
  <c r="BT101" i="29"/>
  <c r="BU101" i="29"/>
  <c r="BV101" i="29"/>
  <c r="BW101" i="29"/>
  <c r="BX101" i="29"/>
  <c r="BY101" i="29"/>
  <c r="BZ101" i="29"/>
  <c r="CA101" i="29"/>
  <c r="CB101" i="29"/>
  <c r="CC101" i="29"/>
  <c r="BT102" i="29"/>
  <c r="BU102" i="29"/>
  <c r="BV102" i="29"/>
  <c r="BW102" i="29"/>
  <c r="BX102" i="29"/>
  <c r="BY102" i="29"/>
  <c r="BZ102" i="29"/>
  <c r="CA102" i="29"/>
  <c r="CB102" i="29"/>
  <c r="CC102" i="29"/>
  <c r="BT103" i="29"/>
  <c r="BU103" i="29"/>
  <c r="BV103" i="29"/>
  <c r="BW103" i="29"/>
  <c r="BX103" i="29"/>
  <c r="BY103" i="29"/>
  <c r="BZ103" i="29"/>
  <c r="CA103" i="29"/>
  <c r="CB103" i="29"/>
  <c r="CC103" i="29"/>
  <c r="BT104" i="29"/>
  <c r="BU104" i="29"/>
  <c r="BV104" i="29"/>
  <c r="BW104" i="29"/>
  <c r="BX104" i="29"/>
  <c r="BY104" i="29"/>
  <c r="BZ104" i="29"/>
  <c r="CA104" i="29"/>
  <c r="CB104" i="29"/>
  <c r="CC104" i="29"/>
  <c r="BT105" i="29"/>
  <c r="BU105" i="29"/>
  <c r="BV105" i="29"/>
  <c r="BW105" i="29"/>
  <c r="BX105" i="29"/>
  <c r="BY105" i="29"/>
  <c r="BZ105" i="29"/>
  <c r="CA105" i="29"/>
  <c r="CB105" i="29"/>
  <c r="CC105" i="29"/>
  <c r="BT106" i="29"/>
  <c r="BU106" i="29"/>
  <c r="BV106" i="29"/>
  <c r="BW106" i="29"/>
  <c r="BX106" i="29"/>
  <c r="BY106" i="29"/>
  <c r="BZ106" i="29"/>
  <c r="CA106" i="29"/>
  <c r="CB106" i="29"/>
  <c r="CC106" i="29"/>
  <c r="BT107" i="29"/>
  <c r="BU107" i="29"/>
  <c r="BV107" i="29"/>
  <c r="BW107" i="29"/>
  <c r="BX107" i="29"/>
  <c r="BY107" i="29"/>
  <c r="BZ107" i="29"/>
  <c r="CA107" i="29"/>
  <c r="CB107" i="29"/>
  <c r="CC107" i="29"/>
  <c r="BT108" i="29"/>
  <c r="BU108" i="29"/>
  <c r="BV108" i="29"/>
  <c r="BW108" i="29"/>
  <c r="BX108" i="29"/>
  <c r="BY108" i="29"/>
  <c r="BZ108" i="29"/>
  <c r="CA108" i="29"/>
  <c r="CB108" i="29"/>
  <c r="CC108" i="29"/>
  <c r="BT109" i="29"/>
  <c r="BU109" i="29"/>
  <c r="BV109" i="29"/>
  <c r="BW109" i="29"/>
  <c r="BX109" i="29"/>
  <c r="BY109" i="29"/>
  <c r="BZ109" i="29"/>
  <c r="CA109" i="29"/>
  <c r="CB109" i="29"/>
  <c r="CC109" i="29"/>
  <c r="BT110" i="29"/>
  <c r="BU110" i="29"/>
  <c r="BV110" i="29"/>
  <c r="BW110" i="29"/>
  <c r="BX110" i="29"/>
  <c r="BY110" i="29"/>
  <c r="BZ110" i="29"/>
  <c r="CA110" i="29"/>
  <c r="CB110" i="29"/>
  <c r="CC110" i="29"/>
  <c r="BT111" i="29"/>
  <c r="BU111" i="29"/>
  <c r="BV111" i="29"/>
  <c r="BW111" i="29"/>
  <c r="BX111" i="29"/>
  <c r="BY111" i="29"/>
  <c r="BZ111" i="29"/>
  <c r="CA111" i="29"/>
  <c r="CB111" i="29"/>
  <c r="CC111" i="29"/>
  <c r="BT112" i="29"/>
  <c r="BU112" i="29"/>
  <c r="BV112" i="29"/>
  <c r="BW112" i="29"/>
  <c r="BX112" i="29"/>
  <c r="BY112" i="29"/>
  <c r="BZ112" i="29"/>
  <c r="CA112" i="29"/>
  <c r="CB112" i="29"/>
  <c r="CC112" i="29"/>
  <c r="BT113" i="29"/>
  <c r="BU113" i="29"/>
  <c r="BV113" i="29"/>
  <c r="BW113" i="29"/>
  <c r="BX113" i="29"/>
  <c r="BY113" i="29"/>
  <c r="BZ113" i="29"/>
  <c r="CA113" i="29"/>
  <c r="CB113" i="29"/>
  <c r="CC113" i="29"/>
  <c r="BT114" i="29"/>
  <c r="BU114" i="29"/>
  <c r="BV114" i="29"/>
  <c r="BW114" i="29"/>
  <c r="BX114" i="29"/>
  <c r="BY114" i="29"/>
  <c r="BZ114" i="29"/>
  <c r="CA114" i="29"/>
  <c r="CB114" i="29"/>
  <c r="CC114" i="29"/>
  <c r="BT115" i="29"/>
  <c r="BU115" i="29"/>
  <c r="BV115" i="29"/>
  <c r="BW115" i="29"/>
  <c r="BX115" i="29"/>
  <c r="BY115" i="29"/>
  <c r="BZ115" i="29"/>
  <c r="CA115" i="29"/>
  <c r="CB115" i="29"/>
  <c r="CC115" i="29"/>
  <c r="BT116" i="29"/>
  <c r="BU116" i="29"/>
  <c r="BV116" i="29"/>
  <c r="BW116" i="29"/>
  <c r="BX116" i="29"/>
  <c r="BY116" i="29"/>
  <c r="BZ116" i="29"/>
  <c r="CA116" i="29"/>
  <c r="CB116" i="29"/>
  <c r="CC116" i="29"/>
  <c r="BT117" i="29"/>
  <c r="BU117" i="29"/>
  <c r="BV117" i="29"/>
  <c r="BW117" i="29"/>
  <c r="BX117" i="29"/>
  <c r="BY117" i="29"/>
  <c r="BZ117" i="29"/>
  <c r="CA117" i="29"/>
  <c r="CB117" i="29"/>
  <c r="CC117" i="29"/>
  <c r="BT118" i="29"/>
  <c r="BU118" i="29"/>
  <c r="BV118" i="29"/>
  <c r="BW118" i="29"/>
  <c r="BX118" i="29"/>
  <c r="BY118" i="29"/>
  <c r="BZ118" i="29"/>
  <c r="CA118" i="29"/>
  <c r="CB118" i="29"/>
  <c r="CC118" i="29"/>
  <c r="BT119" i="29"/>
  <c r="BU119" i="29"/>
  <c r="BV119" i="29"/>
  <c r="BW119" i="29"/>
  <c r="BX119" i="29"/>
  <c r="BY119" i="29"/>
  <c r="BZ119" i="29"/>
  <c r="CA119" i="29"/>
  <c r="CB119" i="29"/>
  <c r="CC119" i="29"/>
  <c r="BT120" i="29"/>
  <c r="BU120" i="29"/>
  <c r="BV120" i="29"/>
  <c r="BW120" i="29"/>
  <c r="BX120" i="29"/>
  <c r="BY120" i="29"/>
  <c r="BZ120" i="29"/>
  <c r="CA120" i="29"/>
  <c r="CB120" i="29"/>
  <c r="CC120" i="29"/>
  <c r="BT121" i="29"/>
  <c r="BU121" i="29"/>
  <c r="BV121" i="29"/>
  <c r="BW121" i="29"/>
  <c r="BX121" i="29"/>
  <c r="BY121" i="29"/>
  <c r="BZ121" i="29"/>
  <c r="CA121" i="29"/>
  <c r="CB121" i="29"/>
  <c r="CC121" i="29"/>
  <c r="BT122" i="29"/>
  <c r="BU122" i="29"/>
  <c r="BV122" i="29"/>
  <c r="BW122" i="29"/>
  <c r="BX122" i="29"/>
  <c r="BY122" i="29"/>
  <c r="BZ122" i="29"/>
  <c r="CA122" i="29"/>
  <c r="CB122" i="29"/>
  <c r="CC122" i="29"/>
  <c r="BT123" i="29"/>
  <c r="BU123" i="29"/>
  <c r="BV123" i="29"/>
  <c r="BW123" i="29"/>
  <c r="BX123" i="29"/>
  <c r="BY123" i="29"/>
  <c r="BZ123" i="29"/>
  <c r="CA123" i="29"/>
  <c r="CB123" i="29"/>
  <c r="CC123" i="29"/>
  <c r="BT124" i="29"/>
  <c r="BU124" i="29"/>
  <c r="BV124" i="29"/>
  <c r="BW124" i="29"/>
  <c r="BX124" i="29"/>
  <c r="BY124" i="29"/>
  <c r="BZ124" i="29"/>
  <c r="CA124" i="29"/>
  <c r="CB124" i="29"/>
  <c r="CC124" i="29"/>
  <c r="BT125" i="29"/>
  <c r="BU125" i="29"/>
  <c r="BV125" i="29"/>
  <c r="BW125" i="29"/>
  <c r="BX125" i="29"/>
  <c r="BY125" i="29"/>
  <c r="BZ125" i="29"/>
  <c r="CA125" i="29"/>
  <c r="CB125" i="29"/>
  <c r="CC125" i="29"/>
  <c r="BT126" i="29"/>
  <c r="BU126" i="29"/>
  <c r="BV126" i="29"/>
  <c r="BW126" i="29"/>
  <c r="BX126" i="29"/>
  <c r="BY126" i="29"/>
  <c r="BZ126" i="29"/>
  <c r="CA126" i="29"/>
  <c r="CB126" i="29"/>
  <c r="CC126" i="29"/>
  <c r="BT127" i="29"/>
  <c r="BU127" i="29"/>
  <c r="BV127" i="29"/>
  <c r="BW127" i="29"/>
  <c r="BX127" i="29"/>
  <c r="BY127" i="29"/>
  <c r="BZ127" i="29"/>
  <c r="CA127" i="29"/>
  <c r="CB127" i="29"/>
  <c r="CC127" i="29"/>
  <c r="BT128" i="29"/>
  <c r="BU128" i="29"/>
  <c r="BV128" i="29"/>
  <c r="BW128" i="29"/>
  <c r="BX128" i="29"/>
  <c r="BY128" i="29"/>
  <c r="BZ128" i="29"/>
  <c r="CA128" i="29"/>
  <c r="CB128" i="29"/>
  <c r="CC128" i="29"/>
  <c r="BT129" i="29"/>
  <c r="BU129" i="29"/>
  <c r="BV129" i="29"/>
  <c r="BW129" i="29"/>
  <c r="BX129" i="29"/>
  <c r="BY129" i="29"/>
  <c r="BZ129" i="29"/>
  <c r="CA129" i="29"/>
  <c r="CB129" i="29"/>
  <c r="CC129" i="29"/>
  <c r="BT130" i="29"/>
  <c r="BU130" i="29"/>
  <c r="BV130" i="29"/>
  <c r="BW130" i="29"/>
  <c r="BX130" i="29"/>
  <c r="BY130" i="29"/>
  <c r="BZ130" i="29"/>
  <c r="CA130" i="29"/>
  <c r="CB130" i="29"/>
  <c r="CC130" i="29"/>
  <c r="BT131" i="29"/>
  <c r="BU131" i="29"/>
  <c r="BV131" i="29"/>
  <c r="BW131" i="29"/>
  <c r="BX131" i="29"/>
  <c r="BY131" i="29"/>
  <c r="BZ131" i="29"/>
  <c r="CA131" i="29"/>
  <c r="CB131" i="29"/>
  <c r="CC131" i="29"/>
  <c r="BT132" i="29"/>
  <c r="BU132" i="29"/>
  <c r="BV132" i="29"/>
  <c r="BW132" i="29"/>
  <c r="BX132" i="29"/>
  <c r="BY132" i="29"/>
  <c r="BZ132" i="29"/>
  <c r="CA132" i="29"/>
  <c r="CB132" i="29"/>
  <c r="CC132" i="29"/>
  <c r="BT133" i="29"/>
  <c r="BU133" i="29"/>
  <c r="BV133" i="29"/>
  <c r="BW133" i="29"/>
  <c r="BX133" i="29"/>
  <c r="BY133" i="29"/>
  <c r="BZ133" i="29"/>
  <c r="CA133" i="29"/>
  <c r="CB133" i="29"/>
  <c r="CC133" i="29"/>
  <c r="BT134" i="29"/>
  <c r="BU134" i="29"/>
  <c r="BV134" i="29"/>
  <c r="BW134" i="29"/>
  <c r="BX134" i="29"/>
  <c r="BY134" i="29"/>
  <c r="BZ134" i="29"/>
  <c r="CA134" i="29"/>
  <c r="CB134" i="29"/>
  <c r="CC134" i="29"/>
  <c r="BT135" i="29"/>
  <c r="BU135" i="29"/>
  <c r="BV135" i="29"/>
  <c r="BW135" i="29"/>
  <c r="BX135" i="29"/>
  <c r="BY135" i="29"/>
  <c r="BZ135" i="29"/>
  <c r="CA135" i="29"/>
  <c r="CB135" i="29"/>
  <c r="CC135" i="29"/>
  <c r="BT136" i="29"/>
  <c r="BU136" i="29"/>
  <c r="BV136" i="29"/>
  <c r="BW136" i="29"/>
  <c r="BX136" i="29"/>
  <c r="BY136" i="29"/>
  <c r="BZ136" i="29"/>
  <c r="CA136" i="29"/>
  <c r="CB136" i="29"/>
  <c r="CC136" i="29"/>
  <c r="BT137" i="29"/>
  <c r="BU137" i="29"/>
  <c r="BV137" i="29"/>
  <c r="BW137" i="29"/>
  <c r="BX137" i="29"/>
  <c r="BY137" i="29"/>
  <c r="BZ137" i="29"/>
  <c r="CA137" i="29"/>
  <c r="CB137" i="29"/>
  <c r="CC137" i="29"/>
  <c r="BT138" i="29"/>
  <c r="BU138" i="29"/>
  <c r="BV138" i="29"/>
  <c r="BW138" i="29"/>
  <c r="BX138" i="29"/>
  <c r="BY138" i="29"/>
  <c r="BZ138" i="29"/>
  <c r="CA138" i="29"/>
  <c r="CB138" i="29"/>
  <c r="CC138" i="29"/>
  <c r="BT139" i="29"/>
  <c r="BU139" i="29"/>
  <c r="BV139" i="29"/>
  <c r="BW139" i="29"/>
  <c r="BX139" i="29"/>
  <c r="BY139" i="29"/>
  <c r="BZ139" i="29"/>
  <c r="CA139" i="29"/>
  <c r="CB139" i="29"/>
  <c r="CC139" i="29"/>
  <c r="BT140" i="29"/>
  <c r="BU140" i="29"/>
  <c r="BV140" i="29"/>
  <c r="BW140" i="29"/>
  <c r="BX140" i="29"/>
  <c r="BY140" i="29"/>
  <c r="BZ140" i="29"/>
  <c r="CA140" i="29"/>
  <c r="CB140" i="29"/>
  <c r="CC140" i="29"/>
  <c r="BT141" i="29"/>
  <c r="BU141" i="29"/>
  <c r="BV141" i="29"/>
  <c r="BW141" i="29"/>
  <c r="BX141" i="29"/>
  <c r="BY141" i="29"/>
  <c r="BZ141" i="29"/>
  <c r="CA141" i="29"/>
  <c r="CB141" i="29"/>
  <c r="CC141" i="29"/>
  <c r="BT142" i="29"/>
  <c r="BU142" i="29"/>
  <c r="BV142" i="29"/>
  <c r="BW142" i="29"/>
  <c r="BX142" i="29"/>
  <c r="BY142" i="29"/>
  <c r="BZ142" i="29"/>
  <c r="CA142" i="29"/>
  <c r="CB142" i="29"/>
  <c r="CC142" i="29"/>
  <c r="BT143" i="29"/>
  <c r="BU143" i="29"/>
  <c r="BV143" i="29"/>
  <c r="BW143" i="29"/>
  <c r="BX143" i="29"/>
  <c r="BY143" i="29"/>
  <c r="BZ143" i="29"/>
  <c r="CA143" i="29"/>
  <c r="CB143" i="29"/>
  <c r="CC143" i="29"/>
  <c r="BT144" i="29"/>
  <c r="BU144" i="29"/>
  <c r="BV144" i="29"/>
  <c r="BW144" i="29"/>
  <c r="BX144" i="29"/>
  <c r="BY144" i="29"/>
  <c r="BZ144" i="29"/>
  <c r="CA144" i="29"/>
  <c r="CB144" i="29"/>
  <c r="CC144" i="29"/>
  <c r="BT145" i="29"/>
  <c r="BU145" i="29"/>
  <c r="BV145" i="29"/>
  <c r="BW145" i="29"/>
  <c r="BX145" i="29"/>
  <c r="BY145" i="29"/>
  <c r="BZ145" i="29"/>
  <c r="CA145" i="29"/>
  <c r="CB145" i="29"/>
  <c r="CC145" i="29"/>
  <c r="BT146" i="29"/>
  <c r="BU146" i="29"/>
  <c r="BV146" i="29"/>
  <c r="BW146" i="29"/>
  <c r="BX146" i="29"/>
  <c r="BY146" i="29"/>
  <c r="BZ146" i="29"/>
  <c r="CA146" i="29"/>
  <c r="CB146" i="29"/>
  <c r="CC146" i="29"/>
  <c r="BT147" i="29"/>
  <c r="BU147" i="29"/>
  <c r="BV147" i="29"/>
  <c r="BW147" i="29"/>
  <c r="BX147" i="29"/>
  <c r="BY147" i="29"/>
  <c r="BZ147" i="29"/>
  <c r="CA147" i="29"/>
  <c r="CB147" i="29"/>
  <c r="CC147" i="29"/>
  <c r="BT148" i="29"/>
  <c r="BU148" i="29"/>
  <c r="BV148" i="29"/>
  <c r="BW148" i="29"/>
  <c r="BX148" i="29"/>
  <c r="BY148" i="29"/>
  <c r="BZ148" i="29"/>
  <c r="CA148" i="29"/>
  <c r="CB148" i="29"/>
  <c r="CC148" i="29"/>
  <c r="BT149" i="29"/>
  <c r="BU149" i="29"/>
  <c r="BV149" i="29"/>
  <c r="BW149" i="29"/>
  <c r="BX149" i="29"/>
  <c r="BY149" i="29"/>
  <c r="BZ149" i="29"/>
  <c r="CA149" i="29"/>
  <c r="CB149" i="29"/>
  <c r="CC149" i="29"/>
  <c r="BT150" i="29"/>
  <c r="BU150" i="29"/>
  <c r="BV150" i="29"/>
  <c r="BW150" i="29"/>
  <c r="BX150" i="29"/>
  <c r="BY150" i="29"/>
  <c r="BZ150" i="29"/>
  <c r="CA150" i="29"/>
  <c r="CB150" i="29"/>
  <c r="CC150" i="29"/>
  <c r="BT151" i="29"/>
  <c r="BU151" i="29"/>
  <c r="BV151" i="29"/>
  <c r="BW151" i="29"/>
  <c r="BX151" i="29"/>
  <c r="BY151" i="29"/>
  <c r="BZ151" i="29"/>
  <c r="CA151" i="29"/>
  <c r="CB151" i="29"/>
  <c r="CC151" i="29"/>
  <c r="BT152" i="29"/>
  <c r="BU152" i="29"/>
  <c r="BV152" i="29"/>
  <c r="BW152" i="29"/>
  <c r="BX152" i="29"/>
  <c r="BY152" i="29"/>
  <c r="BZ152" i="29"/>
  <c r="CA152" i="29"/>
  <c r="CB152" i="29"/>
  <c r="CC152" i="29"/>
  <c r="BT153" i="29"/>
  <c r="BU153" i="29"/>
  <c r="BV153" i="29"/>
  <c r="BW153" i="29"/>
  <c r="BX153" i="29"/>
  <c r="BY153" i="29"/>
  <c r="BZ153" i="29"/>
  <c r="CA153" i="29"/>
  <c r="CB153" i="29"/>
  <c r="CC153" i="29"/>
  <c r="BT154" i="29"/>
  <c r="BU154" i="29"/>
  <c r="BV154" i="29"/>
  <c r="BW154" i="29"/>
  <c r="BX154" i="29"/>
  <c r="BY154" i="29"/>
  <c r="BZ154" i="29"/>
  <c r="CA154" i="29"/>
  <c r="CB154" i="29"/>
  <c r="CC154" i="29"/>
  <c r="BT155" i="29"/>
  <c r="BU155" i="29"/>
  <c r="BV155" i="29"/>
  <c r="BW155" i="29"/>
  <c r="BX155" i="29"/>
  <c r="BY155" i="29"/>
  <c r="BZ155" i="29"/>
  <c r="CA155" i="29"/>
  <c r="CB155" i="29"/>
  <c r="CC155" i="29"/>
  <c r="BT156" i="29"/>
  <c r="BU156" i="29"/>
  <c r="BV156" i="29"/>
  <c r="BW156" i="29"/>
  <c r="BX156" i="29"/>
  <c r="BY156" i="29"/>
  <c r="BZ156" i="29"/>
  <c r="CA156" i="29"/>
  <c r="CB156" i="29"/>
  <c r="CC156" i="29"/>
  <c r="BT157" i="29"/>
  <c r="BU157" i="29"/>
  <c r="BV157" i="29"/>
  <c r="BW157" i="29"/>
  <c r="BX157" i="29"/>
  <c r="BY157" i="29"/>
  <c r="BZ157" i="29"/>
  <c r="CA157" i="29"/>
  <c r="CB157" i="29"/>
  <c r="CC157" i="29"/>
  <c r="BT158" i="29"/>
  <c r="BU158" i="29"/>
  <c r="BV158" i="29"/>
  <c r="BW158" i="29"/>
  <c r="BX158" i="29"/>
  <c r="BY158" i="29"/>
  <c r="BZ158" i="29"/>
  <c r="CA158" i="29"/>
  <c r="CB158" i="29"/>
  <c r="CC158" i="29"/>
  <c r="BT159" i="29"/>
  <c r="BU159" i="29"/>
  <c r="BV159" i="29"/>
  <c r="BW159" i="29"/>
  <c r="BX159" i="29"/>
  <c r="BY159" i="29"/>
  <c r="BZ159" i="29"/>
  <c r="CA159" i="29"/>
  <c r="CB159" i="29"/>
  <c r="CC159" i="29"/>
  <c r="BT160" i="29"/>
  <c r="BU160" i="29"/>
  <c r="BV160" i="29"/>
  <c r="BW160" i="29"/>
  <c r="BX160" i="29"/>
  <c r="BY160" i="29"/>
  <c r="BZ160" i="29"/>
  <c r="CA160" i="29"/>
  <c r="CB160" i="29"/>
  <c r="CC160" i="29"/>
  <c r="BT161" i="29"/>
  <c r="BU161" i="29"/>
  <c r="BV161" i="29"/>
  <c r="BW161" i="29"/>
  <c r="BX161" i="29"/>
  <c r="BY161" i="29"/>
  <c r="BZ161" i="29"/>
  <c r="CA161" i="29"/>
  <c r="CB161" i="29"/>
  <c r="CC161" i="29"/>
  <c r="BT162" i="29"/>
  <c r="BU162" i="29"/>
  <c r="BV162" i="29"/>
  <c r="BW162" i="29"/>
  <c r="BX162" i="29"/>
  <c r="BY162" i="29"/>
  <c r="BZ162" i="29"/>
  <c r="CA162" i="29"/>
  <c r="CB162" i="29"/>
  <c r="CC162" i="29"/>
  <c r="BT163" i="29"/>
  <c r="BU163" i="29"/>
  <c r="BV163" i="29"/>
  <c r="BW163" i="29"/>
  <c r="BX163" i="29"/>
  <c r="BY163" i="29"/>
  <c r="BZ163" i="29"/>
  <c r="CA163" i="29"/>
  <c r="CB163" i="29"/>
  <c r="CC163" i="29"/>
  <c r="BT164" i="29"/>
  <c r="BU164" i="29"/>
  <c r="BV164" i="29"/>
  <c r="BW164" i="29"/>
  <c r="BX164" i="29"/>
  <c r="BY164" i="29"/>
  <c r="BZ164" i="29"/>
  <c r="CA164" i="29"/>
  <c r="CB164" i="29"/>
  <c r="CC164" i="29"/>
  <c r="BT165" i="29"/>
  <c r="BU165" i="29"/>
  <c r="BV165" i="29"/>
  <c r="BW165" i="29"/>
  <c r="BX165" i="29"/>
  <c r="BY165" i="29"/>
  <c r="BZ165" i="29"/>
  <c r="CA165" i="29"/>
  <c r="CB165" i="29"/>
  <c r="CC165" i="29"/>
  <c r="BT166" i="29"/>
  <c r="BU166" i="29"/>
  <c r="BV166" i="29"/>
  <c r="BW166" i="29"/>
  <c r="BX166" i="29"/>
  <c r="BY166" i="29"/>
  <c r="BZ166" i="29"/>
  <c r="CA166" i="29"/>
  <c r="CB166" i="29"/>
  <c r="CC166" i="29"/>
  <c r="BT167" i="29"/>
  <c r="BU167" i="29"/>
  <c r="BV167" i="29"/>
  <c r="BW167" i="29"/>
  <c r="BX167" i="29"/>
  <c r="BY167" i="29"/>
  <c r="BZ167" i="29"/>
  <c r="CA167" i="29"/>
  <c r="CB167" i="29"/>
  <c r="CC167" i="29"/>
  <c r="BT168" i="29"/>
  <c r="BU168" i="29"/>
  <c r="BV168" i="29"/>
  <c r="BW168" i="29"/>
  <c r="BX168" i="29"/>
  <c r="BY168" i="29"/>
  <c r="BZ168" i="29"/>
  <c r="CA168" i="29"/>
  <c r="CB168" i="29"/>
  <c r="CC168" i="29"/>
  <c r="BT169" i="29"/>
  <c r="BU169" i="29"/>
  <c r="BV169" i="29"/>
  <c r="BW169" i="29"/>
  <c r="BX169" i="29"/>
  <c r="BY169" i="29"/>
  <c r="BZ169" i="29"/>
  <c r="CA169" i="29"/>
  <c r="CB169" i="29"/>
  <c r="CC169" i="29"/>
  <c r="BT170" i="29"/>
  <c r="BU170" i="29"/>
  <c r="BV170" i="29"/>
  <c r="BW170" i="29"/>
  <c r="BX170" i="29"/>
  <c r="BY170" i="29"/>
  <c r="BZ170" i="29"/>
  <c r="CA170" i="29"/>
  <c r="CB170" i="29"/>
  <c r="CC170" i="29"/>
  <c r="BT171" i="29"/>
  <c r="BU171" i="29"/>
  <c r="BV171" i="29"/>
  <c r="BW171" i="29"/>
  <c r="BX171" i="29"/>
  <c r="BY171" i="29"/>
  <c r="BZ171" i="29"/>
  <c r="CA171" i="29"/>
  <c r="CB171" i="29"/>
  <c r="CC171" i="29"/>
  <c r="BT172" i="29"/>
  <c r="BU172" i="29"/>
  <c r="BV172" i="29"/>
  <c r="BW172" i="29"/>
  <c r="BX172" i="29"/>
  <c r="BY172" i="29"/>
  <c r="BZ172" i="29"/>
  <c r="CA172" i="29"/>
  <c r="CB172" i="29"/>
  <c r="CC172" i="29"/>
  <c r="BT173" i="29"/>
  <c r="BU173" i="29"/>
  <c r="BV173" i="29"/>
  <c r="BW173" i="29"/>
  <c r="BX173" i="29"/>
  <c r="BY173" i="29"/>
  <c r="BZ173" i="29"/>
  <c r="CA173" i="29"/>
  <c r="CB173" i="29"/>
  <c r="CC173" i="29"/>
  <c r="BT174" i="29"/>
  <c r="BU174" i="29"/>
  <c r="BV174" i="29"/>
  <c r="BW174" i="29"/>
  <c r="BX174" i="29"/>
  <c r="BY174" i="29"/>
  <c r="BZ174" i="29"/>
  <c r="CA174" i="29"/>
  <c r="CB174" i="29"/>
  <c r="CC174" i="29"/>
  <c r="BT175" i="29"/>
  <c r="BU175" i="29"/>
  <c r="BV175" i="29"/>
  <c r="BW175" i="29"/>
  <c r="BX175" i="29"/>
  <c r="BY175" i="29"/>
  <c r="BZ175" i="29"/>
  <c r="CA175" i="29"/>
  <c r="CB175" i="29"/>
  <c r="CC175" i="29"/>
  <c r="BT176" i="29"/>
  <c r="BU176" i="29"/>
  <c r="BV176" i="29"/>
  <c r="BW176" i="29"/>
  <c r="BX176" i="29"/>
  <c r="BY176" i="29"/>
  <c r="BZ176" i="29"/>
  <c r="CA176" i="29"/>
  <c r="CB176" i="29"/>
  <c r="CC176" i="29"/>
  <c r="BT177" i="29"/>
  <c r="BU177" i="29"/>
  <c r="BV177" i="29"/>
  <c r="BW177" i="29"/>
  <c r="BX177" i="29"/>
  <c r="BY177" i="29"/>
  <c r="BZ177" i="29"/>
  <c r="CA177" i="29"/>
  <c r="CB177" i="29"/>
  <c r="CC177" i="29"/>
  <c r="BT178" i="29"/>
  <c r="BU178" i="29"/>
  <c r="BV178" i="29"/>
  <c r="BW178" i="29"/>
  <c r="BX178" i="29"/>
  <c r="BY178" i="29"/>
  <c r="BZ178" i="29"/>
  <c r="CA178" i="29"/>
  <c r="CB178" i="29"/>
  <c r="CC178" i="29"/>
  <c r="BT179" i="29"/>
  <c r="BU179" i="29"/>
  <c r="BV179" i="29"/>
  <c r="BW179" i="29"/>
  <c r="BX179" i="29"/>
  <c r="BY179" i="29"/>
  <c r="BZ179" i="29"/>
  <c r="CA179" i="29"/>
  <c r="CB179" i="29"/>
  <c r="CC179" i="29"/>
  <c r="BT180" i="29"/>
  <c r="BU180" i="29"/>
  <c r="BV180" i="29"/>
  <c r="BW180" i="29"/>
  <c r="BX180" i="29"/>
  <c r="BY180" i="29"/>
  <c r="BZ180" i="29"/>
  <c r="CA180" i="29"/>
  <c r="CB180" i="29"/>
  <c r="CC180" i="29"/>
  <c r="BT181" i="29"/>
  <c r="BU181" i="29"/>
  <c r="BV181" i="29"/>
  <c r="BW181" i="29"/>
  <c r="BX181" i="29"/>
  <c r="BY181" i="29"/>
  <c r="BZ181" i="29"/>
  <c r="CA181" i="29"/>
  <c r="CB181" i="29"/>
  <c r="CC181" i="29"/>
  <c r="BT182" i="29"/>
  <c r="BU182" i="29"/>
  <c r="BV182" i="29"/>
  <c r="BW182" i="29"/>
  <c r="BX182" i="29"/>
  <c r="BY182" i="29"/>
  <c r="BZ182" i="29"/>
  <c r="CA182" i="29"/>
  <c r="CB182" i="29"/>
  <c r="CC182" i="29"/>
  <c r="BT183" i="29"/>
  <c r="BU183" i="29"/>
  <c r="BV183" i="29"/>
  <c r="BW183" i="29"/>
  <c r="BX183" i="29"/>
  <c r="BY183" i="29"/>
  <c r="BZ183" i="29"/>
  <c r="CA183" i="29"/>
  <c r="CB183" i="29"/>
  <c r="CC183" i="29"/>
  <c r="BT184" i="29"/>
  <c r="BU184" i="29"/>
  <c r="BV184" i="29"/>
  <c r="BW184" i="29"/>
  <c r="BX184" i="29"/>
  <c r="BY184" i="29"/>
  <c r="BZ184" i="29"/>
  <c r="CA184" i="29"/>
  <c r="CB184" i="29"/>
  <c r="CC184" i="29"/>
  <c r="BT185" i="29"/>
  <c r="BU185" i="29"/>
  <c r="BV185" i="29"/>
  <c r="BW185" i="29"/>
  <c r="BX185" i="29"/>
  <c r="BY185" i="29"/>
  <c r="BZ185" i="29"/>
  <c r="CA185" i="29"/>
  <c r="CB185" i="29"/>
  <c r="CC185" i="29"/>
  <c r="BT186" i="29"/>
  <c r="BU186" i="29"/>
  <c r="BV186" i="29"/>
  <c r="BW186" i="29"/>
  <c r="BX186" i="29"/>
  <c r="BY186" i="29"/>
  <c r="BZ186" i="29"/>
  <c r="CA186" i="29"/>
  <c r="CB186" i="29"/>
  <c r="CC186" i="29"/>
  <c r="BT187" i="29"/>
  <c r="BU187" i="29"/>
  <c r="BV187" i="29"/>
  <c r="BW187" i="29"/>
  <c r="BX187" i="29"/>
  <c r="BY187" i="29"/>
  <c r="BZ187" i="29"/>
  <c r="CA187" i="29"/>
  <c r="CB187" i="29"/>
  <c r="CC187" i="29"/>
  <c r="BT188" i="29"/>
  <c r="BU188" i="29"/>
  <c r="BV188" i="29"/>
  <c r="BW188" i="29"/>
  <c r="BX188" i="29"/>
  <c r="BY188" i="29"/>
  <c r="BZ188" i="29"/>
  <c r="CA188" i="29"/>
  <c r="CB188" i="29"/>
  <c r="CC188" i="29"/>
  <c r="BT189" i="29"/>
  <c r="BU189" i="29"/>
  <c r="BV189" i="29"/>
  <c r="BW189" i="29"/>
  <c r="BX189" i="29"/>
  <c r="BY189" i="29"/>
  <c r="BZ189" i="29"/>
  <c r="CA189" i="29"/>
  <c r="CB189" i="29"/>
  <c r="CC189" i="29"/>
  <c r="BT190" i="29"/>
  <c r="BU190" i="29"/>
  <c r="BV190" i="29"/>
  <c r="BW190" i="29"/>
  <c r="BX190" i="29"/>
  <c r="BY190" i="29"/>
  <c r="BZ190" i="29"/>
  <c r="CA190" i="29"/>
  <c r="CB190" i="29"/>
  <c r="CC190" i="29"/>
  <c r="BT191" i="29"/>
  <c r="BU191" i="29"/>
  <c r="BV191" i="29"/>
  <c r="BW191" i="29"/>
  <c r="BX191" i="29"/>
  <c r="BY191" i="29"/>
  <c r="BZ191" i="29"/>
  <c r="CA191" i="29"/>
  <c r="CB191" i="29"/>
  <c r="CC191" i="29"/>
  <c r="BT192" i="29"/>
  <c r="BU192" i="29"/>
  <c r="BV192" i="29"/>
  <c r="BW192" i="29"/>
  <c r="BX192" i="29"/>
  <c r="BY192" i="29"/>
  <c r="BZ192" i="29"/>
  <c r="CA192" i="29"/>
  <c r="CB192" i="29"/>
  <c r="CC192" i="29"/>
  <c r="BT193" i="29"/>
  <c r="BU193" i="29"/>
  <c r="BV193" i="29"/>
  <c r="BW193" i="29"/>
  <c r="BX193" i="29"/>
  <c r="BY193" i="29"/>
  <c r="BZ193" i="29"/>
  <c r="CA193" i="29"/>
  <c r="CB193" i="29"/>
  <c r="CC193" i="29"/>
  <c r="BT194" i="29"/>
  <c r="BU194" i="29"/>
  <c r="BV194" i="29"/>
  <c r="BW194" i="29"/>
  <c r="BX194" i="29"/>
  <c r="BY194" i="29"/>
  <c r="BZ194" i="29"/>
  <c r="CA194" i="29"/>
  <c r="CB194" i="29"/>
  <c r="CC194" i="29"/>
  <c r="BT195" i="29"/>
  <c r="BU195" i="29"/>
  <c r="BV195" i="29"/>
  <c r="BW195" i="29"/>
  <c r="BX195" i="29"/>
  <c r="BY195" i="29"/>
  <c r="BZ195" i="29"/>
  <c r="CA195" i="29"/>
  <c r="CB195" i="29"/>
  <c r="CC195" i="29"/>
  <c r="BT196" i="29"/>
  <c r="BU196" i="29"/>
  <c r="BV196" i="29"/>
  <c r="BW196" i="29"/>
  <c r="BX196" i="29"/>
  <c r="BY196" i="29"/>
  <c r="BZ196" i="29"/>
  <c r="CA196" i="29"/>
  <c r="CB196" i="29"/>
  <c r="CC196" i="29"/>
  <c r="BT197" i="29"/>
  <c r="BU197" i="29"/>
  <c r="BV197" i="29"/>
  <c r="BW197" i="29"/>
  <c r="BX197" i="29"/>
  <c r="BY197" i="29"/>
  <c r="BZ197" i="29"/>
  <c r="CA197" i="29"/>
  <c r="CB197" i="29"/>
  <c r="CC197" i="29"/>
  <c r="BT198" i="29"/>
  <c r="BU198" i="29"/>
  <c r="BV198" i="29"/>
  <c r="BW198" i="29"/>
  <c r="BX198" i="29"/>
  <c r="BY198" i="29"/>
  <c r="BZ198" i="29"/>
  <c r="CA198" i="29"/>
  <c r="CB198" i="29"/>
  <c r="CC198" i="29"/>
  <c r="BT199" i="29"/>
  <c r="BU199" i="29"/>
  <c r="BV199" i="29"/>
  <c r="BW199" i="29"/>
  <c r="BX199" i="29"/>
  <c r="BY199" i="29"/>
  <c r="BZ199" i="29"/>
  <c r="CA199" i="29"/>
  <c r="CB199" i="29"/>
  <c r="CC199" i="29"/>
  <c r="BT200" i="29"/>
  <c r="BU200" i="29"/>
  <c r="BV200" i="29"/>
  <c r="BW200" i="29"/>
  <c r="BX200" i="29"/>
  <c r="BY200" i="29"/>
  <c r="BZ200" i="29"/>
  <c r="CA200" i="29"/>
  <c r="CB200" i="29"/>
  <c r="CC200" i="29"/>
  <c r="BT201" i="29"/>
  <c r="BU201" i="29"/>
  <c r="BV201" i="29"/>
  <c r="BW201" i="29"/>
  <c r="BX201" i="29"/>
  <c r="BY201" i="29"/>
  <c r="BZ201" i="29"/>
  <c r="CA201" i="29"/>
  <c r="CB201" i="29"/>
  <c r="CC201" i="29"/>
  <c r="BT202" i="29"/>
  <c r="BU202" i="29"/>
  <c r="BV202" i="29"/>
  <c r="BW202" i="29"/>
  <c r="BX202" i="29"/>
  <c r="BY202" i="29"/>
  <c r="BZ202" i="29"/>
  <c r="CA202" i="29"/>
  <c r="CB202" i="29"/>
  <c r="CC202" i="29"/>
  <c r="BT203" i="29"/>
  <c r="BU203" i="29"/>
  <c r="BV203" i="29"/>
  <c r="BW203" i="29"/>
  <c r="BX203" i="29"/>
  <c r="BY203" i="29"/>
  <c r="BZ203" i="29"/>
  <c r="CA203" i="29"/>
  <c r="CB203" i="29"/>
  <c r="CC203" i="29"/>
  <c r="BT204" i="29"/>
  <c r="BU204" i="29"/>
  <c r="BV204" i="29"/>
  <c r="BW204" i="29"/>
  <c r="BX204" i="29"/>
  <c r="BY204" i="29"/>
  <c r="BZ204" i="29"/>
  <c r="CA204" i="29"/>
  <c r="CB204" i="29"/>
  <c r="CC204" i="29"/>
  <c r="BT205" i="29"/>
  <c r="BU205" i="29"/>
  <c r="BV205" i="29"/>
  <c r="BW205" i="29"/>
  <c r="BX205" i="29"/>
  <c r="BY205" i="29"/>
  <c r="BZ205" i="29"/>
  <c r="CA205" i="29"/>
  <c r="CB205" i="29"/>
  <c r="CC205" i="29"/>
  <c r="BT206" i="29"/>
  <c r="BU206" i="29"/>
  <c r="BV206" i="29"/>
  <c r="BW206" i="29"/>
  <c r="BX206" i="29"/>
  <c r="BY206" i="29"/>
  <c r="BZ206" i="29"/>
  <c r="CA206" i="29"/>
  <c r="CB206" i="29"/>
  <c r="CC206" i="29"/>
  <c r="BT207" i="29"/>
  <c r="BU207" i="29"/>
  <c r="BV207" i="29"/>
  <c r="BW207" i="29"/>
  <c r="BX207" i="29"/>
  <c r="BY207" i="29"/>
  <c r="BZ207" i="29"/>
  <c r="CA207" i="29"/>
  <c r="CB207" i="29"/>
  <c r="CC207" i="29"/>
  <c r="BT208" i="29"/>
  <c r="BU208" i="29"/>
  <c r="BV208" i="29"/>
  <c r="BW208" i="29"/>
  <c r="BX208" i="29"/>
  <c r="BY208" i="29"/>
  <c r="BZ208" i="29"/>
  <c r="CA208" i="29"/>
  <c r="CB208" i="29"/>
  <c r="CC208" i="29"/>
  <c r="BT209" i="29"/>
  <c r="BU209" i="29"/>
  <c r="BV209" i="29"/>
  <c r="BW209" i="29"/>
  <c r="BX209" i="29"/>
  <c r="BY209" i="29"/>
  <c r="BZ209" i="29"/>
  <c r="CA209" i="29"/>
  <c r="CB209" i="29"/>
  <c r="CC209" i="29"/>
  <c r="BT210" i="29"/>
  <c r="BU210" i="29"/>
  <c r="BV210" i="29"/>
  <c r="BW210" i="29"/>
  <c r="BX210" i="29"/>
  <c r="BY210" i="29"/>
  <c r="BZ210" i="29"/>
  <c r="CA210" i="29"/>
  <c r="CB210" i="29"/>
  <c r="CC210" i="29"/>
  <c r="BT211" i="29"/>
  <c r="BU211" i="29"/>
  <c r="BV211" i="29"/>
  <c r="BW211" i="29"/>
  <c r="BX211" i="29"/>
  <c r="BY211" i="29"/>
  <c r="BZ211" i="29"/>
  <c r="CA211" i="29"/>
  <c r="CB211" i="29"/>
  <c r="CC211" i="29"/>
  <c r="BT212" i="29"/>
  <c r="BU212" i="29"/>
  <c r="BV212" i="29"/>
  <c r="BW212" i="29"/>
  <c r="BX212" i="29"/>
  <c r="BY212" i="29"/>
  <c r="BZ212" i="29"/>
  <c r="CA212" i="29"/>
  <c r="CB212" i="29"/>
  <c r="CC212" i="29"/>
  <c r="BT213" i="29"/>
  <c r="BU213" i="29"/>
  <c r="BV213" i="29"/>
  <c r="BW213" i="29"/>
  <c r="BX213" i="29"/>
  <c r="BY213" i="29"/>
  <c r="BZ213" i="29"/>
  <c r="CA213" i="29"/>
  <c r="CB213" i="29"/>
  <c r="CC213" i="29"/>
  <c r="BT214" i="29"/>
  <c r="BU214" i="29"/>
  <c r="BV214" i="29"/>
  <c r="BW214" i="29"/>
  <c r="BX214" i="29"/>
  <c r="BY214" i="29"/>
  <c r="BZ214" i="29"/>
  <c r="CA214" i="29"/>
  <c r="CB214" i="29"/>
  <c r="CC214" i="29"/>
  <c r="BT215" i="29"/>
  <c r="BU215" i="29"/>
  <c r="BV215" i="29"/>
  <c r="BW215" i="29"/>
  <c r="BX215" i="29"/>
  <c r="BY215" i="29"/>
  <c r="BZ215" i="29"/>
  <c r="CA215" i="29"/>
  <c r="CB215" i="29"/>
  <c r="CC215" i="29"/>
  <c r="BT216" i="29"/>
  <c r="BU216" i="29"/>
  <c r="BV216" i="29"/>
  <c r="BW216" i="29"/>
  <c r="BX216" i="29"/>
  <c r="BY216" i="29"/>
  <c r="BZ216" i="29"/>
  <c r="CA216" i="29"/>
  <c r="CB216" i="29"/>
  <c r="CC216" i="29"/>
  <c r="BT217" i="29"/>
  <c r="BU217" i="29"/>
  <c r="BV217" i="29"/>
  <c r="BW217" i="29"/>
  <c r="BX217" i="29"/>
  <c r="BY217" i="29"/>
  <c r="BZ217" i="29"/>
  <c r="CA217" i="29"/>
  <c r="CB217" i="29"/>
  <c r="CC217" i="29"/>
  <c r="BT218" i="29"/>
  <c r="BU218" i="29"/>
  <c r="BV218" i="29"/>
  <c r="BW218" i="29"/>
  <c r="BX218" i="29"/>
  <c r="BY218" i="29"/>
  <c r="BZ218" i="29"/>
  <c r="CA218" i="29"/>
  <c r="CB218" i="29"/>
  <c r="CC218" i="29"/>
  <c r="BT219" i="29"/>
  <c r="BU219" i="29"/>
  <c r="BV219" i="29"/>
  <c r="BW219" i="29"/>
  <c r="BX219" i="29"/>
  <c r="BY219" i="29"/>
  <c r="BZ219" i="29"/>
  <c r="CA219" i="29"/>
  <c r="CB219" i="29"/>
  <c r="CC219" i="29"/>
  <c r="BT220" i="29"/>
  <c r="BU220" i="29"/>
  <c r="BV220" i="29"/>
  <c r="BW220" i="29"/>
  <c r="BX220" i="29"/>
  <c r="BY220" i="29"/>
  <c r="BZ220" i="29"/>
  <c r="CA220" i="29"/>
  <c r="CB220" i="29"/>
  <c r="CC220" i="29"/>
  <c r="BT221" i="29"/>
  <c r="BU221" i="29"/>
  <c r="BV221" i="29"/>
  <c r="BW221" i="29"/>
  <c r="BX221" i="29"/>
  <c r="BY221" i="29"/>
  <c r="BZ221" i="29"/>
  <c r="CA221" i="29"/>
  <c r="CB221" i="29"/>
  <c r="CC221" i="29"/>
  <c r="BT222" i="29"/>
  <c r="BU222" i="29"/>
  <c r="BV222" i="29"/>
  <c r="BW222" i="29"/>
  <c r="BX222" i="29"/>
  <c r="BY222" i="29"/>
  <c r="BZ222" i="29"/>
  <c r="CA222" i="29"/>
  <c r="CB222" i="29"/>
  <c r="CC222" i="29"/>
  <c r="BT223" i="29"/>
  <c r="BU223" i="29"/>
  <c r="BV223" i="29"/>
  <c r="BW223" i="29"/>
  <c r="BX223" i="29"/>
  <c r="BY223" i="29"/>
  <c r="BZ223" i="29"/>
  <c r="CA223" i="29"/>
  <c r="CB223" i="29"/>
  <c r="CC223" i="29"/>
  <c r="BT224" i="29"/>
  <c r="BU224" i="29"/>
  <c r="BV224" i="29"/>
  <c r="BW224" i="29"/>
  <c r="BX224" i="29"/>
  <c r="BY224" i="29"/>
  <c r="BZ224" i="29"/>
  <c r="CA224" i="29"/>
  <c r="CB224" i="29"/>
  <c r="CC224" i="29"/>
  <c r="BT225" i="29"/>
  <c r="BU225" i="29"/>
  <c r="BV225" i="29"/>
  <c r="BW225" i="29"/>
  <c r="BX225" i="29"/>
  <c r="BY225" i="29"/>
  <c r="BZ225" i="29"/>
  <c r="CA225" i="29"/>
  <c r="CB225" i="29"/>
  <c r="CC225" i="29"/>
  <c r="BT226" i="29"/>
  <c r="BU226" i="29"/>
  <c r="BV226" i="29"/>
  <c r="BW226" i="29"/>
  <c r="BX226" i="29"/>
  <c r="BY226" i="29"/>
  <c r="BZ226" i="29"/>
  <c r="CA226" i="29"/>
  <c r="CB226" i="29"/>
  <c r="CC226" i="29"/>
  <c r="BT227" i="29"/>
  <c r="BU227" i="29"/>
  <c r="BV227" i="29"/>
  <c r="BW227" i="29"/>
  <c r="BX227" i="29"/>
  <c r="BY227" i="29"/>
  <c r="BZ227" i="29"/>
  <c r="CA227" i="29"/>
  <c r="CB227" i="29"/>
  <c r="CC227" i="29"/>
  <c r="BT228" i="29"/>
  <c r="BU228" i="29"/>
  <c r="BV228" i="29"/>
  <c r="BW228" i="29"/>
  <c r="BX228" i="29"/>
  <c r="BY228" i="29"/>
  <c r="BZ228" i="29"/>
  <c r="CA228" i="29"/>
  <c r="CB228" i="29"/>
  <c r="CC228" i="29"/>
  <c r="BT229" i="29"/>
  <c r="BU229" i="29"/>
  <c r="BV229" i="29"/>
  <c r="BW229" i="29"/>
  <c r="BX229" i="29"/>
  <c r="BY229" i="29"/>
  <c r="BZ229" i="29"/>
  <c r="CA229" i="29"/>
  <c r="CB229" i="29"/>
  <c r="CC229" i="29"/>
  <c r="BT230" i="29"/>
  <c r="BU230" i="29"/>
  <c r="BV230" i="29"/>
  <c r="BW230" i="29"/>
  <c r="BX230" i="29"/>
  <c r="BY230" i="29"/>
  <c r="BZ230" i="29"/>
  <c r="CA230" i="29"/>
  <c r="CB230" i="29"/>
  <c r="CC230" i="29"/>
  <c r="BT231" i="29"/>
  <c r="BU231" i="29"/>
  <c r="BV231" i="29"/>
  <c r="BW231" i="29"/>
  <c r="BX231" i="29"/>
  <c r="BY231" i="29"/>
  <c r="BZ231" i="29"/>
  <c r="CA231" i="29"/>
  <c r="CB231" i="29"/>
  <c r="CC231" i="29"/>
  <c r="BT232" i="29"/>
  <c r="BU232" i="29"/>
  <c r="BV232" i="29"/>
  <c r="BW232" i="29"/>
  <c r="BX232" i="29"/>
  <c r="BY232" i="29"/>
  <c r="BZ232" i="29"/>
  <c r="CA232" i="29"/>
  <c r="CB232" i="29"/>
  <c r="CC232" i="29"/>
  <c r="BT233" i="29"/>
  <c r="BU233" i="29"/>
  <c r="BV233" i="29"/>
  <c r="BW233" i="29"/>
  <c r="BX233" i="29"/>
  <c r="BY233" i="29"/>
  <c r="BZ233" i="29"/>
  <c r="CA233" i="29"/>
  <c r="CB233" i="29"/>
  <c r="CC233" i="29"/>
  <c r="BT234" i="29"/>
  <c r="BU234" i="29"/>
  <c r="BV234" i="29"/>
  <c r="BW234" i="29"/>
  <c r="BX234" i="29"/>
  <c r="BY234" i="29"/>
  <c r="BZ234" i="29"/>
  <c r="CA234" i="29"/>
  <c r="CB234" i="29"/>
  <c r="CC234" i="29"/>
  <c r="BT235" i="29"/>
  <c r="BU235" i="29"/>
  <c r="BV235" i="29"/>
  <c r="BW235" i="29"/>
  <c r="BX235" i="29"/>
  <c r="BY235" i="29"/>
  <c r="BZ235" i="29"/>
  <c r="CA235" i="29"/>
  <c r="CB235" i="29"/>
  <c r="CC235" i="29"/>
  <c r="BT236" i="29"/>
  <c r="BU236" i="29"/>
  <c r="BV236" i="29"/>
  <c r="BW236" i="29"/>
  <c r="BX236" i="29"/>
  <c r="BY236" i="29"/>
  <c r="BZ236" i="29"/>
  <c r="CA236" i="29"/>
  <c r="CB236" i="29"/>
  <c r="CC236" i="29"/>
  <c r="BT237" i="29"/>
  <c r="BU237" i="29"/>
  <c r="BV237" i="29"/>
  <c r="BW237" i="29"/>
  <c r="BX237" i="29"/>
  <c r="BY237" i="29"/>
  <c r="BZ237" i="29"/>
  <c r="CA237" i="29"/>
  <c r="CB237" i="29"/>
  <c r="CC237" i="29"/>
  <c r="BT238" i="29"/>
  <c r="BU238" i="29"/>
  <c r="BV238" i="29"/>
  <c r="BW238" i="29"/>
  <c r="BX238" i="29"/>
  <c r="BY238" i="29"/>
  <c r="BZ238" i="29"/>
  <c r="CA238" i="29"/>
  <c r="CB238" i="29"/>
  <c r="CC238" i="29"/>
  <c r="BT239" i="29"/>
  <c r="BU239" i="29"/>
  <c r="BV239" i="29"/>
  <c r="BW239" i="29"/>
  <c r="BX239" i="29"/>
  <c r="BY239" i="29"/>
  <c r="BZ239" i="29"/>
  <c r="CA239" i="29"/>
  <c r="CB239" i="29"/>
  <c r="CC239" i="29"/>
  <c r="BT240" i="29"/>
  <c r="BU240" i="29"/>
  <c r="BV240" i="29"/>
  <c r="BW240" i="29"/>
  <c r="BX240" i="29"/>
  <c r="BY240" i="29"/>
  <c r="BZ240" i="29"/>
  <c r="CA240" i="29"/>
  <c r="CB240" i="29"/>
  <c r="CC240" i="29"/>
  <c r="BT241" i="29"/>
  <c r="BU241" i="29"/>
  <c r="BV241" i="29"/>
  <c r="BW241" i="29"/>
  <c r="BX241" i="29"/>
  <c r="BY241" i="29"/>
  <c r="BZ241" i="29"/>
  <c r="CA241" i="29"/>
  <c r="CB241" i="29"/>
  <c r="CC241" i="29"/>
  <c r="BT242" i="29"/>
  <c r="BU242" i="29"/>
  <c r="BV242" i="29"/>
  <c r="BW242" i="29"/>
  <c r="BX242" i="29"/>
  <c r="BY242" i="29"/>
  <c r="BZ242" i="29"/>
  <c r="CA242" i="29"/>
  <c r="CB242" i="29"/>
  <c r="CC242" i="29"/>
  <c r="BT243" i="29"/>
  <c r="BU243" i="29"/>
  <c r="BV243" i="29"/>
  <c r="BW243" i="29"/>
  <c r="BX243" i="29"/>
  <c r="BY243" i="29"/>
  <c r="BZ243" i="29"/>
  <c r="CA243" i="29"/>
  <c r="CB243" i="29"/>
  <c r="CC243" i="29"/>
  <c r="BT244" i="29"/>
  <c r="BU244" i="29"/>
  <c r="BV244" i="29"/>
  <c r="BW244" i="29"/>
  <c r="BX244" i="29"/>
  <c r="BY244" i="29"/>
  <c r="BZ244" i="29"/>
  <c r="CA244" i="29"/>
  <c r="CB244" i="29"/>
  <c r="CC244" i="29"/>
  <c r="BT245" i="29"/>
  <c r="BU245" i="29"/>
  <c r="BV245" i="29"/>
  <c r="BW245" i="29"/>
  <c r="BX245" i="29"/>
  <c r="BY245" i="29"/>
  <c r="BZ245" i="29"/>
  <c r="CA245" i="29"/>
  <c r="CB245" i="29"/>
  <c r="CC245" i="29"/>
  <c r="BT246" i="29"/>
  <c r="BU246" i="29"/>
  <c r="BV246" i="29"/>
  <c r="BW246" i="29"/>
  <c r="BX246" i="29"/>
  <c r="BY246" i="29"/>
  <c r="BZ246" i="29"/>
  <c r="CA246" i="29"/>
  <c r="CB246" i="29"/>
  <c r="CC246" i="29"/>
  <c r="BT247" i="29"/>
  <c r="BU247" i="29"/>
  <c r="BV247" i="29"/>
  <c r="BW247" i="29"/>
  <c r="BX247" i="29"/>
  <c r="BY247" i="29"/>
  <c r="BZ247" i="29"/>
  <c r="CA247" i="29"/>
  <c r="CB247" i="29"/>
  <c r="CC247" i="29"/>
  <c r="BT248" i="29"/>
  <c r="BU248" i="29"/>
  <c r="BV248" i="29"/>
  <c r="BW248" i="29"/>
  <c r="BX248" i="29"/>
  <c r="BY248" i="29"/>
  <c r="BZ248" i="29"/>
  <c r="CA248" i="29"/>
  <c r="CB248" i="29"/>
  <c r="CC248" i="29"/>
  <c r="BT249" i="29"/>
  <c r="BU249" i="29"/>
  <c r="BV249" i="29"/>
  <c r="BW249" i="29"/>
  <c r="BX249" i="29"/>
  <c r="BY249" i="29"/>
  <c r="BZ249" i="29"/>
  <c r="CA249" i="29"/>
  <c r="CB249" i="29"/>
  <c r="CC249" i="29"/>
  <c r="BT250" i="29"/>
  <c r="BU250" i="29"/>
  <c r="BV250" i="29"/>
  <c r="BW250" i="29"/>
  <c r="BX250" i="29"/>
  <c r="BY250" i="29"/>
  <c r="BZ250" i="29"/>
  <c r="CA250" i="29"/>
  <c r="CB250" i="29"/>
  <c r="CC250" i="29"/>
  <c r="BT251" i="29"/>
  <c r="BU251" i="29"/>
  <c r="BV251" i="29"/>
  <c r="BW251" i="29"/>
  <c r="BX251" i="29"/>
  <c r="BY251" i="29"/>
  <c r="BZ251" i="29"/>
  <c r="CA251" i="29"/>
  <c r="CB251" i="29"/>
  <c r="CC251" i="29"/>
  <c r="BT252" i="29"/>
  <c r="BU252" i="29"/>
  <c r="BV252" i="29"/>
  <c r="BW252" i="29"/>
  <c r="BX252" i="29"/>
  <c r="BY252" i="29"/>
  <c r="BZ252" i="29"/>
  <c r="CA252" i="29"/>
  <c r="CB252" i="29"/>
  <c r="CC252" i="29"/>
  <c r="BT253" i="29"/>
  <c r="BU253" i="29"/>
  <c r="BV253" i="29"/>
  <c r="BW253" i="29"/>
  <c r="BX253" i="29"/>
  <c r="BY253" i="29"/>
  <c r="BZ253" i="29"/>
  <c r="CA253" i="29"/>
  <c r="CB253" i="29"/>
  <c r="CC253" i="29"/>
  <c r="BT254" i="29"/>
  <c r="BU254" i="29"/>
  <c r="BV254" i="29"/>
  <c r="BW254" i="29"/>
  <c r="BX254" i="29"/>
  <c r="BY254" i="29"/>
  <c r="BZ254" i="29"/>
  <c r="CA254" i="29"/>
  <c r="CB254" i="29"/>
  <c r="CC254" i="29"/>
  <c r="BT255" i="29"/>
  <c r="BU255" i="29"/>
  <c r="BV255" i="29"/>
  <c r="BW255" i="29"/>
  <c r="BX255" i="29"/>
  <c r="BY255" i="29"/>
  <c r="BZ255" i="29"/>
  <c r="CA255" i="29"/>
  <c r="CB255" i="29"/>
  <c r="CC255" i="29"/>
  <c r="BT256" i="29"/>
  <c r="BU256" i="29"/>
  <c r="BV256" i="29"/>
  <c r="BW256" i="29"/>
  <c r="BX256" i="29"/>
  <c r="BY256" i="29"/>
  <c r="BZ256" i="29"/>
  <c r="CA256" i="29"/>
  <c r="CB256" i="29"/>
  <c r="CC256" i="29"/>
  <c r="BT257" i="29"/>
  <c r="BU257" i="29"/>
  <c r="BV257" i="29"/>
  <c r="BW257" i="29"/>
  <c r="BX257" i="29"/>
  <c r="BY257" i="29"/>
  <c r="BZ257" i="29"/>
  <c r="CA257" i="29"/>
  <c r="CB257" i="29"/>
  <c r="CC257" i="29"/>
  <c r="BT258" i="29"/>
  <c r="BU258" i="29"/>
  <c r="BV258" i="29"/>
  <c r="BW258" i="29"/>
  <c r="BX258" i="29"/>
  <c r="BY258" i="29"/>
  <c r="BZ258" i="29"/>
  <c r="CA258" i="29"/>
  <c r="CB258" i="29"/>
  <c r="CC258" i="29"/>
  <c r="BT259" i="29"/>
  <c r="BU259" i="29"/>
  <c r="BV259" i="29"/>
  <c r="BW259" i="29"/>
  <c r="BX259" i="29"/>
  <c r="BY259" i="29"/>
  <c r="BZ259" i="29"/>
  <c r="CA259" i="29"/>
  <c r="CB259" i="29"/>
  <c r="CC259" i="29"/>
  <c r="BT260" i="29"/>
  <c r="BU260" i="29"/>
  <c r="BV260" i="29"/>
  <c r="BW260" i="29"/>
  <c r="BX260" i="29"/>
  <c r="BY260" i="29"/>
  <c r="BZ260" i="29"/>
  <c r="CA260" i="29"/>
  <c r="CB260" i="29"/>
  <c r="CC260" i="29"/>
  <c r="BT261" i="29"/>
  <c r="BU261" i="29"/>
  <c r="BV261" i="29"/>
  <c r="BW261" i="29"/>
  <c r="BX261" i="29"/>
  <c r="BY261" i="29"/>
  <c r="BZ261" i="29"/>
  <c r="CA261" i="29"/>
  <c r="CB261" i="29"/>
  <c r="CC261" i="29"/>
  <c r="BT262" i="29"/>
  <c r="BU262" i="29"/>
  <c r="BV262" i="29"/>
  <c r="BW262" i="29"/>
  <c r="BX262" i="29"/>
  <c r="BY262" i="29"/>
  <c r="BZ262" i="29"/>
  <c r="CA262" i="29"/>
  <c r="CB262" i="29"/>
  <c r="CC262" i="29"/>
  <c r="BT263" i="29"/>
  <c r="BU263" i="29"/>
  <c r="BV263" i="29"/>
  <c r="BW263" i="29"/>
  <c r="BX263" i="29"/>
  <c r="BY263" i="29"/>
  <c r="BZ263" i="29"/>
  <c r="CA263" i="29"/>
  <c r="CB263" i="29"/>
  <c r="CC263" i="29"/>
  <c r="BT264" i="29"/>
  <c r="BU264" i="29"/>
  <c r="BV264" i="29"/>
  <c r="BW264" i="29"/>
  <c r="BX264" i="29"/>
  <c r="BY264" i="29"/>
  <c r="BZ264" i="29"/>
  <c r="CA264" i="29"/>
  <c r="CB264" i="29"/>
  <c r="CC264" i="29"/>
  <c r="BT265" i="29"/>
  <c r="BU265" i="29"/>
  <c r="BV265" i="29"/>
  <c r="BW265" i="29"/>
  <c r="BX265" i="29"/>
  <c r="BY265" i="29"/>
  <c r="BZ265" i="29"/>
  <c r="CA265" i="29"/>
  <c r="CB265" i="29"/>
  <c r="CC265" i="29"/>
  <c r="BT266" i="29"/>
  <c r="BU266" i="29"/>
  <c r="BV266" i="29"/>
  <c r="BW266" i="29"/>
  <c r="BX266" i="29"/>
  <c r="BY266" i="29"/>
  <c r="BZ266" i="29"/>
  <c r="CA266" i="29"/>
  <c r="CB266" i="29"/>
  <c r="CC266" i="29"/>
  <c r="BT267" i="29"/>
  <c r="BU267" i="29"/>
  <c r="BV267" i="29"/>
  <c r="BW267" i="29"/>
  <c r="BX267" i="29"/>
  <c r="BY267" i="29"/>
  <c r="BZ267" i="29"/>
  <c r="CA267" i="29"/>
  <c r="CB267" i="29"/>
  <c r="CC267" i="29"/>
  <c r="BT268" i="29"/>
  <c r="BU268" i="29"/>
  <c r="BV268" i="29"/>
  <c r="BW268" i="29"/>
  <c r="BX268" i="29"/>
  <c r="BY268" i="29"/>
  <c r="BZ268" i="29"/>
  <c r="CA268" i="29"/>
  <c r="CB268" i="29"/>
  <c r="CC268" i="29"/>
  <c r="BT269" i="29"/>
  <c r="BU269" i="29"/>
  <c r="BV269" i="29"/>
  <c r="BW269" i="29"/>
  <c r="BX269" i="29"/>
  <c r="BY269" i="29"/>
  <c r="BZ269" i="29"/>
  <c r="CA269" i="29"/>
  <c r="CB269" i="29"/>
  <c r="CC269" i="29"/>
  <c r="BT270" i="29"/>
  <c r="BU270" i="29"/>
  <c r="BV270" i="29"/>
  <c r="BW270" i="29"/>
  <c r="BX270" i="29"/>
  <c r="BY270" i="29"/>
  <c r="BZ270" i="29"/>
  <c r="CA270" i="29"/>
  <c r="CB270" i="29"/>
  <c r="CC270" i="29"/>
  <c r="BT271" i="29"/>
  <c r="BU271" i="29"/>
  <c r="BV271" i="29"/>
  <c r="BW271" i="29"/>
  <c r="BX271" i="29"/>
  <c r="BY271" i="29"/>
  <c r="BZ271" i="29"/>
  <c r="CA271" i="29"/>
  <c r="CB271" i="29"/>
  <c r="CC271" i="29"/>
  <c r="BT272" i="29"/>
  <c r="BU272" i="29"/>
  <c r="BV272" i="29"/>
  <c r="BW272" i="29"/>
  <c r="BX272" i="29"/>
  <c r="BY272" i="29"/>
  <c r="BZ272" i="29"/>
  <c r="CA272" i="29"/>
  <c r="CB272" i="29"/>
  <c r="CC272" i="29"/>
  <c r="BT273" i="29"/>
  <c r="BU273" i="29"/>
  <c r="BV273" i="29"/>
  <c r="BW273" i="29"/>
  <c r="BX273" i="29"/>
  <c r="BY273" i="29"/>
  <c r="BZ273" i="29"/>
  <c r="CA273" i="29"/>
  <c r="CB273" i="29"/>
  <c r="CC273" i="29"/>
  <c r="BT274" i="29"/>
  <c r="BU274" i="29"/>
  <c r="BV274" i="29"/>
  <c r="BW274" i="29"/>
  <c r="BX274" i="29"/>
  <c r="BY274" i="29"/>
  <c r="BZ274" i="29"/>
  <c r="CA274" i="29"/>
  <c r="CB274" i="29"/>
  <c r="CC274" i="29"/>
  <c r="BT275" i="29"/>
  <c r="BU275" i="29"/>
  <c r="BV275" i="29"/>
  <c r="BW275" i="29"/>
  <c r="BX275" i="29"/>
  <c r="BY275" i="29"/>
  <c r="BZ275" i="29"/>
  <c r="CA275" i="29"/>
  <c r="CB275" i="29"/>
  <c r="CC275" i="29"/>
  <c r="BT276" i="29"/>
  <c r="BU276" i="29"/>
  <c r="BV276" i="29"/>
  <c r="BW276" i="29"/>
  <c r="BX276" i="29"/>
  <c r="BY276" i="29"/>
  <c r="BZ276" i="29"/>
  <c r="CA276" i="29"/>
  <c r="CB276" i="29"/>
  <c r="CC276" i="29"/>
  <c r="BT277" i="29"/>
  <c r="BU277" i="29"/>
  <c r="BV277" i="29"/>
  <c r="BW277" i="29"/>
  <c r="BX277" i="29"/>
  <c r="BY277" i="29"/>
  <c r="BZ277" i="29"/>
  <c r="CA277" i="29"/>
  <c r="CB277" i="29"/>
  <c r="CC277" i="29"/>
  <c r="BT278" i="29"/>
  <c r="BU278" i="29"/>
  <c r="BV278" i="29"/>
  <c r="BW278" i="29"/>
  <c r="BX278" i="29"/>
  <c r="BY278" i="29"/>
  <c r="BZ278" i="29"/>
  <c r="CA278" i="29"/>
  <c r="CB278" i="29"/>
  <c r="CC278" i="29"/>
  <c r="BT279" i="29"/>
  <c r="BU279" i="29"/>
  <c r="BV279" i="29"/>
  <c r="BW279" i="29"/>
  <c r="BX279" i="29"/>
  <c r="BY279" i="29"/>
  <c r="BZ279" i="29"/>
  <c r="CA279" i="29"/>
  <c r="CB279" i="29"/>
  <c r="CC279" i="29"/>
  <c r="BT280" i="29"/>
  <c r="BU280" i="29"/>
  <c r="BV280" i="29"/>
  <c r="BW280" i="29"/>
  <c r="BX280" i="29"/>
  <c r="BY280" i="29"/>
  <c r="BZ280" i="29"/>
  <c r="CA280" i="29"/>
  <c r="CB280" i="29"/>
  <c r="CC280" i="29"/>
  <c r="BT281" i="29"/>
  <c r="BU281" i="29"/>
  <c r="BV281" i="29"/>
  <c r="BW281" i="29"/>
  <c r="BX281" i="29"/>
  <c r="BY281" i="29"/>
  <c r="BZ281" i="29"/>
  <c r="CA281" i="29"/>
  <c r="CB281" i="29"/>
  <c r="CC281" i="29"/>
  <c r="BT282" i="29"/>
  <c r="BU282" i="29"/>
  <c r="BV282" i="29"/>
  <c r="BW282" i="29"/>
  <c r="BX282" i="29"/>
  <c r="BY282" i="29"/>
  <c r="BZ282" i="29"/>
  <c r="CA282" i="29"/>
  <c r="CB282" i="29"/>
  <c r="CC282" i="29"/>
  <c r="BT283" i="29"/>
  <c r="BU283" i="29"/>
  <c r="BV283" i="29"/>
  <c r="BW283" i="29"/>
  <c r="BX283" i="29"/>
  <c r="BY283" i="29"/>
  <c r="BZ283" i="29"/>
  <c r="CA283" i="29"/>
  <c r="CB283" i="29"/>
  <c r="CC283" i="29"/>
  <c r="BT284" i="29"/>
  <c r="BU284" i="29"/>
  <c r="BV284" i="29"/>
  <c r="BW284" i="29"/>
  <c r="BX284" i="29"/>
  <c r="BY284" i="29"/>
  <c r="BZ284" i="29"/>
  <c r="CA284" i="29"/>
  <c r="CB284" i="29"/>
  <c r="CC284" i="29"/>
  <c r="BT285" i="29"/>
  <c r="BU285" i="29"/>
  <c r="BV285" i="29"/>
  <c r="BW285" i="29"/>
  <c r="BX285" i="29"/>
  <c r="BY285" i="29"/>
  <c r="BZ285" i="29"/>
  <c r="CA285" i="29"/>
  <c r="CB285" i="29"/>
  <c r="CC285" i="29"/>
  <c r="BT286" i="29"/>
  <c r="BU286" i="29"/>
  <c r="BV286" i="29"/>
  <c r="BW286" i="29"/>
  <c r="BX286" i="29"/>
  <c r="BY286" i="29"/>
  <c r="BZ286" i="29"/>
  <c r="CA286" i="29"/>
  <c r="CB286" i="29"/>
  <c r="CC286" i="29"/>
  <c r="BT287" i="29"/>
  <c r="BU287" i="29"/>
  <c r="BV287" i="29"/>
  <c r="BW287" i="29"/>
  <c r="BX287" i="29"/>
  <c r="BY287" i="29"/>
  <c r="BZ287" i="29"/>
  <c r="CA287" i="29"/>
  <c r="CB287" i="29"/>
  <c r="CC287" i="29"/>
  <c r="BT288" i="29"/>
  <c r="BU288" i="29"/>
  <c r="BV288" i="29"/>
  <c r="BW288" i="29"/>
  <c r="BX288" i="29"/>
  <c r="BY288" i="29"/>
  <c r="BZ288" i="29"/>
  <c r="CA288" i="29"/>
  <c r="CB288" i="29"/>
  <c r="CC288" i="29"/>
  <c r="BT289" i="29"/>
  <c r="BU289" i="29"/>
  <c r="BV289" i="29"/>
  <c r="BW289" i="29"/>
  <c r="BX289" i="29"/>
  <c r="BY289" i="29"/>
  <c r="BZ289" i="29"/>
  <c r="CA289" i="29"/>
  <c r="CB289" i="29"/>
  <c r="CC289" i="29"/>
  <c r="BT290" i="29"/>
  <c r="BU290" i="29"/>
  <c r="BV290" i="29"/>
  <c r="BW290" i="29"/>
  <c r="BX290" i="29"/>
  <c r="BY290" i="29"/>
  <c r="BZ290" i="29"/>
  <c r="CA290" i="29"/>
  <c r="CB290" i="29"/>
  <c r="CC290" i="29"/>
  <c r="BT291" i="29"/>
  <c r="BU291" i="29"/>
  <c r="BV291" i="29"/>
  <c r="BW291" i="29"/>
  <c r="BX291" i="29"/>
  <c r="BY291" i="29"/>
  <c r="BZ291" i="29"/>
  <c r="CA291" i="29"/>
  <c r="CB291" i="29"/>
  <c r="CC291" i="29"/>
  <c r="BT292" i="29"/>
  <c r="BU292" i="29"/>
  <c r="BV292" i="29"/>
  <c r="BW292" i="29"/>
  <c r="BX292" i="29"/>
  <c r="BY292" i="29"/>
  <c r="BZ292" i="29"/>
  <c r="CA292" i="29"/>
  <c r="CB292" i="29"/>
  <c r="CC292" i="29"/>
  <c r="BT293" i="29"/>
  <c r="BU293" i="29"/>
  <c r="BV293" i="29"/>
  <c r="BW293" i="29"/>
  <c r="BX293" i="29"/>
  <c r="BY293" i="29"/>
  <c r="BZ293" i="29"/>
  <c r="CA293" i="29"/>
  <c r="CB293" i="29"/>
  <c r="CC293" i="29"/>
  <c r="BT294" i="29"/>
  <c r="BU294" i="29"/>
  <c r="BV294" i="29"/>
  <c r="BW294" i="29"/>
  <c r="BX294" i="29"/>
  <c r="BY294" i="29"/>
  <c r="BZ294" i="29"/>
  <c r="CA294" i="29"/>
  <c r="CB294" i="29"/>
  <c r="CC294" i="29"/>
  <c r="BT295" i="29"/>
  <c r="BU295" i="29"/>
  <c r="BV295" i="29"/>
  <c r="BW295" i="29"/>
  <c r="BX295" i="29"/>
  <c r="BY295" i="29"/>
  <c r="BZ295" i="29"/>
  <c r="CA295" i="29"/>
  <c r="CB295" i="29"/>
  <c r="CC295" i="29"/>
  <c r="BT296" i="29"/>
  <c r="BU296" i="29"/>
  <c r="BV296" i="29"/>
  <c r="BW296" i="29"/>
  <c r="BX296" i="29"/>
  <c r="BY296" i="29"/>
  <c r="BZ296" i="29"/>
  <c r="CA296" i="29"/>
  <c r="CB296" i="29"/>
  <c r="CC296" i="29"/>
  <c r="BT297" i="29"/>
  <c r="BU297" i="29"/>
  <c r="BV297" i="29"/>
  <c r="BW297" i="29"/>
  <c r="BX297" i="29"/>
  <c r="BY297" i="29"/>
  <c r="BZ297" i="29"/>
  <c r="CA297" i="29"/>
  <c r="CB297" i="29"/>
  <c r="CC297" i="29"/>
  <c r="BT298" i="29"/>
  <c r="BU298" i="29"/>
  <c r="BV298" i="29"/>
  <c r="BW298" i="29"/>
  <c r="BX298" i="29"/>
  <c r="BY298" i="29"/>
  <c r="BZ298" i="29"/>
  <c r="CA298" i="29"/>
  <c r="CB298" i="29"/>
  <c r="CC298" i="29"/>
  <c r="BT299" i="29"/>
  <c r="BU299" i="29"/>
  <c r="BV299" i="29"/>
  <c r="BW299" i="29"/>
  <c r="BX299" i="29"/>
  <c r="BY299" i="29"/>
  <c r="BZ299" i="29"/>
  <c r="CA299" i="29"/>
  <c r="CB299" i="29"/>
  <c r="CC299" i="29"/>
  <c r="BT300" i="29"/>
  <c r="BU300" i="29"/>
  <c r="BV300" i="29"/>
  <c r="BW300" i="29"/>
  <c r="BX300" i="29"/>
  <c r="BY300" i="29"/>
  <c r="BZ300" i="29"/>
  <c r="CA300" i="29"/>
  <c r="CB300" i="29"/>
  <c r="CC300" i="29"/>
  <c r="BT301" i="29"/>
  <c r="BU301" i="29"/>
  <c r="BV301" i="29"/>
  <c r="BW301" i="29"/>
  <c r="BX301" i="29"/>
  <c r="BY301" i="29"/>
  <c r="BZ301" i="29"/>
  <c r="CA301" i="29"/>
  <c r="CB301" i="29"/>
  <c r="CC301" i="29"/>
  <c r="BT302" i="29"/>
  <c r="BU302" i="29"/>
  <c r="BV302" i="29"/>
  <c r="BW302" i="29"/>
  <c r="BX302" i="29"/>
  <c r="BY302" i="29"/>
  <c r="BZ302" i="29"/>
  <c r="CA302" i="29"/>
  <c r="CB302" i="29"/>
  <c r="CC302" i="29"/>
  <c r="BT303" i="29"/>
  <c r="BU303" i="29"/>
  <c r="BV303" i="29"/>
  <c r="BW303" i="29"/>
  <c r="BX303" i="29"/>
  <c r="BY303" i="29"/>
  <c r="BZ303" i="29"/>
  <c r="CA303" i="29"/>
  <c r="CB303" i="29"/>
  <c r="CC303" i="29"/>
  <c r="BT304" i="29"/>
  <c r="BU304" i="29"/>
  <c r="BV304" i="29"/>
  <c r="BW304" i="29"/>
  <c r="BX304" i="29"/>
  <c r="BY304" i="29"/>
  <c r="BZ304" i="29"/>
  <c r="CA304" i="29"/>
  <c r="CB304" i="29"/>
  <c r="CC304" i="29"/>
  <c r="BT305" i="29"/>
  <c r="BU305" i="29"/>
  <c r="BV305" i="29"/>
  <c r="BW305" i="29"/>
  <c r="BX305" i="29"/>
  <c r="BY305" i="29"/>
  <c r="BZ305" i="29"/>
  <c r="CA305" i="29"/>
  <c r="CB305" i="29"/>
  <c r="CC305" i="29"/>
  <c r="BT306" i="29"/>
  <c r="BU306" i="29"/>
  <c r="BV306" i="29"/>
  <c r="BW306" i="29"/>
  <c r="BX306" i="29"/>
  <c r="BY306" i="29"/>
  <c r="BZ306" i="29"/>
  <c r="CA306" i="29"/>
  <c r="CB306" i="29"/>
  <c r="CC306" i="29"/>
  <c r="BT307" i="29"/>
  <c r="BU307" i="29"/>
  <c r="BV307" i="29"/>
  <c r="BW307" i="29"/>
  <c r="BX307" i="29"/>
  <c r="BY307" i="29"/>
  <c r="BZ307" i="29"/>
  <c r="CA307" i="29"/>
  <c r="CB307" i="29"/>
  <c r="CC307" i="29"/>
  <c r="BT308" i="29"/>
  <c r="BU308" i="29"/>
  <c r="BV308" i="29"/>
  <c r="BW308" i="29"/>
  <c r="BX308" i="29"/>
  <c r="BY308" i="29"/>
  <c r="BZ308" i="29"/>
  <c r="CA308" i="29"/>
  <c r="CB308" i="29"/>
  <c r="CC308" i="29"/>
  <c r="BT309" i="29"/>
  <c r="BU309" i="29"/>
  <c r="BV309" i="29"/>
  <c r="BW309" i="29"/>
  <c r="BX309" i="29"/>
  <c r="BY309" i="29"/>
  <c r="BZ309" i="29"/>
  <c r="CA309" i="29"/>
  <c r="CB309" i="29"/>
  <c r="CC309" i="29"/>
  <c r="BT310" i="29"/>
  <c r="BU310" i="29"/>
  <c r="BV310" i="29"/>
  <c r="BW310" i="29"/>
  <c r="BX310" i="29"/>
  <c r="BY310" i="29"/>
  <c r="BZ310" i="29"/>
  <c r="CA310" i="29"/>
  <c r="CB310" i="29"/>
  <c r="CC310" i="29"/>
  <c r="BT311" i="29"/>
  <c r="BU311" i="29"/>
  <c r="BV311" i="29"/>
  <c r="BW311" i="29"/>
  <c r="BX311" i="29"/>
  <c r="BY311" i="29"/>
  <c r="BZ311" i="29"/>
  <c r="CA311" i="29"/>
  <c r="CB311" i="29"/>
  <c r="CC311" i="29"/>
  <c r="BT312" i="29"/>
  <c r="BU312" i="29"/>
  <c r="BV312" i="29"/>
  <c r="BW312" i="29"/>
  <c r="BX312" i="29"/>
  <c r="BY312" i="29"/>
  <c r="BZ312" i="29"/>
  <c r="CA312" i="29"/>
  <c r="CB312" i="29"/>
  <c r="CC312" i="29"/>
  <c r="BT313" i="29"/>
  <c r="BU313" i="29"/>
  <c r="BV313" i="29"/>
  <c r="BW313" i="29"/>
  <c r="BX313" i="29"/>
  <c r="BY313" i="29"/>
  <c r="BZ313" i="29"/>
  <c r="CA313" i="29"/>
  <c r="CB313" i="29"/>
  <c r="CC313" i="29"/>
  <c r="BT314" i="29"/>
  <c r="BU314" i="29"/>
  <c r="BV314" i="29"/>
  <c r="BW314" i="29"/>
  <c r="BX314" i="29"/>
  <c r="BY314" i="29"/>
  <c r="BZ314" i="29"/>
  <c r="CA314" i="29"/>
  <c r="CB314" i="29"/>
  <c r="CC314" i="29"/>
  <c r="BT315" i="29"/>
  <c r="BU315" i="29"/>
  <c r="BV315" i="29"/>
  <c r="BW315" i="29"/>
  <c r="BX315" i="29"/>
  <c r="BY315" i="29"/>
  <c r="BZ315" i="29"/>
  <c r="CA315" i="29"/>
  <c r="CB315" i="29"/>
  <c r="CC315" i="29"/>
  <c r="BT316" i="29"/>
  <c r="BU316" i="29"/>
  <c r="BV316" i="29"/>
  <c r="BW316" i="29"/>
  <c r="BX316" i="29"/>
  <c r="BY316" i="29"/>
  <c r="BZ316" i="29"/>
  <c r="CA316" i="29"/>
  <c r="CB316" i="29"/>
  <c r="CC316" i="29"/>
  <c r="BT317" i="29"/>
  <c r="BU317" i="29"/>
  <c r="BV317" i="29"/>
  <c r="BW317" i="29"/>
  <c r="BX317" i="29"/>
  <c r="BY317" i="29"/>
  <c r="BZ317" i="29"/>
  <c r="CA317" i="29"/>
  <c r="CB317" i="29"/>
  <c r="CC317" i="29"/>
  <c r="BT318" i="29"/>
  <c r="BU318" i="29"/>
  <c r="BV318" i="29"/>
  <c r="BW318" i="29"/>
  <c r="BX318" i="29"/>
  <c r="BY318" i="29"/>
  <c r="BZ318" i="29"/>
  <c r="CA318" i="29"/>
  <c r="CB318" i="29"/>
  <c r="CC318" i="29"/>
  <c r="BT319" i="29"/>
  <c r="BU319" i="29"/>
  <c r="BV319" i="29"/>
  <c r="BW319" i="29"/>
  <c r="BX319" i="29"/>
  <c r="BY319" i="29"/>
  <c r="BZ319" i="29"/>
  <c r="CA319" i="29"/>
  <c r="CB319" i="29"/>
  <c r="CC319" i="29"/>
  <c r="BT320" i="29"/>
  <c r="BU320" i="29"/>
  <c r="BV320" i="29"/>
  <c r="BW320" i="29"/>
  <c r="BX320" i="29"/>
  <c r="BY320" i="29"/>
  <c r="BZ320" i="29"/>
  <c r="CA320" i="29"/>
  <c r="CB320" i="29"/>
  <c r="CC320" i="29"/>
  <c r="BT321" i="29"/>
  <c r="BU321" i="29"/>
  <c r="BV321" i="29"/>
  <c r="BW321" i="29"/>
  <c r="BX321" i="29"/>
  <c r="BY321" i="29"/>
  <c r="BZ321" i="29"/>
  <c r="CA321" i="29"/>
  <c r="CB321" i="29"/>
  <c r="CC321" i="29"/>
  <c r="BT322" i="29"/>
  <c r="BU322" i="29"/>
  <c r="BV322" i="29"/>
  <c r="BW322" i="29"/>
  <c r="BX322" i="29"/>
  <c r="BY322" i="29"/>
  <c r="BZ322" i="29"/>
  <c r="CA322" i="29"/>
  <c r="CB322" i="29"/>
  <c r="CC322" i="29"/>
  <c r="BT323" i="29"/>
  <c r="BU323" i="29"/>
  <c r="BV323" i="29"/>
  <c r="BW323" i="29"/>
  <c r="BX323" i="29"/>
  <c r="BY323" i="29"/>
  <c r="BZ323" i="29"/>
  <c r="CA323" i="29"/>
  <c r="CB323" i="29"/>
  <c r="CC323" i="29"/>
  <c r="BT324" i="29"/>
  <c r="BU324" i="29"/>
  <c r="BV324" i="29"/>
  <c r="BW324" i="29"/>
  <c r="BX324" i="29"/>
  <c r="BY324" i="29"/>
  <c r="BZ324" i="29"/>
  <c r="CA324" i="29"/>
  <c r="CB324" i="29"/>
  <c r="CC324" i="29"/>
  <c r="BT325" i="29"/>
  <c r="BU325" i="29"/>
  <c r="BV325" i="29"/>
  <c r="BW325" i="29"/>
  <c r="BX325" i="29"/>
  <c r="BY325" i="29"/>
  <c r="BZ325" i="29"/>
  <c r="CA325" i="29"/>
  <c r="CB325" i="29"/>
  <c r="CC325" i="29"/>
  <c r="BT326" i="29"/>
  <c r="BU326" i="29"/>
  <c r="BV326" i="29"/>
  <c r="BW326" i="29"/>
  <c r="BX326" i="29"/>
  <c r="BY326" i="29"/>
  <c r="BZ326" i="29"/>
  <c r="CA326" i="29"/>
  <c r="CB326" i="29"/>
  <c r="CC326" i="29"/>
  <c r="BT327" i="29"/>
  <c r="BU327" i="29"/>
  <c r="BV327" i="29"/>
  <c r="BW327" i="29"/>
  <c r="BX327" i="29"/>
  <c r="BY327" i="29"/>
  <c r="BZ327" i="29"/>
  <c r="CA327" i="29"/>
  <c r="CB327" i="29"/>
  <c r="CC327" i="29"/>
  <c r="BT328" i="29"/>
  <c r="BU328" i="29"/>
  <c r="BV328" i="29"/>
  <c r="BW328" i="29"/>
  <c r="BX328" i="29"/>
  <c r="BY328" i="29"/>
  <c r="BZ328" i="29"/>
  <c r="CA328" i="29"/>
  <c r="CB328" i="29"/>
  <c r="CC328" i="29"/>
  <c r="BT329" i="29"/>
  <c r="BU329" i="29"/>
  <c r="BV329" i="29"/>
  <c r="BW329" i="29"/>
  <c r="BX329" i="29"/>
  <c r="BY329" i="29"/>
  <c r="BZ329" i="29"/>
  <c r="CA329" i="29"/>
  <c r="CB329" i="29"/>
  <c r="CC329" i="29"/>
  <c r="BT330" i="29"/>
  <c r="BU330" i="29"/>
  <c r="BV330" i="29"/>
  <c r="BW330" i="29"/>
  <c r="BX330" i="29"/>
  <c r="BY330" i="29"/>
  <c r="BZ330" i="29"/>
  <c r="CA330" i="29"/>
  <c r="CB330" i="29"/>
  <c r="CC330" i="29"/>
  <c r="BT331" i="29"/>
  <c r="BU331" i="29"/>
  <c r="BV331" i="29"/>
  <c r="BW331" i="29"/>
  <c r="BX331" i="29"/>
  <c r="BY331" i="29"/>
  <c r="BZ331" i="29"/>
  <c r="CA331" i="29"/>
  <c r="CB331" i="29"/>
  <c r="CC331" i="29"/>
  <c r="BT332" i="29"/>
  <c r="BU332" i="29"/>
  <c r="BV332" i="29"/>
  <c r="BW332" i="29"/>
  <c r="BX332" i="29"/>
  <c r="BY332" i="29"/>
  <c r="BZ332" i="29"/>
  <c r="CA332" i="29"/>
  <c r="CB332" i="29"/>
  <c r="CC332" i="29"/>
  <c r="BT333" i="29"/>
  <c r="BU333" i="29"/>
  <c r="BV333" i="29"/>
  <c r="BW333" i="29"/>
  <c r="BX333" i="29"/>
  <c r="BY333" i="29"/>
  <c r="BZ333" i="29"/>
  <c r="CA333" i="29"/>
  <c r="CB333" i="29"/>
  <c r="CC333" i="29"/>
  <c r="BT334" i="29"/>
  <c r="BU334" i="29"/>
  <c r="BV334" i="29"/>
  <c r="BW334" i="29"/>
  <c r="BX334" i="29"/>
  <c r="BY334" i="29"/>
  <c r="BZ334" i="29"/>
  <c r="CA334" i="29"/>
  <c r="CB334" i="29"/>
  <c r="CC334" i="29"/>
  <c r="BT335" i="29"/>
  <c r="BU335" i="29"/>
  <c r="BV335" i="29"/>
  <c r="BW335" i="29"/>
  <c r="BX335" i="29"/>
  <c r="BY335" i="29"/>
  <c r="BZ335" i="29"/>
  <c r="CA335" i="29"/>
  <c r="CB335" i="29"/>
  <c r="CC335" i="29"/>
  <c r="BT336" i="29"/>
  <c r="BU336" i="29"/>
  <c r="BV336" i="29"/>
  <c r="BW336" i="29"/>
  <c r="BX336" i="29"/>
  <c r="BY336" i="29"/>
  <c r="BZ336" i="29"/>
  <c r="CA336" i="29"/>
  <c r="CB336" i="29"/>
  <c r="CC336" i="29"/>
  <c r="BT337" i="29"/>
  <c r="BU337" i="29"/>
  <c r="BV337" i="29"/>
  <c r="BW337" i="29"/>
  <c r="BX337" i="29"/>
  <c r="BY337" i="29"/>
  <c r="BZ337" i="29"/>
  <c r="CA337" i="29"/>
  <c r="CB337" i="29"/>
  <c r="CC337" i="29"/>
  <c r="BT338" i="29"/>
  <c r="BU338" i="29"/>
  <c r="BV338" i="29"/>
  <c r="BW338" i="29"/>
  <c r="BX338" i="29"/>
  <c r="BY338" i="29"/>
  <c r="BZ338" i="29"/>
  <c r="CA338" i="29"/>
  <c r="CB338" i="29"/>
  <c r="CC338" i="29"/>
  <c r="BT339" i="29"/>
  <c r="BU339" i="29"/>
  <c r="BV339" i="29"/>
  <c r="BW339" i="29"/>
  <c r="BX339" i="29"/>
  <c r="BY339" i="29"/>
  <c r="BZ339" i="29"/>
  <c r="CA339" i="29"/>
  <c r="CB339" i="29"/>
  <c r="CC339" i="29"/>
  <c r="BT340" i="29"/>
  <c r="BU340" i="29"/>
  <c r="BV340" i="29"/>
  <c r="BW340" i="29"/>
  <c r="BX340" i="29"/>
  <c r="BY340" i="29"/>
  <c r="BZ340" i="29"/>
  <c r="CA340" i="29"/>
  <c r="CB340" i="29"/>
  <c r="CC340" i="29"/>
  <c r="BT341" i="29"/>
  <c r="BU341" i="29"/>
  <c r="BV341" i="29"/>
  <c r="BW341" i="29"/>
  <c r="BX341" i="29"/>
  <c r="BY341" i="29"/>
  <c r="BZ341" i="29"/>
  <c r="CA341" i="29"/>
  <c r="CB341" i="29"/>
  <c r="CC341" i="29"/>
  <c r="BT342" i="29"/>
  <c r="BU342" i="29"/>
  <c r="BV342" i="29"/>
  <c r="BW342" i="29"/>
  <c r="BX342" i="29"/>
  <c r="BY342" i="29"/>
  <c r="BZ342" i="29"/>
  <c r="CA342" i="29"/>
  <c r="CB342" i="29"/>
  <c r="CC342" i="29"/>
  <c r="BT343" i="29"/>
  <c r="BU343" i="29"/>
  <c r="BV343" i="29"/>
  <c r="BW343" i="29"/>
  <c r="BX343" i="29"/>
  <c r="BY343" i="29"/>
  <c r="BZ343" i="29"/>
  <c r="CA343" i="29"/>
  <c r="CB343" i="29"/>
  <c r="CC343" i="29"/>
  <c r="BT344" i="29"/>
  <c r="BU344" i="29"/>
  <c r="BV344" i="29"/>
  <c r="BW344" i="29"/>
  <c r="BX344" i="29"/>
  <c r="BY344" i="29"/>
  <c r="BZ344" i="29"/>
  <c r="CA344" i="29"/>
  <c r="CB344" i="29"/>
  <c r="CC344" i="29"/>
  <c r="BT345" i="29"/>
  <c r="BU345" i="29"/>
  <c r="BV345" i="29"/>
  <c r="BW345" i="29"/>
  <c r="BX345" i="29"/>
  <c r="BY345" i="29"/>
  <c r="BZ345" i="29"/>
  <c r="CA345" i="29"/>
  <c r="CB345" i="29"/>
  <c r="CC345" i="29"/>
  <c r="BT346" i="29"/>
  <c r="BU346" i="29"/>
  <c r="BV346" i="29"/>
  <c r="BW346" i="29"/>
  <c r="BX346" i="29"/>
  <c r="BY346" i="29"/>
  <c r="BZ346" i="29"/>
  <c r="CA346" i="29"/>
  <c r="CB346" i="29"/>
  <c r="CC346" i="29"/>
  <c r="BT347" i="29"/>
  <c r="BU347" i="29"/>
  <c r="BV347" i="29"/>
  <c r="BW347" i="29"/>
  <c r="BX347" i="29"/>
  <c r="BY347" i="29"/>
  <c r="BZ347" i="29"/>
  <c r="CA347" i="29"/>
  <c r="CB347" i="29"/>
  <c r="CC347" i="29"/>
  <c r="BT348" i="29"/>
  <c r="BU348" i="29"/>
  <c r="BV348" i="29"/>
  <c r="BW348" i="29"/>
  <c r="BX348" i="29"/>
  <c r="BY348" i="29"/>
  <c r="BZ348" i="29"/>
  <c r="CA348" i="29"/>
  <c r="CB348" i="29"/>
  <c r="CC348" i="29"/>
  <c r="BT349" i="29"/>
  <c r="BU349" i="29"/>
  <c r="BV349" i="29"/>
  <c r="BW349" i="29"/>
  <c r="BX349" i="29"/>
  <c r="BY349" i="29"/>
  <c r="BZ349" i="29"/>
  <c r="CA349" i="29"/>
  <c r="CB349" i="29"/>
  <c r="CC349" i="29"/>
  <c r="BT350" i="29"/>
  <c r="BU350" i="29"/>
  <c r="BV350" i="29"/>
  <c r="BW350" i="29"/>
  <c r="BX350" i="29"/>
  <c r="BY350" i="29"/>
  <c r="BZ350" i="29"/>
  <c r="CA350" i="29"/>
  <c r="CB350" i="29"/>
  <c r="CC350" i="29"/>
  <c r="BT351" i="29"/>
  <c r="BU351" i="29"/>
  <c r="BV351" i="29"/>
  <c r="BW351" i="29"/>
  <c r="BX351" i="29"/>
  <c r="BY351" i="29"/>
  <c r="BZ351" i="29"/>
  <c r="CA351" i="29"/>
  <c r="CB351" i="29"/>
  <c r="CC351" i="29"/>
  <c r="BT352" i="29"/>
  <c r="BU352" i="29"/>
  <c r="BV352" i="29"/>
  <c r="BW352" i="29"/>
  <c r="BX352" i="29"/>
  <c r="BY352" i="29"/>
  <c r="BZ352" i="29"/>
  <c r="CA352" i="29"/>
  <c r="CB352" i="29"/>
  <c r="CC352" i="29"/>
  <c r="BT353" i="29"/>
  <c r="BU353" i="29"/>
  <c r="BV353" i="29"/>
  <c r="BW353" i="29"/>
  <c r="BX353" i="29"/>
  <c r="BY353" i="29"/>
  <c r="BZ353" i="29"/>
  <c r="CA353" i="29"/>
  <c r="CB353" i="29"/>
  <c r="CC353" i="29"/>
  <c r="BT354" i="29"/>
  <c r="BU354" i="29"/>
  <c r="BV354" i="29"/>
  <c r="BW354" i="29"/>
  <c r="BX354" i="29"/>
  <c r="BY354" i="29"/>
  <c r="BZ354" i="29"/>
  <c r="CA354" i="29"/>
  <c r="CB354" i="29"/>
  <c r="CC354" i="29"/>
  <c r="BT355" i="29"/>
  <c r="BU355" i="29"/>
  <c r="BV355" i="29"/>
  <c r="BW355" i="29"/>
  <c r="BX355" i="29"/>
  <c r="BY355" i="29"/>
  <c r="BZ355" i="29"/>
  <c r="CA355" i="29"/>
  <c r="CB355" i="29"/>
  <c r="CC355" i="29"/>
  <c r="BT356" i="29"/>
  <c r="BU356" i="29"/>
  <c r="BV356" i="29"/>
  <c r="BW356" i="29"/>
  <c r="BX356" i="29"/>
  <c r="BY356" i="29"/>
  <c r="BZ356" i="29"/>
  <c r="CA356" i="29"/>
  <c r="CB356" i="29"/>
  <c r="CC356" i="29"/>
  <c r="BT357" i="29"/>
  <c r="BU357" i="29"/>
  <c r="BV357" i="29"/>
  <c r="BW357" i="29"/>
  <c r="BX357" i="29"/>
  <c r="BY357" i="29"/>
  <c r="BZ357" i="29"/>
  <c r="CA357" i="29"/>
  <c r="CB357" i="29"/>
  <c r="CC357" i="29"/>
  <c r="BT358" i="29"/>
  <c r="BU358" i="29"/>
  <c r="BV358" i="29"/>
  <c r="BW358" i="29"/>
  <c r="BX358" i="29"/>
  <c r="BY358" i="29"/>
  <c r="BZ358" i="29"/>
  <c r="CA358" i="29"/>
  <c r="CB358" i="29"/>
  <c r="CC358" i="29"/>
  <c r="BT359" i="29"/>
  <c r="BU359" i="29"/>
  <c r="BV359" i="29"/>
  <c r="BW359" i="29"/>
  <c r="BX359" i="29"/>
  <c r="BY359" i="29"/>
  <c r="BZ359" i="29"/>
  <c r="CA359" i="29"/>
  <c r="CB359" i="29"/>
  <c r="CC359" i="29"/>
  <c r="BT360" i="29"/>
  <c r="BU360" i="29"/>
  <c r="BV360" i="29"/>
  <c r="BW360" i="29"/>
  <c r="BX360" i="29"/>
  <c r="BY360" i="29"/>
  <c r="BZ360" i="29"/>
  <c r="CA360" i="29"/>
  <c r="CB360" i="29"/>
  <c r="CC360" i="29"/>
  <c r="BT361" i="29"/>
  <c r="BU361" i="29"/>
  <c r="BV361" i="29"/>
  <c r="BW361" i="29"/>
  <c r="BX361" i="29"/>
  <c r="BY361" i="29"/>
  <c r="BZ361" i="29"/>
  <c r="CA361" i="29"/>
  <c r="CB361" i="29"/>
  <c r="CC361" i="29"/>
  <c r="BT362" i="29"/>
  <c r="BU362" i="29"/>
  <c r="BV362" i="29"/>
  <c r="BW362" i="29"/>
  <c r="BX362" i="29"/>
  <c r="BY362" i="29"/>
  <c r="BZ362" i="29"/>
  <c r="CA362" i="29"/>
  <c r="CB362" i="29"/>
  <c r="CC362" i="29"/>
  <c r="BT363" i="29"/>
  <c r="BU363" i="29"/>
  <c r="BV363" i="29"/>
  <c r="BW363" i="29"/>
  <c r="BX363" i="29"/>
  <c r="BY363" i="29"/>
  <c r="BZ363" i="29"/>
  <c r="CA363" i="29"/>
  <c r="CB363" i="29"/>
  <c r="CC363" i="29"/>
  <c r="BT364" i="29"/>
  <c r="BU364" i="29"/>
  <c r="BV364" i="29"/>
  <c r="BW364" i="29"/>
  <c r="BX364" i="29"/>
  <c r="BY364" i="29"/>
  <c r="BZ364" i="29"/>
  <c r="CA364" i="29"/>
  <c r="CB364" i="29"/>
  <c r="CC364" i="29"/>
  <c r="BT365" i="29"/>
  <c r="BU365" i="29"/>
  <c r="BV365" i="29"/>
  <c r="BW365" i="29"/>
  <c r="BX365" i="29"/>
  <c r="BY365" i="29"/>
  <c r="BZ365" i="29"/>
  <c r="CA365" i="29"/>
  <c r="CB365" i="29"/>
  <c r="CC365" i="29"/>
  <c r="BT366" i="29"/>
  <c r="BU366" i="29"/>
  <c r="BV366" i="29"/>
  <c r="BW366" i="29"/>
  <c r="BX366" i="29"/>
  <c r="BY366" i="29"/>
  <c r="BZ366" i="29"/>
  <c r="CA366" i="29"/>
  <c r="CB366" i="29"/>
  <c r="CC366" i="29"/>
  <c r="BT367" i="29"/>
  <c r="BU367" i="29"/>
  <c r="BV367" i="29"/>
  <c r="BW367" i="29"/>
  <c r="BX367" i="29"/>
  <c r="BY367" i="29"/>
  <c r="BZ367" i="29"/>
  <c r="CA367" i="29"/>
  <c r="CB367" i="29"/>
  <c r="CC367" i="29"/>
  <c r="BT368" i="29"/>
  <c r="BU368" i="29"/>
  <c r="BV368" i="29"/>
  <c r="BW368" i="29"/>
  <c r="BX368" i="29"/>
  <c r="BY368" i="29"/>
  <c r="BZ368" i="29"/>
  <c r="CA368" i="29"/>
  <c r="CB368" i="29"/>
  <c r="CC368" i="29"/>
  <c r="CC3" i="29"/>
  <c r="CB3" i="29"/>
  <c r="CA3" i="29"/>
  <c r="BZ3" i="29"/>
  <c r="BY3" i="29"/>
  <c r="BX3" i="29"/>
  <c r="BW3" i="29"/>
  <c r="BV3" i="29"/>
  <c r="BU3" i="29"/>
  <c r="BT3" i="29"/>
  <c r="AF4" i="29"/>
  <c r="AG4" i="29"/>
  <c r="AH4" i="29"/>
  <c r="AI4" i="29"/>
  <c r="AJ4" i="29"/>
  <c r="AK4" i="29"/>
  <c r="AL4" i="29"/>
  <c r="AM4" i="29"/>
  <c r="AN4" i="29"/>
  <c r="AO4" i="29"/>
  <c r="AF5" i="29"/>
  <c r="AG5" i="29"/>
  <c r="AH5" i="29"/>
  <c r="AI5" i="29"/>
  <c r="AJ5" i="29"/>
  <c r="AK5" i="29"/>
  <c r="AL5" i="29"/>
  <c r="AM5" i="29"/>
  <c r="AN5" i="29"/>
  <c r="AO5" i="29"/>
  <c r="AF6" i="29"/>
  <c r="AG6" i="29"/>
  <c r="AH6" i="29"/>
  <c r="AI6" i="29"/>
  <c r="AJ6" i="29"/>
  <c r="AK6" i="29"/>
  <c r="AL6" i="29"/>
  <c r="AM6" i="29"/>
  <c r="AN6" i="29"/>
  <c r="AO6" i="29"/>
  <c r="AF7" i="29"/>
  <c r="AG7" i="29"/>
  <c r="AH7" i="29"/>
  <c r="AI7" i="29"/>
  <c r="AJ7" i="29"/>
  <c r="AK7" i="29"/>
  <c r="AL7" i="29"/>
  <c r="AM7" i="29"/>
  <c r="AN7" i="29"/>
  <c r="AO7" i="29"/>
  <c r="AF8" i="29"/>
  <c r="AG8" i="29"/>
  <c r="AH8" i="29"/>
  <c r="AI8" i="29"/>
  <c r="AJ8" i="29"/>
  <c r="AK8" i="29"/>
  <c r="AL8" i="29"/>
  <c r="AM8" i="29"/>
  <c r="AN8" i="29"/>
  <c r="AO8" i="29"/>
  <c r="AF9" i="29"/>
  <c r="AG9" i="29"/>
  <c r="AH9" i="29"/>
  <c r="AI9" i="29"/>
  <c r="AJ9" i="29"/>
  <c r="AK9" i="29"/>
  <c r="AL9" i="29"/>
  <c r="AM9" i="29"/>
  <c r="AN9" i="29"/>
  <c r="AO9" i="29"/>
  <c r="AF10" i="29"/>
  <c r="AG10" i="29"/>
  <c r="AH10" i="29"/>
  <c r="AI10" i="29"/>
  <c r="AJ10" i="29"/>
  <c r="AK10" i="29"/>
  <c r="AL10" i="29"/>
  <c r="AM10" i="29"/>
  <c r="AN10" i="29"/>
  <c r="AO10" i="29"/>
  <c r="AF11" i="29"/>
  <c r="AG11" i="29"/>
  <c r="AH11" i="29"/>
  <c r="AI11" i="29"/>
  <c r="AJ11" i="29"/>
  <c r="AK11" i="29"/>
  <c r="AL11" i="29"/>
  <c r="AM11" i="29"/>
  <c r="AN11" i="29"/>
  <c r="AO11" i="29"/>
  <c r="AF12" i="29"/>
  <c r="AG12" i="29"/>
  <c r="AH12" i="29"/>
  <c r="AI12" i="29"/>
  <c r="AJ12" i="29"/>
  <c r="AK12" i="29"/>
  <c r="AL12" i="29"/>
  <c r="AM12" i="29"/>
  <c r="AN12" i="29"/>
  <c r="AO12" i="29"/>
  <c r="AF13" i="29"/>
  <c r="AG13" i="29"/>
  <c r="AH13" i="29"/>
  <c r="AI13" i="29"/>
  <c r="AJ13" i="29"/>
  <c r="AK13" i="29"/>
  <c r="AL13" i="29"/>
  <c r="AM13" i="29"/>
  <c r="AN13" i="29"/>
  <c r="AO13" i="29"/>
  <c r="AF14" i="29"/>
  <c r="AG14" i="29"/>
  <c r="AH14" i="29"/>
  <c r="AI14" i="29"/>
  <c r="AJ14" i="29"/>
  <c r="AK14" i="29"/>
  <c r="AL14" i="29"/>
  <c r="AM14" i="29"/>
  <c r="AN14" i="29"/>
  <c r="AO14" i="29"/>
  <c r="AF15" i="29"/>
  <c r="AG15" i="29"/>
  <c r="AH15" i="29"/>
  <c r="AI15" i="29"/>
  <c r="AJ15" i="29"/>
  <c r="AK15" i="29"/>
  <c r="AL15" i="29"/>
  <c r="AM15" i="29"/>
  <c r="AN15" i="29"/>
  <c r="AO15" i="29"/>
  <c r="AF16" i="29"/>
  <c r="AG16" i="29"/>
  <c r="AH16" i="29"/>
  <c r="AI16" i="29"/>
  <c r="AJ16" i="29"/>
  <c r="AK16" i="29"/>
  <c r="AL16" i="29"/>
  <c r="AM16" i="29"/>
  <c r="AN16" i="29"/>
  <c r="AO16" i="29"/>
  <c r="AF17" i="29"/>
  <c r="AG17" i="29"/>
  <c r="AH17" i="29"/>
  <c r="AI17" i="29"/>
  <c r="AJ17" i="29"/>
  <c r="AK17" i="29"/>
  <c r="AL17" i="29"/>
  <c r="AM17" i="29"/>
  <c r="AN17" i="29"/>
  <c r="AO17" i="29"/>
  <c r="AF18" i="29"/>
  <c r="AG18" i="29"/>
  <c r="AH18" i="29"/>
  <c r="AI18" i="29"/>
  <c r="AJ18" i="29"/>
  <c r="AK18" i="29"/>
  <c r="AL18" i="29"/>
  <c r="AM18" i="29"/>
  <c r="AN18" i="29"/>
  <c r="AO18" i="29"/>
  <c r="AF19" i="29"/>
  <c r="AG19" i="29"/>
  <c r="AH19" i="29"/>
  <c r="AI19" i="29"/>
  <c r="AJ19" i="29"/>
  <c r="AK19" i="29"/>
  <c r="AL19" i="29"/>
  <c r="AM19" i="29"/>
  <c r="AN19" i="29"/>
  <c r="AO19" i="29"/>
  <c r="AF20" i="29"/>
  <c r="AG20" i="29"/>
  <c r="AH20" i="29"/>
  <c r="AI20" i="29"/>
  <c r="AJ20" i="29"/>
  <c r="AK20" i="29"/>
  <c r="AL20" i="29"/>
  <c r="AM20" i="29"/>
  <c r="AN20" i="29"/>
  <c r="AO20" i="29"/>
  <c r="AF21" i="29"/>
  <c r="AG21" i="29"/>
  <c r="AH21" i="29"/>
  <c r="AI21" i="29"/>
  <c r="AJ21" i="29"/>
  <c r="AK21" i="29"/>
  <c r="AL21" i="29"/>
  <c r="AM21" i="29"/>
  <c r="AN21" i="29"/>
  <c r="AO21" i="29"/>
  <c r="AF22" i="29"/>
  <c r="AG22" i="29"/>
  <c r="AH22" i="29"/>
  <c r="AI22" i="29"/>
  <c r="AJ22" i="29"/>
  <c r="AK22" i="29"/>
  <c r="AL22" i="29"/>
  <c r="AM22" i="29"/>
  <c r="AN22" i="29"/>
  <c r="AO22" i="29"/>
  <c r="AF23" i="29"/>
  <c r="AG23" i="29"/>
  <c r="AH23" i="29"/>
  <c r="AI23" i="29"/>
  <c r="AJ23" i="29"/>
  <c r="AK23" i="29"/>
  <c r="AL23" i="29"/>
  <c r="AM23" i="29"/>
  <c r="AN23" i="29"/>
  <c r="AO23" i="29"/>
  <c r="AF24" i="29"/>
  <c r="AG24" i="29"/>
  <c r="AH24" i="29"/>
  <c r="AI24" i="29"/>
  <c r="AJ24" i="29"/>
  <c r="AK24" i="29"/>
  <c r="AL24" i="29"/>
  <c r="AM24" i="29"/>
  <c r="AN24" i="29"/>
  <c r="AO24" i="29"/>
  <c r="AF25" i="29"/>
  <c r="AG25" i="29"/>
  <c r="AH25" i="29"/>
  <c r="AI25" i="29"/>
  <c r="AJ25" i="29"/>
  <c r="AK25" i="29"/>
  <c r="AL25" i="29"/>
  <c r="AM25" i="29"/>
  <c r="AN25" i="29"/>
  <c r="AO25" i="29"/>
  <c r="AF26" i="29"/>
  <c r="AG26" i="29"/>
  <c r="AH26" i="29"/>
  <c r="AI26" i="29"/>
  <c r="AJ26" i="29"/>
  <c r="AK26" i="29"/>
  <c r="AL26" i="29"/>
  <c r="AM26" i="29"/>
  <c r="AN26" i="29"/>
  <c r="AO26" i="29"/>
  <c r="AF27" i="29"/>
  <c r="AG27" i="29"/>
  <c r="AH27" i="29"/>
  <c r="AI27" i="29"/>
  <c r="AJ27" i="29"/>
  <c r="AK27" i="29"/>
  <c r="AL27" i="29"/>
  <c r="AM27" i="29"/>
  <c r="AN27" i="29"/>
  <c r="AO27" i="29"/>
  <c r="AF28" i="29"/>
  <c r="AG28" i="29"/>
  <c r="AH28" i="29"/>
  <c r="AI28" i="29"/>
  <c r="AJ28" i="29"/>
  <c r="AK28" i="29"/>
  <c r="AL28" i="29"/>
  <c r="AM28" i="29"/>
  <c r="AN28" i="29"/>
  <c r="AO28" i="29"/>
  <c r="AF29" i="29"/>
  <c r="AG29" i="29"/>
  <c r="AH29" i="29"/>
  <c r="AI29" i="29"/>
  <c r="AJ29" i="29"/>
  <c r="AK29" i="29"/>
  <c r="AL29" i="29"/>
  <c r="AM29" i="29"/>
  <c r="AN29" i="29"/>
  <c r="AO29" i="29"/>
  <c r="AF30" i="29"/>
  <c r="AG30" i="29"/>
  <c r="AH30" i="29"/>
  <c r="AI30" i="29"/>
  <c r="AJ30" i="29"/>
  <c r="AK30" i="29"/>
  <c r="AL30" i="29"/>
  <c r="AM30" i="29"/>
  <c r="AN30" i="29"/>
  <c r="AO30" i="29"/>
  <c r="AF31" i="29"/>
  <c r="AG31" i="29"/>
  <c r="AH31" i="29"/>
  <c r="AI31" i="29"/>
  <c r="AJ31" i="29"/>
  <c r="AK31" i="29"/>
  <c r="AL31" i="29"/>
  <c r="AM31" i="29"/>
  <c r="AN31" i="29"/>
  <c r="AO31" i="29"/>
  <c r="AF32" i="29"/>
  <c r="AG32" i="29"/>
  <c r="AH32" i="29"/>
  <c r="AI32" i="29"/>
  <c r="AJ32" i="29"/>
  <c r="AK32" i="29"/>
  <c r="AL32" i="29"/>
  <c r="AM32" i="29"/>
  <c r="AN32" i="29"/>
  <c r="AO32" i="29"/>
  <c r="AF33" i="29"/>
  <c r="AG33" i="29"/>
  <c r="AH33" i="29"/>
  <c r="AI33" i="29"/>
  <c r="AJ33" i="29"/>
  <c r="AK33" i="29"/>
  <c r="AL33" i="29"/>
  <c r="AM33" i="29"/>
  <c r="AN33" i="29"/>
  <c r="AO33" i="29"/>
  <c r="AF34" i="29"/>
  <c r="AG34" i="29"/>
  <c r="AH34" i="29"/>
  <c r="AI34" i="29"/>
  <c r="AJ34" i="29"/>
  <c r="AK34" i="29"/>
  <c r="AL34" i="29"/>
  <c r="AM34" i="29"/>
  <c r="AN34" i="29"/>
  <c r="AO34" i="29"/>
  <c r="AF35" i="29"/>
  <c r="AG35" i="29"/>
  <c r="AH35" i="29"/>
  <c r="AI35" i="29"/>
  <c r="AJ35" i="29"/>
  <c r="AK35" i="29"/>
  <c r="AL35" i="29"/>
  <c r="AM35" i="29"/>
  <c r="AN35" i="29"/>
  <c r="AO35" i="29"/>
  <c r="AF36" i="29"/>
  <c r="AG36" i="29"/>
  <c r="AH36" i="29"/>
  <c r="AI36" i="29"/>
  <c r="AJ36" i="29"/>
  <c r="AK36" i="29"/>
  <c r="AL36" i="29"/>
  <c r="AM36" i="29"/>
  <c r="AN36" i="29"/>
  <c r="AO36" i="29"/>
  <c r="AF37" i="29"/>
  <c r="AG37" i="29"/>
  <c r="AH37" i="29"/>
  <c r="AI37" i="29"/>
  <c r="AJ37" i="29"/>
  <c r="AK37" i="29"/>
  <c r="AL37" i="29"/>
  <c r="AM37" i="29"/>
  <c r="AN37" i="29"/>
  <c r="AO37" i="29"/>
  <c r="AF38" i="29"/>
  <c r="AG38" i="29"/>
  <c r="AH38" i="29"/>
  <c r="AI38" i="29"/>
  <c r="AJ38" i="29"/>
  <c r="AK38" i="29"/>
  <c r="AL38" i="29"/>
  <c r="AM38" i="29"/>
  <c r="AN38" i="29"/>
  <c r="AO38" i="29"/>
  <c r="AF39" i="29"/>
  <c r="AG39" i="29"/>
  <c r="AH39" i="29"/>
  <c r="AI39" i="29"/>
  <c r="AJ39" i="29"/>
  <c r="AK39" i="29"/>
  <c r="AL39" i="29"/>
  <c r="AM39" i="29"/>
  <c r="AN39" i="29"/>
  <c r="AO39" i="29"/>
  <c r="AF40" i="29"/>
  <c r="AG40" i="29"/>
  <c r="AH40" i="29"/>
  <c r="AI40" i="29"/>
  <c r="AJ40" i="29"/>
  <c r="AK40" i="29"/>
  <c r="AL40" i="29"/>
  <c r="AM40" i="29"/>
  <c r="AN40" i="29"/>
  <c r="AO40" i="29"/>
  <c r="AF41" i="29"/>
  <c r="AG41" i="29"/>
  <c r="AH41" i="29"/>
  <c r="AI41" i="29"/>
  <c r="AJ41" i="29"/>
  <c r="AK41" i="29"/>
  <c r="AL41" i="29"/>
  <c r="AM41" i="29"/>
  <c r="AN41" i="29"/>
  <c r="AO41" i="29"/>
  <c r="AF42" i="29"/>
  <c r="AG42" i="29"/>
  <c r="AH42" i="29"/>
  <c r="AI42" i="29"/>
  <c r="AJ42" i="29"/>
  <c r="AK42" i="29"/>
  <c r="AL42" i="29"/>
  <c r="AM42" i="29"/>
  <c r="AN42" i="29"/>
  <c r="AO42" i="29"/>
  <c r="AF43" i="29"/>
  <c r="AG43" i="29"/>
  <c r="AH43" i="29"/>
  <c r="AI43" i="29"/>
  <c r="AJ43" i="29"/>
  <c r="AK43" i="29"/>
  <c r="AL43" i="29"/>
  <c r="AM43" i="29"/>
  <c r="AN43" i="29"/>
  <c r="AO43" i="29"/>
  <c r="AF44" i="29"/>
  <c r="AG44" i="29"/>
  <c r="AH44" i="29"/>
  <c r="AI44" i="29"/>
  <c r="AJ44" i="29"/>
  <c r="AK44" i="29"/>
  <c r="AL44" i="29"/>
  <c r="AM44" i="29"/>
  <c r="AN44" i="29"/>
  <c r="AO44" i="29"/>
  <c r="AF45" i="29"/>
  <c r="AG45" i="29"/>
  <c r="AH45" i="29"/>
  <c r="AI45" i="29"/>
  <c r="AJ45" i="29"/>
  <c r="AK45" i="29"/>
  <c r="AL45" i="29"/>
  <c r="AM45" i="29"/>
  <c r="AN45" i="29"/>
  <c r="AO45" i="29"/>
  <c r="AF46" i="29"/>
  <c r="AG46" i="29"/>
  <c r="AH46" i="29"/>
  <c r="AI46" i="29"/>
  <c r="AJ46" i="29"/>
  <c r="AK46" i="29"/>
  <c r="AL46" i="29"/>
  <c r="AM46" i="29"/>
  <c r="AN46" i="29"/>
  <c r="AO46" i="29"/>
  <c r="AF47" i="29"/>
  <c r="AG47" i="29"/>
  <c r="AH47" i="29"/>
  <c r="AI47" i="29"/>
  <c r="AJ47" i="29"/>
  <c r="AK47" i="29"/>
  <c r="AL47" i="29"/>
  <c r="AM47" i="29"/>
  <c r="AN47" i="29"/>
  <c r="AO47" i="29"/>
  <c r="AF48" i="29"/>
  <c r="AG48" i="29"/>
  <c r="AH48" i="29"/>
  <c r="AI48" i="29"/>
  <c r="AJ48" i="29"/>
  <c r="AK48" i="29"/>
  <c r="AL48" i="29"/>
  <c r="AM48" i="29"/>
  <c r="AN48" i="29"/>
  <c r="AO48" i="29"/>
  <c r="AF49" i="29"/>
  <c r="AG49" i="29"/>
  <c r="AH49" i="29"/>
  <c r="AI49" i="29"/>
  <c r="AJ49" i="29"/>
  <c r="AK49" i="29"/>
  <c r="AL49" i="29"/>
  <c r="AM49" i="29"/>
  <c r="AN49" i="29"/>
  <c r="AO49" i="29"/>
  <c r="AF50" i="29"/>
  <c r="AG50" i="29"/>
  <c r="AH50" i="29"/>
  <c r="AI50" i="29"/>
  <c r="AJ50" i="29"/>
  <c r="AK50" i="29"/>
  <c r="AL50" i="29"/>
  <c r="AM50" i="29"/>
  <c r="AN50" i="29"/>
  <c r="AO50" i="29"/>
  <c r="AF51" i="29"/>
  <c r="AG51" i="29"/>
  <c r="AH51" i="29"/>
  <c r="AI51" i="29"/>
  <c r="AJ51" i="29"/>
  <c r="AK51" i="29"/>
  <c r="AL51" i="29"/>
  <c r="AM51" i="29"/>
  <c r="AN51" i="29"/>
  <c r="AO51" i="29"/>
  <c r="AF52" i="29"/>
  <c r="AG52" i="29"/>
  <c r="AH52" i="29"/>
  <c r="AI52" i="29"/>
  <c r="AJ52" i="29"/>
  <c r="AK52" i="29"/>
  <c r="AL52" i="29"/>
  <c r="AM52" i="29"/>
  <c r="AN52" i="29"/>
  <c r="AO52" i="29"/>
  <c r="AF53" i="29"/>
  <c r="AG53" i="29"/>
  <c r="AH53" i="29"/>
  <c r="AI53" i="29"/>
  <c r="AJ53" i="29"/>
  <c r="AK53" i="29"/>
  <c r="AL53" i="29"/>
  <c r="AM53" i="29"/>
  <c r="AN53" i="29"/>
  <c r="AO53" i="29"/>
  <c r="AF54" i="29"/>
  <c r="AG54" i="29"/>
  <c r="AH54" i="29"/>
  <c r="AI54" i="29"/>
  <c r="AJ54" i="29"/>
  <c r="AK54" i="29"/>
  <c r="AL54" i="29"/>
  <c r="AM54" i="29"/>
  <c r="AN54" i="29"/>
  <c r="AO54" i="29"/>
  <c r="AF55" i="29"/>
  <c r="AG55" i="29"/>
  <c r="AH55" i="29"/>
  <c r="AI55" i="29"/>
  <c r="AJ55" i="29"/>
  <c r="AK55" i="29"/>
  <c r="AL55" i="29"/>
  <c r="AM55" i="29"/>
  <c r="AN55" i="29"/>
  <c r="AO55" i="29"/>
  <c r="AF56" i="29"/>
  <c r="AG56" i="29"/>
  <c r="AH56" i="29"/>
  <c r="AI56" i="29"/>
  <c r="AJ56" i="29"/>
  <c r="AK56" i="29"/>
  <c r="AL56" i="29"/>
  <c r="AM56" i="29"/>
  <c r="AN56" i="29"/>
  <c r="AO56" i="29"/>
  <c r="AF57" i="29"/>
  <c r="AG57" i="29"/>
  <c r="AH57" i="29"/>
  <c r="AI57" i="29"/>
  <c r="AJ57" i="29"/>
  <c r="AK57" i="29"/>
  <c r="AL57" i="29"/>
  <c r="AM57" i="29"/>
  <c r="AN57" i="29"/>
  <c r="AO57" i="29"/>
  <c r="AF58" i="29"/>
  <c r="AG58" i="29"/>
  <c r="AH58" i="29"/>
  <c r="AI58" i="29"/>
  <c r="AJ58" i="29"/>
  <c r="AK58" i="29"/>
  <c r="AL58" i="29"/>
  <c r="AM58" i="29"/>
  <c r="AN58" i="29"/>
  <c r="AO58" i="29"/>
  <c r="AF59" i="29"/>
  <c r="AG59" i="29"/>
  <c r="AH59" i="29"/>
  <c r="AI59" i="29"/>
  <c r="AJ59" i="29"/>
  <c r="AK59" i="29"/>
  <c r="AL59" i="29"/>
  <c r="AM59" i="29"/>
  <c r="AN59" i="29"/>
  <c r="AO59" i="29"/>
  <c r="AF60" i="29"/>
  <c r="AG60" i="29"/>
  <c r="AH60" i="29"/>
  <c r="AI60" i="29"/>
  <c r="AJ60" i="29"/>
  <c r="AK60" i="29"/>
  <c r="AL60" i="29"/>
  <c r="AM60" i="29"/>
  <c r="AN60" i="29"/>
  <c r="AO60" i="29"/>
  <c r="AF61" i="29"/>
  <c r="AG61" i="29"/>
  <c r="AH61" i="29"/>
  <c r="AI61" i="29"/>
  <c r="AJ61" i="29"/>
  <c r="AK61" i="29"/>
  <c r="AL61" i="29"/>
  <c r="AM61" i="29"/>
  <c r="AN61" i="29"/>
  <c r="AO61" i="29"/>
  <c r="AF62" i="29"/>
  <c r="AG62" i="29"/>
  <c r="AH62" i="29"/>
  <c r="AI62" i="29"/>
  <c r="AJ62" i="29"/>
  <c r="AK62" i="29"/>
  <c r="AL62" i="29"/>
  <c r="AM62" i="29"/>
  <c r="AN62" i="29"/>
  <c r="AO62" i="29"/>
  <c r="AF63" i="29"/>
  <c r="AG63" i="29"/>
  <c r="AH63" i="29"/>
  <c r="AI63" i="29"/>
  <c r="AJ63" i="29"/>
  <c r="AK63" i="29"/>
  <c r="AL63" i="29"/>
  <c r="AM63" i="29"/>
  <c r="AN63" i="29"/>
  <c r="AO63" i="29"/>
  <c r="AF64" i="29"/>
  <c r="AG64" i="29"/>
  <c r="AH64" i="29"/>
  <c r="AI64" i="29"/>
  <c r="AJ64" i="29"/>
  <c r="AK64" i="29"/>
  <c r="AL64" i="29"/>
  <c r="AM64" i="29"/>
  <c r="AN64" i="29"/>
  <c r="AO64" i="29"/>
  <c r="AF65" i="29"/>
  <c r="AG65" i="29"/>
  <c r="AH65" i="29"/>
  <c r="AI65" i="29"/>
  <c r="AJ65" i="29"/>
  <c r="AK65" i="29"/>
  <c r="AL65" i="29"/>
  <c r="AM65" i="29"/>
  <c r="AN65" i="29"/>
  <c r="AO65" i="29"/>
  <c r="AF66" i="29"/>
  <c r="AG66" i="29"/>
  <c r="AH66" i="29"/>
  <c r="AI66" i="29"/>
  <c r="AJ66" i="29"/>
  <c r="AK66" i="29"/>
  <c r="AL66" i="29"/>
  <c r="AM66" i="29"/>
  <c r="AN66" i="29"/>
  <c r="AO66" i="29"/>
  <c r="AF67" i="29"/>
  <c r="AG67" i="29"/>
  <c r="AH67" i="29"/>
  <c r="AI67" i="29"/>
  <c r="AJ67" i="29"/>
  <c r="AK67" i="29"/>
  <c r="AL67" i="29"/>
  <c r="AM67" i="29"/>
  <c r="AN67" i="29"/>
  <c r="AO67" i="29"/>
  <c r="AF68" i="29"/>
  <c r="AG68" i="29"/>
  <c r="AH68" i="29"/>
  <c r="AI68" i="29"/>
  <c r="AJ68" i="29"/>
  <c r="AK68" i="29"/>
  <c r="AL68" i="29"/>
  <c r="AM68" i="29"/>
  <c r="AN68" i="29"/>
  <c r="AO68" i="29"/>
  <c r="AF69" i="29"/>
  <c r="AG69" i="29"/>
  <c r="AH69" i="29"/>
  <c r="AI69" i="29"/>
  <c r="AJ69" i="29"/>
  <c r="AK69" i="29"/>
  <c r="AL69" i="29"/>
  <c r="AM69" i="29"/>
  <c r="AN69" i="29"/>
  <c r="AO69" i="29"/>
  <c r="AF70" i="29"/>
  <c r="AG70" i="29"/>
  <c r="AH70" i="29"/>
  <c r="AI70" i="29"/>
  <c r="AJ70" i="29"/>
  <c r="AK70" i="29"/>
  <c r="AL70" i="29"/>
  <c r="AM70" i="29"/>
  <c r="AN70" i="29"/>
  <c r="AO70" i="29"/>
  <c r="AF71" i="29"/>
  <c r="AG71" i="29"/>
  <c r="AH71" i="29"/>
  <c r="AI71" i="29"/>
  <c r="AJ71" i="29"/>
  <c r="AK71" i="29"/>
  <c r="AL71" i="29"/>
  <c r="AM71" i="29"/>
  <c r="AN71" i="29"/>
  <c r="AO71" i="29"/>
  <c r="AF72" i="29"/>
  <c r="AG72" i="29"/>
  <c r="AH72" i="29"/>
  <c r="AI72" i="29"/>
  <c r="AJ72" i="29"/>
  <c r="AK72" i="29"/>
  <c r="AL72" i="29"/>
  <c r="AM72" i="29"/>
  <c r="AN72" i="29"/>
  <c r="AO72" i="29"/>
  <c r="AF73" i="29"/>
  <c r="AG73" i="29"/>
  <c r="AH73" i="29"/>
  <c r="AI73" i="29"/>
  <c r="AJ73" i="29"/>
  <c r="AK73" i="29"/>
  <c r="AL73" i="29"/>
  <c r="AM73" i="29"/>
  <c r="AN73" i="29"/>
  <c r="AO73" i="29"/>
  <c r="AF74" i="29"/>
  <c r="AG74" i="29"/>
  <c r="AH74" i="29"/>
  <c r="AI74" i="29"/>
  <c r="AJ74" i="29"/>
  <c r="AK74" i="29"/>
  <c r="AL74" i="29"/>
  <c r="AM74" i="29"/>
  <c r="AN74" i="29"/>
  <c r="AO74" i="29"/>
  <c r="AF75" i="29"/>
  <c r="AG75" i="29"/>
  <c r="AH75" i="29"/>
  <c r="AI75" i="29"/>
  <c r="AJ75" i="29"/>
  <c r="AK75" i="29"/>
  <c r="AL75" i="29"/>
  <c r="AM75" i="29"/>
  <c r="AN75" i="29"/>
  <c r="AO75" i="29"/>
  <c r="AF76" i="29"/>
  <c r="AG76" i="29"/>
  <c r="AH76" i="29"/>
  <c r="AI76" i="29"/>
  <c r="AJ76" i="29"/>
  <c r="AK76" i="29"/>
  <c r="AL76" i="29"/>
  <c r="AM76" i="29"/>
  <c r="AN76" i="29"/>
  <c r="AO76" i="29"/>
  <c r="AF77" i="29"/>
  <c r="AG77" i="29"/>
  <c r="AH77" i="29"/>
  <c r="AI77" i="29"/>
  <c r="AJ77" i="29"/>
  <c r="AK77" i="29"/>
  <c r="AL77" i="29"/>
  <c r="AM77" i="29"/>
  <c r="AN77" i="29"/>
  <c r="AO77" i="29"/>
  <c r="AF78" i="29"/>
  <c r="AG78" i="29"/>
  <c r="AH78" i="29"/>
  <c r="AI78" i="29"/>
  <c r="AJ78" i="29"/>
  <c r="AK78" i="29"/>
  <c r="AL78" i="29"/>
  <c r="AM78" i="29"/>
  <c r="AN78" i="29"/>
  <c r="AO78" i="29"/>
  <c r="AF79" i="29"/>
  <c r="AG79" i="29"/>
  <c r="AH79" i="29"/>
  <c r="AI79" i="29"/>
  <c r="AJ79" i="29"/>
  <c r="AK79" i="29"/>
  <c r="AL79" i="29"/>
  <c r="AM79" i="29"/>
  <c r="AN79" i="29"/>
  <c r="AO79" i="29"/>
  <c r="AF80" i="29"/>
  <c r="AG80" i="29"/>
  <c r="AH80" i="29"/>
  <c r="AI80" i="29"/>
  <c r="AJ80" i="29"/>
  <c r="AK80" i="29"/>
  <c r="AL80" i="29"/>
  <c r="AM80" i="29"/>
  <c r="AN80" i="29"/>
  <c r="AO80" i="29"/>
  <c r="AF81" i="29"/>
  <c r="AG81" i="29"/>
  <c r="AH81" i="29"/>
  <c r="AI81" i="29"/>
  <c r="AJ81" i="29"/>
  <c r="AK81" i="29"/>
  <c r="AL81" i="29"/>
  <c r="AM81" i="29"/>
  <c r="AN81" i="29"/>
  <c r="AO81" i="29"/>
  <c r="AF82" i="29"/>
  <c r="AG82" i="29"/>
  <c r="AH82" i="29"/>
  <c r="AI82" i="29"/>
  <c r="AJ82" i="29"/>
  <c r="AK82" i="29"/>
  <c r="AL82" i="29"/>
  <c r="AM82" i="29"/>
  <c r="AN82" i="29"/>
  <c r="AO82" i="29"/>
  <c r="AF83" i="29"/>
  <c r="AG83" i="29"/>
  <c r="AH83" i="29"/>
  <c r="AI83" i="29"/>
  <c r="AJ83" i="29"/>
  <c r="AK83" i="29"/>
  <c r="AL83" i="29"/>
  <c r="AM83" i="29"/>
  <c r="AN83" i="29"/>
  <c r="AO83" i="29"/>
  <c r="AF84" i="29"/>
  <c r="AG84" i="29"/>
  <c r="AH84" i="29"/>
  <c r="AI84" i="29"/>
  <c r="AJ84" i="29"/>
  <c r="AK84" i="29"/>
  <c r="AL84" i="29"/>
  <c r="AM84" i="29"/>
  <c r="AN84" i="29"/>
  <c r="AO84" i="29"/>
  <c r="AF85" i="29"/>
  <c r="AG85" i="29"/>
  <c r="AH85" i="29"/>
  <c r="AI85" i="29"/>
  <c r="AJ85" i="29"/>
  <c r="AK85" i="29"/>
  <c r="AL85" i="29"/>
  <c r="AM85" i="29"/>
  <c r="AN85" i="29"/>
  <c r="AO85" i="29"/>
  <c r="AF86" i="29"/>
  <c r="AG86" i="29"/>
  <c r="AH86" i="29"/>
  <c r="AI86" i="29"/>
  <c r="AJ86" i="29"/>
  <c r="AK86" i="29"/>
  <c r="AL86" i="29"/>
  <c r="AM86" i="29"/>
  <c r="AN86" i="29"/>
  <c r="AO86" i="29"/>
  <c r="AF87" i="29"/>
  <c r="AG87" i="29"/>
  <c r="AH87" i="29"/>
  <c r="AI87" i="29"/>
  <c r="AJ87" i="29"/>
  <c r="AK87" i="29"/>
  <c r="AL87" i="29"/>
  <c r="AM87" i="29"/>
  <c r="AN87" i="29"/>
  <c r="AO87" i="29"/>
  <c r="AF88" i="29"/>
  <c r="AG88" i="29"/>
  <c r="AH88" i="29"/>
  <c r="AI88" i="29"/>
  <c r="AJ88" i="29"/>
  <c r="AK88" i="29"/>
  <c r="AL88" i="29"/>
  <c r="AM88" i="29"/>
  <c r="AN88" i="29"/>
  <c r="AO88" i="29"/>
  <c r="AF89" i="29"/>
  <c r="AG89" i="29"/>
  <c r="AH89" i="29"/>
  <c r="AI89" i="29"/>
  <c r="AJ89" i="29"/>
  <c r="AK89" i="29"/>
  <c r="AL89" i="29"/>
  <c r="AM89" i="29"/>
  <c r="AN89" i="29"/>
  <c r="AO89" i="29"/>
  <c r="AF90" i="29"/>
  <c r="AG90" i="29"/>
  <c r="AH90" i="29"/>
  <c r="AI90" i="29"/>
  <c r="AJ90" i="29"/>
  <c r="AK90" i="29"/>
  <c r="AL90" i="29"/>
  <c r="AM90" i="29"/>
  <c r="AN90" i="29"/>
  <c r="AO90" i="29"/>
  <c r="AF91" i="29"/>
  <c r="AG91" i="29"/>
  <c r="AH91" i="29"/>
  <c r="AI91" i="29"/>
  <c r="AJ91" i="29"/>
  <c r="AK91" i="29"/>
  <c r="AL91" i="29"/>
  <c r="AM91" i="29"/>
  <c r="AN91" i="29"/>
  <c r="AO91" i="29"/>
  <c r="AF92" i="29"/>
  <c r="AG92" i="29"/>
  <c r="AH92" i="29"/>
  <c r="AI92" i="29"/>
  <c r="AJ92" i="29"/>
  <c r="AK92" i="29"/>
  <c r="AL92" i="29"/>
  <c r="AM92" i="29"/>
  <c r="AN92" i="29"/>
  <c r="AO92" i="29"/>
  <c r="AF93" i="29"/>
  <c r="AG93" i="29"/>
  <c r="AH93" i="29"/>
  <c r="AI93" i="29"/>
  <c r="AJ93" i="29"/>
  <c r="AK93" i="29"/>
  <c r="AL93" i="29"/>
  <c r="AM93" i="29"/>
  <c r="AN93" i="29"/>
  <c r="AO93" i="29"/>
  <c r="AF94" i="29"/>
  <c r="AG94" i="29"/>
  <c r="AH94" i="29"/>
  <c r="AI94" i="29"/>
  <c r="AJ94" i="29"/>
  <c r="AK94" i="29"/>
  <c r="AL94" i="29"/>
  <c r="AM94" i="29"/>
  <c r="AN94" i="29"/>
  <c r="AO94" i="29"/>
  <c r="AF95" i="29"/>
  <c r="AG95" i="29"/>
  <c r="AH95" i="29"/>
  <c r="AI95" i="29"/>
  <c r="AJ95" i="29"/>
  <c r="AK95" i="29"/>
  <c r="AL95" i="29"/>
  <c r="AM95" i="29"/>
  <c r="AN95" i="29"/>
  <c r="AO95" i="29"/>
  <c r="AF96" i="29"/>
  <c r="AG96" i="29"/>
  <c r="AH96" i="29"/>
  <c r="AI96" i="29"/>
  <c r="AJ96" i="29"/>
  <c r="AK96" i="29"/>
  <c r="AL96" i="29"/>
  <c r="AM96" i="29"/>
  <c r="AN96" i="29"/>
  <c r="AO96" i="29"/>
  <c r="AF97" i="29"/>
  <c r="AG97" i="29"/>
  <c r="AH97" i="29"/>
  <c r="AI97" i="29"/>
  <c r="AJ97" i="29"/>
  <c r="AK97" i="29"/>
  <c r="AL97" i="29"/>
  <c r="AM97" i="29"/>
  <c r="AN97" i="29"/>
  <c r="AO97" i="29"/>
  <c r="AF98" i="29"/>
  <c r="AG98" i="29"/>
  <c r="AH98" i="29"/>
  <c r="AI98" i="29"/>
  <c r="AJ98" i="29"/>
  <c r="AK98" i="29"/>
  <c r="AL98" i="29"/>
  <c r="AM98" i="29"/>
  <c r="AN98" i="29"/>
  <c r="AO98" i="29"/>
  <c r="AF99" i="29"/>
  <c r="AG99" i="29"/>
  <c r="AH99" i="29"/>
  <c r="AI99" i="29"/>
  <c r="AJ99" i="29"/>
  <c r="AK99" i="29"/>
  <c r="AL99" i="29"/>
  <c r="AM99" i="29"/>
  <c r="AN99" i="29"/>
  <c r="AO99" i="29"/>
  <c r="AF100" i="29"/>
  <c r="AG100" i="29"/>
  <c r="AH100" i="29"/>
  <c r="AI100" i="29"/>
  <c r="AJ100" i="29"/>
  <c r="AK100" i="29"/>
  <c r="AL100" i="29"/>
  <c r="AM100" i="29"/>
  <c r="AN100" i="29"/>
  <c r="AO100" i="29"/>
  <c r="AF101" i="29"/>
  <c r="AG101" i="29"/>
  <c r="AH101" i="29"/>
  <c r="AI101" i="29"/>
  <c r="AJ101" i="29"/>
  <c r="AK101" i="29"/>
  <c r="AL101" i="29"/>
  <c r="AM101" i="29"/>
  <c r="AN101" i="29"/>
  <c r="AO101" i="29"/>
  <c r="AF102" i="29"/>
  <c r="AG102" i="29"/>
  <c r="AH102" i="29"/>
  <c r="AI102" i="29"/>
  <c r="AJ102" i="29"/>
  <c r="AK102" i="29"/>
  <c r="AL102" i="29"/>
  <c r="AM102" i="29"/>
  <c r="AN102" i="29"/>
  <c r="AO102" i="29"/>
  <c r="AF103" i="29"/>
  <c r="AG103" i="29"/>
  <c r="AH103" i="29"/>
  <c r="AI103" i="29"/>
  <c r="AJ103" i="29"/>
  <c r="AK103" i="29"/>
  <c r="AL103" i="29"/>
  <c r="AM103" i="29"/>
  <c r="AN103" i="29"/>
  <c r="AO103" i="29"/>
  <c r="AF104" i="29"/>
  <c r="AG104" i="29"/>
  <c r="AH104" i="29"/>
  <c r="AI104" i="29"/>
  <c r="AJ104" i="29"/>
  <c r="AK104" i="29"/>
  <c r="AL104" i="29"/>
  <c r="AM104" i="29"/>
  <c r="AN104" i="29"/>
  <c r="AO104" i="29"/>
  <c r="AF105" i="29"/>
  <c r="AG105" i="29"/>
  <c r="AH105" i="29"/>
  <c r="AI105" i="29"/>
  <c r="AJ105" i="29"/>
  <c r="AK105" i="29"/>
  <c r="AL105" i="29"/>
  <c r="AM105" i="29"/>
  <c r="AN105" i="29"/>
  <c r="AO105" i="29"/>
  <c r="AF106" i="29"/>
  <c r="AG106" i="29"/>
  <c r="AH106" i="29"/>
  <c r="AI106" i="29"/>
  <c r="AJ106" i="29"/>
  <c r="AK106" i="29"/>
  <c r="AL106" i="29"/>
  <c r="AM106" i="29"/>
  <c r="AN106" i="29"/>
  <c r="AO106" i="29"/>
  <c r="AF107" i="29"/>
  <c r="AG107" i="29"/>
  <c r="AH107" i="29"/>
  <c r="AI107" i="29"/>
  <c r="AJ107" i="29"/>
  <c r="AK107" i="29"/>
  <c r="AL107" i="29"/>
  <c r="AM107" i="29"/>
  <c r="AN107" i="29"/>
  <c r="AO107" i="29"/>
  <c r="AF108" i="29"/>
  <c r="AG108" i="29"/>
  <c r="AH108" i="29"/>
  <c r="AI108" i="29"/>
  <c r="AJ108" i="29"/>
  <c r="AK108" i="29"/>
  <c r="AL108" i="29"/>
  <c r="AM108" i="29"/>
  <c r="AN108" i="29"/>
  <c r="AO108" i="29"/>
  <c r="AF109" i="29"/>
  <c r="AG109" i="29"/>
  <c r="AH109" i="29"/>
  <c r="AI109" i="29"/>
  <c r="AJ109" i="29"/>
  <c r="AK109" i="29"/>
  <c r="AL109" i="29"/>
  <c r="AM109" i="29"/>
  <c r="AN109" i="29"/>
  <c r="AO109" i="29"/>
  <c r="AF110" i="29"/>
  <c r="AG110" i="29"/>
  <c r="AH110" i="29"/>
  <c r="AI110" i="29"/>
  <c r="AJ110" i="29"/>
  <c r="AK110" i="29"/>
  <c r="AL110" i="29"/>
  <c r="AM110" i="29"/>
  <c r="AN110" i="29"/>
  <c r="AO110" i="29"/>
  <c r="AF111" i="29"/>
  <c r="AG111" i="29"/>
  <c r="AH111" i="29"/>
  <c r="AI111" i="29"/>
  <c r="AJ111" i="29"/>
  <c r="AK111" i="29"/>
  <c r="AL111" i="29"/>
  <c r="AM111" i="29"/>
  <c r="AN111" i="29"/>
  <c r="AO111" i="29"/>
  <c r="AF112" i="29"/>
  <c r="AG112" i="29"/>
  <c r="AH112" i="29"/>
  <c r="AI112" i="29"/>
  <c r="AJ112" i="29"/>
  <c r="AK112" i="29"/>
  <c r="AL112" i="29"/>
  <c r="AM112" i="29"/>
  <c r="AN112" i="29"/>
  <c r="AO112" i="29"/>
  <c r="AF113" i="29"/>
  <c r="AG113" i="29"/>
  <c r="AH113" i="29"/>
  <c r="AI113" i="29"/>
  <c r="AJ113" i="29"/>
  <c r="AK113" i="29"/>
  <c r="AL113" i="29"/>
  <c r="AM113" i="29"/>
  <c r="AN113" i="29"/>
  <c r="AO113" i="29"/>
  <c r="AF114" i="29"/>
  <c r="AG114" i="29"/>
  <c r="AH114" i="29"/>
  <c r="AI114" i="29"/>
  <c r="AJ114" i="29"/>
  <c r="AK114" i="29"/>
  <c r="AL114" i="29"/>
  <c r="AM114" i="29"/>
  <c r="AN114" i="29"/>
  <c r="AO114" i="29"/>
  <c r="AF115" i="29"/>
  <c r="AG115" i="29"/>
  <c r="AH115" i="29"/>
  <c r="AI115" i="29"/>
  <c r="AJ115" i="29"/>
  <c r="AK115" i="29"/>
  <c r="AL115" i="29"/>
  <c r="AM115" i="29"/>
  <c r="AN115" i="29"/>
  <c r="AO115" i="29"/>
  <c r="AF116" i="29"/>
  <c r="AG116" i="29"/>
  <c r="AH116" i="29"/>
  <c r="AI116" i="29"/>
  <c r="AJ116" i="29"/>
  <c r="AK116" i="29"/>
  <c r="AL116" i="29"/>
  <c r="AM116" i="29"/>
  <c r="AN116" i="29"/>
  <c r="AO116" i="29"/>
  <c r="AF117" i="29"/>
  <c r="AG117" i="29"/>
  <c r="AH117" i="29"/>
  <c r="AI117" i="29"/>
  <c r="AJ117" i="29"/>
  <c r="AK117" i="29"/>
  <c r="AL117" i="29"/>
  <c r="AM117" i="29"/>
  <c r="AN117" i="29"/>
  <c r="AO117" i="29"/>
  <c r="AF118" i="29"/>
  <c r="AG118" i="29"/>
  <c r="AH118" i="29"/>
  <c r="AI118" i="29"/>
  <c r="AJ118" i="29"/>
  <c r="AK118" i="29"/>
  <c r="AL118" i="29"/>
  <c r="AM118" i="29"/>
  <c r="AN118" i="29"/>
  <c r="AO118" i="29"/>
  <c r="AF119" i="29"/>
  <c r="AG119" i="29"/>
  <c r="AH119" i="29"/>
  <c r="AI119" i="29"/>
  <c r="AJ119" i="29"/>
  <c r="AK119" i="29"/>
  <c r="AL119" i="29"/>
  <c r="AM119" i="29"/>
  <c r="AN119" i="29"/>
  <c r="AO119" i="29"/>
  <c r="AF120" i="29"/>
  <c r="AG120" i="29"/>
  <c r="AH120" i="29"/>
  <c r="AI120" i="29"/>
  <c r="AJ120" i="29"/>
  <c r="AK120" i="29"/>
  <c r="AL120" i="29"/>
  <c r="AM120" i="29"/>
  <c r="AN120" i="29"/>
  <c r="AO120" i="29"/>
  <c r="AF121" i="29"/>
  <c r="AG121" i="29"/>
  <c r="AH121" i="29"/>
  <c r="AI121" i="29"/>
  <c r="AJ121" i="29"/>
  <c r="AK121" i="29"/>
  <c r="AL121" i="29"/>
  <c r="AM121" i="29"/>
  <c r="AN121" i="29"/>
  <c r="AO121" i="29"/>
  <c r="AF122" i="29"/>
  <c r="AG122" i="29"/>
  <c r="AH122" i="29"/>
  <c r="AI122" i="29"/>
  <c r="AJ122" i="29"/>
  <c r="AK122" i="29"/>
  <c r="AL122" i="29"/>
  <c r="AM122" i="29"/>
  <c r="AN122" i="29"/>
  <c r="AO122" i="29"/>
  <c r="AF123" i="29"/>
  <c r="AG123" i="29"/>
  <c r="AH123" i="29"/>
  <c r="AI123" i="29"/>
  <c r="AJ123" i="29"/>
  <c r="AK123" i="29"/>
  <c r="AL123" i="29"/>
  <c r="AM123" i="29"/>
  <c r="AN123" i="29"/>
  <c r="AO123" i="29"/>
  <c r="AF124" i="29"/>
  <c r="AG124" i="29"/>
  <c r="AH124" i="29"/>
  <c r="AI124" i="29"/>
  <c r="AJ124" i="29"/>
  <c r="AK124" i="29"/>
  <c r="AL124" i="29"/>
  <c r="AM124" i="29"/>
  <c r="AN124" i="29"/>
  <c r="AO124" i="29"/>
  <c r="AF125" i="29"/>
  <c r="AG125" i="29"/>
  <c r="AH125" i="29"/>
  <c r="AI125" i="29"/>
  <c r="AJ125" i="29"/>
  <c r="AK125" i="29"/>
  <c r="AL125" i="29"/>
  <c r="AM125" i="29"/>
  <c r="AN125" i="29"/>
  <c r="AO125" i="29"/>
  <c r="AF126" i="29"/>
  <c r="AG126" i="29"/>
  <c r="AH126" i="29"/>
  <c r="AI126" i="29"/>
  <c r="AJ126" i="29"/>
  <c r="AK126" i="29"/>
  <c r="AL126" i="29"/>
  <c r="AM126" i="29"/>
  <c r="AN126" i="29"/>
  <c r="AO126" i="29"/>
  <c r="AF127" i="29"/>
  <c r="AG127" i="29"/>
  <c r="AH127" i="29"/>
  <c r="AI127" i="29"/>
  <c r="AJ127" i="29"/>
  <c r="AK127" i="29"/>
  <c r="AL127" i="29"/>
  <c r="AM127" i="29"/>
  <c r="AN127" i="29"/>
  <c r="AO127" i="29"/>
  <c r="AF128" i="29"/>
  <c r="AG128" i="29"/>
  <c r="AH128" i="29"/>
  <c r="AI128" i="29"/>
  <c r="AJ128" i="29"/>
  <c r="AK128" i="29"/>
  <c r="AL128" i="29"/>
  <c r="AM128" i="29"/>
  <c r="AN128" i="29"/>
  <c r="AO128" i="29"/>
  <c r="AF129" i="29"/>
  <c r="AG129" i="29"/>
  <c r="AH129" i="29"/>
  <c r="AI129" i="29"/>
  <c r="AJ129" i="29"/>
  <c r="AK129" i="29"/>
  <c r="AL129" i="29"/>
  <c r="AM129" i="29"/>
  <c r="AN129" i="29"/>
  <c r="AO129" i="29"/>
  <c r="AF130" i="29"/>
  <c r="AG130" i="29"/>
  <c r="AH130" i="29"/>
  <c r="AI130" i="29"/>
  <c r="AJ130" i="29"/>
  <c r="AK130" i="29"/>
  <c r="AL130" i="29"/>
  <c r="AM130" i="29"/>
  <c r="AN130" i="29"/>
  <c r="AO130" i="29"/>
  <c r="AF131" i="29"/>
  <c r="AG131" i="29"/>
  <c r="AH131" i="29"/>
  <c r="AI131" i="29"/>
  <c r="AJ131" i="29"/>
  <c r="AK131" i="29"/>
  <c r="AL131" i="29"/>
  <c r="AM131" i="29"/>
  <c r="AN131" i="29"/>
  <c r="AO131" i="29"/>
  <c r="AF132" i="29"/>
  <c r="AG132" i="29"/>
  <c r="AH132" i="29"/>
  <c r="AI132" i="29"/>
  <c r="AJ132" i="29"/>
  <c r="AK132" i="29"/>
  <c r="AL132" i="29"/>
  <c r="AM132" i="29"/>
  <c r="AN132" i="29"/>
  <c r="AO132" i="29"/>
  <c r="AF133" i="29"/>
  <c r="AG133" i="29"/>
  <c r="AH133" i="29"/>
  <c r="AI133" i="29"/>
  <c r="AJ133" i="29"/>
  <c r="AK133" i="29"/>
  <c r="AL133" i="29"/>
  <c r="AM133" i="29"/>
  <c r="AN133" i="29"/>
  <c r="AO133" i="29"/>
  <c r="AF134" i="29"/>
  <c r="AG134" i="29"/>
  <c r="AH134" i="29"/>
  <c r="AI134" i="29"/>
  <c r="AJ134" i="29"/>
  <c r="AK134" i="29"/>
  <c r="AL134" i="29"/>
  <c r="AM134" i="29"/>
  <c r="AN134" i="29"/>
  <c r="AO134" i="29"/>
  <c r="AF135" i="29"/>
  <c r="AG135" i="29"/>
  <c r="AH135" i="29"/>
  <c r="AI135" i="29"/>
  <c r="AJ135" i="29"/>
  <c r="AK135" i="29"/>
  <c r="AL135" i="29"/>
  <c r="AM135" i="29"/>
  <c r="AN135" i="29"/>
  <c r="AO135" i="29"/>
  <c r="AF136" i="29"/>
  <c r="AG136" i="29"/>
  <c r="AH136" i="29"/>
  <c r="AI136" i="29"/>
  <c r="AJ136" i="29"/>
  <c r="AK136" i="29"/>
  <c r="AL136" i="29"/>
  <c r="AM136" i="29"/>
  <c r="AN136" i="29"/>
  <c r="AO136" i="29"/>
  <c r="AF137" i="29"/>
  <c r="AG137" i="29"/>
  <c r="AH137" i="29"/>
  <c r="AI137" i="29"/>
  <c r="AJ137" i="29"/>
  <c r="AK137" i="29"/>
  <c r="AL137" i="29"/>
  <c r="AM137" i="29"/>
  <c r="AN137" i="29"/>
  <c r="AO137" i="29"/>
  <c r="AF138" i="29"/>
  <c r="AG138" i="29"/>
  <c r="AH138" i="29"/>
  <c r="AI138" i="29"/>
  <c r="AJ138" i="29"/>
  <c r="AK138" i="29"/>
  <c r="AL138" i="29"/>
  <c r="AM138" i="29"/>
  <c r="AN138" i="29"/>
  <c r="AO138" i="29"/>
  <c r="AF139" i="29"/>
  <c r="AG139" i="29"/>
  <c r="AH139" i="29"/>
  <c r="AI139" i="29"/>
  <c r="AJ139" i="29"/>
  <c r="AK139" i="29"/>
  <c r="AL139" i="29"/>
  <c r="AM139" i="29"/>
  <c r="AN139" i="29"/>
  <c r="AO139" i="29"/>
  <c r="AF140" i="29"/>
  <c r="AG140" i="29"/>
  <c r="AH140" i="29"/>
  <c r="AI140" i="29"/>
  <c r="AJ140" i="29"/>
  <c r="AK140" i="29"/>
  <c r="AL140" i="29"/>
  <c r="AM140" i="29"/>
  <c r="AN140" i="29"/>
  <c r="AO140" i="29"/>
  <c r="AF141" i="29"/>
  <c r="AG141" i="29"/>
  <c r="AH141" i="29"/>
  <c r="AI141" i="29"/>
  <c r="AJ141" i="29"/>
  <c r="AK141" i="29"/>
  <c r="AL141" i="29"/>
  <c r="AM141" i="29"/>
  <c r="AN141" i="29"/>
  <c r="AO141" i="29"/>
  <c r="AF142" i="29"/>
  <c r="AG142" i="29"/>
  <c r="AH142" i="29"/>
  <c r="AI142" i="29"/>
  <c r="AJ142" i="29"/>
  <c r="AK142" i="29"/>
  <c r="AL142" i="29"/>
  <c r="AM142" i="29"/>
  <c r="AN142" i="29"/>
  <c r="AO142" i="29"/>
  <c r="AF143" i="29"/>
  <c r="AG143" i="29"/>
  <c r="AH143" i="29"/>
  <c r="AI143" i="29"/>
  <c r="AJ143" i="29"/>
  <c r="AK143" i="29"/>
  <c r="AL143" i="29"/>
  <c r="AM143" i="29"/>
  <c r="AN143" i="29"/>
  <c r="AO143" i="29"/>
  <c r="AF144" i="29"/>
  <c r="AG144" i="29"/>
  <c r="AH144" i="29"/>
  <c r="AI144" i="29"/>
  <c r="AJ144" i="29"/>
  <c r="AK144" i="29"/>
  <c r="AL144" i="29"/>
  <c r="AM144" i="29"/>
  <c r="AN144" i="29"/>
  <c r="AO144" i="29"/>
  <c r="AF145" i="29"/>
  <c r="AG145" i="29"/>
  <c r="AH145" i="29"/>
  <c r="AI145" i="29"/>
  <c r="AJ145" i="29"/>
  <c r="AK145" i="29"/>
  <c r="AL145" i="29"/>
  <c r="AM145" i="29"/>
  <c r="AN145" i="29"/>
  <c r="AO145" i="29"/>
  <c r="AF146" i="29"/>
  <c r="AG146" i="29"/>
  <c r="AH146" i="29"/>
  <c r="AI146" i="29"/>
  <c r="AJ146" i="29"/>
  <c r="AK146" i="29"/>
  <c r="AL146" i="29"/>
  <c r="AM146" i="29"/>
  <c r="AN146" i="29"/>
  <c r="AO146" i="29"/>
  <c r="AF147" i="29"/>
  <c r="AG147" i="29"/>
  <c r="AH147" i="29"/>
  <c r="AI147" i="29"/>
  <c r="AJ147" i="29"/>
  <c r="AK147" i="29"/>
  <c r="AL147" i="29"/>
  <c r="AM147" i="29"/>
  <c r="AN147" i="29"/>
  <c r="AO147" i="29"/>
  <c r="AF148" i="29"/>
  <c r="AG148" i="29"/>
  <c r="AH148" i="29"/>
  <c r="AI148" i="29"/>
  <c r="AJ148" i="29"/>
  <c r="AK148" i="29"/>
  <c r="AL148" i="29"/>
  <c r="AM148" i="29"/>
  <c r="AN148" i="29"/>
  <c r="AO148" i="29"/>
  <c r="AF149" i="29"/>
  <c r="AG149" i="29"/>
  <c r="AH149" i="29"/>
  <c r="AI149" i="29"/>
  <c r="AJ149" i="29"/>
  <c r="AK149" i="29"/>
  <c r="AL149" i="29"/>
  <c r="AM149" i="29"/>
  <c r="AN149" i="29"/>
  <c r="AO149" i="29"/>
  <c r="AF150" i="29"/>
  <c r="AG150" i="29"/>
  <c r="AH150" i="29"/>
  <c r="AI150" i="29"/>
  <c r="AJ150" i="29"/>
  <c r="AK150" i="29"/>
  <c r="AL150" i="29"/>
  <c r="AM150" i="29"/>
  <c r="AN150" i="29"/>
  <c r="AO150" i="29"/>
  <c r="AF151" i="29"/>
  <c r="AG151" i="29"/>
  <c r="AH151" i="29"/>
  <c r="AI151" i="29"/>
  <c r="AJ151" i="29"/>
  <c r="AK151" i="29"/>
  <c r="AL151" i="29"/>
  <c r="AM151" i="29"/>
  <c r="AN151" i="29"/>
  <c r="AO151" i="29"/>
  <c r="AF152" i="29"/>
  <c r="AG152" i="29"/>
  <c r="AH152" i="29"/>
  <c r="AI152" i="29"/>
  <c r="AJ152" i="29"/>
  <c r="AK152" i="29"/>
  <c r="AL152" i="29"/>
  <c r="AM152" i="29"/>
  <c r="AN152" i="29"/>
  <c r="AO152" i="29"/>
  <c r="AF153" i="29"/>
  <c r="AG153" i="29"/>
  <c r="AH153" i="29"/>
  <c r="AI153" i="29"/>
  <c r="AJ153" i="29"/>
  <c r="AK153" i="29"/>
  <c r="AL153" i="29"/>
  <c r="AM153" i="29"/>
  <c r="AN153" i="29"/>
  <c r="AO153" i="29"/>
  <c r="AF154" i="29"/>
  <c r="AG154" i="29"/>
  <c r="AH154" i="29"/>
  <c r="AI154" i="29"/>
  <c r="AJ154" i="29"/>
  <c r="AK154" i="29"/>
  <c r="AL154" i="29"/>
  <c r="AM154" i="29"/>
  <c r="AN154" i="29"/>
  <c r="AO154" i="29"/>
  <c r="AF155" i="29"/>
  <c r="AG155" i="29"/>
  <c r="AH155" i="29"/>
  <c r="AI155" i="29"/>
  <c r="AJ155" i="29"/>
  <c r="AK155" i="29"/>
  <c r="AL155" i="29"/>
  <c r="AM155" i="29"/>
  <c r="AN155" i="29"/>
  <c r="AO155" i="29"/>
  <c r="AF156" i="29"/>
  <c r="AG156" i="29"/>
  <c r="AH156" i="29"/>
  <c r="AI156" i="29"/>
  <c r="AJ156" i="29"/>
  <c r="AK156" i="29"/>
  <c r="AL156" i="29"/>
  <c r="AM156" i="29"/>
  <c r="AN156" i="29"/>
  <c r="AO156" i="29"/>
  <c r="AF157" i="29"/>
  <c r="AG157" i="29"/>
  <c r="AH157" i="29"/>
  <c r="AI157" i="29"/>
  <c r="AJ157" i="29"/>
  <c r="AK157" i="29"/>
  <c r="AL157" i="29"/>
  <c r="AM157" i="29"/>
  <c r="AN157" i="29"/>
  <c r="AO157" i="29"/>
  <c r="AF158" i="29"/>
  <c r="AG158" i="29"/>
  <c r="AH158" i="29"/>
  <c r="AI158" i="29"/>
  <c r="AJ158" i="29"/>
  <c r="AK158" i="29"/>
  <c r="AL158" i="29"/>
  <c r="AM158" i="29"/>
  <c r="AN158" i="29"/>
  <c r="AO158" i="29"/>
  <c r="AF159" i="29"/>
  <c r="AG159" i="29"/>
  <c r="AH159" i="29"/>
  <c r="AI159" i="29"/>
  <c r="AJ159" i="29"/>
  <c r="AK159" i="29"/>
  <c r="AL159" i="29"/>
  <c r="AM159" i="29"/>
  <c r="AN159" i="29"/>
  <c r="AO159" i="29"/>
  <c r="AF160" i="29"/>
  <c r="AG160" i="29"/>
  <c r="AH160" i="29"/>
  <c r="AI160" i="29"/>
  <c r="AJ160" i="29"/>
  <c r="AK160" i="29"/>
  <c r="AL160" i="29"/>
  <c r="AM160" i="29"/>
  <c r="AN160" i="29"/>
  <c r="AO160" i="29"/>
  <c r="AF161" i="29"/>
  <c r="AG161" i="29"/>
  <c r="AH161" i="29"/>
  <c r="AI161" i="29"/>
  <c r="AJ161" i="29"/>
  <c r="AK161" i="29"/>
  <c r="AL161" i="29"/>
  <c r="AM161" i="29"/>
  <c r="AN161" i="29"/>
  <c r="AO161" i="29"/>
  <c r="AF162" i="29"/>
  <c r="AG162" i="29"/>
  <c r="AH162" i="29"/>
  <c r="AI162" i="29"/>
  <c r="AJ162" i="29"/>
  <c r="AK162" i="29"/>
  <c r="AL162" i="29"/>
  <c r="AM162" i="29"/>
  <c r="AN162" i="29"/>
  <c r="AO162" i="29"/>
  <c r="AF163" i="29"/>
  <c r="AG163" i="29"/>
  <c r="AH163" i="29"/>
  <c r="AI163" i="29"/>
  <c r="AJ163" i="29"/>
  <c r="AK163" i="29"/>
  <c r="AL163" i="29"/>
  <c r="AM163" i="29"/>
  <c r="AN163" i="29"/>
  <c r="AO163" i="29"/>
  <c r="AF164" i="29"/>
  <c r="AG164" i="29"/>
  <c r="AH164" i="29"/>
  <c r="AI164" i="29"/>
  <c r="AJ164" i="29"/>
  <c r="AK164" i="29"/>
  <c r="AL164" i="29"/>
  <c r="AM164" i="29"/>
  <c r="AN164" i="29"/>
  <c r="AO164" i="29"/>
  <c r="AF165" i="29"/>
  <c r="AG165" i="29"/>
  <c r="AH165" i="29"/>
  <c r="AI165" i="29"/>
  <c r="AJ165" i="29"/>
  <c r="AK165" i="29"/>
  <c r="AL165" i="29"/>
  <c r="AM165" i="29"/>
  <c r="AN165" i="29"/>
  <c r="AO165" i="29"/>
  <c r="AF166" i="29"/>
  <c r="AG166" i="29"/>
  <c r="AH166" i="29"/>
  <c r="AI166" i="29"/>
  <c r="AJ166" i="29"/>
  <c r="AK166" i="29"/>
  <c r="AL166" i="29"/>
  <c r="AM166" i="29"/>
  <c r="AN166" i="29"/>
  <c r="AO166" i="29"/>
  <c r="AF167" i="29"/>
  <c r="AG167" i="29"/>
  <c r="AH167" i="29"/>
  <c r="AI167" i="29"/>
  <c r="AJ167" i="29"/>
  <c r="AK167" i="29"/>
  <c r="AL167" i="29"/>
  <c r="AM167" i="29"/>
  <c r="AN167" i="29"/>
  <c r="AO167" i="29"/>
  <c r="AF168" i="29"/>
  <c r="AG168" i="29"/>
  <c r="AH168" i="29"/>
  <c r="AI168" i="29"/>
  <c r="AJ168" i="29"/>
  <c r="AK168" i="29"/>
  <c r="AL168" i="29"/>
  <c r="AM168" i="29"/>
  <c r="AN168" i="29"/>
  <c r="AO168" i="29"/>
  <c r="AF169" i="29"/>
  <c r="AG169" i="29"/>
  <c r="AH169" i="29"/>
  <c r="AI169" i="29"/>
  <c r="AJ169" i="29"/>
  <c r="AK169" i="29"/>
  <c r="AL169" i="29"/>
  <c r="AM169" i="29"/>
  <c r="AN169" i="29"/>
  <c r="AO169" i="29"/>
  <c r="AF170" i="29"/>
  <c r="AG170" i="29"/>
  <c r="AH170" i="29"/>
  <c r="AI170" i="29"/>
  <c r="AJ170" i="29"/>
  <c r="AK170" i="29"/>
  <c r="AL170" i="29"/>
  <c r="AM170" i="29"/>
  <c r="AN170" i="29"/>
  <c r="AO170" i="29"/>
  <c r="AF171" i="29"/>
  <c r="AG171" i="29"/>
  <c r="AH171" i="29"/>
  <c r="AI171" i="29"/>
  <c r="AJ171" i="29"/>
  <c r="AK171" i="29"/>
  <c r="AL171" i="29"/>
  <c r="AM171" i="29"/>
  <c r="AN171" i="29"/>
  <c r="AO171" i="29"/>
  <c r="AF172" i="29"/>
  <c r="AG172" i="29"/>
  <c r="AH172" i="29"/>
  <c r="AI172" i="29"/>
  <c r="AJ172" i="29"/>
  <c r="AK172" i="29"/>
  <c r="AL172" i="29"/>
  <c r="AM172" i="29"/>
  <c r="AN172" i="29"/>
  <c r="AO172" i="29"/>
  <c r="AF173" i="29"/>
  <c r="AG173" i="29"/>
  <c r="AH173" i="29"/>
  <c r="AI173" i="29"/>
  <c r="AJ173" i="29"/>
  <c r="AK173" i="29"/>
  <c r="AL173" i="29"/>
  <c r="AM173" i="29"/>
  <c r="AN173" i="29"/>
  <c r="AO173" i="29"/>
  <c r="AF174" i="29"/>
  <c r="AG174" i="29"/>
  <c r="AH174" i="29"/>
  <c r="AI174" i="29"/>
  <c r="AJ174" i="29"/>
  <c r="AK174" i="29"/>
  <c r="AL174" i="29"/>
  <c r="AM174" i="29"/>
  <c r="AN174" i="29"/>
  <c r="AO174" i="29"/>
  <c r="AF175" i="29"/>
  <c r="AG175" i="29"/>
  <c r="AH175" i="29"/>
  <c r="AI175" i="29"/>
  <c r="AJ175" i="29"/>
  <c r="AK175" i="29"/>
  <c r="AL175" i="29"/>
  <c r="AM175" i="29"/>
  <c r="AN175" i="29"/>
  <c r="AO175" i="29"/>
  <c r="AF176" i="29"/>
  <c r="AG176" i="29"/>
  <c r="AH176" i="29"/>
  <c r="AI176" i="29"/>
  <c r="AJ176" i="29"/>
  <c r="AK176" i="29"/>
  <c r="AL176" i="29"/>
  <c r="AM176" i="29"/>
  <c r="AN176" i="29"/>
  <c r="AO176" i="29"/>
  <c r="AF177" i="29"/>
  <c r="AG177" i="29"/>
  <c r="AH177" i="29"/>
  <c r="AI177" i="29"/>
  <c r="AJ177" i="29"/>
  <c r="AK177" i="29"/>
  <c r="AL177" i="29"/>
  <c r="AM177" i="29"/>
  <c r="AN177" i="29"/>
  <c r="AO177" i="29"/>
  <c r="AF178" i="29"/>
  <c r="AG178" i="29"/>
  <c r="AH178" i="29"/>
  <c r="AI178" i="29"/>
  <c r="AJ178" i="29"/>
  <c r="AK178" i="29"/>
  <c r="AL178" i="29"/>
  <c r="AM178" i="29"/>
  <c r="AN178" i="29"/>
  <c r="AO178" i="29"/>
  <c r="AF179" i="29"/>
  <c r="AG179" i="29"/>
  <c r="AH179" i="29"/>
  <c r="AI179" i="29"/>
  <c r="AJ179" i="29"/>
  <c r="AK179" i="29"/>
  <c r="AL179" i="29"/>
  <c r="AM179" i="29"/>
  <c r="AN179" i="29"/>
  <c r="AO179" i="29"/>
  <c r="AF180" i="29"/>
  <c r="AG180" i="29"/>
  <c r="AH180" i="29"/>
  <c r="AI180" i="29"/>
  <c r="AJ180" i="29"/>
  <c r="AK180" i="29"/>
  <c r="AL180" i="29"/>
  <c r="AM180" i="29"/>
  <c r="AN180" i="29"/>
  <c r="AO180" i="29"/>
  <c r="AF181" i="29"/>
  <c r="AG181" i="29"/>
  <c r="AH181" i="29"/>
  <c r="AI181" i="29"/>
  <c r="AJ181" i="29"/>
  <c r="AK181" i="29"/>
  <c r="AL181" i="29"/>
  <c r="AM181" i="29"/>
  <c r="AN181" i="29"/>
  <c r="AO181" i="29"/>
  <c r="AF182" i="29"/>
  <c r="AG182" i="29"/>
  <c r="AH182" i="29"/>
  <c r="AI182" i="29"/>
  <c r="AJ182" i="29"/>
  <c r="AK182" i="29"/>
  <c r="AL182" i="29"/>
  <c r="AM182" i="29"/>
  <c r="AN182" i="29"/>
  <c r="AO182" i="29"/>
  <c r="AF183" i="29"/>
  <c r="AG183" i="29"/>
  <c r="AH183" i="29"/>
  <c r="AI183" i="29"/>
  <c r="AJ183" i="29"/>
  <c r="AK183" i="29"/>
  <c r="AL183" i="29"/>
  <c r="AM183" i="29"/>
  <c r="AN183" i="29"/>
  <c r="AO183" i="29"/>
  <c r="AF184" i="29"/>
  <c r="AG184" i="29"/>
  <c r="AH184" i="29"/>
  <c r="AI184" i="29"/>
  <c r="AJ184" i="29"/>
  <c r="AK184" i="29"/>
  <c r="AL184" i="29"/>
  <c r="AM184" i="29"/>
  <c r="AN184" i="29"/>
  <c r="AO184" i="29"/>
  <c r="AF185" i="29"/>
  <c r="AG185" i="29"/>
  <c r="AH185" i="29"/>
  <c r="AI185" i="29"/>
  <c r="AJ185" i="29"/>
  <c r="AK185" i="29"/>
  <c r="AL185" i="29"/>
  <c r="AM185" i="29"/>
  <c r="AN185" i="29"/>
  <c r="AO185" i="29"/>
  <c r="AF186" i="29"/>
  <c r="AG186" i="29"/>
  <c r="AH186" i="29"/>
  <c r="AI186" i="29"/>
  <c r="AJ186" i="29"/>
  <c r="AK186" i="29"/>
  <c r="AL186" i="29"/>
  <c r="AM186" i="29"/>
  <c r="AN186" i="29"/>
  <c r="AO186" i="29"/>
  <c r="AF187" i="29"/>
  <c r="AG187" i="29"/>
  <c r="AH187" i="29"/>
  <c r="AI187" i="29"/>
  <c r="AJ187" i="29"/>
  <c r="AK187" i="29"/>
  <c r="AL187" i="29"/>
  <c r="AM187" i="29"/>
  <c r="AN187" i="29"/>
  <c r="AO187" i="29"/>
  <c r="AF188" i="29"/>
  <c r="AG188" i="29"/>
  <c r="AH188" i="29"/>
  <c r="AI188" i="29"/>
  <c r="AJ188" i="29"/>
  <c r="AK188" i="29"/>
  <c r="AL188" i="29"/>
  <c r="AM188" i="29"/>
  <c r="AN188" i="29"/>
  <c r="AO188" i="29"/>
  <c r="AF189" i="29"/>
  <c r="AG189" i="29"/>
  <c r="AH189" i="29"/>
  <c r="AI189" i="29"/>
  <c r="AJ189" i="29"/>
  <c r="AK189" i="29"/>
  <c r="AL189" i="29"/>
  <c r="AM189" i="29"/>
  <c r="AN189" i="29"/>
  <c r="AO189" i="29"/>
  <c r="AF190" i="29"/>
  <c r="AG190" i="29"/>
  <c r="AH190" i="29"/>
  <c r="AI190" i="29"/>
  <c r="AJ190" i="29"/>
  <c r="AK190" i="29"/>
  <c r="AL190" i="29"/>
  <c r="AM190" i="29"/>
  <c r="AN190" i="29"/>
  <c r="AO190" i="29"/>
  <c r="AF191" i="29"/>
  <c r="AG191" i="29"/>
  <c r="AH191" i="29"/>
  <c r="AI191" i="29"/>
  <c r="AJ191" i="29"/>
  <c r="AK191" i="29"/>
  <c r="AL191" i="29"/>
  <c r="AM191" i="29"/>
  <c r="AN191" i="29"/>
  <c r="AO191" i="29"/>
  <c r="AF192" i="29"/>
  <c r="AG192" i="29"/>
  <c r="AH192" i="29"/>
  <c r="AI192" i="29"/>
  <c r="AJ192" i="29"/>
  <c r="AK192" i="29"/>
  <c r="AL192" i="29"/>
  <c r="AM192" i="29"/>
  <c r="AN192" i="29"/>
  <c r="AO192" i="29"/>
  <c r="AF193" i="29"/>
  <c r="AG193" i="29"/>
  <c r="AH193" i="29"/>
  <c r="AI193" i="29"/>
  <c r="AJ193" i="29"/>
  <c r="AK193" i="29"/>
  <c r="AL193" i="29"/>
  <c r="AM193" i="29"/>
  <c r="AN193" i="29"/>
  <c r="AO193" i="29"/>
  <c r="AF194" i="29"/>
  <c r="AG194" i="29"/>
  <c r="AH194" i="29"/>
  <c r="AI194" i="29"/>
  <c r="AJ194" i="29"/>
  <c r="AK194" i="29"/>
  <c r="AL194" i="29"/>
  <c r="AM194" i="29"/>
  <c r="AN194" i="29"/>
  <c r="AO194" i="29"/>
  <c r="AF195" i="29"/>
  <c r="AG195" i="29"/>
  <c r="AH195" i="29"/>
  <c r="AI195" i="29"/>
  <c r="AJ195" i="29"/>
  <c r="AK195" i="29"/>
  <c r="AL195" i="29"/>
  <c r="AM195" i="29"/>
  <c r="AN195" i="29"/>
  <c r="AO195" i="29"/>
  <c r="AF196" i="29"/>
  <c r="AG196" i="29"/>
  <c r="AH196" i="29"/>
  <c r="AI196" i="29"/>
  <c r="AJ196" i="29"/>
  <c r="AK196" i="29"/>
  <c r="AL196" i="29"/>
  <c r="AM196" i="29"/>
  <c r="AN196" i="29"/>
  <c r="AO196" i="29"/>
  <c r="AF197" i="29"/>
  <c r="AG197" i="29"/>
  <c r="AH197" i="29"/>
  <c r="AI197" i="29"/>
  <c r="AJ197" i="29"/>
  <c r="AK197" i="29"/>
  <c r="AL197" i="29"/>
  <c r="AM197" i="29"/>
  <c r="AN197" i="29"/>
  <c r="AO197" i="29"/>
  <c r="AF198" i="29"/>
  <c r="AG198" i="29"/>
  <c r="AH198" i="29"/>
  <c r="AI198" i="29"/>
  <c r="AJ198" i="29"/>
  <c r="AK198" i="29"/>
  <c r="AL198" i="29"/>
  <c r="AM198" i="29"/>
  <c r="AN198" i="29"/>
  <c r="AO198" i="29"/>
  <c r="AF199" i="29"/>
  <c r="AG199" i="29"/>
  <c r="AH199" i="29"/>
  <c r="AI199" i="29"/>
  <c r="AJ199" i="29"/>
  <c r="AK199" i="29"/>
  <c r="AL199" i="29"/>
  <c r="AM199" i="29"/>
  <c r="AN199" i="29"/>
  <c r="AO199" i="29"/>
  <c r="AF200" i="29"/>
  <c r="AG200" i="29"/>
  <c r="AH200" i="29"/>
  <c r="AI200" i="29"/>
  <c r="AJ200" i="29"/>
  <c r="AK200" i="29"/>
  <c r="AL200" i="29"/>
  <c r="AM200" i="29"/>
  <c r="AN200" i="29"/>
  <c r="AO200" i="29"/>
  <c r="AF201" i="29"/>
  <c r="AG201" i="29"/>
  <c r="AH201" i="29"/>
  <c r="AI201" i="29"/>
  <c r="AJ201" i="29"/>
  <c r="AK201" i="29"/>
  <c r="AL201" i="29"/>
  <c r="AM201" i="29"/>
  <c r="AN201" i="29"/>
  <c r="AO201" i="29"/>
  <c r="AF202" i="29"/>
  <c r="AG202" i="29"/>
  <c r="AH202" i="29"/>
  <c r="AI202" i="29"/>
  <c r="AJ202" i="29"/>
  <c r="AK202" i="29"/>
  <c r="AL202" i="29"/>
  <c r="AM202" i="29"/>
  <c r="AN202" i="29"/>
  <c r="AO202" i="29"/>
  <c r="AF203" i="29"/>
  <c r="AG203" i="29"/>
  <c r="AH203" i="29"/>
  <c r="AI203" i="29"/>
  <c r="AJ203" i="29"/>
  <c r="AK203" i="29"/>
  <c r="AL203" i="29"/>
  <c r="AM203" i="29"/>
  <c r="AN203" i="29"/>
  <c r="AO203" i="29"/>
  <c r="AF204" i="29"/>
  <c r="AG204" i="29"/>
  <c r="AH204" i="29"/>
  <c r="AI204" i="29"/>
  <c r="AJ204" i="29"/>
  <c r="AK204" i="29"/>
  <c r="AL204" i="29"/>
  <c r="AM204" i="29"/>
  <c r="AN204" i="29"/>
  <c r="AO204" i="29"/>
  <c r="AF205" i="29"/>
  <c r="AG205" i="29"/>
  <c r="AH205" i="29"/>
  <c r="AI205" i="29"/>
  <c r="AJ205" i="29"/>
  <c r="AK205" i="29"/>
  <c r="AL205" i="29"/>
  <c r="AM205" i="29"/>
  <c r="AN205" i="29"/>
  <c r="AO205" i="29"/>
  <c r="AF206" i="29"/>
  <c r="AG206" i="29"/>
  <c r="AH206" i="29"/>
  <c r="AI206" i="29"/>
  <c r="AJ206" i="29"/>
  <c r="AK206" i="29"/>
  <c r="AL206" i="29"/>
  <c r="AM206" i="29"/>
  <c r="AN206" i="29"/>
  <c r="AO206" i="29"/>
  <c r="AF207" i="29"/>
  <c r="AG207" i="29"/>
  <c r="AH207" i="29"/>
  <c r="AI207" i="29"/>
  <c r="AJ207" i="29"/>
  <c r="AK207" i="29"/>
  <c r="AL207" i="29"/>
  <c r="AM207" i="29"/>
  <c r="AN207" i="29"/>
  <c r="AO207" i="29"/>
  <c r="AF208" i="29"/>
  <c r="AG208" i="29"/>
  <c r="AH208" i="29"/>
  <c r="AI208" i="29"/>
  <c r="AJ208" i="29"/>
  <c r="AK208" i="29"/>
  <c r="AL208" i="29"/>
  <c r="AM208" i="29"/>
  <c r="AN208" i="29"/>
  <c r="AO208" i="29"/>
  <c r="AF209" i="29"/>
  <c r="AG209" i="29"/>
  <c r="AH209" i="29"/>
  <c r="AI209" i="29"/>
  <c r="AJ209" i="29"/>
  <c r="AK209" i="29"/>
  <c r="AL209" i="29"/>
  <c r="AM209" i="29"/>
  <c r="AN209" i="29"/>
  <c r="AO209" i="29"/>
  <c r="AF210" i="29"/>
  <c r="AG210" i="29"/>
  <c r="AH210" i="29"/>
  <c r="AI210" i="29"/>
  <c r="AJ210" i="29"/>
  <c r="AK210" i="29"/>
  <c r="AL210" i="29"/>
  <c r="AM210" i="29"/>
  <c r="AN210" i="29"/>
  <c r="AO210" i="29"/>
  <c r="AF211" i="29"/>
  <c r="AG211" i="29"/>
  <c r="AH211" i="29"/>
  <c r="AI211" i="29"/>
  <c r="AJ211" i="29"/>
  <c r="AK211" i="29"/>
  <c r="AL211" i="29"/>
  <c r="AM211" i="29"/>
  <c r="AN211" i="29"/>
  <c r="AO211" i="29"/>
  <c r="AF212" i="29"/>
  <c r="AG212" i="29"/>
  <c r="AH212" i="29"/>
  <c r="AI212" i="29"/>
  <c r="AJ212" i="29"/>
  <c r="AK212" i="29"/>
  <c r="AL212" i="29"/>
  <c r="AM212" i="29"/>
  <c r="AN212" i="29"/>
  <c r="AO212" i="29"/>
  <c r="AF213" i="29"/>
  <c r="AG213" i="29"/>
  <c r="AH213" i="29"/>
  <c r="AI213" i="29"/>
  <c r="AJ213" i="29"/>
  <c r="AK213" i="29"/>
  <c r="AL213" i="29"/>
  <c r="AM213" i="29"/>
  <c r="AN213" i="29"/>
  <c r="AO213" i="29"/>
  <c r="AF214" i="29"/>
  <c r="AG214" i="29"/>
  <c r="AH214" i="29"/>
  <c r="AI214" i="29"/>
  <c r="AJ214" i="29"/>
  <c r="AK214" i="29"/>
  <c r="AL214" i="29"/>
  <c r="AM214" i="29"/>
  <c r="AN214" i="29"/>
  <c r="AO214" i="29"/>
  <c r="AF215" i="29"/>
  <c r="AG215" i="29"/>
  <c r="AH215" i="29"/>
  <c r="AI215" i="29"/>
  <c r="AJ215" i="29"/>
  <c r="AK215" i="29"/>
  <c r="AL215" i="29"/>
  <c r="AM215" i="29"/>
  <c r="AN215" i="29"/>
  <c r="AO215" i="29"/>
  <c r="AF216" i="29"/>
  <c r="AG216" i="29"/>
  <c r="AH216" i="29"/>
  <c r="AI216" i="29"/>
  <c r="AJ216" i="29"/>
  <c r="AK216" i="29"/>
  <c r="AL216" i="29"/>
  <c r="AM216" i="29"/>
  <c r="AN216" i="29"/>
  <c r="AO216" i="29"/>
  <c r="AF217" i="29"/>
  <c r="AG217" i="29"/>
  <c r="AH217" i="29"/>
  <c r="AI217" i="29"/>
  <c r="AJ217" i="29"/>
  <c r="AK217" i="29"/>
  <c r="AL217" i="29"/>
  <c r="AM217" i="29"/>
  <c r="AN217" i="29"/>
  <c r="AO217" i="29"/>
  <c r="AF218" i="29"/>
  <c r="AG218" i="29"/>
  <c r="AH218" i="29"/>
  <c r="AI218" i="29"/>
  <c r="AJ218" i="29"/>
  <c r="AK218" i="29"/>
  <c r="AL218" i="29"/>
  <c r="AM218" i="29"/>
  <c r="AN218" i="29"/>
  <c r="AO218" i="29"/>
  <c r="AF219" i="29"/>
  <c r="AG219" i="29"/>
  <c r="AH219" i="29"/>
  <c r="AI219" i="29"/>
  <c r="AJ219" i="29"/>
  <c r="AK219" i="29"/>
  <c r="AL219" i="29"/>
  <c r="AM219" i="29"/>
  <c r="AN219" i="29"/>
  <c r="AO219" i="29"/>
  <c r="AF220" i="29"/>
  <c r="AG220" i="29"/>
  <c r="AH220" i="29"/>
  <c r="AI220" i="29"/>
  <c r="AJ220" i="29"/>
  <c r="AK220" i="29"/>
  <c r="AL220" i="29"/>
  <c r="AM220" i="29"/>
  <c r="AN220" i="29"/>
  <c r="AO220" i="29"/>
  <c r="AF221" i="29"/>
  <c r="AG221" i="29"/>
  <c r="AH221" i="29"/>
  <c r="AI221" i="29"/>
  <c r="AJ221" i="29"/>
  <c r="AK221" i="29"/>
  <c r="AL221" i="29"/>
  <c r="AM221" i="29"/>
  <c r="AN221" i="29"/>
  <c r="AO221" i="29"/>
  <c r="AF222" i="29"/>
  <c r="AG222" i="29"/>
  <c r="AH222" i="29"/>
  <c r="AI222" i="29"/>
  <c r="AJ222" i="29"/>
  <c r="AK222" i="29"/>
  <c r="AL222" i="29"/>
  <c r="AM222" i="29"/>
  <c r="AN222" i="29"/>
  <c r="AO222" i="29"/>
  <c r="AF223" i="29"/>
  <c r="AG223" i="29"/>
  <c r="AH223" i="29"/>
  <c r="AI223" i="29"/>
  <c r="AJ223" i="29"/>
  <c r="AK223" i="29"/>
  <c r="AL223" i="29"/>
  <c r="AM223" i="29"/>
  <c r="AN223" i="29"/>
  <c r="AO223" i="29"/>
  <c r="AF224" i="29"/>
  <c r="AG224" i="29"/>
  <c r="AH224" i="29"/>
  <c r="AI224" i="29"/>
  <c r="AJ224" i="29"/>
  <c r="AK224" i="29"/>
  <c r="AL224" i="29"/>
  <c r="AM224" i="29"/>
  <c r="AN224" i="29"/>
  <c r="AO224" i="29"/>
  <c r="AF225" i="29"/>
  <c r="AG225" i="29"/>
  <c r="AH225" i="29"/>
  <c r="AI225" i="29"/>
  <c r="AJ225" i="29"/>
  <c r="AK225" i="29"/>
  <c r="AL225" i="29"/>
  <c r="AM225" i="29"/>
  <c r="AN225" i="29"/>
  <c r="AO225" i="29"/>
  <c r="AF226" i="29"/>
  <c r="AG226" i="29"/>
  <c r="AH226" i="29"/>
  <c r="AI226" i="29"/>
  <c r="AJ226" i="29"/>
  <c r="AK226" i="29"/>
  <c r="AL226" i="29"/>
  <c r="AM226" i="29"/>
  <c r="AN226" i="29"/>
  <c r="AO226" i="29"/>
  <c r="AF227" i="29"/>
  <c r="AG227" i="29"/>
  <c r="AH227" i="29"/>
  <c r="AI227" i="29"/>
  <c r="AJ227" i="29"/>
  <c r="AK227" i="29"/>
  <c r="AL227" i="29"/>
  <c r="AM227" i="29"/>
  <c r="AN227" i="29"/>
  <c r="AO227" i="29"/>
  <c r="AF228" i="29"/>
  <c r="AG228" i="29"/>
  <c r="AH228" i="29"/>
  <c r="AI228" i="29"/>
  <c r="AJ228" i="29"/>
  <c r="AK228" i="29"/>
  <c r="AL228" i="29"/>
  <c r="AM228" i="29"/>
  <c r="AN228" i="29"/>
  <c r="AO228" i="29"/>
  <c r="AF229" i="29"/>
  <c r="AG229" i="29"/>
  <c r="AH229" i="29"/>
  <c r="AI229" i="29"/>
  <c r="AJ229" i="29"/>
  <c r="AK229" i="29"/>
  <c r="AL229" i="29"/>
  <c r="AM229" i="29"/>
  <c r="AN229" i="29"/>
  <c r="AO229" i="29"/>
  <c r="AF230" i="29"/>
  <c r="AG230" i="29"/>
  <c r="AH230" i="29"/>
  <c r="AI230" i="29"/>
  <c r="AJ230" i="29"/>
  <c r="AK230" i="29"/>
  <c r="AL230" i="29"/>
  <c r="AM230" i="29"/>
  <c r="AN230" i="29"/>
  <c r="AO230" i="29"/>
  <c r="AF231" i="29"/>
  <c r="AG231" i="29"/>
  <c r="AH231" i="29"/>
  <c r="AI231" i="29"/>
  <c r="AJ231" i="29"/>
  <c r="AK231" i="29"/>
  <c r="AL231" i="29"/>
  <c r="AM231" i="29"/>
  <c r="AN231" i="29"/>
  <c r="AO231" i="29"/>
  <c r="AF232" i="29"/>
  <c r="AG232" i="29"/>
  <c r="AH232" i="29"/>
  <c r="AI232" i="29"/>
  <c r="AJ232" i="29"/>
  <c r="AK232" i="29"/>
  <c r="AL232" i="29"/>
  <c r="AM232" i="29"/>
  <c r="AN232" i="29"/>
  <c r="AO232" i="29"/>
  <c r="AF233" i="29"/>
  <c r="AG233" i="29"/>
  <c r="AH233" i="29"/>
  <c r="AI233" i="29"/>
  <c r="AJ233" i="29"/>
  <c r="AK233" i="29"/>
  <c r="AL233" i="29"/>
  <c r="AM233" i="29"/>
  <c r="AN233" i="29"/>
  <c r="AO233" i="29"/>
  <c r="AF234" i="29"/>
  <c r="AG234" i="29"/>
  <c r="AH234" i="29"/>
  <c r="AI234" i="29"/>
  <c r="AJ234" i="29"/>
  <c r="AK234" i="29"/>
  <c r="AL234" i="29"/>
  <c r="AM234" i="29"/>
  <c r="AN234" i="29"/>
  <c r="AO234" i="29"/>
  <c r="AF235" i="29"/>
  <c r="AG235" i="29"/>
  <c r="AH235" i="29"/>
  <c r="AI235" i="29"/>
  <c r="AJ235" i="29"/>
  <c r="AK235" i="29"/>
  <c r="AL235" i="29"/>
  <c r="AM235" i="29"/>
  <c r="AN235" i="29"/>
  <c r="AO235" i="29"/>
  <c r="AF236" i="29"/>
  <c r="AG236" i="29"/>
  <c r="AH236" i="29"/>
  <c r="AI236" i="29"/>
  <c r="AJ236" i="29"/>
  <c r="AK236" i="29"/>
  <c r="AL236" i="29"/>
  <c r="AM236" i="29"/>
  <c r="AN236" i="29"/>
  <c r="AO236" i="29"/>
  <c r="AF237" i="29"/>
  <c r="AG237" i="29"/>
  <c r="AH237" i="29"/>
  <c r="AI237" i="29"/>
  <c r="AJ237" i="29"/>
  <c r="AK237" i="29"/>
  <c r="AL237" i="29"/>
  <c r="AM237" i="29"/>
  <c r="AN237" i="29"/>
  <c r="AO237" i="29"/>
  <c r="AF238" i="29"/>
  <c r="AG238" i="29"/>
  <c r="AH238" i="29"/>
  <c r="AI238" i="29"/>
  <c r="AJ238" i="29"/>
  <c r="AK238" i="29"/>
  <c r="AL238" i="29"/>
  <c r="AM238" i="29"/>
  <c r="AN238" i="29"/>
  <c r="AO238" i="29"/>
  <c r="AF239" i="29"/>
  <c r="AG239" i="29"/>
  <c r="AH239" i="29"/>
  <c r="AI239" i="29"/>
  <c r="AJ239" i="29"/>
  <c r="AK239" i="29"/>
  <c r="AL239" i="29"/>
  <c r="AM239" i="29"/>
  <c r="AN239" i="29"/>
  <c r="AO239" i="29"/>
  <c r="AF240" i="29"/>
  <c r="AG240" i="29"/>
  <c r="AH240" i="29"/>
  <c r="AI240" i="29"/>
  <c r="AJ240" i="29"/>
  <c r="AK240" i="29"/>
  <c r="AL240" i="29"/>
  <c r="AM240" i="29"/>
  <c r="AN240" i="29"/>
  <c r="AO240" i="29"/>
  <c r="AF241" i="29"/>
  <c r="AG241" i="29"/>
  <c r="AH241" i="29"/>
  <c r="AI241" i="29"/>
  <c r="AJ241" i="29"/>
  <c r="AK241" i="29"/>
  <c r="AL241" i="29"/>
  <c r="AM241" i="29"/>
  <c r="AN241" i="29"/>
  <c r="AO241" i="29"/>
  <c r="AF242" i="29"/>
  <c r="AG242" i="29"/>
  <c r="AH242" i="29"/>
  <c r="AI242" i="29"/>
  <c r="AJ242" i="29"/>
  <c r="AK242" i="29"/>
  <c r="AL242" i="29"/>
  <c r="AM242" i="29"/>
  <c r="AN242" i="29"/>
  <c r="AO242" i="29"/>
  <c r="AF243" i="29"/>
  <c r="AG243" i="29"/>
  <c r="AH243" i="29"/>
  <c r="AI243" i="29"/>
  <c r="AJ243" i="29"/>
  <c r="AK243" i="29"/>
  <c r="AL243" i="29"/>
  <c r="AM243" i="29"/>
  <c r="AN243" i="29"/>
  <c r="AO243" i="29"/>
  <c r="AF244" i="29"/>
  <c r="AG244" i="29"/>
  <c r="AH244" i="29"/>
  <c r="AI244" i="29"/>
  <c r="AJ244" i="29"/>
  <c r="AK244" i="29"/>
  <c r="AL244" i="29"/>
  <c r="AM244" i="29"/>
  <c r="AN244" i="29"/>
  <c r="AO244" i="29"/>
  <c r="AF245" i="29"/>
  <c r="AG245" i="29"/>
  <c r="AH245" i="29"/>
  <c r="AI245" i="29"/>
  <c r="AJ245" i="29"/>
  <c r="AK245" i="29"/>
  <c r="AL245" i="29"/>
  <c r="AM245" i="29"/>
  <c r="AN245" i="29"/>
  <c r="AO245" i="29"/>
  <c r="AF246" i="29"/>
  <c r="AG246" i="29"/>
  <c r="AH246" i="29"/>
  <c r="AI246" i="29"/>
  <c r="AJ246" i="29"/>
  <c r="AK246" i="29"/>
  <c r="AL246" i="29"/>
  <c r="AM246" i="29"/>
  <c r="AN246" i="29"/>
  <c r="AO246" i="29"/>
  <c r="AF247" i="29"/>
  <c r="AG247" i="29"/>
  <c r="AH247" i="29"/>
  <c r="AI247" i="29"/>
  <c r="AJ247" i="29"/>
  <c r="AK247" i="29"/>
  <c r="AL247" i="29"/>
  <c r="AM247" i="29"/>
  <c r="AN247" i="29"/>
  <c r="AO247" i="29"/>
  <c r="AF248" i="29"/>
  <c r="AG248" i="29"/>
  <c r="AH248" i="29"/>
  <c r="AI248" i="29"/>
  <c r="AJ248" i="29"/>
  <c r="AK248" i="29"/>
  <c r="AL248" i="29"/>
  <c r="AM248" i="29"/>
  <c r="AN248" i="29"/>
  <c r="AO248" i="29"/>
  <c r="AF249" i="29"/>
  <c r="AG249" i="29"/>
  <c r="AH249" i="29"/>
  <c r="AI249" i="29"/>
  <c r="AJ249" i="29"/>
  <c r="AK249" i="29"/>
  <c r="AL249" i="29"/>
  <c r="AM249" i="29"/>
  <c r="AN249" i="29"/>
  <c r="AO249" i="29"/>
  <c r="AF250" i="29"/>
  <c r="AG250" i="29"/>
  <c r="AH250" i="29"/>
  <c r="AI250" i="29"/>
  <c r="AJ250" i="29"/>
  <c r="AK250" i="29"/>
  <c r="AL250" i="29"/>
  <c r="AM250" i="29"/>
  <c r="AN250" i="29"/>
  <c r="AO250" i="29"/>
  <c r="AF251" i="29"/>
  <c r="AG251" i="29"/>
  <c r="AH251" i="29"/>
  <c r="AI251" i="29"/>
  <c r="AJ251" i="29"/>
  <c r="AK251" i="29"/>
  <c r="AL251" i="29"/>
  <c r="AM251" i="29"/>
  <c r="AN251" i="29"/>
  <c r="AO251" i="29"/>
  <c r="AF252" i="29"/>
  <c r="AG252" i="29"/>
  <c r="AH252" i="29"/>
  <c r="AI252" i="29"/>
  <c r="AJ252" i="29"/>
  <c r="AK252" i="29"/>
  <c r="AL252" i="29"/>
  <c r="AM252" i="29"/>
  <c r="AN252" i="29"/>
  <c r="AO252" i="29"/>
  <c r="AF253" i="29"/>
  <c r="AG253" i="29"/>
  <c r="AH253" i="29"/>
  <c r="AI253" i="29"/>
  <c r="AJ253" i="29"/>
  <c r="AK253" i="29"/>
  <c r="AL253" i="29"/>
  <c r="AM253" i="29"/>
  <c r="AN253" i="29"/>
  <c r="AO253" i="29"/>
  <c r="AF254" i="29"/>
  <c r="AG254" i="29"/>
  <c r="AH254" i="29"/>
  <c r="AI254" i="29"/>
  <c r="AJ254" i="29"/>
  <c r="AK254" i="29"/>
  <c r="AL254" i="29"/>
  <c r="AM254" i="29"/>
  <c r="AN254" i="29"/>
  <c r="AO254" i="29"/>
  <c r="AF255" i="29"/>
  <c r="AG255" i="29"/>
  <c r="AH255" i="29"/>
  <c r="AI255" i="29"/>
  <c r="AJ255" i="29"/>
  <c r="AK255" i="29"/>
  <c r="AL255" i="29"/>
  <c r="AM255" i="29"/>
  <c r="AN255" i="29"/>
  <c r="AO255" i="29"/>
  <c r="AF256" i="29"/>
  <c r="AG256" i="29"/>
  <c r="AH256" i="29"/>
  <c r="AI256" i="29"/>
  <c r="AJ256" i="29"/>
  <c r="AK256" i="29"/>
  <c r="AL256" i="29"/>
  <c r="AM256" i="29"/>
  <c r="AN256" i="29"/>
  <c r="AO256" i="29"/>
  <c r="AF257" i="29"/>
  <c r="AG257" i="29"/>
  <c r="AH257" i="29"/>
  <c r="AI257" i="29"/>
  <c r="AJ257" i="29"/>
  <c r="AK257" i="29"/>
  <c r="AL257" i="29"/>
  <c r="AM257" i="29"/>
  <c r="AN257" i="29"/>
  <c r="AO257" i="29"/>
  <c r="AF258" i="29"/>
  <c r="AG258" i="29"/>
  <c r="AH258" i="29"/>
  <c r="AI258" i="29"/>
  <c r="AJ258" i="29"/>
  <c r="AK258" i="29"/>
  <c r="AL258" i="29"/>
  <c r="AM258" i="29"/>
  <c r="AN258" i="29"/>
  <c r="AO258" i="29"/>
  <c r="AF259" i="29"/>
  <c r="AG259" i="29"/>
  <c r="AH259" i="29"/>
  <c r="AI259" i="29"/>
  <c r="AJ259" i="29"/>
  <c r="AK259" i="29"/>
  <c r="AL259" i="29"/>
  <c r="AM259" i="29"/>
  <c r="AN259" i="29"/>
  <c r="AO259" i="29"/>
  <c r="AF260" i="29"/>
  <c r="AG260" i="29"/>
  <c r="AH260" i="29"/>
  <c r="AI260" i="29"/>
  <c r="AJ260" i="29"/>
  <c r="AK260" i="29"/>
  <c r="AL260" i="29"/>
  <c r="AM260" i="29"/>
  <c r="AN260" i="29"/>
  <c r="AO260" i="29"/>
  <c r="AF261" i="29"/>
  <c r="AG261" i="29"/>
  <c r="AH261" i="29"/>
  <c r="AI261" i="29"/>
  <c r="AJ261" i="29"/>
  <c r="AK261" i="29"/>
  <c r="AL261" i="29"/>
  <c r="AM261" i="29"/>
  <c r="AN261" i="29"/>
  <c r="AO261" i="29"/>
  <c r="AF262" i="29"/>
  <c r="AG262" i="29"/>
  <c r="AH262" i="29"/>
  <c r="AI262" i="29"/>
  <c r="AJ262" i="29"/>
  <c r="AK262" i="29"/>
  <c r="AL262" i="29"/>
  <c r="AM262" i="29"/>
  <c r="AN262" i="29"/>
  <c r="AO262" i="29"/>
  <c r="AF263" i="29"/>
  <c r="AG263" i="29"/>
  <c r="AH263" i="29"/>
  <c r="AI263" i="29"/>
  <c r="AJ263" i="29"/>
  <c r="AK263" i="29"/>
  <c r="AL263" i="29"/>
  <c r="AM263" i="29"/>
  <c r="AN263" i="29"/>
  <c r="AO263" i="29"/>
  <c r="AF264" i="29"/>
  <c r="AG264" i="29"/>
  <c r="AH264" i="29"/>
  <c r="AI264" i="29"/>
  <c r="AJ264" i="29"/>
  <c r="AK264" i="29"/>
  <c r="AL264" i="29"/>
  <c r="AM264" i="29"/>
  <c r="AN264" i="29"/>
  <c r="AO264" i="29"/>
  <c r="AF265" i="29"/>
  <c r="AG265" i="29"/>
  <c r="AH265" i="29"/>
  <c r="AI265" i="29"/>
  <c r="AJ265" i="29"/>
  <c r="AK265" i="29"/>
  <c r="AL265" i="29"/>
  <c r="AM265" i="29"/>
  <c r="AN265" i="29"/>
  <c r="AO265" i="29"/>
  <c r="AF266" i="29"/>
  <c r="AG266" i="29"/>
  <c r="AH266" i="29"/>
  <c r="AI266" i="29"/>
  <c r="AJ266" i="29"/>
  <c r="AK266" i="29"/>
  <c r="AL266" i="29"/>
  <c r="AM266" i="29"/>
  <c r="AN266" i="29"/>
  <c r="AO266" i="29"/>
  <c r="AF267" i="29"/>
  <c r="AG267" i="29"/>
  <c r="AH267" i="29"/>
  <c r="AI267" i="29"/>
  <c r="AJ267" i="29"/>
  <c r="AK267" i="29"/>
  <c r="AL267" i="29"/>
  <c r="AM267" i="29"/>
  <c r="AN267" i="29"/>
  <c r="AO267" i="29"/>
  <c r="AF268" i="29"/>
  <c r="AG268" i="29"/>
  <c r="AH268" i="29"/>
  <c r="AI268" i="29"/>
  <c r="AJ268" i="29"/>
  <c r="AK268" i="29"/>
  <c r="AL268" i="29"/>
  <c r="AM268" i="29"/>
  <c r="AN268" i="29"/>
  <c r="AO268" i="29"/>
  <c r="AF269" i="29"/>
  <c r="AG269" i="29"/>
  <c r="AH269" i="29"/>
  <c r="AI269" i="29"/>
  <c r="AJ269" i="29"/>
  <c r="AK269" i="29"/>
  <c r="AL269" i="29"/>
  <c r="AM269" i="29"/>
  <c r="AN269" i="29"/>
  <c r="AO269" i="29"/>
  <c r="AF270" i="29"/>
  <c r="AG270" i="29"/>
  <c r="AH270" i="29"/>
  <c r="AI270" i="29"/>
  <c r="AJ270" i="29"/>
  <c r="AK270" i="29"/>
  <c r="AL270" i="29"/>
  <c r="AM270" i="29"/>
  <c r="AN270" i="29"/>
  <c r="AO270" i="29"/>
  <c r="AF271" i="29"/>
  <c r="AG271" i="29"/>
  <c r="AH271" i="29"/>
  <c r="AI271" i="29"/>
  <c r="AJ271" i="29"/>
  <c r="AK271" i="29"/>
  <c r="AL271" i="29"/>
  <c r="AM271" i="29"/>
  <c r="AN271" i="29"/>
  <c r="AO271" i="29"/>
  <c r="AF272" i="29"/>
  <c r="AG272" i="29"/>
  <c r="AH272" i="29"/>
  <c r="AI272" i="29"/>
  <c r="AJ272" i="29"/>
  <c r="AK272" i="29"/>
  <c r="AL272" i="29"/>
  <c r="AM272" i="29"/>
  <c r="AN272" i="29"/>
  <c r="AO272" i="29"/>
  <c r="AF273" i="29"/>
  <c r="AG273" i="29"/>
  <c r="AH273" i="29"/>
  <c r="AI273" i="29"/>
  <c r="AJ273" i="29"/>
  <c r="AK273" i="29"/>
  <c r="AL273" i="29"/>
  <c r="AM273" i="29"/>
  <c r="AN273" i="29"/>
  <c r="AO273" i="29"/>
  <c r="AF274" i="29"/>
  <c r="AG274" i="29"/>
  <c r="AH274" i="29"/>
  <c r="AI274" i="29"/>
  <c r="AJ274" i="29"/>
  <c r="AK274" i="29"/>
  <c r="AL274" i="29"/>
  <c r="AM274" i="29"/>
  <c r="AN274" i="29"/>
  <c r="AO274" i="29"/>
  <c r="AF275" i="29"/>
  <c r="AG275" i="29"/>
  <c r="AH275" i="29"/>
  <c r="AI275" i="29"/>
  <c r="AJ275" i="29"/>
  <c r="AK275" i="29"/>
  <c r="AL275" i="29"/>
  <c r="AM275" i="29"/>
  <c r="AN275" i="29"/>
  <c r="AO275" i="29"/>
  <c r="AF276" i="29"/>
  <c r="AG276" i="29"/>
  <c r="AH276" i="29"/>
  <c r="AI276" i="29"/>
  <c r="AJ276" i="29"/>
  <c r="AK276" i="29"/>
  <c r="AL276" i="29"/>
  <c r="AM276" i="29"/>
  <c r="AN276" i="29"/>
  <c r="AO276" i="29"/>
  <c r="AF277" i="29"/>
  <c r="AG277" i="29"/>
  <c r="AH277" i="29"/>
  <c r="AI277" i="29"/>
  <c r="AJ277" i="29"/>
  <c r="AK277" i="29"/>
  <c r="AL277" i="29"/>
  <c r="AM277" i="29"/>
  <c r="AN277" i="29"/>
  <c r="AO277" i="29"/>
  <c r="AF278" i="29"/>
  <c r="AG278" i="29"/>
  <c r="AH278" i="29"/>
  <c r="AI278" i="29"/>
  <c r="AJ278" i="29"/>
  <c r="AK278" i="29"/>
  <c r="AL278" i="29"/>
  <c r="AM278" i="29"/>
  <c r="AN278" i="29"/>
  <c r="AO278" i="29"/>
  <c r="AF279" i="29"/>
  <c r="AG279" i="29"/>
  <c r="AH279" i="29"/>
  <c r="AI279" i="29"/>
  <c r="AJ279" i="29"/>
  <c r="AK279" i="29"/>
  <c r="AL279" i="29"/>
  <c r="AM279" i="29"/>
  <c r="AN279" i="29"/>
  <c r="AO279" i="29"/>
  <c r="AF280" i="29"/>
  <c r="AG280" i="29"/>
  <c r="AH280" i="29"/>
  <c r="AI280" i="29"/>
  <c r="AJ280" i="29"/>
  <c r="AK280" i="29"/>
  <c r="AL280" i="29"/>
  <c r="AM280" i="29"/>
  <c r="AN280" i="29"/>
  <c r="AO280" i="29"/>
  <c r="AF281" i="29"/>
  <c r="AG281" i="29"/>
  <c r="AH281" i="29"/>
  <c r="AI281" i="29"/>
  <c r="AJ281" i="29"/>
  <c r="AK281" i="29"/>
  <c r="AL281" i="29"/>
  <c r="AM281" i="29"/>
  <c r="AN281" i="29"/>
  <c r="AO281" i="29"/>
  <c r="AF282" i="29"/>
  <c r="AG282" i="29"/>
  <c r="AH282" i="29"/>
  <c r="AI282" i="29"/>
  <c r="AJ282" i="29"/>
  <c r="AK282" i="29"/>
  <c r="AL282" i="29"/>
  <c r="AM282" i="29"/>
  <c r="AN282" i="29"/>
  <c r="AO282" i="29"/>
  <c r="AF283" i="29"/>
  <c r="AG283" i="29"/>
  <c r="AH283" i="29"/>
  <c r="AI283" i="29"/>
  <c r="AJ283" i="29"/>
  <c r="AK283" i="29"/>
  <c r="AL283" i="29"/>
  <c r="AM283" i="29"/>
  <c r="AN283" i="29"/>
  <c r="AO283" i="29"/>
  <c r="AF284" i="29"/>
  <c r="AG284" i="29"/>
  <c r="AH284" i="29"/>
  <c r="AI284" i="29"/>
  <c r="AJ284" i="29"/>
  <c r="AK284" i="29"/>
  <c r="AL284" i="29"/>
  <c r="AM284" i="29"/>
  <c r="AN284" i="29"/>
  <c r="AO284" i="29"/>
  <c r="AF285" i="29"/>
  <c r="AG285" i="29"/>
  <c r="AH285" i="29"/>
  <c r="AI285" i="29"/>
  <c r="AJ285" i="29"/>
  <c r="AK285" i="29"/>
  <c r="AL285" i="29"/>
  <c r="AM285" i="29"/>
  <c r="AN285" i="29"/>
  <c r="AO285" i="29"/>
  <c r="AF286" i="29"/>
  <c r="AG286" i="29"/>
  <c r="AH286" i="29"/>
  <c r="AI286" i="29"/>
  <c r="AJ286" i="29"/>
  <c r="AK286" i="29"/>
  <c r="AL286" i="29"/>
  <c r="AM286" i="29"/>
  <c r="AN286" i="29"/>
  <c r="AO286" i="29"/>
  <c r="AF287" i="29"/>
  <c r="AG287" i="29"/>
  <c r="AH287" i="29"/>
  <c r="AI287" i="29"/>
  <c r="AJ287" i="29"/>
  <c r="AK287" i="29"/>
  <c r="AL287" i="29"/>
  <c r="AM287" i="29"/>
  <c r="AN287" i="29"/>
  <c r="AO287" i="29"/>
  <c r="AF288" i="29"/>
  <c r="AG288" i="29"/>
  <c r="AH288" i="29"/>
  <c r="AI288" i="29"/>
  <c r="AJ288" i="29"/>
  <c r="AK288" i="29"/>
  <c r="AL288" i="29"/>
  <c r="AM288" i="29"/>
  <c r="AN288" i="29"/>
  <c r="AO288" i="29"/>
  <c r="AF289" i="29"/>
  <c r="AG289" i="29"/>
  <c r="AH289" i="29"/>
  <c r="AI289" i="29"/>
  <c r="AJ289" i="29"/>
  <c r="AK289" i="29"/>
  <c r="AL289" i="29"/>
  <c r="AM289" i="29"/>
  <c r="AN289" i="29"/>
  <c r="AO289" i="29"/>
  <c r="AF290" i="29"/>
  <c r="AG290" i="29"/>
  <c r="AH290" i="29"/>
  <c r="AI290" i="29"/>
  <c r="AJ290" i="29"/>
  <c r="AK290" i="29"/>
  <c r="AL290" i="29"/>
  <c r="AM290" i="29"/>
  <c r="AN290" i="29"/>
  <c r="AO290" i="29"/>
  <c r="AF291" i="29"/>
  <c r="AG291" i="29"/>
  <c r="AH291" i="29"/>
  <c r="AI291" i="29"/>
  <c r="AJ291" i="29"/>
  <c r="AK291" i="29"/>
  <c r="AL291" i="29"/>
  <c r="AM291" i="29"/>
  <c r="AN291" i="29"/>
  <c r="AO291" i="29"/>
  <c r="AF292" i="29"/>
  <c r="AG292" i="29"/>
  <c r="AH292" i="29"/>
  <c r="AI292" i="29"/>
  <c r="AJ292" i="29"/>
  <c r="AK292" i="29"/>
  <c r="AL292" i="29"/>
  <c r="AM292" i="29"/>
  <c r="AN292" i="29"/>
  <c r="AO292" i="29"/>
  <c r="AF293" i="29"/>
  <c r="AG293" i="29"/>
  <c r="AH293" i="29"/>
  <c r="AI293" i="29"/>
  <c r="AJ293" i="29"/>
  <c r="AK293" i="29"/>
  <c r="AL293" i="29"/>
  <c r="AM293" i="29"/>
  <c r="AN293" i="29"/>
  <c r="AO293" i="29"/>
  <c r="AF294" i="29"/>
  <c r="AG294" i="29"/>
  <c r="AH294" i="29"/>
  <c r="AI294" i="29"/>
  <c r="AJ294" i="29"/>
  <c r="AK294" i="29"/>
  <c r="AL294" i="29"/>
  <c r="AM294" i="29"/>
  <c r="AN294" i="29"/>
  <c r="AO294" i="29"/>
  <c r="AF295" i="29"/>
  <c r="AG295" i="29"/>
  <c r="AH295" i="29"/>
  <c r="AI295" i="29"/>
  <c r="AJ295" i="29"/>
  <c r="AK295" i="29"/>
  <c r="AL295" i="29"/>
  <c r="AM295" i="29"/>
  <c r="AN295" i="29"/>
  <c r="AO295" i="29"/>
  <c r="AF296" i="29"/>
  <c r="AG296" i="29"/>
  <c r="AH296" i="29"/>
  <c r="AI296" i="29"/>
  <c r="AJ296" i="29"/>
  <c r="AK296" i="29"/>
  <c r="AL296" i="29"/>
  <c r="AM296" i="29"/>
  <c r="AN296" i="29"/>
  <c r="AO296" i="29"/>
  <c r="AF297" i="29"/>
  <c r="AG297" i="29"/>
  <c r="AH297" i="29"/>
  <c r="AI297" i="29"/>
  <c r="AJ297" i="29"/>
  <c r="AK297" i="29"/>
  <c r="AL297" i="29"/>
  <c r="AM297" i="29"/>
  <c r="AN297" i="29"/>
  <c r="AO297" i="29"/>
  <c r="AF298" i="29"/>
  <c r="AG298" i="29"/>
  <c r="AH298" i="29"/>
  <c r="AI298" i="29"/>
  <c r="AJ298" i="29"/>
  <c r="AK298" i="29"/>
  <c r="AL298" i="29"/>
  <c r="AM298" i="29"/>
  <c r="AN298" i="29"/>
  <c r="AO298" i="29"/>
  <c r="AF299" i="29"/>
  <c r="AG299" i="29"/>
  <c r="AH299" i="29"/>
  <c r="AI299" i="29"/>
  <c r="AJ299" i="29"/>
  <c r="AK299" i="29"/>
  <c r="AL299" i="29"/>
  <c r="AM299" i="29"/>
  <c r="AN299" i="29"/>
  <c r="AO299" i="29"/>
  <c r="AF300" i="29"/>
  <c r="AG300" i="29"/>
  <c r="AH300" i="29"/>
  <c r="AI300" i="29"/>
  <c r="AJ300" i="29"/>
  <c r="AK300" i="29"/>
  <c r="AL300" i="29"/>
  <c r="AM300" i="29"/>
  <c r="AN300" i="29"/>
  <c r="AO300" i="29"/>
  <c r="AF301" i="29"/>
  <c r="AG301" i="29"/>
  <c r="AH301" i="29"/>
  <c r="AI301" i="29"/>
  <c r="AJ301" i="29"/>
  <c r="AK301" i="29"/>
  <c r="AL301" i="29"/>
  <c r="AM301" i="29"/>
  <c r="AN301" i="29"/>
  <c r="AO301" i="29"/>
  <c r="AF302" i="29"/>
  <c r="AG302" i="29"/>
  <c r="AH302" i="29"/>
  <c r="AI302" i="29"/>
  <c r="AJ302" i="29"/>
  <c r="AK302" i="29"/>
  <c r="AL302" i="29"/>
  <c r="AM302" i="29"/>
  <c r="AN302" i="29"/>
  <c r="AO302" i="29"/>
  <c r="AF303" i="29"/>
  <c r="AG303" i="29"/>
  <c r="AH303" i="29"/>
  <c r="AI303" i="29"/>
  <c r="AJ303" i="29"/>
  <c r="AK303" i="29"/>
  <c r="AL303" i="29"/>
  <c r="AM303" i="29"/>
  <c r="AN303" i="29"/>
  <c r="AO303" i="29"/>
  <c r="AF304" i="29"/>
  <c r="AG304" i="29"/>
  <c r="AH304" i="29"/>
  <c r="AI304" i="29"/>
  <c r="AJ304" i="29"/>
  <c r="AK304" i="29"/>
  <c r="AL304" i="29"/>
  <c r="AM304" i="29"/>
  <c r="AN304" i="29"/>
  <c r="AO304" i="29"/>
  <c r="AF305" i="29"/>
  <c r="AG305" i="29"/>
  <c r="AH305" i="29"/>
  <c r="AI305" i="29"/>
  <c r="AJ305" i="29"/>
  <c r="AK305" i="29"/>
  <c r="AL305" i="29"/>
  <c r="AM305" i="29"/>
  <c r="AN305" i="29"/>
  <c r="AO305" i="29"/>
  <c r="AF306" i="29"/>
  <c r="AG306" i="29"/>
  <c r="AH306" i="29"/>
  <c r="AI306" i="29"/>
  <c r="AJ306" i="29"/>
  <c r="AK306" i="29"/>
  <c r="AL306" i="29"/>
  <c r="AM306" i="29"/>
  <c r="AN306" i="29"/>
  <c r="AO306" i="29"/>
  <c r="AF307" i="29"/>
  <c r="AG307" i="29"/>
  <c r="AH307" i="29"/>
  <c r="AI307" i="29"/>
  <c r="AJ307" i="29"/>
  <c r="AK307" i="29"/>
  <c r="AL307" i="29"/>
  <c r="AM307" i="29"/>
  <c r="AN307" i="29"/>
  <c r="AO307" i="29"/>
  <c r="AF308" i="29"/>
  <c r="AG308" i="29"/>
  <c r="AH308" i="29"/>
  <c r="AI308" i="29"/>
  <c r="AJ308" i="29"/>
  <c r="AK308" i="29"/>
  <c r="AL308" i="29"/>
  <c r="AM308" i="29"/>
  <c r="AN308" i="29"/>
  <c r="AO308" i="29"/>
  <c r="AF309" i="29"/>
  <c r="AG309" i="29"/>
  <c r="AH309" i="29"/>
  <c r="AI309" i="29"/>
  <c r="AJ309" i="29"/>
  <c r="AK309" i="29"/>
  <c r="AL309" i="29"/>
  <c r="AM309" i="29"/>
  <c r="AN309" i="29"/>
  <c r="AO309" i="29"/>
  <c r="AF310" i="29"/>
  <c r="AG310" i="29"/>
  <c r="AH310" i="29"/>
  <c r="AI310" i="29"/>
  <c r="AJ310" i="29"/>
  <c r="AK310" i="29"/>
  <c r="AL310" i="29"/>
  <c r="AM310" i="29"/>
  <c r="AN310" i="29"/>
  <c r="AO310" i="29"/>
  <c r="AF311" i="29"/>
  <c r="AG311" i="29"/>
  <c r="AH311" i="29"/>
  <c r="AI311" i="29"/>
  <c r="AJ311" i="29"/>
  <c r="AK311" i="29"/>
  <c r="AL311" i="29"/>
  <c r="AM311" i="29"/>
  <c r="AN311" i="29"/>
  <c r="AO311" i="29"/>
  <c r="AF312" i="29"/>
  <c r="AG312" i="29"/>
  <c r="AH312" i="29"/>
  <c r="AI312" i="29"/>
  <c r="AJ312" i="29"/>
  <c r="AK312" i="29"/>
  <c r="AL312" i="29"/>
  <c r="AM312" i="29"/>
  <c r="AN312" i="29"/>
  <c r="AO312" i="29"/>
  <c r="AF313" i="29"/>
  <c r="AG313" i="29"/>
  <c r="AH313" i="29"/>
  <c r="AI313" i="29"/>
  <c r="AJ313" i="29"/>
  <c r="AK313" i="29"/>
  <c r="AL313" i="29"/>
  <c r="AM313" i="29"/>
  <c r="AN313" i="29"/>
  <c r="AO313" i="29"/>
  <c r="AF314" i="29"/>
  <c r="AG314" i="29"/>
  <c r="AH314" i="29"/>
  <c r="AI314" i="29"/>
  <c r="AJ314" i="29"/>
  <c r="AK314" i="29"/>
  <c r="AL314" i="29"/>
  <c r="AM314" i="29"/>
  <c r="AN314" i="29"/>
  <c r="AO314" i="29"/>
  <c r="AF315" i="29"/>
  <c r="AG315" i="29"/>
  <c r="AH315" i="29"/>
  <c r="AI315" i="29"/>
  <c r="AJ315" i="29"/>
  <c r="AK315" i="29"/>
  <c r="AL315" i="29"/>
  <c r="AM315" i="29"/>
  <c r="AN315" i="29"/>
  <c r="AO315" i="29"/>
  <c r="AF316" i="29"/>
  <c r="AG316" i="29"/>
  <c r="AH316" i="29"/>
  <c r="AI316" i="29"/>
  <c r="AJ316" i="29"/>
  <c r="AK316" i="29"/>
  <c r="AL316" i="29"/>
  <c r="AM316" i="29"/>
  <c r="AN316" i="29"/>
  <c r="AO316" i="29"/>
  <c r="AF317" i="29"/>
  <c r="AG317" i="29"/>
  <c r="AH317" i="29"/>
  <c r="AI317" i="29"/>
  <c r="AJ317" i="29"/>
  <c r="AK317" i="29"/>
  <c r="AL317" i="29"/>
  <c r="AM317" i="29"/>
  <c r="AN317" i="29"/>
  <c r="AO317" i="29"/>
  <c r="AF318" i="29"/>
  <c r="AG318" i="29"/>
  <c r="AH318" i="29"/>
  <c r="AI318" i="29"/>
  <c r="AJ318" i="29"/>
  <c r="AK318" i="29"/>
  <c r="AL318" i="29"/>
  <c r="AM318" i="29"/>
  <c r="AN318" i="29"/>
  <c r="AO318" i="29"/>
  <c r="AF319" i="29"/>
  <c r="AG319" i="29"/>
  <c r="AH319" i="29"/>
  <c r="AI319" i="29"/>
  <c r="AJ319" i="29"/>
  <c r="AK319" i="29"/>
  <c r="AL319" i="29"/>
  <c r="AM319" i="29"/>
  <c r="AN319" i="29"/>
  <c r="AO319" i="29"/>
  <c r="AF320" i="29"/>
  <c r="AG320" i="29"/>
  <c r="AH320" i="29"/>
  <c r="AI320" i="29"/>
  <c r="AJ320" i="29"/>
  <c r="AK320" i="29"/>
  <c r="AL320" i="29"/>
  <c r="AM320" i="29"/>
  <c r="AN320" i="29"/>
  <c r="AO320" i="29"/>
  <c r="AF321" i="29"/>
  <c r="AG321" i="29"/>
  <c r="AH321" i="29"/>
  <c r="AI321" i="29"/>
  <c r="AJ321" i="29"/>
  <c r="AK321" i="29"/>
  <c r="AL321" i="29"/>
  <c r="AM321" i="29"/>
  <c r="AN321" i="29"/>
  <c r="AO321" i="29"/>
  <c r="AF322" i="29"/>
  <c r="AG322" i="29"/>
  <c r="AH322" i="29"/>
  <c r="AI322" i="29"/>
  <c r="AJ322" i="29"/>
  <c r="AK322" i="29"/>
  <c r="AL322" i="29"/>
  <c r="AM322" i="29"/>
  <c r="AN322" i="29"/>
  <c r="AO322" i="29"/>
  <c r="AF323" i="29"/>
  <c r="AG323" i="29"/>
  <c r="AH323" i="29"/>
  <c r="AI323" i="29"/>
  <c r="AJ323" i="29"/>
  <c r="AK323" i="29"/>
  <c r="AL323" i="29"/>
  <c r="AM323" i="29"/>
  <c r="AN323" i="29"/>
  <c r="AO323" i="29"/>
  <c r="AF324" i="29"/>
  <c r="AG324" i="29"/>
  <c r="AH324" i="29"/>
  <c r="AI324" i="29"/>
  <c r="AJ324" i="29"/>
  <c r="AK324" i="29"/>
  <c r="AL324" i="29"/>
  <c r="AM324" i="29"/>
  <c r="AN324" i="29"/>
  <c r="AO324" i="29"/>
  <c r="AF325" i="29"/>
  <c r="AG325" i="29"/>
  <c r="AH325" i="29"/>
  <c r="AI325" i="29"/>
  <c r="AJ325" i="29"/>
  <c r="AK325" i="29"/>
  <c r="AL325" i="29"/>
  <c r="AM325" i="29"/>
  <c r="AN325" i="29"/>
  <c r="AO325" i="29"/>
  <c r="AF326" i="29"/>
  <c r="AG326" i="29"/>
  <c r="AH326" i="29"/>
  <c r="AI326" i="29"/>
  <c r="AJ326" i="29"/>
  <c r="AK326" i="29"/>
  <c r="AL326" i="29"/>
  <c r="AM326" i="29"/>
  <c r="AN326" i="29"/>
  <c r="AO326" i="29"/>
  <c r="AF327" i="29"/>
  <c r="AG327" i="29"/>
  <c r="AH327" i="29"/>
  <c r="AI327" i="29"/>
  <c r="AJ327" i="29"/>
  <c r="AK327" i="29"/>
  <c r="AL327" i="29"/>
  <c r="AM327" i="29"/>
  <c r="AN327" i="29"/>
  <c r="AO327" i="29"/>
  <c r="AF328" i="29"/>
  <c r="AG328" i="29"/>
  <c r="AH328" i="29"/>
  <c r="AI328" i="29"/>
  <c r="AJ328" i="29"/>
  <c r="AK328" i="29"/>
  <c r="AL328" i="29"/>
  <c r="AM328" i="29"/>
  <c r="AN328" i="29"/>
  <c r="AO328" i="29"/>
  <c r="AF329" i="29"/>
  <c r="AG329" i="29"/>
  <c r="AH329" i="29"/>
  <c r="AI329" i="29"/>
  <c r="AJ329" i="29"/>
  <c r="AK329" i="29"/>
  <c r="AL329" i="29"/>
  <c r="AM329" i="29"/>
  <c r="AN329" i="29"/>
  <c r="AO329" i="29"/>
  <c r="AF330" i="29"/>
  <c r="AG330" i="29"/>
  <c r="AH330" i="29"/>
  <c r="AI330" i="29"/>
  <c r="AJ330" i="29"/>
  <c r="AK330" i="29"/>
  <c r="AL330" i="29"/>
  <c r="AM330" i="29"/>
  <c r="AN330" i="29"/>
  <c r="AO330" i="29"/>
  <c r="AF331" i="29"/>
  <c r="AG331" i="29"/>
  <c r="AH331" i="29"/>
  <c r="AI331" i="29"/>
  <c r="AJ331" i="29"/>
  <c r="AK331" i="29"/>
  <c r="AL331" i="29"/>
  <c r="AM331" i="29"/>
  <c r="AN331" i="29"/>
  <c r="AO331" i="29"/>
  <c r="AF332" i="29"/>
  <c r="AG332" i="29"/>
  <c r="AH332" i="29"/>
  <c r="AI332" i="29"/>
  <c r="AJ332" i="29"/>
  <c r="AK332" i="29"/>
  <c r="AL332" i="29"/>
  <c r="AM332" i="29"/>
  <c r="AN332" i="29"/>
  <c r="AO332" i="29"/>
  <c r="AF333" i="29"/>
  <c r="AG333" i="29"/>
  <c r="AH333" i="29"/>
  <c r="AI333" i="29"/>
  <c r="AJ333" i="29"/>
  <c r="AK333" i="29"/>
  <c r="AL333" i="29"/>
  <c r="AM333" i="29"/>
  <c r="AN333" i="29"/>
  <c r="AO333" i="29"/>
  <c r="AF334" i="29"/>
  <c r="AG334" i="29"/>
  <c r="AH334" i="29"/>
  <c r="AI334" i="29"/>
  <c r="AJ334" i="29"/>
  <c r="AK334" i="29"/>
  <c r="AL334" i="29"/>
  <c r="AM334" i="29"/>
  <c r="AN334" i="29"/>
  <c r="AO334" i="29"/>
  <c r="AF335" i="29"/>
  <c r="AG335" i="29"/>
  <c r="AH335" i="29"/>
  <c r="AI335" i="29"/>
  <c r="AJ335" i="29"/>
  <c r="AK335" i="29"/>
  <c r="AL335" i="29"/>
  <c r="AM335" i="29"/>
  <c r="AN335" i="29"/>
  <c r="AO335" i="29"/>
  <c r="AF336" i="29"/>
  <c r="AG336" i="29"/>
  <c r="AH336" i="29"/>
  <c r="AI336" i="29"/>
  <c r="AJ336" i="29"/>
  <c r="AK336" i="29"/>
  <c r="AL336" i="29"/>
  <c r="AM336" i="29"/>
  <c r="AN336" i="29"/>
  <c r="AO336" i="29"/>
  <c r="AF337" i="29"/>
  <c r="AG337" i="29"/>
  <c r="AH337" i="29"/>
  <c r="AI337" i="29"/>
  <c r="AJ337" i="29"/>
  <c r="AK337" i="29"/>
  <c r="AL337" i="29"/>
  <c r="AM337" i="29"/>
  <c r="AN337" i="29"/>
  <c r="AO337" i="29"/>
  <c r="AF338" i="29"/>
  <c r="AG338" i="29"/>
  <c r="AH338" i="29"/>
  <c r="AI338" i="29"/>
  <c r="AJ338" i="29"/>
  <c r="AK338" i="29"/>
  <c r="AL338" i="29"/>
  <c r="AM338" i="29"/>
  <c r="AN338" i="29"/>
  <c r="AO338" i="29"/>
  <c r="AF339" i="29"/>
  <c r="AG339" i="29"/>
  <c r="AH339" i="29"/>
  <c r="AI339" i="29"/>
  <c r="AJ339" i="29"/>
  <c r="AK339" i="29"/>
  <c r="AL339" i="29"/>
  <c r="AM339" i="29"/>
  <c r="AN339" i="29"/>
  <c r="AO339" i="29"/>
  <c r="AF340" i="29"/>
  <c r="AG340" i="29"/>
  <c r="AH340" i="29"/>
  <c r="AI340" i="29"/>
  <c r="AJ340" i="29"/>
  <c r="AK340" i="29"/>
  <c r="AL340" i="29"/>
  <c r="AM340" i="29"/>
  <c r="AN340" i="29"/>
  <c r="AO340" i="29"/>
  <c r="AF341" i="29"/>
  <c r="AG341" i="29"/>
  <c r="AH341" i="29"/>
  <c r="AI341" i="29"/>
  <c r="AJ341" i="29"/>
  <c r="AK341" i="29"/>
  <c r="AL341" i="29"/>
  <c r="AM341" i="29"/>
  <c r="AN341" i="29"/>
  <c r="AO341" i="29"/>
  <c r="AF342" i="29"/>
  <c r="AG342" i="29"/>
  <c r="AH342" i="29"/>
  <c r="AI342" i="29"/>
  <c r="AJ342" i="29"/>
  <c r="AK342" i="29"/>
  <c r="AL342" i="29"/>
  <c r="AM342" i="29"/>
  <c r="AN342" i="29"/>
  <c r="AO342" i="29"/>
  <c r="AF343" i="29"/>
  <c r="AG343" i="29"/>
  <c r="AH343" i="29"/>
  <c r="AI343" i="29"/>
  <c r="AJ343" i="29"/>
  <c r="AK343" i="29"/>
  <c r="AL343" i="29"/>
  <c r="AM343" i="29"/>
  <c r="AN343" i="29"/>
  <c r="AO343" i="29"/>
  <c r="AF344" i="29"/>
  <c r="AG344" i="29"/>
  <c r="AH344" i="29"/>
  <c r="AI344" i="29"/>
  <c r="AJ344" i="29"/>
  <c r="AK344" i="29"/>
  <c r="AL344" i="29"/>
  <c r="AM344" i="29"/>
  <c r="AN344" i="29"/>
  <c r="AO344" i="29"/>
  <c r="AF345" i="29"/>
  <c r="AG345" i="29"/>
  <c r="AH345" i="29"/>
  <c r="AI345" i="29"/>
  <c r="AJ345" i="29"/>
  <c r="AK345" i="29"/>
  <c r="AL345" i="29"/>
  <c r="AM345" i="29"/>
  <c r="AN345" i="29"/>
  <c r="AO345" i="29"/>
  <c r="AF346" i="29"/>
  <c r="AG346" i="29"/>
  <c r="AH346" i="29"/>
  <c r="AI346" i="29"/>
  <c r="AJ346" i="29"/>
  <c r="AK346" i="29"/>
  <c r="AL346" i="29"/>
  <c r="AM346" i="29"/>
  <c r="AN346" i="29"/>
  <c r="AO346" i="29"/>
  <c r="AF347" i="29"/>
  <c r="AG347" i="29"/>
  <c r="AH347" i="29"/>
  <c r="AI347" i="29"/>
  <c r="AJ347" i="29"/>
  <c r="AK347" i="29"/>
  <c r="AL347" i="29"/>
  <c r="AM347" i="29"/>
  <c r="AN347" i="29"/>
  <c r="AO347" i="29"/>
  <c r="AF348" i="29"/>
  <c r="AG348" i="29"/>
  <c r="AH348" i="29"/>
  <c r="AI348" i="29"/>
  <c r="AJ348" i="29"/>
  <c r="AK348" i="29"/>
  <c r="AL348" i="29"/>
  <c r="AM348" i="29"/>
  <c r="AN348" i="29"/>
  <c r="AO348" i="29"/>
  <c r="AF349" i="29"/>
  <c r="AG349" i="29"/>
  <c r="AH349" i="29"/>
  <c r="AI349" i="29"/>
  <c r="AJ349" i="29"/>
  <c r="AK349" i="29"/>
  <c r="AL349" i="29"/>
  <c r="AM349" i="29"/>
  <c r="AN349" i="29"/>
  <c r="AO349" i="29"/>
  <c r="AF350" i="29"/>
  <c r="AG350" i="29"/>
  <c r="AH350" i="29"/>
  <c r="AI350" i="29"/>
  <c r="AJ350" i="29"/>
  <c r="AK350" i="29"/>
  <c r="AL350" i="29"/>
  <c r="AM350" i="29"/>
  <c r="AN350" i="29"/>
  <c r="AO350" i="29"/>
  <c r="AF351" i="29"/>
  <c r="AG351" i="29"/>
  <c r="AH351" i="29"/>
  <c r="AI351" i="29"/>
  <c r="AJ351" i="29"/>
  <c r="AK351" i="29"/>
  <c r="AL351" i="29"/>
  <c r="AM351" i="29"/>
  <c r="AN351" i="29"/>
  <c r="AO351" i="29"/>
  <c r="AF352" i="29"/>
  <c r="AG352" i="29"/>
  <c r="AH352" i="29"/>
  <c r="AI352" i="29"/>
  <c r="AJ352" i="29"/>
  <c r="AK352" i="29"/>
  <c r="AL352" i="29"/>
  <c r="AM352" i="29"/>
  <c r="AN352" i="29"/>
  <c r="AO352" i="29"/>
  <c r="AF353" i="29"/>
  <c r="AG353" i="29"/>
  <c r="AH353" i="29"/>
  <c r="AI353" i="29"/>
  <c r="AJ353" i="29"/>
  <c r="AK353" i="29"/>
  <c r="AL353" i="29"/>
  <c r="AM353" i="29"/>
  <c r="AN353" i="29"/>
  <c r="AO353" i="29"/>
  <c r="AF354" i="29"/>
  <c r="AG354" i="29"/>
  <c r="AH354" i="29"/>
  <c r="AI354" i="29"/>
  <c r="AJ354" i="29"/>
  <c r="AK354" i="29"/>
  <c r="AL354" i="29"/>
  <c r="AM354" i="29"/>
  <c r="AN354" i="29"/>
  <c r="AO354" i="29"/>
  <c r="AF355" i="29"/>
  <c r="AG355" i="29"/>
  <c r="AH355" i="29"/>
  <c r="AI355" i="29"/>
  <c r="AJ355" i="29"/>
  <c r="AK355" i="29"/>
  <c r="AL355" i="29"/>
  <c r="AM355" i="29"/>
  <c r="AN355" i="29"/>
  <c r="AO355" i="29"/>
  <c r="AF356" i="29"/>
  <c r="AG356" i="29"/>
  <c r="AH356" i="29"/>
  <c r="AI356" i="29"/>
  <c r="AJ356" i="29"/>
  <c r="AK356" i="29"/>
  <c r="AL356" i="29"/>
  <c r="AM356" i="29"/>
  <c r="AN356" i="29"/>
  <c r="AO356" i="29"/>
  <c r="AF357" i="29"/>
  <c r="AG357" i="29"/>
  <c r="AH357" i="29"/>
  <c r="AI357" i="29"/>
  <c r="AJ357" i="29"/>
  <c r="AK357" i="29"/>
  <c r="AL357" i="29"/>
  <c r="AM357" i="29"/>
  <c r="AN357" i="29"/>
  <c r="AO357" i="29"/>
  <c r="AF358" i="29"/>
  <c r="AG358" i="29"/>
  <c r="AH358" i="29"/>
  <c r="AI358" i="29"/>
  <c r="AJ358" i="29"/>
  <c r="AK358" i="29"/>
  <c r="AL358" i="29"/>
  <c r="AM358" i="29"/>
  <c r="AN358" i="29"/>
  <c r="AO358" i="29"/>
  <c r="AF359" i="29"/>
  <c r="AG359" i="29"/>
  <c r="AH359" i="29"/>
  <c r="AI359" i="29"/>
  <c r="AJ359" i="29"/>
  <c r="AK359" i="29"/>
  <c r="AL359" i="29"/>
  <c r="AM359" i="29"/>
  <c r="AN359" i="29"/>
  <c r="AO359" i="29"/>
  <c r="AF360" i="29"/>
  <c r="AG360" i="29"/>
  <c r="AH360" i="29"/>
  <c r="AI360" i="29"/>
  <c r="AJ360" i="29"/>
  <c r="AK360" i="29"/>
  <c r="AL360" i="29"/>
  <c r="AM360" i="29"/>
  <c r="AN360" i="29"/>
  <c r="AO360" i="29"/>
  <c r="AF361" i="29"/>
  <c r="AG361" i="29"/>
  <c r="AH361" i="29"/>
  <c r="AI361" i="29"/>
  <c r="AJ361" i="29"/>
  <c r="AK361" i="29"/>
  <c r="AL361" i="29"/>
  <c r="AM361" i="29"/>
  <c r="AN361" i="29"/>
  <c r="AO361" i="29"/>
  <c r="AF362" i="29"/>
  <c r="AG362" i="29"/>
  <c r="AH362" i="29"/>
  <c r="AI362" i="29"/>
  <c r="AJ362" i="29"/>
  <c r="AK362" i="29"/>
  <c r="AL362" i="29"/>
  <c r="AM362" i="29"/>
  <c r="AN362" i="29"/>
  <c r="AO362" i="29"/>
  <c r="AF363" i="29"/>
  <c r="AG363" i="29"/>
  <c r="AH363" i="29"/>
  <c r="AI363" i="29"/>
  <c r="AJ363" i="29"/>
  <c r="AK363" i="29"/>
  <c r="AL363" i="29"/>
  <c r="AM363" i="29"/>
  <c r="AN363" i="29"/>
  <c r="AO363" i="29"/>
  <c r="AF364" i="29"/>
  <c r="AG364" i="29"/>
  <c r="AH364" i="29"/>
  <c r="AI364" i="29"/>
  <c r="AJ364" i="29"/>
  <c r="AK364" i="29"/>
  <c r="AL364" i="29"/>
  <c r="AM364" i="29"/>
  <c r="AN364" i="29"/>
  <c r="AO364" i="29"/>
  <c r="AF365" i="29"/>
  <c r="AG365" i="29"/>
  <c r="AH365" i="29"/>
  <c r="AI365" i="29"/>
  <c r="AJ365" i="29"/>
  <c r="AK365" i="29"/>
  <c r="AL365" i="29"/>
  <c r="AM365" i="29"/>
  <c r="AN365" i="29"/>
  <c r="AO365" i="29"/>
  <c r="AF366" i="29"/>
  <c r="AG366" i="29"/>
  <c r="AH366" i="29"/>
  <c r="AI366" i="29"/>
  <c r="AJ366" i="29"/>
  <c r="AK366" i="29"/>
  <c r="AL366" i="29"/>
  <c r="AM366" i="29"/>
  <c r="AN366" i="29"/>
  <c r="AO366" i="29"/>
  <c r="AF367" i="29"/>
  <c r="AG367" i="29"/>
  <c r="AH367" i="29"/>
  <c r="AI367" i="29"/>
  <c r="AJ367" i="29"/>
  <c r="AK367" i="29"/>
  <c r="AL367" i="29"/>
  <c r="AM367" i="29"/>
  <c r="AN367" i="29"/>
  <c r="AO367" i="29"/>
  <c r="AF368" i="29"/>
  <c r="AG368" i="29"/>
  <c r="AH368" i="29"/>
  <c r="AI368" i="29"/>
  <c r="AJ368" i="29"/>
  <c r="AK368" i="29"/>
  <c r="AL368" i="29"/>
  <c r="AM368" i="29"/>
  <c r="AN368" i="29"/>
  <c r="AO368" i="29"/>
  <c r="AO3" i="29"/>
  <c r="AN3" i="29"/>
  <c r="AM3" i="29"/>
  <c r="AL3" i="29"/>
  <c r="AK3" i="29"/>
  <c r="AJ3" i="29"/>
  <c r="AI3" i="29"/>
  <c r="AH3" i="29"/>
  <c r="AG3" i="29"/>
  <c r="AF3" i="29" l="1"/>
  <c r="DT4" i="29" l="1"/>
  <c r="DU4" i="29"/>
  <c r="DX4" i="29"/>
  <c r="DR5" i="29"/>
  <c r="DS5" i="29"/>
  <c r="DV5" i="29"/>
  <c r="DW5" i="29"/>
  <c r="DZ5" i="29"/>
  <c r="EA5" i="29"/>
  <c r="DT6" i="29"/>
  <c r="DU6" i="29"/>
  <c r="DX6" i="29"/>
  <c r="DY6" i="29"/>
  <c r="DR7" i="29"/>
  <c r="DS7" i="29"/>
  <c r="DV7" i="29"/>
  <c r="DW7" i="29"/>
  <c r="DZ7" i="29"/>
  <c r="EA7" i="29"/>
  <c r="DT8" i="29"/>
  <c r="DU8" i="29"/>
  <c r="DX8" i="29"/>
  <c r="DR9" i="29"/>
  <c r="DS9" i="29"/>
  <c r="DV9" i="29"/>
  <c r="DW9" i="29"/>
  <c r="DZ9" i="29"/>
  <c r="DT10" i="29"/>
  <c r="DU10" i="29"/>
  <c r="DX10" i="29"/>
  <c r="DY10" i="29"/>
  <c r="DR11" i="29"/>
  <c r="DV11" i="29"/>
  <c r="DW11" i="29"/>
  <c r="DZ11" i="29"/>
  <c r="EA11" i="29"/>
  <c r="DT12" i="29"/>
  <c r="DU12" i="29"/>
  <c r="DX12" i="29"/>
  <c r="DY12" i="29"/>
  <c r="DR13" i="29"/>
  <c r="DS13" i="29"/>
  <c r="DV13" i="29"/>
  <c r="DW13" i="29"/>
  <c r="DZ13" i="29"/>
  <c r="EA13" i="29"/>
  <c r="DT14" i="29"/>
  <c r="DU14" i="29"/>
  <c r="DX14" i="29"/>
  <c r="DY14" i="29"/>
  <c r="DR15" i="29"/>
  <c r="DV15" i="29"/>
  <c r="DW15" i="29"/>
  <c r="DZ15" i="29"/>
  <c r="EA15" i="29"/>
  <c r="DT16" i="29"/>
  <c r="DX16" i="29"/>
  <c r="DY16" i="29"/>
  <c r="DR17" i="29"/>
  <c r="DS17" i="29"/>
  <c r="DV17" i="29"/>
  <c r="DZ17" i="29"/>
  <c r="EA17" i="29"/>
  <c r="DT18" i="29"/>
  <c r="DU18" i="29"/>
  <c r="DX18" i="29"/>
  <c r="DY18" i="29"/>
  <c r="DR19" i="29"/>
  <c r="DS19" i="29"/>
  <c r="DV19" i="29"/>
  <c r="DW19" i="29"/>
  <c r="DZ19" i="29"/>
  <c r="EA19" i="29"/>
  <c r="DT20" i="29"/>
  <c r="DU20" i="29"/>
  <c r="DX20" i="29"/>
  <c r="DY20" i="29"/>
  <c r="DR21" i="29"/>
  <c r="DS21" i="29"/>
  <c r="DV21" i="29"/>
  <c r="DZ21" i="29"/>
  <c r="EA21" i="29"/>
  <c r="DT22" i="29"/>
  <c r="DU22" i="29"/>
  <c r="DX22" i="29"/>
  <c r="DR23" i="29"/>
  <c r="DS23" i="29"/>
  <c r="DV23" i="29"/>
  <c r="DW23" i="29"/>
  <c r="DZ23" i="29"/>
  <c r="DT24" i="29"/>
  <c r="DU24" i="29"/>
  <c r="DX24" i="29"/>
  <c r="DY24" i="29"/>
  <c r="DR25" i="29"/>
  <c r="DS25" i="29"/>
  <c r="DV25" i="29"/>
  <c r="DW25" i="29"/>
  <c r="DZ25" i="29"/>
  <c r="EA25" i="29"/>
  <c r="DT26" i="29"/>
  <c r="DU26" i="29"/>
  <c r="DX26" i="29"/>
  <c r="DY26" i="29"/>
  <c r="DR27" i="29"/>
  <c r="DS27" i="29"/>
  <c r="DV27" i="29"/>
  <c r="DW27" i="29"/>
  <c r="DZ27" i="29"/>
  <c r="DT28" i="29"/>
  <c r="DU28" i="29"/>
  <c r="DX28" i="29"/>
  <c r="DY28" i="29"/>
  <c r="DR29" i="29"/>
  <c r="DV29" i="29"/>
  <c r="DW29" i="29"/>
  <c r="DZ29" i="29"/>
  <c r="EA29" i="29"/>
  <c r="DT30" i="29"/>
  <c r="DX30" i="29"/>
  <c r="DY30" i="29"/>
  <c r="DR31" i="29"/>
  <c r="DS31" i="29"/>
  <c r="DV31" i="29"/>
  <c r="DW31" i="29"/>
  <c r="DZ31" i="29"/>
  <c r="EA31" i="29"/>
  <c r="DT32" i="29"/>
  <c r="DU32" i="29"/>
  <c r="DX32" i="29"/>
  <c r="DY32" i="29"/>
  <c r="DR33" i="29"/>
  <c r="DS33" i="29"/>
  <c r="DV33" i="29"/>
  <c r="DW33" i="29"/>
  <c r="DZ33" i="29"/>
  <c r="EA33" i="29"/>
  <c r="DT34" i="29"/>
  <c r="DX34" i="29"/>
  <c r="DY34" i="29"/>
  <c r="DR35" i="29"/>
  <c r="DS35" i="29"/>
  <c r="DV35" i="29"/>
  <c r="DZ35" i="29"/>
  <c r="EA35" i="29"/>
  <c r="DT36" i="29"/>
  <c r="DU36" i="29"/>
  <c r="DX36" i="29"/>
  <c r="DR37" i="29"/>
  <c r="DS37" i="29"/>
  <c r="DV37" i="29"/>
  <c r="DW37" i="29"/>
  <c r="DZ37" i="29"/>
  <c r="EA37" i="29"/>
  <c r="DU38" i="29"/>
  <c r="DY38" i="29"/>
  <c r="DS39" i="29"/>
  <c r="DW39" i="29"/>
  <c r="EA39" i="29"/>
  <c r="DU40" i="29"/>
  <c r="DY40" i="29"/>
  <c r="DS41" i="29"/>
  <c r="DW41" i="29"/>
  <c r="EA41" i="29"/>
  <c r="DU42" i="29"/>
  <c r="DY42" i="29"/>
  <c r="DS43" i="29"/>
  <c r="DW43" i="29"/>
  <c r="EA43" i="29"/>
  <c r="DU44" i="29"/>
  <c r="DY44" i="29"/>
  <c r="DS45" i="29"/>
  <c r="DW45" i="29"/>
  <c r="EA45" i="29"/>
  <c r="DU46" i="29"/>
  <c r="DY46" i="29"/>
  <c r="DS47" i="29"/>
  <c r="DW47" i="29"/>
  <c r="EA47" i="29"/>
  <c r="DU48" i="29"/>
  <c r="DY48" i="29"/>
  <c r="DS49" i="29"/>
  <c r="DW49" i="29"/>
  <c r="EA49" i="29"/>
  <c r="DU50" i="29"/>
  <c r="DY50" i="29"/>
  <c r="DS51" i="29"/>
  <c r="DW51" i="29"/>
  <c r="EA51" i="29"/>
  <c r="DU52" i="29"/>
  <c r="DY52" i="29"/>
  <c r="DS53" i="29"/>
  <c r="DW53" i="29"/>
  <c r="EA53" i="29"/>
  <c r="DU54" i="29"/>
  <c r="DY54" i="29"/>
  <c r="DS55" i="29"/>
  <c r="DW55" i="29"/>
  <c r="EA55" i="29"/>
  <c r="DU56" i="29"/>
  <c r="DY56" i="29"/>
  <c r="DS57" i="29"/>
  <c r="DW57" i="29"/>
  <c r="EA57" i="29"/>
  <c r="DU58" i="29"/>
  <c r="DY58" i="29"/>
  <c r="DS59" i="29"/>
  <c r="DW59" i="29"/>
  <c r="EA59" i="29"/>
  <c r="DU60" i="29"/>
  <c r="DY60" i="29"/>
  <c r="DS61" i="29"/>
  <c r="DW61" i="29"/>
  <c r="EA61" i="29"/>
  <c r="DU62" i="29"/>
  <c r="DY62" i="29"/>
  <c r="DS63" i="29"/>
  <c r="DW63" i="29"/>
  <c r="EA63" i="29"/>
  <c r="DU64" i="29"/>
  <c r="DY64" i="29"/>
  <c r="DS65" i="29"/>
  <c r="DW65" i="29"/>
  <c r="EA65" i="29"/>
  <c r="DU66" i="29"/>
  <c r="DY66" i="29"/>
  <c r="DS67" i="29"/>
  <c r="DW67" i="29"/>
  <c r="EA67" i="29"/>
  <c r="DU68" i="29"/>
  <c r="DY68" i="29"/>
  <c r="DS69" i="29"/>
  <c r="DW69" i="29"/>
  <c r="EA69" i="29"/>
  <c r="DU70" i="29"/>
  <c r="DY70" i="29"/>
  <c r="DS71" i="29"/>
  <c r="DW71" i="29"/>
  <c r="EA71" i="29"/>
  <c r="DU72" i="29"/>
  <c r="DY72" i="29"/>
  <c r="DS73" i="29"/>
  <c r="DW73" i="29"/>
  <c r="EA73" i="29"/>
  <c r="DU74" i="29"/>
  <c r="DY74" i="29"/>
  <c r="DS75" i="29"/>
  <c r="DW75" i="29"/>
  <c r="EA75" i="29"/>
  <c r="DU76" i="29"/>
  <c r="DY76" i="29"/>
  <c r="DS77" i="29"/>
  <c r="DW77" i="29"/>
  <c r="EA77" i="29"/>
  <c r="DU78" i="29"/>
  <c r="DY78" i="29"/>
  <c r="DS79" i="29"/>
  <c r="DW79" i="29"/>
  <c r="EA79" i="29"/>
  <c r="DU80" i="29"/>
  <c r="DY80" i="29"/>
  <c r="DS81" i="29"/>
  <c r="DW81" i="29"/>
  <c r="EA81" i="29"/>
  <c r="DU82" i="29"/>
  <c r="DY82" i="29"/>
  <c r="DS83" i="29"/>
  <c r="DW83" i="29"/>
  <c r="EA83" i="29"/>
  <c r="DU84" i="29"/>
  <c r="DY84" i="29"/>
  <c r="DS85" i="29"/>
  <c r="DW85" i="29"/>
  <c r="EA85" i="29"/>
  <c r="DU86" i="29"/>
  <c r="DY86" i="29"/>
  <c r="DS87" i="29"/>
  <c r="DW87" i="29"/>
  <c r="EA87" i="29"/>
  <c r="DU88" i="29"/>
  <c r="DX88" i="29"/>
  <c r="DY88" i="29"/>
  <c r="DS89" i="29"/>
  <c r="DW89" i="29"/>
  <c r="EA89" i="29"/>
  <c r="DT90" i="29"/>
  <c r="DU90" i="29"/>
  <c r="DY90" i="29"/>
  <c r="DS91" i="29"/>
  <c r="DW91" i="29"/>
  <c r="DZ91" i="29"/>
  <c r="EA91" i="29"/>
  <c r="DU92" i="29"/>
  <c r="DY92" i="29"/>
  <c r="DS93" i="29"/>
  <c r="DV93" i="29"/>
  <c r="DW93" i="29"/>
  <c r="EA93" i="29"/>
  <c r="DU94" i="29"/>
  <c r="DY94" i="29"/>
  <c r="DR95" i="29"/>
  <c r="DS95" i="29"/>
  <c r="DW95" i="29"/>
  <c r="EA95" i="29"/>
  <c r="DU96" i="29"/>
  <c r="DX96" i="29"/>
  <c r="DY96" i="29"/>
  <c r="DS97" i="29"/>
  <c r="DU3" i="29"/>
  <c r="DV3" i="29"/>
  <c r="DY3" i="29"/>
  <c r="DZ3" i="29"/>
  <c r="CG4" i="29"/>
  <c r="CK4" i="29"/>
  <c r="CE5" i="29"/>
  <c r="CI5" i="29"/>
  <c r="CM5" i="29"/>
  <c r="CG6" i="29"/>
  <c r="CE7" i="29"/>
  <c r="CI7" i="29"/>
  <c r="CM7" i="29"/>
  <c r="CG8" i="29"/>
  <c r="CK8" i="29"/>
  <c r="CE9" i="29"/>
  <c r="CI9" i="29"/>
  <c r="CM9" i="29"/>
  <c r="CG10" i="29"/>
  <c r="CK10" i="29"/>
  <c r="CE11" i="29"/>
  <c r="CI11" i="29"/>
  <c r="CM11" i="29"/>
  <c r="CG12" i="29"/>
  <c r="CK12" i="29"/>
  <c r="CE13" i="29"/>
  <c r="CI13" i="29"/>
  <c r="CM13" i="29"/>
  <c r="CG14" i="29"/>
  <c r="CK14" i="29"/>
  <c r="CE15" i="29"/>
  <c r="CI15" i="29"/>
  <c r="CM15" i="29"/>
  <c r="CG16" i="29"/>
  <c r="CK16" i="29"/>
  <c r="CE17" i="29"/>
  <c r="CI17" i="29"/>
  <c r="CM17" i="29"/>
  <c r="CG18" i="29"/>
  <c r="CK18" i="29"/>
  <c r="CE19" i="29"/>
  <c r="CI19" i="29"/>
  <c r="CM19" i="29"/>
  <c r="CG20" i="29"/>
  <c r="CK20" i="29"/>
  <c r="CE21" i="29"/>
  <c r="CI21" i="29"/>
  <c r="CM21" i="29"/>
  <c r="CG22" i="29"/>
  <c r="CK22" i="29"/>
  <c r="CE23" i="29"/>
  <c r="CI23" i="29"/>
  <c r="CM23" i="29"/>
  <c r="CG24" i="29"/>
  <c r="CK24" i="29"/>
  <c r="CE25" i="29"/>
  <c r="CI25" i="29"/>
  <c r="CM25" i="29"/>
  <c r="CG26" i="29"/>
  <c r="CK26" i="29"/>
  <c r="CE27" i="29"/>
  <c r="CI27" i="29"/>
  <c r="CM27" i="29"/>
  <c r="CG28" i="29"/>
  <c r="CK28" i="29"/>
  <c r="CE29" i="29"/>
  <c r="CI29" i="29"/>
  <c r="CM29" i="29"/>
  <c r="CG30" i="29"/>
  <c r="CK30" i="29"/>
  <c r="CE31" i="29"/>
  <c r="CI31" i="29"/>
  <c r="CM31" i="29"/>
  <c r="CG32" i="29"/>
  <c r="CK32" i="29"/>
  <c r="CE33" i="29"/>
  <c r="CI33" i="29"/>
  <c r="CM33" i="29"/>
  <c r="CG34" i="29"/>
  <c r="CK34" i="29"/>
  <c r="CE35" i="29"/>
  <c r="CI35" i="29"/>
  <c r="CM35" i="29"/>
  <c r="CG36" i="29"/>
  <c r="CK36" i="29"/>
  <c r="CE37" i="29"/>
  <c r="CI37" i="29"/>
  <c r="CM37" i="29"/>
  <c r="CG38" i="29"/>
  <c r="CK38" i="29"/>
  <c r="CE39" i="29"/>
  <c r="CI39" i="29"/>
  <c r="CM39" i="29"/>
  <c r="CG40" i="29"/>
  <c r="CK40" i="29"/>
  <c r="CE41" i="29"/>
  <c r="CI41" i="29"/>
  <c r="CM41" i="29"/>
  <c r="CG42" i="29"/>
  <c r="CK42" i="29"/>
  <c r="CE43" i="29"/>
  <c r="CI43" i="29"/>
  <c r="CM43" i="29"/>
  <c r="CG44" i="29"/>
  <c r="CK44" i="29"/>
  <c r="CE45" i="29"/>
  <c r="CI45" i="29"/>
  <c r="CM45" i="29"/>
  <c r="CG46" i="29"/>
  <c r="CK46" i="29"/>
  <c r="CE47" i="29"/>
  <c r="CI47" i="29"/>
  <c r="CM47" i="29"/>
  <c r="CG48" i="29"/>
  <c r="CK48" i="29"/>
  <c r="CE49" i="29"/>
  <c r="CI49" i="29"/>
  <c r="CM49" i="29"/>
  <c r="CG50" i="29"/>
  <c r="CK50" i="29"/>
  <c r="CE51" i="29"/>
  <c r="CI51" i="29"/>
  <c r="CM51" i="29"/>
  <c r="CG52" i="29"/>
  <c r="CK52" i="29"/>
  <c r="CE53" i="29"/>
  <c r="CI53" i="29"/>
  <c r="CM53" i="29"/>
  <c r="CG54" i="29"/>
  <c r="CK54" i="29"/>
  <c r="CE55" i="29"/>
  <c r="CI55" i="29"/>
  <c r="CM55" i="29"/>
  <c r="CG56" i="29"/>
  <c r="CK56" i="29"/>
  <c r="CE57" i="29"/>
  <c r="CI57" i="29"/>
  <c r="CM57" i="29"/>
  <c r="CG58" i="29"/>
  <c r="CK58" i="29"/>
  <c r="CE59" i="29"/>
  <c r="CI59" i="29"/>
  <c r="CM59" i="29"/>
  <c r="CG60" i="29"/>
  <c r="CK60" i="29"/>
  <c r="CE61" i="29"/>
  <c r="CI61" i="29"/>
  <c r="CM61" i="29"/>
  <c r="CG62" i="29"/>
  <c r="CK62" i="29"/>
  <c r="CE63" i="29"/>
  <c r="CI63" i="29"/>
  <c r="CM63" i="29"/>
  <c r="CG64" i="29"/>
  <c r="CK64" i="29"/>
  <c r="CE65" i="29"/>
  <c r="CI65" i="29"/>
  <c r="CM65" i="29"/>
  <c r="CG66" i="29"/>
  <c r="CK66" i="29"/>
  <c r="CE67" i="29"/>
  <c r="CI67" i="29"/>
  <c r="CM67" i="29"/>
  <c r="CG68" i="29"/>
  <c r="CK68" i="29"/>
  <c r="CE69" i="29"/>
  <c r="CI69" i="29"/>
  <c r="CM69" i="29"/>
  <c r="CG70" i="29"/>
  <c r="CK70" i="29"/>
  <c r="CE71" i="29"/>
  <c r="CI71" i="29"/>
  <c r="CM71" i="29"/>
  <c r="CG72" i="29"/>
  <c r="CK72" i="29"/>
  <c r="CE73" i="29"/>
  <c r="CI73" i="29"/>
  <c r="CM73" i="29"/>
  <c r="CG74" i="29"/>
  <c r="CK74" i="29"/>
  <c r="CE75" i="29"/>
  <c r="CI75" i="29"/>
  <c r="CM75" i="29"/>
  <c r="CG76" i="29"/>
  <c r="CK76" i="29"/>
  <c r="CE77" i="29"/>
  <c r="CI77" i="29"/>
  <c r="CM77" i="29"/>
  <c r="CG78" i="29"/>
  <c r="CK78" i="29"/>
  <c r="CE79" i="29"/>
  <c r="CI79" i="29"/>
  <c r="CM79" i="29"/>
  <c r="CG80" i="29"/>
  <c r="CK80" i="29"/>
  <c r="CE81" i="29"/>
  <c r="CI81" i="29"/>
  <c r="CM81" i="29"/>
  <c r="CG82" i="29"/>
  <c r="CK82" i="29"/>
  <c r="CE83" i="29"/>
  <c r="CI83" i="29"/>
  <c r="CM83" i="29"/>
  <c r="CG84" i="29"/>
  <c r="CK84" i="29"/>
  <c r="CE85" i="29"/>
  <c r="CI85" i="29"/>
  <c r="CM85" i="29"/>
  <c r="CG86" i="29"/>
  <c r="CK86" i="29"/>
  <c r="CE87" i="29"/>
  <c r="CI87" i="29"/>
  <c r="CM87" i="29"/>
  <c r="CG88" i="29"/>
  <c r="CK88" i="29"/>
  <c r="CE89" i="29"/>
  <c r="CI89" i="29"/>
  <c r="CM89" i="29"/>
  <c r="CG90" i="29"/>
  <c r="CK90" i="29"/>
  <c r="CE91" i="29"/>
  <c r="CI91" i="29"/>
  <c r="CM91" i="29"/>
  <c r="CG92" i="29"/>
  <c r="CK92" i="29"/>
  <c r="CE93" i="29"/>
  <c r="CI93" i="29"/>
  <c r="CM93" i="29"/>
  <c r="CG94" i="29"/>
  <c r="CK94" i="29"/>
  <c r="CE95" i="29"/>
  <c r="CI95" i="29"/>
  <c r="CM95" i="29"/>
  <c r="CG96" i="29"/>
  <c r="CK96" i="29"/>
  <c r="CE97" i="29"/>
  <c r="CI97" i="29"/>
  <c r="CM97" i="29"/>
  <c r="CG98" i="29"/>
  <c r="CK98" i="29"/>
  <c r="CE99" i="29"/>
  <c r="CI99" i="29"/>
  <c r="CM99" i="29"/>
  <c r="CG100" i="29"/>
  <c r="CK100" i="29"/>
  <c r="CE101" i="29"/>
  <c r="CI101" i="29"/>
  <c r="CM101" i="29"/>
  <c r="CG102" i="29"/>
  <c r="CK102" i="29"/>
  <c r="CE103" i="29"/>
  <c r="CI103" i="29"/>
  <c r="CM103" i="29"/>
  <c r="CG104" i="29"/>
  <c r="CK104" i="29"/>
  <c r="CE105" i="29"/>
  <c r="CI105" i="29"/>
  <c r="CM105" i="29"/>
  <c r="CG3" i="29"/>
  <c r="CH3" i="29"/>
  <c r="CK3" i="29"/>
  <c r="CL3" i="29"/>
  <c r="AS54" i="29"/>
  <c r="AW54" i="29"/>
  <c r="AQ55" i="29"/>
  <c r="AU55" i="29"/>
  <c r="AY55" i="29"/>
  <c r="AS56" i="29"/>
  <c r="AW56" i="29"/>
  <c r="AQ57" i="29"/>
  <c r="AU57" i="29"/>
  <c r="AY57" i="29"/>
  <c r="AS58" i="29"/>
  <c r="AW58" i="29"/>
  <c r="AQ59" i="29"/>
  <c r="AU59" i="29"/>
  <c r="AY59" i="29"/>
  <c r="AS60" i="29"/>
  <c r="AW60" i="29"/>
  <c r="AQ61" i="29"/>
  <c r="AU61" i="29"/>
  <c r="AY61" i="29"/>
  <c r="AS62" i="29"/>
  <c r="AW62" i="29"/>
  <c r="AQ63" i="29"/>
  <c r="AU63" i="29"/>
  <c r="AY63" i="29"/>
  <c r="AS64" i="29"/>
  <c r="AW64" i="29"/>
  <c r="AQ65" i="29"/>
  <c r="AU65" i="29"/>
  <c r="AY65" i="29"/>
  <c r="AS66" i="29"/>
  <c r="AW66" i="29"/>
  <c r="AQ67" i="29"/>
  <c r="AU67" i="29"/>
  <c r="AY67" i="29"/>
  <c r="AS68" i="29"/>
  <c r="AW68" i="29"/>
  <c r="AQ69" i="29"/>
  <c r="AU69" i="29"/>
  <c r="AY69" i="29"/>
  <c r="AS70" i="29"/>
  <c r="AW70" i="29"/>
  <c r="AQ71" i="29"/>
  <c r="AU71" i="29"/>
  <c r="AY71" i="29"/>
  <c r="AS72" i="29"/>
  <c r="AW72" i="29"/>
  <c r="AQ73" i="29"/>
  <c r="AU73" i="29"/>
  <c r="AY73" i="29"/>
  <c r="AS74" i="29"/>
  <c r="AW74" i="29"/>
  <c r="AQ75" i="29"/>
  <c r="AU75" i="29"/>
  <c r="AY75" i="29"/>
  <c r="AS76" i="29"/>
  <c r="AW76" i="29"/>
  <c r="AQ77" i="29"/>
  <c r="AU77" i="29"/>
  <c r="AY77" i="29"/>
  <c r="AS78" i="29"/>
  <c r="AW78" i="29"/>
  <c r="AQ79" i="29"/>
  <c r="AU79" i="29"/>
  <c r="AY79" i="29"/>
  <c r="AS80" i="29"/>
  <c r="AW80" i="29"/>
  <c r="AQ81" i="29"/>
  <c r="AU81" i="29"/>
  <c r="AY81" i="29"/>
  <c r="AS82" i="29"/>
  <c r="AW82" i="29"/>
  <c r="AQ83" i="29"/>
  <c r="AU83" i="29"/>
  <c r="AY83" i="29"/>
  <c r="AS84" i="29"/>
  <c r="AW84" i="29"/>
  <c r="AQ85" i="29"/>
  <c r="AU85" i="29"/>
  <c r="AY85" i="29"/>
  <c r="AS86" i="29"/>
  <c r="AW86" i="29"/>
  <c r="AQ87" i="29"/>
  <c r="AU87" i="29"/>
  <c r="AY87" i="29"/>
  <c r="AR272" i="29"/>
  <c r="AV272" i="29"/>
  <c r="AP273" i="29"/>
  <c r="AT273" i="29"/>
  <c r="AR274" i="29"/>
  <c r="AV274" i="29"/>
  <c r="AP275" i="29"/>
  <c r="AT275" i="29"/>
  <c r="AR276" i="29"/>
  <c r="AV276" i="29"/>
  <c r="AP277" i="29"/>
  <c r="AT277" i="29"/>
  <c r="AR278" i="29"/>
  <c r="AV278" i="29"/>
  <c r="AP279" i="29"/>
  <c r="AT279" i="29"/>
  <c r="AR280" i="29"/>
  <c r="AV280" i="29"/>
  <c r="AP281" i="29"/>
  <c r="AT281" i="29"/>
  <c r="AR282" i="29"/>
  <c r="AV282" i="29"/>
  <c r="AP283" i="29"/>
  <c r="AT283" i="29"/>
  <c r="AR284" i="29"/>
  <c r="AV284" i="29"/>
  <c r="AP285" i="29"/>
  <c r="AT285" i="29"/>
  <c r="AR286" i="29"/>
  <c r="AV286" i="29"/>
  <c r="AP287" i="29"/>
  <c r="AT287" i="29"/>
  <c r="AR288" i="29"/>
  <c r="AV288" i="29"/>
  <c r="AP289" i="29"/>
  <c r="AT289" i="29"/>
  <c r="AR290" i="29"/>
  <c r="AV290" i="29"/>
  <c r="AP291" i="29"/>
  <c r="AT291" i="29"/>
  <c r="AR292" i="29"/>
  <c r="AV292" i="29"/>
  <c r="AP293" i="29"/>
  <c r="AT293" i="29"/>
  <c r="AR294" i="29"/>
  <c r="AP33" i="29"/>
  <c r="AS33" i="29"/>
  <c r="AT33" i="29"/>
  <c r="AW33" i="29"/>
  <c r="AQ34" i="29"/>
  <c r="AU34" i="29"/>
  <c r="AV34" i="29"/>
  <c r="AW34" i="29"/>
  <c r="AY34" i="29"/>
  <c r="AP35" i="29"/>
  <c r="AS35" i="29"/>
  <c r="AT35" i="29"/>
  <c r="AU35" i="29"/>
  <c r="AW35" i="29"/>
  <c r="AY35" i="29"/>
  <c r="AQ36" i="29"/>
  <c r="AR36" i="29"/>
  <c r="AU36" i="29"/>
  <c r="AV36" i="29"/>
  <c r="AW36" i="29"/>
  <c r="AY36" i="29"/>
  <c r="AQ37" i="29"/>
  <c r="AS37" i="29"/>
  <c r="AT37" i="29"/>
  <c r="AW37" i="29"/>
  <c r="AY37" i="29"/>
  <c r="AQ38" i="29"/>
  <c r="AR38" i="29"/>
  <c r="AU38" i="29"/>
  <c r="AV38" i="29"/>
  <c r="AW38" i="29"/>
  <c r="AY38" i="29"/>
  <c r="AS39" i="29"/>
  <c r="AT39" i="29"/>
  <c r="AW39" i="29"/>
  <c r="AY39" i="29"/>
  <c r="AQ40" i="29"/>
  <c r="AS40" i="29"/>
  <c r="AU40" i="29"/>
  <c r="AV40" i="29"/>
  <c r="AW40" i="29"/>
  <c r="AY40" i="29"/>
  <c r="AP41" i="29"/>
  <c r="AS41" i="29"/>
  <c r="AT41" i="29"/>
  <c r="AW41" i="29"/>
  <c r="AY41" i="29"/>
  <c r="AQ42" i="29"/>
  <c r="AU42" i="29"/>
  <c r="AV42" i="29"/>
  <c r="AW42" i="29"/>
  <c r="AY42" i="29"/>
  <c r="AP43" i="29"/>
  <c r="AS43" i="29"/>
  <c r="AU43" i="29"/>
  <c r="AW43" i="29"/>
  <c r="AY43" i="29"/>
  <c r="AQ44" i="29"/>
  <c r="AR44" i="29"/>
  <c r="AU44" i="29"/>
  <c r="AV44" i="29"/>
  <c r="AW44" i="29"/>
  <c r="AY44" i="29"/>
  <c r="AQ45" i="29"/>
  <c r="AS45" i="29"/>
  <c r="AT45" i="29"/>
  <c r="AW45" i="29"/>
  <c r="AQ46" i="29"/>
  <c r="AR46" i="29"/>
  <c r="AU46" i="29"/>
  <c r="AV46" i="29"/>
  <c r="AY46" i="29"/>
  <c r="AP47" i="29"/>
  <c r="AS47" i="29"/>
  <c r="AT47" i="29"/>
  <c r="AW47" i="29"/>
  <c r="AY47" i="29"/>
  <c r="AQ48" i="29"/>
  <c r="AR48" i="29"/>
  <c r="AS48" i="29"/>
  <c r="AU48" i="29"/>
  <c r="AW48" i="29"/>
  <c r="AY48" i="29"/>
  <c r="AP49" i="29"/>
  <c r="AS49" i="29"/>
  <c r="AT49" i="29"/>
  <c r="AW49" i="29"/>
  <c r="AY49" i="29"/>
  <c r="AQ50" i="29"/>
  <c r="AR50" i="29"/>
  <c r="AU50" i="29"/>
  <c r="AV50" i="29"/>
  <c r="AW50" i="29"/>
  <c r="AY50" i="29"/>
  <c r="AP51" i="29"/>
  <c r="AS51" i="29"/>
  <c r="AU51" i="29"/>
  <c r="AW51" i="29"/>
  <c r="AY51" i="29"/>
  <c r="AQ52" i="29"/>
  <c r="AR52" i="29"/>
  <c r="AU52" i="29"/>
  <c r="AV52" i="29"/>
  <c r="AW52" i="29"/>
  <c r="AY52" i="29"/>
  <c r="AP53" i="29"/>
  <c r="AQ53" i="29"/>
  <c r="AS53" i="29"/>
  <c r="AW53" i="29"/>
  <c r="AR32" i="29"/>
  <c r="AS32" i="29"/>
  <c r="AV32" i="29"/>
  <c r="AW32" i="29"/>
  <c r="AP9" i="29"/>
  <c r="AS9" i="29"/>
  <c r="AT9" i="29"/>
  <c r="AW9" i="29"/>
  <c r="AY9" i="29"/>
  <c r="AQ10" i="29"/>
  <c r="AR10" i="29"/>
  <c r="AS10" i="29"/>
  <c r="AU10" i="29"/>
  <c r="AW10" i="29"/>
  <c r="AY10" i="29"/>
  <c r="AP11" i="29"/>
  <c r="AS11" i="29"/>
  <c r="AT11" i="29"/>
  <c r="AU11" i="29"/>
  <c r="AW11" i="29"/>
  <c r="AY11" i="29"/>
  <c r="AQ12" i="29"/>
  <c r="AU12" i="29"/>
  <c r="AV12" i="29"/>
  <c r="AY12" i="29"/>
  <c r="AP13" i="29"/>
  <c r="AQ13" i="29"/>
  <c r="AS13" i="29"/>
  <c r="AT13" i="29"/>
  <c r="AU13" i="29"/>
  <c r="AW13" i="29"/>
  <c r="AY13" i="29"/>
  <c r="AQ14" i="29"/>
  <c r="AR14" i="29"/>
  <c r="AU14" i="29"/>
  <c r="AV14" i="29"/>
  <c r="AW14" i="29"/>
  <c r="AY14" i="29"/>
  <c r="AQ15" i="29"/>
  <c r="AT15" i="29"/>
  <c r="AW15" i="29"/>
  <c r="AQ16" i="29"/>
  <c r="AR16" i="29"/>
  <c r="AS16" i="29"/>
  <c r="AU16" i="29"/>
  <c r="AY16" i="29"/>
  <c r="AS17" i="29"/>
  <c r="AT17" i="29"/>
  <c r="AW17" i="29"/>
  <c r="AQ18" i="29"/>
  <c r="AS18" i="29"/>
  <c r="AU18" i="29"/>
  <c r="AV18" i="29"/>
  <c r="AY18" i="29"/>
  <c r="AP19" i="29"/>
  <c r="AS19" i="29"/>
  <c r="AT19" i="29"/>
  <c r="AU19" i="29"/>
  <c r="AW19" i="29"/>
  <c r="AY19" i="29"/>
  <c r="AQ20" i="29"/>
  <c r="AR20" i="29"/>
  <c r="AU20" i="29"/>
  <c r="AV20" i="29"/>
  <c r="AW20" i="29"/>
  <c r="AY20" i="29"/>
  <c r="AP21" i="29"/>
  <c r="AQ21" i="29"/>
  <c r="AS21" i="29"/>
  <c r="AU21" i="29"/>
  <c r="AW21" i="29"/>
  <c r="AQ22" i="29"/>
  <c r="AR22" i="29"/>
  <c r="AU22" i="29"/>
  <c r="AV22" i="29"/>
  <c r="AY22" i="29"/>
  <c r="AP23" i="29"/>
  <c r="AQ23" i="29"/>
  <c r="AS23" i="29"/>
  <c r="AW23" i="29"/>
  <c r="AY23" i="29"/>
  <c r="AQ24" i="29"/>
  <c r="AR24" i="29"/>
  <c r="AS24" i="29"/>
  <c r="AU24" i="29"/>
  <c r="AV24" i="29"/>
  <c r="AW24" i="29"/>
  <c r="AY24" i="29"/>
  <c r="AP25" i="29"/>
  <c r="AS25" i="29"/>
  <c r="AT25" i="29"/>
  <c r="AW25" i="29"/>
  <c r="AY25" i="29"/>
  <c r="AQ26" i="29"/>
  <c r="AR26" i="29"/>
  <c r="AS26" i="29"/>
  <c r="AU26" i="29"/>
  <c r="AW26" i="29"/>
  <c r="AY26" i="29"/>
  <c r="AP27" i="29"/>
  <c r="AS27" i="29"/>
  <c r="AT27" i="29"/>
  <c r="AU27" i="29"/>
  <c r="AW27" i="29"/>
  <c r="AY27" i="29"/>
  <c r="AQ28" i="29"/>
  <c r="AU28" i="29"/>
  <c r="AV28" i="29"/>
  <c r="AY28" i="29"/>
  <c r="AP29" i="29"/>
  <c r="AQ29" i="29"/>
  <c r="AS29" i="29"/>
  <c r="AT29" i="29"/>
  <c r="AU29" i="29"/>
  <c r="AW29" i="29"/>
  <c r="AY29" i="29"/>
  <c r="AQ30" i="29"/>
  <c r="AR30" i="29"/>
  <c r="AU30" i="29"/>
  <c r="AV30" i="29"/>
  <c r="AW30" i="29"/>
  <c r="AY30" i="29"/>
  <c r="AQ31" i="29"/>
  <c r="AS31" i="29"/>
  <c r="AT31" i="29"/>
  <c r="AW31" i="29"/>
  <c r="AR8" i="29"/>
  <c r="AS8" i="29"/>
  <c r="AV8" i="29"/>
  <c r="AW8" i="29"/>
  <c r="AS4" i="29"/>
  <c r="AW4" i="29"/>
  <c r="AQ5" i="29"/>
  <c r="AU5" i="29"/>
  <c r="AY5" i="29"/>
  <c r="AS6" i="29"/>
  <c r="AW6" i="29"/>
  <c r="AQ7" i="29"/>
  <c r="AU7" i="29"/>
  <c r="AY7" i="29"/>
  <c r="AT3" i="29"/>
  <c r="AX3" i="29"/>
  <c r="DR4" i="29"/>
  <c r="DS4" i="29"/>
  <c r="DV4" i="29"/>
  <c r="DW4" i="29"/>
  <c r="DY4" i="29"/>
  <c r="DZ4" i="29"/>
  <c r="EA4" i="29"/>
  <c r="DT5" i="29"/>
  <c r="DU5" i="29"/>
  <c r="DX5" i="29"/>
  <c r="DY5" i="29"/>
  <c r="DR6" i="29"/>
  <c r="DS6" i="29"/>
  <c r="DV6" i="29"/>
  <c r="DW6" i="29"/>
  <c r="DZ6" i="29"/>
  <c r="EA6" i="29"/>
  <c r="DT7" i="29"/>
  <c r="DU7" i="29"/>
  <c r="DX7" i="29"/>
  <c r="DY7" i="29"/>
  <c r="DR8" i="29"/>
  <c r="DS8" i="29"/>
  <c r="DV8" i="29"/>
  <c r="DW8" i="29"/>
  <c r="DY8" i="29"/>
  <c r="DZ8" i="29"/>
  <c r="EA8" i="29"/>
  <c r="DT9" i="29"/>
  <c r="DU9" i="29"/>
  <c r="DX9" i="29"/>
  <c r="DY9" i="29"/>
  <c r="EA9" i="29"/>
  <c r="DR10" i="29"/>
  <c r="DS10" i="29"/>
  <c r="DV10" i="29"/>
  <c r="DW10" i="29"/>
  <c r="DZ10" i="29"/>
  <c r="EA10" i="29"/>
  <c r="DS11" i="29"/>
  <c r="DT11" i="29"/>
  <c r="DU11" i="29"/>
  <c r="DX11" i="29"/>
  <c r="DY11" i="29"/>
  <c r="DR12" i="29"/>
  <c r="DS12" i="29"/>
  <c r="DV12" i="29"/>
  <c r="DW12" i="29"/>
  <c r="DZ12" i="29"/>
  <c r="EA12" i="29"/>
  <c r="DT13" i="29"/>
  <c r="DU13" i="29"/>
  <c r="DX13" i="29"/>
  <c r="DY13" i="29"/>
  <c r="DR14" i="29"/>
  <c r="DS14" i="29"/>
  <c r="DV14" i="29"/>
  <c r="DW14" i="29"/>
  <c r="DZ14" i="29"/>
  <c r="EA14" i="29"/>
  <c r="DS15" i="29"/>
  <c r="DT15" i="29"/>
  <c r="DU15" i="29"/>
  <c r="DX15" i="29"/>
  <c r="DY15" i="29"/>
  <c r="DR16" i="29"/>
  <c r="DS16" i="29"/>
  <c r="DU16" i="29"/>
  <c r="DV16" i="29"/>
  <c r="DW16" i="29"/>
  <c r="DZ16" i="29"/>
  <c r="EA16" i="29"/>
  <c r="DT17" i="29"/>
  <c r="DU17" i="29"/>
  <c r="DW17" i="29"/>
  <c r="DX17" i="29"/>
  <c r="DY17" i="29"/>
  <c r="DR18" i="29"/>
  <c r="DS18" i="29"/>
  <c r="DV18" i="29"/>
  <c r="DW18" i="29"/>
  <c r="DZ18" i="29"/>
  <c r="EA18" i="29"/>
  <c r="DT19" i="29"/>
  <c r="DU19" i="29"/>
  <c r="DX19" i="29"/>
  <c r="DY19" i="29"/>
  <c r="DR20" i="29"/>
  <c r="DS20" i="29"/>
  <c r="DV20" i="29"/>
  <c r="DW20" i="29"/>
  <c r="DZ20" i="29"/>
  <c r="EA20" i="29"/>
  <c r="DT21" i="29"/>
  <c r="DU21" i="29"/>
  <c r="DW21" i="29"/>
  <c r="DX21" i="29"/>
  <c r="DY21" i="29"/>
  <c r="DR22" i="29"/>
  <c r="DS22" i="29"/>
  <c r="DV22" i="29"/>
  <c r="DW22" i="29"/>
  <c r="DY22" i="29"/>
  <c r="DZ22" i="29"/>
  <c r="EA22" i="29"/>
  <c r="DT23" i="29"/>
  <c r="DU23" i="29"/>
  <c r="DX23" i="29"/>
  <c r="DY23" i="29"/>
  <c r="EA23" i="29"/>
  <c r="DR24" i="29"/>
  <c r="DS24" i="29"/>
  <c r="DV24" i="29"/>
  <c r="DW24" i="29"/>
  <c r="DZ24" i="29"/>
  <c r="EA24" i="29"/>
  <c r="DT25" i="29"/>
  <c r="DU25" i="29"/>
  <c r="DX25" i="29"/>
  <c r="DY25" i="29"/>
  <c r="DR26" i="29"/>
  <c r="DS26" i="29"/>
  <c r="DV26" i="29"/>
  <c r="DW26" i="29"/>
  <c r="DZ26" i="29"/>
  <c r="EA26" i="29"/>
  <c r="DT27" i="29"/>
  <c r="DU27" i="29"/>
  <c r="DX27" i="29"/>
  <c r="DY27" i="29"/>
  <c r="EA27" i="29"/>
  <c r="DR28" i="29"/>
  <c r="DS28" i="29"/>
  <c r="DV28" i="29"/>
  <c r="DW28" i="29"/>
  <c r="DZ28" i="29"/>
  <c r="EA28" i="29"/>
  <c r="DS29" i="29"/>
  <c r="DT29" i="29"/>
  <c r="DU29" i="29"/>
  <c r="DX29" i="29"/>
  <c r="DY29" i="29"/>
  <c r="DR30" i="29"/>
  <c r="DS30" i="29"/>
  <c r="DU30" i="29"/>
  <c r="DV30" i="29"/>
  <c r="DW30" i="29"/>
  <c r="DZ30" i="29"/>
  <c r="EA30" i="29"/>
  <c r="DT31" i="29"/>
  <c r="DU31" i="29"/>
  <c r="DX31" i="29"/>
  <c r="DY31" i="29"/>
  <c r="DR32" i="29"/>
  <c r="DS32" i="29"/>
  <c r="DV32" i="29"/>
  <c r="DW32" i="29"/>
  <c r="DZ32" i="29"/>
  <c r="EA32" i="29"/>
  <c r="DT33" i="29"/>
  <c r="DU33" i="29"/>
  <c r="DX33" i="29"/>
  <c r="DY33" i="29"/>
  <c r="DR34" i="29"/>
  <c r="DS34" i="29"/>
  <c r="DU34" i="29"/>
  <c r="DV34" i="29"/>
  <c r="DW34" i="29"/>
  <c r="DZ34" i="29"/>
  <c r="EA34" i="29"/>
  <c r="DT35" i="29"/>
  <c r="DU35" i="29"/>
  <c r="DW35" i="29"/>
  <c r="DX35" i="29"/>
  <c r="DY35" i="29"/>
  <c r="DR36" i="29"/>
  <c r="DS36" i="29"/>
  <c r="DV36" i="29"/>
  <c r="DW36" i="29"/>
  <c r="DY36" i="29"/>
  <c r="DZ36" i="29"/>
  <c r="EA36" i="29"/>
  <c r="DT37" i="29"/>
  <c r="DU37" i="29"/>
  <c r="DX37" i="29"/>
  <c r="DY37" i="29"/>
  <c r="DR38" i="29"/>
  <c r="DS38" i="29"/>
  <c r="DT38" i="29"/>
  <c r="DV38" i="29"/>
  <c r="DW38" i="29"/>
  <c r="DX38" i="29"/>
  <c r="DZ38" i="29"/>
  <c r="EA38" i="29"/>
  <c r="DR39" i="29"/>
  <c r="DT39" i="29"/>
  <c r="DU39" i="29"/>
  <c r="DV39" i="29"/>
  <c r="DX39" i="29"/>
  <c r="DY39" i="29"/>
  <c r="DZ39" i="29"/>
  <c r="DR40" i="29"/>
  <c r="DS40" i="29"/>
  <c r="DT40" i="29"/>
  <c r="DV40" i="29"/>
  <c r="DW40" i="29"/>
  <c r="DX40" i="29"/>
  <c r="DZ40" i="29"/>
  <c r="EA40" i="29"/>
  <c r="DR41" i="29"/>
  <c r="DT41" i="29"/>
  <c r="DU41" i="29"/>
  <c r="DV41" i="29"/>
  <c r="DX41" i="29"/>
  <c r="DY41" i="29"/>
  <c r="DZ41" i="29"/>
  <c r="DR42" i="29"/>
  <c r="DS42" i="29"/>
  <c r="DT42" i="29"/>
  <c r="DV42" i="29"/>
  <c r="DW42" i="29"/>
  <c r="DX42" i="29"/>
  <c r="DZ42" i="29"/>
  <c r="EA42" i="29"/>
  <c r="DR43" i="29"/>
  <c r="DT43" i="29"/>
  <c r="DU43" i="29"/>
  <c r="DV43" i="29"/>
  <c r="DX43" i="29"/>
  <c r="DY43" i="29"/>
  <c r="DZ43" i="29"/>
  <c r="DR44" i="29"/>
  <c r="DS44" i="29"/>
  <c r="DT44" i="29"/>
  <c r="DV44" i="29"/>
  <c r="DW44" i="29"/>
  <c r="DX44" i="29"/>
  <c r="DZ44" i="29"/>
  <c r="EA44" i="29"/>
  <c r="DR45" i="29"/>
  <c r="DT45" i="29"/>
  <c r="DU45" i="29"/>
  <c r="DV45" i="29"/>
  <c r="DX45" i="29"/>
  <c r="DY45" i="29"/>
  <c r="DZ45" i="29"/>
  <c r="DR46" i="29"/>
  <c r="DS46" i="29"/>
  <c r="DT46" i="29"/>
  <c r="DV46" i="29"/>
  <c r="DW46" i="29"/>
  <c r="DX46" i="29"/>
  <c r="DZ46" i="29"/>
  <c r="EA46" i="29"/>
  <c r="DR47" i="29"/>
  <c r="DT47" i="29"/>
  <c r="DU47" i="29"/>
  <c r="DV47" i="29"/>
  <c r="DX47" i="29"/>
  <c r="DY47" i="29"/>
  <c r="DZ47" i="29"/>
  <c r="DR48" i="29"/>
  <c r="DS48" i="29"/>
  <c r="DT48" i="29"/>
  <c r="DV48" i="29"/>
  <c r="DW48" i="29"/>
  <c r="DX48" i="29"/>
  <c r="DZ48" i="29"/>
  <c r="EA48" i="29"/>
  <c r="DR49" i="29"/>
  <c r="DT49" i="29"/>
  <c r="DU49" i="29"/>
  <c r="DV49" i="29"/>
  <c r="DX49" i="29"/>
  <c r="DY49" i="29"/>
  <c r="DZ49" i="29"/>
  <c r="DR50" i="29"/>
  <c r="DS50" i="29"/>
  <c r="DT50" i="29"/>
  <c r="DV50" i="29"/>
  <c r="DW50" i="29"/>
  <c r="DX50" i="29"/>
  <c r="DZ50" i="29"/>
  <c r="EA50" i="29"/>
  <c r="DR51" i="29"/>
  <c r="DT51" i="29"/>
  <c r="DU51" i="29"/>
  <c r="DV51" i="29"/>
  <c r="DX51" i="29"/>
  <c r="DY51" i="29"/>
  <c r="DZ51" i="29"/>
  <c r="DR52" i="29"/>
  <c r="DS52" i="29"/>
  <c r="DT52" i="29"/>
  <c r="DV52" i="29"/>
  <c r="DW52" i="29"/>
  <c r="DX52" i="29"/>
  <c r="DZ52" i="29"/>
  <c r="EA52" i="29"/>
  <c r="DR53" i="29"/>
  <c r="DT53" i="29"/>
  <c r="DU53" i="29"/>
  <c r="DV53" i="29"/>
  <c r="DX53" i="29"/>
  <c r="DY53" i="29"/>
  <c r="DZ53" i="29"/>
  <c r="DR54" i="29"/>
  <c r="DS54" i="29"/>
  <c r="DT54" i="29"/>
  <c r="DV54" i="29"/>
  <c r="DW54" i="29"/>
  <c r="DX54" i="29"/>
  <c r="DZ54" i="29"/>
  <c r="EA54" i="29"/>
  <c r="DR55" i="29"/>
  <c r="DT55" i="29"/>
  <c r="DU55" i="29"/>
  <c r="DV55" i="29"/>
  <c r="DX55" i="29"/>
  <c r="DY55" i="29"/>
  <c r="DZ55" i="29"/>
  <c r="DR56" i="29"/>
  <c r="DS56" i="29"/>
  <c r="DT56" i="29"/>
  <c r="DV56" i="29"/>
  <c r="DW56" i="29"/>
  <c r="DX56" i="29"/>
  <c r="DZ56" i="29"/>
  <c r="EA56" i="29"/>
  <c r="DR57" i="29"/>
  <c r="DT57" i="29"/>
  <c r="DU57" i="29"/>
  <c r="DV57" i="29"/>
  <c r="DX57" i="29"/>
  <c r="DY57" i="29"/>
  <c r="DZ57" i="29"/>
  <c r="DR58" i="29"/>
  <c r="DS58" i="29"/>
  <c r="DT58" i="29"/>
  <c r="DV58" i="29"/>
  <c r="DW58" i="29"/>
  <c r="DX58" i="29"/>
  <c r="DZ58" i="29"/>
  <c r="EA58" i="29"/>
  <c r="DR59" i="29"/>
  <c r="DT59" i="29"/>
  <c r="DU59" i="29"/>
  <c r="DV59" i="29"/>
  <c r="DX59" i="29"/>
  <c r="DY59" i="29"/>
  <c r="DZ59" i="29"/>
  <c r="DR60" i="29"/>
  <c r="DS60" i="29"/>
  <c r="DT60" i="29"/>
  <c r="DV60" i="29"/>
  <c r="DW60" i="29"/>
  <c r="DX60" i="29"/>
  <c r="DZ60" i="29"/>
  <c r="EA60" i="29"/>
  <c r="DR61" i="29"/>
  <c r="DT61" i="29"/>
  <c r="DU61" i="29"/>
  <c r="DV61" i="29"/>
  <c r="DX61" i="29"/>
  <c r="DY61" i="29"/>
  <c r="DZ61" i="29"/>
  <c r="DR62" i="29"/>
  <c r="DS62" i="29"/>
  <c r="DT62" i="29"/>
  <c r="DV62" i="29"/>
  <c r="DW62" i="29"/>
  <c r="DX62" i="29"/>
  <c r="DZ62" i="29"/>
  <c r="EA62" i="29"/>
  <c r="DR63" i="29"/>
  <c r="DT63" i="29"/>
  <c r="DU63" i="29"/>
  <c r="DV63" i="29"/>
  <c r="DX63" i="29"/>
  <c r="DY63" i="29"/>
  <c r="DZ63" i="29"/>
  <c r="DR64" i="29"/>
  <c r="DS64" i="29"/>
  <c r="DT64" i="29"/>
  <c r="DV64" i="29"/>
  <c r="DW64" i="29"/>
  <c r="DX64" i="29"/>
  <c r="DZ64" i="29"/>
  <c r="EA64" i="29"/>
  <c r="DR65" i="29"/>
  <c r="DT65" i="29"/>
  <c r="DU65" i="29"/>
  <c r="DV65" i="29"/>
  <c r="DX65" i="29"/>
  <c r="DY65" i="29"/>
  <c r="DZ65" i="29"/>
  <c r="DR66" i="29"/>
  <c r="DS66" i="29"/>
  <c r="DT66" i="29"/>
  <c r="DV66" i="29"/>
  <c r="DW66" i="29"/>
  <c r="DX66" i="29"/>
  <c r="DZ66" i="29"/>
  <c r="EA66" i="29"/>
  <c r="DR67" i="29"/>
  <c r="DT67" i="29"/>
  <c r="DU67" i="29"/>
  <c r="DV67" i="29"/>
  <c r="DX67" i="29"/>
  <c r="DY67" i="29"/>
  <c r="DZ67" i="29"/>
  <c r="DR68" i="29"/>
  <c r="DS68" i="29"/>
  <c r="DT68" i="29"/>
  <c r="DV68" i="29"/>
  <c r="DW68" i="29"/>
  <c r="DX68" i="29"/>
  <c r="DZ68" i="29"/>
  <c r="EA68" i="29"/>
  <c r="DR69" i="29"/>
  <c r="DT69" i="29"/>
  <c r="DU69" i="29"/>
  <c r="DV69" i="29"/>
  <c r="DX69" i="29"/>
  <c r="DY69" i="29"/>
  <c r="DZ69" i="29"/>
  <c r="DR70" i="29"/>
  <c r="DS70" i="29"/>
  <c r="DT70" i="29"/>
  <c r="DV70" i="29"/>
  <c r="DW70" i="29"/>
  <c r="DX70" i="29"/>
  <c r="DZ70" i="29"/>
  <c r="EA70" i="29"/>
  <c r="DR71" i="29"/>
  <c r="DT71" i="29"/>
  <c r="DU71" i="29"/>
  <c r="DV71" i="29"/>
  <c r="DX71" i="29"/>
  <c r="DY71" i="29"/>
  <c r="DZ71" i="29"/>
  <c r="DR72" i="29"/>
  <c r="DS72" i="29"/>
  <c r="DT72" i="29"/>
  <c r="DV72" i="29"/>
  <c r="DW72" i="29"/>
  <c r="DX72" i="29"/>
  <c r="DZ72" i="29"/>
  <c r="EA72" i="29"/>
  <c r="DR73" i="29"/>
  <c r="DT73" i="29"/>
  <c r="DU73" i="29"/>
  <c r="DV73" i="29"/>
  <c r="DX73" i="29"/>
  <c r="DY73" i="29"/>
  <c r="DZ73" i="29"/>
  <c r="DR74" i="29"/>
  <c r="DS74" i="29"/>
  <c r="DT74" i="29"/>
  <c r="DV74" i="29"/>
  <c r="DW74" i="29"/>
  <c r="DX74" i="29"/>
  <c r="DZ74" i="29"/>
  <c r="EA74" i="29"/>
  <c r="DR75" i="29"/>
  <c r="DT75" i="29"/>
  <c r="DU75" i="29"/>
  <c r="DV75" i="29"/>
  <c r="DX75" i="29"/>
  <c r="DY75" i="29"/>
  <c r="DZ75" i="29"/>
  <c r="DR76" i="29"/>
  <c r="DS76" i="29"/>
  <c r="DT76" i="29"/>
  <c r="DV76" i="29"/>
  <c r="DW76" i="29"/>
  <c r="DX76" i="29"/>
  <c r="DZ76" i="29"/>
  <c r="EA76" i="29"/>
  <c r="DR77" i="29"/>
  <c r="DT77" i="29"/>
  <c r="DU77" i="29"/>
  <c r="DV77" i="29"/>
  <c r="DX77" i="29"/>
  <c r="DY77" i="29"/>
  <c r="DZ77" i="29"/>
  <c r="DR78" i="29"/>
  <c r="DS78" i="29"/>
  <c r="DT78" i="29"/>
  <c r="DV78" i="29"/>
  <c r="DW78" i="29"/>
  <c r="DX78" i="29"/>
  <c r="DZ78" i="29"/>
  <c r="EA78" i="29"/>
  <c r="DR79" i="29"/>
  <c r="DT79" i="29"/>
  <c r="DU79" i="29"/>
  <c r="DV79" i="29"/>
  <c r="DX79" i="29"/>
  <c r="DY79" i="29"/>
  <c r="DZ79" i="29"/>
  <c r="DR80" i="29"/>
  <c r="DS80" i="29"/>
  <c r="DT80" i="29"/>
  <c r="DV80" i="29"/>
  <c r="DW80" i="29"/>
  <c r="DX80" i="29"/>
  <c r="DZ80" i="29"/>
  <c r="EA80" i="29"/>
  <c r="DR81" i="29"/>
  <c r="DT81" i="29"/>
  <c r="DU81" i="29"/>
  <c r="DV81" i="29"/>
  <c r="DX81" i="29"/>
  <c r="DY81" i="29"/>
  <c r="DZ81" i="29"/>
  <c r="DR82" i="29"/>
  <c r="DS82" i="29"/>
  <c r="DT82" i="29"/>
  <c r="DV82" i="29"/>
  <c r="DW82" i="29"/>
  <c r="DX82" i="29"/>
  <c r="DZ82" i="29"/>
  <c r="EA82" i="29"/>
  <c r="DR83" i="29"/>
  <c r="DT83" i="29"/>
  <c r="DU83" i="29"/>
  <c r="DV83" i="29"/>
  <c r="DX83" i="29"/>
  <c r="DY83" i="29"/>
  <c r="DZ83" i="29"/>
  <c r="DR84" i="29"/>
  <c r="DS84" i="29"/>
  <c r="DT84" i="29"/>
  <c r="DV84" i="29"/>
  <c r="DW84" i="29"/>
  <c r="DX84" i="29"/>
  <c r="DZ84" i="29"/>
  <c r="EA84" i="29"/>
  <c r="DR85" i="29"/>
  <c r="DT85" i="29"/>
  <c r="DU85" i="29"/>
  <c r="DV85" i="29"/>
  <c r="DX85" i="29"/>
  <c r="DY85" i="29"/>
  <c r="DZ85" i="29"/>
  <c r="DR86" i="29"/>
  <c r="DS86" i="29"/>
  <c r="DT86" i="29"/>
  <c r="DV86" i="29"/>
  <c r="DW86" i="29"/>
  <c r="DX86" i="29"/>
  <c r="DZ86" i="29"/>
  <c r="EA86" i="29"/>
  <c r="DR87" i="29"/>
  <c r="DT87" i="29"/>
  <c r="DU87" i="29"/>
  <c r="DV87" i="29"/>
  <c r="DX87" i="29"/>
  <c r="DY87" i="29"/>
  <c r="DZ87" i="29"/>
  <c r="DR88" i="29"/>
  <c r="DS88" i="29"/>
  <c r="DT88" i="29"/>
  <c r="DV88" i="29"/>
  <c r="DW88" i="29"/>
  <c r="DZ88" i="29"/>
  <c r="EA88" i="29"/>
  <c r="DR89" i="29"/>
  <c r="DT89" i="29"/>
  <c r="DU89" i="29"/>
  <c r="DV89" i="29"/>
  <c r="DX89" i="29"/>
  <c r="DY89" i="29"/>
  <c r="DZ89" i="29"/>
  <c r="DR90" i="29"/>
  <c r="DS90" i="29"/>
  <c r="DV90" i="29"/>
  <c r="DW90" i="29"/>
  <c r="DX90" i="29"/>
  <c r="DZ90" i="29"/>
  <c r="EA90" i="29"/>
  <c r="DR91" i="29"/>
  <c r="DT91" i="29"/>
  <c r="DU91" i="29"/>
  <c r="DV91" i="29"/>
  <c r="DX91" i="29"/>
  <c r="DY91" i="29"/>
  <c r="DR92" i="29"/>
  <c r="DS92" i="29"/>
  <c r="DT92" i="29"/>
  <c r="DV92" i="29"/>
  <c r="DW92" i="29"/>
  <c r="DX92" i="29"/>
  <c r="DZ92" i="29"/>
  <c r="EA92" i="29"/>
  <c r="DR93" i="29"/>
  <c r="DT93" i="29"/>
  <c r="DU93" i="29"/>
  <c r="DX93" i="29"/>
  <c r="DY93" i="29"/>
  <c r="DZ93" i="29"/>
  <c r="DR94" i="29"/>
  <c r="DS94" i="29"/>
  <c r="DT94" i="29"/>
  <c r="DV94" i="29"/>
  <c r="DW94" i="29"/>
  <c r="DX94" i="29"/>
  <c r="DZ94" i="29"/>
  <c r="EA94" i="29"/>
  <c r="DT95" i="29"/>
  <c r="DU95" i="29"/>
  <c r="DV95" i="29"/>
  <c r="DX95" i="29"/>
  <c r="DY95" i="29"/>
  <c r="DZ95" i="29"/>
  <c r="DR96" i="29"/>
  <c r="DS96" i="29"/>
  <c r="DT96" i="29"/>
  <c r="DV96" i="29"/>
  <c r="DW96" i="29"/>
  <c r="DZ96" i="29"/>
  <c r="EA96" i="29"/>
  <c r="DR97" i="29"/>
  <c r="DT97" i="29"/>
  <c r="DU97" i="29"/>
  <c r="DV97" i="29"/>
  <c r="DW97" i="29"/>
  <c r="DX97" i="29"/>
  <c r="DY97" i="29"/>
  <c r="DZ97" i="29"/>
  <c r="EA97" i="29"/>
  <c r="DR98" i="29"/>
  <c r="DS98" i="29"/>
  <c r="DT98" i="29"/>
  <c r="DU98" i="29"/>
  <c r="DV98" i="29"/>
  <c r="DW98" i="29"/>
  <c r="DX98" i="29"/>
  <c r="DY98" i="29"/>
  <c r="DZ98" i="29"/>
  <c r="EA98" i="29"/>
  <c r="DR99" i="29"/>
  <c r="DS99" i="29"/>
  <c r="DT99" i="29"/>
  <c r="DU99" i="29"/>
  <c r="DV99" i="29"/>
  <c r="DW99" i="29"/>
  <c r="DX99" i="29"/>
  <c r="DY99" i="29"/>
  <c r="DZ99" i="29"/>
  <c r="EA99" i="29"/>
  <c r="DR100" i="29"/>
  <c r="DS100" i="29"/>
  <c r="DT100" i="29"/>
  <c r="DU100" i="29"/>
  <c r="DV100" i="29"/>
  <c r="DW100" i="29"/>
  <c r="DX100" i="29"/>
  <c r="DY100" i="29"/>
  <c r="DZ100" i="29"/>
  <c r="EA100" i="29"/>
  <c r="DR101" i="29"/>
  <c r="DS101" i="29"/>
  <c r="DT101" i="29"/>
  <c r="DU101" i="29"/>
  <c r="DV101" i="29"/>
  <c r="DW101" i="29"/>
  <c r="DX101" i="29"/>
  <c r="DY101" i="29"/>
  <c r="DZ101" i="29"/>
  <c r="EA101" i="29"/>
  <c r="DR102" i="29"/>
  <c r="DS102" i="29"/>
  <c r="DT102" i="29"/>
  <c r="DU102" i="29"/>
  <c r="DV102" i="29"/>
  <c r="DW102" i="29"/>
  <c r="DX102" i="29"/>
  <c r="DY102" i="29"/>
  <c r="DZ102" i="29"/>
  <c r="EA102" i="29"/>
  <c r="DR103" i="29"/>
  <c r="DS103" i="29"/>
  <c r="DT103" i="29"/>
  <c r="DU103" i="29"/>
  <c r="DV103" i="29"/>
  <c r="DW103" i="29"/>
  <c r="DX103" i="29"/>
  <c r="DY103" i="29"/>
  <c r="DZ103" i="29"/>
  <c r="EA103" i="29"/>
  <c r="DR104" i="29"/>
  <c r="DS104" i="29"/>
  <c r="DT104" i="29"/>
  <c r="DU104" i="29"/>
  <c r="DV104" i="29"/>
  <c r="DW104" i="29"/>
  <c r="DX104" i="29"/>
  <c r="DY104" i="29"/>
  <c r="DZ104" i="29"/>
  <c r="EA104" i="29"/>
  <c r="DR105" i="29"/>
  <c r="DS105" i="29"/>
  <c r="DT105" i="29"/>
  <c r="DU105" i="29"/>
  <c r="DV105" i="29"/>
  <c r="DW105" i="29"/>
  <c r="DX105" i="29"/>
  <c r="DY105" i="29"/>
  <c r="DZ105" i="29"/>
  <c r="EA105" i="29"/>
  <c r="DR106" i="29"/>
  <c r="DS106" i="29"/>
  <c r="DT106" i="29"/>
  <c r="DU106" i="29"/>
  <c r="DV106" i="29"/>
  <c r="DW106" i="29"/>
  <c r="DX106" i="29"/>
  <c r="DY106" i="29"/>
  <c r="DZ106" i="29"/>
  <c r="EA106" i="29"/>
  <c r="DR107" i="29"/>
  <c r="DS107" i="29"/>
  <c r="DT107" i="29"/>
  <c r="DU107" i="29"/>
  <c r="DV107" i="29"/>
  <c r="DW107" i="29"/>
  <c r="DX107" i="29"/>
  <c r="DY107" i="29"/>
  <c r="DZ107" i="29"/>
  <c r="EA107" i="29"/>
  <c r="DR108" i="29"/>
  <c r="DS108" i="29"/>
  <c r="DT108" i="29"/>
  <c r="DU108" i="29"/>
  <c r="DV108" i="29"/>
  <c r="DW108" i="29"/>
  <c r="DX108" i="29"/>
  <c r="DY108" i="29"/>
  <c r="DZ108" i="29"/>
  <c r="EA108" i="29"/>
  <c r="DR109" i="29"/>
  <c r="DS109" i="29"/>
  <c r="DT109" i="29"/>
  <c r="DU109" i="29"/>
  <c r="DV109" i="29"/>
  <c r="DW109" i="29"/>
  <c r="DX109" i="29"/>
  <c r="DY109" i="29"/>
  <c r="DZ109" i="29"/>
  <c r="EA109" i="29"/>
  <c r="DR110" i="29"/>
  <c r="DS110" i="29"/>
  <c r="DT110" i="29"/>
  <c r="DU110" i="29"/>
  <c r="DV110" i="29"/>
  <c r="DW110" i="29"/>
  <c r="DX110" i="29"/>
  <c r="DY110" i="29"/>
  <c r="DZ110" i="29"/>
  <c r="EA110" i="29"/>
  <c r="DR111" i="29"/>
  <c r="DS111" i="29"/>
  <c r="DT111" i="29"/>
  <c r="DU111" i="29"/>
  <c r="DV111" i="29"/>
  <c r="DW111" i="29"/>
  <c r="DX111" i="29"/>
  <c r="DY111" i="29"/>
  <c r="DZ111" i="29"/>
  <c r="EA111" i="29"/>
  <c r="DR112" i="29"/>
  <c r="DS112" i="29"/>
  <c r="DT112" i="29"/>
  <c r="DU112" i="29"/>
  <c r="DV112" i="29"/>
  <c r="DW112" i="29"/>
  <c r="DX112" i="29"/>
  <c r="DY112" i="29"/>
  <c r="DZ112" i="29"/>
  <c r="EA112" i="29"/>
  <c r="DR113" i="29"/>
  <c r="DS113" i="29"/>
  <c r="DT113" i="29"/>
  <c r="DU113" i="29"/>
  <c r="DV113" i="29"/>
  <c r="DW113" i="29"/>
  <c r="DX113" i="29"/>
  <c r="DY113" i="29"/>
  <c r="DZ113" i="29"/>
  <c r="EA113" i="29"/>
  <c r="DR114" i="29"/>
  <c r="DS114" i="29"/>
  <c r="DT114" i="29"/>
  <c r="DU114" i="29"/>
  <c r="DV114" i="29"/>
  <c r="DW114" i="29"/>
  <c r="DX114" i="29"/>
  <c r="DY114" i="29"/>
  <c r="DZ114" i="29"/>
  <c r="EA114" i="29"/>
  <c r="DR115" i="29"/>
  <c r="DS115" i="29"/>
  <c r="DT115" i="29"/>
  <c r="DU115" i="29"/>
  <c r="DV115" i="29"/>
  <c r="DW115" i="29"/>
  <c r="DX115" i="29"/>
  <c r="DY115" i="29"/>
  <c r="DZ115" i="29"/>
  <c r="EA115" i="29"/>
  <c r="DR116" i="29"/>
  <c r="DS116" i="29"/>
  <c r="DT116" i="29"/>
  <c r="DU116" i="29"/>
  <c r="DV116" i="29"/>
  <c r="DW116" i="29"/>
  <c r="DX116" i="29"/>
  <c r="DY116" i="29"/>
  <c r="DZ116" i="29"/>
  <c r="EA116" i="29"/>
  <c r="DR117" i="29"/>
  <c r="DS117" i="29"/>
  <c r="DT117" i="29"/>
  <c r="DU117" i="29"/>
  <c r="DV117" i="29"/>
  <c r="DW117" i="29"/>
  <c r="DX117" i="29"/>
  <c r="DY117" i="29"/>
  <c r="DZ117" i="29"/>
  <c r="EA117" i="29"/>
  <c r="DR118" i="29"/>
  <c r="DS118" i="29"/>
  <c r="DT118" i="29"/>
  <c r="DU118" i="29"/>
  <c r="DV118" i="29"/>
  <c r="DW118" i="29"/>
  <c r="DX118" i="29"/>
  <c r="DY118" i="29"/>
  <c r="DZ118" i="29"/>
  <c r="EA118" i="29"/>
  <c r="DR119" i="29"/>
  <c r="DS119" i="29"/>
  <c r="DT119" i="29"/>
  <c r="DU119" i="29"/>
  <c r="DV119" i="29"/>
  <c r="DW119" i="29"/>
  <c r="DX119" i="29"/>
  <c r="DY119" i="29"/>
  <c r="DZ119" i="29"/>
  <c r="EA119" i="29"/>
  <c r="DR120" i="29"/>
  <c r="DS120" i="29"/>
  <c r="DT120" i="29"/>
  <c r="DU120" i="29"/>
  <c r="DV120" i="29"/>
  <c r="DW120" i="29"/>
  <c r="DX120" i="29"/>
  <c r="DY120" i="29"/>
  <c r="DZ120" i="29"/>
  <c r="EA120" i="29"/>
  <c r="DR121" i="29"/>
  <c r="DS121" i="29"/>
  <c r="DT121" i="29"/>
  <c r="DU121" i="29"/>
  <c r="DV121" i="29"/>
  <c r="DW121" i="29"/>
  <c r="DX121" i="29"/>
  <c r="DY121" i="29"/>
  <c r="DZ121" i="29"/>
  <c r="EA121" i="29"/>
  <c r="DR122" i="29"/>
  <c r="DS122" i="29"/>
  <c r="DT122" i="29"/>
  <c r="DU122" i="29"/>
  <c r="DV122" i="29"/>
  <c r="DW122" i="29"/>
  <c r="DX122" i="29"/>
  <c r="DY122" i="29"/>
  <c r="DZ122" i="29"/>
  <c r="EA122" i="29"/>
  <c r="DR123" i="29"/>
  <c r="DS123" i="29"/>
  <c r="DT123" i="29"/>
  <c r="DU123" i="29"/>
  <c r="DV123" i="29"/>
  <c r="DW123" i="29"/>
  <c r="DX123" i="29"/>
  <c r="DY123" i="29"/>
  <c r="DZ123" i="29"/>
  <c r="EA123" i="29"/>
  <c r="DR124" i="29"/>
  <c r="DS124" i="29"/>
  <c r="DT124" i="29"/>
  <c r="DU124" i="29"/>
  <c r="DV124" i="29"/>
  <c r="DW124" i="29"/>
  <c r="DX124" i="29"/>
  <c r="DY124" i="29"/>
  <c r="DZ124" i="29"/>
  <c r="EA124" i="29"/>
  <c r="DR125" i="29"/>
  <c r="DS125" i="29"/>
  <c r="DT125" i="29"/>
  <c r="DU125" i="29"/>
  <c r="DV125" i="29"/>
  <c r="DW125" i="29"/>
  <c r="DX125" i="29"/>
  <c r="DY125" i="29"/>
  <c r="DZ125" i="29"/>
  <c r="EA125" i="29"/>
  <c r="DR126" i="29"/>
  <c r="DS126" i="29"/>
  <c r="DT126" i="29"/>
  <c r="DU126" i="29"/>
  <c r="DV126" i="29"/>
  <c r="DW126" i="29"/>
  <c r="DX126" i="29"/>
  <c r="DY126" i="29"/>
  <c r="DZ126" i="29"/>
  <c r="EA126" i="29"/>
  <c r="DR127" i="29"/>
  <c r="DS127" i="29"/>
  <c r="DT127" i="29"/>
  <c r="DU127" i="29"/>
  <c r="DV127" i="29"/>
  <c r="DW127" i="29"/>
  <c r="DX127" i="29"/>
  <c r="DY127" i="29"/>
  <c r="DZ127" i="29"/>
  <c r="EA127" i="29"/>
  <c r="DR128" i="29"/>
  <c r="DS128" i="29"/>
  <c r="DT128" i="29"/>
  <c r="DU128" i="29"/>
  <c r="DV128" i="29"/>
  <c r="DW128" i="29"/>
  <c r="DX128" i="29"/>
  <c r="DY128" i="29"/>
  <c r="DZ128" i="29"/>
  <c r="EA128" i="29"/>
  <c r="DR129" i="29"/>
  <c r="DS129" i="29"/>
  <c r="DT129" i="29"/>
  <c r="DU129" i="29"/>
  <c r="DV129" i="29"/>
  <c r="DW129" i="29"/>
  <c r="DX129" i="29"/>
  <c r="DY129" i="29"/>
  <c r="DZ129" i="29"/>
  <c r="EA129" i="29"/>
  <c r="DR130" i="29"/>
  <c r="DS130" i="29"/>
  <c r="DT130" i="29"/>
  <c r="DU130" i="29"/>
  <c r="DV130" i="29"/>
  <c r="DW130" i="29"/>
  <c r="DX130" i="29"/>
  <c r="DY130" i="29"/>
  <c r="DZ130" i="29"/>
  <c r="EA130" i="29"/>
  <c r="DR131" i="29"/>
  <c r="DS131" i="29"/>
  <c r="DT131" i="29"/>
  <c r="DU131" i="29"/>
  <c r="DV131" i="29"/>
  <c r="DW131" i="29"/>
  <c r="DX131" i="29"/>
  <c r="DY131" i="29"/>
  <c r="DZ131" i="29"/>
  <c r="EA131" i="29"/>
  <c r="DR132" i="29"/>
  <c r="DS132" i="29"/>
  <c r="DT132" i="29"/>
  <c r="DU132" i="29"/>
  <c r="DV132" i="29"/>
  <c r="DW132" i="29"/>
  <c r="DX132" i="29"/>
  <c r="DY132" i="29"/>
  <c r="DZ132" i="29"/>
  <c r="EA132" i="29"/>
  <c r="DR133" i="29"/>
  <c r="DS133" i="29"/>
  <c r="DT133" i="29"/>
  <c r="DU133" i="29"/>
  <c r="DV133" i="29"/>
  <c r="DW133" i="29"/>
  <c r="DX133" i="29"/>
  <c r="DY133" i="29"/>
  <c r="DZ133" i="29"/>
  <c r="EA133" i="29"/>
  <c r="DR134" i="29"/>
  <c r="DS134" i="29"/>
  <c r="DT134" i="29"/>
  <c r="DU134" i="29"/>
  <c r="DV134" i="29"/>
  <c r="DW134" i="29"/>
  <c r="DX134" i="29"/>
  <c r="DY134" i="29"/>
  <c r="DZ134" i="29"/>
  <c r="EA134" i="29"/>
  <c r="DR135" i="29"/>
  <c r="DS135" i="29"/>
  <c r="DT135" i="29"/>
  <c r="DU135" i="29"/>
  <c r="DV135" i="29"/>
  <c r="DW135" i="29"/>
  <c r="DX135" i="29"/>
  <c r="DY135" i="29"/>
  <c r="DZ135" i="29"/>
  <c r="EA135" i="29"/>
  <c r="DR136" i="29"/>
  <c r="DS136" i="29"/>
  <c r="DT136" i="29"/>
  <c r="DU136" i="29"/>
  <c r="DV136" i="29"/>
  <c r="DW136" i="29"/>
  <c r="DX136" i="29"/>
  <c r="DY136" i="29"/>
  <c r="DZ136" i="29"/>
  <c r="EA136" i="29"/>
  <c r="DR137" i="29"/>
  <c r="DS137" i="29"/>
  <c r="DT137" i="29"/>
  <c r="DU137" i="29"/>
  <c r="DV137" i="29"/>
  <c r="DW137" i="29"/>
  <c r="DX137" i="29"/>
  <c r="DY137" i="29"/>
  <c r="DZ137" i="29"/>
  <c r="EA137" i="29"/>
  <c r="DR138" i="29"/>
  <c r="DS138" i="29"/>
  <c r="DT138" i="29"/>
  <c r="DU138" i="29"/>
  <c r="DV138" i="29"/>
  <c r="DW138" i="29"/>
  <c r="DX138" i="29"/>
  <c r="DY138" i="29"/>
  <c r="DZ138" i="29"/>
  <c r="EA138" i="29"/>
  <c r="DR139" i="29"/>
  <c r="DS139" i="29"/>
  <c r="DT139" i="29"/>
  <c r="DU139" i="29"/>
  <c r="DV139" i="29"/>
  <c r="DW139" i="29"/>
  <c r="DX139" i="29"/>
  <c r="DY139" i="29"/>
  <c r="DZ139" i="29"/>
  <c r="EA139" i="29"/>
  <c r="DR140" i="29"/>
  <c r="DS140" i="29"/>
  <c r="DT140" i="29"/>
  <c r="DU140" i="29"/>
  <c r="DV140" i="29"/>
  <c r="DW140" i="29"/>
  <c r="DX140" i="29"/>
  <c r="DY140" i="29"/>
  <c r="DZ140" i="29"/>
  <c r="EA140" i="29"/>
  <c r="DR141" i="29"/>
  <c r="DS141" i="29"/>
  <c r="DT141" i="29"/>
  <c r="DU141" i="29"/>
  <c r="DV141" i="29"/>
  <c r="DW141" i="29"/>
  <c r="DX141" i="29"/>
  <c r="DY141" i="29"/>
  <c r="DZ141" i="29"/>
  <c r="EA141" i="29"/>
  <c r="DR142" i="29"/>
  <c r="DS142" i="29"/>
  <c r="DT142" i="29"/>
  <c r="DU142" i="29"/>
  <c r="DV142" i="29"/>
  <c r="DW142" i="29"/>
  <c r="DX142" i="29"/>
  <c r="DY142" i="29"/>
  <c r="DZ142" i="29"/>
  <c r="EA142" i="29"/>
  <c r="DR143" i="29"/>
  <c r="DS143" i="29"/>
  <c r="DT143" i="29"/>
  <c r="DU143" i="29"/>
  <c r="DV143" i="29"/>
  <c r="DW143" i="29"/>
  <c r="DX143" i="29"/>
  <c r="DY143" i="29"/>
  <c r="DZ143" i="29"/>
  <c r="EA143" i="29"/>
  <c r="DR144" i="29"/>
  <c r="DS144" i="29"/>
  <c r="DT144" i="29"/>
  <c r="DU144" i="29"/>
  <c r="DV144" i="29"/>
  <c r="DW144" i="29"/>
  <c r="DX144" i="29"/>
  <c r="DY144" i="29"/>
  <c r="DZ144" i="29"/>
  <c r="EA144" i="29"/>
  <c r="DR145" i="29"/>
  <c r="DS145" i="29"/>
  <c r="DT145" i="29"/>
  <c r="DU145" i="29"/>
  <c r="DV145" i="29"/>
  <c r="DW145" i="29"/>
  <c r="DX145" i="29"/>
  <c r="DY145" i="29"/>
  <c r="DZ145" i="29"/>
  <c r="EA145" i="29"/>
  <c r="DR146" i="29"/>
  <c r="DS146" i="29"/>
  <c r="DT146" i="29"/>
  <c r="DU146" i="29"/>
  <c r="DV146" i="29"/>
  <c r="DW146" i="29"/>
  <c r="DX146" i="29"/>
  <c r="DY146" i="29"/>
  <c r="DZ146" i="29"/>
  <c r="EA146" i="29"/>
  <c r="DR147" i="29"/>
  <c r="DS147" i="29"/>
  <c r="DT147" i="29"/>
  <c r="DU147" i="29"/>
  <c r="DV147" i="29"/>
  <c r="DW147" i="29"/>
  <c r="DX147" i="29"/>
  <c r="DY147" i="29"/>
  <c r="DZ147" i="29"/>
  <c r="EA147" i="29"/>
  <c r="DR148" i="29"/>
  <c r="DS148" i="29"/>
  <c r="DT148" i="29"/>
  <c r="DU148" i="29"/>
  <c r="DV148" i="29"/>
  <c r="DW148" i="29"/>
  <c r="DX148" i="29"/>
  <c r="DY148" i="29"/>
  <c r="DZ148" i="29"/>
  <c r="EA148" i="29"/>
  <c r="DR149" i="29"/>
  <c r="DS149" i="29"/>
  <c r="DT149" i="29"/>
  <c r="DU149" i="29"/>
  <c r="DV149" i="29"/>
  <c r="DW149" i="29"/>
  <c r="DX149" i="29"/>
  <c r="DY149" i="29"/>
  <c r="DZ149" i="29"/>
  <c r="EA149" i="29"/>
  <c r="DR150" i="29"/>
  <c r="DS150" i="29"/>
  <c r="DT150" i="29"/>
  <c r="DU150" i="29"/>
  <c r="DV150" i="29"/>
  <c r="DW150" i="29"/>
  <c r="DX150" i="29"/>
  <c r="DY150" i="29"/>
  <c r="DZ150" i="29"/>
  <c r="EA150" i="29"/>
  <c r="DR151" i="29"/>
  <c r="DS151" i="29"/>
  <c r="DT151" i="29"/>
  <c r="DU151" i="29"/>
  <c r="DV151" i="29"/>
  <c r="DW151" i="29"/>
  <c r="DX151" i="29"/>
  <c r="DY151" i="29"/>
  <c r="DZ151" i="29"/>
  <c r="EA151" i="29"/>
  <c r="DR152" i="29"/>
  <c r="DS152" i="29"/>
  <c r="DT152" i="29"/>
  <c r="DU152" i="29"/>
  <c r="DV152" i="29"/>
  <c r="DW152" i="29"/>
  <c r="DX152" i="29"/>
  <c r="DY152" i="29"/>
  <c r="DZ152" i="29"/>
  <c r="EA152" i="29"/>
  <c r="DR153" i="29"/>
  <c r="DS153" i="29"/>
  <c r="DT153" i="29"/>
  <c r="DU153" i="29"/>
  <c r="DV153" i="29"/>
  <c r="DW153" i="29"/>
  <c r="DX153" i="29"/>
  <c r="DY153" i="29"/>
  <c r="DZ153" i="29"/>
  <c r="EA153" i="29"/>
  <c r="DR154" i="29"/>
  <c r="DS154" i="29"/>
  <c r="DT154" i="29"/>
  <c r="DU154" i="29"/>
  <c r="DV154" i="29"/>
  <c r="DW154" i="29"/>
  <c r="DX154" i="29"/>
  <c r="DY154" i="29"/>
  <c r="DZ154" i="29"/>
  <c r="EA154" i="29"/>
  <c r="DR155" i="29"/>
  <c r="DS155" i="29"/>
  <c r="DT155" i="29"/>
  <c r="DU155" i="29"/>
  <c r="DV155" i="29"/>
  <c r="DW155" i="29"/>
  <c r="DX155" i="29"/>
  <c r="DY155" i="29"/>
  <c r="DZ155" i="29"/>
  <c r="EA155" i="29"/>
  <c r="DR156" i="29"/>
  <c r="DS156" i="29"/>
  <c r="DT156" i="29"/>
  <c r="DU156" i="29"/>
  <c r="DV156" i="29"/>
  <c r="DW156" i="29"/>
  <c r="DX156" i="29"/>
  <c r="DY156" i="29"/>
  <c r="DZ156" i="29"/>
  <c r="EA156" i="29"/>
  <c r="DR157" i="29"/>
  <c r="DS157" i="29"/>
  <c r="DT157" i="29"/>
  <c r="DU157" i="29"/>
  <c r="DV157" i="29"/>
  <c r="DW157" i="29"/>
  <c r="DX157" i="29"/>
  <c r="DY157" i="29"/>
  <c r="DZ157" i="29"/>
  <c r="EA157" i="29"/>
  <c r="DR158" i="29"/>
  <c r="DS158" i="29"/>
  <c r="DT158" i="29"/>
  <c r="DU158" i="29"/>
  <c r="DV158" i="29"/>
  <c r="DW158" i="29"/>
  <c r="DX158" i="29"/>
  <c r="DY158" i="29"/>
  <c r="DZ158" i="29"/>
  <c r="EA158" i="29"/>
  <c r="DR159" i="29"/>
  <c r="DS159" i="29"/>
  <c r="DT159" i="29"/>
  <c r="DU159" i="29"/>
  <c r="DV159" i="29"/>
  <c r="DW159" i="29"/>
  <c r="DX159" i="29"/>
  <c r="DY159" i="29"/>
  <c r="DZ159" i="29"/>
  <c r="EA159" i="29"/>
  <c r="DR160" i="29"/>
  <c r="DS160" i="29"/>
  <c r="DT160" i="29"/>
  <c r="DU160" i="29"/>
  <c r="DV160" i="29"/>
  <c r="DW160" i="29"/>
  <c r="DX160" i="29"/>
  <c r="DY160" i="29"/>
  <c r="DZ160" i="29"/>
  <c r="EA160" i="29"/>
  <c r="DR161" i="29"/>
  <c r="DS161" i="29"/>
  <c r="DT161" i="29"/>
  <c r="DU161" i="29"/>
  <c r="DV161" i="29"/>
  <c r="DW161" i="29"/>
  <c r="DX161" i="29"/>
  <c r="DY161" i="29"/>
  <c r="DZ161" i="29"/>
  <c r="EA161" i="29"/>
  <c r="DR162" i="29"/>
  <c r="DS162" i="29"/>
  <c r="DT162" i="29"/>
  <c r="DU162" i="29"/>
  <c r="DV162" i="29"/>
  <c r="DW162" i="29"/>
  <c r="DX162" i="29"/>
  <c r="DY162" i="29"/>
  <c r="DZ162" i="29"/>
  <c r="EA162" i="29"/>
  <c r="DR163" i="29"/>
  <c r="DS163" i="29"/>
  <c r="DT163" i="29"/>
  <c r="DU163" i="29"/>
  <c r="DV163" i="29"/>
  <c r="DW163" i="29"/>
  <c r="DX163" i="29"/>
  <c r="DY163" i="29"/>
  <c r="DZ163" i="29"/>
  <c r="EA163" i="29"/>
  <c r="DR164" i="29"/>
  <c r="DS164" i="29"/>
  <c r="DT164" i="29"/>
  <c r="DU164" i="29"/>
  <c r="DV164" i="29"/>
  <c r="DW164" i="29"/>
  <c r="DX164" i="29"/>
  <c r="DY164" i="29"/>
  <c r="DZ164" i="29"/>
  <c r="EA164" i="29"/>
  <c r="DR165" i="29"/>
  <c r="DS165" i="29"/>
  <c r="DT165" i="29"/>
  <c r="DU165" i="29"/>
  <c r="DV165" i="29"/>
  <c r="DW165" i="29"/>
  <c r="DX165" i="29"/>
  <c r="DY165" i="29"/>
  <c r="DZ165" i="29"/>
  <c r="EA165" i="29"/>
  <c r="DR166" i="29"/>
  <c r="DS166" i="29"/>
  <c r="DT166" i="29"/>
  <c r="DU166" i="29"/>
  <c r="DV166" i="29"/>
  <c r="DW166" i="29"/>
  <c r="DX166" i="29"/>
  <c r="DY166" i="29"/>
  <c r="DZ166" i="29"/>
  <c r="EA166" i="29"/>
  <c r="DR167" i="29"/>
  <c r="DS167" i="29"/>
  <c r="DT167" i="29"/>
  <c r="DU167" i="29"/>
  <c r="DV167" i="29"/>
  <c r="DW167" i="29"/>
  <c r="DX167" i="29"/>
  <c r="DY167" i="29"/>
  <c r="DZ167" i="29"/>
  <c r="EA167" i="29"/>
  <c r="DR168" i="29"/>
  <c r="DS168" i="29"/>
  <c r="DT168" i="29"/>
  <c r="DU168" i="29"/>
  <c r="DV168" i="29"/>
  <c r="DW168" i="29"/>
  <c r="DX168" i="29"/>
  <c r="DY168" i="29"/>
  <c r="DZ168" i="29"/>
  <c r="EA168" i="29"/>
  <c r="DR169" i="29"/>
  <c r="DS169" i="29"/>
  <c r="DT169" i="29"/>
  <c r="DU169" i="29"/>
  <c r="DV169" i="29"/>
  <c r="DW169" i="29"/>
  <c r="DX169" i="29"/>
  <c r="DY169" i="29"/>
  <c r="DZ169" i="29"/>
  <c r="EA169" i="29"/>
  <c r="DR170" i="29"/>
  <c r="DS170" i="29"/>
  <c r="DT170" i="29"/>
  <c r="DU170" i="29"/>
  <c r="DV170" i="29"/>
  <c r="DW170" i="29"/>
  <c r="DX170" i="29"/>
  <c r="DY170" i="29"/>
  <c r="DZ170" i="29"/>
  <c r="EA170" i="29"/>
  <c r="DR171" i="29"/>
  <c r="DS171" i="29"/>
  <c r="DT171" i="29"/>
  <c r="DU171" i="29"/>
  <c r="DV171" i="29"/>
  <c r="DW171" i="29"/>
  <c r="DX171" i="29"/>
  <c r="DY171" i="29"/>
  <c r="DZ171" i="29"/>
  <c r="EA171" i="29"/>
  <c r="DR172" i="29"/>
  <c r="DS172" i="29"/>
  <c r="DT172" i="29"/>
  <c r="DU172" i="29"/>
  <c r="DV172" i="29"/>
  <c r="DW172" i="29"/>
  <c r="DX172" i="29"/>
  <c r="DY172" i="29"/>
  <c r="DZ172" i="29"/>
  <c r="EA172" i="29"/>
  <c r="DR173" i="29"/>
  <c r="DS173" i="29"/>
  <c r="DT173" i="29"/>
  <c r="DU173" i="29"/>
  <c r="DV173" i="29"/>
  <c r="DW173" i="29"/>
  <c r="DX173" i="29"/>
  <c r="DY173" i="29"/>
  <c r="DZ173" i="29"/>
  <c r="EA173" i="29"/>
  <c r="DR174" i="29"/>
  <c r="DS174" i="29"/>
  <c r="DT174" i="29"/>
  <c r="DU174" i="29"/>
  <c r="DV174" i="29"/>
  <c r="DW174" i="29"/>
  <c r="DX174" i="29"/>
  <c r="DY174" i="29"/>
  <c r="DZ174" i="29"/>
  <c r="EA174" i="29"/>
  <c r="DR175" i="29"/>
  <c r="DS175" i="29"/>
  <c r="DT175" i="29"/>
  <c r="DU175" i="29"/>
  <c r="DV175" i="29"/>
  <c r="DW175" i="29"/>
  <c r="DX175" i="29"/>
  <c r="DY175" i="29"/>
  <c r="DZ175" i="29"/>
  <c r="EA175" i="29"/>
  <c r="DR176" i="29"/>
  <c r="DS176" i="29"/>
  <c r="DT176" i="29"/>
  <c r="DU176" i="29"/>
  <c r="DV176" i="29"/>
  <c r="DW176" i="29"/>
  <c r="DX176" i="29"/>
  <c r="DY176" i="29"/>
  <c r="DZ176" i="29"/>
  <c r="EA176" i="29"/>
  <c r="DR177" i="29"/>
  <c r="DS177" i="29"/>
  <c r="DT177" i="29"/>
  <c r="DU177" i="29"/>
  <c r="DV177" i="29"/>
  <c r="DW177" i="29"/>
  <c r="DX177" i="29"/>
  <c r="DY177" i="29"/>
  <c r="DZ177" i="29"/>
  <c r="EA177" i="29"/>
  <c r="DR178" i="29"/>
  <c r="DS178" i="29"/>
  <c r="DT178" i="29"/>
  <c r="DU178" i="29"/>
  <c r="DV178" i="29"/>
  <c r="DW178" i="29"/>
  <c r="DX178" i="29"/>
  <c r="DY178" i="29"/>
  <c r="DZ178" i="29"/>
  <c r="EA178" i="29"/>
  <c r="DR179" i="29"/>
  <c r="DS179" i="29"/>
  <c r="DT179" i="29"/>
  <c r="DU179" i="29"/>
  <c r="DV179" i="29"/>
  <c r="DW179" i="29"/>
  <c r="DX179" i="29"/>
  <c r="DY179" i="29"/>
  <c r="DZ179" i="29"/>
  <c r="EA179" i="29"/>
  <c r="DR180" i="29"/>
  <c r="DS180" i="29"/>
  <c r="DT180" i="29"/>
  <c r="DU180" i="29"/>
  <c r="DV180" i="29"/>
  <c r="DW180" i="29"/>
  <c r="DX180" i="29"/>
  <c r="DY180" i="29"/>
  <c r="DZ180" i="29"/>
  <c r="EA180" i="29"/>
  <c r="DR181" i="29"/>
  <c r="DS181" i="29"/>
  <c r="DT181" i="29"/>
  <c r="DU181" i="29"/>
  <c r="DV181" i="29"/>
  <c r="DW181" i="29"/>
  <c r="DX181" i="29"/>
  <c r="DY181" i="29"/>
  <c r="DZ181" i="29"/>
  <c r="EA181" i="29"/>
  <c r="DR182" i="29"/>
  <c r="DS182" i="29"/>
  <c r="DT182" i="29"/>
  <c r="DU182" i="29"/>
  <c r="DV182" i="29"/>
  <c r="DW182" i="29"/>
  <c r="DX182" i="29"/>
  <c r="DY182" i="29"/>
  <c r="DZ182" i="29"/>
  <c r="EA182" i="29"/>
  <c r="DR183" i="29"/>
  <c r="DS183" i="29"/>
  <c r="DT183" i="29"/>
  <c r="DU183" i="29"/>
  <c r="DV183" i="29"/>
  <c r="DW183" i="29"/>
  <c r="DX183" i="29"/>
  <c r="DY183" i="29"/>
  <c r="DZ183" i="29"/>
  <c r="EA183" i="29"/>
  <c r="DR184" i="29"/>
  <c r="DS184" i="29"/>
  <c r="DT184" i="29"/>
  <c r="DU184" i="29"/>
  <c r="DV184" i="29"/>
  <c r="DW184" i="29"/>
  <c r="DX184" i="29"/>
  <c r="DY184" i="29"/>
  <c r="DZ184" i="29"/>
  <c r="EA184" i="29"/>
  <c r="DR185" i="29"/>
  <c r="DS185" i="29"/>
  <c r="DT185" i="29"/>
  <c r="DU185" i="29"/>
  <c r="DV185" i="29"/>
  <c r="DW185" i="29"/>
  <c r="DX185" i="29"/>
  <c r="DY185" i="29"/>
  <c r="DZ185" i="29"/>
  <c r="EA185" i="29"/>
  <c r="DR186" i="29"/>
  <c r="DS186" i="29"/>
  <c r="DT186" i="29"/>
  <c r="DU186" i="29"/>
  <c r="DV186" i="29"/>
  <c r="DW186" i="29"/>
  <c r="DX186" i="29"/>
  <c r="DY186" i="29"/>
  <c r="DZ186" i="29"/>
  <c r="EA186" i="29"/>
  <c r="DR187" i="29"/>
  <c r="DS187" i="29"/>
  <c r="DT187" i="29"/>
  <c r="DU187" i="29"/>
  <c r="DV187" i="29"/>
  <c r="DW187" i="29"/>
  <c r="DX187" i="29"/>
  <c r="DY187" i="29"/>
  <c r="DZ187" i="29"/>
  <c r="EA187" i="29"/>
  <c r="DR188" i="29"/>
  <c r="DS188" i="29"/>
  <c r="DT188" i="29"/>
  <c r="DU188" i="29"/>
  <c r="DV188" i="29"/>
  <c r="DW188" i="29"/>
  <c r="DX188" i="29"/>
  <c r="DY188" i="29"/>
  <c r="DZ188" i="29"/>
  <c r="EA188" i="29"/>
  <c r="DR189" i="29"/>
  <c r="DS189" i="29"/>
  <c r="DT189" i="29"/>
  <c r="DU189" i="29"/>
  <c r="DV189" i="29"/>
  <c r="DW189" i="29"/>
  <c r="DX189" i="29"/>
  <c r="DY189" i="29"/>
  <c r="DZ189" i="29"/>
  <c r="EA189" i="29"/>
  <c r="DR190" i="29"/>
  <c r="DS190" i="29"/>
  <c r="DT190" i="29"/>
  <c r="DU190" i="29"/>
  <c r="DV190" i="29"/>
  <c r="DW190" i="29"/>
  <c r="DX190" i="29"/>
  <c r="DY190" i="29"/>
  <c r="DZ190" i="29"/>
  <c r="EA190" i="29"/>
  <c r="DR191" i="29"/>
  <c r="DS191" i="29"/>
  <c r="DT191" i="29"/>
  <c r="DU191" i="29"/>
  <c r="DV191" i="29"/>
  <c r="DW191" i="29"/>
  <c r="DX191" i="29"/>
  <c r="DY191" i="29"/>
  <c r="DZ191" i="29"/>
  <c r="EA191" i="29"/>
  <c r="DR192" i="29"/>
  <c r="DS192" i="29"/>
  <c r="DT192" i="29"/>
  <c r="DU192" i="29"/>
  <c r="DV192" i="29"/>
  <c r="DW192" i="29"/>
  <c r="DX192" i="29"/>
  <c r="DY192" i="29"/>
  <c r="DZ192" i="29"/>
  <c r="EA192" i="29"/>
  <c r="DR193" i="29"/>
  <c r="DS193" i="29"/>
  <c r="DT193" i="29"/>
  <c r="DU193" i="29"/>
  <c r="DV193" i="29"/>
  <c r="DW193" i="29"/>
  <c r="DX193" i="29"/>
  <c r="DY193" i="29"/>
  <c r="DZ193" i="29"/>
  <c r="EA193" i="29"/>
  <c r="DR194" i="29"/>
  <c r="DS194" i="29"/>
  <c r="DT194" i="29"/>
  <c r="DU194" i="29"/>
  <c r="DV194" i="29"/>
  <c r="DW194" i="29"/>
  <c r="DX194" i="29"/>
  <c r="DY194" i="29"/>
  <c r="DZ194" i="29"/>
  <c r="EA194" i="29"/>
  <c r="DR195" i="29"/>
  <c r="DS195" i="29"/>
  <c r="DT195" i="29"/>
  <c r="DU195" i="29"/>
  <c r="DV195" i="29"/>
  <c r="DW195" i="29"/>
  <c r="DX195" i="29"/>
  <c r="DY195" i="29"/>
  <c r="DZ195" i="29"/>
  <c r="EA195" i="29"/>
  <c r="DR196" i="29"/>
  <c r="DS196" i="29"/>
  <c r="DT196" i="29"/>
  <c r="DU196" i="29"/>
  <c r="DV196" i="29"/>
  <c r="DW196" i="29"/>
  <c r="DX196" i="29"/>
  <c r="DY196" i="29"/>
  <c r="DZ196" i="29"/>
  <c r="EA196" i="29"/>
  <c r="DR197" i="29"/>
  <c r="DS197" i="29"/>
  <c r="DT197" i="29"/>
  <c r="DU197" i="29"/>
  <c r="DV197" i="29"/>
  <c r="DW197" i="29"/>
  <c r="DX197" i="29"/>
  <c r="DY197" i="29"/>
  <c r="DZ197" i="29"/>
  <c r="EA197" i="29"/>
  <c r="DR198" i="29"/>
  <c r="DS198" i="29"/>
  <c r="DT198" i="29"/>
  <c r="DU198" i="29"/>
  <c r="DV198" i="29"/>
  <c r="DW198" i="29"/>
  <c r="DX198" i="29"/>
  <c r="DY198" i="29"/>
  <c r="DZ198" i="29"/>
  <c r="EA198" i="29"/>
  <c r="DR199" i="29"/>
  <c r="DS199" i="29"/>
  <c r="DT199" i="29"/>
  <c r="DU199" i="29"/>
  <c r="DV199" i="29"/>
  <c r="DW199" i="29"/>
  <c r="DX199" i="29"/>
  <c r="DY199" i="29"/>
  <c r="DZ199" i="29"/>
  <c r="EA199" i="29"/>
  <c r="DR200" i="29"/>
  <c r="DS200" i="29"/>
  <c r="DT200" i="29"/>
  <c r="DU200" i="29"/>
  <c r="DV200" i="29"/>
  <c r="DW200" i="29"/>
  <c r="DX200" i="29"/>
  <c r="DY200" i="29"/>
  <c r="DZ200" i="29"/>
  <c r="EA200" i="29"/>
  <c r="DR201" i="29"/>
  <c r="DS201" i="29"/>
  <c r="DT201" i="29"/>
  <c r="DU201" i="29"/>
  <c r="DV201" i="29"/>
  <c r="DW201" i="29"/>
  <c r="DX201" i="29"/>
  <c r="DY201" i="29"/>
  <c r="DZ201" i="29"/>
  <c r="EA201" i="29"/>
  <c r="DR202" i="29"/>
  <c r="DS202" i="29"/>
  <c r="DT202" i="29"/>
  <c r="DU202" i="29"/>
  <c r="DV202" i="29"/>
  <c r="DW202" i="29"/>
  <c r="DX202" i="29"/>
  <c r="DY202" i="29"/>
  <c r="DZ202" i="29"/>
  <c r="EA202" i="29"/>
  <c r="DR203" i="29"/>
  <c r="DS203" i="29"/>
  <c r="DT203" i="29"/>
  <c r="DU203" i="29"/>
  <c r="DV203" i="29"/>
  <c r="DW203" i="29"/>
  <c r="DX203" i="29"/>
  <c r="DY203" i="29"/>
  <c r="DZ203" i="29"/>
  <c r="EA203" i="29"/>
  <c r="DR204" i="29"/>
  <c r="DS204" i="29"/>
  <c r="DT204" i="29"/>
  <c r="DU204" i="29"/>
  <c r="DV204" i="29"/>
  <c r="DW204" i="29"/>
  <c r="DX204" i="29"/>
  <c r="DY204" i="29"/>
  <c r="DZ204" i="29"/>
  <c r="EA204" i="29"/>
  <c r="DR205" i="29"/>
  <c r="DS205" i="29"/>
  <c r="DT205" i="29"/>
  <c r="DU205" i="29"/>
  <c r="DV205" i="29"/>
  <c r="DW205" i="29"/>
  <c r="DX205" i="29"/>
  <c r="DY205" i="29"/>
  <c r="DZ205" i="29"/>
  <c r="EA205" i="29"/>
  <c r="DR206" i="29"/>
  <c r="DS206" i="29"/>
  <c r="DT206" i="29"/>
  <c r="DU206" i="29"/>
  <c r="DV206" i="29"/>
  <c r="DW206" i="29"/>
  <c r="DX206" i="29"/>
  <c r="DY206" i="29"/>
  <c r="DZ206" i="29"/>
  <c r="EA206" i="29"/>
  <c r="DR207" i="29"/>
  <c r="DS207" i="29"/>
  <c r="DT207" i="29"/>
  <c r="DU207" i="29"/>
  <c r="DV207" i="29"/>
  <c r="DW207" i="29"/>
  <c r="DX207" i="29"/>
  <c r="DY207" i="29"/>
  <c r="DZ207" i="29"/>
  <c r="EA207" i="29"/>
  <c r="DR208" i="29"/>
  <c r="DS208" i="29"/>
  <c r="DT208" i="29"/>
  <c r="DU208" i="29"/>
  <c r="DV208" i="29"/>
  <c r="DW208" i="29"/>
  <c r="DX208" i="29"/>
  <c r="DY208" i="29"/>
  <c r="DZ208" i="29"/>
  <c r="EA208" i="29"/>
  <c r="DR209" i="29"/>
  <c r="DS209" i="29"/>
  <c r="DT209" i="29"/>
  <c r="DU209" i="29"/>
  <c r="DV209" i="29"/>
  <c r="DW209" i="29"/>
  <c r="DX209" i="29"/>
  <c r="DY209" i="29"/>
  <c r="DZ209" i="29"/>
  <c r="EA209" i="29"/>
  <c r="DR210" i="29"/>
  <c r="DS210" i="29"/>
  <c r="DT210" i="29"/>
  <c r="DU210" i="29"/>
  <c r="DV210" i="29"/>
  <c r="DW210" i="29"/>
  <c r="DX210" i="29"/>
  <c r="DY210" i="29"/>
  <c r="DZ210" i="29"/>
  <c r="EA210" i="29"/>
  <c r="DR211" i="29"/>
  <c r="DS211" i="29"/>
  <c r="DT211" i="29"/>
  <c r="DU211" i="29"/>
  <c r="DV211" i="29"/>
  <c r="DW211" i="29"/>
  <c r="DX211" i="29"/>
  <c r="DY211" i="29"/>
  <c r="DZ211" i="29"/>
  <c r="EA211" i="29"/>
  <c r="DR212" i="29"/>
  <c r="DS212" i="29"/>
  <c r="DT212" i="29"/>
  <c r="DU212" i="29"/>
  <c r="DV212" i="29"/>
  <c r="DW212" i="29"/>
  <c r="DX212" i="29"/>
  <c r="DY212" i="29"/>
  <c r="DZ212" i="29"/>
  <c r="EA212" i="29"/>
  <c r="DR213" i="29"/>
  <c r="DS213" i="29"/>
  <c r="DT213" i="29"/>
  <c r="DU213" i="29"/>
  <c r="DV213" i="29"/>
  <c r="DW213" i="29"/>
  <c r="DX213" i="29"/>
  <c r="DY213" i="29"/>
  <c r="DZ213" i="29"/>
  <c r="EA213" i="29"/>
  <c r="DR214" i="29"/>
  <c r="DS214" i="29"/>
  <c r="DT214" i="29"/>
  <c r="DU214" i="29"/>
  <c r="DV214" i="29"/>
  <c r="DW214" i="29"/>
  <c r="DX214" i="29"/>
  <c r="DY214" i="29"/>
  <c r="DZ214" i="29"/>
  <c r="EA214" i="29"/>
  <c r="DR215" i="29"/>
  <c r="DS215" i="29"/>
  <c r="DT215" i="29"/>
  <c r="DU215" i="29"/>
  <c r="DV215" i="29"/>
  <c r="DW215" i="29"/>
  <c r="DX215" i="29"/>
  <c r="DY215" i="29"/>
  <c r="DZ215" i="29"/>
  <c r="EA215" i="29"/>
  <c r="DR216" i="29"/>
  <c r="DS216" i="29"/>
  <c r="DT216" i="29"/>
  <c r="DU216" i="29"/>
  <c r="DV216" i="29"/>
  <c r="DW216" i="29"/>
  <c r="DX216" i="29"/>
  <c r="DY216" i="29"/>
  <c r="DZ216" i="29"/>
  <c r="EA216" i="29"/>
  <c r="DR217" i="29"/>
  <c r="DS217" i="29"/>
  <c r="DT217" i="29"/>
  <c r="DU217" i="29"/>
  <c r="DV217" i="29"/>
  <c r="DW217" i="29"/>
  <c r="DX217" i="29"/>
  <c r="DY217" i="29"/>
  <c r="DZ217" i="29"/>
  <c r="EA217" i="29"/>
  <c r="DR218" i="29"/>
  <c r="DS218" i="29"/>
  <c r="DT218" i="29"/>
  <c r="DU218" i="29"/>
  <c r="DV218" i="29"/>
  <c r="DW218" i="29"/>
  <c r="DX218" i="29"/>
  <c r="DY218" i="29"/>
  <c r="DZ218" i="29"/>
  <c r="EA218" i="29"/>
  <c r="DR219" i="29"/>
  <c r="DS219" i="29"/>
  <c r="DT219" i="29"/>
  <c r="DU219" i="29"/>
  <c r="DV219" i="29"/>
  <c r="DW219" i="29"/>
  <c r="DX219" i="29"/>
  <c r="DY219" i="29"/>
  <c r="DZ219" i="29"/>
  <c r="EA219" i="29"/>
  <c r="DR220" i="29"/>
  <c r="DS220" i="29"/>
  <c r="DT220" i="29"/>
  <c r="DU220" i="29"/>
  <c r="DV220" i="29"/>
  <c r="DW220" i="29"/>
  <c r="DX220" i="29"/>
  <c r="DY220" i="29"/>
  <c r="DZ220" i="29"/>
  <c r="EA220" i="29"/>
  <c r="DR221" i="29"/>
  <c r="DS221" i="29"/>
  <c r="DT221" i="29"/>
  <c r="DU221" i="29"/>
  <c r="DV221" i="29"/>
  <c r="DW221" i="29"/>
  <c r="DX221" i="29"/>
  <c r="DY221" i="29"/>
  <c r="DZ221" i="29"/>
  <c r="EA221" i="29"/>
  <c r="DR222" i="29"/>
  <c r="DS222" i="29"/>
  <c r="DT222" i="29"/>
  <c r="DU222" i="29"/>
  <c r="DV222" i="29"/>
  <c r="DW222" i="29"/>
  <c r="DX222" i="29"/>
  <c r="DY222" i="29"/>
  <c r="DZ222" i="29"/>
  <c r="EA222" i="29"/>
  <c r="DR223" i="29"/>
  <c r="DS223" i="29"/>
  <c r="DT223" i="29"/>
  <c r="DU223" i="29"/>
  <c r="DV223" i="29"/>
  <c r="DW223" i="29"/>
  <c r="DX223" i="29"/>
  <c r="DY223" i="29"/>
  <c r="DZ223" i="29"/>
  <c r="EA223" i="29"/>
  <c r="DR224" i="29"/>
  <c r="DS224" i="29"/>
  <c r="DT224" i="29"/>
  <c r="DU224" i="29"/>
  <c r="DV224" i="29"/>
  <c r="DW224" i="29"/>
  <c r="DX224" i="29"/>
  <c r="DY224" i="29"/>
  <c r="DZ224" i="29"/>
  <c r="EA224" i="29"/>
  <c r="DR225" i="29"/>
  <c r="DS225" i="29"/>
  <c r="DT225" i="29"/>
  <c r="DU225" i="29"/>
  <c r="DV225" i="29"/>
  <c r="DW225" i="29"/>
  <c r="DX225" i="29"/>
  <c r="DY225" i="29"/>
  <c r="DZ225" i="29"/>
  <c r="EA225" i="29"/>
  <c r="DR226" i="29"/>
  <c r="DS226" i="29"/>
  <c r="DT226" i="29"/>
  <c r="DU226" i="29"/>
  <c r="DV226" i="29"/>
  <c r="DW226" i="29"/>
  <c r="DX226" i="29"/>
  <c r="DY226" i="29"/>
  <c r="DZ226" i="29"/>
  <c r="EA226" i="29"/>
  <c r="DR227" i="29"/>
  <c r="DS227" i="29"/>
  <c r="DT227" i="29"/>
  <c r="DU227" i="29"/>
  <c r="DV227" i="29"/>
  <c r="DW227" i="29"/>
  <c r="DX227" i="29"/>
  <c r="DY227" i="29"/>
  <c r="DZ227" i="29"/>
  <c r="EA227" i="29"/>
  <c r="DR228" i="29"/>
  <c r="DS228" i="29"/>
  <c r="DT228" i="29"/>
  <c r="DU228" i="29"/>
  <c r="DV228" i="29"/>
  <c r="DW228" i="29"/>
  <c r="DX228" i="29"/>
  <c r="DY228" i="29"/>
  <c r="DZ228" i="29"/>
  <c r="EA228" i="29"/>
  <c r="DR229" i="29"/>
  <c r="DS229" i="29"/>
  <c r="DT229" i="29"/>
  <c r="DU229" i="29"/>
  <c r="DV229" i="29"/>
  <c r="DW229" i="29"/>
  <c r="DX229" i="29"/>
  <c r="DY229" i="29"/>
  <c r="DZ229" i="29"/>
  <c r="EA229" i="29"/>
  <c r="DR230" i="29"/>
  <c r="DS230" i="29"/>
  <c r="DT230" i="29"/>
  <c r="DU230" i="29"/>
  <c r="DV230" i="29"/>
  <c r="DW230" i="29"/>
  <c r="DX230" i="29"/>
  <c r="DY230" i="29"/>
  <c r="DZ230" i="29"/>
  <c r="EA230" i="29"/>
  <c r="DR231" i="29"/>
  <c r="DS231" i="29"/>
  <c r="DT231" i="29"/>
  <c r="DU231" i="29"/>
  <c r="DV231" i="29"/>
  <c r="DW231" i="29"/>
  <c r="DX231" i="29"/>
  <c r="DY231" i="29"/>
  <c r="DZ231" i="29"/>
  <c r="EA231" i="29"/>
  <c r="DR232" i="29"/>
  <c r="DS232" i="29"/>
  <c r="DT232" i="29"/>
  <c r="DU232" i="29"/>
  <c r="DV232" i="29"/>
  <c r="DW232" i="29"/>
  <c r="DX232" i="29"/>
  <c r="DY232" i="29"/>
  <c r="DZ232" i="29"/>
  <c r="EA232" i="29"/>
  <c r="DR233" i="29"/>
  <c r="DS233" i="29"/>
  <c r="DT233" i="29"/>
  <c r="DU233" i="29"/>
  <c r="DV233" i="29"/>
  <c r="DW233" i="29"/>
  <c r="DX233" i="29"/>
  <c r="DY233" i="29"/>
  <c r="DZ233" i="29"/>
  <c r="EA233" i="29"/>
  <c r="DR234" i="29"/>
  <c r="DS234" i="29"/>
  <c r="DT234" i="29"/>
  <c r="DU234" i="29"/>
  <c r="DV234" i="29"/>
  <c r="DW234" i="29"/>
  <c r="DX234" i="29"/>
  <c r="DY234" i="29"/>
  <c r="DZ234" i="29"/>
  <c r="EA234" i="29"/>
  <c r="DR235" i="29"/>
  <c r="DS235" i="29"/>
  <c r="DT235" i="29"/>
  <c r="DU235" i="29"/>
  <c r="DV235" i="29"/>
  <c r="DW235" i="29"/>
  <c r="DX235" i="29"/>
  <c r="DY235" i="29"/>
  <c r="DZ235" i="29"/>
  <c r="EA235" i="29"/>
  <c r="DR236" i="29"/>
  <c r="DS236" i="29"/>
  <c r="DT236" i="29"/>
  <c r="DU236" i="29"/>
  <c r="DV236" i="29"/>
  <c r="DW236" i="29"/>
  <c r="DX236" i="29"/>
  <c r="DY236" i="29"/>
  <c r="DZ236" i="29"/>
  <c r="EA236" i="29"/>
  <c r="DR237" i="29"/>
  <c r="DS237" i="29"/>
  <c r="DT237" i="29"/>
  <c r="DU237" i="29"/>
  <c r="DV237" i="29"/>
  <c r="DW237" i="29"/>
  <c r="DX237" i="29"/>
  <c r="DY237" i="29"/>
  <c r="DZ237" i="29"/>
  <c r="EA237" i="29"/>
  <c r="DR238" i="29"/>
  <c r="DS238" i="29"/>
  <c r="DT238" i="29"/>
  <c r="DU238" i="29"/>
  <c r="DV238" i="29"/>
  <c r="DW238" i="29"/>
  <c r="DX238" i="29"/>
  <c r="DY238" i="29"/>
  <c r="DZ238" i="29"/>
  <c r="EA238" i="29"/>
  <c r="DR239" i="29"/>
  <c r="DS239" i="29"/>
  <c r="DT239" i="29"/>
  <c r="DU239" i="29"/>
  <c r="DV239" i="29"/>
  <c r="DW239" i="29"/>
  <c r="DX239" i="29"/>
  <c r="DY239" i="29"/>
  <c r="DZ239" i="29"/>
  <c r="EA239" i="29"/>
  <c r="DR240" i="29"/>
  <c r="DS240" i="29"/>
  <c r="DT240" i="29"/>
  <c r="DU240" i="29"/>
  <c r="DV240" i="29"/>
  <c r="DW240" i="29"/>
  <c r="DX240" i="29"/>
  <c r="DY240" i="29"/>
  <c r="DZ240" i="29"/>
  <c r="EA240" i="29"/>
  <c r="DR241" i="29"/>
  <c r="DS241" i="29"/>
  <c r="DT241" i="29"/>
  <c r="DU241" i="29"/>
  <c r="DV241" i="29"/>
  <c r="DW241" i="29"/>
  <c r="DX241" i="29"/>
  <c r="DY241" i="29"/>
  <c r="DZ241" i="29"/>
  <c r="EA241" i="29"/>
  <c r="DR242" i="29"/>
  <c r="DS242" i="29"/>
  <c r="DT242" i="29"/>
  <c r="DU242" i="29"/>
  <c r="DV242" i="29"/>
  <c r="DW242" i="29"/>
  <c r="DX242" i="29"/>
  <c r="DY242" i="29"/>
  <c r="DZ242" i="29"/>
  <c r="EA242" i="29"/>
  <c r="DR243" i="29"/>
  <c r="DS243" i="29"/>
  <c r="DT243" i="29"/>
  <c r="DU243" i="29"/>
  <c r="DV243" i="29"/>
  <c r="DW243" i="29"/>
  <c r="DX243" i="29"/>
  <c r="DY243" i="29"/>
  <c r="DZ243" i="29"/>
  <c r="EA243" i="29"/>
  <c r="DR244" i="29"/>
  <c r="DS244" i="29"/>
  <c r="DT244" i="29"/>
  <c r="DU244" i="29"/>
  <c r="DV244" i="29"/>
  <c r="DW244" i="29"/>
  <c r="DX244" i="29"/>
  <c r="DY244" i="29"/>
  <c r="DZ244" i="29"/>
  <c r="EA244" i="29"/>
  <c r="DR245" i="29"/>
  <c r="DS245" i="29"/>
  <c r="DT245" i="29"/>
  <c r="DU245" i="29"/>
  <c r="DV245" i="29"/>
  <c r="DW245" i="29"/>
  <c r="DX245" i="29"/>
  <c r="DY245" i="29"/>
  <c r="DZ245" i="29"/>
  <c r="EA245" i="29"/>
  <c r="DR246" i="29"/>
  <c r="DS246" i="29"/>
  <c r="DT246" i="29"/>
  <c r="DU246" i="29"/>
  <c r="DV246" i="29"/>
  <c r="DW246" i="29"/>
  <c r="DX246" i="29"/>
  <c r="DY246" i="29"/>
  <c r="DZ246" i="29"/>
  <c r="EA246" i="29"/>
  <c r="DR247" i="29"/>
  <c r="DS247" i="29"/>
  <c r="DT247" i="29"/>
  <c r="DU247" i="29"/>
  <c r="DV247" i="29"/>
  <c r="DW247" i="29"/>
  <c r="DX247" i="29"/>
  <c r="DY247" i="29"/>
  <c r="DZ247" i="29"/>
  <c r="EA247" i="29"/>
  <c r="DR248" i="29"/>
  <c r="DS248" i="29"/>
  <c r="DT248" i="29"/>
  <c r="DU248" i="29"/>
  <c r="DV248" i="29"/>
  <c r="DW248" i="29"/>
  <c r="DX248" i="29"/>
  <c r="DY248" i="29"/>
  <c r="DZ248" i="29"/>
  <c r="EA248" i="29"/>
  <c r="DR249" i="29"/>
  <c r="DS249" i="29"/>
  <c r="DT249" i="29"/>
  <c r="DU249" i="29"/>
  <c r="DV249" i="29"/>
  <c r="DW249" i="29"/>
  <c r="DX249" i="29"/>
  <c r="DY249" i="29"/>
  <c r="DZ249" i="29"/>
  <c r="EA249" i="29"/>
  <c r="DR250" i="29"/>
  <c r="DS250" i="29"/>
  <c r="DT250" i="29"/>
  <c r="DU250" i="29"/>
  <c r="DV250" i="29"/>
  <c r="DW250" i="29"/>
  <c r="DX250" i="29"/>
  <c r="DY250" i="29"/>
  <c r="DZ250" i="29"/>
  <c r="EA250" i="29"/>
  <c r="DR251" i="29"/>
  <c r="DS251" i="29"/>
  <c r="DT251" i="29"/>
  <c r="DU251" i="29"/>
  <c r="DV251" i="29"/>
  <c r="DW251" i="29"/>
  <c r="DX251" i="29"/>
  <c r="DY251" i="29"/>
  <c r="DZ251" i="29"/>
  <c r="EA251" i="29"/>
  <c r="DR252" i="29"/>
  <c r="DS252" i="29"/>
  <c r="DT252" i="29"/>
  <c r="DU252" i="29"/>
  <c r="DV252" i="29"/>
  <c r="DW252" i="29"/>
  <c r="DX252" i="29"/>
  <c r="DY252" i="29"/>
  <c r="DZ252" i="29"/>
  <c r="EA252" i="29"/>
  <c r="DR253" i="29"/>
  <c r="DS253" i="29"/>
  <c r="DT253" i="29"/>
  <c r="DU253" i="29"/>
  <c r="DV253" i="29"/>
  <c r="DW253" i="29"/>
  <c r="DX253" i="29"/>
  <c r="DY253" i="29"/>
  <c r="DZ253" i="29"/>
  <c r="EA253" i="29"/>
  <c r="DR254" i="29"/>
  <c r="DS254" i="29"/>
  <c r="DT254" i="29"/>
  <c r="DU254" i="29"/>
  <c r="DV254" i="29"/>
  <c r="DW254" i="29"/>
  <c r="DX254" i="29"/>
  <c r="DY254" i="29"/>
  <c r="DZ254" i="29"/>
  <c r="EA254" i="29"/>
  <c r="DR255" i="29"/>
  <c r="DS255" i="29"/>
  <c r="DT255" i="29"/>
  <c r="DU255" i="29"/>
  <c r="DV255" i="29"/>
  <c r="DW255" i="29"/>
  <c r="DX255" i="29"/>
  <c r="DY255" i="29"/>
  <c r="DZ255" i="29"/>
  <c r="EA255" i="29"/>
  <c r="DR256" i="29"/>
  <c r="DS256" i="29"/>
  <c r="DT256" i="29"/>
  <c r="DU256" i="29"/>
  <c r="DV256" i="29"/>
  <c r="DW256" i="29"/>
  <c r="DX256" i="29"/>
  <c r="DY256" i="29"/>
  <c r="DZ256" i="29"/>
  <c r="EA256" i="29"/>
  <c r="DR257" i="29"/>
  <c r="DS257" i="29"/>
  <c r="DT257" i="29"/>
  <c r="DU257" i="29"/>
  <c r="DV257" i="29"/>
  <c r="DW257" i="29"/>
  <c r="DX257" i="29"/>
  <c r="DY257" i="29"/>
  <c r="DZ257" i="29"/>
  <c r="EA257" i="29"/>
  <c r="DR258" i="29"/>
  <c r="DS258" i="29"/>
  <c r="DT258" i="29"/>
  <c r="DU258" i="29"/>
  <c r="DV258" i="29"/>
  <c r="DW258" i="29"/>
  <c r="DX258" i="29"/>
  <c r="DY258" i="29"/>
  <c r="DZ258" i="29"/>
  <c r="EA258" i="29"/>
  <c r="DR259" i="29"/>
  <c r="DS259" i="29"/>
  <c r="DT259" i="29"/>
  <c r="DU259" i="29"/>
  <c r="DV259" i="29"/>
  <c r="DW259" i="29"/>
  <c r="DX259" i="29"/>
  <c r="DY259" i="29"/>
  <c r="DZ259" i="29"/>
  <c r="EA259" i="29"/>
  <c r="DR260" i="29"/>
  <c r="DS260" i="29"/>
  <c r="DT260" i="29"/>
  <c r="DU260" i="29"/>
  <c r="DV260" i="29"/>
  <c r="DW260" i="29"/>
  <c r="DX260" i="29"/>
  <c r="DY260" i="29"/>
  <c r="DZ260" i="29"/>
  <c r="EA260" i="29"/>
  <c r="DR261" i="29"/>
  <c r="DS261" i="29"/>
  <c r="DT261" i="29"/>
  <c r="DU261" i="29"/>
  <c r="DV261" i="29"/>
  <c r="DW261" i="29"/>
  <c r="DX261" i="29"/>
  <c r="DY261" i="29"/>
  <c r="DZ261" i="29"/>
  <c r="EA261" i="29"/>
  <c r="DR262" i="29"/>
  <c r="DS262" i="29"/>
  <c r="DT262" i="29"/>
  <c r="DU262" i="29"/>
  <c r="DV262" i="29"/>
  <c r="DW262" i="29"/>
  <c r="DX262" i="29"/>
  <c r="DY262" i="29"/>
  <c r="DZ262" i="29"/>
  <c r="EA262" i="29"/>
  <c r="DR263" i="29"/>
  <c r="DS263" i="29"/>
  <c r="DT263" i="29"/>
  <c r="DU263" i="29"/>
  <c r="DV263" i="29"/>
  <c r="DW263" i="29"/>
  <c r="DX263" i="29"/>
  <c r="DY263" i="29"/>
  <c r="DZ263" i="29"/>
  <c r="EA263" i="29"/>
  <c r="DR264" i="29"/>
  <c r="DS264" i="29"/>
  <c r="DT264" i="29"/>
  <c r="DU264" i="29"/>
  <c r="DV264" i="29"/>
  <c r="DW264" i="29"/>
  <c r="DX264" i="29"/>
  <c r="DY264" i="29"/>
  <c r="DZ264" i="29"/>
  <c r="EA264" i="29"/>
  <c r="DR265" i="29"/>
  <c r="DS265" i="29"/>
  <c r="DT265" i="29"/>
  <c r="DU265" i="29"/>
  <c r="DV265" i="29"/>
  <c r="DW265" i="29"/>
  <c r="DX265" i="29"/>
  <c r="DY265" i="29"/>
  <c r="DZ265" i="29"/>
  <c r="EA265" i="29"/>
  <c r="DR266" i="29"/>
  <c r="DS266" i="29"/>
  <c r="DT266" i="29"/>
  <c r="DU266" i="29"/>
  <c r="DV266" i="29"/>
  <c r="DW266" i="29"/>
  <c r="DX266" i="29"/>
  <c r="DY266" i="29"/>
  <c r="DZ266" i="29"/>
  <c r="EA266" i="29"/>
  <c r="DR267" i="29"/>
  <c r="DS267" i="29"/>
  <c r="DT267" i="29"/>
  <c r="DU267" i="29"/>
  <c r="DV267" i="29"/>
  <c r="DW267" i="29"/>
  <c r="DX267" i="29"/>
  <c r="DY267" i="29"/>
  <c r="DZ267" i="29"/>
  <c r="EA267" i="29"/>
  <c r="DR268" i="29"/>
  <c r="DS268" i="29"/>
  <c r="DT268" i="29"/>
  <c r="DU268" i="29"/>
  <c r="DV268" i="29"/>
  <c r="DW268" i="29"/>
  <c r="DX268" i="29"/>
  <c r="DY268" i="29"/>
  <c r="DZ268" i="29"/>
  <c r="EA268" i="29"/>
  <c r="DR269" i="29"/>
  <c r="DS269" i="29"/>
  <c r="DT269" i="29"/>
  <c r="DU269" i="29"/>
  <c r="DV269" i="29"/>
  <c r="DW269" i="29"/>
  <c r="DX269" i="29"/>
  <c r="DY269" i="29"/>
  <c r="DZ269" i="29"/>
  <c r="EA269" i="29"/>
  <c r="DR270" i="29"/>
  <c r="DS270" i="29"/>
  <c r="DT270" i="29"/>
  <c r="DU270" i="29"/>
  <c r="DV270" i="29"/>
  <c r="DW270" i="29"/>
  <c r="DX270" i="29"/>
  <c r="DY270" i="29"/>
  <c r="DZ270" i="29"/>
  <c r="EA270" i="29"/>
  <c r="DR271" i="29"/>
  <c r="DS271" i="29"/>
  <c r="DT271" i="29"/>
  <c r="DU271" i="29"/>
  <c r="DV271" i="29"/>
  <c r="DW271" i="29"/>
  <c r="DX271" i="29"/>
  <c r="DY271" i="29"/>
  <c r="DZ271" i="29"/>
  <c r="EA271" i="29"/>
  <c r="DR272" i="29"/>
  <c r="DS272" i="29"/>
  <c r="DT272" i="29"/>
  <c r="DU272" i="29"/>
  <c r="DV272" i="29"/>
  <c r="DW272" i="29"/>
  <c r="DX272" i="29"/>
  <c r="DY272" i="29"/>
  <c r="DZ272" i="29"/>
  <c r="EA272" i="29"/>
  <c r="DR273" i="29"/>
  <c r="DS273" i="29"/>
  <c r="DT273" i="29"/>
  <c r="DU273" i="29"/>
  <c r="DV273" i="29"/>
  <c r="DW273" i="29"/>
  <c r="DX273" i="29"/>
  <c r="DY273" i="29"/>
  <c r="DZ273" i="29"/>
  <c r="EA273" i="29"/>
  <c r="DR274" i="29"/>
  <c r="DS274" i="29"/>
  <c r="DT274" i="29"/>
  <c r="DU274" i="29"/>
  <c r="DV274" i="29"/>
  <c r="DW274" i="29"/>
  <c r="DX274" i="29"/>
  <c r="DY274" i="29"/>
  <c r="DZ274" i="29"/>
  <c r="EA274" i="29"/>
  <c r="DR275" i="29"/>
  <c r="DS275" i="29"/>
  <c r="DT275" i="29"/>
  <c r="DU275" i="29"/>
  <c r="DV275" i="29"/>
  <c r="DW275" i="29"/>
  <c r="DX275" i="29"/>
  <c r="DY275" i="29"/>
  <c r="DZ275" i="29"/>
  <c r="EA275" i="29"/>
  <c r="DR276" i="29"/>
  <c r="DS276" i="29"/>
  <c r="DT276" i="29"/>
  <c r="DU276" i="29"/>
  <c r="DV276" i="29"/>
  <c r="DW276" i="29"/>
  <c r="DX276" i="29"/>
  <c r="DY276" i="29"/>
  <c r="DZ276" i="29"/>
  <c r="EA276" i="29"/>
  <c r="DR277" i="29"/>
  <c r="DS277" i="29"/>
  <c r="DT277" i="29"/>
  <c r="DU277" i="29"/>
  <c r="DV277" i="29"/>
  <c r="DW277" i="29"/>
  <c r="DX277" i="29"/>
  <c r="DY277" i="29"/>
  <c r="DZ277" i="29"/>
  <c r="EA277" i="29"/>
  <c r="DR278" i="29"/>
  <c r="DS278" i="29"/>
  <c r="DT278" i="29"/>
  <c r="DU278" i="29"/>
  <c r="DV278" i="29"/>
  <c r="DW278" i="29"/>
  <c r="DX278" i="29"/>
  <c r="DY278" i="29"/>
  <c r="DZ278" i="29"/>
  <c r="EA278" i="29"/>
  <c r="DR279" i="29"/>
  <c r="DS279" i="29"/>
  <c r="DT279" i="29"/>
  <c r="DU279" i="29"/>
  <c r="DV279" i="29"/>
  <c r="DW279" i="29"/>
  <c r="DX279" i="29"/>
  <c r="DY279" i="29"/>
  <c r="DZ279" i="29"/>
  <c r="EA279" i="29"/>
  <c r="DR280" i="29"/>
  <c r="DS280" i="29"/>
  <c r="DT280" i="29"/>
  <c r="DU280" i="29"/>
  <c r="DV280" i="29"/>
  <c r="DW280" i="29"/>
  <c r="DX280" i="29"/>
  <c r="DY280" i="29"/>
  <c r="DZ280" i="29"/>
  <c r="EA280" i="29"/>
  <c r="DR281" i="29"/>
  <c r="DS281" i="29"/>
  <c r="DT281" i="29"/>
  <c r="DU281" i="29"/>
  <c r="DV281" i="29"/>
  <c r="DW281" i="29"/>
  <c r="DX281" i="29"/>
  <c r="DY281" i="29"/>
  <c r="DZ281" i="29"/>
  <c r="EA281" i="29"/>
  <c r="DR282" i="29"/>
  <c r="DS282" i="29"/>
  <c r="DT282" i="29"/>
  <c r="DU282" i="29"/>
  <c r="DV282" i="29"/>
  <c r="DW282" i="29"/>
  <c r="DX282" i="29"/>
  <c r="DY282" i="29"/>
  <c r="DZ282" i="29"/>
  <c r="EA282" i="29"/>
  <c r="DR283" i="29"/>
  <c r="DS283" i="29"/>
  <c r="DT283" i="29"/>
  <c r="DU283" i="29"/>
  <c r="DV283" i="29"/>
  <c r="DW283" i="29"/>
  <c r="DX283" i="29"/>
  <c r="DY283" i="29"/>
  <c r="DZ283" i="29"/>
  <c r="EA283" i="29"/>
  <c r="DR284" i="29"/>
  <c r="DS284" i="29"/>
  <c r="DT284" i="29"/>
  <c r="DU284" i="29"/>
  <c r="DV284" i="29"/>
  <c r="DW284" i="29"/>
  <c r="DX284" i="29"/>
  <c r="DY284" i="29"/>
  <c r="DZ284" i="29"/>
  <c r="EA284" i="29"/>
  <c r="DR285" i="29"/>
  <c r="DS285" i="29"/>
  <c r="DT285" i="29"/>
  <c r="DU285" i="29"/>
  <c r="DV285" i="29"/>
  <c r="DW285" i="29"/>
  <c r="DX285" i="29"/>
  <c r="DY285" i="29"/>
  <c r="DZ285" i="29"/>
  <c r="EA285" i="29"/>
  <c r="DR286" i="29"/>
  <c r="DS286" i="29"/>
  <c r="DT286" i="29"/>
  <c r="DU286" i="29"/>
  <c r="DV286" i="29"/>
  <c r="DW286" i="29"/>
  <c r="DX286" i="29"/>
  <c r="DY286" i="29"/>
  <c r="DZ286" i="29"/>
  <c r="EA286" i="29"/>
  <c r="DR287" i="29"/>
  <c r="DS287" i="29"/>
  <c r="DT287" i="29"/>
  <c r="DU287" i="29"/>
  <c r="DV287" i="29"/>
  <c r="DW287" i="29"/>
  <c r="DX287" i="29"/>
  <c r="DY287" i="29"/>
  <c r="DZ287" i="29"/>
  <c r="EA287" i="29"/>
  <c r="DR288" i="29"/>
  <c r="DS288" i="29"/>
  <c r="DT288" i="29"/>
  <c r="DU288" i="29"/>
  <c r="DV288" i="29"/>
  <c r="DW288" i="29"/>
  <c r="DX288" i="29"/>
  <c r="DY288" i="29"/>
  <c r="DZ288" i="29"/>
  <c r="EA288" i="29"/>
  <c r="DR289" i="29"/>
  <c r="DS289" i="29"/>
  <c r="DT289" i="29"/>
  <c r="DU289" i="29"/>
  <c r="DV289" i="29"/>
  <c r="DW289" i="29"/>
  <c r="DX289" i="29"/>
  <c r="DY289" i="29"/>
  <c r="DZ289" i="29"/>
  <c r="EA289" i="29"/>
  <c r="DR290" i="29"/>
  <c r="DS290" i="29"/>
  <c r="DT290" i="29"/>
  <c r="DU290" i="29"/>
  <c r="DV290" i="29"/>
  <c r="DW290" i="29"/>
  <c r="DX290" i="29"/>
  <c r="DY290" i="29"/>
  <c r="DZ290" i="29"/>
  <c r="EA290" i="29"/>
  <c r="DR291" i="29"/>
  <c r="DS291" i="29"/>
  <c r="DT291" i="29"/>
  <c r="DU291" i="29"/>
  <c r="DV291" i="29"/>
  <c r="DW291" i="29"/>
  <c r="DX291" i="29"/>
  <c r="DY291" i="29"/>
  <c r="DZ291" i="29"/>
  <c r="EA291" i="29"/>
  <c r="DR292" i="29"/>
  <c r="DS292" i="29"/>
  <c r="DT292" i="29"/>
  <c r="DU292" i="29"/>
  <c r="DV292" i="29"/>
  <c r="DW292" i="29"/>
  <c r="DX292" i="29"/>
  <c r="DY292" i="29"/>
  <c r="DZ292" i="29"/>
  <c r="EA292" i="29"/>
  <c r="DR293" i="29"/>
  <c r="DS293" i="29"/>
  <c r="DT293" i="29"/>
  <c r="DU293" i="29"/>
  <c r="DV293" i="29"/>
  <c r="DW293" i="29"/>
  <c r="DX293" i="29"/>
  <c r="DY293" i="29"/>
  <c r="DZ293" i="29"/>
  <c r="EA293" i="29"/>
  <c r="DR294" i="29"/>
  <c r="DS294" i="29"/>
  <c r="DT294" i="29"/>
  <c r="DU294" i="29"/>
  <c r="DV294" i="29"/>
  <c r="DW294" i="29"/>
  <c r="DX294" i="29"/>
  <c r="DY294" i="29"/>
  <c r="DZ294" i="29"/>
  <c r="EA294" i="29"/>
  <c r="DR295" i="29"/>
  <c r="DS295" i="29"/>
  <c r="DT295" i="29"/>
  <c r="DU295" i="29"/>
  <c r="DV295" i="29"/>
  <c r="DW295" i="29"/>
  <c r="DX295" i="29"/>
  <c r="DY295" i="29"/>
  <c r="DZ295" i="29"/>
  <c r="EA295" i="29"/>
  <c r="DR296" i="29"/>
  <c r="DS296" i="29"/>
  <c r="DT296" i="29"/>
  <c r="DU296" i="29"/>
  <c r="DV296" i="29"/>
  <c r="DW296" i="29"/>
  <c r="DX296" i="29"/>
  <c r="DY296" i="29"/>
  <c r="DZ296" i="29"/>
  <c r="EA296" i="29"/>
  <c r="DR297" i="29"/>
  <c r="DS297" i="29"/>
  <c r="DT297" i="29"/>
  <c r="DU297" i="29"/>
  <c r="DV297" i="29"/>
  <c r="DW297" i="29"/>
  <c r="DX297" i="29"/>
  <c r="DY297" i="29"/>
  <c r="DZ297" i="29"/>
  <c r="EA297" i="29"/>
  <c r="DR298" i="29"/>
  <c r="DS298" i="29"/>
  <c r="DT298" i="29"/>
  <c r="DU298" i="29"/>
  <c r="DV298" i="29"/>
  <c r="DW298" i="29"/>
  <c r="DX298" i="29"/>
  <c r="DY298" i="29"/>
  <c r="DZ298" i="29"/>
  <c r="EA298" i="29"/>
  <c r="DR299" i="29"/>
  <c r="DS299" i="29"/>
  <c r="DT299" i="29"/>
  <c r="DU299" i="29"/>
  <c r="DV299" i="29"/>
  <c r="DW299" i="29"/>
  <c r="DX299" i="29"/>
  <c r="DY299" i="29"/>
  <c r="DZ299" i="29"/>
  <c r="EA299" i="29"/>
  <c r="DR300" i="29"/>
  <c r="DS300" i="29"/>
  <c r="DT300" i="29"/>
  <c r="DU300" i="29"/>
  <c r="DV300" i="29"/>
  <c r="DW300" i="29"/>
  <c r="DX300" i="29"/>
  <c r="DY300" i="29"/>
  <c r="DZ300" i="29"/>
  <c r="EA300" i="29"/>
  <c r="DR301" i="29"/>
  <c r="DS301" i="29"/>
  <c r="DT301" i="29"/>
  <c r="DU301" i="29"/>
  <c r="DV301" i="29"/>
  <c r="DW301" i="29"/>
  <c r="DX301" i="29"/>
  <c r="DY301" i="29"/>
  <c r="DZ301" i="29"/>
  <c r="EA301" i="29"/>
  <c r="DR302" i="29"/>
  <c r="DS302" i="29"/>
  <c r="DT302" i="29"/>
  <c r="DU302" i="29"/>
  <c r="DV302" i="29"/>
  <c r="DW302" i="29"/>
  <c r="DX302" i="29"/>
  <c r="DY302" i="29"/>
  <c r="DZ302" i="29"/>
  <c r="EA302" i="29"/>
  <c r="DR303" i="29"/>
  <c r="DS303" i="29"/>
  <c r="DT303" i="29"/>
  <c r="DU303" i="29"/>
  <c r="DV303" i="29"/>
  <c r="DW303" i="29"/>
  <c r="DX303" i="29"/>
  <c r="DY303" i="29"/>
  <c r="DZ303" i="29"/>
  <c r="EA303" i="29"/>
  <c r="DR304" i="29"/>
  <c r="DS304" i="29"/>
  <c r="DT304" i="29"/>
  <c r="DU304" i="29"/>
  <c r="DV304" i="29"/>
  <c r="DW304" i="29"/>
  <c r="DX304" i="29"/>
  <c r="DY304" i="29"/>
  <c r="DZ304" i="29"/>
  <c r="EA304" i="29"/>
  <c r="DR305" i="29"/>
  <c r="DS305" i="29"/>
  <c r="DT305" i="29"/>
  <c r="DU305" i="29"/>
  <c r="DV305" i="29"/>
  <c r="DW305" i="29"/>
  <c r="DX305" i="29"/>
  <c r="DY305" i="29"/>
  <c r="DZ305" i="29"/>
  <c r="EA305" i="29"/>
  <c r="DR306" i="29"/>
  <c r="DS306" i="29"/>
  <c r="DT306" i="29"/>
  <c r="DU306" i="29"/>
  <c r="DV306" i="29"/>
  <c r="DW306" i="29"/>
  <c r="DX306" i="29"/>
  <c r="DY306" i="29"/>
  <c r="DZ306" i="29"/>
  <c r="EA306" i="29"/>
  <c r="DR307" i="29"/>
  <c r="DS307" i="29"/>
  <c r="DT307" i="29"/>
  <c r="DU307" i="29"/>
  <c r="DV307" i="29"/>
  <c r="DW307" i="29"/>
  <c r="DX307" i="29"/>
  <c r="DY307" i="29"/>
  <c r="DZ307" i="29"/>
  <c r="EA307" i="29"/>
  <c r="DR308" i="29"/>
  <c r="DS308" i="29"/>
  <c r="DT308" i="29"/>
  <c r="DU308" i="29"/>
  <c r="DV308" i="29"/>
  <c r="DW308" i="29"/>
  <c r="DX308" i="29"/>
  <c r="DY308" i="29"/>
  <c r="DZ308" i="29"/>
  <c r="EA308" i="29"/>
  <c r="DR309" i="29"/>
  <c r="DS309" i="29"/>
  <c r="DT309" i="29"/>
  <c r="DU309" i="29"/>
  <c r="DV309" i="29"/>
  <c r="DW309" i="29"/>
  <c r="DX309" i="29"/>
  <c r="DY309" i="29"/>
  <c r="DZ309" i="29"/>
  <c r="EA309" i="29"/>
  <c r="DR310" i="29"/>
  <c r="DS310" i="29"/>
  <c r="DT310" i="29"/>
  <c r="DU310" i="29"/>
  <c r="DV310" i="29"/>
  <c r="DW310" i="29"/>
  <c r="DX310" i="29"/>
  <c r="DY310" i="29"/>
  <c r="DZ310" i="29"/>
  <c r="EA310" i="29"/>
  <c r="DR311" i="29"/>
  <c r="DS311" i="29"/>
  <c r="DT311" i="29"/>
  <c r="DU311" i="29"/>
  <c r="DV311" i="29"/>
  <c r="DW311" i="29"/>
  <c r="DX311" i="29"/>
  <c r="DY311" i="29"/>
  <c r="DZ311" i="29"/>
  <c r="EA311" i="29"/>
  <c r="DR312" i="29"/>
  <c r="DS312" i="29"/>
  <c r="DT312" i="29"/>
  <c r="DU312" i="29"/>
  <c r="DV312" i="29"/>
  <c r="DW312" i="29"/>
  <c r="DX312" i="29"/>
  <c r="DY312" i="29"/>
  <c r="DZ312" i="29"/>
  <c r="EA312" i="29"/>
  <c r="DR313" i="29"/>
  <c r="DS313" i="29"/>
  <c r="DT313" i="29"/>
  <c r="DU313" i="29"/>
  <c r="DV313" i="29"/>
  <c r="DW313" i="29"/>
  <c r="DX313" i="29"/>
  <c r="DY313" i="29"/>
  <c r="DZ313" i="29"/>
  <c r="EA313" i="29"/>
  <c r="DR314" i="29"/>
  <c r="DS314" i="29"/>
  <c r="DT314" i="29"/>
  <c r="DU314" i="29"/>
  <c r="DV314" i="29"/>
  <c r="DW314" i="29"/>
  <c r="DX314" i="29"/>
  <c r="DY314" i="29"/>
  <c r="DZ314" i="29"/>
  <c r="EA314" i="29"/>
  <c r="DR315" i="29"/>
  <c r="DS315" i="29"/>
  <c r="DT315" i="29"/>
  <c r="DU315" i="29"/>
  <c r="DV315" i="29"/>
  <c r="DW315" i="29"/>
  <c r="DX315" i="29"/>
  <c r="DY315" i="29"/>
  <c r="DZ315" i="29"/>
  <c r="EA315" i="29"/>
  <c r="DR316" i="29"/>
  <c r="DS316" i="29"/>
  <c r="DT316" i="29"/>
  <c r="DU316" i="29"/>
  <c r="DV316" i="29"/>
  <c r="DW316" i="29"/>
  <c r="DX316" i="29"/>
  <c r="DY316" i="29"/>
  <c r="DZ316" i="29"/>
  <c r="EA316" i="29"/>
  <c r="DR317" i="29"/>
  <c r="DS317" i="29"/>
  <c r="DT317" i="29"/>
  <c r="DU317" i="29"/>
  <c r="DV317" i="29"/>
  <c r="DW317" i="29"/>
  <c r="DX317" i="29"/>
  <c r="DY317" i="29"/>
  <c r="DZ317" i="29"/>
  <c r="EA317" i="29"/>
  <c r="DR318" i="29"/>
  <c r="DS318" i="29"/>
  <c r="DT318" i="29"/>
  <c r="DU318" i="29"/>
  <c r="DV318" i="29"/>
  <c r="DW318" i="29"/>
  <c r="DX318" i="29"/>
  <c r="DY318" i="29"/>
  <c r="DZ318" i="29"/>
  <c r="EA318" i="29"/>
  <c r="DR319" i="29"/>
  <c r="DS319" i="29"/>
  <c r="DT319" i="29"/>
  <c r="DU319" i="29"/>
  <c r="DV319" i="29"/>
  <c r="DW319" i="29"/>
  <c r="DX319" i="29"/>
  <c r="DY319" i="29"/>
  <c r="DZ319" i="29"/>
  <c r="EA319" i="29"/>
  <c r="DR320" i="29"/>
  <c r="DS320" i="29"/>
  <c r="DT320" i="29"/>
  <c r="DU320" i="29"/>
  <c r="DV320" i="29"/>
  <c r="DW320" i="29"/>
  <c r="DX320" i="29"/>
  <c r="DY320" i="29"/>
  <c r="DZ320" i="29"/>
  <c r="EA320" i="29"/>
  <c r="DR321" i="29"/>
  <c r="DS321" i="29"/>
  <c r="DT321" i="29"/>
  <c r="DU321" i="29"/>
  <c r="DV321" i="29"/>
  <c r="DW321" i="29"/>
  <c r="DX321" i="29"/>
  <c r="DY321" i="29"/>
  <c r="DZ321" i="29"/>
  <c r="EA321" i="29"/>
  <c r="DR322" i="29"/>
  <c r="DS322" i="29"/>
  <c r="DT322" i="29"/>
  <c r="DU322" i="29"/>
  <c r="DV322" i="29"/>
  <c r="DW322" i="29"/>
  <c r="DX322" i="29"/>
  <c r="DY322" i="29"/>
  <c r="DZ322" i="29"/>
  <c r="EA322" i="29"/>
  <c r="DR323" i="29"/>
  <c r="DS323" i="29"/>
  <c r="DT323" i="29"/>
  <c r="DU323" i="29"/>
  <c r="DV323" i="29"/>
  <c r="DW323" i="29"/>
  <c r="DX323" i="29"/>
  <c r="DY323" i="29"/>
  <c r="DZ323" i="29"/>
  <c r="EA323" i="29"/>
  <c r="DR324" i="29"/>
  <c r="DS324" i="29"/>
  <c r="DT324" i="29"/>
  <c r="DU324" i="29"/>
  <c r="DV324" i="29"/>
  <c r="DW324" i="29"/>
  <c r="DX324" i="29"/>
  <c r="DY324" i="29"/>
  <c r="DZ324" i="29"/>
  <c r="EA324" i="29"/>
  <c r="DR325" i="29"/>
  <c r="DS325" i="29"/>
  <c r="DT325" i="29"/>
  <c r="DU325" i="29"/>
  <c r="DV325" i="29"/>
  <c r="DW325" i="29"/>
  <c r="DX325" i="29"/>
  <c r="DY325" i="29"/>
  <c r="DZ325" i="29"/>
  <c r="EA325" i="29"/>
  <c r="DR326" i="29"/>
  <c r="DS326" i="29"/>
  <c r="DT326" i="29"/>
  <c r="DU326" i="29"/>
  <c r="DV326" i="29"/>
  <c r="DW326" i="29"/>
  <c r="DX326" i="29"/>
  <c r="DY326" i="29"/>
  <c r="DZ326" i="29"/>
  <c r="EA326" i="29"/>
  <c r="DR327" i="29"/>
  <c r="DS327" i="29"/>
  <c r="DT327" i="29"/>
  <c r="DU327" i="29"/>
  <c r="DV327" i="29"/>
  <c r="DW327" i="29"/>
  <c r="DX327" i="29"/>
  <c r="DY327" i="29"/>
  <c r="DZ327" i="29"/>
  <c r="EA327" i="29"/>
  <c r="DR328" i="29"/>
  <c r="DS328" i="29"/>
  <c r="DT328" i="29"/>
  <c r="DU328" i="29"/>
  <c r="DV328" i="29"/>
  <c r="DW328" i="29"/>
  <c r="DX328" i="29"/>
  <c r="DY328" i="29"/>
  <c r="DZ328" i="29"/>
  <c r="EA328" i="29"/>
  <c r="DR329" i="29"/>
  <c r="DS329" i="29"/>
  <c r="DT329" i="29"/>
  <c r="DU329" i="29"/>
  <c r="DV329" i="29"/>
  <c r="DW329" i="29"/>
  <c r="DX329" i="29"/>
  <c r="DY329" i="29"/>
  <c r="DZ329" i="29"/>
  <c r="EA329" i="29"/>
  <c r="DR330" i="29"/>
  <c r="DS330" i="29"/>
  <c r="DT330" i="29"/>
  <c r="DU330" i="29"/>
  <c r="DV330" i="29"/>
  <c r="DW330" i="29"/>
  <c r="DX330" i="29"/>
  <c r="DY330" i="29"/>
  <c r="DZ330" i="29"/>
  <c r="EA330" i="29"/>
  <c r="DR331" i="29"/>
  <c r="DS331" i="29"/>
  <c r="DT331" i="29"/>
  <c r="DU331" i="29"/>
  <c r="DV331" i="29"/>
  <c r="DW331" i="29"/>
  <c r="DX331" i="29"/>
  <c r="DY331" i="29"/>
  <c r="DZ331" i="29"/>
  <c r="EA331" i="29"/>
  <c r="DR332" i="29"/>
  <c r="DS332" i="29"/>
  <c r="DT332" i="29"/>
  <c r="DU332" i="29"/>
  <c r="DV332" i="29"/>
  <c r="DW332" i="29"/>
  <c r="DX332" i="29"/>
  <c r="DY332" i="29"/>
  <c r="DZ332" i="29"/>
  <c r="EA332" i="29"/>
  <c r="DR333" i="29"/>
  <c r="DS333" i="29"/>
  <c r="DT333" i="29"/>
  <c r="DU333" i="29"/>
  <c r="DV333" i="29"/>
  <c r="DW333" i="29"/>
  <c r="DX333" i="29"/>
  <c r="DY333" i="29"/>
  <c r="DZ333" i="29"/>
  <c r="EA333" i="29"/>
  <c r="DR334" i="29"/>
  <c r="DS334" i="29"/>
  <c r="DT334" i="29"/>
  <c r="DU334" i="29"/>
  <c r="DV334" i="29"/>
  <c r="DW334" i="29"/>
  <c r="DX334" i="29"/>
  <c r="DY334" i="29"/>
  <c r="DZ334" i="29"/>
  <c r="EA334" i="29"/>
  <c r="DR335" i="29"/>
  <c r="DS335" i="29"/>
  <c r="DT335" i="29"/>
  <c r="DU335" i="29"/>
  <c r="DV335" i="29"/>
  <c r="DW335" i="29"/>
  <c r="DX335" i="29"/>
  <c r="DY335" i="29"/>
  <c r="DZ335" i="29"/>
  <c r="EA335" i="29"/>
  <c r="DR336" i="29"/>
  <c r="DS336" i="29"/>
  <c r="DT336" i="29"/>
  <c r="DU336" i="29"/>
  <c r="DV336" i="29"/>
  <c r="DW336" i="29"/>
  <c r="DX336" i="29"/>
  <c r="DY336" i="29"/>
  <c r="DZ336" i="29"/>
  <c r="EA336" i="29"/>
  <c r="DR337" i="29"/>
  <c r="DS337" i="29"/>
  <c r="DT337" i="29"/>
  <c r="DU337" i="29"/>
  <c r="DV337" i="29"/>
  <c r="DW337" i="29"/>
  <c r="DX337" i="29"/>
  <c r="DY337" i="29"/>
  <c r="DZ337" i="29"/>
  <c r="EA337" i="29"/>
  <c r="DR338" i="29"/>
  <c r="DS338" i="29"/>
  <c r="DT338" i="29"/>
  <c r="DU338" i="29"/>
  <c r="DV338" i="29"/>
  <c r="DW338" i="29"/>
  <c r="DX338" i="29"/>
  <c r="DY338" i="29"/>
  <c r="DZ338" i="29"/>
  <c r="EA338" i="29"/>
  <c r="DR339" i="29"/>
  <c r="DS339" i="29"/>
  <c r="DT339" i="29"/>
  <c r="DU339" i="29"/>
  <c r="DV339" i="29"/>
  <c r="DW339" i="29"/>
  <c r="DX339" i="29"/>
  <c r="DY339" i="29"/>
  <c r="DZ339" i="29"/>
  <c r="EA339" i="29"/>
  <c r="DR340" i="29"/>
  <c r="DS340" i="29"/>
  <c r="DT340" i="29"/>
  <c r="DU340" i="29"/>
  <c r="DV340" i="29"/>
  <c r="DW340" i="29"/>
  <c r="DX340" i="29"/>
  <c r="DY340" i="29"/>
  <c r="DZ340" i="29"/>
  <c r="EA340" i="29"/>
  <c r="DR341" i="29"/>
  <c r="DS341" i="29"/>
  <c r="DT341" i="29"/>
  <c r="DU341" i="29"/>
  <c r="DV341" i="29"/>
  <c r="DW341" i="29"/>
  <c r="DX341" i="29"/>
  <c r="DY341" i="29"/>
  <c r="DZ341" i="29"/>
  <c r="EA341" i="29"/>
  <c r="DR342" i="29"/>
  <c r="DS342" i="29"/>
  <c r="DT342" i="29"/>
  <c r="DU342" i="29"/>
  <c r="DV342" i="29"/>
  <c r="DW342" i="29"/>
  <c r="DX342" i="29"/>
  <c r="DY342" i="29"/>
  <c r="DZ342" i="29"/>
  <c r="EA342" i="29"/>
  <c r="DR343" i="29"/>
  <c r="DS343" i="29"/>
  <c r="DT343" i="29"/>
  <c r="DU343" i="29"/>
  <c r="DV343" i="29"/>
  <c r="DW343" i="29"/>
  <c r="DX343" i="29"/>
  <c r="DY343" i="29"/>
  <c r="DZ343" i="29"/>
  <c r="EA343" i="29"/>
  <c r="DR344" i="29"/>
  <c r="DS344" i="29"/>
  <c r="DT344" i="29"/>
  <c r="DU344" i="29"/>
  <c r="DV344" i="29"/>
  <c r="DW344" i="29"/>
  <c r="DX344" i="29"/>
  <c r="DY344" i="29"/>
  <c r="DZ344" i="29"/>
  <c r="EA344" i="29"/>
  <c r="DR345" i="29"/>
  <c r="DS345" i="29"/>
  <c r="DT345" i="29"/>
  <c r="DU345" i="29"/>
  <c r="DV345" i="29"/>
  <c r="DW345" i="29"/>
  <c r="DX345" i="29"/>
  <c r="DY345" i="29"/>
  <c r="DZ345" i="29"/>
  <c r="EA345" i="29"/>
  <c r="DR346" i="29"/>
  <c r="DS346" i="29"/>
  <c r="DT346" i="29"/>
  <c r="DU346" i="29"/>
  <c r="DV346" i="29"/>
  <c r="DW346" i="29"/>
  <c r="DX346" i="29"/>
  <c r="DY346" i="29"/>
  <c r="DZ346" i="29"/>
  <c r="EA346" i="29"/>
  <c r="DR347" i="29"/>
  <c r="DS347" i="29"/>
  <c r="DT347" i="29"/>
  <c r="DU347" i="29"/>
  <c r="DV347" i="29"/>
  <c r="DW347" i="29"/>
  <c r="DX347" i="29"/>
  <c r="DY347" i="29"/>
  <c r="DZ347" i="29"/>
  <c r="EA347" i="29"/>
  <c r="DR348" i="29"/>
  <c r="DS348" i="29"/>
  <c r="DT348" i="29"/>
  <c r="DU348" i="29"/>
  <c r="DV348" i="29"/>
  <c r="DW348" i="29"/>
  <c r="DX348" i="29"/>
  <c r="DY348" i="29"/>
  <c r="DZ348" i="29"/>
  <c r="EA348" i="29"/>
  <c r="DR349" i="29"/>
  <c r="DS349" i="29"/>
  <c r="DT349" i="29"/>
  <c r="DU349" i="29"/>
  <c r="DV349" i="29"/>
  <c r="DW349" i="29"/>
  <c r="DX349" i="29"/>
  <c r="DY349" i="29"/>
  <c r="DZ349" i="29"/>
  <c r="EA349" i="29"/>
  <c r="DR350" i="29"/>
  <c r="DS350" i="29"/>
  <c r="DT350" i="29"/>
  <c r="DU350" i="29"/>
  <c r="DV350" i="29"/>
  <c r="DW350" i="29"/>
  <c r="DX350" i="29"/>
  <c r="DY350" i="29"/>
  <c r="DZ350" i="29"/>
  <c r="EA350" i="29"/>
  <c r="DR351" i="29"/>
  <c r="DS351" i="29"/>
  <c r="DT351" i="29"/>
  <c r="DU351" i="29"/>
  <c r="DV351" i="29"/>
  <c r="DW351" i="29"/>
  <c r="DX351" i="29"/>
  <c r="DY351" i="29"/>
  <c r="DZ351" i="29"/>
  <c r="EA351" i="29"/>
  <c r="DR352" i="29"/>
  <c r="DS352" i="29"/>
  <c r="DT352" i="29"/>
  <c r="DU352" i="29"/>
  <c r="DV352" i="29"/>
  <c r="DW352" i="29"/>
  <c r="DX352" i="29"/>
  <c r="DY352" i="29"/>
  <c r="DZ352" i="29"/>
  <c r="EA352" i="29"/>
  <c r="DR353" i="29"/>
  <c r="DS353" i="29"/>
  <c r="DT353" i="29"/>
  <c r="DU353" i="29"/>
  <c r="DV353" i="29"/>
  <c r="DW353" i="29"/>
  <c r="DX353" i="29"/>
  <c r="DY353" i="29"/>
  <c r="DZ353" i="29"/>
  <c r="EA353" i="29"/>
  <c r="DR354" i="29"/>
  <c r="DS354" i="29"/>
  <c r="DT354" i="29"/>
  <c r="DU354" i="29"/>
  <c r="DV354" i="29"/>
  <c r="DW354" i="29"/>
  <c r="DX354" i="29"/>
  <c r="DY354" i="29"/>
  <c r="DZ354" i="29"/>
  <c r="EA354" i="29"/>
  <c r="DR355" i="29"/>
  <c r="DS355" i="29"/>
  <c r="DT355" i="29"/>
  <c r="DU355" i="29"/>
  <c r="DV355" i="29"/>
  <c r="DW355" i="29"/>
  <c r="DX355" i="29"/>
  <c r="DY355" i="29"/>
  <c r="DZ355" i="29"/>
  <c r="EA355" i="29"/>
  <c r="DR356" i="29"/>
  <c r="DS356" i="29"/>
  <c r="DT356" i="29"/>
  <c r="DU356" i="29"/>
  <c r="DV356" i="29"/>
  <c r="DW356" i="29"/>
  <c r="DX356" i="29"/>
  <c r="DY356" i="29"/>
  <c r="DZ356" i="29"/>
  <c r="EA356" i="29"/>
  <c r="DR357" i="29"/>
  <c r="DS357" i="29"/>
  <c r="DT357" i="29"/>
  <c r="DU357" i="29"/>
  <c r="DV357" i="29"/>
  <c r="DW357" i="29"/>
  <c r="DX357" i="29"/>
  <c r="DY357" i="29"/>
  <c r="DZ357" i="29"/>
  <c r="EA357" i="29"/>
  <c r="DR358" i="29"/>
  <c r="DS358" i="29"/>
  <c r="DT358" i="29"/>
  <c r="DU358" i="29"/>
  <c r="DV358" i="29"/>
  <c r="DW358" i="29"/>
  <c r="DX358" i="29"/>
  <c r="DY358" i="29"/>
  <c r="DZ358" i="29"/>
  <c r="EA358" i="29"/>
  <c r="DR359" i="29"/>
  <c r="DS359" i="29"/>
  <c r="DT359" i="29"/>
  <c r="DU359" i="29"/>
  <c r="DV359" i="29"/>
  <c r="DW359" i="29"/>
  <c r="DX359" i="29"/>
  <c r="DY359" i="29"/>
  <c r="DZ359" i="29"/>
  <c r="EA359" i="29"/>
  <c r="DR360" i="29"/>
  <c r="DS360" i="29"/>
  <c r="DT360" i="29"/>
  <c r="DU360" i="29"/>
  <c r="DV360" i="29"/>
  <c r="DW360" i="29"/>
  <c r="DX360" i="29"/>
  <c r="DY360" i="29"/>
  <c r="DZ360" i="29"/>
  <c r="EA360" i="29"/>
  <c r="DR361" i="29"/>
  <c r="DS361" i="29"/>
  <c r="DT361" i="29"/>
  <c r="DU361" i="29"/>
  <c r="DV361" i="29"/>
  <c r="DW361" i="29"/>
  <c r="DX361" i="29"/>
  <c r="DY361" i="29"/>
  <c r="DZ361" i="29"/>
  <c r="EA361" i="29"/>
  <c r="DR362" i="29"/>
  <c r="DS362" i="29"/>
  <c r="DT362" i="29"/>
  <c r="DU362" i="29"/>
  <c r="DV362" i="29"/>
  <c r="DW362" i="29"/>
  <c r="DX362" i="29"/>
  <c r="DY362" i="29"/>
  <c r="DZ362" i="29"/>
  <c r="EA362" i="29"/>
  <c r="DR363" i="29"/>
  <c r="DS363" i="29"/>
  <c r="DT363" i="29"/>
  <c r="DU363" i="29"/>
  <c r="DV363" i="29"/>
  <c r="DW363" i="29"/>
  <c r="DX363" i="29"/>
  <c r="DY363" i="29"/>
  <c r="DZ363" i="29"/>
  <c r="EA363" i="29"/>
  <c r="DR364" i="29"/>
  <c r="DS364" i="29"/>
  <c r="DT364" i="29"/>
  <c r="DU364" i="29"/>
  <c r="DV364" i="29"/>
  <c r="DW364" i="29"/>
  <c r="DX364" i="29"/>
  <c r="DY364" i="29"/>
  <c r="DZ364" i="29"/>
  <c r="EA364" i="29"/>
  <c r="DR365" i="29"/>
  <c r="DS365" i="29"/>
  <c r="DT365" i="29"/>
  <c r="DU365" i="29"/>
  <c r="DV365" i="29"/>
  <c r="DW365" i="29"/>
  <c r="DX365" i="29"/>
  <c r="DY365" i="29"/>
  <c r="DZ365" i="29"/>
  <c r="EA365" i="29"/>
  <c r="DR366" i="29"/>
  <c r="DS366" i="29"/>
  <c r="DT366" i="29"/>
  <c r="DU366" i="29"/>
  <c r="DV366" i="29"/>
  <c r="DW366" i="29"/>
  <c r="DX366" i="29"/>
  <c r="DY366" i="29"/>
  <c r="DZ366" i="29"/>
  <c r="EA366" i="29"/>
  <c r="DR367" i="29"/>
  <c r="DS367" i="29"/>
  <c r="DT367" i="29"/>
  <c r="DU367" i="29"/>
  <c r="DV367" i="29"/>
  <c r="DW367" i="29"/>
  <c r="DX367" i="29"/>
  <c r="DY367" i="29"/>
  <c r="DZ367" i="29"/>
  <c r="EA367" i="29"/>
  <c r="DR368" i="29"/>
  <c r="DS368" i="29"/>
  <c r="DT368" i="29"/>
  <c r="DU368" i="29"/>
  <c r="DV368" i="29"/>
  <c r="DW368" i="29"/>
  <c r="DX368" i="29"/>
  <c r="DY368" i="29"/>
  <c r="DZ368" i="29"/>
  <c r="EA368" i="29"/>
  <c r="DS3" i="29"/>
  <c r="DT3" i="29"/>
  <c r="DW3" i="29"/>
  <c r="DX3" i="29"/>
  <c r="EA3" i="29"/>
  <c r="DR3" i="29"/>
  <c r="CD4" i="29"/>
  <c r="CE4" i="29"/>
  <c r="CF4" i="29"/>
  <c r="CH4" i="29"/>
  <c r="CI4" i="29"/>
  <c r="CJ4" i="29"/>
  <c r="CL4" i="29"/>
  <c r="CM4" i="29"/>
  <c r="CD5" i="29"/>
  <c r="CF5" i="29"/>
  <c r="CG5" i="29"/>
  <c r="CH5" i="29"/>
  <c r="CJ5" i="29"/>
  <c r="CK5" i="29"/>
  <c r="CL5" i="29"/>
  <c r="CD6" i="29"/>
  <c r="CE6" i="29"/>
  <c r="CF6" i="29"/>
  <c r="CH6" i="29"/>
  <c r="CI6" i="29"/>
  <c r="CJ6" i="29"/>
  <c r="CL6" i="29"/>
  <c r="CM6" i="29"/>
  <c r="CD7" i="29"/>
  <c r="CF7" i="29"/>
  <c r="CG7" i="29"/>
  <c r="CH7" i="29"/>
  <c r="CJ7" i="29"/>
  <c r="CK7" i="29"/>
  <c r="CL7" i="29"/>
  <c r="CD8" i="29"/>
  <c r="CE8" i="29"/>
  <c r="CF8" i="29"/>
  <c r="CH8" i="29"/>
  <c r="CI8" i="29"/>
  <c r="CJ8" i="29"/>
  <c r="CL8" i="29"/>
  <c r="CM8" i="29"/>
  <c r="CD9" i="29"/>
  <c r="CF9" i="29"/>
  <c r="CG9" i="29"/>
  <c r="CH9" i="29"/>
  <c r="CJ9" i="29"/>
  <c r="CK9" i="29"/>
  <c r="CL9" i="29"/>
  <c r="CD10" i="29"/>
  <c r="CE10" i="29"/>
  <c r="CF10" i="29"/>
  <c r="CH10" i="29"/>
  <c r="CI10" i="29"/>
  <c r="CJ10" i="29"/>
  <c r="CL10" i="29"/>
  <c r="CM10" i="29"/>
  <c r="CD11" i="29"/>
  <c r="CF11" i="29"/>
  <c r="CG11" i="29"/>
  <c r="CH11" i="29"/>
  <c r="CJ11" i="29"/>
  <c r="CK11" i="29"/>
  <c r="CL11" i="29"/>
  <c r="CD12" i="29"/>
  <c r="CE12" i="29"/>
  <c r="CF12" i="29"/>
  <c r="CH12" i="29"/>
  <c r="CI12" i="29"/>
  <c r="CJ12" i="29"/>
  <c r="CL12" i="29"/>
  <c r="CM12" i="29"/>
  <c r="CD13" i="29"/>
  <c r="CF13" i="29"/>
  <c r="CG13" i="29"/>
  <c r="CH13" i="29"/>
  <c r="CJ13" i="29"/>
  <c r="CK13" i="29"/>
  <c r="CL13" i="29"/>
  <c r="CD14" i="29"/>
  <c r="CE14" i="29"/>
  <c r="CF14" i="29"/>
  <c r="CH14" i="29"/>
  <c r="CI14" i="29"/>
  <c r="CJ14" i="29"/>
  <c r="CL14" i="29"/>
  <c r="CM14" i="29"/>
  <c r="CD15" i="29"/>
  <c r="CF15" i="29"/>
  <c r="CG15" i="29"/>
  <c r="CH15" i="29"/>
  <c r="CJ15" i="29"/>
  <c r="CK15" i="29"/>
  <c r="CL15" i="29"/>
  <c r="CD16" i="29"/>
  <c r="CE16" i="29"/>
  <c r="CF16" i="29"/>
  <c r="CH16" i="29"/>
  <c r="CI16" i="29"/>
  <c r="CJ16" i="29"/>
  <c r="CL16" i="29"/>
  <c r="CM16" i="29"/>
  <c r="CD17" i="29"/>
  <c r="CF17" i="29"/>
  <c r="CG17" i="29"/>
  <c r="CH17" i="29"/>
  <c r="CJ17" i="29"/>
  <c r="CK17" i="29"/>
  <c r="CL17" i="29"/>
  <c r="CD18" i="29"/>
  <c r="CE18" i="29"/>
  <c r="CF18" i="29"/>
  <c r="CH18" i="29"/>
  <c r="CI18" i="29"/>
  <c r="CJ18" i="29"/>
  <c r="CL18" i="29"/>
  <c r="CM18" i="29"/>
  <c r="CD19" i="29"/>
  <c r="CF19" i="29"/>
  <c r="CG19" i="29"/>
  <c r="CH19" i="29"/>
  <c r="CJ19" i="29"/>
  <c r="CK19" i="29"/>
  <c r="CL19" i="29"/>
  <c r="CD20" i="29"/>
  <c r="CE20" i="29"/>
  <c r="CF20" i="29"/>
  <c r="CH20" i="29"/>
  <c r="CI20" i="29"/>
  <c r="CJ20" i="29"/>
  <c r="CL20" i="29"/>
  <c r="CM20" i="29"/>
  <c r="CD21" i="29"/>
  <c r="CF21" i="29"/>
  <c r="CG21" i="29"/>
  <c r="CH21" i="29"/>
  <c r="CJ21" i="29"/>
  <c r="CK21" i="29"/>
  <c r="CL21" i="29"/>
  <c r="CD22" i="29"/>
  <c r="CE22" i="29"/>
  <c r="CF22" i="29"/>
  <c r="CH22" i="29"/>
  <c r="CI22" i="29"/>
  <c r="CJ22" i="29"/>
  <c r="CL22" i="29"/>
  <c r="CM22" i="29"/>
  <c r="CD23" i="29"/>
  <c r="CF23" i="29"/>
  <c r="CG23" i="29"/>
  <c r="CH23" i="29"/>
  <c r="CJ23" i="29"/>
  <c r="CK23" i="29"/>
  <c r="CL23" i="29"/>
  <c r="CD24" i="29"/>
  <c r="CE24" i="29"/>
  <c r="CF24" i="29"/>
  <c r="CH24" i="29"/>
  <c r="CI24" i="29"/>
  <c r="CJ24" i="29"/>
  <c r="CL24" i="29"/>
  <c r="CM24" i="29"/>
  <c r="CD25" i="29"/>
  <c r="CF25" i="29"/>
  <c r="CG25" i="29"/>
  <c r="CH25" i="29"/>
  <c r="CJ25" i="29"/>
  <c r="CK25" i="29"/>
  <c r="CL25" i="29"/>
  <c r="CD26" i="29"/>
  <c r="CE26" i="29"/>
  <c r="CF26" i="29"/>
  <c r="CH26" i="29"/>
  <c r="CI26" i="29"/>
  <c r="CJ26" i="29"/>
  <c r="CL26" i="29"/>
  <c r="CM26" i="29"/>
  <c r="CD27" i="29"/>
  <c r="CF27" i="29"/>
  <c r="CG27" i="29"/>
  <c r="CH27" i="29"/>
  <c r="CJ27" i="29"/>
  <c r="CK27" i="29"/>
  <c r="CL27" i="29"/>
  <c r="CD28" i="29"/>
  <c r="CE28" i="29"/>
  <c r="CF28" i="29"/>
  <c r="CH28" i="29"/>
  <c r="CI28" i="29"/>
  <c r="CJ28" i="29"/>
  <c r="CL28" i="29"/>
  <c r="CM28" i="29"/>
  <c r="CD29" i="29"/>
  <c r="CF29" i="29"/>
  <c r="CG29" i="29"/>
  <c r="CH29" i="29"/>
  <c r="CJ29" i="29"/>
  <c r="CK29" i="29"/>
  <c r="CL29" i="29"/>
  <c r="CD30" i="29"/>
  <c r="CE30" i="29"/>
  <c r="CF30" i="29"/>
  <c r="CH30" i="29"/>
  <c r="CI30" i="29"/>
  <c r="CJ30" i="29"/>
  <c r="CL30" i="29"/>
  <c r="CM30" i="29"/>
  <c r="CD31" i="29"/>
  <c r="CF31" i="29"/>
  <c r="CG31" i="29"/>
  <c r="CH31" i="29"/>
  <c r="CJ31" i="29"/>
  <c r="CK31" i="29"/>
  <c r="CL31" i="29"/>
  <c r="CD32" i="29"/>
  <c r="CE32" i="29"/>
  <c r="CF32" i="29"/>
  <c r="CH32" i="29"/>
  <c r="CI32" i="29"/>
  <c r="CJ32" i="29"/>
  <c r="CL32" i="29"/>
  <c r="CM32" i="29"/>
  <c r="CD33" i="29"/>
  <c r="CF33" i="29"/>
  <c r="CG33" i="29"/>
  <c r="CH33" i="29"/>
  <c r="CJ33" i="29"/>
  <c r="CK33" i="29"/>
  <c r="CL33" i="29"/>
  <c r="CD34" i="29"/>
  <c r="CE34" i="29"/>
  <c r="CF34" i="29"/>
  <c r="CH34" i="29"/>
  <c r="CI34" i="29"/>
  <c r="CJ34" i="29"/>
  <c r="CL34" i="29"/>
  <c r="CM34" i="29"/>
  <c r="CD35" i="29"/>
  <c r="CF35" i="29"/>
  <c r="CG35" i="29"/>
  <c r="CH35" i="29"/>
  <c r="CJ35" i="29"/>
  <c r="CK35" i="29"/>
  <c r="CL35" i="29"/>
  <c r="CD36" i="29"/>
  <c r="CE36" i="29"/>
  <c r="CF36" i="29"/>
  <c r="CH36" i="29"/>
  <c r="CI36" i="29"/>
  <c r="CJ36" i="29"/>
  <c r="CL36" i="29"/>
  <c r="CM36" i="29"/>
  <c r="CD37" i="29"/>
  <c r="CF37" i="29"/>
  <c r="CG37" i="29"/>
  <c r="CH37" i="29"/>
  <c r="CJ37" i="29"/>
  <c r="CK37" i="29"/>
  <c r="CL37" i="29"/>
  <c r="CD38" i="29"/>
  <c r="CE38" i="29"/>
  <c r="CF38" i="29"/>
  <c r="CH38" i="29"/>
  <c r="CI38" i="29"/>
  <c r="CJ38" i="29"/>
  <c r="CL38" i="29"/>
  <c r="CM38" i="29"/>
  <c r="CD39" i="29"/>
  <c r="CF39" i="29"/>
  <c r="CG39" i="29"/>
  <c r="CH39" i="29"/>
  <c r="CJ39" i="29"/>
  <c r="CK39" i="29"/>
  <c r="CL39" i="29"/>
  <c r="CD40" i="29"/>
  <c r="CE40" i="29"/>
  <c r="CF40" i="29"/>
  <c r="CH40" i="29"/>
  <c r="CI40" i="29"/>
  <c r="CJ40" i="29"/>
  <c r="CL40" i="29"/>
  <c r="CM40" i="29"/>
  <c r="CD41" i="29"/>
  <c r="CF41" i="29"/>
  <c r="CG41" i="29"/>
  <c r="CH41" i="29"/>
  <c r="CJ41" i="29"/>
  <c r="CK41" i="29"/>
  <c r="CL41" i="29"/>
  <c r="CD42" i="29"/>
  <c r="CE42" i="29"/>
  <c r="CF42" i="29"/>
  <c r="CH42" i="29"/>
  <c r="CI42" i="29"/>
  <c r="CJ42" i="29"/>
  <c r="CL42" i="29"/>
  <c r="CM42" i="29"/>
  <c r="CD43" i="29"/>
  <c r="CF43" i="29"/>
  <c r="CG43" i="29"/>
  <c r="CH43" i="29"/>
  <c r="CJ43" i="29"/>
  <c r="CK43" i="29"/>
  <c r="CL43" i="29"/>
  <c r="CD44" i="29"/>
  <c r="CE44" i="29"/>
  <c r="CF44" i="29"/>
  <c r="CH44" i="29"/>
  <c r="CI44" i="29"/>
  <c r="CJ44" i="29"/>
  <c r="CL44" i="29"/>
  <c r="CM44" i="29"/>
  <c r="CD45" i="29"/>
  <c r="CF45" i="29"/>
  <c r="CG45" i="29"/>
  <c r="CH45" i="29"/>
  <c r="CJ45" i="29"/>
  <c r="CK45" i="29"/>
  <c r="CL45" i="29"/>
  <c r="CD46" i="29"/>
  <c r="CE46" i="29"/>
  <c r="CF46" i="29"/>
  <c r="CH46" i="29"/>
  <c r="CI46" i="29"/>
  <c r="CJ46" i="29"/>
  <c r="CL46" i="29"/>
  <c r="CM46" i="29"/>
  <c r="CD47" i="29"/>
  <c r="CF47" i="29"/>
  <c r="CG47" i="29"/>
  <c r="CH47" i="29"/>
  <c r="CJ47" i="29"/>
  <c r="CK47" i="29"/>
  <c r="CL47" i="29"/>
  <c r="CD48" i="29"/>
  <c r="CE48" i="29"/>
  <c r="CF48" i="29"/>
  <c r="CH48" i="29"/>
  <c r="CI48" i="29"/>
  <c r="CJ48" i="29"/>
  <c r="CL48" i="29"/>
  <c r="CM48" i="29"/>
  <c r="CD49" i="29"/>
  <c r="CF49" i="29"/>
  <c r="CG49" i="29"/>
  <c r="CH49" i="29"/>
  <c r="CJ49" i="29"/>
  <c r="CK49" i="29"/>
  <c r="CL49" i="29"/>
  <c r="CD50" i="29"/>
  <c r="CE50" i="29"/>
  <c r="CF50" i="29"/>
  <c r="CH50" i="29"/>
  <c r="CI50" i="29"/>
  <c r="CJ50" i="29"/>
  <c r="CL50" i="29"/>
  <c r="CM50" i="29"/>
  <c r="CD51" i="29"/>
  <c r="CF51" i="29"/>
  <c r="CG51" i="29"/>
  <c r="CH51" i="29"/>
  <c r="CJ51" i="29"/>
  <c r="CK51" i="29"/>
  <c r="CL51" i="29"/>
  <c r="CD52" i="29"/>
  <c r="CE52" i="29"/>
  <c r="CF52" i="29"/>
  <c r="CH52" i="29"/>
  <c r="CI52" i="29"/>
  <c r="CJ52" i="29"/>
  <c r="CL52" i="29"/>
  <c r="CM52" i="29"/>
  <c r="CD53" i="29"/>
  <c r="CF53" i="29"/>
  <c r="CG53" i="29"/>
  <c r="CH53" i="29"/>
  <c r="CJ53" i="29"/>
  <c r="CK53" i="29"/>
  <c r="CL53" i="29"/>
  <c r="CD54" i="29"/>
  <c r="CE54" i="29"/>
  <c r="CF54" i="29"/>
  <c r="CH54" i="29"/>
  <c r="CI54" i="29"/>
  <c r="CJ54" i="29"/>
  <c r="CL54" i="29"/>
  <c r="CM54" i="29"/>
  <c r="CD55" i="29"/>
  <c r="CF55" i="29"/>
  <c r="CG55" i="29"/>
  <c r="CH55" i="29"/>
  <c r="CJ55" i="29"/>
  <c r="CK55" i="29"/>
  <c r="CL55" i="29"/>
  <c r="CD56" i="29"/>
  <c r="CE56" i="29"/>
  <c r="CF56" i="29"/>
  <c r="CH56" i="29"/>
  <c r="CI56" i="29"/>
  <c r="CJ56" i="29"/>
  <c r="CL56" i="29"/>
  <c r="CM56" i="29"/>
  <c r="CD57" i="29"/>
  <c r="CF57" i="29"/>
  <c r="CG57" i="29"/>
  <c r="CH57" i="29"/>
  <c r="CJ57" i="29"/>
  <c r="CK57" i="29"/>
  <c r="CL57" i="29"/>
  <c r="CD58" i="29"/>
  <c r="CE58" i="29"/>
  <c r="CF58" i="29"/>
  <c r="CH58" i="29"/>
  <c r="CI58" i="29"/>
  <c r="CJ58" i="29"/>
  <c r="CL58" i="29"/>
  <c r="CM58" i="29"/>
  <c r="CD59" i="29"/>
  <c r="CF59" i="29"/>
  <c r="CG59" i="29"/>
  <c r="CH59" i="29"/>
  <c r="CJ59" i="29"/>
  <c r="CK59" i="29"/>
  <c r="CL59" i="29"/>
  <c r="CD60" i="29"/>
  <c r="CE60" i="29"/>
  <c r="CF60" i="29"/>
  <c r="CH60" i="29"/>
  <c r="CI60" i="29"/>
  <c r="CJ60" i="29"/>
  <c r="CL60" i="29"/>
  <c r="CM60" i="29"/>
  <c r="CD61" i="29"/>
  <c r="CF61" i="29"/>
  <c r="CG61" i="29"/>
  <c r="CH61" i="29"/>
  <c r="CJ61" i="29"/>
  <c r="CK61" i="29"/>
  <c r="CL61" i="29"/>
  <c r="CD62" i="29"/>
  <c r="CE62" i="29"/>
  <c r="CF62" i="29"/>
  <c r="CH62" i="29"/>
  <c r="CI62" i="29"/>
  <c r="CJ62" i="29"/>
  <c r="CL62" i="29"/>
  <c r="CM62" i="29"/>
  <c r="CD63" i="29"/>
  <c r="CF63" i="29"/>
  <c r="CG63" i="29"/>
  <c r="CH63" i="29"/>
  <c r="CJ63" i="29"/>
  <c r="CK63" i="29"/>
  <c r="CL63" i="29"/>
  <c r="CD64" i="29"/>
  <c r="CE64" i="29"/>
  <c r="CF64" i="29"/>
  <c r="CH64" i="29"/>
  <c r="CI64" i="29"/>
  <c r="CJ64" i="29"/>
  <c r="CL64" i="29"/>
  <c r="CM64" i="29"/>
  <c r="CD65" i="29"/>
  <c r="CF65" i="29"/>
  <c r="CG65" i="29"/>
  <c r="CH65" i="29"/>
  <c r="CJ65" i="29"/>
  <c r="CK65" i="29"/>
  <c r="CL65" i="29"/>
  <c r="CD66" i="29"/>
  <c r="CE66" i="29"/>
  <c r="CF66" i="29"/>
  <c r="CH66" i="29"/>
  <c r="CI66" i="29"/>
  <c r="CJ66" i="29"/>
  <c r="CL66" i="29"/>
  <c r="CM66" i="29"/>
  <c r="CD67" i="29"/>
  <c r="CF67" i="29"/>
  <c r="CG67" i="29"/>
  <c r="CH67" i="29"/>
  <c r="CJ67" i="29"/>
  <c r="CK67" i="29"/>
  <c r="CL67" i="29"/>
  <c r="CD68" i="29"/>
  <c r="CE68" i="29"/>
  <c r="CF68" i="29"/>
  <c r="CH68" i="29"/>
  <c r="CI68" i="29"/>
  <c r="CJ68" i="29"/>
  <c r="CL68" i="29"/>
  <c r="CM68" i="29"/>
  <c r="CD69" i="29"/>
  <c r="CF69" i="29"/>
  <c r="CG69" i="29"/>
  <c r="CH69" i="29"/>
  <c r="CJ69" i="29"/>
  <c r="CK69" i="29"/>
  <c r="CL69" i="29"/>
  <c r="CD70" i="29"/>
  <c r="CE70" i="29"/>
  <c r="CF70" i="29"/>
  <c r="CH70" i="29"/>
  <c r="CI70" i="29"/>
  <c r="CJ70" i="29"/>
  <c r="CL70" i="29"/>
  <c r="CM70" i="29"/>
  <c r="CD71" i="29"/>
  <c r="CF71" i="29"/>
  <c r="CG71" i="29"/>
  <c r="CH71" i="29"/>
  <c r="CJ71" i="29"/>
  <c r="CK71" i="29"/>
  <c r="CL71" i="29"/>
  <c r="CD72" i="29"/>
  <c r="CE72" i="29"/>
  <c r="CF72" i="29"/>
  <c r="CH72" i="29"/>
  <c r="CI72" i="29"/>
  <c r="CJ72" i="29"/>
  <c r="CL72" i="29"/>
  <c r="CM72" i="29"/>
  <c r="CD73" i="29"/>
  <c r="CF73" i="29"/>
  <c r="CG73" i="29"/>
  <c r="CH73" i="29"/>
  <c r="CJ73" i="29"/>
  <c r="CK73" i="29"/>
  <c r="CL73" i="29"/>
  <c r="CD74" i="29"/>
  <c r="CE74" i="29"/>
  <c r="CF74" i="29"/>
  <c r="CH74" i="29"/>
  <c r="CI74" i="29"/>
  <c r="CJ74" i="29"/>
  <c r="CL74" i="29"/>
  <c r="CM74" i="29"/>
  <c r="CD75" i="29"/>
  <c r="CF75" i="29"/>
  <c r="CG75" i="29"/>
  <c r="CH75" i="29"/>
  <c r="CJ75" i="29"/>
  <c r="CK75" i="29"/>
  <c r="CL75" i="29"/>
  <c r="CD76" i="29"/>
  <c r="CE76" i="29"/>
  <c r="CF76" i="29"/>
  <c r="CH76" i="29"/>
  <c r="CI76" i="29"/>
  <c r="CJ76" i="29"/>
  <c r="CL76" i="29"/>
  <c r="CM76" i="29"/>
  <c r="CD77" i="29"/>
  <c r="CF77" i="29"/>
  <c r="CG77" i="29"/>
  <c r="CH77" i="29"/>
  <c r="CJ77" i="29"/>
  <c r="CK77" i="29"/>
  <c r="CL77" i="29"/>
  <c r="CD78" i="29"/>
  <c r="CE78" i="29"/>
  <c r="CF78" i="29"/>
  <c r="CH78" i="29"/>
  <c r="CI78" i="29"/>
  <c r="CJ78" i="29"/>
  <c r="CL78" i="29"/>
  <c r="CM78" i="29"/>
  <c r="CD79" i="29"/>
  <c r="CF79" i="29"/>
  <c r="CG79" i="29"/>
  <c r="CH79" i="29"/>
  <c r="CJ79" i="29"/>
  <c r="CK79" i="29"/>
  <c r="CL79" i="29"/>
  <c r="CD80" i="29"/>
  <c r="CE80" i="29"/>
  <c r="CF80" i="29"/>
  <c r="CH80" i="29"/>
  <c r="CI80" i="29"/>
  <c r="CJ80" i="29"/>
  <c r="CL80" i="29"/>
  <c r="CM80" i="29"/>
  <c r="CD81" i="29"/>
  <c r="CF81" i="29"/>
  <c r="CG81" i="29"/>
  <c r="CH81" i="29"/>
  <c r="CJ81" i="29"/>
  <c r="CK81" i="29"/>
  <c r="CL81" i="29"/>
  <c r="CD82" i="29"/>
  <c r="CE82" i="29"/>
  <c r="CF82" i="29"/>
  <c r="CH82" i="29"/>
  <c r="CI82" i="29"/>
  <c r="CJ82" i="29"/>
  <c r="CL82" i="29"/>
  <c r="CM82" i="29"/>
  <c r="CD83" i="29"/>
  <c r="CF83" i="29"/>
  <c r="CG83" i="29"/>
  <c r="CH83" i="29"/>
  <c r="CJ83" i="29"/>
  <c r="CK83" i="29"/>
  <c r="CL83" i="29"/>
  <c r="CD84" i="29"/>
  <c r="CE84" i="29"/>
  <c r="CF84" i="29"/>
  <c r="CH84" i="29"/>
  <c r="CI84" i="29"/>
  <c r="CJ84" i="29"/>
  <c r="CL84" i="29"/>
  <c r="CM84" i="29"/>
  <c r="CD85" i="29"/>
  <c r="CF85" i="29"/>
  <c r="CG85" i="29"/>
  <c r="CH85" i="29"/>
  <c r="CJ85" i="29"/>
  <c r="CK85" i="29"/>
  <c r="CL85" i="29"/>
  <c r="CD86" i="29"/>
  <c r="CE86" i="29"/>
  <c r="CF86" i="29"/>
  <c r="CH86" i="29"/>
  <c r="CI86" i="29"/>
  <c r="CJ86" i="29"/>
  <c r="CL86" i="29"/>
  <c r="CM86" i="29"/>
  <c r="CD87" i="29"/>
  <c r="CF87" i="29"/>
  <c r="CG87" i="29"/>
  <c r="CH87" i="29"/>
  <c r="CJ87" i="29"/>
  <c r="CK87" i="29"/>
  <c r="CL87" i="29"/>
  <c r="CD88" i="29"/>
  <c r="CE88" i="29"/>
  <c r="CF88" i="29"/>
  <c r="CH88" i="29"/>
  <c r="CI88" i="29"/>
  <c r="CJ88" i="29"/>
  <c r="CL88" i="29"/>
  <c r="CM88" i="29"/>
  <c r="CD89" i="29"/>
  <c r="CF89" i="29"/>
  <c r="CG89" i="29"/>
  <c r="CH89" i="29"/>
  <c r="CJ89" i="29"/>
  <c r="CK89" i="29"/>
  <c r="CL89" i="29"/>
  <c r="CD90" i="29"/>
  <c r="CE90" i="29"/>
  <c r="CF90" i="29"/>
  <c r="CH90" i="29"/>
  <c r="CI90" i="29"/>
  <c r="CJ90" i="29"/>
  <c r="CL90" i="29"/>
  <c r="CM90" i="29"/>
  <c r="CD91" i="29"/>
  <c r="CF91" i="29"/>
  <c r="CG91" i="29"/>
  <c r="CH91" i="29"/>
  <c r="CJ91" i="29"/>
  <c r="CK91" i="29"/>
  <c r="CL91" i="29"/>
  <c r="CD92" i="29"/>
  <c r="CE92" i="29"/>
  <c r="CF92" i="29"/>
  <c r="CH92" i="29"/>
  <c r="CI92" i="29"/>
  <c r="CJ92" i="29"/>
  <c r="CL92" i="29"/>
  <c r="CM92" i="29"/>
  <c r="CD93" i="29"/>
  <c r="CF93" i="29"/>
  <c r="CG93" i="29"/>
  <c r="CH93" i="29"/>
  <c r="CJ93" i="29"/>
  <c r="CK93" i="29"/>
  <c r="CL93" i="29"/>
  <c r="CD94" i="29"/>
  <c r="CE94" i="29"/>
  <c r="CF94" i="29"/>
  <c r="CH94" i="29"/>
  <c r="CI94" i="29"/>
  <c r="CJ94" i="29"/>
  <c r="CL94" i="29"/>
  <c r="CM94" i="29"/>
  <c r="CD95" i="29"/>
  <c r="CF95" i="29"/>
  <c r="CG95" i="29"/>
  <c r="CH95" i="29"/>
  <c r="CJ95" i="29"/>
  <c r="CK95" i="29"/>
  <c r="CL95" i="29"/>
  <c r="CD96" i="29"/>
  <c r="CE96" i="29"/>
  <c r="CF96" i="29"/>
  <c r="CH96" i="29"/>
  <c r="CI96" i="29"/>
  <c r="CJ96" i="29"/>
  <c r="CL96" i="29"/>
  <c r="CM96" i="29"/>
  <c r="CD97" i="29"/>
  <c r="CF97" i="29"/>
  <c r="CG97" i="29"/>
  <c r="CH97" i="29"/>
  <c r="CJ97" i="29"/>
  <c r="CK97" i="29"/>
  <c r="CL97" i="29"/>
  <c r="CD98" i="29"/>
  <c r="CE98" i="29"/>
  <c r="CF98" i="29"/>
  <c r="CH98" i="29"/>
  <c r="CI98" i="29"/>
  <c r="CJ98" i="29"/>
  <c r="CL98" i="29"/>
  <c r="CM98" i="29"/>
  <c r="CD99" i="29"/>
  <c r="CF99" i="29"/>
  <c r="CG99" i="29"/>
  <c r="CH99" i="29"/>
  <c r="CJ99" i="29"/>
  <c r="CK99" i="29"/>
  <c r="CL99" i="29"/>
  <c r="CD100" i="29"/>
  <c r="CE100" i="29"/>
  <c r="CF100" i="29"/>
  <c r="CH100" i="29"/>
  <c r="CI100" i="29"/>
  <c r="CJ100" i="29"/>
  <c r="CL100" i="29"/>
  <c r="CM100" i="29"/>
  <c r="CD101" i="29"/>
  <c r="CF101" i="29"/>
  <c r="CG101" i="29"/>
  <c r="CH101" i="29"/>
  <c r="CJ101" i="29"/>
  <c r="CK101" i="29"/>
  <c r="CL101" i="29"/>
  <c r="CD102" i="29"/>
  <c r="CE102" i="29"/>
  <c r="CF102" i="29"/>
  <c r="CH102" i="29"/>
  <c r="CI102" i="29"/>
  <c r="CJ102" i="29"/>
  <c r="CL102" i="29"/>
  <c r="CM102" i="29"/>
  <c r="CD103" i="29"/>
  <c r="CF103" i="29"/>
  <c r="CG103" i="29"/>
  <c r="CH103" i="29"/>
  <c r="CJ103" i="29"/>
  <c r="CK103" i="29"/>
  <c r="CL103" i="29"/>
  <c r="CD104" i="29"/>
  <c r="CE104" i="29"/>
  <c r="CF104" i="29"/>
  <c r="CH104" i="29"/>
  <c r="CI104" i="29"/>
  <c r="CJ104" i="29"/>
  <c r="CL104" i="29"/>
  <c r="CM104" i="29"/>
  <c r="CD105" i="29"/>
  <c r="CF105" i="29"/>
  <c r="CG105" i="29"/>
  <c r="CH105" i="29"/>
  <c r="CJ105" i="29"/>
  <c r="CK105" i="29"/>
  <c r="CL105" i="29"/>
  <c r="CD106" i="29"/>
  <c r="CE106" i="29"/>
  <c r="CF106" i="29"/>
  <c r="CG106" i="29"/>
  <c r="CH106" i="29"/>
  <c r="CI106" i="29"/>
  <c r="CJ106" i="29"/>
  <c r="CK106" i="29"/>
  <c r="CL106" i="29"/>
  <c r="CM106" i="29"/>
  <c r="CD107" i="29"/>
  <c r="CE107" i="29"/>
  <c r="CF107" i="29"/>
  <c r="CG107" i="29"/>
  <c r="CH107" i="29"/>
  <c r="CI107" i="29"/>
  <c r="CJ107" i="29"/>
  <c r="CK107" i="29"/>
  <c r="CL107" i="29"/>
  <c r="CM107" i="29"/>
  <c r="CD108" i="29"/>
  <c r="CE108" i="29"/>
  <c r="CF108" i="29"/>
  <c r="CG108" i="29"/>
  <c r="CH108" i="29"/>
  <c r="CI108" i="29"/>
  <c r="CJ108" i="29"/>
  <c r="CK108" i="29"/>
  <c r="CL108" i="29"/>
  <c r="CM108" i="29"/>
  <c r="CD109" i="29"/>
  <c r="CE109" i="29"/>
  <c r="CF109" i="29"/>
  <c r="CG109" i="29"/>
  <c r="CH109" i="29"/>
  <c r="CI109" i="29"/>
  <c r="CJ109" i="29"/>
  <c r="CK109" i="29"/>
  <c r="CL109" i="29"/>
  <c r="CM109" i="29"/>
  <c r="CD110" i="29"/>
  <c r="CE110" i="29"/>
  <c r="CF110" i="29"/>
  <c r="CG110" i="29"/>
  <c r="CH110" i="29"/>
  <c r="CI110" i="29"/>
  <c r="CJ110" i="29"/>
  <c r="CK110" i="29"/>
  <c r="CL110" i="29"/>
  <c r="CM110" i="29"/>
  <c r="CD111" i="29"/>
  <c r="CE111" i="29"/>
  <c r="CF111" i="29"/>
  <c r="CG111" i="29"/>
  <c r="CH111" i="29"/>
  <c r="CI111" i="29"/>
  <c r="CJ111" i="29"/>
  <c r="CK111" i="29"/>
  <c r="CL111" i="29"/>
  <c r="CM111" i="29"/>
  <c r="CD112" i="29"/>
  <c r="CE112" i="29"/>
  <c r="CF112" i="29"/>
  <c r="CG112" i="29"/>
  <c r="CH112" i="29"/>
  <c r="CI112" i="29"/>
  <c r="CJ112" i="29"/>
  <c r="CK112" i="29"/>
  <c r="CL112" i="29"/>
  <c r="CM112" i="29"/>
  <c r="CD113" i="29"/>
  <c r="CE113" i="29"/>
  <c r="CF113" i="29"/>
  <c r="CG113" i="29"/>
  <c r="CH113" i="29"/>
  <c r="CI113" i="29"/>
  <c r="CJ113" i="29"/>
  <c r="CK113" i="29"/>
  <c r="CL113" i="29"/>
  <c r="CM113" i="29"/>
  <c r="CD114" i="29"/>
  <c r="CE114" i="29"/>
  <c r="CF114" i="29"/>
  <c r="CG114" i="29"/>
  <c r="CH114" i="29"/>
  <c r="CI114" i="29"/>
  <c r="CJ114" i="29"/>
  <c r="CK114" i="29"/>
  <c r="CL114" i="29"/>
  <c r="CM114" i="29"/>
  <c r="CD115" i="29"/>
  <c r="CE115" i="29"/>
  <c r="CF115" i="29"/>
  <c r="CG115" i="29"/>
  <c r="CH115" i="29"/>
  <c r="CI115" i="29"/>
  <c r="CJ115" i="29"/>
  <c r="CK115" i="29"/>
  <c r="CL115" i="29"/>
  <c r="CM115" i="29"/>
  <c r="CD116" i="29"/>
  <c r="CE116" i="29"/>
  <c r="CF116" i="29"/>
  <c r="CG116" i="29"/>
  <c r="CH116" i="29"/>
  <c r="CI116" i="29"/>
  <c r="CJ116" i="29"/>
  <c r="CK116" i="29"/>
  <c r="CL116" i="29"/>
  <c r="CM116" i="29"/>
  <c r="CD117" i="29"/>
  <c r="CE117" i="29"/>
  <c r="CF117" i="29"/>
  <c r="CG117" i="29"/>
  <c r="CH117" i="29"/>
  <c r="CI117" i="29"/>
  <c r="CJ117" i="29"/>
  <c r="CK117" i="29"/>
  <c r="CL117" i="29"/>
  <c r="CM117" i="29"/>
  <c r="CD118" i="29"/>
  <c r="CE118" i="29"/>
  <c r="CF118" i="29"/>
  <c r="CG118" i="29"/>
  <c r="CH118" i="29"/>
  <c r="CI118" i="29"/>
  <c r="CJ118" i="29"/>
  <c r="CK118" i="29"/>
  <c r="CL118" i="29"/>
  <c r="CM118" i="29"/>
  <c r="CD119" i="29"/>
  <c r="CE119" i="29"/>
  <c r="CF119" i="29"/>
  <c r="CG119" i="29"/>
  <c r="CH119" i="29"/>
  <c r="CI119" i="29"/>
  <c r="CJ119" i="29"/>
  <c r="CK119" i="29"/>
  <c r="CL119" i="29"/>
  <c r="CM119" i="29"/>
  <c r="CD120" i="29"/>
  <c r="CE120" i="29"/>
  <c r="CF120" i="29"/>
  <c r="CG120" i="29"/>
  <c r="CH120" i="29"/>
  <c r="CI120" i="29"/>
  <c r="CJ120" i="29"/>
  <c r="CK120" i="29"/>
  <c r="CL120" i="29"/>
  <c r="CM120" i="29"/>
  <c r="CD121" i="29"/>
  <c r="CE121" i="29"/>
  <c r="CF121" i="29"/>
  <c r="CG121" i="29"/>
  <c r="CH121" i="29"/>
  <c r="CI121" i="29"/>
  <c r="CJ121" i="29"/>
  <c r="CK121" i="29"/>
  <c r="CL121" i="29"/>
  <c r="CM121" i="29"/>
  <c r="CD122" i="29"/>
  <c r="CE122" i="29"/>
  <c r="CF122" i="29"/>
  <c r="CG122" i="29"/>
  <c r="CH122" i="29"/>
  <c r="CI122" i="29"/>
  <c r="CJ122" i="29"/>
  <c r="CK122" i="29"/>
  <c r="CL122" i="29"/>
  <c r="CM122" i="29"/>
  <c r="CD123" i="29"/>
  <c r="CE123" i="29"/>
  <c r="CF123" i="29"/>
  <c r="CG123" i="29"/>
  <c r="CH123" i="29"/>
  <c r="CI123" i="29"/>
  <c r="CJ123" i="29"/>
  <c r="CK123" i="29"/>
  <c r="CL123" i="29"/>
  <c r="CM123" i="29"/>
  <c r="CD124" i="29"/>
  <c r="CE124" i="29"/>
  <c r="CF124" i="29"/>
  <c r="CG124" i="29"/>
  <c r="CH124" i="29"/>
  <c r="CI124" i="29"/>
  <c r="CJ124" i="29"/>
  <c r="CK124" i="29"/>
  <c r="CL124" i="29"/>
  <c r="CM124" i="29"/>
  <c r="CD125" i="29"/>
  <c r="CE125" i="29"/>
  <c r="CF125" i="29"/>
  <c r="CG125" i="29"/>
  <c r="CH125" i="29"/>
  <c r="CI125" i="29"/>
  <c r="CJ125" i="29"/>
  <c r="CK125" i="29"/>
  <c r="CL125" i="29"/>
  <c r="CM125" i="29"/>
  <c r="CD126" i="29"/>
  <c r="CE126" i="29"/>
  <c r="CF126" i="29"/>
  <c r="CG126" i="29"/>
  <c r="CH126" i="29"/>
  <c r="CI126" i="29"/>
  <c r="CJ126" i="29"/>
  <c r="CK126" i="29"/>
  <c r="CL126" i="29"/>
  <c r="CM126" i="29"/>
  <c r="CD127" i="29"/>
  <c r="CE127" i="29"/>
  <c r="CF127" i="29"/>
  <c r="CG127" i="29"/>
  <c r="CH127" i="29"/>
  <c r="CI127" i="29"/>
  <c r="CJ127" i="29"/>
  <c r="CK127" i="29"/>
  <c r="CL127" i="29"/>
  <c r="CM127" i="29"/>
  <c r="CD128" i="29"/>
  <c r="CE128" i="29"/>
  <c r="CF128" i="29"/>
  <c r="CG128" i="29"/>
  <c r="CH128" i="29"/>
  <c r="CI128" i="29"/>
  <c r="CJ128" i="29"/>
  <c r="CK128" i="29"/>
  <c r="CL128" i="29"/>
  <c r="CM128" i="29"/>
  <c r="CD129" i="29"/>
  <c r="CE129" i="29"/>
  <c r="CF129" i="29"/>
  <c r="CG129" i="29"/>
  <c r="CH129" i="29"/>
  <c r="CI129" i="29"/>
  <c r="CJ129" i="29"/>
  <c r="CK129" i="29"/>
  <c r="CL129" i="29"/>
  <c r="CM129" i="29"/>
  <c r="CD130" i="29"/>
  <c r="CE130" i="29"/>
  <c r="CF130" i="29"/>
  <c r="CG130" i="29"/>
  <c r="CH130" i="29"/>
  <c r="CI130" i="29"/>
  <c r="CJ130" i="29"/>
  <c r="CK130" i="29"/>
  <c r="CL130" i="29"/>
  <c r="CM130" i="29"/>
  <c r="CD131" i="29"/>
  <c r="CE131" i="29"/>
  <c r="CF131" i="29"/>
  <c r="CG131" i="29"/>
  <c r="CH131" i="29"/>
  <c r="CI131" i="29"/>
  <c r="CJ131" i="29"/>
  <c r="CK131" i="29"/>
  <c r="CL131" i="29"/>
  <c r="CM131" i="29"/>
  <c r="CD132" i="29"/>
  <c r="CE132" i="29"/>
  <c r="CF132" i="29"/>
  <c r="CG132" i="29"/>
  <c r="CH132" i="29"/>
  <c r="CI132" i="29"/>
  <c r="CJ132" i="29"/>
  <c r="CK132" i="29"/>
  <c r="CL132" i="29"/>
  <c r="CM132" i="29"/>
  <c r="CD133" i="29"/>
  <c r="CE133" i="29"/>
  <c r="CF133" i="29"/>
  <c r="CG133" i="29"/>
  <c r="CH133" i="29"/>
  <c r="CI133" i="29"/>
  <c r="CJ133" i="29"/>
  <c r="CK133" i="29"/>
  <c r="CL133" i="29"/>
  <c r="CM133" i="29"/>
  <c r="CD134" i="29"/>
  <c r="CE134" i="29"/>
  <c r="CF134" i="29"/>
  <c r="CG134" i="29"/>
  <c r="CH134" i="29"/>
  <c r="CI134" i="29"/>
  <c r="CJ134" i="29"/>
  <c r="CK134" i="29"/>
  <c r="CL134" i="29"/>
  <c r="CM134" i="29"/>
  <c r="CD135" i="29"/>
  <c r="CE135" i="29"/>
  <c r="CF135" i="29"/>
  <c r="CG135" i="29"/>
  <c r="CH135" i="29"/>
  <c r="CI135" i="29"/>
  <c r="CJ135" i="29"/>
  <c r="CK135" i="29"/>
  <c r="CL135" i="29"/>
  <c r="CM135" i="29"/>
  <c r="CD136" i="29"/>
  <c r="CE136" i="29"/>
  <c r="CF136" i="29"/>
  <c r="CG136" i="29"/>
  <c r="CH136" i="29"/>
  <c r="CI136" i="29"/>
  <c r="CJ136" i="29"/>
  <c r="CK136" i="29"/>
  <c r="CL136" i="29"/>
  <c r="CM136" i="29"/>
  <c r="CD137" i="29"/>
  <c r="CE137" i="29"/>
  <c r="CF137" i="29"/>
  <c r="CG137" i="29"/>
  <c r="CH137" i="29"/>
  <c r="CI137" i="29"/>
  <c r="CJ137" i="29"/>
  <c r="CK137" i="29"/>
  <c r="CL137" i="29"/>
  <c r="CM137" i="29"/>
  <c r="CD138" i="29"/>
  <c r="CE138" i="29"/>
  <c r="CF138" i="29"/>
  <c r="CG138" i="29"/>
  <c r="CH138" i="29"/>
  <c r="CI138" i="29"/>
  <c r="CJ138" i="29"/>
  <c r="CK138" i="29"/>
  <c r="CL138" i="29"/>
  <c r="CM138" i="29"/>
  <c r="CD139" i="29"/>
  <c r="CE139" i="29"/>
  <c r="CF139" i="29"/>
  <c r="CG139" i="29"/>
  <c r="CH139" i="29"/>
  <c r="CI139" i="29"/>
  <c r="CJ139" i="29"/>
  <c r="CK139" i="29"/>
  <c r="CL139" i="29"/>
  <c r="CM139" i="29"/>
  <c r="CD140" i="29"/>
  <c r="CE140" i="29"/>
  <c r="CF140" i="29"/>
  <c r="CG140" i="29"/>
  <c r="CH140" i="29"/>
  <c r="CI140" i="29"/>
  <c r="CJ140" i="29"/>
  <c r="CK140" i="29"/>
  <c r="CL140" i="29"/>
  <c r="CM140" i="29"/>
  <c r="CD141" i="29"/>
  <c r="CE141" i="29"/>
  <c r="CF141" i="29"/>
  <c r="CG141" i="29"/>
  <c r="CH141" i="29"/>
  <c r="CI141" i="29"/>
  <c r="CJ141" i="29"/>
  <c r="CK141" i="29"/>
  <c r="CL141" i="29"/>
  <c r="CM141" i="29"/>
  <c r="CD142" i="29"/>
  <c r="CE142" i="29"/>
  <c r="CF142" i="29"/>
  <c r="CG142" i="29"/>
  <c r="CH142" i="29"/>
  <c r="CI142" i="29"/>
  <c r="CJ142" i="29"/>
  <c r="CK142" i="29"/>
  <c r="CL142" i="29"/>
  <c r="CM142" i="29"/>
  <c r="CD143" i="29"/>
  <c r="CE143" i="29"/>
  <c r="CF143" i="29"/>
  <c r="CG143" i="29"/>
  <c r="CH143" i="29"/>
  <c r="CI143" i="29"/>
  <c r="CJ143" i="29"/>
  <c r="CK143" i="29"/>
  <c r="CL143" i="29"/>
  <c r="CM143" i="29"/>
  <c r="CD144" i="29"/>
  <c r="CE144" i="29"/>
  <c r="CF144" i="29"/>
  <c r="CG144" i="29"/>
  <c r="CH144" i="29"/>
  <c r="CI144" i="29"/>
  <c r="CJ144" i="29"/>
  <c r="CK144" i="29"/>
  <c r="CL144" i="29"/>
  <c r="CM144" i="29"/>
  <c r="CD145" i="29"/>
  <c r="CE145" i="29"/>
  <c r="CF145" i="29"/>
  <c r="CG145" i="29"/>
  <c r="CH145" i="29"/>
  <c r="CI145" i="29"/>
  <c r="CJ145" i="29"/>
  <c r="CK145" i="29"/>
  <c r="CL145" i="29"/>
  <c r="CM145" i="29"/>
  <c r="CD146" i="29"/>
  <c r="CE146" i="29"/>
  <c r="CF146" i="29"/>
  <c r="CG146" i="29"/>
  <c r="CH146" i="29"/>
  <c r="CI146" i="29"/>
  <c r="CJ146" i="29"/>
  <c r="CK146" i="29"/>
  <c r="CL146" i="29"/>
  <c r="CM146" i="29"/>
  <c r="CD147" i="29"/>
  <c r="CE147" i="29"/>
  <c r="CF147" i="29"/>
  <c r="CG147" i="29"/>
  <c r="CH147" i="29"/>
  <c r="CI147" i="29"/>
  <c r="CJ147" i="29"/>
  <c r="CK147" i="29"/>
  <c r="CL147" i="29"/>
  <c r="CM147" i="29"/>
  <c r="CD148" i="29"/>
  <c r="CE148" i="29"/>
  <c r="CF148" i="29"/>
  <c r="CG148" i="29"/>
  <c r="CH148" i="29"/>
  <c r="CI148" i="29"/>
  <c r="CJ148" i="29"/>
  <c r="CK148" i="29"/>
  <c r="CL148" i="29"/>
  <c r="CM148" i="29"/>
  <c r="CD149" i="29"/>
  <c r="CE149" i="29"/>
  <c r="CF149" i="29"/>
  <c r="CG149" i="29"/>
  <c r="CH149" i="29"/>
  <c r="CI149" i="29"/>
  <c r="CJ149" i="29"/>
  <c r="CK149" i="29"/>
  <c r="CL149" i="29"/>
  <c r="CM149" i="29"/>
  <c r="CD150" i="29"/>
  <c r="CE150" i="29"/>
  <c r="CF150" i="29"/>
  <c r="CG150" i="29"/>
  <c r="CH150" i="29"/>
  <c r="CI150" i="29"/>
  <c r="CJ150" i="29"/>
  <c r="CK150" i="29"/>
  <c r="CL150" i="29"/>
  <c r="CM150" i="29"/>
  <c r="CD151" i="29"/>
  <c r="CE151" i="29"/>
  <c r="CF151" i="29"/>
  <c r="CG151" i="29"/>
  <c r="CH151" i="29"/>
  <c r="CI151" i="29"/>
  <c r="CJ151" i="29"/>
  <c r="CK151" i="29"/>
  <c r="CL151" i="29"/>
  <c r="CM151" i="29"/>
  <c r="CD152" i="29"/>
  <c r="CE152" i="29"/>
  <c r="CF152" i="29"/>
  <c r="CG152" i="29"/>
  <c r="CH152" i="29"/>
  <c r="CI152" i="29"/>
  <c r="CJ152" i="29"/>
  <c r="CK152" i="29"/>
  <c r="CL152" i="29"/>
  <c r="CM152" i="29"/>
  <c r="CD153" i="29"/>
  <c r="CE153" i="29"/>
  <c r="CF153" i="29"/>
  <c r="CG153" i="29"/>
  <c r="CH153" i="29"/>
  <c r="CI153" i="29"/>
  <c r="CJ153" i="29"/>
  <c r="CK153" i="29"/>
  <c r="CL153" i="29"/>
  <c r="CM153" i="29"/>
  <c r="CD154" i="29"/>
  <c r="CE154" i="29"/>
  <c r="CF154" i="29"/>
  <c r="CG154" i="29"/>
  <c r="CH154" i="29"/>
  <c r="CI154" i="29"/>
  <c r="CJ154" i="29"/>
  <c r="CK154" i="29"/>
  <c r="CL154" i="29"/>
  <c r="CM154" i="29"/>
  <c r="CD155" i="29"/>
  <c r="CE155" i="29"/>
  <c r="CF155" i="29"/>
  <c r="CG155" i="29"/>
  <c r="CH155" i="29"/>
  <c r="CI155" i="29"/>
  <c r="CJ155" i="29"/>
  <c r="CK155" i="29"/>
  <c r="CL155" i="29"/>
  <c r="CM155" i="29"/>
  <c r="CD156" i="29"/>
  <c r="CE156" i="29"/>
  <c r="CF156" i="29"/>
  <c r="CG156" i="29"/>
  <c r="CH156" i="29"/>
  <c r="CI156" i="29"/>
  <c r="CJ156" i="29"/>
  <c r="CK156" i="29"/>
  <c r="CL156" i="29"/>
  <c r="CM156" i="29"/>
  <c r="CD157" i="29"/>
  <c r="CE157" i="29"/>
  <c r="CF157" i="29"/>
  <c r="CG157" i="29"/>
  <c r="CH157" i="29"/>
  <c r="CI157" i="29"/>
  <c r="CJ157" i="29"/>
  <c r="CK157" i="29"/>
  <c r="CL157" i="29"/>
  <c r="CM157" i="29"/>
  <c r="CD158" i="29"/>
  <c r="CE158" i="29"/>
  <c r="CF158" i="29"/>
  <c r="CG158" i="29"/>
  <c r="CH158" i="29"/>
  <c r="CI158" i="29"/>
  <c r="CJ158" i="29"/>
  <c r="CK158" i="29"/>
  <c r="CL158" i="29"/>
  <c r="CM158" i="29"/>
  <c r="CD159" i="29"/>
  <c r="CE159" i="29"/>
  <c r="CF159" i="29"/>
  <c r="CG159" i="29"/>
  <c r="CH159" i="29"/>
  <c r="CI159" i="29"/>
  <c r="CJ159" i="29"/>
  <c r="CK159" i="29"/>
  <c r="CL159" i="29"/>
  <c r="CM159" i="29"/>
  <c r="CD160" i="29"/>
  <c r="CE160" i="29"/>
  <c r="CF160" i="29"/>
  <c r="CG160" i="29"/>
  <c r="CH160" i="29"/>
  <c r="CI160" i="29"/>
  <c r="CJ160" i="29"/>
  <c r="CK160" i="29"/>
  <c r="CL160" i="29"/>
  <c r="CM160" i="29"/>
  <c r="CD161" i="29"/>
  <c r="CE161" i="29"/>
  <c r="CF161" i="29"/>
  <c r="CG161" i="29"/>
  <c r="CH161" i="29"/>
  <c r="CI161" i="29"/>
  <c r="CJ161" i="29"/>
  <c r="CK161" i="29"/>
  <c r="CL161" i="29"/>
  <c r="CM161" i="29"/>
  <c r="CD162" i="29"/>
  <c r="CE162" i="29"/>
  <c r="CF162" i="29"/>
  <c r="CG162" i="29"/>
  <c r="CH162" i="29"/>
  <c r="CI162" i="29"/>
  <c r="CJ162" i="29"/>
  <c r="CK162" i="29"/>
  <c r="CL162" i="29"/>
  <c r="CM162" i="29"/>
  <c r="CD163" i="29"/>
  <c r="CE163" i="29"/>
  <c r="CF163" i="29"/>
  <c r="CG163" i="29"/>
  <c r="CH163" i="29"/>
  <c r="CI163" i="29"/>
  <c r="CJ163" i="29"/>
  <c r="CK163" i="29"/>
  <c r="CL163" i="29"/>
  <c r="CM163" i="29"/>
  <c r="CD164" i="29"/>
  <c r="CE164" i="29"/>
  <c r="CF164" i="29"/>
  <c r="CG164" i="29"/>
  <c r="CH164" i="29"/>
  <c r="CI164" i="29"/>
  <c r="CJ164" i="29"/>
  <c r="CK164" i="29"/>
  <c r="CL164" i="29"/>
  <c r="CM164" i="29"/>
  <c r="CD165" i="29"/>
  <c r="CE165" i="29"/>
  <c r="CF165" i="29"/>
  <c r="CG165" i="29"/>
  <c r="CH165" i="29"/>
  <c r="CI165" i="29"/>
  <c r="CJ165" i="29"/>
  <c r="CK165" i="29"/>
  <c r="CL165" i="29"/>
  <c r="CM165" i="29"/>
  <c r="CD166" i="29"/>
  <c r="CE166" i="29"/>
  <c r="CF166" i="29"/>
  <c r="CG166" i="29"/>
  <c r="CH166" i="29"/>
  <c r="CI166" i="29"/>
  <c r="CJ166" i="29"/>
  <c r="CK166" i="29"/>
  <c r="CL166" i="29"/>
  <c r="CM166" i="29"/>
  <c r="CD167" i="29"/>
  <c r="CE167" i="29"/>
  <c r="CF167" i="29"/>
  <c r="CG167" i="29"/>
  <c r="CH167" i="29"/>
  <c r="CI167" i="29"/>
  <c r="CJ167" i="29"/>
  <c r="CK167" i="29"/>
  <c r="CL167" i="29"/>
  <c r="CM167" i="29"/>
  <c r="CD168" i="29"/>
  <c r="CE168" i="29"/>
  <c r="CF168" i="29"/>
  <c r="CG168" i="29"/>
  <c r="CH168" i="29"/>
  <c r="CI168" i="29"/>
  <c r="CJ168" i="29"/>
  <c r="CK168" i="29"/>
  <c r="CL168" i="29"/>
  <c r="CM168" i="29"/>
  <c r="CD169" i="29"/>
  <c r="CE169" i="29"/>
  <c r="CF169" i="29"/>
  <c r="CG169" i="29"/>
  <c r="CH169" i="29"/>
  <c r="CI169" i="29"/>
  <c r="CJ169" i="29"/>
  <c r="CK169" i="29"/>
  <c r="CL169" i="29"/>
  <c r="CM169" i="29"/>
  <c r="CD170" i="29"/>
  <c r="CE170" i="29"/>
  <c r="CF170" i="29"/>
  <c r="CG170" i="29"/>
  <c r="CH170" i="29"/>
  <c r="CI170" i="29"/>
  <c r="CJ170" i="29"/>
  <c r="CK170" i="29"/>
  <c r="CL170" i="29"/>
  <c r="CM170" i="29"/>
  <c r="CD171" i="29"/>
  <c r="CE171" i="29"/>
  <c r="CF171" i="29"/>
  <c r="CG171" i="29"/>
  <c r="CH171" i="29"/>
  <c r="CI171" i="29"/>
  <c r="CJ171" i="29"/>
  <c r="CK171" i="29"/>
  <c r="CL171" i="29"/>
  <c r="CM171" i="29"/>
  <c r="CD172" i="29"/>
  <c r="CE172" i="29"/>
  <c r="CF172" i="29"/>
  <c r="CG172" i="29"/>
  <c r="CH172" i="29"/>
  <c r="CI172" i="29"/>
  <c r="CJ172" i="29"/>
  <c r="CK172" i="29"/>
  <c r="CL172" i="29"/>
  <c r="CM172" i="29"/>
  <c r="CD173" i="29"/>
  <c r="CE173" i="29"/>
  <c r="CF173" i="29"/>
  <c r="CG173" i="29"/>
  <c r="CH173" i="29"/>
  <c r="CI173" i="29"/>
  <c r="CJ173" i="29"/>
  <c r="CK173" i="29"/>
  <c r="CL173" i="29"/>
  <c r="CM173" i="29"/>
  <c r="CD174" i="29"/>
  <c r="CE174" i="29"/>
  <c r="CF174" i="29"/>
  <c r="CG174" i="29"/>
  <c r="CH174" i="29"/>
  <c r="CI174" i="29"/>
  <c r="CJ174" i="29"/>
  <c r="CK174" i="29"/>
  <c r="CL174" i="29"/>
  <c r="CM174" i="29"/>
  <c r="CD175" i="29"/>
  <c r="CE175" i="29"/>
  <c r="CF175" i="29"/>
  <c r="CG175" i="29"/>
  <c r="CH175" i="29"/>
  <c r="CI175" i="29"/>
  <c r="CJ175" i="29"/>
  <c r="CK175" i="29"/>
  <c r="CL175" i="29"/>
  <c r="CM175" i="29"/>
  <c r="CD176" i="29"/>
  <c r="CE176" i="29"/>
  <c r="CF176" i="29"/>
  <c r="CG176" i="29"/>
  <c r="CH176" i="29"/>
  <c r="CI176" i="29"/>
  <c r="CJ176" i="29"/>
  <c r="CK176" i="29"/>
  <c r="CL176" i="29"/>
  <c r="CM176" i="29"/>
  <c r="CD177" i="29"/>
  <c r="CE177" i="29"/>
  <c r="CF177" i="29"/>
  <c r="CG177" i="29"/>
  <c r="CH177" i="29"/>
  <c r="CI177" i="29"/>
  <c r="CJ177" i="29"/>
  <c r="CK177" i="29"/>
  <c r="CL177" i="29"/>
  <c r="CM177" i="29"/>
  <c r="CD178" i="29"/>
  <c r="CE178" i="29"/>
  <c r="CF178" i="29"/>
  <c r="CG178" i="29"/>
  <c r="CH178" i="29"/>
  <c r="CI178" i="29"/>
  <c r="CJ178" i="29"/>
  <c r="CK178" i="29"/>
  <c r="CL178" i="29"/>
  <c r="CM178" i="29"/>
  <c r="CD179" i="29"/>
  <c r="CE179" i="29"/>
  <c r="CF179" i="29"/>
  <c r="CG179" i="29"/>
  <c r="CH179" i="29"/>
  <c r="CI179" i="29"/>
  <c r="CJ179" i="29"/>
  <c r="CK179" i="29"/>
  <c r="CL179" i="29"/>
  <c r="CM179" i="29"/>
  <c r="CD180" i="29"/>
  <c r="CE180" i="29"/>
  <c r="CF180" i="29"/>
  <c r="CG180" i="29"/>
  <c r="CH180" i="29"/>
  <c r="CI180" i="29"/>
  <c r="CJ180" i="29"/>
  <c r="CK180" i="29"/>
  <c r="CL180" i="29"/>
  <c r="CM180" i="29"/>
  <c r="CD181" i="29"/>
  <c r="CE181" i="29"/>
  <c r="CF181" i="29"/>
  <c r="CG181" i="29"/>
  <c r="CH181" i="29"/>
  <c r="CI181" i="29"/>
  <c r="CJ181" i="29"/>
  <c r="CK181" i="29"/>
  <c r="CL181" i="29"/>
  <c r="CM181" i="29"/>
  <c r="CD182" i="29"/>
  <c r="CE182" i="29"/>
  <c r="CF182" i="29"/>
  <c r="CG182" i="29"/>
  <c r="CH182" i="29"/>
  <c r="CI182" i="29"/>
  <c r="CJ182" i="29"/>
  <c r="CK182" i="29"/>
  <c r="CL182" i="29"/>
  <c r="CM182" i="29"/>
  <c r="CD183" i="29"/>
  <c r="CE183" i="29"/>
  <c r="CF183" i="29"/>
  <c r="CG183" i="29"/>
  <c r="CH183" i="29"/>
  <c r="CI183" i="29"/>
  <c r="CJ183" i="29"/>
  <c r="CK183" i="29"/>
  <c r="CL183" i="29"/>
  <c r="CM183" i="29"/>
  <c r="CD184" i="29"/>
  <c r="CE184" i="29"/>
  <c r="CF184" i="29"/>
  <c r="CG184" i="29"/>
  <c r="CH184" i="29"/>
  <c r="CI184" i="29"/>
  <c r="CJ184" i="29"/>
  <c r="CK184" i="29"/>
  <c r="CL184" i="29"/>
  <c r="CM184" i="29"/>
  <c r="CD185" i="29"/>
  <c r="CE185" i="29"/>
  <c r="CF185" i="29"/>
  <c r="CG185" i="29"/>
  <c r="CH185" i="29"/>
  <c r="CI185" i="29"/>
  <c r="CJ185" i="29"/>
  <c r="CK185" i="29"/>
  <c r="CL185" i="29"/>
  <c r="CM185" i="29"/>
  <c r="CD186" i="29"/>
  <c r="CE186" i="29"/>
  <c r="CF186" i="29"/>
  <c r="CG186" i="29"/>
  <c r="CH186" i="29"/>
  <c r="CI186" i="29"/>
  <c r="CJ186" i="29"/>
  <c r="CK186" i="29"/>
  <c r="CL186" i="29"/>
  <c r="CM186" i="29"/>
  <c r="CD187" i="29"/>
  <c r="CE187" i="29"/>
  <c r="CF187" i="29"/>
  <c r="CG187" i="29"/>
  <c r="CH187" i="29"/>
  <c r="CI187" i="29"/>
  <c r="CJ187" i="29"/>
  <c r="CK187" i="29"/>
  <c r="CL187" i="29"/>
  <c r="CM187" i="29"/>
  <c r="CD188" i="29"/>
  <c r="CE188" i="29"/>
  <c r="CF188" i="29"/>
  <c r="CG188" i="29"/>
  <c r="CH188" i="29"/>
  <c r="CI188" i="29"/>
  <c r="CJ188" i="29"/>
  <c r="CK188" i="29"/>
  <c r="CL188" i="29"/>
  <c r="CM188" i="29"/>
  <c r="CD189" i="29"/>
  <c r="CE189" i="29"/>
  <c r="CF189" i="29"/>
  <c r="CG189" i="29"/>
  <c r="CH189" i="29"/>
  <c r="CI189" i="29"/>
  <c r="CJ189" i="29"/>
  <c r="CK189" i="29"/>
  <c r="CL189" i="29"/>
  <c r="CM189" i="29"/>
  <c r="CD190" i="29"/>
  <c r="CE190" i="29"/>
  <c r="CF190" i="29"/>
  <c r="CG190" i="29"/>
  <c r="CH190" i="29"/>
  <c r="CI190" i="29"/>
  <c r="CJ190" i="29"/>
  <c r="CK190" i="29"/>
  <c r="CL190" i="29"/>
  <c r="CM190" i="29"/>
  <c r="CD191" i="29"/>
  <c r="CE191" i="29"/>
  <c r="CF191" i="29"/>
  <c r="CG191" i="29"/>
  <c r="CH191" i="29"/>
  <c r="CI191" i="29"/>
  <c r="CJ191" i="29"/>
  <c r="CK191" i="29"/>
  <c r="CL191" i="29"/>
  <c r="CM191" i="29"/>
  <c r="CD192" i="29"/>
  <c r="CE192" i="29"/>
  <c r="CF192" i="29"/>
  <c r="CG192" i="29"/>
  <c r="CH192" i="29"/>
  <c r="CI192" i="29"/>
  <c r="CJ192" i="29"/>
  <c r="CK192" i="29"/>
  <c r="CL192" i="29"/>
  <c r="CM192" i="29"/>
  <c r="CD193" i="29"/>
  <c r="CE193" i="29"/>
  <c r="CF193" i="29"/>
  <c r="CG193" i="29"/>
  <c r="CH193" i="29"/>
  <c r="CI193" i="29"/>
  <c r="CJ193" i="29"/>
  <c r="CK193" i="29"/>
  <c r="CL193" i="29"/>
  <c r="CM193" i="29"/>
  <c r="CD194" i="29"/>
  <c r="CE194" i="29"/>
  <c r="CF194" i="29"/>
  <c r="CG194" i="29"/>
  <c r="CH194" i="29"/>
  <c r="CI194" i="29"/>
  <c r="CJ194" i="29"/>
  <c r="CK194" i="29"/>
  <c r="CL194" i="29"/>
  <c r="CM194" i="29"/>
  <c r="CD195" i="29"/>
  <c r="CE195" i="29"/>
  <c r="CF195" i="29"/>
  <c r="CG195" i="29"/>
  <c r="CH195" i="29"/>
  <c r="CI195" i="29"/>
  <c r="CJ195" i="29"/>
  <c r="CK195" i="29"/>
  <c r="CL195" i="29"/>
  <c r="CM195" i="29"/>
  <c r="CD196" i="29"/>
  <c r="CE196" i="29"/>
  <c r="CF196" i="29"/>
  <c r="CG196" i="29"/>
  <c r="CH196" i="29"/>
  <c r="CI196" i="29"/>
  <c r="CJ196" i="29"/>
  <c r="CK196" i="29"/>
  <c r="CL196" i="29"/>
  <c r="CM196" i="29"/>
  <c r="CD197" i="29"/>
  <c r="CE197" i="29"/>
  <c r="CF197" i="29"/>
  <c r="CG197" i="29"/>
  <c r="CH197" i="29"/>
  <c r="CI197" i="29"/>
  <c r="CJ197" i="29"/>
  <c r="CK197" i="29"/>
  <c r="CL197" i="29"/>
  <c r="CM197" i="29"/>
  <c r="CD198" i="29"/>
  <c r="CE198" i="29"/>
  <c r="CF198" i="29"/>
  <c r="CG198" i="29"/>
  <c r="CH198" i="29"/>
  <c r="CI198" i="29"/>
  <c r="CJ198" i="29"/>
  <c r="CK198" i="29"/>
  <c r="CL198" i="29"/>
  <c r="CM198" i="29"/>
  <c r="CD199" i="29"/>
  <c r="CE199" i="29"/>
  <c r="CF199" i="29"/>
  <c r="CG199" i="29"/>
  <c r="CH199" i="29"/>
  <c r="CI199" i="29"/>
  <c r="CJ199" i="29"/>
  <c r="CK199" i="29"/>
  <c r="CL199" i="29"/>
  <c r="CM199" i="29"/>
  <c r="CD200" i="29"/>
  <c r="CE200" i="29"/>
  <c r="CF200" i="29"/>
  <c r="CG200" i="29"/>
  <c r="CH200" i="29"/>
  <c r="CI200" i="29"/>
  <c r="CJ200" i="29"/>
  <c r="CK200" i="29"/>
  <c r="CL200" i="29"/>
  <c r="CM200" i="29"/>
  <c r="CD201" i="29"/>
  <c r="CE201" i="29"/>
  <c r="CF201" i="29"/>
  <c r="CG201" i="29"/>
  <c r="CH201" i="29"/>
  <c r="CI201" i="29"/>
  <c r="CJ201" i="29"/>
  <c r="CK201" i="29"/>
  <c r="CL201" i="29"/>
  <c r="CM201" i="29"/>
  <c r="CD202" i="29"/>
  <c r="CE202" i="29"/>
  <c r="CF202" i="29"/>
  <c r="CG202" i="29"/>
  <c r="CH202" i="29"/>
  <c r="CI202" i="29"/>
  <c r="CJ202" i="29"/>
  <c r="CK202" i="29"/>
  <c r="CL202" i="29"/>
  <c r="CM202" i="29"/>
  <c r="CD203" i="29"/>
  <c r="CE203" i="29"/>
  <c r="CF203" i="29"/>
  <c r="CG203" i="29"/>
  <c r="CH203" i="29"/>
  <c r="CI203" i="29"/>
  <c r="CJ203" i="29"/>
  <c r="CK203" i="29"/>
  <c r="CL203" i="29"/>
  <c r="CM203" i="29"/>
  <c r="CD204" i="29"/>
  <c r="CE204" i="29"/>
  <c r="CF204" i="29"/>
  <c r="CG204" i="29"/>
  <c r="CH204" i="29"/>
  <c r="CI204" i="29"/>
  <c r="CJ204" i="29"/>
  <c r="CK204" i="29"/>
  <c r="CL204" i="29"/>
  <c r="CM204" i="29"/>
  <c r="CD205" i="29"/>
  <c r="CE205" i="29"/>
  <c r="CF205" i="29"/>
  <c r="CG205" i="29"/>
  <c r="CH205" i="29"/>
  <c r="CI205" i="29"/>
  <c r="CJ205" i="29"/>
  <c r="CK205" i="29"/>
  <c r="CL205" i="29"/>
  <c r="CM205" i="29"/>
  <c r="CD206" i="29"/>
  <c r="CE206" i="29"/>
  <c r="CF206" i="29"/>
  <c r="CG206" i="29"/>
  <c r="CH206" i="29"/>
  <c r="CI206" i="29"/>
  <c r="CJ206" i="29"/>
  <c r="CK206" i="29"/>
  <c r="CL206" i="29"/>
  <c r="CM206" i="29"/>
  <c r="CD207" i="29"/>
  <c r="CE207" i="29"/>
  <c r="CF207" i="29"/>
  <c r="CG207" i="29"/>
  <c r="CH207" i="29"/>
  <c r="CI207" i="29"/>
  <c r="CJ207" i="29"/>
  <c r="CK207" i="29"/>
  <c r="CL207" i="29"/>
  <c r="CM207" i="29"/>
  <c r="CD208" i="29"/>
  <c r="CE208" i="29"/>
  <c r="CF208" i="29"/>
  <c r="CG208" i="29"/>
  <c r="CH208" i="29"/>
  <c r="CI208" i="29"/>
  <c r="CJ208" i="29"/>
  <c r="CK208" i="29"/>
  <c r="CL208" i="29"/>
  <c r="CM208" i="29"/>
  <c r="CD209" i="29"/>
  <c r="CE209" i="29"/>
  <c r="CF209" i="29"/>
  <c r="CG209" i="29"/>
  <c r="CH209" i="29"/>
  <c r="CI209" i="29"/>
  <c r="CJ209" i="29"/>
  <c r="CK209" i="29"/>
  <c r="CL209" i="29"/>
  <c r="CM209" i="29"/>
  <c r="CD210" i="29"/>
  <c r="CE210" i="29"/>
  <c r="CF210" i="29"/>
  <c r="CG210" i="29"/>
  <c r="CH210" i="29"/>
  <c r="CI210" i="29"/>
  <c r="CJ210" i="29"/>
  <c r="CK210" i="29"/>
  <c r="CL210" i="29"/>
  <c r="CM210" i="29"/>
  <c r="CD211" i="29"/>
  <c r="CE211" i="29"/>
  <c r="CF211" i="29"/>
  <c r="CG211" i="29"/>
  <c r="CH211" i="29"/>
  <c r="CI211" i="29"/>
  <c r="CJ211" i="29"/>
  <c r="CK211" i="29"/>
  <c r="CL211" i="29"/>
  <c r="CM211" i="29"/>
  <c r="CD212" i="29"/>
  <c r="CE212" i="29"/>
  <c r="CF212" i="29"/>
  <c r="CG212" i="29"/>
  <c r="CH212" i="29"/>
  <c r="CI212" i="29"/>
  <c r="CJ212" i="29"/>
  <c r="CK212" i="29"/>
  <c r="CL212" i="29"/>
  <c r="CM212" i="29"/>
  <c r="CD213" i="29"/>
  <c r="CE213" i="29"/>
  <c r="CF213" i="29"/>
  <c r="CG213" i="29"/>
  <c r="CH213" i="29"/>
  <c r="CI213" i="29"/>
  <c r="CJ213" i="29"/>
  <c r="CK213" i="29"/>
  <c r="CL213" i="29"/>
  <c r="CM213" i="29"/>
  <c r="CD214" i="29"/>
  <c r="CE214" i="29"/>
  <c r="CF214" i="29"/>
  <c r="CG214" i="29"/>
  <c r="CH214" i="29"/>
  <c r="CI214" i="29"/>
  <c r="CJ214" i="29"/>
  <c r="CK214" i="29"/>
  <c r="CL214" i="29"/>
  <c r="CM214" i="29"/>
  <c r="CD215" i="29"/>
  <c r="CE215" i="29"/>
  <c r="CF215" i="29"/>
  <c r="CG215" i="29"/>
  <c r="CH215" i="29"/>
  <c r="CI215" i="29"/>
  <c r="CJ215" i="29"/>
  <c r="CK215" i="29"/>
  <c r="CL215" i="29"/>
  <c r="CM215" i="29"/>
  <c r="CD216" i="29"/>
  <c r="CE216" i="29"/>
  <c r="CF216" i="29"/>
  <c r="CG216" i="29"/>
  <c r="CH216" i="29"/>
  <c r="CI216" i="29"/>
  <c r="CJ216" i="29"/>
  <c r="CK216" i="29"/>
  <c r="CL216" i="29"/>
  <c r="CM216" i="29"/>
  <c r="CD217" i="29"/>
  <c r="CE217" i="29"/>
  <c r="CF217" i="29"/>
  <c r="CG217" i="29"/>
  <c r="CH217" i="29"/>
  <c r="CI217" i="29"/>
  <c r="CJ217" i="29"/>
  <c r="CK217" i="29"/>
  <c r="CL217" i="29"/>
  <c r="CM217" i="29"/>
  <c r="CD218" i="29"/>
  <c r="CE218" i="29"/>
  <c r="CF218" i="29"/>
  <c r="CG218" i="29"/>
  <c r="CH218" i="29"/>
  <c r="CI218" i="29"/>
  <c r="CJ218" i="29"/>
  <c r="CK218" i="29"/>
  <c r="CL218" i="29"/>
  <c r="CM218" i="29"/>
  <c r="CD219" i="29"/>
  <c r="CE219" i="29"/>
  <c r="CF219" i="29"/>
  <c r="CG219" i="29"/>
  <c r="CH219" i="29"/>
  <c r="CI219" i="29"/>
  <c r="CJ219" i="29"/>
  <c r="CK219" i="29"/>
  <c r="CL219" i="29"/>
  <c r="CM219" i="29"/>
  <c r="CD220" i="29"/>
  <c r="CE220" i="29"/>
  <c r="CF220" i="29"/>
  <c r="CG220" i="29"/>
  <c r="CH220" i="29"/>
  <c r="CI220" i="29"/>
  <c r="CJ220" i="29"/>
  <c r="CK220" i="29"/>
  <c r="CL220" i="29"/>
  <c r="CM220" i="29"/>
  <c r="CD221" i="29"/>
  <c r="CE221" i="29"/>
  <c r="CF221" i="29"/>
  <c r="CG221" i="29"/>
  <c r="CH221" i="29"/>
  <c r="CI221" i="29"/>
  <c r="CJ221" i="29"/>
  <c r="CK221" i="29"/>
  <c r="CL221" i="29"/>
  <c r="CM221" i="29"/>
  <c r="CD222" i="29"/>
  <c r="CE222" i="29"/>
  <c r="CF222" i="29"/>
  <c r="CG222" i="29"/>
  <c r="CH222" i="29"/>
  <c r="CI222" i="29"/>
  <c r="CJ222" i="29"/>
  <c r="CK222" i="29"/>
  <c r="CL222" i="29"/>
  <c r="CM222" i="29"/>
  <c r="CD223" i="29"/>
  <c r="CE223" i="29"/>
  <c r="CF223" i="29"/>
  <c r="CG223" i="29"/>
  <c r="CH223" i="29"/>
  <c r="CI223" i="29"/>
  <c r="CJ223" i="29"/>
  <c r="CK223" i="29"/>
  <c r="CL223" i="29"/>
  <c r="CM223" i="29"/>
  <c r="CD224" i="29"/>
  <c r="CE224" i="29"/>
  <c r="CF224" i="29"/>
  <c r="CG224" i="29"/>
  <c r="CH224" i="29"/>
  <c r="CI224" i="29"/>
  <c r="CJ224" i="29"/>
  <c r="CK224" i="29"/>
  <c r="CL224" i="29"/>
  <c r="CM224" i="29"/>
  <c r="CD225" i="29"/>
  <c r="CE225" i="29"/>
  <c r="CF225" i="29"/>
  <c r="CG225" i="29"/>
  <c r="CH225" i="29"/>
  <c r="CI225" i="29"/>
  <c r="CJ225" i="29"/>
  <c r="CK225" i="29"/>
  <c r="CL225" i="29"/>
  <c r="CM225" i="29"/>
  <c r="CD226" i="29"/>
  <c r="CE226" i="29"/>
  <c r="CF226" i="29"/>
  <c r="CG226" i="29"/>
  <c r="CH226" i="29"/>
  <c r="CI226" i="29"/>
  <c r="CJ226" i="29"/>
  <c r="CK226" i="29"/>
  <c r="CL226" i="29"/>
  <c r="CM226" i="29"/>
  <c r="CD227" i="29"/>
  <c r="CE227" i="29"/>
  <c r="CF227" i="29"/>
  <c r="CG227" i="29"/>
  <c r="CH227" i="29"/>
  <c r="CI227" i="29"/>
  <c r="CJ227" i="29"/>
  <c r="CK227" i="29"/>
  <c r="CL227" i="29"/>
  <c r="CM227" i="29"/>
  <c r="CD228" i="29"/>
  <c r="CE228" i="29"/>
  <c r="CF228" i="29"/>
  <c r="CG228" i="29"/>
  <c r="CH228" i="29"/>
  <c r="CI228" i="29"/>
  <c r="CJ228" i="29"/>
  <c r="CK228" i="29"/>
  <c r="CL228" i="29"/>
  <c r="CM228" i="29"/>
  <c r="CD229" i="29"/>
  <c r="CE229" i="29"/>
  <c r="CF229" i="29"/>
  <c r="CG229" i="29"/>
  <c r="CH229" i="29"/>
  <c r="CI229" i="29"/>
  <c r="CJ229" i="29"/>
  <c r="CK229" i="29"/>
  <c r="CL229" i="29"/>
  <c r="CM229" i="29"/>
  <c r="CD230" i="29"/>
  <c r="CE230" i="29"/>
  <c r="CF230" i="29"/>
  <c r="CG230" i="29"/>
  <c r="CH230" i="29"/>
  <c r="CI230" i="29"/>
  <c r="CJ230" i="29"/>
  <c r="CK230" i="29"/>
  <c r="CL230" i="29"/>
  <c r="CM230" i="29"/>
  <c r="CD231" i="29"/>
  <c r="CE231" i="29"/>
  <c r="CF231" i="29"/>
  <c r="CG231" i="29"/>
  <c r="CH231" i="29"/>
  <c r="CI231" i="29"/>
  <c r="CJ231" i="29"/>
  <c r="CK231" i="29"/>
  <c r="CL231" i="29"/>
  <c r="CM231" i="29"/>
  <c r="CD232" i="29"/>
  <c r="CE232" i="29"/>
  <c r="CF232" i="29"/>
  <c r="CG232" i="29"/>
  <c r="CH232" i="29"/>
  <c r="CI232" i="29"/>
  <c r="CJ232" i="29"/>
  <c r="CK232" i="29"/>
  <c r="CL232" i="29"/>
  <c r="CM232" i="29"/>
  <c r="CD233" i="29"/>
  <c r="CE233" i="29"/>
  <c r="CF233" i="29"/>
  <c r="CG233" i="29"/>
  <c r="CH233" i="29"/>
  <c r="CI233" i="29"/>
  <c r="CJ233" i="29"/>
  <c r="CK233" i="29"/>
  <c r="CL233" i="29"/>
  <c r="CM233" i="29"/>
  <c r="CD234" i="29"/>
  <c r="CE234" i="29"/>
  <c r="CF234" i="29"/>
  <c r="CG234" i="29"/>
  <c r="CH234" i="29"/>
  <c r="CI234" i="29"/>
  <c r="CJ234" i="29"/>
  <c r="CK234" i="29"/>
  <c r="CL234" i="29"/>
  <c r="CM234" i="29"/>
  <c r="CD235" i="29"/>
  <c r="CE235" i="29"/>
  <c r="CF235" i="29"/>
  <c r="CG235" i="29"/>
  <c r="CH235" i="29"/>
  <c r="CI235" i="29"/>
  <c r="CJ235" i="29"/>
  <c r="CK235" i="29"/>
  <c r="CL235" i="29"/>
  <c r="CM235" i="29"/>
  <c r="CD236" i="29"/>
  <c r="CE236" i="29"/>
  <c r="CF236" i="29"/>
  <c r="CG236" i="29"/>
  <c r="CH236" i="29"/>
  <c r="CI236" i="29"/>
  <c r="CJ236" i="29"/>
  <c r="CK236" i="29"/>
  <c r="CL236" i="29"/>
  <c r="CM236" i="29"/>
  <c r="CD237" i="29"/>
  <c r="CE237" i="29"/>
  <c r="CF237" i="29"/>
  <c r="CG237" i="29"/>
  <c r="CH237" i="29"/>
  <c r="CI237" i="29"/>
  <c r="CJ237" i="29"/>
  <c r="CK237" i="29"/>
  <c r="CL237" i="29"/>
  <c r="CM237" i="29"/>
  <c r="CD238" i="29"/>
  <c r="CE238" i="29"/>
  <c r="CF238" i="29"/>
  <c r="CG238" i="29"/>
  <c r="CH238" i="29"/>
  <c r="CI238" i="29"/>
  <c r="CJ238" i="29"/>
  <c r="CK238" i="29"/>
  <c r="CL238" i="29"/>
  <c r="CM238" i="29"/>
  <c r="CD239" i="29"/>
  <c r="CE239" i="29"/>
  <c r="CF239" i="29"/>
  <c r="CG239" i="29"/>
  <c r="CH239" i="29"/>
  <c r="CI239" i="29"/>
  <c r="CJ239" i="29"/>
  <c r="CK239" i="29"/>
  <c r="CL239" i="29"/>
  <c r="CM239" i="29"/>
  <c r="CD240" i="29"/>
  <c r="CE240" i="29"/>
  <c r="CF240" i="29"/>
  <c r="CG240" i="29"/>
  <c r="CH240" i="29"/>
  <c r="CI240" i="29"/>
  <c r="CJ240" i="29"/>
  <c r="CK240" i="29"/>
  <c r="CL240" i="29"/>
  <c r="CM240" i="29"/>
  <c r="CD241" i="29"/>
  <c r="CE241" i="29"/>
  <c r="CF241" i="29"/>
  <c r="CG241" i="29"/>
  <c r="CH241" i="29"/>
  <c r="CI241" i="29"/>
  <c r="CJ241" i="29"/>
  <c r="CK241" i="29"/>
  <c r="CL241" i="29"/>
  <c r="CM241" i="29"/>
  <c r="CD242" i="29"/>
  <c r="CE242" i="29"/>
  <c r="CF242" i="29"/>
  <c r="CG242" i="29"/>
  <c r="CH242" i="29"/>
  <c r="CI242" i="29"/>
  <c r="CJ242" i="29"/>
  <c r="CK242" i="29"/>
  <c r="CL242" i="29"/>
  <c r="CM242" i="29"/>
  <c r="CD243" i="29"/>
  <c r="CE243" i="29"/>
  <c r="CF243" i="29"/>
  <c r="CG243" i="29"/>
  <c r="CH243" i="29"/>
  <c r="CI243" i="29"/>
  <c r="CJ243" i="29"/>
  <c r="CK243" i="29"/>
  <c r="CL243" i="29"/>
  <c r="CM243" i="29"/>
  <c r="CD244" i="29"/>
  <c r="CE244" i="29"/>
  <c r="CF244" i="29"/>
  <c r="CG244" i="29"/>
  <c r="CH244" i="29"/>
  <c r="CI244" i="29"/>
  <c r="CJ244" i="29"/>
  <c r="CK244" i="29"/>
  <c r="CL244" i="29"/>
  <c r="CM244" i="29"/>
  <c r="CD245" i="29"/>
  <c r="CE245" i="29"/>
  <c r="CF245" i="29"/>
  <c r="CG245" i="29"/>
  <c r="CH245" i="29"/>
  <c r="CI245" i="29"/>
  <c r="CJ245" i="29"/>
  <c r="CK245" i="29"/>
  <c r="CL245" i="29"/>
  <c r="CM245" i="29"/>
  <c r="CD246" i="29"/>
  <c r="CE246" i="29"/>
  <c r="CF246" i="29"/>
  <c r="CG246" i="29"/>
  <c r="CH246" i="29"/>
  <c r="CI246" i="29"/>
  <c r="CJ246" i="29"/>
  <c r="CK246" i="29"/>
  <c r="CL246" i="29"/>
  <c r="CM246" i="29"/>
  <c r="CD247" i="29"/>
  <c r="CE247" i="29"/>
  <c r="CF247" i="29"/>
  <c r="CG247" i="29"/>
  <c r="CH247" i="29"/>
  <c r="CI247" i="29"/>
  <c r="CJ247" i="29"/>
  <c r="CK247" i="29"/>
  <c r="CL247" i="29"/>
  <c r="CM247" i="29"/>
  <c r="CD248" i="29"/>
  <c r="CE248" i="29"/>
  <c r="CF248" i="29"/>
  <c r="CG248" i="29"/>
  <c r="CH248" i="29"/>
  <c r="CI248" i="29"/>
  <c r="CJ248" i="29"/>
  <c r="CK248" i="29"/>
  <c r="CL248" i="29"/>
  <c r="CM248" i="29"/>
  <c r="CD249" i="29"/>
  <c r="CE249" i="29"/>
  <c r="CF249" i="29"/>
  <c r="CG249" i="29"/>
  <c r="CH249" i="29"/>
  <c r="CI249" i="29"/>
  <c r="CJ249" i="29"/>
  <c r="CK249" i="29"/>
  <c r="CL249" i="29"/>
  <c r="CM249" i="29"/>
  <c r="CD250" i="29"/>
  <c r="CE250" i="29"/>
  <c r="CF250" i="29"/>
  <c r="CG250" i="29"/>
  <c r="CH250" i="29"/>
  <c r="CI250" i="29"/>
  <c r="CJ250" i="29"/>
  <c r="CK250" i="29"/>
  <c r="CL250" i="29"/>
  <c r="CM250" i="29"/>
  <c r="CD251" i="29"/>
  <c r="CE251" i="29"/>
  <c r="CF251" i="29"/>
  <c r="CG251" i="29"/>
  <c r="CH251" i="29"/>
  <c r="CI251" i="29"/>
  <c r="CJ251" i="29"/>
  <c r="CK251" i="29"/>
  <c r="CL251" i="29"/>
  <c r="CM251" i="29"/>
  <c r="CD252" i="29"/>
  <c r="CE252" i="29"/>
  <c r="CF252" i="29"/>
  <c r="CG252" i="29"/>
  <c r="CH252" i="29"/>
  <c r="CI252" i="29"/>
  <c r="CJ252" i="29"/>
  <c r="CK252" i="29"/>
  <c r="CL252" i="29"/>
  <c r="CM252" i="29"/>
  <c r="CD253" i="29"/>
  <c r="CE253" i="29"/>
  <c r="CF253" i="29"/>
  <c r="CG253" i="29"/>
  <c r="CH253" i="29"/>
  <c r="CI253" i="29"/>
  <c r="CJ253" i="29"/>
  <c r="CK253" i="29"/>
  <c r="CL253" i="29"/>
  <c r="CM253" i="29"/>
  <c r="CD254" i="29"/>
  <c r="CE254" i="29"/>
  <c r="CF254" i="29"/>
  <c r="CG254" i="29"/>
  <c r="CH254" i="29"/>
  <c r="CI254" i="29"/>
  <c r="CJ254" i="29"/>
  <c r="CK254" i="29"/>
  <c r="CL254" i="29"/>
  <c r="CM254" i="29"/>
  <c r="CD255" i="29"/>
  <c r="CE255" i="29"/>
  <c r="CF255" i="29"/>
  <c r="CG255" i="29"/>
  <c r="CH255" i="29"/>
  <c r="CI255" i="29"/>
  <c r="CJ255" i="29"/>
  <c r="CK255" i="29"/>
  <c r="CL255" i="29"/>
  <c r="CM255" i="29"/>
  <c r="CD256" i="29"/>
  <c r="CE256" i="29"/>
  <c r="CF256" i="29"/>
  <c r="CG256" i="29"/>
  <c r="CH256" i="29"/>
  <c r="CI256" i="29"/>
  <c r="CJ256" i="29"/>
  <c r="CK256" i="29"/>
  <c r="CL256" i="29"/>
  <c r="CM256" i="29"/>
  <c r="CD257" i="29"/>
  <c r="CE257" i="29"/>
  <c r="CF257" i="29"/>
  <c r="CG257" i="29"/>
  <c r="CH257" i="29"/>
  <c r="CI257" i="29"/>
  <c r="CJ257" i="29"/>
  <c r="CK257" i="29"/>
  <c r="CL257" i="29"/>
  <c r="CM257" i="29"/>
  <c r="CD258" i="29"/>
  <c r="CE258" i="29"/>
  <c r="CF258" i="29"/>
  <c r="CG258" i="29"/>
  <c r="CH258" i="29"/>
  <c r="CI258" i="29"/>
  <c r="CJ258" i="29"/>
  <c r="CK258" i="29"/>
  <c r="CL258" i="29"/>
  <c r="CM258" i="29"/>
  <c r="CD259" i="29"/>
  <c r="CE259" i="29"/>
  <c r="CF259" i="29"/>
  <c r="CG259" i="29"/>
  <c r="CH259" i="29"/>
  <c r="CI259" i="29"/>
  <c r="CJ259" i="29"/>
  <c r="CK259" i="29"/>
  <c r="CL259" i="29"/>
  <c r="CM259" i="29"/>
  <c r="CD260" i="29"/>
  <c r="CE260" i="29"/>
  <c r="CF260" i="29"/>
  <c r="CG260" i="29"/>
  <c r="CH260" i="29"/>
  <c r="CI260" i="29"/>
  <c r="CJ260" i="29"/>
  <c r="CK260" i="29"/>
  <c r="CL260" i="29"/>
  <c r="CM260" i="29"/>
  <c r="CD261" i="29"/>
  <c r="CE261" i="29"/>
  <c r="CF261" i="29"/>
  <c r="CG261" i="29"/>
  <c r="CH261" i="29"/>
  <c r="CI261" i="29"/>
  <c r="CJ261" i="29"/>
  <c r="CK261" i="29"/>
  <c r="CL261" i="29"/>
  <c r="CM261" i="29"/>
  <c r="CD262" i="29"/>
  <c r="CE262" i="29"/>
  <c r="CF262" i="29"/>
  <c r="CG262" i="29"/>
  <c r="CH262" i="29"/>
  <c r="CI262" i="29"/>
  <c r="CJ262" i="29"/>
  <c r="CK262" i="29"/>
  <c r="CL262" i="29"/>
  <c r="CM262" i="29"/>
  <c r="CD263" i="29"/>
  <c r="CE263" i="29"/>
  <c r="CF263" i="29"/>
  <c r="CG263" i="29"/>
  <c r="CH263" i="29"/>
  <c r="CI263" i="29"/>
  <c r="CJ263" i="29"/>
  <c r="CK263" i="29"/>
  <c r="CL263" i="29"/>
  <c r="CM263" i="29"/>
  <c r="CD264" i="29"/>
  <c r="CE264" i="29"/>
  <c r="CF264" i="29"/>
  <c r="CG264" i="29"/>
  <c r="CH264" i="29"/>
  <c r="CI264" i="29"/>
  <c r="CJ264" i="29"/>
  <c r="CK264" i="29"/>
  <c r="CL264" i="29"/>
  <c r="CM264" i="29"/>
  <c r="CD265" i="29"/>
  <c r="CE265" i="29"/>
  <c r="CF265" i="29"/>
  <c r="CG265" i="29"/>
  <c r="CH265" i="29"/>
  <c r="CI265" i="29"/>
  <c r="CJ265" i="29"/>
  <c r="CK265" i="29"/>
  <c r="CL265" i="29"/>
  <c r="CM265" i="29"/>
  <c r="CD266" i="29"/>
  <c r="CE266" i="29"/>
  <c r="CF266" i="29"/>
  <c r="CG266" i="29"/>
  <c r="CH266" i="29"/>
  <c r="CI266" i="29"/>
  <c r="CJ266" i="29"/>
  <c r="CK266" i="29"/>
  <c r="CL266" i="29"/>
  <c r="CM266" i="29"/>
  <c r="CD267" i="29"/>
  <c r="CE267" i="29"/>
  <c r="CF267" i="29"/>
  <c r="CG267" i="29"/>
  <c r="CH267" i="29"/>
  <c r="CI267" i="29"/>
  <c r="CJ267" i="29"/>
  <c r="CK267" i="29"/>
  <c r="CL267" i="29"/>
  <c r="CM267" i="29"/>
  <c r="CD268" i="29"/>
  <c r="CE268" i="29"/>
  <c r="CF268" i="29"/>
  <c r="CG268" i="29"/>
  <c r="CH268" i="29"/>
  <c r="CI268" i="29"/>
  <c r="CJ268" i="29"/>
  <c r="CK268" i="29"/>
  <c r="CL268" i="29"/>
  <c r="CM268" i="29"/>
  <c r="CD269" i="29"/>
  <c r="CE269" i="29"/>
  <c r="CF269" i="29"/>
  <c r="CG269" i="29"/>
  <c r="CH269" i="29"/>
  <c r="CI269" i="29"/>
  <c r="CJ269" i="29"/>
  <c r="CK269" i="29"/>
  <c r="CL269" i="29"/>
  <c r="CM269" i="29"/>
  <c r="CD270" i="29"/>
  <c r="CE270" i="29"/>
  <c r="CF270" i="29"/>
  <c r="CG270" i="29"/>
  <c r="CH270" i="29"/>
  <c r="CI270" i="29"/>
  <c r="CJ270" i="29"/>
  <c r="CK270" i="29"/>
  <c r="CL270" i="29"/>
  <c r="CM270" i="29"/>
  <c r="CD271" i="29"/>
  <c r="CE271" i="29"/>
  <c r="CF271" i="29"/>
  <c r="CG271" i="29"/>
  <c r="CH271" i="29"/>
  <c r="CI271" i="29"/>
  <c r="CJ271" i="29"/>
  <c r="CK271" i="29"/>
  <c r="CL271" i="29"/>
  <c r="CM271" i="29"/>
  <c r="CD272" i="29"/>
  <c r="CE272" i="29"/>
  <c r="CF272" i="29"/>
  <c r="CG272" i="29"/>
  <c r="CH272" i="29"/>
  <c r="CI272" i="29"/>
  <c r="CJ272" i="29"/>
  <c r="CK272" i="29"/>
  <c r="CL272" i="29"/>
  <c r="CM272" i="29"/>
  <c r="CD273" i="29"/>
  <c r="CE273" i="29"/>
  <c r="CF273" i="29"/>
  <c r="CG273" i="29"/>
  <c r="CH273" i="29"/>
  <c r="CI273" i="29"/>
  <c r="CJ273" i="29"/>
  <c r="CK273" i="29"/>
  <c r="CL273" i="29"/>
  <c r="CM273" i="29"/>
  <c r="CD274" i="29"/>
  <c r="CE274" i="29"/>
  <c r="CF274" i="29"/>
  <c r="CG274" i="29"/>
  <c r="CH274" i="29"/>
  <c r="CI274" i="29"/>
  <c r="CJ274" i="29"/>
  <c r="CK274" i="29"/>
  <c r="CL274" i="29"/>
  <c r="CM274" i="29"/>
  <c r="CD275" i="29"/>
  <c r="CE275" i="29"/>
  <c r="CF275" i="29"/>
  <c r="CG275" i="29"/>
  <c r="CH275" i="29"/>
  <c r="CI275" i="29"/>
  <c r="CJ275" i="29"/>
  <c r="CK275" i="29"/>
  <c r="CL275" i="29"/>
  <c r="CM275" i="29"/>
  <c r="CD276" i="29"/>
  <c r="CE276" i="29"/>
  <c r="CF276" i="29"/>
  <c r="CG276" i="29"/>
  <c r="CH276" i="29"/>
  <c r="CI276" i="29"/>
  <c r="CJ276" i="29"/>
  <c r="CK276" i="29"/>
  <c r="CL276" i="29"/>
  <c r="CM276" i="29"/>
  <c r="CD277" i="29"/>
  <c r="CE277" i="29"/>
  <c r="CF277" i="29"/>
  <c r="CG277" i="29"/>
  <c r="CH277" i="29"/>
  <c r="CI277" i="29"/>
  <c r="CJ277" i="29"/>
  <c r="CK277" i="29"/>
  <c r="CL277" i="29"/>
  <c r="CM277" i="29"/>
  <c r="CD278" i="29"/>
  <c r="CE278" i="29"/>
  <c r="CF278" i="29"/>
  <c r="CG278" i="29"/>
  <c r="CH278" i="29"/>
  <c r="CI278" i="29"/>
  <c r="CJ278" i="29"/>
  <c r="CK278" i="29"/>
  <c r="CL278" i="29"/>
  <c r="CM278" i="29"/>
  <c r="CD279" i="29"/>
  <c r="CE279" i="29"/>
  <c r="CF279" i="29"/>
  <c r="CG279" i="29"/>
  <c r="CH279" i="29"/>
  <c r="CI279" i="29"/>
  <c r="CJ279" i="29"/>
  <c r="CK279" i="29"/>
  <c r="CL279" i="29"/>
  <c r="CM279" i="29"/>
  <c r="CD280" i="29"/>
  <c r="CE280" i="29"/>
  <c r="CF280" i="29"/>
  <c r="CG280" i="29"/>
  <c r="CH280" i="29"/>
  <c r="CI280" i="29"/>
  <c r="CJ280" i="29"/>
  <c r="CK280" i="29"/>
  <c r="CL280" i="29"/>
  <c r="CM280" i="29"/>
  <c r="CD281" i="29"/>
  <c r="CE281" i="29"/>
  <c r="CF281" i="29"/>
  <c r="CG281" i="29"/>
  <c r="CH281" i="29"/>
  <c r="CI281" i="29"/>
  <c r="CJ281" i="29"/>
  <c r="CK281" i="29"/>
  <c r="CL281" i="29"/>
  <c r="CM281" i="29"/>
  <c r="CD282" i="29"/>
  <c r="CE282" i="29"/>
  <c r="CF282" i="29"/>
  <c r="CG282" i="29"/>
  <c r="CH282" i="29"/>
  <c r="CI282" i="29"/>
  <c r="CJ282" i="29"/>
  <c r="CK282" i="29"/>
  <c r="CL282" i="29"/>
  <c r="CM282" i="29"/>
  <c r="CD283" i="29"/>
  <c r="CE283" i="29"/>
  <c r="CF283" i="29"/>
  <c r="CG283" i="29"/>
  <c r="CH283" i="29"/>
  <c r="CI283" i="29"/>
  <c r="CJ283" i="29"/>
  <c r="CK283" i="29"/>
  <c r="CL283" i="29"/>
  <c r="CM283" i="29"/>
  <c r="CD284" i="29"/>
  <c r="CE284" i="29"/>
  <c r="CF284" i="29"/>
  <c r="CG284" i="29"/>
  <c r="CH284" i="29"/>
  <c r="CI284" i="29"/>
  <c r="CJ284" i="29"/>
  <c r="CK284" i="29"/>
  <c r="CL284" i="29"/>
  <c r="CM284" i="29"/>
  <c r="CD285" i="29"/>
  <c r="CE285" i="29"/>
  <c r="CF285" i="29"/>
  <c r="CG285" i="29"/>
  <c r="CH285" i="29"/>
  <c r="CI285" i="29"/>
  <c r="CJ285" i="29"/>
  <c r="CK285" i="29"/>
  <c r="CL285" i="29"/>
  <c r="CM285" i="29"/>
  <c r="CD286" i="29"/>
  <c r="CE286" i="29"/>
  <c r="CF286" i="29"/>
  <c r="CG286" i="29"/>
  <c r="CH286" i="29"/>
  <c r="CI286" i="29"/>
  <c r="CJ286" i="29"/>
  <c r="CK286" i="29"/>
  <c r="CL286" i="29"/>
  <c r="CM286" i="29"/>
  <c r="CD287" i="29"/>
  <c r="CE287" i="29"/>
  <c r="CF287" i="29"/>
  <c r="CG287" i="29"/>
  <c r="CH287" i="29"/>
  <c r="CI287" i="29"/>
  <c r="CJ287" i="29"/>
  <c r="CK287" i="29"/>
  <c r="CL287" i="29"/>
  <c r="CM287" i="29"/>
  <c r="CD288" i="29"/>
  <c r="CE288" i="29"/>
  <c r="CF288" i="29"/>
  <c r="CG288" i="29"/>
  <c r="CH288" i="29"/>
  <c r="CI288" i="29"/>
  <c r="CJ288" i="29"/>
  <c r="CK288" i="29"/>
  <c r="CL288" i="29"/>
  <c r="CM288" i="29"/>
  <c r="CD289" i="29"/>
  <c r="CE289" i="29"/>
  <c r="CF289" i="29"/>
  <c r="CG289" i="29"/>
  <c r="CH289" i="29"/>
  <c r="CI289" i="29"/>
  <c r="CJ289" i="29"/>
  <c r="CK289" i="29"/>
  <c r="CL289" i="29"/>
  <c r="CM289" i="29"/>
  <c r="CD290" i="29"/>
  <c r="CE290" i="29"/>
  <c r="CF290" i="29"/>
  <c r="CG290" i="29"/>
  <c r="CH290" i="29"/>
  <c r="CI290" i="29"/>
  <c r="CJ290" i="29"/>
  <c r="CK290" i="29"/>
  <c r="CL290" i="29"/>
  <c r="CM290" i="29"/>
  <c r="CD291" i="29"/>
  <c r="CE291" i="29"/>
  <c r="CF291" i="29"/>
  <c r="CG291" i="29"/>
  <c r="CH291" i="29"/>
  <c r="CI291" i="29"/>
  <c r="CJ291" i="29"/>
  <c r="CK291" i="29"/>
  <c r="CL291" i="29"/>
  <c r="CM291" i="29"/>
  <c r="CD292" i="29"/>
  <c r="CE292" i="29"/>
  <c r="CF292" i="29"/>
  <c r="CG292" i="29"/>
  <c r="CH292" i="29"/>
  <c r="CI292" i="29"/>
  <c r="CJ292" i="29"/>
  <c r="CK292" i="29"/>
  <c r="CL292" i="29"/>
  <c r="CM292" i="29"/>
  <c r="CD293" i="29"/>
  <c r="CE293" i="29"/>
  <c r="CF293" i="29"/>
  <c r="CG293" i="29"/>
  <c r="CH293" i="29"/>
  <c r="CI293" i="29"/>
  <c r="CJ293" i="29"/>
  <c r="CK293" i="29"/>
  <c r="CL293" i="29"/>
  <c r="CM293" i="29"/>
  <c r="CD294" i="29"/>
  <c r="CE294" i="29"/>
  <c r="CF294" i="29"/>
  <c r="CG294" i="29"/>
  <c r="CH294" i="29"/>
  <c r="CI294" i="29"/>
  <c r="CJ294" i="29"/>
  <c r="CK294" i="29"/>
  <c r="CL294" i="29"/>
  <c r="CM294" i="29"/>
  <c r="CD295" i="29"/>
  <c r="CE295" i="29"/>
  <c r="CF295" i="29"/>
  <c r="CG295" i="29"/>
  <c r="CH295" i="29"/>
  <c r="CI295" i="29"/>
  <c r="CJ295" i="29"/>
  <c r="CK295" i="29"/>
  <c r="CL295" i="29"/>
  <c r="CM295" i="29"/>
  <c r="CD296" i="29"/>
  <c r="CE296" i="29"/>
  <c r="CF296" i="29"/>
  <c r="CG296" i="29"/>
  <c r="CH296" i="29"/>
  <c r="CI296" i="29"/>
  <c r="CJ296" i="29"/>
  <c r="CK296" i="29"/>
  <c r="CL296" i="29"/>
  <c r="CM296" i="29"/>
  <c r="CD297" i="29"/>
  <c r="CE297" i="29"/>
  <c r="CF297" i="29"/>
  <c r="CG297" i="29"/>
  <c r="CH297" i="29"/>
  <c r="CI297" i="29"/>
  <c r="CJ297" i="29"/>
  <c r="CK297" i="29"/>
  <c r="CL297" i="29"/>
  <c r="CM297" i="29"/>
  <c r="CD298" i="29"/>
  <c r="CE298" i="29"/>
  <c r="CF298" i="29"/>
  <c r="CG298" i="29"/>
  <c r="CH298" i="29"/>
  <c r="CI298" i="29"/>
  <c r="CJ298" i="29"/>
  <c r="CK298" i="29"/>
  <c r="CL298" i="29"/>
  <c r="CM298" i="29"/>
  <c r="CD299" i="29"/>
  <c r="CE299" i="29"/>
  <c r="CF299" i="29"/>
  <c r="CG299" i="29"/>
  <c r="CH299" i="29"/>
  <c r="CI299" i="29"/>
  <c r="CJ299" i="29"/>
  <c r="CK299" i="29"/>
  <c r="CL299" i="29"/>
  <c r="CM299" i="29"/>
  <c r="CD300" i="29"/>
  <c r="CE300" i="29"/>
  <c r="CF300" i="29"/>
  <c r="CG300" i="29"/>
  <c r="CH300" i="29"/>
  <c r="CI300" i="29"/>
  <c r="CJ300" i="29"/>
  <c r="CK300" i="29"/>
  <c r="CL300" i="29"/>
  <c r="CM300" i="29"/>
  <c r="CD301" i="29"/>
  <c r="CE301" i="29"/>
  <c r="CF301" i="29"/>
  <c r="CG301" i="29"/>
  <c r="CH301" i="29"/>
  <c r="CI301" i="29"/>
  <c r="CJ301" i="29"/>
  <c r="CK301" i="29"/>
  <c r="CL301" i="29"/>
  <c r="CM301" i="29"/>
  <c r="CD302" i="29"/>
  <c r="CE302" i="29"/>
  <c r="CF302" i="29"/>
  <c r="CG302" i="29"/>
  <c r="CH302" i="29"/>
  <c r="CI302" i="29"/>
  <c r="CJ302" i="29"/>
  <c r="CK302" i="29"/>
  <c r="CL302" i="29"/>
  <c r="CM302" i="29"/>
  <c r="CD303" i="29"/>
  <c r="CE303" i="29"/>
  <c r="CF303" i="29"/>
  <c r="CG303" i="29"/>
  <c r="CH303" i="29"/>
  <c r="CI303" i="29"/>
  <c r="CJ303" i="29"/>
  <c r="CK303" i="29"/>
  <c r="CL303" i="29"/>
  <c r="CM303" i="29"/>
  <c r="CD304" i="29"/>
  <c r="CE304" i="29"/>
  <c r="CF304" i="29"/>
  <c r="CG304" i="29"/>
  <c r="CH304" i="29"/>
  <c r="CI304" i="29"/>
  <c r="CJ304" i="29"/>
  <c r="CK304" i="29"/>
  <c r="CL304" i="29"/>
  <c r="CM304" i="29"/>
  <c r="CD305" i="29"/>
  <c r="CE305" i="29"/>
  <c r="CF305" i="29"/>
  <c r="CG305" i="29"/>
  <c r="CH305" i="29"/>
  <c r="CI305" i="29"/>
  <c r="CJ305" i="29"/>
  <c r="CK305" i="29"/>
  <c r="CL305" i="29"/>
  <c r="CM305" i="29"/>
  <c r="CD306" i="29"/>
  <c r="CE306" i="29"/>
  <c r="CF306" i="29"/>
  <c r="CG306" i="29"/>
  <c r="CH306" i="29"/>
  <c r="CI306" i="29"/>
  <c r="CJ306" i="29"/>
  <c r="CK306" i="29"/>
  <c r="CL306" i="29"/>
  <c r="CM306" i="29"/>
  <c r="CD307" i="29"/>
  <c r="CE307" i="29"/>
  <c r="CF307" i="29"/>
  <c r="CG307" i="29"/>
  <c r="CH307" i="29"/>
  <c r="CI307" i="29"/>
  <c r="CJ307" i="29"/>
  <c r="CK307" i="29"/>
  <c r="CL307" i="29"/>
  <c r="CM307" i="29"/>
  <c r="CD308" i="29"/>
  <c r="CE308" i="29"/>
  <c r="CF308" i="29"/>
  <c r="CG308" i="29"/>
  <c r="CH308" i="29"/>
  <c r="CI308" i="29"/>
  <c r="CJ308" i="29"/>
  <c r="CK308" i="29"/>
  <c r="CL308" i="29"/>
  <c r="CM308" i="29"/>
  <c r="CD309" i="29"/>
  <c r="CE309" i="29"/>
  <c r="CF309" i="29"/>
  <c r="CG309" i="29"/>
  <c r="CH309" i="29"/>
  <c r="CI309" i="29"/>
  <c r="CJ309" i="29"/>
  <c r="CK309" i="29"/>
  <c r="CL309" i="29"/>
  <c r="CM309" i="29"/>
  <c r="CD310" i="29"/>
  <c r="CE310" i="29"/>
  <c r="CF310" i="29"/>
  <c r="CG310" i="29"/>
  <c r="CH310" i="29"/>
  <c r="CI310" i="29"/>
  <c r="CJ310" i="29"/>
  <c r="CK310" i="29"/>
  <c r="CL310" i="29"/>
  <c r="CM310" i="29"/>
  <c r="CD311" i="29"/>
  <c r="CE311" i="29"/>
  <c r="CF311" i="29"/>
  <c r="CG311" i="29"/>
  <c r="CH311" i="29"/>
  <c r="CI311" i="29"/>
  <c r="CJ311" i="29"/>
  <c r="CK311" i="29"/>
  <c r="CL311" i="29"/>
  <c r="CM311" i="29"/>
  <c r="CD312" i="29"/>
  <c r="CE312" i="29"/>
  <c r="CF312" i="29"/>
  <c r="CG312" i="29"/>
  <c r="CH312" i="29"/>
  <c r="CI312" i="29"/>
  <c r="CJ312" i="29"/>
  <c r="CK312" i="29"/>
  <c r="CL312" i="29"/>
  <c r="CM312" i="29"/>
  <c r="CD313" i="29"/>
  <c r="CE313" i="29"/>
  <c r="CF313" i="29"/>
  <c r="CG313" i="29"/>
  <c r="CH313" i="29"/>
  <c r="CI313" i="29"/>
  <c r="CJ313" i="29"/>
  <c r="CK313" i="29"/>
  <c r="CL313" i="29"/>
  <c r="CM313" i="29"/>
  <c r="CD314" i="29"/>
  <c r="CE314" i="29"/>
  <c r="CF314" i="29"/>
  <c r="CG314" i="29"/>
  <c r="CH314" i="29"/>
  <c r="CI314" i="29"/>
  <c r="CJ314" i="29"/>
  <c r="CK314" i="29"/>
  <c r="CL314" i="29"/>
  <c r="CM314" i="29"/>
  <c r="CD315" i="29"/>
  <c r="CE315" i="29"/>
  <c r="CF315" i="29"/>
  <c r="CG315" i="29"/>
  <c r="CH315" i="29"/>
  <c r="CI315" i="29"/>
  <c r="CJ315" i="29"/>
  <c r="CK315" i="29"/>
  <c r="CL315" i="29"/>
  <c r="CM315" i="29"/>
  <c r="CD316" i="29"/>
  <c r="CE316" i="29"/>
  <c r="CF316" i="29"/>
  <c r="CG316" i="29"/>
  <c r="CH316" i="29"/>
  <c r="CI316" i="29"/>
  <c r="CJ316" i="29"/>
  <c r="CK316" i="29"/>
  <c r="CL316" i="29"/>
  <c r="CM316" i="29"/>
  <c r="CD317" i="29"/>
  <c r="CE317" i="29"/>
  <c r="CF317" i="29"/>
  <c r="CG317" i="29"/>
  <c r="CH317" i="29"/>
  <c r="CI317" i="29"/>
  <c r="CJ317" i="29"/>
  <c r="CK317" i="29"/>
  <c r="CL317" i="29"/>
  <c r="CM317" i="29"/>
  <c r="CD318" i="29"/>
  <c r="CE318" i="29"/>
  <c r="CF318" i="29"/>
  <c r="CG318" i="29"/>
  <c r="CH318" i="29"/>
  <c r="CI318" i="29"/>
  <c r="CJ318" i="29"/>
  <c r="CK318" i="29"/>
  <c r="CL318" i="29"/>
  <c r="CM318" i="29"/>
  <c r="CD319" i="29"/>
  <c r="CE319" i="29"/>
  <c r="CF319" i="29"/>
  <c r="CG319" i="29"/>
  <c r="CH319" i="29"/>
  <c r="CI319" i="29"/>
  <c r="CJ319" i="29"/>
  <c r="CK319" i="29"/>
  <c r="CL319" i="29"/>
  <c r="CM319" i="29"/>
  <c r="CD320" i="29"/>
  <c r="CE320" i="29"/>
  <c r="CF320" i="29"/>
  <c r="CG320" i="29"/>
  <c r="CH320" i="29"/>
  <c r="CI320" i="29"/>
  <c r="CJ320" i="29"/>
  <c r="CK320" i="29"/>
  <c r="CL320" i="29"/>
  <c r="CM320" i="29"/>
  <c r="CD321" i="29"/>
  <c r="CE321" i="29"/>
  <c r="CF321" i="29"/>
  <c r="CG321" i="29"/>
  <c r="CH321" i="29"/>
  <c r="CI321" i="29"/>
  <c r="CJ321" i="29"/>
  <c r="CK321" i="29"/>
  <c r="CL321" i="29"/>
  <c r="CM321" i="29"/>
  <c r="CD322" i="29"/>
  <c r="CE322" i="29"/>
  <c r="CF322" i="29"/>
  <c r="CG322" i="29"/>
  <c r="CH322" i="29"/>
  <c r="CI322" i="29"/>
  <c r="CJ322" i="29"/>
  <c r="CK322" i="29"/>
  <c r="CL322" i="29"/>
  <c r="CM322" i="29"/>
  <c r="CD323" i="29"/>
  <c r="CE323" i="29"/>
  <c r="CF323" i="29"/>
  <c r="CG323" i="29"/>
  <c r="CH323" i="29"/>
  <c r="CI323" i="29"/>
  <c r="CJ323" i="29"/>
  <c r="CK323" i="29"/>
  <c r="CL323" i="29"/>
  <c r="CM323" i="29"/>
  <c r="CD324" i="29"/>
  <c r="CE324" i="29"/>
  <c r="CF324" i="29"/>
  <c r="CG324" i="29"/>
  <c r="CH324" i="29"/>
  <c r="CI324" i="29"/>
  <c r="CJ324" i="29"/>
  <c r="CK324" i="29"/>
  <c r="CL324" i="29"/>
  <c r="CM324" i="29"/>
  <c r="CD325" i="29"/>
  <c r="CE325" i="29"/>
  <c r="CF325" i="29"/>
  <c r="CG325" i="29"/>
  <c r="CH325" i="29"/>
  <c r="CI325" i="29"/>
  <c r="CJ325" i="29"/>
  <c r="CK325" i="29"/>
  <c r="CL325" i="29"/>
  <c r="CM325" i="29"/>
  <c r="CD326" i="29"/>
  <c r="CE326" i="29"/>
  <c r="CF326" i="29"/>
  <c r="CG326" i="29"/>
  <c r="CH326" i="29"/>
  <c r="CI326" i="29"/>
  <c r="CJ326" i="29"/>
  <c r="CK326" i="29"/>
  <c r="CL326" i="29"/>
  <c r="CM326" i="29"/>
  <c r="CD327" i="29"/>
  <c r="CE327" i="29"/>
  <c r="CF327" i="29"/>
  <c r="CG327" i="29"/>
  <c r="CH327" i="29"/>
  <c r="CI327" i="29"/>
  <c r="CJ327" i="29"/>
  <c r="CK327" i="29"/>
  <c r="CL327" i="29"/>
  <c r="CM327" i="29"/>
  <c r="CD328" i="29"/>
  <c r="CE328" i="29"/>
  <c r="CF328" i="29"/>
  <c r="CG328" i="29"/>
  <c r="CH328" i="29"/>
  <c r="CI328" i="29"/>
  <c r="CJ328" i="29"/>
  <c r="CK328" i="29"/>
  <c r="CL328" i="29"/>
  <c r="CM328" i="29"/>
  <c r="CD329" i="29"/>
  <c r="CE329" i="29"/>
  <c r="CF329" i="29"/>
  <c r="CG329" i="29"/>
  <c r="CH329" i="29"/>
  <c r="CI329" i="29"/>
  <c r="CJ329" i="29"/>
  <c r="CK329" i="29"/>
  <c r="CL329" i="29"/>
  <c r="CM329" i="29"/>
  <c r="CD330" i="29"/>
  <c r="CE330" i="29"/>
  <c r="CF330" i="29"/>
  <c r="CG330" i="29"/>
  <c r="CH330" i="29"/>
  <c r="CI330" i="29"/>
  <c r="CJ330" i="29"/>
  <c r="CK330" i="29"/>
  <c r="CL330" i="29"/>
  <c r="CM330" i="29"/>
  <c r="CD331" i="29"/>
  <c r="CE331" i="29"/>
  <c r="CF331" i="29"/>
  <c r="CG331" i="29"/>
  <c r="CH331" i="29"/>
  <c r="CI331" i="29"/>
  <c r="CJ331" i="29"/>
  <c r="CK331" i="29"/>
  <c r="CL331" i="29"/>
  <c r="CM331" i="29"/>
  <c r="CD332" i="29"/>
  <c r="CE332" i="29"/>
  <c r="CF332" i="29"/>
  <c r="CG332" i="29"/>
  <c r="CH332" i="29"/>
  <c r="CI332" i="29"/>
  <c r="CJ332" i="29"/>
  <c r="CK332" i="29"/>
  <c r="CL332" i="29"/>
  <c r="CM332" i="29"/>
  <c r="CD333" i="29"/>
  <c r="CE333" i="29"/>
  <c r="CF333" i="29"/>
  <c r="CG333" i="29"/>
  <c r="CH333" i="29"/>
  <c r="CI333" i="29"/>
  <c r="CJ333" i="29"/>
  <c r="CK333" i="29"/>
  <c r="CL333" i="29"/>
  <c r="CM333" i="29"/>
  <c r="CD334" i="29"/>
  <c r="CE334" i="29"/>
  <c r="CF334" i="29"/>
  <c r="CG334" i="29"/>
  <c r="CH334" i="29"/>
  <c r="CI334" i="29"/>
  <c r="CJ334" i="29"/>
  <c r="CK334" i="29"/>
  <c r="CL334" i="29"/>
  <c r="CM334" i="29"/>
  <c r="CD335" i="29"/>
  <c r="CE335" i="29"/>
  <c r="CF335" i="29"/>
  <c r="CG335" i="29"/>
  <c r="CH335" i="29"/>
  <c r="CI335" i="29"/>
  <c r="CJ335" i="29"/>
  <c r="CK335" i="29"/>
  <c r="CL335" i="29"/>
  <c r="CM335" i="29"/>
  <c r="CD336" i="29"/>
  <c r="CE336" i="29"/>
  <c r="CF336" i="29"/>
  <c r="CG336" i="29"/>
  <c r="CH336" i="29"/>
  <c r="CI336" i="29"/>
  <c r="CJ336" i="29"/>
  <c r="CK336" i="29"/>
  <c r="CL336" i="29"/>
  <c r="CM336" i="29"/>
  <c r="CD337" i="29"/>
  <c r="CE337" i="29"/>
  <c r="CF337" i="29"/>
  <c r="CG337" i="29"/>
  <c r="CH337" i="29"/>
  <c r="CI337" i="29"/>
  <c r="CJ337" i="29"/>
  <c r="CK337" i="29"/>
  <c r="CL337" i="29"/>
  <c r="CM337" i="29"/>
  <c r="CD338" i="29"/>
  <c r="CE338" i="29"/>
  <c r="CF338" i="29"/>
  <c r="CG338" i="29"/>
  <c r="CH338" i="29"/>
  <c r="CI338" i="29"/>
  <c r="CJ338" i="29"/>
  <c r="CK338" i="29"/>
  <c r="CL338" i="29"/>
  <c r="CM338" i="29"/>
  <c r="CD339" i="29"/>
  <c r="CE339" i="29"/>
  <c r="CF339" i="29"/>
  <c r="CG339" i="29"/>
  <c r="CH339" i="29"/>
  <c r="CI339" i="29"/>
  <c r="CJ339" i="29"/>
  <c r="CK339" i="29"/>
  <c r="CL339" i="29"/>
  <c r="CM339" i="29"/>
  <c r="CD340" i="29"/>
  <c r="CE340" i="29"/>
  <c r="CF340" i="29"/>
  <c r="CG340" i="29"/>
  <c r="CH340" i="29"/>
  <c r="CI340" i="29"/>
  <c r="CJ340" i="29"/>
  <c r="CK340" i="29"/>
  <c r="CL340" i="29"/>
  <c r="CM340" i="29"/>
  <c r="CD341" i="29"/>
  <c r="CE341" i="29"/>
  <c r="CF341" i="29"/>
  <c r="CG341" i="29"/>
  <c r="CH341" i="29"/>
  <c r="CI341" i="29"/>
  <c r="CJ341" i="29"/>
  <c r="CK341" i="29"/>
  <c r="CL341" i="29"/>
  <c r="CM341" i="29"/>
  <c r="CD342" i="29"/>
  <c r="CE342" i="29"/>
  <c r="CF342" i="29"/>
  <c r="CG342" i="29"/>
  <c r="CH342" i="29"/>
  <c r="CI342" i="29"/>
  <c r="CJ342" i="29"/>
  <c r="CK342" i="29"/>
  <c r="CL342" i="29"/>
  <c r="CM342" i="29"/>
  <c r="CD343" i="29"/>
  <c r="CE343" i="29"/>
  <c r="CF343" i="29"/>
  <c r="CG343" i="29"/>
  <c r="CH343" i="29"/>
  <c r="CI343" i="29"/>
  <c r="CJ343" i="29"/>
  <c r="CK343" i="29"/>
  <c r="CL343" i="29"/>
  <c r="CM343" i="29"/>
  <c r="CD344" i="29"/>
  <c r="CE344" i="29"/>
  <c r="CF344" i="29"/>
  <c r="CG344" i="29"/>
  <c r="CH344" i="29"/>
  <c r="CI344" i="29"/>
  <c r="CJ344" i="29"/>
  <c r="CK344" i="29"/>
  <c r="CL344" i="29"/>
  <c r="CM344" i="29"/>
  <c r="CD345" i="29"/>
  <c r="CE345" i="29"/>
  <c r="CF345" i="29"/>
  <c r="CG345" i="29"/>
  <c r="CH345" i="29"/>
  <c r="CI345" i="29"/>
  <c r="CJ345" i="29"/>
  <c r="CK345" i="29"/>
  <c r="CL345" i="29"/>
  <c r="CM345" i="29"/>
  <c r="CD346" i="29"/>
  <c r="CE346" i="29"/>
  <c r="CF346" i="29"/>
  <c r="CG346" i="29"/>
  <c r="CH346" i="29"/>
  <c r="CI346" i="29"/>
  <c r="CJ346" i="29"/>
  <c r="CK346" i="29"/>
  <c r="CL346" i="29"/>
  <c r="CM346" i="29"/>
  <c r="CD347" i="29"/>
  <c r="CE347" i="29"/>
  <c r="CF347" i="29"/>
  <c r="CG347" i="29"/>
  <c r="CH347" i="29"/>
  <c r="CI347" i="29"/>
  <c r="CJ347" i="29"/>
  <c r="CK347" i="29"/>
  <c r="CL347" i="29"/>
  <c r="CM347" i="29"/>
  <c r="CD348" i="29"/>
  <c r="CE348" i="29"/>
  <c r="CF348" i="29"/>
  <c r="CG348" i="29"/>
  <c r="CH348" i="29"/>
  <c r="CI348" i="29"/>
  <c r="CJ348" i="29"/>
  <c r="CK348" i="29"/>
  <c r="CL348" i="29"/>
  <c r="CM348" i="29"/>
  <c r="CD349" i="29"/>
  <c r="CE349" i="29"/>
  <c r="CF349" i="29"/>
  <c r="CG349" i="29"/>
  <c r="CH349" i="29"/>
  <c r="CI349" i="29"/>
  <c r="CJ349" i="29"/>
  <c r="CK349" i="29"/>
  <c r="CL349" i="29"/>
  <c r="CM349" i="29"/>
  <c r="CD350" i="29"/>
  <c r="CE350" i="29"/>
  <c r="CF350" i="29"/>
  <c r="CG350" i="29"/>
  <c r="CH350" i="29"/>
  <c r="CI350" i="29"/>
  <c r="CJ350" i="29"/>
  <c r="CK350" i="29"/>
  <c r="CL350" i="29"/>
  <c r="CM350" i="29"/>
  <c r="CD351" i="29"/>
  <c r="CE351" i="29"/>
  <c r="CF351" i="29"/>
  <c r="CG351" i="29"/>
  <c r="CH351" i="29"/>
  <c r="CI351" i="29"/>
  <c r="CJ351" i="29"/>
  <c r="CK351" i="29"/>
  <c r="CL351" i="29"/>
  <c r="CM351" i="29"/>
  <c r="CD352" i="29"/>
  <c r="CE352" i="29"/>
  <c r="CF352" i="29"/>
  <c r="CG352" i="29"/>
  <c r="CH352" i="29"/>
  <c r="CI352" i="29"/>
  <c r="CJ352" i="29"/>
  <c r="CK352" i="29"/>
  <c r="CL352" i="29"/>
  <c r="CM352" i="29"/>
  <c r="CD353" i="29"/>
  <c r="CE353" i="29"/>
  <c r="CF353" i="29"/>
  <c r="CG353" i="29"/>
  <c r="CH353" i="29"/>
  <c r="CI353" i="29"/>
  <c r="CJ353" i="29"/>
  <c r="CK353" i="29"/>
  <c r="CL353" i="29"/>
  <c r="CM353" i="29"/>
  <c r="CD354" i="29"/>
  <c r="CE354" i="29"/>
  <c r="CF354" i="29"/>
  <c r="CG354" i="29"/>
  <c r="CH354" i="29"/>
  <c r="CI354" i="29"/>
  <c r="CJ354" i="29"/>
  <c r="CK354" i="29"/>
  <c r="CL354" i="29"/>
  <c r="CM354" i="29"/>
  <c r="CD355" i="29"/>
  <c r="CE355" i="29"/>
  <c r="CF355" i="29"/>
  <c r="CG355" i="29"/>
  <c r="CH355" i="29"/>
  <c r="CI355" i="29"/>
  <c r="CJ355" i="29"/>
  <c r="CK355" i="29"/>
  <c r="CL355" i="29"/>
  <c r="CM355" i="29"/>
  <c r="CD356" i="29"/>
  <c r="CE356" i="29"/>
  <c r="CF356" i="29"/>
  <c r="CG356" i="29"/>
  <c r="CH356" i="29"/>
  <c r="CI356" i="29"/>
  <c r="CJ356" i="29"/>
  <c r="CK356" i="29"/>
  <c r="CL356" i="29"/>
  <c r="CM356" i="29"/>
  <c r="CD357" i="29"/>
  <c r="CE357" i="29"/>
  <c r="CF357" i="29"/>
  <c r="CG357" i="29"/>
  <c r="CH357" i="29"/>
  <c r="CI357" i="29"/>
  <c r="CJ357" i="29"/>
  <c r="CK357" i="29"/>
  <c r="CL357" i="29"/>
  <c r="CM357" i="29"/>
  <c r="CD358" i="29"/>
  <c r="CE358" i="29"/>
  <c r="CF358" i="29"/>
  <c r="CG358" i="29"/>
  <c r="CH358" i="29"/>
  <c r="CI358" i="29"/>
  <c r="CJ358" i="29"/>
  <c r="CK358" i="29"/>
  <c r="CL358" i="29"/>
  <c r="CM358" i="29"/>
  <c r="CD359" i="29"/>
  <c r="CE359" i="29"/>
  <c r="CF359" i="29"/>
  <c r="CG359" i="29"/>
  <c r="CH359" i="29"/>
  <c r="CI359" i="29"/>
  <c r="CJ359" i="29"/>
  <c r="CK359" i="29"/>
  <c r="CL359" i="29"/>
  <c r="CM359" i="29"/>
  <c r="CD360" i="29"/>
  <c r="CE360" i="29"/>
  <c r="CF360" i="29"/>
  <c r="CG360" i="29"/>
  <c r="CH360" i="29"/>
  <c r="CI360" i="29"/>
  <c r="CJ360" i="29"/>
  <c r="CK360" i="29"/>
  <c r="CL360" i="29"/>
  <c r="CM360" i="29"/>
  <c r="CD361" i="29"/>
  <c r="CE361" i="29"/>
  <c r="CF361" i="29"/>
  <c r="CG361" i="29"/>
  <c r="CH361" i="29"/>
  <c r="CI361" i="29"/>
  <c r="CJ361" i="29"/>
  <c r="CK361" i="29"/>
  <c r="CL361" i="29"/>
  <c r="CM361" i="29"/>
  <c r="CD362" i="29"/>
  <c r="CE362" i="29"/>
  <c r="CF362" i="29"/>
  <c r="CG362" i="29"/>
  <c r="CH362" i="29"/>
  <c r="CI362" i="29"/>
  <c r="CJ362" i="29"/>
  <c r="CK362" i="29"/>
  <c r="CL362" i="29"/>
  <c r="CM362" i="29"/>
  <c r="CD363" i="29"/>
  <c r="CE363" i="29"/>
  <c r="CF363" i="29"/>
  <c r="CG363" i="29"/>
  <c r="CH363" i="29"/>
  <c r="CI363" i="29"/>
  <c r="CJ363" i="29"/>
  <c r="CK363" i="29"/>
  <c r="CL363" i="29"/>
  <c r="CM363" i="29"/>
  <c r="CD364" i="29"/>
  <c r="CE364" i="29"/>
  <c r="CF364" i="29"/>
  <c r="CG364" i="29"/>
  <c r="CH364" i="29"/>
  <c r="CI364" i="29"/>
  <c r="CJ364" i="29"/>
  <c r="CK364" i="29"/>
  <c r="CL364" i="29"/>
  <c r="CM364" i="29"/>
  <c r="CD365" i="29"/>
  <c r="CE365" i="29"/>
  <c r="CF365" i="29"/>
  <c r="CG365" i="29"/>
  <c r="CH365" i="29"/>
  <c r="CI365" i="29"/>
  <c r="CJ365" i="29"/>
  <c r="CK365" i="29"/>
  <c r="CL365" i="29"/>
  <c r="CM365" i="29"/>
  <c r="CD366" i="29"/>
  <c r="CE366" i="29"/>
  <c r="CF366" i="29"/>
  <c r="CG366" i="29"/>
  <c r="CH366" i="29"/>
  <c r="CI366" i="29"/>
  <c r="CJ366" i="29"/>
  <c r="CK366" i="29"/>
  <c r="CL366" i="29"/>
  <c r="CM366" i="29"/>
  <c r="CD367" i="29"/>
  <c r="CE367" i="29"/>
  <c r="CF367" i="29"/>
  <c r="CG367" i="29"/>
  <c r="CH367" i="29"/>
  <c r="CI367" i="29"/>
  <c r="CJ367" i="29"/>
  <c r="CK367" i="29"/>
  <c r="CL367" i="29"/>
  <c r="CM367" i="29"/>
  <c r="CD368" i="29"/>
  <c r="CE368" i="29"/>
  <c r="CF368" i="29"/>
  <c r="CG368" i="29"/>
  <c r="CH368" i="29"/>
  <c r="CI368" i="29"/>
  <c r="CJ368" i="29"/>
  <c r="CK368" i="29"/>
  <c r="CL368" i="29"/>
  <c r="CM368" i="29"/>
  <c r="CE3" i="29"/>
  <c r="CF3" i="29"/>
  <c r="CI3" i="29"/>
  <c r="CJ3" i="29"/>
  <c r="CM3" i="29"/>
  <c r="CD3" i="29"/>
  <c r="AP4" i="29"/>
  <c r="AQ4" i="29"/>
  <c r="AR4" i="29"/>
  <c r="AT4" i="29"/>
  <c r="AU4" i="29"/>
  <c r="AV4" i="29"/>
  <c r="AX4" i="29"/>
  <c r="AY4" i="29"/>
  <c r="AP5" i="29"/>
  <c r="AR5" i="29"/>
  <c r="AS5" i="29"/>
  <c r="AT5" i="29"/>
  <c r="AV5" i="29"/>
  <c r="AW5" i="29"/>
  <c r="AX5" i="29"/>
  <c r="AP6" i="29"/>
  <c r="AQ6" i="29"/>
  <c r="AR6" i="29"/>
  <c r="AT6" i="29"/>
  <c r="AU6" i="29"/>
  <c r="AV6" i="29"/>
  <c r="AX6" i="29"/>
  <c r="AY6" i="29"/>
  <c r="AP7" i="29"/>
  <c r="AR7" i="29"/>
  <c r="AS7" i="29"/>
  <c r="AT7" i="29"/>
  <c r="AV7" i="29"/>
  <c r="AW7" i="29"/>
  <c r="AX7" i="29"/>
  <c r="AP8" i="29"/>
  <c r="AQ8" i="29"/>
  <c r="AT8" i="29"/>
  <c r="AU8" i="29"/>
  <c r="AX8" i="29"/>
  <c r="AY8" i="29"/>
  <c r="AQ9" i="29"/>
  <c r="AR9" i="29"/>
  <c r="AU9" i="29"/>
  <c r="AV9" i="29"/>
  <c r="AX9" i="29"/>
  <c r="AP10" i="29"/>
  <c r="AT10" i="29"/>
  <c r="AV10" i="29"/>
  <c r="AX10" i="29"/>
  <c r="AQ11" i="29"/>
  <c r="AR11" i="29"/>
  <c r="AV11" i="29"/>
  <c r="AX11" i="29"/>
  <c r="AP12" i="29"/>
  <c r="AR12" i="29"/>
  <c r="AS12" i="29"/>
  <c r="AT12" i="29"/>
  <c r="AW12" i="29"/>
  <c r="AX12" i="29"/>
  <c r="AR13" i="29"/>
  <c r="AV13" i="29"/>
  <c r="AX13" i="29"/>
  <c r="AP14" i="29"/>
  <c r="AS14" i="29"/>
  <c r="AT14" i="29"/>
  <c r="AX14" i="29"/>
  <c r="AP15" i="29"/>
  <c r="AR15" i="29"/>
  <c r="AU15" i="29"/>
  <c r="AV15" i="29"/>
  <c r="AX15" i="29"/>
  <c r="AY15" i="29"/>
  <c r="AP16" i="29"/>
  <c r="AT16" i="29"/>
  <c r="AV16" i="29"/>
  <c r="AW16" i="29"/>
  <c r="AX16" i="29"/>
  <c r="AP17" i="29"/>
  <c r="AQ17" i="29"/>
  <c r="AR17" i="29"/>
  <c r="AU17" i="29"/>
  <c r="AV17" i="29"/>
  <c r="AX17" i="29"/>
  <c r="AY17" i="29"/>
  <c r="AP18" i="29"/>
  <c r="AR18" i="29"/>
  <c r="AT18" i="29"/>
  <c r="AW18" i="29"/>
  <c r="AX18" i="29"/>
  <c r="AQ19" i="29"/>
  <c r="AR19" i="29"/>
  <c r="AV19" i="29"/>
  <c r="AX19" i="29"/>
  <c r="AP20" i="29"/>
  <c r="AS20" i="29"/>
  <c r="AT20" i="29"/>
  <c r="AX20" i="29"/>
  <c r="AR21" i="29"/>
  <c r="AT21" i="29"/>
  <c r="AV21" i="29"/>
  <c r="AX21" i="29"/>
  <c r="AY21" i="29"/>
  <c r="AP22" i="29"/>
  <c r="AS22" i="29"/>
  <c r="AT22" i="29"/>
  <c r="AW22" i="29"/>
  <c r="AX22" i="29"/>
  <c r="AR23" i="29"/>
  <c r="AT23" i="29"/>
  <c r="AU23" i="29"/>
  <c r="AV23" i="29"/>
  <c r="AX23" i="29"/>
  <c r="AP24" i="29"/>
  <c r="AT24" i="29"/>
  <c r="AX24" i="29"/>
  <c r="AQ25" i="29"/>
  <c r="AR25" i="29"/>
  <c r="AU25" i="29"/>
  <c r="AV25" i="29"/>
  <c r="AX25" i="29"/>
  <c r="AP26" i="29"/>
  <c r="AT26" i="29"/>
  <c r="AV26" i="29"/>
  <c r="AX26" i="29"/>
  <c r="AQ27" i="29"/>
  <c r="AR27" i="29"/>
  <c r="AV27" i="29"/>
  <c r="AX27" i="29"/>
  <c r="AP28" i="29"/>
  <c r="AR28" i="29"/>
  <c r="AS28" i="29"/>
  <c r="AT28" i="29"/>
  <c r="AW28" i="29"/>
  <c r="AX28" i="29"/>
  <c r="AR29" i="29"/>
  <c r="AV29" i="29"/>
  <c r="AX29" i="29"/>
  <c r="AP30" i="29"/>
  <c r="AS30" i="29"/>
  <c r="AT30" i="29"/>
  <c r="AX30" i="29"/>
  <c r="AP31" i="29"/>
  <c r="AR31" i="29"/>
  <c r="AU31" i="29"/>
  <c r="AV31" i="29"/>
  <c r="AX31" i="29"/>
  <c r="AY31" i="29"/>
  <c r="AP32" i="29"/>
  <c r="AQ32" i="29"/>
  <c r="AT32" i="29"/>
  <c r="AU32" i="29"/>
  <c r="AX32" i="29"/>
  <c r="AY32" i="29"/>
  <c r="AQ33" i="29"/>
  <c r="AR33" i="29"/>
  <c r="AU33" i="29"/>
  <c r="AV33" i="29"/>
  <c r="AX33" i="29"/>
  <c r="AY33" i="29"/>
  <c r="AP34" i="29"/>
  <c r="AR34" i="29"/>
  <c r="AS34" i="29"/>
  <c r="AT34" i="29"/>
  <c r="AX34" i="29"/>
  <c r="AQ35" i="29"/>
  <c r="AR35" i="29"/>
  <c r="AV35" i="29"/>
  <c r="AX35" i="29"/>
  <c r="AP36" i="29"/>
  <c r="AS36" i="29"/>
  <c r="AT36" i="29"/>
  <c r="AX36" i="29"/>
  <c r="AP37" i="29"/>
  <c r="AR37" i="29"/>
  <c r="AU37" i="29"/>
  <c r="AV37" i="29"/>
  <c r="AX37" i="29"/>
  <c r="AP38" i="29"/>
  <c r="AS38" i="29"/>
  <c r="AT38" i="29"/>
  <c r="AX38" i="29"/>
  <c r="AP39" i="29"/>
  <c r="AQ39" i="29"/>
  <c r="AR39" i="29"/>
  <c r="AU39" i="29"/>
  <c r="AV39" i="29"/>
  <c r="AX39" i="29"/>
  <c r="AP40" i="29"/>
  <c r="AR40" i="29"/>
  <c r="AT40" i="29"/>
  <c r="AX40" i="29"/>
  <c r="AQ41" i="29"/>
  <c r="AR41" i="29"/>
  <c r="AU41" i="29"/>
  <c r="AV41" i="29"/>
  <c r="AX41" i="29"/>
  <c r="AP42" i="29"/>
  <c r="AR42" i="29"/>
  <c r="AS42" i="29"/>
  <c r="AT42" i="29"/>
  <c r="AX42" i="29"/>
  <c r="AQ43" i="29"/>
  <c r="AR43" i="29"/>
  <c r="AT43" i="29"/>
  <c r="AV43" i="29"/>
  <c r="AX43" i="29"/>
  <c r="AP44" i="29"/>
  <c r="AS44" i="29"/>
  <c r="AT44" i="29"/>
  <c r="AX44" i="29"/>
  <c r="AP45" i="29"/>
  <c r="AR45" i="29"/>
  <c r="AU45" i="29"/>
  <c r="AV45" i="29"/>
  <c r="AX45" i="29"/>
  <c r="AY45" i="29"/>
  <c r="AP46" i="29"/>
  <c r="AS46" i="29"/>
  <c r="AT46" i="29"/>
  <c r="AW46" i="29"/>
  <c r="AX46" i="29"/>
  <c r="AQ47" i="29"/>
  <c r="AR47" i="29"/>
  <c r="AU47" i="29"/>
  <c r="AV47" i="29"/>
  <c r="AX47" i="29"/>
  <c r="AP48" i="29"/>
  <c r="AT48" i="29"/>
  <c r="AV48" i="29"/>
  <c r="AX48" i="29"/>
  <c r="AQ49" i="29"/>
  <c r="AR49" i="29"/>
  <c r="AU49" i="29"/>
  <c r="AV49" i="29"/>
  <c r="AX49" i="29"/>
  <c r="AP50" i="29"/>
  <c r="AS50" i="29"/>
  <c r="AT50" i="29"/>
  <c r="AX50" i="29"/>
  <c r="AQ51" i="29"/>
  <c r="AR51" i="29"/>
  <c r="AT51" i="29"/>
  <c r="AV51" i="29"/>
  <c r="AX51" i="29"/>
  <c r="AP52" i="29"/>
  <c r="AS52" i="29"/>
  <c r="AT52" i="29"/>
  <c r="AX52" i="29"/>
  <c r="AR53" i="29"/>
  <c r="AT53" i="29"/>
  <c r="AU53" i="29"/>
  <c r="AV53" i="29"/>
  <c r="AX53" i="29"/>
  <c r="AY53" i="29"/>
  <c r="AP54" i="29"/>
  <c r="AQ54" i="29"/>
  <c r="AR54" i="29"/>
  <c r="AT54" i="29"/>
  <c r="AU54" i="29"/>
  <c r="AV54" i="29"/>
  <c r="AX54" i="29"/>
  <c r="AY54" i="29"/>
  <c r="AP55" i="29"/>
  <c r="AR55" i="29"/>
  <c r="AS55" i="29"/>
  <c r="AT55" i="29"/>
  <c r="AV55" i="29"/>
  <c r="AW55" i="29"/>
  <c r="AX55" i="29"/>
  <c r="AP56" i="29"/>
  <c r="AQ56" i="29"/>
  <c r="AR56" i="29"/>
  <c r="AT56" i="29"/>
  <c r="AU56" i="29"/>
  <c r="AV56" i="29"/>
  <c r="AX56" i="29"/>
  <c r="AY56" i="29"/>
  <c r="AP57" i="29"/>
  <c r="AR57" i="29"/>
  <c r="AS57" i="29"/>
  <c r="AT57" i="29"/>
  <c r="AV57" i="29"/>
  <c r="AW57" i="29"/>
  <c r="AX57" i="29"/>
  <c r="AP58" i="29"/>
  <c r="AQ58" i="29"/>
  <c r="AR58" i="29"/>
  <c r="AT58" i="29"/>
  <c r="AU58" i="29"/>
  <c r="AV58" i="29"/>
  <c r="AX58" i="29"/>
  <c r="AY58" i="29"/>
  <c r="AP59" i="29"/>
  <c r="AR59" i="29"/>
  <c r="AS59" i="29"/>
  <c r="AT59" i="29"/>
  <c r="AV59" i="29"/>
  <c r="AW59" i="29"/>
  <c r="AX59" i="29"/>
  <c r="AP60" i="29"/>
  <c r="AQ60" i="29"/>
  <c r="AR60" i="29"/>
  <c r="AT60" i="29"/>
  <c r="AU60" i="29"/>
  <c r="AV60" i="29"/>
  <c r="AX60" i="29"/>
  <c r="AY60" i="29"/>
  <c r="AP61" i="29"/>
  <c r="AR61" i="29"/>
  <c r="AS61" i="29"/>
  <c r="AT61" i="29"/>
  <c r="AV61" i="29"/>
  <c r="AW61" i="29"/>
  <c r="AX61" i="29"/>
  <c r="AP62" i="29"/>
  <c r="AQ62" i="29"/>
  <c r="AR62" i="29"/>
  <c r="AT62" i="29"/>
  <c r="AU62" i="29"/>
  <c r="AV62" i="29"/>
  <c r="AX62" i="29"/>
  <c r="AY62" i="29"/>
  <c r="AP63" i="29"/>
  <c r="AR63" i="29"/>
  <c r="AS63" i="29"/>
  <c r="AT63" i="29"/>
  <c r="AV63" i="29"/>
  <c r="AW63" i="29"/>
  <c r="AX63" i="29"/>
  <c r="AP64" i="29"/>
  <c r="AQ64" i="29"/>
  <c r="AR64" i="29"/>
  <c r="AT64" i="29"/>
  <c r="AU64" i="29"/>
  <c r="AV64" i="29"/>
  <c r="AX64" i="29"/>
  <c r="AY64" i="29"/>
  <c r="AP65" i="29"/>
  <c r="AR65" i="29"/>
  <c r="AS65" i="29"/>
  <c r="AT65" i="29"/>
  <c r="AV65" i="29"/>
  <c r="AW65" i="29"/>
  <c r="AX65" i="29"/>
  <c r="AP66" i="29"/>
  <c r="AQ66" i="29"/>
  <c r="AR66" i="29"/>
  <c r="AT66" i="29"/>
  <c r="AU66" i="29"/>
  <c r="AV66" i="29"/>
  <c r="AX66" i="29"/>
  <c r="AY66" i="29"/>
  <c r="AP67" i="29"/>
  <c r="AR67" i="29"/>
  <c r="AS67" i="29"/>
  <c r="AT67" i="29"/>
  <c r="AV67" i="29"/>
  <c r="AW67" i="29"/>
  <c r="AX67" i="29"/>
  <c r="AP68" i="29"/>
  <c r="AQ68" i="29"/>
  <c r="AR68" i="29"/>
  <c r="AT68" i="29"/>
  <c r="AU68" i="29"/>
  <c r="AV68" i="29"/>
  <c r="AX68" i="29"/>
  <c r="AY68" i="29"/>
  <c r="AP69" i="29"/>
  <c r="AR69" i="29"/>
  <c r="AS69" i="29"/>
  <c r="AT69" i="29"/>
  <c r="AV69" i="29"/>
  <c r="AW69" i="29"/>
  <c r="AX69" i="29"/>
  <c r="AP70" i="29"/>
  <c r="AQ70" i="29"/>
  <c r="AR70" i="29"/>
  <c r="AT70" i="29"/>
  <c r="AU70" i="29"/>
  <c r="AV70" i="29"/>
  <c r="AX70" i="29"/>
  <c r="AY70" i="29"/>
  <c r="AP71" i="29"/>
  <c r="AR71" i="29"/>
  <c r="AS71" i="29"/>
  <c r="AT71" i="29"/>
  <c r="AV71" i="29"/>
  <c r="AW71" i="29"/>
  <c r="AX71" i="29"/>
  <c r="AP72" i="29"/>
  <c r="AQ72" i="29"/>
  <c r="AR72" i="29"/>
  <c r="AT72" i="29"/>
  <c r="AU72" i="29"/>
  <c r="AV72" i="29"/>
  <c r="AX72" i="29"/>
  <c r="AY72" i="29"/>
  <c r="AP73" i="29"/>
  <c r="AR73" i="29"/>
  <c r="AS73" i="29"/>
  <c r="AT73" i="29"/>
  <c r="AV73" i="29"/>
  <c r="AW73" i="29"/>
  <c r="AX73" i="29"/>
  <c r="AP74" i="29"/>
  <c r="AQ74" i="29"/>
  <c r="AR74" i="29"/>
  <c r="AT74" i="29"/>
  <c r="AU74" i="29"/>
  <c r="AV74" i="29"/>
  <c r="AX74" i="29"/>
  <c r="AY74" i="29"/>
  <c r="AP75" i="29"/>
  <c r="AR75" i="29"/>
  <c r="AS75" i="29"/>
  <c r="AT75" i="29"/>
  <c r="AV75" i="29"/>
  <c r="AW75" i="29"/>
  <c r="AX75" i="29"/>
  <c r="AP76" i="29"/>
  <c r="AQ76" i="29"/>
  <c r="AR76" i="29"/>
  <c r="AT76" i="29"/>
  <c r="AU76" i="29"/>
  <c r="AV76" i="29"/>
  <c r="AX76" i="29"/>
  <c r="AY76" i="29"/>
  <c r="AP77" i="29"/>
  <c r="AR77" i="29"/>
  <c r="AS77" i="29"/>
  <c r="AT77" i="29"/>
  <c r="AV77" i="29"/>
  <c r="AW77" i="29"/>
  <c r="AX77" i="29"/>
  <c r="AP78" i="29"/>
  <c r="AQ78" i="29"/>
  <c r="AR78" i="29"/>
  <c r="AT78" i="29"/>
  <c r="AU78" i="29"/>
  <c r="AV78" i="29"/>
  <c r="AX78" i="29"/>
  <c r="AY78" i="29"/>
  <c r="AP79" i="29"/>
  <c r="AR79" i="29"/>
  <c r="AS79" i="29"/>
  <c r="AT79" i="29"/>
  <c r="AV79" i="29"/>
  <c r="AW79" i="29"/>
  <c r="AX79" i="29"/>
  <c r="AP80" i="29"/>
  <c r="AQ80" i="29"/>
  <c r="AR80" i="29"/>
  <c r="AT80" i="29"/>
  <c r="AU80" i="29"/>
  <c r="AV80" i="29"/>
  <c r="AX80" i="29"/>
  <c r="AY80" i="29"/>
  <c r="AP81" i="29"/>
  <c r="AR81" i="29"/>
  <c r="AS81" i="29"/>
  <c r="AT81" i="29"/>
  <c r="AV81" i="29"/>
  <c r="AW81" i="29"/>
  <c r="AX81" i="29"/>
  <c r="AP82" i="29"/>
  <c r="AQ82" i="29"/>
  <c r="AR82" i="29"/>
  <c r="AT82" i="29"/>
  <c r="AU82" i="29"/>
  <c r="AV82" i="29"/>
  <c r="AX82" i="29"/>
  <c r="AY82" i="29"/>
  <c r="AP83" i="29"/>
  <c r="AR83" i="29"/>
  <c r="AS83" i="29"/>
  <c r="AT83" i="29"/>
  <c r="AV83" i="29"/>
  <c r="AW83" i="29"/>
  <c r="AX83" i="29"/>
  <c r="AP84" i="29"/>
  <c r="AQ84" i="29"/>
  <c r="AR84" i="29"/>
  <c r="AT84" i="29"/>
  <c r="AU84" i="29"/>
  <c r="AV84" i="29"/>
  <c r="AX84" i="29"/>
  <c r="AY84" i="29"/>
  <c r="AP85" i="29"/>
  <c r="AR85" i="29"/>
  <c r="AS85" i="29"/>
  <c r="AT85" i="29"/>
  <c r="AV85" i="29"/>
  <c r="AW85" i="29"/>
  <c r="AX85" i="29"/>
  <c r="AP86" i="29"/>
  <c r="AQ86" i="29"/>
  <c r="AR86" i="29"/>
  <c r="AT86" i="29"/>
  <c r="AU86" i="29"/>
  <c r="AV86" i="29"/>
  <c r="AX86" i="29"/>
  <c r="AY86" i="29"/>
  <c r="AP87" i="29"/>
  <c r="AR87" i="29"/>
  <c r="AS87" i="29"/>
  <c r="AT87" i="29"/>
  <c r="AV87" i="29"/>
  <c r="AW87" i="29"/>
  <c r="AX87" i="29"/>
  <c r="AP88" i="29"/>
  <c r="AQ88" i="29"/>
  <c r="AR88" i="29"/>
  <c r="AS88" i="29"/>
  <c r="AT88" i="29"/>
  <c r="AU88" i="29"/>
  <c r="AV88" i="29"/>
  <c r="AW88" i="29"/>
  <c r="AX88" i="29"/>
  <c r="AY88" i="29"/>
  <c r="AP89" i="29"/>
  <c r="AQ89" i="29"/>
  <c r="AR89" i="29"/>
  <c r="AS89" i="29"/>
  <c r="AT89" i="29"/>
  <c r="AU89" i="29"/>
  <c r="AV89" i="29"/>
  <c r="AW89" i="29"/>
  <c r="AX89" i="29"/>
  <c r="AY89" i="29"/>
  <c r="AP90" i="29"/>
  <c r="AQ90" i="29"/>
  <c r="AR90" i="29"/>
  <c r="AS90" i="29"/>
  <c r="AT90" i="29"/>
  <c r="AU90" i="29"/>
  <c r="AV90" i="29"/>
  <c r="AW90" i="29"/>
  <c r="AX90" i="29"/>
  <c r="AY90" i="29"/>
  <c r="AP91" i="29"/>
  <c r="AQ91" i="29"/>
  <c r="AR91" i="29"/>
  <c r="AS91" i="29"/>
  <c r="AT91" i="29"/>
  <c r="AU91" i="29"/>
  <c r="AV91" i="29"/>
  <c r="AW91" i="29"/>
  <c r="AX91" i="29"/>
  <c r="AY91" i="29"/>
  <c r="AP92" i="29"/>
  <c r="AQ92" i="29"/>
  <c r="AR92" i="29"/>
  <c r="AS92" i="29"/>
  <c r="AT92" i="29"/>
  <c r="AU92" i="29"/>
  <c r="AV92" i="29"/>
  <c r="AW92" i="29"/>
  <c r="AX92" i="29"/>
  <c r="AY92" i="29"/>
  <c r="AP93" i="29"/>
  <c r="AQ93" i="29"/>
  <c r="AR93" i="29"/>
  <c r="AS93" i="29"/>
  <c r="AT93" i="29"/>
  <c r="AU93" i="29"/>
  <c r="AV93" i="29"/>
  <c r="AW93" i="29"/>
  <c r="AX93" i="29"/>
  <c r="AY93" i="29"/>
  <c r="AP94" i="29"/>
  <c r="AQ94" i="29"/>
  <c r="AR94" i="29"/>
  <c r="AS94" i="29"/>
  <c r="AT94" i="29"/>
  <c r="AU94" i="29"/>
  <c r="AV94" i="29"/>
  <c r="AW94" i="29"/>
  <c r="AX94" i="29"/>
  <c r="AY94" i="29"/>
  <c r="AP95" i="29"/>
  <c r="AQ95" i="29"/>
  <c r="AR95" i="29"/>
  <c r="AS95" i="29"/>
  <c r="AT95" i="29"/>
  <c r="AU95" i="29"/>
  <c r="AV95" i="29"/>
  <c r="AW95" i="29"/>
  <c r="AX95" i="29"/>
  <c r="AY95" i="29"/>
  <c r="AP96" i="29"/>
  <c r="AQ96" i="29"/>
  <c r="AR96" i="29"/>
  <c r="AS96" i="29"/>
  <c r="AT96" i="29"/>
  <c r="AU96" i="29"/>
  <c r="AV96" i="29"/>
  <c r="AW96" i="29"/>
  <c r="AX96" i="29"/>
  <c r="AY96" i="29"/>
  <c r="AP97" i="29"/>
  <c r="AQ97" i="29"/>
  <c r="AR97" i="29"/>
  <c r="AS97" i="29"/>
  <c r="AT97" i="29"/>
  <c r="AU97" i="29"/>
  <c r="AV97" i="29"/>
  <c r="AW97" i="29"/>
  <c r="AX97" i="29"/>
  <c r="AY97" i="29"/>
  <c r="AP98" i="29"/>
  <c r="AQ98" i="29"/>
  <c r="AR98" i="29"/>
  <c r="AS98" i="29"/>
  <c r="AT98" i="29"/>
  <c r="AU98" i="29"/>
  <c r="AV98" i="29"/>
  <c r="AW98" i="29"/>
  <c r="AX98" i="29"/>
  <c r="AY98" i="29"/>
  <c r="AP99" i="29"/>
  <c r="AQ99" i="29"/>
  <c r="AR99" i="29"/>
  <c r="AS99" i="29"/>
  <c r="AT99" i="29"/>
  <c r="AU99" i="29"/>
  <c r="AV99" i="29"/>
  <c r="AW99" i="29"/>
  <c r="AX99" i="29"/>
  <c r="AY99" i="29"/>
  <c r="AP100" i="29"/>
  <c r="AQ100" i="29"/>
  <c r="AR100" i="29"/>
  <c r="AS100" i="29"/>
  <c r="AT100" i="29"/>
  <c r="AU100" i="29"/>
  <c r="AV100" i="29"/>
  <c r="AW100" i="29"/>
  <c r="AX100" i="29"/>
  <c r="AY100" i="29"/>
  <c r="AP101" i="29"/>
  <c r="AQ101" i="29"/>
  <c r="AR101" i="29"/>
  <c r="AS101" i="29"/>
  <c r="AT101" i="29"/>
  <c r="AU101" i="29"/>
  <c r="AV101" i="29"/>
  <c r="AW101" i="29"/>
  <c r="AX101" i="29"/>
  <c r="AY101" i="29"/>
  <c r="AP102" i="29"/>
  <c r="AQ102" i="29"/>
  <c r="AR102" i="29"/>
  <c r="AS102" i="29"/>
  <c r="AT102" i="29"/>
  <c r="AU102" i="29"/>
  <c r="AV102" i="29"/>
  <c r="AW102" i="29"/>
  <c r="AX102" i="29"/>
  <c r="AY102" i="29"/>
  <c r="AP103" i="29"/>
  <c r="AQ103" i="29"/>
  <c r="AR103" i="29"/>
  <c r="AS103" i="29"/>
  <c r="AT103" i="29"/>
  <c r="AU103" i="29"/>
  <c r="AV103" i="29"/>
  <c r="AW103" i="29"/>
  <c r="AX103" i="29"/>
  <c r="AY103" i="29"/>
  <c r="AP104" i="29"/>
  <c r="AQ104" i="29"/>
  <c r="AR104" i="29"/>
  <c r="AS104" i="29"/>
  <c r="AT104" i="29"/>
  <c r="AU104" i="29"/>
  <c r="AV104" i="29"/>
  <c r="AW104" i="29"/>
  <c r="AX104" i="29"/>
  <c r="AY104" i="29"/>
  <c r="AP105" i="29"/>
  <c r="AQ105" i="29"/>
  <c r="AR105" i="29"/>
  <c r="AS105" i="29"/>
  <c r="AT105" i="29"/>
  <c r="AU105" i="29"/>
  <c r="AV105" i="29"/>
  <c r="AW105" i="29"/>
  <c r="AX105" i="29"/>
  <c r="AY105" i="29"/>
  <c r="AP106" i="29"/>
  <c r="AQ106" i="29"/>
  <c r="AR106" i="29"/>
  <c r="AS106" i="29"/>
  <c r="AT106" i="29"/>
  <c r="AU106" i="29"/>
  <c r="AV106" i="29"/>
  <c r="AW106" i="29"/>
  <c r="AX106" i="29"/>
  <c r="AY106" i="29"/>
  <c r="AP107" i="29"/>
  <c r="AQ107" i="29"/>
  <c r="AR107" i="29"/>
  <c r="AS107" i="29"/>
  <c r="AT107" i="29"/>
  <c r="AU107" i="29"/>
  <c r="AV107" i="29"/>
  <c r="AW107" i="29"/>
  <c r="AX107" i="29"/>
  <c r="AY107" i="29"/>
  <c r="AP108" i="29"/>
  <c r="AQ108" i="29"/>
  <c r="AR108" i="29"/>
  <c r="AS108" i="29"/>
  <c r="AT108" i="29"/>
  <c r="AU108" i="29"/>
  <c r="AV108" i="29"/>
  <c r="AW108" i="29"/>
  <c r="AX108" i="29"/>
  <c r="AY108" i="29"/>
  <c r="AP109" i="29"/>
  <c r="AQ109" i="29"/>
  <c r="AR109" i="29"/>
  <c r="AS109" i="29"/>
  <c r="AT109" i="29"/>
  <c r="AU109" i="29"/>
  <c r="AV109" i="29"/>
  <c r="AW109" i="29"/>
  <c r="AX109" i="29"/>
  <c r="AY109" i="29"/>
  <c r="AP110" i="29"/>
  <c r="AQ110" i="29"/>
  <c r="AR110" i="29"/>
  <c r="AS110" i="29"/>
  <c r="AT110" i="29"/>
  <c r="AU110" i="29"/>
  <c r="AV110" i="29"/>
  <c r="AW110" i="29"/>
  <c r="AX110" i="29"/>
  <c r="AY110" i="29"/>
  <c r="AP111" i="29"/>
  <c r="AQ111" i="29"/>
  <c r="AR111" i="29"/>
  <c r="AS111" i="29"/>
  <c r="AT111" i="29"/>
  <c r="AU111" i="29"/>
  <c r="AV111" i="29"/>
  <c r="AW111" i="29"/>
  <c r="AX111" i="29"/>
  <c r="AY111" i="29"/>
  <c r="AP112" i="29"/>
  <c r="AQ112" i="29"/>
  <c r="AR112" i="29"/>
  <c r="AS112" i="29"/>
  <c r="AT112" i="29"/>
  <c r="AU112" i="29"/>
  <c r="AV112" i="29"/>
  <c r="AW112" i="29"/>
  <c r="AX112" i="29"/>
  <c r="AY112" i="29"/>
  <c r="AP113" i="29"/>
  <c r="AQ113" i="29"/>
  <c r="AR113" i="29"/>
  <c r="AS113" i="29"/>
  <c r="AT113" i="29"/>
  <c r="AU113" i="29"/>
  <c r="AV113" i="29"/>
  <c r="AW113" i="29"/>
  <c r="AX113" i="29"/>
  <c r="AY113" i="29"/>
  <c r="AP114" i="29"/>
  <c r="AQ114" i="29"/>
  <c r="AR114" i="29"/>
  <c r="AS114" i="29"/>
  <c r="AT114" i="29"/>
  <c r="AU114" i="29"/>
  <c r="AV114" i="29"/>
  <c r="AW114" i="29"/>
  <c r="AX114" i="29"/>
  <c r="AY114" i="29"/>
  <c r="AP115" i="29"/>
  <c r="AQ115" i="29"/>
  <c r="AR115" i="29"/>
  <c r="AS115" i="29"/>
  <c r="AT115" i="29"/>
  <c r="AU115" i="29"/>
  <c r="AV115" i="29"/>
  <c r="AW115" i="29"/>
  <c r="AX115" i="29"/>
  <c r="AY115" i="29"/>
  <c r="AP116" i="29"/>
  <c r="AQ116" i="29"/>
  <c r="AR116" i="29"/>
  <c r="AS116" i="29"/>
  <c r="AT116" i="29"/>
  <c r="AU116" i="29"/>
  <c r="AV116" i="29"/>
  <c r="AW116" i="29"/>
  <c r="AX116" i="29"/>
  <c r="AY116" i="29"/>
  <c r="AP117" i="29"/>
  <c r="AQ117" i="29"/>
  <c r="AR117" i="29"/>
  <c r="AS117" i="29"/>
  <c r="AT117" i="29"/>
  <c r="AU117" i="29"/>
  <c r="AV117" i="29"/>
  <c r="AW117" i="29"/>
  <c r="AX117" i="29"/>
  <c r="AY117" i="29"/>
  <c r="AP118" i="29"/>
  <c r="AQ118" i="29"/>
  <c r="AR118" i="29"/>
  <c r="AS118" i="29"/>
  <c r="AT118" i="29"/>
  <c r="AU118" i="29"/>
  <c r="AV118" i="29"/>
  <c r="AW118" i="29"/>
  <c r="AX118" i="29"/>
  <c r="AY118" i="29"/>
  <c r="AP119" i="29"/>
  <c r="AQ119" i="29"/>
  <c r="AR119" i="29"/>
  <c r="AS119" i="29"/>
  <c r="AT119" i="29"/>
  <c r="AU119" i="29"/>
  <c r="AV119" i="29"/>
  <c r="AW119" i="29"/>
  <c r="AX119" i="29"/>
  <c r="AY119" i="29"/>
  <c r="AP120" i="29"/>
  <c r="AQ120" i="29"/>
  <c r="AR120" i="29"/>
  <c r="AS120" i="29"/>
  <c r="AT120" i="29"/>
  <c r="AU120" i="29"/>
  <c r="AV120" i="29"/>
  <c r="AW120" i="29"/>
  <c r="AX120" i="29"/>
  <c r="AY120" i="29"/>
  <c r="AP121" i="29"/>
  <c r="AQ121" i="29"/>
  <c r="AR121" i="29"/>
  <c r="AS121" i="29"/>
  <c r="AT121" i="29"/>
  <c r="AU121" i="29"/>
  <c r="AV121" i="29"/>
  <c r="AW121" i="29"/>
  <c r="AX121" i="29"/>
  <c r="AY121" i="29"/>
  <c r="AP122" i="29"/>
  <c r="AQ122" i="29"/>
  <c r="AR122" i="29"/>
  <c r="AS122" i="29"/>
  <c r="AT122" i="29"/>
  <c r="AU122" i="29"/>
  <c r="AV122" i="29"/>
  <c r="AW122" i="29"/>
  <c r="AX122" i="29"/>
  <c r="AY122" i="29"/>
  <c r="AP123" i="29"/>
  <c r="AQ123" i="29"/>
  <c r="AR123" i="29"/>
  <c r="AS123" i="29"/>
  <c r="AT123" i="29"/>
  <c r="AU123" i="29"/>
  <c r="AV123" i="29"/>
  <c r="AW123" i="29"/>
  <c r="AX123" i="29"/>
  <c r="AY123" i="29"/>
  <c r="AP124" i="29"/>
  <c r="AQ124" i="29"/>
  <c r="AR124" i="29"/>
  <c r="AS124" i="29"/>
  <c r="AT124" i="29"/>
  <c r="AU124" i="29"/>
  <c r="AV124" i="29"/>
  <c r="AW124" i="29"/>
  <c r="AX124" i="29"/>
  <c r="AY124" i="29"/>
  <c r="AP125" i="29"/>
  <c r="AQ125" i="29"/>
  <c r="AR125" i="29"/>
  <c r="AS125" i="29"/>
  <c r="AT125" i="29"/>
  <c r="AU125" i="29"/>
  <c r="AV125" i="29"/>
  <c r="AW125" i="29"/>
  <c r="AX125" i="29"/>
  <c r="AY125" i="29"/>
  <c r="AP126" i="29"/>
  <c r="AQ126" i="29"/>
  <c r="AR126" i="29"/>
  <c r="AS126" i="29"/>
  <c r="AT126" i="29"/>
  <c r="AU126" i="29"/>
  <c r="AV126" i="29"/>
  <c r="AW126" i="29"/>
  <c r="AX126" i="29"/>
  <c r="AY126" i="29"/>
  <c r="AP127" i="29"/>
  <c r="AQ127" i="29"/>
  <c r="AR127" i="29"/>
  <c r="AS127" i="29"/>
  <c r="AT127" i="29"/>
  <c r="AU127" i="29"/>
  <c r="AV127" i="29"/>
  <c r="AW127" i="29"/>
  <c r="AX127" i="29"/>
  <c r="AY127" i="29"/>
  <c r="AP128" i="29"/>
  <c r="AQ128" i="29"/>
  <c r="AR128" i="29"/>
  <c r="AS128" i="29"/>
  <c r="AT128" i="29"/>
  <c r="AU128" i="29"/>
  <c r="AV128" i="29"/>
  <c r="AW128" i="29"/>
  <c r="AX128" i="29"/>
  <c r="AY128" i="29"/>
  <c r="AP129" i="29"/>
  <c r="AQ129" i="29"/>
  <c r="AR129" i="29"/>
  <c r="AS129" i="29"/>
  <c r="AT129" i="29"/>
  <c r="AU129" i="29"/>
  <c r="AV129" i="29"/>
  <c r="AW129" i="29"/>
  <c r="AX129" i="29"/>
  <c r="AY129" i="29"/>
  <c r="AP130" i="29"/>
  <c r="AQ130" i="29"/>
  <c r="AR130" i="29"/>
  <c r="AS130" i="29"/>
  <c r="AT130" i="29"/>
  <c r="AU130" i="29"/>
  <c r="AV130" i="29"/>
  <c r="AW130" i="29"/>
  <c r="AX130" i="29"/>
  <c r="AY130" i="29"/>
  <c r="AP131" i="29"/>
  <c r="AQ131" i="29"/>
  <c r="AR131" i="29"/>
  <c r="AS131" i="29"/>
  <c r="AT131" i="29"/>
  <c r="AU131" i="29"/>
  <c r="AV131" i="29"/>
  <c r="AW131" i="29"/>
  <c r="AX131" i="29"/>
  <c r="AY131" i="29"/>
  <c r="AP132" i="29"/>
  <c r="AQ132" i="29"/>
  <c r="AR132" i="29"/>
  <c r="AS132" i="29"/>
  <c r="AT132" i="29"/>
  <c r="AU132" i="29"/>
  <c r="AV132" i="29"/>
  <c r="AW132" i="29"/>
  <c r="AX132" i="29"/>
  <c r="AY132" i="29"/>
  <c r="AP133" i="29"/>
  <c r="AQ133" i="29"/>
  <c r="AR133" i="29"/>
  <c r="AS133" i="29"/>
  <c r="AT133" i="29"/>
  <c r="AU133" i="29"/>
  <c r="AV133" i="29"/>
  <c r="AW133" i="29"/>
  <c r="AX133" i="29"/>
  <c r="AY133" i="29"/>
  <c r="AP134" i="29"/>
  <c r="AQ134" i="29"/>
  <c r="AR134" i="29"/>
  <c r="AS134" i="29"/>
  <c r="AT134" i="29"/>
  <c r="AU134" i="29"/>
  <c r="AV134" i="29"/>
  <c r="AW134" i="29"/>
  <c r="AX134" i="29"/>
  <c r="AY134" i="29"/>
  <c r="AP135" i="29"/>
  <c r="AQ135" i="29"/>
  <c r="AR135" i="29"/>
  <c r="AS135" i="29"/>
  <c r="AT135" i="29"/>
  <c r="AU135" i="29"/>
  <c r="AV135" i="29"/>
  <c r="AW135" i="29"/>
  <c r="AX135" i="29"/>
  <c r="AY135" i="29"/>
  <c r="AP136" i="29"/>
  <c r="AQ136" i="29"/>
  <c r="AR136" i="29"/>
  <c r="AS136" i="29"/>
  <c r="AT136" i="29"/>
  <c r="AU136" i="29"/>
  <c r="AV136" i="29"/>
  <c r="AW136" i="29"/>
  <c r="AX136" i="29"/>
  <c r="AY136" i="29"/>
  <c r="AP137" i="29"/>
  <c r="AQ137" i="29"/>
  <c r="AR137" i="29"/>
  <c r="AS137" i="29"/>
  <c r="AT137" i="29"/>
  <c r="AU137" i="29"/>
  <c r="AV137" i="29"/>
  <c r="AW137" i="29"/>
  <c r="AX137" i="29"/>
  <c r="AY137" i="29"/>
  <c r="AP138" i="29"/>
  <c r="AQ138" i="29"/>
  <c r="AR138" i="29"/>
  <c r="AS138" i="29"/>
  <c r="AT138" i="29"/>
  <c r="AU138" i="29"/>
  <c r="AV138" i="29"/>
  <c r="AW138" i="29"/>
  <c r="AX138" i="29"/>
  <c r="AY138" i="29"/>
  <c r="AP139" i="29"/>
  <c r="AQ139" i="29"/>
  <c r="AR139" i="29"/>
  <c r="AS139" i="29"/>
  <c r="AT139" i="29"/>
  <c r="AU139" i="29"/>
  <c r="AV139" i="29"/>
  <c r="AW139" i="29"/>
  <c r="AX139" i="29"/>
  <c r="AY139" i="29"/>
  <c r="AP140" i="29"/>
  <c r="AQ140" i="29"/>
  <c r="AR140" i="29"/>
  <c r="AS140" i="29"/>
  <c r="AT140" i="29"/>
  <c r="AU140" i="29"/>
  <c r="AV140" i="29"/>
  <c r="AW140" i="29"/>
  <c r="AX140" i="29"/>
  <c r="AY140" i="29"/>
  <c r="AP141" i="29"/>
  <c r="AQ141" i="29"/>
  <c r="AR141" i="29"/>
  <c r="AS141" i="29"/>
  <c r="AT141" i="29"/>
  <c r="AU141" i="29"/>
  <c r="AV141" i="29"/>
  <c r="AW141" i="29"/>
  <c r="AX141" i="29"/>
  <c r="AY141" i="29"/>
  <c r="AP142" i="29"/>
  <c r="AQ142" i="29"/>
  <c r="AR142" i="29"/>
  <c r="AS142" i="29"/>
  <c r="AT142" i="29"/>
  <c r="AU142" i="29"/>
  <c r="AV142" i="29"/>
  <c r="AW142" i="29"/>
  <c r="AX142" i="29"/>
  <c r="AY142" i="29"/>
  <c r="AP143" i="29"/>
  <c r="AQ143" i="29"/>
  <c r="AR143" i="29"/>
  <c r="AS143" i="29"/>
  <c r="AT143" i="29"/>
  <c r="AU143" i="29"/>
  <c r="AV143" i="29"/>
  <c r="AW143" i="29"/>
  <c r="AX143" i="29"/>
  <c r="AY143" i="29"/>
  <c r="AP144" i="29"/>
  <c r="AQ144" i="29"/>
  <c r="AR144" i="29"/>
  <c r="AS144" i="29"/>
  <c r="AT144" i="29"/>
  <c r="AU144" i="29"/>
  <c r="AV144" i="29"/>
  <c r="AW144" i="29"/>
  <c r="AX144" i="29"/>
  <c r="AY144" i="29"/>
  <c r="AP145" i="29"/>
  <c r="AQ145" i="29"/>
  <c r="AR145" i="29"/>
  <c r="AS145" i="29"/>
  <c r="AT145" i="29"/>
  <c r="AU145" i="29"/>
  <c r="AV145" i="29"/>
  <c r="AW145" i="29"/>
  <c r="AX145" i="29"/>
  <c r="AY145" i="29"/>
  <c r="AP146" i="29"/>
  <c r="AQ146" i="29"/>
  <c r="AR146" i="29"/>
  <c r="AS146" i="29"/>
  <c r="AT146" i="29"/>
  <c r="AU146" i="29"/>
  <c r="AV146" i="29"/>
  <c r="AW146" i="29"/>
  <c r="AX146" i="29"/>
  <c r="AY146" i="29"/>
  <c r="AP147" i="29"/>
  <c r="AQ147" i="29"/>
  <c r="AR147" i="29"/>
  <c r="AS147" i="29"/>
  <c r="AT147" i="29"/>
  <c r="AU147" i="29"/>
  <c r="AV147" i="29"/>
  <c r="AW147" i="29"/>
  <c r="AX147" i="29"/>
  <c r="AY147" i="29"/>
  <c r="AP148" i="29"/>
  <c r="AQ148" i="29"/>
  <c r="AR148" i="29"/>
  <c r="AS148" i="29"/>
  <c r="AT148" i="29"/>
  <c r="AU148" i="29"/>
  <c r="AV148" i="29"/>
  <c r="AW148" i="29"/>
  <c r="AX148" i="29"/>
  <c r="AY148" i="29"/>
  <c r="AP149" i="29"/>
  <c r="AQ149" i="29"/>
  <c r="AR149" i="29"/>
  <c r="AS149" i="29"/>
  <c r="AT149" i="29"/>
  <c r="AU149" i="29"/>
  <c r="AV149" i="29"/>
  <c r="AW149" i="29"/>
  <c r="AX149" i="29"/>
  <c r="AY149" i="29"/>
  <c r="AP150" i="29"/>
  <c r="AQ150" i="29"/>
  <c r="AR150" i="29"/>
  <c r="AS150" i="29"/>
  <c r="AT150" i="29"/>
  <c r="AU150" i="29"/>
  <c r="AV150" i="29"/>
  <c r="AW150" i="29"/>
  <c r="AX150" i="29"/>
  <c r="AY150" i="29"/>
  <c r="AP151" i="29"/>
  <c r="AQ151" i="29"/>
  <c r="AR151" i="29"/>
  <c r="AS151" i="29"/>
  <c r="AT151" i="29"/>
  <c r="AU151" i="29"/>
  <c r="AV151" i="29"/>
  <c r="AW151" i="29"/>
  <c r="AX151" i="29"/>
  <c r="AY151" i="29"/>
  <c r="AP152" i="29"/>
  <c r="AQ152" i="29"/>
  <c r="AR152" i="29"/>
  <c r="AS152" i="29"/>
  <c r="AT152" i="29"/>
  <c r="AU152" i="29"/>
  <c r="AV152" i="29"/>
  <c r="AW152" i="29"/>
  <c r="AX152" i="29"/>
  <c r="AY152" i="29"/>
  <c r="AP153" i="29"/>
  <c r="AQ153" i="29"/>
  <c r="AR153" i="29"/>
  <c r="AS153" i="29"/>
  <c r="AT153" i="29"/>
  <c r="AU153" i="29"/>
  <c r="AV153" i="29"/>
  <c r="AW153" i="29"/>
  <c r="AX153" i="29"/>
  <c r="AY153" i="29"/>
  <c r="AP154" i="29"/>
  <c r="AQ154" i="29"/>
  <c r="AR154" i="29"/>
  <c r="AS154" i="29"/>
  <c r="AT154" i="29"/>
  <c r="AU154" i="29"/>
  <c r="AV154" i="29"/>
  <c r="AW154" i="29"/>
  <c r="AX154" i="29"/>
  <c r="AY154" i="29"/>
  <c r="AP155" i="29"/>
  <c r="AQ155" i="29"/>
  <c r="AR155" i="29"/>
  <c r="AS155" i="29"/>
  <c r="AT155" i="29"/>
  <c r="AU155" i="29"/>
  <c r="AV155" i="29"/>
  <c r="AW155" i="29"/>
  <c r="AX155" i="29"/>
  <c r="AY155" i="29"/>
  <c r="AP156" i="29"/>
  <c r="AQ156" i="29"/>
  <c r="AR156" i="29"/>
  <c r="AS156" i="29"/>
  <c r="AT156" i="29"/>
  <c r="AU156" i="29"/>
  <c r="AV156" i="29"/>
  <c r="AW156" i="29"/>
  <c r="AX156" i="29"/>
  <c r="AY156" i="29"/>
  <c r="AP157" i="29"/>
  <c r="AQ157" i="29"/>
  <c r="AR157" i="29"/>
  <c r="AS157" i="29"/>
  <c r="AT157" i="29"/>
  <c r="AU157" i="29"/>
  <c r="AV157" i="29"/>
  <c r="AW157" i="29"/>
  <c r="AX157" i="29"/>
  <c r="AY157" i="29"/>
  <c r="AP158" i="29"/>
  <c r="AQ158" i="29"/>
  <c r="AR158" i="29"/>
  <c r="AS158" i="29"/>
  <c r="AT158" i="29"/>
  <c r="AU158" i="29"/>
  <c r="AV158" i="29"/>
  <c r="AW158" i="29"/>
  <c r="AX158" i="29"/>
  <c r="AY158" i="29"/>
  <c r="AP159" i="29"/>
  <c r="AQ159" i="29"/>
  <c r="AR159" i="29"/>
  <c r="AS159" i="29"/>
  <c r="AT159" i="29"/>
  <c r="AU159" i="29"/>
  <c r="AV159" i="29"/>
  <c r="AW159" i="29"/>
  <c r="AX159" i="29"/>
  <c r="AY159" i="29"/>
  <c r="AP160" i="29"/>
  <c r="AQ160" i="29"/>
  <c r="AR160" i="29"/>
  <c r="AS160" i="29"/>
  <c r="AT160" i="29"/>
  <c r="AU160" i="29"/>
  <c r="AV160" i="29"/>
  <c r="AW160" i="29"/>
  <c r="AX160" i="29"/>
  <c r="AY160" i="29"/>
  <c r="AP161" i="29"/>
  <c r="AQ161" i="29"/>
  <c r="AR161" i="29"/>
  <c r="AS161" i="29"/>
  <c r="AT161" i="29"/>
  <c r="AU161" i="29"/>
  <c r="AV161" i="29"/>
  <c r="AW161" i="29"/>
  <c r="AX161" i="29"/>
  <c r="AY161" i="29"/>
  <c r="AP162" i="29"/>
  <c r="AQ162" i="29"/>
  <c r="AR162" i="29"/>
  <c r="AS162" i="29"/>
  <c r="AT162" i="29"/>
  <c r="AU162" i="29"/>
  <c r="AV162" i="29"/>
  <c r="AW162" i="29"/>
  <c r="AX162" i="29"/>
  <c r="AY162" i="29"/>
  <c r="AP163" i="29"/>
  <c r="AQ163" i="29"/>
  <c r="AR163" i="29"/>
  <c r="AS163" i="29"/>
  <c r="AT163" i="29"/>
  <c r="AU163" i="29"/>
  <c r="AV163" i="29"/>
  <c r="AW163" i="29"/>
  <c r="AX163" i="29"/>
  <c r="AY163" i="29"/>
  <c r="AP164" i="29"/>
  <c r="AQ164" i="29"/>
  <c r="AR164" i="29"/>
  <c r="AS164" i="29"/>
  <c r="AT164" i="29"/>
  <c r="AU164" i="29"/>
  <c r="AV164" i="29"/>
  <c r="AW164" i="29"/>
  <c r="AX164" i="29"/>
  <c r="AY164" i="29"/>
  <c r="AP165" i="29"/>
  <c r="AQ165" i="29"/>
  <c r="AR165" i="29"/>
  <c r="AS165" i="29"/>
  <c r="AT165" i="29"/>
  <c r="AU165" i="29"/>
  <c r="AV165" i="29"/>
  <c r="AW165" i="29"/>
  <c r="AX165" i="29"/>
  <c r="AY165" i="29"/>
  <c r="AP166" i="29"/>
  <c r="AQ166" i="29"/>
  <c r="AR166" i="29"/>
  <c r="AS166" i="29"/>
  <c r="AT166" i="29"/>
  <c r="AU166" i="29"/>
  <c r="AV166" i="29"/>
  <c r="AW166" i="29"/>
  <c r="AX166" i="29"/>
  <c r="AY166" i="29"/>
  <c r="AP167" i="29"/>
  <c r="AQ167" i="29"/>
  <c r="AR167" i="29"/>
  <c r="AS167" i="29"/>
  <c r="AT167" i="29"/>
  <c r="AU167" i="29"/>
  <c r="AV167" i="29"/>
  <c r="AW167" i="29"/>
  <c r="AX167" i="29"/>
  <c r="AY167" i="29"/>
  <c r="AP168" i="29"/>
  <c r="AQ168" i="29"/>
  <c r="AR168" i="29"/>
  <c r="AS168" i="29"/>
  <c r="AT168" i="29"/>
  <c r="AU168" i="29"/>
  <c r="AV168" i="29"/>
  <c r="AW168" i="29"/>
  <c r="AX168" i="29"/>
  <c r="AY168" i="29"/>
  <c r="AP169" i="29"/>
  <c r="AQ169" i="29"/>
  <c r="AR169" i="29"/>
  <c r="AS169" i="29"/>
  <c r="AT169" i="29"/>
  <c r="AU169" i="29"/>
  <c r="AV169" i="29"/>
  <c r="AW169" i="29"/>
  <c r="AX169" i="29"/>
  <c r="AY169" i="29"/>
  <c r="AP170" i="29"/>
  <c r="AQ170" i="29"/>
  <c r="AR170" i="29"/>
  <c r="AS170" i="29"/>
  <c r="AT170" i="29"/>
  <c r="AU170" i="29"/>
  <c r="AV170" i="29"/>
  <c r="AW170" i="29"/>
  <c r="AX170" i="29"/>
  <c r="AY170" i="29"/>
  <c r="AP171" i="29"/>
  <c r="AQ171" i="29"/>
  <c r="AR171" i="29"/>
  <c r="AS171" i="29"/>
  <c r="AT171" i="29"/>
  <c r="AU171" i="29"/>
  <c r="AV171" i="29"/>
  <c r="AW171" i="29"/>
  <c r="AX171" i="29"/>
  <c r="AY171" i="29"/>
  <c r="AP172" i="29"/>
  <c r="AQ172" i="29"/>
  <c r="AR172" i="29"/>
  <c r="AS172" i="29"/>
  <c r="AT172" i="29"/>
  <c r="AU172" i="29"/>
  <c r="AV172" i="29"/>
  <c r="AW172" i="29"/>
  <c r="AX172" i="29"/>
  <c r="AY172" i="29"/>
  <c r="AP173" i="29"/>
  <c r="AQ173" i="29"/>
  <c r="AR173" i="29"/>
  <c r="AS173" i="29"/>
  <c r="AT173" i="29"/>
  <c r="AU173" i="29"/>
  <c r="AV173" i="29"/>
  <c r="AW173" i="29"/>
  <c r="AX173" i="29"/>
  <c r="AY173" i="29"/>
  <c r="AP174" i="29"/>
  <c r="AQ174" i="29"/>
  <c r="AR174" i="29"/>
  <c r="AS174" i="29"/>
  <c r="AT174" i="29"/>
  <c r="AU174" i="29"/>
  <c r="AV174" i="29"/>
  <c r="AW174" i="29"/>
  <c r="AX174" i="29"/>
  <c r="AY174" i="29"/>
  <c r="AP175" i="29"/>
  <c r="AQ175" i="29"/>
  <c r="AR175" i="29"/>
  <c r="AS175" i="29"/>
  <c r="AT175" i="29"/>
  <c r="AU175" i="29"/>
  <c r="AV175" i="29"/>
  <c r="AW175" i="29"/>
  <c r="AX175" i="29"/>
  <c r="AY175" i="29"/>
  <c r="AP176" i="29"/>
  <c r="AQ176" i="29"/>
  <c r="AR176" i="29"/>
  <c r="AS176" i="29"/>
  <c r="AT176" i="29"/>
  <c r="AU176" i="29"/>
  <c r="AV176" i="29"/>
  <c r="AW176" i="29"/>
  <c r="AX176" i="29"/>
  <c r="AY176" i="29"/>
  <c r="AP177" i="29"/>
  <c r="AQ177" i="29"/>
  <c r="AR177" i="29"/>
  <c r="AS177" i="29"/>
  <c r="AT177" i="29"/>
  <c r="AU177" i="29"/>
  <c r="AV177" i="29"/>
  <c r="AW177" i="29"/>
  <c r="AX177" i="29"/>
  <c r="AY177" i="29"/>
  <c r="AP178" i="29"/>
  <c r="AQ178" i="29"/>
  <c r="AR178" i="29"/>
  <c r="AS178" i="29"/>
  <c r="AT178" i="29"/>
  <c r="AU178" i="29"/>
  <c r="AV178" i="29"/>
  <c r="AW178" i="29"/>
  <c r="AX178" i="29"/>
  <c r="AY178" i="29"/>
  <c r="AP179" i="29"/>
  <c r="AQ179" i="29"/>
  <c r="AR179" i="29"/>
  <c r="AS179" i="29"/>
  <c r="AT179" i="29"/>
  <c r="AU179" i="29"/>
  <c r="AV179" i="29"/>
  <c r="AW179" i="29"/>
  <c r="AX179" i="29"/>
  <c r="AY179" i="29"/>
  <c r="AP180" i="29"/>
  <c r="AQ180" i="29"/>
  <c r="AR180" i="29"/>
  <c r="AS180" i="29"/>
  <c r="AT180" i="29"/>
  <c r="AU180" i="29"/>
  <c r="AV180" i="29"/>
  <c r="AW180" i="29"/>
  <c r="AX180" i="29"/>
  <c r="AY180" i="29"/>
  <c r="AP181" i="29"/>
  <c r="AQ181" i="29"/>
  <c r="AR181" i="29"/>
  <c r="AS181" i="29"/>
  <c r="AT181" i="29"/>
  <c r="AU181" i="29"/>
  <c r="AV181" i="29"/>
  <c r="AW181" i="29"/>
  <c r="AX181" i="29"/>
  <c r="AY181" i="29"/>
  <c r="AP182" i="29"/>
  <c r="AQ182" i="29"/>
  <c r="AR182" i="29"/>
  <c r="AS182" i="29"/>
  <c r="AT182" i="29"/>
  <c r="AU182" i="29"/>
  <c r="AV182" i="29"/>
  <c r="AW182" i="29"/>
  <c r="AX182" i="29"/>
  <c r="AY182" i="29"/>
  <c r="AP183" i="29"/>
  <c r="AQ183" i="29"/>
  <c r="AR183" i="29"/>
  <c r="AS183" i="29"/>
  <c r="AT183" i="29"/>
  <c r="AU183" i="29"/>
  <c r="AV183" i="29"/>
  <c r="AW183" i="29"/>
  <c r="AX183" i="29"/>
  <c r="AY183" i="29"/>
  <c r="AP184" i="29"/>
  <c r="AQ184" i="29"/>
  <c r="AR184" i="29"/>
  <c r="AS184" i="29"/>
  <c r="AT184" i="29"/>
  <c r="AU184" i="29"/>
  <c r="AV184" i="29"/>
  <c r="AW184" i="29"/>
  <c r="AX184" i="29"/>
  <c r="AY184" i="29"/>
  <c r="AP185" i="29"/>
  <c r="AQ185" i="29"/>
  <c r="AR185" i="29"/>
  <c r="AS185" i="29"/>
  <c r="AT185" i="29"/>
  <c r="AU185" i="29"/>
  <c r="AV185" i="29"/>
  <c r="AW185" i="29"/>
  <c r="AX185" i="29"/>
  <c r="AY185" i="29"/>
  <c r="AP186" i="29"/>
  <c r="AQ186" i="29"/>
  <c r="AR186" i="29"/>
  <c r="AS186" i="29"/>
  <c r="AT186" i="29"/>
  <c r="AU186" i="29"/>
  <c r="AV186" i="29"/>
  <c r="AW186" i="29"/>
  <c r="AX186" i="29"/>
  <c r="AY186" i="29"/>
  <c r="AP187" i="29"/>
  <c r="AQ187" i="29"/>
  <c r="AR187" i="29"/>
  <c r="AS187" i="29"/>
  <c r="AT187" i="29"/>
  <c r="AU187" i="29"/>
  <c r="AV187" i="29"/>
  <c r="AW187" i="29"/>
  <c r="AX187" i="29"/>
  <c r="AY187" i="29"/>
  <c r="AP188" i="29"/>
  <c r="AQ188" i="29"/>
  <c r="AR188" i="29"/>
  <c r="AS188" i="29"/>
  <c r="AT188" i="29"/>
  <c r="AU188" i="29"/>
  <c r="AV188" i="29"/>
  <c r="AW188" i="29"/>
  <c r="AX188" i="29"/>
  <c r="AY188" i="29"/>
  <c r="AP189" i="29"/>
  <c r="AQ189" i="29"/>
  <c r="AR189" i="29"/>
  <c r="AS189" i="29"/>
  <c r="AT189" i="29"/>
  <c r="AU189" i="29"/>
  <c r="AV189" i="29"/>
  <c r="AW189" i="29"/>
  <c r="AX189" i="29"/>
  <c r="AY189" i="29"/>
  <c r="AP190" i="29"/>
  <c r="AQ190" i="29"/>
  <c r="AR190" i="29"/>
  <c r="AS190" i="29"/>
  <c r="AT190" i="29"/>
  <c r="AU190" i="29"/>
  <c r="AV190" i="29"/>
  <c r="AW190" i="29"/>
  <c r="AX190" i="29"/>
  <c r="AY190" i="29"/>
  <c r="AP191" i="29"/>
  <c r="AQ191" i="29"/>
  <c r="AR191" i="29"/>
  <c r="AS191" i="29"/>
  <c r="AT191" i="29"/>
  <c r="AU191" i="29"/>
  <c r="AV191" i="29"/>
  <c r="AW191" i="29"/>
  <c r="AX191" i="29"/>
  <c r="AY191" i="29"/>
  <c r="AP192" i="29"/>
  <c r="AQ192" i="29"/>
  <c r="AR192" i="29"/>
  <c r="AS192" i="29"/>
  <c r="AT192" i="29"/>
  <c r="AU192" i="29"/>
  <c r="AV192" i="29"/>
  <c r="AW192" i="29"/>
  <c r="AX192" i="29"/>
  <c r="AY192" i="29"/>
  <c r="AP193" i="29"/>
  <c r="AQ193" i="29"/>
  <c r="AR193" i="29"/>
  <c r="AS193" i="29"/>
  <c r="AT193" i="29"/>
  <c r="AU193" i="29"/>
  <c r="AV193" i="29"/>
  <c r="AW193" i="29"/>
  <c r="AX193" i="29"/>
  <c r="AY193" i="29"/>
  <c r="AP194" i="29"/>
  <c r="AQ194" i="29"/>
  <c r="AR194" i="29"/>
  <c r="AS194" i="29"/>
  <c r="AT194" i="29"/>
  <c r="AU194" i="29"/>
  <c r="AV194" i="29"/>
  <c r="AW194" i="29"/>
  <c r="AX194" i="29"/>
  <c r="AY194" i="29"/>
  <c r="AP195" i="29"/>
  <c r="AQ195" i="29"/>
  <c r="AR195" i="29"/>
  <c r="AS195" i="29"/>
  <c r="AT195" i="29"/>
  <c r="AU195" i="29"/>
  <c r="AV195" i="29"/>
  <c r="AW195" i="29"/>
  <c r="AX195" i="29"/>
  <c r="AY195" i="29"/>
  <c r="AP196" i="29"/>
  <c r="AQ196" i="29"/>
  <c r="AR196" i="29"/>
  <c r="AS196" i="29"/>
  <c r="AT196" i="29"/>
  <c r="AU196" i="29"/>
  <c r="AV196" i="29"/>
  <c r="AW196" i="29"/>
  <c r="AX196" i="29"/>
  <c r="AY196" i="29"/>
  <c r="AP197" i="29"/>
  <c r="AQ197" i="29"/>
  <c r="AR197" i="29"/>
  <c r="AS197" i="29"/>
  <c r="AT197" i="29"/>
  <c r="AU197" i="29"/>
  <c r="AV197" i="29"/>
  <c r="AW197" i="29"/>
  <c r="AX197" i="29"/>
  <c r="AY197" i="29"/>
  <c r="AP198" i="29"/>
  <c r="AQ198" i="29"/>
  <c r="AR198" i="29"/>
  <c r="AS198" i="29"/>
  <c r="AT198" i="29"/>
  <c r="AU198" i="29"/>
  <c r="AV198" i="29"/>
  <c r="AW198" i="29"/>
  <c r="AX198" i="29"/>
  <c r="AY198" i="29"/>
  <c r="AP199" i="29"/>
  <c r="AQ199" i="29"/>
  <c r="AR199" i="29"/>
  <c r="AS199" i="29"/>
  <c r="AT199" i="29"/>
  <c r="AU199" i="29"/>
  <c r="AV199" i="29"/>
  <c r="AW199" i="29"/>
  <c r="AX199" i="29"/>
  <c r="AY199" i="29"/>
  <c r="AP200" i="29"/>
  <c r="AQ200" i="29"/>
  <c r="AR200" i="29"/>
  <c r="AS200" i="29"/>
  <c r="AT200" i="29"/>
  <c r="AU200" i="29"/>
  <c r="AV200" i="29"/>
  <c r="AW200" i="29"/>
  <c r="AX200" i="29"/>
  <c r="AY200" i="29"/>
  <c r="AP201" i="29"/>
  <c r="AQ201" i="29"/>
  <c r="AR201" i="29"/>
  <c r="AS201" i="29"/>
  <c r="AT201" i="29"/>
  <c r="AU201" i="29"/>
  <c r="AV201" i="29"/>
  <c r="AW201" i="29"/>
  <c r="AX201" i="29"/>
  <c r="AY201" i="29"/>
  <c r="AP202" i="29"/>
  <c r="AQ202" i="29"/>
  <c r="AR202" i="29"/>
  <c r="AS202" i="29"/>
  <c r="AT202" i="29"/>
  <c r="AU202" i="29"/>
  <c r="AV202" i="29"/>
  <c r="AW202" i="29"/>
  <c r="AX202" i="29"/>
  <c r="AY202" i="29"/>
  <c r="AP203" i="29"/>
  <c r="AQ203" i="29"/>
  <c r="AR203" i="29"/>
  <c r="AS203" i="29"/>
  <c r="AT203" i="29"/>
  <c r="AU203" i="29"/>
  <c r="AV203" i="29"/>
  <c r="AW203" i="29"/>
  <c r="AX203" i="29"/>
  <c r="AY203" i="29"/>
  <c r="AP204" i="29"/>
  <c r="AQ204" i="29"/>
  <c r="AR204" i="29"/>
  <c r="AS204" i="29"/>
  <c r="AT204" i="29"/>
  <c r="AU204" i="29"/>
  <c r="AV204" i="29"/>
  <c r="AW204" i="29"/>
  <c r="AX204" i="29"/>
  <c r="AY204" i="29"/>
  <c r="AP205" i="29"/>
  <c r="AQ205" i="29"/>
  <c r="AR205" i="29"/>
  <c r="AS205" i="29"/>
  <c r="AT205" i="29"/>
  <c r="AU205" i="29"/>
  <c r="AV205" i="29"/>
  <c r="AW205" i="29"/>
  <c r="AX205" i="29"/>
  <c r="AY205" i="29"/>
  <c r="AP206" i="29"/>
  <c r="AQ206" i="29"/>
  <c r="AR206" i="29"/>
  <c r="AS206" i="29"/>
  <c r="AT206" i="29"/>
  <c r="AU206" i="29"/>
  <c r="AV206" i="29"/>
  <c r="AW206" i="29"/>
  <c r="AX206" i="29"/>
  <c r="AY206" i="29"/>
  <c r="AP207" i="29"/>
  <c r="AQ207" i="29"/>
  <c r="AR207" i="29"/>
  <c r="AS207" i="29"/>
  <c r="AT207" i="29"/>
  <c r="AU207" i="29"/>
  <c r="AV207" i="29"/>
  <c r="AW207" i="29"/>
  <c r="AX207" i="29"/>
  <c r="AY207" i="29"/>
  <c r="AP208" i="29"/>
  <c r="AQ208" i="29"/>
  <c r="AR208" i="29"/>
  <c r="AS208" i="29"/>
  <c r="AT208" i="29"/>
  <c r="AU208" i="29"/>
  <c r="AV208" i="29"/>
  <c r="AW208" i="29"/>
  <c r="AX208" i="29"/>
  <c r="AY208" i="29"/>
  <c r="AP209" i="29"/>
  <c r="AQ209" i="29"/>
  <c r="AR209" i="29"/>
  <c r="AS209" i="29"/>
  <c r="AT209" i="29"/>
  <c r="AU209" i="29"/>
  <c r="AV209" i="29"/>
  <c r="AW209" i="29"/>
  <c r="AX209" i="29"/>
  <c r="AY209" i="29"/>
  <c r="AP210" i="29"/>
  <c r="AQ210" i="29"/>
  <c r="AR210" i="29"/>
  <c r="AS210" i="29"/>
  <c r="AT210" i="29"/>
  <c r="AU210" i="29"/>
  <c r="AV210" i="29"/>
  <c r="AW210" i="29"/>
  <c r="AX210" i="29"/>
  <c r="AY210" i="29"/>
  <c r="AP211" i="29"/>
  <c r="AQ211" i="29"/>
  <c r="AR211" i="29"/>
  <c r="AS211" i="29"/>
  <c r="AT211" i="29"/>
  <c r="AU211" i="29"/>
  <c r="AV211" i="29"/>
  <c r="AW211" i="29"/>
  <c r="AX211" i="29"/>
  <c r="AY211" i="29"/>
  <c r="AP212" i="29"/>
  <c r="AQ212" i="29"/>
  <c r="AR212" i="29"/>
  <c r="AS212" i="29"/>
  <c r="AT212" i="29"/>
  <c r="AU212" i="29"/>
  <c r="AV212" i="29"/>
  <c r="AW212" i="29"/>
  <c r="AX212" i="29"/>
  <c r="AY212" i="29"/>
  <c r="AP213" i="29"/>
  <c r="AQ213" i="29"/>
  <c r="AR213" i="29"/>
  <c r="AS213" i="29"/>
  <c r="AT213" i="29"/>
  <c r="AU213" i="29"/>
  <c r="AV213" i="29"/>
  <c r="AW213" i="29"/>
  <c r="AX213" i="29"/>
  <c r="AY213" i="29"/>
  <c r="AP214" i="29"/>
  <c r="AQ214" i="29"/>
  <c r="AR214" i="29"/>
  <c r="AS214" i="29"/>
  <c r="AT214" i="29"/>
  <c r="AU214" i="29"/>
  <c r="AV214" i="29"/>
  <c r="AW214" i="29"/>
  <c r="AX214" i="29"/>
  <c r="AY214" i="29"/>
  <c r="AP215" i="29"/>
  <c r="AQ215" i="29"/>
  <c r="AR215" i="29"/>
  <c r="AS215" i="29"/>
  <c r="AT215" i="29"/>
  <c r="AU215" i="29"/>
  <c r="AV215" i="29"/>
  <c r="AW215" i="29"/>
  <c r="AX215" i="29"/>
  <c r="AY215" i="29"/>
  <c r="AP216" i="29"/>
  <c r="AQ216" i="29"/>
  <c r="AR216" i="29"/>
  <c r="AS216" i="29"/>
  <c r="AT216" i="29"/>
  <c r="AU216" i="29"/>
  <c r="AV216" i="29"/>
  <c r="AW216" i="29"/>
  <c r="AX216" i="29"/>
  <c r="AY216" i="29"/>
  <c r="AP217" i="29"/>
  <c r="AQ217" i="29"/>
  <c r="AR217" i="29"/>
  <c r="AS217" i="29"/>
  <c r="AT217" i="29"/>
  <c r="AU217" i="29"/>
  <c r="AV217" i="29"/>
  <c r="AW217" i="29"/>
  <c r="AX217" i="29"/>
  <c r="AY217" i="29"/>
  <c r="AP218" i="29"/>
  <c r="AQ218" i="29"/>
  <c r="AR218" i="29"/>
  <c r="AS218" i="29"/>
  <c r="AT218" i="29"/>
  <c r="AU218" i="29"/>
  <c r="AV218" i="29"/>
  <c r="AW218" i="29"/>
  <c r="AX218" i="29"/>
  <c r="AY218" i="29"/>
  <c r="AP219" i="29"/>
  <c r="AQ219" i="29"/>
  <c r="AR219" i="29"/>
  <c r="AS219" i="29"/>
  <c r="AT219" i="29"/>
  <c r="AU219" i="29"/>
  <c r="AV219" i="29"/>
  <c r="AW219" i="29"/>
  <c r="AX219" i="29"/>
  <c r="AY219" i="29"/>
  <c r="AP220" i="29"/>
  <c r="AQ220" i="29"/>
  <c r="AR220" i="29"/>
  <c r="AS220" i="29"/>
  <c r="AT220" i="29"/>
  <c r="AU220" i="29"/>
  <c r="AV220" i="29"/>
  <c r="AW220" i="29"/>
  <c r="AX220" i="29"/>
  <c r="AY220" i="29"/>
  <c r="AP221" i="29"/>
  <c r="AQ221" i="29"/>
  <c r="AR221" i="29"/>
  <c r="AS221" i="29"/>
  <c r="AT221" i="29"/>
  <c r="AU221" i="29"/>
  <c r="AV221" i="29"/>
  <c r="AW221" i="29"/>
  <c r="AX221" i="29"/>
  <c r="AY221" i="29"/>
  <c r="AP222" i="29"/>
  <c r="AQ222" i="29"/>
  <c r="AR222" i="29"/>
  <c r="AS222" i="29"/>
  <c r="AT222" i="29"/>
  <c r="AU222" i="29"/>
  <c r="AV222" i="29"/>
  <c r="AW222" i="29"/>
  <c r="AX222" i="29"/>
  <c r="AY222" i="29"/>
  <c r="AP223" i="29"/>
  <c r="AQ223" i="29"/>
  <c r="AR223" i="29"/>
  <c r="AS223" i="29"/>
  <c r="AT223" i="29"/>
  <c r="AU223" i="29"/>
  <c r="AV223" i="29"/>
  <c r="AW223" i="29"/>
  <c r="AX223" i="29"/>
  <c r="AY223" i="29"/>
  <c r="AP224" i="29"/>
  <c r="AQ224" i="29"/>
  <c r="AR224" i="29"/>
  <c r="AS224" i="29"/>
  <c r="AT224" i="29"/>
  <c r="AU224" i="29"/>
  <c r="AV224" i="29"/>
  <c r="AW224" i="29"/>
  <c r="AX224" i="29"/>
  <c r="AY224" i="29"/>
  <c r="AP225" i="29"/>
  <c r="AQ225" i="29"/>
  <c r="AR225" i="29"/>
  <c r="AS225" i="29"/>
  <c r="AT225" i="29"/>
  <c r="AU225" i="29"/>
  <c r="AV225" i="29"/>
  <c r="AW225" i="29"/>
  <c r="AX225" i="29"/>
  <c r="AY225" i="29"/>
  <c r="AP226" i="29"/>
  <c r="AQ226" i="29"/>
  <c r="AR226" i="29"/>
  <c r="AS226" i="29"/>
  <c r="AT226" i="29"/>
  <c r="AU226" i="29"/>
  <c r="AV226" i="29"/>
  <c r="AW226" i="29"/>
  <c r="AX226" i="29"/>
  <c r="AY226" i="29"/>
  <c r="AP227" i="29"/>
  <c r="AQ227" i="29"/>
  <c r="AR227" i="29"/>
  <c r="AS227" i="29"/>
  <c r="AT227" i="29"/>
  <c r="AU227" i="29"/>
  <c r="AV227" i="29"/>
  <c r="AW227" i="29"/>
  <c r="AX227" i="29"/>
  <c r="AY227" i="29"/>
  <c r="AP228" i="29"/>
  <c r="AQ228" i="29"/>
  <c r="AR228" i="29"/>
  <c r="AS228" i="29"/>
  <c r="AT228" i="29"/>
  <c r="AU228" i="29"/>
  <c r="AV228" i="29"/>
  <c r="AW228" i="29"/>
  <c r="AX228" i="29"/>
  <c r="AY228" i="29"/>
  <c r="AP229" i="29"/>
  <c r="AQ229" i="29"/>
  <c r="AR229" i="29"/>
  <c r="AS229" i="29"/>
  <c r="AT229" i="29"/>
  <c r="AU229" i="29"/>
  <c r="AV229" i="29"/>
  <c r="AW229" i="29"/>
  <c r="AX229" i="29"/>
  <c r="AY229" i="29"/>
  <c r="AP230" i="29"/>
  <c r="AQ230" i="29"/>
  <c r="AR230" i="29"/>
  <c r="AS230" i="29"/>
  <c r="AT230" i="29"/>
  <c r="AU230" i="29"/>
  <c r="AV230" i="29"/>
  <c r="AW230" i="29"/>
  <c r="AX230" i="29"/>
  <c r="AY230" i="29"/>
  <c r="AP231" i="29"/>
  <c r="AQ231" i="29"/>
  <c r="AR231" i="29"/>
  <c r="AS231" i="29"/>
  <c r="AT231" i="29"/>
  <c r="AU231" i="29"/>
  <c r="AV231" i="29"/>
  <c r="AW231" i="29"/>
  <c r="AX231" i="29"/>
  <c r="AY231" i="29"/>
  <c r="AP232" i="29"/>
  <c r="AQ232" i="29"/>
  <c r="AR232" i="29"/>
  <c r="AS232" i="29"/>
  <c r="AT232" i="29"/>
  <c r="AU232" i="29"/>
  <c r="AV232" i="29"/>
  <c r="AW232" i="29"/>
  <c r="AX232" i="29"/>
  <c r="AY232" i="29"/>
  <c r="AP233" i="29"/>
  <c r="AQ233" i="29"/>
  <c r="AR233" i="29"/>
  <c r="AS233" i="29"/>
  <c r="AT233" i="29"/>
  <c r="AU233" i="29"/>
  <c r="AV233" i="29"/>
  <c r="AW233" i="29"/>
  <c r="AX233" i="29"/>
  <c r="AY233" i="29"/>
  <c r="AP234" i="29"/>
  <c r="AQ234" i="29"/>
  <c r="AR234" i="29"/>
  <c r="AS234" i="29"/>
  <c r="AT234" i="29"/>
  <c r="AU234" i="29"/>
  <c r="AV234" i="29"/>
  <c r="AW234" i="29"/>
  <c r="AX234" i="29"/>
  <c r="AY234" i="29"/>
  <c r="AP235" i="29"/>
  <c r="AQ235" i="29"/>
  <c r="AR235" i="29"/>
  <c r="AS235" i="29"/>
  <c r="AT235" i="29"/>
  <c r="AU235" i="29"/>
  <c r="AV235" i="29"/>
  <c r="AW235" i="29"/>
  <c r="AX235" i="29"/>
  <c r="AY235" i="29"/>
  <c r="AP236" i="29"/>
  <c r="AQ236" i="29"/>
  <c r="AR236" i="29"/>
  <c r="AS236" i="29"/>
  <c r="AT236" i="29"/>
  <c r="AU236" i="29"/>
  <c r="AV236" i="29"/>
  <c r="AW236" i="29"/>
  <c r="AX236" i="29"/>
  <c r="AY236" i="29"/>
  <c r="AP237" i="29"/>
  <c r="AQ237" i="29"/>
  <c r="AR237" i="29"/>
  <c r="AS237" i="29"/>
  <c r="AT237" i="29"/>
  <c r="AU237" i="29"/>
  <c r="AV237" i="29"/>
  <c r="AW237" i="29"/>
  <c r="AX237" i="29"/>
  <c r="AY237" i="29"/>
  <c r="AP238" i="29"/>
  <c r="AQ238" i="29"/>
  <c r="AR238" i="29"/>
  <c r="AS238" i="29"/>
  <c r="AT238" i="29"/>
  <c r="AU238" i="29"/>
  <c r="AV238" i="29"/>
  <c r="AW238" i="29"/>
  <c r="AX238" i="29"/>
  <c r="AY238" i="29"/>
  <c r="AP239" i="29"/>
  <c r="AQ239" i="29"/>
  <c r="AR239" i="29"/>
  <c r="AS239" i="29"/>
  <c r="AT239" i="29"/>
  <c r="AU239" i="29"/>
  <c r="AV239" i="29"/>
  <c r="AW239" i="29"/>
  <c r="AX239" i="29"/>
  <c r="AY239" i="29"/>
  <c r="AP240" i="29"/>
  <c r="AQ240" i="29"/>
  <c r="AR240" i="29"/>
  <c r="AS240" i="29"/>
  <c r="AT240" i="29"/>
  <c r="AU240" i="29"/>
  <c r="AV240" i="29"/>
  <c r="AW240" i="29"/>
  <c r="AX240" i="29"/>
  <c r="AY240" i="29"/>
  <c r="AP241" i="29"/>
  <c r="AQ241" i="29"/>
  <c r="AR241" i="29"/>
  <c r="AS241" i="29"/>
  <c r="AT241" i="29"/>
  <c r="AU241" i="29"/>
  <c r="AV241" i="29"/>
  <c r="AW241" i="29"/>
  <c r="AX241" i="29"/>
  <c r="AY241" i="29"/>
  <c r="AP242" i="29"/>
  <c r="AQ242" i="29"/>
  <c r="AR242" i="29"/>
  <c r="AS242" i="29"/>
  <c r="AT242" i="29"/>
  <c r="AU242" i="29"/>
  <c r="AV242" i="29"/>
  <c r="AW242" i="29"/>
  <c r="AX242" i="29"/>
  <c r="AY242" i="29"/>
  <c r="AP243" i="29"/>
  <c r="AQ243" i="29"/>
  <c r="AR243" i="29"/>
  <c r="AS243" i="29"/>
  <c r="AT243" i="29"/>
  <c r="AU243" i="29"/>
  <c r="AV243" i="29"/>
  <c r="AW243" i="29"/>
  <c r="AX243" i="29"/>
  <c r="AY243" i="29"/>
  <c r="AP244" i="29"/>
  <c r="AQ244" i="29"/>
  <c r="AR244" i="29"/>
  <c r="AS244" i="29"/>
  <c r="AT244" i="29"/>
  <c r="AU244" i="29"/>
  <c r="AV244" i="29"/>
  <c r="AW244" i="29"/>
  <c r="AX244" i="29"/>
  <c r="AY244" i="29"/>
  <c r="AP245" i="29"/>
  <c r="AQ245" i="29"/>
  <c r="AR245" i="29"/>
  <c r="AS245" i="29"/>
  <c r="AT245" i="29"/>
  <c r="AU245" i="29"/>
  <c r="AV245" i="29"/>
  <c r="AW245" i="29"/>
  <c r="AX245" i="29"/>
  <c r="AY245" i="29"/>
  <c r="AP246" i="29"/>
  <c r="AQ246" i="29"/>
  <c r="AR246" i="29"/>
  <c r="AS246" i="29"/>
  <c r="AT246" i="29"/>
  <c r="AU246" i="29"/>
  <c r="AV246" i="29"/>
  <c r="AW246" i="29"/>
  <c r="AX246" i="29"/>
  <c r="AY246" i="29"/>
  <c r="AP247" i="29"/>
  <c r="AQ247" i="29"/>
  <c r="AR247" i="29"/>
  <c r="AS247" i="29"/>
  <c r="AT247" i="29"/>
  <c r="AU247" i="29"/>
  <c r="AV247" i="29"/>
  <c r="AW247" i="29"/>
  <c r="AX247" i="29"/>
  <c r="AY247" i="29"/>
  <c r="AP248" i="29"/>
  <c r="AQ248" i="29"/>
  <c r="AR248" i="29"/>
  <c r="AS248" i="29"/>
  <c r="AT248" i="29"/>
  <c r="AU248" i="29"/>
  <c r="AV248" i="29"/>
  <c r="AW248" i="29"/>
  <c r="AX248" i="29"/>
  <c r="AY248" i="29"/>
  <c r="AP249" i="29"/>
  <c r="AQ249" i="29"/>
  <c r="AR249" i="29"/>
  <c r="AS249" i="29"/>
  <c r="AT249" i="29"/>
  <c r="AU249" i="29"/>
  <c r="AV249" i="29"/>
  <c r="AW249" i="29"/>
  <c r="AX249" i="29"/>
  <c r="AY249" i="29"/>
  <c r="AP250" i="29"/>
  <c r="AQ250" i="29"/>
  <c r="AR250" i="29"/>
  <c r="AS250" i="29"/>
  <c r="AT250" i="29"/>
  <c r="AU250" i="29"/>
  <c r="AV250" i="29"/>
  <c r="AW250" i="29"/>
  <c r="AX250" i="29"/>
  <c r="AY250" i="29"/>
  <c r="AP251" i="29"/>
  <c r="AQ251" i="29"/>
  <c r="AR251" i="29"/>
  <c r="AS251" i="29"/>
  <c r="AT251" i="29"/>
  <c r="AU251" i="29"/>
  <c r="AV251" i="29"/>
  <c r="AW251" i="29"/>
  <c r="AX251" i="29"/>
  <c r="AY251" i="29"/>
  <c r="AP252" i="29"/>
  <c r="AQ252" i="29"/>
  <c r="AR252" i="29"/>
  <c r="AS252" i="29"/>
  <c r="AT252" i="29"/>
  <c r="AU252" i="29"/>
  <c r="AV252" i="29"/>
  <c r="AW252" i="29"/>
  <c r="AX252" i="29"/>
  <c r="AY252" i="29"/>
  <c r="AP253" i="29"/>
  <c r="AQ253" i="29"/>
  <c r="AR253" i="29"/>
  <c r="AS253" i="29"/>
  <c r="AT253" i="29"/>
  <c r="AU253" i="29"/>
  <c r="AV253" i="29"/>
  <c r="AW253" i="29"/>
  <c r="AX253" i="29"/>
  <c r="AY253" i="29"/>
  <c r="AP254" i="29"/>
  <c r="AQ254" i="29"/>
  <c r="AR254" i="29"/>
  <c r="AS254" i="29"/>
  <c r="AT254" i="29"/>
  <c r="AU254" i="29"/>
  <c r="AV254" i="29"/>
  <c r="AW254" i="29"/>
  <c r="AX254" i="29"/>
  <c r="AY254" i="29"/>
  <c r="AP255" i="29"/>
  <c r="AQ255" i="29"/>
  <c r="AR255" i="29"/>
  <c r="AS255" i="29"/>
  <c r="AT255" i="29"/>
  <c r="AU255" i="29"/>
  <c r="AV255" i="29"/>
  <c r="AW255" i="29"/>
  <c r="AX255" i="29"/>
  <c r="AY255" i="29"/>
  <c r="AP256" i="29"/>
  <c r="AQ256" i="29"/>
  <c r="AR256" i="29"/>
  <c r="AS256" i="29"/>
  <c r="AT256" i="29"/>
  <c r="AU256" i="29"/>
  <c r="AV256" i="29"/>
  <c r="AW256" i="29"/>
  <c r="AX256" i="29"/>
  <c r="AY256" i="29"/>
  <c r="AP257" i="29"/>
  <c r="AQ257" i="29"/>
  <c r="AR257" i="29"/>
  <c r="AS257" i="29"/>
  <c r="AT257" i="29"/>
  <c r="AU257" i="29"/>
  <c r="AV257" i="29"/>
  <c r="AW257" i="29"/>
  <c r="AX257" i="29"/>
  <c r="AY257" i="29"/>
  <c r="AP258" i="29"/>
  <c r="AQ258" i="29"/>
  <c r="AR258" i="29"/>
  <c r="AS258" i="29"/>
  <c r="AT258" i="29"/>
  <c r="AU258" i="29"/>
  <c r="AV258" i="29"/>
  <c r="AW258" i="29"/>
  <c r="AX258" i="29"/>
  <c r="AY258" i="29"/>
  <c r="AP259" i="29"/>
  <c r="AQ259" i="29"/>
  <c r="AR259" i="29"/>
  <c r="AS259" i="29"/>
  <c r="AT259" i="29"/>
  <c r="AU259" i="29"/>
  <c r="AV259" i="29"/>
  <c r="AW259" i="29"/>
  <c r="AX259" i="29"/>
  <c r="AY259" i="29"/>
  <c r="AP260" i="29"/>
  <c r="AQ260" i="29"/>
  <c r="AR260" i="29"/>
  <c r="AS260" i="29"/>
  <c r="AT260" i="29"/>
  <c r="AU260" i="29"/>
  <c r="AV260" i="29"/>
  <c r="AW260" i="29"/>
  <c r="AX260" i="29"/>
  <c r="AY260" i="29"/>
  <c r="AP261" i="29"/>
  <c r="AQ261" i="29"/>
  <c r="AR261" i="29"/>
  <c r="AS261" i="29"/>
  <c r="AT261" i="29"/>
  <c r="AU261" i="29"/>
  <c r="AV261" i="29"/>
  <c r="AW261" i="29"/>
  <c r="AX261" i="29"/>
  <c r="AY261" i="29"/>
  <c r="AP262" i="29"/>
  <c r="AQ262" i="29"/>
  <c r="AR262" i="29"/>
  <c r="AS262" i="29"/>
  <c r="AT262" i="29"/>
  <c r="AU262" i="29"/>
  <c r="AV262" i="29"/>
  <c r="AW262" i="29"/>
  <c r="AX262" i="29"/>
  <c r="AY262" i="29"/>
  <c r="AP263" i="29"/>
  <c r="AQ263" i="29"/>
  <c r="AR263" i="29"/>
  <c r="AS263" i="29"/>
  <c r="AT263" i="29"/>
  <c r="AU263" i="29"/>
  <c r="AV263" i="29"/>
  <c r="AW263" i="29"/>
  <c r="AX263" i="29"/>
  <c r="AY263" i="29"/>
  <c r="AP264" i="29"/>
  <c r="AQ264" i="29"/>
  <c r="AR264" i="29"/>
  <c r="AS264" i="29"/>
  <c r="AT264" i="29"/>
  <c r="AU264" i="29"/>
  <c r="AV264" i="29"/>
  <c r="AW264" i="29"/>
  <c r="AX264" i="29"/>
  <c r="AY264" i="29"/>
  <c r="AP265" i="29"/>
  <c r="AQ265" i="29"/>
  <c r="AR265" i="29"/>
  <c r="AS265" i="29"/>
  <c r="AT265" i="29"/>
  <c r="AU265" i="29"/>
  <c r="AV265" i="29"/>
  <c r="AW265" i="29"/>
  <c r="AX265" i="29"/>
  <c r="AY265" i="29"/>
  <c r="AP266" i="29"/>
  <c r="AQ266" i="29"/>
  <c r="AR266" i="29"/>
  <c r="AS266" i="29"/>
  <c r="AT266" i="29"/>
  <c r="AU266" i="29"/>
  <c r="AV266" i="29"/>
  <c r="AW266" i="29"/>
  <c r="AX266" i="29"/>
  <c r="AY266" i="29"/>
  <c r="AP267" i="29"/>
  <c r="AQ267" i="29"/>
  <c r="AR267" i="29"/>
  <c r="AS267" i="29"/>
  <c r="AT267" i="29"/>
  <c r="AU267" i="29"/>
  <c r="AV267" i="29"/>
  <c r="AW267" i="29"/>
  <c r="AX267" i="29"/>
  <c r="AY267" i="29"/>
  <c r="AP268" i="29"/>
  <c r="AQ268" i="29"/>
  <c r="AR268" i="29"/>
  <c r="AS268" i="29"/>
  <c r="AT268" i="29"/>
  <c r="AU268" i="29"/>
  <c r="AV268" i="29"/>
  <c r="AW268" i="29"/>
  <c r="AX268" i="29"/>
  <c r="AY268" i="29"/>
  <c r="AP269" i="29"/>
  <c r="AQ269" i="29"/>
  <c r="AR269" i="29"/>
  <c r="AS269" i="29"/>
  <c r="AT269" i="29"/>
  <c r="AU269" i="29"/>
  <c r="AV269" i="29"/>
  <c r="AW269" i="29"/>
  <c r="AX269" i="29"/>
  <c r="AY269" i="29"/>
  <c r="AP270" i="29"/>
  <c r="AQ270" i="29"/>
  <c r="AR270" i="29"/>
  <c r="AS270" i="29"/>
  <c r="AT270" i="29"/>
  <c r="AU270" i="29"/>
  <c r="AV270" i="29"/>
  <c r="AW270" i="29"/>
  <c r="AX270" i="29"/>
  <c r="AY270" i="29"/>
  <c r="AP271" i="29"/>
  <c r="AQ271" i="29"/>
  <c r="AR271" i="29"/>
  <c r="AS271" i="29"/>
  <c r="AT271" i="29"/>
  <c r="AU271" i="29"/>
  <c r="AV271" i="29"/>
  <c r="AW271" i="29"/>
  <c r="AX271" i="29"/>
  <c r="AY271" i="29"/>
  <c r="AP272" i="29"/>
  <c r="AQ272" i="29"/>
  <c r="AS272" i="29"/>
  <c r="AT272" i="29"/>
  <c r="AU272" i="29"/>
  <c r="AW272" i="29"/>
  <c r="AX272" i="29"/>
  <c r="AY272" i="29"/>
  <c r="AQ273" i="29"/>
  <c r="AR273" i="29"/>
  <c r="AS273" i="29"/>
  <c r="AU273" i="29"/>
  <c r="AV273" i="29"/>
  <c r="AW273" i="29"/>
  <c r="AX273" i="29"/>
  <c r="AY273" i="29"/>
  <c r="AP274" i="29"/>
  <c r="AQ274" i="29"/>
  <c r="AS274" i="29"/>
  <c r="AT274" i="29"/>
  <c r="AU274" i="29"/>
  <c r="AW274" i="29"/>
  <c r="AX274" i="29"/>
  <c r="AY274" i="29"/>
  <c r="AQ275" i="29"/>
  <c r="AR275" i="29"/>
  <c r="AS275" i="29"/>
  <c r="AU275" i="29"/>
  <c r="AV275" i="29"/>
  <c r="AW275" i="29"/>
  <c r="AX275" i="29"/>
  <c r="AY275" i="29"/>
  <c r="AP276" i="29"/>
  <c r="AQ276" i="29"/>
  <c r="AS276" i="29"/>
  <c r="AT276" i="29"/>
  <c r="AU276" i="29"/>
  <c r="AW276" i="29"/>
  <c r="AX276" i="29"/>
  <c r="AY276" i="29"/>
  <c r="AQ277" i="29"/>
  <c r="AR277" i="29"/>
  <c r="AS277" i="29"/>
  <c r="AU277" i="29"/>
  <c r="AV277" i="29"/>
  <c r="AW277" i="29"/>
  <c r="AX277" i="29"/>
  <c r="AY277" i="29"/>
  <c r="AP278" i="29"/>
  <c r="AQ278" i="29"/>
  <c r="AS278" i="29"/>
  <c r="AT278" i="29"/>
  <c r="AU278" i="29"/>
  <c r="AW278" i="29"/>
  <c r="AX278" i="29"/>
  <c r="AY278" i="29"/>
  <c r="AQ279" i="29"/>
  <c r="AR279" i="29"/>
  <c r="AS279" i="29"/>
  <c r="AU279" i="29"/>
  <c r="AV279" i="29"/>
  <c r="AW279" i="29"/>
  <c r="AX279" i="29"/>
  <c r="AY279" i="29"/>
  <c r="AP280" i="29"/>
  <c r="AQ280" i="29"/>
  <c r="AS280" i="29"/>
  <c r="AT280" i="29"/>
  <c r="AU280" i="29"/>
  <c r="AW280" i="29"/>
  <c r="AX280" i="29"/>
  <c r="AY280" i="29"/>
  <c r="AQ281" i="29"/>
  <c r="AR281" i="29"/>
  <c r="AS281" i="29"/>
  <c r="AU281" i="29"/>
  <c r="AV281" i="29"/>
  <c r="AW281" i="29"/>
  <c r="AX281" i="29"/>
  <c r="AY281" i="29"/>
  <c r="AP282" i="29"/>
  <c r="AQ282" i="29"/>
  <c r="AS282" i="29"/>
  <c r="AT282" i="29"/>
  <c r="AU282" i="29"/>
  <c r="AW282" i="29"/>
  <c r="AX282" i="29"/>
  <c r="AY282" i="29"/>
  <c r="AQ283" i="29"/>
  <c r="AR283" i="29"/>
  <c r="AS283" i="29"/>
  <c r="AU283" i="29"/>
  <c r="AV283" i="29"/>
  <c r="AW283" i="29"/>
  <c r="AX283" i="29"/>
  <c r="AY283" i="29"/>
  <c r="AP284" i="29"/>
  <c r="AQ284" i="29"/>
  <c r="AS284" i="29"/>
  <c r="AT284" i="29"/>
  <c r="AU284" i="29"/>
  <c r="AW284" i="29"/>
  <c r="AX284" i="29"/>
  <c r="AY284" i="29"/>
  <c r="AQ285" i="29"/>
  <c r="AR285" i="29"/>
  <c r="AS285" i="29"/>
  <c r="AU285" i="29"/>
  <c r="AV285" i="29"/>
  <c r="AW285" i="29"/>
  <c r="AX285" i="29"/>
  <c r="AY285" i="29"/>
  <c r="AP286" i="29"/>
  <c r="AQ286" i="29"/>
  <c r="AS286" i="29"/>
  <c r="AT286" i="29"/>
  <c r="AU286" i="29"/>
  <c r="AW286" i="29"/>
  <c r="AX286" i="29"/>
  <c r="AY286" i="29"/>
  <c r="AQ287" i="29"/>
  <c r="AR287" i="29"/>
  <c r="AS287" i="29"/>
  <c r="AU287" i="29"/>
  <c r="AV287" i="29"/>
  <c r="AW287" i="29"/>
  <c r="AX287" i="29"/>
  <c r="AY287" i="29"/>
  <c r="AP288" i="29"/>
  <c r="AQ288" i="29"/>
  <c r="AS288" i="29"/>
  <c r="AT288" i="29"/>
  <c r="AU288" i="29"/>
  <c r="AW288" i="29"/>
  <c r="AX288" i="29"/>
  <c r="AY288" i="29"/>
  <c r="AQ289" i="29"/>
  <c r="AR289" i="29"/>
  <c r="AS289" i="29"/>
  <c r="AU289" i="29"/>
  <c r="AV289" i="29"/>
  <c r="AW289" i="29"/>
  <c r="AX289" i="29"/>
  <c r="AY289" i="29"/>
  <c r="AP290" i="29"/>
  <c r="AQ290" i="29"/>
  <c r="AS290" i="29"/>
  <c r="AT290" i="29"/>
  <c r="AU290" i="29"/>
  <c r="AW290" i="29"/>
  <c r="AX290" i="29"/>
  <c r="AY290" i="29"/>
  <c r="AQ291" i="29"/>
  <c r="AR291" i="29"/>
  <c r="AS291" i="29"/>
  <c r="AU291" i="29"/>
  <c r="AV291" i="29"/>
  <c r="AW291" i="29"/>
  <c r="AX291" i="29"/>
  <c r="AY291" i="29"/>
  <c r="AP292" i="29"/>
  <c r="AQ292" i="29"/>
  <c r="AS292" i="29"/>
  <c r="AT292" i="29"/>
  <c r="AU292" i="29"/>
  <c r="AW292" i="29"/>
  <c r="AX292" i="29"/>
  <c r="AY292" i="29"/>
  <c r="AQ293" i="29"/>
  <c r="AR293" i="29"/>
  <c r="AS293" i="29"/>
  <c r="AU293" i="29"/>
  <c r="AV293" i="29"/>
  <c r="AW293" i="29"/>
  <c r="AX293" i="29"/>
  <c r="AY293" i="29"/>
  <c r="AP294" i="29"/>
  <c r="AQ294" i="29"/>
  <c r="AS294" i="29"/>
  <c r="AT294" i="29"/>
  <c r="AU294" i="29"/>
  <c r="AV294" i="29"/>
  <c r="AW294" i="29"/>
  <c r="AX294" i="29"/>
  <c r="AY294" i="29"/>
  <c r="AP295" i="29"/>
  <c r="AQ295" i="29"/>
  <c r="AR295" i="29"/>
  <c r="AS295" i="29"/>
  <c r="AT295" i="29"/>
  <c r="AU295" i="29"/>
  <c r="AV295" i="29"/>
  <c r="AW295" i="29"/>
  <c r="AX295" i="29"/>
  <c r="AY295" i="29"/>
  <c r="AP296" i="29"/>
  <c r="AQ296" i="29"/>
  <c r="AR296" i="29"/>
  <c r="AS296" i="29"/>
  <c r="AT296" i="29"/>
  <c r="AU296" i="29"/>
  <c r="AV296" i="29"/>
  <c r="AW296" i="29"/>
  <c r="AX296" i="29"/>
  <c r="AY296" i="29"/>
  <c r="AP297" i="29"/>
  <c r="AQ297" i="29"/>
  <c r="AR297" i="29"/>
  <c r="AS297" i="29"/>
  <c r="AT297" i="29"/>
  <c r="AU297" i="29"/>
  <c r="AV297" i="29"/>
  <c r="AW297" i="29"/>
  <c r="AX297" i="29"/>
  <c r="AY297" i="29"/>
  <c r="AP298" i="29"/>
  <c r="AQ298" i="29"/>
  <c r="AR298" i="29"/>
  <c r="AS298" i="29"/>
  <c r="AT298" i="29"/>
  <c r="AU298" i="29"/>
  <c r="AV298" i="29"/>
  <c r="AW298" i="29"/>
  <c r="AX298" i="29"/>
  <c r="AY298" i="29"/>
  <c r="AP299" i="29"/>
  <c r="AQ299" i="29"/>
  <c r="AR299" i="29"/>
  <c r="AS299" i="29"/>
  <c r="AT299" i="29"/>
  <c r="AU299" i="29"/>
  <c r="AV299" i="29"/>
  <c r="AW299" i="29"/>
  <c r="AX299" i="29"/>
  <c r="AY299" i="29"/>
  <c r="AP300" i="29"/>
  <c r="AQ300" i="29"/>
  <c r="AR300" i="29"/>
  <c r="AS300" i="29"/>
  <c r="AT300" i="29"/>
  <c r="AU300" i="29"/>
  <c r="AV300" i="29"/>
  <c r="AW300" i="29"/>
  <c r="AX300" i="29"/>
  <c r="AY300" i="29"/>
  <c r="AP301" i="29"/>
  <c r="AQ301" i="29"/>
  <c r="AR301" i="29"/>
  <c r="AS301" i="29"/>
  <c r="AT301" i="29"/>
  <c r="AU301" i="29"/>
  <c r="AV301" i="29"/>
  <c r="AW301" i="29"/>
  <c r="AX301" i="29"/>
  <c r="AY301" i="29"/>
  <c r="AP302" i="29"/>
  <c r="AQ302" i="29"/>
  <c r="AR302" i="29"/>
  <c r="AS302" i="29"/>
  <c r="AT302" i="29"/>
  <c r="AU302" i="29"/>
  <c r="AV302" i="29"/>
  <c r="AW302" i="29"/>
  <c r="AX302" i="29"/>
  <c r="AY302" i="29"/>
  <c r="AP303" i="29"/>
  <c r="AQ303" i="29"/>
  <c r="AR303" i="29"/>
  <c r="AS303" i="29"/>
  <c r="AT303" i="29"/>
  <c r="AU303" i="29"/>
  <c r="AV303" i="29"/>
  <c r="AW303" i="29"/>
  <c r="AX303" i="29"/>
  <c r="AY303" i="29"/>
  <c r="AP304" i="29"/>
  <c r="AQ304" i="29"/>
  <c r="AR304" i="29"/>
  <c r="AS304" i="29"/>
  <c r="AT304" i="29"/>
  <c r="AU304" i="29"/>
  <c r="AV304" i="29"/>
  <c r="AW304" i="29"/>
  <c r="AX304" i="29"/>
  <c r="AY304" i="29"/>
  <c r="AP305" i="29"/>
  <c r="AQ305" i="29"/>
  <c r="AR305" i="29"/>
  <c r="AS305" i="29"/>
  <c r="AT305" i="29"/>
  <c r="AU305" i="29"/>
  <c r="AV305" i="29"/>
  <c r="AW305" i="29"/>
  <c r="AX305" i="29"/>
  <c r="AY305" i="29"/>
  <c r="AP306" i="29"/>
  <c r="AQ306" i="29"/>
  <c r="AR306" i="29"/>
  <c r="AS306" i="29"/>
  <c r="AT306" i="29"/>
  <c r="AU306" i="29"/>
  <c r="AV306" i="29"/>
  <c r="AW306" i="29"/>
  <c r="AX306" i="29"/>
  <c r="AY306" i="29"/>
  <c r="AP307" i="29"/>
  <c r="AQ307" i="29"/>
  <c r="AR307" i="29"/>
  <c r="AS307" i="29"/>
  <c r="AT307" i="29"/>
  <c r="AU307" i="29"/>
  <c r="AV307" i="29"/>
  <c r="AW307" i="29"/>
  <c r="AX307" i="29"/>
  <c r="AY307" i="29"/>
  <c r="AP308" i="29"/>
  <c r="AQ308" i="29"/>
  <c r="AR308" i="29"/>
  <c r="AS308" i="29"/>
  <c r="AT308" i="29"/>
  <c r="AU308" i="29"/>
  <c r="AV308" i="29"/>
  <c r="AW308" i="29"/>
  <c r="AX308" i="29"/>
  <c r="AY308" i="29"/>
  <c r="AP309" i="29"/>
  <c r="AQ309" i="29"/>
  <c r="AR309" i="29"/>
  <c r="AS309" i="29"/>
  <c r="AT309" i="29"/>
  <c r="AU309" i="29"/>
  <c r="AV309" i="29"/>
  <c r="AW309" i="29"/>
  <c r="AX309" i="29"/>
  <c r="AY309" i="29"/>
  <c r="AP310" i="29"/>
  <c r="AQ310" i="29"/>
  <c r="AR310" i="29"/>
  <c r="AS310" i="29"/>
  <c r="AT310" i="29"/>
  <c r="AU310" i="29"/>
  <c r="AV310" i="29"/>
  <c r="AW310" i="29"/>
  <c r="AX310" i="29"/>
  <c r="AY310" i="29"/>
  <c r="AP311" i="29"/>
  <c r="AQ311" i="29"/>
  <c r="AR311" i="29"/>
  <c r="AS311" i="29"/>
  <c r="AT311" i="29"/>
  <c r="AU311" i="29"/>
  <c r="AV311" i="29"/>
  <c r="AW311" i="29"/>
  <c r="AX311" i="29"/>
  <c r="AY311" i="29"/>
  <c r="AP312" i="29"/>
  <c r="AQ312" i="29"/>
  <c r="AR312" i="29"/>
  <c r="AS312" i="29"/>
  <c r="AT312" i="29"/>
  <c r="AU312" i="29"/>
  <c r="AV312" i="29"/>
  <c r="AW312" i="29"/>
  <c r="AX312" i="29"/>
  <c r="AY312" i="29"/>
  <c r="AP313" i="29"/>
  <c r="AQ313" i="29"/>
  <c r="AR313" i="29"/>
  <c r="AS313" i="29"/>
  <c r="AT313" i="29"/>
  <c r="AU313" i="29"/>
  <c r="AV313" i="29"/>
  <c r="AW313" i="29"/>
  <c r="AX313" i="29"/>
  <c r="AY313" i="29"/>
  <c r="AP314" i="29"/>
  <c r="AQ314" i="29"/>
  <c r="AR314" i="29"/>
  <c r="AS314" i="29"/>
  <c r="AT314" i="29"/>
  <c r="AU314" i="29"/>
  <c r="AV314" i="29"/>
  <c r="AW314" i="29"/>
  <c r="AX314" i="29"/>
  <c r="AY314" i="29"/>
  <c r="AP315" i="29"/>
  <c r="AQ315" i="29"/>
  <c r="AR315" i="29"/>
  <c r="AS315" i="29"/>
  <c r="AT315" i="29"/>
  <c r="AU315" i="29"/>
  <c r="AV315" i="29"/>
  <c r="AW315" i="29"/>
  <c r="AX315" i="29"/>
  <c r="AY315" i="29"/>
  <c r="AP316" i="29"/>
  <c r="AQ316" i="29"/>
  <c r="AR316" i="29"/>
  <c r="AS316" i="29"/>
  <c r="AT316" i="29"/>
  <c r="AU316" i="29"/>
  <c r="AV316" i="29"/>
  <c r="AW316" i="29"/>
  <c r="AX316" i="29"/>
  <c r="AY316" i="29"/>
  <c r="AP317" i="29"/>
  <c r="AQ317" i="29"/>
  <c r="AR317" i="29"/>
  <c r="AS317" i="29"/>
  <c r="AT317" i="29"/>
  <c r="AU317" i="29"/>
  <c r="AV317" i="29"/>
  <c r="AW317" i="29"/>
  <c r="AX317" i="29"/>
  <c r="AY317" i="29"/>
  <c r="AP318" i="29"/>
  <c r="AQ318" i="29"/>
  <c r="AR318" i="29"/>
  <c r="AS318" i="29"/>
  <c r="AT318" i="29"/>
  <c r="AU318" i="29"/>
  <c r="AV318" i="29"/>
  <c r="AW318" i="29"/>
  <c r="AX318" i="29"/>
  <c r="AY318" i="29"/>
  <c r="AP319" i="29"/>
  <c r="AQ319" i="29"/>
  <c r="AR319" i="29"/>
  <c r="AS319" i="29"/>
  <c r="AT319" i="29"/>
  <c r="AU319" i="29"/>
  <c r="AV319" i="29"/>
  <c r="AW319" i="29"/>
  <c r="AX319" i="29"/>
  <c r="AY319" i="29"/>
  <c r="AP320" i="29"/>
  <c r="AQ320" i="29"/>
  <c r="AR320" i="29"/>
  <c r="AS320" i="29"/>
  <c r="AT320" i="29"/>
  <c r="AU320" i="29"/>
  <c r="AV320" i="29"/>
  <c r="AW320" i="29"/>
  <c r="AX320" i="29"/>
  <c r="AY320" i="29"/>
  <c r="AP321" i="29"/>
  <c r="AQ321" i="29"/>
  <c r="AR321" i="29"/>
  <c r="AS321" i="29"/>
  <c r="AT321" i="29"/>
  <c r="AU321" i="29"/>
  <c r="AV321" i="29"/>
  <c r="AW321" i="29"/>
  <c r="AX321" i="29"/>
  <c r="AY321" i="29"/>
  <c r="AP322" i="29"/>
  <c r="AQ322" i="29"/>
  <c r="AR322" i="29"/>
  <c r="AS322" i="29"/>
  <c r="AT322" i="29"/>
  <c r="AU322" i="29"/>
  <c r="AV322" i="29"/>
  <c r="AW322" i="29"/>
  <c r="AX322" i="29"/>
  <c r="AY322" i="29"/>
  <c r="AP323" i="29"/>
  <c r="AQ323" i="29"/>
  <c r="AR323" i="29"/>
  <c r="AS323" i="29"/>
  <c r="AT323" i="29"/>
  <c r="AU323" i="29"/>
  <c r="AV323" i="29"/>
  <c r="AW323" i="29"/>
  <c r="AX323" i="29"/>
  <c r="AY323" i="29"/>
  <c r="AP324" i="29"/>
  <c r="AQ324" i="29"/>
  <c r="AR324" i="29"/>
  <c r="AS324" i="29"/>
  <c r="AT324" i="29"/>
  <c r="AU324" i="29"/>
  <c r="AV324" i="29"/>
  <c r="AW324" i="29"/>
  <c r="AX324" i="29"/>
  <c r="AY324" i="29"/>
  <c r="AP325" i="29"/>
  <c r="AQ325" i="29"/>
  <c r="AR325" i="29"/>
  <c r="AS325" i="29"/>
  <c r="AT325" i="29"/>
  <c r="AU325" i="29"/>
  <c r="AV325" i="29"/>
  <c r="AW325" i="29"/>
  <c r="AX325" i="29"/>
  <c r="AY325" i="29"/>
  <c r="AP326" i="29"/>
  <c r="AQ326" i="29"/>
  <c r="AR326" i="29"/>
  <c r="AS326" i="29"/>
  <c r="AT326" i="29"/>
  <c r="AU326" i="29"/>
  <c r="AV326" i="29"/>
  <c r="AW326" i="29"/>
  <c r="AX326" i="29"/>
  <c r="AY326" i="29"/>
  <c r="AP327" i="29"/>
  <c r="AQ327" i="29"/>
  <c r="AR327" i="29"/>
  <c r="AS327" i="29"/>
  <c r="AT327" i="29"/>
  <c r="AU327" i="29"/>
  <c r="AV327" i="29"/>
  <c r="AW327" i="29"/>
  <c r="AX327" i="29"/>
  <c r="AY327" i="29"/>
  <c r="AP328" i="29"/>
  <c r="AQ328" i="29"/>
  <c r="AR328" i="29"/>
  <c r="AS328" i="29"/>
  <c r="AT328" i="29"/>
  <c r="AU328" i="29"/>
  <c r="AV328" i="29"/>
  <c r="AW328" i="29"/>
  <c r="AX328" i="29"/>
  <c r="AY328" i="29"/>
  <c r="AP329" i="29"/>
  <c r="AQ329" i="29"/>
  <c r="AR329" i="29"/>
  <c r="AS329" i="29"/>
  <c r="AT329" i="29"/>
  <c r="AU329" i="29"/>
  <c r="AV329" i="29"/>
  <c r="AW329" i="29"/>
  <c r="AX329" i="29"/>
  <c r="AY329" i="29"/>
  <c r="AP330" i="29"/>
  <c r="AQ330" i="29"/>
  <c r="AR330" i="29"/>
  <c r="AS330" i="29"/>
  <c r="AT330" i="29"/>
  <c r="AU330" i="29"/>
  <c r="AV330" i="29"/>
  <c r="AW330" i="29"/>
  <c r="AX330" i="29"/>
  <c r="AY330" i="29"/>
  <c r="AP331" i="29"/>
  <c r="AQ331" i="29"/>
  <c r="AR331" i="29"/>
  <c r="AS331" i="29"/>
  <c r="AT331" i="29"/>
  <c r="AU331" i="29"/>
  <c r="AV331" i="29"/>
  <c r="AW331" i="29"/>
  <c r="AX331" i="29"/>
  <c r="AY331" i="29"/>
  <c r="AP332" i="29"/>
  <c r="AQ332" i="29"/>
  <c r="AR332" i="29"/>
  <c r="AS332" i="29"/>
  <c r="AT332" i="29"/>
  <c r="AU332" i="29"/>
  <c r="AV332" i="29"/>
  <c r="AW332" i="29"/>
  <c r="AX332" i="29"/>
  <c r="AY332" i="29"/>
  <c r="AP333" i="29"/>
  <c r="AQ333" i="29"/>
  <c r="AR333" i="29"/>
  <c r="AS333" i="29"/>
  <c r="AT333" i="29"/>
  <c r="AU333" i="29"/>
  <c r="AV333" i="29"/>
  <c r="AW333" i="29"/>
  <c r="AX333" i="29"/>
  <c r="AY333" i="29"/>
  <c r="AP334" i="29"/>
  <c r="AQ334" i="29"/>
  <c r="AR334" i="29"/>
  <c r="AS334" i="29"/>
  <c r="AT334" i="29"/>
  <c r="AU334" i="29"/>
  <c r="AV334" i="29"/>
  <c r="AW334" i="29"/>
  <c r="AX334" i="29"/>
  <c r="AY334" i="29"/>
  <c r="AP335" i="29"/>
  <c r="AQ335" i="29"/>
  <c r="AR335" i="29"/>
  <c r="AS335" i="29"/>
  <c r="AT335" i="29"/>
  <c r="AU335" i="29"/>
  <c r="AV335" i="29"/>
  <c r="AW335" i="29"/>
  <c r="AX335" i="29"/>
  <c r="AY335" i="29"/>
  <c r="AP336" i="29"/>
  <c r="AQ336" i="29"/>
  <c r="AR336" i="29"/>
  <c r="AS336" i="29"/>
  <c r="AT336" i="29"/>
  <c r="AU336" i="29"/>
  <c r="AV336" i="29"/>
  <c r="AW336" i="29"/>
  <c r="AX336" i="29"/>
  <c r="AY336" i="29"/>
  <c r="AP337" i="29"/>
  <c r="AQ337" i="29"/>
  <c r="AR337" i="29"/>
  <c r="AS337" i="29"/>
  <c r="AT337" i="29"/>
  <c r="AU337" i="29"/>
  <c r="AV337" i="29"/>
  <c r="AW337" i="29"/>
  <c r="AX337" i="29"/>
  <c r="AY337" i="29"/>
  <c r="AP338" i="29"/>
  <c r="AQ338" i="29"/>
  <c r="AR338" i="29"/>
  <c r="AS338" i="29"/>
  <c r="AT338" i="29"/>
  <c r="AU338" i="29"/>
  <c r="AV338" i="29"/>
  <c r="AW338" i="29"/>
  <c r="AX338" i="29"/>
  <c r="AY338" i="29"/>
  <c r="AP339" i="29"/>
  <c r="AQ339" i="29"/>
  <c r="AR339" i="29"/>
  <c r="AS339" i="29"/>
  <c r="AT339" i="29"/>
  <c r="AU339" i="29"/>
  <c r="AV339" i="29"/>
  <c r="AW339" i="29"/>
  <c r="AX339" i="29"/>
  <c r="AY339" i="29"/>
  <c r="AP340" i="29"/>
  <c r="AQ340" i="29"/>
  <c r="AR340" i="29"/>
  <c r="AS340" i="29"/>
  <c r="AT340" i="29"/>
  <c r="AU340" i="29"/>
  <c r="AV340" i="29"/>
  <c r="AW340" i="29"/>
  <c r="AX340" i="29"/>
  <c r="AY340" i="29"/>
  <c r="AP341" i="29"/>
  <c r="AQ341" i="29"/>
  <c r="AR341" i="29"/>
  <c r="AS341" i="29"/>
  <c r="AT341" i="29"/>
  <c r="AU341" i="29"/>
  <c r="AV341" i="29"/>
  <c r="AW341" i="29"/>
  <c r="AX341" i="29"/>
  <c r="AY341" i="29"/>
  <c r="AP342" i="29"/>
  <c r="AQ342" i="29"/>
  <c r="AR342" i="29"/>
  <c r="AS342" i="29"/>
  <c r="AT342" i="29"/>
  <c r="AU342" i="29"/>
  <c r="AV342" i="29"/>
  <c r="AW342" i="29"/>
  <c r="AX342" i="29"/>
  <c r="AY342" i="29"/>
  <c r="AP343" i="29"/>
  <c r="AQ343" i="29"/>
  <c r="AR343" i="29"/>
  <c r="AS343" i="29"/>
  <c r="AT343" i="29"/>
  <c r="AU343" i="29"/>
  <c r="AV343" i="29"/>
  <c r="AW343" i="29"/>
  <c r="AX343" i="29"/>
  <c r="AY343" i="29"/>
  <c r="AP344" i="29"/>
  <c r="AQ344" i="29"/>
  <c r="AR344" i="29"/>
  <c r="AS344" i="29"/>
  <c r="AT344" i="29"/>
  <c r="AU344" i="29"/>
  <c r="AV344" i="29"/>
  <c r="AW344" i="29"/>
  <c r="AX344" i="29"/>
  <c r="AY344" i="29"/>
  <c r="AP345" i="29"/>
  <c r="AQ345" i="29"/>
  <c r="AR345" i="29"/>
  <c r="AS345" i="29"/>
  <c r="AT345" i="29"/>
  <c r="AU345" i="29"/>
  <c r="AV345" i="29"/>
  <c r="AW345" i="29"/>
  <c r="AX345" i="29"/>
  <c r="AY345" i="29"/>
  <c r="AP346" i="29"/>
  <c r="AQ346" i="29"/>
  <c r="AR346" i="29"/>
  <c r="AS346" i="29"/>
  <c r="AT346" i="29"/>
  <c r="AU346" i="29"/>
  <c r="AV346" i="29"/>
  <c r="AW346" i="29"/>
  <c r="AX346" i="29"/>
  <c r="AY346" i="29"/>
  <c r="AP347" i="29"/>
  <c r="AQ347" i="29"/>
  <c r="AR347" i="29"/>
  <c r="AS347" i="29"/>
  <c r="AT347" i="29"/>
  <c r="AU347" i="29"/>
  <c r="AV347" i="29"/>
  <c r="AW347" i="29"/>
  <c r="AX347" i="29"/>
  <c r="AY347" i="29"/>
  <c r="AP348" i="29"/>
  <c r="AQ348" i="29"/>
  <c r="AR348" i="29"/>
  <c r="AS348" i="29"/>
  <c r="AT348" i="29"/>
  <c r="AU348" i="29"/>
  <c r="AV348" i="29"/>
  <c r="AW348" i="29"/>
  <c r="AX348" i="29"/>
  <c r="AY348" i="29"/>
  <c r="AP349" i="29"/>
  <c r="AQ349" i="29"/>
  <c r="AR349" i="29"/>
  <c r="AS349" i="29"/>
  <c r="AT349" i="29"/>
  <c r="AU349" i="29"/>
  <c r="AV349" i="29"/>
  <c r="AW349" i="29"/>
  <c r="AX349" i="29"/>
  <c r="AY349" i="29"/>
  <c r="AP350" i="29"/>
  <c r="AQ350" i="29"/>
  <c r="AR350" i="29"/>
  <c r="AS350" i="29"/>
  <c r="AT350" i="29"/>
  <c r="AU350" i="29"/>
  <c r="AV350" i="29"/>
  <c r="AW350" i="29"/>
  <c r="AX350" i="29"/>
  <c r="AY350" i="29"/>
  <c r="AP351" i="29"/>
  <c r="AQ351" i="29"/>
  <c r="AR351" i="29"/>
  <c r="AS351" i="29"/>
  <c r="AT351" i="29"/>
  <c r="AU351" i="29"/>
  <c r="AV351" i="29"/>
  <c r="AW351" i="29"/>
  <c r="AX351" i="29"/>
  <c r="AY351" i="29"/>
  <c r="AP352" i="29"/>
  <c r="AQ352" i="29"/>
  <c r="AR352" i="29"/>
  <c r="AS352" i="29"/>
  <c r="AT352" i="29"/>
  <c r="AU352" i="29"/>
  <c r="AV352" i="29"/>
  <c r="AW352" i="29"/>
  <c r="AX352" i="29"/>
  <c r="AY352" i="29"/>
  <c r="AP353" i="29"/>
  <c r="AQ353" i="29"/>
  <c r="AR353" i="29"/>
  <c r="AS353" i="29"/>
  <c r="AT353" i="29"/>
  <c r="AU353" i="29"/>
  <c r="AV353" i="29"/>
  <c r="AW353" i="29"/>
  <c r="AX353" i="29"/>
  <c r="AY353" i="29"/>
  <c r="AP354" i="29"/>
  <c r="AQ354" i="29"/>
  <c r="AR354" i="29"/>
  <c r="AS354" i="29"/>
  <c r="AT354" i="29"/>
  <c r="AU354" i="29"/>
  <c r="AV354" i="29"/>
  <c r="AW354" i="29"/>
  <c r="AX354" i="29"/>
  <c r="AY354" i="29"/>
  <c r="AP355" i="29"/>
  <c r="AQ355" i="29"/>
  <c r="AR355" i="29"/>
  <c r="AS355" i="29"/>
  <c r="AT355" i="29"/>
  <c r="AU355" i="29"/>
  <c r="AV355" i="29"/>
  <c r="AW355" i="29"/>
  <c r="AX355" i="29"/>
  <c r="AY355" i="29"/>
  <c r="AP356" i="29"/>
  <c r="AQ356" i="29"/>
  <c r="AR356" i="29"/>
  <c r="AS356" i="29"/>
  <c r="AT356" i="29"/>
  <c r="AU356" i="29"/>
  <c r="AV356" i="29"/>
  <c r="AW356" i="29"/>
  <c r="AX356" i="29"/>
  <c r="AY356" i="29"/>
  <c r="AP357" i="29"/>
  <c r="AQ357" i="29"/>
  <c r="AR357" i="29"/>
  <c r="AS357" i="29"/>
  <c r="AT357" i="29"/>
  <c r="AU357" i="29"/>
  <c r="AV357" i="29"/>
  <c r="AW357" i="29"/>
  <c r="AX357" i="29"/>
  <c r="AY357" i="29"/>
  <c r="AP358" i="29"/>
  <c r="AQ358" i="29"/>
  <c r="AR358" i="29"/>
  <c r="AS358" i="29"/>
  <c r="AT358" i="29"/>
  <c r="AU358" i="29"/>
  <c r="AV358" i="29"/>
  <c r="AW358" i="29"/>
  <c r="AX358" i="29"/>
  <c r="AY358" i="29"/>
  <c r="AP359" i="29"/>
  <c r="AQ359" i="29"/>
  <c r="AR359" i="29"/>
  <c r="AS359" i="29"/>
  <c r="AT359" i="29"/>
  <c r="AU359" i="29"/>
  <c r="AV359" i="29"/>
  <c r="AW359" i="29"/>
  <c r="AX359" i="29"/>
  <c r="AY359" i="29"/>
  <c r="AP360" i="29"/>
  <c r="AQ360" i="29"/>
  <c r="AR360" i="29"/>
  <c r="AS360" i="29"/>
  <c r="AT360" i="29"/>
  <c r="AU360" i="29"/>
  <c r="AV360" i="29"/>
  <c r="AW360" i="29"/>
  <c r="AX360" i="29"/>
  <c r="AY360" i="29"/>
  <c r="AP361" i="29"/>
  <c r="AQ361" i="29"/>
  <c r="AR361" i="29"/>
  <c r="AS361" i="29"/>
  <c r="AT361" i="29"/>
  <c r="AU361" i="29"/>
  <c r="AV361" i="29"/>
  <c r="AW361" i="29"/>
  <c r="AX361" i="29"/>
  <c r="AY361" i="29"/>
  <c r="AP362" i="29"/>
  <c r="AQ362" i="29"/>
  <c r="AR362" i="29"/>
  <c r="AS362" i="29"/>
  <c r="AT362" i="29"/>
  <c r="AU362" i="29"/>
  <c r="AV362" i="29"/>
  <c r="AW362" i="29"/>
  <c r="AX362" i="29"/>
  <c r="AY362" i="29"/>
  <c r="AP363" i="29"/>
  <c r="AQ363" i="29"/>
  <c r="AR363" i="29"/>
  <c r="AS363" i="29"/>
  <c r="AT363" i="29"/>
  <c r="AU363" i="29"/>
  <c r="AV363" i="29"/>
  <c r="AW363" i="29"/>
  <c r="AX363" i="29"/>
  <c r="AY363" i="29"/>
  <c r="AP364" i="29"/>
  <c r="AQ364" i="29"/>
  <c r="AR364" i="29"/>
  <c r="AS364" i="29"/>
  <c r="AT364" i="29"/>
  <c r="AU364" i="29"/>
  <c r="AV364" i="29"/>
  <c r="AW364" i="29"/>
  <c r="AX364" i="29"/>
  <c r="AY364" i="29"/>
  <c r="AP365" i="29"/>
  <c r="AQ365" i="29"/>
  <c r="AR365" i="29"/>
  <c r="AS365" i="29"/>
  <c r="AT365" i="29"/>
  <c r="AU365" i="29"/>
  <c r="AV365" i="29"/>
  <c r="AW365" i="29"/>
  <c r="AX365" i="29"/>
  <c r="AY365" i="29"/>
  <c r="AP366" i="29"/>
  <c r="AQ366" i="29"/>
  <c r="AR366" i="29"/>
  <c r="AS366" i="29"/>
  <c r="AT366" i="29"/>
  <c r="AU366" i="29"/>
  <c r="AV366" i="29"/>
  <c r="AW366" i="29"/>
  <c r="AX366" i="29"/>
  <c r="AY366" i="29"/>
  <c r="AP367" i="29"/>
  <c r="AQ367" i="29"/>
  <c r="AR367" i="29"/>
  <c r="AS367" i="29"/>
  <c r="AT367" i="29"/>
  <c r="AU367" i="29"/>
  <c r="AV367" i="29"/>
  <c r="AW367" i="29"/>
  <c r="AX367" i="29"/>
  <c r="AY367" i="29"/>
  <c r="AP368" i="29"/>
  <c r="AQ368" i="29"/>
  <c r="AR368" i="29"/>
  <c r="AS368" i="29"/>
  <c r="AT368" i="29"/>
  <c r="AU368" i="29"/>
  <c r="AV368" i="29"/>
  <c r="AW368" i="29"/>
  <c r="AX368" i="29"/>
  <c r="AY368" i="29"/>
  <c r="AQ3" i="29"/>
  <c r="AR3" i="29"/>
  <c r="AS3" i="29"/>
  <c r="AU3" i="29"/>
  <c r="AV3" i="29"/>
  <c r="AW3" i="29"/>
  <c r="AY3" i="29"/>
  <c r="AP3" i="29"/>
  <c r="CW368" i="29" l="1"/>
  <c r="CV368" i="29"/>
  <c r="CU368" i="29"/>
  <c r="CT368" i="29"/>
  <c r="CS368" i="29"/>
  <c r="CR368" i="29"/>
  <c r="CQ368" i="29"/>
  <c r="CP368" i="29"/>
  <c r="CO368" i="29"/>
  <c r="CN368" i="29"/>
  <c r="CW367" i="29"/>
  <c r="CV367" i="29"/>
  <c r="CU367" i="29"/>
  <c r="CT367" i="29"/>
  <c r="CS367" i="29"/>
  <c r="CR367" i="29"/>
  <c r="CQ367" i="29"/>
  <c r="CP367" i="29"/>
  <c r="CO367" i="29"/>
  <c r="CN367" i="29"/>
  <c r="CW366" i="29"/>
  <c r="CV366" i="29"/>
  <c r="CU366" i="29"/>
  <c r="CT366" i="29"/>
  <c r="CS366" i="29"/>
  <c r="CR366" i="29"/>
  <c r="CQ366" i="29"/>
  <c r="CP366" i="29"/>
  <c r="CO366" i="29"/>
  <c r="CN366" i="29"/>
  <c r="CW365" i="29"/>
  <c r="CV365" i="29"/>
  <c r="CU365" i="29"/>
  <c r="CT365" i="29"/>
  <c r="CS365" i="29"/>
  <c r="CR365" i="29"/>
  <c r="CQ365" i="29"/>
  <c r="CP365" i="29"/>
  <c r="CO365" i="29"/>
  <c r="CN365" i="29"/>
  <c r="CW364" i="29"/>
  <c r="CV364" i="29"/>
  <c r="CU364" i="29"/>
  <c r="CT364" i="29"/>
  <c r="CS364" i="29"/>
  <c r="CR364" i="29"/>
  <c r="CQ364" i="29"/>
  <c r="CP364" i="29"/>
  <c r="CO364" i="29"/>
  <c r="CN364" i="29"/>
  <c r="CW363" i="29"/>
  <c r="CV363" i="29"/>
  <c r="CU363" i="29"/>
  <c r="CT363" i="29"/>
  <c r="CS363" i="29"/>
  <c r="CR363" i="29"/>
  <c r="CQ363" i="29"/>
  <c r="CP363" i="29"/>
  <c r="CO363" i="29"/>
  <c r="CN363" i="29"/>
  <c r="CW362" i="29"/>
  <c r="CV362" i="29"/>
  <c r="CU362" i="29"/>
  <c r="CT362" i="29"/>
  <c r="CS362" i="29"/>
  <c r="CR362" i="29"/>
  <c r="CQ362" i="29"/>
  <c r="CP362" i="29"/>
  <c r="CO362" i="29"/>
  <c r="CN362" i="29"/>
  <c r="CW361" i="29"/>
  <c r="CV361" i="29"/>
  <c r="CU361" i="29"/>
  <c r="CT361" i="29"/>
  <c r="CS361" i="29"/>
  <c r="CR361" i="29"/>
  <c r="CQ361" i="29"/>
  <c r="CP361" i="29"/>
  <c r="CO361" i="29"/>
  <c r="CN361" i="29"/>
  <c r="CW360" i="29"/>
  <c r="CV360" i="29"/>
  <c r="CU360" i="29"/>
  <c r="CT360" i="29"/>
  <c r="CS360" i="29"/>
  <c r="CR360" i="29"/>
  <c r="CQ360" i="29"/>
  <c r="CP360" i="29"/>
  <c r="CO360" i="29"/>
  <c r="CN360" i="29"/>
  <c r="CW359" i="29"/>
  <c r="CV359" i="29"/>
  <c r="CU359" i="29"/>
  <c r="CT359" i="29"/>
  <c r="CS359" i="29"/>
  <c r="CR359" i="29"/>
  <c r="CQ359" i="29"/>
  <c r="CP359" i="29"/>
  <c r="CO359" i="29"/>
  <c r="CN359" i="29"/>
  <c r="CW358" i="29"/>
  <c r="CV358" i="29"/>
  <c r="CU358" i="29"/>
  <c r="CT358" i="29"/>
  <c r="CS358" i="29"/>
  <c r="CR358" i="29"/>
  <c r="CQ358" i="29"/>
  <c r="CP358" i="29"/>
  <c r="CO358" i="29"/>
  <c r="CN358" i="29"/>
  <c r="CW357" i="29"/>
  <c r="CV357" i="29"/>
  <c r="CU357" i="29"/>
  <c r="CT357" i="29"/>
  <c r="CS357" i="29"/>
  <c r="CR357" i="29"/>
  <c r="CQ357" i="29"/>
  <c r="CP357" i="29"/>
  <c r="CO357" i="29"/>
  <c r="CN357" i="29"/>
  <c r="CW356" i="29"/>
  <c r="CV356" i="29"/>
  <c r="CU356" i="29"/>
  <c r="CT356" i="29"/>
  <c r="CS356" i="29"/>
  <c r="CR356" i="29"/>
  <c r="CQ356" i="29"/>
  <c r="CP356" i="29"/>
  <c r="CO356" i="29"/>
  <c r="CN356" i="29"/>
  <c r="CW355" i="29"/>
  <c r="CV355" i="29"/>
  <c r="CU355" i="29"/>
  <c r="CT355" i="29"/>
  <c r="CS355" i="29"/>
  <c r="CR355" i="29"/>
  <c r="CQ355" i="29"/>
  <c r="CP355" i="29"/>
  <c r="CO355" i="29"/>
  <c r="CN355" i="29"/>
  <c r="CW354" i="29"/>
  <c r="CV354" i="29"/>
  <c r="CU354" i="29"/>
  <c r="CT354" i="29"/>
  <c r="CS354" i="29"/>
  <c r="CR354" i="29"/>
  <c r="CQ354" i="29"/>
  <c r="CP354" i="29"/>
  <c r="CO354" i="29"/>
  <c r="CN354" i="29"/>
  <c r="CW353" i="29"/>
  <c r="CV353" i="29"/>
  <c r="CU353" i="29"/>
  <c r="CT353" i="29"/>
  <c r="CS353" i="29"/>
  <c r="CR353" i="29"/>
  <c r="CQ353" i="29"/>
  <c r="CP353" i="29"/>
  <c r="CO353" i="29"/>
  <c r="CN353" i="29"/>
  <c r="CW352" i="29"/>
  <c r="CV352" i="29"/>
  <c r="CU352" i="29"/>
  <c r="CT352" i="29"/>
  <c r="CS352" i="29"/>
  <c r="CR352" i="29"/>
  <c r="CQ352" i="29"/>
  <c r="CP352" i="29"/>
  <c r="CO352" i="29"/>
  <c r="CN352" i="29"/>
  <c r="CW351" i="29"/>
  <c r="CV351" i="29"/>
  <c r="CU351" i="29"/>
  <c r="CT351" i="29"/>
  <c r="CS351" i="29"/>
  <c r="CR351" i="29"/>
  <c r="CQ351" i="29"/>
  <c r="CP351" i="29"/>
  <c r="CO351" i="29"/>
  <c r="CN351" i="29"/>
  <c r="CW350" i="29"/>
  <c r="CV350" i="29"/>
  <c r="CU350" i="29"/>
  <c r="CT350" i="29"/>
  <c r="CS350" i="29"/>
  <c r="CR350" i="29"/>
  <c r="CQ350" i="29"/>
  <c r="CP350" i="29"/>
  <c r="CO350" i="29"/>
  <c r="CN350" i="29"/>
  <c r="CW349" i="29"/>
  <c r="CV349" i="29"/>
  <c r="CU349" i="29"/>
  <c r="CT349" i="29"/>
  <c r="CS349" i="29"/>
  <c r="CR349" i="29"/>
  <c r="CQ349" i="29"/>
  <c r="CP349" i="29"/>
  <c r="CO349" i="29"/>
  <c r="CN349" i="29"/>
  <c r="CW348" i="29"/>
  <c r="CV348" i="29"/>
  <c r="CU348" i="29"/>
  <c r="CT348" i="29"/>
  <c r="CS348" i="29"/>
  <c r="CR348" i="29"/>
  <c r="CQ348" i="29"/>
  <c r="CP348" i="29"/>
  <c r="CO348" i="29"/>
  <c r="CN348" i="29"/>
  <c r="CW347" i="29"/>
  <c r="CV347" i="29"/>
  <c r="CU347" i="29"/>
  <c r="CT347" i="29"/>
  <c r="CS347" i="29"/>
  <c r="CR347" i="29"/>
  <c r="CQ347" i="29"/>
  <c r="CP347" i="29"/>
  <c r="CO347" i="29"/>
  <c r="CN347" i="29"/>
  <c r="CW346" i="29"/>
  <c r="CV346" i="29"/>
  <c r="CU346" i="29"/>
  <c r="CT346" i="29"/>
  <c r="CS346" i="29"/>
  <c r="CR346" i="29"/>
  <c r="CQ346" i="29"/>
  <c r="CP346" i="29"/>
  <c r="CO346" i="29"/>
  <c r="CN346" i="29"/>
  <c r="CW345" i="29"/>
  <c r="CV345" i="29"/>
  <c r="CU345" i="29"/>
  <c r="CT345" i="29"/>
  <c r="CS345" i="29"/>
  <c r="CR345" i="29"/>
  <c r="CQ345" i="29"/>
  <c r="CP345" i="29"/>
  <c r="CO345" i="29"/>
  <c r="CN345" i="29"/>
  <c r="CW344" i="29"/>
  <c r="CV344" i="29"/>
  <c r="CU344" i="29"/>
  <c r="CT344" i="29"/>
  <c r="CS344" i="29"/>
  <c r="CR344" i="29"/>
  <c r="CQ344" i="29"/>
  <c r="CP344" i="29"/>
  <c r="CO344" i="29"/>
  <c r="CN344" i="29"/>
  <c r="CW343" i="29"/>
  <c r="CV343" i="29"/>
  <c r="CU343" i="29"/>
  <c r="CT343" i="29"/>
  <c r="CS343" i="29"/>
  <c r="CR343" i="29"/>
  <c r="CQ343" i="29"/>
  <c r="CP343" i="29"/>
  <c r="CO343" i="29"/>
  <c r="CN343" i="29"/>
  <c r="CW342" i="29"/>
  <c r="CV342" i="29"/>
  <c r="CU342" i="29"/>
  <c r="CT342" i="29"/>
  <c r="CS342" i="29"/>
  <c r="CR342" i="29"/>
  <c r="CQ342" i="29"/>
  <c r="CP342" i="29"/>
  <c r="CO342" i="29"/>
  <c r="CN342" i="29"/>
  <c r="CW341" i="29"/>
  <c r="CV341" i="29"/>
  <c r="CU341" i="29"/>
  <c r="CT341" i="29"/>
  <c r="CS341" i="29"/>
  <c r="CR341" i="29"/>
  <c r="CQ341" i="29"/>
  <c r="CP341" i="29"/>
  <c r="CO341" i="29"/>
  <c r="CN341" i="29"/>
  <c r="CW340" i="29"/>
  <c r="CV340" i="29"/>
  <c r="CU340" i="29"/>
  <c r="CT340" i="29"/>
  <c r="CS340" i="29"/>
  <c r="CR340" i="29"/>
  <c r="CQ340" i="29"/>
  <c r="CP340" i="29"/>
  <c r="CO340" i="29"/>
  <c r="CN340" i="29"/>
  <c r="CW339" i="29"/>
  <c r="CV339" i="29"/>
  <c r="CU339" i="29"/>
  <c r="CT339" i="29"/>
  <c r="CS339" i="29"/>
  <c r="CR339" i="29"/>
  <c r="CQ339" i="29"/>
  <c r="CP339" i="29"/>
  <c r="CO339" i="29"/>
  <c r="CN339" i="29"/>
  <c r="CW338" i="29"/>
  <c r="CV338" i="29"/>
  <c r="CU338" i="29"/>
  <c r="CT338" i="29"/>
  <c r="CS338" i="29"/>
  <c r="CR338" i="29"/>
  <c r="CQ338" i="29"/>
  <c r="CP338" i="29"/>
  <c r="CO338" i="29"/>
  <c r="CN338" i="29"/>
  <c r="BI368" i="29"/>
  <c r="BH368" i="29"/>
  <c r="BG368" i="29"/>
  <c r="BF368" i="29"/>
  <c r="BE368" i="29"/>
  <c r="BD368" i="29"/>
  <c r="BC368" i="29"/>
  <c r="BB368" i="29"/>
  <c r="BA368" i="29"/>
  <c r="AZ368" i="29"/>
  <c r="BI367" i="29"/>
  <c r="BH367" i="29"/>
  <c r="BG367" i="29"/>
  <c r="BF367" i="29"/>
  <c r="BE367" i="29"/>
  <c r="BD367" i="29"/>
  <c r="BC367" i="29"/>
  <c r="BB367" i="29"/>
  <c r="BA367" i="29"/>
  <c r="AZ367" i="29"/>
  <c r="BI366" i="29"/>
  <c r="BH366" i="29"/>
  <c r="BG366" i="29"/>
  <c r="BF366" i="29"/>
  <c r="BE366" i="29"/>
  <c r="BD366" i="29"/>
  <c r="BC366" i="29"/>
  <c r="BB366" i="29"/>
  <c r="BA366" i="29"/>
  <c r="AZ366" i="29"/>
  <c r="BI365" i="29"/>
  <c r="BH365" i="29"/>
  <c r="BG365" i="29"/>
  <c r="BF365" i="29"/>
  <c r="BE365" i="29"/>
  <c r="BD365" i="29"/>
  <c r="BC365" i="29"/>
  <c r="BB365" i="29"/>
  <c r="BA365" i="29"/>
  <c r="AZ365" i="29"/>
  <c r="BI364" i="29"/>
  <c r="BH364" i="29"/>
  <c r="BG364" i="29"/>
  <c r="BF364" i="29"/>
  <c r="BE364" i="29"/>
  <c r="BD364" i="29"/>
  <c r="BC364" i="29"/>
  <c r="BB364" i="29"/>
  <c r="BA364" i="29"/>
  <c r="AZ364" i="29"/>
  <c r="BI363" i="29"/>
  <c r="BH363" i="29"/>
  <c r="BG363" i="29"/>
  <c r="BF363" i="29"/>
  <c r="BE363" i="29"/>
  <c r="BD363" i="29"/>
  <c r="BC363" i="29"/>
  <c r="BB363" i="29"/>
  <c r="BA363" i="29"/>
  <c r="AZ363" i="29"/>
  <c r="BI362" i="29"/>
  <c r="BH362" i="29"/>
  <c r="BG362" i="29"/>
  <c r="BF362" i="29"/>
  <c r="BE362" i="29"/>
  <c r="BD362" i="29"/>
  <c r="BC362" i="29"/>
  <c r="BB362" i="29"/>
  <c r="BA362" i="29"/>
  <c r="AZ362" i="29"/>
  <c r="BI361" i="29"/>
  <c r="BH361" i="29"/>
  <c r="BG361" i="29"/>
  <c r="BF361" i="29"/>
  <c r="BE361" i="29"/>
  <c r="BD361" i="29"/>
  <c r="BC361" i="29"/>
  <c r="BB361" i="29"/>
  <c r="BA361" i="29"/>
  <c r="AZ361" i="29"/>
  <c r="BI360" i="29"/>
  <c r="BH360" i="29"/>
  <c r="BG360" i="29"/>
  <c r="BF360" i="29"/>
  <c r="BE360" i="29"/>
  <c r="BD360" i="29"/>
  <c r="BC360" i="29"/>
  <c r="BB360" i="29"/>
  <c r="BA360" i="29"/>
  <c r="AZ360" i="29"/>
  <c r="BI359" i="29"/>
  <c r="BH359" i="29"/>
  <c r="BG359" i="29"/>
  <c r="BF359" i="29"/>
  <c r="BE359" i="29"/>
  <c r="BD359" i="29"/>
  <c r="BC359" i="29"/>
  <c r="BB359" i="29"/>
  <c r="BA359" i="29"/>
  <c r="AZ359" i="29"/>
  <c r="BI358" i="29"/>
  <c r="BH358" i="29"/>
  <c r="BG358" i="29"/>
  <c r="BF358" i="29"/>
  <c r="BE358" i="29"/>
  <c r="BD358" i="29"/>
  <c r="BC358" i="29"/>
  <c r="BB358" i="29"/>
  <c r="BA358" i="29"/>
  <c r="AZ358" i="29"/>
  <c r="BI357" i="29"/>
  <c r="BH357" i="29"/>
  <c r="BG357" i="29"/>
  <c r="BF357" i="29"/>
  <c r="BE357" i="29"/>
  <c r="BD357" i="29"/>
  <c r="BC357" i="29"/>
  <c r="BB357" i="29"/>
  <c r="BA357" i="29"/>
  <c r="AZ357" i="29"/>
  <c r="BI356" i="29"/>
  <c r="BH356" i="29"/>
  <c r="BG356" i="29"/>
  <c r="BF356" i="29"/>
  <c r="BE356" i="29"/>
  <c r="BD356" i="29"/>
  <c r="BC356" i="29"/>
  <c r="BB356" i="29"/>
  <c r="BA356" i="29"/>
  <c r="AZ356" i="29"/>
  <c r="BI355" i="29"/>
  <c r="BH355" i="29"/>
  <c r="BG355" i="29"/>
  <c r="BF355" i="29"/>
  <c r="BE355" i="29"/>
  <c r="BD355" i="29"/>
  <c r="BC355" i="29"/>
  <c r="BB355" i="29"/>
  <c r="BA355" i="29"/>
  <c r="AZ355" i="29"/>
  <c r="BI354" i="29"/>
  <c r="BH354" i="29"/>
  <c r="BG354" i="29"/>
  <c r="BF354" i="29"/>
  <c r="BE354" i="29"/>
  <c r="BD354" i="29"/>
  <c r="BC354" i="29"/>
  <c r="BB354" i="29"/>
  <c r="BA354" i="29"/>
  <c r="AZ354" i="29"/>
  <c r="BI353" i="29"/>
  <c r="BH353" i="29"/>
  <c r="BG353" i="29"/>
  <c r="BF353" i="29"/>
  <c r="BE353" i="29"/>
  <c r="BD353" i="29"/>
  <c r="BC353" i="29"/>
  <c r="BB353" i="29"/>
  <c r="BA353" i="29"/>
  <c r="AZ353" i="29"/>
  <c r="BI352" i="29"/>
  <c r="BH352" i="29"/>
  <c r="BG352" i="29"/>
  <c r="BF352" i="29"/>
  <c r="BE352" i="29"/>
  <c r="BD352" i="29"/>
  <c r="BC352" i="29"/>
  <c r="BB352" i="29"/>
  <c r="BA352" i="29"/>
  <c r="AZ352" i="29"/>
  <c r="BI351" i="29"/>
  <c r="BH351" i="29"/>
  <c r="BG351" i="29"/>
  <c r="BF351" i="29"/>
  <c r="BE351" i="29"/>
  <c r="BD351" i="29"/>
  <c r="BC351" i="29"/>
  <c r="BB351" i="29"/>
  <c r="BA351" i="29"/>
  <c r="AZ351" i="29"/>
  <c r="BI350" i="29"/>
  <c r="BH350" i="29"/>
  <c r="BG350" i="29"/>
  <c r="BF350" i="29"/>
  <c r="BE350" i="29"/>
  <c r="BD350" i="29"/>
  <c r="BC350" i="29"/>
  <c r="BB350" i="29"/>
  <c r="BA350" i="29"/>
  <c r="AZ350" i="29"/>
  <c r="BI349" i="29"/>
  <c r="BH349" i="29"/>
  <c r="BG349" i="29"/>
  <c r="BF349" i="29"/>
  <c r="BE349" i="29"/>
  <c r="BD349" i="29"/>
  <c r="BC349" i="29"/>
  <c r="BB349" i="29"/>
  <c r="BA349" i="29"/>
  <c r="AZ349" i="29"/>
  <c r="BI348" i="29"/>
  <c r="BH348" i="29"/>
  <c r="BG348" i="29"/>
  <c r="BF348" i="29"/>
  <c r="BE348" i="29"/>
  <c r="BD348" i="29"/>
  <c r="BC348" i="29"/>
  <c r="BB348" i="29"/>
  <c r="BA348" i="29"/>
  <c r="AZ348" i="29"/>
  <c r="BI347" i="29"/>
  <c r="BH347" i="29"/>
  <c r="BG347" i="29"/>
  <c r="BF347" i="29"/>
  <c r="BE347" i="29"/>
  <c r="BD347" i="29"/>
  <c r="BC347" i="29"/>
  <c r="BB347" i="29"/>
  <c r="BA347" i="29"/>
  <c r="AZ347" i="29"/>
  <c r="BI346" i="29"/>
  <c r="BH346" i="29"/>
  <c r="BG346" i="29"/>
  <c r="BF346" i="29"/>
  <c r="BE346" i="29"/>
  <c r="BD346" i="29"/>
  <c r="BC346" i="29"/>
  <c r="BB346" i="29"/>
  <c r="BA346" i="29"/>
  <c r="AZ346" i="29"/>
  <c r="BI345" i="29"/>
  <c r="BH345" i="29"/>
  <c r="BG345" i="29"/>
  <c r="BF345" i="29"/>
  <c r="BE345" i="29"/>
  <c r="BD345" i="29"/>
  <c r="BC345" i="29"/>
  <c r="BB345" i="29"/>
  <c r="BA345" i="29"/>
  <c r="AZ345" i="29"/>
  <c r="BI344" i="29"/>
  <c r="BH344" i="29"/>
  <c r="BG344" i="29"/>
  <c r="BF344" i="29"/>
  <c r="BE344" i="29"/>
  <c r="BD344" i="29"/>
  <c r="BC344" i="29"/>
  <c r="BB344" i="29"/>
  <c r="BA344" i="29"/>
  <c r="AZ344" i="29"/>
  <c r="BI343" i="29"/>
  <c r="BH343" i="29"/>
  <c r="BG343" i="29"/>
  <c r="BF343" i="29"/>
  <c r="BE343" i="29"/>
  <c r="BD343" i="29"/>
  <c r="BC343" i="29"/>
  <c r="BB343" i="29"/>
  <c r="BA343" i="29"/>
  <c r="AZ343" i="29"/>
  <c r="BI342" i="29"/>
  <c r="BH342" i="29"/>
  <c r="BG342" i="29"/>
  <c r="BF342" i="29"/>
  <c r="BE342" i="29"/>
  <c r="BD342" i="29"/>
  <c r="BC342" i="29"/>
  <c r="BB342" i="29"/>
  <c r="BA342" i="29"/>
  <c r="AZ342" i="29"/>
  <c r="BI341" i="29"/>
  <c r="BH341" i="29"/>
  <c r="BG341" i="29"/>
  <c r="BF341" i="29"/>
  <c r="BE341" i="29"/>
  <c r="BD341" i="29"/>
  <c r="BC341" i="29"/>
  <c r="BB341" i="29"/>
  <c r="BA341" i="29"/>
  <c r="AZ341" i="29"/>
  <c r="BI340" i="29"/>
  <c r="BH340" i="29"/>
  <c r="BG340" i="29"/>
  <c r="BF340" i="29"/>
  <c r="BE340" i="29"/>
  <c r="BD340" i="29"/>
  <c r="BC340" i="29"/>
  <c r="BB340" i="29"/>
  <c r="BA340" i="29"/>
  <c r="AZ340" i="29"/>
  <c r="BI339" i="29"/>
  <c r="BH339" i="29"/>
  <c r="BG339" i="29"/>
  <c r="BF339" i="29"/>
  <c r="BE339" i="29"/>
  <c r="BD339" i="29"/>
  <c r="BC339" i="29"/>
  <c r="BB339" i="29"/>
  <c r="BA339" i="29"/>
  <c r="AZ339" i="29"/>
  <c r="BI338" i="29"/>
  <c r="BH338" i="29"/>
  <c r="BG338" i="29"/>
  <c r="BF338" i="29"/>
  <c r="BE338" i="29"/>
  <c r="BD338" i="29"/>
  <c r="BC338" i="29"/>
  <c r="BB338" i="29"/>
  <c r="BA338" i="29"/>
  <c r="AZ338" i="29"/>
  <c r="U368" i="29"/>
  <c r="T368" i="29"/>
  <c r="S368" i="29"/>
  <c r="R368" i="29"/>
  <c r="Q368" i="29"/>
  <c r="P368" i="29"/>
  <c r="O368" i="29"/>
  <c r="N368" i="29"/>
  <c r="M368" i="29"/>
  <c r="L368" i="29"/>
  <c r="U367" i="29"/>
  <c r="T367" i="29"/>
  <c r="S367" i="29"/>
  <c r="R367" i="29"/>
  <c r="Q367" i="29"/>
  <c r="P367" i="29"/>
  <c r="O367" i="29"/>
  <c r="N367" i="29"/>
  <c r="M367" i="29"/>
  <c r="L367" i="29"/>
  <c r="U366" i="29"/>
  <c r="T366" i="29"/>
  <c r="S366" i="29"/>
  <c r="R366" i="29"/>
  <c r="Q366" i="29"/>
  <c r="P366" i="29"/>
  <c r="O366" i="29"/>
  <c r="N366" i="29"/>
  <c r="M366" i="29"/>
  <c r="L366" i="29"/>
  <c r="U365" i="29"/>
  <c r="T365" i="29"/>
  <c r="S365" i="29"/>
  <c r="R365" i="29"/>
  <c r="Q365" i="29"/>
  <c r="P365" i="29"/>
  <c r="O365" i="29"/>
  <c r="N365" i="29"/>
  <c r="M365" i="29"/>
  <c r="L365" i="29"/>
  <c r="U364" i="29"/>
  <c r="T364" i="29"/>
  <c r="S364" i="29"/>
  <c r="R364" i="29"/>
  <c r="Q364" i="29"/>
  <c r="P364" i="29"/>
  <c r="O364" i="29"/>
  <c r="N364" i="29"/>
  <c r="M364" i="29"/>
  <c r="L364" i="29"/>
  <c r="U363" i="29"/>
  <c r="T363" i="29"/>
  <c r="S363" i="29"/>
  <c r="R363" i="29"/>
  <c r="Q363" i="29"/>
  <c r="P363" i="29"/>
  <c r="O363" i="29"/>
  <c r="N363" i="29"/>
  <c r="M363" i="29"/>
  <c r="L363" i="29"/>
  <c r="U362" i="29"/>
  <c r="T362" i="29"/>
  <c r="S362" i="29"/>
  <c r="R362" i="29"/>
  <c r="Q362" i="29"/>
  <c r="P362" i="29"/>
  <c r="O362" i="29"/>
  <c r="N362" i="29"/>
  <c r="M362" i="29"/>
  <c r="L362" i="29"/>
  <c r="U361" i="29"/>
  <c r="T361" i="29"/>
  <c r="S361" i="29"/>
  <c r="R361" i="29"/>
  <c r="Q361" i="29"/>
  <c r="P361" i="29"/>
  <c r="O361" i="29"/>
  <c r="N361" i="29"/>
  <c r="M361" i="29"/>
  <c r="L361" i="29"/>
  <c r="U360" i="29"/>
  <c r="T360" i="29"/>
  <c r="S360" i="29"/>
  <c r="R360" i="29"/>
  <c r="Q360" i="29"/>
  <c r="P360" i="29"/>
  <c r="O360" i="29"/>
  <c r="N360" i="29"/>
  <c r="M360" i="29"/>
  <c r="L360" i="29"/>
  <c r="U359" i="29"/>
  <c r="T359" i="29"/>
  <c r="S359" i="29"/>
  <c r="R359" i="29"/>
  <c r="Q359" i="29"/>
  <c r="P359" i="29"/>
  <c r="O359" i="29"/>
  <c r="N359" i="29"/>
  <c r="M359" i="29"/>
  <c r="L359" i="29"/>
  <c r="U358" i="29"/>
  <c r="T358" i="29"/>
  <c r="S358" i="29"/>
  <c r="R358" i="29"/>
  <c r="Q358" i="29"/>
  <c r="P358" i="29"/>
  <c r="O358" i="29"/>
  <c r="N358" i="29"/>
  <c r="M358" i="29"/>
  <c r="L358" i="29"/>
  <c r="U357" i="29"/>
  <c r="T357" i="29"/>
  <c r="S357" i="29"/>
  <c r="R357" i="29"/>
  <c r="Q357" i="29"/>
  <c r="P357" i="29"/>
  <c r="O357" i="29"/>
  <c r="N357" i="29"/>
  <c r="M357" i="29"/>
  <c r="L357" i="29"/>
  <c r="U356" i="29"/>
  <c r="T356" i="29"/>
  <c r="S356" i="29"/>
  <c r="R356" i="29"/>
  <c r="Q356" i="29"/>
  <c r="P356" i="29"/>
  <c r="O356" i="29"/>
  <c r="N356" i="29"/>
  <c r="M356" i="29"/>
  <c r="L356" i="29"/>
  <c r="U355" i="29"/>
  <c r="T355" i="29"/>
  <c r="S355" i="29"/>
  <c r="R355" i="29"/>
  <c r="Q355" i="29"/>
  <c r="P355" i="29"/>
  <c r="O355" i="29"/>
  <c r="N355" i="29"/>
  <c r="M355" i="29"/>
  <c r="L355" i="29"/>
  <c r="U354" i="29"/>
  <c r="T354" i="29"/>
  <c r="S354" i="29"/>
  <c r="R354" i="29"/>
  <c r="Q354" i="29"/>
  <c r="P354" i="29"/>
  <c r="O354" i="29"/>
  <c r="N354" i="29"/>
  <c r="M354" i="29"/>
  <c r="L354" i="29"/>
  <c r="U353" i="29"/>
  <c r="T353" i="29"/>
  <c r="S353" i="29"/>
  <c r="R353" i="29"/>
  <c r="Q353" i="29"/>
  <c r="P353" i="29"/>
  <c r="O353" i="29"/>
  <c r="N353" i="29"/>
  <c r="M353" i="29"/>
  <c r="L353" i="29"/>
  <c r="U352" i="29"/>
  <c r="T352" i="29"/>
  <c r="S352" i="29"/>
  <c r="R352" i="29"/>
  <c r="Q352" i="29"/>
  <c r="P352" i="29"/>
  <c r="O352" i="29"/>
  <c r="N352" i="29"/>
  <c r="M352" i="29"/>
  <c r="L352" i="29"/>
  <c r="U351" i="29"/>
  <c r="T351" i="29"/>
  <c r="S351" i="29"/>
  <c r="R351" i="29"/>
  <c r="Q351" i="29"/>
  <c r="P351" i="29"/>
  <c r="O351" i="29"/>
  <c r="N351" i="29"/>
  <c r="M351" i="29"/>
  <c r="L351" i="29"/>
  <c r="U350" i="29"/>
  <c r="T350" i="29"/>
  <c r="S350" i="29"/>
  <c r="R350" i="29"/>
  <c r="Q350" i="29"/>
  <c r="P350" i="29"/>
  <c r="O350" i="29"/>
  <c r="N350" i="29"/>
  <c r="M350" i="29"/>
  <c r="L350" i="29"/>
  <c r="U349" i="29"/>
  <c r="T349" i="29"/>
  <c r="S349" i="29"/>
  <c r="R349" i="29"/>
  <c r="Q349" i="29"/>
  <c r="P349" i="29"/>
  <c r="O349" i="29"/>
  <c r="N349" i="29"/>
  <c r="M349" i="29"/>
  <c r="L349" i="29"/>
  <c r="U348" i="29"/>
  <c r="T348" i="29"/>
  <c r="S348" i="29"/>
  <c r="R348" i="29"/>
  <c r="Q348" i="29"/>
  <c r="P348" i="29"/>
  <c r="O348" i="29"/>
  <c r="N348" i="29"/>
  <c r="M348" i="29"/>
  <c r="L348" i="29"/>
  <c r="U347" i="29"/>
  <c r="T347" i="29"/>
  <c r="S347" i="29"/>
  <c r="R347" i="29"/>
  <c r="Q347" i="29"/>
  <c r="P347" i="29"/>
  <c r="O347" i="29"/>
  <c r="N347" i="29"/>
  <c r="M347" i="29"/>
  <c r="L347" i="29"/>
  <c r="U346" i="29"/>
  <c r="T346" i="29"/>
  <c r="S346" i="29"/>
  <c r="R346" i="29"/>
  <c r="Q346" i="29"/>
  <c r="P346" i="29"/>
  <c r="O346" i="29"/>
  <c r="N346" i="29"/>
  <c r="M346" i="29"/>
  <c r="L346" i="29"/>
  <c r="U345" i="29"/>
  <c r="T345" i="29"/>
  <c r="S345" i="29"/>
  <c r="R345" i="29"/>
  <c r="Q345" i="29"/>
  <c r="P345" i="29"/>
  <c r="O345" i="29"/>
  <c r="N345" i="29"/>
  <c r="M345" i="29"/>
  <c r="L345" i="29"/>
  <c r="U344" i="29"/>
  <c r="T344" i="29"/>
  <c r="S344" i="29"/>
  <c r="R344" i="29"/>
  <c r="Q344" i="29"/>
  <c r="P344" i="29"/>
  <c r="O344" i="29"/>
  <c r="N344" i="29"/>
  <c r="M344" i="29"/>
  <c r="L344" i="29"/>
  <c r="U343" i="29"/>
  <c r="T343" i="29"/>
  <c r="S343" i="29"/>
  <c r="R343" i="29"/>
  <c r="Q343" i="29"/>
  <c r="P343" i="29"/>
  <c r="O343" i="29"/>
  <c r="N343" i="29"/>
  <c r="M343" i="29"/>
  <c r="L343" i="29"/>
  <c r="U342" i="29"/>
  <c r="T342" i="29"/>
  <c r="S342" i="29"/>
  <c r="R342" i="29"/>
  <c r="Q342" i="29"/>
  <c r="P342" i="29"/>
  <c r="O342" i="29"/>
  <c r="N342" i="29"/>
  <c r="M342" i="29"/>
  <c r="L342" i="29"/>
  <c r="U341" i="29"/>
  <c r="T341" i="29"/>
  <c r="S341" i="29"/>
  <c r="R341" i="29"/>
  <c r="Q341" i="29"/>
  <c r="P341" i="29"/>
  <c r="O341" i="29"/>
  <c r="N341" i="29"/>
  <c r="M341" i="29"/>
  <c r="L341" i="29"/>
  <c r="U340" i="29"/>
  <c r="T340" i="29"/>
  <c r="S340" i="29"/>
  <c r="R340" i="29"/>
  <c r="Q340" i="29"/>
  <c r="P340" i="29"/>
  <c r="O340" i="29"/>
  <c r="N340" i="29"/>
  <c r="M340" i="29"/>
  <c r="L340" i="29"/>
  <c r="U339" i="29"/>
  <c r="T339" i="29"/>
  <c r="S339" i="29"/>
  <c r="R339" i="29"/>
  <c r="Q339" i="29"/>
  <c r="P339" i="29"/>
  <c r="O339" i="29"/>
  <c r="N339" i="29"/>
  <c r="M339" i="29"/>
  <c r="L339" i="29"/>
  <c r="U338" i="29"/>
  <c r="T338" i="29"/>
  <c r="S338" i="29"/>
  <c r="R338" i="29"/>
  <c r="Q338" i="29"/>
  <c r="P338" i="29"/>
  <c r="O338" i="29"/>
  <c r="N338" i="29"/>
  <c r="M338" i="29"/>
  <c r="L338" i="29"/>
  <c r="CW337" i="29"/>
  <c r="CV337" i="29"/>
  <c r="CU337" i="29"/>
  <c r="CT337" i="29"/>
  <c r="CS337" i="29"/>
  <c r="CR337" i="29"/>
  <c r="CQ337" i="29"/>
  <c r="CP337" i="29"/>
  <c r="CO337" i="29"/>
  <c r="CN337" i="29"/>
  <c r="CW336" i="29"/>
  <c r="CV336" i="29"/>
  <c r="CU336" i="29"/>
  <c r="CT336" i="29"/>
  <c r="CS336" i="29"/>
  <c r="CR336" i="29"/>
  <c r="CQ336" i="29"/>
  <c r="CP336" i="29"/>
  <c r="CO336" i="29"/>
  <c r="CN336" i="29"/>
  <c r="CW335" i="29"/>
  <c r="CV335" i="29"/>
  <c r="CU335" i="29"/>
  <c r="CT335" i="29"/>
  <c r="CS335" i="29"/>
  <c r="CR335" i="29"/>
  <c r="CQ335" i="29"/>
  <c r="CP335" i="29"/>
  <c r="CO335" i="29"/>
  <c r="CN335" i="29"/>
  <c r="CW334" i="29"/>
  <c r="CV334" i="29"/>
  <c r="CU334" i="29"/>
  <c r="CT334" i="29"/>
  <c r="CS334" i="29"/>
  <c r="CR334" i="29"/>
  <c r="CQ334" i="29"/>
  <c r="CP334" i="29"/>
  <c r="CO334" i="29"/>
  <c r="CN334" i="29"/>
  <c r="CW333" i="29"/>
  <c r="CV333" i="29"/>
  <c r="CU333" i="29"/>
  <c r="CT333" i="29"/>
  <c r="CS333" i="29"/>
  <c r="CR333" i="29"/>
  <c r="CQ333" i="29"/>
  <c r="CP333" i="29"/>
  <c r="CO333" i="29"/>
  <c r="CN333" i="29"/>
  <c r="CW332" i="29"/>
  <c r="CV332" i="29"/>
  <c r="CU332" i="29"/>
  <c r="CT332" i="29"/>
  <c r="CS332" i="29"/>
  <c r="CR332" i="29"/>
  <c r="CQ332" i="29"/>
  <c r="CP332" i="29"/>
  <c r="CO332" i="29"/>
  <c r="CN332" i="29"/>
  <c r="CW331" i="29"/>
  <c r="CV331" i="29"/>
  <c r="CU331" i="29"/>
  <c r="CT331" i="29"/>
  <c r="CS331" i="29"/>
  <c r="CR331" i="29"/>
  <c r="CQ331" i="29"/>
  <c r="CP331" i="29"/>
  <c r="CO331" i="29"/>
  <c r="CN331" i="29"/>
  <c r="CW330" i="29"/>
  <c r="CV330" i="29"/>
  <c r="CU330" i="29"/>
  <c r="CT330" i="29"/>
  <c r="CS330" i="29"/>
  <c r="CR330" i="29"/>
  <c r="CQ330" i="29"/>
  <c r="CP330" i="29"/>
  <c r="CO330" i="29"/>
  <c r="CN330" i="29"/>
  <c r="CW329" i="29"/>
  <c r="CV329" i="29"/>
  <c r="CU329" i="29"/>
  <c r="CT329" i="29"/>
  <c r="CS329" i="29"/>
  <c r="CR329" i="29"/>
  <c r="CQ329" i="29"/>
  <c r="CP329" i="29"/>
  <c r="CO329" i="29"/>
  <c r="CN329" i="29"/>
  <c r="CW328" i="29"/>
  <c r="CV328" i="29"/>
  <c r="CU328" i="29"/>
  <c r="CT328" i="29"/>
  <c r="CS328" i="29"/>
  <c r="CR328" i="29"/>
  <c r="CQ328" i="29"/>
  <c r="CP328" i="29"/>
  <c r="CO328" i="29"/>
  <c r="CN328" i="29"/>
  <c r="CW327" i="29"/>
  <c r="CV327" i="29"/>
  <c r="CU327" i="29"/>
  <c r="CT327" i="29"/>
  <c r="CS327" i="29"/>
  <c r="CR327" i="29"/>
  <c r="CQ327" i="29"/>
  <c r="CP327" i="29"/>
  <c r="CO327" i="29"/>
  <c r="CN327" i="29"/>
  <c r="CW326" i="29"/>
  <c r="CV326" i="29"/>
  <c r="CU326" i="29"/>
  <c r="CT326" i="29"/>
  <c r="CS326" i="29"/>
  <c r="CR326" i="29"/>
  <c r="CQ326" i="29"/>
  <c r="CP326" i="29"/>
  <c r="CO326" i="29"/>
  <c r="CN326" i="29"/>
  <c r="CW325" i="29"/>
  <c r="CV325" i="29"/>
  <c r="CU325" i="29"/>
  <c r="CT325" i="29"/>
  <c r="CS325" i="29"/>
  <c r="CR325" i="29"/>
  <c r="CQ325" i="29"/>
  <c r="CP325" i="29"/>
  <c r="CO325" i="29"/>
  <c r="CN325" i="29"/>
  <c r="CW324" i="29"/>
  <c r="CV324" i="29"/>
  <c r="CU324" i="29"/>
  <c r="CT324" i="29"/>
  <c r="CS324" i="29"/>
  <c r="CR324" i="29"/>
  <c r="CQ324" i="29"/>
  <c r="CP324" i="29"/>
  <c r="CO324" i="29"/>
  <c r="CN324" i="29"/>
  <c r="CW323" i="29"/>
  <c r="CV323" i="29"/>
  <c r="CU323" i="29"/>
  <c r="CT323" i="29"/>
  <c r="CS323" i="29"/>
  <c r="CR323" i="29"/>
  <c r="CQ323" i="29"/>
  <c r="CP323" i="29"/>
  <c r="CO323" i="29"/>
  <c r="CN323" i="29"/>
  <c r="CW322" i="29"/>
  <c r="CV322" i="29"/>
  <c r="CU322" i="29"/>
  <c r="CT322" i="29"/>
  <c r="CS322" i="29"/>
  <c r="CR322" i="29"/>
  <c r="CQ322" i="29"/>
  <c r="CP322" i="29"/>
  <c r="CO322" i="29"/>
  <c r="CN322" i="29"/>
  <c r="CW321" i="29"/>
  <c r="CV321" i="29"/>
  <c r="CU321" i="29"/>
  <c r="CT321" i="29"/>
  <c r="CS321" i="29"/>
  <c r="CR321" i="29"/>
  <c r="CQ321" i="29"/>
  <c r="CP321" i="29"/>
  <c r="CO321" i="29"/>
  <c r="CN321" i="29"/>
  <c r="CW320" i="29"/>
  <c r="CV320" i="29"/>
  <c r="CU320" i="29"/>
  <c r="CT320" i="29"/>
  <c r="CS320" i="29"/>
  <c r="CR320" i="29"/>
  <c r="CQ320" i="29"/>
  <c r="CP320" i="29"/>
  <c r="CO320" i="29"/>
  <c r="CN320" i="29"/>
  <c r="CW319" i="29"/>
  <c r="CV319" i="29"/>
  <c r="CU319" i="29"/>
  <c r="CT319" i="29"/>
  <c r="CS319" i="29"/>
  <c r="CR319" i="29"/>
  <c r="CQ319" i="29"/>
  <c r="CP319" i="29"/>
  <c r="CO319" i="29"/>
  <c r="CN319" i="29"/>
  <c r="CW318" i="29"/>
  <c r="CV318" i="29"/>
  <c r="CU318" i="29"/>
  <c r="CT318" i="29"/>
  <c r="CS318" i="29"/>
  <c r="CR318" i="29"/>
  <c r="CQ318" i="29"/>
  <c r="CP318" i="29"/>
  <c r="CO318" i="29"/>
  <c r="CN318" i="29"/>
  <c r="CW317" i="29"/>
  <c r="CV317" i="29"/>
  <c r="CU317" i="29"/>
  <c r="CT317" i="29"/>
  <c r="CS317" i="29"/>
  <c r="CR317" i="29"/>
  <c r="CQ317" i="29"/>
  <c r="CP317" i="29"/>
  <c r="CO317" i="29"/>
  <c r="CN317" i="29"/>
  <c r="CW316" i="29"/>
  <c r="CV316" i="29"/>
  <c r="CU316" i="29"/>
  <c r="CT316" i="29"/>
  <c r="CS316" i="29"/>
  <c r="CR316" i="29"/>
  <c r="CQ316" i="29"/>
  <c r="CP316" i="29"/>
  <c r="CO316" i="29"/>
  <c r="CN316" i="29"/>
  <c r="CW315" i="29"/>
  <c r="CV315" i="29"/>
  <c r="CU315" i="29"/>
  <c r="CT315" i="29"/>
  <c r="CS315" i="29"/>
  <c r="CR315" i="29"/>
  <c r="CQ315" i="29"/>
  <c r="CP315" i="29"/>
  <c r="CO315" i="29"/>
  <c r="CN315" i="29"/>
  <c r="CW314" i="29"/>
  <c r="CV314" i="29"/>
  <c r="CU314" i="29"/>
  <c r="CT314" i="29"/>
  <c r="CS314" i="29"/>
  <c r="CR314" i="29"/>
  <c r="CQ314" i="29"/>
  <c r="CP314" i="29"/>
  <c r="CO314" i="29"/>
  <c r="CN314" i="29"/>
  <c r="CW313" i="29"/>
  <c r="CV313" i="29"/>
  <c r="CU313" i="29"/>
  <c r="CT313" i="29"/>
  <c r="CS313" i="29"/>
  <c r="CR313" i="29"/>
  <c r="CQ313" i="29"/>
  <c r="CP313" i="29"/>
  <c r="CO313" i="29"/>
  <c r="CN313" i="29"/>
  <c r="CW312" i="29"/>
  <c r="CV312" i="29"/>
  <c r="CU312" i="29"/>
  <c r="CT312" i="29"/>
  <c r="CS312" i="29"/>
  <c r="CR312" i="29"/>
  <c r="CQ312" i="29"/>
  <c r="CP312" i="29"/>
  <c r="CO312" i="29"/>
  <c r="CN312" i="29"/>
  <c r="CW311" i="29"/>
  <c r="CV311" i="29"/>
  <c r="CU311" i="29"/>
  <c r="CT311" i="29"/>
  <c r="CS311" i="29"/>
  <c r="CR311" i="29"/>
  <c r="CQ311" i="29"/>
  <c r="CP311" i="29"/>
  <c r="CO311" i="29"/>
  <c r="CN311" i="29"/>
  <c r="CW310" i="29"/>
  <c r="CV310" i="29"/>
  <c r="CU310" i="29"/>
  <c r="CT310" i="29"/>
  <c r="CS310" i="29"/>
  <c r="CR310" i="29"/>
  <c r="CQ310" i="29"/>
  <c r="CP310" i="29"/>
  <c r="CO310" i="29"/>
  <c r="CN310" i="29"/>
  <c r="CW309" i="29"/>
  <c r="CV309" i="29"/>
  <c r="CU309" i="29"/>
  <c r="CT309" i="29"/>
  <c r="CS309" i="29"/>
  <c r="CR309" i="29"/>
  <c r="CQ309" i="29"/>
  <c r="CP309" i="29"/>
  <c r="CO309" i="29"/>
  <c r="CN309" i="29"/>
  <c r="CW308" i="29"/>
  <c r="CV308" i="29"/>
  <c r="CU308" i="29"/>
  <c r="CT308" i="29"/>
  <c r="CS308" i="29"/>
  <c r="CR308" i="29"/>
  <c r="CQ308" i="29"/>
  <c r="CP308" i="29"/>
  <c r="CO308" i="29"/>
  <c r="CN308" i="29"/>
  <c r="BI337" i="29"/>
  <c r="BH337" i="29"/>
  <c r="BG337" i="29"/>
  <c r="BF337" i="29"/>
  <c r="BE337" i="29"/>
  <c r="BD337" i="29"/>
  <c r="BC337" i="29"/>
  <c r="BB337" i="29"/>
  <c r="BA337" i="29"/>
  <c r="AZ337" i="29"/>
  <c r="BI336" i="29"/>
  <c r="BH336" i="29"/>
  <c r="BG336" i="29"/>
  <c r="BF336" i="29"/>
  <c r="BE336" i="29"/>
  <c r="BD336" i="29"/>
  <c r="BC336" i="29"/>
  <c r="BB336" i="29"/>
  <c r="BA336" i="29"/>
  <c r="AZ336" i="29"/>
  <c r="BI335" i="29"/>
  <c r="BH335" i="29"/>
  <c r="BG335" i="29"/>
  <c r="BF335" i="29"/>
  <c r="BE335" i="29"/>
  <c r="BD335" i="29"/>
  <c r="BC335" i="29"/>
  <c r="BB335" i="29"/>
  <c r="BA335" i="29"/>
  <c r="AZ335" i="29"/>
  <c r="BI334" i="29"/>
  <c r="BH334" i="29"/>
  <c r="BG334" i="29"/>
  <c r="BF334" i="29"/>
  <c r="BE334" i="29"/>
  <c r="BD334" i="29"/>
  <c r="BC334" i="29"/>
  <c r="BB334" i="29"/>
  <c r="BA334" i="29"/>
  <c r="AZ334" i="29"/>
  <c r="BI333" i="29"/>
  <c r="BH333" i="29"/>
  <c r="BG333" i="29"/>
  <c r="BF333" i="29"/>
  <c r="BE333" i="29"/>
  <c r="BD333" i="29"/>
  <c r="BC333" i="29"/>
  <c r="BB333" i="29"/>
  <c r="BA333" i="29"/>
  <c r="AZ333" i="29"/>
  <c r="BI332" i="29"/>
  <c r="BH332" i="29"/>
  <c r="BG332" i="29"/>
  <c r="BF332" i="29"/>
  <c r="BE332" i="29"/>
  <c r="BD332" i="29"/>
  <c r="BC332" i="29"/>
  <c r="BB332" i="29"/>
  <c r="BA332" i="29"/>
  <c r="AZ332" i="29"/>
  <c r="BI331" i="29"/>
  <c r="BH331" i="29"/>
  <c r="BG331" i="29"/>
  <c r="BF331" i="29"/>
  <c r="BE331" i="29"/>
  <c r="BD331" i="29"/>
  <c r="BC331" i="29"/>
  <c r="BB331" i="29"/>
  <c r="BA331" i="29"/>
  <c r="AZ331" i="29"/>
  <c r="BI330" i="29"/>
  <c r="BH330" i="29"/>
  <c r="BG330" i="29"/>
  <c r="BF330" i="29"/>
  <c r="BE330" i="29"/>
  <c r="BD330" i="29"/>
  <c r="BC330" i="29"/>
  <c r="BB330" i="29"/>
  <c r="BA330" i="29"/>
  <c r="AZ330" i="29"/>
  <c r="BI329" i="29"/>
  <c r="BH329" i="29"/>
  <c r="BG329" i="29"/>
  <c r="BF329" i="29"/>
  <c r="BE329" i="29"/>
  <c r="BD329" i="29"/>
  <c r="BC329" i="29"/>
  <c r="BB329" i="29"/>
  <c r="BA329" i="29"/>
  <c r="AZ329" i="29"/>
  <c r="BI328" i="29"/>
  <c r="BH328" i="29"/>
  <c r="BG328" i="29"/>
  <c r="BF328" i="29"/>
  <c r="BE328" i="29"/>
  <c r="BD328" i="29"/>
  <c r="BC328" i="29"/>
  <c r="BB328" i="29"/>
  <c r="BA328" i="29"/>
  <c r="AZ328" i="29"/>
  <c r="BI327" i="29"/>
  <c r="BH327" i="29"/>
  <c r="BG327" i="29"/>
  <c r="BF327" i="29"/>
  <c r="BE327" i="29"/>
  <c r="BD327" i="29"/>
  <c r="BC327" i="29"/>
  <c r="BB327" i="29"/>
  <c r="BA327" i="29"/>
  <c r="AZ327" i="29"/>
  <c r="BI326" i="29"/>
  <c r="BH326" i="29"/>
  <c r="BG326" i="29"/>
  <c r="BF326" i="29"/>
  <c r="BE326" i="29"/>
  <c r="BD326" i="29"/>
  <c r="BC326" i="29"/>
  <c r="BB326" i="29"/>
  <c r="BA326" i="29"/>
  <c r="AZ326" i="29"/>
  <c r="BI325" i="29"/>
  <c r="BH325" i="29"/>
  <c r="BG325" i="29"/>
  <c r="BF325" i="29"/>
  <c r="BE325" i="29"/>
  <c r="BD325" i="29"/>
  <c r="BC325" i="29"/>
  <c r="BB325" i="29"/>
  <c r="BA325" i="29"/>
  <c r="AZ325" i="29"/>
  <c r="BI324" i="29"/>
  <c r="BH324" i="29"/>
  <c r="BG324" i="29"/>
  <c r="BF324" i="29"/>
  <c r="BE324" i="29"/>
  <c r="BD324" i="29"/>
  <c r="BC324" i="29"/>
  <c r="BB324" i="29"/>
  <c r="BA324" i="29"/>
  <c r="AZ324" i="29"/>
  <c r="BI323" i="29"/>
  <c r="BH323" i="29"/>
  <c r="BG323" i="29"/>
  <c r="BF323" i="29"/>
  <c r="BE323" i="29"/>
  <c r="BD323" i="29"/>
  <c r="BC323" i="29"/>
  <c r="BB323" i="29"/>
  <c r="BA323" i="29"/>
  <c r="AZ323" i="29"/>
  <c r="BI322" i="29"/>
  <c r="BH322" i="29"/>
  <c r="BG322" i="29"/>
  <c r="BF322" i="29"/>
  <c r="BE322" i="29"/>
  <c r="BD322" i="29"/>
  <c r="BC322" i="29"/>
  <c r="BB322" i="29"/>
  <c r="BA322" i="29"/>
  <c r="AZ322" i="29"/>
  <c r="BI321" i="29"/>
  <c r="BH321" i="29"/>
  <c r="BG321" i="29"/>
  <c r="BF321" i="29"/>
  <c r="BE321" i="29"/>
  <c r="BD321" i="29"/>
  <c r="BC321" i="29"/>
  <c r="BB321" i="29"/>
  <c r="BA321" i="29"/>
  <c r="AZ321" i="29"/>
  <c r="BI320" i="29"/>
  <c r="BH320" i="29"/>
  <c r="BG320" i="29"/>
  <c r="BF320" i="29"/>
  <c r="BE320" i="29"/>
  <c r="BD320" i="29"/>
  <c r="BC320" i="29"/>
  <c r="BB320" i="29"/>
  <c r="BA320" i="29"/>
  <c r="AZ320" i="29"/>
  <c r="BI319" i="29"/>
  <c r="BH319" i="29"/>
  <c r="BG319" i="29"/>
  <c r="BF319" i="29"/>
  <c r="BE319" i="29"/>
  <c r="BD319" i="29"/>
  <c r="BC319" i="29"/>
  <c r="BB319" i="29"/>
  <c r="BA319" i="29"/>
  <c r="AZ319" i="29"/>
  <c r="BI318" i="29"/>
  <c r="BH318" i="29"/>
  <c r="BG318" i="29"/>
  <c r="BF318" i="29"/>
  <c r="BE318" i="29"/>
  <c r="BD318" i="29"/>
  <c r="BC318" i="29"/>
  <c r="BB318" i="29"/>
  <c r="BA318" i="29"/>
  <c r="AZ318" i="29"/>
  <c r="BI317" i="29"/>
  <c r="BH317" i="29"/>
  <c r="BG317" i="29"/>
  <c r="BF317" i="29"/>
  <c r="BE317" i="29"/>
  <c r="BD317" i="29"/>
  <c r="BC317" i="29"/>
  <c r="BB317" i="29"/>
  <c r="BA317" i="29"/>
  <c r="AZ317" i="29"/>
  <c r="BI316" i="29"/>
  <c r="BH316" i="29"/>
  <c r="BG316" i="29"/>
  <c r="BF316" i="29"/>
  <c r="BE316" i="29"/>
  <c r="BD316" i="29"/>
  <c r="BC316" i="29"/>
  <c r="BB316" i="29"/>
  <c r="BA316" i="29"/>
  <c r="AZ316" i="29"/>
  <c r="BI315" i="29"/>
  <c r="BH315" i="29"/>
  <c r="BG315" i="29"/>
  <c r="BF315" i="29"/>
  <c r="BE315" i="29"/>
  <c r="BD315" i="29"/>
  <c r="BC315" i="29"/>
  <c r="BB315" i="29"/>
  <c r="BA315" i="29"/>
  <c r="AZ315" i="29"/>
  <c r="BI314" i="29"/>
  <c r="BH314" i="29"/>
  <c r="BG314" i="29"/>
  <c r="BF314" i="29"/>
  <c r="BE314" i="29"/>
  <c r="BD314" i="29"/>
  <c r="BC314" i="29"/>
  <c r="BB314" i="29"/>
  <c r="BA314" i="29"/>
  <c r="AZ314" i="29"/>
  <c r="BI313" i="29"/>
  <c r="BH313" i="29"/>
  <c r="BG313" i="29"/>
  <c r="BF313" i="29"/>
  <c r="BE313" i="29"/>
  <c r="BD313" i="29"/>
  <c r="BC313" i="29"/>
  <c r="BB313" i="29"/>
  <c r="BA313" i="29"/>
  <c r="AZ313" i="29"/>
  <c r="BI312" i="29"/>
  <c r="BH312" i="29"/>
  <c r="BG312" i="29"/>
  <c r="BF312" i="29"/>
  <c r="BE312" i="29"/>
  <c r="BD312" i="29"/>
  <c r="BC312" i="29"/>
  <c r="BB312" i="29"/>
  <c r="BA312" i="29"/>
  <c r="AZ312" i="29"/>
  <c r="BI311" i="29"/>
  <c r="BH311" i="29"/>
  <c r="BG311" i="29"/>
  <c r="BF311" i="29"/>
  <c r="BE311" i="29"/>
  <c r="BD311" i="29"/>
  <c r="BC311" i="29"/>
  <c r="BB311" i="29"/>
  <c r="BA311" i="29"/>
  <c r="AZ311" i="29"/>
  <c r="BI310" i="29"/>
  <c r="BH310" i="29"/>
  <c r="BG310" i="29"/>
  <c r="BF310" i="29"/>
  <c r="BE310" i="29"/>
  <c r="BD310" i="29"/>
  <c r="BC310" i="29"/>
  <c r="BB310" i="29"/>
  <c r="BA310" i="29"/>
  <c r="AZ310" i="29"/>
  <c r="BI309" i="29"/>
  <c r="BH309" i="29"/>
  <c r="BG309" i="29"/>
  <c r="BF309" i="29"/>
  <c r="BE309" i="29"/>
  <c r="BD309" i="29"/>
  <c r="BC309" i="29"/>
  <c r="BB309" i="29"/>
  <c r="BA309" i="29"/>
  <c r="AZ309" i="29"/>
  <c r="BI308" i="29"/>
  <c r="BH308" i="29"/>
  <c r="BG308" i="29"/>
  <c r="BF308" i="29"/>
  <c r="BE308" i="29"/>
  <c r="BD308" i="29"/>
  <c r="BC308" i="29"/>
  <c r="BB308" i="29"/>
  <c r="BA308" i="29"/>
  <c r="AZ308" i="29"/>
  <c r="U337" i="29"/>
  <c r="T337" i="29"/>
  <c r="S337" i="29"/>
  <c r="R337" i="29"/>
  <c r="Q337" i="29"/>
  <c r="P337" i="29"/>
  <c r="O337" i="29"/>
  <c r="N337" i="29"/>
  <c r="M337" i="29"/>
  <c r="L337" i="29"/>
  <c r="U336" i="29"/>
  <c r="T336" i="29"/>
  <c r="S336" i="29"/>
  <c r="R336" i="29"/>
  <c r="Q336" i="29"/>
  <c r="P336" i="29"/>
  <c r="O336" i="29"/>
  <c r="N336" i="29"/>
  <c r="M336" i="29"/>
  <c r="L336" i="29"/>
  <c r="U335" i="29"/>
  <c r="T335" i="29"/>
  <c r="S335" i="29"/>
  <c r="R335" i="29"/>
  <c r="Q335" i="29"/>
  <c r="P335" i="29"/>
  <c r="O335" i="29"/>
  <c r="N335" i="29"/>
  <c r="M335" i="29"/>
  <c r="L335" i="29"/>
  <c r="U334" i="29"/>
  <c r="T334" i="29"/>
  <c r="S334" i="29"/>
  <c r="R334" i="29"/>
  <c r="Q334" i="29"/>
  <c r="P334" i="29"/>
  <c r="O334" i="29"/>
  <c r="N334" i="29"/>
  <c r="M334" i="29"/>
  <c r="L334" i="29"/>
  <c r="U333" i="29"/>
  <c r="T333" i="29"/>
  <c r="S333" i="29"/>
  <c r="R333" i="29"/>
  <c r="Q333" i="29"/>
  <c r="P333" i="29"/>
  <c r="O333" i="29"/>
  <c r="N333" i="29"/>
  <c r="M333" i="29"/>
  <c r="L333" i="29"/>
  <c r="U332" i="29"/>
  <c r="T332" i="29"/>
  <c r="S332" i="29"/>
  <c r="R332" i="29"/>
  <c r="Q332" i="29"/>
  <c r="P332" i="29"/>
  <c r="O332" i="29"/>
  <c r="N332" i="29"/>
  <c r="M332" i="29"/>
  <c r="L332" i="29"/>
  <c r="U331" i="29"/>
  <c r="T331" i="29"/>
  <c r="S331" i="29"/>
  <c r="R331" i="29"/>
  <c r="Q331" i="29"/>
  <c r="P331" i="29"/>
  <c r="O331" i="29"/>
  <c r="N331" i="29"/>
  <c r="M331" i="29"/>
  <c r="L331" i="29"/>
  <c r="U330" i="29"/>
  <c r="T330" i="29"/>
  <c r="S330" i="29"/>
  <c r="R330" i="29"/>
  <c r="Q330" i="29"/>
  <c r="P330" i="29"/>
  <c r="O330" i="29"/>
  <c r="N330" i="29"/>
  <c r="M330" i="29"/>
  <c r="L330" i="29"/>
  <c r="U329" i="29"/>
  <c r="T329" i="29"/>
  <c r="S329" i="29"/>
  <c r="R329" i="29"/>
  <c r="Q329" i="29"/>
  <c r="P329" i="29"/>
  <c r="O329" i="29"/>
  <c r="N329" i="29"/>
  <c r="M329" i="29"/>
  <c r="L329" i="29"/>
  <c r="U328" i="29"/>
  <c r="T328" i="29"/>
  <c r="S328" i="29"/>
  <c r="R328" i="29"/>
  <c r="Q328" i="29"/>
  <c r="P328" i="29"/>
  <c r="O328" i="29"/>
  <c r="N328" i="29"/>
  <c r="M328" i="29"/>
  <c r="L328" i="29"/>
  <c r="U327" i="29"/>
  <c r="T327" i="29"/>
  <c r="S327" i="29"/>
  <c r="R327" i="29"/>
  <c r="Q327" i="29"/>
  <c r="P327" i="29"/>
  <c r="O327" i="29"/>
  <c r="N327" i="29"/>
  <c r="M327" i="29"/>
  <c r="L327" i="29"/>
  <c r="U326" i="29"/>
  <c r="T326" i="29"/>
  <c r="S326" i="29"/>
  <c r="R326" i="29"/>
  <c r="Q326" i="29"/>
  <c r="P326" i="29"/>
  <c r="O326" i="29"/>
  <c r="N326" i="29"/>
  <c r="M326" i="29"/>
  <c r="L326" i="29"/>
  <c r="U325" i="29"/>
  <c r="T325" i="29"/>
  <c r="S325" i="29"/>
  <c r="R325" i="29"/>
  <c r="Q325" i="29"/>
  <c r="P325" i="29"/>
  <c r="O325" i="29"/>
  <c r="N325" i="29"/>
  <c r="M325" i="29"/>
  <c r="L325" i="29"/>
  <c r="U324" i="29"/>
  <c r="T324" i="29"/>
  <c r="S324" i="29"/>
  <c r="R324" i="29"/>
  <c r="Q324" i="29"/>
  <c r="P324" i="29"/>
  <c r="O324" i="29"/>
  <c r="N324" i="29"/>
  <c r="M324" i="29"/>
  <c r="L324" i="29"/>
  <c r="U323" i="29"/>
  <c r="T323" i="29"/>
  <c r="S323" i="29"/>
  <c r="R323" i="29"/>
  <c r="Q323" i="29"/>
  <c r="P323" i="29"/>
  <c r="O323" i="29"/>
  <c r="N323" i="29"/>
  <c r="M323" i="29"/>
  <c r="L323" i="29"/>
  <c r="U322" i="29"/>
  <c r="T322" i="29"/>
  <c r="S322" i="29"/>
  <c r="R322" i="29"/>
  <c r="Q322" i="29"/>
  <c r="P322" i="29"/>
  <c r="O322" i="29"/>
  <c r="N322" i="29"/>
  <c r="M322" i="29"/>
  <c r="L322" i="29"/>
  <c r="U321" i="29"/>
  <c r="T321" i="29"/>
  <c r="S321" i="29"/>
  <c r="R321" i="29"/>
  <c r="Q321" i="29"/>
  <c r="P321" i="29"/>
  <c r="O321" i="29"/>
  <c r="N321" i="29"/>
  <c r="M321" i="29"/>
  <c r="L321" i="29"/>
  <c r="U320" i="29"/>
  <c r="T320" i="29"/>
  <c r="S320" i="29"/>
  <c r="R320" i="29"/>
  <c r="Q320" i="29"/>
  <c r="P320" i="29"/>
  <c r="O320" i="29"/>
  <c r="N320" i="29"/>
  <c r="M320" i="29"/>
  <c r="L320" i="29"/>
  <c r="U319" i="29"/>
  <c r="T319" i="29"/>
  <c r="S319" i="29"/>
  <c r="R319" i="29"/>
  <c r="Q319" i="29"/>
  <c r="P319" i="29"/>
  <c r="O319" i="29"/>
  <c r="N319" i="29"/>
  <c r="M319" i="29"/>
  <c r="L319" i="29"/>
  <c r="U318" i="29"/>
  <c r="T318" i="29"/>
  <c r="S318" i="29"/>
  <c r="R318" i="29"/>
  <c r="Q318" i="29"/>
  <c r="P318" i="29"/>
  <c r="O318" i="29"/>
  <c r="N318" i="29"/>
  <c r="M318" i="29"/>
  <c r="L318" i="29"/>
  <c r="U317" i="29"/>
  <c r="T317" i="29"/>
  <c r="S317" i="29"/>
  <c r="R317" i="29"/>
  <c r="Q317" i="29"/>
  <c r="P317" i="29"/>
  <c r="O317" i="29"/>
  <c r="N317" i="29"/>
  <c r="M317" i="29"/>
  <c r="L317" i="29"/>
  <c r="U316" i="29"/>
  <c r="T316" i="29"/>
  <c r="S316" i="29"/>
  <c r="R316" i="29"/>
  <c r="Q316" i="29"/>
  <c r="P316" i="29"/>
  <c r="O316" i="29"/>
  <c r="N316" i="29"/>
  <c r="M316" i="29"/>
  <c r="L316" i="29"/>
  <c r="U315" i="29"/>
  <c r="T315" i="29"/>
  <c r="S315" i="29"/>
  <c r="R315" i="29"/>
  <c r="Q315" i="29"/>
  <c r="P315" i="29"/>
  <c r="O315" i="29"/>
  <c r="N315" i="29"/>
  <c r="M315" i="29"/>
  <c r="L315" i="29"/>
  <c r="U314" i="29"/>
  <c r="T314" i="29"/>
  <c r="S314" i="29"/>
  <c r="R314" i="29"/>
  <c r="Q314" i="29"/>
  <c r="P314" i="29"/>
  <c r="O314" i="29"/>
  <c r="N314" i="29"/>
  <c r="M314" i="29"/>
  <c r="L314" i="29"/>
  <c r="U313" i="29"/>
  <c r="T313" i="29"/>
  <c r="S313" i="29"/>
  <c r="R313" i="29"/>
  <c r="Q313" i="29"/>
  <c r="P313" i="29"/>
  <c r="O313" i="29"/>
  <c r="N313" i="29"/>
  <c r="M313" i="29"/>
  <c r="L313" i="29"/>
  <c r="U312" i="29"/>
  <c r="T312" i="29"/>
  <c r="S312" i="29"/>
  <c r="R312" i="29"/>
  <c r="Q312" i="29"/>
  <c r="P312" i="29"/>
  <c r="O312" i="29"/>
  <c r="N312" i="29"/>
  <c r="M312" i="29"/>
  <c r="L312" i="29"/>
  <c r="U311" i="29"/>
  <c r="T311" i="29"/>
  <c r="S311" i="29"/>
  <c r="R311" i="29"/>
  <c r="Q311" i="29"/>
  <c r="P311" i="29"/>
  <c r="O311" i="29"/>
  <c r="N311" i="29"/>
  <c r="M311" i="29"/>
  <c r="L311" i="29"/>
  <c r="U310" i="29"/>
  <c r="T310" i="29"/>
  <c r="S310" i="29"/>
  <c r="R310" i="29"/>
  <c r="Q310" i="29"/>
  <c r="P310" i="29"/>
  <c r="O310" i="29"/>
  <c r="N310" i="29"/>
  <c r="M310" i="29"/>
  <c r="L310" i="29"/>
  <c r="U309" i="29"/>
  <c r="T309" i="29"/>
  <c r="S309" i="29"/>
  <c r="R309" i="29"/>
  <c r="Q309" i="29"/>
  <c r="P309" i="29"/>
  <c r="O309" i="29"/>
  <c r="N309" i="29"/>
  <c r="M309" i="29"/>
  <c r="L309" i="29"/>
  <c r="U308" i="29"/>
  <c r="T308" i="29"/>
  <c r="S308" i="29"/>
  <c r="R308" i="29"/>
  <c r="Q308" i="29"/>
  <c r="P308" i="29"/>
  <c r="O308" i="29"/>
  <c r="N308" i="29"/>
  <c r="M308" i="29"/>
  <c r="L308" i="29"/>
  <c r="CW307" i="29"/>
  <c r="CV307" i="29"/>
  <c r="CU307" i="29"/>
  <c r="CT307" i="29"/>
  <c r="CS307" i="29"/>
  <c r="CR307" i="29"/>
  <c r="CQ307" i="29"/>
  <c r="CP307" i="29"/>
  <c r="CO307" i="29"/>
  <c r="CN307" i="29"/>
  <c r="CW306" i="29"/>
  <c r="CV306" i="29"/>
  <c r="CU306" i="29"/>
  <c r="CT306" i="29"/>
  <c r="CS306" i="29"/>
  <c r="CR306" i="29"/>
  <c r="CQ306" i="29"/>
  <c r="CP306" i="29"/>
  <c r="CO306" i="29"/>
  <c r="CN306" i="29"/>
  <c r="CW305" i="29"/>
  <c r="CV305" i="29"/>
  <c r="CU305" i="29"/>
  <c r="CT305" i="29"/>
  <c r="CS305" i="29"/>
  <c r="CR305" i="29"/>
  <c r="CQ305" i="29"/>
  <c r="CP305" i="29"/>
  <c r="CO305" i="29"/>
  <c r="CN305" i="29"/>
  <c r="CW304" i="29"/>
  <c r="CV304" i="29"/>
  <c r="CU304" i="29"/>
  <c r="CT304" i="29"/>
  <c r="CS304" i="29"/>
  <c r="CR304" i="29"/>
  <c r="CQ304" i="29"/>
  <c r="CP304" i="29"/>
  <c r="CO304" i="29"/>
  <c r="CN304" i="29"/>
  <c r="CW303" i="29"/>
  <c r="CV303" i="29"/>
  <c r="CU303" i="29"/>
  <c r="CT303" i="29"/>
  <c r="CS303" i="29"/>
  <c r="CR303" i="29"/>
  <c r="CQ303" i="29"/>
  <c r="CP303" i="29"/>
  <c r="CO303" i="29"/>
  <c r="CN303" i="29"/>
  <c r="CW302" i="29"/>
  <c r="CV302" i="29"/>
  <c r="CU302" i="29"/>
  <c r="CT302" i="29"/>
  <c r="CS302" i="29"/>
  <c r="CR302" i="29"/>
  <c r="CQ302" i="29"/>
  <c r="CP302" i="29"/>
  <c r="CO302" i="29"/>
  <c r="CN302" i="29"/>
  <c r="CW301" i="29"/>
  <c r="CV301" i="29"/>
  <c r="CU301" i="29"/>
  <c r="CT301" i="29"/>
  <c r="CS301" i="29"/>
  <c r="CR301" i="29"/>
  <c r="CQ301" i="29"/>
  <c r="CP301" i="29"/>
  <c r="CO301" i="29"/>
  <c r="CN301" i="29"/>
  <c r="CW300" i="29"/>
  <c r="CV300" i="29"/>
  <c r="CU300" i="29"/>
  <c r="CT300" i="29"/>
  <c r="CS300" i="29"/>
  <c r="CR300" i="29"/>
  <c r="CQ300" i="29"/>
  <c r="CP300" i="29"/>
  <c r="CO300" i="29"/>
  <c r="CN300" i="29"/>
  <c r="CW299" i="29"/>
  <c r="CV299" i="29"/>
  <c r="CU299" i="29"/>
  <c r="CT299" i="29"/>
  <c r="CS299" i="29"/>
  <c r="CR299" i="29"/>
  <c r="CQ299" i="29"/>
  <c r="CP299" i="29"/>
  <c r="CO299" i="29"/>
  <c r="CN299" i="29"/>
  <c r="CW298" i="29"/>
  <c r="CV298" i="29"/>
  <c r="CU298" i="29"/>
  <c r="CT298" i="29"/>
  <c r="CS298" i="29"/>
  <c r="CR298" i="29"/>
  <c r="CQ298" i="29"/>
  <c r="CP298" i="29"/>
  <c r="CO298" i="29"/>
  <c r="CN298" i="29"/>
  <c r="CW297" i="29"/>
  <c r="CV297" i="29"/>
  <c r="CU297" i="29"/>
  <c r="CT297" i="29"/>
  <c r="CS297" i="29"/>
  <c r="CR297" i="29"/>
  <c r="CQ297" i="29"/>
  <c r="CP297" i="29"/>
  <c r="CO297" i="29"/>
  <c r="CN297" i="29"/>
  <c r="CW296" i="29"/>
  <c r="CV296" i="29"/>
  <c r="CU296" i="29"/>
  <c r="CT296" i="29"/>
  <c r="CS296" i="29"/>
  <c r="CR296" i="29"/>
  <c r="CQ296" i="29"/>
  <c r="CP296" i="29"/>
  <c r="CO296" i="29"/>
  <c r="CN296" i="29"/>
  <c r="CW295" i="29"/>
  <c r="CV295" i="29"/>
  <c r="CU295" i="29"/>
  <c r="CT295" i="29"/>
  <c r="CS295" i="29"/>
  <c r="CR295" i="29"/>
  <c r="CQ295" i="29"/>
  <c r="CP295" i="29"/>
  <c r="CO295" i="29"/>
  <c r="CN295" i="29"/>
  <c r="CW294" i="29"/>
  <c r="CV294" i="29"/>
  <c r="CU294" i="29"/>
  <c r="CT294" i="29"/>
  <c r="CS294" i="29"/>
  <c r="CR294" i="29"/>
  <c r="CQ294" i="29"/>
  <c r="CP294" i="29"/>
  <c r="CO294" i="29"/>
  <c r="CN294" i="29"/>
  <c r="CW293" i="29"/>
  <c r="CV293" i="29"/>
  <c r="CU293" i="29"/>
  <c r="CT293" i="29"/>
  <c r="CS293" i="29"/>
  <c r="CR293" i="29"/>
  <c r="CQ293" i="29"/>
  <c r="CP293" i="29"/>
  <c r="CO293" i="29"/>
  <c r="CN293" i="29"/>
  <c r="CW292" i="29"/>
  <c r="CV292" i="29"/>
  <c r="CU292" i="29"/>
  <c r="CT292" i="29"/>
  <c r="CS292" i="29"/>
  <c r="CR292" i="29"/>
  <c r="CQ292" i="29"/>
  <c r="CP292" i="29"/>
  <c r="CO292" i="29"/>
  <c r="CN292" i="29"/>
  <c r="CW291" i="29"/>
  <c r="CV291" i="29"/>
  <c r="CU291" i="29"/>
  <c r="CT291" i="29"/>
  <c r="CS291" i="29"/>
  <c r="CR291" i="29"/>
  <c r="CQ291" i="29"/>
  <c r="CP291" i="29"/>
  <c r="CO291" i="29"/>
  <c r="CN291" i="29"/>
  <c r="CW290" i="29"/>
  <c r="CV290" i="29"/>
  <c r="CU290" i="29"/>
  <c r="CT290" i="29"/>
  <c r="CS290" i="29"/>
  <c r="CR290" i="29"/>
  <c r="CQ290" i="29"/>
  <c r="CP290" i="29"/>
  <c r="CO290" i="29"/>
  <c r="CN290" i="29"/>
  <c r="CW289" i="29"/>
  <c r="CV289" i="29"/>
  <c r="CU289" i="29"/>
  <c r="CT289" i="29"/>
  <c r="CS289" i="29"/>
  <c r="CR289" i="29"/>
  <c r="CQ289" i="29"/>
  <c r="CP289" i="29"/>
  <c r="CO289" i="29"/>
  <c r="CN289" i="29"/>
  <c r="CW288" i="29"/>
  <c r="CV288" i="29"/>
  <c r="CU288" i="29"/>
  <c r="CT288" i="29"/>
  <c r="CS288" i="29"/>
  <c r="CR288" i="29"/>
  <c r="CQ288" i="29"/>
  <c r="CP288" i="29"/>
  <c r="CO288" i="29"/>
  <c r="CN288" i="29"/>
  <c r="CW287" i="29"/>
  <c r="CV287" i="29"/>
  <c r="CU287" i="29"/>
  <c r="CT287" i="29"/>
  <c r="CS287" i="29"/>
  <c r="CR287" i="29"/>
  <c r="CQ287" i="29"/>
  <c r="CP287" i="29"/>
  <c r="CO287" i="29"/>
  <c r="CN287" i="29"/>
  <c r="CW286" i="29"/>
  <c r="CV286" i="29"/>
  <c r="CU286" i="29"/>
  <c r="CT286" i="29"/>
  <c r="CS286" i="29"/>
  <c r="CR286" i="29"/>
  <c r="CQ286" i="29"/>
  <c r="CP286" i="29"/>
  <c r="CO286" i="29"/>
  <c r="CN286" i="29"/>
  <c r="CW285" i="29"/>
  <c r="CV285" i="29"/>
  <c r="CU285" i="29"/>
  <c r="CT285" i="29"/>
  <c r="CS285" i="29"/>
  <c r="CR285" i="29"/>
  <c r="CQ285" i="29"/>
  <c r="CP285" i="29"/>
  <c r="CO285" i="29"/>
  <c r="CN285" i="29"/>
  <c r="CW284" i="29"/>
  <c r="CV284" i="29"/>
  <c r="CU284" i="29"/>
  <c r="CT284" i="29"/>
  <c r="CS284" i="29"/>
  <c r="CR284" i="29"/>
  <c r="CQ284" i="29"/>
  <c r="CP284" i="29"/>
  <c r="CO284" i="29"/>
  <c r="CN284" i="29"/>
  <c r="CW283" i="29"/>
  <c r="CV283" i="29"/>
  <c r="CU283" i="29"/>
  <c r="CT283" i="29"/>
  <c r="CS283" i="29"/>
  <c r="CR283" i="29"/>
  <c r="CQ283" i="29"/>
  <c r="CP283" i="29"/>
  <c r="CO283" i="29"/>
  <c r="CN283" i="29"/>
  <c r="CW282" i="29"/>
  <c r="CV282" i="29"/>
  <c r="CU282" i="29"/>
  <c r="CT282" i="29"/>
  <c r="CS282" i="29"/>
  <c r="CR282" i="29"/>
  <c r="CQ282" i="29"/>
  <c r="CP282" i="29"/>
  <c r="CO282" i="29"/>
  <c r="CN282" i="29"/>
  <c r="CW281" i="29"/>
  <c r="CV281" i="29"/>
  <c r="CU281" i="29"/>
  <c r="CT281" i="29"/>
  <c r="CS281" i="29"/>
  <c r="CR281" i="29"/>
  <c r="CQ281" i="29"/>
  <c r="CP281" i="29"/>
  <c r="CO281" i="29"/>
  <c r="CN281" i="29"/>
  <c r="CW280" i="29"/>
  <c r="CV280" i="29"/>
  <c r="CU280" i="29"/>
  <c r="CT280" i="29"/>
  <c r="CS280" i="29"/>
  <c r="CR280" i="29"/>
  <c r="CQ280" i="29"/>
  <c r="CP280" i="29"/>
  <c r="CO280" i="29"/>
  <c r="CN280" i="29"/>
  <c r="CW279" i="29"/>
  <c r="CV279" i="29"/>
  <c r="CU279" i="29"/>
  <c r="CT279" i="29"/>
  <c r="CS279" i="29"/>
  <c r="CR279" i="29"/>
  <c r="CQ279" i="29"/>
  <c r="CP279" i="29"/>
  <c r="CO279" i="29"/>
  <c r="CN279" i="29"/>
  <c r="CW278" i="29"/>
  <c r="CV278" i="29"/>
  <c r="CU278" i="29"/>
  <c r="CT278" i="29"/>
  <c r="CS278" i="29"/>
  <c r="CR278" i="29"/>
  <c r="CQ278" i="29"/>
  <c r="CP278" i="29"/>
  <c r="CO278" i="29"/>
  <c r="CN278" i="29"/>
  <c r="CW277" i="29"/>
  <c r="CV277" i="29"/>
  <c r="CU277" i="29"/>
  <c r="CT277" i="29"/>
  <c r="CS277" i="29"/>
  <c r="CR277" i="29"/>
  <c r="CQ277" i="29"/>
  <c r="CP277" i="29"/>
  <c r="CO277" i="29"/>
  <c r="CN277" i="29"/>
  <c r="BI307" i="29"/>
  <c r="BH307" i="29"/>
  <c r="BG307" i="29"/>
  <c r="BF307" i="29"/>
  <c r="BE307" i="29"/>
  <c r="BD307" i="29"/>
  <c r="BC307" i="29"/>
  <c r="BB307" i="29"/>
  <c r="BA307" i="29"/>
  <c r="AZ307" i="29"/>
  <c r="BI306" i="29"/>
  <c r="BH306" i="29"/>
  <c r="BG306" i="29"/>
  <c r="BF306" i="29"/>
  <c r="BE306" i="29"/>
  <c r="BD306" i="29"/>
  <c r="BC306" i="29"/>
  <c r="BB306" i="29"/>
  <c r="BA306" i="29"/>
  <c r="AZ306" i="29"/>
  <c r="BI305" i="29"/>
  <c r="BH305" i="29"/>
  <c r="BG305" i="29"/>
  <c r="BF305" i="29"/>
  <c r="BE305" i="29"/>
  <c r="BD305" i="29"/>
  <c r="BC305" i="29"/>
  <c r="BB305" i="29"/>
  <c r="BA305" i="29"/>
  <c r="AZ305" i="29"/>
  <c r="BI304" i="29"/>
  <c r="BH304" i="29"/>
  <c r="BG304" i="29"/>
  <c r="BF304" i="29"/>
  <c r="BE304" i="29"/>
  <c r="BD304" i="29"/>
  <c r="BC304" i="29"/>
  <c r="BB304" i="29"/>
  <c r="BA304" i="29"/>
  <c r="AZ304" i="29"/>
  <c r="BI303" i="29"/>
  <c r="BH303" i="29"/>
  <c r="BG303" i="29"/>
  <c r="BF303" i="29"/>
  <c r="BE303" i="29"/>
  <c r="BD303" i="29"/>
  <c r="BC303" i="29"/>
  <c r="BB303" i="29"/>
  <c r="BA303" i="29"/>
  <c r="AZ303" i="29"/>
  <c r="BI302" i="29"/>
  <c r="BH302" i="29"/>
  <c r="BG302" i="29"/>
  <c r="BF302" i="29"/>
  <c r="BE302" i="29"/>
  <c r="BD302" i="29"/>
  <c r="BC302" i="29"/>
  <c r="BB302" i="29"/>
  <c r="BA302" i="29"/>
  <c r="AZ302" i="29"/>
  <c r="BI301" i="29"/>
  <c r="BH301" i="29"/>
  <c r="BG301" i="29"/>
  <c r="BF301" i="29"/>
  <c r="BE301" i="29"/>
  <c r="BD301" i="29"/>
  <c r="BC301" i="29"/>
  <c r="BB301" i="29"/>
  <c r="BA301" i="29"/>
  <c r="AZ301" i="29"/>
  <c r="BI300" i="29"/>
  <c r="BH300" i="29"/>
  <c r="BG300" i="29"/>
  <c r="BF300" i="29"/>
  <c r="BE300" i="29"/>
  <c r="BD300" i="29"/>
  <c r="BC300" i="29"/>
  <c r="BB300" i="29"/>
  <c r="BA300" i="29"/>
  <c r="AZ300" i="29"/>
  <c r="BI299" i="29"/>
  <c r="BH299" i="29"/>
  <c r="BG299" i="29"/>
  <c r="BF299" i="29"/>
  <c r="BE299" i="29"/>
  <c r="BD299" i="29"/>
  <c r="BC299" i="29"/>
  <c r="BB299" i="29"/>
  <c r="BA299" i="29"/>
  <c r="AZ299" i="29"/>
  <c r="BI298" i="29"/>
  <c r="BH298" i="29"/>
  <c r="BG298" i="29"/>
  <c r="BF298" i="29"/>
  <c r="BE298" i="29"/>
  <c r="BD298" i="29"/>
  <c r="BC298" i="29"/>
  <c r="BB298" i="29"/>
  <c r="BA298" i="29"/>
  <c r="AZ298" i="29"/>
  <c r="BI297" i="29"/>
  <c r="BH297" i="29"/>
  <c r="BG297" i="29"/>
  <c r="BF297" i="29"/>
  <c r="BE297" i="29"/>
  <c r="BD297" i="29"/>
  <c r="BC297" i="29"/>
  <c r="BB297" i="29"/>
  <c r="BA297" i="29"/>
  <c r="AZ297" i="29"/>
  <c r="BI296" i="29"/>
  <c r="BH296" i="29"/>
  <c r="BG296" i="29"/>
  <c r="BF296" i="29"/>
  <c r="BE296" i="29"/>
  <c r="BD296" i="29"/>
  <c r="BC296" i="29"/>
  <c r="BB296" i="29"/>
  <c r="BA296" i="29"/>
  <c r="AZ296" i="29"/>
  <c r="BI295" i="29"/>
  <c r="BH295" i="29"/>
  <c r="BG295" i="29"/>
  <c r="BF295" i="29"/>
  <c r="BE295" i="29"/>
  <c r="BD295" i="29"/>
  <c r="BC295" i="29"/>
  <c r="BB295" i="29"/>
  <c r="BA295" i="29"/>
  <c r="AZ295" i="29"/>
  <c r="BI294" i="29"/>
  <c r="BH294" i="29"/>
  <c r="BG294" i="29"/>
  <c r="BF294" i="29"/>
  <c r="BE294" i="29"/>
  <c r="BD294" i="29"/>
  <c r="BC294" i="29"/>
  <c r="BB294" i="29"/>
  <c r="BA294" i="29"/>
  <c r="AZ294" i="29"/>
  <c r="BI293" i="29"/>
  <c r="BH293" i="29"/>
  <c r="BG293" i="29"/>
  <c r="BF293" i="29"/>
  <c r="BE293" i="29"/>
  <c r="BD293" i="29"/>
  <c r="BC293" i="29"/>
  <c r="BB293" i="29"/>
  <c r="BA293" i="29"/>
  <c r="AZ293" i="29"/>
  <c r="BI292" i="29"/>
  <c r="BH292" i="29"/>
  <c r="BG292" i="29"/>
  <c r="BF292" i="29"/>
  <c r="BE292" i="29"/>
  <c r="BD292" i="29"/>
  <c r="BC292" i="29"/>
  <c r="BB292" i="29"/>
  <c r="BA292" i="29"/>
  <c r="AZ292" i="29"/>
  <c r="BI291" i="29"/>
  <c r="BH291" i="29"/>
  <c r="BG291" i="29"/>
  <c r="BF291" i="29"/>
  <c r="BE291" i="29"/>
  <c r="BD291" i="29"/>
  <c r="BC291" i="29"/>
  <c r="BB291" i="29"/>
  <c r="BA291" i="29"/>
  <c r="AZ291" i="29"/>
  <c r="BI290" i="29"/>
  <c r="BH290" i="29"/>
  <c r="BG290" i="29"/>
  <c r="BF290" i="29"/>
  <c r="BE290" i="29"/>
  <c r="BD290" i="29"/>
  <c r="BC290" i="29"/>
  <c r="BB290" i="29"/>
  <c r="BA290" i="29"/>
  <c r="AZ290" i="29"/>
  <c r="BI289" i="29"/>
  <c r="BH289" i="29"/>
  <c r="BG289" i="29"/>
  <c r="BF289" i="29"/>
  <c r="BE289" i="29"/>
  <c r="BD289" i="29"/>
  <c r="BC289" i="29"/>
  <c r="BB289" i="29"/>
  <c r="BA289" i="29"/>
  <c r="AZ289" i="29"/>
  <c r="BI288" i="29"/>
  <c r="BH288" i="29"/>
  <c r="BG288" i="29"/>
  <c r="BF288" i="29"/>
  <c r="BE288" i="29"/>
  <c r="BD288" i="29"/>
  <c r="BC288" i="29"/>
  <c r="BB288" i="29"/>
  <c r="BA288" i="29"/>
  <c r="AZ288" i="29"/>
  <c r="BI287" i="29"/>
  <c r="BH287" i="29"/>
  <c r="BG287" i="29"/>
  <c r="BF287" i="29"/>
  <c r="BE287" i="29"/>
  <c r="BD287" i="29"/>
  <c r="BC287" i="29"/>
  <c r="BB287" i="29"/>
  <c r="BA287" i="29"/>
  <c r="AZ287" i="29"/>
  <c r="BI286" i="29"/>
  <c r="BH286" i="29"/>
  <c r="BG286" i="29"/>
  <c r="BF286" i="29"/>
  <c r="BE286" i="29"/>
  <c r="BD286" i="29"/>
  <c r="BC286" i="29"/>
  <c r="BB286" i="29"/>
  <c r="BA286" i="29"/>
  <c r="AZ286" i="29"/>
  <c r="BI285" i="29"/>
  <c r="BH285" i="29"/>
  <c r="BG285" i="29"/>
  <c r="BF285" i="29"/>
  <c r="BE285" i="29"/>
  <c r="BD285" i="29"/>
  <c r="BC285" i="29"/>
  <c r="BB285" i="29"/>
  <c r="BA285" i="29"/>
  <c r="AZ285" i="29"/>
  <c r="BI284" i="29"/>
  <c r="BH284" i="29"/>
  <c r="BG284" i="29"/>
  <c r="BF284" i="29"/>
  <c r="BE284" i="29"/>
  <c r="BD284" i="29"/>
  <c r="BC284" i="29"/>
  <c r="BB284" i="29"/>
  <c r="BA284" i="29"/>
  <c r="AZ284" i="29"/>
  <c r="BI283" i="29"/>
  <c r="BH283" i="29"/>
  <c r="BG283" i="29"/>
  <c r="BF283" i="29"/>
  <c r="BE283" i="29"/>
  <c r="BD283" i="29"/>
  <c r="BC283" i="29"/>
  <c r="BB283" i="29"/>
  <c r="BA283" i="29"/>
  <c r="AZ283" i="29"/>
  <c r="BI282" i="29"/>
  <c r="BH282" i="29"/>
  <c r="BG282" i="29"/>
  <c r="BF282" i="29"/>
  <c r="BE282" i="29"/>
  <c r="BD282" i="29"/>
  <c r="BC282" i="29"/>
  <c r="BB282" i="29"/>
  <c r="BA282" i="29"/>
  <c r="AZ282" i="29"/>
  <c r="BI281" i="29"/>
  <c r="BH281" i="29"/>
  <c r="BG281" i="29"/>
  <c r="BF281" i="29"/>
  <c r="BE281" i="29"/>
  <c r="BD281" i="29"/>
  <c r="BC281" i="29"/>
  <c r="BB281" i="29"/>
  <c r="BA281" i="29"/>
  <c r="AZ281" i="29"/>
  <c r="BI280" i="29"/>
  <c r="BH280" i="29"/>
  <c r="BG280" i="29"/>
  <c r="BF280" i="29"/>
  <c r="BE280" i="29"/>
  <c r="BD280" i="29"/>
  <c r="BC280" i="29"/>
  <c r="BB280" i="29"/>
  <c r="BA280" i="29"/>
  <c r="AZ280" i="29"/>
  <c r="BI279" i="29"/>
  <c r="BH279" i="29"/>
  <c r="BG279" i="29"/>
  <c r="BF279" i="29"/>
  <c r="BE279" i="29"/>
  <c r="BD279" i="29"/>
  <c r="BC279" i="29"/>
  <c r="BB279" i="29"/>
  <c r="BA279" i="29"/>
  <c r="AZ279" i="29"/>
  <c r="BI278" i="29"/>
  <c r="BH278" i="29"/>
  <c r="BG278" i="29"/>
  <c r="BF278" i="29"/>
  <c r="BE278" i="29"/>
  <c r="BD278" i="29"/>
  <c r="BC278" i="29"/>
  <c r="BB278" i="29"/>
  <c r="BA278" i="29"/>
  <c r="AZ278" i="29"/>
  <c r="BI277" i="29"/>
  <c r="BH277" i="29"/>
  <c r="BG277" i="29"/>
  <c r="BF277" i="29"/>
  <c r="BE277" i="29"/>
  <c r="BD277" i="29"/>
  <c r="BC277" i="29"/>
  <c r="BB277" i="29"/>
  <c r="BA277" i="29"/>
  <c r="AZ277" i="29"/>
  <c r="U307" i="29"/>
  <c r="T307" i="29"/>
  <c r="S307" i="29"/>
  <c r="R307" i="29"/>
  <c r="Q307" i="29"/>
  <c r="P307" i="29"/>
  <c r="O307" i="29"/>
  <c r="N307" i="29"/>
  <c r="M307" i="29"/>
  <c r="L307" i="29"/>
  <c r="U306" i="29"/>
  <c r="T306" i="29"/>
  <c r="S306" i="29"/>
  <c r="R306" i="29"/>
  <c r="Q306" i="29"/>
  <c r="P306" i="29"/>
  <c r="O306" i="29"/>
  <c r="N306" i="29"/>
  <c r="M306" i="29"/>
  <c r="L306" i="29"/>
  <c r="U305" i="29"/>
  <c r="T305" i="29"/>
  <c r="S305" i="29"/>
  <c r="R305" i="29"/>
  <c r="Q305" i="29"/>
  <c r="P305" i="29"/>
  <c r="O305" i="29"/>
  <c r="N305" i="29"/>
  <c r="M305" i="29"/>
  <c r="L305" i="29"/>
  <c r="U304" i="29"/>
  <c r="T304" i="29"/>
  <c r="S304" i="29"/>
  <c r="R304" i="29"/>
  <c r="Q304" i="29"/>
  <c r="P304" i="29"/>
  <c r="O304" i="29"/>
  <c r="N304" i="29"/>
  <c r="M304" i="29"/>
  <c r="L304" i="29"/>
  <c r="U303" i="29"/>
  <c r="T303" i="29"/>
  <c r="S303" i="29"/>
  <c r="R303" i="29"/>
  <c r="Q303" i="29"/>
  <c r="P303" i="29"/>
  <c r="O303" i="29"/>
  <c r="N303" i="29"/>
  <c r="M303" i="29"/>
  <c r="L303" i="29"/>
  <c r="U302" i="29"/>
  <c r="T302" i="29"/>
  <c r="S302" i="29"/>
  <c r="R302" i="29"/>
  <c r="Q302" i="29"/>
  <c r="P302" i="29"/>
  <c r="O302" i="29"/>
  <c r="N302" i="29"/>
  <c r="M302" i="29"/>
  <c r="L302" i="29"/>
  <c r="U301" i="29"/>
  <c r="T301" i="29"/>
  <c r="S301" i="29"/>
  <c r="R301" i="29"/>
  <c r="Q301" i="29"/>
  <c r="P301" i="29"/>
  <c r="O301" i="29"/>
  <c r="N301" i="29"/>
  <c r="M301" i="29"/>
  <c r="L301" i="29"/>
  <c r="U300" i="29"/>
  <c r="T300" i="29"/>
  <c r="S300" i="29"/>
  <c r="R300" i="29"/>
  <c r="Q300" i="29"/>
  <c r="P300" i="29"/>
  <c r="O300" i="29"/>
  <c r="N300" i="29"/>
  <c r="M300" i="29"/>
  <c r="L300" i="29"/>
  <c r="U299" i="29"/>
  <c r="T299" i="29"/>
  <c r="S299" i="29"/>
  <c r="R299" i="29"/>
  <c r="Q299" i="29"/>
  <c r="P299" i="29"/>
  <c r="O299" i="29"/>
  <c r="N299" i="29"/>
  <c r="M299" i="29"/>
  <c r="L299" i="29"/>
  <c r="U298" i="29"/>
  <c r="T298" i="29"/>
  <c r="S298" i="29"/>
  <c r="R298" i="29"/>
  <c r="Q298" i="29"/>
  <c r="P298" i="29"/>
  <c r="O298" i="29"/>
  <c r="N298" i="29"/>
  <c r="M298" i="29"/>
  <c r="L298" i="29"/>
  <c r="U297" i="29"/>
  <c r="T297" i="29"/>
  <c r="S297" i="29"/>
  <c r="R297" i="29"/>
  <c r="Q297" i="29"/>
  <c r="P297" i="29"/>
  <c r="O297" i="29"/>
  <c r="N297" i="29"/>
  <c r="M297" i="29"/>
  <c r="L297" i="29"/>
  <c r="U296" i="29"/>
  <c r="T296" i="29"/>
  <c r="S296" i="29"/>
  <c r="R296" i="29"/>
  <c r="Q296" i="29"/>
  <c r="P296" i="29"/>
  <c r="O296" i="29"/>
  <c r="N296" i="29"/>
  <c r="M296" i="29"/>
  <c r="L296" i="29"/>
  <c r="U295" i="29"/>
  <c r="T295" i="29"/>
  <c r="S295" i="29"/>
  <c r="R295" i="29"/>
  <c r="Q295" i="29"/>
  <c r="P295" i="29"/>
  <c r="O295" i="29"/>
  <c r="N295" i="29"/>
  <c r="M295" i="29"/>
  <c r="L295" i="29"/>
  <c r="U294" i="29"/>
  <c r="T294" i="29"/>
  <c r="S294" i="29"/>
  <c r="R294" i="29"/>
  <c r="Q294" i="29"/>
  <c r="P294" i="29"/>
  <c r="O294" i="29"/>
  <c r="N294" i="29"/>
  <c r="M294" i="29"/>
  <c r="L294" i="29"/>
  <c r="U293" i="29"/>
  <c r="T293" i="29"/>
  <c r="S293" i="29"/>
  <c r="R293" i="29"/>
  <c r="Q293" i="29"/>
  <c r="P293" i="29"/>
  <c r="O293" i="29"/>
  <c r="N293" i="29"/>
  <c r="M293" i="29"/>
  <c r="L293" i="29"/>
  <c r="U292" i="29"/>
  <c r="T292" i="29"/>
  <c r="S292" i="29"/>
  <c r="R292" i="29"/>
  <c r="Q292" i="29"/>
  <c r="P292" i="29"/>
  <c r="O292" i="29"/>
  <c r="N292" i="29"/>
  <c r="M292" i="29"/>
  <c r="L292" i="29"/>
  <c r="U291" i="29"/>
  <c r="T291" i="29"/>
  <c r="S291" i="29"/>
  <c r="R291" i="29"/>
  <c r="Q291" i="29"/>
  <c r="P291" i="29"/>
  <c r="O291" i="29"/>
  <c r="N291" i="29"/>
  <c r="M291" i="29"/>
  <c r="L291" i="29"/>
  <c r="U290" i="29"/>
  <c r="T290" i="29"/>
  <c r="S290" i="29"/>
  <c r="R290" i="29"/>
  <c r="Q290" i="29"/>
  <c r="P290" i="29"/>
  <c r="O290" i="29"/>
  <c r="N290" i="29"/>
  <c r="M290" i="29"/>
  <c r="L290" i="29"/>
  <c r="U289" i="29"/>
  <c r="T289" i="29"/>
  <c r="S289" i="29"/>
  <c r="R289" i="29"/>
  <c r="Q289" i="29"/>
  <c r="P289" i="29"/>
  <c r="O289" i="29"/>
  <c r="N289" i="29"/>
  <c r="M289" i="29"/>
  <c r="L289" i="29"/>
  <c r="U288" i="29"/>
  <c r="T288" i="29"/>
  <c r="S288" i="29"/>
  <c r="R288" i="29"/>
  <c r="Q288" i="29"/>
  <c r="P288" i="29"/>
  <c r="O288" i="29"/>
  <c r="N288" i="29"/>
  <c r="M288" i="29"/>
  <c r="L288" i="29"/>
  <c r="U287" i="29"/>
  <c r="T287" i="29"/>
  <c r="S287" i="29"/>
  <c r="R287" i="29"/>
  <c r="Q287" i="29"/>
  <c r="P287" i="29"/>
  <c r="O287" i="29"/>
  <c r="N287" i="29"/>
  <c r="M287" i="29"/>
  <c r="L287" i="29"/>
  <c r="U286" i="29"/>
  <c r="T286" i="29"/>
  <c r="S286" i="29"/>
  <c r="R286" i="29"/>
  <c r="Q286" i="29"/>
  <c r="P286" i="29"/>
  <c r="O286" i="29"/>
  <c r="N286" i="29"/>
  <c r="M286" i="29"/>
  <c r="L286" i="29"/>
  <c r="U285" i="29"/>
  <c r="T285" i="29"/>
  <c r="S285" i="29"/>
  <c r="R285" i="29"/>
  <c r="Q285" i="29"/>
  <c r="P285" i="29"/>
  <c r="O285" i="29"/>
  <c r="N285" i="29"/>
  <c r="M285" i="29"/>
  <c r="L285" i="29"/>
  <c r="U284" i="29"/>
  <c r="T284" i="29"/>
  <c r="S284" i="29"/>
  <c r="R284" i="29"/>
  <c r="Q284" i="29"/>
  <c r="P284" i="29"/>
  <c r="O284" i="29"/>
  <c r="N284" i="29"/>
  <c r="M284" i="29"/>
  <c r="L284" i="29"/>
  <c r="U283" i="29"/>
  <c r="T283" i="29"/>
  <c r="S283" i="29"/>
  <c r="R283" i="29"/>
  <c r="Q283" i="29"/>
  <c r="P283" i="29"/>
  <c r="O283" i="29"/>
  <c r="N283" i="29"/>
  <c r="M283" i="29"/>
  <c r="L283" i="29"/>
  <c r="U282" i="29"/>
  <c r="T282" i="29"/>
  <c r="S282" i="29"/>
  <c r="R282" i="29"/>
  <c r="Q282" i="29"/>
  <c r="P282" i="29"/>
  <c r="O282" i="29"/>
  <c r="N282" i="29"/>
  <c r="M282" i="29"/>
  <c r="L282" i="29"/>
  <c r="U281" i="29"/>
  <c r="T281" i="29"/>
  <c r="S281" i="29"/>
  <c r="R281" i="29"/>
  <c r="Q281" i="29"/>
  <c r="P281" i="29"/>
  <c r="O281" i="29"/>
  <c r="N281" i="29"/>
  <c r="M281" i="29"/>
  <c r="L281" i="29"/>
  <c r="U280" i="29"/>
  <c r="T280" i="29"/>
  <c r="S280" i="29"/>
  <c r="R280" i="29"/>
  <c r="Q280" i="29"/>
  <c r="P280" i="29"/>
  <c r="O280" i="29"/>
  <c r="N280" i="29"/>
  <c r="M280" i="29"/>
  <c r="L280" i="29"/>
  <c r="U279" i="29"/>
  <c r="T279" i="29"/>
  <c r="S279" i="29"/>
  <c r="R279" i="29"/>
  <c r="Q279" i="29"/>
  <c r="P279" i="29"/>
  <c r="O279" i="29"/>
  <c r="N279" i="29"/>
  <c r="M279" i="29"/>
  <c r="L279" i="29"/>
  <c r="U278" i="29"/>
  <c r="T278" i="29"/>
  <c r="S278" i="29"/>
  <c r="R278" i="29"/>
  <c r="Q278" i="29"/>
  <c r="P278" i="29"/>
  <c r="O278" i="29"/>
  <c r="N278" i="29"/>
  <c r="M278" i="29"/>
  <c r="L278" i="29"/>
  <c r="U277" i="29"/>
  <c r="T277" i="29"/>
  <c r="S277" i="29"/>
  <c r="R277" i="29"/>
  <c r="Q277" i="29"/>
  <c r="P277" i="29"/>
  <c r="O277" i="29"/>
  <c r="N277" i="29"/>
  <c r="M277" i="29"/>
  <c r="L277" i="29"/>
  <c r="CW276" i="29"/>
  <c r="CV276" i="29"/>
  <c r="CU276" i="29"/>
  <c r="CT276" i="29"/>
  <c r="CS276" i="29"/>
  <c r="CR276" i="29"/>
  <c r="CQ276" i="29"/>
  <c r="CP276" i="29"/>
  <c r="CO276" i="29"/>
  <c r="CN276" i="29"/>
  <c r="CW275" i="29"/>
  <c r="CV275" i="29"/>
  <c r="CU275" i="29"/>
  <c r="CT275" i="29"/>
  <c r="CS275" i="29"/>
  <c r="CR275" i="29"/>
  <c r="CQ275" i="29"/>
  <c r="CP275" i="29"/>
  <c r="CO275" i="29"/>
  <c r="CN275" i="29"/>
  <c r="CW274" i="29"/>
  <c r="CV274" i="29"/>
  <c r="CU274" i="29"/>
  <c r="CT274" i="29"/>
  <c r="CS274" i="29"/>
  <c r="CR274" i="29"/>
  <c r="CQ274" i="29"/>
  <c r="CP274" i="29"/>
  <c r="CO274" i="29"/>
  <c r="CN274" i="29"/>
  <c r="CW273" i="29"/>
  <c r="CV273" i="29"/>
  <c r="CU273" i="29"/>
  <c r="CT273" i="29"/>
  <c r="CS273" i="29"/>
  <c r="CR273" i="29"/>
  <c r="CQ273" i="29"/>
  <c r="CP273" i="29"/>
  <c r="CO273" i="29"/>
  <c r="CN273" i="29"/>
  <c r="CW272" i="29"/>
  <c r="CV272" i="29"/>
  <c r="CU272" i="29"/>
  <c r="CT272" i="29"/>
  <c r="CS272" i="29"/>
  <c r="CR272" i="29"/>
  <c r="CQ272" i="29"/>
  <c r="CP272" i="29"/>
  <c r="CO272" i="29"/>
  <c r="CN272" i="29"/>
  <c r="CW271" i="29"/>
  <c r="CV271" i="29"/>
  <c r="CU271" i="29"/>
  <c r="CT271" i="29"/>
  <c r="CS271" i="29"/>
  <c r="CR271" i="29"/>
  <c r="CQ271" i="29"/>
  <c r="CP271" i="29"/>
  <c r="CO271" i="29"/>
  <c r="CN271" i="29"/>
  <c r="CW270" i="29"/>
  <c r="CV270" i="29"/>
  <c r="CU270" i="29"/>
  <c r="CT270" i="29"/>
  <c r="CS270" i="29"/>
  <c r="CR270" i="29"/>
  <c r="CQ270" i="29"/>
  <c r="CP270" i="29"/>
  <c r="CO270" i="29"/>
  <c r="CN270" i="29"/>
  <c r="CW269" i="29"/>
  <c r="CV269" i="29"/>
  <c r="CU269" i="29"/>
  <c r="CT269" i="29"/>
  <c r="CS269" i="29"/>
  <c r="CR269" i="29"/>
  <c r="CQ269" i="29"/>
  <c r="CP269" i="29"/>
  <c r="CO269" i="29"/>
  <c r="CN269" i="29"/>
  <c r="CW268" i="29"/>
  <c r="CV268" i="29"/>
  <c r="CU268" i="29"/>
  <c r="CT268" i="29"/>
  <c r="CS268" i="29"/>
  <c r="CR268" i="29"/>
  <c r="CQ268" i="29"/>
  <c r="CP268" i="29"/>
  <c r="CO268" i="29"/>
  <c r="CN268" i="29"/>
  <c r="CW267" i="29"/>
  <c r="CV267" i="29"/>
  <c r="CU267" i="29"/>
  <c r="CT267" i="29"/>
  <c r="CS267" i="29"/>
  <c r="CR267" i="29"/>
  <c r="CQ267" i="29"/>
  <c r="CP267" i="29"/>
  <c r="CO267" i="29"/>
  <c r="CN267" i="29"/>
  <c r="CW266" i="29"/>
  <c r="CV266" i="29"/>
  <c r="CU266" i="29"/>
  <c r="CT266" i="29"/>
  <c r="CS266" i="29"/>
  <c r="CR266" i="29"/>
  <c r="CQ266" i="29"/>
  <c r="CP266" i="29"/>
  <c r="CO266" i="29"/>
  <c r="CN266" i="29"/>
  <c r="CW265" i="29"/>
  <c r="CV265" i="29"/>
  <c r="CU265" i="29"/>
  <c r="CT265" i="29"/>
  <c r="CS265" i="29"/>
  <c r="CR265" i="29"/>
  <c r="CQ265" i="29"/>
  <c r="CP265" i="29"/>
  <c r="CO265" i="29"/>
  <c r="CN265" i="29"/>
  <c r="CW264" i="29"/>
  <c r="CV264" i="29"/>
  <c r="CU264" i="29"/>
  <c r="CT264" i="29"/>
  <c r="CS264" i="29"/>
  <c r="CR264" i="29"/>
  <c r="CQ264" i="29"/>
  <c r="CP264" i="29"/>
  <c r="CO264" i="29"/>
  <c r="CN264" i="29"/>
  <c r="CW263" i="29"/>
  <c r="CV263" i="29"/>
  <c r="CU263" i="29"/>
  <c r="CT263" i="29"/>
  <c r="CS263" i="29"/>
  <c r="CR263" i="29"/>
  <c r="CQ263" i="29"/>
  <c r="CP263" i="29"/>
  <c r="CO263" i="29"/>
  <c r="CN263" i="29"/>
  <c r="CW262" i="29"/>
  <c r="CV262" i="29"/>
  <c r="CU262" i="29"/>
  <c r="CT262" i="29"/>
  <c r="CS262" i="29"/>
  <c r="CR262" i="29"/>
  <c r="CQ262" i="29"/>
  <c r="CP262" i="29"/>
  <c r="CO262" i="29"/>
  <c r="CN262" i="29"/>
  <c r="CW261" i="29"/>
  <c r="CV261" i="29"/>
  <c r="CU261" i="29"/>
  <c r="CT261" i="29"/>
  <c r="CS261" i="29"/>
  <c r="CR261" i="29"/>
  <c r="CQ261" i="29"/>
  <c r="CP261" i="29"/>
  <c r="CO261" i="29"/>
  <c r="CN261" i="29"/>
  <c r="CW260" i="29"/>
  <c r="CV260" i="29"/>
  <c r="CU260" i="29"/>
  <c r="CT260" i="29"/>
  <c r="CS260" i="29"/>
  <c r="CR260" i="29"/>
  <c r="CQ260" i="29"/>
  <c r="CP260" i="29"/>
  <c r="CO260" i="29"/>
  <c r="CN260" i="29"/>
  <c r="CW259" i="29"/>
  <c r="CV259" i="29"/>
  <c r="CU259" i="29"/>
  <c r="CT259" i="29"/>
  <c r="CS259" i="29"/>
  <c r="CR259" i="29"/>
  <c r="CQ259" i="29"/>
  <c r="CP259" i="29"/>
  <c r="CO259" i="29"/>
  <c r="CN259" i="29"/>
  <c r="CW258" i="29"/>
  <c r="CV258" i="29"/>
  <c r="CU258" i="29"/>
  <c r="CT258" i="29"/>
  <c r="CS258" i="29"/>
  <c r="CR258" i="29"/>
  <c r="CQ258" i="29"/>
  <c r="CP258" i="29"/>
  <c r="CO258" i="29"/>
  <c r="CN258" i="29"/>
  <c r="CW257" i="29"/>
  <c r="CV257" i="29"/>
  <c r="CU257" i="29"/>
  <c r="CT257" i="29"/>
  <c r="CS257" i="29"/>
  <c r="CR257" i="29"/>
  <c r="CQ257" i="29"/>
  <c r="CP257" i="29"/>
  <c r="CO257" i="29"/>
  <c r="CN257" i="29"/>
  <c r="CW256" i="29"/>
  <c r="CV256" i="29"/>
  <c r="CU256" i="29"/>
  <c r="CT256" i="29"/>
  <c r="CS256" i="29"/>
  <c r="CR256" i="29"/>
  <c r="CQ256" i="29"/>
  <c r="CP256" i="29"/>
  <c r="CO256" i="29"/>
  <c r="CN256" i="29"/>
  <c r="CW255" i="29"/>
  <c r="CV255" i="29"/>
  <c r="CU255" i="29"/>
  <c r="CT255" i="29"/>
  <c r="CS255" i="29"/>
  <c r="CR255" i="29"/>
  <c r="CQ255" i="29"/>
  <c r="CP255" i="29"/>
  <c r="CO255" i="29"/>
  <c r="CN255" i="29"/>
  <c r="CW254" i="29"/>
  <c r="CV254" i="29"/>
  <c r="CU254" i="29"/>
  <c r="CT254" i="29"/>
  <c r="CS254" i="29"/>
  <c r="CR254" i="29"/>
  <c r="CQ254" i="29"/>
  <c r="CP254" i="29"/>
  <c r="CO254" i="29"/>
  <c r="CN254" i="29"/>
  <c r="CW253" i="29"/>
  <c r="CV253" i="29"/>
  <c r="CU253" i="29"/>
  <c r="CT253" i="29"/>
  <c r="CS253" i="29"/>
  <c r="CR253" i="29"/>
  <c r="CQ253" i="29"/>
  <c r="CP253" i="29"/>
  <c r="CO253" i="29"/>
  <c r="CN253" i="29"/>
  <c r="CW252" i="29"/>
  <c r="CV252" i="29"/>
  <c r="CU252" i="29"/>
  <c r="CT252" i="29"/>
  <c r="CS252" i="29"/>
  <c r="CR252" i="29"/>
  <c r="CQ252" i="29"/>
  <c r="CP252" i="29"/>
  <c r="CO252" i="29"/>
  <c r="CN252" i="29"/>
  <c r="CW251" i="29"/>
  <c r="CV251" i="29"/>
  <c r="CU251" i="29"/>
  <c r="CT251" i="29"/>
  <c r="CS251" i="29"/>
  <c r="CR251" i="29"/>
  <c r="CQ251" i="29"/>
  <c r="CP251" i="29"/>
  <c r="CO251" i="29"/>
  <c r="CN251" i="29"/>
  <c r="CW250" i="29"/>
  <c r="CV250" i="29"/>
  <c r="CU250" i="29"/>
  <c r="CT250" i="29"/>
  <c r="CS250" i="29"/>
  <c r="CR250" i="29"/>
  <c r="CQ250" i="29"/>
  <c r="CP250" i="29"/>
  <c r="CO250" i="29"/>
  <c r="CN250" i="29"/>
  <c r="CW249" i="29"/>
  <c r="CV249" i="29"/>
  <c r="CU249" i="29"/>
  <c r="CT249" i="29"/>
  <c r="CS249" i="29"/>
  <c r="CR249" i="29"/>
  <c r="CQ249" i="29"/>
  <c r="CP249" i="29"/>
  <c r="CO249" i="29"/>
  <c r="CN249" i="29"/>
  <c r="CW248" i="29"/>
  <c r="CV248" i="29"/>
  <c r="CU248" i="29"/>
  <c r="CT248" i="29"/>
  <c r="CS248" i="29"/>
  <c r="CR248" i="29"/>
  <c r="CQ248" i="29"/>
  <c r="CP248" i="29"/>
  <c r="CO248" i="29"/>
  <c r="CN248" i="29"/>
  <c r="CW247" i="29"/>
  <c r="CV247" i="29"/>
  <c r="CU247" i="29"/>
  <c r="CT247" i="29"/>
  <c r="CS247" i="29"/>
  <c r="CR247" i="29"/>
  <c r="CQ247" i="29"/>
  <c r="CP247" i="29"/>
  <c r="CO247" i="29"/>
  <c r="CN247" i="29"/>
  <c r="BI276" i="29"/>
  <c r="BH276" i="29"/>
  <c r="BG276" i="29"/>
  <c r="BF276" i="29"/>
  <c r="BE276" i="29"/>
  <c r="BD276" i="29"/>
  <c r="BC276" i="29"/>
  <c r="BB276" i="29"/>
  <c r="BA276" i="29"/>
  <c r="AZ276" i="29"/>
  <c r="BI275" i="29"/>
  <c r="BH275" i="29"/>
  <c r="BG275" i="29"/>
  <c r="BF275" i="29"/>
  <c r="BE275" i="29"/>
  <c r="BD275" i="29"/>
  <c r="BC275" i="29"/>
  <c r="BB275" i="29"/>
  <c r="BA275" i="29"/>
  <c r="AZ275" i="29"/>
  <c r="BI274" i="29"/>
  <c r="BH274" i="29"/>
  <c r="BG274" i="29"/>
  <c r="BF274" i="29"/>
  <c r="BE274" i="29"/>
  <c r="BD274" i="29"/>
  <c r="BC274" i="29"/>
  <c r="BB274" i="29"/>
  <c r="BA274" i="29"/>
  <c r="AZ274" i="29"/>
  <c r="BI273" i="29"/>
  <c r="BH273" i="29"/>
  <c r="BG273" i="29"/>
  <c r="BF273" i="29"/>
  <c r="BE273" i="29"/>
  <c r="BD273" i="29"/>
  <c r="BC273" i="29"/>
  <c r="BB273" i="29"/>
  <c r="BA273" i="29"/>
  <c r="AZ273" i="29"/>
  <c r="BI272" i="29"/>
  <c r="BH272" i="29"/>
  <c r="BG272" i="29"/>
  <c r="BF272" i="29"/>
  <c r="BE272" i="29"/>
  <c r="BD272" i="29"/>
  <c r="BC272" i="29"/>
  <c r="BB272" i="29"/>
  <c r="BA272" i="29"/>
  <c r="AZ272" i="29"/>
  <c r="BI271" i="29"/>
  <c r="BH271" i="29"/>
  <c r="BG271" i="29"/>
  <c r="BF271" i="29"/>
  <c r="BE271" i="29"/>
  <c r="BD271" i="29"/>
  <c r="BC271" i="29"/>
  <c r="BB271" i="29"/>
  <c r="BA271" i="29"/>
  <c r="AZ271" i="29"/>
  <c r="BI270" i="29"/>
  <c r="BH270" i="29"/>
  <c r="BG270" i="29"/>
  <c r="BF270" i="29"/>
  <c r="BE270" i="29"/>
  <c r="BD270" i="29"/>
  <c r="BC270" i="29"/>
  <c r="BB270" i="29"/>
  <c r="BA270" i="29"/>
  <c r="AZ270" i="29"/>
  <c r="BI269" i="29"/>
  <c r="BH269" i="29"/>
  <c r="BG269" i="29"/>
  <c r="BF269" i="29"/>
  <c r="BE269" i="29"/>
  <c r="BD269" i="29"/>
  <c r="BC269" i="29"/>
  <c r="BB269" i="29"/>
  <c r="BA269" i="29"/>
  <c r="AZ269" i="29"/>
  <c r="BI268" i="29"/>
  <c r="BH268" i="29"/>
  <c r="BG268" i="29"/>
  <c r="BF268" i="29"/>
  <c r="BE268" i="29"/>
  <c r="BD268" i="29"/>
  <c r="BC268" i="29"/>
  <c r="BB268" i="29"/>
  <c r="BA268" i="29"/>
  <c r="AZ268" i="29"/>
  <c r="BI267" i="29"/>
  <c r="BH267" i="29"/>
  <c r="BG267" i="29"/>
  <c r="BF267" i="29"/>
  <c r="BE267" i="29"/>
  <c r="BD267" i="29"/>
  <c r="BC267" i="29"/>
  <c r="BB267" i="29"/>
  <c r="BA267" i="29"/>
  <c r="AZ267" i="29"/>
  <c r="BI266" i="29"/>
  <c r="BH266" i="29"/>
  <c r="BG266" i="29"/>
  <c r="BF266" i="29"/>
  <c r="BE266" i="29"/>
  <c r="BD266" i="29"/>
  <c r="BC266" i="29"/>
  <c r="BB266" i="29"/>
  <c r="BA266" i="29"/>
  <c r="AZ266" i="29"/>
  <c r="BI265" i="29"/>
  <c r="BH265" i="29"/>
  <c r="BG265" i="29"/>
  <c r="BF265" i="29"/>
  <c r="BE265" i="29"/>
  <c r="BD265" i="29"/>
  <c r="BC265" i="29"/>
  <c r="BB265" i="29"/>
  <c r="BA265" i="29"/>
  <c r="AZ265" i="29"/>
  <c r="BI264" i="29"/>
  <c r="BH264" i="29"/>
  <c r="BG264" i="29"/>
  <c r="BF264" i="29"/>
  <c r="BE264" i="29"/>
  <c r="BD264" i="29"/>
  <c r="BC264" i="29"/>
  <c r="BB264" i="29"/>
  <c r="BA264" i="29"/>
  <c r="AZ264" i="29"/>
  <c r="BI263" i="29"/>
  <c r="BH263" i="29"/>
  <c r="BG263" i="29"/>
  <c r="BF263" i="29"/>
  <c r="BE263" i="29"/>
  <c r="BD263" i="29"/>
  <c r="BC263" i="29"/>
  <c r="BB263" i="29"/>
  <c r="BA263" i="29"/>
  <c r="AZ263" i="29"/>
  <c r="BI262" i="29"/>
  <c r="BH262" i="29"/>
  <c r="BG262" i="29"/>
  <c r="BF262" i="29"/>
  <c r="BE262" i="29"/>
  <c r="BD262" i="29"/>
  <c r="BC262" i="29"/>
  <c r="BB262" i="29"/>
  <c r="BA262" i="29"/>
  <c r="AZ262" i="29"/>
  <c r="BI261" i="29"/>
  <c r="BH261" i="29"/>
  <c r="BG261" i="29"/>
  <c r="BF261" i="29"/>
  <c r="BE261" i="29"/>
  <c r="BD261" i="29"/>
  <c r="BC261" i="29"/>
  <c r="BB261" i="29"/>
  <c r="BA261" i="29"/>
  <c r="AZ261" i="29"/>
  <c r="BI260" i="29"/>
  <c r="BH260" i="29"/>
  <c r="BG260" i="29"/>
  <c r="BF260" i="29"/>
  <c r="BE260" i="29"/>
  <c r="BD260" i="29"/>
  <c r="BC260" i="29"/>
  <c r="BB260" i="29"/>
  <c r="BA260" i="29"/>
  <c r="AZ260" i="29"/>
  <c r="BI259" i="29"/>
  <c r="BH259" i="29"/>
  <c r="BG259" i="29"/>
  <c r="BF259" i="29"/>
  <c r="BE259" i="29"/>
  <c r="BD259" i="29"/>
  <c r="BC259" i="29"/>
  <c r="BB259" i="29"/>
  <c r="BA259" i="29"/>
  <c r="AZ259" i="29"/>
  <c r="BI258" i="29"/>
  <c r="BH258" i="29"/>
  <c r="BG258" i="29"/>
  <c r="BF258" i="29"/>
  <c r="BE258" i="29"/>
  <c r="BD258" i="29"/>
  <c r="BC258" i="29"/>
  <c r="BB258" i="29"/>
  <c r="BA258" i="29"/>
  <c r="AZ258" i="29"/>
  <c r="BI257" i="29"/>
  <c r="BH257" i="29"/>
  <c r="BG257" i="29"/>
  <c r="BF257" i="29"/>
  <c r="BE257" i="29"/>
  <c r="BD257" i="29"/>
  <c r="BC257" i="29"/>
  <c r="BB257" i="29"/>
  <c r="BA257" i="29"/>
  <c r="AZ257" i="29"/>
  <c r="BI256" i="29"/>
  <c r="BH256" i="29"/>
  <c r="BG256" i="29"/>
  <c r="BF256" i="29"/>
  <c r="BE256" i="29"/>
  <c r="BD256" i="29"/>
  <c r="BC256" i="29"/>
  <c r="BB256" i="29"/>
  <c r="BA256" i="29"/>
  <c r="AZ256" i="29"/>
  <c r="BI255" i="29"/>
  <c r="BH255" i="29"/>
  <c r="BG255" i="29"/>
  <c r="BF255" i="29"/>
  <c r="BE255" i="29"/>
  <c r="BD255" i="29"/>
  <c r="BC255" i="29"/>
  <c r="BB255" i="29"/>
  <c r="BA255" i="29"/>
  <c r="AZ255" i="29"/>
  <c r="BI254" i="29"/>
  <c r="BH254" i="29"/>
  <c r="BG254" i="29"/>
  <c r="BF254" i="29"/>
  <c r="BE254" i="29"/>
  <c r="BD254" i="29"/>
  <c r="BC254" i="29"/>
  <c r="BB254" i="29"/>
  <c r="BA254" i="29"/>
  <c r="AZ254" i="29"/>
  <c r="BI253" i="29"/>
  <c r="BH253" i="29"/>
  <c r="BG253" i="29"/>
  <c r="BF253" i="29"/>
  <c r="BE253" i="29"/>
  <c r="BD253" i="29"/>
  <c r="BC253" i="29"/>
  <c r="BB253" i="29"/>
  <c r="BA253" i="29"/>
  <c r="AZ253" i="29"/>
  <c r="BI252" i="29"/>
  <c r="BH252" i="29"/>
  <c r="BG252" i="29"/>
  <c r="BF252" i="29"/>
  <c r="BE252" i="29"/>
  <c r="BD252" i="29"/>
  <c r="BC252" i="29"/>
  <c r="BB252" i="29"/>
  <c r="BA252" i="29"/>
  <c r="AZ252" i="29"/>
  <c r="BI251" i="29"/>
  <c r="BH251" i="29"/>
  <c r="BG251" i="29"/>
  <c r="BF251" i="29"/>
  <c r="BE251" i="29"/>
  <c r="BD251" i="29"/>
  <c r="BC251" i="29"/>
  <c r="BB251" i="29"/>
  <c r="BA251" i="29"/>
  <c r="AZ251" i="29"/>
  <c r="BI250" i="29"/>
  <c r="BH250" i="29"/>
  <c r="BG250" i="29"/>
  <c r="BF250" i="29"/>
  <c r="BE250" i="29"/>
  <c r="BD250" i="29"/>
  <c r="BC250" i="29"/>
  <c r="BB250" i="29"/>
  <c r="BA250" i="29"/>
  <c r="AZ250" i="29"/>
  <c r="BI249" i="29"/>
  <c r="BH249" i="29"/>
  <c r="BG249" i="29"/>
  <c r="BF249" i="29"/>
  <c r="BE249" i="29"/>
  <c r="BD249" i="29"/>
  <c r="BC249" i="29"/>
  <c r="BB249" i="29"/>
  <c r="BA249" i="29"/>
  <c r="AZ249" i="29"/>
  <c r="BI248" i="29"/>
  <c r="BH248" i="29"/>
  <c r="BG248" i="29"/>
  <c r="BF248" i="29"/>
  <c r="BE248" i="29"/>
  <c r="BD248" i="29"/>
  <c r="BC248" i="29"/>
  <c r="BB248" i="29"/>
  <c r="BA248" i="29"/>
  <c r="AZ248" i="29"/>
  <c r="BI247" i="29"/>
  <c r="BH247" i="29"/>
  <c r="BG247" i="29"/>
  <c r="BF247" i="29"/>
  <c r="BE247" i="29"/>
  <c r="BD247" i="29"/>
  <c r="BC247" i="29"/>
  <c r="BB247" i="29"/>
  <c r="BA247" i="29"/>
  <c r="AZ247" i="29"/>
  <c r="U276" i="29"/>
  <c r="T276" i="29"/>
  <c r="S276" i="29"/>
  <c r="R276" i="29"/>
  <c r="Q276" i="29"/>
  <c r="P276" i="29"/>
  <c r="O276" i="29"/>
  <c r="N276" i="29"/>
  <c r="M276" i="29"/>
  <c r="L276" i="29"/>
  <c r="U275" i="29"/>
  <c r="T275" i="29"/>
  <c r="S275" i="29"/>
  <c r="R275" i="29"/>
  <c r="Q275" i="29"/>
  <c r="P275" i="29"/>
  <c r="O275" i="29"/>
  <c r="N275" i="29"/>
  <c r="M275" i="29"/>
  <c r="L275" i="29"/>
  <c r="U274" i="29"/>
  <c r="T274" i="29"/>
  <c r="S274" i="29"/>
  <c r="R274" i="29"/>
  <c r="Q274" i="29"/>
  <c r="P274" i="29"/>
  <c r="O274" i="29"/>
  <c r="N274" i="29"/>
  <c r="M274" i="29"/>
  <c r="L274" i="29"/>
  <c r="U273" i="29"/>
  <c r="T273" i="29"/>
  <c r="S273" i="29"/>
  <c r="R273" i="29"/>
  <c r="Q273" i="29"/>
  <c r="P273" i="29"/>
  <c r="O273" i="29"/>
  <c r="N273" i="29"/>
  <c r="M273" i="29"/>
  <c r="L273" i="29"/>
  <c r="U272" i="29"/>
  <c r="T272" i="29"/>
  <c r="S272" i="29"/>
  <c r="R272" i="29"/>
  <c r="Q272" i="29"/>
  <c r="P272" i="29"/>
  <c r="O272" i="29"/>
  <c r="N272" i="29"/>
  <c r="M272" i="29"/>
  <c r="L272" i="29"/>
  <c r="U271" i="29"/>
  <c r="T271" i="29"/>
  <c r="S271" i="29"/>
  <c r="R271" i="29"/>
  <c r="Q271" i="29"/>
  <c r="P271" i="29"/>
  <c r="O271" i="29"/>
  <c r="N271" i="29"/>
  <c r="M271" i="29"/>
  <c r="L271" i="29"/>
  <c r="U270" i="29"/>
  <c r="T270" i="29"/>
  <c r="S270" i="29"/>
  <c r="R270" i="29"/>
  <c r="Q270" i="29"/>
  <c r="P270" i="29"/>
  <c r="O270" i="29"/>
  <c r="N270" i="29"/>
  <c r="M270" i="29"/>
  <c r="L270" i="29"/>
  <c r="U269" i="29"/>
  <c r="T269" i="29"/>
  <c r="S269" i="29"/>
  <c r="R269" i="29"/>
  <c r="Q269" i="29"/>
  <c r="P269" i="29"/>
  <c r="O269" i="29"/>
  <c r="N269" i="29"/>
  <c r="M269" i="29"/>
  <c r="L269" i="29"/>
  <c r="U268" i="29"/>
  <c r="T268" i="29"/>
  <c r="S268" i="29"/>
  <c r="R268" i="29"/>
  <c r="Q268" i="29"/>
  <c r="P268" i="29"/>
  <c r="O268" i="29"/>
  <c r="N268" i="29"/>
  <c r="M268" i="29"/>
  <c r="L268" i="29"/>
  <c r="U267" i="29"/>
  <c r="T267" i="29"/>
  <c r="S267" i="29"/>
  <c r="R267" i="29"/>
  <c r="Q267" i="29"/>
  <c r="P267" i="29"/>
  <c r="O267" i="29"/>
  <c r="N267" i="29"/>
  <c r="M267" i="29"/>
  <c r="L267" i="29"/>
  <c r="U266" i="29"/>
  <c r="T266" i="29"/>
  <c r="S266" i="29"/>
  <c r="R266" i="29"/>
  <c r="Q266" i="29"/>
  <c r="P266" i="29"/>
  <c r="O266" i="29"/>
  <c r="N266" i="29"/>
  <c r="M266" i="29"/>
  <c r="L266" i="29"/>
  <c r="U265" i="29"/>
  <c r="T265" i="29"/>
  <c r="S265" i="29"/>
  <c r="R265" i="29"/>
  <c r="Q265" i="29"/>
  <c r="P265" i="29"/>
  <c r="O265" i="29"/>
  <c r="N265" i="29"/>
  <c r="M265" i="29"/>
  <c r="L265" i="29"/>
  <c r="U264" i="29"/>
  <c r="T264" i="29"/>
  <c r="S264" i="29"/>
  <c r="R264" i="29"/>
  <c r="Q264" i="29"/>
  <c r="P264" i="29"/>
  <c r="O264" i="29"/>
  <c r="N264" i="29"/>
  <c r="M264" i="29"/>
  <c r="L264" i="29"/>
  <c r="U263" i="29"/>
  <c r="T263" i="29"/>
  <c r="S263" i="29"/>
  <c r="R263" i="29"/>
  <c r="Q263" i="29"/>
  <c r="P263" i="29"/>
  <c r="O263" i="29"/>
  <c r="N263" i="29"/>
  <c r="M263" i="29"/>
  <c r="L263" i="29"/>
  <c r="U262" i="29"/>
  <c r="T262" i="29"/>
  <c r="S262" i="29"/>
  <c r="R262" i="29"/>
  <c r="Q262" i="29"/>
  <c r="P262" i="29"/>
  <c r="O262" i="29"/>
  <c r="N262" i="29"/>
  <c r="M262" i="29"/>
  <c r="L262" i="29"/>
  <c r="U261" i="29"/>
  <c r="T261" i="29"/>
  <c r="S261" i="29"/>
  <c r="R261" i="29"/>
  <c r="Q261" i="29"/>
  <c r="P261" i="29"/>
  <c r="O261" i="29"/>
  <c r="N261" i="29"/>
  <c r="M261" i="29"/>
  <c r="L261" i="29"/>
  <c r="U260" i="29"/>
  <c r="T260" i="29"/>
  <c r="S260" i="29"/>
  <c r="R260" i="29"/>
  <c r="Q260" i="29"/>
  <c r="P260" i="29"/>
  <c r="O260" i="29"/>
  <c r="N260" i="29"/>
  <c r="M260" i="29"/>
  <c r="L260" i="29"/>
  <c r="U259" i="29"/>
  <c r="T259" i="29"/>
  <c r="S259" i="29"/>
  <c r="R259" i="29"/>
  <c r="Q259" i="29"/>
  <c r="P259" i="29"/>
  <c r="O259" i="29"/>
  <c r="N259" i="29"/>
  <c r="M259" i="29"/>
  <c r="L259" i="29"/>
  <c r="U258" i="29"/>
  <c r="T258" i="29"/>
  <c r="S258" i="29"/>
  <c r="R258" i="29"/>
  <c r="Q258" i="29"/>
  <c r="P258" i="29"/>
  <c r="O258" i="29"/>
  <c r="N258" i="29"/>
  <c r="M258" i="29"/>
  <c r="L258" i="29"/>
  <c r="U257" i="29"/>
  <c r="T257" i="29"/>
  <c r="S257" i="29"/>
  <c r="R257" i="29"/>
  <c r="Q257" i="29"/>
  <c r="P257" i="29"/>
  <c r="O257" i="29"/>
  <c r="N257" i="29"/>
  <c r="M257" i="29"/>
  <c r="L257" i="29"/>
  <c r="U256" i="29"/>
  <c r="T256" i="29"/>
  <c r="S256" i="29"/>
  <c r="R256" i="29"/>
  <c r="Q256" i="29"/>
  <c r="P256" i="29"/>
  <c r="O256" i="29"/>
  <c r="N256" i="29"/>
  <c r="M256" i="29"/>
  <c r="L256" i="29"/>
  <c r="U255" i="29"/>
  <c r="T255" i="29"/>
  <c r="S255" i="29"/>
  <c r="R255" i="29"/>
  <c r="Q255" i="29"/>
  <c r="P255" i="29"/>
  <c r="O255" i="29"/>
  <c r="N255" i="29"/>
  <c r="M255" i="29"/>
  <c r="L255" i="29"/>
  <c r="U254" i="29"/>
  <c r="T254" i="29"/>
  <c r="S254" i="29"/>
  <c r="R254" i="29"/>
  <c r="Q254" i="29"/>
  <c r="P254" i="29"/>
  <c r="O254" i="29"/>
  <c r="N254" i="29"/>
  <c r="M254" i="29"/>
  <c r="L254" i="29"/>
  <c r="U253" i="29"/>
  <c r="T253" i="29"/>
  <c r="S253" i="29"/>
  <c r="R253" i="29"/>
  <c r="Q253" i="29"/>
  <c r="P253" i="29"/>
  <c r="O253" i="29"/>
  <c r="N253" i="29"/>
  <c r="M253" i="29"/>
  <c r="L253" i="29"/>
  <c r="U252" i="29"/>
  <c r="T252" i="29"/>
  <c r="S252" i="29"/>
  <c r="R252" i="29"/>
  <c r="Q252" i="29"/>
  <c r="P252" i="29"/>
  <c r="O252" i="29"/>
  <c r="N252" i="29"/>
  <c r="M252" i="29"/>
  <c r="L252" i="29"/>
  <c r="U251" i="29"/>
  <c r="T251" i="29"/>
  <c r="S251" i="29"/>
  <c r="R251" i="29"/>
  <c r="Q251" i="29"/>
  <c r="P251" i="29"/>
  <c r="O251" i="29"/>
  <c r="N251" i="29"/>
  <c r="M251" i="29"/>
  <c r="L251" i="29"/>
  <c r="U250" i="29"/>
  <c r="T250" i="29"/>
  <c r="S250" i="29"/>
  <c r="R250" i="29"/>
  <c r="Q250" i="29"/>
  <c r="P250" i="29"/>
  <c r="O250" i="29"/>
  <c r="N250" i="29"/>
  <c r="M250" i="29"/>
  <c r="L250" i="29"/>
  <c r="U249" i="29"/>
  <c r="T249" i="29"/>
  <c r="S249" i="29"/>
  <c r="R249" i="29"/>
  <c r="Q249" i="29"/>
  <c r="P249" i="29"/>
  <c r="O249" i="29"/>
  <c r="N249" i="29"/>
  <c r="M249" i="29"/>
  <c r="L249" i="29"/>
  <c r="U248" i="29"/>
  <c r="T248" i="29"/>
  <c r="S248" i="29"/>
  <c r="R248" i="29"/>
  <c r="Q248" i="29"/>
  <c r="P248" i="29"/>
  <c r="O248" i="29"/>
  <c r="N248" i="29"/>
  <c r="M248" i="29"/>
  <c r="L248" i="29"/>
  <c r="U247" i="29"/>
  <c r="T247" i="29"/>
  <c r="S247" i="29"/>
  <c r="R247" i="29"/>
  <c r="Q247" i="29"/>
  <c r="P247" i="29"/>
  <c r="O247" i="29"/>
  <c r="N247" i="29"/>
  <c r="M247" i="29"/>
  <c r="L247" i="29"/>
  <c r="CW246" i="29"/>
  <c r="CV246" i="29"/>
  <c r="CU246" i="29"/>
  <c r="CT246" i="29"/>
  <c r="CS246" i="29"/>
  <c r="CR246" i="29"/>
  <c r="CQ246" i="29"/>
  <c r="CP246" i="29"/>
  <c r="CO246" i="29"/>
  <c r="CN246" i="29"/>
  <c r="CW245" i="29"/>
  <c r="CV245" i="29"/>
  <c r="CU245" i="29"/>
  <c r="CT245" i="29"/>
  <c r="CS245" i="29"/>
  <c r="CR245" i="29"/>
  <c r="CQ245" i="29"/>
  <c r="CP245" i="29"/>
  <c r="CO245" i="29"/>
  <c r="CN245" i="29"/>
  <c r="CW244" i="29"/>
  <c r="CV244" i="29"/>
  <c r="CU244" i="29"/>
  <c r="CT244" i="29"/>
  <c r="CS244" i="29"/>
  <c r="CR244" i="29"/>
  <c r="CQ244" i="29"/>
  <c r="CP244" i="29"/>
  <c r="CO244" i="29"/>
  <c r="CN244" i="29"/>
  <c r="CW243" i="29"/>
  <c r="CV243" i="29"/>
  <c r="CU243" i="29"/>
  <c r="CT243" i="29"/>
  <c r="CS243" i="29"/>
  <c r="CR243" i="29"/>
  <c r="CQ243" i="29"/>
  <c r="CP243" i="29"/>
  <c r="CO243" i="29"/>
  <c r="CN243" i="29"/>
  <c r="CW242" i="29"/>
  <c r="CV242" i="29"/>
  <c r="CU242" i="29"/>
  <c r="CT242" i="29"/>
  <c r="CS242" i="29"/>
  <c r="CR242" i="29"/>
  <c r="CQ242" i="29"/>
  <c r="CP242" i="29"/>
  <c r="CO242" i="29"/>
  <c r="CN242" i="29"/>
  <c r="CW241" i="29"/>
  <c r="CV241" i="29"/>
  <c r="CU241" i="29"/>
  <c r="CT241" i="29"/>
  <c r="CS241" i="29"/>
  <c r="CR241" i="29"/>
  <c r="CQ241" i="29"/>
  <c r="CP241" i="29"/>
  <c r="CO241" i="29"/>
  <c r="CN241" i="29"/>
  <c r="CW240" i="29"/>
  <c r="CV240" i="29"/>
  <c r="CU240" i="29"/>
  <c r="CT240" i="29"/>
  <c r="CS240" i="29"/>
  <c r="CR240" i="29"/>
  <c r="CQ240" i="29"/>
  <c r="CP240" i="29"/>
  <c r="CO240" i="29"/>
  <c r="CN240" i="29"/>
  <c r="CW239" i="29"/>
  <c r="CV239" i="29"/>
  <c r="CU239" i="29"/>
  <c r="CT239" i="29"/>
  <c r="CS239" i="29"/>
  <c r="CR239" i="29"/>
  <c r="CQ239" i="29"/>
  <c r="CP239" i="29"/>
  <c r="CO239" i="29"/>
  <c r="CN239" i="29"/>
  <c r="CW238" i="29"/>
  <c r="CV238" i="29"/>
  <c r="CU238" i="29"/>
  <c r="CT238" i="29"/>
  <c r="CS238" i="29"/>
  <c r="CR238" i="29"/>
  <c r="CQ238" i="29"/>
  <c r="CP238" i="29"/>
  <c r="CO238" i="29"/>
  <c r="CN238" i="29"/>
  <c r="CW237" i="29"/>
  <c r="CV237" i="29"/>
  <c r="CU237" i="29"/>
  <c r="CT237" i="29"/>
  <c r="CS237" i="29"/>
  <c r="CR237" i="29"/>
  <c r="CQ237" i="29"/>
  <c r="CP237" i="29"/>
  <c r="CO237" i="29"/>
  <c r="CN237" i="29"/>
  <c r="CW236" i="29"/>
  <c r="CV236" i="29"/>
  <c r="CU236" i="29"/>
  <c r="CT236" i="29"/>
  <c r="CS236" i="29"/>
  <c r="CR236" i="29"/>
  <c r="CQ236" i="29"/>
  <c r="CP236" i="29"/>
  <c r="CO236" i="29"/>
  <c r="CN236" i="29"/>
  <c r="CW235" i="29"/>
  <c r="CV235" i="29"/>
  <c r="CU235" i="29"/>
  <c r="CT235" i="29"/>
  <c r="CS235" i="29"/>
  <c r="CR235" i="29"/>
  <c r="CQ235" i="29"/>
  <c r="CP235" i="29"/>
  <c r="CO235" i="29"/>
  <c r="CN235" i="29"/>
  <c r="CW234" i="29"/>
  <c r="CV234" i="29"/>
  <c r="CU234" i="29"/>
  <c r="CT234" i="29"/>
  <c r="CS234" i="29"/>
  <c r="CR234" i="29"/>
  <c r="CQ234" i="29"/>
  <c r="CP234" i="29"/>
  <c r="CO234" i="29"/>
  <c r="CN234" i="29"/>
  <c r="CW233" i="29"/>
  <c r="CV233" i="29"/>
  <c r="CU233" i="29"/>
  <c r="CT233" i="29"/>
  <c r="CS233" i="29"/>
  <c r="CR233" i="29"/>
  <c r="CQ233" i="29"/>
  <c r="CP233" i="29"/>
  <c r="CO233" i="29"/>
  <c r="CN233" i="29"/>
  <c r="CW232" i="29"/>
  <c r="CV232" i="29"/>
  <c r="CU232" i="29"/>
  <c r="CT232" i="29"/>
  <c r="CS232" i="29"/>
  <c r="CR232" i="29"/>
  <c r="CQ232" i="29"/>
  <c r="CP232" i="29"/>
  <c r="CO232" i="29"/>
  <c r="CN232" i="29"/>
  <c r="CW231" i="29"/>
  <c r="CV231" i="29"/>
  <c r="CU231" i="29"/>
  <c r="CT231" i="29"/>
  <c r="CS231" i="29"/>
  <c r="CR231" i="29"/>
  <c r="CQ231" i="29"/>
  <c r="CP231" i="29"/>
  <c r="CO231" i="29"/>
  <c r="CN231" i="29"/>
  <c r="CW230" i="29"/>
  <c r="CV230" i="29"/>
  <c r="CU230" i="29"/>
  <c r="CT230" i="29"/>
  <c r="CS230" i="29"/>
  <c r="CR230" i="29"/>
  <c r="CQ230" i="29"/>
  <c r="CP230" i="29"/>
  <c r="CO230" i="29"/>
  <c r="CN230" i="29"/>
  <c r="CW229" i="29"/>
  <c r="CV229" i="29"/>
  <c r="CU229" i="29"/>
  <c r="CT229" i="29"/>
  <c r="CS229" i="29"/>
  <c r="CR229" i="29"/>
  <c r="CQ229" i="29"/>
  <c r="CP229" i="29"/>
  <c r="CO229" i="29"/>
  <c r="CN229" i="29"/>
  <c r="CW228" i="29"/>
  <c r="CV228" i="29"/>
  <c r="CU228" i="29"/>
  <c r="CT228" i="29"/>
  <c r="CS228" i="29"/>
  <c r="CR228" i="29"/>
  <c r="CQ228" i="29"/>
  <c r="CP228" i="29"/>
  <c r="CO228" i="29"/>
  <c r="CN228" i="29"/>
  <c r="CW227" i="29"/>
  <c r="CV227" i="29"/>
  <c r="CU227" i="29"/>
  <c r="CT227" i="29"/>
  <c r="CS227" i="29"/>
  <c r="CR227" i="29"/>
  <c r="CQ227" i="29"/>
  <c r="CP227" i="29"/>
  <c r="CO227" i="29"/>
  <c r="CN227" i="29"/>
  <c r="CW226" i="29"/>
  <c r="CV226" i="29"/>
  <c r="CU226" i="29"/>
  <c r="CT226" i="29"/>
  <c r="CS226" i="29"/>
  <c r="CR226" i="29"/>
  <c r="CQ226" i="29"/>
  <c r="CP226" i="29"/>
  <c r="CO226" i="29"/>
  <c r="CN226" i="29"/>
  <c r="CW225" i="29"/>
  <c r="CV225" i="29"/>
  <c r="CU225" i="29"/>
  <c r="CT225" i="29"/>
  <c r="CS225" i="29"/>
  <c r="CR225" i="29"/>
  <c r="CQ225" i="29"/>
  <c r="CP225" i="29"/>
  <c r="CO225" i="29"/>
  <c r="CN225" i="29"/>
  <c r="CW224" i="29"/>
  <c r="CV224" i="29"/>
  <c r="CU224" i="29"/>
  <c r="CT224" i="29"/>
  <c r="CS224" i="29"/>
  <c r="CR224" i="29"/>
  <c r="CQ224" i="29"/>
  <c r="CP224" i="29"/>
  <c r="CO224" i="29"/>
  <c r="CN224" i="29"/>
  <c r="CW223" i="29"/>
  <c r="CV223" i="29"/>
  <c r="CU223" i="29"/>
  <c r="CT223" i="29"/>
  <c r="CS223" i="29"/>
  <c r="CR223" i="29"/>
  <c r="CQ223" i="29"/>
  <c r="CP223" i="29"/>
  <c r="CO223" i="29"/>
  <c r="CN223" i="29"/>
  <c r="CW222" i="29"/>
  <c r="CV222" i="29"/>
  <c r="CU222" i="29"/>
  <c r="CT222" i="29"/>
  <c r="CS222" i="29"/>
  <c r="CR222" i="29"/>
  <c r="CQ222" i="29"/>
  <c r="CP222" i="29"/>
  <c r="CO222" i="29"/>
  <c r="CN222" i="29"/>
  <c r="CW221" i="29"/>
  <c r="CV221" i="29"/>
  <c r="CU221" i="29"/>
  <c r="CT221" i="29"/>
  <c r="CS221" i="29"/>
  <c r="CR221" i="29"/>
  <c r="CQ221" i="29"/>
  <c r="CP221" i="29"/>
  <c r="CO221" i="29"/>
  <c r="CN221" i="29"/>
  <c r="CW220" i="29"/>
  <c r="CV220" i="29"/>
  <c r="CU220" i="29"/>
  <c r="CT220" i="29"/>
  <c r="CS220" i="29"/>
  <c r="CR220" i="29"/>
  <c r="CQ220" i="29"/>
  <c r="CP220" i="29"/>
  <c r="CO220" i="29"/>
  <c r="CN220" i="29"/>
  <c r="CW219" i="29"/>
  <c r="CV219" i="29"/>
  <c r="CU219" i="29"/>
  <c r="CT219" i="29"/>
  <c r="CS219" i="29"/>
  <c r="CR219" i="29"/>
  <c r="CQ219" i="29"/>
  <c r="CP219" i="29"/>
  <c r="CO219" i="29"/>
  <c r="CN219" i="29"/>
  <c r="CW218" i="29"/>
  <c r="CV218" i="29"/>
  <c r="CU218" i="29"/>
  <c r="CT218" i="29"/>
  <c r="CS218" i="29"/>
  <c r="CR218" i="29"/>
  <c r="CQ218" i="29"/>
  <c r="CP218" i="29"/>
  <c r="CO218" i="29"/>
  <c r="CN218" i="29"/>
  <c r="CW217" i="29"/>
  <c r="CV217" i="29"/>
  <c r="CU217" i="29"/>
  <c r="CT217" i="29"/>
  <c r="CS217" i="29"/>
  <c r="CR217" i="29"/>
  <c r="CQ217" i="29"/>
  <c r="CP217" i="29"/>
  <c r="CO217" i="29"/>
  <c r="CN217" i="29"/>
  <c r="CW216" i="29"/>
  <c r="CV216" i="29"/>
  <c r="CU216" i="29"/>
  <c r="CT216" i="29"/>
  <c r="CS216" i="29"/>
  <c r="CR216" i="29"/>
  <c r="CQ216" i="29"/>
  <c r="CP216" i="29"/>
  <c r="CO216" i="29"/>
  <c r="CN216" i="29"/>
  <c r="BI246" i="29"/>
  <c r="BH246" i="29"/>
  <c r="BG246" i="29"/>
  <c r="BF246" i="29"/>
  <c r="BE246" i="29"/>
  <c r="BD246" i="29"/>
  <c r="BC246" i="29"/>
  <c r="BB246" i="29"/>
  <c r="BA246" i="29"/>
  <c r="AZ246" i="29"/>
  <c r="BI245" i="29"/>
  <c r="BH245" i="29"/>
  <c r="BG245" i="29"/>
  <c r="BF245" i="29"/>
  <c r="BE245" i="29"/>
  <c r="BD245" i="29"/>
  <c r="BC245" i="29"/>
  <c r="BB245" i="29"/>
  <c r="BA245" i="29"/>
  <c r="AZ245" i="29"/>
  <c r="BI244" i="29"/>
  <c r="BH244" i="29"/>
  <c r="BG244" i="29"/>
  <c r="BF244" i="29"/>
  <c r="BE244" i="29"/>
  <c r="BD244" i="29"/>
  <c r="BC244" i="29"/>
  <c r="BB244" i="29"/>
  <c r="BA244" i="29"/>
  <c r="AZ244" i="29"/>
  <c r="BI243" i="29"/>
  <c r="BH243" i="29"/>
  <c r="BG243" i="29"/>
  <c r="BF243" i="29"/>
  <c r="BE243" i="29"/>
  <c r="BD243" i="29"/>
  <c r="BC243" i="29"/>
  <c r="BB243" i="29"/>
  <c r="BA243" i="29"/>
  <c r="AZ243" i="29"/>
  <c r="BI242" i="29"/>
  <c r="BH242" i="29"/>
  <c r="BG242" i="29"/>
  <c r="BF242" i="29"/>
  <c r="BE242" i="29"/>
  <c r="BD242" i="29"/>
  <c r="BC242" i="29"/>
  <c r="BB242" i="29"/>
  <c r="BA242" i="29"/>
  <c r="AZ242" i="29"/>
  <c r="BI241" i="29"/>
  <c r="BH241" i="29"/>
  <c r="BG241" i="29"/>
  <c r="BF241" i="29"/>
  <c r="BE241" i="29"/>
  <c r="BD241" i="29"/>
  <c r="BC241" i="29"/>
  <c r="BB241" i="29"/>
  <c r="BA241" i="29"/>
  <c r="AZ241" i="29"/>
  <c r="BI240" i="29"/>
  <c r="BH240" i="29"/>
  <c r="BG240" i="29"/>
  <c r="BF240" i="29"/>
  <c r="BE240" i="29"/>
  <c r="BD240" i="29"/>
  <c r="BC240" i="29"/>
  <c r="BB240" i="29"/>
  <c r="BA240" i="29"/>
  <c r="AZ240" i="29"/>
  <c r="BI239" i="29"/>
  <c r="BH239" i="29"/>
  <c r="BG239" i="29"/>
  <c r="BF239" i="29"/>
  <c r="BE239" i="29"/>
  <c r="BD239" i="29"/>
  <c r="BC239" i="29"/>
  <c r="BB239" i="29"/>
  <c r="BA239" i="29"/>
  <c r="AZ239" i="29"/>
  <c r="BI238" i="29"/>
  <c r="BH238" i="29"/>
  <c r="BG238" i="29"/>
  <c r="BF238" i="29"/>
  <c r="BE238" i="29"/>
  <c r="BD238" i="29"/>
  <c r="BC238" i="29"/>
  <c r="BB238" i="29"/>
  <c r="BA238" i="29"/>
  <c r="AZ238" i="29"/>
  <c r="BI237" i="29"/>
  <c r="BH237" i="29"/>
  <c r="BG237" i="29"/>
  <c r="BF237" i="29"/>
  <c r="BE237" i="29"/>
  <c r="BD237" i="29"/>
  <c r="BC237" i="29"/>
  <c r="BB237" i="29"/>
  <c r="BA237" i="29"/>
  <c r="AZ237" i="29"/>
  <c r="BI236" i="29"/>
  <c r="BH236" i="29"/>
  <c r="BG236" i="29"/>
  <c r="BF236" i="29"/>
  <c r="BE236" i="29"/>
  <c r="BD236" i="29"/>
  <c r="BC236" i="29"/>
  <c r="BB236" i="29"/>
  <c r="BA236" i="29"/>
  <c r="AZ236" i="29"/>
  <c r="BI235" i="29"/>
  <c r="BH235" i="29"/>
  <c r="BG235" i="29"/>
  <c r="BF235" i="29"/>
  <c r="BE235" i="29"/>
  <c r="BD235" i="29"/>
  <c r="BC235" i="29"/>
  <c r="BB235" i="29"/>
  <c r="BA235" i="29"/>
  <c r="AZ235" i="29"/>
  <c r="BI234" i="29"/>
  <c r="BH234" i="29"/>
  <c r="BG234" i="29"/>
  <c r="BF234" i="29"/>
  <c r="BE234" i="29"/>
  <c r="BD234" i="29"/>
  <c r="BC234" i="29"/>
  <c r="BB234" i="29"/>
  <c r="BA234" i="29"/>
  <c r="AZ234" i="29"/>
  <c r="BI233" i="29"/>
  <c r="BH233" i="29"/>
  <c r="BG233" i="29"/>
  <c r="BF233" i="29"/>
  <c r="BE233" i="29"/>
  <c r="BD233" i="29"/>
  <c r="BC233" i="29"/>
  <c r="BB233" i="29"/>
  <c r="BA233" i="29"/>
  <c r="AZ233" i="29"/>
  <c r="BI232" i="29"/>
  <c r="BH232" i="29"/>
  <c r="BG232" i="29"/>
  <c r="BF232" i="29"/>
  <c r="BE232" i="29"/>
  <c r="BD232" i="29"/>
  <c r="BC232" i="29"/>
  <c r="BB232" i="29"/>
  <c r="BA232" i="29"/>
  <c r="AZ232" i="29"/>
  <c r="BI231" i="29"/>
  <c r="BH231" i="29"/>
  <c r="BG231" i="29"/>
  <c r="BF231" i="29"/>
  <c r="BE231" i="29"/>
  <c r="BD231" i="29"/>
  <c r="BC231" i="29"/>
  <c r="BB231" i="29"/>
  <c r="BA231" i="29"/>
  <c r="AZ231" i="29"/>
  <c r="BI230" i="29"/>
  <c r="BH230" i="29"/>
  <c r="BG230" i="29"/>
  <c r="BF230" i="29"/>
  <c r="BE230" i="29"/>
  <c r="BD230" i="29"/>
  <c r="BC230" i="29"/>
  <c r="BB230" i="29"/>
  <c r="BA230" i="29"/>
  <c r="AZ230" i="29"/>
  <c r="BI229" i="29"/>
  <c r="BH229" i="29"/>
  <c r="BG229" i="29"/>
  <c r="BF229" i="29"/>
  <c r="BE229" i="29"/>
  <c r="BD229" i="29"/>
  <c r="BC229" i="29"/>
  <c r="BB229" i="29"/>
  <c r="BA229" i="29"/>
  <c r="AZ229" i="29"/>
  <c r="BI228" i="29"/>
  <c r="BH228" i="29"/>
  <c r="BG228" i="29"/>
  <c r="BF228" i="29"/>
  <c r="BE228" i="29"/>
  <c r="BD228" i="29"/>
  <c r="BC228" i="29"/>
  <c r="BB228" i="29"/>
  <c r="BA228" i="29"/>
  <c r="AZ228" i="29"/>
  <c r="BI227" i="29"/>
  <c r="BH227" i="29"/>
  <c r="BG227" i="29"/>
  <c r="BF227" i="29"/>
  <c r="BE227" i="29"/>
  <c r="BD227" i="29"/>
  <c r="BC227" i="29"/>
  <c r="BB227" i="29"/>
  <c r="BA227" i="29"/>
  <c r="AZ227" i="29"/>
  <c r="BI226" i="29"/>
  <c r="BH226" i="29"/>
  <c r="BG226" i="29"/>
  <c r="BF226" i="29"/>
  <c r="BE226" i="29"/>
  <c r="BD226" i="29"/>
  <c r="BC226" i="29"/>
  <c r="BB226" i="29"/>
  <c r="BA226" i="29"/>
  <c r="AZ226" i="29"/>
  <c r="BI225" i="29"/>
  <c r="BH225" i="29"/>
  <c r="BG225" i="29"/>
  <c r="BF225" i="29"/>
  <c r="BE225" i="29"/>
  <c r="BD225" i="29"/>
  <c r="BC225" i="29"/>
  <c r="BB225" i="29"/>
  <c r="BA225" i="29"/>
  <c r="AZ225" i="29"/>
  <c r="BI224" i="29"/>
  <c r="BH224" i="29"/>
  <c r="BG224" i="29"/>
  <c r="BF224" i="29"/>
  <c r="BE224" i="29"/>
  <c r="BD224" i="29"/>
  <c r="BC224" i="29"/>
  <c r="BB224" i="29"/>
  <c r="BA224" i="29"/>
  <c r="AZ224" i="29"/>
  <c r="BI223" i="29"/>
  <c r="BH223" i="29"/>
  <c r="BG223" i="29"/>
  <c r="BF223" i="29"/>
  <c r="BE223" i="29"/>
  <c r="BD223" i="29"/>
  <c r="BC223" i="29"/>
  <c r="BB223" i="29"/>
  <c r="BA223" i="29"/>
  <c r="AZ223" i="29"/>
  <c r="BI222" i="29"/>
  <c r="BH222" i="29"/>
  <c r="BG222" i="29"/>
  <c r="BF222" i="29"/>
  <c r="BE222" i="29"/>
  <c r="BD222" i="29"/>
  <c r="BC222" i="29"/>
  <c r="BB222" i="29"/>
  <c r="BA222" i="29"/>
  <c r="AZ222" i="29"/>
  <c r="BI221" i="29"/>
  <c r="BH221" i="29"/>
  <c r="BG221" i="29"/>
  <c r="BF221" i="29"/>
  <c r="BE221" i="29"/>
  <c r="BD221" i="29"/>
  <c r="BC221" i="29"/>
  <c r="BB221" i="29"/>
  <c r="BA221" i="29"/>
  <c r="AZ221" i="29"/>
  <c r="BI220" i="29"/>
  <c r="BH220" i="29"/>
  <c r="BG220" i="29"/>
  <c r="BF220" i="29"/>
  <c r="BE220" i="29"/>
  <c r="BD220" i="29"/>
  <c r="BC220" i="29"/>
  <c r="BB220" i="29"/>
  <c r="BA220" i="29"/>
  <c r="AZ220" i="29"/>
  <c r="BI219" i="29"/>
  <c r="BH219" i="29"/>
  <c r="BG219" i="29"/>
  <c r="BF219" i="29"/>
  <c r="BE219" i="29"/>
  <c r="BD219" i="29"/>
  <c r="BC219" i="29"/>
  <c r="BB219" i="29"/>
  <c r="BA219" i="29"/>
  <c r="AZ219" i="29"/>
  <c r="BI218" i="29"/>
  <c r="BH218" i="29"/>
  <c r="BG218" i="29"/>
  <c r="BF218" i="29"/>
  <c r="BE218" i="29"/>
  <c r="BD218" i="29"/>
  <c r="BC218" i="29"/>
  <c r="BB218" i="29"/>
  <c r="BA218" i="29"/>
  <c r="AZ218" i="29"/>
  <c r="BI217" i="29"/>
  <c r="BH217" i="29"/>
  <c r="BG217" i="29"/>
  <c r="BF217" i="29"/>
  <c r="BE217" i="29"/>
  <c r="BD217" i="29"/>
  <c r="BC217" i="29"/>
  <c r="BB217" i="29"/>
  <c r="BA217" i="29"/>
  <c r="AZ217" i="29"/>
  <c r="BI216" i="29"/>
  <c r="BH216" i="29"/>
  <c r="BG216" i="29"/>
  <c r="BF216" i="29"/>
  <c r="BE216" i="29"/>
  <c r="BD216" i="29"/>
  <c r="BC216" i="29"/>
  <c r="BB216" i="29"/>
  <c r="BA216" i="29"/>
  <c r="AZ216" i="29"/>
  <c r="U246" i="29"/>
  <c r="T246" i="29"/>
  <c r="S246" i="29"/>
  <c r="R246" i="29"/>
  <c r="Q246" i="29"/>
  <c r="P246" i="29"/>
  <c r="O246" i="29"/>
  <c r="N246" i="29"/>
  <c r="M246" i="29"/>
  <c r="L246" i="29"/>
  <c r="U245" i="29"/>
  <c r="T245" i="29"/>
  <c r="S245" i="29"/>
  <c r="R245" i="29"/>
  <c r="Q245" i="29"/>
  <c r="P245" i="29"/>
  <c r="O245" i="29"/>
  <c r="N245" i="29"/>
  <c r="M245" i="29"/>
  <c r="L245" i="29"/>
  <c r="U244" i="29"/>
  <c r="T244" i="29"/>
  <c r="S244" i="29"/>
  <c r="R244" i="29"/>
  <c r="Q244" i="29"/>
  <c r="P244" i="29"/>
  <c r="O244" i="29"/>
  <c r="N244" i="29"/>
  <c r="M244" i="29"/>
  <c r="L244" i="29"/>
  <c r="U243" i="29"/>
  <c r="T243" i="29"/>
  <c r="S243" i="29"/>
  <c r="R243" i="29"/>
  <c r="Q243" i="29"/>
  <c r="P243" i="29"/>
  <c r="O243" i="29"/>
  <c r="N243" i="29"/>
  <c r="M243" i="29"/>
  <c r="L243" i="29"/>
  <c r="U242" i="29"/>
  <c r="T242" i="29"/>
  <c r="S242" i="29"/>
  <c r="R242" i="29"/>
  <c r="Q242" i="29"/>
  <c r="P242" i="29"/>
  <c r="O242" i="29"/>
  <c r="N242" i="29"/>
  <c r="M242" i="29"/>
  <c r="L242" i="29"/>
  <c r="U241" i="29"/>
  <c r="T241" i="29"/>
  <c r="S241" i="29"/>
  <c r="R241" i="29"/>
  <c r="Q241" i="29"/>
  <c r="P241" i="29"/>
  <c r="O241" i="29"/>
  <c r="N241" i="29"/>
  <c r="M241" i="29"/>
  <c r="L241" i="29"/>
  <c r="U240" i="29"/>
  <c r="T240" i="29"/>
  <c r="S240" i="29"/>
  <c r="R240" i="29"/>
  <c r="Q240" i="29"/>
  <c r="P240" i="29"/>
  <c r="O240" i="29"/>
  <c r="N240" i="29"/>
  <c r="M240" i="29"/>
  <c r="L240" i="29"/>
  <c r="U239" i="29"/>
  <c r="T239" i="29"/>
  <c r="S239" i="29"/>
  <c r="R239" i="29"/>
  <c r="Q239" i="29"/>
  <c r="P239" i="29"/>
  <c r="O239" i="29"/>
  <c r="N239" i="29"/>
  <c r="M239" i="29"/>
  <c r="L239" i="29"/>
  <c r="U238" i="29"/>
  <c r="T238" i="29"/>
  <c r="S238" i="29"/>
  <c r="R238" i="29"/>
  <c r="Q238" i="29"/>
  <c r="P238" i="29"/>
  <c r="O238" i="29"/>
  <c r="N238" i="29"/>
  <c r="M238" i="29"/>
  <c r="L238" i="29"/>
  <c r="U237" i="29"/>
  <c r="T237" i="29"/>
  <c r="S237" i="29"/>
  <c r="R237" i="29"/>
  <c r="Q237" i="29"/>
  <c r="P237" i="29"/>
  <c r="O237" i="29"/>
  <c r="N237" i="29"/>
  <c r="M237" i="29"/>
  <c r="L237" i="29"/>
  <c r="U236" i="29"/>
  <c r="T236" i="29"/>
  <c r="S236" i="29"/>
  <c r="R236" i="29"/>
  <c r="Q236" i="29"/>
  <c r="P236" i="29"/>
  <c r="O236" i="29"/>
  <c r="N236" i="29"/>
  <c r="M236" i="29"/>
  <c r="L236" i="29"/>
  <c r="U235" i="29"/>
  <c r="T235" i="29"/>
  <c r="S235" i="29"/>
  <c r="R235" i="29"/>
  <c r="Q235" i="29"/>
  <c r="P235" i="29"/>
  <c r="O235" i="29"/>
  <c r="N235" i="29"/>
  <c r="M235" i="29"/>
  <c r="L235" i="29"/>
  <c r="U234" i="29"/>
  <c r="T234" i="29"/>
  <c r="S234" i="29"/>
  <c r="R234" i="29"/>
  <c r="Q234" i="29"/>
  <c r="P234" i="29"/>
  <c r="O234" i="29"/>
  <c r="N234" i="29"/>
  <c r="M234" i="29"/>
  <c r="L234" i="29"/>
  <c r="U233" i="29"/>
  <c r="T233" i="29"/>
  <c r="S233" i="29"/>
  <c r="R233" i="29"/>
  <c r="Q233" i="29"/>
  <c r="P233" i="29"/>
  <c r="O233" i="29"/>
  <c r="N233" i="29"/>
  <c r="M233" i="29"/>
  <c r="L233" i="29"/>
  <c r="U232" i="29"/>
  <c r="T232" i="29"/>
  <c r="S232" i="29"/>
  <c r="R232" i="29"/>
  <c r="Q232" i="29"/>
  <c r="P232" i="29"/>
  <c r="O232" i="29"/>
  <c r="N232" i="29"/>
  <c r="M232" i="29"/>
  <c r="L232" i="29"/>
  <c r="U231" i="29"/>
  <c r="T231" i="29"/>
  <c r="S231" i="29"/>
  <c r="R231" i="29"/>
  <c r="Q231" i="29"/>
  <c r="P231" i="29"/>
  <c r="O231" i="29"/>
  <c r="N231" i="29"/>
  <c r="M231" i="29"/>
  <c r="L231" i="29"/>
  <c r="U230" i="29"/>
  <c r="T230" i="29"/>
  <c r="S230" i="29"/>
  <c r="R230" i="29"/>
  <c r="Q230" i="29"/>
  <c r="P230" i="29"/>
  <c r="O230" i="29"/>
  <c r="N230" i="29"/>
  <c r="M230" i="29"/>
  <c r="L230" i="29"/>
  <c r="U229" i="29"/>
  <c r="T229" i="29"/>
  <c r="S229" i="29"/>
  <c r="R229" i="29"/>
  <c r="Q229" i="29"/>
  <c r="P229" i="29"/>
  <c r="O229" i="29"/>
  <c r="N229" i="29"/>
  <c r="M229" i="29"/>
  <c r="L229" i="29"/>
  <c r="U228" i="29"/>
  <c r="T228" i="29"/>
  <c r="S228" i="29"/>
  <c r="R228" i="29"/>
  <c r="Q228" i="29"/>
  <c r="P228" i="29"/>
  <c r="O228" i="29"/>
  <c r="N228" i="29"/>
  <c r="M228" i="29"/>
  <c r="L228" i="29"/>
  <c r="U227" i="29"/>
  <c r="T227" i="29"/>
  <c r="S227" i="29"/>
  <c r="R227" i="29"/>
  <c r="Q227" i="29"/>
  <c r="P227" i="29"/>
  <c r="O227" i="29"/>
  <c r="N227" i="29"/>
  <c r="M227" i="29"/>
  <c r="L227" i="29"/>
  <c r="U226" i="29"/>
  <c r="T226" i="29"/>
  <c r="S226" i="29"/>
  <c r="R226" i="29"/>
  <c r="Q226" i="29"/>
  <c r="P226" i="29"/>
  <c r="O226" i="29"/>
  <c r="N226" i="29"/>
  <c r="M226" i="29"/>
  <c r="L226" i="29"/>
  <c r="U225" i="29"/>
  <c r="T225" i="29"/>
  <c r="S225" i="29"/>
  <c r="R225" i="29"/>
  <c r="Q225" i="29"/>
  <c r="P225" i="29"/>
  <c r="O225" i="29"/>
  <c r="N225" i="29"/>
  <c r="M225" i="29"/>
  <c r="L225" i="29"/>
  <c r="U224" i="29"/>
  <c r="T224" i="29"/>
  <c r="S224" i="29"/>
  <c r="R224" i="29"/>
  <c r="Q224" i="29"/>
  <c r="P224" i="29"/>
  <c r="O224" i="29"/>
  <c r="N224" i="29"/>
  <c r="M224" i="29"/>
  <c r="L224" i="29"/>
  <c r="U223" i="29"/>
  <c r="T223" i="29"/>
  <c r="S223" i="29"/>
  <c r="R223" i="29"/>
  <c r="Q223" i="29"/>
  <c r="P223" i="29"/>
  <c r="O223" i="29"/>
  <c r="N223" i="29"/>
  <c r="M223" i="29"/>
  <c r="L223" i="29"/>
  <c r="U222" i="29"/>
  <c r="T222" i="29"/>
  <c r="S222" i="29"/>
  <c r="R222" i="29"/>
  <c r="Q222" i="29"/>
  <c r="P222" i="29"/>
  <c r="O222" i="29"/>
  <c r="N222" i="29"/>
  <c r="M222" i="29"/>
  <c r="L222" i="29"/>
  <c r="U221" i="29"/>
  <c r="T221" i="29"/>
  <c r="S221" i="29"/>
  <c r="R221" i="29"/>
  <c r="Q221" i="29"/>
  <c r="P221" i="29"/>
  <c r="O221" i="29"/>
  <c r="N221" i="29"/>
  <c r="M221" i="29"/>
  <c r="L221" i="29"/>
  <c r="U220" i="29"/>
  <c r="T220" i="29"/>
  <c r="S220" i="29"/>
  <c r="R220" i="29"/>
  <c r="Q220" i="29"/>
  <c r="P220" i="29"/>
  <c r="O220" i="29"/>
  <c r="N220" i="29"/>
  <c r="M220" i="29"/>
  <c r="L220" i="29"/>
  <c r="U219" i="29"/>
  <c r="T219" i="29"/>
  <c r="S219" i="29"/>
  <c r="R219" i="29"/>
  <c r="Q219" i="29"/>
  <c r="P219" i="29"/>
  <c r="O219" i="29"/>
  <c r="N219" i="29"/>
  <c r="M219" i="29"/>
  <c r="L219" i="29"/>
  <c r="U218" i="29"/>
  <c r="T218" i="29"/>
  <c r="S218" i="29"/>
  <c r="R218" i="29"/>
  <c r="Q218" i="29"/>
  <c r="P218" i="29"/>
  <c r="O218" i="29"/>
  <c r="N218" i="29"/>
  <c r="M218" i="29"/>
  <c r="L218" i="29"/>
  <c r="U217" i="29"/>
  <c r="T217" i="29"/>
  <c r="S217" i="29"/>
  <c r="R217" i="29"/>
  <c r="Q217" i="29"/>
  <c r="P217" i="29"/>
  <c r="O217" i="29"/>
  <c r="N217" i="29"/>
  <c r="M217" i="29"/>
  <c r="L217" i="29"/>
  <c r="U216" i="29"/>
  <c r="T216" i="29"/>
  <c r="S216" i="29"/>
  <c r="R216" i="29"/>
  <c r="Q216" i="29"/>
  <c r="P216" i="29"/>
  <c r="O216" i="29"/>
  <c r="N216" i="29"/>
  <c r="M216" i="29"/>
  <c r="L216" i="29"/>
  <c r="CW215" i="29"/>
  <c r="CV215" i="29"/>
  <c r="CU215" i="29"/>
  <c r="CT215" i="29"/>
  <c r="CS215" i="29"/>
  <c r="CR215" i="29"/>
  <c r="CQ215" i="29"/>
  <c r="CP215" i="29"/>
  <c r="CO215" i="29"/>
  <c r="CN215" i="29"/>
  <c r="CW214" i="29"/>
  <c r="CV214" i="29"/>
  <c r="CU214" i="29"/>
  <c r="CT214" i="29"/>
  <c r="CS214" i="29"/>
  <c r="CR214" i="29"/>
  <c r="CQ214" i="29"/>
  <c r="CP214" i="29"/>
  <c r="CO214" i="29"/>
  <c r="CN214" i="29"/>
  <c r="CW213" i="29"/>
  <c r="CV213" i="29"/>
  <c r="CU213" i="29"/>
  <c r="CT213" i="29"/>
  <c r="CS213" i="29"/>
  <c r="CR213" i="29"/>
  <c r="CQ213" i="29"/>
  <c r="CP213" i="29"/>
  <c r="CO213" i="29"/>
  <c r="CN213" i="29"/>
  <c r="CW212" i="29"/>
  <c r="CV212" i="29"/>
  <c r="CU212" i="29"/>
  <c r="CT212" i="29"/>
  <c r="CS212" i="29"/>
  <c r="CR212" i="29"/>
  <c r="CQ212" i="29"/>
  <c r="CP212" i="29"/>
  <c r="CO212" i="29"/>
  <c r="CN212" i="29"/>
  <c r="CW211" i="29"/>
  <c r="CV211" i="29"/>
  <c r="CU211" i="29"/>
  <c r="CT211" i="29"/>
  <c r="CS211" i="29"/>
  <c r="CR211" i="29"/>
  <c r="CQ211" i="29"/>
  <c r="CP211" i="29"/>
  <c r="CO211" i="29"/>
  <c r="CN211" i="29"/>
  <c r="CW210" i="29"/>
  <c r="CV210" i="29"/>
  <c r="CU210" i="29"/>
  <c r="CT210" i="29"/>
  <c r="CS210" i="29"/>
  <c r="CR210" i="29"/>
  <c r="CQ210" i="29"/>
  <c r="CP210" i="29"/>
  <c r="CO210" i="29"/>
  <c r="CN210" i="29"/>
  <c r="CW209" i="29"/>
  <c r="CV209" i="29"/>
  <c r="CU209" i="29"/>
  <c r="CT209" i="29"/>
  <c r="CS209" i="29"/>
  <c r="CR209" i="29"/>
  <c r="CQ209" i="29"/>
  <c r="CP209" i="29"/>
  <c r="CO209" i="29"/>
  <c r="CN209" i="29"/>
  <c r="CW208" i="29"/>
  <c r="CV208" i="29"/>
  <c r="CU208" i="29"/>
  <c r="CT208" i="29"/>
  <c r="CS208" i="29"/>
  <c r="CR208" i="29"/>
  <c r="CQ208" i="29"/>
  <c r="CP208" i="29"/>
  <c r="CO208" i="29"/>
  <c r="CN208" i="29"/>
  <c r="CW207" i="29"/>
  <c r="CV207" i="29"/>
  <c r="CU207" i="29"/>
  <c r="CT207" i="29"/>
  <c r="CS207" i="29"/>
  <c r="CR207" i="29"/>
  <c r="CQ207" i="29"/>
  <c r="CP207" i="29"/>
  <c r="CO207" i="29"/>
  <c r="CN207" i="29"/>
  <c r="CW206" i="29"/>
  <c r="CV206" i="29"/>
  <c r="CU206" i="29"/>
  <c r="CT206" i="29"/>
  <c r="CS206" i="29"/>
  <c r="CR206" i="29"/>
  <c r="CQ206" i="29"/>
  <c r="CP206" i="29"/>
  <c r="CO206" i="29"/>
  <c r="CN206" i="29"/>
  <c r="CW205" i="29"/>
  <c r="CV205" i="29"/>
  <c r="CU205" i="29"/>
  <c r="CT205" i="29"/>
  <c r="CS205" i="29"/>
  <c r="CR205" i="29"/>
  <c r="CQ205" i="29"/>
  <c r="CP205" i="29"/>
  <c r="CO205" i="29"/>
  <c r="CN205" i="29"/>
  <c r="CW204" i="29"/>
  <c r="CV204" i="29"/>
  <c r="CU204" i="29"/>
  <c r="CT204" i="29"/>
  <c r="CS204" i="29"/>
  <c r="CR204" i="29"/>
  <c r="CQ204" i="29"/>
  <c r="CP204" i="29"/>
  <c r="CO204" i="29"/>
  <c r="CN204" i="29"/>
  <c r="CW203" i="29"/>
  <c r="CV203" i="29"/>
  <c r="CU203" i="29"/>
  <c r="CT203" i="29"/>
  <c r="CS203" i="29"/>
  <c r="CR203" i="29"/>
  <c r="CQ203" i="29"/>
  <c r="CP203" i="29"/>
  <c r="CO203" i="29"/>
  <c r="CN203" i="29"/>
  <c r="CW202" i="29"/>
  <c r="CV202" i="29"/>
  <c r="CU202" i="29"/>
  <c r="CT202" i="29"/>
  <c r="CS202" i="29"/>
  <c r="CR202" i="29"/>
  <c r="CQ202" i="29"/>
  <c r="CP202" i="29"/>
  <c r="CO202" i="29"/>
  <c r="CN202" i="29"/>
  <c r="CW201" i="29"/>
  <c r="CV201" i="29"/>
  <c r="CU201" i="29"/>
  <c r="CT201" i="29"/>
  <c r="CS201" i="29"/>
  <c r="CR201" i="29"/>
  <c r="CQ201" i="29"/>
  <c r="CP201" i="29"/>
  <c r="CO201" i="29"/>
  <c r="CN201" i="29"/>
  <c r="CW200" i="29"/>
  <c r="CV200" i="29"/>
  <c r="CU200" i="29"/>
  <c r="CT200" i="29"/>
  <c r="CS200" i="29"/>
  <c r="CR200" i="29"/>
  <c r="CQ200" i="29"/>
  <c r="CP200" i="29"/>
  <c r="CO200" i="29"/>
  <c r="CN200" i="29"/>
  <c r="CW199" i="29"/>
  <c r="CV199" i="29"/>
  <c r="CU199" i="29"/>
  <c r="CT199" i="29"/>
  <c r="CS199" i="29"/>
  <c r="CR199" i="29"/>
  <c r="CQ199" i="29"/>
  <c r="CP199" i="29"/>
  <c r="CO199" i="29"/>
  <c r="CN199" i="29"/>
  <c r="CW198" i="29"/>
  <c r="CV198" i="29"/>
  <c r="CU198" i="29"/>
  <c r="CT198" i="29"/>
  <c r="CS198" i="29"/>
  <c r="CR198" i="29"/>
  <c r="CQ198" i="29"/>
  <c r="CP198" i="29"/>
  <c r="CO198" i="29"/>
  <c r="CN198" i="29"/>
  <c r="CW197" i="29"/>
  <c r="CV197" i="29"/>
  <c r="CU197" i="29"/>
  <c r="CT197" i="29"/>
  <c r="CS197" i="29"/>
  <c r="CR197" i="29"/>
  <c r="CQ197" i="29"/>
  <c r="CP197" i="29"/>
  <c r="CO197" i="29"/>
  <c r="CN197" i="29"/>
  <c r="CW196" i="29"/>
  <c r="CV196" i="29"/>
  <c r="CU196" i="29"/>
  <c r="CT196" i="29"/>
  <c r="CS196" i="29"/>
  <c r="CR196" i="29"/>
  <c r="CQ196" i="29"/>
  <c r="CP196" i="29"/>
  <c r="CO196" i="29"/>
  <c r="CN196" i="29"/>
  <c r="CW195" i="29"/>
  <c r="CV195" i="29"/>
  <c r="CU195" i="29"/>
  <c r="CT195" i="29"/>
  <c r="CS195" i="29"/>
  <c r="CR195" i="29"/>
  <c r="CQ195" i="29"/>
  <c r="CP195" i="29"/>
  <c r="CO195" i="29"/>
  <c r="CN195" i="29"/>
  <c r="CW194" i="29"/>
  <c r="CV194" i="29"/>
  <c r="CU194" i="29"/>
  <c r="CT194" i="29"/>
  <c r="CS194" i="29"/>
  <c r="CR194" i="29"/>
  <c r="CQ194" i="29"/>
  <c r="CP194" i="29"/>
  <c r="CO194" i="29"/>
  <c r="CN194" i="29"/>
  <c r="CW193" i="29"/>
  <c r="CV193" i="29"/>
  <c r="CU193" i="29"/>
  <c r="CT193" i="29"/>
  <c r="CS193" i="29"/>
  <c r="CR193" i="29"/>
  <c r="CQ193" i="29"/>
  <c r="CP193" i="29"/>
  <c r="CO193" i="29"/>
  <c r="CN193" i="29"/>
  <c r="CW192" i="29"/>
  <c r="CV192" i="29"/>
  <c r="CU192" i="29"/>
  <c r="CT192" i="29"/>
  <c r="CS192" i="29"/>
  <c r="CR192" i="29"/>
  <c r="CQ192" i="29"/>
  <c r="CP192" i="29"/>
  <c r="CO192" i="29"/>
  <c r="CN192" i="29"/>
  <c r="CW191" i="29"/>
  <c r="CV191" i="29"/>
  <c r="CU191" i="29"/>
  <c r="CT191" i="29"/>
  <c r="CS191" i="29"/>
  <c r="CR191" i="29"/>
  <c r="CQ191" i="29"/>
  <c r="CP191" i="29"/>
  <c r="CO191" i="29"/>
  <c r="CN191" i="29"/>
  <c r="CW190" i="29"/>
  <c r="CV190" i="29"/>
  <c r="CU190" i="29"/>
  <c r="CT190" i="29"/>
  <c r="CS190" i="29"/>
  <c r="CR190" i="29"/>
  <c r="CQ190" i="29"/>
  <c r="CP190" i="29"/>
  <c r="CO190" i="29"/>
  <c r="CN190" i="29"/>
  <c r="CW189" i="29"/>
  <c r="CV189" i="29"/>
  <c r="CU189" i="29"/>
  <c r="CT189" i="29"/>
  <c r="CS189" i="29"/>
  <c r="CR189" i="29"/>
  <c r="CQ189" i="29"/>
  <c r="CP189" i="29"/>
  <c r="CO189" i="29"/>
  <c r="CN189" i="29"/>
  <c r="CW188" i="29"/>
  <c r="CV188" i="29"/>
  <c r="CU188" i="29"/>
  <c r="CT188" i="29"/>
  <c r="CS188" i="29"/>
  <c r="CR188" i="29"/>
  <c r="CQ188" i="29"/>
  <c r="CP188" i="29"/>
  <c r="CO188" i="29"/>
  <c r="CN188" i="29"/>
  <c r="CW187" i="29"/>
  <c r="CV187" i="29"/>
  <c r="CU187" i="29"/>
  <c r="CT187" i="29"/>
  <c r="CS187" i="29"/>
  <c r="CR187" i="29"/>
  <c r="CQ187" i="29"/>
  <c r="CP187" i="29"/>
  <c r="CO187" i="29"/>
  <c r="CN187" i="29"/>
  <c r="CW186" i="29"/>
  <c r="CV186" i="29"/>
  <c r="CU186" i="29"/>
  <c r="CT186" i="29"/>
  <c r="CS186" i="29"/>
  <c r="CR186" i="29"/>
  <c r="CQ186" i="29"/>
  <c r="CP186" i="29"/>
  <c r="CO186" i="29"/>
  <c r="CN186" i="29"/>
  <c r="CW185" i="29"/>
  <c r="CV185" i="29"/>
  <c r="CU185" i="29"/>
  <c r="CT185" i="29"/>
  <c r="CS185" i="29"/>
  <c r="CR185" i="29"/>
  <c r="CQ185" i="29"/>
  <c r="CP185" i="29"/>
  <c r="CO185" i="29"/>
  <c r="CN185" i="29"/>
  <c r="BI215" i="29"/>
  <c r="BH215" i="29"/>
  <c r="BG215" i="29"/>
  <c r="BF215" i="29"/>
  <c r="BE215" i="29"/>
  <c r="BD215" i="29"/>
  <c r="BC215" i="29"/>
  <c r="BB215" i="29"/>
  <c r="BA215" i="29"/>
  <c r="AZ215" i="29"/>
  <c r="BI214" i="29"/>
  <c r="BH214" i="29"/>
  <c r="BG214" i="29"/>
  <c r="BF214" i="29"/>
  <c r="BE214" i="29"/>
  <c r="BD214" i="29"/>
  <c r="BC214" i="29"/>
  <c r="BB214" i="29"/>
  <c r="BA214" i="29"/>
  <c r="AZ214" i="29"/>
  <c r="BI213" i="29"/>
  <c r="BH213" i="29"/>
  <c r="BG213" i="29"/>
  <c r="BF213" i="29"/>
  <c r="BE213" i="29"/>
  <c r="BD213" i="29"/>
  <c r="BC213" i="29"/>
  <c r="BB213" i="29"/>
  <c r="BA213" i="29"/>
  <c r="AZ213" i="29"/>
  <c r="BI212" i="29"/>
  <c r="BH212" i="29"/>
  <c r="BG212" i="29"/>
  <c r="BF212" i="29"/>
  <c r="BE212" i="29"/>
  <c r="BD212" i="29"/>
  <c r="BC212" i="29"/>
  <c r="BB212" i="29"/>
  <c r="BA212" i="29"/>
  <c r="AZ212" i="29"/>
  <c r="BI211" i="29"/>
  <c r="BH211" i="29"/>
  <c r="BG211" i="29"/>
  <c r="BF211" i="29"/>
  <c r="BE211" i="29"/>
  <c r="BD211" i="29"/>
  <c r="BC211" i="29"/>
  <c r="BB211" i="29"/>
  <c r="BA211" i="29"/>
  <c r="AZ211" i="29"/>
  <c r="BI210" i="29"/>
  <c r="BH210" i="29"/>
  <c r="BG210" i="29"/>
  <c r="BF210" i="29"/>
  <c r="BE210" i="29"/>
  <c r="BD210" i="29"/>
  <c r="BC210" i="29"/>
  <c r="BB210" i="29"/>
  <c r="BA210" i="29"/>
  <c r="AZ210" i="29"/>
  <c r="BI209" i="29"/>
  <c r="BH209" i="29"/>
  <c r="BG209" i="29"/>
  <c r="BF209" i="29"/>
  <c r="BE209" i="29"/>
  <c r="BD209" i="29"/>
  <c r="BC209" i="29"/>
  <c r="BB209" i="29"/>
  <c r="BA209" i="29"/>
  <c r="AZ209" i="29"/>
  <c r="BI208" i="29"/>
  <c r="BH208" i="29"/>
  <c r="BG208" i="29"/>
  <c r="BF208" i="29"/>
  <c r="BE208" i="29"/>
  <c r="BD208" i="29"/>
  <c r="BC208" i="29"/>
  <c r="BB208" i="29"/>
  <c r="BA208" i="29"/>
  <c r="AZ208" i="29"/>
  <c r="BI207" i="29"/>
  <c r="BH207" i="29"/>
  <c r="BG207" i="29"/>
  <c r="BF207" i="29"/>
  <c r="BE207" i="29"/>
  <c r="BD207" i="29"/>
  <c r="BC207" i="29"/>
  <c r="BB207" i="29"/>
  <c r="BA207" i="29"/>
  <c r="AZ207" i="29"/>
  <c r="BI206" i="29"/>
  <c r="BH206" i="29"/>
  <c r="BG206" i="29"/>
  <c r="BF206" i="29"/>
  <c r="BE206" i="29"/>
  <c r="BD206" i="29"/>
  <c r="BC206" i="29"/>
  <c r="BB206" i="29"/>
  <c r="BA206" i="29"/>
  <c r="AZ206" i="29"/>
  <c r="BI205" i="29"/>
  <c r="BH205" i="29"/>
  <c r="BG205" i="29"/>
  <c r="BF205" i="29"/>
  <c r="BE205" i="29"/>
  <c r="BD205" i="29"/>
  <c r="BC205" i="29"/>
  <c r="BB205" i="29"/>
  <c r="BA205" i="29"/>
  <c r="AZ205" i="29"/>
  <c r="BI204" i="29"/>
  <c r="BH204" i="29"/>
  <c r="BG204" i="29"/>
  <c r="BF204" i="29"/>
  <c r="BE204" i="29"/>
  <c r="BD204" i="29"/>
  <c r="BC204" i="29"/>
  <c r="BB204" i="29"/>
  <c r="BA204" i="29"/>
  <c r="AZ204" i="29"/>
  <c r="BI203" i="29"/>
  <c r="BH203" i="29"/>
  <c r="BG203" i="29"/>
  <c r="BF203" i="29"/>
  <c r="BE203" i="29"/>
  <c r="BD203" i="29"/>
  <c r="BC203" i="29"/>
  <c r="BB203" i="29"/>
  <c r="BA203" i="29"/>
  <c r="AZ203" i="29"/>
  <c r="BI202" i="29"/>
  <c r="BH202" i="29"/>
  <c r="BG202" i="29"/>
  <c r="BF202" i="29"/>
  <c r="BE202" i="29"/>
  <c r="BD202" i="29"/>
  <c r="BC202" i="29"/>
  <c r="BB202" i="29"/>
  <c r="BA202" i="29"/>
  <c r="AZ202" i="29"/>
  <c r="BI201" i="29"/>
  <c r="BH201" i="29"/>
  <c r="BG201" i="29"/>
  <c r="BF201" i="29"/>
  <c r="BE201" i="29"/>
  <c r="BD201" i="29"/>
  <c r="BC201" i="29"/>
  <c r="BB201" i="29"/>
  <c r="BA201" i="29"/>
  <c r="AZ201" i="29"/>
  <c r="BI200" i="29"/>
  <c r="BH200" i="29"/>
  <c r="BG200" i="29"/>
  <c r="BF200" i="29"/>
  <c r="BE200" i="29"/>
  <c r="BD200" i="29"/>
  <c r="BC200" i="29"/>
  <c r="BB200" i="29"/>
  <c r="BA200" i="29"/>
  <c r="AZ200" i="29"/>
  <c r="BI199" i="29"/>
  <c r="BH199" i="29"/>
  <c r="BG199" i="29"/>
  <c r="BF199" i="29"/>
  <c r="BE199" i="29"/>
  <c r="BD199" i="29"/>
  <c r="BC199" i="29"/>
  <c r="BB199" i="29"/>
  <c r="BA199" i="29"/>
  <c r="AZ199" i="29"/>
  <c r="BI198" i="29"/>
  <c r="BH198" i="29"/>
  <c r="BG198" i="29"/>
  <c r="BF198" i="29"/>
  <c r="BE198" i="29"/>
  <c r="BD198" i="29"/>
  <c r="BC198" i="29"/>
  <c r="BB198" i="29"/>
  <c r="BA198" i="29"/>
  <c r="AZ198" i="29"/>
  <c r="BI197" i="29"/>
  <c r="BH197" i="29"/>
  <c r="BG197" i="29"/>
  <c r="BF197" i="29"/>
  <c r="BE197" i="29"/>
  <c r="BD197" i="29"/>
  <c r="BC197" i="29"/>
  <c r="BB197" i="29"/>
  <c r="BA197" i="29"/>
  <c r="AZ197" i="29"/>
  <c r="BI196" i="29"/>
  <c r="BH196" i="29"/>
  <c r="BG196" i="29"/>
  <c r="BF196" i="29"/>
  <c r="BE196" i="29"/>
  <c r="BD196" i="29"/>
  <c r="BC196" i="29"/>
  <c r="BB196" i="29"/>
  <c r="BA196" i="29"/>
  <c r="AZ196" i="29"/>
  <c r="BI195" i="29"/>
  <c r="BH195" i="29"/>
  <c r="BG195" i="29"/>
  <c r="BF195" i="29"/>
  <c r="BE195" i="29"/>
  <c r="BD195" i="29"/>
  <c r="BC195" i="29"/>
  <c r="BB195" i="29"/>
  <c r="BA195" i="29"/>
  <c r="AZ195" i="29"/>
  <c r="BI194" i="29"/>
  <c r="BH194" i="29"/>
  <c r="BG194" i="29"/>
  <c r="BF194" i="29"/>
  <c r="BE194" i="29"/>
  <c r="BD194" i="29"/>
  <c r="BC194" i="29"/>
  <c r="BB194" i="29"/>
  <c r="BA194" i="29"/>
  <c r="AZ194" i="29"/>
  <c r="BI193" i="29"/>
  <c r="BH193" i="29"/>
  <c r="BG193" i="29"/>
  <c r="BF193" i="29"/>
  <c r="BE193" i="29"/>
  <c r="BD193" i="29"/>
  <c r="BC193" i="29"/>
  <c r="BB193" i="29"/>
  <c r="BA193" i="29"/>
  <c r="AZ193" i="29"/>
  <c r="BI192" i="29"/>
  <c r="BH192" i="29"/>
  <c r="BG192" i="29"/>
  <c r="BF192" i="29"/>
  <c r="BE192" i="29"/>
  <c r="BD192" i="29"/>
  <c r="BC192" i="29"/>
  <c r="BB192" i="29"/>
  <c r="BA192" i="29"/>
  <c r="AZ192" i="29"/>
  <c r="BI191" i="29"/>
  <c r="BH191" i="29"/>
  <c r="BG191" i="29"/>
  <c r="BF191" i="29"/>
  <c r="BE191" i="29"/>
  <c r="BD191" i="29"/>
  <c r="BC191" i="29"/>
  <c r="BB191" i="29"/>
  <c r="BA191" i="29"/>
  <c r="AZ191" i="29"/>
  <c r="BI190" i="29"/>
  <c r="BH190" i="29"/>
  <c r="BG190" i="29"/>
  <c r="BF190" i="29"/>
  <c r="BE190" i="29"/>
  <c r="BD190" i="29"/>
  <c r="BC190" i="29"/>
  <c r="BB190" i="29"/>
  <c r="BA190" i="29"/>
  <c r="AZ190" i="29"/>
  <c r="BI189" i="29"/>
  <c r="BH189" i="29"/>
  <c r="BG189" i="29"/>
  <c r="BF189" i="29"/>
  <c r="BE189" i="29"/>
  <c r="BD189" i="29"/>
  <c r="BC189" i="29"/>
  <c r="BB189" i="29"/>
  <c r="BA189" i="29"/>
  <c r="AZ189" i="29"/>
  <c r="BI188" i="29"/>
  <c r="BH188" i="29"/>
  <c r="BG188" i="29"/>
  <c r="BF188" i="29"/>
  <c r="BE188" i="29"/>
  <c r="BD188" i="29"/>
  <c r="BC188" i="29"/>
  <c r="BB188" i="29"/>
  <c r="BA188" i="29"/>
  <c r="AZ188" i="29"/>
  <c r="BI187" i="29"/>
  <c r="BH187" i="29"/>
  <c r="BG187" i="29"/>
  <c r="BF187" i="29"/>
  <c r="BE187" i="29"/>
  <c r="BD187" i="29"/>
  <c r="BC187" i="29"/>
  <c r="BB187" i="29"/>
  <c r="BA187" i="29"/>
  <c r="AZ187" i="29"/>
  <c r="BI186" i="29"/>
  <c r="BH186" i="29"/>
  <c r="BG186" i="29"/>
  <c r="BF186" i="29"/>
  <c r="BE186" i="29"/>
  <c r="BD186" i="29"/>
  <c r="BC186" i="29"/>
  <c r="BB186" i="29"/>
  <c r="BA186" i="29"/>
  <c r="AZ186" i="29"/>
  <c r="BI185" i="29"/>
  <c r="BH185" i="29"/>
  <c r="BG185" i="29"/>
  <c r="BF185" i="29"/>
  <c r="BE185" i="29"/>
  <c r="BD185" i="29"/>
  <c r="BC185" i="29"/>
  <c r="BB185" i="29"/>
  <c r="BA185" i="29"/>
  <c r="AZ185" i="29"/>
  <c r="U215" i="29"/>
  <c r="T215" i="29"/>
  <c r="S215" i="29"/>
  <c r="R215" i="29"/>
  <c r="Q215" i="29"/>
  <c r="P215" i="29"/>
  <c r="O215" i="29"/>
  <c r="N215" i="29"/>
  <c r="M215" i="29"/>
  <c r="L215" i="29"/>
  <c r="U214" i="29"/>
  <c r="T214" i="29"/>
  <c r="S214" i="29"/>
  <c r="R214" i="29"/>
  <c r="Q214" i="29"/>
  <c r="P214" i="29"/>
  <c r="O214" i="29"/>
  <c r="N214" i="29"/>
  <c r="M214" i="29"/>
  <c r="L214" i="29"/>
  <c r="U213" i="29"/>
  <c r="T213" i="29"/>
  <c r="S213" i="29"/>
  <c r="R213" i="29"/>
  <c r="Q213" i="29"/>
  <c r="P213" i="29"/>
  <c r="O213" i="29"/>
  <c r="N213" i="29"/>
  <c r="M213" i="29"/>
  <c r="L213" i="29"/>
  <c r="U212" i="29"/>
  <c r="T212" i="29"/>
  <c r="S212" i="29"/>
  <c r="R212" i="29"/>
  <c r="Q212" i="29"/>
  <c r="P212" i="29"/>
  <c r="O212" i="29"/>
  <c r="N212" i="29"/>
  <c r="M212" i="29"/>
  <c r="L212" i="29"/>
  <c r="U211" i="29"/>
  <c r="T211" i="29"/>
  <c r="S211" i="29"/>
  <c r="R211" i="29"/>
  <c r="Q211" i="29"/>
  <c r="P211" i="29"/>
  <c r="O211" i="29"/>
  <c r="N211" i="29"/>
  <c r="M211" i="29"/>
  <c r="L211" i="29"/>
  <c r="U210" i="29"/>
  <c r="T210" i="29"/>
  <c r="S210" i="29"/>
  <c r="R210" i="29"/>
  <c r="Q210" i="29"/>
  <c r="P210" i="29"/>
  <c r="O210" i="29"/>
  <c r="N210" i="29"/>
  <c r="M210" i="29"/>
  <c r="L210" i="29"/>
  <c r="U209" i="29"/>
  <c r="T209" i="29"/>
  <c r="S209" i="29"/>
  <c r="R209" i="29"/>
  <c r="Q209" i="29"/>
  <c r="P209" i="29"/>
  <c r="O209" i="29"/>
  <c r="N209" i="29"/>
  <c r="M209" i="29"/>
  <c r="L209" i="29"/>
  <c r="U208" i="29"/>
  <c r="T208" i="29"/>
  <c r="S208" i="29"/>
  <c r="R208" i="29"/>
  <c r="Q208" i="29"/>
  <c r="P208" i="29"/>
  <c r="O208" i="29"/>
  <c r="N208" i="29"/>
  <c r="M208" i="29"/>
  <c r="L208" i="29"/>
  <c r="U207" i="29"/>
  <c r="T207" i="29"/>
  <c r="S207" i="29"/>
  <c r="R207" i="29"/>
  <c r="Q207" i="29"/>
  <c r="P207" i="29"/>
  <c r="O207" i="29"/>
  <c r="N207" i="29"/>
  <c r="M207" i="29"/>
  <c r="L207" i="29"/>
  <c r="U206" i="29"/>
  <c r="T206" i="29"/>
  <c r="S206" i="29"/>
  <c r="R206" i="29"/>
  <c r="Q206" i="29"/>
  <c r="P206" i="29"/>
  <c r="O206" i="29"/>
  <c r="N206" i="29"/>
  <c r="M206" i="29"/>
  <c r="L206" i="29"/>
  <c r="U205" i="29"/>
  <c r="T205" i="29"/>
  <c r="S205" i="29"/>
  <c r="R205" i="29"/>
  <c r="Q205" i="29"/>
  <c r="P205" i="29"/>
  <c r="O205" i="29"/>
  <c r="N205" i="29"/>
  <c r="M205" i="29"/>
  <c r="L205" i="29"/>
  <c r="U204" i="29"/>
  <c r="T204" i="29"/>
  <c r="S204" i="29"/>
  <c r="R204" i="29"/>
  <c r="Q204" i="29"/>
  <c r="P204" i="29"/>
  <c r="O204" i="29"/>
  <c r="N204" i="29"/>
  <c r="M204" i="29"/>
  <c r="L204" i="29"/>
  <c r="U203" i="29"/>
  <c r="T203" i="29"/>
  <c r="S203" i="29"/>
  <c r="R203" i="29"/>
  <c r="Q203" i="29"/>
  <c r="P203" i="29"/>
  <c r="O203" i="29"/>
  <c r="N203" i="29"/>
  <c r="M203" i="29"/>
  <c r="L203" i="29"/>
  <c r="U202" i="29"/>
  <c r="T202" i="29"/>
  <c r="S202" i="29"/>
  <c r="R202" i="29"/>
  <c r="Q202" i="29"/>
  <c r="P202" i="29"/>
  <c r="O202" i="29"/>
  <c r="N202" i="29"/>
  <c r="M202" i="29"/>
  <c r="L202" i="29"/>
  <c r="U201" i="29"/>
  <c r="T201" i="29"/>
  <c r="S201" i="29"/>
  <c r="R201" i="29"/>
  <c r="Q201" i="29"/>
  <c r="P201" i="29"/>
  <c r="O201" i="29"/>
  <c r="N201" i="29"/>
  <c r="M201" i="29"/>
  <c r="L201" i="29"/>
  <c r="U200" i="29"/>
  <c r="T200" i="29"/>
  <c r="S200" i="29"/>
  <c r="R200" i="29"/>
  <c r="Q200" i="29"/>
  <c r="P200" i="29"/>
  <c r="O200" i="29"/>
  <c r="N200" i="29"/>
  <c r="M200" i="29"/>
  <c r="L200" i="29"/>
  <c r="U199" i="29"/>
  <c r="T199" i="29"/>
  <c r="S199" i="29"/>
  <c r="R199" i="29"/>
  <c r="Q199" i="29"/>
  <c r="P199" i="29"/>
  <c r="O199" i="29"/>
  <c r="N199" i="29"/>
  <c r="M199" i="29"/>
  <c r="L199" i="29"/>
  <c r="U198" i="29"/>
  <c r="T198" i="29"/>
  <c r="S198" i="29"/>
  <c r="R198" i="29"/>
  <c r="Q198" i="29"/>
  <c r="P198" i="29"/>
  <c r="O198" i="29"/>
  <c r="N198" i="29"/>
  <c r="M198" i="29"/>
  <c r="L198" i="29"/>
  <c r="U197" i="29"/>
  <c r="T197" i="29"/>
  <c r="S197" i="29"/>
  <c r="R197" i="29"/>
  <c r="Q197" i="29"/>
  <c r="P197" i="29"/>
  <c r="O197" i="29"/>
  <c r="N197" i="29"/>
  <c r="M197" i="29"/>
  <c r="L197" i="29"/>
  <c r="U196" i="29"/>
  <c r="T196" i="29"/>
  <c r="S196" i="29"/>
  <c r="R196" i="29"/>
  <c r="Q196" i="29"/>
  <c r="P196" i="29"/>
  <c r="O196" i="29"/>
  <c r="N196" i="29"/>
  <c r="M196" i="29"/>
  <c r="L196" i="29"/>
  <c r="U195" i="29"/>
  <c r="T195" i="29"/>
  <c r="S195" i="29"/>
  <c r="R195" i="29"/>
  <c r="Q195" i="29"/>
  <c r="P195" i="29"/>
  <c r="O195" i="29"/>
  <c r="N195" i="29"/>
  <c r="M195" i="29"/>
  <c r="L195" i="29"/>
  <c r="U194" i="29"/>
  <c r="T194" i="29"/>
  <c r="S194" i="29"/>
  <c r="R194" i="29"/>
  <c r="Q194" i="29"/>
  <c r="P194" i="29"/>
  <c r="O194" i="29"/>
  <c r="N194" i="29"/>
  <c r="M194" i="29"/>
  <c r="L194" i="29"/>
  <c r="U193" i="29"/>
  <c r="T193" i="29"/>
  <c r="S193" i="29"/>
  <c r="R193" i="29"/>
  <c r="Q193" i="29"/>
  <c r="P193" i="29"/>
  <c r="O193" i="29"/>
  <c r="N193" i="29"/>
  <c r="M193" i="29"/>
  <c r="L193" i="29"/>
  <c r="U192" i="29"/>
  <c r="T192" i="29"/>
  <c r="S192" i="29"/>
  <c r="R192" i="29"/>
  <c r="Q192" i="29"/>
  <c r="P192" i="29"/>
  <c r="O192" i="29"/>
  <c r="N192" i="29"/>
  <c r="M192" i="29"/>
  <c r="L192" i="29"/>
  <c r="U191" i="29"/>
  <c r="T191" i="29"/>
  <c r="S191" i="29"/>
  <c r="R191" i="29"/>
  <c r="Q191" i="29"/>
  <c r="P191" i="29"/>
  <c r="O191" i="29"/>
  <c r="N191" i="29"/>
  <c r="M191" i="29"/>
  <c r="L191" i="29"/>
  <c r="U190" i="29"/>
  <c r="T190" i="29"/>
  <c r="S190" i="29"/>
  <c r="R190" i="29"/>
  <c r="Q190" i="29"/>
  <c r="P190" i="29"/>
  <c r="O190" i="29"/>
  <c r="N190" i="29"/>
  <c r="M190" i="29"/>
  <c r="L190" i="29"/>
  <c r="U189" i="29"/>
  <c r="T189" i="29"/>
  <c r="S189" i="29"/>
  <c r="R189" i="29"/>
  <c r="Q189" i="29"/>
  <c r="P189" i="29"/>
  <c r="O189" i="29"/>
  <c r="N189" i="29"/>
  <c r="M189" i="29"/>
  <c r="L189" i="29"/>
  <c r="U188" i="29"/>
  <c r="T188" i="29"/>
  <c r="S188" i="29"/>
  <c r="R188" i="29"/>
  <c r="Q188" i="29"/>
  <c r="P188" i="29"/>
  <c r="O188" i="29"/>
  <c r="N188" i="29"/>
  <c r="M188" i="29"/>
  <c r="L188" i="29"/>
  <c r="U187" i="29"/>
  <c r="T187" i="29"/>
  <c r="S187" i="29"/>
  <c r="R187" i="29"/>
  <c r="Q187" i="29"/>
  <c r="P187" i="29"/>
  <c r="O187" i="29"/>
  <c r="N187" i="29"/>
  <c r="M187" i="29"/>
  <c r="L187" i="29"/>
  <c r="U186" i="29"/>
  <c r="T186" i="29"/>
  <c r="S186" i="29"/>
  <c r="R186" i="29"/>
  <c r="Q186" i="29"/>
  <c r="P186" i="29"/>
  <c r="O186" i="29"/>
  <c r="N186" i="29"/>
  <c r="M186" i="29"/>
  <c r="L186" i="29"/>
  <c r="U185" i="29"/>
  <c r="T185" i="29"/>
  <c r="S185" i="29"/>
  <c r="R185" i="29"/>
  <c r="Q185" i="29"/>
  <c r="P185" i="29"/>
  <c r="O185" i="29"/>
  <c r="N185" i="29"/>
  <c r="M185" i="29"/>
  <c r="L185" i="29"/>
  <c r="CW184" i="29"/>
  <c r="CV184" i="29"/>
  <c r="CU184" i="29"/>
  <c r="CT184" i="29"/>
  <c r="CS184" i="29"/>
  <c r="CR184" i="29"/>
  <c r="CQ184" i="29"/>
  <c r="CP184" i="29"/>
  <c r="CO184" i="29"/>
  <c r="CN184" i="29"/>
  <c r="CW183" i="29"/>
  <c r="CV183" i="29"/>
  <c r="CU183" i="29"/>
  <c r="CT183" i="29"/>
  <c r="CS183" i="29"/>
  <c r="CR183" i="29"/>
  <c r="CQ183" i="29"/>
  <c r="CP183" i="29"/>
  <c r="CO183" i="29"/>
  <c r="CN183" i="29"/>
  <c r="CW182" i="29"/>
  <c r="CV182" i="29"/>
  <c r="CU182" i="29"/>
  <c r="CT182" i="29"/>
  <c r="CS182" i="29"/>
  <c r="CR182" i="29"/>
  <c r="CQ182" i="29"/>
  <c r="CP182" i="29"/>
  <c r="CO182" i="29"/>
  <c r="CN182" i="29"/>
  <c r="CW181" i="29"/>
  <c r="CV181" i="29"/>
  <c r="CU181" i="29"/>
  <c r="CT181" i="29"/>
  <c r="CS181" i="29"/>
  <c r="CR181" i="29"/>
  <c r="CQ181" i="29"/>
  <c r="CP181" i="29"/>
  <c r="CO181" i="29"/>
  <c r="CN181" i="29"/>
  <c r="CW180" i="29"/>
  <c r="CV180" i="29"/>
  <c r="CU180" i="29"/>
  <c r="CT180" i="29"/>
  <c r="CS180" i="29"/>
  <c r="CR180" i="29"/>
  <c r="CQ180" i="29"/>
  <c r="CP180" i="29"/>
  <c r="CO180" i="29"/>
  <c r="CN180" i="29"/>
  <c r="CW179" i="29"/>
  <c r="CV179" i="29"/>
  <c r="CU179" i="29"/>
  <c r="CT179" i="29"/>
  <c r="CS179" i="29"/>
  <c r="CR179" i="29"/>
  <c r="CQ179" i="29"/>
  <c r="CP179" i="29"/>
  <c r="CO179" i="29"/>
  <c r="CN179" i="29"/>
  <c r="CW178" i="29"/>
  <c r="CV178" i="29"/>
  <c r="CU178" i="29"/>
  <c r="CT178" i="29"/>
  <c r="CS178" i="29"/>
  <c r="CR178" i="29"/>
  <c r="CQ178" i="29"/>
  <c r="CP178" i="29"/>
  <c r="CO178" i="29"/>
  <c r="CN178" i="29"/>
  <c r="CW177" i="29"/>
  <c r="CV177" i="29"/>
  <c r="CU177" i="29"/>
  <c r="CT177" i="29"/>
  <c r="CS177" i="29"/>
  <c r="CR177" i="29"/>
  <c r="CQ177" i="29"/>
  <c r="CP177" i="29"/>
  <c r="CO177" i="29"/>
  <c r="CN177" i="29"/>
  <c r="CW176" i="29"/>
  <c r="CV176" i="29"/>
  <c r="CU176" i="29"/>
  <c r="CT176" i="29"/>
  <c r="CS176" i="29"/>
  <c r="CR176" i="29"/>
  <c r="CQ176" i="29"/>
  <c r="CP176" i="29"/>
  <c r="CO176" i="29"/>
  <c r="CN176" i="29"/>
  <c r="CW175" i="29"/>
  <c r="CV175" i="29"/>
  <c r="CU175" i="29"/>
  <c r="CT175" i="29"/>
  <c r="CS175" i="29"/>
  <c r="CR175" i="29"/>
  <c r="CQ175" i="29"/>
  <c r="CP175" i="29"/>
  <c r="CO175" i="29"/>
  <c r="CN175" i="29"/>
  <c r="CW174" i="29"/>
  <c r="CV174" i="29"/>
  <c r="CU174" i="29"/>
  <c r="CT174" i="29"/>
  <c r="CS174" i="29"/>
  <c r="CR174" i="29"/>
  <c r="CQ174" i="29"/>
  <c r="CP174" i="29"/>
  <c r="CO174" i="29"/>
  <c r="CN174" i="29"/>
  <c r="CW173" i="29"/>
  <c r="CV173" i="29"/>
  <c r="CU173" i="29"/>
  <c r="CT173" i="29"/>
  <c r="CS173" i="29"/>
  <c r="CR173" i="29"/>
  <c r="CQ173" i="29"/>
  <c r="CP173" i="29"/>
  <c r="CO173" i="29"/>
  <c r="CN173" i="29"/>
  <c r="CW172" i="29"/>
  <c r="CV172" i="29"/>
  <c r="CU172" i="29"/>
  <c r="CT172" i="29"/>
  <c r="CS172" i="29"/>
  <c r="CR172" i="29"/>
  <c r="CQ172" i="29"/>
  <c r="CP172" i="29"/>
  <c r="CO172" i="29"/>
  <c r="CN172" i="29"/>
  <c r="CW171" i="29"/>
  <c r="CV171" i="29"/>
  <c r="CU171" i="29"/>
  <c r="CT171" i="29"/>
  <c r="CS171" i="29"/>
  <c r="CR171" i="29"/>
  <c r="CQ171" i="29"/>
  <c r="CP171" i="29"/>
  <c r="CO171" i="29"/>
  <c r="CN171" i="29"/>
  <c r="CW170" i="29"/>
  <c r="CV170" i="29"/>
  <c r="CU170" i="29"/>
  <c r="CT170" i="29"/>
  <c r="CS170" i="29"/>
  <c r="CR170" i="29"/>
  <c r="CQ170" i="29"/>
  <c r="CP170" i="29"/>
  <c r="CO170" i="29"/>
  <c r="CN170" i="29"/>
  <c r="CW169" i="29"/>
  <c r="CV169" i="29"/>
  <c r="CU169" i="29"/>
  <c r="CT169" i="29"/>
  <c r="CS169" i="29"/>
  <c r="CR169" i="29"/>
  <c r="CQ169" i="29"/>
  <c r="CP169" i="29"/>
  <c r="CO169" i="29"/>
  <c r="CN169" i="29"/>
  <c r="CW168" i="29"/>
  <c r="CV168" i="29"/>
  <c r="CU168" i="29"/>
  <c r="CT168" i="29"/>
  <c r="CS168" i="29"/>
  <c r="CR168" i="29"/>
  <c r="CQ168" i="29"/>
  <c r="CP168" i="29"/>
  <c r="CO168" i="29"/>
  <c r="CN168" i="29"/>
  <c r="CW167" i="29"/>
  <c r="CV167" i="29"/>
  <c r="CU167" i="29"/>
  <c r="CT167" i="29"/>
  <c r="CS167" i="29"/>
  <c r="CR167" i="29"/>
  <c r="CQ167" i="29"/>
  <c r="CP167" i="29"/>
  <c r="CO167" i="29"/>
  <c r="CN167" i="29"/>
  <c r="CW166" i="29"/>
  <c r="CV166" i="29"/>
  <c r="CU166" i="29"/>
  <c r="CT166" i="29"/>
  <c r="CS166" i="29"/>
  <c r="CR166" i="29"/>
  <c r="CQ166" i="29"/>
  <c r="CP166" i="29"/>
  <c r="CO166" i="29"/>
  <c r="CN166" i="29"/>
  <c r="CW165" i="29"/>
  <c r="CV165" i="29"/>
  <c r="CU165" i="29"/>
  <c r="CT165" i="29"/>
  <c r="CS165" i="29"/>
  <c r="CR165" i="29"/>
  <c r="CQ165" i="29"/>
  <c r="CP165" i="29"/>
  <c r="CO165" i="29"/>
  <c r="CN165" i="29"/>
  <c r="CW164" i="29"/>
  <c r="CV164" i="29"/>
  <c r="CU164" i="29"/>
  <c r="CT164" i="29"/>
  <c r="CS164" i="29"/>
  <c r="CR164" i="29"/>
  <c r="CQ164" i="29"/>
  <c r="CP164" i="29"/>
  <c r="CO164" i="29"/>
  <c r="CN164" i="29"/>
  <c r="CW163" i="29"/>
  <c r="CV163" i="29"/>
  <c r="CU163" i="29"/>
  <c r="CT163" i="29"/>
  <c r="CS163" i="29"/>
  <c r="CR163" i="29"/>
  <c r="CQ163" i="29"/>
  <c r="CP163" i="29"/>
  <c r="CO163" i="29"/>
  <c r="CN163" i="29"/>
  <c r="CW162" i="29"/>
  <c r="CV162" i="29"/>
  <c r="CU162" i="29"/>
  <c r="CT162" i="29"/>
  <c r="CS162" i="29"/>
  <c r="CR162" i="29"/>
  <c r="CQ162" i="29"/>
  <c r="CP162" i="29"/>
  <c r="CO162" i="29"/>
  <c r="CN162" i="29"/>
  <c r="CW161" i="29"/>
  <c r="CV161" i="29"/>
  <c r="CU161" i="29"/>
  <c r="CT161" i="29"/>
  <c r="CS161" i="29"/>
  <c r="CR161" i="29"/>
  <c r="CQ161" i="29"/>
  <c r="CP161" i="29"/>
  <c r="CO161" i="29"/>
  <c r="CN161" i="29"/>
  <c r="CW160" i="29"/>
  <c r="CV160" i="29"/>
  <c r="CU160" i="29"/>
  <c r="CT160" i="29"/>
  <c r="CS160" i="29"/>
  <c r="CR160" i="29"/>
  <c r="CQ160" i="29"/>
  <c r="CP160" i="29"/>
  <c r="CO160" i="29"/>
  <c r="CN160" i="29"/>
  <c r="CW159" i="29"/>
  <c r="CV159" i="29"/>
  <c r="CU159" i="29"/>
  <c r="CT159" i="29"/>
  <c r="CS159" i="29"/>
  <c r="CR159" i="29"/>
  <c r="CQ159" i="29"/>
  <c r="CP159" i="29"/>
  <c r="CO159" i="29"/>
  <c r="CN159" i="29"/>
  <c r="CW158" i="29"/>
  <c r="CV158" i="29"/>
  <c r="CU158" i="29"/>
  <c r="CT158" i="29"/>
  <c r="CS158" i="29"/>
  <c r="CR158" i="29"/>
  <c r="CQ158" i="29"/>
  <c r="CP158" i="29"/>
  <c r="CO158" i="29"/>
  <c r="CN158" i="29"/>
  <c r="CW157" i="29"/>
  <c r="CV157" i="29"/>
  <c r="CU157" i="29"/>
  <c r="CT157" i="29"/>
  <c r="CS157" i="29"/>
  <c r="CR157" i="29"/>
  <c r="CQ157" i="29"/>
  <c r="CP157" i="29"/>
  <c r="CO157" i="29"/>
  <c r="CN157" i="29"/>
  <c r="CW156" i="29"/>
  <c r="CV156" i="29"/>
  <c r="CU156" i="29"/>
  <c r="CT156" i="29"/>
  <c r="CS156" i="29"/>
  <c r="CR156" i="29"/>
  <c r="CQ156" i="29"/>
  <c r="CP156" i="29"/>
  <c r="CO156" i="29"/>
  <c r="CN156" i="29"/>
  <c r="CW155" i="29"/>
  <c r="CV155" i="29"/>
  <c r="CU155" i="29"/>
  <c r="CT155" i="29"/>
  <c r="CS155" i="29"/>
  <c r="CR155" i="29"/>
  <c r="CQ155" i="29"/>
  <c r="CP155" i="29"/>
  <c r="CO155" i="29"/>
  <c r="CN155" i="29"/>
  <c r="BI184" i="29"/>
  <c r="BH184" i="29"/>
  <c r="BG184" i="29"/>
  <c r="BF184" i="29"/>
  <c r="BE184" i="29"/>
  <c r="BD184" i="29"/>
  <c r="BC184" i="29"/>
  <c r="BB184" i="29"/>
  <c r="BA184" i="29"/>
  <c r="AZ184" i="29"/>
  <c r="BI183" i="29"/>
  <c r="BH183" i="29"/>
  <c r="BG183" i="29"/>
  <c r="BF183" i="29"/>
  <c r="BE183" i="29"/>
  <c r="BD183" i="29"/>
  <c r="BC183" i="29"/>
  <c r="BB183" i="29"/>
  <c r="BA183" i="29"/>
  <c r="AZ183" i="29"/>
  <c r="BI182" i="29"/>
  <c r="BH182" i="29"/>
  <c r="BG182" i="29"/>
  <c r="BF182" i="29"/>
  <c r="BE182" i="29"/>
  <c r="BD182" i="29"/>
  <c r="BC182" i="29"/>
  <c r="BB182" i="29"/>
  <c r="BA182" i="29"/>
  <c r="AZ182" i="29"/>
  <c r="BI181" i="29"/>
  <c r="BH181" i="29"/>
  <c r="BG181" i="29"/>
  <c r="BF181" i="29"/>
  <c r="BE181" i="29"/>
  <c r="BD181" i="29"/>
  <c r="BC181" i="29"/>
  <c r="BB181" i="29"/>
  <c r="BA181" i="29"/>
  <c r="AZ181" i="29"/>
  <c r="BI180" i="29"/>
  <c r="BH180" i="29"/>
  <c r="BG180" i="29"/>
  <c r="BF180" i="29"/>
  <c r="BE180" i="29"/>
  <c r="BD180" i="29"/>
  <c r="BC180" i="29"/>
  <c r="BB180" i="29"/>
  <c r="BA180" i="29"/>
  <c r="AZ180" i="29"/>
  <c r="BI179" i="29"/>
  <c r="BH179" i="29"/>
  <c r="BG179" i="29"/>
  <c r="BF179" i="29"/>
  <c r="BE179" i="29"/>
  <c r="BD179" i="29"/>
  <c r="BC179" i="29"/>
  <c r="BB179" i="29"/>
  <c r="BA179" i="29"/>
  <c r="AZ179" i="29"/>
  <c r="BI178" i="29"/>
  <c r="BH178" i="29"/>
  <c r="BG178" i="29"/>
  <c r="BF178" i="29"/>
  <c r="BE178" i="29"/>
  <c r="BD178" i="29"/>
  <c r="BC178" i="29"/>
  <c r="BB178" i="29"/>
  <c r="BA178" i="29"/>
  <c r="AZ178" i="29"/>
  <c r="BI177" i="29"/>
  <c r="BH177" i="29"/>
  <c r="BG177" i="29"/>
  <c r="BF177" i="29"/>
  <c r="BE177" i="29"/>
  <c r="BD177" i="29"/>
  <c r="BC177" i="29"/>
  <c r="BB177" i="29"/>
  <c r="BA177" i="29"/>
  <c r="AZ177" i="29"/>
  <c r="BI176" i="29"/>
  <c r="BH176" i="29"/>
  <c r="BG176" i="29"/>
  <c r="BF176" i="29"/>
  <c r="BE176" i="29"/>
  <c r="BD176" i="29"/>
  <c r="BC176" i="29"/>
  <c r="BB176" i="29"/>
  <c r="BA176" i="29"/>
  <c r="AZ176" i="29"/>
  <c r="BI175" i="29"/>
  <c r="BH175" i="29"/>
  <c r="BG175" i="29"/>
  <c r="BF175" i="29"/>
  <c r="BE175" i="29"/>
  <c r="BD175" i="29"/>
  <c r="BC175" i="29"/>
  <c r="BB175" i="29"/>
  <c r="BA175" i="29"/>
  <c r="AZ175" i="29"/>
  <c r="BI174" i="29"/>
  <c r="BH174" i="29"/>
  <c r="BG174" i="29"/>
  <c r="BF174" i="29"/>
  <c r="BE174" i="29"/>
  <c r="BD174" i="29"/>
  <c r="BC174" i="29"/>
  <c r="BB174" i="29"/>
  <c r="BA174" i="29"/>
  <c r="AZ174" i="29"/>
  <c r="BI173" i="29"/>
  <c r="BH173" i="29"/>
  <c r="BG173" i="29"/>
  <c r="BF173" i="29"/>
  <c r="BE173" i="29"/>
  <c r="BD173" i="29"/>
  <c r="BC173" i="29"/>
  <c r="BB173" i="29"/>
  <c r="BA173" i="29"/>
  <c r="AZ173" i="29"/>
  <c r="BI172" i="29"/>
  <c r="BH172" i="29"/>
  <c r="BG172" i="29"/>
  <c r="BF172" i="29"/>
  <c r="BE172" i="29"/>
  <c r="BD172" i="29"/>
  <c r="BC172" i="29"/>
  <c r="BB172" i="29"/>
  <c r="BA172" i="29"/>
  <c r="AZ172" i="29"/>
  <c r="BI171" i="29"/>
  <c r="BH171" i="29"/>
  <c r="BG171" i="29"/>
  <c r="BF171" i="29"/>
  <c r="BE171" i="29"/>
  <c r="BD171" i="29"/>
  <c r="BC171" i="29"/>
  <c r="BB171" i="29"/>
  <c r="BA171" i="29"/>
  <c r="AZ171" i="29"/>
  <c r="BI170" i="29"/>
  <c r="BH170" i="29"/>
  <c r="BG170" i="29"/>
  <c r="BF170" i="29"/>
  <c r="BE170" i="29"/>
  <c r="BD170" i="29"/>
  <c r="BC170" i="29"/>
  <c r="BB170" i="29"/>
  <c r="BA170" i="29"/>
  <c r="AZ170" i="29"/>
  <c r="BI169" i="29"/>
  <c r="BH169" i="29"/>
  <c r="BG169" i="29"/>
  <c r="BF169" i="29"/>
  <c r="BE169" i="29"/>
  <c r="BD169" i="29"/>
  <c r="BC169" i="29"/>
  <c r="BB169" i="29"/>
  <c r="BA169" i="29"/>
  <c r="AZ169" i="29"/>
  <c r="BI168" i="29"/>
  <c r="BH168" i="29"/>
  <c r="BG168" i="29"/>
  <c r="BF168" i="29"/>
  <c r="BE168" i="29"/>
  <c r="BD168" i="29"/>
  <c r="BC168" i="29"/>
  <c r="BB168" i="29"/>
  <c r="BA168" i="29"/>
  <c r="AZ168" i="29"/>
  <c r="BI167" i="29"/>
  <c r="BH167" i="29"/>
  <c r="BG167" i="29"/>
  <c r="BF167" i="29"/>
  <c r="BE167" i="29"/>
  <c r="BD167" i="29"/>
  <c r="BC167" i="29"/>
  <c r="BB167" i="29"/>
  <c r="BA167" i="29"/>
  <c r="AZ167" i="29"/>
  <c r="BI166" i="29"/>
  <c r="BH166" i="29"/>
  <c r="BG166" i="29"/>
  <c r="BF166" i="29"/>
  <c r="BE166" i="29"/>
  <c r="BD166" i="29"/>
  <c r="BC166" i="29"/>
  <c r="BB166" i="29"/>
  <c r="BA166" i="29"/>
  <c r="AZ166" i="29"/>
  <c r="BI165" i="29"/>
  <c r="BH165" i="29"/>
  <c r="BG165" i="29"/>
  <c r="BF165" i="29"/>
  <c r="BE165" i="29"/>
  <c r="BD165" i="29"/>
  <c r="BC165" i="29"/>
  <c r="BB165" i="29"/>
  <c r="BA165" i="29"/>
  <c r="AZ165" i="29"/>
  <c r="BI164" i="29"/>
  <c r="BH164" i="29"/>
  <c r="BG164" i="29"/>
  <c r="BF164" i="29"/>
  <c r="BE164" i="29"/>
  <c r="BD164" i="29"/>
  <c r="BC164" i="29"/>
  <c r="BB164" i="29"/>
  <c r="BA164" i="29"/>
  <c r="AZ164" i="29"/>
  <c r="BI163" i="29"/>
  <c r="BH163" i="29"/>
  <c r="BG163" i="29"/>
  <c r="BF163" i="29"/>
  <c r="BE163" i="29"/>
  <c r="BD163" i="29"/>
  <c r="BC163" i="29"/>
  <c r="BB163" i="29"/>
  <c r="BA163" i="29"/>
  <c r="AZ163" i="29"/>
  <c r="BI162" i="29"/>
  <c r="BH162" i="29"/>
  <c r="BG162" i="29"/>
  <c r="BF162" i="29"/>
  <c r="BE162" i="29"/>
  <c r="BD162" i="29"/>
  <c r="BC162" i="29"/>
  <c r="BB162" i="29"/>
  <c r="BA162" i="29"/>
  <c r="AZ162" i="29"/>
  <c r="BI161" i="29"/>
  <c r="BH161" i="29"/>
  <c r="BG161" i="29"/>
  <c r="BF161" i="29"/>
  <c r="BE161" i="29"/>
  <c r="BD161" i="29"/>
  <c r="BC161" i="29"/>
  <c r="BB161" i="29"/>
  <c r="BA161" i="29"/>
  <c r="AZ161" i="29"/>
  <c r="BI160" i="29"/>
  <c r="BH160" i="29"/>
  <c r="BG160" i="29"/>
  <c r="BF160" i="29"/>
  <c r="BE160" i="29"/>
  <c r="BD160" i="29"/>
  <c r="BC160" i="29"/>
  <c r="BB160" i="29"/>
  <c r="BA160" i="29"/>
  <c r="AZ160" i="29"/>
  <c r="BI159" i="29"/>
  <c r="BH159" i="29"/>
  <c r="BG159" i="29"/>
  <c r="BF159" i="29"/>
  <c r="BE159" i="29"/>
  <c r="BD159" i="29"/>
  <c r="BC159" i="29"/>
  <c r="BB159" i="29"/>
  <c r="BA159" i="29"/>
  <c r="AZ159" i="29"/>
  <c r="BI158" i="29"/>
  <c r="BH158" i="29"/>
  <c r="BG158" i="29"/>
  <c r="BF158" i="29"/>
  <c r="BE158" i="29"/>
  <c r="BD158" i="29"/>
  <c r="BC158" i="29"/>
  <c r="BB158" i="29"/>
  <c r="BA158" i="29"/>
  <c r="AZ158" i="29"/>
  <c r="BI157" i="29"/>
  <c r="BH157" i="29"/>
  <c r="BG157" i="29"/>
  <c r="BF157" i="29"/>
  <c r="BE157" i="29"/>
  <c r="BD157" i="29"/>
  <c r="BC157" i="29"/>
  <c r="BB157" i="29"/>
  <c r="BA157" i="29"/>
  <c r="AZ157" i="29"/>
  <c r="BI156" i="29"/>
  <c r="BH156" i="29"/>
  <c r="BG156" i="29"/>
  <c r="BF156" i="29"/>
  <c r="BE156" i="29"/>
  <c r="BD156" i="29"/>
  <c r="BC156" i="29"/>
  <c r="BB156" i="29"/>
  <c r="BA156" i="29"/>
  <c r="AZ156" i="29"/>
  <c r="BI155" i="29"/>
  <c r="BH155" i="29"/>
  <c r="BG155" i="29"/>
  <c r="BF155" i="29"/>
  <c r="BE155" i="29"/>
  <c r="BD155" i="29"/>
  <c r="BC155" i="29"/>
  <c r="BB155" i="29"/>
  <c r="BA155" i="29"/>
  <c r="AZ155" i="29"/>
  <c r="U184" i="29"/>
  <c r="T184" i="29"/>
  <c r="S184" i="29"/>
  <c r="R184" i="29"/>
  <c r="Q184" i="29"/>
  <c r="P184" i="29"/>
  <c r="O184" i="29"/>
  <c r="N184" i="29"/>
  <c r="M184" i="29"/>
  <c r="L184" i="29"/>
  <c r="U183" i="29"/>
  <c r="T183" i="29"/>
  <c r="S183" i="29"/>
  <c r="R183" i="29"/>
  <c r="Q183" i="29"/>
  <c r="P183" i="29"/>
  <c r="O183" i="29"/>
  <c r="N183" i="29"/>
  <c r="M183" i="29"/>
  <c r="L183" i="29"/>
  <c r="U182" i="29"/>
  <c r="T182" i="29"/>
  <c r="S182" i="29"/>
  <c r="R182" i="29"/>
  <c r="Q182" i="29"/>
  <c r="P182" i="29"/>
  <c r="O182" i="29"/>
  <c r="N182" i="29"/>
  <c r="M182" i="29"/>
  <c r="L182" i="29"/>
  <c r="U181" i="29"/>
  <c r="T181" i="29"/>
  <c r="S181" i="29"/>
  <c r="R181" i="29"/>
  <c r="Q181" i="29"/>
  <c r="P181" i="29"/>
  <c r="O181" i="29"/>
  <c r="N181" i="29"/>
  <c r="M181" i="29"/>
  <c r="L181" i="29"/>
  <c r="U180" i="29"/>
  <c r="T180" i="29"/>
  <c r="S180" i="29"/>
  <c r="R180" i="29"/>
  <c r="Q180" i="29"/>
  <c r="P180" i="29"/>
  <c r="O180" i="29"/>
  <c r="N180" i="29"/>
  <c r="M180" i="29"/>
  <c r="L180" i="29"/>
  <c r="U179" i="29"/>
  <c r="T179" i="29"/>
  <c r="S179" i="29"/>
  <c r="R179" i="29"/>
  <c r="Q179" i="29"/>
  <c r="P179" i="29"/>
  <c r="O179" i="29"/>
  <c r="N179" i="29"/>
  <c r="M179" i="29"/>
  <c r="L179" i="29"/>
  <c r="U178" i="29"/>
  <c r="T178" i="29"/>
  <c r="S178" i="29"/>
  <c r="R178" i="29"/>
  <c r="Q178" i="29"/>
  <c r="P178" i="29"/>
  <c r="O178" i="29"/>
  <c r="N178" i="29"/>
  <c r="M178" i="29"/>
  <c r="L178" i="29"/>
  <c r="U177" i="29"/>
  <c r="T177" i="29"/>
  <c r="S177" i="29"/>
  <c r="R177" i="29"/>
  <c r="Q177" i="29"/>
  <c r="P177" i="29"/>
  <c r="O177" i="29"/>
  <c r="N177" i="29"/>
  <c r="M177" i="29"/>
  <c r="L177" i="29"/>
  <c r="U176" i="29"/>
  <c r="T176" i="29"/>
  <c r="S176" i="29"/>
  <c r="R176" i="29"/>
  <c r="Q176" i="29"/>
  <c r="P176" i="29"/>
  <c r="O176" i="29"/>
  <c r="N176" i="29"/>
  <c r="M176" i="29"/>
  <c r="L176" i="29"/>
  <c r="U175" i="29"/>
  <c r="T175" i="29"/>
  <c r="S175" i="29"/>
  <c r="R175" i="29"/>
  <c r="Q175" i="29"/>
  <c r="P175" i="29"/>
  <c r="O175" i="29"/>
  <c r="N175" i="29"/>
  <c r="M175" i="29"/>
  <c r="L175" i="29"/>
  <c r="U174" i="29"/>
  <c r="T174" i="29"/>
  <c r="S174" i="29"/>
  <c r="R174" i="29"/>
  <c r="Q174" i="29"/>
  <c r="P174" i="29"/>
  <c r="O174" i="29"/>
  <c r="N174" i="29"/>
  <c r="M174" i="29"/>
  <c r="L174" i="29"/>
  <c r="U173" i="29"/>
  <c r="T173" i="29"/>
  <c r="S173" i="29"/>
  <c r="R173" i="29"/>
  <c r="Q173" i="29"/>
  <c r="P173" i="29"/>
  <c r="O173" i="29"/>
  <c r="N173" i="29"/>
  <c r="M173" i="29"/>
  <c r="L173" i="29"/>
  <c r="U172" i="29"/>
  <c r="T172" i="29"/>
  <c r="S172" i="29"/>
  <c r="R172" i="29"/>
  <c r="Q172" i="29"/>
  <c r="P172" i="29"/>
  <c r="O172" i="29"/>
  <c r="N172" i="29"/>
  <c r="M172" i="29"/>
  <c r="L172" i="29"/>
  <c r="U171" i="29"/>
  <c r="T171" i="29"/>
  <c r="S171" i="29"/>
  <c r="R171" i="29"/>
  <c r="Q171" i="29"/>
  <c r="P171" i="29"/>
  <c r="O171" i="29"/>
  <c r="N171" i="29"/>
  <c r="M171" i="29"/>
  <c r="L171" i="29"/>
  <c r="U170" i="29"/>
  <c r="T170" i="29"/>
  <c r="S170" i="29"/>
  <c r="R170" i="29"/>
  <c r="Q170" i="29"/>
  <c r="P170" i="29"/>
  <c r="O170" i="29"/>
  <c r="N170" i="29"/>
  <c r="M170" i="29"/>
  <c r="L170" i="29"/>
  <c r="U169" i="29"/>
  <c r="T169" i="29"/>
  <c r="S169" i="29"/>
  <c r="R169" i="29"/>
  <c r="Q169" i="29"/>
  <c r="P169" i="29"/>
  <c r="O169" i="29"/>
  <c r="N169" i="29"/>
  <c r="M169" i="29"/>
  <c r="L169" i="29"/>
  <c r="U168" i="29"/>
  <c r="T168" i="29"/>
  <c r="S168" i="29"/>
  <c r="R168" i="29"/>
  <c r="Q168" i="29"/>
  <c r="P168" i="29"/>
  <c r="O168" i="29"/>
  <c r="N168" i="29"/>
  <c r="M168" i="29"/>
  <c r="L168" i="29"/>
  <c r="U167" i="29"/>
  <c r="T167" i="29"/>
  <c r="S167" i="29"/>
  <c r="R167" i="29"/>
  <c r="Q167" i="29"/>
  <c r="P167" i="29"/>
  <c r="O167" i="29"/>
  <c r="N167" i="29"/>
  <c r="M167" i="29"/>
  <c r="L167" i="29"/>
  <c r="U166" i="29"/>
  <c r="T166" i="29"/>
  <c r="S166" i="29"/>
  <c r="R166" i="29"/>
  <c r="Q166" i="29"/>
  <c r="P166" i="29"/>
  <c r="O166" i="29"/>
  <c r="N166" i="29"/>
  <c r="M166" i="29"/>
  <c r="L166" i="29"/>
  <c r="U165" i="29"/>
  <c r="T165" i="29"/>
  <c r="S165" i="29"/>
  <c r="R165" i="29"/>
  <c r="Q165" i="29"/>
  <c r="P165" i="29"/>
  <c r="O165" i="29"/>
  <c r="N165" i="29"/>
  <c r="M165" i="29"/>
  <c r="L165" i="29"/>
  <c r="U164" i="29"/>
  <c r="T164" i="29"/>
  <c r="S164" i="29"/>
  <c r="R164" i="29"/>
  <c r="Q164" i="29"/>
  <c r="P164" i="29"/>
  <c r="O164" i="29"/>
  <c r="N164" i="29"/>
  <c r="M164" i="29"/>
  <c r="L164" i="29"/>
  <c r="U163" i="29"/>
  <c r="T163" i="29"/>
  <c r="S163" i="29"/>
  <c r="R163" i="29"/>
  <c r="Q163" i="29"/>
  <c r="P163" i="29"/>
  <c r="O163" i="29"/>
  <c r="N163" i="29"/>
  <c r="M163" i="29"/>
  <c r="L163" i="29"/>
  <c r="U162" i="29"/>
  <c r="T162" i="29"/>
  <c r="S162" i="29"/>
  <c r="R162" i="29"/>
  <c r="Q162" i="29"/>
  <c r="P162" i="29"/>
  <c r="O162" i="29"/>
  <c r="N162" i="29"/>
  <c r="M162" i="29"/>
  <c r="L162" i="29"/>
  <c r="U161" i="29"/>
  <c r="T161" i="29"/>
  <c r="S161" i="29"/>
  <c r="R161" i="29"/>
  <c r="Q161" i="29"/>
  <c r="P161" i="29"/>
  <c r="O161" i="29"/>
  <c r="N161" i="29"/>
  <c r="M161" i="29"/>
  <c r="L161" i="29"/>
  <c r="U160" i="29"/>
  <c r="T160" i="29"/>
  <c r="S160" i="29"/>
  <c r="R160" i="29"/>
  <c r="Q160" i="29"/>
  <c r="P160" i="29"/>
  <c r="O160" i="29"/>
  <c r="N160" i="29"/>
  <c r="M160" i="29"/>
  <c r="L160" i="29"/>
  <c r="U159" i="29"/>
  <c r="T159" i="29"/>
  <c r="S159" i="29"/>
  <c r="R159" i="29"/>
  <c r="Q159" i="29"/>
  <c r="P159" i="29"/>
  <c r="O159" i="29"/>
  <c r="N159" i="29"/>
  <c r="M159" i="29"/>
  <c r="L159" i="29"/>
  <c r="U158" i="29"/>
  <c r="T158" i="29"/>
  <c r="S158" i="29"/>
  <c r="R158" i="29"/>
  <c r="Q158" i="29"/>
  <c r="P158" i="29"/>
  <c r="O158" i="29"/>
  <c r="N158" i="29"/>
  <c r="M158" i="29"/>
  <c r="L158" i="29"/>
  <c r="U157" i="29"/>
  <c r="T157" i="29"/>
  <c r="S157" i="29"/>
  <c r="R157" i="29"/>
  <c r="Q157" i="29"/>
  <c r="P157" i="29"/>
  <c r="O157" i="29"/>
  <c r="N157" i="29"/>
  <c r="M157" i="29"/>
  <c r="L157" i="29"/>
  <c r="U156" i="29"/>
  <c r="T156" i="29"/>
  <c r="S156" i="29"/>
  <c r="R156" i="29"/>
  <c r="Q156" i="29"/>
  <c r="P156" i="29"/>
  <c r="O156" i="29"/>
  <c r="N156" i="29"/>
  <c r="M156" i="29"/>
  <c r="L156" i="29"/>
  <c r="U155" i="29"/>
  <c r="T155" i="29"/>
  <c r="S155" i="29"/>
  <c r="R155" i="29"/>
  <c r="Q155" i="29"/>
  <c r="P155" i="29"/>
  <c r="O155" i="29"/>
  <c r="N155" i="29"/>
  <c r="M155" i="29"/>
  <c r="L155" i="29"/>
  <c r="CW154" i="29"/>
  <c r="CV154" i="29"/>
  <c r="CU154" i="29"/>
  <c r="CT154" i="29"/>
  <c r="CS154" i="29"/>
  <c r="CR154" i="29"/>
  <c r="CQ154" i="29"/>
  <c r="CP154" i="29"/>
  <c r="CO154" i="29"/>
  <c r="CN154" i="29"/>
  <c r="CW153" i="29"/>
  <c r="CV153" i="29"/>
  <c r="CU153" i="29"/>
  <c r="CT153" i="29"/>
  <c r="CS153" i="29"/>
  <c r="CR153" i="29"/>
  <c r="CQ153" i="29"/>
  <c r="CP153" i="29"/>
  <c r="CO153" i="29"/>
  <c r="CN153" i="29"/>
  <c r="CW152" i="29"/>
  <c r="CV152" i="29"/>
  <c r="CU152" i="29"/>
  <c r="CT152" i="29"/>
  <c r="CS152" i="29"/>
  <c r="CR152" i="29"/>
  <c r="CQ152" i="29"/>
  <c r="CP152" i="29"/>
  <c r="CO152" i="29"/>
  <c r="CN152" i="29"/>
  <c r="CW151" i="29"/>
  <c r="CV151" i="29"/>
  <c r="CU151" i="29"/>
  <c r="CT151" i="29"/>
  <c r="CS151" i="29"/>
  <c r="CR151" i="29"/>
  <c r="CQ151" i="29"/>
  <c r="CP151" i="29"/>
  <c r="CO151" i="29"/>
  <c r="CN151" i="29"/>
  <c r="CW150" i="29"/>
  <c r="CV150" i="29"/>
  <c r="CU150" i="29"/>
  <c r="CT150" i="29"/>
  <c r="CS150" i="29"/>
  <c r="CR150" i="29"/>
  <c r="CQ150" i="29"/>
  <c r="CP150" i="29"/>
  <c r="CO150" i="29"/>
  <c r="CN150" i="29"/>
  <c r="CW149" i="29"/>
  <c r="CV149" i="29"/>
  <c r="CU149" i="29"/>
  <c r="CT149" i="29"/>
  <c r="CS149" i="29"/>
  <c r="CR149" i="29"/>
  <c r="CQ149" i="29"/>
  <c r="CP149" i="29"/>
  <c r="CO149" i="29"/>
  <c r="CN149" i="29"/>
  <c r="CW148" i="29"/>
  <c r="CV148" i="29"/>
  <c r="CU148" i="29"/>
  <c r="CT148" i="29"/>
  <c r="CS148" i="29"/>
  <c r="CR148" i="29"/>
  <c r="CQ148" i="29"/>
  <c r="CP148" i="29"/>
  <c r="CO148" i="29"/>
  <c r="CN148" i="29"/>
  <c r="CW147" i="29"/>
  <c r="CV147" i="29"/>
  <c r="CU147" i="29"/>
  <c r="CT147" i="29"/>
  <c r="CS147" i="29"/>
  <c r="CR147" i="29"/>
  <c r="CQ147" i="29"/>
  <c r="CP147" i="29"/>
  <c r="CO147" i="29"/>
  <c r="CN147" i="29"/>
  <c r="CW146" i="29"/>
  <c r="CV146" i="29"/>
  <c r="CU146" i="29"/>
  <c r="CT146" i="29"/>
  <c r="CS146" i="29"/>
  <c r="CR146" i="29"/>
  <c r="CQ146" i="29"/>
  <c r="CP146" i="29"/>
  <c r="CO146" i="29"/>
  <c r="CN146" i="29"/>
  <c r="CW145" i="29"/>
  <c r="CV145" i="29"/>
  <c r="CU145" i="29"/>
  <c r="CT145" i="29"/>
  <c r="CS145" i="29"/>
  <c r="CR145" i="29"/>
  <c r="CQ145" i="29"/>
  <c r="CP145" i="29"/>
  <c r="CO145" i="29"/>
  <c r="CN145" i="29"/>
  <c r="CW144" i="29"/>
  <c r="CV144" i="29"/>
  <c r="CU144" i="29"/>
  <c r="CT144" i="29"/>
  <c r="CS144" i="29"/>
  <c r="CR144" i="29"/>
  <c r="CQ144" i="29"/>
  <c r="CP144" i="29"/>
  <c r="CO144" i="29"/>
  <c r="CN144" i="29"/>
  <c r="CW143" i="29"/>
  <c r="CV143" i="29"/>
  <c r="CU143" i="29"/>
  <c r="CT143" i="29"/>
  <c r="CS143" i="29"/>
  <c r="CR143" i="29"/>
  <c r="CQ143" i="29"/>
  <c r="CP143" i="29"/>
  <c r="CO143" i="29"/>
  <c r="CN143" i="29"/>
  <c r="CW142" i="29"/>
  <c r="CV142" i="29"/>
  <c r="CU142" i="29"/>
  <c r="CT142" i="29"/>
  <c r="CS142" i="29"/>
  <c r="CR142" i="29"/>
  <c r="CQ142" i="29"/>
  <c r="CP142" i="29"/>
  <c r="CO142" i="29"/>
  <c r="CN142" i="29"/>
  <c r="CW141" i="29"/>
  <c r="CV141" i="29"/>
  <c r="CU141" i="29"/>
  <c r="CT141" i="29"/>
  <c r="CS141" i="29"/>
  <c r="CR141" i="29"/>
  <c r="CQ141" i="29"/>
  <c r="CP141" i="29"/>
  <c r="CO141" i="29"/>
  <c r="CN141" i="29"/>
  <c r="CW140" i="29"/>
  <c r="CV140" i="29"/>
  <c r="CU140" i="29"/>
  <c r="CT140" i="29"/>
  <c r="CS140" i="29"/>
  <c r="CR140" i="29"/>
  <c r="CQ140" i="29"/>
  <c r="CP140" i="29"/>
  <c r="CO140" i="29"/>
  <c r="CN140" i="29"/>
  <c r="CW139" i="29"/>
  <c r="CV139" i="29"/>
  <c r="CU139" i="29"/>
  <c r="CT139" i="29"/>
  <c r="CS139" i="29"/>
  <c r="CR139" i="29"/>
  <c r="CQ139" i="29"/>
  <c r="CP139" i="29"/>
  <c r="CO139" i="29"/>
  <c r="CN139" i="29"/>
  <c r="CW138" i="29"/>
  <c r="CV138" i="29"/>
  <c r="CU138" i="29"/>
  <c r="CT138" i="29"/>
  <c r="CS138" i="29"/>
  <c r="CR138" i="29"/>
  <c r="CQ138" i="29"/>
  <c r="CP138" i="29"/>
  <c r="CO138" i="29"/>
  <c r="CN138" i="29"/>
  <c r="CW137" i="29"/>
  <c r="CV137" i="29"/>
  <c r="CU137" i="29"/>
  <c r="CT137" i="29"/>
  <c r="CS137" i="29"/>
  <c r="CR137" i="29"/>
  <c r="CQ137" i="29"/>
  <c r="CP137" i="29"/>
  <c r="CO137" i="29"/>
  <c r="CN137" i="29"/>
  <c r="CW136" i="29"/>
  <c r="CV136" i="29"/>
  <c r="CU136" i="29"/>
  <c r="CT136" i="29"/>
  <c r="CS136" i="29"/>
  <c r="CR136" i="29"/>
  <c r="CQ136" i="29"/>
  <c r="CP136" i="29"/>
  <c r="CO136" i="29"/>
  <c r="CN136" i="29"/>
  <c r="CW135" i="29"/>
  <c r="CV135" i="29"/>
  <c r="CU135" i="29"/>
  <c r="CT135" i="29"/>
  <c r="CS135" i="29"/>
  <c r="CR135" i="29"/>
  <c r="CQ135" i="29"/>
  <c r="CP135" i="29"/>
  <c r="CO135" i="29"/>
  <c r="CN135" i="29"/>
  <c r="CW134" i="29"/>
  <c r="CV134" i="29"/>
  <c r="CU134" i="29"/>
  <c r="CT134" i="29"/>
  <c r="CS134" i="29"/>
  <c r="CR134" i="29"/>
  <c r="CQ134" i="29"/>
  <c r="CP134" i="29"/>
  <c r="CO134" i="29"/>
  <c r="CN134" i="29"/>
  <c r="CW133" i="29"/>
  <c r="CV133" i="29"/>
  <c r="CU133" i="29"/>
  <c r="CT133" i="29"/>
  <c r="CS133" i="29"/>
  <c r="CR133" i="29"/>
  <c r="CQ133" i="29"/>
  <c r="CP133" i="29"/>
  <c r="CO133" i="29"/>
  <c r="CN133" i="29"/>
  <c r="CW132" i="29"/>
  <c r="CV132" i="29"/>
  <c r="CU132" i="29"/>
  <c r="CT132" i="29"/>
  <c r="CS132" i="29"/>
  <c r="CR132" i="29"/>
  <c r="CQ132" i="29"/>
  <c r="CP132" i="29"/>
  <c r="CO132" i="29"/>
  <c r="CN132" i="29"/>
  <c r="CW131" i="29"/>
  <c r="CV131" i="29"/>
  <c r="CU131" i="29"/>
  <c r="CT131" i="29"/>
  <c r="CS131" i="29"/>
  <c r="CR131" i="29"/>
  <c r="CQ131" i="29"/>
  <c r="CP131" i="29"/>
  <c r="CO131" i="29"/>
  <c r="CN131" i="29"/>
  <c r="CW130" i="29"/>
  <c r="CV130" i="29"/>
  <c r="CU130" i="29"/>
  <c r="CT130" i="29"/>
  <c r="CS130" i="29"/>
  <c r="CR130" i="29"/>
  <c r="CQ130" i="29"/>
  <c r="CP130" i="29"/>
  <c r="CO130" i="29"/>
  <c r="CN130" i="29"/>
  <c r="CW129" i="29"/>
  <c r="CV129" i="29"/>
  <c r="CU129" i="29"/>
  <c r="CT129" i="29"/>
  <c r="CS129" i="29"/>
  <c r="CR129" i="29"/>
  <c r="CQ129" i="29"/>
  <c r="CP129" i="29"/>
  <c r="CO129" i="29"/>
  <c r="CN129" i="29"/>
  <c r="CW128" i="29"/>
  <c r="CV128" i="29"/>
  <c r="CU128" i="29"/>
  <c r="CT128" i="29"/>
  <c r="CS128" i="29"/>
  <c r="CR128" i="29"/>
  <c r="CQ128" i="29"/>
  <c r="CP128" i="29"/>
  <c r="CO128" i="29"/>
  <c r="CN128" i="29"/>
  <c r="CW127" i="29"/>
  <c r="CV127" i="29"/>
  <c r="CU127" i="29"/>
  <c r="CT127" i="29"/>
  <c r="CS127" i="29"/>
  <c r="CR127" i="29"/>
  <c r="CQ127" i="29"/>
  <c r="CP127" i="29"/>
  <c r="CO127" i="29"/>
  <c r="CN127" i="29"/>
  <c r="CW126" i="29"/>
  <c r="CV126" i="29"/>
  <c r="CU126" i="29"/>
  <c r="CT126" i="29"/>
  <c r="CS126" i="29"/>
  <c r="CR126" i="29"/>
  <c r="CQ126" i="29"/>
  <c r="CP126" i="29"/>
  <c r="CO126" i="29"/>
  <c r="CN126" i="29"/>
  <c r="CW125" i="29"/>
  <c r="CV125" i="29"/>
  <c r="CU125" i="29"/>
  <c r="CT125" i="29"/>
  <c r="CS125" i="29"/>
  <c r="CR125" i="29"/>
  <c r="CQ125" i="29"/>
  <c r="CP125" i="29"/>
  <c r="CO125" i="29"/>
  <c r="CN125" i="29"/>
  <c r="CW124" i="29"/>
  <c r="CV124" i="29"/>
  <c r="CU124" i="29"/>
  <c r="CT124" i="29"/>
  <c r="CS124" i="29"/>
  <c r="CR124" i="29"/>
  <c r="CQ124" i="29"/>
  <c r="CP124" i="29"/>
  <c r="CO124" i="29"/>
  <c r="CN124" i="29"/>
  <c r="BI154" i="29"/>
  <c r="BH154" i="29"/>
  <c r="BG154" i="29"/>
  <c r="BF154" i="29"/>
  <c r="BE154" i="29"/>
  <c r="BD154" i="29"/>
  <c r="BC154" i="29"/>
  <c r="BB154" i="29"/>
  <c r="BA154" i="29"/>
  <c r="AZ154" i="29"/>
  <c r="BI153" i="29"/>
  <c r="BH153" i="29"/>
  <c r="BG153" i="29"/>
  <c r="BF153" i="29"/>
  <c r="BE153" i="29"/>
  <c r="BD153" i="29"/>
  <c r="BC153" i="29"/>
  <c r="BB153" i="29"/>
  <c r="BA153" i="29"/>
  <c r="AZ153" i="29"/>
  <c r="BI152" i="29"/>
  <c r="BH152" i="29"/>
  <c r="BG152" i="29"/>
  <c r="BF152" i="29"/>
  <c r="BE152" i="29"/>
  <c r="BD152" i="29"/>
  <c r="BC152" i="29"/>
  <c r="BB152" i="29"/>
  <c r="BA152" i="29"/>
  <c r="AZ152" i="29"/>
  <c r="BI151" i="29"/>
  <c r="BH151" i="29"/>
  <c r="BG151" i="29"/>
  <c r="BF151" i="29"/>
  <c r="BE151" i="29"/>
  <c r="BD151" i="29"/>
  <c r="BC151" i="29"/>
  <c r="BB151" i="29"/>
  <c r="BA151" i="29"/>
  <c r="AZ151" i="29"/>
  <c r="BI150" i="29"/>
  <c r="BH150" i="29"/>
  <c r="BG150" i="29"/>
  <c r="BF150" i="29"/>
  <c r="BE150" i="29"/>
  <c r="BD150" i="29"/>
  <c r="BC150" i="29"/>
  <c r="BB150" i="29"/>
  <c r="BA150" i="29"/>
  <c r="AZ150" i="29"/>
  <c r="BI149" i="29"/>
  <c r="BH149" i="29"/>
  <c r="BG149" i="29"/>
  <c r="BF149" i="29"/>
  <c r="BE149" i="29"/>
  <c r="BD149" i="29"/>
  <c r="BC149" i="29"/>
  <c r="BB149" i="29"/>
  <c r="BA149" i="29"/>
  <c r="AZ149" i="29"/>
  <c r="BI148" i="29"/>
  <c r="BH148" i="29"/>
  <c r="BG148" i="29"/>
  <c r="BF148" i="29"/>
  <c r="BE148" i="29"/>
  <c r="BD148" i="29"/>
  <c r="BC148" i="29"/>
  <c r="BB148" i="29"/>
  <c r="BA148" i="29"/>
  <c r="AZ148" i="29"/>
  <c r="BI147" i="29"/>
  <c r="BH147" i="29"/>
  <c r="BG147" i="29"/>
  <c r="BF147" i="29"/>
  <c r="BE147" i="29"/>
  <c r="BD147" i="29"/>
  <c r="BC147" i="29"/>
  <c r="BB147" i="29"/>
  <c r="BA147" i="29"/>
  <c r="AZ147" i="29"/>
  <c r="BI146" i="29"/>
  <c r="BH146" i="29"/>
  <c r="BG146" i="29"/>
  <c r="BF146" i="29"/>
  <c r="BE146" i="29"/>
  <c r="BD146" i="29"/>
  <c r="BC146" i="29"/>
  <c r="BB146" i="29"/>
  <c r="BA146" i="29"/>
  <c r="AZ146" i="29"/>
  <c r="BI145" i="29"/>
  <c r="BH145" i="29"/>
  <c r="BG145" i="29"/>
  <c r="BF145" i="29"/>
  <c r="BE145" i="29"/>
  <c r="BD145" i="29"/>
  <c r="BC145" i="29"/>
  <c r="BB145" i="29"/>
  <c r="BA145" i="29"/>
  <c r="AZ145" i="29"/>
  <c r="BI144" i="29"/>
  <c r="BH144" i="29"/>
  <c r="BG144" i="29"/>
  <c r="BF144" i="29"/>
  <c r="BE144" i="29"/>
  <c r="BD144" i="29"/>
  <c r="BC144" i="29"/>
  <c r="BB144" i="29"/>
  <c r="BA144" i="29"/>
  <c r="AZ144" i="29"/>
  <c r="BI143" i="29"/>
  <c r="BH143" i="29"/>
  <c r="BG143" i="29"/>
  <c r="BF143" i="29"/>
  <c r="BE143" i="29"/>
  <c r="BD143" i="29"/>
  <c r="BC143" i="29"/>
  <c r="BB143" i="29"/>
  <c r="BA143" i="29"/>
  <c r="AZ143" i="29"/>
  <c r="BI142" i="29"/>
  <c r="BH142" i="29"/>
  <c r="BG142" i="29"/>
  <c r="BF142" i="29"/>
  <c r="BE142" i="29"/>
  <c r="BD142" i="29"/>
  <c r="BC142" i="29"/>
  <c r="BB142" i="29"/>
  <c r="BA142" i="29"/>
  <c r="AZ142" i="29"/>
  <c r="BI141" i="29"/>
  <c r="BH141" i="29"/>
  <c r="BG141" i="29"/>
  <c r="BF141" i="29"/>
  <c r="BE141" i="29"/>
  <c r="BD141" i="29"/>
  <c r="BC141" i="29"/>
  <c r="BB141" i="29"/>
  <c r="BA141" i="29"/>
  <c r="AZ141" i="29"/>
  <c r="BI140" i="29"/>
  <c r="BH140" i="29"/>
  <c r="BG140" i="29"/>
  <c r="BF140" i="29"/>
  <c r="BE140" i="29"/>
  <c r="BD140" i="29"/>
  <c r="BC140" i="29"/>
  <c r="BB140" i="29"/>
  <c r="BA140" i="29"/>
  <c r="AZ140" i="29"/>
  <c r="BI139" i="29"/>
  <c r="BH139" i="29"/>
  <c r="BG139" i="29"/>
  <c r="BF139" i="29"/>
  <c r="BE139" i="29"/>
  <c r="BD139" i="29"/>
  <c r="BC139" i="29"/>
  <c r="BB139" i="29"/>
  <c r="BA139" i="29"/>
  <c r="AZ139" i="29"/>
  <c r="BI138" i="29"/>
  <c r="BH138" i="29"/>
  <c r="BG138" i="29"/>
  <c r="BF138" i="29"/>
  <c r="BE138" i="29"/>
  <c r="BD138" i="29"/>
  <c r="BC138" i="29"/>
  <c r="BB138" i="29"/>
  <c r="BA138" i="29"/>
  <c r="AZ138" i="29"/>
  <c r="BI137" i="29"/>
  <c r="BH137" i="29"/>
  <c r="BG137" i="29"/>
  <c r="BF137" i="29"/>
  <c r="BE137" i="29"/>
  <c r="BD137" i="29"/>
  <c r="BC137" i="29"/>
  <c r="BB137" i="29"/>
  <c r="BA137" i="29"/>
  <c r="AZ137" i="29"/>
  <c r="BI136" i="29"/>
  <c r="BH136" i="29"/>
  <c r="BG136" i="29"/>
  <c r="BF136" i="29"/>
  <c r="BE136" i="29"/>
  <c r="BD136" i="29"/>
  <c r="BC136" i="29"/>
  <c r="BB136" i="29"/>
  <c r="BA136" i="29"/>
  <c r="AZ136" i="29"/>
  <c r="BI135" i="29"/>
  <c r="BH135" i="29"/>
  <c r="BG135" i="29"/>
  <c r="BF135" i="29"/>
  <c r="BE135" i="29"/>
  <c r="BD135" i="29"/>
  <c r="BC135" i="29"/>
  <c r="BB135" i="29"/>
  <c r="BA135" i="29"/>
  <c r="AZ135" i="29"/>
  <c r="BI134" i="29"/>
  <c r="BH134" i="29"/>
  <c r="BG134" i="29"/>
  <c r="BF134" i="29"/>
  <c r="BE134" i="29"/>
  <c r="BD134" i="29"/>
  <c r="BC134" i="29"/>
  <c r="BB134" i="29"/>
  <c r="BA134" i="29"/>
  <c r="AZ134" i="29"/>
  <c r="BI133" i="29"/>
  <c r="BH133" i="29"/>
  <c r="BG133" i="29"/>
  <c r="BF133" i="29"/>
  <c r="BE133" i="29"/>
  <c r="BD133" i="29"/>
  <c r="BC133" i="29"/>
  <c r="BB133" i="29"/>
  <c r="BA133" i="29"/>
  <c r="AZ133" i="29"/>
  <c r="BI132" i="29"/>
  <c r="BH132" i="29"/>
  <c r="BG132" i="29"/>
  <c r="BF132" i="29"/>
  <c r="BE132" i="29"/>
  <c r="BD132" i="29"/>
  <c r="BC132" i="29"/>
  <c r="BB132" i="29"/>
  <c r="BA132" i="29"/>
  <c r="AZ132" i="29"/>
  <c r="BI131" i="29"/>
  <c r="BH131" i="29"/>
  <c r="BG131" i="29"/>
  <c r="BF131" i="29"/>
  <c r="BE131" i="29"/>
  <c r="BD131" i="29"/>
  <c r="BC131" i="29"/>
  <c r="BB131" i="29"/>
  <c r="BA131" i="29"/>
  <c r="AZ131" i="29"/>
  <c r="BI130" i="29"/>
  <c r="BH130" i="29"/>
  <c r="BG130" i="29"/>
  <c r="BF130" i="29"/>
  <c r="BE130" i="29"/>
  <c r="BD130" i="29"/>
  <c r="BC130" i="29"/>
  <c r="BB130" i="29"/>
  <c r="BA130" i="29"/>
  <c r="AZ130" i="29"/>
  <c r="BI129" i="29"/>
  <c r="BH129" i="29"/>
  <c r="BG129" i="29"/>
  <c r="BF129" i="29"/>
  <c r="BE129" i="29"/>
  <c r="BD129" i="29"/>
  <c r="BC129" i="29"/>
  <c r="BB129" i="29"/>
  <c r="BA129" i="29"/>
  <c r="AZ129" i="29"/>
  <c r="BI128" i="29"/>
  <c r="BH128" i="29"/>
  <c r="BG128" i="29"/>
  <c r="BF128" i="29"/>
  <c r="BE128" i="29"/>
  <c r="BD128" i="29"/>
  <c r="BC128" i="29"/>
  <c r="BB128" i="29"/>
  <c r="BA128" i="29"/>
  <c r="AZ128" i="29"/>
  <c r="BI127" i="29"/>
  <c r="BH127" i="29"/>
  <c r="BG127" i="29"/>
  <c r="BF127" i="29"/>
  <c r="BE127" i="29"/>
  <c r="BD127" i="29"/>
  <c r="BC127" i="29"/>
  <c r="BB127" i="29"/>
  <c r="BA127" i="29"/>
  <c r="AZ127" i="29"/>
  <c r="BI126" i="29"/>
  <c r="BH126" i="29"/>
  <c r="BG126" i="29"/>
  <c r="BF126" i="29"/>
  <c r="BE126" i="29"/>
  <c r="BD126" i="29"/>
  <c r="BC126" i="29"/>
  <c r="BB126" i="29"/>
  <c r="BA126" i="29"/>
  <c r="AZ126" i="29"/>
  <c r="BI125" i="29"/>
  <c r="BH125" i="29"/>
  <c r="BG125" i="29"/>
  <c r="BF125" i="29"/>
  <c r="BE125" i="29"/>
  <c r="BD125" i="29"/>
  <c r="BC125" i="29"/>
  <c r="BB125" i="29"/>
  <c r="BA125" i="29"/>
  <c r="AZ125" i="29"/>
  <c r="BI124" i="29"/>
  <c r="BH124" i="29"/>
  <c r="BG124" i="29"/>
  <c r="BF124" i="29"/>
  <c r="BE124" i="29"/>
  <c r="BD124" i="29"/>
  <c r="BC124" i="29"/>
  <c r="BB124" i="29"/>
  <c r="BA124" i="29"/>
  <c r="AZ124" i="29"/>
  <c r="U154" i="29"/>
  <c r="T154" i="29"/>
  <c r="S154" i="29"/>
  <c r="R154" i="29"/>
  <c r="Q154" i="29"/>
  <c r="P154" i="29"/>
  <c r="O154" i="29"/>
  <c r="N154" i="29"/>
  <c r="M154" i="29"/>
  <c r="L154" i="29"/>
  <c r="U153" i="29"/>
  <c r="T153" i="29"/>
  <c r="S153" i="29"/>
  <c r="R153" i="29"/>
  <c r="Q153" i="29"/>
  <c r="P153" i="29"/>
  <c r="O153" i="29"/>
  <c r="N153" i="29"/>
  <c r="M153" i="29"/>
  <c r="L153" i="29"/>
  <c r="U152" i="29"/>
  <c r="T152" i="29"/>
  <c r="S152" i="29"/>
  <c r="R152" i="29"/>
  <c r="Q152" i="29"/>
  <c r="P152" i="29"/>
  <c r="O152" i="29"/>
  <c r="N152" i="29"/>
  <c r="M152" i="29"/>
  <c r="L152" i="29"/>
  <c r="U151" i="29"/>
  <c r="T151" i="29"/>
  <c r="S151" i="29"/>
  <c r="R151" i="29"/>
  <c r="Q151" i="29"/>
  <c r="P151" i="29"/>
  <c r="O151" i="29"/>
  <c r="N151" i="29"/>
  <c r="M151" i="29"/>
  <c r="L151" i="29"/>
  <c r="U150" i="29"/>
  <c r="T150" i="29"/>
  <c r="S150" i="29"/>
  <c r="R150" i="29"/>
  <c r="Q150" i="29"/>
  <c r="P150" i="29"/>
  <c r="O150" i="29"/>
  <c r="N150" i="29"/>
  <c r="M150" i="29"/>
  <c r="L150" i="29"/>
  <c r="U149" i="29"/>
  <c r="T149" i="29"/>
  <c r="S149" i="29"/>
  <c r="R149" i="29"/>
  <c r="Q149" i="29"/>
  <c r="P149" i="29"/>
  <c r="O149" i="29"/>
  <c r="N149" i="29"/>
  <c r="M149" i="29"/>
  <c r="L149" i="29"/>
  <c r="U148" i="29"/>
  <c r="T148" i="29"/>
  <c r="S148" i="29"/>
  <c r="R148" i="29"/>
  <c r="Q148" i="29"/>
  <c r="P148" i="29"/>
  <c r="O148" i="29"/>
  <c r="N148" i="29"/>
  <c r="M148" i="29"/>
  <c r="L148" i="29"/>
  <c r="U147" i="29"/>
  <c r="T147" i="29"/>
  <c r="S147" i="29"/>
  <c r="R147" i="29"/>
  <c r="Q147" i="29"/>
  <c r="P147" i="29"/>
  <c r="O147" i="29"/>
  <c r="N147" i="29"/>
  <c r="M147" i="29"/>
  <c r="L147" i="29"/>
  <c r="U146" i="29"/>
  <c r="T146" i="29"/>
  <c r="S146" i="29"/>
  <c r="R146" i="29"/>
  <c r="Q146" i="29"/>
  <c r="P146" i="29"/>
  <c r="O146" i="29"/>
  <c r="N146" i="29"/>
  <c r="M146" i="29"/>
  <c r="L146" i="29"/>
  <c r="U145" i="29"/>
  <c r="T145" i="29"/>
  <c r="S145" i="29"/>
  <c r="R145" i="29"/>
  <c r="Q145" i="29"/>
  <c r="P145" i="29"/>
  <c r="O145" i="29"/>
  <c r="N145" i="29"/>
  <c r="M145" i="29"/>
  <c r="L145" i="29"/>
  <c r="U144" i="29"/>
  <c r="T144" i="29"/>
  <c r="S144" i="29"/>
  <c r="R144" i="29"/>
  <c r="Q144" i="29"/>
  <c r="P144" i="29"/>
  <c r="O144" i="29"/>
  <c r="N144" i="29"/>
  <c r="M144" i="29"/>
  <c r="L144" i="29"/>
  <c r="U143" i="29"/>
  <c r="T143" i="29"/>
  <c r="S143" i="29"/>
  <c r="R143" i="29"/>
  <c r="Q143" i="29"/>
  <c r="P143" i="29"/>
  <c r="O143" i="29"/>
  <c r="N143" i="29"/>
  <c r="M143" i="29"/>
  <c r="L143" i="29"/>
  <c r="U142" i="29"/>
  <c r="T142" i="29"/>
  <c r="S142" i="29"/>
  <c r="R142" i="29"/>
  <c r="Q142" i="29"/>
  <c r="P142" i="29"/>
  <c r="O142" i="29"/>
  <c r="N142" i="29"/>
  <c r="M142" i="29"/>
  <c r="L142" i="29"/>
  <c r="U141" i="29"/>
  <c r="T141" i="29"/>
  <c r="S141" i="29"/>
  <c r="R141" i="29"/>
  <c r="Q141" i="29"/>
  <c r="P141" i="29"/>
  <c r="O141" i="29"/>
  <c r="N141" i="29"/>
  <c r="M141" i="29"/>
  <c r="L141" i="29"/>
  <c r="U140" i="29"/>
  <c r="T140" i="29"/>
  <c r="S140" i="29"/>
  <c r="R140" i="29"/>
  <c r="Q140" i="29"/>
  <c r="P140" i="29"/>
  <c r="O140" i="29"/>
  <c r="N140" i="29"/>
  <c r="M140" i="29"/>
  <c r="L140" i="29"/>
  <c r="U139" i="29"/>
  <c r="T139" i="29"/>
  <c r="S139" i="29"/>
  <c r="R139" i="29"/>
  <c r="Q139" i="29"/>
  <c r="P139" i="29"/>
  <c r="O139" i="29"/>
  <c r="N139" i="29"/>
  <c r="M139" i="29"/>
  <c r="L139" i="29"/>
  <c r="U138" i="29"/>
  <c r="T138" i="29"/>
  <c r="S138" i="29"/>
  <c r="R138" i="29"/>
  <c r="Q138" i="29"/>
  <c r="P138" i="29"/>
  <c r="O138" i="29"/>
  <c r="N138" i="29"/>
  <c r="M138" i="29"/>
  <c r="L138" i="29"/>
  <c r="U137" i="29"/>
  <c r="T137" i="29"/>
  <c r="S137" i="29"/>
  <c r="R137" i="29"/>
  <c r="Q137" i="29"/>
  <c r="P137" i="29"/>
  <c r="O137" i="29"/>
  <c r="N137" i="29"/>
  <c r="M137" i="29"/>
  <c r="L137" i="29"/>
  <c r="U136" i="29"/>
  <c r="T136" i="29"/>
  <c r="S136" i="29"/>
  <c r="R136" i="29"/>
  <c r="Q136" i="29"/>
  <c r="P136" i="29"/>
  <c r="O136" i="29"/>
  <c r="N136" i="29"/>
  <c r="M136" i="29"/>
  <c r="L136" i="29"/>
  <c r="U135" i="29"/>
  <c r="T135" i="29"/>
  <c r="S135" i="29"/>
  <c r="R135" i="29"/>
  <c r="Q135" i="29"/>
  <c r="P135" i="29"/>
  <c r="O135" i="29"/>
  <c r="N135" i="29"/>
  <c r="M135" i="29"/>
  <c r="L135" i="29"/>
  <c r="U134" i="29"/>
  <c r="T134" i="29"/>
  <c r="S134" i="29"/>
  <c r="R134" i="29"/>
  <c r="Q134" i="29"/>
  <c r="P134" i="29"/>
  <c r="O134" i="29"/>
  <c r="N134" i="29"/>
  <c r="M134" i="29"/>
  <c r="L134" i="29"/>
  <c r="U133" i="29"/>
  <c r="T133" i="29"/>
  <c r="S133" i="29"/>
  <c r="R133" i="29"/>
  <c r="Q133" i="29"/>
  <c r="P133" i="29"/>
  <c r="O133" i="29"/>
  <c r="N133" i="29"/>
  <c r="M133" i="29"/>
  <c r="L133" i="29"/>
  <c r="U132" i="29"/>
  <c r="T132" i="29"/>
  <c r="S132" i="29"/>
  <c r="R132" i="29"/>
  <c r="Q132" i="29"/>
  <c r="P132" i="29"/>
  <c r="O132" i="29"/>
  <c r="N132" i="29"/>
  <c r="M132" i="29"/>
  <c r="L132" i="29"/>
  <c r="U131" i="29"/>
  <c r="T131" i="29"/>
  <c r="S131" i="29"/>
  <c r="R131" i="29"/>
  <c r="Q131" i="29"/>
  <c r="P131" i="29"/>
  <c r="O131" i="29"/>
  <c r="N131" i="29"/>
  <c r="M131" i="29"/>
  <c r="L131" i="29"/>
  <c r="U130" i="29"/>
  <c r="T130" i="29"/>
  <c r="S130" i="29"/>
  <c r="R130" i="29"/>
  <c r="Q130" i="29"/>
  <c r="P130" i="29"/>
  <c r="O130" i="29"/>
  <c r="N130" i="29"/>
  <c r="M130" i="29"/>
  <c r="L130" i="29"/>
  <c r="U129" i="29"/>
  <c r="T129" i="29"/>
  <c r="S129" i="29"/>
  <c r="R129" i="29"/>
  <c r="Q129" i="29"/>
  <c r="P129" i="29"/>
  <c r="O129" i="29"/>
  <c r="N129" i="29"/>
  <c r="M129" i="29"/>
  <c r="L129" i="29"/>
  <c r="U128" i="29"/>
  <c r="T128" i="29"/>
  <c r="S128" i="29"/>
  <c r="R128" i="29"/>
  <c r="Q128" i="29"/>
  <c r="P128" i="29"/>
  <c r="O128" i="29"/>
  <c r="N128" i="29"/>
  <c r="M128" i="29"/>
  <c r="L128" i="29"/>
  <c r="U127" i="29"/>
  <c r="T127" i="29"/>
  <c r="S127" i="29"/>
  <c r="R127" i="29"/>
  <c r="Q127" i="29"/>
  <c r="P127" i="29"/>
  <c r="O127" i="29"/>
  <c r="N127" i="29"/>
  <c r="M127" i="29"/>
  <c r="L127" i="29"/>
  <c r="U126" i="29"/>
  <c r="T126" i="29"/>
  <c r="S126" i="29"/>
  <c r="R126" i="29"/>
  <c r="Q126" i="29"/>
  <c r="P126" i="29"/>
  <c r="O126" i="29"/>
  <c r="N126" i="29"/>
  <c r="M126" i="29"/>
  <c r="L126" i="29"/>
  <c r="U125" i="29"/>
  <c r="T125" i="29"/>
  <c r="S125" i="29"/>
  <c r="R125" i="29"/>
  <c r="Q125" i="29"/>
  <c r="P125" i="29"/>
  <c r="O125" i="29"/>
  <c r="N125" i="29"/>
  <c r="M125" i="29"/>
  <c r="L125" i="29"/>
  <c r="U124" i="29"/>
  <c r="T124" i="29"/>
  <c r="S124" i="29"/>
  <c r="R124" i="29"/>
  <c r="Q124" i="29"/>
  <c r="P124" i="29"/>
  <c r="O124" i="29"/>
  <c r="N124" i="29"/>
  <c r="M124" i="29"/>
  <c r="L124" i="29"/>
  <c r="CW123" i="29"/>
  <c r="CV123" i="29"/>
  <c r="CU123" i="29"/>
  <c r="CT123" i="29"/>
  <c r="CS123" i="29"/>
  <c r="CR123" i="29"/>
  <c r="CQ123" i="29"/>
  <c r="CP123" i="29"/>
  <c r="CO123" i="29"/>
  <c r="CN123" i="29"/>
  <c r="CW122" i="29"/>
  <c r="CV122" i="29"/>
  <c r="CU122" i="29"/>
  <c r="CT122" i="29"/>
  <c r="CS122" i="29"/>
  <c r="CR122" i="29"/>
  <c r="CQ122" i="29"/>
  <c r="CP122" i="29"/>
  <c r="CO122" i="29"/>
  <c r="CN122" i="29"/>
  <c r="CW121" i="29"/>
  <c r="CV121" i="29"/>
  <c r="CU121" i="29"/>
  <c r="CT121" i="29"/>
  <c r="CS121" i="29"/>
  <c r="CR121" i="29"/>
  <c r="CQ121" i="29"/>
  <c r="CP121" i="29"/>
  <c r="CO121" i="29"/>
  <c r="CN121" i="29"/>
  <c r="CW120" i="29"/>
  <c r="CV120" i="29"/>
  <c r="CU120" i="29"/>
  <c r="CT120" i="29"/>
  <c r="CS120" i="29"/>
  <c r="CR120" i="29"/>
  <c r="CQ120" i="29"/>
  <c r="CP120" i="29"/>
  <c r="CO120" i="29"/>
  <c r="CN120" i="29"/>
  <c r="CW119" i="29"/>
  <c r="CV119" i="29"/>
  <c r="CU119" i="29"/>
  <c r="CT119" i="29"/>
  <c r="CS119" i="29"/>
  <c r="CR119" i="29"/>
  <c r="CQ119" i="29"/>
  <c r="CP119" i="29"/>
  <c r="CO119" i="29"/>
  <c r="CN119" i="29"/>
  <c r="CW118" i="29"/>
  <c r="CV118" i="29"/>
  <c r="CU118" i="29"/>
  <c r="CT118" i="29"/>
  <c r="CS118" i="29"/>
  <c r="CR118" i="29"/>
  <c r="CQ118" i="29"/>
  <c r="CP118" i="29"/>
  <c r="CO118" i="29"/>
  <c r="CN118" i="29"/>
  <c r="CW117" i="29"/>
  <c r="CV117" i="29"/>
  <c r="CU117" i="29"/>
  <c r="CT117" i="29"/>
  <c r="CS117" i="29"/>
  <c r="CR117" i="29"/>
  <c r="CQ117" i="29"/>
  <c r="CP117" i="29"/>
  <c r="CO117" i="29"/>
  <c r="CN117" i="29"/>
  <c r="CW116" i="29"/>
  <c r="CV116" i="29"/>
  <c r="CU116" i="29"/>
  <c r="CT116" i="29"/>
  <c r="CS116" i="29"/>
  <c r="CR116" i="29"/>
  <c r="CQ116" i="29"/>
  <c r="CP116" i="29"/>
  <c r="CO116" i="29"/>
  <c r="CN116" i="29"/>
  <c r="CW115" i="29"/>
  <c r="CV115" i="29"/>
  <c r="CU115" i="29"/>
  <c r="CT115" i="29"/>
  <c r="CS115" i="29"/>
  <c r="CR115" i="29"/>
  <c r="CQ115" i="29"/>
  <c r="CP115" i="29"/>
  <c r="CO115" i="29"/>
  <c r="CN115" i="29"/>
  <c r="CW114" i="29"/>
  <c r="CV114" i="29"/>
  <c r="CU114" i="29"/>
  <c r="CT114" i="29"/>
  <c r="CS114" i="29"/>
  <c r="CR114" i="29"/>
  <c r="CQ114" i="29"/>
  <c r="CP114" i="29"/>
  <c r="CO114" i="29"/>
  <c r="CN114" i="29"/>
  <c r="CW113" i="29"/>
  <c r="CV113" i="29"/>
  <c r="CU113" i="29"/>
  <c r="CT113" i="29"/>
  <c r="CS113" i="29"/>
  <c r="CR113" i="29"/>
  <c r="CQ113" i="29"/>
  <c r="CP113" i="29"/>
  <c r="CO113" i="29"/>
  <c r="CN113" i="29"/>
  <c r="CW112" i="29"/>
  <c r="CV112" i="29"/>
  <c r="CU112" i="29"/>
  <c r="CT112" i="29"/>
  <c r="CS112" i="29"/>
  <c r="CR112" i="29"/>
  <c r="CQ112" i="29"/>
  <c r="CP112" i="29"/>
  <c r="CO112" i="29"/>
  <c r="CN112" i="29"/>
  <c r="CW111" i="29"/>
  <c r="CV111" i="29"/>
  <c r="CU111" i="29"/>
  <c r="CT111" i="29"/>
  <c r="CS111" i="29"/>
  <c r="CR111" i="29"/>
  <c r="CQ111" i="29"/>
  <c r="CP111" i="29"/>
  <c r="CO111" i="29"/>
  <c r="CN111" i="29"/>
  <c r="CW110" i="29"/>
  <c r="CV110" i="29"/>
  <c r="CU110" i="29"/>
  <c r="CT110" i="29"/>
  <c r="CS110" i="29"/>
  <c r="CR110" i="29"/>
  <c r="CQ110" i="29"/>
  <c r="CP110" i="29"/>
  <c r="CO110" i="29"/>
  <c r="CN110" i="29"/>
  <c r="CW109" i="29"/>
  <c r="CV109" i="29"/>
  <c r="CU109" i="29"/>
  <c r="CT109" i="29"/>
  <c r="CS109" i="29"/>
  <c r="CR109" i="29"/>
  <c r="CQ109" i="29"/>
  <c r="CP109" i="29"/>
  <c r="CO109" i="29"/>
  <c r="CN109" i="29"/>
  <c r="CW108" i="29"/>
  <c r="CV108" i="29"/>
  <c r="CU108" i="29"/>
  <c r="CT108" i="29"/>
  <c r="CS108" i="29"/>
  <c r="CR108" i="29"/>
  <c r="CQ108" i="29"/>
  <c r="CP108" i="29"/>
  <c r="CO108" i="29"/>
  <c r="CN108" i="29"/>
  <c r="CW107" i="29"/>
  <c r="CV107" i="29"/>
  <c r="CU107" i="29"/>
  <c r="CT107" i="29"/>
  <c r="CS107" i="29"/>
  <c r="CR107" i="29"/>
  <c r="CQ107" i="29"/>
  <c r="CP107" i="29"/>
  <c r="CO107" i="29"/>
  <c r="CN107" i="29"/>
  <c r="CW106" i="29"/>
  <c r="CV106" i="29"/>
  <c r="CU106" i="29"/>
  <c r="CT106" i="29"/>
  <c r="CS106" i="29"/>
  <c r="CR106" i="29"/>
  <c r="CQ106" i="29"/>
  <c r="CP106" i="29"/>
  <c r="CO106" i="29"/>
  <c r="CN106" i="29"/>
  <c r="CW105" i="29"/>
  <c r="CV105" i="29"/>
  <c r="CU105" i="29"/>
  <c r="CT105" i="29"/>
  <c r="CS105" i="29"/>
  <c r="CR105" i="29"/>
  <c r="CQ105" i="29"/>
  <c r="CP105" i="29"/>
  <c r="CO105" i="29"/>
  <c r="CN105" i="29"/>
  <c r="CW104" i="29"/>
  <c r="CV104" i="29"/>
  <c r="CU104" i="29"/>
  <c r="CT104" i="29"/>
  <c r="CS104" i="29"/>
  <c r="CR104" i="29"/>
  <c r="CQ104" i="29"/>
  <c r="CP104" i="29"/>
  <c r="CO104" i="29"/>
  <c r="CN104" i="29"/>
  <c r="CW103" i="29"/>
  <c r="CV103" i="29"/>
  <c r="CU103" i="29"/>
  <c r="CT103" i="29"/>
  <c r="CS103" i="29"/>
  <c r="CR103" i="29"/>
  <c r="CQ103" i="29"/>
  <c r="CP103" i="29"/>
  <c r="CO103" i="29"/>
  <c r="CN103" i="29"/>
  <c r="CW102" i="29"/>
  <c r="CV102" i="29"/>
  <c r="CU102" i="29"/>
  <c r="CT102" i="29"/>
  <c r="CS102" i="29"/>
  <c r="CR102" i="29"/>
  <c r="CQ102" i="29"/>
  <c r="CP102" i="29"/>
  <c r="CO102" i="29"/>
  <c r="CN102" i="29"/>
  <c r="CW101" i="29"/>
  <c r="CV101" i="29"/>
  <c r="CU101" i="29"/>
  <c r="CT101" i="29"/>
  <c r="CS101" i="29"/>
  <c r="CR101" i="29"/>
  <c r="CQ101" i="29"/>
  <c r="CP101" i="29"/>
  <c r="CO101" i="29"/>
  <c r="CN101" i="29"/>
  <c r="CW100" i="29"/>
  <c r="CV100" i="29"/>
  <c r="CU100" i="29"/>
  <c r="CT100" i="29"/>
  <c r="CS100" i="29"/>
  <c r="CR100" i="29"/>
  <c r="CQ100" i="29"/>
  <c r="CP100" i="29"/>
  <c r="CO100" i="29"/>
  <c r="CN100" i="29"/>
  <c r="CW99" i="29"/>
  <c r="CV99" i="29"/>
  <c r="CU99" i="29"/>
  <c r="CT99" i="29"/>
  <c r="CS99" i="29"/>
  <c r="CR99" i="29"/>
  <c r="CQ99" i="29"/>
  <c r="CP99" i="29"/>
  <c r="CO99" i="29"/>
  <c r="CN99" i="29"/>
  <c r="CW98" i="29"/>
  <c r="CV98" i="29"/>
  <c r="CU98" i="29"/>
  <c r="CT98" i="29"/>
  <c r="CS98" i="29"/>
  <c r="CR98" i="29"/>
  <c r="CQ98" i="29"/>
  <c r="CP98" i="29"/>
  <c r="CO98" i="29"/>
  <c r="CN98" i="29"/>
  <c r="CW97" i="29"/>
  <c r="CV97" i="29"/>
  <c r="CU97" i="29"/>
  <c r="CT97" i="29"/>
  <c r="CS97" i="29"/>
  <c r="CR97" i="29"/>
  <c r="CQ97" i="29"/>
  <c r="CP97" i="29"/>
  <c r="CO97" i="29"/>
  <c r="CN97" i="29"/>
  <c r="CW96" i="29"/>
  <c r="CV96" i="29"/>
  <c r="CU96" i="29"/>
  <c r="CT96" i="29"/>
  <c r="CS96" i="29"/>
  <c r="CR96" i="29"/>
  <c r="CQ96" i="29"/>
  <c r="CP96" i="29"/>
  <c r="CO96" i="29"/>
  <c r="CN96" i="29"/>
  <c r="CW95" i="29"/>
  <c r="CV95" i="29"/>
  <c r="CU95" i="29"/>
  <c r="CT95" i="29"/>
  <c r="CS95" i="29"/>
  <c r="CR95" i="29"/>
  <c r="CQ95" i="29"/>
  <c r="CP95" i="29"/>
  <c r="CO95" i="29"/>
  <c r="CN95" i="29"/>
  <c r="CW94" i="29"/>
  <c r="CV94" i="29"/>
  <c r="CU94" i="29"/>
  <c r="CT94" i="29"/>
  <c r="CS94" i="29"/>
  <c r="CR94" i="29"/>
  <c r="CQ94" i="29"/>
  <c r="CP94" i="29"/>
  <c r="CO94" i="29"/>
  <c r="CN94" i="29"/>
  <c r="BI123" i="29"/>
  <c r="BH123" i="29"/>
  <c r="BG123" i="29"/>
  <c r="BF123" i="29"/>
  <c r="BE123" i="29"/>
  <c r="BD123" i="29"/>
  <c r="BC123" i="29"/>
  <c r="BB123" i="29"/>
  <c r="BA123" i="29"/>
  <c r="AZ123" i="29"/>
  <c r="BI122" i="29"/>
  <c r="BH122" i="29"/>
  <c r="BG122" i="29"/>
  <c r="BF122" i="29"/>
  <c r="BE122" i="29"/>
  <c r="BD122" i="29"/>
  <c r="BC122" i="29"/>
  <c r="BB122" i="29"/>
  <c r="BA122" i="29"/>
  <c r="AZ122" i="29"/>
  <c r="BI121" i="29"/>
  <c r="BH121" i="29"/>
  <c r="BG121" i="29"/>
  <c r="BF121" i="29"/>
  <c r="BE121" i="29"/>
  <c r="BD121" i="29"/>
  <c r="BC121" i="29"/>
  <c r="BB121" i="29"/>
  <c r="BA121" i="29"/>
  <c r="AZ121" i="29"/>
  <c r="BI120" i="29"/>
  <c r="BH120" i="29"/>
  <c r="BG120" i="29"/>
  <c r="BF120" i="29"/>
  <c r="BE120" i="29"/>
  <c r="BD120" i="29"/>
  <c r="BC120" i="29"/>
  <c r="BB120" i="29"/>
  <c r="BA120" i="29"/>
  <c r="AZ120" i="29"/>
  <c r="BI119" i="29"/>
  <c r="BH119" i="29"/>
  <c r="BG119" i="29"/>
  <c r="BF119" i="29"/>
  <c r="BE119" i="29"/>
  <c r="BD119" i="29"/>
  <c r="BC119" i="29"/>
  <c r="BB119" i="29"/>
  <c r="BA119" i="29"/>
  <c r="AZ119" i="29"/>
  <c r="BI118" i="29"/>
  <c r="BH118" i="29"/>
  <c r="BG118" i="29"/>
  <c r="BF118" i="29"/>
  <c r="BE118" i="29"/>
  <c r="BD118" i="29"/>
  <c r="BC118" i="29"/>
  <c r="BB118" i="29"/>
  <c r="BA118" i="29"/>
  <c r="AZ118" i="29"/>
  <c r="BI117" i="29"/>
  <c r="BH117" i="29"/>
  <c r="BG117" i="29"/>
  <c r="BF117" i="29"/>
  <c r="BE117" i="29"/>
  <c r="BD117" i="29"/>
  <c r="BC117" i="29"/>
  <c r="BB117" i="29"/>
  <c r="BA117" i="29"/>
  <c r="AZ117" i="29"/>
  <c r="BI116" i="29"/>
  <c r="BH116" i="29"/>
  <c r="BG116" i="29"/>
  <c r="BF116" i="29"/>
  <c r="BE116" i="29"/>
  <c r="BD116" i="29"/>
  <c r="BC116" i="29"/>
  <c r="BB116" i="29"/>
  <c r="BA116" i="29"/>
  <c r="AZ116" i="29"/>
  <c r="BI115" i="29"/>
  <c r="BH115" i="29"/>
  <c r="BG115" i="29"/>
  <c r="BF115" i="29"/>
  <c r="BE115" i="29"/>
  <c r="BD115" i="29"/>
  <c r="BC115" i="29"/>
  <c r="BB115" i="29"/>
  <c r="BA115" i="29"/>
  <c r="AZ115" i="29"/>
  <c r="BI114" i="29"/>
  <c r="BH114" i="29"/>
  <c r="BG114" i="29"/>
  <c r="BF114" i="29"/>
  <c r="BE114" i="29"/>
  <c r="BD114" i="29"/>
  <c r="BC114" i="29"/>
  <c r="BB114" i="29"/>
  <c r="BA114" i="29"/>
  <c r="AZ114" i="29"/>
  <c r="BI113" i="29"/>
  <c r="BH113" i="29"/>
  <c r="BG113" i="29"/>
  <c r="BF113" i="29"/>
  <c r="BE113" i="29"/>
  <c r="BD113" i="29"/>
  <c r="BC113" i="29"/>
  <c r="BB113" i="29"/>
  <c r="BA113" i="29"/>
  <c r="AZ113" i="29"/>
  <c r="BI112" i="29"/>
  <c r="BH112" i="29"/>
  <c r="BG112" i="29"/>
  <c r="BF112" i="29"/>
  <c r="BE112" i="29"/>
  <c r="BD112" i="29"/>
  <c r="BC112" i="29"/>
  <c r="BB112" i="29"/>
  <c r="BA112" i="29"/>
  <c r="AZ112" i="29"/>
  <c r="BI111" i="29"/>
  <c r="BH111" i="29"/>
  <c r="BG111" i="29"/>
  <c r="BF111" i="29"/>
  <c r="BE111" i="29"/>
  <c r="BD111" i="29"/>
  <c r="BC111" i="29"/>
  <c r="BB111" i="29"/>
  <c r="BA111" i="29"/>
  <c r="AZ111" i="29"/>
  <c r="BI110" i="29"/>
  <c r="BH110" i="29"/>
  <c r="BG110" i="29"/>
  <c r="BF110" i="29"/>
  <c r="BE110" i="29"/>
  <c r="BD110" i="29"/>
  <c r="BC110" i="29"/>
  <c r="BB110" i="29"/>
  <c r="BA110" i="29"/>
  <c r="AZ110" i="29"/>
  <c r="BI109" i="29"/>
  <c r="BH109" i="29"/>
  <c r="BG109" i="29"/>
  <c r="BF109" i="29"/>
  <c r="BE109" i="29"/>
  <c r="BD109" i="29"/>
  <c r="BC109" i="29"/>
  <c r="BB109" i="29"/>
  <c r="BA109" i="29"/>
  <c r="AZ109" i="29"/>
  <c r="BI108" i="29"/>
  <c r="BH108" i="29"/>
  <c r="BG108" i="29"/>
  <c r="BF108" i="29"/>
  <c r="BE108" i="29"/>
  <c r="BD108" i="29"/>
  <c r="BC108" i="29"/>
  <c r="BB108" i="29"/>
  <c r="BA108" i="29"/>
  <c r="AZ108" i="29"/>
  <c r="BI107" i="29"/>
  <c r="BH107" i="29"/>
  <c r="BG107" i="29"/>
  <c r="BF107" i="29"/>
  <c r="BE107" i="29"/>
  <c r="BD107" i="29"/>
  <c r="BC107" i="29"/>
  <c r="BB107" i="29"/>
  <c r="BA107" i="29"/>
  <c r="AZ107" i="29"/>
  <c r="BI106" i="29"/>
  <c r="BH106" i="29"/>
  <c r="BG106" i="29"/>
  <c r="BF106" i="29"/>
  <c r="BE106" i="29"/>
  <c r="BD106" i="29"/>
  <c r="BC106" i="29"/>
  <c r="BB106" i="29"/>
  <c r="BA106" i="29"/>
  <c r="AZ106" i="29"/>
  <c r="BI105" i="29"/>
  <c r="BH105" i="29"/>
  <c r="BG105" i="29"/>
  <c r="BF105" i="29"/>
  <c r="BE105" i="29"/>
  <c r="BD105" i="29"/>
  <c r="BC105" i="29"/>
  <c r="BB105" i="29"/>
  <c r="BA105" i="29"/>
  <c r="AZ105" i="29"/>
  <c r="BI104" i="29"/>
  <c r="BH104" i="29"/>
  <c r="BG104" i="29"/>
  <c r="BF104" i="29"/>
  <c r="BE104" i="29"/>
  <c r="BD104" i="29"/>
  <c r="BC104" i="29"/>
  <c r="BB104" i="29"/>
  <c r="BA104" i="29"/>
  <c r="AZ104" i="29"/>
  <c r="BI103" i="29"/>
  <c r="BH103" i="29"/>
  <c r="BG103" i="29"/>
  <c r="BF103" i="29"/>
  <c r="BE103" i="29"/>
  <c r="BD103" i="29"/>
  <c r="BC103" i="29"/>
  <c r="BB103" i="29"/>
  <c r="BA103" i="29"/>
  <c r="AZ103" i="29"/>
  <c r="BI102" i="29"/>
  <c r="BH102" i="29"/>
  <c r="BG102" i="29"/>
  <c r="BF102" i="29"/>
  <c r="BE102" i="29"/>
  <c r="BD102" i="29"/>
  <c r="BC102" i="29"/>
  <c r="BB102" i="29"/>
  <c r="BA102" i="29"/>
  <c r="AZ102" i="29"/>
  <c r="BI101" i="29"/>
  <c r="BH101" i="29"/>
  <c r="BG101" i="29"/>
  <c r="BF101" i="29"/>
  <c r="BE101" i="29"/>
  <c r="BD101" i="29"/>
  <c r="BC101" i="29"/>
  <c r="BB101" i="29"/>
  <c r="BA101" i="29"/>
  <c r="AZ101" i="29"/>
  <c r="BI100" i="29"/>
  <c r="BH100" i="29"/>
  <c r="BG100" i="29"/>
  <c r="BF100" i="29"/>
  <c r="BE100" i="29"/>
  <c r="BD100" i="29"/>
  <c r="BC100" i="29"/>
  <c r="BB100" i="29"/>
  <c r="BA100" i="29"/>
  <c r="AZ100" i="29"/>
  <c r="BI99" i="29"/>
  <c r="BH99" i="29"/>
  <c r="BG99" i="29"/>
  <c r="BF99" i="29"/>
  <c r="BE99" i="29"/>
  <c r="BD99" i="29"/>
  <c r="BC99" i="29"/>
  <c r="BB99" i="29"/>
  <c r="BA99" i="29"/>
  <c r="AZ99" i="29"/>
  <c r="BI98" i="29"/>
  <c r="BH98" i="29"/>
  <c r="BG98" i="29"/>
  <c r="BF98" i="29"/>
  <c r="BE98" i="29"/>
  <c r="BD98" i="29"/>
  <c r="BC98" i="29"/>
  <c r="BB98" i="29"/>
  <c r="BA98" i="29"/>
  <c r="AZ98" i="29"/>
  <c r="BI97" i="29"/>
  <c r="BH97" i="29"/>
  <c r="BG97" i="29"/>
  <c r="BF97" i="29"/>
  <c r="BE97" i="29"/>
  <c r="BD97" i="29"/>
  <c r="BC97" i="29"/>
  <c r="BB97" i="29"/>
  <c r="BA97" i="29"/>
  <c r="AZ97" i="29"/>
  <c r="BI96" i="29"/>
  <c r="BH96" i="29"/>
  <c r="BG96" i="29"/>
  <c r="BF96" i="29"/>
  <c r="BE96" i="29"/>
  <c r="BD96" i="29"/>
  <c r="BC96" i="29"/>
  <c r="BB96" i="29"/>
  <c r="BA96" i="29"/>
  <c r="AZ96" i="29"/>
  <c r="BI95" i="29"/>
  <c r="BH95" i="29"/>
  <c r="BG95" i="29"/>
  <c r="BF95" i="29"/>
  <c r="BE95" i="29"/>
  <c r="BD95" i="29"/>
  <c r="BC95" i="29"/>
  <c r="BB95" i="29"/>
  <c r="BA95" i="29"/>
  <c r="AZ95" i="29"/>
  <c r="BI94" i="29"/>
  <c r="BH94" i="29"/>
  <c r="BG94" i="29"/>
  <c r="BF94" i="29"/>
  <c r="BE94" i="29"/>
  <c r="BD94" i="29"/>
  <c r="BC94" i="29"/>
  <c r="BB94" i="29"/>
  <c r="BA94" i="29"/>
  <c r="AZ94" i="29"/>
  <c r="U123" i="29"/>
  <c r="T123" i="29"/>
  <c r="S123" i="29"/>
  <c r="R123" i="29"/>
  <c r="Q123" i="29"/>
  <c r="P123" i="29"/>
  <c r="O123" i="29"/>
  <c r="N123" i="29"/>
  <c r="M123" i="29"/>
  <c r="L123" i="29"/>
  <c r="U122" i="29"/>
  <c r="T122" i="29"/>
  <c r="S122" i="29"/>
  <c r="R122" i="29"/>
  <c r="Q122" i="29"/>
  <c r="P122" i="29"/>
  <c r="O122" i="29"/>
  <c r="N122" i="29"/>
  <c r="M122" i="29"/>
  <c r="L122" i="29"/>
  <c r="U121" i="29"/>
  <c r="T121" i="29"/>
  <c r="S121" i="29"/>
  <c r="R121" i="29"/>
  <c r="Q121" i="29"/>
  <c r="P121" i="29"/>
  <c r="O121" i="29"/>
  <c r="N121" i="29"/>
  <c r="M121" i="29"/>
  <c r="L121" i="29"/>
  <c r="U120" i="29"/>
  <c r="T120" i="29"/>
  <c r="S120" i="29"/>
  <c r="R120" i="29"/>
  <c r="Q120" i="29"/>
  <c r="P120" i="29"/>
  <c r="O120" i="29"/>
  <c r="N120" i="29"/>
  <c r="M120" i="29"/>
  <c r="L120" i="29"/>
  <c r="U119" i="29"/>
  <c r="T119" i="29"/>
  <c r="S119" i="29"/>
  <c r="R119" i="29"/>
  <c r="Q119" i="29"/>
  <c r="P119" i="29"/>
  <c r="O119" i="29"/>
  <c r="N119" i="29"/>
  <c r="M119" i="29"/>
  <c r="L119" i="29"/>
  <c r="U118" i="29"/>
  <c r="T118" i="29"/>
  <c r="S118" i="29"/>
  <c r="R118" i="29"/>
  <c r="Q118" i="29"/>
  <c r="P118" i="29"/>
  <c r="O118" i="29"/>
  <c r="N118" i="29"/>
  <c r="M118" i="29"/>
  <c r="L118" i="29"/>
  <c r="U117" i="29"/>
  <c r="T117" i="29"/>
  <c r="S117" i="29"/>
  <c r="R117" i="29"/>
  <c r="Q117" i="29"/>
  <c r="P117" i="29"/>
  <c r="O117" i="29"/>
  <c r="N117" i="29"/>
  <c r="M117" i="29"/>
  <c r="L117" i="29"/>
  <c r="U116" i="29"/>
  <c r="T116" i="29"/>
  <c r="S116" i="29"/>
  <c r="R116" i="29"/>
  <c r="Q116" i="29"/>
  <c r="P116" i="29"/>
  <c r="O116" i="29"/>
  <c r="N116" i="29"/>
  <c r="M116" i="29"/>
  <c r="L116" i="29"/>
  <c r="U115" i="29"/>
  <c r="T115" i="29"/>
  <c r="S115" i="29"/>
  <c r="R115" i="29"/>
  <c r="Q115" i="29"/>
  <c r="P115" i="29"/>
  <c r="O115" i="29"/>
  <c r="N115" i="29"/>
  <c r="M115" i="29"/>
  <c r="L115" i="29"/>
  <c r="U114" i="29"/>
  <c r="T114" i="29"/>
  <c r="S114" i="29"/>
  <c r="R114" i="29"/>
  <c r="Q114" i="29"/>
  <c r="P114" i="29"/>
  <c r="O114" i="29"/>
  <c r="N114" i="29"/>
  <c r="M114" i="29"/>
  <c r="L114" i="29"/>
  <c r="U113" i="29"/>
  <c r="T113" i="29"/>
  <c r="S113" i="29"/>
  <c r="R113" i="29"/>
  <c r="Q113" i="29"/>
  <c r="P113" i="29"/>
  <c r="O113" i="29"/>
  <c r="N113" i="29"/>
  <c r="M113" i="29"/>
  <c r="L113" i="29"/>
  <c r="U112" i="29"/>
  <c r="T112" i="29"/>
  <c r="S112" i="29"/>
  <c r="R112" i="29"/>
  <c r="Q112" i="29"/>
  <c r="P112" i="29"/>
  <c r="O112" i="29"/>
  <c r="N112" i="29"/>
  <c r="M112" i="29"/>
  <c r="L112" i="29"/>
  <c r="U111" i="29"/>
  <c r="T111" i="29"/>
  <c r="S111" i="29"/>
  <c r="R111" i="29"/>
  <c r="Q111" i="29"/>
  <c r="P111" i="29"/>
  <c r="O111" i="29"/>
  <c r="N111" i="29"/>
  <c r="M111" i="29"/>
  <c r="L111" i="29"/>
  <c r="U110" i="29"/>
  <c r="T110" i="29"/>
  <c r="S110" i="29"/>
  <c r="R110" i="29"/>
  <c r="Q110" i="29"/>
  <c r="P110" i="29"/>
  <c r="O110" i="29"/>
  <c r="N110" i="29"/>
  <c r="M110" i="29"/>
  <c r="L110" i="29"/>
  <c r="U109" i="29"/>
  <c r="T109" i="29"/>
  <c r="S109" i="29"/>
  <c r="R109" i="29"/>
  <c r="Q109" i="29"/>
  <c r="P109" i="29"/>
  <c r="O109" i="29"/>
  <c r="N109" i="29"/>
  <c r="M109" i="29"/>
  <c r="L109" i="29"/>
  <c r="U108" i="29"/>
  <c r="T108" i="29"/>
  <c r="S108" i="29"/>
  <c r="R108" i="29"/>
  <c r="Q108" i="29"/>
  <c r="P108" i="29"/>
  <c r="O108" i="29"/>
  <c r="N108" i="29"/>
  <c r="M108" i="29"/>
  <c r="L108" i="29"/>
  <c r="U107" i="29"/>
  <c r="T107" i="29"/>
  <c r="S107" i="29"/>
  <c r="R107" i="29"/>
  <c r="Q107" i="29"/>
  <c r="P107" i="29"/>
  <c r="O107" i="29"/>
  <c r="N107" i="29"/>
  <c r="M107" i="29"/>
  <c r="L107" i="29"/>
  <c r="U106" i="29"/>
  <c r="T106" i="29"/>
  <c r="S106" i="29"/>
  <c r="R106" i="29"/>
  <c r="Q106" i="29"/>
  <c r="P106" i="29"/>
  <c r="O106" i="29"/>
  <c r="N106" i="29"/>
  <c r="M106" i="29"/>
  <c r="L106" i="29"/>
  <c r="U105" i="29"/>
  <c r="T105" i="29"/>
  <c r="S105" i="29"/>
  <c r="R105" i="29"/>
  <c r="Q105" i="29"/>
  <c r="P105" i="29"/>
  <c r="O105" i="29"/>
  <c r="N105" i="29"/>
  <c r="M105" i="29"/>
  <c r="L105" i="29"/>
  <c r="U104" i="29"/>
  <c r="T104" i="29"/>
  <c r="S104" i="29"/>
  <c r="R104" i="29"/>
  <c r="Q104" i="29"/>
  <c r="P104" i="29"/>
  <c r="O104" i="29"/>
  <c r="N104" i="29"/>
  <c r="M104" i="29"/>
  <c r="L104" i="29"/>
  <c r="U103" i="29"/>
  <c r="T103" i="29"/>
  <c r="S103" i="29"/>
  <c r="R103" i="29"/>
  <c r="Q103" i="29"/>
  <c r="P103" i="29"/>
  <c r="O103" i="29"/>
  <c r="N103" i="29"/>
  <c r="M103" i="29"/>
  <c r="L103" i="29"/>
  <c r="U102" i="29"/>
  <c r="T102" i="29"/>
  <c r="S102" i="29"/>
  <c r="R102" i="29"/>
  <c r="Q102" i="29"/>
  <c r="P102" i="29"/>
  <c r="O102" i="29"/>
  <c r="N102" i="29"/>
  <c r="M102" i="29"/>
  <c r="L102" i="29"/>
  <c r="U101" i="29"/>
  <c r="T101" i="29"/>
  <c r="S101" i="29"/>
  <c r="R101" i="29"/>
  <c r="Q101" i="29"/>
  <c r="P101" i="29"/>
  <c r="O101" i="29"/>
  <c r="N101" i="29"/>
  <c r="M101" i="29"/>
  <c r="L101" i="29"/>
  <c r="U100" i="29"/>
  <c r="T100" i="29"/>
  <c r="S100" i="29"/>
  <c r="R100" i="29"/>
  <c r="Q100" i="29"/>
  <c r="P100" i="29"/>
  <c r="O100" i="29"/>
  <c r="N100" i="29"/>
  <c r="M100" i="29"/>
  <c r="L100" i="29"/>
  <c r="U99" i="29"/>
  <c r="T99" i="29"/>
  <c r="S99" i="29"/>
  <c r="R99" i="29"/>
  <c r="Q99" i="29"/>
  <c r="P99" i="29"/>
  <c r="O99" i="29"/>
  <c r="N99" i="29"/>
  <c r="M99" i="29"/>
  <c r="L99" i="29"/>
  <c r="U98" i="29"/>
  <c r="T98" i="29"/>
  <c r="S98" i="29"/>
  <c r="R98" i="29"/>
  <c r="Q98" i="29"/>
  <c r="P98" i="29"/>
  <c r="O98" i="29"/>
  <c r="N98" i="29"/>
  <c r="M98" i="29"/>
  <c r="L98" i="29"/>
  <c r="U97" i="29"/>
  <c r="T97" i="29"/>
  <c r="S97" i="29"/>
  <c r="R97" i="29"/>
  <c r="Q97" i="29"/>
  <c r="P97" i="29"/>
  <c r="O97" i="29"/>
  <c r="N97" i="29"/>
  <c r="M97" i="29"/>
  <c r="L97" i="29"/>
  <c r="U96" i="29"/>
  <c r="T96" i="29"/>
  <c r="S96" i="29"/>
  <c r="R96" i="29"/>
  <c r="Q96" i="29"/>
  <c r="P96" i="29"/>
  <c r="O96" i="29"/>
  <c r="N96" i="29"/>
  <c r="M96" i="29"/>
  <c r="L96" i="29"/>
  <c r="U95" i="29"/>
  <c r="T95" i="29"/>
  <c r="S95" i="29"/>
  <c r="R95" i="29"/>
  <c r="Q95" i="29"/>
  <c r="P95" i="29"/>
  <c r="O95" i="29"/>
  <c r="N95" i="29"/>
  <c r="M95" i="29"/>
  <c r="L95" i="29"/>
  <c r="U94" i="29"/>
  <c r="T94" i="29"/>
  <c r="S94" i="29"/>
  <c r="R94" i="29"/>
  <c r="Q94" i="29"/>
  <c r="P94" i="29"/>
  <c r="O94" i="29"/>
  <c r="N94" i="29"/>
  <c r="M94" i="29"/>
  <c r="L94" i="29"/>
  <c r="CW93" i="29"/>
  <c r="CV93" i="29"/>
  <c r="CU93" i="29"/>
  <c r="CT93" i="29"/>
  <c r="CS93" i="29"/>
  <c r="CR93" i="29"/>
  <c r="CQ93" i="29"/>
  <c r="CP93" i="29"/>
  <c r="CO93" i="29"/>
  <c r="CN93" i="29"/>
  <c r="CW92" i="29"/>
  <c r="CV92" i="29"/>
  <c r="CU92" i="29"/>
  <c r="CT92" i="29"/>
  <c r="CS92" i="29"/>
  <c r="CR92" i="29"/>
  <c r="CQ92" i="29"/>
  <c r="CP92" i="29"/>
  <c r="CO92" i="29"/>
  <c r="CN92" i="29"/>
  <c r="CW91" i="29"/>
  <c r="CV91" i="29"/>
  <c r="CU91" i="29"/>
  <c r="CT91" i="29"/>
  <c r="CS91" i="29"/>
  <c r="CR91" i="29"/>
  <c r="CQ91" i="29"/>
  <c r="CP91" i="29"/>
  <c r="CO91" i="29"/>
  <c r="CN91" i="29"/>
  <c r="CW90" i="29"/>
  <c r="CV90" i="29"/>
  <c r="CU90" i="29"/>
  <c r="CT90" i="29"/>
  <c r="CS90" i="29"/>
  <c r="CR90" i="29"/>
  <c r="CQ90" i="29"/>
  <c r="CP90" i="29"/>
  <c r="CO90" i="29"/>
  <c r="CN90" i="29"/>
  <c r="CW89" i="29"/>
  <c r="CV89" i="29"/>
  <c r="CU89" i="29"/>
  <c r="CT89" i="29"/>
  <c r="CS89" i="29"/>
  <c r="CR89" i="29"/>
  <c r="CQ89" i="29"/>
  <c r="CP89" i="29"/>
  <c r="CO89" i="29"/>
  <c r="CN89" i="29"/>
  <c r="CW88" i="29"/>
  <c r="CV88" i="29"/>
  <c r="CU88" i="29"/>
  <c r="CT88" i="29"/>
  <c r="CS88" i="29"/>
  <c r="CR88" i="29"/>
  <c r="CQ88" i="29"/>
  <c r="CP88" i="29"/>
  <c r="CO88" i="29"/>
  <c r="CN88" i="29"/>
  <c r="CW87" i="29"/>
  <c r="CV87" i="29"/>
  <c r="CU87" i="29"/>
  <c r="CT87" i="29"/>
  <c r="CS87" i="29"/>
  <c r="CR87" i="29"/>
  <c r="CQ87" i="29"/>
  <c r="CP87" i="29"/>
  <c r="CO87" i="29"/>
  <c r="CN87" i="29"/>
  <c r="CW86" i="29"/>
  <c r="CV86" i="29"/>
  <c r="CU86" i="29"/>
  <c r="CT86" i="29"/>
  <c r="CS86" i="29"/>
  <c r="CR86" i="29"/>
  <c r="CQ86" i="29"/>
  <c r="CP86" i="29"/>
  <c r="CO86" i="29"/>
  <c r="CN86" i="29"/>
  <c r="CW85" i="29"/>
  <c r="CV85" i="29"/>
  <c r="CU85" i="29"/>
  <c r="CT85" i="29"/>
  <c r="CS85" i="29"/>
  <c r="CR85" i="29"/>
  <c r="CQ85" i="29"/>
  <c r="CP85" i="29"/>
  <c r="CO85" i="29"/>
  <c r="CN85" i="29"/>
  <c r="CW84" i="29"/>
  <c r="CV84" i="29"/>
  <c r="CU84" i="29"/>
  <c r="CT84" i="29"/>
  <c r="CS84" i="29"/>
  <c r="CR84" i="29"/>
  <c r="CQ84" i="29"/>
  <c r="CP84" i="29"/>
  <c r="CO84" i="29"/>
  <c r="CN84" i="29"/>
  <c r="CW83" i="29"/>
  <c r="CV83" i="29"/>
  <c r="CU83" i="29"/>
  <c r="CT83" i="29"/>
  <c r="CS83" i="29"/>
  <c r="CR83" i="29"/>
  <c r="CQ83" i="29"/>
  <c r="CP83" i="29"/>
  <c r="CO83" i="29"/>
  <c r="CN83" i="29"/>
  <c r="CW82" i="29"/>
  <c r="CV82" i="29"/>
  <c r="CU82" i="29"/>
  <c r="CT82" i="29"/>
  <c r="CS82" i="29"/>
  <c r="CR82" i="29"/>
  <c r="CQ82" i="29"/>
  <c r="CP82" i="29"/>
  <c r="CO82" i="29"/>
  <c r="CN82" i="29"/>
  <c r="CW81" i="29"/>
  <c r="CV81" i="29"/>
  <c r="CU81" i="29"/>
  <c r="CT81" i="29"/>
  <c r="CS81" i="29"/>
  <c r="CR81" i="29"/>
  <c r="CQ81" i="29"/>
  <c r="CP81" i="29"/>
  <c r="CO81" i="29"/>
  <c r="CN81" i="29"/>
  <c r="CW80" i="29"/>
  <c r="CV80" i="29"/>
  <c r="CU80" i="29"/>
  <c r="CT80" i="29"/>
  <c r="CS80" i="29"/>
  <c r="CR80" i="29"/>
  <c r="CQ80" i="29"/>
  <c r="CP80" i="29"/>
  <c r="CO80" i="29"/>
  <c r="CN80" i="29"/>
  <c r="CW79" i="29"/>
  <c r="CV79" i="29"/>
  <c r="CU79" i="29"/>
  <c r="CT79" i="29"/>
  <c r="CS79" i="29"/>
  <c r="CR79" i="29"/>
  <c r="CQ79" i="29"/>
  <c r="CP79" i="29"/>
  <c r="CO79" i="29"/>
  <c r="CN79" i="29"/>
  <c r="CW78" i="29"/>
  <c r="CV78" i="29"/>
  <c r="CU78" i="29"/>
  <c r="CT78" i="29"/>
  <c r="CS78" i="29"/>
  <c r="CR78" i="29"/>
  <c r="CQ78" i="29"/>
  <c r="CP78" i="29"/>
  <c r="CO78" i="29"/>
  <c r="CN78" i="29"/>
  <c r="CW77" i="29"/>
  <c r="CV77" i="29"/>
  <c r="CU77" i="29"/>
  <c r="CT77" i="29"/>
  <c r="CS77" i="29"/>
  <c r="CR77" i="29"/>
  <c r="CQ77" i="29"/>
  <c r="CP77" i="29"/>
  <c r="CO77" i="29"/>
  <c r="CN77" i="29"/>
  <c r="CW76" i="29"/>
  <c r="CV76" i="29"/>
  <c r="CU76" i="29"/>
  <c r="CT76" i="29"/>
  <c r="CS76" i="29"/>
  <c r="CR76" i="29"/>
  <c r="CQ76" i="29"/>
  <c r="CP76" i="29"/>
  <c r="CO76" i="29"/>
  <c r="CN76" i="29"/>
  <c r="CW75" i="29"/>
  <c r="CV75" i="29"/>
  <c r="CU75" i="29"/>
  <c r="CT75" i="29"/>
  <c r="CS75" i="29"/>
  <c r="CR75" i="29"/>
  <c r="CQ75" i="29"/>
  <c r="CP75" i="29"/>
  <c r="CO75" i="29"/>
  <c r="CN75" i="29"/>
  <c r="CW74" i="29"/>
  <c r="CV74" i="29"/>
  <c r="CU74" i="29"/>
  <c r="CT74" i="29"/>
  <c r="CS74" i="29"/>
  <c r="CR74" i="29"/>
  <c r="CQ74" i="29"/>
  <c r="CP74" i="29"/>
  <c r="CO74" i="29"/>
  <c r="CN74" i="29"/>
  <c r="CW73" i="29"/>
  <c r="CV73" i="29"/>
  <c r="CU73" i="29"/>
  <c r="CT73" i="29"/>
  <c r="CS73" i="29"/>
  <c r="CR73" i="29"/>
  <c r="CQ73" i="29"/>
  <c r="CP73" i="29"/>
  <c r="CO73" i="29"/>
  <c r="CN73" i="29"/>
  <c r="CW72" i="29"/>
  <c r="CV72" i="29"/>
  <c r="CU72" i="29"/>
  <c r="CT72" i="29"/>
  <c r="CS72" i="29"/>
  <c r="CR72" i="29"/>
  <c r="CQ72" i="29"/>
  <c r="CP72" i="29"/>
  <c r="CO72" i="29"/>
  <c r="CN72" i="29"/>
  <c r="CW71" i="29"/>
  <c r="CV71" i="29"/>
  <c r="CU71" i="29"/>
  <c r="CT71" i="29"/>
  <c r="CS71" i="29"/>
  <c r="CR71" i="29"/>
  <c r="CQ71" i="29"/>
  <c r="CP71" i="29"/>
  <c r="CO71" i="29"/>
  <c r="CN71" i="29"/>
  <c r="CW70" i="29"/>
  <c r="CV70" i="29"/>
  <c r="CU70" i="29"/>
  <c r="CT70" i="29"/>
  <c r="CS70" i="29"/>
  <c r="CR70" i="29"/>
  <c r="CQ70" i="29"/>
  <c r="CP70" i="29"/>
  <c r="CO70" i="29"/>
  <c r="CN70" i="29"/>
  <c r="CW69" i="29"/>
  <c r="CV69" i="29"/>
  <c r="CU69" i="29"/>
  <c r="CT69" i="29"/>
  <c r="CS69" i="29"/>
  <c r="CR69" i="29"/>
  <c r="CQ69" i="29"/>
  <c r="CP69" i="29"/>
  <c r="CO69" i="29"/>
  <c r="CN69" i="29"/>
  <c r="CW68" i="29"/>
  <c r="CV68" i="29"/>
  <c r="CU68" i="29"/>
  <c r="CT68" i="29"/>
  <c r="CS68" i="29"/>
  <c r="CR68" i="29"/>
  <c r="CQ68" i="29"/>
  <c r="CP68" i="29"/>
  <c r="CO68" i="29"/>
  <c r="CN68" i="29"/>
  <c r="CW67" i="29"/>
  <c r="CV67" i="29"/>
  <c r="CU67" i="29"/>
  <c r="CT67" i="29"/>
  <c r="CS67" i="29"/>
  <c r="CR67" i="29"/>
  <c r="CQ67" i="29"/>
  <c r="CP67" i="29"/>
  <c r="CO67" i="29"/>
  <c r="CN67" i="29"/>
  <c r="CW66" i="29"/>
  <c r="CV66" i="29"/>
  <c r="CU66" i="29"/>
  <c r="CT66" i="29"/>
  <c r="CS66" i="29"/>
  <c r="CR66" i="29"/>
  <c r="CQ66" i="29"/>
  <c r="CP66" i="29"/>
  <c r="CO66" i="29"/>
  <c r="CN66" i="29"/>
  <c r="CW65" i="29"/>
  <c r="CV65" i="29"/>
  <c r="CU65" i="29"/>
  <c r="CT65" i="29"/>
  <c r="CS65" i="29"/>
  <c r="CR65" i="29"/>
  <c r="CQ65" i="29"/>
  <c r="CP65" i="29"/>
  <c r="CO65" i="29"/>
  <c r="CN65" i="29"/>
  <c r="CW64" i="29"/>
  <c r="CV64" i="29"/>
  <c r="CU64" i="29"/>
  <c r="CT64" i="29"/>
  <c r="CS64" i="29"/>
  <c r="CR64" i="29"/>
  <c r="CQ64" i="29"/>
  <c r="CP64" i="29"/>
  <c r="CO64" i="29"/>
  <c r="CN64" i="29"/>
  <c r="CW63" i="29"/>
  <c r="CV63" i="29"/>
  <c r="CU63" i="29"/>
  <c r="CT63" i="29"/>
  <c r="CS63" i="29"/>
  <c r="CR63" i="29"/>
  <c r="CQ63" i="29"/>
  <c r="CP63" i="29"/>
  <c r="CO63" i="29"/>
  <c r="CN63" i="29"/>
  <c r="BI93" i="29"/>
  <c r="BH93" i="29"/>
  <c r="BG93" i="29"/>
  <c r="BF93" i="29"/>
  <c r="BE93" i="29"/>
  <c r="BD93" i="29"/>
  <c r="BC93" i="29"/>
  <c r="BB93" i="29"/>
  <c r="BA93" i="29"/>
  <c r="AZ93" i="29"/>
  <c r="BI92" i="29"/>
  <c r="BH92" i="29"/>
  <c r="BG92" i="29"/>
  <c r="BF92" i="29"/>
  <c r="BE92" i="29"/>
  <c r="BD92" i="29"/>
  <c r="BC92" i="29"/>
  <c r="BB92" i="29"/>
  <c r="BA92" i="29"/>
  <c r="AZ92" i="29"/>
  <c r="BI91" i="29"/>
  <c r="BH91" i="29"/>
  <c r="BG91" i="29"/>
  <c r="BF91" i="29"/>
  <c r="BE91" i="29"/>
  <c r="BD91" i="29"/>
  <c r="BC91" i="29"/>
  <c r="BB91" i="29"/>
  <c r="BA91" i="29"/>
  <c r="AZ91" i="29"/>
  <c r="BI90" i="29"/>
  <c r="BH90" i="29"/>
  <c r="BG90" i="29"/>
  <c r="BF90" i="29"/>
  <c r="BE90" i="29"/>
  <c r="BD90" i="29"/>
  <c r="BC90" i="29"/>
  <c r="BB90" i="29"/>
  <c r="BA90" i="29"/>
  <c r="AZ90" i="29"/>
  <c r="BI89" i="29"/>
  <c r="BH89" i="29"/>
  <c r="BG89" i="29"/>
  <c r="BF89" i="29"/>
  <c r="BE89" i="29"/>
  <c r="BD89" i="29"/>
  <c r="BC89" i="29"/>
  <c r="BB89" i="29"/>
  <c r="BA89" i="29"/>
  <c r="AZ89" i="29"/>
  <c r="BI88" i="29"/>
  <c r="BH88" i="29"/>
  <c r="BG88" i="29"/>
  <c r="BF88" i="29"/>
  <c r="BE88" i="29"/>
  <c r="BD88" i="29"/>
  <c r="BC88" i="29"/>
  <c r="BB88" i="29"/>
  <c r="BA88" i="29"/>
  <c r="AZ88" i="29"/>
  <c r="BI87" i="29"/>
  <c r="BH87" i="29"/>
  <c r="BG87" i="29"/>
  <c r="BF87" i="29"/>
  <c r="BE87" i="29"/>
  <c r="BD87" i="29"/>
  <c r="BC87" i="29"/>
  <c r="BB87" i="29"/>
  <c r="BA87" i="29"/>
  <c r="AZ87" i="29"/>
  <c r="BI86" i="29"/>
  <c r="BH86" i="29"/>
  <c r="BG86" i="29"/>
  <c r="BF86" i="29"/>
  <c r="BE86" i="29"/>
  <c r="BD86" i="29"/>
  <c r="BC86" i="29"/>
  <c r="BB86" i="29"/>
  <c r="BA86" i="29"/>
  <c r="AZ86" i="29"/>
  <c r="BI85" i="29"/>
  <c r="BH85" i="29"/>
  <c r="BG85" i="29"/>
  <c r="BF85" i="29"/>
  <c r="BE85" i="29"/>
  <c r="BD85" i="29"/>
  <c r="BC85" i="29"/>
  <c r="BB85" i="29"/>
  <c r="BA85" i="29"/>
  <c r="AZ85" i="29"/>
  <c r="BI84" i="29"/>
  <c r="BH84" i="29"/>
  <c r="BG84" i="29"/>
  <c r="BF84" i="29"/>
  <c r="BE84" i="29"/>
  <c r="BD84" i="29"/>
  <c r="BC84" i="29"/>
  <c r="BB84" i="29"/>
  <c r="BA84" i="29"/>
  <c r="AZ84" i="29"/>
  <c r="BI83" i="29"/>
  <c r="BH83" i="29"/>
  <c r="BG83" i="29"/>
  <c r="BF83" i="29"/>
  <c r="BE83" i="29"/>
  <c r="BD83" i="29"/>
  <c r="BC83" i="29"/>
  <c r="BB83" i="29"/>
  <c r="BA83" i="29"/>
  <c r="AZ83" i="29"/>
  <c r="BI82" i="29"/>
  <c r="BH82" i="29"/>
  <c r="BG82" i="29"/>
  <c r="BF82" i="29"/>
  <c r="BE82" i="29"/>
  <c r="BD82" i="29"/>
  <c r="BC82" i="29"/>
  <c r="BB82" i="29"/>
  <c r="BA82" i="29"/>
  <c r="AZ82" i="29"/>
  <c r="BI81" i="29"/>
  <c r="BH81" i="29"/>
  <c r="BG81" i="29"/>
  <c r="BF81" i="29"/>
  <c r="BE81" i="29"/>
  <c r="BD81" i="29"/>
  <c r="BC81" i="29"/>
  <c r="BB81" i="29"/>
  <c r="BA81" i="29"/>
  <c r="AZ81" i="29"/>
  <c r="BI80" i="29"/>
  <c r="BH80" i="29"/>
  <c r="BG80" i="29"/>
  <c r="BF80" i="29"/>
  <c r="BE80" i="29"/>
  <c r="BD80" i="29"/>
  <c r="BC80" i="29"/>
  <c r="BB80" i="29"/>
  <c r="BA80" i="29"/>
  <c r="AZ80" i="29"/>
  <c r="BI79" i="29"/>
  <c r="BH79" i="29"/>
  <c r="BG79" i="29"/>
  <c r="BF79" i="29"/>
  <c r="BE79" i="29"/>
  <c r="BD79" i="29"/>
  <c r="BC79" i="29"/>
  <c r="BB79" i="29"/>
  <c r="BA79" i="29"/>
  <c r="AZ79" i="29"/>
  <c r="BI78" i="29"/>
  <c r="BH78" i="29"/>
  <c r="BG78" i="29"/>
  <c r="BF78" i="29"/>
  <c r="BE78" i="29"/>
  <c r="BD78" i="29"/>
  <c r="BC78" i="29"/>
  <c r="BB78" i="29"/>
  <c r="BA78" i="29"/>
  <c r="AZ78" i="29"/>
  <c r="BI77" i="29"/>
  <c r="BH77" i="29"/>
  <c r="BG77" i="29"/>
  <c r="BF77" i="29"/>
  <c r="BE77" i="29"/>
  <c r="BD77" i="29"/>
  <c r="BC77" i="29"/>
  <c r="BB77" i="29"/>
  <c r="BA77" i="29"/>
  <c r="AZ77" i="29"/>
  <c r="BI76" i="29"/>
  <c r="BH76" i="29"/>
  <c r="BG76" i="29"/>
  <c r="BF76" i="29"/>
  <c r="BE76" i="29"/>
  <c r="BD76" i="29"/>
  <c r="BC76" i="29"/>
  <c r="BB76" i="29"/>
  <c r="BA76" i="29"/>
  <c r="AZ76" i="29"/>
  <c r="BI75" i="29"/>
  <c r="BH75" i="29"/>
  <c r="BG75" i="29"/>
  <c r="BF75" i="29"/>
  <c r="BE75" i="29"/>
  <c r="BD75" i="29"/>
  <c r="BC75" i="29"/>
  <c r="BB75" i="29"/>
  <c r="BA75" i="29"/>
  <c r="AZ75" i="29"/>
  <c r="BI74" i="29"/>
  <c r="BH74" i="29"/>
  <c r="BG74" i="29"/>
  <c r="BF74" i="29"/>
  <c r="BE74" i="29"/>
  <c r="BD74" i="29"/>
  <c r="BC74" i="29"/>
  <c r="BB74" i="29"/>
  <c r="BA74" i="29"/>
  <c r="AZ74" i="29"/>
  <c r="BI73" i="29"/>
  <c r="BH73" i="29"/>
  <c r="BG73" i="29"/>
  <c r="BF73" i="29"/>
  <c r="BE73" i="29"/>
  <c r="BD73" i="29"/>
  <c r="BC73" i="29"/>
  <c r="BB73" i="29"/>
  <c r="BA73" i="29"/>
  <c r="AZ73" i="29"/>
  <c r="BI72" i="29"/>
  <c r="BH72" i="29"/>
  <c r="BG72" i="29"/>
  <c r="BF72" i="29"/>
  <c r="BE72" i="29"/>
  <c r="BD72" i="29"/>
  <c r="BC72" i="29"/>
  <c r="BB72" i="29"/>
  <c r="BA72" i="29"/>
  <c r="AZ72" i="29"/>
  <c r="BI71" i="29"/>
  <c r="BH71" i="29"/>
  <c r="BG71" i="29"/>
  <c r="BF71" i="29"/>
  <c r="BE71" i="29"/>
  <c r="BD71" i="29"/>
  <c r="BC71" i="29"/>
  <c r="BB71" i="29"/>
  <c r="BA71" i="29"/>
  <c r="AZ71" i="29"/>
  <c r="BI70" i="29"/>
  <c r="BH70" i="29"/>
  <c r="BG70" i="29"/>
  <c r="BF70" i="29"/>
  <c r="BE70" i="29"/>
  <c r="BD70" i="29"/>
  <c r="BC70" i="29"/>
  <c r="BB70" i="29"/>
  <c r="BA70" i="29"/>
  <c r="AZ70" i="29"/>
  <c r="BI69" i="29"/>
  <c r="BH69" i="29"/>
  <c r="BG69" i="29"/>
  <c r="BF69" i="29"/>
  <c r="BE69" i="29"/>
  <c r="BD69" i="29"/>
  <c r="BC69" i="29"/>
  <c r="BB69" i="29"/>
  <c r="BA69" i="29"/>
  <c r="AZ69" i="29"/>
  <c r="BI68" i="29"/>
  <c r="BH68" i="29"/>
  <c r="BG68" i="29"/>
  <c r="BF68" i="29"/>
  <c r="BE68" i="29"/>
  <c r="BD68" i="29"/>
  <c r="BC68" i="29"/>
  <c r="BB68" i="29"/>
  <c r="BA68" i="29"/>
  <c r="AZ68" i="29"/>
  <c r="BI67" i="29"/>
  <c r="BH67" i="29"/>
  <c r="BG67" i="29"/>
  <c r="BF67" i="29"/>
  <c r="BE67" i="29"/>
  <c r="BD67" i="29"/>
  <c r="BC67" i="29"/>
  <c r="BB67" i="29"/>
  <c r="BA67" i="29"/>
  <c r="AZ67" i="29"/>
  <c r="BI66" i="29"/>
  <c r="BH66" i="29"/>
  <c r="BG66" i="29"/>
  <c r="BF66" i="29"/>
  <c r="BE66" i="29"/>
  <c r="BD66" i="29"/>
  <c r="BC66" i="29"/>
  <c r="BB66" i="29"/>
  <c r="BA66" i="29"/>
  <c r="AZ66" i="29"/>
  <c r="BI65" i="29"/>
  <c r="BH65" i="29"/>
  <c r="BG65" i="29"/>
  <c r="BF65" i="29"/>
  <c r="BE65" i="29"/>
  <c r="BD65" i="29"/>
  <c r="BC65" i="29"/>
  <c r="BB65" i="29"/>
  <c r="BA65" i="29"/>
  <c r="AZ65" i="29"/>
  <c r="BI64" i="29"/>
  <c r="BH64" i="29"/>
  <c r="BG64" i="29"/>
  <c r="BF64" i="29"/>
  <c r="BE64" i="29"/>
  <c r="BD64" i="29"/>
  <c r="BC64" i="29"/>
  <c r="BB64" i="29"/>
  <c r="BA64" i="29"/>
  <c r="AZ64" i="29"/>
  <c r="BI63" i="29"/>
  <c r="BH63" i="29"/>
  <c r="BG63" i="29"/>
  <c r="BF63" i="29"/>
  <c r="BE63" i="29"/>
  <c r="BD63" i="29"/>
  <c r="BC63" i="29"/>
  <c r="BB63" i="29"/>
  <c r="BA63" i="29"/>
  <c r="AZ63" i="29"/>
  <c r="U93" i="29"/>
  <c r="T93" i="29"/>
  <c r="S93" i="29"/>
  <c r="R93" i="29"/>
  <c r="Q93" i="29"/>
  <c r="P93" i="29"/>
  <c r="O93" i="29"/>
  <c r="N93" i="29"/>
  <c r="M93" i="29"/>
  <c r="L93" i="29"/>
  <c r="U92" i="29"/>
  <c r="T92" i="29"/>
  <c r="S92" i="29"/>
  <c r="R92" i="29"/>
  <c r="Q92" i="29"/>
  <c r="P92" i="29"/>
  <c r="O92" i="29"/>
  <c r="N92" i="29"/>
  <c r="M92" i="29"/>
  <c r="L92" i="29"/>
  <c r="U91" i="29"/>
  <c r="T91" i="29"/>
  <c r="S91" i="29"/>
  <c r="R91" i="29"/>
  <c r="Q91" i="29"/>
  <c r="P91" i="29"/>
  <c r="O91" i="29"/>
  <c r="N91" i="29"/>
  <c r="M91" i="29"/>
  <c r="L91" i="29"/>
  <c r="U90" i="29"/>
  <c r="T90" i="29"/>
  <c r="S90" i="29"/>
  <c r="R90" i="29"/>
  <c r="Q90" i="29"/>
  <c r="P90" i="29"/>
  <c r="O90" i="29"/>
  <c r="N90" i="29"/>
  <c r="M90" i="29"/>
  <c r="L90" i="29"/>
  <c r="U89" i="29"/>
  <c r="T89" i="29"/>
  <c r="S89" i="29"/>
  <c r="R89" i="29"/>
  <c r="Q89" i="29"/>
  <c r="P89" i="29"/>
  <c r="O89" i="29"/>
  <c r="N89" i="29"/>
  <c r="M89" i="29"/>
  <c r="L89" i="29"/>
  <c r="U88" i="29"/>
  <c r="T88" i="29"/>
  <c r="S88" i="29"/>
  <c r="R88" i="29"/>
  <c r="Q88" i="29"/>
  <c r="P88" i="29"/>
  <c r="O88" i="29"/>
  <c r="N88" i="29"/>
  <c r="M88" i="29"/>
  <c r="L88" i="29"/>
  <c r="U87" i="29"/>
  <c r="T87" i="29"/>
  <c r="S87" i="29"/>
  <c r="R87" i="29"/>
  <c r="Q87" i="29"/>
  <c r="P87" i="29"/>
  <c r="O87" i="29"/>
  <c r="N87" i="29"/>
  <c r="M87" i="29"/>
  <c r="L87" i="29"/>
  <c r="U86" i="29"/>
  <c r="T86" i="29"/>
  <c r="S86" i="29"/>
  <c r="R86" i="29"/>
  <c r="Q86" i="29"/>
  <c r="P86" i="29"/>
  <c r="O86" i="29"/>
  <c r="N86" i="29"/>
  <c r="M86" i="29"/>
  <c r="L86" i="29"/>
  <c r="U85" i="29"/>
  <c r="T85" i="29"/>
  <c r="S85" i="29"/>
  <c r="R85" i="29"/>
  <c r="Q85" i="29"/>
  <c r="P85" i="29"/>
  <c r="O85" i="29"/>
  <c r="N85" i="29"/>
  <c r="M85" i="29"/>
  <c r="L85" i="29"/>
  <c r="U84" i="29"/>
  <c r="T84" i="29"/>
  <c r="S84" i="29"/>
  <c r="R84" i="29"/>
  <c r="Q84" i="29"/>
  <c r="P84" i="29"/>
  <c r="O84" i="29"/>
  <c r="N84" i="29"/>
  <c r="M84" i="29"/>
  <c r="L84" i="29"/>
  <c r="U83" i="29"/>
  <c r="T83" i="29"/>
  <c r="S83" i="29"/>
  <c r="R83" i="29"/>
  <c r="Q83" i="29"/>
  <c r="P83" i="29"/>
  <c r="O83" i="29"/>
  <c r="N83" i="29"/>
  <c r="M83" i="29"/>
  <c r="L83" i="29"/>
  <c r="U82" i="29"/>
  <c r="T82" i="29"/>
  <c r="S82" i="29"/>
  <c r="R82" i="29"/>
  <c r="Q82" i="29"/>
  <c r="P82" i="29"/>
  <c r="O82" i="29"/>
  <c r="N82" i="29"/>
  <c r="M82" i="29"/>
  <c r="L82" i="29"/>
  <c r="U81" i="29"/>
  <c r="T81" i="29"/>
  <c r="S81" i="29"/>
  <c r="R81" i="29"/>
  <c r="Q81" i="29"/>
  <c r="P81" i="29"/>
  <c r="O81" i="29"/>
  <c r="N81" i="29"/>
  <c r="M81" i="29"/>
  <c r="L81" i="29"/>
  <c r="U80" i="29"/>
  <c r="T80" i="29"/>
  <c r="S80" i="29"/>
  <c r="R80" i="29"/>
  <c r="Q80" i="29"/>
  <c r="P80" i="29"/>
  <c r="O80" i="29"/>
  <c r="N80" i="29"/>
  <c r="M80" i="29"/>
  <c r="L80" i="29"/>
  <c r="U79" i="29"/>
  <c r="T79" i="29"/>
  <c r="S79" i="29"/>
  <c r="R79" i="29"/>
  <c r="Q79" i="29"/>
  <c r="P79" i="29"/>
  <c r="O79" i="29"/>
  <c r="N79" i="29"/>
  <c r="M79" i="29"/>
  <c r="L79" i="29"/>
  <c r="U78" i="29"/>
  <c r="T78" i="29"/>
  <c r="S78" i="29"/>
  <c r="R78" i="29"/>
  <c r="Q78" i="29"/>
  <c r="P78" i="29"/>
  <c r="O78" i="29"/>
  <c r="N78" i="29"/>
  <c r="M78" i="29"/>
  <c r="L78" i="29"/>
  <c r="U77" i="29"/>
  <c r="T77" i="29"/>
  <c r="S77" i="29"/>
  <c r="R77" i="29"/>
  <c r="Q77" i="29"/>
  <c r="P77" i="29"/>
  <c r="O77" i="29"/>
  <c r="N77" i="29"/>
  <c r="M77" i="29"/>
  <c r="L77" i="29"/>
  <c r="U76" i="29"/>
  <c r="T76" i="29"/>
  <c r="S76" i="29"/>
  <c r="R76" i="29"/>
  <c r="Q76" i="29"/>
  <c r="P76" i="29"/>
  <c r="O76" i="29"/>
  <c r="N76" i="29"/>
  <c r="M76" i="29"/>
  <c r="L76" i="29"/>
  <c r="U75" i="29"/>
  <c r="T75" i="29"/>
  <c r="S75" i="29"/>
  <c r="R75" i="29"/>
  <c r="Q75" i="29"/>
  <c r="P75" i="29"/>
  <c r="O75" i="29"/>
  <c r="N75" i="29"/>
  <c r="M75" i="29"/>
  <c r="L75" i="29"/>
  <c r="U74" i="29"/>
  <c r="T74" i="29"/>
  <c r="S74" i="29"/>
  <c r="R74" i="29"/>
  <c r="Q74" i="29"/>
  <c r="P74" i="29"/>
  <c r="O74" i="29"/>
  <c r="N74" i="29"/>
  <c r="M74" i="29"/>
  <c r="L74" i="29"/>
  <c r="U73" i="29"/>
  <c r="T73" i="29"/>
  <c r="S73" i="29"/>
  <c r="R73" i="29"/>
  <c r="Q73" i="29"/>
  <c r="P73" i="29"/>
  <c r="O73" i="29"/>
  <c r="N73" i="29"/>
  <c r="M73" i="29"/>
  <c r="L73" i="29"/>
  <c r="U72" i="29"/>
  <c r="T72" i="29"/>
  <c r="S72" i="29"/>
  <c r="R72" i="29"/>
  <c r="Q72" i="29"/>
  <c r="P72" i="29"/>
  <c r="O72" i="29"/>
  <c r="N72" i="29"/>
  <c r="M72" i="29"/>
  <c r="L72" i="29"/>
  <c r="U71" i="29"/>
  <c r="T71" i="29"/>
  <c r="S71" i="29"/>
  <c r="R71" i="29"/>
  <c r="Q71" i="29"/>
  <c r="P71" i="29"/>
  <c r="O71" i="29"/>
  <c r="N71" i="29"/>
  <c r="M71" i="29"/>
  <c r="L71" i="29"/>
  <c r="U70" i="29"/>
  <c r="T70" i="29"/>
  <c r="S70" i="29"/>
  <c r="R70" i="29"/>
  <c r="Q70" i="29"/>
  <c r="P70" i="29"/>
  <c r="O70" i="29"/>
  <c r="N70" i="29"/>
  <c r="M70" i="29"/>
  <c r="L70" i="29"/>
  <c r="U69" i="29"/>
  <c r="T69" i="29"/>
  <c r="S69" i="29"/>
  <c r="R69" i="29"/>
  <c r="Q69" i="29"/>
  <c r="P69" i="29"/>
  <c r="O69" i="29"/>
  <c r="N69" i="29"/>
  <c r="M69" i="29"/>
  <c r="L69" i="29"/>
  <c r="U68" i="29"/>
  <c r="T68" i="29"/>
  <c r="S68" i="29"/>
  <c r="R68" i="29"/>
  <c r="Q68" i="29"/>
  <c r="P68" i="29"/>
  <c r="O68" i="29"/>
  <c r="N68" i="29"/>
  <c r="M68" i="29"/>
  <c r="L68" i="29"/>
  <c r="U67" i="29"/>
  <c r="T67" i="29"/>
  <c r="S67" i="29"/>
  <c r="R67" i="29"/>
  <c r="Q67" i="29"/>
  <c r="P67" i="29"/>
  <c r="O67" i="29"/>
  <c r="N67" i="29"/>
  <c r="M67" i="29"/>
  <c r="L67" i="29"/>
  <c r="U66" i="29"/>
  <c r="T66" i="29"/>
  <c r="S66" i="29"/>
  <c r="R66" i="29"/>
  <c r="Q66" i="29"/>
  <c r="P66" i="29"/>
  <c r="O66" i="29"/>
  <c r="N66" i="29"/>
  <c r="M66" i="29"/>
  <c r="L66" i="29"/>
  <c r="U65" i="29"/>
  <c r="T65" i="29"/>
  <c r="S65" i="29"/>
  <c r="R65" i="29"/>
  <c r="Q65" i="29"/>
  <c r="P65" i="29"/>
  <c r="O65" i="29"/>
  <c r="N65" i="29"/>
  <c r="M65" i="29"/>
  <c r="L65" i="29"/>
  <c r="U64" i="29"/>
  <c r="T64" i="29"/>
  <c r="S64" i="29"/>
  <c r="R64" i="29"/>
  <c r="Q64" i="29"/>
  <c r="P64" i="29"/>
  <c r="O64" i="29"/>
  <c r="N64" i="29"/>
  <c r="M64" i="29"/>
  <c r="L64" i="29"/>
  <c r="U63" i="29"/>
  <c r="T63" i="29"/>
  <c r="S63" i="29"/>
  <c r="R63" i="29"/>
  <c r="Q63" i="29"/>
  <c r="P63" i="29"/>
  <c r="O63" i="29"/>
  <c r="N63" i="29"/>
  <c r="M63" i="29"/>
  <c r="L63" i="29"/>
  <c r="CW62" i="29"/>
  <c r="CV62" i="29"/>
  <c r="CU62" i="29"/>
  <c r="CT62" i="29"/>
  <c r="CS62" i="29"/>
  <c r="CR62" i="29"/>
  <c r="CQ62" i="29"/>
  <c r="CP62" i="29"/>
  <c r="CO62" i="29"/>
  <c r="CN62" i="29"/>
  <c r="CW61" i="29"/>
  <c r="CV61" i="29"/>
  <c r="CU61" i="29"/>
  <c r="CT61" i="29"/>
  <c r="CS61" i="29"/>
  <c r="CR61" i="29"/>
  <c r="CQ61" i="29"/>
  <c r="CP61" i="29"/>
  <c r="CO61" i="29"/>
  <c r="CN61" i="29"/>
  <c r="CW60" i="29"/>
  <c r="CV60" i="29"/>
  <c r="CU60" i="29"/>
  <c r="CT60" i="29"/>
  <c r="CS60" i="29"/>
  <c r="CR60" i="29"/>
  <c r="CQ60" i="29"/>
  <c r="CP60" i="29"/>
  <c r="CO60" i="29"/>
  <c r="CN60" i="29"/>
  <c r="CW59" i="29"/>
  <c r="CV59" i="29"/>
  <c r="CU59" i="29"/>
  <c r="CT59" i="29"/>
  <c r="CS59" i="29"/>
  <c r="CR59" i="29"/>
  <c r="CQ59" i="29"/>
  <c r="CP59" i="29"/>
  <c r="CO59" i="29"/>
  <c r="CN59" i="29"/>
  <c r="CW58" i="29"/>
  <c r="CV58" i="29"/>
  <c r="CU58" i="29"/>
  <c r="CT58" i="29"/>
  <c r="CS58" i="29"/>
  <c r="CR58" i="29"/>
  <c r="CQ58" i="29"/>
  <c r="CP58" i="29"/>
  <c r="CO58" i="29"/>
  <c r="CN58" i="29"/>
  <c r="CW57" i="29"/>
  <c r="CV57" i="29"/>
  <c r="CU57" i="29"/>
  <c r="CT57" i="29"/>
  <c r="CS57" i="29"/>
  <c r="CR57" i="29"/>
  <c r="CQ57" i="29"/>
  <c r="CP57" i="29"/>
  <c r="CO57" i="29"/>
  <c r="CN57" i="29"/>
  <c r="CW56" i="29"/>
  <c r="CV56" i="29"/>
  <c r="CU56" i="29"/>
  <c r="CT56" i="29"/>
  <c r="CS56" i="29"/>
  <c r="CR56" i="29"/>
  <c r="CQ56" i="29"/>
  <c r="CP56" i="29"/>
  <c r="CO56" i="29"/>
  <c r="CN56" i="29"/>
  <c r="CW55" i="29"/>
  <c r="CV55" i="29"/>
  <c r="CU55" i="29"/>
  <c r="CT55" i="29"/>
  <c r="CS55" i="29"/>
  <c r="CR55" i="29"/>
  <c r="CQ55" i="29"/>
  <c r="CP55" i="29"/>
  <c r="CO55" i="29"/>
  <c r="CN55" i="29"/>
  <c r="CW54" i="29"/>
  <c r="CV54" i="29"/>
  <c r="CU54" i="29"/>
  <c r="CT54" i="29"/>
  <c r="CS54" i="29"/>
  <c r="CR54" i="29"/>
  <c r="CQ54" i="29"/>
  <c r="CP54" i="29"/>
  <c r="CO54" i="29"/>
  <c r="CN54" i="29"/>
  <c r="CW53" i="29"/>
  <c r="CV53" i="29"/>
  <c r="CU53" i="29"/>
  <c r="CT53" i="29"/>
  <c r="CS53" i="29"/>
  <c r="CR53" i="29"/>
  <c r="CQ53" i="29"/>
  <c r="CP53" i="29"/>
  <c r="CO53" i="29"/>
  <c r="CN53" i="29"/>
  <c r="CW52" i="29"/>
  <c r="CV52" i="29"/>
  <c r="CU52" i="29"/>
  <c r="CT52" i="29"/>
  <c r="CS52" i="29"/>
  <c r="CR52" i="29"/>
  <c r="CQ52" i="29"/>
  <c r="CP52" i="29"/>
  <c r="CO52" i="29"/>
  <c r="CN52" i="29"/>
  <c r="CW51" i="29"/>
  <c r="CV51" i="29"/>
  <c r="CU51" i="29"/>
  <c r="CT51" i="29"/>
  <c r="CS51" i="29"/>
  <c r="CR51" i="29"/>
  <c r="CQ51" i="29"/>
  <c r="CP51" i="29"/>
  <c r="CO51" i="29"/>
  <c r="CN51" i="29"/>
  <c r="CW50" i="29"/>
  <c r="CV50" i="29"/>
  <c r="CU50" i="29"/>
  <c r="CT50" i="29"/>
  <c r="CS50" i="29"/>
  <c r="CR50" i="29"/>
  <c r="CQ50" i="29"/>
  <c r="CP50" i="29"/>
  <c r="CO50" i="29"/>
  <c r="CN50" i="29"/>
  <c r="CW49" i="29"/>
  <c r="CV49" i="29"/>
  <c r="CU49" i="29"/>
  <c r="CT49" i="29"/>
  <c r="CS49" i="29"/>
  <c r="CR49" i="29"/>
  <c r="CQ49" i="29"/>
  <c r="CP49" i="29"/>
  <c r="CO49" i="29"/>
  <c r="CN49" i="29"/>
  <c r="CW48" i="29"/>
  <c r="CV48" i="29"/>
  <c r="CU48" i="29"/>
  <c r="CT48" i="29"/>
  <c r="CS48" i="29"/>
  <c r="CR48" i="29"/>
  <c r="CQ48" i="29"/>
  <c r="CP48" i="29"/>
  <c r="CO48" i="29"/>
  <c r="CN48" i="29"/>
  <c r="CW47" i="29"/>
  <c r="CV47" i="29"/>
  <c r="CU47" i="29"/>
  <c r="CT47" i="29"/>
  <c r="CS47" i="29"/>
  <c r="CR47" i="29"/>
  <c r="CQ47" i="29"/>
  <c r="CP47" i="29"/>
  <c r="CO47" i="29"/>
  <c r="CN47" i="29"/>
  <c r="CW46" i="29"/>
  <c r="CV46" i="29"/>
  <c r="CU46" i="29"/>
  <c r="CT46" i="29"/>
  <c r="CS46" i="29"/>
  <c r="CR46" i="29"/>
  <c r="CQ46" i="29"/>
  <c r="CP46" i="29"/>
  <c r="CO46" i="29"/>
  <c r="CN46" i="29"/>
  <c r="CW45" i="29"/>
  <c r="CV45" i="29"/>
  <c r="CU45" i="29"/>
  <c r="CT45" i="29"/>
  <c r="CS45" i="29"/>
  <c r="CR45" i="29"/>
  <c r="CQ45" i="29"/>
  <c r="CP45" i="29"/>
  <c r="CO45" i="29"/>
  <c r="CN45" i="29"/>
  <c r="CW44" i="29"/>
  <c r="CV44" i="29"/>
  <c r="CU44" i="29"/>
  <c r="CT44" i="29"/>
  <c r="CS44" i="29"/>
  <c r="CR44" i="29"/>
  <c r="CQ44" i="29"/>
  <c r="CP44" i="29"/>
  <c r="CO44" i="29"/>
  <c r="CN44" i="29"/>
  <c r="CW43" i="29"/>
  <c r="CV43" i="29"/>
  <c r="CU43" i="29"/>
  <c r="CT43" i="29"/>
  <c r="CS43" i="29"/>
  <c r="CR43" i="29"/>
  <c r="CQ43" i="29"/>
  <c r="CP43" i="29"/>
  <c r="CO43" i="29"/>
  <c r="CN43" i="29"/>
  <c r="CW42" i="29"/>
  <c r="CV42" i="29"/>
  <c r="CU42" i="29"/>
  <c r="CT42" i="29"/>
  <c r="CS42" i="29"/>
  <c r="CR42" i="29"/>
  <c r="CQ42" i="29"/>
  <c r="CP42" i="29"/>
  <c r="CO42" i="29"/>
  <c r="CN42" i="29"/>
  <c r="CW41" i="29"/>
  <c r="CV41" i="29"/>
  <c r="CU41" i="29"/>
  <c r="CT41" i="29"/>
  <c r="CS41" i="29"/>
  <c r="CR41" i="29"/>
  <c r="CQ41" i="29"/>
  <c r="CP41" i="29"/>
  <c r="CO41" i="29"/>
  <c r="CN41" i="29"/>
  <c r="CW40" i="29"/>
  <c r="CV40" i="29"/>
  <c r="CU40" i="29"/>
  <c r="CT40" i="29"/>
  <c r="CS40" i="29"/>
  <c r="CR40" i="29"/>
  <c r="CQ40" i="29"/>
  <c r="CP40" i="29"/>
  <c r="CO40" i="29"/>
  <c r="CN40" i="29"/>
  <c r="CW39" i="29"/>
  <c r="CV39" i="29"/>
  <c r="CU39" i="29"/>
  <c r="CT39" i="29"/>
  <c r="CS39" i="29"/>
  <c r="CR39" i="29"/>
  <c r="CQ39" i="29"/>
  <c r="CP39" i="29"/>
  <c r="CO39" i="29"/>
  <c r="CN39" i="29"/>
  <c r="CW38" i="29"/>
  <c r="CV38" i="29"/>
  <c r="CU38" i="29"/>
  <c r="CT38" i="29"/>
  <c r="CS38" i="29"/>
  <c r="CR38" i="29"/>
  <c r="CQ38" i="29"/>
  <c r="CP38" i="29"/>
  <c r="CO38" i="29"/>
  <c r="CN38" i="29"/>
  <c r="CW37" i="29"/>
  <c r="CV37" i="29"/>
  <c r="CU37" i="29"/>
  <c r="CT37" i="29"/>
  <c r="CS37" i="29"/>
  <c r="CR37" i="29"/>
  <c r="CQ37" i="29"/>
  <c r="CP37" i="29"/>
  <c r="CO37" i="29"/>
  <c r="CN37" i="29"/>
  <c r="CW36" i="29"/>
  <c r="CV36" i="29"/>
  <c r="CU36" i="29"/>
  <c r="CT36" i="29"/>
  <c r="CS36" i="29"/>
  <c r="CR36" i="29"/>
  <c r="CQ36" i="29"/>
  <c r="CP36" i="29"/>
  <c r="CO36" i="29"/>
  <c r="CN36" i="29"/>
  <c r="CW35" i="29"/>
  <c r="CV35" i="29"/>
  <c r="CU35" i="29"/>
  <c r="CT35" i="29"/>
  <c r="CS35" i="29"/>
  <c r="CR35" i="29"/>
  <c r="CQ35" i="29"/>
  <c r="CP35" i="29"/>
  <c r="CO35" i="29"/>
  <c r="CN35" i="29"/>
  <c r="BI62" i="29"/>
  <c r="BH62" i="29"/>
  <c r="BG62" i="29"/>
  <c r="BF62" i="29"/>
  <c r="BE62" i="29"/>
  <c r="BD62" i="29"/>
  <c r="BC62" i="29"/>
  <c r="BB62" i="29"/>
  <c r="BA62" i="29"/>
  <c r="AZ62" i="29"/>
  <c r="BI61" i="29"/>
  <c r="BH61" i="29"/>
  <c r="BG61" i="29"/>
  <c r="BF61" i="29"/>
  <c r="BE61" i="29"/>
  <c r="BD61" i="29"/>
  <c r="BC61" i="29"/>
  <c r="BB61" i="29"/>
  <c r="BA61" i="29"/>
  <c r="AZ61" i="29"/>
  <c r="BI60" i="29"/>
  <c r="BH60" i="29"/>
  <c r="BG60" i="29"/>
  <c r="BF60" i="29"/>
  <c r="BE60" i="29"/>
  <c r="BD60" i="29"/>
  <c r="BC60" i="29"/>
  <c r="BB60" i="29"/>
  <c r="BA60" i="29"/>
  <c r="AZ60" i="29"/>
  <c r="BI59" i="29"/>
  <c r="BH59" i="29"/>
  <c r="BG59" i="29"/>
  <c r="BF59" i="29"/>
  <c r="BE59" i="29"/>
  <c r="BD59" i="29"/>
  <c r="BC59" i="29"/>
  <c r="BB59" i="29"/>
  <c r="BA59" i="29"/>
  <c r="AZ59" i="29"/>
  <c r="BI58" i="29"/>
  <c r="BH58" i="29"/>
  <c r="BG58" i="29"/>
  <c r="BF58" i="29"/>
  <c r="BE58" i="29"/>
  <c r="BD58" i="29"/>
  <c r="BC58" i="29"/>
  <c r="BB58" i="29"/>
  <c r="BA58" i="29"/>
  <c r="AZ58" i="29"/>
  <c r="BI57" i="29"/>
  <c r="BH57" i="29"/>
  <c r="BG57" i="29"/>
  <c r="BF57" i="29"/>
  <c r="BE57" i="29"/>
  <c r="BD57" i="29"/>
  <c r="BC57" i="29"/>
  <c r="BB57" i="29"/>
  <c r="BA57" i="29"/>
  <c r="AZ57" i="29"/>
  <c r="BI56" i="29"/>
  <c r="BH56" i="29"/>
  <c r="BG56" i="29"/>
  <c r="BF56" i="29"/>
  <c r="BE56" i="29"/>
  <c r="BD56" i="29"/>
  <c r="BC56" i="29"/>
  <c r="BB56" i="29"/>
  <c r="BA56" i="29"/>
  <c r="AZ56" i="29"/>
  <c r="BI55" i="29"/>
  <c r="BH55" i="29"/>
  <c r="BG55" i="29"/>
  <c r="BF55" i="29"/>
  <c r="BE55" i="29"/>
  <c r="BD55" i="29"/>
  <c r="BC55" i="29"/>
  <c r="BB55" i="29"/>
  <c r="BA55" i="29"/>
  <c r="AZ55" i="29"/>
  <c r="BI54" i="29"/>
  <c r="BH54" i="29"/>
  <c r="BG54" i="29"/>
  <c r="BF54" i="29"/>
  <c r="BE54" i="29"/>
  <c r="BD54" i="29"/>
  <c r="BC54" i="29"/>
  <c r="BB54" i="29"/>
  <c r="BA54" i="29"/>
  <c r="AZ54" i="29"/>
  <c r="BI53" i="29"/>
  <c r="BH53" i="29"/>
  <c r="BG53" i="29"/>
  <c r="BF53" i="29"/>
  <c r="BE53" i="29"/>
  <c r="BD53" i="29"/>
  <c r="BC53" i="29"/>
  <c r="BB53" i="29"/>
  <c r="BA53" i="29"/>
  <c r="AZ53" i="29"/>
  <c r="BI52" i="29"/>
  <c r="BH52" i="29"/>
  <c r="BG52" i="29"/>
  <c r="BF52" i="29"/>
  <c r="BE52" i="29"/>
  <c r="BD52" i="29"/>
  <c r="BC52" i="29"/>
  <c r="BB52" i="29"/>
  <c r="BA52" i="29"/>
  <c r="AZ52" i="29"/>
  <c r="BI51" i="29"/>
  <c r="BH51" i="29"/>
  <c r="BG51" i="29"/>
  <c r="BF51" i="29"/>
  <c r="BE51" i="29"/>
  <c r="BD51" i="29"/>
  <c r="BC51" i="29"/>
  <c r="BB51" i="29"/>
  <c r="BA51" i="29"/>
  <c r="AZ51" i="29"/>
  <c r="BI50" i="29"/>
  <c r="BH50" i="29"/>
  <c r="BG50" i="29"/>
  <c r="BF50" i="29"/>
  <c r="BE50" i="29"/>
  <c r="BD50" i="29"/>
  <c r="BC50" i="29"/>
  <c r="BB50" i="29"/>
  <c r="BA50" i="29"/>
  <c r="AZ50" i="29"/>
  <c r="BI49" i="29"/>
  <c r="BH49" i="29"/>
  <c r="BG49" i="29"/>
  <c r="BF49" i="29"/>
  <c r="BE49" i="29"/>
  <c r="BD49" i="29"/>
  <c r="BC49" i="29"/>
  <c r="BB49" i="29"/>
  <c r="BA49" i="29"/>
  <c r="AZ49" i="29"/>
  <c r="BI48" i="29"/>
  <c r="BH48" i="29"/>
  <c r="BG48" i="29"/>
  <c r="BF48" i="29"/>
  <c r="BE48" i="29"/>
  <c r="BD48" i="29"/>
  <c r="BC48" i="29"/>
  <c r="BB48" i="29"/>
  <c r="BA48" i="29"/>
  <c r="AZ48" i="29"/>
  <c r="BI47" i="29"/>
  <c r="BH47" i="29"/>
  <c r="BG47" i="29"/>
  <c r="BF47" i="29"/>
  <c r="BE47" i="29"/>
  <c r="BD47" i="29"/>
  <c r="BC47" i="29"/>
  <c r="BB47" i="29"/>
  <c r="BA47" i="29"/>
  <c r="AZ47" i="29"/>
  <c r="BI46" i="29"/>
  <c r="BH46" i="29"/>
  <c r="BG46" i="29"/>
  <c r="BF46" i="29"/>
  <c r="BE46" i="29"/>
  <c r="BD46" i="29"/>
  <c r="BC46" i="29"/>
  <c r="BB46" i="29"/>
  <c r="BA46" i="29"/>
  <c r="AZ46" i="29"/>
  <c r="BI45" i="29"/>
  <c r="BH45" i="29"/>
  <c r="BG45" i="29"/>
  <c r="BF45" i="29"/>
  <c r="BE45" i="29"/>
  <c r="BD45" i="29"/>
  <c r="BC45" i="29"/>
  <c r="BB45" i="29"/>
  <c r="BA45" i="29"/>
  <c r="AZ45" i="29"/>
  <c r="BI44" i="29"/>
  <c r="BH44" i="29"/>
  <c r="BG44" i="29"/>
  <c r="BF44" i="29"/>
  <c r="BE44" i="29"/>
  <c r="BD44" i="29"/>
  <c r="BC44" i="29"/>
  <c r="BB44" i="29"/>
  <c r="BA44" i="29"/>
  <c r="AZ44" i="29"/>
  <c r="BI43" i="29"/>
  <c r="BH43" i="29"/>
  <c r="BG43" i="29"/>
  <c r="BF43" i="29"/>
  <c r="BE43" i="29"/>
  <c r="BD43" i="29"/>
  <c r="BC43" i="29"/>
  <c r="BB43" i="29"/>
  <c r="BA43" i="29"/>
  <c r="AZ43" i="29"/>
  <c r="BI42" i="29"/>
  <c r="BH42" i="29"/>
  <c r="BG42" i="29"/>
  <c r="BF42" i="29"/>
  <c r="BE42" i="29"/>
  <c r="BD42" i="29"/>
  <c r="BC42" i="29"/>
  <c r="BB42" i="29"/>
  <c r="BA42" i="29"/>
  <c r="AZ42" i="29"/>
  <c r="BI41" i="29"/>
  <c r="BH41" i="29"/>
  <c r="BG41" i="29"/>
  <c r="BF41" i="29"/>
  <c r="BE41" i="29"/>
  <c r="BD41" i="29"/>
  <c r="BC41" i="29"/>
  <c r="BB41" i="29"/>
  <c r="BA41" i="29"/>
  <c r="AZ41" i="29"/>
  <c r="BI40" i="29"/>
  <c r="BH40" i="29"/>
  <c r="BG40" i="29"/>
  <c r="BF40" i="29"/>
  <c r="BE40" i="29"/>
  <c r="BD40" i="29"/>
  <c r="BC40" i="29"/>
  <c r="BB40" i="29"/>
  <c r="BA40" i="29"/>
  <c r="AZ40" i="29"/>
  <c r="BI39" i="29"/>
  <c r="BH39" i="29"/>
  <c r="BG39" i="29"/>
  <c r="BF39" i="29"/>
  <c r="BE39" i="29"/>
  <c r="BD39" i="29"/>
  <c r="BC39" i="29"/>
  <c r="BB39" i="29"/>
  <c r="BA39" i="29"/>
  <c r="AZ39" i="29"/>
  <c r="BI38" i="29"/>
  <c r="BH38" i="29"/>
  <c r="BG38" i="29"/>
  <c r="BF38" i="29"/>
  <c r="BE38" i="29"/>
  <c r="BD38" i="29"/>
  <c r="BC38" i="29"/>
  <c r="BB38" i="29"/>
  <c r="BA38" i="29"/>
  <c r="AZ38" i="29"/>
  <c r="BI37" i="29"/>
  <c r="BH37" i="29"/>
  <c r="BG37" i="29"/>
  <c r="BF37" i="29"/>
  <c r="BE37" i="29"/>
  <c r="BD37" i="29"/>
  <c r="BC37" i="29"/>
  <c r="BB37" i="29"/>
  <c r="BA37" i="29"/>
  <c r="AZ37" i="29"/>
  <c r="BI36" i="29"/>
  <c r="BH36" i="29"/>
  <c r="BG36" i="29"/>
  <c r="BF36" i="29"/>
  <c r="BE36" i="29"/>
  <c r="BD36" i="29"/>
  <c r="BC36" i="29"/>
  <c r="BB36" i="29"/>
  <c r="BA36" i="29"/>
  <c r="AZ36" i="29"/>
  <c r="BI35" i="29"/>
  <c r="BH35" i="29"/>
  <c r="BG35" i="29"/>
  <c r="BF35" i="29"/>
  <c r="BE35" i="29"/>
  <c r="BD35" i="29"/>
  <c r="BC35" i="29"/>
  <c r="BB35" i="29"/>
  <c r="BA35" i="29"/>
  <c r="AZ35" i="29"/>
  <c r="U62" i="29"/>
  <c r="T62" i="29"/>
  <c r="S62" i="29"/>
  <c r="R62" i="29"/>
  <c r="Q62" i="29"/>
  <c r="P62" i="29"/>
  <c r="O62" i="29"/>
  <c r="N62" i="29"/>
  <c r="M62" i="29"/>
  <c r="L62" i="29"/>
  <c r="U61" i="29"/>
  <c r="T61" i="29"/>
  <c r="S61" i="29"/>
  <c r="R61" i="29"/>
  <c r="Q61" i="29"/>
  <c r="P61" i="29"/>
  <c r="O61" i="29"/>
  <c r="N61" i="29"/>
  <c r="M61" i="29"/>
  <c r="L61" i="29"/>
  <c r="U60" i="29"/>
  <c r="T60" i="29"/>
  <c r="S60" i="29"/>
  <c r="R60" i="29"/>
  <c r="Q60" i="29"/>
  <c r="P60" i="29"/>
  <c r="O60" i="29"/>
  <c r="N60" i="29"/>
  <c r="M60" i="29"/>
  <c r="L60" i="29"/>
  <c r="U59" i="29"/>
  <c r="T59" i="29"/>
  <c r="S59" i="29"/>
  <c r="R59" i="29"/>
  <c r="Q59" i="29"/>
  <c r="P59" i="29"/>
  <c r="O59" i="29"/>
  <c r="N59" i="29"/>
  <c r="M59" i="29"/>
  <c r="L59" i="29"/>
  <c r="U58" i="29"/>
  <c r="T58" i="29"/>
  <c r="S58" i="29"/>
  <c r="R58" i="29"/>
  <c r="Q58" i="29"/>
  <c r="P58" i="29"/>
  <c r="O58" i="29"/>
  <c r="N58" i="29"/>
  <c r="M58" i="29"/>
  <c r="L58" i="29"/>
  <c r="U57" i="29"/>
  <c r="T57" i="29"/>
  <c r="S57" i="29"/>
  <c r="R57" i="29"/>
  <c r="Q57" i="29"/>
  <c r="P57" i="29"/>
  <c r="O57" i="29"/>
  <c r="N57" i="29"/>
  <c r="M57" i="29"/>
  <c r="L57" i="29"/>
  <c r="U56" i="29"/>
  <c r="T56" i="29"/>
  <c r="S56" i="29"/>
  <c r="R56" i="29"/>
  <c r="Q56" i="29"/>
  <c r="P56" i="29"/>
  <c r="O56" i="29"/>
  <c r="N56" i="29"/>
  <c r="M56" i="29"/>
  <c r="L56" i="29"/>
  <c r="U55" i="29"/>
  <c r="T55" i="29"/>
  <c r="S55" i="29"/>
  <c r="R55" i="29"/>
  <c r="Q55" i="29"/>
  <c r="P55" i="29"/>
  <c r="O55" i="29"/>
  <c r="N55" i="29"/>
  <c r="M55" i="29"/>
  <c r="L55" i="29"/>
  <c r="U54" i="29"/>
  <c r="T54" i="29"/>
  <c r="S54" i="29"/>
  <c r="R54" i="29"/>
  <c r="Q54" i="29"/>
  <c r="P54" i="29"/>
  <c r="O54" i="29"/>
  <c r="N54" i="29"/>
  <c r="M54" i="29"/>
  <c r="L54" i="29"/>
  <c r="U53" i="29"/>
  <c r="T53" i="29"/>
  <c r="S53" i="29"/>
  <c r="R53" i="29"/>
  <c r="Q53" i="29"/>
  <c r="P53" i="29"/>
  <c r="O53" i="29"/>
  <c r="N53" i="29"/>
  <c r="M53" i="29"/>
  <c r="L53" i="29"/>
  <c r="U52" i="29"/>
  <c r="T52" i="29"/>
  <c r="S52" i="29"/>
  <c r="R52" i="29"/>
  <c r="Q52" i="29"/>
  <c r="P52" i="29"/>
  <c r="O52" i="29"/>
  <c r="N52" i="29"/>
  <c r="M52" i="29"/>
  <c r="L52" i="29"/>
  <c r="U51" i="29"/>
  <c r="T51" i="29"/>
  <c r="S51" i="29"/>
  <c r="R51" i="29"/>
  <c r="Q51" i="29"/>
  <c r="P51" i="29"/>
  <c r="O51" i="29"/>
  <c r="N51" i="29"/>
  <c r="M51" i="29"/>
  <c r="L51" i="29"/>
  <c r="U50" i="29"/>
  <c r="T50" i="29"/>
  <c r="S50" i="29"/>
  <c r="R50" i="29"/>
  <c r="Q50" i="29"/>
  <c r="P50" i="29"/>
  <c r="O50" i="29"/>
  <c r="N50" i="29"/>
  <c r="M50" i="29"/>
  <c r="L50" i="29"/>
  <c r="U49" i="29"/>
  <c r="T49" i="29"/>
  <c r="S49" i="29"/>
  <c r="R49" i="29"/>
  <c r="Q49" i="29"/>
  <c r="P49" i="29"/>
  <c r="O49" i="29"/>
  <c r="N49" i="29"/>
  <c r="M49" i="29"/>
  <c r="L49" i="29"/>
  <c r="U48" i="29"/>
  <c r="T48" i="29"/>
  <c r="S48" i="29"/>
  <c r="R48" i="29"/>
  <c r="Q48" i="29"/>
  <c r="P48" i="29"/>
  <c r="O48" i="29"/>
  <c r="N48" i="29"/>
  <c r="M48" i="29"/>
  <c r="L48" i="29"/>
  <c r="U47" i="29"/>
  <c r="T47" i="29"/>
  <c r="S47" i="29"/>
  <c r="R47" i="29"/>
  <c r="Q47" i="29"/>
  <c r="P47" i="29"/>
  <c r="O47" i="29"/>
  <c r="N47" i="29"/>
  <c r="M47" i="29"/>
  <c r="L47" i="29"/>
  <c r="U46" i="29"/>
  <c r="T46" i="29"/>
  <c r="S46" i="29"/>
  <c r="R46" i="29"/>
  <c r="Q46" i="29"/>
  <c r="P46" i="29"/>
  <c r="O46" i="29"/>
  <c r="N46" i="29"/>
  <c r="M46" i="29"/>
  <c r="L46" i="29"/>
  <c r="U45" i="29"/>
  <c r="T45" i="29"/>
  <c r="S45" i="29"/>
  <c r="R45" i="29"/>
  <c r="Q45" i="29"/>
  <c r="P45" i="29"/>
  <c r="O45" i="29"/>
  <c r="N45" i="29"/>
  <c r="M45" i="29"/>
  <c r="L45" i="29"/>
  <c r="U44" i="29"/>
  <c r="T44" i="29"/>
  <c r="S44" i="29"/>
  <c r="R44" i="29"/>
  <c r="Q44" i="29"/>
  <c r="P44" i="29"/>
  <c r="O44" i="29"/>
  <c r="N44" i="29"/>
  <c r="M44" i="29"/>
  <c r="L44" i="29"/>
  <c r="U43" i="29"/>
  <c r="T43" i="29"/>
  <c r="S43" i="29"/>
  <c r="R43" i="29"/>
  <c r="Q43" i="29"/>
  <c r="P43" i="29"/>
  <c r="O43" i="29"/>
  <c r="N43" i="29"/>
  <c r="M43" i="29"/>
  <c r="L43" i="29"/>
  <c r="U42" i="29"/>
  <c r="T42" i="29"/>
  <c r="S42" i="29"/>
  <c r="R42" i="29"/>
  <c r="Q42" i="29"/>
  <c r="P42" i="29"/>
  <c r="O42" i="29"/>
  <c r="N42" i="29"/>
  <c r="M42" i="29"/>
  <c r="L42" i="29"/>
  <c r="U41" i="29"/>
  <c r="T41" i="29"/>
  <c r="S41" i="29"/>
  <c r="R41" i="29"/>
  <c r="Q41" i="29"/>
  <c r="P41" i="29"/>
  <c r="O41" i="29"/>
  <c r="N41" i="29"/>
  <c r="M41" i="29"/>
  <c r="L41" i="29"/>
  <c r="U40" i="29"/>
  <c r="T40" i="29"/>
  <c r="S40" i="29"/>
  <c r="R40" i="29"/>
  <c r="Q40" i="29"/>
  <c r="P40" i="29"/>
  <c r="O40" i="29"/>
  <c r="N40" i="29"/>
  <c r="M40" i="29"/>
  <c r="L40" i="29"/>
  <c r="U39" i="29"/>
  <c r="T39" i="29"/>
  <c r="S39" i="29"/>
  <c r="R39" i="29"/>
  <c r="Q39" i="29"/>
  <c r="P39" i="29"/>
  <c r="O39" i="29"/>
  <c r="N39" i="29"/>
  <c r="M39" i="29"/>
  <c r="L39" i="29"/>
  <c r="U38" i="29"/>
  <c r="T38" i="29"/>
  <c r="S38" i="29"/>
  <c r="R38" i="29"/>
  <c r="Q38" i="29"/>
  <c r="P38" i="29"/>
  <c r="O38" i="29"/>
  <c r="N38" i="29"/>
  <c r="M38" i="29"/>
  <c r="L38" i="29"/>
  <c r="U37" i="29"/>
  <c r="T37" i="29"/>
  <c r="S37" i="29"/>
  <c r="R37" i="29"/>
  <c r="Q37" i="29"/>
  <c r="P37" i="29"/>
  <c r="O37" i="29"/>
  <c r="N37" i="29"/>
  <c r="M37" i="29"/>
  <c r="L37" i="29"/>
  <c r="U36" i="29"/>
  <c r="T36" i="29"/>
  <c r="S36" i="29"/>
  <c r="R36" i="29"/>
  <c r="Q36" i="29"/>
  <c r="P36" i="29"/>
  <c r="O36" i="29"/>
  <c r="N36" i="29"/>
  <c r="M36" i="29"/>
  <c r="L36" i="29"/>
  <c r="U35" i="29"/>
  <c r="T35" i="29"/>
  <c r="S35" i="29"/>
  <c r="R35" i="29"/>
  <c r="Q35" i="29"/>
  <c r="P35" i="29"/>
  <c r="O35" i="29"/>
  <c r="N35" i="29"/>
  <c r="M35" i="29"/>
  <c r="L35" i="29"/>
  <c r="CW34" i="29"/>
  <c r="CV34" i="29"/>
  <c r="CU34" i="29"/>
  <c r="CT34" i="29"/>
  <c r="CS34" i="29"/>
  <c r="CR34" i="29"/>
  <c r="CQ34" i="29"/>
  <c r="CP34" i="29"/>
  <c r="CO34" i="29"/>
  <c r="CN34" i="29"/>
  <c r="CW33" i="29"/>
  <c r="CV33" i="29"/>
  <c r="CU33" i="29"/>
  <c r="CT33" i="29"/>
  <c r="CS33" i="29"/>
  <c r="CR33" i="29"/>
  <c r="CQ33" i="29"/>
  <c r="CP33" i="29"/>
  <c r="CO33" i="29"/>
  <c r="CN33" i="29"/>
  <c r="CW32" i="29"/>
  <c r="CV32" i="29"/>
  <c r="CU32" i="29"/>
  <c r="CT32" i="29"/>
  <c r="CS32" i="29"/>
  <c r="CR32" i="29"/>
  <c r="CQ32" i="29"/>
  <c r="CP32" i="29"/>
  <c r="CO32" i="29"/>
  <c r="CN32" i="29"/>
  <c r="CW31" i="29"/>
  <c r="CV31" i="29"/>
  <c r="CU31" i="29"/>
  <c r="CT31" i="29"/>
  <c r="CS31" i="29"/>
  <c r="CR31" i="29"/>
  <c r="CQ31" i="29"/>
  <c r="CP31" i="29"/>
  <c r="CO31" i="29"/>
  <c r="CN31" i="29"/>
  <c r="CW30" i="29"/>
  <c r="CV30" i="29"/>
  <c r="CU30" i="29"/>
  <c r="CT30" i="29"/>
  <c r="CS30" i="29"/>
  <c r="CR30" i="29"/>
  <c r="CQ30" i="29"/>
  <c r="CP30" i="29"/>
  <c r="CO30" i="29"/>
  <c r="CN30" i="29"/>
  <c r="CW29" i="29"/>
  <c r="CV29" i="29"/>
  <c r="CU29" i="29"/>
  <c r="CT29" i="29"/>
  <c r="CS29" i="29"/>
  <c r="CR29" i="29"/>
  <c r="CQ29" i="29"/>
  <c r="CP29" i="29"/>
  <c r="CO29" i="29"/>
  <c r="CN29" i="29"/>
  <c r="CW28" i="29"/>
  <c r="CV28" i="29"/>
  <c r="CU28" i="29"/>
  <c r="CT28" i="29"/>
  <c r="CS28" i="29"/>
  <c r="CR28" i="29"/>
  <c r="CQ28" i="29"/>
  <c r="CP28" i="29"/>
  <c r="CO28" i="29"/>
  <c r="CN28" i="29"/>
  <c r="CW27" i="29"/>
  <c r="CV27" i="29"/>
  <c r="CU27" i="29"/>
  <c r="CT27" i="29"/>
  <c r="CS27" i="29"/>
  <c r="CR27" i="29"/>
  <c r="CQ27" i="29"/>
  <c r="CP27" i="29"/>
  <c r="CO27" i="29"/>
  <c r="CN27" i="29"/>
  <c r="CW26" i="29"/>
  <c r="CV26" i="29"/>
  <c r="CU26" i="29"/>
  <c r="CT26" i="29"/>
  <c r="CS26" i="29"/>
  <c r="CR26" i="29"/>
  <c r="CQ26" i="29"/>
  <c r="CP26" i="29"/>
  <c r="CO26" i="29"/>
  <c r="CN26" i="29"/>
  <c r="CW25" i="29"/>
  <c r="CV25" i="29"/>
  <c r="CU25" i="29"/>
  <c r="CT25" i="29"/>
  <c r="CS25" i="29"/>
  <c r="CR25" i="29"/>
  <c r="CQ25" i="29"/>
  <c r="CP25" i="29"/>
  <c r="CO25" i="29"/>
  <c r="CN25" i="29"/>
  <c r="CW24" i="29"/>
  <c r="CV24" i="29"/>
  <c r="CU24" i="29"/>
  <c r="CT24" i="29"/>
  <c r="CS24" i="29"/>
  <c r="CR24" i="29"/>
  <c r="CQ24" i="29"/>
  <c r="CP24" i="29"/>
  <c r="CO24" i="29"/>
  <c r="CN24" i="29"/>
  <c r="CW23" i="29"/>
  <c r="CV23" i="29"/>
  <c r="CU23" i="29"/>
  <c r="CT23" i="29"/>
  <c r="CS23" i="29"/>
  <c r="CR23" i="29"/>
  <c r="CQ23" i="29"/>
  <c r="CP23" i="29"/>
  <c r="CO23" i="29"/>
  <c r="CN23" i="29"/>
  <c r="CW22" i="29"/>
  <c r="CV22" i="29"/>
  <c r="CU22" i="29"/>
  <c r="CT22" i="29"/>
  <c r="CS22" i="29"/>
  <c r="CR22" i="29"/>
  <c r="CQ22" i="29"/>
  <c r="CP22" i="29"/>
  <c r="CO22" i="29"/>
  <c r="CN22" i="29"/>
  <c r="CW21" i="29"/>
  <c r="CV21" i="29"/>
  <c r="CU21" i="29"/>
  <c r="CT21" i="29"/>
  <c r="CS21" i="29"/>
  <c r="CR21" i="29"/>
  <c r="CQ21" i="29"/>
  <c r="CP21" i="29"/>
  <c r="CO21" i="29"/>
  <c r="CN21" i="29"/>
  <c r="CW20" i="29"/>
  <c r="CV20" i="29"/>
  <c r="CU20" i="29"/>
  <c r="CT20" i="29"/>
  <c r="CS20" i="29"/>
  <c r="CR20" i="29"/>
  <c r="CQ20" i="29"/>
  <c r="CP20" i="29"/>
  <c r="CO20" i="29"/>
  <c r="CN20" i="29"/>
  <c r="CW19" i="29"/>
  <c r="CV19" i="29"/>
  <c r="CU19" i="29"/>
  <c r="CT19" i="29"/>
  <c r="CS19" i="29"/>
  <c r="CR19" i="29"/>
  <c r="CQ19" i="29"/>
  <c r="CP19" i="29"/>
  <c r="CO19" i="29"/>
  <c r="CN19" i="29"/>
  <c r="CW18" i="29"/>
  <c r="CV18" i="29"/>
  <c r="CU18" i="29"/>
  <c r="CT18" i="29"/>
  <c r="CS18" i="29"/>
  <c r="CR18" i="29"/>
  <c r="CQ18" i="29"/>
  <c r="CP18" i="29"/>
  <c r="CO18" i="29"/>
  <c r="CN18" i="29"/>
  <c r="CW17" i="29"/>
  <c r="CV17" i="29"/>
  <c r="CU17" i="29"/>
  <c r="CT17" i="29"/>
  <c r="CS17" i="29"/>
  <c r="CR17" i="29"/>
  <c r="CQ17" i="29"/>
  <c r="CP17" i="29"/>
  <c r="CO17" i="29"/>
  <c r="CN17" i="29"/>
  <c r="CW16" i="29"/>
  <c r="CV16" i="29"/>
  <c r="CU16" i="29"/>
  <c r="CT16" i="29"/>
  <c r="CS16" i="29"/>
  <c r="CR16" i="29"/>
  <c r="CQ16" i="29"/>
  <c r="CP16" i="29"/>
  <c r="CO16" i="29"/>
  <c r="CN16" i="29"/>
  <c r="CW15" i="29"/>
  <c r="CV15" i="29"/>
  <c r="CU15" i="29"/>
  <c r="CT15" i="29"/>
  <c r="CS15" i="29"/>
  <c r="CR15" i="29"/>
  <c r="CQ15" i="29"/>
  <c r="CP15" i="29"/>
  <c r="CO15" i="29"/>
  <c r="CN15" i="29"/>
  <c r="CW14" i="29"/>
  <c r="CV14" i="29"/>
  <c r="CU14" i="29"/>
  <c r="CT14" i="29"/>
  <c r="CS14" i="29"/>
  <c r="CR14" i="29"/>
  <c r="CQ14" i="29"/>
  <c r="CP14" i="29"/>
  <c r="CO14" i="29"/>
  <c r="CN14" i="29"/>
  <c r="CW13" i="29"/>
  <c r="CV13" i="29"/>
  <c r="CU13" i="29"/>
  <c r="CT13" i="29"/>
  <c r="CS13" i="29"/>
  <c r="CR13" i="29"/>
  <c r="CQ13" i="29"/>
  <c r="CP13" i="29"/>
  <c r="CO13" i="29"/>
  <c r="CN13" i="29"/>
  <c r="CW12" i="29"/>
  <c r="CV12" i="29"/>
  <c r="CU12" i="29"/>
  <c r="CT12" i="29"/>
  <c r="CS12" i="29"/>
  <c r="CR12" i="29"/>
  <c r="CQ12" i="29"/>
  <c r="CP12" i="29"/>
  <c r="CO12" i="29"/>
  <c r="CN12" i="29"/>
  <c r="CW11" i="29"/>
  <c r="CV11" i="29"/>
  <c r="CU11" i="29"/>
  <c r="CT11" i="29"/>
  <c r="CS11" i="29"/>
  <c r="CR11" i="29"/>
  <c r="CQ11" i="29"/>
  <c r="CP11" i="29"/>
  <c r="CO11" i="29"/>
  <c r="CN11" i="29"/>
  <c r="CW10" i="29"/>
  <c r="CV10" i="29"/>
  <c r="CU10" i="29"/>
  <c r="CT10" i="29"/>
  <c r="CS10" i="29"/>
  <c r="CR10" i="29"/>
  <c r="CQ10" i="29"/>
  <c r="CP10" i="29"/>
  <c r="CO10" i="29"/>
  <c r="CN10" i="29"/>
  <c r="CW9" i="29"/>
  <c r="CV9" i="29"/>
  <c r="CU9" i="29"/>
  <c r="CT9" i="29"/>
  <c r="CS9" i="29"/>
  <c r="CR9" i="29"/>
  <c r="CQ9" i="29"/>
  <c r="CP9" i="29"/>
  <c r="CO9" i="29"/>
  <c r="CN9" i="29"/>
  <c r="CW8" i="29"/>
  <c r="CV8" i="29"/>
  <c r="CU8" i="29"/>
  <c r="CT8" i="29"/>
  <c r="CS8" i="29"/>
  <c r="CR8" i="29"/>
  <c r="CQ8" i="29"/>
  <c r="CP8" i="29"/>
  <c r="CO8" i="29"/>
  <c r="CN8" i="29"/>
  <c r="CW7" i="29"/>
  <c r="CV7" i="29"/>
  <c r="CU7" i="29"/>
  <c r="CT7" i="29"/>
  <c r="CS7" i="29"/>
  <c r="CR7" i="29"/>
  <c r="CQ7" i="29"/>
  <c r="CP7" i="29"/>
  <c r="CO7" i="29"/>
  <c r="CN7" i="29"/>
  <c r="CW6" i="29"/>
  <c r="CV6" i="29"/>
  <c r="CU6" i="29"/>
  <c r="CT6" i="29"/>
  <c r="CS6" i="29"/>
  <c r="CR6" i="29"/>
  <c r="CQ6" i="29"/>
  <c r="CP6" i="29"/>
  <c r="CO6" i="29"/>
  <c r="CN6" i="29"/>
  <c r="CW5" i="29"/>
  <c r="CV5" i="29"/>
  <c r="CU5" i="29"/>
  <c r="CT5" i="29"/>
  <c r="CS5" i="29"/>
  <c r="CR5" i="29"/>
  <c r="CQ5" i="29"/>
  <c r="CP5" i="29"/>
  <c r="CO5" i="29"/>
  <c r="CN5" i="29"/>
  <c r="CW4" i="29"/>
  <c r="CV4" i="29"/>
  <c r="CU4" i="29"/>
  <c r="CT4" i="29"/>
  <c r="CS4" i="29"/>
  <c r="CR4" i="29"/>
  <c r="CQ4" i="29"/>
  <c r="CP4" i="29"/>
  <c r="CO4" i="29"/>
  <c r="CN4" i="29"/>
  <c r="BI34" i="29"/>
  <c r="BH34" i="29"/>
  <c r="BG34" i="29"/>
  <c r="BF34" i="29"/>
  <c r="BE34" i="29"/>
  <c r="BD34" i="29"/>
  <c r="BC34" i="29"/>
  <c r="BB34" i="29"/>
  <c r="BA34" i="29"/>
  <c r="AZ34" i="29"/>
  <c r="BI33" i="29"/>
  <c r="BH33" i="29"/>
  <c r="BG33" i="29"/>
  <c r="BF33" i="29"/>
  <c r="BE33" i="29"/>
  <c r="BD33" i="29"/>
  <c r="BC33" i="29"/>
  <c r="BB33" i="29"/>
  <c r="BA33" i="29"/>
  <c r="AZ33" i="29"/>
  <c r="BI32" i="29"/>
  <c r="BH32" i="29"/>
  <c r="BG32" i="29"/>
  <c r="BF32" i="29"/>
  <c r="BE32" i="29"/>
  <c r="BD32" i="29"/>
  <c r="BC32" i="29"/>
  <c r="BB32" i="29"/>
  <c r="BA32" i="29"/>
  <c r="AZ32" i="29"/>
  <c r="BI31" i="29"/>
  <c r="BH31" i="29"/>
  <c r="BG31" i="29"/>
  <c r="BF31" i="29"/>
  <c r="BE31" i="29"/>
  <c r="BD31" i="29"/>
  <c r="BC31" i="29"/>
  <c r="BB31" i="29"/>
  <c r="BA31" i="29"/>
  <c r="AZ31" i="29"/>
  <c r="BI30" i="29"/>
  <c r="BH30" i="29"/>
  <c r="BG30" i="29"/>
  <c r="BF30" i="29"/>
  <c r="BE30" i="29"/>
  <c r="BD30" i="29"/>
  <c r="BC30" i="29"/>
  <c r="BB30" i="29"/>
  <c r="BA30" i="29"/>
  <c r="AZ30" i="29"/>
  <c r="BI29" i="29"/>
  <c r="BH29" i="29"/>
  <c r="BG29" i="29"/>
  <c r="BF29" i="29"/>
  <c r="BE29" i="29"/>
  <c r="BD29" i="29"/>
  <c r="BC29" i="29"/>
  <c r="BB29" i="29"/>
  <c r="BA29" i="29"/>
  <c r="AZ29" i="29"/>
  <c r="BI28" i="29"/>
  <c r="BH28" i="29"/>
  <c r="BG28" i="29"/>
  <c r="BF28" i="29"/>
  <c r="BE28" i="29"/>
  <c r="BD28" i="29"/>
  <c r="BC28" i="29"/>
  <c r="BB28" i="29"/>
  <c r="BA28" i="29"/>
  <c r="AZ28" i="29"/>
  <c r="BI27" i="29"/>
  <c r="BH27" i="29"/>
  <c r="BG27" i="29"/>
  <c r="BF27" i="29"/>
  <c r="BE27" i="29"/>
  <c r="BD27" i="29"/>
  <c r="BC27" i="29"/>
  <c r="BB27" i="29"/>
  <c r="BA27" i="29"/>
  <c r="AZ27" i="29"/>
  <c r="BI26" i="29"/>
  <c r="BH26" i="29"/>
  <c r="BG26" i="29"/>
  <c r="BF26" i="29"/>
  <c r="BE26" i="29"/>
  <c r="BD26" i="29"/>
  <c r="BC26" i="29"/>
  <c r="BB26" i="29"/>
  <c r="BA26" i="29"/>
  <c r="AZ26" i="29"/>
  <c r="BI25" i="29"/>
  <c r="BH25" i="29"/>
  <c r="BG25" i="29"/>
  <c r="BF25" i="29"/>
  <c r="BE25" i="29"/>
  <c r="BD25" i="29"/>
  <c r="BC25" i="29"/>
  <c r="BB25" i="29"/>
  <c r="BA25" i="29"/>
  <c r="AZ25" i="29"/>
  <c r="BI24" i="29"/>
  <c r="BH24" i="29"/>
  <c r="BG24" i="29"/>
  <c r="BF24" i="29"/>
  <c r="BE24" i="29"/>
  <c r="BD24" i="29"/>
  <c r="BC24" i="29"/>
  <c r="BB24" i="29"/>
  <c r="BA24" i="29"/>
  <c r="AZ24" i="29"/>
  <c r="BI23" i="29"/>
  <c r="BH23" i="29"/>
  <c r="BG23" i="29"/>
  <c r="BF23" i="29"/>
  <c r="BE23" i="29"/>
  <c r="BD23" i="29"/>
  <c r="BC23" i="29"/>
  <c r="BB23" i="29"/>
  <c r="BA23" i="29"/>
  <c r="AZ23" i="29"/>
  <c r="BI22" i="29"/>
  <c r="BH22" i="29"/>
  <c r="BG22" i="29"/>
  <c r="BF22" i="29"/>
  <c r="BE22" i="29"/>
  <c r="BD22" i="29"/>
  <c r="BC22" i="29"/>
  <c r="BB22" i="29"/>
  <c r="BA22" i="29"/>
  <c r="AZ22" i="29"/>
  <c r="BI21" i="29"/>
  <c r="BH21" i="29"/>
  <c r="BG21" i="29"/>
  <c r="BF21" i="29"/>
  <c r="BE21" i="29"/>
  <c r="BD21" i="29"/>
  <c r="BC21" i="29"/>
  <c r="BB21" i="29"/>
  <c r="BA21" i="29"/>
  <c r="AZ21" i="29"/>
  <c r="BI20" i="29"/>
  <c r="BH20" i="29"/>
  <c r="BG20" i="29"/>
  <c r="BF20" i="29"/>
  <c r="BE20" i="29"/>
  <c r="BD20" i="29"/>
  <c r="BC20" i="29"/>
  <c r="BB20" i="29"/>
  <c r="BA20" i="29"/>
  <c r="AZ20" i="29"/>
  <c r="BI19" i="29"/>
  <c r="BH19" i="29"/>
  <c r="BG19" i="29"/>
  <c r="BF19" i="29"/>
  <c r="BE19" i="29"/>
  <c r="BD19" i="29"/>
  <c r="BC19" i="29"/>
  <c r="BB19" i="29"/>
  <c r="BA19" i="29"/>
  <c r="AZ19" i="29"/>
  <c r="BI18" i="29"/>
  <c r="BH18" i="29"/>
  <c r="BG18" i="29"/>
  <c r="BF18" i="29"/>
  <c r="BE18" i="29"/>
  <c r="BD18" i="29"/>
  <c r="BC18" i="29"/>
  <c r="BB18" i="29"/>
  <c r="BA18" i="29"/>
  <c r="AZ18" i="29"/>
  <c r="BI17" i="29"/>
  <c r="BH17" i="29"/>
  <c r="BG17" i="29"/>
  <c r="BF17" i="29"/>
  <c r="BE17" i="29"/>
  <c r="BD17" i="29"/>
  <c r="BC17" i="29"/>
  <c r="BB17" i="29"/>
  <c r="BA17" i="29"/>
  <c r="AZ17" i="29"/>
  <c r="BI16" i="29"/>
  <c r="BH16" i="29"/>
  <c r="BG16" i="29"/>
  <c r="BF16" i="29"/>
  <c r="BE16" i="29"/>
  <c r="BD16" i="29"/>
  <c r="BC16" i="29"/>
  <c r="BB16" i="29"/>
  <c r="BA16" i="29"/>
  <c r="AZ16" i="29"/>
  <c r="BI15" i="29"/>
  <c r="BH15" i="29"/>
  <c r="BG15" i="29"/>
  <c r="BF15" i="29"/>
  <c r="BE15" i="29"/>
  <c r="BD15" i="29"/>
  <c r="BC15" i="29"/>
  <c r="BB15" i="29"/>
  <c r="BA15" i="29"/>
  <c r="AZ15" i="29"/>
  <c r="BI14" i="29"/>
  <c r="BH14" i="29"/>
  <c r="BG14" i="29"/>
  <c r="BF14" i="29"/>
  <c r="BE14" i="29"/>
  <c r="BD14" i="29"/>
  <c r="BC14" i="29"/>
  <c r="BB14" i="29"/>
  <c r="BA14" i="29"/>
  <c r="AZ14" i="29"/>
  <c r="BI13" i="29"/>
  <c r="BH13" i="29"/>
  <c r="BG13" i="29"/>
  <c r="BF13" i="29"/>
  <c r="BE13" i="29"/>
  <c r="BD13" i="29"/>
  <c r="BC13" i="29"/>
  <c r="BB13" i="29"/>
  <c r="BA13" i="29"/>
  <c r="AZ13" i="29"/>
  <c r="BI12" i="29"/>
  <c r="BH12" i="29"/>
  <c r="BG12" i="29"/>
  <c r="BF12" i="29"/>
  <c r="BE12" i="29"/>
  <c r="BD12" i="29"/>
  <c r="BC12" i="29"/>
  <c r="BB12" i="29"/>
  <c r="BA12" i="29"/>
  <c r="AZ12" i="29"/>
  <c r="BI11" i="29"/>
  <c r="BH11" i="29"/>
  <c r="BG11" i="29"/>
  <c r="BF11" i="29"/>
  <c r="BE11" i="29"/>
  <c r="BD11" i="29"/>
  <c r="BC11" i="29"/>
  <c r="BB11" i="29"/>
  <c r="BA11" i="29"/>
  <c r="AZ11" i="29"/>
  <c r="BI10" i="29"/>
  <c r="BH10" i="29"/>
  <c r="BG10" i="29"/>
  <c r="BF10" i="29"/>
  <c r="BE10" i="29"/>
  <c r="BD10" i="29"/>
  <c r="BC10" i="29"/>
  <c r="BB10" i="29"/>
  <c r="BA10" i="29"/>
  <c r="AZ10" i="29"/>
  <c r="BI9" i="29"/>
  <c r="BH9" i="29"/>
  <c r="BG9" i="29"/>
  <c r="BF9" i="29"/>
  <c r="BE9" i="29"/>
  <c r="BD9" i="29"/>
  <c r="BC9" i="29"/>
  <c r="BB9" i="29"/>
  <c r="BA9" i="29"/>
  <c r="AZ9" i="29"/>
  <c r="BI8" i="29"/>
  <c r="BH8" i="29"/>
  <c r="BG8" i="29"/>
  <c r="BF8" i="29"/>
  <c r="BE8" i="29"/>
  <c r="BD8" i="29"/>
  <c r="BC8" i="29"/>
  <c r="BB8" i="29"/>
  <c r="BA8" i="29"/>
  <c r="AZ8" i="29"/>
  <c r="BI7" i="29"/>
  <c r="BH7" i="29"/>
  <c r="BG7" i="29"/>
  <c r="BF7" i="29"/>
  <c r="BE7" i="29"/>
  <c r="BD7" i="29"/>
  <c r="BC7" i="29"/>
  <c r="BB7" i="29"/>
  <c r="BA7" i="29"/>
  <c r="AZ7" i="29"/>
  <c r="BI6" i="29"/>
  <c r="BH6" i="29"/>
  <c r="BG6" i="29"/>
  <c r="BF6" i="29"/>
  <c r="BE6" i="29"/>
  <c r="BD6" i="29"/>
  <c r="BC6" i="29"/>
  <c r="BB6" i="29"/>
  <c r="BA6" i="29"/>
  <c r="AZ6" i="29"/>
  <c r="BI5" i="29"/>
  <c r="BH5" i="29"/>
  <c r="BG5" i="29"/>
  <c r="BF5" i="29"/>
  <c r="BE5" i="29"/>
  <c r="BD5" i="29"/>
  <c r="BC5" i="29"/>
  <c r="BB5" i="29"/>
  <c r="BA5" i="29"/>
  <c r="AZ5" i="29"/>
  <c r="BI4" i="29"/>
  <c r="BH4" i="29"/>
  <c r="BG4" i="29"/>
  <c r="BF4" i="29"/>
  <c r="BE4" i="29"/>
  <c r="BD4" i="29"/>
  <c r="BC4" i="29"/>
  <c r="BB4" i="29"/>
  <c r="BA4" i="29"/>
  <c r="AZ4" i="29"/>
  <c r="U34" i="29"/>
  <c r="T34" i="29"/>
  <c r="S34" i="29"/>
  <c r="R34" i="29"/>
  <c r="Q34" i="29"/>
  <c r="P34" i="29"/>
  <c r="O34" i="29"/>
  <c r="N34" i="29"/>
  <c r="M34" i="29"/>
  <c r="L34" i="29"/>
  <c r="U33" i="29"/>
  <c r="T33" i="29"/>
  <c r="S33" i="29"/>
  <c r="R33" i="29"/>
  <c r="Q33" i="29"/>
  <c r="P33" i="29"/>
  <c r="O33" i="29"/>
  <c r="N33" i="29"/>
  <c r="M33" i="29"/>
  <c r="L33" i="29"/>
  <c r="U32" i="29"/>
  <c r="T32" i="29"/>
  <c r="S32" i="29"/>
  <c r="R32" i="29"/>
  <c r="Q32" i="29"/>
  <c r="P32" i="29"/>
  <c r="O32" i="29"/>
  <c r="N32" i="29"/>
  <c r="M32" i="29"/>
  <c r="L32" i="29"/>
  <c r="U31" i="29"/>
  <c r="T31" i="29"/>
  <c r="S31" i="29"/>
  <c r="R31" i="29"/>
  <c r="Q31" i="29"/>
  <c r="P31" i="29"/>
  <c r="O31" i="29"/>
  <c r="N31" i="29"/>
  <c r="M31" i="29"/>
  <c r="L31" i="29"/>
  <c r="U30" i="29"/>
  <c r="T30" i="29"/>
  <c r="S30" i="29"/>
  <c r="R30" i="29"/>
  <c r="Q30" i="29"/>
  <c r="P30" i="29"/>
  <c r="O30" i="29"/>
  <c r="N30" i="29"/>
  <c r="M30" i="29"/>
  <c r="L30" i="29"/>
  <c r="U29" i="29"/>
  <c r="T29" i="29"/>
  <c r="S29" i="29"/>
  <c r="R29" i="29"/>
  <c r="Q29" i="29"/>
  <c r="P29" i="29"/>
  <c r="O29" i="29"/>
  <c r="N29" i="29"/>
  <c r="M29" i="29"/>
  <c r="L29" i="29"/>
  <c r="U28" i="29"/>
  <c r="T28" i="29"/>
  <c r="S28" i="29"/>
  <c r="R28" i="29"/>
  <c r="Q28" i="29"/>
  <c r="P28" i="29"/>
  <c r="O28" i="29"/>
  <c r="N28" i="29"/>
  <c r="M28" i="29"/>
  <c r="L28" i="29"/>
  <c r="U27" i="29"/>
  <c r="T27" i="29"/>
  <c r="S27" i="29"/>
  <c r="R27" i="29"/>
  <c r="Q27" i="29"/>
  <c r="P27" i="29"/>
  <c r="O27" i="29"/>
  <c r="N27" i="29"/>
  <c r="M27" i="29"/>
  <c r="L27" i="29"/>
  <c r="U26" i="29"/>
  <c r="T26" i="29"/>
  <c r="S26" i="29"/>
  <c r="R26" i="29"/>
  <c r="Q26" i="29"/>
  <c r="P26" i="29"/>
  <c r="O26" i="29"/>
  <c r="N26" i="29"/>
  <c r="M26" i="29"/>
  <c r="L26" i="29"/>
  <c r="U25" i="29"/>
  <c r="T25" i="29"/>
  <c r="S25" i="29"/>
  <c r="R25" i="29"/>
  <c r="Q25" i="29"/>
  <c r="P25" i="29"/>
  <c r="O25" i="29"/>
  <c r="N25" i="29"/>
  <c r="M25" i="29"/>
  <c r="L25" i="29"/>
  <c r="U24" i="29"/>
  <c r="T24" i="29"/>
  <c r="S24" i="29"/>
  <c r="R24" i="29"/>
  <c r="Q24" i="29"/>
  <c r="P24" i="29"/>
  <c r="O24" i="29"/>
  <c r="N24" i="29"/>
  <c r="M24" i="29"/>
  <c r="L24" i="29"/>
  <c r="U23" i="29"/>
  <c r="T23" i="29"/>
  <c r="S23" i="29"/>
  <c r="R23" i="29"/>
  <c r="Q23" i="29"/>
  <c r="P23" i="29"/>
  <c r="O23" i="29"/>
  <c r="N23" i="29"/>
  <c r="M23" i="29"/>
  <c r="L23" i="29"/>
  <c r="U22" i="29"/>
  <c r="T22" i="29"/>
  <c r="S22" i="29"/>
  <c r="R22" i="29"/>
  <c r="Q22" i="29"/>
  <c r="P22" i="29"/>
  <c r="O22" i="29"/>
  <c r="N22" i="29"/>
  <c r="M22" i="29"/>
  <c r="L22" i="29"/>
  <c r="U21" i="29"/>
  <c r="T21" i="29"/>
  <c r="S21" i="29"/>
  <c r="R21" i="29"/>
  <c r="Q21" i="29"/>
  <c r="P21" i="29"/>
  <c r="O21" i="29"/>
  <c r="N21" i="29"/>
  <c r="M21" i="29"/>
  <c r="L21" i="29"/>
  <c r="U20" i="29"/>
  <c r="T20" i="29"/>
  <c r="S20" i="29"/>
  <c r="R20" i="29"/>
  <c r="Q20" i="29"/>
  <c r="P20" i="29"/>
  <c r="O20" i="29"/>
  <c r="N20" i="29"/>
  <c r="M20" i="29"/>
  <c r="L20" i="29"/>
  <c r="U19" i="29"/>
  <c r="T19" i="29"/>
  <c r="S19" i="29"/>
  <c r="R19" i="29"/>
  <c r="Q19" i="29"/>
  <c r="P19" i="29"/>
  <c r="O19" i="29"/>
  <c r="N19" i="29"/>
  <c r="M19" i="29"/>
  <c r="L19" i="29"/>
  <c r="U18" i="29"/>
  <c r="T18" i="29"/>
  <c r="S18" i="29"/>
  <c r="R18" i="29"/>
  <c r="Q18" i="29"/>
  <c r="P18" i="29"/>
  <c r="O18" i="29"/>
  <c r="N18" i="29"/>
  <c r="M18" i="29"/>
  <c r="L18" i="29"/>
  <c r="U17" i="29"/>
  <c r="T17" i="29"/>
  <c r="S17" i="29"/>
  <c r="R17" i="29"/>
  <c r="Q17" i="29"/>
  <c r="P17" i="29"/>
  <c r="O17" i="29"/>
  <c r="N17" i="29"/>
  <c r="M17" i="29"/>
  <c r="L17" i="29"/>
  <c r="U16" i="29"/>
  <c r="T16" i="29"/>
  <c r="S16" i="29"/>
  <c r="R16" i="29"/>
  <c r="Q16" i="29"/>
  <c r="P16" i="29"/>
  <c r="O16" i="29"/>
  <c r="N16" i="29"/>
  <c r="M16" i="29"/>
  <c r="L16" i="29"/>
  <c r="U15" i="29"/>
  <c r="T15" i="29"/>
  <c r="S15" i="29"/>
  <c r="R15" i="29"/>
  <c r="Q15" i="29"/>
  <c r="P15" i="29"/>
  <c r="O15" i="29"/>
  <c r="N15" i="29"/>
  <c r="M15" i="29"/>
  <c r="L15" i="29"/>
  <c r="U14" i="29"/>
  <c r="T14" i="29"/>
  <c r="S14" i="29"/>
  <c r="R14" i="29"/>
  <c r="Q14" i="29"/>
  <c r="P14" i="29"/>
  <c r="O14" i="29"/>
  <c r="N14" i="29"/>
  <c r="M14" i="29"/>
  <c r="L14" i="29"/>
  <c r="U13" i="29"/>
  <c r="T13" i="29"/>
  <c r="S13" i="29"/>
  <c r="R13" i="29"/>
  <c r="Q13" i="29"/>
  <c r="P13" i="29"/>
  <c r="O13" i="29"/>
  <c r="N13" i="29"/>
  <c r="M13" i="29"/>
  <c r="L13" i="29"/>
  <c r="U12" i="29"/>
  <c r="T12" i="29"/>
  <c r="S12" i="29"/>
  <c r="R12" i="29"/>
  <c r="Q12" i="29"/>
  <c r="P12" i="29"/>
  <c r="O12" i="29"/>
  <c r="N12" i="29"/>
  <c r="M12" i="29"/>
  <c r="L12" i="29"/>
  <c r="U11" i="29"/>
  <c r="T11" i="29"/>
  <c r="S11" i="29"/>
  <c r="R11" i="29"/>
  <c r="Q11" i="29"/>
  <c r="P11" i="29"/>
  <c r="O11" i="29"/>
  <c r="N11" i="29"/>
  <c r="M11" i="29"/>
  <c r="L11" i="29"/>
  <c r="U10" i="29"/>
  <c r="T10" i="29"/>
  <c r="S10" i="29"/>
  <c r="R10" i="29"/>
  <c r="Q10" i="29"/>
  <c r="P10" i="29"/>
  <c r="O10" i="29"/>
  <c r="N10" i="29"/>
  <c r="M10" i="29"/>
  <c r="L10" i="29"/>
  <c r="U9" i="29"/>
  <c r="T9" i="29"/>
  <c r="S9" i="29"/>
  <c r="R9" i="29"/>
  <c r="Q9" i="29"/>
  <c r="P9" i="29"/>
  <c r="O9" i="29"/>
  <c r="N9" i="29"/>
  <c r="M9" i="29"/>
  <c r="L9" i="29"/>
  <c r="U8" i="29"/>
  <c r="T8" i="29"/>
  <c r="S8" i="29"/>
  <c r="R8" i="29"/>
  <c r="Q8" i="29"/>
  <c r="P8" i="29"/>
  <c r="O8" i="29"/>
  <c r="N8" i="29"/>
  <c r="M8" i="29"/>
  <c r="L8" i="29"/>
  <c r="U7" i="29"/>
  <c r="T7" i="29"/>
  <c r="S7" i="29"/>
  <c r="R7" i="29"/>
  <c r="Q7" i="29"/>
  <c r="P7" i="29"/>
  <c r="O7" i="29"/>
  <c r="N7" i="29"/>
  <c r="M7" i="29"/>
  <c r="L7" i="29"/>
  <c r="U6" i="29"/>
  <c r="T6" i="29"/>
  <c r="S6" i="29"/>
  <c r="R6" i="29"/>
  <c r="Q6" i="29"/>
  <c r="P6" i="29"/>
  <c r="O6" i="29"/>
  <c r="N6" i="29"/>
  <c r="M6" i="29"/>
  <c r="L6" i="29"/>
  <c r="U5" i="29"/>
  <c r="T5" i="29"/>
  <c r="S5" i="29"/>
  <c r="R5" i="29"/>
  <c r="Q5" i="29"/>
  <c r="P5" i="29"/>
  <c r="O5" i="29"/>
  <c r="N5" i="29"/>
  <c r="M5" i="29"/>
  <c r="L5" i="29"/>
  <c r="U4" i="29"/>
  <c r="T4" i="29"/>
  <c r="S4" i="29"/>
  <c r="R4" i="29"/>
  <c r="Q4" i="29"/>
  <c r="P4" i="29"/>
  <c r="O4" i="29"/>
  <c r="N4" i="29"/>
  <c r="M4" i="29"/>
  <c r="L4" i="29"/>
  <c r="FO368" i="29" l="1"/>
  <c r="FN368" i="29"/>
  <c r="FM368" i="29"/>
  <c r="FL368" i="29"/>
  <c r="FK368" i="29"/>
  <c r="FJ368" i="29"/>
  <c r="FI368" i="29"/>
  <c r="FH368" i="29"/>
  <c r="FG368" i="29"/>
  <c r="FF368" i="29"/>
  <c r="FE368" i="29"/>
  <c r="FD368" i="29"/>
  <c r="FC368" i="29"/>
  <c r="FB368" i="29"/>
  <c r="FA368" i="29"/>
  <c r="EZ368" i="29"/>
  <c r="EY368" i="29"/>
  <c r="EX368" i="29"/>
  <c r="EW368" i="29"/>
  <c r="EV368" i="29"/>
  <c r="EU368" i="29"/>
  <c r="ET368" i="29"/>
  <c r="ES368" i="29"/>
  <c r="ER368" i="29"/>
  <c r="EQ368" i="29"/>
  <c r="EP368" i="29"/>
  <c r="EO368" i="29"/>
  <c r="EN368" i="29"/>
  <c r="EM368" i="29"/>
  <c r="EL368" i="29"/>
  <c r="FO367" i="29"/>
  <c r="FN367" i="29"/>
  <c r="FM367" i="29"/>
  <c r="FL367" i="29"/>
  <c r="FK367" i="29"/>
  <c r="FJ367" i="29"/>
  <c r="FI367" i="29"/>
  <c r="FH367" i="29"/>
  <c r="FG367" i="29"/>
  <c r="FF367" i="29"/>
  <c r="FE367" i="29"/>
  <c r="FD367" i="29"/>
  <c r="FC367" i="29"/>
  <c r="FB367" i="29"/>
  <c r="FA367" i="29"/>
  <c r="EZ367" i="29"/>
  <c r="EY367" i="29"/>
  <c r="EX367" i="29"/>
  <c r="EW367" i="29"/>
  <c r="EV367" i="29"/>
  <c r="EU367" i="29"/>
  <c r="ET367" i="29"/>
  <c r="ES367" i="29"/>
  <c r="ER367" i="29"/>
  <c r="EQ367" i="29"/>
  <c r="EP367" i="29"/>
  <c r="EO367" i="29"/>
  <c r="EN367" i="29"/>
  <c r="EM367" i="29"/>
  <c r="EL367" i="29"/>
  <c r="FO366" i="29"/>
  <c r="FN366" i="29"/>
  <c r="FM366" i="29"/>
  <c r="FL366" i="29"/>
  <c r="FK366" i="29"/>
  <c r="FJ366" i="29"/>
  <c r="FI366" i="29"/>
  <c r="FH366" i="29"/>
  <c r="FG366" i="29"/>
  <c r="FF366" i="29"/>
  <c r="FE366" i="29"/>
  <c r="FD366" i="29"/>
  <c r="FC366" i="29"/>
  <c r="FB366" i="29"/>
  <c r="FA366" i="29"/>
  <c r="EZ366" i="29"/>
  <c r="EY366" i="29"/>
  <c r="EX366" i="29"/>
  <c r="EW366" i="29"/>
  <c r="EV366" i="29"/>
  <c r="EU366" i="29"/>
  <c r="ET366" i="29"/>
  <c r="ES366" i="29"/>
  <c r="ER366" i="29"/>
  <c r="EQ366" i="29"/>
  <c r="EP366" i="29"/>
  <c r="EO366" i="29"/>
  <c r="EN366" i="29"/>
  <c r="EM366" i="29"/>
  <c r="EL366" i="29"/>
  <c r="FO365" i="29"/>
  <c r="FN365" i="29"/>
  <c r="FM365" i="29"/>
  <c r="FL365" i="29"/>
  <c r="FK365" i="29"/>
  <c r="FJ365" i="29"/>
  <c r="FI365" i="29"/>
  <c r="FH365" i="29"/>
  <c r="FG365" i="29"/>
  <c r="FF365" i="29"/>
  <c r="FE365" i="29"/>
  <c r="FD365" i="29"/>
  <c r="FC365" i="29"/>
  <c r="FB365" i="29"/>
  <c r="FA365" i="29"/>
  <c r="EZ365" i="29"/>
  <c r="EY365" i="29"/>
  <c r="EX365" i="29"/>
  <c r="EW365" i="29"/>
  <c r="EV365" i="29"/>
  <c r="EU365" i="29"/>
  <c r="ET365" i="29"/>
  <c r="ES365" i="29"/>
  <c r="ER365" i="29"/>
  <c r="EQ365" i="29"/>
  <c r="EP365" i="29"/>
  <c r="EO365" i="29"/>
  <c r="EN365" i="29"/>
  <c r="EM365" i="29"/>
  <c r="EL365" i="29"/>
  <c r="FO364" i="29"/>
  <c r="FN364" i="29"/>
  <c r="FM364" i="29"/>
  <c r="FL364" i="29"/>
  <c r="FK364" i="29"/>
  <c r="FJ364" i="29"/>
  <c r="FI364" i="29"/>
  <c r="FH364" i="29"/>
  <c r="FG364" i="29"/>
  <c r="FF364" i="29"/>
  <c r="FE364" i="29"/>
  <c r="FD364" i="29"/>
  <c r="FC364" i="29"/>
  <c r="FB364" i="29"/>
  <c r="FA364" i="29"/>
  <c r="EZ364" i="29"/>
  <c r="EY364" i="29"/>
  <c r="EX364" i="29"/>
  <c r="EW364" i="29"/>
  <c r="EV364" i="29"/>
  <c r="EU364" i="29"/>
  <c r="ET364" i="29"/>
  <c r="ES364" i="29"/>
  <c r="ER364" i="29"/>
  <c r="EQ364" i="29"/>
  <c r="EP364" i="29"/>
  <c r="EO364" i="29"/>
  <c r="EN364" i="29"/>
  <c r="EM364" i="29"/>
  <c r="EL364" i="29"/>
  <c r="FO363" i="29"/>
  <c r="FN363" i="29"/>
  <c r="FM363" i="29"/>
  <c r="FL363" i="29"/>
  <c r="FK363" i="29"/>
  <c r="FJ363" i="29"/>
  <c r="FI363" i="29"/>
  <c r="FH363" i="29"/>
  <c r="FG363" i="29"/>
  <c r="FF363" i="29"/>
  <c r="FE363" i="29"/>
  <c r="FD363" i="29"/>
  <c r="FC363" i="29"/>
  <c r="FB363" i="29"/>
  <c r="FA363" i="29"/>
  <c r="EZ363" i="29"/>
  <c r="EY363" i="29"/>
  <c r="EX363" i="29"/>
  <c r="EW363" i="29"/>
  <c r="EV363" i="29"/>
  <c r="EU363" i="29"/>
  <c r="ET363" i="29"/>
  <c r="ES363" i="29"/>
  <c r="ER363" i="29"/>
  <c r="EQ363" i="29"/>
  <c r="EP363" i="29"/>
  <c r="EO363" i="29"/>
  <c r="EN363" i="29"/>
  <c r="EM363" i="29"/>
  <c r="EL363" i="29"/>
  <c r="FO362" i="29"/>
  <c r="FN362" i="29"/>
  <c r="FM362" i="29"/>
  <c r="FL362" i="29"/>
  <c r="FK362" i="29"/>
  <c r="FJ362" i="29"/>
  <c r="FI362" i="29"/>
  <c r="FH362" i="29"/>
  <c r="FG362" i="29"/>
  <c r="FF362" i="29"/>
  <c r="FE362" i="29"/>
  <c r="FD362" i="29"/>
  <c r="FC362" i="29"/>
  <c r="FB362" i="29"/>
  <c r="FA362" i="29"/>
  <c r="EZ362" i="29"/>
  <c r="EY362" i="29"/>
  <c r="EX362" i="29"/>
  <c r="EW362" i="29"/>
  <c r="EV362" i="29"/>
  <c r="EU362" i="29"/>
  <c r="ET362" i="29"/>
  <c r="ES362" i="29"/>
  <c r="ER362" i="29"/>
  <c r="EQ362" i="29"/>
  <c r="EP362" i="29"/>
  <c r="EO362" i="29"/>
  <c r="EN362" i="29"/>
  <c r="EM362" i="29"/>
  <c r="EL362" i="29"/>
  <c r="FO361" i="29"/>
  <c r="FN361" i="29"/>
  <c r="FM361" i="29"/>
  <c r="FL361" i="29"/>
  <c r="FK361" i="29"/>
  <c r="FJ361" i="29"/>
  <c r="FI361" i="29"/>
  <c r="FH361" i="29"/>
  <c r="FG361" i="29"/>
  <c r="FF361" i="29"/>
  <c r="FE361" i="29"/>
  <c r="FD361" i="29"/>
  <c r="FC361" i="29"/>
  <c r="FB361" i="29"/>
  <c r="FA361" i="29"/>
  <c r="EZ361" i="29"/>
  <c r="EY361" i="29"/>
  <c r="EX361" i="29"/>
  <c r="EW361" i="29"/>
  <c r="EV361" i="29"/>
  <c r="EU361" i="29"/>
  <c r="ET361" i="29"/>
  <c r="ES361" i="29"/>
  <c r="ER361" i="29"/>
  <c r="EQ361" i="29"/>
  <c r="EP361" i="29"/>
  <c r="EO361" i="29"/>
  <c r="EN361" i="29"/>
  <c r="EM361" i="29"/>
  <c r="EL361" i="29"/>
  <c r="FO360" i="29"/>
  <c r="FN360" i="29"/>
  <c r="FM360" i="29"/>
  <c r="FL360" i="29"/>
  <c r="FK360" i="29"/>
  <c r="FJ360" i="29"/>
  <c r="FI360" i="29"/>
  <c r="FH360" i="29"/>
  <c r="FG360" i="29"/>
  <c r="FF360" i="29"/>
  <c r="FE360" i="29"/>
  <c r="FD360" i="29"/>
  <c r="FC360" i="29"/>
  <c r="FB360" i="29"/>
  <c r="FA360" i="29"/>
  <c r="EZ360" i="29"/>
  <c r="EY360" i="29"/>
  <c r="EX360" i="29"/>
  <c r="EW360" i="29"/>
  <c r="EV360" i="29"/>
  <c r="EU360" i="29"/>
  <c r="ET360" i="29"/>
  <c r="ES360" i="29"/>
  <c r="ER360" i="29"/>
  <c r="EQ360" i="29"/>
  <c r="EP360" i="29"/>
  <c r="EO360" i="29"/>
  <c r="EN360" i="29"/>
  <c r="EM360" i="29"/>
  <c r="EL360" i="29"/>
  <c r="FO359" i="29"/>
  <c r="FN359" i="29"/>
  <c r="FM359" i="29"/>
  <c r="FL359" i="29"/>
  <c r="FK359" i="29"/>
  <c r="FJ359" i="29"/>
  <c r="FI359" i="29"/>
  <c r="FH359" i="29"/>
  <c r="FG359" i="29"/>
  <c r="FF359" i="29"/>
  <c r="FE359" i="29"/>
  <c r="FD359" i="29"/>
  <c r="FC359" i="29"/>
  <c r="FB359" i="29"/>
  <c r="FA359" i="29"/>
  <c r="EZ359" i="29"/>
  <c r="EY359" i="29"/>
  <c r="EX359" i="29"/>
  <c r="EW359" i="29"/>
  <c r="EV359" i="29"/>
  <c r="EU359" i="29"/>
  <c r="ET359" i="29"/>
  <c r="ES359" i="29"/>
  <c r="ER359" i="29"/>
  <c r="EQ359" i="29"/>
  <c r="EP359" i="29"/>
  <c r="EO359" i="29"/>
  <c r="EN359" i="29"/>
  <c r="EM359" i="29"/>
  <c r="EL359" i="29"/>
  <c r="FO358" i="29"/>
  <c r="FN358" i="29"/>
  <c r="FM358" i="29"/>
  <c r="FL358" i="29"/>
  <c r="FK358" i="29"/>
  <c r="FJ358" i="29"/>
  <c r="FI358" i="29"/>
  <c r="FH358" i="29"/>
  <c r="FG358" i="29"/>
  <c r="FF358" i="29"/>
  <c r="FE358" i="29"/>
  <c r="FD358" i="29"/>
  <c r="FC358" i="29"/>
  <c r="FB358" i="29"/>
  <c r="FA358" i="29"/>
  <c r="EZ358" i="29"/>
  <c r="EY358" i="29"/>
  <c r="EX358" i="29"/>
  <c r="EW358" i="29"/>
  <c r="EV358" i="29"/>
  <c r="EU358" i="29"/>
  <c r="ET358" i="29"/>
  <c r="ES358" i="29"/>
  <c r="ER358" i="29"/>
  <c r="EQ358" i="29"/>
  <c r="EP358" i="29"/>
  <c r="EO358" i="29"/>
  <c r="EN358" i="29"/>
  <c r="EM358" i="29"/>
  <c r="EL358" i="29"/>
  <c r="FO357" i="29"/>
  <c r="FN357" i="29"/>
  <c r="FM357" i="29"/>
  <c r="FL357" i="29"/>
  <c r="FK357" i="29"/>
  <c r="FJ357" i="29"/>
  <c r="FI357" i="29"/>
  <c r="FH357" i="29"/>
  <c r="FG357" i="29"/>
  <c r="FF357" i="29"/>
  <c r="FE357" i="29"/>
  <c r="FD357" i="29"/>
  <c r="FC357" i="29"/>
  <c r="FB357" i="29"/>
  <c r="FA357" i="29"/>
  <c r="EZ357" i="29"/>
  <c r="EY357" i="29"/>
  <c r="EX357" i="29"/>
  <c r="EW357" i="29"/>
  <c r="EV357" i="29"/>
  <c r="EU357" i="29"/>
  <c r="ET357" i="29"/>
  <c r="ES357" i="29"/>
  <c r="ER357" i="29"/>
  <c r="EQ357" i="29"/>
  <c r="EP357" i="29"/>
  <c r="EO357" i="29"/>
  <c r="EN357" i="29"/>
  <c r="EM357" i="29"/>
  <c r="EL357" i="29"/>
  <c r="FO356" i="29"/>
  <c r="FN356" i="29"/>
  <c r="FM356" i="29"/>
  <c r="FL356" i="29"/>
  <c r="FK356" i="29"/>
  <c r="FJ356" i="29"/>
  <c r="FI356" i="29"/>
  <c r="FH356" i="29"/>
  <c r="FG356" i="29"/>
  <c r="FF356" i="29"/>
  <c r="FE356" i="29"/>
  <c r="FD356" i="29"/>
  <c r="FC356" i="29"/>
  <c r="FB356" i="29"/>
  <c r="FA356" i="29"/>
  <c r="EZ356" i="29"/>
  <c r="EY356" i="29"/>
  <c r="EX356" i="29"/>
  <c r="EW356" i="29"/>
  <c r="EV356" i="29"/>
  <c r="EU356" i="29"/>
  <c r="ET356" i="29"/>
  <c r="ES356" i="29"/>
  <c r="ER356" i="29"/>
  <c r="EQ356" i="29"/>
  <c r="EP356" i="29"/>
  <c r="EO356" i="29"/>
  <c r="EN356" i="29"/>
  <c r="EM356" i="29"/>
  <c r="EL356" i="29"/>
  <c r="FO355" i="29"/>
  <c r="FN355" i="29"/>
  <c r="FM355" i="29"/>
  <c r="FL355" i="29"/>
  <c r="FK355" i="29"/>
  <c r="FJ355" i="29"/>
  <c r="FI355" i="29"/>
  <c r="FH355" i="29"/>
  <c r="FG355" i="29"/>
  <c r="FF355" i="29"/>
  <c r="FE355" i="29"/>
  <c r="FD355" i="29"/>
  <c r="FC355" i="29"/>
  <c r="FB355" i="29"/>
  <c r="FA355" i="29"/>
  <c r="EZ355" i="29"/>
  <c r="EY355" i="29"/>
  <c r="EX355" i="29"/>
  <c r="EW355" i="29"/>
  <c r="EV355" i="29"/>
  <c r="EU355" i="29"/>
  <c r="ET355" i="29"/>
  <c r="ES355" i="29"/>
  <c r="ER355" i="29"/>
  <c r="EQ355" i="29"/>
  <c r="EP355" i="29"/>
  <c r="EO355" i="29"/>
  <c r="EN355" i="29"/>
  <c r="EM355" i="29"/>
  <c r="EL355" i="29"/>
  <c r="FO354" i="29"/>
  <c r="FN354" i="29"/>
  <c r="FM354" i="29"/>
  <c r="FL354" i="29"/>
  <c r="FK354" i="29"/>
  <c r="FJ354" i="29"/>
  <c r="FI354" i="29"/>
  <c r="FH354" i="29"/>
  <c r="FG354" i="29"/>
  <c r="FF354" i="29"/>
  <c r="FE354" i="29"/>
  <c r="FD354" i="29"/>
  <c r="FC354" i="29"/>
  <c r="FB354" i="29"/>
  <c r="FA354" i="29"/>
  <c r="EZ354" i="29"/>
  <c r="EY354" i="29"/>
  <c r="EX354" i="29"/>
  <c r="EW354" i="29"/>
  <c r="EV354" i="29"/>
  <c r="EU354" i="29"/>
  <c r="ET354" i="29"/>
  <c r="ES354" i="29"/>
  <c r="ER354" i="29"/>
  <c r="EQ354" i="29"/>
  <c r="EP354" i="29"/>
  <c r="EO354" i="29"/>
  <c r="EN354" i="29"/>
  <c r="EM354" i="29"/>
  <c r="EL354" i="29"/>
  <c r="FO353" i="29"/>
  <c r="FN353" i="29"/>
  <c r="FM353" i="29"/>
  <c r="FL353" i="29"/>
  <c r="FK353" i="29"/>
  <c r="FJ353" i="29"/>
  <c r="FI353" i="29"/>
  <c r="FH353" i="29"/>
  <c r="FG353" i="29"/>
  <c r="FF353" i="29"/>
  <c r="FE353" i="29"/>
  <c r="FD353" i="29"/>
  <c r="FC353" i="29"/>
  <c r="FB353" i="29"/>
  <c r="FA353" i="29"/>
  <c r="EZ353" i="29"/>
  <c r="EY353" i="29"/>
  <c r="EX353" i="29"/>
  <c r="EW353" i="29"/>
  <c r="EV353" i="29"/>
  <c r="EU353" i="29"/>
  <c r="ET353" i="29"/>
  <c r="ES353" i="29"/>
  <c r="ER353" i="29"/>
  <c r="EQ353" i="29"/>
  <c r="EP353" i="29"/>
  <c r="EO353" i="29"/>
  <c r="EN353" i="29"/>
  <c r="EM353" i="29"/>
  <c r="EL353" i="29"/>
  <c r="FO352" i="29"/>
  <c r="FN352" i="29"/>
  <c r="FM352" i="29"/>
  <c r="FL352" i="29"/>
  <c r="FK352" i="29"/>
  <c r="FJ352" i="29"/>
  <c r="FI352" i="29"/>
  <c r="FH352" i="29"/>
  <c r="FG352" i="29"/>
  <c r="FF352" i="29"/>
  <c r="FE352" i="29"/>
  <c r="FD352" i="29"/>
  <c r="FC352" i="29"/>
  <c r="FB352" i="29"/>
  <c r="FA352" i="29"/>
  <c r="EZ352" i="29"/>
  <c r="EY352" i="29"/>
  <c r="EX352" i="29"/>
  <c r="EW352" i="29"/>
  <c r="EV352" i="29"/>
  <c r="EU352" i="29"/>
  <c r="ET352" i="29"/>
  <c r="ES352" i="29"/>
  <c r="ER352" i="29"/>
  <c r="EQ352" i="29"/>
  <c r="EP352" i="29"/>
  <c r="EO352" i="29"/>
  <c r="EN352" i="29"/>
  <c r="EM352" i="29"/>
  <c r="EL352" i="29"/>
  <c r="FO351" i="29"/>
  <c r="FN351" i="29"/>
  <c r="FM351" i="29"/>
  <c r="FL351" i="29"/>
  <c r="FK351" i="29"/>
  <c r="FJ351" i="29"/>
  <c r="FI351" i="29"/>
  <c r="FH351" i="29"/>
  <c r="FG351" i="29"/>
  <c r="FF351" i="29"/>
  <c r="FE351" i="29"/>
  <c r="FD351" i="29"/>
  <c r="FC351" i="29"/>
  <c r="FB351" i="29"/>
  <c r="FA351" i="29"/>
  <c r="EZ351" i="29"/>
  <c r="EY351" i="29"/>
  <c r="EX351" i="29"/>
  <c r="EW351" i="29"/>
  <c r="EV351" i="29"/>
  <c r="EU351" i="29"/>
  <c r="ET351" i="29"/>
  <c r="ES351" i="29"/>
  <c r="ER351" i="29"/>
  <c r="EQ351" i="29"/>
  <c r="EP351" i="29"/>
  <c r="EO351" i="29"/>
  <c r="EN351" i="29"/>
  <c r="EM351" i="29"/>
  <c r="EL351" i="29"/>
  <c r="FO350" i="29"/>
  <c r="FN350" i="29"/>
  <c r="FM350" i="29"/>
  <c r="FL350" i="29"/>
  <c r="FK350" i="29"/>
  <c r="FJ350" i="29"/>
  <c r="FI350" i="29"/>
  <c r="FH350" i="29"/>
  <c r="FG350" i="29"/>
  <c r="FF350" i="29"/>
  <c r="FE350" i="29"/>
  <c r="FD350" i="29"/>
  <c r="FC350" i="29"/>
  <c r="FB350" i="29"/>
  <c r="FA350" i="29"/>
  <c r="EZ350" i="29"/>
  <c r="EY350" i="29"/>
  <c r="EX350" i="29"/>
  <c r="EW350" i="29"/>
  <c r="EV350" i="29"/>
  <c r="EU350" i="29"/>
  <c r="ET350" i="29"/>
  <c r="ES350" i="29"/>
  <c r="ER350" i="29"/>
  <c r="EQ350" i="29"/>
  <c r="EP350" i="29"/>
  <c r="EO350" i="29"/>
  <c r="EN350" i="29"/>
  <c r="EM350" i="29"/>
  <c r="EL350" i="29"/>
  <c r="FO349" i="29"/>
  <c r="FN349" i="29"/>
  <c r="FM349" i="29"/>
  <c r="FL349" i="29"/>
  <c r="FK349" i="29"/>
  <c r="FJ349" i="29"/>
  <c r="FI349" i="29"/>
  <c r="FH349" i="29"/>
  <c r="FG349" i="29"/>
  <c r="FF349" i="29"/>
  <c r="FE349" i="29"/>
  <c r="FD349" i="29"/>
  <c r="FC349" i="29"/>
  <c r="FB349" i="29"/>
  <c r="FA349" i="29"/>
  <c r="EZ349" i="29"/>
  <c r="EY349" i="29"/>
  <c r="EX349" i="29"/>
  <c r="EW349" i="29"/>
  <c r="EV349" i="29"/>
  <c r="EU349" i="29"/>
  <c r="ET349" i="29"/>
  <c r="ES349" i="29"/>
  <c r="ER349" i="29"/>
  <c r="EQ349" i="29"/>
  <c r="EP349" i="29"/>
  <c r="EO349" i="29"/>
  <c r="EN349" i="29"/>
  <c r="EM349" i="29"/>
  <c r="EL349" i="29"/>
  <c r="FO348" i="29"/>
  <c r="FN348" i="29"/>
  <c r="FM348" i="29"/>
  <c r="FL348" i="29"/>
  <c r="FK348" i="29"/>
  <c r="FJ348" i="29"/>
  <c r="FI348" i="29"/>
  <c r="FH348" i="29"/>
  <c r="FG348" i="29"/>
  <c r="FF348" i="29"/>
  <c r="FE348" i="29"/>
  <c r="FD348" i="29"/>
  <c r="FC348" i="29"/>
  <c r="FB348" i="29"/>
  <c r="FA348" i="29"/>
  <c r="EZ348" i="29"/>
  <c r="EY348" i="29"/>
  <c r="EX348" i="29"/>
  <c r="EW348" i="29"/>
  <c r="EV348" i="29"/>
  <c r="EU348" i="29"/>
  <c r="ET348" i="29"/>
  <c r="ES348" i="29"/>
  <c r="ER348" i="29"/>
  <c r="EQ348" i="29"/>
  <c r="EP348" i="29"/>
  <c r="EO348" i="29"/>
  <c r="EN348" i="29"/>
  <c r="EM348" i="29"/>
  <c r="EL348" i="29"/>
  <c r="FO347" i="29"/>
  <c r="FN347" i="29"/>
  <c r="FM347" i="29"/>
  <c r="FL347" i="29"/>
  <c r="FK347" i="29"/>
  <c r="FJ347" i="29"/>
  <c r="FI347" i="29"/>
  <c r="FH347" i="29"/>
  <c r="FG347" i="29"/>
  <c r="FF347" i="29"/>
  <c r="FE347" i="29"/>
  <c r="FD347" i="29"/>
  <c r="FC347" i="29"/>
  <c r="FB347" i="29"/>
  <c r="FA347" i="29"/>
  <c r="EZ347" i="29"/>
  <c r="EY347" i="29"/>
  <c r="EX347" i="29"/>
  <c r="EW347" i="29"/>
  <c r="EV347" i="29"/>
  <c r="EU347" i="29"/>
  <c r="ET347" i="29"/>
  <c r="ES347" i="29"/>
  <c r="ER347" i="29"/>
  <c r="EQ347" i="29"/>
  <c r="EP347" i="29"/>
  <c r="EO347" i="29"/>
  <c r="EN347" i="29"/>
  <c r="EM347" i="29"/>
  <c r="EL347" i="29"/>
  <c r="FO346" i="29"/>
  <c r="FN346" i="29"/>
  <c r="FM346" i="29"/>
  <c r="FL346" i="29"/>
  <c r="FK346" i="29"/>
  <c r="FJ346" i="29"/>
  <c r="FI346" i="29"/>
  <c r="FH346" i="29"/>
  <c r="FG346" i="29"/>
  <c r="FF346" i="29"/>
  <c r="FE346" i="29"/>
  <c r="FD346" i="29"/>
  <c r="FC346" i="29"/>
  <c r="FB346" i="29"/>
  <c r="FA346" i="29"/>
  <c r="EZ346" i="29"/>
  <c r="EY346" i="29"/>
  <c r="EX346" i="29"/>
  <c r="EW346" i="29"/>
  <c r="EV346" i="29"/>
  <c r="EU346" i="29"/>
  <c r="ET346" i="29"/>
  <c r="ES346" i="29"/>
  <c r="ER346" i="29"/>
  <c r="EQ346" i="29"/>
  <c r="EP346" i="29"/>
  <c r="EO346" i="29"/>
  <c r="EN346" i="29"/>
  <c r="EM346" i="29"/>
  <c r="EL346" i="29"/>
  <c r="FO345" i="29"/>
  <c r="FN345" i="29"/>
  <c r="FM345" i="29"/>
  <c r="FL345" i="29"/>
  <c r="FK345" i="29"/>
  <c r="FJ345" i="29"/>
  <c r="FI345" i="29"/>
  <c r="FH345" i="29"/>
  <c r="FG345" i="29"/>
  <c r="FF345" i="29"/>
  <c r="FE345" i="29"/>
  <c r="FD345" i="29"/>
  <c r="FC345" i="29"/>
  <c r="FB345" i="29"/>
  <c r="FA345" i="29"/>
  <c r="EZ345" i="29"/>
  <c r="EY345" i="29"/>
  <c r="EX345" i="29"/>
  <c r="EW345" i="29"/>
  <c r="EV345" i="29"/>
  <c r="EU345" i="29"/>
  <c r="ET345" i="29"/>
  <c r="ES345" i="29"/>
  <c r="ER345" i="29"/>
  <c r="EQ345" i="29"/>
  <c r="EP345" i="29"/>
  <c r="EO345" i="29"/>
  <c r="EN345" i="29"/>
  <c r="EM345" i="29"/>
  <c r="EL345" i="29"/>
  <c r="FO344" i="29"/>
  <c r="FN344" i="29"/>
  <c r="FM344" i="29"/>
  <c r="FL344" i="29"/>
  <c r="FK344" i="29"/>
  <c r="FJ344" i="29"/>
  <c r="FI344" i="29"/>
  <c r="FH344" i="29"/>
  <c r="FG344" i="29"/>
  <c r="FF344" i="29"/>
  <c r="FE344" i="29"/>
  <c r="FD344" i="29"/>
  <c r="FC344" i="29"/>
  <c r="FB344" i="29"/>
  <c r="FA344" i="29"/>
  <c r="EZ344" i="29"/>
  <c r="EY344" i="29"/>
  <c r="EX344" i="29"/>
  <c r="EW344" i="29"/>
  <c r="EV344" i="29"/>
  <c r="EU344" i="29"/>
  <c r="ET344" i="29"/>
  <c r="ES344" i="29"/>
  <c r="ER344" i="29"/>
  <c r="EQ344" i="29"/>
  <c r="EP344" i="29"/>
  <c r="EO344" i="29"/>
  <c r="EN344" i="29"/>
  <c r="EM344" i="29"/>
  <c r="EL344" i="29"/>
  <c r="FO343" i="29"/>
  <c r="FN343" i="29"/>
  <c r="FM343" i="29"/>
  <c r="FL343" i="29"/>
  <c r="FK343" i="29"/>
  <c r="FJ343" i="29"/>
  <c r="FI343" i="29"/>
  <c r="FH343" i="29"/>
  <c r="FG343" i="29"/>
  <c r="FF343" i="29"/>
  <c r="FE343" i="29"/>
  <c r="FD343" i="29"/>
  <c r="FC343" i="29"/>
  <c r="FB343" i="29"/>
  <c r="FA343" i="29"/>
  <c r="EZ343" i="29"/>
  <c r="EY343" i="29"/>
  <c r="EX343" i="29"/>
  <c r="EW343" i="29"/>
  <c r="EV343" i="29"/>
  <c r="EU343" i="29"/>
  <c r="ET343" i="29"/>
  <c r="ES343" i="29"/>
  <c r="ER343" i="29"/>
  <c r="EQ343" i="29"/>
  <c r="EP343" i="29"/>
  <c r="EO343" i="29"/>
  <c r="EN343" i="29"/>
  <c r="EM343" i="29"/>
  <c r="EL343" i="29"/>
  <c r="FO342" i="29"/>
  <c r="FN342" i="29"/>
  <c r="FM342" i="29"/>
  <c r="FL342" i="29"/>
  <c r="FK342" i="29"/>
  <c r="FJ342" i="29"/>
  <c r="FI342" i="29"/>
  <c r="FH342" i="29"/>
  <c r="FG342" i="29"/>
  <c r="FF342" i="29"/>
  <c r="FE342" i="29"/>
  <c r="FD342" i="29"/>
  <c r="FC342" i="29"/>
  <c r="FB342" i="29"/>
  <c r="FA342" i="29"/>
  <c r="EZ342" i="29"/>
  <c r="EY342" i="29"/>
  <c r="EX342" i="29"/>
  <c r="EW342" i="29"/>
  <c r="EV342" i="29"/>
  <c r="EU342" i="29"/>
  <c r="ET342" i="29"/>
  <c r="ES342" i="29"/>
  <c r="ER342" i="29"/>
  <c r="EQ342" i="29"/>
  <c r="EP342" i="29"/>
  <c r="EO342" i="29"/>
  <c r="EN342" i="29"/>
  <c r="EM342" i="29"/>
  <c r="EL342" i="29"/>
  <c r="FO341" i="29"/>
  <c r="FN341" i="29"/>
  <c r="FM341" i="29"/>
  <c r="FL341" i="29"/>
  <c r="FK341" i="29"/>
  <c r="FJ341" i="29"/>
  <c r="FI341" i="29"/>
  <c r="FH341" i="29"/>
  <c r="FG341" i="29"/>
  <c r="FF341" i="29"/>
  <c r="FE341" i="29"/>
  <c r="FD341" i="29"/>
  <c r="FC341" i="29"/>
  <c r="FB341" i="29"/>
  <c r="FA341" i="29"/>
  <c r="EZ341" i="29"/>
  <c r="EY341" i="29"/>
  <c r="EX341" i="29"/>
  <c r="EW341" i="29"/>
  <c r="EV341" i="29"/>
  <c r="EU341" i="29"/>
  <c r="ET341" i="29"/>
  <c r="ES341" i="29"/>
  <c r="ER341" i="29"/>
  <c r="EQ341" i="29"/>
  <c r="EP341" i="29"/>
  <c r="EO341" i="29"/>
  <c r="EN341" i="29"/>
  <c r="EM341" i="29"/>
  <c r="EL341" i="29"/>
  <c r="FO340" i="29"/>
  <c r="FN340" i="29"/>
  <c r="FM340" i="29"/>
  <c r="FL340" i="29"/>
  <c r="FK340" i="29"/>
  <c r="FJ340" i="29"/>
  <c r="FI340" i="29"/>
  <c r="FH340" i="29"/>
  <c r="FG340" i="29"/>
  <c r="FF340" i="29"/>
  <c r="FE340" i="29"/>
  <c r="FD340" i="29"/>
  <c r="FC340" i="29"/>
  <c r="FB340" i="29"/>
  <c r="FA340" i="29"/>
  <c r="EZ340" i="29"/>
  <c r="EY340" i="29"/>
  <c r="EX340" i="29"/>
  <c r="EW340" i="29"/>
  <c r="EV340" i="29"/>
  <c r="EU340" i="29"/>
  <c r="ET340" i="29"/>
  <c r="ES340" i="29"/>
  <c r="ER340" i="29"/>
  <c r="EQ340" i="29"/>
  <c r="EP340" i="29"/>
  <c r="EO340" i="29"/>
  <c r="EN340" i="29"/>
  <c r="EM340" i="29"/>
  <c r="EL340" i="29"/>
  <c r="FO339" i="29"/>
  <c r="FN339" i="29"/>
  <c r="FM339" i="29"/>
  <c r="FL339" i="29"/>
  <c r="FK339" i="29"/>
  <c r="FJ339" i="29"/>
  <c r="FI339" i="29"/>
  <c r="FH339" i="29"/>
  <c r="FG339" i="29"/>
  <c r="FF339" i="29"/>
  <c r="FE339" i="29"/>
  <c r="FD339" i="29"/>
  <c r="FC339" i="29"/>
  <c r="FB339" i="29"/>
  <c r="FA339" i="29"/>
  <c r="EZ339" i="29"/>
  <c r="EY339" i="29"/>
  <c r="EX339" i="29"/>
  <c r="EW339" i="29"/>
  <c r="EV339" i="29"/>
  <c r="EU339" i="29"/>
  <c r="ET339" i="29"/>
  <c r="ES339" i="29"/>
  <c r="ER339" i="29"/>
  <c r="EQ339" i="29"/>
  <c r="EP339" i="29"/>
  <c r="EO339" i="29"/>
  <c r="EN339" i="29"/>
  <c r="EM339" i="29"/>
  <c r="EL339" i="29"/>
  <c r="FO338" i="29"/>
  <c r="FN338" i="29"/>
  <c r="FM338" i="29"/>
  <c r="FL338" i="29"/>
  <c r="FK338" i="29"/>
  <c r="FJ338" i="29"/>
  <c r="FI338" i="29"/>
  <c r="FH338" i="29"/>
  <c r="FG338" i="29"/>
  <c r="FF338" i="29"/>
  <c r="FE338" i="29"/>
  <c r="FD338" i="29"/>
  <c r="FC338" i="29"/>
  <c r="FB338" i="29"/>
  <c r="FA338" i="29"/>
  <c r="EZ338" i="29"/>
  <c r="EY338" i="29"/>
  <c r="EX338" i="29"/>
  <c r="EW338" i="29"/>
  <c r="EV338" i="29"/>
  <c r="EU338" i="29"/>
  <c r="ET338" i="29"/>
  <c r="ES338" i="29"/>
  <c r="ER338" i="29"/>
  <c r="EQ338" i="29"/>
  <c r="EP338" i="29"/>
  <c r="EO338" i="29"/>
  <c r="EN338" i="29"/>
  <c r="EM338" i="29"/>
  <c r="EL338" i="29"/>
  <c r="FO337" i="29"/>
  <c r="FN337" i="29"/>
  <c r="FM337" i="29"/>
  <c r="FL337" i="29"/>
  <c r="FK337" i="29"/>
  <c r="FJ337" i="29"/>
  <c r="FI337" i="29"/>
  <c r="FH337" i="29"/>
  <c r="FG337" i="29"/>
  <c r="FF337" i="29"/>
  <c r="FE337" i="29"/>
  <c r="FD337" i="29"/>
  <c r="FC337" i="29"/>
  <c r="FB337" i="29"/>
  <c r="FA337" i="29"/>
  <c r="EZ337" i="29"/>
  <c r="EY337" i="29"/>
  <c r="EX337" i="29"/>
  <c r="EW337" i="29"/>
  <c r="EV337" i="29"/>
  <c r="EU337" i="29"/>
  <c r="ET337" i="29"/>
  <c r="ES337" i="29"/>
  <c r="ER337" i="29"/>
  <c r="EQ337" i="29"/>
  <c r="EP337" i="29"/>
  <c r="EO337" i="29"/>
  <c r="EN337" i="29"/>
  <c r="EM337" i="29"/>
  <c r="EL337" i="29"/>
  <c r="FO336" i="29"/>
  <c r="FN336" i="29"/>
  <c r="FM336" i="29"/>
  <c r="FL336" i="29"/>
  <c r="FK336" i="29"/>
  <c r="FJ336" i="29"/>
  <c r="FI336" i="29"/>
  <c r="FH336" i="29"/>
  <c r="FG336" i="29"/>
  <c r="FF336" i="29"/>
  <c r="FE336" i="29"/>
  <c r="FD336" i="29"/>
  <c r="FC336" i="29"/>
  <c r="FB336" i="29"/>
  <c r="FA336" i="29"/>
  <c r="EZ336" i="29"/>
  <c r="EY336" i="29"/>
  <c r="EX336" i="29"/>
  <c r="EW336" i="29"/>
  <c r="EV336" i="29"/>
  <c r="EU336" i="29"/>
  <c r="ET336" i="29"/>
  <c r="ES336" i="29"/>
  <c r="ER336" i="29"/>
  <c r="EQ336" i="29"/>
  <c r="EP336" i="29"/>
  <c r="EO336" i="29"/>
  <c r="EN336" i="29"/>
  <c r="EM336" i="29"/>
  <c r="EL336" i="29"/>
  <c r="FO335" i="29"/>
  <c r="FN335" i="29"/>
  <c r="FM335" i="29"/>
  <c r="FL335" i="29"/>
  <c r="FK335" i="29"/>
  <c r="FJ335" i="29"/>
  <c r="FI335" i="29"/>
  <c r="FH335" i="29"/>
  <c r="FG335" i="29"/>
  <c r="FF335" i="29"/>
  <c r="FE335" i="29"/>
  <c r="FD335" i="29"/>
  <c r="FC335" i="29"/>
  <c r="FB335" i="29"/>
  <c r="FA335" i="29"/>
  <c r="EZ335" i="29"/>
  <c r="EY335" i="29"/>
  <c r="EX335" i="29"/>
  <c r="EW335" i="29"/>
  <c r="EV335" i="29"/>
  <c r="EU335" i="29"/>
  <c r="ET335" i="29"/>
  <c r="ES335" i="29"/>
  <c r="ER335" i="29"/>
  <c r="EQ335" i="29"/>
  <c r="EP335" i="29"/>
  <c r="EO335" i="29"/>
  <c r="EN335" i="29"/>
  <c r="EM335" i="29"/>
  <c r="EL335" i="29"/>
  <c r="FO334" i="29"/>
  <c r="FN334" i="29"/>
  <c r="FM334" i="29"/>
  <c r="FL334" i="29"/>
  <c r="FK334" i="29"/>
  <c r="FJ334" i="29"/>
  <c r="FI334" i="29"/>
  <c r="FH334" i="29"/>
  <c r="FG334" i="29"/>
  <c r="FF334" i="29"/>
  <c r="FE334" i="29"/>
  <c r="FD334" i="29"/>
  <c r="FC334" i="29"/>
  <c r="FB334" i="29"/>
  <c r="FA334" i="29"/>
  <c r="EZ334" i="29"/>
  <c r="EY334" i="29"/>
  <c r="EX334" i="29"/>
  <c r="EW334" i="29"/>
  <c r="EV334" i="29"/>
  <c r="EU334" i="29"/>
  <c r="ET334" i="29"/>
  <c r="ES334" i="29"/>
  <c r="ER334" i="29"/>
  <c r="EQ334" i="29"/>
  <c r="EP334" i="29"/>
  <c r="EO334" i="29"/>
  <c r="EN334" i="29"/>
  <c r="EM334" i="29"/>
  <c r="EL334" i="29"/>
  <c r="FO333" i="29"/>
  <c r="FN333" i="29"/>
  <c r="FM333" i="29"/>
  <c r="FL333" i="29"/>
  <c r="FK333" i="29"/>
  <c r="FJ333" i="29"/>
  <c r="FI333" i="29"/>
  <c r="FH333" i="29"/>
  <c r="FG333" i="29"/>
  <c r="FF333" i="29"/>
  <c r="FE333" i="29"/>
  <c r="FD333" i="29"/>
  <c r="FC333" i="29"/>
  <c r="FB333" i="29"/>
  <c r="FA333" i="29"/>
  <c r="EZ333" i="29"/>
  <c r="EY333" i="29"/>
  <c r="EX333" i="29"/>
  <c r="EW333" i="29"/>
  <c r="EV333" i="29"/>
  <c r="EU333" i="29"/>
  <c r="ET333" i="29"/>
  <c r="ES333" i="29"/>
  <c r="ER333" i="29"/>
  <c r="EQ333" i="29"/>
  <c r="EP333" i="29"/>
  <c r="EO333" i="29"/>
  <c r="EN333" i="29"/>
  <c r="EM333" i="29"/>
  <c r="EL333" i="29"/>
  <c r="FO332" i="29"/>
  <c r="FN332" i="29"/>
  <c r="FM332" i="29"/>
  <c r="FL332" i="29"/>
  <c r="FK332" i="29"/>
  <c r="FJ332" i="29"/>
  <c r="FI332" i="29"/>
  <c r="FH332" i="29"/>
  <c r="FG332" i="29"/>
  <c r="FF332" i="29"/>
  <c r="FE332" i="29"/>
  <c r="FD332" i="29"/>
  <c r="FC332" i="29"/>
  <c r="FB332" i="29"/>
  <c r="FA332" i="29"/>
  <c r="EZ332" i="29"/>
  <c r="EY332" i="29"/>
  <c r="EX332" i="29"/>
  <c r="EW332" i="29"/>
  <c r="EV332" i="29"/>
  <c r="EU332" i="29"/>
  <c r="ET332" i="29"/>
  <c r="ES332" i="29"/>
  <c r="ER332" i="29"/>
  <c r="EQ332" i="29"/>
  <c r="EP332" i="29"/>
  <c r="EO332" i="29"/>
  <c r="EN332" i="29"/>
  <c r="EM332" i="29"/>
  <c r="EL332" i="29"/>
  <c r="FO331" i="29"/>
  <c r="FN331" i="29"/>
  <c r="FM331" i="29"/>
  <c r="FL331" i="29"/>
  <c r="FK331" i="29"/>
  <c r="FJ331" i="29"/>
  <c r="FI331" i="29"/>
  <c r="FH331" i="29"/>
  <c r="FG331" i="29"/>
  <c r="FF331" i="29"/>
  <c r="FE331" i="29"/>
  <c r="FD331" i="29"/>
  <c r="FC331" i="29"/>
  <c r="FB331" i="29"/>
  <c r="FA331" i="29"/>
  <c r="EZ331" i="29"/>
  <c r="EY331" i="29"/>
  <c r="EX331" i="29"/>
  <c r="EW331" i="29"/>
  <c r="EV331" i="29"/>
  <c r="EU331" i="29"/>
  <c r="ET331" i="29"/>
  <c r="ES331" i="29"/>
  <c r="ER331" i="29"/>
  <c r="EQ331" i="29"/>
  <c r="EP331" i="29"/>
  <c r="EO331" i="29"/>
  <c r="EN331" i="29"/>
  <c r="EM331" i="29"/>
  <c r="EL331" i="29"/>
  <c r="FO330" i="29"/>
  <c r="FN330" i="29"/>
  <c r="FM330" i="29"/>
  <c r="FL330" i="29"/>
  <c r="FK330" i="29"/>
  <c r="FJ330" i="29"/>
  <c r="FI330" i="29"/>
  <c r="FH330" i="29"/>
  <c r="FG330" i="29"/>
  <c r="FF330" i="29"/>
  <c r="FE330" i="29"/>
  <c r="FD330" i="29"/>
  <c r="FC330" i="29"/>
  <c r="FB330" i="29"/>
  <c r="FA330" i="29"/>
  <c r="EZ330" i="29"/>
  <c r="EY330" i="29"/>
  <c r="EX330" i="29"/>
  <c r="EW330" i="29"/>
  <c r="EV330" i="29"/>
  <c r="EU330" i="29"/>
  <c r="ET330" i="29"/>
  <c r="ES330" i="29"/>
  <c r="ER330" i="29"/>
  <c r="EQ330" i="29"/>
  <c r="EP330" i="29"/>
  <c r="EO330" i="29"/>
  <c r="EN330" i="29"/>
  <c r="EM330" i="29"/>
  <c r="EL330" i="29"/>
  <c r="FO329" i="29"/>
  <c r="FN329" i="29"/>
  <c r="FM329" i="29"/>
  <c r="FL329" i="29"/>
  <c r="FK329" i="29"/>
  <c r="FJ329" i="29"/>
  <c r="FI329" i="29"/>
  <c r="FH329" i="29"/>
  <c r="FG329" i="29"/>
  <c r="FF329" i="29"/>
  <c r="FE329" i="29"/>
  <c r="FD329" i="29"/>
  <c r="FC329" i="29"/>
  <c r="FB329" i="29"/>
  <c r="FA329" i="29"/>
  <c r="EZ329" i="29"/>
  <c r="EY329" i="29"/>
  <c r="EX329" i="29"/>
  <c r="EW329" i="29"/>
  <c r="EV329" i="29"/>
  <c r="EU329" i="29"/>
  <c r="ET329" i="29"/>
  <c r="ES329" i="29"/>
  <c r="ER329" i="29"/>
  <c r="EQ329" i="29"/>
  <c r="EP329" i="29"/>
  <c r="EO329" i="29"/>
  <c r="EN329" i="29"/>
  <c r="EM329" i="29"/>
  <c r="EL329" i="29"/>
  <c r="FO328" i="29"/>
  <c r="FN328" i="29"/>
  <c r="FM328" i="29"/>
  <c r="FL328" i="29"/>
  <c r="FK328" i="29"/>
  <c r="FJ328" i="29"/>
  <c r="FI328" i="29"/>
  <c r="FH328" i="29"/>
  <c r="FG328" i="29"/>
  <c r="FF328" i="29"/>
  <c r="FE328" i="29"/>
  <c r="FD328" i="29"/>
  <c r="FC328" i="29"/>
  <c r="FB328" i="29"/>
  <c r="FA328" i="29"/>
  <c r="EZ328" i="29"/>
  <c r="EY328" i="29"/>
  <c r="EX328" i="29"/>
  <c r="EW328" i="29"/>
  <c r="EV328" i="29"/>
  <c r="EU328" i="29"/>
  <c r="ET328" i="29"/>
  <c r="ES328" i="29"/>
  <c r="ER328" i="29"/>
  <c r="EQ328" i="29"/>
  <c r="EP328" i="29"/>
  <c r="EO328" i="29"/>
  <c r="EN328" i="29"/>
  <c r="EM328" i="29"/>
  <c r="EL328" i="29"/>
  <c r="FO327" i="29"/>
  <c r="FN327" i="29"/>
  <c r="FM327" i="29"/>
  <c r="FL327" i="29"/>
  <c r="FK327" i="29"/>
  <c r="FJ327" i="29"/>
  <c r="FI327" i="29"/>
  <c r="FH327" i="29"/>
  <c r="FG327" i="29"/>
  <c r="FF327" i="29"/>
  <c r="FE327" i="29"/>
  <c r="FD327" i="29"/>
  <c r="FC327" i="29"/>
  <c r="FB327" i="29"/>
  <c r="FA327" i="29"/>
  <c r="EZ327" i="29"/>
  <c r="EY327" i="29"/>
  <c r="EX327" i="29"/>
  <c r="EW327" i="29"/>
  <c r="EV327" i="29"/>
  <c r="EU327" i="29"/>
  <c r="ET327" i="29"/>
  <c r="ES327" i="29"/>
  <c r="ER327" i="29"/>
  <c r="EQ327" i="29"/>
  <c r="EP327" i="29"/>
  <c r="EO327" i="29"/>
  <c r="EN327" i="29"/>
  <c r="EM327" i="29"/>
  <c r="EL327" i="29"/>
  <c r="FO326" i="29"/>
  <c r="FN326" i="29"/>
  <c r="FM326" i="29"/>
  <c r="FL326" i="29"/>
  <c r="FK326" i="29"/>
  <c r="FJ326" i="29"/>
  <c r="FI326" i="29"/>
  <c r="FH326" i="29"/>
  <c r="FG326" i="29"/>
  <c r="FF326" i="29"/>
  <c r="FE326" i="29"/>
  <c r="FD326" i="29"/>
  <c r="FC326" i="29"/>
  <c r="FB326" i="29"/>
  <c r="FA326" i="29"/>
  <c r="EZ326" i="29"/>
  <c r="EY326" i="29"/>
  <c r="EX326" i="29"/>
  <c r="EW326" i="29"/>
  <c r="EV326" i="29"/>
  <c r="EU326" i="29"/>
  <c r="ET326" i="29"/>
  <c r="ES326" i="29"/>
  <c r="ER326" i="29"/>
  <c r="EQ326" i="29"/>
  <c r="EP326" i="29"/>
  <c r="EO326" i="29"/>
  <c r="EN326" i="29"/>
  <c r="EM326" i="29"/>
  <c r="EL326" i="29"/>
  <c r="FO325" i="29"/>
  <c r="FN325" i="29"/>
  <c r="FM325" i="29"/>
  <c r="FL325" i="29"/>
  <c r="FK325" i="29"/>
  <c r="FJ325" i="29"/>
  <c r="FI325" i="29"/>
  <c r="FH325" i="29"/>
  <c r="FG325" i="29"/>
  <c r="FF325" i="29"/>
  <c r="FE325" i="29"/>
  <c r="FD325" i="29"/>
  <c r="FC325" i="29"/>
  <c r="FB325" i="29"/>
  <c r="FA325" i="29"/>
  <c r="EZ325" i="29"/>
  <c r="EY325" i="29"/>
  <c r="EX325" i="29"/>
  <c r="EW325" i="29"/>
  <c r="EV325" i="29"/>
  <c r="EU325" i="29"/>
  <c r="ET325" i="29"/>
  <c r="ES325" i="29"/>
  <c r="ER325" i="29"/>
  <c r="EQ325" i="29"/>
  <c r="EP325" i="29"/>
  <c r="EO325" i="29"/>
  <c r="EN325" i="29"/>
  <c r="EM325" i="29"/>
  <c r="EL325" i="29"/>
  <c r="FO324" i="29"/>
  <c r="FN324" i="29"/>
  <c r="FM324" i="29"/>
  <c r="FL324" i="29"/>
  <c r="FK324" i="29"/>
  <c r="FJ324" i="29"/>
  <c r="FI324" i="29"/>
  <c r="FH324" i="29"/>
  <c r="FG324" i="29"/>
  <c r="FF324" i="29"/>
  <c r="FE324" i="29"/>
  <c r="FD324" i="29"/>
  <c r="FC324" i="29"/>
  <c r="FB324" i="29"/>
  <c r="FA324" i="29"/>
  <c r="EZ324" i="29"/>
  <c r="EY324" i="29"/>
  <c r="EX324" i="29"/>
  <c r="EW324" i="29"/>
  <c r="EV324" i="29"/>
  <c r="EU324" i="29"/>
  <c r="ET324" i="29"/>
  <c r="ES324" i="29"/>
  <c r="ER324" i="29"/>
  <c r="EQ324" i="29"/>
  <c r="EP324" i="29"/>
  <c r="EO324" i="29"/>
  <c r="EN324" i="29"/>
  <c r="EM324" i="29"/>
  <c r="EL324" i="29"/>
  <c r="FO323" i="29"/>
  <c r="FN323" i="29"/>
  <c r="FM323" i="29"/>
  <c r="FL323" i="29"/>
  <c r="FK323" i="29"/>
  <c r="FJ323" i="29"/>
  <c r="FI323" i="29"/>
  <c r="FH323" i="29"/>
  <c r="FG323" i="29"/>
  <c r="FF323" i="29"/>
  <c r="FE323" i="29"/>
  <c r="FD323" i="29"/>
  <c r="FC323" i="29"/>
  <c r="FB323" i="29"/>
  <c r="FA323" i="29"/>
  <c r="EZ323" i="29"/>
  <c r="EY323" i="29"/>
  <c r="EX323" i="29"/>
  <c r="EW323" i="29"/>
  <c r="EV323" i="29"/>
  <c r="EU323" i="29"/>
  <c r="ET323" i="29"/>
  <c r="ES323" i="29"/>
  <c r="ER323" i="29"/>
  <c r="EQ323" i="29"/>
  <c r="EP323" i="29"/>
  <c r="EO323" i="29"/>
  <c r="EN323" i="29"/>
  <c r="EM323" i="29"/>
  <c r="EL323" i="29"/>
  <c r="FO322" i="29"/>
  <c r="FN322" i="29"/>
  <c r="FM322" i="29"/>
  <c r="FL322" i="29"/>
  <c r="FK322" i="29"/>
  <c r="FJ322" i="29"/>
  <c r="FI322" i="29"/>
  <c r="FH322" i="29"/>
  <c r="FG322" i="29"/>
  <c r="FF322" i="29"/>
  <c r="FE322" i="29"/>
  <c r="FD322" i="29"/>
  <c r="FC322" i="29"/>
  <c r="FB322" i="29"/>
  <c r="FA322" i="29"/>
  <c r="EZ322" i="29"/>
  <c r="EY322" i="29"/>
  <c r="EX322" i="29"/>
  <c r="EW322" i="29"/>
  <c r="EV322" i="29"/>
  <c r="EU322" i="29"/>
  <c r="ET322" i="29"/>
  <c r="ES322" i="29"/>
  <c r="ER322" i="29"/>
  <c r="EQ322" i="29"/>
  <c r="EP322" i="29"/>
  <c r="EO322" i="29"/>
  <c r="EN322" i="29"/>
  <c r="EM322" i="29"/>
  <c r="EL322" i="29"/>
  <c r="FO321" i="29"/>
  <c r="FN321" i="29"/>
  <c r="FM321" i="29"/>
  <c r="FL321" i="29"/>
  <c r="FK321" i="29"/>
  <c r="FJ321" i="29"/>
  <c r="FI321" i="29"/>
  <c r="FH321" i="29"/>
  <c r="FG321" i="29"/>
  <c r="FF321" i="29"/>
  <c r="FE321" i="29"/>
  <c r="FD321" i="29"/>
  <c r="FC321" i="29"/>
  <c r="FB321" i="29"/>
  <c r="FA321" i="29"/>
  <c r="EZ321" i="29"/>
  <c r="EY321" i="29"/>
  <c r="EX321" i="29"/>
  <c r="EW321" i="29"/>
  <c r="EV321" i="29"/>
  <c r="EU321" i="29"/>
  <c r="ET321" i="29"/>
  <c r="ES321" i="29"/>
  <c r="ER321" i="29"/>
  <c r="EQ321" i="29"/>
  <c r="EP321" i="29"/>
  <c r="EO321" i="29"/>
  <c r="EN321" i="29"/>
  <c r="EM321" i="29"/>
  <c r="EL321" i="29"/>
  <c r="FO320" i="29"/>
  <c r="FN320" i="29"/>
  <c r="FM320" i="29"/>
  <c r="FL320" i="29"/>
  <c r="FK320" i="29"/>
  <c r="FJ320" i="29"/>
  <c r="FI320" i="29"/>
  <c r="FH320" i="29"/>
  <c r="FG320" i="29"/>
  <c r="FF320" i="29"/>
  <c r="FE320" i="29"/>
  <c r="FD320" i="29"/>
  <c r="FC320" i="29"/>
  <c r="FB320" i="29"/>
  <c r="FA320" i="29"/>
  <c r="EZ320" i="29"/>
  <c r="EY320" i="29"/>
  <c r="EX320" i="29"/>
  <c r="EW320" i="29"/>
  <c r="EV320" i="29"/>
  <c r="EU320" i="29"/>
  <c r="ET320" i="29"/>
  <c r="ES320" i="29"/>
  <c r="ER320" i="29"/>
  <c r="EQ320" i="29"/>
  <c r="EP320" i="29"/>
  <c r="EO320" i="29"/>
  <c r="EN320" i="29"/>
  <c r="EM320" i="29"/>
  <c r="EL320" i="29"/>
  <c r="FO319" i="29"/>
  <c r="FN319" i="29"/>
  <c r="FM319" i="29"/>
  <c r="FL319" i="29"/>
  <c r="FK319" i="29"/>
  <c r="FJ319" i="29"/>
  <c r="FI319" i="29"/>
  <c r="FH319" i="29"/>
  <c r="FG319" i="29"/>
  <c r="FF319" i="29"/>
  <c r="FE319" i="29"/>
  <c r="FD319" i="29"/>
  <c r="FC319" i="29"/>
  <c r="FB319" i="29"/>
  <c r="FA319" i="29"/>
  <c r="EZ319" i="29"/>
  <c r="EY319" i="29"/>
  <c r="EX319" i="29"/>
  <c r="EW319" i="29"/>
  <c r="EV319" i="29"/>
  <c r="EU319" i="29"/>
  <c r="ET319" i="29"/>
  <c r="ES319" i="29"/>
  <c r="ER319" i="29"/>
  <c r="EQ319" i="29"/>
  <c r="EP319" i="29"/>
  <c r="EO319" i="29"/>
  <c r="EN319" i="29"/>
  <c r="EM319" i="29"/>
  <c r="EL319" i="29"/>
  <c r="FO318" i="29"/>
  <c r="FN318" i="29"/>
  <c r="FM318" i="29"/>
  <c r="FL318" i="29"/>
  <c r="FK318" i="29"/>
  <c r="FJ318" i="29"/>
  <c r="FI318" i="29"/>
  <c r="FH318" i="29"/>
  <c r="FG318" i="29"/>
  <c r="FF318" i="29"/>
  <c r="FE318" i="29"/>
  <c r="FD318" i="29"/>
  <c r="FC318" i="29"/>
  <c r="FB318" i="29"/>
  <c r="FA318" i="29"/>
  <c r="EZ318" i="29"/>
  <c r="EY318" i="29"/>
  <c r="EX318" i="29"/>
  <c r="EW318" i="29"/>
  <c r="EV318" i="29"/>
  <c r="EU318" i="29"/>
  <c r="ET318" i="29"/>
  <c r="ES318" i="29"/>
  <c r="ER318" i="29"/>
  <c r="EQ318" i="29"/>
  <c r="EP318" i="29"/>
  <c r="EO318" i="29"/>
  <c r="EN318" i="29"/>
  <c r="EM318" i="29"/>
  <c r="EL318" i="29"/>
  <c r="FO317" i="29"/>
  <c r="FN317" i="29"/>
  <c r="FM317" i="29"/>
  <c r="FL317" i="29"/>
  <c r="FK317" i="29"/>
  <c r="FJ317" i="29"/>
  <c r="FI317" i="29"/>
  <c r="FH317" i="29"/>
  <c r="FG317" i="29"/>
  <c r="FF317" i="29"/>
  <c r="FE317" i="29"/>
  <c r="FD317" i="29"/>
  <c r="FC317" i="29"/>
  <c r="FB317" i="29"/>
  <c r="FA317" i="29"/>
  <c r="EZ317" i="29"/>
  <c r="EY317" i="29"/>
  <c r="EX317" i="29"/>
  <c r="EW317" i="29"/>
  <c r="EV317" i="29"/>
  <c r="EU317" i="29"/>
  <c r="ET317" i="29"/>
  <c r="ES317" i="29"/>
  <c r="ER317" i="29"/>
  <c r="EQ317" i="29"/>
  <c r="EP317" i="29"/>
  <c r="EO317" i="29"/>
  <c r="EN317" i="29"/>
  <c r="EM317" i="29"/>
  <c r="EL317" i="29"/>
  <c r="FO316" i="29"/>
  <c r="FN316" i="29"/>
  <c r="FM316" i="29"/>
  <c r="FL316" i="29"/>
  <c r="FK316" i="29"/>
  <c r="FJ316" i="29"/>
  <c r="FI316" i="29"/>
  <c r="FH316" i="29"/>
  <c r="FG316" i="29"/>
  <c r="FF316" i="29"/>
  <c r="FE316" i="29"/>
  <c r="FD316" i="29"/>
  <c r="FC316" i="29"/>
  <c r="FB316" i="29"/>
  <c r="FA316" i="29"/>
  <c r="EZ316" i="29"/>
  <c r="EY316" i="29"/>
  <c r="EX316" i="29"/>
  <c r="EW316" i="29"/>
  <c r="EV316" i="29"/>
  <c r="EU316" i="29"/>
  <c r="ET316" i="29"/>
  <c r="ES316" i="29"/>
  <c r="ER316" i="29"/>
  <c r="EQ316" i="29"/>
  <c r="EP316" i="29"/>
  <c r="EO316" i="29"/>
  <c r="EN316" i="29"/>
  <c r="EM316" i="29"/>
  <c r="EL316" i="29"/>
  <c r="FO315" i="29"/>
  <c r="FN315" i="29"/>
  <c r="FM315" i="29"/>
  <c r="FL315" i="29"/>
  <c r="FK315" i="29"/>
  <c r="FJ315" i="29"/>
  <c r="FI315" i="29"/>
  <c r="FH315" i="29"/>
  <c r="FG315" i="29"/>
  <c r="FF315" i="29"/>
  <c r="FE315" i="29"/>
  <c r="FD315" i="29"/>
  <c r="FC315" i="29"/>
  <c r="FB315" i="29"/>
  <c r="FA315" i="29"/>
  <c r="EZ315" i="29"/>
  <c r="EY315" i="29"/>
  <c r="EX315" i="29"/>
  <c r="EW315" i="29"/>
  <c r="EV315" i="29"/>
  <c r="EU315" i="29"/>
  <c r="ET315" i="29"/>
  <c r="ES315" i="29"/>
  <c r="ER315" i="29"/>
  <c r="EQ315" i="29"/>
  <c r="EP315" i="29"/>
  <c r="EO315" i="29"/>
  <c r="EN315" i="29"/>
  <c r="EM315" i="29"/>
  <c r="EL315" i="29"/>
  <c r="FO314" i="29"/>
  <c r="FN314" i="29"/>
  <c r="FM314" i="29"/>
  <c r="FL314" i="29"/>
  <c r="FK314" i="29"/>
  <c r="FJ314" i="29"/>
  <c r="FI314" i="29"/>
  <c r="FH314" i="29"/>
  <c r="FG314" i="29"/>
  <c r="FF314" i="29"/>
  <c r="FE314" i="29"/>
  <c r="FD314" i="29"/>
  <c r="FC314" i="29"/>
  <c r="FB314" i="29"/>
  <c r="FA314" i="29"/>
  <c r="EZ314" i="29"/>
  <c r="EY314" i="29"/>
  <c r="EX314" i="29"/>
  <c r="EW314" i="29"/>
  <c r="EV314" i="29"/>
  <c r="EU314" i="29"/>
  <c r="ET314" i="29"/>
  <c r="ES314" i="29"/>
  <c r="ER314" i="29"/>
  <c r="EQ314" i="29"/>
  <c r="EP314" i="29"/>
  <c r="EO314" i="29"/>
  <c r="EN314" i="29"/>
  <c r="EM314" i="29"/>
  <c r="EL314" i="29"/>
  <c r="FO313" i="29"/>
  <c r="FN313" i="29"/>
  <c r="FM313" i="29"/>
  <c r="FL313" i="29"/>
  <c r="FK313" i="29"/>
  <c r="FJ313" i="29"/>
  <c r="FI313" i="29"/>
  <c r="FH313" i="29"/>
  <c r="FG313" i="29"/>
  <c r="FF313" i="29"/>
  <c r="FE313" i="29"/>
  <c r="FD313" i="29"/>
  <c r="FC313" i="29"/>
  <c r="FB313" i="29"/>
  <c r="FA313" i="29"/>
  <c r="EZ313" i="29"/>
  <c r="EY313" i="29"/>
  <c r="EX313" i="29"/>
  <c r="EW313" i="29"/>
  <c r="EV313" i="29"/>
  <c r="EU313" i="29"/>
  <c r="ET313" i="29"/>
  <c r="ES313" i="29"/>
  <c r="ER313" i="29"/>
  <c r="EQ313" i="29"/>
  <c r="EP313" i="29"/>
  <c r="EO313" i="29"/>
  <c r="EN313" i="29"/>
  <c r="EM313" i="29"/>
  <c r="EL313" i="29"/>
  <c r="FO312" i="29"/>
  <c r="FN312" i="29"/>
  <c r="FM312" i="29"/>
  <c r="FL312" i="29"/>
  <c r="FK312" i="29"/>
  <c r="FJ312" i="29"/>
  <c r="FI312" i="29"/>
  <c r="FH312" i="29"/>
  <c r="FG312" i="29"/>
  <c r="FF312" i="29"/>
  <c r="FE312" i="29"/>
  <c r="FD312" i="29"/>
  <c r="FC312" i="29"/>
  <c r="FB312" i="29"/>
  <c r="FA312" i="29"/>
  <c r="EZ312" i="29"/>
  <c r="EY312" i="29"/>
  <c r="EX312" i="29"/>
  <c r="EW312" i="29"/>
  <c r="EV312" i="29"/>
  <c r="EU312" i="29"/>
  <c r="ET312" i="29"/>
  <c r="ES312" i="29"/>
  <c r="ER312" i="29"/>
  <c r="EQ312" i="29"/>
  <c r="EP312" i="29"/>
  <c r="EO312" i="29"/>
  <c r="EN312" i="29"/>
  <c r="EM312" i="29"/>
  <c r="EL312" i="29"/>
  <c r="FO311" i="29"/>
  <c r="FN311" i="29"/>
  <c r="FM311" i="29"/>
  <c r="FL311" i="29"/>
  <c r="FK311" i="29"/>
  <c r="FJ311" i="29"/>
  <c r="FI311" i="29"/>
  <c r="FH311" i="29"/>
  <c r="FG311" i="29"/>
  <c r="FF311" i="29"/>
  <c r="FE311" i="29"/>
  <c r="FD311" i="29"/>
  <c r="FC311" i="29"/>
  <c r="FB311" i="29"/>
  <c r="FA311" i="29"/>
  <c r="EZ311" i="29"/>
  <c r="EY311" i="29"/>
  <c r="EX311" i="29"/>
  <c r="EW311" i="29"/>
  <c r="EV311" i="29"/>
  <c r="EU311" i="29"/>
  <c r="ET311" i="29"/>
  <c r="ES311" i="29"/>
  <c r="ER311" i="29"/>
  <c r="EQ311" i="29"/>
  <c r="EP311" i="29"/>
  <c r="EO311" i="29"/>
  <c r="EN311" i="29"/>
  <c r="EM311" i="29"/>
  <c r="EL311" i="29"/>
  <c r="FO310" i="29"/>
  <c r="FN310" i="29"/>
  <c r="FM310" i="29"/>
  <c r="FL310" i="29"/>
  <c r="FK310" i="29"/>
  <c r="FJ310" i="29"/>
  <c r="FI310" i="29"/>
  <c r="FH310" i="29"/>
  <c r="FG310" i="29"/>
  <c r="FF310" i="29"/>
  <c r="FE310" i="29"/>
  <c r="FD310" i="29"/>
  <c r="FC310" i="29"/>
  <c r="FB310" i="29"/>
  <c r="FA310" i="29"/>
  <c r="EZ310" i="29"/>
  <c r="EY310" i="29"/>
  <c r="EX310" i="29"/>
  <c r="EW310" i="29"/>
  <c r="EV310" i="29"/>
  <c r="EU310" i="29"/>
  <c r="ET310" i="29"/>
  <c r="ES310" i="29"/>
  <c r="ER310" i="29"/>
  <c r="EQ310" i="29"/>
  <c r="EP310" i="29"/>
  <c r="EO310" i="29"/>
  <c r="EN310" i="29"/>
  <c r="EM310" i="29"/>
  <c r="EL310" i="29"/>
  <c r="FO309" i="29"/>
  <c r="FN309" i="29"/>
  <c r="FM309" i="29"/>
  <c r="FL309" i="29"/>
  <c r="FK309" i="29"/>
  <c r="FJ309" i="29"/>
  <c r="FI309" i="29"/>
  <c r="FH309" i="29"/>
  <c r="FG309" i="29"/>
  <c r="FF309" i="29"/>
  <c r="FE309" i="29"/>
  <c r="FD309" i="29"/>
  <c r="FC309" i="29"/>
  <c r="FB309" i="29"/>
  <c r="FA309" i="29"/>
  <c r="EZ309" i="29"/>
  <c r="EY309" i="29"/>
  <c r="EX309" i="29"/>
  <c r="EW309" i="29"/>
  <c r="EV309" i="29"/>
  <c r="EU309" i="29"/>
  <c r="ET309" i="29"/>
  <c r="ES309" i="29"/>
  <c r="ER309" i="29"/>
  <c r="EQ309" i="29"/>
  <c r="EP309" i="29"/>
  <c r="EO309" i="29"/>
  <c r="EN309" i="29"/>
  <c r="EM309" i="29"/>
  <c r="EL309" i="29"/>
  <c r="FO308" i="29"/>
  <c r="FN308" i="29"/>
  <c r="FM308" i="29"/>
  <c r="FL308" i="29"/>
  <c r="FK308" i="29"/>
  <c r="FJ308" i="29"/>
  <c r="FI308" i="29"/>
  <c r="FH308" i="29"/>
  <c r="FG308" i="29"/>
  <c r="FF308" i="29"/>
  <c r="FE308" i="29"/>
  <c r="FD308" i="29"/>
  <c r="FC308" i="29"/>
  <c r="FB308" i="29"/>
  <c r="FA308" i="29"/>
  <c r="EZ308" i="29"/>
  <c r="EY308" i="29"/>
  <c r="EX308" i="29"/>
  <c r="EW308" i="29"/>
  <c r="EV308" i="29"/>
  <c r="EU308" i="29"/>
  <c r="ET308" i="29"/>
  <c r="ES308" i="29"/>
  <c r="ER308" i="29"/>
  <c r="EQ308" i="29"/>
  <c r="EP308" i="29"/>
  <c r="EO308" i="29"/>
  <c r="EN308" i="29"/>
  <c r="EM308" i="29"/>
  <c r="EL308" i="29"/>
  <c r="FO307" i="29"/>
  <c r="FN307" i="29"/>
  <c r="FM307" i="29"/>
  <c r="FL307" i="29"/>
  <c r="FK307" i="29"/>
  <c r="FJ307" i="29"/>
  <c r="FI307" i="29"/>
  <c r="FH307" i="29"/>
  <c r="FG307" i="29"/>
  <c r="FF307" i="29"/>
  <c r="FE307" i="29"/>
  <c r="FD307" i="29"/>
  <c r="FC307" i="29"/>
  <c r="FB307" i="29"/>
  <c r="FA307" i="29"/>
  <c r="EZ307" i="29"/>
  <c r="EY307" i="29"/>
  <c r="EX307" i="29"/>
  <c r="EW307" i="29"/>
  <c r="EV307" i="29"/>
  <c r="EU307" i="29"/>
  <c r="ET307" i="29"/>
  <c r="ES307" i="29"/>
  <c r="ER307" i="29"/>
  <c r="EQ307" i="29"/>
  <c r="EP307" i="29"/>
  <c r="EO307" i="29"/>
  <c r="EN307" i="29"/>
  <c r="EM307" i="29"/>
  <c r="EL307" i="29"/>
  <c r="FO306" i="29"/>
  <c r="FN306" i="29"/>
  <c r="FM306" i="29"/>
  <c r="FL306" i="29"/>
  <c r="FK306" i="29"/>
  <c r="FJ306" i="29"/>
  <c r="FI306" i="29"/>
  <c r="FH306" i="29"/>
  <c r="FG306" i="29"/>
  <c r="FF306" i="29"/>
  <c r="FE306" i="29"/>
  <c r="FD306" i="29"/>
  <c r="FC306" i="29"/>
  <c r="FB306" i="29"/>
  <c r="FA306" i="29"/>
  <c r="EZ306" i="29"/>
  <c r="EY306" i="29"/>
  <c r="EX306" i="29"/>
  <c r="EW306" i="29"/>
  <c r="EV306" i="29"/>
  <c r="EU306" i="29"/>
  <c r="ET306" i="29"/>
  <c r="ES306" i="29"/>
  <c r="ER306" i="29"/>
  <c r="EQ306" i="29"/>
  <c r="EP306" i="29"/>
  <c r="EO306" i="29"/>
  <c r="EN306" i="29"/>
  <c r="EM306" i="29"/>
  <c r="EL306" i="29"/>
  <c r="FO305" i="29"/>
  <c r="FN305" i="29"/>
  <c r="FM305" i="29"/>
  <c r="FL305" i="29"/>
  <c r="FK305" i="29"/>
  <c r="FJ305" i="29"/>
  <c r="FI305" i="29"/>
  <c r="FH305" i="29"/>
  <c r="FG305" i="29"/>
  <c r="FF305" i="29"/>
  <c r="FE305" i="29"/>
  <c r="FD305" i="29"/>
  <c r="FC305" i="29"/>
  <c r="FB305" i="29"/>
  <c r="FA305" i="29"/>
  <c r="EZ305" i="29"/>
  <c r="EY305" i="29"/>
  <c r="EX305" i="29"/>
  <c r="EW305" i="29"/>
  <c r="EV305" i="29"/>
  <c r="EU305" i="29"/>
  <c r="ET305" i="29"/>
  <c r="ES305" i="29"/>
  <c r="ER305" i="29"/>
  <c r="EQ305" i="29"/>
  <c r="EP305" i="29"/>
  <c r="EO305" i="29"/>
  <c r="EN305" i="29"/>
  <c r="EM305" i="29"/>
  <c r="EL305" i="29"/>
  <c r="FO304" i="29"/>
  <c r="FN304" i="29"/>
  <c r="FM304" i="29"/>
  <c r="FL304" i="29"/>
  <c r="FK304" i="29"/>
  <c r="FJ304" i="29"/>
  <c r="FI304" i="29"/>
  <c r="FH304" i="29"/>
  <c r="FG304" i="29"/>
  <c r="FF304" i="29"/>
  <c r="FE304" i="29"/>
  <c r="FD304" i="29"/>
  <c r="FC304" i="29"/>
  <c r="FB304" i="29"/>
  <c r="FA304" i="29"/>
  <c r="EZ304" i="29"/>
  <c r="EY304" i="29"/>
  <c r="EX304" i="29"/>
  <c r="EW304" i="29"/>
  <c r="EV304" i="29"/>
  <c r="EU304" i="29"/>
  <c r="ET304" i="29"/>
  <c r="ES304" i="29"/>
  <c r="ER304" i="29"/>
  <c r="EQ304" i="29"/>
  <c r="EP304" i="29"/>
  <c r="EO304" i="29"/>
  <c r="EN304" i="29"/>
  <c r="EM304" i="29"/>
  <c r="EL304" i="29"/>
  <c r="FO303" i="29"/>
  <c r="FN303" i="29"/>
  <c r="FM303" i="29"/>
  <c r="FL303" i="29"/>
  <c r="FK303" i="29"/>
  <c r="FJ303" i="29"/>
  <c r="FI303" i="29"/>
  <c r="FH303" i="29"/>
  <c r="FG303" i="29"/>
  <c r="FF303" i="29"/>
  <c r="FE303" i="29"/>
  <c r="FD303" i="29"/>
  <c r="FC303" i="29"/>
  <c r="FB303" i="29"/>
  <c r="FA303" i="29"/>
  <c r="EZ303" i="29"/>
  <c r="EY303" i="29"/>
  <c r="EX303" i="29"/>
  <c r="EW303" i="29"/>
  <c r="EV303" i="29"/>
  <c r="EU303" i="29"/>
  <c r="ET303" i="29"/>
  <c r="ES303" i="29"/>
  <c r="ER303" i="29"/>
  <c r="EQ303" i="29"/>
  <c r="EP303" i="29"/>
  <c r="EO303" i="29"/>
  <c r="EN303" i="29"/>
  <c r="EM303" i="29"/>
  <c r="EL303" i="29"/>
  <c r="FO302" i="29"/>
  <c r="FN302" i="29"/>
  <c r="FM302" i="29"/>
  <c r="FL302" i="29"/>
  <c r="FK302" i="29"/>
  <c r="FJ302" i="29"/>
  <c r="FI302" i="29"/>
  <c r="FH302" i="29"/>
  <c r="FG302" i="29"/>
  <c r="FF302" i="29"/>
  <c r="FE302" i="29"/>
  <c r="FD302" i="29"/>
  <c r="FC302" i="29"/>
  <c r="FB302" i="29"/>
  <c r="FA302" i="29"/>
  <c r="EZ302" i="29"/>
  <c r="EY302" i="29"/>
  <c r="EX302" i="29"/>
  <c r="EW302" i="29"/>
  <c r="EV302" i="29"/>
  <c r="EU302" i="29"/>
  <c r="ET302" i="29"/>
  <c r="ES302" i="29"/>
  <c r="ER302" i="29"/>
  <c r="EQ302" i="29"/>
  <c r="EP302" i="29"/>
  <c r="EO302" i="29"/>
  <c r="EN302" i="29"/>
  <c r="EM302" i="29"/>
  <c r="EL302" i="29"/>
  <c r="FO301" i="29"/>
  <c r="FN301" i="29"/>
  <c r="FM301" i="29"/>
  <c r="FL301" i="29"/>
  <c r="FK301" i="29"/>
  <c r="FJ301" i="29"/>
  <c r="FI301" i="29"/>
  <c r="FH301" i="29"/>
  <c r="FG301" i="29"/>
  <c r="FF301" i="29"/>
  <c r="FE301" i="29"/>
  <c r="FD301" i="29"/>
  <c r="FC301" i="29"/>
  <c r="FB301" i="29"/>
  <c r="FA301" i="29"/>
  <c r="EZ301" i="29"/>
  <c r="EY301" i="29"/>
  <c r="EX301" i="29"/>
  <c r="EW301" i="29"/>
  <c r="EV301" i="29"/>
  <c r="EU301" i="29"/>
  <c r="ET301" i="29"/>
  <c r="ES301" i="29"/>
  <c r="ER301" i="29"/>
  <c r="EQ301" i="29"/>
  <c r="EP301" i="29"/>
  <c r="EO301" i="29"/>
  <c r="EN301" i="29"/>
  <c r="EM301" i="29"/>
  <c r="EL301" i="29"/>
  <c r="FO300" i="29"/>
  <c r="FN300" i="29"/>
  <c r="FM300" i="29"/>
  <c r="FL300" i="29"/>
  <c r="FK300" i="29"/>
  <c r="FJ300" i="29"/>
  <c r="FI300" i="29"/>
  <c r="FH300" i="29"/>
  <c r="FG300" i="29"/>
  <c r="FF300" i="29"/>
  <c r="FE300" i="29"/>
  <c r="FD300" i="29"/>
  <c r="FC300" i="29"/>
  <c r="FB300" i="29"/>
  <c r="FA300" i="29"/>
  <c r="EZ300" i="29"/>
  <c r="EY300" i="29"/>
  <c r="EX300" i="29"/>
  <c r="EW300" i="29"/>
  <c r="EV300" i="29"/>
  <c r="EU300" i="29"/>
  <c r="ET300" i="29"/>
  <c r="ES300" i="29"/>
  <c r="ER300" i="29"/>
  <c r="EQ300" i="29"/>
  <c r="EP300" i="29"/>
  <c r="EO300" i="29"/>
  <c r="EN300" i="29"/>
  <c r="EM300" i="29"/>
  <c r="EL300" i="29"/>
  <c r="FO299" i="29"/>
  <c r="FN299" i="29"/>
  <c r="FM299" i="29"/>
  <c r="FL299" i="29"/>
  <c r="FK299" i="29"/>
  <c r="FJ299" i="29"/>
  <c r="FI299" i="29"/>
  <c r="FH299" i="29"/>
  <c r="FG299" i="29"/>
  <c r="FF299" i="29"/>
  <c r="FE299" i="29"/>
  <c r="FD299" i="29"/>
  <c r="FC299" i="29"/>
  <c r="FB299" i="29"/>
  <c r="FA299" i="29"/>
  <c r="EZ299" i="29"/>
  <c r="EY299" i="29"/>
  <c r="EX299" i="29"/>
  <c r="EW299" i="29"/>
  <c r="EV299" i="29"/>
  <c r="EU299" i="29"/>
  <c r="ET299" i="29"/>
  <c r="ES299" i="29"/>
  <c r="ER299" i="29"/>
  <c r="EQ299" i="29"/>
  <c r="EP299" i="29"/>
  <c r="EO299" i="29"/>
  <c r="EN299" i="29"/>
  <c r="EM299" i="29"/>
  <c r="EL299" i="29"/>
  <c r="FO298" i="29"/>
  <c r="FN298" i="29"/>
  <c r="FM298" i="29"/>
  <c r="FL298" i="29"/>
  <c r="FK298" i="29"/>
  <c r="FJ298" i="29"/>
  <c r="FI298" i="29"/>
  <c r="FH298" i="29"/>
  <c r="FG298" i="29"/>
  <c r="FF298" i="29"/>
  <c r="FE298" i="29"/>
  <c r="FD298" i="29"/>
  <c r="FC298" i="29"/>
  <c r="FB298" i="29"/>
  <c r="FA298" i="29"/>
  <c r="EZ298" i="29"/>
  <c r="EY298" i="29"/>
  <c r="EX298" i="29"/>
  <c r="EW298" i="29"/>
  <c r="EV298" i="29"/>
  <c r="EU298" i="29"/>
  <c r="ET298" i="29"/>
  <c r="ES298" i="29"/>
  <c r="ER298" i="29"/>
  <c r="EQ298" i="29"/>
  <c r="EP298" i="29"/>
  <c r="EO298" i="29"/>
  <c r="EN298" i="29"/>
  <c r="EM298" i="29"/>
  <c r="EL298" i="29"/>
  <c r="FO297" i="29"/>
  <c r="FN297" i="29"/>
  <c r="FM297" i="29"/>
  <c r="FL297" i="29"/>
  <c r="FK297" i="29"/>
  <c r="FJ297" i="29"/>
  <c r="FI297" i="29"/>
  <c r="FH297" i="29"/>
  <c r="FG297" i="29"/>
  <c r="FF297" i="29"/>
  <c r="FE297" i="29"/>
  <c r="FD297" i="29"/>
  <c r="FC297" i="29"/>
  <c r="FB297" i="29"/>
  <c r="FA297" i="29"/>
  <c r="EZ297" i="29"/>
  <c r="EY297" i="29"/>
  <c r="EX297" i="29"/>
  <c r="EW297" i="29"/>
  <c r="EV297" i="29"/>
  <c r="EU297" i="29"/>
  <c r="ET297" i="29"/>
  <c r="ES297" i="29"/>
  <c r="ER297" i="29"/>
  <c r="EQ297" i="29"/>
  <c r="EP297" i="29"/>
  <c r="EO297" i="29"/>
  <c r="EN297" i="29"/>
  <c r="EM297" i="29"/>
  <c r="EL297" i="29"/>
  <c r="FO296" i="29"/>
  <c r="FN296" i="29"/>
  <c r="FM296" i="29"/>
  <c r="FL296" i="29"/>
  <c r="FK296" i="29"/>
  <c r="FJ296" i="29"/>
  <c r="FI296" i="29"/>
  <c r="FH296" i="29"/>
  <c r="FG296" i="29"/>
  <c r="FF296" i="29"/>
  <c r="FE296" i="29"/>
  <c r="FD296" i="29"/>
  <c r="FC296" i="29"/>
  <c r="FB296" i="29"/>
  <c r="FA296" i="29"/>
  <c r="EZ296" i="29"/>
  <c r="EY296" i="29"/>
  <c r="EX296" i="29"/>
  <c r="EW296" i="29"/>
  <c r="EV296" i="29"/>
  <c r="EU296" i="29"/>
  <c r="ET296" i="29"/>
  <c r="ES296" i="29"/>
  <c r="ER296" i="29"/>
  <c r="EQ296" i="29"/>
  <c r="EP296" i="29"/>
  <c r="EO296" i="29"/>
  <c r="EN296" i="29"/>
  <c r="EM296" i="29"/>
  <c r="EL296" i="29"/>
  <c r="FO295" i="29"/>
  <c r="FN295" i="29"/>
  <c r="FM295" i="29"/>
  <c r="FL295" i="29"/>
  <c r="FK295" i="29"/>
  <c r="FJ295" i="29"/>
  <c r="FI295" i="29"/>
  <c r="FH295" i="29"/>
  <c r="FG295" i="29"/>
  <c r="FF295" i="29"/>
  <c r="FE295" i="29"/>
  <c r="FD295" i="29"/>
  <c r="FC295" i="29"/>
  <c r="FB295" i="29"/>
  <c r="FA295" i="29"/>
  <c r="EZ295" i="29"/>
  <c r="EY295" i="29"/>
  <c r="EX295" i="29"/>
  <c r="EW295" i="29"/>
  <c r="EV295" i="29"/>
  <c r="EU295" i="29"/>
  <c r="ET295" i="29"/>
  <c r="ES295" i="29"/>
  <c r="ER295" i="29"/>
  <c r="EQ295" i="29"/>
  <c r="EP295" i="29"/>
  <c r="EO295" i="29"/>
  <c r="EN295" i="29"/>
  <c r="EM295" i="29"/>
  <c r="EL295" i="29"/>
  <c r="FO294" i="29"/>
  <c r="FN294" i="29"/>
  <c r="FM294" i="29"/>
  <c r="FL294" i="29"/>
  <c r="FK294" i="29"/>
  <c r="FJ294" i="29"/>
  <c r="FI294" i="29"/>
  <c r="FH294" i="29"/>
  <c r="FG294" i="29"/>
  <c r="FF294" i="29"/>
  <c r="FE294" i="29"/>
  <c r="FD294" i="29"/>
  <c r="FC294" i="29"/>
  <c r="FB294" i="29"/>
  <c r="FA294" i="29"/>
  <c r="EZ294" i="29"/>
  <c r="EY294" i="29"/>
  <c r="EX294" i="29"/>
  <c r="EW294" i="29"/>
  <c r="EV294" i="29"/>
  <c r="EU294" i="29"/>
  <c r="ET294" i="29"/>
  <c r="ES294" i="29"/>
  <c r="ER294" i="29"/>
  <c r="EQ294" i="29"/>
  <c r="EP294" i="29"/>
  <c r="EO294" i="29"/>
  <c r="EN294" i="29"/>
  <c r="EM294" i="29"/>
  <c r="EL294" i="29"/>
  <c r="FO293" i="29"/>
  <c r="FN293" i="29"/>
  <c r="FM293" i="29"/>
  <c r="FL293" i="29"/>
  <c r="FK293" i="29"/>
  <c r="FJ293" i="29"/>
  <c r="FI293" i="29"/>
  <c r="FH293" i="29"/>
  <c r="FG293" i="29"/>
  <c r="FF293" i="29"/>
  <c r="FE293" i="29"/>
  <c r="FD293" i="29"/>
  <c r="FC293" i="29"/>
  <c r="FB293" i="29"/>
  <c r="FA293" i="29"/>
  <c r="EZ293" i="29"/>
  <c r="EY293" i="29"/>
  <c r="EX293" i="29"/>
  <c r="EW293" i="29"/>
  <c r="EV293" i="29"/>
  <c r="EU293" i="29"/>
  <c r="ET293" i="29"/>
  <c r="ES293" i="29"/>
  <c r="ER293" i="29"/>
  <c r="EQ293" i="29"/>
  <c r="EP293" i="29"/>
  <c r="EO293" i="29"/>
  <c r="EN293" i="29"/>
  <c r="EM293" i="29"/>
  <c r="EL293" i="29"/>
  <c r="FO292" i="29"/>
  <c r="FN292" i="29"/>
  <c r="FM292" i="29"/>
  <c r="FL292" i="29"/>
  <c r="FK292" i="29"/>
  <c r="FJ292" i="29"/>
  <c r="FI292" i="29"/>
  <c r="FH292" i="29"/>
  <c r="FG292" i="29"/>
  <c r="FF292" i="29"/>
  <c r="FE292" i="29"/>
  <c r="FD292" i="29"/>
  <c r="FC292" i="29"/>
  <c r="FB292" i="29"/>
  <c r="FA292" i="29"/>
  <c r="EZ292" i="29"/>
  <c r="EY292" i="29"/>
  <c r="EX292" i="29"/>
  <c r="EW292" i="29"/>
  <c r="EV292" i="29"/>
  <c r="EU292" i="29"/>
  <c r="ET292" i="29"/>
  <c r="ES292" i="29"/>
  <c r="ER292" i="29"/>
  <c r="EQ292" i="29"/>
  <c r="EP292" i="29"/>
  <c r="EO292" i="29"/>
  <c r="EN292" i="29"/>
  <c r="EM292" i="29"/>
  <c r="EL292" i="29"/>
  <c r="FO291" i="29"/>
  <c r="FN291" i="29"/>
  <c r="FM291" i="29"/>
  <c r="FL291" i="29"/>
  <c r="FK291" i="29"/>
  <c r="FJ291" i="29"/>
  <c r="FI291" i="29"/>
  <c r="FH291" i="29"/>
  <c r="FG291" i="29"/>
  <c r="FF291" i="29"/>
  <c r="FE291" i="29"/>
  <c r="FD291" i="29"/>
  <c r="FC291" i="29"/>
  <c r="FB291" i="29"/>
  <c r="FA291" i="29"/>
  <c r="EZ291" i="29"/>
  <c r="EY291" i="29"/>
  <c r="EX291" i="29"/>
  <c r="EW291" i="29"/>
  <c r="EV291" i="29"/>
  <c r="EU291" i="29"/>
  <c r="ET291" i="29"/>
  <c r="ES291" i="29"/>
  <c r="ER291" i="29"/>
  <c r="EQ291" i="29"/>
  <c r="EP291" i="29"/>
  <c r="EO291" i="29"/>
  <c r="EN291" i="29"/>
  <c r="EM291" i="29"/>
  <c r="EL291" i="29"/>
  <c r="FO290" i="29"/>
  <c r="FN290" i="29"/>
  <c r="FM290" i="29"/>
  <c r="FL290" i="29"/>
  <c r="FK290" i="29"/>
  <c r="FJ290" i="29"/>
  <c r="FI290" i="29"/>
  <c r="FH290" i="29"/>
  <c r="FG290" i="29"/>
  <c r="FF290" i="29"/>
  <c r="FE290" i="29"/>
  <c r="FD290" i="29"/>
  <c r="FC290" i="29"/>
  <c r="FB290" i="29"/>
  <c r="FA290" i="29"/>
  <c r="EZ290" i="29"/>
  <c r="EY290" i="29"/>
  <c r="EX290" i="29"/>
  <c r="EW290" i="29"/>
  <c r="EV290" i="29"/>
  <c r="EU290" i="29"/>
  <c r="ET290" i="29"/>
  <c r="ES290" i="29"/>
  <c r="ER290" i="29"/>
  <c r="EQ290" i="29"/>
  <c r="EP290" i="29"/>
  <c r="EO290" i="29"/>
  <c r="EN290" i="29"/>
  <c r="EM290" i="29"/>
  <c r="EL290" i="29"/>
  <c r="FO289" i="29"/>
  <c r="FN289" i="29"/>
  <c r="FM289" i="29"/>
  <c r="FL289" i="29"/>
  <c r="FK289" i="29"/>
  <c r="FJ289" i="29"/>
  <c r="FI289" i="29"/>
  <c r="FH289" i="29"/>
  <c r="FG289" i="29"/>
  <c r="FF289" i="29"/>
  <c r="FE289" i="29"/>
  <c r="FD289" i="29"/>
  <c r="FC289" i="29"/>
  <c r="FB289" i="29"/>
  <c r="FA289" i="29"/>
  <c r="EZ289" i="29"/>
  <c r="EY289" i="29"/>
  <c r="EX289" i="29"/>
  <c r="EW289" i="29"/>
  <c r="EV289" i="29"/>
  <c r="EU289" i="29"/>
  <c r="ET289" i="29"/>
  <c r="ES289" i="29"/>
  <c r="ER289" i="29"/>
  <c r="EQ289" i="29"/>
  <c r="EP289" i="29"/>
  <c r="EO289" i="29"/>
  <c r="EN289" i="29"/>
  <c r="EM289" i="29"/>
  <c r="EL289" i="29"/>
  <c r="FO288" i="29"/>
  <c r="FN288" i="29"/>
  <c r="FM288" i="29"/>
  <c r="FL288" i="29"/>
  <c r="FK288" i="29"/>
  <c r="FJ288" i="29"/>
  <c r="FI288" i="29"/>
  <c r="FH288" i="29"/>
  <c r="FG288" i="29"/>
  <c r="FF288" i="29"/>
  <c r="FE288" i="29"/>
  <c r="FD288" i="29"/>
  <c r="FC288" i="29"/>
  <c r="FB288" i="29"/>
  <c r="FA288" i="29"/>
  <c r="EZ288" i="29"/>
  <c r="EY288" i="29"/>
  <c r="EX288" i="29"/>
  <c r="EW288" i="29"/>
  <c r="EV288" i="29"/>
  <c r="EU288" i="29"/>
  <c r="ET288" i="29"/>
  <c r="ES288" i="29"/>
  <c r="ER288" i="29"/>
  <c r="EQ288" i="29"/>
  <c r="EP288" i="29"/>
  <c r="EO288" i="29"/>
  <c r="EN288" i="29"/>
  <c r="EM288" i="29"/>
  <c r="EL288" i="29"/>
  <c r="FO287" i="29"/>
  <c r="FN287" i="29"/>
  <c r="FM287" i="29"/>
  <c r="FL287" i="29"/>
  <c r="FK287" i="29"/>
  <c r="FJ287" i="29"/>
  <c r="FI287" i="29"/>
  <c r="FH287" i="29"/>
  <c r="FG287" i="29"/>
  <c r="FF287" i="29"/>
  <c r="FE287" i="29"/>
  <c r="FD287" i="29"/>
  <c r="FC287" i="29"/>
  <c r="FB287" i="29"/>
  <c r="FA287" i="29"/>
  <c r="EZ287" i="29"/>
  <c r="EY287" i="29"/>
  <c r="EX287" i="29"/>
  <c r="EW287" i="29"/>
  <c r="EV287" i="29"/>
  <c r="EU287" i="29"/>
  <c r="ET287" i="29"/>
  <c r="ES287" i="29"/>
  <c r="ER287" i="29"/>
  <c r="EQ287" i="29"/>
  <c r="EP287" i="29"/>
  <c r="EO287" i="29"/>
  <c r="EN287" i="29"/>
  <c r="EM287" i="29"/>
  <c r="EL287" i="29"/>
  <c r="FO286" i="29"/>
  <c r="FN286" i="29"/>
  <c r="FM286" i="29"/>
  <c r="FL286" i="29"/>
  <c r="FK286" i="29"/>
  <c r="FJ286" i="29"/>
  <c r="FI286" i="29"/>
  <c r="FH286" i="29"/>
  <c r="FG286" i="29"/>
  <c r="FF286" i="29"/>
  <c r="FE286" i="29"/>
  <c r="FD286" i="29"/>
  <c r="FC286" i="29"/>
  <c r="FB286" i="29"/>
  <c r="FA286" i="29"/>
  <c r="EZ286" i="29"/>
  <c r="EY286" i="29"/>
  <c r="EX286" i="29"/>
  <c r="EW286" i="29"/>
  <c r="EV286" i="29"/>
  <c r="EU286" i="29"/>
  <c r="ET286" i="29"/>
  <c r="ES286" i="29"/>
  <c r="ER286" i="29"/>
  <c r="EQ286" i="29"/>
  <c r="EP286" i="29"/>
  <c r="EO286" i="29"/>
  <c r="EN286" i="29"/>
  <c r="EM286" i="29"/>
  <c r="EL286" i="29"/>
  <c r="FO285" i="29"/>
  <c r="FN285" i="29"/>
  <c r="FM285" i="29"/>
  <c r="FL285" i="29"/>
  <c r="FK285" i="29"/>
  <c r="FJ285" i="29"/>
  <c r="FI285" i="29"/>
  <c r="FH285" i="29"/>
  <c r="FG285" i="29"/>
  <c r="FF285" i="29"/>
  <c r="FE285" i="29"/>
  <c r="FD285" i="29"/>
  <c r="FC285" i="29"/>
  <c r="FB285" i="29"/>
  <c r="FA285" i="29"/>
  <c r="EZ285" i="29"/>
  <c r="EY285" i="29"/>
  <c r="EX285" i="29"/>
  <c r="EW285" i="29"/>
  <c r="EV285" i="29"/>
  <c r="EU285" i="29"/>
  <c r="ET285" i="29"/>
  <c r="ES285" i="29"/>
  <c r="ER285" i="29"/>
  <c r="EQ285" i="29"/>
  <c r="EP285" i="29"/>
  <c r="EO285" i="29"/>
  <c r="EN285" i="29"/>
  <c r="EM285" i="29"/>
  <c r="EL285" i="29"/>
  <c r="FO284" i="29"/>
  <c r="FN284" i="29"/>
  <c r="FM284" i="29"/>
  <c r="FL284" i="29"/>
  <c r="FK284" i="29"/>
  <c r="FJ284" i="29"/>
  <c r="FI284" i="29"/>
  <c r="FH284" i="29"/>
  <c r="FG284" i="29"/>
  <c r="FF284" i="29"/>
  <c r="FE284" i="29"/>
  <c r="FD284" i="29"/>
  <c r="FC284" i="29"/>
  <c r="FB284" i="29"/>
  <c r="FA284" i="29"/>
  <c r="EZ284" i="29"/>
  <c r="EY284" i="29"/>
  <c r="EX284" i="29"/>
  <c r="EW284" i="29"/>
  <c r="EV284" i="29"/>
  <c r="EU284" i="29"/>
  <c r="ET284" i="29"/>
  <c r="ES284" i="29"/>
  <c r="ER284" i="29"/>
  <c r="EQ284" i="29"/>
  <c r="EP284" i="29"/>
  <c r="EO284" i="29"/>
  <c r="EN284" i="29"/>
  <c r="EM284" i="29"/>
  <c r="EL284" i="29"/>
  <c r="FO283" i="29"/>
  <c r="FN283" i="29"/>
  <c r="FM283" i="29"/>
  <c r="FL283" i="29"/>
  <c r="FK283" i="29"/>
  <c r="FJ283" i="29"/>
  <c r="FI283" i="29"/>
  <c r="FH283" i="29"/>
  <c r="FG283" i="29"/>
  <c r="FF283" i="29"/>
  <c r="FE283" i="29"/>
  <c r="FD283" i="29"/>
  <c r="FC283" i="29"/>
  <c r="FB283" i="29"/>
  <c r="FA283" i="29"/>
  <c r="EZ283" i="29"/>
  <c r="EY283" i="29"/>
  <c r="EX283" i="29"/>
  <c r="EW283" i="29"/>
  <c r="EV283" i="29"/>
  <c r="EU283" i="29"/>
  <c r="ET283" i="29"/>
  <c r="ES283" i="29"/>
  <c r="ER283" i="29"/>
  <c r="EQ283" i="29"/>
  <c r="EP283" i="29"/>
  <c r="EO283" i="29"/>
  <c r="EN283" i="29"/>
  <c r="EM283" i="29"/>
  <c r="EL283" i="29"/>
  <c r="FO282" i="29"/>
  <c r="FN282" i="29"/>
  <c r="FM282" i="29"/>
  <c r="FL282" i="29"/>
  <c r="FK282" i="29"/>
  <c r="FJ282" i="29"/>
  <c r="FI282" i="29"/>
  <c r="FH282" i="29"/>
  <c r="FG282" i="29"/>
  <c r="FF282" i="29"/>
  <c r="FE282" i="29"/>
  <c r="FD282" i="29"/>
  <c r="FC282" i="29"/>
  <c r="FB282" i="29"/>
  <c r="FA282" i="29"/>
  <c r="EZ282" i="29"/>
  <c r="EY282" i="29"/>
  <c r="EX282" i="29"/>
  <c r="EW282" i="29"/>
  <c r="EV282" i="29"/>
  <c r="EU282" i="29"/>
  <c r="ET282" i="29"/>
  <c r="ES282" i="29"/>
  <c r="ER282" i="29"/>
  <c r="EQ282" i="29"/>
  <c r="EP282" i="29"/>
  <c r="EO282" i="29"/>
  <c r="EN282" i="29"/>
  <c r="EM282" i="29"/>
  <c r="EL282" i="29"/>
  <c r="FO281" i="29"/>
  <c r="FN281" i="29"/>
  <c r="FM281" i="29"/>
  <c r="FL281" i="29"/>
  <c r="FK281" i="29"/>
  <c r="FJ281" i="29"/>
  <c r="FI281" i="29"/>
  <c r="FH281" i="29"/>
  <c r="FG281" i="29"/>
  <c r="FF281" i="29"/>
  <c r="FE281" i="29"/>
  <c r="FD281" i="29"/>
  <c r="FC281" i="29"/>
  <c r="FB281" i="29"/>
  <c r="FA281" i="29"/>
  <c r="EZ281" i="29"/>
  <c r="EY281" i="29"/>
  <c r="EX281" i="29"/>
  <c r="EW281" i="29"/>
  <c r="EV281" i="29"/>
  <c r="EU281" i="29"/>
  <c r="ET281" i="29"/>
  <c r="ES281" i="29"/>
  <c r="ER281" i="29"/>
  <c r="EQ281" i="29"/>
  <c r="EP281" i="29"/>
  <c r="EO281" i="29"/>
  <c r="EN281" i="29"/>
  <c r="EM281" i="29"/>
  <c r="EL281" i="29"/>
  <c r="FO280" i="29"/>
  <c r="FN280" i="29"/>
  <c r="FM280" i="29"/>
  <c r="FL280" i="29"/>
  <c r="FK280" i="29"/>
  <c r="FJ280" i="29"/>
  <c r="FI280" i="29"/>
  <c r="FH280" i="29"/>
  <c r="FG280" i="29"/>
  <c r="FF280" i="29"/>
  <c r="FE280" i="29"/>
  <c r="FD280" i="29"/>
  <c r="FC280" i="29"/>
  <c r="FB280" i="29"/>
  <c r="FA280" i="29"/>
  <c r="EZ280" i="29"/>
  <c r="EY280" i="29"/>
  <c r="EX280" i="29"/>
  <c r="EW280" i="29"/>
  <c r="EV280" i="29"/>
  <c r="EU280" i="29"/>
  <c r="ET280" i="29"/>
  <c r="ES280" i="29"/>
  <c r="ER280" i="29"/>
  <c r="EQ280" i="29"/>
  <c r="EP280" i="29"/>
  <c r="EO280" i="29"/>
  <c r="EN280" i="29"/>
  <c r="EM280" i="29"/>
  <c r="EL280" i="29"/>
  <c r="FO279" i="29"/>
  <c r="FN279" i="29"/>
  <c r="FM279" i="29"/>
  <c r="FL279" i="29"/>
  <c r="FK279" i="29"/>
  <c r="FJ279" i="29"/>
  <c r="FI279" i="29"/>
  <c r="FH279" i="29"/>
  <c r="FG279" i="29"/>
  <c r="FF279" i="29"/>
  <c r="FE279" i="29"/>
  <c r="FD279" i="29"/>
  <c r="FC279" i="29"/>
  <c r="FB279" i="29"/>
  <c r="FA279" i="29"/>
  <c r="EZ279" i="29"/>
  <c r="EY279" i="29"/>
  <c r="EX279" i="29"/>
  <c r="EW279" i="29"/>
  <c r="EV279" i="29"/>
  <c r="EU279" i="29"/>
  <c r="ET279" i="29"/>
  <c r="ES279" i="29"/>
  <c r="ER279" i="29"/>
  <c r="EQ279" i="29"/>
  <c r="EP279" i="29"/>
  <c r="EO279" i="29"/>
  <c r="EN279" i="29"/>
  <c r="EM279" i="29"/>
  <c r="EL279" i="29"/>
  <c r="FO278" i="29"/>
  <c r="FN278" i="29"/>
  <c r="FM278" i="29"/>
  <c r="FL278" i="29"/>
  <c r="FK278" i="29"/>
  <c r="FJ278" i="29"/>
  <c r="FI278" i="29"/>
  <c r="FH278" i="29"/>
  <c r="FG278" i="29"/>
  <c r="FF278" i="29"/>
  <c r="FE278" i="29"/>
  <c r="FD278" i="29"/>
  <c r="FC278" i="29"/>
  <c r="FB278" i="29"/>
  <c r="FA278" i="29"/>
  <c r="EZ278" i="29"/>
  <c r="EY278" i="29"/>
  <c r="EX278" i="29"/>
  <c r="EW278" i="29"/>
  <c r="EV278" i="29"/>
  <c r="EU278" i="29"/>
  <c r="ET278" i="29"/>
  <c r="ES278" i="29"/>
  <c r="ER278" i="29"/>
  <c r="EQ278" i="29"/>
  <c r="EP278" i="29"/>
  <c r="EO278" i="29"/>
  <c r="EN278" i="29"/>
  <c r="EM278" i="29"/>
  <c r="EL278" i="29"/>
  <c r="FO277" i="29"/>
  <c r="FN277" i="29"/>
  <c r="FM277" i="29"/>
  <c r="FL277" i="29"/>
  <c r="FK277" i="29"/>
  <c r="FJ277" i="29"/>
  <c r="FI277" i="29"/>
  <c r="FH277" i="29"/>
  <c r="FG277" i="29"/>
  <c r="FF277" i="29"/>
  <c r="FE277" i="29"/>
  <c r="FD277" i="29"/>
  <c r="FC277" i="29"/>
  <c r="FB277" i="29"/>
  <c r="FA277" i="29"/>
  <c r="EZ277" i="29"/>
  <c r="EY277" i="29"/>
  <c r="EX277" i="29"/>
  <c r="EW277" i="29"/>
  <c r="EV277" i="29"/>
  <c r="EU277" i="29"/>
  <c r="ET277" i="29"/>
  <c r="ES277" i="29"/>
  <c r="ER277" i="29"/>
  <c r="EQ277" i="29"/>
  <c r="EP277" i="29"/>
  <c r="EO277" i="29"/>
  <c r="EN277" i="29"/>
  <c r="EM277" i="29"/>
  <c r="EL277" i="29"/>
  <c r="FO276" i="29"/>
  <c r="FN276" i="29"/>
  <c r="FM276" i="29"/>
  <c r="FL276" i="29"/>
  <c r="FK276" i="29"/>
  <c r="FJ276" i="29"/>
  <c r="FI276" i="29"/>
  <c r="FH276" i="29"/>
  <c r="FG276" i="29"/>
  <c r="FF276" i="29"/>
  <c r="FE276" i="29"/>
  <c r="FD276" i="29"/>
  <c r="FC276" i="29"/>
  <c r="FB276" i="29"/>
  <c r="FA276" i="29"/>
  <c r="EZ276" i="29"/>
  <c r="EY276" i="29"/>
  <c r="EX276" i="29"/>
  <c r="EW276" i="29"/>
  <c r="EV276" i="29"/>
  <c r="EU276" i="29"/>
  <c r="ET276" i="29"/>
  <c r="ES276" i="29"/>
  <c r="ER276" i="29"/>
  <c r="EQ276" i="29"/>
  <c r="EP276" i="29"/>
  <c r="EO276" i="29"/>
  <c r="EN276" i="29"/>
  <c r="EM276" i="29"/>
  <c r="EL276" i="29"/>
  <c r="FO275" i="29"/>
  <c r="FN275" i="29"/>
  <c r="FM275" i="29"/>
  <c r="FL275" i="29"/>
  <c r="FK275" i="29"/>
  <c r="FJ275" i="29"/>
  <c r="FI275" i="29"/>
  <c r="FH275" i="29"/>
  <c r="FG275" i="29"/>
  <c r="FF275" i="29"/>
  <c r="FE275" i="29"/>
  <c r="FD275" i="29"/>
  <c r="FC275" i="29"/>
  <c r="FB275" i="29"/>
  <c r="FA275" i="29"/>
  <c r="EZ275" i="29"/>
  <c r="EY275" i="29"/>
  <c r="EX275" i="29"/>
  <c r="EW275" i="29"/>
  <c r="EV275" i="29"/>
  <c r="EU275" i="29"/>
  <c r="ET275" i="29"/>
  <c r="ES275" i="29"/>
  <c r="ER275" i="29"/>
  <c r="EQ275" i="29"/>
  <c r="EP275" i="29"/>
  <c r="EO275" i="29"/>
  <c r="EN275" i="29"/>
  <c r="EM275" i="29"/>
  <c r="EL275" i="29"/>
  <c r="FO274" i="29"/>
  <c r="FN274" i="29"/>
  <c r="FM274" i="29"/>
  <c r="FL274" i="29"/>
  <c r="FK274" i="29"/>
  <c r="FJ274" i="29"/>
  <c r="FI274" i="29"/>
  <c r="FH274" i="29"/>
  <c r="FG274" i="29"/>
  <c r="FF274" i="29"/>
  <c r="FE274" i="29"/>
  <c r="FD274" i="29"/>
  <c r="FC274" i="29"/>
  <c r="FB274" i="29"/>
  <c r="FA274" i="29"/>
  <c r="EZ274" i="29"/>
  <c r="EY274" i="29"/>
  <c r="EX274" i="29"/>
  <c r="EW274" i="29"/>
  <c r="EV274" i="29"/>
  <c r="EU274" i="29"/>
  <c r="ET274" i="29"/>
  <c r="ES274" i="29"/>
  <c r="ER274" i="29"/>
  <c r="EQ274" i="29"/>
  <c r="EP274" i="29"/>
  <c r="EO274" i="29"/>
  <c r="EN274" i="29"/>
  <c r="EM274" i="29"/>
  <c r="EL274" i="29"/>
  <c r="FO273" i="29"/>
  <c r="FN273" i="29"/>
  <c r="FM273" i="29"/>
  <c r="FL273" i="29"/>
  <c r="FK273" i="29"/>
  <c r="FJ273" i="29"/>
  <c r="FI273" i="29"/>
  <c r="FH273" i="29"/>
  <c r="FG273" i="29"/>
  <c r="FF273" i="29"/>
  <c r="FE273" i="29"/>
  <c r="FD273" i="29"/>
  <c r="FC273" i="29"/>
  <c r="FB273" i="29"/>
  <c r="FA273" i="29"/>
  <c r="EZ273" i="29"/>
  <c r="EY273" i="29"/>
  <c r="EX273" i="29"/>
  <c r="EW273" i="29"/>
  <c r="EV273" i="29"/>
  <c r="EU273" i="29"/>
  <c r="ET273" i="29"/>
  <c r="ES273" i="29"/>
  <c r="ER273" i="29"/>
  <c r="EQ273" i="29"/>
  <c r="EP273" i="29"/>
  <c r="EO273" i="29"/>
  <c r="EN273" i="29"/>
  <c r="EM273" i="29"/>
  <c r="EL273" i="29"/>
  <c r="FO272" i="29"/>
  <c r="FN272" i="29"/>
  <c r="FM272" i="29"/>
  <c r="FL272" i="29"/>
  <c r="FK272" i="29"/>
  <c r="FJ272" i="29"/>
  <c r="FI272" i="29"/>
  <c r="FH272" i="29"/>
  <c r="FG272" i="29"/>
  <c r="FF272" i="29"/>
  <c r="FE272" i="29"/>
  <c r="FD272" i="29"/>
  <c r="FC272" i="29"/>
  <c r="FB272" i="29"/>
  <c r="FA272" i="29"/>
  <c r="EZ272" i="29"/>
  <c r="EY272" i="29"/>
  <c r="EX272" i="29"/>
  <c r="EW272" i="29"/>
  <c r="EV272" i="29"/>
  <c r="EU272" i="29"/>
  <c r="ET272" i="29"/>
  <c r="ES272" i="29"/>
  <c r="ER272" i="29"/>
  <c r="EQ272" i="29"/>
  <c r="EP272" i="29"/>
  <c r="EO272" i="29"/>
  <c r="EN272" i="29"/>
  <c r="EM272" i="29"/>
  <c r="EL272" i="29"/>
  <c r="FO271" i="29"/>
  <c r="FN271" i="29"/>
  <c r="FM271" i="29"/>
  <c r="FL271" i="29"/>
  <c r="FK271" i="29"/>
  <c r="FJ271" i="29"/>
  <c r="FI271" i="29"/>
  <c r="FH271" i="29"/>
  <c r="FG271" i="29"/>
  <c r="FF271" i="29"/>
  <c r="FE271" i="29"/>
  <c r="FD271" i="29"/>
  <c r="FC271" i="29"/>
  <c r="FB271" i="29"/>
  <c r="FA271" i="29"/>
  <c r="EZ271" i="29"/>
  <c r="EY271" i="29"/>
  <c r="EX271" i="29"/>
  <c r="EW271" i="29"/>
  <c r="EV271" i="29"/>
  <c r="EU271" i="29"/>
  <c r="ET271" i="29"/>
  <c r="ES271" i="29"/>
  <c r="ER271" i="29"/>
  <c r="EQ271" i="29"/>
  <c r="EP271" i="29"/>
  <c r="EO271" i="29"/>
  <c r="EN271" i="29"/>
  <c r="EM271" i="29"/>
  <c r="EL271" i="29"/>
  <c r="FO270" i="29"/>
  <c r="FN270" i="29"/>
  <c r="FM270" i="29"/>
  <c r="FL270" i="29"/>
  <c r="FK270" i="29"/>
  <c r="FJ270" i="29"/>
  <c r="FI270" i="29"/>
  <c r="FH270" i="29"/>
  <c r="FG270" i="29"/>
  <c r="FF270" i="29"/>
  <c r="FE270" i="29"/>
  <c r="FD270" i="29"/>
  <c r="FC270" i="29"/>
  <c r="FB270" i="29"/>
  <c r="FA270" i="29"/>
  <c r="EZ270" i="29"/>
  <c r="EY270" i="29"/>
  <c r="EX270" i="29"/>
  <c r="EW270" i="29"/>
  <c r="EV270" i="29"/>
  <c r="EU270" i="29"/>
  <c r="ET270" i="29"/>
  <c r="ES270" i="29"/>
  <c r="ER270" i="29"/>
  <c r="EQ270" i="29"/>
  <c r="EP270" i="29"/>
  <c r="EO270" i="29"/>
  <c r="EN270" i="29"/>
  <c r="EM270" i="29"/>
  <c r="EL270" i="29"/>
  <c r="FO269" i="29"/>
  <c r="FN269" i="29"/>
  <c r="FM269" i="29"/>
  <c r="FL269" i="29"/>
  <c r="FK269" i="29"/>
  <c r="FJ269" i="29"/>
  <c r="FI269" i="29"/>
  <c r="FH269" i="29"/>
  <c r="FG269" i="29"/>
  <c r="FF269" i="29"/>
  <c r="FE269" i="29"/>
  <c r="FD269" i="29"/>
  <c r="FC269" i="29"/>
  <c r="FB269" i="29"/>
  <c r="FA269" i="29"/>
  <c r="EZ269" i="29"/>
  <c r="EY269" i="29"/>
  <c r="EX269" i="29"/>
  <c r="EW269" i="29"/>
  <c r="EV269" i="29"/>
  <c r="EU269" i="29"/>
  <c r="ET269" i="29"/>
  <c r="ES269" i="29"/>
  <c r="ER269" i="29"/>
  <c r="EQ269" i="29"/>
  <c r="EP269" i="29"/>
  <c r="EO269" i="29"/>
  <c r="EN269" i="29"/>
  <c r="EM269" i="29"/>
  <c r="EL269" i="29"/>
  <c r="FO268" i="29"/>
  <c r="FN268" i="29"/>
  <c r="FM268" i="29"/>
  <c r="FL268" i="29"/>
  <c r="FK268" i="29"/>
  <c r="FJ268" i="29"/>
  <c r="FI268" i="29"/>
  <c r="FH268" i="29"/>
  <c r="FG268" i="29"/>
  <c r="FF268" i="29"/>
  <c r="FE268" i="29"/>
  <c r="FD268" i="29"/>
  <c r="FC268" i="29"/>
  <c r="FB268" i="29"/>
  <c r="FA268" i="29"/>
  <c r="EZ268" i="29"/>
  <c r="EY268" i="29"/>
  <c r="EX268" i="29"/>
  <c r="EW268" i="29"/>
  <c r="EV268" i="29"/>
  <c r="EU268" i="29"/>
  <c r="ET268" i="29"/>
  <c r="ES268" i="29"/>
  <c r="ER268" i="29"/>
  <c r="EQ268" i="29"/>
  <c r="EP268" i="29"/>
  <c r="EO268" i="29"/>
  <c r="EN268" i="29"/>
  <c r="EM268" i="29"/>
  <c r="EL268" i="29"/>
  <c r="FO267" i="29"/>
  <c r="FN267" i="29"/>
  <c r="FM267" i="29"/>
  <c r="FL267" i="29"/>
  <c r="FK267" i="29"/>
  <c r="FJ267" i="29"/>
  <c r="FI267" i="29"/>
  <c r="FH267" i="29"/>
  <c r="FG267" i="29"/>
  <c r="FF267" i="29"/>
  <c r="FE267" i="29"/>
  <c r="FD267" i="29"/>
  <c r="FC267" i="29"/>
  <c r="FB267" i="29"/>
  <c r="FA267" i="29"/>
  <c r="EZ267" i="29"/>
  <c r="EY267" i="29"/>
  <c r="EX267" i="29"/>
  <c r="EW267" i="29"/>
  <c r="EV267" i="29"/>
  <c r="EU267" i="29"/>
  <c r="ET267" i="29"/>
  <c r="ES267" i="29"/>
  <c r="ER267" i="29"/>
  <c r="EQ267" i="29"/>
  <c r="EP267" i="29"/>
  <c r="EO267" i="29"/>
  <c r="EN267" i="29"/>
  <c r="EM267" i="29"/>
  <c r="EL267" i="29"/>
  <c r="FO266" i="29"/>
  <c r="FN266" i="29"/>
  <c r="FM266" i="29"/>
  <c r="FL266" i="29"/>
  <c r="FK266" i="29"/>
  <c r="FJ266" i="29"/>
  <c r="FI266" i="29"/>
  <c r="FH266" i="29"/>
  <c r="FG266" i="29"/>
  <c r="FF266" i="29"/>
  <c r="FE266" i="29"/>
  <c r="FD266" i="29"/>
  <c r="FC266" i="29"/>
  <c r="FB266" i="29"/>
  <c r="FA266" i="29"/>
  <c r="EZ266" i="29"/>
  <c r="EY266" i="29"/>
  <c r="EX266" i="29"/>
  <c r="EW266" i="29"/>
  <c r="EV266" i="29"/>
  <c r="EU266" i="29"/>
  <c r="ET266" i="29"/>
  <c r="ES266" i="29"/>
  <c r="ER266" i="29"/>
  <c r="EQ266" i="29"/>
  <c r="EP266" i="29"/>
  <c r="EO266" i="29"/>
  <c r="EN266" i="29"/>
  <c r="EM266" i="29"/>
  <c r="EL266" i="29"/>
  <c r="FO265" i="29"/>
  <c r="FN265" i="29"/>
  <c r="FM265" i="29"/>
  <c r="FL265" i="29"/>
  <c r="FK265" i="29"/>
  <c r="FJ265" i="29"/>
  <c r="FI265" i="29"/>
  <c r="FH265" i="29"/>
  <c r="FG265" i="29"/>
  <c r="FF265" i="29"/>
  <c r="FE265" i="29"/>
  <c r="FD265" i="29"/>
  <c r="FC265" i="29"/>
  <c r="FB265" i="29"/>
  <c r="FA265" i="29"/>
  <c r="EZ265" i="29"/>
  <c r="EY265" i="29"/>
  <c r="EX265" i="29"/>
  <c r="EW265" i="29"/>
  <c r="EV265" i="29"/>
  <c r="EU265" i="29"/>
  <c r="ET265" i="29"/>
  <c r="ES265" i="29"/>
  <c r="ER265" i="29"/>
  <c r="EQ265" i="29"/>
  <c r="EP265" i="29"/>
  <c r="EO265" i="29"/>
  <c r="EN265" i="29"/>
  <c r="EM265" i="29"/>
  <c r="EL265" i="29"/>
  <c r="FO264" i="29"/>
  <c r="FN264" i="29"/>
  <c r="FM264" i="29"/>
  <c r="FL264" i="29"/>
  <c r="FK264" i="29"/>
  <c r="FJ264" i="29"/>
  <c r="FI264" i="29"/>
  <c r="FH264" i="29"/>
  <c r="FG264" i="29"/>
  <c r="FF264" i="29"/>
  <c r="FE264" i="29"/>
  <c r="FD264" i="29"/>
  <c r="FC264" i="29"/>
  <c r="FB264" i="29"/>
  <c r="FA264" i="29"/>
  <c r="EZ264" i="29"/>
  <c r="EY264" i="29"/>
  <c r="EX264" i="29"/>
  <c r="EW264" i="29"/>
  <c r="EV264" i="29"/>
  <c r="EU264" i="29"/>
  <c r="ET264" i="29"/>
  <c r="ES264" i="29"/>
  <c r="ER264" i="29"/>
  <c r="EQ264" i="29"/>
  <c r="EP264" i="29"/>
  <c r="EO264" i="29"/>
  <c r="EN264" i="29"/>
  <c r="EM264" i="29"/>
  <c r="EL264" i="29"/>
  <c r="FO263" i="29"/>
  <c r="FN263" i="29"/>
  <c r="FM263" i="29"/>
  <c r="FL263" i="29"/>
  <c r="FK263" i="29"/>
  <c r="FJ263" i="29"/>
  <c r="FI263" i="29"/>
  <c r="FH263" i="29"/>
  <c r="FG263" i="29"/>
  <c r="FF263" i="29"/>
  <c r="FE263" i="29"/>
  <c r="FD263" i="29"/>
  <c r="FC263" i="29"/>
  <c r="FB263" i="29"/>
  <c r="FA263" i="29"/>
  <c r="EZ263" i="29"/>
  <c r="EY263" i="29"/>
  <c r="EX263" i="29"/>
  <c r="EW263" i="29"/>
  <c r="EV263" i="29"/>
  <c r="EU263" i="29"/>
  <c r="ET263" i="29"/>
  <c r="ES263" i="29"/>
  <c r="ER263" i="29"/>
  <c r="EQ263" i="29"/>
  <c r="EP263" i="29"/>
  <c r="EO263" i="29"/>
  <c r="EN263" i="29"/>
  <c r="EM263" i="29"/>
  <c r="EL263" i="29"/>
  <c r="FO262" i="29"/>
  <c r="FN262" i="29"/>
  <c r="FM262" i="29"/>
  <c r="FL262" i="29"/>
  <c r="FK262" i="29"/>
  <c r="FJ262" i="29"/>
  <c r="FI262" i="29"/>
  <c r="FH262" i="29"/>
  <c r="FG262" i="29"/>
  <c r="FF262" i="29"/>
  <c r="FE262" i="29"/>
  <c r="FD262" i="29"/>
  <c r="FC262" i="29"/>
  <c r="FB262" i="29"/>
  <c r="FA262" i="29"/>
  <c r="EZ262" i="29"/>
  <c r="EY262" i="29"/>
  <c r="EX262" i="29"/>
  <c r="EW262" i="29"/>
  <c r="EV262" i="29"/>
  <c r="EU262" i="29"/>
  <c r="ET262" i="29"/>
  <c r="ES262" i="29"/>
  <c r="ER262" i="29"/>
  <c r="EQ262" i="29"/>
  <c r="EP262" i="29"/>
  <c r="EO262" i="29"/>
  <c r="EN262" i="29"/>
  <c r="EM262" i="29"/>
  <c r="EL262" i="29"/>
  <c r="FO261" i="29"/>
  <c r="FN261" i="29"/>
  <c r="FM261" i="29"/>
  <c r="FL261" i="29"/>
  <c r="FK261" i="29"/>
  <c r="FJ261" i="29"/>
  <c r="FI261" i="29"/>
  <c r="FH261" i="29"/>
  <c r="FG261" i="29"/>
  <c r="FF261" i="29"/>
  <c r="FE261" i="29"/>
  <c r="FD261" i="29"/>
  <c r="FC261" i="29"/>
  <c r="FB261" i="29"/>
  <c r="FA261" i="29"/>
  <c r="EZ261" i="29"/>
  <c r="EY261" i="29"/>
  <c r="EX261" i="29"/>
  <c r="EW261" i="29"/>
  <c r="EV261" i="29"/>
  <c r="EU261" i="29"/>
  <c r="ET261" i="29"/>
  <c r="ES261" i="29"/>
  <c r="ER261" i="29"/>
  <c r="EQ261" i="29"/>
  <c r="EP261" i="29"/>
  <c r="EO261" i="29"/>
  <c r="EN261" i="29"/>
  <c r="EM261" i="29"/>
  <c r="EL261" i="29"/>
  <c r="FO260" i="29"/>
  <c r="FN260" i="29"/>
  <c r="FM260" i="29"/>
  <c r="FL260" i="29"/>
  <c r="FK260" i="29"/>
  <c r="FJ260" i="29"/>
  <c r="FI260" i="29"/>
  <c r="FH260" i="29"/>
  <c r="FG260" i="29"/>
  <c r="FF260" i="29"/>
  <c r="FE260" i="29"/>
  <c r="FD260" i="29"/>
  <c r="FC260" i="29"/>
  <c r="FB260" i="29"/>
  <c r="FA260" i="29"/>
  <c r="EZ260" i="29"/>
  <c r="EY260" i="29"/>
  <c r="EX260" i="29"/>
  <c r="EW260" i="29"/>
  <c r="EV260" i="29"/>
  <c r="EU260" i="29"/>
  <c r="ET260" i="29"/>
  <c r="ES260" i="29"/>
  <c r="ER260" i="29"/>
  <c r="EQ260" i="29"/>
  <c r="EP260" i="29"/>
  <c r="EO260" i="29"/>
  <c r="EN260" i="29"/>
  <c r="EM260" i="29"/>
  <c r="EL260" i="29"/>
  <c r="FO259" i="29"/>
  <c r="FN259" i="29"/>
  <c r="FM259" i="29"/>
  <c r="FL259" i="29"/>
  <c r="FK259" i="29"/>
  <c r="FJ259" i="29"/>
  <c r="FI259" i="29"/>
  <c r="FH259" i="29"/>
  <c r="FG259" i="29"/>
  <c r="FF259" i="29"/>
  <c r="FE259" i="29"/>
  <c r="FD259" i="29"/>
  <c r="FC259" i="29"/>
  <c r="FB259" i="29"/>
  <c r="FA259" i="29"/>
  <c r="EZ259" i="29"/>
  <c r="EY259" i="29"/>
  <c r="EX259" i="29"/>
  <c r="EW259" i="29"/>
  <c r="EV259" i="29"/>
  <c r="EU259" i="29"/>
  <c r="ET259" i="29"/>
  <c r="ES259" i="29"/>
  <c r="ER259" i="29"/>
  <c r="EQ259" i="29"/>
  <c r="EP259" i="29"/>
  <c r="EO259" i="29"/>
  <c r="EN259" i="29"/>
  <c r="EM259" i="29"/>
  <c r="EL259" i="29"/>
  <c r="FO258" i="29"/>
  <c r="FN258" i="29"/>
  <c r="FM258" i="29"/>
  <c r="FL258" i="29"/>
  <c r="FK258" i="29"/>
  <c r="FJ258" i="29"/>
  <c r="FI258" i="29"/>
  <c r="FH258" i="29"/>
  <c r="FG258" i="29"/>
  <c r="FF258" i="29"/>
  <c r="FE258" i="29"/>
  <c r="FD258" i="29"/>
  <c r="FC258" i="29"/>
  <c r="FB258" i="29"/>
  <c r="FA258" i="29"/>
  <c r="EZ258" i="29"/>
  <c r="EY258" i="29"/>
  <c r="EX258" i="29"/>
  <c r="EW258" i="29"/>
  <c r="EV258" i="29"/>
  <c r="EU258" i="29"/>
  <c r="ET258" i="29"/>
  <c r="ES258" i="29"/>
  <c r="ER258" i="29"/>
  <c r="EQ258" i="29"/>
  <c r="EP258" i="29"/>
  <c r="EO258" i="29"/>
  <c r="EN258" i="29"/>
  <c r="EM258" i="29"/>
  <c r="EL258" i="29"/>
  <c r="FO257" i="29"/>
  <c r="FN257" i="29"/>
  <c r="FM257" i="29"/>
  <c r="FL257" i="29"/>
  <c r="FK257" i="29"/>
  <c r="FJ257" i="29"/>
  <c r="FI257" i="29"/>
  <c r="FH257" i="29"/>
  <c r="FG257" i="29"/>
  <c r="FF257" i="29"/>
  <c r="FE257" i="29"/>
  <c r="FD257" i="29"/>
  <c r="FC257" i="29"/>
  <c r="FB257" i="29"/>
  <c r="FA257" i="29"/>
  <c r="EZ257" i="29"/>
  <c r="EY257" i="29"/>
  <c r="EX257" i="29"/>
  <c r="EW257" i="29"/>
  <c r="EV257" i="29"/>
  <c r="EU257" i="29"/>
  <c r="ET257" i="29"/>
  <c r="ES257" i="29"/>
  <c r="ER257" i="29"/>
  <c r="EQ257" i="29"/>
  <c r="EP257" i="29"/>
  <c r="EO257" i="29"/>
  <c r="EN257" i="29"/>
  <c r="EM257" i="29"/>
  <c r="EL257" i="29"/>
  <c r="FO256" i="29"/>
  <c r="FN256" i="29"/>
  <c r="FM256" i="29"/>
  <c r="FL256" i="29"/>
  <c r="FK256" i="29"/>
  <c r="FJ256" i="29"/>
  <c r="FI256" i="29"/>
  <c r="FH256" i="29"/>
  <c r="FG256" i="29"/>
  <c r="FF256" i="29"/>
  <c r="FE256" i="29"/>
  <c r="FD256" i="29"/>
  <c r="FC256" i="29"/>
  <c r="FB256" i="29"/>
  <c r="FA256" i="29"/>
  <c r="EZ256" i="29"/>
  <c r="EY256" i="29"/>
  <c r="EX256" i="29"/>
  <c r="EW256" i="29"/>
  <c r="EV256" i="29"/>
  <c r="EU256" i="29"/>
  <c r="ET256" i="29"/>
  <c r="ES256" i="29"/>
  <c r="ER256" i="29"/>
  <c r="EQ256" i="29"/>
  <c r="EP256" i="29"/>
  <c r="EO256" i="29"/>
  <c r="EN256" i="29"/>
  <c r="EM256" i="29"/>
  <c r="EL256" i="29"/>
  <c r="FO255" i="29"/>
  <c r="FN255" i="29"/>
  <c r="FM255" i="29"/>
  <c r="FL255" i="29"/>
  <c r="FK255" i="29"/>
  <c r="FJ255" i="29"/>
  <c r="FI255" i="29"/>
  <c r="FH255" i="29"/>
  <c r="FG255" i="29"/>
  <c r="FF255" i="29"/>
  <c r="FE255" i="29"/>
  <c r="FD255" i="29"/>
  <c r="FC255" i="29"/>
  <c r="FB255" i="29"/>
  <c r="FA255" i="29"/>
  <c r="EZ255" i="29"/>
  <c r="EY255" i="29"/>
  <c r="EX255" i="29"/>
  <c r="EW255" i="29"/>
  <c r="EV255" i="29"/>
  <c r="EU255" i="29"/>
  <c r="ET255" i="29"/>
  <c r="ES255" i="29"/>
  <c r="ER255" i="29"/>
  <c r="EQ255" i="29"/>
  <c r="EP255" i="29"/>
  <c r="EO255" i="29"/>
  <c r="EN255" i="29"/>
  <c r="EM255" i="29"/>
  <c r="EL255" i="29"/>
  <c r="FO254" i="29"/>
  <c r="FN254" i="29"/>
  <c r="FM254" i="29"/>
  <c r="FL254" i="29"/>
  <c r="FK254" i="29"/>
  <c r="FJ254" i="29"/>
  <c r="FI254" i="29"/>
  <c r="FH254" i="29"/>
  <c r="FG254" i="29"/>
  <c r="FF254" i="29"/>
  <c r="FE254" i="29"/>
  <c r="FD254" i="29"/>
  <c r="FC254" i="29"/>
  <c r="FB254" i="29"/>
  <c r="FA254" i="29"/>
  <c r="EZ254" i="29"/>
  <c r="EY254" i="29"/>
  <c r="EX254" i="29"/>
  <c r="EW254" i="29"/>
  <c r="EV254" i="29"/>
  <c r="EU254" i="29"/>
  <c r="ET254" i="29"/>
  <c r="ES254" i="29"/>
  <c r="ER254" i="29"/>
  <c r="EQ254" i="29"/>
  <c r="EP254" i="29"/>
  <c r="EO254" i="29"/>
  <c r="EN254" i="29"/>
  <c r="EM254" i="29"/>
  <c r="EL254" i="29"/>
  <c r="FO253" i="29"/>
  <c r="FN253" i="29"/>
  <c r="FM253" i="29"/>
  <c r="FL253" i="29"/>
  <c r="FK253" i="29"/>
  <c r="FJ253" i="29"/>
  <c r="FI253" i="29"/>
  <c r="FH253" i="29"/>
  <c r="FG253" i="29"/>
  <c r="FF253" i="29"/>
  <c r="FE253" i="29"/>
  <c r="FD253" i="29"/>
  <c r="FC253" i="29"/>
  <c r="FB253" i="29"/>
  <c r="FA253" i="29"/>
  <c r="EZ253" i="29"/>
  <c r="EY253" i="29"/>
  <c r="EX253" i="29"/>
  <c r="EW253" i="29"/>
  <c r="EV253" i="29"/>
  <c r="EU253" i="29"/>
  <c r="ET253" i="29"/>
  <c r="ES253" i="29"/>
  <c r="ER253" i="29"/>
  <c r="EQ253" i="29"/>
  <c r="EP253" i="29"/>
  <c r="EO253" i="29"/>
  <c r="EN253" i="29"/>
  <c r="EM253" i="29"/>
  <c r="EL253" i="29"/>
  <c r="FO252" i="29"/>
  <c r="FN252" i="29"/>
  <c r="FM252" i="29"/>
  <c r="FL252" i="29"/>
  <c r="FK252" i="29"/>
  <c r="FJ252" i="29"/>
  <c r="FI252" i="29"/>
  <c r="FH252" i="29"/>
  <c r="FG252" i="29"/>
  <c r="FF252" i="29"/>
  <c r="FE252" i="29"/>
  <c r="FD252" i="29"/>
  <c r="FC252" i="29"/>
  <c r="FB252" i="29"/>
  <c r="FA252" i="29"/>
  <c r="EZ252" i="29"/>
  <c r="EY252" i="29"/>
  <c r="EX252" i="29"/>
  <c r="EW252" i="29"/>
  <c r="EV252" i="29"/>
  <c r="EU252" i="29"/>
  <c r="ET252" i="29"/>
  <c r="ES252" i="29"/>
  <c r="ER252" i="29"/>
  <c r="EQ252" i="29"/>
  <c r="EP252" i="29"/>
  <c r="EO252" i="29"/>
  <c r="EN252" i="29"/>
  <c r="EM252" i="29"/>
  <c r="EL252" i="29"/>
  <c r="FO251" i="29"/>
  <c r="FN251" i="29"/>
  <c r="FM251" i="29"/>
  <c r="FL251" i="29"/>
  <c r="FK251" i="29"/>
  <c r="FJ251" i="29"/>
  <c r="FI251" i="29"/>
  <c r="FH251" i="29"/>
  <c r="FG251" i="29"/>
  <c r="FF251" i="29"/>
  <c r="FE251" i="29"/>
  <c r="FD251" i="29"/>
  <c r="FC251" i="29"/>
  <c r="FB251" i="29"/>
  <c r="FA251" i="29"/>
  <c r="EZ251" i="29"/>
  <c r="EY251" i="29"/>
  <c r="EX251" i="29"/>
  <c r="EW251" i="29"/>
  <c r="EV251" i="29"/>
  <c r="EU251" i="29"/>
  <c r="ET251" i="29"/>
  <c r="ES251" i="29"/>
  <c r="ER251" i="29"/>
  <c r="EQ251" i="29"/>
  <c r="EP251" i="29"/>
  <c r="EO251" i="29"/>
  <c r="EN251" i="29"/>
  <c r="EM251" i="29"/>
  <c r="EL251" i="29"/>
  <c r="FO250" i="29"/>
  <c r="FN250" i="29"/>
  <c r="FM250" i="29"/>
  <c r="FL250" i="29"/>
  <c r="FK250" i="29"/>
  <c r="FJ250" i="29"/>
  <c r="FI250" i="29"/>
  <c r="FH250" i="29"/>
  <c r="FG250" i="29"/>
  <c r="FF250" i="29"/>
  <c r="FE250" i="29"/>
  <c r="FD250" i="29"/>
  <c r="FC250" i="29"/>
  <c r="FB250" i="29"/>
  <c r="FA250" i="29"/>
  <c r="EZ250" i="29"/>
  <c r="EY250" i="29"/>
  <c r="EX250" i="29"/>
  <c r="EW250" i="29"/>
  <c r="EV250" i="29"/>
  <c r="EU250" i="29"/>
  <c r="ET250" i="29"/>
  <c r="ES250" i="29"/>
  <c r="ER250" i="29"/>
  <c r="EQ250" i="29"/>
  <c r="EP250" i="29"/>
  <c r="EO250" i="29"/>
  <c r="EN250" i="29"/>
  <c r="EM250" i="29"/>
  <c r="EL250" i="29"/>
  <c r="FO249" i="29"/>
  <c r="FN249" i="29"/>
  <c r="FM249" i="29"/>
  <c r="FL249" i="29"/>
  <c r="FK249" i="29"/>
  <c r="FJ249" i="29"/>
  <c r="FI249" i="29"/>
  <c r="FH249" i="29"/>
  <c r="FG249" i="29"/>
  <c r="FF249" i="29"/>
  <c r="FE249" i="29"/>
  <c r="FD249" i="29"/>
  <c r="FC249" i="29"/>
  <c r="FB249" i="29"/>
  <c r="FA249" i="29"/>
  <c r="EZ249" i="29"/>
  <c r="EY249" i="29"/>
  <c r="EX249" i="29"/>
  <c r="EW249" i="29"/>
  <c r="EV249" i="29"/>
  <c r="EU249" i="29"/>
  <c r="ET249" i="29"/>
  <c r="ES249" i="29"/>
  <c r="ER249" i="29"/>
  <c r="EQ249" i="29"/>
  <c r="EP249" i="29"/>
  <c r="EO249" i="29"/>
  <c r="EN249" i="29"/>
  <c r="EM249" i="29"/>
  <c r="EL249" i="29"/>
  <c r="FO248" i="29"/>
  <c r="FN248" i="29"/>
  <c r="FM248" i="29"/>
  <c r="FL248" i="29"/>
  <c r="FK248" i="29"/>
  <c r="FJ248" i="29"/>
  <c r="FI248" i="29"/>
  <c r="FH248" i="29"/>
  <c r="FG248" i="29"/>
  <c r="FF248" i="29"/>
  <c r="FE248" i="29"/>
  <c r="FD248" i="29"/>
  <c r="FC248" i="29"/>
  <c r="FB248" i="29"/>
  <c r="FA248" i="29"/>
  <c r="EZ248" i="29"/>
  <c r="EY248" i="29"/>
  <c r="EX248" i="29"/>
  <c r="EW248" i="29"/>
  <c r="EV248" i="29"/>
  <c r="EU248" i="29"/>
  <c r="ET248" i="29"/>
  <c r="ES248" i="29"/>
  <c r="ER248" i="29"/>
  <c r="EQ248" i="29"/>
  <c r="EP248" i="29"/>
  <c r="EO248" i="29"/>
  <c r="EN248" i="29"/>
  <c r="EM248" i="29"/>
  <c r="EL248" i="29"/>
  <c r="FO247" i="29"/>
  <c r="FN247" i="29"/>
  <c r="FM247" i="29"/>
  <c r="FL247" i="29"/>
  <c r="FK247" i="29"/>
  <c r="FJ247" i="29"/>
  <c r="FI247" i="29"/>
  <c r="FH247" i="29"/>
  <c r="FG247" i="29"/>
  <c r="FF247" i="29"/>
  <c r="FE247" i="29"/>
  <c r="FD247" i="29"/>
  <c r="FC247" i="29"/>
  <c r="FB247" i="29"/>
  <c r="FA247" i="29"/>
  <c r="EZ247" i="29"/>
  <c r="EY247" i="29"/>
  <c r="EX247" i="29"/>
  <c r="EW247" i="29"/>
  <c r="EV247" i="29"/>
  <c r="EU247" i="29"/>
  <c r="ET247" i="29"/>
  <c r="ES247" i="29"/>
  <c r="ER247" i="29"/>
  <c r="EQ247" i="29"/>
  <c r="EP247" i="29"/>
  <c r="EO247" i="29"/>
  <c r="EN247" i="29"/>
  <c r="EM247" i="29"/>
  <c r="EL247" i="29"/>
  <c r="FO246" i="29"/>
  <c r="FN246" i="29"/>
  <c r="FM246" i="29"/>
  <c r="FL246" i="29"/>
  <c r="FK246" i="29"/>
  <c r="FJ246" i="29"/>
  <c r="FI246" i="29"/>
  <c r="FH246" i="29"/>
  <c r="FG246" i="29"/>
  <c r="FF246" i="29"/>
  <c r="FE246" i="29"/>
  <c r="FD246" i="29"/>
  <c r="FC246" i="29"/>
  <c r="FB246" i="29"/>
  <c r="FA246" i="29"/>
  <c r="EZ246" i="29"/>
  <c r="EY246" i="29"/>
  <c r="EX246" i="29"/>
  <c r="EW246" i="29"/>
  <c r="EV246" i="29"/>
  <c r="EU246" i="29"/>
  <c r="ET246" i="29"/>
  <c r="ES246" i="29"/>
  <c r="ER246" i="29"/>
  <c r="EQ246" i="29"/>
  <c r="EP246" i="29"/>
  <c r="EO246" i="29"/>
  <c r="EN246" i="29"/>
  <c r="EM246" i="29"/>
  <c r="EL246" i="29"/>
  <c r="FO245" i="29"/>
  <c r="FN245" i="29"/>
  <c r="FM245" i="29"/>
  <c r="FL245" i="29"/>
  <c r="FK245" i="29"/>
  <c r="FJ245" i="29"/>
  <c r="FI245" i="29"/>
  <c r="FH245" i="29"/>
  <c r="FG245" i="29"/>
  <c r="FF245" i="29"/>
  <c r="FE245" i="29"/>
  <c r="FD245" i="29"/>
  <c r="FC245" i="29"/>
  <c r="FB245" i="29"/>
  <c r="FA245" i="29"/>
  <c r="EZ245" i="29"/>
  <c r="EY245" i="29"/>
  <c r="EX245" i="29"/>
  <c r="EW245" i="29"/>
  <c r="EV245" i="29"/>
  <c r="EU245" i="29"/>
  <c r="ET245" i="29"/>
  <c r="ES245" i="29"/>
  <c r="ER245" i="29"/>
  <c r="EQ245" i="29"/>
  <c r="EP245" i="29"/>
  <c r="EO245" i="29"/>
  <c r="EN245" i="29"/>
  <c r="EM245" i="29"/>
  <c r="EL245" i="29"/>
  <c r="FO244" i="29"/>
  <c r="FN244" i="29"/>
  <c r="FM244" i="29"/>
  <c r="FL244" i="29"/>
  <c r="FK244" i="29"/>
  <c r="FJ244" i="29"/>
  <c r="FI244" i="29"/>
  <c r="FH244" i="29"/>
  <c r="FG244" i="29"/>
  <c r="FF244" i="29"/>
  <c r="FE244" i="29"/>
  <c r="FD244" i="29"/>
  <c r="FC244" i="29"/>
  <c r="FB244" i="29"/>
  <c r="FA244" i="29"/>
  <c r="EZ244" i="29"/>
  <c r="EY244" i="29"/>
  <c r="EX244" i="29"/>
  <c r="EW244" i="29"/>
  <c r="EV244" i="29"/>
  <c r="EU244" i="29"/>
  <c r="ET244" i="29"/>
  <c r="ES244" i="29"/>
  <c r="ER244" i="29"/>
  <c r="EQ244" i="29"/>
  <c r="EP244" i="29"/>
  <c r="EO244" i="29"/>
  <c r="EN244" i="29"/>
  <c r="EM244" i="29"/>
  <c r="EL244" i="29"/>
  <c r="FO243" i="29"/>
  <c r="FN243" i="29"/>
  <c r="FM243" i="29"/>
  <c r="FL243" i="29"/>
  <c r="FK243" i="29"/>
  <c r="FJ243" i="29"/>
  <c r="FI243" i="29"/>
  <c r="FH243" i="29"/>
  <c r="FG243" i="29"/>
  <c r="FF243" i="29"/>
  <c r="FE243" i="29"/>
  <c r="FD243" i="29"/>
  <c r="FC243" i="29"/>
  <c r="FB243" i="29"/>
  <c r="FA243" i="29"/>
  <c r="EZ243" i="29"/>
  <c r="EY243" i="29"/>
  <c r="EX243" i="29"/>
  <c r="EW243" i="29"/>
  <c r="EV243" i="29"/>
  <c r="EU243" i="29"/>
  <c r="ET243" i="29"/>
  <c r="ES243" i="29"/>
  <c r="ER243" i="29"/>
  <c r="EQ243" i="29"/>
  <c r="EP243" i="29"/>
  <c r="EO243" i="29"/>
  <c r="EN243" i="29"/>
  <c r="EM243" i="29"/>
  <c r="EL243" i="29"/>
  <c r="FO242" i="29"/>
  <c r="FN242" i="29"/>
  <c r="FM242" i="29"/>
  <c r="FL242" i="29"/>
  <c r="FK242" i="29"/>
  <c r="FJ242" i="29"/>
  <c r="FI242" i="29"/>
  <c r="FH242" i="29"/>
  <c r="FG242" i="29"/>
  <c r="FF242" i="29"/>
  <c r="FE242" i="29"/>
  <c r="FD242" i="29"/>
  <c r="FC242" i="29"/>
  <c r="FB242" i="29"/>
  <c r="FA242" i="29"/>
  <c r="EZ242" i="29"/>
  <c r="EY242" i="29"/>
  <c r="EX242" i="29"/>
  <c r="EW242" i="29"/>
  <c r="EV242" i="29"/>
  <c r="EU242" i="29"/>
  <c r="ET242" i="29"/>
  <c r="ES242" i="29"/>
  <c r="ER242" i="29"/>
  <c r="EQ242" i="29"/>
  <c r="EP242" i="29"/>
  <c r="EO242" i="29"/>
  <c r="EN242" i="29"/>
  <c r="EM242" i="29"/>
  <c r="EL242" i="29"/>
  <c r="FO241" i="29"/>
  <c r="FN241" i="29"/>
  <c r="FM241" i="29"/>
  <c r="FL241" i="29"/>
  <c r="FK241" i="29"/>
  <c r="FJ241" i="29"/>
  <c r="FI241" i="29"/>
  <c r="FH241" i="29"/>
  <c r="FG241" i="29"/>
  <c r="FF241" i="29"/>
  <c r="FE241" i="29"/>
  <c r="FD241" i="29"/>
  <c r="FC241" i="29"/>
  <c r="FB241" i="29"/>
  <c r="FA241" i="29"/>
  <c r="EZ241" i="29"/>
  <c r="EY241" i="29"/>
  <c r="EX241" i="29"/>
  <c r="EW241" i="29"/>
  <c r="EV241" i="29"/>
  <c r="EU241" i="29"/>
  <c r="ET241" i="29"/>
  <c r="ES241" i="29"/>
  <c r="ER241" i="29"/>
  <c r="EQ241" i="29"/>
  <c r="EP241" i="29"/>
  <c r="EO241" i="29"/>
  <c r="EN241" i="29"/>
  <c r="EM241" i="29"/>
  <c r="EL241" i="29"/>
  <c r="FO240" i="29"/>
  <c r="FN240" i="29"/>
  <c r="FM240" i="29"/>
  <c r="FL240" i="29"/>
  <c r="FK240" i="29"/>
  <c r="FJ240" i="29"/>
  <c r="FI240" i="29"/>
  <c r="FH240" i="29"/>
  <c r="FG240" i="29"/>
  <c r="FF240" i="29"/>
  <c r="FE240" i="29"/>
  <c r="FD240" i="29"/>
  <c r="FC240" i="29"/>
  <c r="FB240" i="29"/>
  <c r="FA240" i="29"/>
  <c r="EZ240" i="29"/>
  <c r="EY240" i="29"/>
  <c r="EX240" i="29"/>
  <c r="EW240" i="29"/>
  <c r="EV240" i="29"/>
  <c r="EU240" i="29"/>
  <c r="ET240" i="29"/>
  <c r="ES240" i="29"/>
  <c r="ER240" i="29"/>
  <c r="EQ240" i="29"/>
  <c r="EP240" i="29"/>
  <c r="EO240" i="29"/>
  <c r="EN240" i="29"/>
  <c r="EM240" i="29"/>
  <c r="EL240" i="29"/>
  <c r="FO239" i="29"/>
  <c r="FN239" i="29"/>
  <c r="FM239" i="29"/>
  <c r="FL239" i="29"/>
  <c r="FK239" i="29"/>
  <c r="FJ239" i="29"/>
  <c r="FI239" i="29"/>
  <c r="FH239" i="29"/>
  <c r="FG239" i="29"/>
  <c r="FF239" i="29"/>
  <c r="FE239" i="29"/>
  <c r="FD239" i="29"/>
  <c r="FC239" i="29"/>
  <c r="FB239" i="29"/>
  <c r="FA239" i="29"/>
  <c r="EZ239" i="29"/>
  <c r="EY239" i="29"/>
  <c r="EX239" i="29"/>
  <c r="EW239" i="29"/>
  <c r="EV239" i="29"/>
  <c r="EU239" i="29"/>
  <c r="ET239" i="29"/>
  <c r="ES239" i="29"/>
  <c r="ER239" i="29"/>
  <c r="EQ239" i="29"/>
  <c r="EP239" i="29"/>
  <c r="EO239" i="29"/>
  <c r="EN239" i="29"/>
  <c r="EM239" i="29"/>
  <c r="EL239" i="29"/>
  <c r="FO238" i="29"/>
  <c r="FN238" i="29"/>
  <c r="FM238" i="29"/>
  <c r="FL238" i="29"/>
  <c r="FK238" i="29"/>
  <c r="FJ238" i="29"/>
  <c r="FI238" i="29"/>
  <c r="FH238" i="29"/>
  <c r="FG238" i="29"/>
  <c r="FF238" i="29"/>
  <c r="FE238" i="29"/>
  <c r="FD238" i="29"/>
  <c r="FC238" i="29"/>
  <c r="FB238" i="29"/>
  <c r="FA238" i="29"/>
  <c r="EZ238" i="29"/>
  <c r="EY238" i="29"/>
  <c r="EX238" i="29"/>
  <c r="EW238" i="29"/>
  <c r="EV238" i="29"/>
  <c r="EU238" i="29"/>
  <c r="ET238" i="29"/>
  <c r="ES238" i="29"/>
  <c r="ER238" i="29"/>
  <c r="EQ238" i="29"/>
  <c r="EP238" i="29"/>
  <c r="EO238" i="29"/>
  <c r="EN238" i="29"/>
  <c r="EM238" i="29"/>
  <c r="EL238" i="29"/>
  <c r="FO237" i="29"/>
  <c r="FN237" i="29"/>
  <c r="FM237" i="29"/>
  <c r="FL237" i="29"/>
  <c r="FK237" i="29"/>
  <c r="FJ237" i="29"/>
  <c r="FI237" i="29"/>
  <c r="FH237" i="29"/>
  <c r="FG237" i="29"/>
  <c r="FF237" i="29"/>
  <c r="FE237" i="29"/>
  <c r="FD237" i="29"/>
  <c r="FC237" i="29"/>
  <c r="FB237" i="29"/>
  <c r="FA237" i="29"/>
  <c r="EZ237" i="29"/>
  <c r="EY237" i="29"/>
  <c r="EX237" i="29"/>
  <c r="EW237" i="29"/>
  <c r="EV237" i="29"/>
  <c r="EU237" i="29"/>
  <c r="ET237" i="29"/>
  <c r="ES237" i="29"/>
  <c r="ER237" i="29"/>
  <c r="EQ237" i="29"/>
  <c r="EP237" i="29"/>
  <c r="EO237" i="29"/>
  <c r="EN237" i="29"/>
  <c r="EM237" i="29"/>
  <c r="EL237" i="29"/>
  <c r="FO236" i="29"/>
  <c r="FN236" i="29"/>
  <c r="FM236" i="29"/>
  <c r="FL236" i="29"/>
  <c r="FK236" i="29"/>
  <c r="FJ236" i="29"/>
  <c r="FI236" i="29"/>
  <c r="FH236" i="29"/>
  <c r="FG236" i="29"/>
  <c r="FF236" i="29"/>
  <c r="FE236" i="29"/>
  <c r="FD236" i="29"/>
  <c r="FC236" i="29"/>
  <c r="FB236" i="29"/>
  <c r="FA236" i="29"/>
  <c r="EZ236" i="29"/>
  <c r="EY236" i="29"/>
  <c r="EX236" i="29"/>
  <c r="EW236" i="29"/>
  <c r="EV236" i="29"/>
  <c r="EU236" i="29"/>
  <c r="ET236" i="29"/>
  <c r="ES236" i="29"/>
  <c r="ER236" i="29"/>
  <c r="EQ236" i="29"/>
  <c r="EP236" i="29"/>
  <c r="EO236" i="29"/>
  <c r="EN236" i="29"/>
  <c r="EM236" i="29"/>
  <c r="EL236" i="29"/>
  <c r="FO235" i="29"/>
  <c r="FN235" i="29"/>
  <c r="FM235" i="29"/>
  <c r="FL235" i="29"/>
  <c r="FK235" i="29"/>
  <c r="FJ235" i="29"/>
  <c r="FI235" i="29"/>
  <c r="FH235" i="29"/>
  <c r="FG235" i="29"/>
  <c r="FF235" i="29"/>
  <c r="FE235" i="29"/>
  <c r="FD235" i="29"/>
  <c r="FC235" i="29"/>
  <c r="FB235" i="29"/>
  <c r="FA235" i="29"/>
  <c r="EZ235" i="29"/>
  <c r="EY235" i="29"/>
  <c r="EX235" i="29"/>
  <c r="EW235" i="29"/>
  <c r="EV235" i="29"/>
  <c r="EU235" i="29"/>
  <c r="ET235" i="29"/>
  <c r="ES235" i="29"/>
  <c r="ER235" i="29"/>
  <c r="EQ235" i="29"/>
  <c r="EP235" i="29"/>
  <c r="EO235" i="29"/>
  <c r="EN235" i="29"/>
  <c r="EM235" i="29"/>
  <c r="EL235" i="29"/>
  <c r="FO234" i="29"/>
  <c r="FN234" i="29"/>
  <c r="FM234" i="29"/>
  <c r="FL234" i="29"/>
  <c r="FK234" i="29"/>
  <c r="FJ234" i="29"/>
  <c r="FI234" i="29"/>
  <c r="FH234" i="29"/>
  <c r="FG234" i="29"/>
  <c r="FF234" i="29"/>
  <c r="FE234" i="29"/>
  <c r="FD234" i="29"/>
  <c r="FC234" i="29"/>
  <c r="FB234" i="29"/>
  <c r="FA234" i="29"/>
  <c r="EZ234" i="29"/>
  <c r="EY234" i="29"/>
  <c r="EX234" i="29"/>
  <c r="EW234" i="29"/>
  <c r="EV234" i="29"/>
  <c r="EU234" i="29"/>
  <c r="ET234" i="29"/>
  <c r="ES234" i="29"/>
  <c r="ER234" i="29"/>
  <c r="EQ234" i="29"/>
  <c r="EP234" i="29"/>
  <c r="EO234" i="29"/>
  <c r="EN234" i="29"/>
  <c r="EM234" i="29"/>
  <c r="EL234" i="29"/>
  <c r="FO233" i="29"/>
  <c r="FN233" i="29"/>
  <c r="FM233" i="29"/>
  <c r="FL233" i="29"/>
  <c r="FK233" i="29"/>
  <c r="FJ233" i="29"/>
  <c r="FI233" i="29"/>
  <c r="FH233" i="29"/>
  <c r="FG233" i="29"/>
  <c r="FF233" i="29"/>
  <c r="FE233" i="29"/>
  <c r="FD233" i="29"/>
  <c r="FC233" i="29"/>
  <c r="FB233" i="29"/>
  <c r="FA233" i="29"/>
  <c r="EZ233" i="29"/>
  <c r="EY233" i="29"/>
  <c r="EX233" i="29"/>
  <c r="EW233" i="29"/>
  <c r="EV233" i="29"/>
  <c r="EU233" i="29"/>
  <c r="ET233" i="29"/>
  <c r="ES233" i="29"/>
  <c r="ER233" i="29"/>
  <c r="EQ233" i="29"/>
  <c r="EP233" i="29"/>
  <c r="EO233" i="29"/>
  <c r="EN233" i="29"/>
  <c r="EM233" i="29"/>
  <c r="EL233" i="29"/>
  <c r="FO232" i="29"/>
  <c r="FN232" i="29"/>
  <c r="FM232" i="29"/>
  <c r="FL232" i="29"/>
  <c r="FK232" i="29"/>
  <c r="FJ232" i="29"/>
  <c r="FI232" i="29"/>
  <c r="FH232" i="29"/>
  <c r="FG232" i="29"/>
  <c r="FF232" i="29"/>
  <c r="FE232" i="29"/>
  <c r="FD232" i="29"/>
  <c r="FC232" i="29"/>
  <c r="FB232" i="29"/>
  <c r="FA232" i="29"/>
  <c r="EZ232" i="29"/>
  <c r="EY232" i="29"/>
  <c r="EX232" i="29"/>
  <c r="EW232" i="29"/>
  <c r="EV232" i="29"/>
  <c r="EU232" i="29"/>
  <c r="ET232" i="29"/>
  <c r="ES232" i="29"/>
  <c r="ER232" i="29"/>
  <c r="EQ232" i="29"/>
  <c r="EP232" i="29"/>
  <c r="EO232" i="29"/>
  <c r="EN232" i="29"/>
  <c r="EM232" i="29"/>
  <c r="EL232" i="29"/>
  <c r="FO231" i="29"/>
  <c r="FN231" i="29"/>
  <c r="FM231" i="29"/>
  <c r="FL231" i="29"/>
  <c r="FK231" i="29"/>
  <c r="FJ231" i="29"/>
  <c r="FI231" i="29"/>
  <c r="FH231" i="29"/>
  <c r="FG231" i="29"/>
  <c r="FF231" i="29"/>
  <c r="FE231" i="29"/>
  <c r="FD231" i="29"/>
  <c r="FC231" i="29"/>
  <c r="FB231" i="29"/>
  <c r="FA231" i="29"/>
  <c r="EZ231" i="29"/>
  <c r="EY231" i="29"/>
  <c r="EX231" i="29"/>
  <c r="EW231" i="29"/>
  <c r="EV231" i="29"/>
  <c r="EU231" i="29"/>
  <c r="ET231" i="29"/>
  <c r="ES231" i="29"/>
  <c r="ER231" i="29"/>
  <c r="EQ231" i="29"/>
  <c r="EP231" i="29"/>
  <c r="EO231" i="29"/>
  <c r="EN231" i="29"/>
  <c r="EM231" i="29"/>
  <c r="EL231" i="29"/>
  <c r="FO230" i="29"/>
  <c r="FN230" i="29"/>
  <c r="FM230" i="29"/>
  <c r="FL230" i="29"/>
  <c r="FK230" i="29"/>
  <c r="FJ230" i="29"/>
  <c r="FI230" i="29"/>
  <c r="FH230" i="29"/>
  <c r="FG230" i="29"/>
  <c r="FF230" i="29"/>
  <c r="FE230" i="29"/>
  <c r="FD230" i="29"/>
  <c r="FC230" i="29"/>
  <c r="FB230" i="29"/>
  <c r="FA230" i="29"/>
  <c r="EZ230" i="29"/>
  <c r="EY230" i="29"/>
  <c r="EX230" i="29"/>
  <c r="EW230" i="29"/>
  <c r="EV230" i="29"/>
  <c r="EU230" i="29"/>
  <c r="ET230" i="29"/>
  <c r="ES230" i="29"/>
  <c r="ER230" i="29"/>
  <c r="EQ230" i="29"/>
  <c r="EP230" i="29"/>
  <c r="EO230" i="29"/>
  <c r="EN230" i="29"/>
  <c r="EM230" i="29"/>
  <c r="EL230" i="29"/>
  <c r="FO229" i="29"/>
  <c r="FN229" i="29"/>
  <c r="FM229" i="29"/>
  <c r="FL229" i="29"/>
  <c r="FK229" i="29"/>
  <c r="FJ229" i="29"/>
  <c r="FI229" i="29"/>
  <c r="FH229" i="29"/>
  <c r="FG229" i="29"/>
  <c r="FF229" i="29"/>
  <c r="FE229" i="29"/>
  <c r="FD229" i="29"/>
  <c r="FC229" i="29"/>
  <c r="FB229" i="29"/>
  <c r="FA229" i="29"/>
  <c r="EZ229" i="29"/>
  <c r="EY229" i="29"/>
  <c r="EX229" i="29"/>
  <c r="EW229" i="29"/>
  <c r="EV229" i="29"/>
  <c r="EU229" i="29"/>
  <c r="ET229" i="29"/>
  <c r="ES229" i="29"/>
  <c r="ER229" i="29"/>
  <c r="EQ229" i="29"/>
  <c r="EP229" i="29"/>
  <c r="EO229" i="29"/>
  <c r="EN229" i="29"/>
  <c r="EM229" i="29"/>
  <c r="EL229" i="29"/>
  <c r="FO228" i="29"/>
  <c r="FN228" i="29"/>
  <c r="FM228" i="29"/>
  <c r="FL228" i="29"/>
  <c r="FK228" i="29"/>
  <c r="FJ228" i="29"/>
  <c r="FI228" i="29"/>
  <c r="FH228" i="29"/>
  <c r="FG228" i="29"/>
  <c r="FF228" i="29"/>
  <c r="FE228" i="29"/>
  <c r="FD228" i="29"/>
  <c r="FC228" i="29"/>
  <c r="FB228" i="29"/>
  <c r="FA228" i="29"/>
  <c r="EZ228" i="29"/>
  <c r="EY228" i="29"/>
  <c r="EX228" i="29"/>
  <c r="EW228" i="29"/>
  <c r="EV228" i="29"/>
  <c r="EU228" i="29"/>
  <c r="ET228" i="29"/>
  <c r="ES228" i="29"/>
  <c r="ER228" i="29"/>
  <c r="EQ228" i="29"/>
  <c r="EP228" i="29"/>
  <c r="EO228" i="29"/>
  <c r="EN228" i="29"/>
  <c r="EM228" i="29"/>
  <c r="EL228" i="29"/>
  <c r="FO227" i="29"/>
  <c r="FN227" i="29"/>
  <c r="FM227" i="29"/>
  <c r="FL227" i="29"/>
  <c r="FK227" i="29"/>
  <c r="FJ227" i="29"/>
  <c r="FI227" i="29"/>
  <c r="FH227" i="29"/>
  <c r="FG227" i="29"/>
  <c r="FF227" i="29"/>
  <c r="FE227" i="29"/>
  <c r="FD227" i="29"/>
  <c r="FC227" i="29"/>
  <c r="FB227" i="29"/>
  <c r="FA227" i="29"/>
  <c r="EZ227" i="29"/>
  <c r="EY227" i="29"/>
  <c r="EX227" i="29"/>
  <c r="EW227" i="29"/>
  <c r="EV227" i="29"/>
  <c r="EU227" i="29"/>
  <c r="ET227" i="29"/>
  <c r="ES227" i="29"/>
  <c r="ER227" i="29"/>
  <c r="EQ227" i="29"/>
  <c r="EP227" i="29"/>
  <c r="EO227" i="29"/>
  <c r="EN227" i="29"/>
  <c r="EM227" i="29"/>
  <c r="EL227" i="29"/>
  <c r="FO226" i="29"/>
  <c r="FN226" i="29"/>
  <c r="FM226" i="29"/>
  <c r="FL226" i="29"/>
  <c r="FK226" i="29"/>
  <c r="FJ226" i="29"/>
  <c r="FI226" i="29"/>
  <c r="FH226" i="29"/>
  <c r="FG226" i="29"/>
  <c r="FF226" i="29"/>
  <c r="FE226" i="29"/>
  <c r="FD226" i="29"/>
  <c r="FC226" i="29"/>
  <c r="FB226" i="29"/>
  <c r="FA226" i="29"/>
  <c r="EZ226" i="29"/>
  <c r="EY226" i="29"/>
  <c r="EX226" i="29"/>
  <c r="EW226" i="29"/>
  <c r="EV226" i="29"/>
  <c r="EU226" i="29"/>
  <c r="ET226" i="29"/>
  <c r="ES226" i="29"/>
  <c r="ER226" i="29"/>
  <c r="EQ226" i="29"/>
  <c r="EP226" i="29"/>
  <c r="EO226" i="29"/>
  <c r="EN226" i="29"/>
  <c r="EM226" i="29"/>
  <c r="EL226" i="29"/>
  <c r="FO225" i="29"/>
  <c r="FN225" i="29"/>
  <c r="FM225" i="29"/>
  <c r="FL225" i="29"/>
  <c r="FK225" i="29"/>
  <c r="FJ225" i="29"/>
  <c r="FI225" i="29"/>
  <c r="FH225" i="29"/>
  <c r="FG225" i="29"/>
  <c r="FF225" i="29"/>
  <c r="FE225" i="29"/>
  <c r="FD225" i="29"/>
  <c r="FC225" i="29"/>
  <c r="FB225" i="29"/>
  <c r="FA225" i="29"/>
  <c r="EZ225" i="29"/>
  <c r="EY225" i="29"/>
  <c r="EX225" i="29"/>
  <c r="EW225" i="29"/>
  <c r="EV225" i="29"/>
  <c r="EU225" i="29"/>
  <c r="ET225" i="29"/>
  <c r="ES225" i="29"/>
  <c r="ER225" i="29"/>
  <c r="EQ225" i="29"/>
  <c r="EP225" i="29"/>
  <c r="EO225" i="29"/>
  <c r="EN225" i="29"/>
  <c r="EM225" i="29"/>
  <c r="EL225" i="29"/>
  <c r="FO224" i="29"/>
  <c r="FN224" i="29"/>
  <c r="FM224" i="29"/>
  <c r="FL224" i="29"/>
  <c r="FK224" i="29"/>
  <c r="FJ224" i="29"/>
  <c r="FI224" i="29"/>
  <c r="FH224" i="29"/>
  <c r="FG224" i="29"/>
  <c r="FF224" i="29"/>
  <c r="FE224" i="29"/>
  <c r="FD224" i="29"/>
  <c r="FC224" i="29"/>
  <c r="FB224" i="29"/>
  <c r="FA224" i="29"/>
  <c r="EZ224" i="29"/>
  <c r="EY224" i="29"/>
  <c r="EX224" i="29"/>
  <c r="EW224" i="29"/>
  <c r="EV224" i="29"/>
  <c r="EU224" i="29"/>
  <c r="ET224" i="29"/>
  <c r="ES224" i="29"/>
  <c r="ER224" i="29"/>
  <c r="EQ224" i="29"/>
  <c r="EP224" i="29"/>
  <c r="EO224" i="29"/>
  <c r="EN224" i="29"/>
  <c r="EM224" i="29"/>
  <c r="EL224" i="29"/>
  <c r="FO223" i="29"/>
  <c r="FN223" i="29"/>
  <c r="FM223" i="29"/>
  <c r="FL223" i="29"/>
  <c r="FK223" i="29"/>
  <c r="FJ223" i="29"/>
  <c r="FI223" i="29"/>
  <c r="FH223" i="29"/>
  <c r="FG223" i="29"/>
  <c r="FF223" i="29"/>
  <c r="FE223" i="29"/>
  <c r="FD223" i="29"/>
  <c r="FC223" i="29"/>
  <c r="FB223" i="29"/>
  <c r="FA223" i="29"/>
  <c r="EZ223" i="29"/>
  <c r="EY223" i="29"/>
  <c r="EX223" i="29"/>
  <c r="EW223" i="29"/>
  <c r="EV223" i="29"/>
  <c r="EU223" i="29"/>
  <c r="ET223" i="29"/>
  <c r="ES223" i="29"/>
  <c r="ER223" i="29"/>
  <c r="EQ223" i="29"/>
  <c r="EP223" i="29"/>
  <c r="EO223" i="29"/>
  <c r="EN223" i="29"/>
  <c r="EM223" i="29"/>
  <c r="EL223" i="29"/>
  <c r="FO222" i="29"/>
  <c r="FN222" i="29"/>
  <c r="FM222" i="29"/>
  <c r="FL222" i="29"/>
  <c r="FK222" i="29"/>
  <c r="FJ222" i="29"/>
  <c r="FI222" i="29"/>
  <c r="FH222" i="29"/>
  <c r="FG222" i="29"/>
  <c r="FF222" i="29"/>
  <c r="FE222" i="29"/>
  <c r="FD222" i="29"/>
  <c r="FC222" i="29"/>
  <c r="FB222" i="29"/>
  <c r="FA222" i="29"/>
  <c r="EZ222" i="29"/>
  <c r="EY222" i="29"/>
  <c r="EX222" i="29"/>
  <c r="EW222" i="29"/>
  <c r="EV222" i="29"/>
  <c r="EU222" i="29"/>
  <c r="ET222" i="29"/>
  <c r="ES222" i="29"/>
  <c r="ER222" i="29"/>
  <c r="EQ222" i="29"/>
  <c r="EP222" i="29"/>
  <c r="EO222" i="29"/>
  <c r="EN222" i="29"/>
  <c r="EM222" i="29"/>
  <c r="EL222" i="29"/>
  <c r="FO221" i="29"/>
  <c r="FN221" i="29"/>
  <c r="FM221" i="29"/>
  <c r="FL221" i="29"/>
  <c r="FK221" i="29"/>
  <c r="FJ221" i="29"/>
  <c r="FI221" i="29"/>
  <c r="FH221" i="29"/>
  <c r="FG221" i="29"/>
  <c r="FF221" i="29"/>
  <c r="FE221" i="29"/>
  <c r="FD221" i="29"/>
  <c r="FC221" i="29"/>
  <c r="FB221" i="29"/>
  <c r="FA221" i="29"/>
  <c r="EZ221" i="29"/>
  <c r="EY221" i="29"/>
  <c r="EX221" i="29"/>
  <c r="EW221" i="29"/>
  <c r="EV221" i="29"/>
  <c r="EU221" i="29"/>
  <c r="ET221" i="29"/>
  <c r="ES221" i="29"/>
  <c r="ER221" i="29"/>
  <c r="EQ221" i="29"/>
  <c r="EP221" i="29"/>
  <c r="EO221" i="29"/>
  <c r="EN221" i="29"/>
  <c r="EM221" i="29"/>
  <c r="EL221" i="29"/>
  <c r="FO219" i="29"/>
  <c r="FN219" i="29"/>
  <c r="FM219" i="29"/>
  <c r="FL219" i="29"/>
  <c r="FK219" i="29"/>
  <c r="FJ219" i="29"/>
  <c r="FI219" i="29"/>
  <c r="FH219" i="29"/>
  <c r="FG219" i="29"/>
  <c r="FF219" i="29"/>
  <c r="FE219" i="29"/>
  <c r="FD219" i="29"/>
  <c r="FC219" i="29"/>
  <c r="FB219" i="29"/>
  <c r="FA219" i="29"/>
  <c r="EZ219" i="29"/>
  <c r="EY219" i="29"/>
  <c r="EX219" i="29"/>
  <c r="EW219" i="29"/>
  <c r="EV219" i="29"/>
  <c r="EU219" i="29"/>
  <c r="ET219" i="29"/>
  <c r="ES219" i="29"/>
  <c r="ER219" i="29"/>
  <c r="EQ219" i="29"/>
  <c r="EP219" i="29"/>
  <c r="EO219" i="29"/>
  <c r="EN219" i="29"/>
  <c r="EM219" i="29"/>
  <c r="EL219" i="29"/>
  <c r="FO218" i="29"/>
  <c r="FN218" i="29"/>
  <c r="FM218" i="29"/>
  <c r="FL218" i="29"/>
  <c r="FK218" i="29"/>
  <c r="FJ218" i="29"/>
  <c r="FI218" i="29"/>
  <c r="FH218" i="29"/>
  <c r="FG218" i="29"/>
  <c r="FF218" i="29"/>
  <c r="FE218" i="29"/>
  <c r="FD218" i="29"/>
  <c r="FC218" i="29"/>
  <c r="FB218" i="29"/>
  <c r="FA218" i="29"/>
  <c r="EZ218" i="29"/>
  <c r="EY218" i="29"/>
  <c r="EX218" i="29"/>
  <c r="EW218" i="29"/>
  <c r="EV218" i="29"/>
  <c r="EU218" i="29"/>
  <c r="ET218" i="29"/>
  <c r="ES218" i="29"/>
  <c r="ER218" i="29"/>
  <c r="EQ218" i="29"/>
  <c r="EP218" i="29"/>
  <c r="EO218" i="29"/>
  <c r="EN218" i="29"/>
  <c r="EM218" i="29"/>
  <c r="EL218" i="29"/>
  <c r="FO217" i="29"/>
  <c r="FN217" i="29"/>
  <c r="FM217" i="29"/>
  <c r="FL217" i="29"/>
  <c r="FK217" i="29"/>
  <c r="FJ217" i="29"/>
  <c r="FI217" i="29"/>
  <c r="FH217" i="29"/>
  <c r="FG217" i="29"/>
  <c r="FF217" i="29"/>
  <c r="FE217" i="29"/>
  <c r="FD217" i="29"/>
  <c r="FC217" i="29"/>
  <c r="FB217" i="29"/>
  <c r="FA217" i="29"/>
  <c r="EZ217" i="29"/>
  <c r="EY217" i="29"/>
  <c r="EX217" i="29"/>
  <c r="EW217" i="29"/>
  <c r="EV217" i="29"/>
  <c r="EU217" i="29"/>
  <c r="ET217" i="29"/>
  <c r="ES217" i="29"/>
  <c r="ER217" i="29"/>
  <c r="EQ217" i="29"/>
  <c r="EP217" i="29"/>
  <c r="EO217" i="29"/>
  <c r="EN217" i="29"/>
  <c r="EM217" i="29"/>
  <c r="EL217" i="29"/>
  <c r="FO216" i="29"/>
  <c r="FN216" i="29"/>
  <c r="FM216" i="29"/>
  <c r="FL216" i="29"/>
  <c r="FK216" i="29"/>
  <c r="FJ216" i="29"/>
  <c r="FI216" i="29"/>
  <c r="FH216" i="29"/>
  <c r="FG216" i="29"/>
  <c r="FF216" i="29"/>
  <c r="FE216" i="29"/>
  <c r="FD216" i="29"/>
  <c r="FC216" i="29"/>
  <c r="FB216" i="29"/>
  <c r="FA216" i="29"/>
  <c r="EZ216" i="29"/>
  <c r="EY216" i="29"/>
  <c r="EX216" i="29"/>
  <c r="EW216" i="29"/>
  <c r="EV216" i="29"/>
  <c r="EU216" i="29"/>
  <c r="ET216" i="29"/>
  <c r="ES216" i="29"/>
  <c r="ER216" i="29"/>
  <c r="EQ216" i="29"/>
  <c r="EP216" i="29"/>
  <c r="EO216" i="29"/>
  <c r="EN216" i="29"/>
  <c r="EM216" i="29"/>
  <c r="EL216" i="29"/>
  <c r="FO215" i="29"/>
  <c r="FN215" i="29"/>
  <c r="FM215" i="29"/>
  <c r="FL215" i="29"/>
  <c r="FK215" i="29"/>
  <c r="FJ215" i="29"/>
  <c r="FI215" i="29"/>
  <c r="FH215" i="29"/>
  <c r="FG215" i="29"/>
  <c r="FF215" i="29"/>
  <c r="FE215" i="29"/>
  <c r="FD215" i="29"/>
  <c r="FC215" i="29"/>
  <c r="FB215" i="29"/>
  <c r="FA215" i="29"/>
  <c r="EZ215" i="29"/>
  <c r="EY215" i="29"/>
  <c r="EX215" i="29"/>
  <c r="EW215" i="29"/>
  <c r="EV215" i="29"/>
  <c r="EU215" i="29"/>
  <c r="ET215" i="29"/>
  <c r="ES215" i="29"/>
  <c r="ER215" i="29"/>
  <c r="EQ215" i="29"/>
  <c r="EP215" i="29"/>
  <c r="EO215" i="29"/>
  <c r="EN215" i="29"/>
  <c r="EM215" i="29"/>
  <c r="EL215" i="29"/>
  <c r="FO214" i="29"/>
  <c r="FN214" i="29"/>
  <c r="FM214" i="29"/>
  <c r="FL214" i="29"/>
  <c r="FK214" i="29"/>
  <c r="FJ214" i="29"/>
  <c r="FI214" i="29"/>
  <c r="FH214" i="29"/>
  <c r="FG214" i="29"/>
  <c r="FF214" i="29"/>
  <c r="FE214" i="29"/>
  <c r="FD214" i="29"/>
  <c r="FC214" i="29"/>
  <c r="FB214" i="29"/>
  <c r="FA214" i="29"/>
  <c r="EZ214" i="29"/>
  <c r="EY214" i="29"/>
  <c r="EX214" i="29"/>
  <c r="EW214" i="29"/>
  <c r="EV214" i="29"/>
  <c r="EU214" i="29"/>
  <c r="ET214" i="29"/>
  <c r="ES214" i="29"/>
  <c r="ER214" i="29"/>
  <c r="EQ214" i="29"/>
  <c r="EP214" i="29"/>
  <c r="EO214" i="29"/>
  <c r="EN214" i="29"/>
  <c r="EM214" i="29"/>
  <c r="EL214" i="29"/>
  <c r="FO213" i="29"/>
  <c r="FN213" i="29"/>
  <c r="FM213" i="29"/>
  <c r="FL213" i="29"/>
  <c r="FK213" i="29"/>
  <c r="FJ213" i="29"/>
  <c r="FI213" i="29"/>
  <c r="FH213" i="29"/>
  <c r="FG213" i="29"/>
  <c r="FF213" i="29"/>
  <c r="FE213" i="29"/>
  <c r="FD213" i="29"/>
  <c r="FC213" i="29"/>
  <c r="FB213" i="29"/>
  <c r="FA213" i="29"/>
  <c r="EZ213" i="29"/>
  <c r="EY213" i="29"/>
  <c r="EX213" i="29"/>
  <c r="EW213" i="29"/>
  <c r="EV213" i="29"/>
  <c r="EU213" i="29"/>
  <c r="ET213" i="29"/>
  <c r="ES213" i="29"/>
  <c r="ER213" i="29"/>
  <c r="EQ213" i="29"/>
  <c r="EP213" i="29"/>
  <c r="EO213" i="29"/>
  <c r="EN213" i="29"/>
  <c r="EM213" i="29"/>
  <c r="EL213" i="29"/>
  <c r="FO212" i="29"/>
  <c r="FN212" i="29"/>
  <c r="FM212" i="29"/>
  <c r="FL212" i="29"/>
  <c r="FK212" i="29"/>
  <c r="FJ212" i="29"/>
  <c r="FI212" i="29"/>
  <c r="FH212" i="29"/>
  <c r="FG212" i="29"/>
  <c r="FF212" i="29"/>
  <c r="FE212" i="29"/>
  <c r="FD212" i="29"/>
  <c r="FC212" i="29"/>
  <c r="FB212" i="29"/>
  <c r="FA212" i="29"/>
  <c r="EZ212" i="29"/>
  <c r="EY212" i="29"/>
  <c r="EX212" i="29"/>
  <c r="EW212" i="29"/>
  <c r="EV212" i="29"/>
  <c r="EU212" i="29"/>
  <c r="ET212" i="29"/>
  <c r="ES212" i="29"/>
  <c r="ER212" i="29"/>
  <c r="EQ212" i="29"/>
  <c r="EP212" i="29"/>
  <c r="EO212" i="29"/>
  <c r="EN212" i="29"/>
  <c r="EM212" i="29"/>
  <c r="EL212" i="29"/>
  <c r="FO211" i="29"/>
  <c r="FN211" i="29"/>
  <c r="FM211" i="29"/>
  <c r="FL211" i="29"/>
  <c r="FK211" i="29"/>
  <c r="FJ211" i="29"/>
  <c r="FI211" i="29"/>
  <c r="FH211" i="29"/>
  <c r="FG211" i="29"/>
  <c r="FF211" i="29"/>
  <c r="FE211" i="29"/>
  <c r="FD211" i="29"/>
  <c r="FC211" i="29"/>
  <c r="FB211" i="29"/>
  <c r="FA211" i="29"/>
  <c r="EZ211" i="29"/>
  <c r="EY211" i="29"/>
  <c r="EX211" i="29"/>
  <c r="EW211" i="29"/>
  <c r="EV211" i="29"/>
  <c r="EU211" i="29"/>
  <c r="ET211" i="29"/>
  <c r="ES211" i="29"/>
  <c r="ER211" i="29"/>
  <c r="EQ211" i="29"/>
  <c r="EP211" i="29"/>
  <c r="EO211" i="29"/>
  <c r="EN211" i="29"/>
  <c r="EM211" i="29"/>
  <c r="EL211" i="29"/>
  <c r="FO210" i="29"/>
  <c r="FN210" i="29"/>
  <c r="FM210" i="29"/>
  <c r="FL210" i="29"/>
  <c r="FK210" i="29"/>
  <c r="FJ210" i="29"/>
  <c r="FI210" i="29"/>
  <c r="FH210" i="29"/>
  <c r="FG210" i="29"/>
  <c r="FF210" i="29"/>
  <c r="FE210" i="29"/>
  <c r="FD210" i="29"/>
  <c r="FC210" i="29"/>
  <c r="FB210" i="29"/>
  <c r="FA210" i="29"/>
  <c r="EZ210" i="29"/>
  <c r="EY210" i="29"/>
  <c r="EX210" i="29"/>
  <c r="EW210" i="29"/>
  <c r="EV210" i="29"/>
  <c r="EU210" i="29"/>
  <c r="ET210" i="29"/>
  <c r="ES210" i="29"/>
  <c r="ER210" i="29"/>
  <c r="EQ210" i="29"/>
  <c r="EP210" i="29"/>
  <c r="EO210" i="29"/>
  <c r="EN210" i="29"/>
  <c r="EM210" i="29"/>
  <c r="EL210" i="29"/>
  <c r="FO209" i="29"/>
  <c r="FN209" i="29"/>
  <c r="FM209" i="29"/>
  <c r="FL209" i="29"/>
  <c r="FK209" i="29"/>
  <c r="FJ209" i="29"/>
  <c r="FI209" i="29"/>
  <c r="FH209" i="29"/>
  <c r="FG209" i="29"/>
  <c r="FF209" i="29"/>
  <c r="FE209" i="29"/>
  <c r="FD209" i="29"/>
  <c r="FC209" i="29"/>
  <c r="FB209" i="29"/>
  <c r="FA209" i="29"/>
  <c r="EZ209" i="29"/>
  <c r="EY209" i="29"/>
  <c r="EX209" i="29"/>
  <c r="EW209" i="29"/>
  <c r="EV209" i="29"/>
  <c r="EU209" i="29"/>
  <c r="ET209" i="29"/>
  <c r="ES209" i="29"/>
  <c r="ER209" i="29"/>
  <c r="EQ209" i="29"/>
  <c r="EP209" i="29"/>
  <c r="EO209" i="29"/>
  <c r="EN209" i="29"/>
  <c r="EM209" i="29"/>
  <c r="EL209" i="29"/>
  <c r="FO208" i="29"/>
  <c r="FN208" i="29"/>
  <c r="FM208" i="29"/>
  <c r="FL208" i="29"/>
  <c r="FK208" i="29"/>
  <c r="FJ208" i="29"/>
  <c r="FI208" i="29"/>
  <c r="FH208" i="29"/>
  <c r="FG208" i="29"/>
  <c r="FF208" i="29"/>
  <c r="FE208" i="29"/>
  <c r="FD208" i="29"/>
  <c r="FC208" i="29"/>
  <c r="FB208" i="29"/>
  <c r="FA208" i="29"/>
  <c r="EZ208" i="29"/>
  <c r="EY208" i="29"/>
  <c r="EX208" i="29"/>
  <c r="EW208" i="29"/>
  <c r="EV208" i="29"/>
  <c r="EU208" i="29"/>
  <c r="ET208" i="29"/>
  <c r="ES208" i="29"/>
  <c r="ER208" i="29"/>
  <c r="EQ208" i="29"/>
  <c r="EP208" i="29"/>
  <c r="EO208" i="29"/>
  <c r="EN208" i="29"/>
  <c r="EM208" i="29"/>
  <c r="EL208" i="29"/>
  <c r="FO207" i="29"/>
  <c r="FN207" i="29"/>
  <c r="FM207" i="29"/>
  <c r="FL207" i="29"/>
  <c r="FK207" i="29"/>
  <c r="FJ207" i="29"/>
  <c r="FI207" i="29"/>
  <c r="FH207" i="29"/>
  <c r="FG207" i="29"/>
  <c r="FF207" i="29"/>
  <c r="FE207" i="29"/>
  <c r="FD207" i="29"/>
  <c r="FC207" i="29"/>
  <c r="FB207" i="29"/>
  <c r="FA207" i="29"/>
  <c r="EZ207" i="29"/>
  <c r="EY207" i="29"/>
  <c r="EX207" i="29"/>
  <c r="EW207" i="29"/>
  <c r="EV207" i="29"/>
  <c r="EU207" i="29"/>
  <c r="ET207" i="29"/>
  <c r="ES207" i="29"/>
  <c r="ER207" i="29"/>
  <c r="EQ207" i="29"/>
  <c r="EP207" i="29"/>
  <c r="EO207" i="29"/>
  <c r="EN207" i="29"/>
  <c r="EM207" i="29"/>
  <c r="EL207" i="29"/>
  <c r="FO206" i="29"/>
  <c r="FN206" i="29"/>
  <c r="FM206" i="29"/>
  <c r="FL206" i="29"/>
  <c r="FK206" i="29"/>
  <c r="FJ206" i="29"/>
  <c r="FI206" i="29"/>
  <c r="FH206" i="29"/>
  <c r="FG206" i="29"/>
  <c r="FF206" i="29"/>
  <c r="FE206" i="29"/>
  <c r="FD206" i="29"/>
  <c r="FC206" i="29"/>
  <c r="FB206" i="29"/>
  <c r="FA206" i="29"/>
  <c r="EZ206" i="29"/>
  <c r="EY206" i="29"/>
  <c r="EX206" i="29"/>
  <c r="EW206" i="29"/>
  <c r="EV206" i="29"/>
  <c r="EU206" i="29"/>
  <c r="ET206" i="29"/>
  <c r="ES206" i="29"/>
  <c r="ER206" i="29"/>
  <c r="EQ206" i="29"/>
  <c r="EP206" i="29"/>
  <c r="EO206" i="29"/>
  <c r="EN206" i="29"/>
  <c r="EM206" i="29"/>
  <c r="EL206" i="29"/>
  <c r="FO205" i="29"/>
  <c r="FN205" i="29"/>
  <c r="FM205" i="29"/>
  <c r="FL205" i="29"/>
  <c r="FK205" i="29"/>
  <c r="FJ205" i="29"/>
  <c r="FI205" i="29"/>
  <c r="FH205" i="29"/>
  <c r="FG205" i="29"/>
  <c r="FF205" i="29"/>
  <c r="FE205" i="29"/>
  <c r="FD205" i="29"/>
  <c r="FC205" i="29"/>
  <c r="FB205" i="29"/>
  <c r="FA205" i="29"/>
  <c r="EZ205" i="29"/>
  <c r="EY205" i="29"/>
  <c r="EX205" i="29"/>
  <c r="EW205" i="29"/>
  <c r="EV205" i="29"/>
  <c r="EU205" i="29"/>
  <c r="ET205" i="29"/>
  <c r="ES205" i="29"/>
  <c r="ER205" i="29"/>
  <c r="EQ205" i="29"/>
  <c r="EP205" i="29"/>
  <c r="EO205" i="29"/>
  <c r="EN205" i="29"/>
  <c r="EM205" i="29"/>
  <c r="EL205" i="29"/>
  <c r="FO204" i="29"/>
  <c r="FN204" i="29"/>
  <c r="FM204" i="29"/>
  <c r="FL204" i="29"/>
  <c r="FK204" i="29"/>
  <c r="FJ204" i="29"/>
  <c r="FI204" i="29"/>
  <c r="FH204" i="29"/>
  <c r="FG204" i="29"/>
  <c r="FF204" i="29"/>
  <c r="FE204" i="29"/>
  <c r="FD204" i="29"/>
  <c r="FC204" i="29"/>
  <c r="FB204" i="29"/>
  <c r="FA204" i="29"/>
  <c r="EZ204" i="29"/>
  <c r="EY204" i="29"/>
  <c r="EX204" i="29"/>
  <c r="EW204" i="29"/>
  <c r="EV204" i="29"/>
  <c r="EU204" i="29"/>
  <c r="ET204" i="29"/>
  <c r="ES204" i="29"/>
  <c r="ER204" i="29"/>
  <c r="EQ204" i="29"/>
  <c r="EP204" i="29"/>
  <c r="EO204" i="29"/>
  <c r="EN204" i="29"/>
  <c r="EM204" i="29"/>
  <c r="EL204" i="29"/>
  <c r="FO203" i="29"/>
  <c r="FN203" i="29"/>
  <c r="FM203" i="29"/>
  <c r="FL203" i="29"/>
  <c r="FK203" i="29"/>
  <c r="FJ203" i="29"/>
  <c r="FI203" i="29"/>
  <c r="FH203" i="29"/>
  <c r="FG203" i="29"/>
  <c r="FF203" i="29"/>
  <c r="FE203" i="29"/>
  <c r="FD203" i="29"/>
  <c r="FC203" i="29"/>
  <c r="FB203" i="29"/>
  <c r="FA203" i="29"/>
  <c r="EZ203" i="29"/>
  <c r="EY203" i="29"/>
  <c r="EX203" i="29"/>
  <c r="EW203" i="29"/>
  <c r="EV203" i="29"/>
  <c r="EU203" i="29"/>
  <c r="ET203" i="29"/>
  <c r="ES203" i="29"/>
  <c r="ER203" i="29"/>
  <c r="EQ203" i="29"/>
  <c r="EP203" i="29"/>
  <c r="EO203" i="29"/>
  <c r="EN203" i="29"/>
  <c r="EM203" i="29"/>
  <c r="EL203" i="29"/>
  <c r="FO202" i="29"/>
  <c r="FN202" i="29"/>
  <c r="FM202" i="29"/>
  <c r="FL202" i="29"/>
  <c r="FK202" i="29"/>
  <c r="FJ202" i="29"/>
  <c r="FI202" i="29"/>
  <c r="FH202" i="29"/>
  <c r="FG202" i="29"/>
  <c r="FF202" i="29"/>
  <c r="FE202" i="29"/>
  <c r="FD202" i="29"/>
  <c r="FC202" i="29"/>
  <c r="FB202" i="29"/>
  <c r="FA202" i="29"/>
  <c r="EZ202" i="29"/>
  <c r="EY202" i="29"/>
  <c r="EX202" i="29"/>
  <c r="EW202" i="29"/>
  <c r="EV202" i="29"/>
  <c r="EU202" i="29"/>
  <c r="ET202" i="29"/>
  <c r="ES202" i="29"/>
  <c r="ER202" i="29"/>
  <c r="EQ202" i="29"/>
  <c r="EP202" i="29"/>
  <c r="EO202" i="29"/>
  <c r="EN202" i="29"/>
  <c r="EM202" i="29"/>
  <c r="EL202" i="29"/>
  <c r="FO201" i="29"/>
  <c r="FN201" i="29"/>
  <c r="FM201" i="29"/>
  <c r="FL201" i="29"/>
  <c r="FK201" i="29"/>
  <c r="FJ201" i="29"/>
  <c r="FI201" i="29"/>
  <c r="FH201" i="29"/>
  <c r="FG201" i="29"/>
  <c r="FF201" i="29"/>
  <c r="FE201" i="29"/>
  <c r="FD201" i="29"/>
  <c r="FC201" i="29"/>
  <c r="FB201" i="29"/>
  <c r="FA201" i="29"/>
  <c r="EZ201" i="29"/>
  <c r="EY201" i="29"/>
  <c r="EX201" i="29"/>
  <c r="EW201" i="29"/>
  <c r="EV201" i="29"/>
  <c r="EU201" i="29"/>
  <c r="ET201" i="29"/>
  <c r="ES201" i="29"/>
  <c r="ER201" i="29"/>
  <c r="EQ201" i="29"/>
  <c r="EP201" i="29"/>
  <c r="EO201" i="29"/>
  <c r="EN201" i="29"/>
  <c r="EM201" i="29"/>
  <c r="EL201" i="29"/>
  <c r="FO200" i="29"/>
  <c r="FN200" i="29"/>
  <c r="FM200" i="29"/>
  <c r="FL200" i="29"/>
  <c r="FK200" i="29"/>
  <c r="FJ200" i="29"/>
  <c r="FI200" i="29"/>
  <c r="FH200" i="29"/>
  <c r="FG200" i="29"/>
  <c r="FF200" i="29"/>
  <c r="FE200" i="29"/>
  <c r="FD200" i="29"/>
  <c r="FC200" i="29"/>
  <c r="FB200" i="29"/>
  <c r="FA200" i="29"/>
  <c r="EZ200" i="29"/>
  <c r="EY200" i="29"/>
  <c r="EX200" i="29"/>
  <c r="EW200" i="29"/>
  <c r="EV200" i="29"/>
  <c r="EU200" i="29"/>
  <c r="ET200" i="29"/>
  <c r="ES200" i="29"/>
  <c r="ER200" i="29"/>
  <c r="EQ200" i="29"/>
  <c r="EP200" i="29"/>
  <c r="EO200" i="29"/>
  <c r="EN200" i="29"/>
  <c r="EM200" i="29"/>
  <c r="EL200" i="29"/>
  <c r="FO199" i="29"/>
  <c r="FN199" i="29"/>
  <c r="FM199" i="29"/>
  <c r="FL199" i="29"/>
  <c r="FK199" i="29"/>
  <c r="FJ199" i="29"/>
  <c r="FI199" i="29"/>
  <c r="FH199" i="29"/>
  <c r="FG199" i="29"/>
  <c r="FF199" i="29"/>
  <c r="FE199" i="29"/>
  <c r="FD199" i="29"/>
  <c r="FC199" i="29"/>
  <c r="FB199" i="29"/>
  <c r="FA199" i="29"/>
  <c r="EZ199" i="29"/>
  <c r="EY199" i="29"/>
  <c r="EX199" i="29"/>
  <c r="EW199" i="29"/>
  <c r="EV199" i="29"/>
  <c r="EU199" i="29"/>
  <c r="ET199" i="29"/>
  <c r="ES199" i="29"/>
  <c r="ER199" i="29"/>
  <c r="EQ199" i="29"/>
  <c r="EP199" i="29"/>
  <c r="EO199" i="29"/>
  <c r="EN199" i="29"/>
  <c r="EM199" i="29"/>
  <c r="EL199" i="29"/>
  <c r="FO198" i="29"/>
  <c r="FN198" i="29"/>
  <c r="FM198" i="29"/>
  <c r="FL198" i="29"/>
  <c r="FK198" i="29"/>
  <c r="FJ198" i="29"/>
  <c r="FI198" i="29"/>
  <c r="FH198" i="29"/>
  <c r="FG198" i="29"/>
  <c r="FF198" i="29"/>
  <c r="FE198" i="29"/>
  <c r="FD198" i="29"/>
  <c r="FC198" i="29"/>
  <c r="FB198" i="29"/>
  <c r="FA198" i="29"/>
  <c r="EZ198" i="29"/>
  <c r="EY198" i="29"/>
  <c r="EX198" i="29"/>
  <c r="EW198" i="29"/>
  <c r="EV198" i="29"/>
  <c r="EU198" i="29"/>
  <c r="ET198" i="29"/>
  <c r="ES198" i="29"/>
  <c r="ER198" i="29"/>
  <c r="EQ198" i="29"/>
  <c r="EP198" i="29"/>
  <c r="EO198" i="29"/>
  <c r="EN198" i="29"/>
  <c r="EM198" i="29"/>
  <c r="EL198" i="29"/>
  <c r="FO197" i="29"/>
  <c r="FN197" i="29"/>
  <c r="FM197" i="29"/>
  <c r="FL197" i="29"/>
  <c r="FK197" i="29"/>
  <c r="FJ197" i="29"/>
  <c r="FI197" i="29"/>
  <c r="FH197" i="29"/>
  <c r="FG197" i="29"/>
  <c r="FF197" i="29"/>
  <c r="FE197" i="29"/>
  <c r="FD197" i="29"/>
  <c r="FC197" i="29"/>
  <c r="FB197" i="29"/>
  <c r="FA197" i="29"/>
  <c r="EZ197" i="29"/>
  <c r="EY197" i="29"/>
  <c r="EX197" i="29"/>
  <c r="EW197" i="29"/>
  <c r="EV197" i="29"/>
  <c r="EU197" i="29"/>
  <c r="ET197" i="29"/>
  <c r="ES197" i="29"/>
  <c r="ER197" i="29"/>
  <c r="EQ197" i="29"/>
  <c r="EP197" i="29"/>
  <c r="EO197" i="29"/>
  <c r="EN197" i="29"/>
  <c r="EM197" i="29"/>
  <c r="EL197" i="29"/>
  <c r="FO196" i="29"/>
  <c r="FN196" i="29"/>
  <c r="FM196" i="29"/>
  <c r="FL196" i="29"/>
  <c r="FK196" i="29"/>
  <c r="FJ196" i="29"/>
  <c r="FI196" i="29"/>
  <c r="FH196" i="29"/>
  <c r="FG196" i="29"/>
  <c r="FF196" i="29"/>
  <c r="FE196" i="29"/>
  <c r="FD196" i="29"/>
  <c r="FC196" i="29"/>
  <c r="FB196" i="29"/>
  <c r="FA196" i="29"/>
  <c r="EZ196" i="29"/>
  <c r="EY196" i="29"/>
  <c r="EX196" i="29"/>
  <c r="EW196" i="29"/>
  <c r="EV196" i="29"/>
  <c r="EU196" i="29"/>
  <c r="ET196" i="29"/>
  <c r="ES196" i="29"/>
  <c r="ER196" i="29"/>
  <c r="EQ196" i="29"/>
  <c r="EP196" i="29"/>
  <c r="EO196" i="29"/>
  <c r="EN196" i="29"/>
  <c r="EM196" i="29"/>
  <c r="EL196" i="29"/>
  <c r="FO195" i="29"/>
  <c r="FN195" i="29"/>
  <c r="FM195" i="29"/>
  <c r="FL195" i="29"/>
  <c r="FK195" i="29"/>
  <c r="FJ195" i="29"/>
  <c r="FI195" i="29"/>
  <c r="FH195" i="29"/>
  <c r="FG195" i="29"/>
  <c r="FF195" i="29"/>
  <c r="FE195" i="29"/>
  <c r="FD195" i="29"/>
  <c r="FC195" i="29"/>
  <c r="FB195" i="29"/>
  <c r="FA195" i="29"/>
  <c r="EZ195" i="29"/>
  <c r="EY195" i="29"/>
  <c r="EX195" i="29"/>
  <c r="EW195" i="29"/>
  <c r="EV195" i="29"/>
  <c r="EU195" i="29"/>
  <c r="ET195" i="29"/>
  <c r="ES195" i="29"/>
  <c r="ER195" i="29"/>
  <c r="EQ195" i="29"/>
  <c r="EP195" i="29"/>
  <c r="EO195" i="29"/>
  <c r="EN195" i="29"/>
  <c r="EM195" i="29"/>
  <c r="EL195" i="29"/>
  <c r="FO194" i="29"/>
  <c r="FN194" i="29"/>
  <c r="FM194" i="29"/>
  <c r="FL194" i="29"/>
  <c r="FK194" i="29"/>
  <c r="FJ194" i="29"/>
  <c r="FI194" i="29"/>
  <c r="FH194" i="29"/>
  <c r="FG194" i="29"/>
  <c r="FF194" i="29"/>
  <c r="FE194" i="29"/>
  <c r="FD194" i="29"/>
  <c r="FC194" i="29"/>
  <c r="FB194" i="29"/>
  <c r="FA194" i="29"/>
  <c r="EZ194" i="29"/>
  <c r="EY194" i="29"/>
  <c r="EX194" i="29"/>
  <c r="EW194" i="29"/>
  <c r="EV194" i="29"/>
  <c r="EU194" i="29"/>
  <c r="ET194" i="29"/>
  <c r="ES194" i="29"/>
  <c r="ER194" i="29"/>
  <c r="EQ194" i="29"/>
  <c r="EP194" i="29"/>
  <c r="EO194" i="29"/>
  <c r="EN194" i="29"/>
  <c r="EM194" i="29"/>
  <c r="EL194" i="29"/>
  <c r="FO193" i="29"/>
  <c r="FN193" i="29"/>
  <c r="FM193" i="29"/>
  <c r="FL193" i="29"/>
  <c r="FK193" i="29"/>
  <c r="FJ193" i="29"/>
  <c r="FI193" i="29"/>
  <c r="FH193" i="29"/>
  <c r="FG193" i="29"/>
  <c r="FF193" i="29"/>
  <c r="FE193" i="29"/>
  <c r="FD193" i="29"/>
  <c r="FC193" i="29"/>
  <c r="FB193" i="29"/>
  <c r="FA193" i="29"/>
  <c r="EZ193" i="29"/>
  <c r="EY193" i="29"/>
  <c r="EX193" i="29"/>
  <c r="EW193" i="29"/>
  <c r="EV193" i="29"/>
  <c r="EU193" i="29"/>
  <c r="ET193" i="29"/>
  <c r="ES193" i="29"/>
  <c r="ER193" i="29"/>
  <c r="EQ193" i="29"/>
  <c r="EP193" i="29"/>
  <c r="EO193" i="29"/>
  <c r="EN193" i="29"/>
  <c r="EM193" i="29"/>
  <c r="EL193" i="29"/>
  <c r="FO192" i="29"/>
  <c r="FN192" i="29"/>
  <c r="FM192" i="29"/>
  <c r="FL192" i="29"/>
  <c r="FK192" i="29"/>
  <c r="FJ192" i="29"/>
  <c r="FI192" i="29"/>
  <c r="FH192" i="29"/>
  <c r="FG192" i="29"/>
  <c r="FF192" i="29"/>
  <c r="FE192" i="29"/>
  <c r="FD192" i="29"/>
  <c r="FC192" i="29"/>
  <c r="FB192" i="29"/>
  <c r="FA192" i="29"/>
  <c r="EZ192" i="29"/>
  <c r="EY192" i="29"/>
  <c r="EX192" i="29"/>
  <c r="EW192" i="29"/>
  <c r="EV192" i="29"/>
  <c r="EU192" i="29"/>
  <c r="ET192" i="29"/>
  <c r="ES192" i="29"/>
  <c r="ER192" i="29"/>
  <c r="EQ192" i="29"/>
  <c r="EP192" i="29"/>
  <c r="EO192" i="29"/>
  <c r="EN192" i="29"/>
  <c r="EM192" i="29"/>
  <c r="EL192" i="29"/>
  <c r="FO191" i="29"/>
  <c r="FN191" i="29"/>
  <c r="FM191" i="29"/>
  <c r="FL191" i="29"/>
  <c r="FK191" i="29"/>
  <c r="FJ191" i="29"/>
  <c r="FI191" i="29"/>
  <c r="FH191" i="29"/>
  <c r="FG191" i="29"/>
  <c r="FF191" i="29"/>
  <c r="FE191" i="29"/>
  <c r="FD191" i="29"/>
  <c r="FC191" i="29"/>
  <c r="FB191" i="29"/>
  <c r="FA191" i="29"/>
  <c r="EZ191" i="29"/>
  <c r="EY191" i="29"/>
  <c r="EX191" i="29"/>
  <c r="EW191" i="29"/>
  <c r="EV191" i="29"/>
  <c r="EU191" i="29"/>
  <c r="ET191" i="29"/>
  <c r="ES191" i="29"/>
  <c r="ER191" i="29"/>
  <c r="EQ191" i="29"/>
  <c r="EP191" i="29"/>
  <c r="EO191" i="29"/>
  <c r="EN191" i="29"/>
  <c r="EM191" i="29"/>
  <c r="EL191" i="29"/>
  <c r="FO190" i="29"/>
  <c r="FN190" i="29"/>
  <c r="FM190" i="29"/>
  <c r="FL190" i="29"/>
  <c r="FK190" i="29"/>
  <c r="FJ190" i="29"/>
  <c r="FI190" i="29"/>
  <c r="FH190" i="29"/>
  <c r="FG190" i="29"/>
  <c r="FF190" i="29"/>
  <c r="FE190" i="29"/>
  <c r="FD190" i="29"/>
  <c r="FC190" i="29"/>
  <c r="FB190" i="29"/>
  <c r="FA190" i="29"/>
  <c r="EZ190" i="29"/>
  <c r="EY190" i="29"/>
  <c r="EX190" i="29"/>
  <c r="EW190" i="29"/>
  <c r="EV190" i="29"/>
  <c r="EU190" i="29"/>
  <c r="ET190" i="29"/>
  <c r="ES190" i="29"/>
  <c r="ER190" i="29"/>
  <c r="EQ190" i="29"/>
  <c r="EP190" i="29"/>
  <c r="EO190" i="29"/>
  <c r="EN190" i="29"/>
  <c r="EM190" i="29"/>
  <c r="EL190" i="29"/>
  <c r="FO189" i="29"/>
  <c r="FN189" i="29"/>
  <c r="FM189" i="29"/>
  <c r="FL189" i="29"/>
  <c r="FK189" i="29"/>
  <c r="FJ189" i="29"/>
  <c r="FI189" i="29"/>
  <c r="FH189" i="29"/>
  <c r="FG189" i="29"/>
  <c r="FF189" i="29"/>
  <c r="FE189" i="29"/>
  <c r="FD189" i="29"/>
  <c r="FC189" i="29"/>
  <c r="FB189" i="29"/>
  <c r="FA189" i="29"/>
  <c r="EZ189" i="29"/>
  <c r="EY189" i="29"/>
  <c r="EX189" i="29"/>
  <c r="EW189" i="29"/>
  <c r="EV189" i="29"/>
  <c r="EU189" i="29"/>
  <c r="ET189" i="29"/>
  <c r="ES189" i="29"/>
  <c r="ER189" i="29"/>
  <c r="EQ189" i="29"/>
  <c r="EP189" i="29"/>
  <c r="EO189" i="29"/>
  <c r="EN189" i="29"/>
  <c r="EM189" i="29"/>
  <c r="EL189" i="29"/>
  <c r="FO188" i="29"/>
  <c r="FN188" i="29"/>
  <c r="FM188" i="29"/>
  <c r="FL188" i="29"/>
  <c r="FK188" i="29"/>
  <c r="FJ188" i="29"/>
  <c r="FI188" i="29"/>
  <c r="FH188" i="29"/>
  <c r="FG188" i="29"/>
  <c r="FF188" i="29"/>
  <c r="FE188" i="29"/>
  <c r="FD188" i="29"/>
  <c r="FC188" i="29"/>
  <c r="FB188" i="29"/>
  <c r="FA188" i="29"/>
  <c r="EZ188" i="29"/>
  <c r="EY188" i="29"/>
  <c r="EX188" i="29"/>
  <c r="EW188" i="29"/>
  <c r="EV188" i="29"/>
  <c r="EU188" i="29"/>
  <c r="ET188" i="29"/>
  <c r="ES188" i="29"/>
  <c r="ER188" i="29"/>
  <c r="EQ188" i="29"/>
  <c r="EP188" i="29"/>
  <c r="EO188" i="29"/>
  <c r="EN188" i="29"/>
  <c r="EM188" i="29"/>
  <c r="EL188" i="29"/>
  <c r="FO187" i="29"/>
  <c r="FN187" i="29"/>
  <c r="FM187" i="29"/>
  <c r="FL187" i="29"/>
  <c r="FK187" i="29"/>
  <c r="FJ187" i="29"/>
  <c r="FI187" i="29"/>
  <c r="FH187" i="29"/>
  <c r="FG187" i="29"/>
  <c r="FF187" i="29"/>
  <c r="FE187" i="29"/>
  <c r="FD187" i="29"/>
  <c r="FC187" i="29"/>
  <c r="FB187" i="29"/>
  <c r="FA187" i="29"/>
  <c r="EZ187" i="29"/>
  <c r="EY187" i="29"/>
  <c r="EX187" i="29"/>
  <c r="EW187" i="29"/>
  <c r="EV187" i="29"/>
  <c r="EU187" i="29"/>
  <c r="ET187" i="29"/>
  <c r="ES187" i="29"/>
  <c r="ER187" i="29"/>
  <c r="EQ187" i="29"/>
  <c r="EP187" i="29"/>
  <c r="EO187" i="29"/>
  <c r="EN187" i="29"/>
  <c r="EM187" i="29"/>
  <c r="EL187" i="29"/>
  <c r="FO186" i="29"/>
  <c r="FN186" i="29"/>
  <c r="FM186" i="29"/>
  <c r="FL186" i="29"/>
  <c r="FK186" i="29"/>
  <c r="FJ186" i="29"/>
  <c r="FI186" i="29"/>
  <c r="FH186" i="29"/>
  <c r="FG186" i="29"/>
  <c r="FF186" i="29"/>
  <c r="FE186" i="29"/>
  <c r="FD186" i="29"/>
  <c r="FC186" i="29"/>
  <c r="FB186" i="29"/>
  <c r="FA186" i="29"/>
  <c r="EZ186" i="29"/>
  <c r="EY186" i="29"/>
  <c r="EX186" i="29"/>
  <c r="EW186" i="29"/>
  <c r="EV186" i="29"/>
  <c r="EU186" i="29"/>
  <c r="ET186" i="29"/>
  <c r="ES186" i="29"/>
  <c r="ER186" i="29"/>
  <c r="EQ186" i="29"/>
  <c r="EP186" i="29"/>
  <c r="EO186" i="29"/>
  <c r="EN186" i="29"/>
  <c r="EM186" i="29"/>
  <c r="EL186" i="29"/>
  <c r="FO185" i="29"/>
  <c r="FN185" i="29"/>
  <c r="FM185" i="29"/>
  <c r="FL185" i="29"/>
  <c r="FK185" i="29"/>
  <c r="FJ185" i="29"/>
  <c r="FI185" i="29"/>
  <c r="FH185" i="29"/>
  <c r="FG185" i="29"/>
  <c r="FF185" i="29"/>
  <c r="FE185" i="29"/>
  <c r="FD185" i="29"/>
  <c r="FC185" i="29"/>
  <c r="FB185" i="29"/>
  <c r="FA185" i="29"/>
  <c r="EZ185" i="29"/>
  <c r="EY185" i="29"/>
  <c r="EX185" i="29"/>
  <c r="EW185" i="29"/>
  <c r="EV185" i="29"/>
  <c r="EU185" i="29"/>
  <c r="ET185" i="29"/>
  <c r="ES185" i="29"/>
  <c r="ER185" i="29"/>
  <c r="EQ185" i="29"/>
  <c r="EP185" i="29"/>
  <c r="EO185" i="29"/>
  <c r="EN185" i="29"/>
  <c r="EM185" i="29"/>
  <c r="EL185" i="29"/>
  <c r="FO184" i="29"/>
  <c r="FN184" i="29"/>
  <c r="FM184" i="29"/>
  <c r="FL184" i="29"/>
  <c r="FK184" i="29"/>
  <c r="FJ184" i="29"/>
  <c r="FI184" i="29"/>
  <c r="FH184" i="29"/>
  <c r="FG184" i="29"/>
  <c r="FF184" i="29"/>
  <c r="FE184" i="29"/>
  <c r="FD184" i="29"/>
  <c r="FC184" i="29"/>
  <c r="FB184" i="29"/>
  <c r="FA184" i="29"/>
  <c r="EZ184" i="29"/>
  <c r="EY184" i="29"/>
  <c r="EX184" i="29"/>
  <c r="EW184" i="29"/>
  <c r="EV184" i="29"/>
  <c r="EU184" i="29"/>
  <c r="ET184" i="29"/>
  <c r="ES184" i="29"/>
  <c r="ER184" i="29"/>
  <c r="EQ184" i="29"/>
  <c r="EP184" i="29"/>
  <c r="EO184" i="29"/>
  <c r="EN184" i="29"/>
  <c r="EM184" i="29"/>
  <c r="EL184" i="29"/>
  <c r="FO183" i="29"/>
  <c r="FN183" i="29"/>
  <c r="FM183" i="29"/>
  <c r="FL183" i="29"/>
  <c r="FK183" i="29"/>
  <c r="FJ183" i="29"/>
  <c r="FI183" i="29"/>
  <c r="FH183" i="29"/>
  <c r="FG183" i="29"/>
  <c r="FF183" i="29"/>
  <c r="FE183" i="29"/>
  <c r="FD183" i="29"/>
  <c r="FC183" i="29"/>
  <c r="FB183" i="29"/>
  <c r="FA183" i="29"/>
  <c r="EZ183" i="29"/>
  <c r="EY183" i="29"/>
  <c r="EX183" i="29"/>
  <c r="EW183" i="29"/>
  <c r="EV183" i="29"/>
  <c r="EU183" i="29"/>
  <c r="ET183" i="29"/>
  <c r="ES183" i="29"/>
  <c r="ER183" i="29"/>
  <c r="EQ183" i="29"/>
  <c r="EP183" i="29"/>
  <c r="EO183" i="29"/>
  <c r="EN183" i="29"/>
  <c r="EM183" i="29"/>
  <c r="EL183" i="29"/>
  <c r="FO182" i="29"/>
  <c r="FN182" i="29"/>
  <c r="FM182" i="29"/>
  <c r="FL182" i="29"/>
  <c r="FK182" i="29"/>
  <c r="FJ182" i="29"/>
  <c r="FI182" i="29"/>
  <c r="FH182" i="29"/>
  <c r="FG182" i="29"/>
  <c r="FF182" i="29"/>
  <c r="FE182" i="29"/>
  <c r="FD182" i="29"/>
  <c r="FC182" i="29"/>
  <c r="FB182" i="29"/>
  <c r="FA182" i="29"/>
  <c r="EZ182" i="29"/>
  <c r="EY182" i="29"/>
  <c r="EX182" i="29"/>
  <c r="EW182" i="29"/>
  <c r="EV182" i="29"/>
  <c r="EU182" i="29"/>
  <c r="ET182" i="29"/>
  <c r="ES182" i="29"/>
  <c r="ER182" i="29"/>
  <c r="EQ182" i="29"/>
  <c r="EP182" i="29"/>
  <c r="EO182" i="29"/>
  <c r="EN182" i="29"/>
  <c r="EM182" i="29"/>
  <c r="EL182" i="29"/>
  <c r="FO181" i="29"/>
  <c r="FN181" i="29"/>
  <c r="FM181" i="29"/>
  <c r="FL181" i="29"/>
  <c r="FK181" i="29"/>
  <c r="FJ181" i="29"/>
  <c r="FI181" i="29"/>
  <c r="FH181" i="29"/>
  <c r="FG181" i="29"/>
  <c r="FF181" i="29"/>
  <c r="FE181" i="29"/>
  <c r="FD181" i="29"/>
  <c r="FC181" i="29"/>
  <c r="FB181" i="29"/>
  <c r="FA181" i="29"/>
  <c r="EZ181" i="29"/>
  <c r="EY181" i="29"/>
  <c r="EX181" i="29"/>
  <c r="EW181" i="29"/>
  <c r="EV181" i="29"/>
  <c r="EU181" i="29"/>
  <c r="ET181" i="29"/>
  <c r="ES181" i="29"/>
  <c r="ER181" i="29"/>
  <c r="EQ181" i="29"/>
  <c r="EP181" i="29"/>
  <c r="EO181" i="29"/>
  <c r="EN181" i="29"/>
  <c r="EM181" i="29"/>
  <c r="EL181" i="29"/>
  <c r="FO180" i="29"/>
  <c r="FN180" i="29"/>
  <c r="FM180" i="29"/>
  <c r="FL180" i="29"/>
  <c r="FK180" i="29"/>
  <c r="FJ180" i="29"/>
  <c r="FI180" i="29"/>
  <c r="FH180" i="29"/>
  <c r="FG180" i="29"/>
  <c r="FF180" i="29"/>
  <c r="FE180" i="29"/>
  <c r="FD180" i="29"/>
  <c r="FC180" i="29"/>
  <c r="FB180" i="29"/>
  <c r="FA180" i="29"/>
  <c r="EZ180" i="29"/>
  <c r="EY180" i="29"/>
  <c r="EX180" i="29"/>
  <c r="EW180" i="29"/>
  <c r="EV180" i="29"/>
  <c r="EU180" i="29"/>
  <c r="ET180" i="29"/>
  <c r="ES180" i="29"/>
  <c r="ER180" i="29"/>
  <c r="EQ180" i="29"/>
  <c r="EP180" i="29"/>
  <c r="EO180" i="29"/>
  <c r="EN180" i="29"/>
  <c r="EM180" i="29"/>
  <c r="EL180" i="29"/>
  <c r="FO179" i="29"/>
  <c r="FN179" i="29"/>
  <c r="FM179" i="29"/>
  <c r="FL179" i="29"/>
  <c r="FK179" i="29"/>
  <c r="FJ179" i="29"/>
  <c r="FI179" i="29"/>
  <c r="FH179" i="29"/>
  <c r="FG179" i="29"/>
  <c r="FF179" i="29"/>
  <c r="FE179" i="29"/>
  <c r="FD179" i="29"/>
  <c r="FC179" i="29"/>
  <c r="FB179" i="29"/>
  <c r="FA179" i="29"/>
  <c r="EZ179" i="29"/>
  <c r="EY179" i="29"/>
  <c r="EX179" i="29"/>
  <c r="EW179" i="29"/>
  <c r="EV179" i="29"/>
  <c r="EU179" i="29"/>
  <c r="ET179" i="29"/>
  <c r="ES179" i="29"/>
  <c r="ER179" i="29"/>
  <c r="EQ179" i="29"/>
  <c r="EP179" i="29"/>
  <c r="EO179" i="29"/>
  <c r="EN179" i="29"/>
  <c r="EM179" i="29"/>
  <c r="EL179" i="29"/>
  <c r="FO178" i="29"/>
  <c r="FN178" i="29"/>
  <c r="FM178" i="29"/>
  <c r="FL178" i="29"/>
  <c r="FK178" i="29"/>
  <c r="FJ178" i="29"/>
  <c r="FI178" i="29"/>
  <c r="FH178" i="29"/>
  <c r="FG178" i="29"/>
  <c r="FF178" i="29"/>
  <c r="FE178" i="29"/>
  <c r="FD178" i="29"/>
  <c r="FC178" i="29"/>
  <c r="FB178" i="29"/>
  <c r="FA178" i="29"/>
  <c r="EZ178" i="29"/>
  <c r="EY178" i="29"/>
  <c r="EX178" i="29"/>
  <c r="EW178" i="29"/>
  <c r="EV178" i="29"/>
  <c r="EU178" i="29"/>
  <c r="ET178" i="29"/>
  <c r="ES178" i="29"/>
  <c r="ER178" i="29"/>
  <c r="EQ178" i="29"/>
  <c r="EP178" i="29"/>
  <c r="EO178" i="29"/>
  <c r="EN178" i="29"/>
  <c r="EM178" i="29"/>
  <c r="EL178" i="29"/>
  <c r="FO177" i="29"/>
  <c r="FN177" i="29"/>
  <c r="FM177" i="29"/>
  <c r="FL177" i="29"/>
  <c r="FK177" i="29"/>
  <c r="FJ177" i="29"/>
  <c r="FI177" i="29"/>
  <c r="FH177" i="29"/>
  <c r="FG177" i="29"/>
  <c r="FF177" i="29"/>
  <c r="FE177" i="29"/>
  <c r="FD177" i="29"/>
  <c r="FC177" i="29"/>
  <c r="FB177" i="29"/>
  <c r="FA177" i="29"/>
  <c r="EZ177" i="29"/>
  <c r="EY177" i="29"/>
  <c r="EX177" i="29"/>
  <c r="EW177" i="29"/>
  <c r="EV177" i="29"/>
  <c r="EU177" i="29"/>
  <c r="ET177" i="29"/>
  <c r="ES177" i="29"/>
  <c r="ER177" i="29"/>
  <c r="EQ177" i="29"/>
  <c r="EP177" i="29"/>
  <c r="EO177" i="29"/>
  <c r="EN177" i="29"/>
  <c r="EM177" i="29"/>
  <c r="EL177" i="29"/>
  <c r="FO176" i="29"/>
  <c r="FN176" i="29"/>
  <c r="FM176" i="29"/>
  <c r="FL176" i="29"/>
  <c r="FK176" i="29"/>
  <c r="FJ176" i="29"/>
  <c r="FI176" i="29"/>
  <c r="FH176" i="29"/>
  <c r="FG176" i="29"/>
  <c r="FF176" i="29"/>
  <c r="FE176" i="29"/>
  <c r="FD176" i="29"/>
  <c r="FC176" i="29"/>
  <c r="FB176" i="29"/>
  <c r="FA176" i="29"/>
  <c r="EZ176" i="29"/>
  <c r="EY176" i="29"/>
  <c r="EX176" i="29"/>
  <c r="EW176" i="29"/>
  <c r="EV176" i="29"/>
  <c r="EU176" i="29"/>
  <c r="ET176" i="29"/>
  <c r="ES176" i="29"/>
  <c r="ER176" i="29"/>
  <c r="EQ176" i="29"/>
  <c r="EP176" i="29"/>
  <c r="EO176" i="29"/>
  <c r="EN176" i="29"/>
  <c r="EM176" i="29"/>
  <c r="EL176" i="29"/>
  <c r="FO175" i="29"/>
  <c r="FN175" i="29"/>
  <c r="FM175" i="29"/>
  <c r="FL175" i="29"/>
  <c r="FK175" i="29"/>
  <c r="FJ175" i="29"/>
  <c r="FI175" i="29"/>
  <c r="FH175" i="29"/>
  <c r="FG175" i="29"/>
  <c r="FF175" i="29"/>
  <c r="FE175" i="29"/>
  <c r="FD175" i="29"/>
  <c r="FC175" i="29"/>
  <c r="FB175" i="29"/>
  <c r="FA175" i="29"/>
  <c r="EZ175" i="29"/>
  <c r="EY175" i="29"/>
  <c r="EX175" i="29"/>
  <c r="EW175" i="29"/>
  <c r="EV175" i="29"/>
  <c r="EU175" i="29"/>
  <c r="ET175" i="29"/>
  <c r="ES175" i="29"/>
  <c r="ER175" i="29"/>
  <c r="EQ175" i="29"/>
  <c r="EP175" i="29"/>
  <c r="EO175" i="29"/>
  <c r="EN175" i="29"/>
  <c r="EM175" i="29"/>
  <c r="EL175" i="29"/>
  <c r="FO174" i="29"/>
  <c r="FN174" i="29"/>
  <c r="FM174" i="29"/>
  <c r="FL174" i="29"/>
  <c r="FK174" i="29"/>
  <c r="FJ174" i="29"/>
  <c r="FI174" i="29"/>
  <c r="FH174" i="29"/>
  <c r="FG174" i="29"/>
  <c r="FF174" i="29"/>
  <c r="FE174" i="29"/>
  <c r="FD174" i="29"/>
  <c r="FC174" i="29"/>
  <c r="FB174" i="29"/>
  <c r="FA174" i="29"/>
  <c r="EZ174" i="29"/>
  <c r="EY174" i="29"/>
  <c r="EX174" i="29"/>
  <c r="EW174" i="29"/>
  <c r="EV174" i="29"/>
  <c r="EU174" i="29"/>
  <c r="ET174" i="29"/>
  <c r="ES174" i="29"/>
  <c r="ER174" i="29"/>
  <c r="EQ174" i="29"/>
  <c r="EP174" i="29"/>
  <c r="EO174" i="29"/>
  <c r="EN174" i="29"/>
  <c r="EM174" i="29"/>
  <c r="EL174" i="29"/>
  <c r="FO173" i="29"/>
  <c r="FN173" i="29"/>
  <c r="FM173" i="29"/>
  <c r="FL173" i="29"/>
  <c r="FK173" i="29"/>
  <c r="FJ173" i="29"/>
  <c r="FI173" i="29"/>
  <c r="FH173" i="29"/>
  <c r="FG173" i="29"/>
  <c r="FF173" i="29"/>
  <c r="FE173" i="29"/>
  <c r="FD173" i="29"/>
  <c r="FC173" i="29"/>
  <c r="FB173" i="29"/>
  <c r="FA173" i="29"/>
  <c r="EZ173" i="29"/>
  <c r="EY173" i="29"/>
  <c r="EX173" i="29"/>
  <c r="EW173" i="29"/>
  <c r="EV173" i="29"/>
  <c r="EU173" i="29"/>
  <c r="ET173" i="29"/>
  <c r="ES173" i="29"/>
  <c r="ER173" i="29"/>
  <c r="EQ173" i="29"/>
  <c r="EP173" i="29"/>
  <c r="EO173" i="29"/>
  <c r="EN173" i="29"/>
  <c r="EM173" i="29"/>
  <c r="EL173" i="29"/>
  <c r="FO172" i="29"/>
  <c r="FN172" i="29"/>
  <c r="FM172" i="29"/>
  <c r="FL172" i="29"/>
  <c r="FK172" i="29"/>
  <c r="FJ172" i="29"/>
  <c r="FI172" i="29"/>
  <c r="FH172" i="29"/>
  <c r="FG172" i="29"/>
  <c r="FF172" i="29"/>
  <c r="FE172" i="29"/>
  <c r="FD172" i="29"/>
  <c r="FC172" i="29"/>
  <c r="FB172" i="29"/>
  <c r="FA172" i="29"/>
  <c r="EZ172" i="29"/>
  <c r="EY172" i="29"/>
  <c r="EX172" i="29"/>
  <c r="EW172" i="29"/>
  <c r="EV172" i="29"/>
  <c r="EU172" i="29"/>
  <c r="ET172" i="29"/>
  <c r="ES172" i="29"/>
  <c r="ER172" i="29"/>
  <c r="EQ172" i="29"/>
  <c r="EP172" i="29"/>
  <c r="EO172" i="29"/>
  <c r="EN172" i="29"/>
  <c r="EM172" i="29"/>
  <c r="EL172" i="29"/>
  <c r="FO171" i="29"/>
  <c r="FN171" i="29"/>
  <c r="FM171" i="29"/>
  <c r="FL171" i="29"/>
  <c r="FK171" i="29"/>
  <c r="FJ171" i="29"/>
  <c r="FI171" i="29"/>
  <c r="FH171" i="29"/>
  <c r="FG171" i="29"/>
  <c r="FF171" i="29"/>
  <c r="FE171" i="29"/>
  <c r="FD171" i="29"/>
  <c r="FC171" i="29"/>
  <c r="FB171" i="29"/>
  <c r="FA171" i="29"/>
  <c r="EZ171" i="29"/>
  <c r="EY171" i="29"/>
  <c r="EX171" i="29"/>
  <c r="EW171" i="29"/>
  <c r="EV171" i="29"/>
  <c r="EU171" i="29"/>
  <c r="ET171" i="29"/>
  <c r="ES171" i="29"/>
  <c r="ER171" i="29"/>
  <c r="EQ171" i="29"/>
  <c r="EP171" i="29"/>
  <c r="EO171" i="29"/>
  <c r="EN171" i="29"/>
  <c r="EM171" i="29"/>
  <c r="EL171" i="29"/>
  <c r="FO170" i="29"/>
  <c r="FN170" i="29"/>
  <c r="FM170" i="29"/>
  <c r="FL170" i="29"/>
  <c r="FK170" i="29"/>
  <c r="FJ170" i="29"/>
  <c r="FI170" i="29"/>
  <c r="FH170" i="29"/>
  <c r="FG170" i="29"/>
  <c r="FF170" i="29"/>
  <c r="FE170" i="29"/>
  <c r="FD170" i="29"/>
  <c r="FC170" i="29"/>
  <c r="FB170" i="29"/>
  <c r="FA170" i="29"/>
  <c r="EZ170" i="29"/>
  <c r="EY170" i="29"/>
  <c r="EX170" i="29"/>
  <c r="EW170" i="29"/>
  <c r="EV170" i="29"/>
  <c r="EU170" i="29"/>
  <c r="ET170" i="29"/>
  <c r="ES170" i="29"/>
  <c r="ER170" i="29"/>
  <c r="EQ170" i="29"/>
  <c r="EP170" i="29"/>
  <c r="EO170" i="29"/>
  <c r="EN170" i="29"/>
  <c r="EM170" i="29"/>
  <c r="EL170" i="29"/>
  <c r="FO169" i="29"/>
  <c r="FN169" i="29"/>
  <c r="FM169" i="29"/>
  <c r="FL169" i="29"/>
  <c r="FK169" i="29"/>
  <c r="FJ169" i="29"/>
  <c r="FI169" i="29"/>
  <c r="FH169" i="29"/>
  <c r="FG169" i="29"/>
  <c r="FF169" i="29"/>
  <c r="FE169" i="29"/>
  <c r="FD169" i="29"/>
  <c r="FC169" i="29"/>
  <c r="FB169" i="29"/>
  <c r="FA169" i="29"/>
  <c r="EZ169" i="29"/>
  <c r="EY169" i="29"/>
  <c r="EX169" i="29"/>
  <c r="EW169" i="29"/>
  <c r="EV169" i="29"/>
  <c r="EU169" i="29"/>
  <c r="ET169" i="29"/>
  <c r="ES169" i="29"/>
  <c r="ER169" i="29"/>
  <c r="EQ169" i="29"/>
  <c r="EP169" i="29"/>
  <c r="EO169" i="29"/>
  <c r="EN169" i="29"/>
  <c r="EM169" i="29"/>
  <c r="EL169" i="29"/>
  <c r="FO168" i="29"/>
  <c r="FN168" i="29"/>
  <c r="FM168" i="29"/>
  <c r="FL168" i="29"/>
  <c r="FK168" i="29"/>
  <c r="FJ168" i="29"/>
  <c r="FI168" i="29"/>
  <c r="FH168" i="29"/>
  <c r="FG168" i="29"/>
  <c r="FF168" i="29"/>
  <c r="FE168" i="29"/>
  <c r="FD168" i="29"/>
  <c r="FC168" i="29"/>
  <c r="FB168" i="29"/>
  <c r="FA168" i="29"/>
  <c r="EZ168" i="29"/>
  <c r="EY168" i="29"/>
  <c r="EX168" i="29"/>
  <c r="EW168" i="29"/>
  <c r="EV168" i="29"/>
  <c r="EU168" i="29"/>
  <c r="ET168" i="29"/>
  <c r="ES168" i="29"/>
  <c r="ER168" i="29"/>
  <c r="EQ168" i="29"/>
  <c r="EP168" i="29"/>
  <c r="EO168" i="29"/>
  <c r="EN168" i="29"/>
  <c r="EM168" i="29"/>
  <c r="EL168" i="29"/>
  <c r="FO167" i="29"/>
  <c r="FN167" i="29"/>
  <c r="FM167" i="29"/>
  <c r="FL167" i="29"/>
  <c r="FK167" i="29"/>
  <c r="FJ167" i="29"/>
  <c r="FI167" i="29"/>
  <c r="FH167" i="29"/>
  <c r="FG167" i="29"/>
  <c r="FF167" i="29"/>
  <c r="FE167" i="29"/>
  <c r="FD167" i="29"/>
  <c r="FC167" i="29"/>
  <c r="FB167" i="29"/>
  <c r="FA167" i="29"/>
  <c r="EZ167" i="29"/>
  <c r="EY167" i="29"/>
  <c r="EX167" i="29"/>
  <c r="EW167" i="29"/>
  <c r="EV167" i="29"/>
  <c r="EU167" i="29"/>
  <c r="ET167" i="29"/>
  <c r="ES167" i="29"/>
  <c r="ER167" i="29"/>
  <c r="EQ167" i="29"/>
  <c r="EP167" i="29"/>
  <c r="EO167" i="29"/>
  <c r="EN167" i="29"/>
  <c r="EM167" i="29"/>
  <c r="EL167" i="29"/>
  <c r="FO166" i="29"/>
  <c r="FN166" i="29"/>
  <c r="FM166" i="29"/>
  <c r="FL166" i="29"/>
  <c r="FK166" i="29"/>
  <c r="FJ166" i="29"/>
  <c r="FI166" i="29"/>
  <c r="FH166" i="29"/>
  <c r="FG166" i="29"/>
  <c r="FF166" i="29"/>
  <c r="FE166" i="29"/>
  <c r="FD166" i="29"/>
  <c r="FC166" i="29"/>
  <c r="FB166" i="29"/>
  <c r="FA166" i="29"/>
  <c r="EZ166" i="29"/>
  <c r="EY166" i="29"/>
  <c r="EX166" i="29"/>
  <c r="EW166" i="29"/>
  <c r="EV166" i="29"/>
  <c r="EU166" i="29"/>
  <c r="ET166" i="29"/>
  <c r="ES166" i="29"/>
  <c r="ER166" i="29"/>
  <c r="EQ166" i="29"/>
  <c r="EP166" i="29"/>
  <c r="EO166" i="29"/>
  <c r="EN166" i="29"/>
  <c r="EM166" i="29"/>
  <c r="EL166" i="29"/>
  <c r="FO165" i="29"/>
  <c r="FN165" i="29"/>
  <c r="FM165" i="29"/>
  <c r="FL165" i="29"/>
  <c r="FK165" i="29"/>
  <c r="FJ165" i="29"/>
  <c r="FI165" i="29"/>
  <c r="FH165" i="29"/>
  <c r="FG165" i="29"/>
  <c r="FF165" i="29"/>
  <c r="FE165" i="29"/>
  <c r="FD165" i="29"/>
  <c r="FC165" i="29"/>
  <c r="FB165" i="29"/>
  <c r="FA165" i="29"/>
  <c r="EZ165" i="29"/>
  <c r="EY165" i="29"/>
  <c r="EX165" i="29"/>
  <c r="EW165" i="29"/>
  <c r="EV165" i="29"/>
  <c r="EU165" i="29"/>
  <c r="ET165" i="29"/>
  <c r="ES165" i="29"/>
  <c r="ER165" i="29"/>
  <c r="EQ165" i="29"/>
  <c r="EP165" i="29"/>
  <c r="EO165" i="29"/>
  <c r="EN165" i="29"/>
  <c r="EM165" i="29"/>
  <c r="EL165" i="29"/>
  <c r="FO164" i="29"/>
  <c r="FN164" i="29"/>
  <c r="FM164" i="29"/>
  <c r="FL164" i="29"/>
  <c r="FK164" i="29"/>
  <c r="FJ164" i="29"/>
  <c r="FI164" i="29"/>
  <c r="FH164" i="29"/>
  <c r="FG164" i="29"/>
  <c r="FF164" i="29"/>
  <c r="FE164" i="29"/>
  <c r="FD164" i="29"/>
  <c r="FC164" i="29"/>
  <c r="FB164" i="29"/>
  <c r="FA164" i="29"/>
  <c r="EZ164" i="29"/>
  <c r="EY164" i="29"/>
  <c r="EX164" i="29"/>
  <c r="EW164" i="29"/>
  <c r="EV164" i="29"/>
  <c r="EU164" i="29"/>
  <c r="ET164" i="29"/>
  <c r="ES164" i="29"/>
  <c r="ER164" i="29"/>
  <c r="EQ164" i="29"/>
  <c r="EP164" i="29"/>
  <c r="EO164" i="29"/>
  <c r="EN164" i="29"/>
  <c r="EM164" i="29"/>
  <c r="EL164" i="29"/>
  <c r="FO163" i="29"/>
  <c r="FN163" i="29"/>
  <c r="FM163" i="29"/>
  <c r="FL163" i="29"/>
  <c r="FK163" i="29"/>
  <c r="FJ163" i="29"/>
  <c r="FI163" i="29"/>
  <c r="FH163" i="29"/>
  <c r="FG163" i="29"/>
  <c r="FF163" i="29"/>
  <c r="FE163" i="29"/>
  <c r="FD163" i="29"/>
  <c r="FC163" i="29"/>
  <c r="FB163" i="29"/>
  <c r="FA163" i="29"/>
  <c r="EZ163" i="29"/>
  <c r="EY163" i="29"/>
  <c r="EX163" i="29"/>
  <c r="EW163" i="29"/>
  <c r="EV163" i="29"/>
  <c r="EU163" i="29"/>
  <c r="ET163" i="29"/>
  <c r="ES163" i="29"/>
  <c r="ER163" i="29"/>
  <c r="EQ163" i="29"/>
  <c r="EP163" i="29"/>
  <c r="EO163" i="29"/>
  <c r="EN163" i="29"/>
  <c r="EM163" i="29"/>
  <c r="EL163" i="29"/>
  <c r="FO162" i="29"/>
  <c r="FN162" i="29"/>
  <c r="FM162" i="29"/>
  <c r="FL162" i="29"/>
  <c r="FK162" i="29"/>
  <c r="FJ162" i="29"/>
  <c r="FI162" i="29"/>
  <c r="FH162" i="29"/>
  <c r="FG162" i="29"/>
  <c r="FF162" i="29"/>
  <c r="FE162" i="29"/>
  <c r="FD162" i="29"/>
  <c r="FC162" i="29"/>
  <c r="FB162" i="29"/>
  <c r="FA162" i="29"/>
  <c r="EZ162" i="29"/>
  <c r="EY162" i="29"/>
  <c r="EX162" i="29"/>
  <c r="EW162" i="29"/>
  <c r="EV162" i="29"/>
  <c r="EU162" i="29"/>
  <c r="ET162" i="29"/>
  <c r="ES162" i="29"/>
  <c r="ER162" i="29"/>
  <c r="EQ162" i="29"/>
  <c r="EP162" i="29"/>
  <c r="EO162" i="29"/>
  <c r="EN162" i="29"/>
  <c r="EM162" i="29"/>
  <c r="EL162" i="29"/>
  <c r="FO161" i="29"/>
  <c r="FN161" i="29"/>
  <c r="FM161" i="29"/>
  <c r="FL161" i="29"/>
  <c r="FK161" i="29"/>
  <c r="FJ161" i="29"/>
  <c r="FI161" i="29"/>
  <c r="FH161" i="29"/>
  <c r="FG161" i="29"/>
  <c r="FF161" i="29"/>
  <c r="FE161" i="29"/>
  <c r="FD161" i="29"/>
  <c r="FC161" i="29"/>
  <c r="FB161" i="29"/>
  <c r="FA161" i="29"/>
  <c r="EZ161" i="29"/>
  <c r="EY161" i="29"/>
  <c r="EX161" i="29"/>
  <c r="EW161" i="29"/>
  <c r="EV161" i="29"/>
  <c r="EU161" i="29"/>
  <c r="ET161" i="29"/>
  <c r="ES161" i="29"/>
  <c r="ER161" i="29"/>
  <c r="EQ161" i="29"/>
  <c r="EP161" i="29"/>
  <c r="EO161" i="29"/>
  <c r="EN161" i="29"/>
  <c r="EM161" i="29"/>
  <c r="EL161" i="29"/>
  <c r="FO160" i="29"/>
  <c r="FN160" i="29"/>
  <c r="FM160" i="29"/>
  <c r="FL160" i="29"/>
  <c r="FK160" i="29"/>
  <c r="FJ160" i="29"/>
  <c r="FI160" i="29"/>
  <c r="FH160" i="29"/>
  <c r="FG160" i="29"/>
  <c r="FF160" i="29"/>
  <c r="FE160" i="29"/>
  <c r="FD160" i="29"/>
  <c r="FC160" i="29"/>
  <c r="FB160" i="29"/>
  <c r="FA160" i="29"/>
  <c r="EZ160" i="29"/>
  <c r="EY160" i="29"/>
  <c r="EX160" i="29"/>
  <c r="EW160" i="29"/>
  <c r="EV160" i="29"/>
  <c r="EU160" i="29"/>
  <c r="ET160" i="29"/>
  <c r="ES160" i="29"/>
  <c r="ER160" i="29"/>
  <c r="EQ160" i="29"/>
  <c r="EP160" i="29"/>
  <c r="EO160" i="29"/>
  <c r="EN160" i="29"/>
  <c r="EM160" i="29"/>
  <c r="EL160" i="29"/>
  <c r="FO159" i="29"/>
  <c r="FN159" i="29"/>
  <c r="FM159" i="29"/>
  <c r="FL159" i="29"/>
  <c r="FK159" i="29"/>
  <c r="FJ159" i="29"/>
  <c r="FI159" i="29"/>
  <c r="FH159" i="29"/>
  <c r="FG159" i="29"/>
  <c r="FF159" i="29"/>
  <c r="FE159" i="29"/>
  <c r="FD159" i="29"/>
  <c r="FC159" i="29"/>
  <c r="FB159" i="29"/>
  <c r="FA159" i="29"/>
  <c r="EZ159" i="29"/>
  <c r="EY159" i="29"/>
  <c r="EX159" i="29"/>
  <c r="EW159" i="29"/>
  <c r="EV159" i="29"/>
  <c r="EU159" i="29"/>
  <c r="ET159" i="29"/>
  <c r="ES159" i="29"/>
  <c r="ER159" i="29"/>
  <c r="EQ159" i="29"/>
  <c r="EP159" i="29"/>
  <c r="EO159" i="29"/>
  <c r="EN159" i="29"/>
  <c r="EM159" i="29"/>
  <c r="EL159" i="29"/>
  <c r="FO158" i="29"/>
  <c r="FN158" i="29"/>
  <c r="FM158" i="29"/>
  <c r="FL158" i="29"/>
  <c r="FK158" i="29"/>
  <c r="FJ158" i="29"/>
  <c r="FI158" i="29"/>
  <c r="FH158" i="29"/>
  <c r="FG158" i="29"/>
  <c r="FF158" i="29"/>
  <c r="FE158" i="29"/>
  <c r="FD158" i="29"/>
  <c r="FC158" i="29"/>
  <c r="FB158" i="29"/>
  <c r="FA158" i="29"/>
  <c r="EZ158" i="29"/>
  <c r="EY158" i="29"/>
  <c r="EX158" i="29"/>
  <c r="EW158" i="29"/>
  <c r="EV158" i="29"/>
  <c r="EU158" i="29"/>
  <c r="ET158" i="29"/>
  <c r="ES158" i="29"/>
  <c r="ER158" i="29"/>
  <c r="EQ158" i="29"/>
  <c r="EP158" i="29"/>
  <c r="EO158" i="29"/>
  <c r="EN158" i="29"/>
  <c r="EM158" i="29"/>
  <c r="EL158" i="29"/>
  <c r="FO157" i="29"/>
  <c r="FN157" i="29"/>
  <c r="FM157" i="29"/>
  <c r="FL157" i="29"/>
  <c r="FK157" i="29"/>
  <c r="FJ157" i="29"/>
  <c r="FI157" i="29"/>
  <c r="FH157" i="29"/>
  <c r="FG157" i="29"/>
  <c r="FF157" i="29"/>
  <c r="FE157" i="29"/>
  <c r="FD157" i="29"/>
  <c r="FC157" i="29"/>
  <c r="FB157" i="29"/>
  <c r="FA157" i="29"/>
  <c r="EZ157" i="29"/>
  <c r="EY157" i="29"/>
  <c r="EX157" i="29"/>
  <c r="EW157" i="29"/>
  <c r="EV157" i="29"/>
  <c r="EU157" i="29"/>
  <c r="ET157" i="29"/>
  <c r="ES157" i="29"/>
  <c r="ER157" i="29"/>
  <c r="EQ157" i="29"/>
  <c r="EP157" i="29"/>
  <c r="EO157" i="29"/>
  <c r="EN157" i="29"/>
  <c r="EM157" i="29"/>
  <c r="EL157" i="29"/>
  <c r="FO156" i="29"/>
  <c r="FN156" i="29"/>
  <c r="FM156" i="29"/>
  <c r="FL156" i="29"/>
  <c r="FK156" i="29"/>
  <c r="FJ156" i="29"/>
  <c r="FI156" i="29"/>
  <c r="FH156" i="29"/>
  <c r="FG156" i="29"/>
  <c r="FF156" i="29"/>
  <c r="FE156" i="29"/>
  <c r="FD156" i="29"/>
  <c r="FC156" i="29"/>
  <c r="FB156" i="29"/>
  <c r="FA156" i="29"/>
  <c r="EZ156" i="29"/>
  <c r="EY156" i="29"/>
  <c r="EX156" i="29"/>
  <c r="EW156" i="29"/>
  <c r="EV156" i="29"/>
  <c r="EU156" i="29"/>
  <c r="ET156" i="29"/>
  <c r="ES156" i="29"/>
  <c r="ER156" i="29"/>
  <c r="EQ156" i="29"/>
  <c r="EP156" i="29"/>
  <c r="EO156" i="29"/>
  <c r="EN156" i="29"/>
  <c r="EM156" i="29"/>
  <c r="EL156" i="29"/>
  <c r="FO155" i="29"/>
  <c r="FN155" i="29"/>
  <c r="FM155" i="29"/>
  <c r="FL155" i="29"/>
  <c r="FK155" i="29"/>
  <c r="FJ155" i="29"/>
  <c r="FI155" i="29"/>
  <c r="FH155" i="29"/>
  <c r="FG155" i="29"/>
  <c r="FF155" i="29"/>
  <c r="FE155" i="29"/>
  <c r="FD155" i="29"/>
  <c r="FC155" i="29"/>
  <c r="FB155" i="29"/>
  <c r="FA155" i="29"/>
  <c r="EZ155" i="29"/>
  <c r="EY155" i="29"/>
  <c r="EX155" i="29"/>
  <c r="EW155" i="29"/>
  <c r="EV155" i="29"/>
  <c r="EU155" i="29"/>
  <c r="ET155" i="29"/>
  <c r="ES155" i="29"/>
  <c r="ER155" i="29"/>
  <c r="EQ155" i="29"/>
  <c r="EP155" i="29"/>
  <c r="EO155" i="29"/>
  <c r="EN155" i="29"/>
  <c r="EM155" i="29"/>
  <c r="EL155" i="29"/>
  <c r="FO154" i="29"/>
  <c r="FN154" i="29"/>
  <c r="FM154" i="29"/>
  <c r="FL154" i="29"/>
  <c r="FK154" i="29"/>
  <c r="FJ154" i="29"/>
  <c r="FI154" i="29"/>
  <c r="FH154" i="29"/>
  <c r="FG154" i="29"/>
  <c r="FF154" i="29"/>
  <c r="FE154" i="29"/>
  <c r="FD154" i="29"/>
  <c r="FC154" i="29"/>
  <c r="FB154" i="29"/>
  <c r="FA154" i="29"/>
  <c r="EZ154" i="29"/>
  <c r="EY154" i="29"/>
  <c r="EX154" i="29"/>
  <c r="EW154" i="29"/>
  <c r="EV154" i="29"/>
  <c r="EU154" i="29"/>
  <c r="ET154" i="29"/>
  <c r="ES154" i="29"/>
  <c r="ER154" i="29"/>
  <c r="EQ154" i="29"/>
  <c r="EP154" i="29"/>
  <c r="EO154" i="29"/>
  <c r="EN154" i="29"/>
  <c r="EM154" i="29"/>
  <c r="EL154" i="29"/>
  <c r="FO153" i="29"/>
  <c r="FN153" i="29"/>
  <c r="FM153" i="29"/>
  <c r="FL153" i="29"/>
  <c r="FK153" i="29"/>
  <c r="FJ153" i="29"/>
  <c r="FI153" i="29"/>
  <c r="FH153" i="29"/>
  <c r="FG153" i="29"/>
  <c r="FF153" i="29"/>
  <c r="FE153" i="29"/>
  <c r="FD153" i="29"/>
  <c r="FC153" i="29"/>
  <c r="FB153" i="29"/>
  <c r="FA153" i="29"/>
  <c r="EZ153" i="29"/>
  <c r="EY153" i="29"/>
  <c r="EX153" i="29"/>
  <c r="EW153" i="29"/>
  <c r="EV153" i="29"/>
  <c r="EU153" i="29"/>
  <c r="ET153" i="29"/>
  <c r="ES153" i="29"/>
  <c r="ER153" i="29"/>
  <c r="EQ153" i="29"/>
  <c r="EP153" i="29"/>
  <c r="EO153" i="29"/>
  <c r="EN153" i="29"/>
  <c r="EM153" i="29"/>
  <c r="EL153" i="29"/>
  <c r="FO152" i="29"/>
  <c r="FN152" i="29"/>
  <c r="FM152" i="29"/>
  <c r="FL152" i="29"/>
  <c r="FK152" i="29"/>
  <c r="FJ152" i="29"/>
  <c r="FI152" i="29"/>
  <c r="FH152" i="29"/>
  <c r="FG152" i="29"/>
  <c r="FF152" i="29"/>
  <c r="FE152" i="29"/>
  <c r="FD152" i="29"/>
  <c r="FC152" i="29"/>
  <c r="FB152" i="29"/>
  <c r="FA152" i="29"/>
  <c r="EZ152" i="29"/>
  <c r="EY152" i="29"/>
  <c r="EX152" i="29"/>
  <c r="EW152" i="29"/>
  <c r="EV152" i="29"/>
  <c r="EU152" i="29"/>
  <c r="ET152" i="29"/>
  <c r="ES152" i="29"/>
  <c r="ER152" i="29"/>
  <c r="EQ152" i="29"/>
  <c r="EP152" i="29"/>
  <c r="EO152" i="29"/>
  <c r="EN152" i="29"/>
  <c r="EM152" i="29"/>
  <c r="EL152" i="29"/>
  <c r="FO151" i="29"/>
  <c r="FN151" i="29"/>
  <c r="FM151" i="29"/>
  <c r="FL151" i="29"/>
  <c r="FK151" i="29"/>
  <c r="FJ151" i="29"/>
  <c r="FI151" i="29"/>
  <c r="FH151" i="29"/>
  <c r="FG151" i="29"/>
  <c r="FF151" i="29"/>
  <c r="FE151" i="29"/>
  <c r="FD151" i="29"/>
  <c r="FC151" i="29"/>
  <c r="FB151" i="29"/>
  <c r="FA151" i="29"/>
  <c r="EZ151" i="29"/>
  <c r="EY151" i="29"/>
  <c r="EX151" i="29"/>
  <c r="EW151" i="29"/>
  <c r="EV151" i="29"/>
  <c r="EU151" i="29"/>
  <c r="ET151" i="29"/>
  <c r="ES151" i="29"/>
  <c r="ER151" i="29"/>
  <c r="EQ151" i="29"/>
  <c r="EP151" i="29"/>
  <c r="EO151" i="29"/>
  <c r="EN151" i="29"/>
  <c r="EM151" i="29"/>
  <c r="EL151" i="29"/>
  <c r="FO150" i="29"/>
  <c r="FN150" i="29"/>
  <c r="FM150" i="29"/>
  <c r="FL150" i="29"/>
  <c r="FK150" i="29"/>
  <c r="FJ150" i="29"/>
  <c r="FI150" i="29"/>
  <c r="FH150" i="29"/>
  <c r="FG150" i="29"/>
  <c r="FF150" i="29"/>
  <c r="FE150" i="29"/>
  <c r="FD150" i="29"/>
  <c r="FC150" i="29"/>
  <c r="FB150" i="29"/>
  <c r="FA150" i="29"/>
  <c r="EZ150" i="29"/>
  <c r="EY150" i="29"/>
  <c r="EX150" i="29"/>
  <c r="EW150" i="29"/>
  <c r="EV150" i="29"/>
  <c r="EU150" i="29"/>
  <c r="ET150" i="29"/>
  <c r="ES150" i="29"/>
  <c r="ER150" i="29"/>
  <c r="EQ150" i="29"/>
  <c r="EP150" i="29"/>
  <c r="EO150" i="29"/>
  <c r="EN150" i="29"/>
  <c r="EM150" i="29"/>
  <c r="EL150" i="29"/>
  <c r="FO149" i="29"/>
  <c r="FN149" i="29"/>
  <c r="FM149" i="29"/>
  <c r="FL149" i="29"/>
  <c r="FK149" i="29"/>
  <c r="FJ149" i="29"/>
  <c r="FI149" i="29"/>
  <c r="FH149" i="29"/>
  <c r="FG149" i="29"/>
  <c r="FF149" i="29"/>
  <c r="FE149" i="29"/>
  <c r="FD149" i="29"/>
  <c r="FC149" i="29"/>
  <c r="FB149" i="29"/>
  <c r="FA149" i="29"/>
  <c r="EZ149" i="29"/>
  <c r="EY149" i="29"/>
  <c r="EX149" i="29"/>
  <c r="EW149" i="29"/>
  <c r="EV149" i="29"/>
  <c r="EU149" i="29"/>
  <c r="ET149" i="29"/>
  <c r="ES149" i="29"/>
  <c r="ER149" i="29"/>
  <c r="EQ149" i="29"/>
  <c r="EP149" i="29"/>
  <c r="EO149" i="29"/>
  <c r="EN149" i="29"/>
  <c r="EM149" i="29"/>
  <c r="EL149" i="29"/>
  <c r="FO148" i="29"/>
  <c r="FN148" i="29"/>
  <c r="FM148" i="29"/>
  <c r="FL148" i="29"/>
  <c r="FK148" i="29"/>
  <c r="FJ148" i="29"/>
  <c r="FI148" i="29"/>
  <c r="FH148" i="29"/>
  <c r="FG148" i="29"/>
  <c r="FF148" i="29"/>
  <c r="FE148" i="29"/>
  <c r="FD148" i="29"/>
  <c r="FC148" i="29"/>
  <c r="FB148" i="29"/>
  <c r="FA148" i="29"/>
  <c r="EZ148" i="29"/>
  <c r="EY148" i="29"/>
  <c r="EX148" i="29"/>
  <c r="EW148" i="29"/>
  <c r="EV148" i="29"/>
  <c r="EU148" i="29"/>
  <c r="ET148" i="29"/>
  <c r="ES148" i="29"/>
  <c r="ER148" i="29"/>
  <c r="EQ148" i="29"/>
  <c r="EP148" i="29"/>
  <c r="EO148" i="29"/>
  <c r="EN148" i="29"/>
  <c r="EM148" i="29"/>
  <c r="EL148" i="29"/>
  <c r="FO147" i="29"/>
  <c r="FN147" i="29"/>
  <c r="FM147" i="29"/>
  <c r="FL147" i="29"/>
  <c r="FK147" i="29"/>
  <c r="FJ147" i="29"/>
  <c r="FI147" i="29"/>
  <c r="FH147" i="29"/>
  <c r="FG147" i="29"/>
  <c r="FF147" i="29"/>
  <c r="FE147" i="29"/>
  <c r="FD147" i="29"/>
  <c r="FC147" i="29"/>
  <c r="FB147" i="29"/>
  <c r="FA147" i="29"/>
  <c r="EZ147" i="29"/>
  <c r="EY147" i="29"/>
  <c r="EX147" i="29"/>
  <c r="EW147" i="29"/>
  <c r="EV147" i="29"/>
  <c r="EU147" i="29"/>
  <c r="ET147" i="29"/>
  <c r="ES147" i="29"/>
  <c r="ER147" i="29"/>
  <c r="EQ147" i="29"/>
  <c r="EP147" i="29"/>
  <c r="EO147" i="29"/>
  <c r="EN147" i="29"/>
  <c r="EM147" i="29"/>
  <c r="EL147" i="29"/>
  <c r="FO146" i="29"/>
  <c r="FN146" i="29"/>
  <c r="FM146" i="29"/>
  <c r="FL146" i="29"/>
  <c r="FK146" i="29"/>
  <c r="FJ146" i="29"/>
  <c r="FI146" i="29"/>
  <c r="FH146" i="29"/>
  <c r="FG146" i="29"/>
  <c r="FF146" i="29"/>
  <c r="FE146" i="29"/>
  <c r="FD146" i="29"/>
  <c r="FC146" i="29"/>
  <c r="FB146" i="29"/>
  <c r="FA146" i="29"/>
  <c r="EZ146" i="29"/>
  <c r="EY146" i="29"/>
  <c r="EX146" i="29"/>
  <c r="EW146" i="29"/>
  <c r="EV146" i="29"/>
  <c r="EU146" i="29"/>
  <c r="ET146" i="29"/>
  <c r="ES146" i="29"/>
  <c r="ER146" i="29"/>
  <c r="EQ146" i="29"/>
  <c r="EP146" i="29"/>
  <c r="EO146" i="29"/>
  <c r="EN146" i="29"/>
  <c r="EM146" i="29"/>
  <c r="EL146" i="29"/>
  <c r="FO145" i="29"/>
  <c r="FN145" i="29"/>
  <c r="FM145" i="29"/>
  <c r="FL145" i="29"/>
  <c r="FK145" i="29"/>
  <c r="FJ145" i="29"/>
  <c r="FI145" i="29"/>
  <c r="FH145" i="29"/>
  <c r="FG145" i="29"/>
  <c r="FF145" i="29"/>
  <c r="FE145" i="29"/>
  <c r="FD145" i="29"/>
  <c r="FC145" i="29"/>
  <c r="FB145" i="29"/>
  <c r="FA145" i="29"/>
  <c r="EZ145" i="29"/>
  <c r="EY145" i="29"/>
  <c r="EX145" i="29"/>
  <c r="EW145" i="29"/>
  <c r="EV145" i="29"/>
  <c r="EU145" i="29"/>
  <c r="ET145" i="29"/>
  <c r="ES145" i="29"/>
  <c r="ER145" i="29"/>
  <c r="EQ145" i="29"/>
  <c r="EP145" i="29"/>
  <c r="EO145" i="29"/>
  <c r="EN145" i="29"/>
  <c r="EM145" i="29"/>
  <c r="EL145" i="29"/>
  <c r="FO144" i="29"/>
  <c r="FN144" i="29"/>
  <c r="FM144" i="29"/>
  <c r="FL144" i="29"/>
  <c r="FK144" i="29"/>
  <c r="FJ144" i="29"/>
  <c r="FI144" i="29"/>
  <c r="FH144" i="29"/>
  <c r="FG144" i="29"/>
  <c r="FF144" i="29"/>
  <c r="FE144" i="29"/>
  <c r="FD144" i="29"/>
  <c r="FC144" i="29"/>
  <c r="FB144" i="29"/>
  <c r="FA144" i="29"/>
  <c r="EZ144" i="29"/>
  <c r="EY144" i="29"/>
  <c r="EX144" i="29"/>
  <c r="EW144" i="29"/>
  <c r="EV144" i="29"/>
  <c r="EU144" i="29"/>
  <c r="ET144" i="29"/>
  <c r="ES144" i="29"/>
  <c r="ER144" i="29"/>
  <c r="EQ144" i="29"/>
  <c r="EP144" i="29"/>
  <c r="EO144" i="29"/>
  <c r="EN144" i="29"/>
  <c r="EM144" i="29"/>
  <c r="EL144" i="29"/>
  <c r="FO143" i="29"/>
  <c r="FN143" i="29"/>
  <c r="FM143" i="29"/>
  <c r="FL143" i="29"/>
  <c r="FK143" i="29"/>
  <c r="FJ143" i="29"/>
  <c r="FI143" i="29"/>
  <c r="FH143" i="29"/>
  <c r="FG143" i="29"/>
  <c r="FF143" i="29"/>
  <c r="FE143" i="29"/>
  <c r="FD143" i="29"/>
  <c r="FC143" i="29"/>
  <c r="FB143" i="29"/>
  <c r="FA143" i="29"/>
  <c r="EZ143" i="29"/>
  <c r="EY143" i="29"/>
  <c r="EX143" i="29"/>
  <c r="EW143" i="29"/>
  <c r="EV143" i="29"/>
  <c r="EU143" i="29"/>
  <c r="ET143" i="29"/>
  <c r="ES143" i="29"/>
  <c r="ER143" i="29"/>
  <c r="EQ143" i="29"/>
  <c r="EP143" i="29"/>
  <c r="EO143" i="29"/>
  <c r="EN143" i="29"/>
  <c r="EM143" i="29"/>
  <c r="EL143" i="29"/>
  <c r="FO142" i="29"/>
  <c r="FN142" i="29"/>
  <c r="FM142" i="29"/>
  <c r="FL142" i="29"/>
  <c r="FK142" i="29"/>
  <c r="FJ142" i="29"/>
  <c r="FI142" i="29"/>
  <c r="FH142" i="29"/>
  <c r="FG142" i="29"/>
  <c r="FF142" i="29"/>
  <c r="FE142" i="29"/>
  <c r="FD142" i="29"/>
  <c r="FC142" i="29"/>
  <c r="FB142" i="29"/>
  <c r="FA142" i="29"/>
  <c r="EZ142" i="29"/>
  <c r="EY142" i="29"/>
  <c r="EX142" i="29"/>
  <c r="EW142" i="29"/>
  <c r="EV142" i="29"/>
  <c r="EU142" i="29"/>
  <c r="ET142" i="29"/>
  <c r="ES142" i="29"/>
  <c r="ER142" i="29"/>
  <c r="EQ142" i="29"/>
  <c r="EP142" i="29"/>
  <c r="EO142" i="29"/>
  <c r="EN142" i="29"/>
  <c r="EM142" i="29"/>
  <c r="EL142" i="29"/>
  <c r="FO141" i="29"/>
  <c r="FN141" i="29"/>
  <c r="FM141" i="29"/>
  <c r="FL141" i="29"/>
  <c r="FK141" i="29"/>
  <c r="FJ141" i="29"/>
  <c r="FI141" i="29"/>
  <c r="FH141" i="29"/>
  <c r="FG141" i="29"/>
  <c r="FF141" i="29"/>
  <c r="FE141" i="29"/>
  <c r="FD141" i="29"/>
  <c r="FC141" i="29"/>
  <c r="FB141" i="29"/>
  <c r="FA141" i="29"/>
  <c r="EZ141" i="29"/>
  <c r="EY141" i="29"/>
  <c r="EX141" i="29"/>
  <c r="EW141" i="29"/>
  <c r="EV141" i="29"/>
  <c r="EU141" i="29"/>
  <c r="ET141" i="29"/>
  <c r="ES141" i="29"/>
  <c r="ER141" i="29"/>
  <c r="EQ141" i="29"/>
  <c r="EP141" i="29"/>
  <c r="EO141" i="29"/>
  <c r="EN141" i="29"/>
  <c r="EM141" i="29"/>
  <c r="EL141" i="29"/>
  <c r="FO140" i="29"/>
  <c r="FN140" i="29"/>
  <c r="FM140" i="29"/>
  <c r="FL140" i="29"/>
  <c r="FK140" i="29"/>
  <c r="FJ140" i="29"/>
  <c r="FI140" i="29"/>
  <c r="FH140" i="29"/>
  <c r="FG140" i="29"/>
  <c r="FF140" i="29"/>
  <c r="FE140" i="29"/>
  <c r="FD140" i="29"/>
  <c r="FC140" i="29"/>
  <c r="FB140" i="29"/>
  <c r="FA140" i="29"/>
  <c r="EZ140" i="29"/>
  <c r="EY140" i="29"/>
  <c r="EX140" i="29"/>
  <c r="EW140" i="29"/>
  <c r="EV140" i="29"/>
  <c r="EU140" i="29"/>
  <c r="ET140" i="29"/>
  <c r="ES140" i="29"/>
  <c r="ER140" i="29"/>
  <c r="EQ140" i="29"/>
  <c r="EP140" i="29"/>
  <c r="EO140" i="29"/>
  <c r="EN140" i="29"/>
  <c r="EM140" i="29"/>
  <c r="EL140" i="29"/>
  <c r="FO139" i="29"/>
  <c r="FN139" i="29"/>
  <c r="FM139" i="29"/>
  <c r="FL139" i="29"/>
  <c r="FK139" i="29"/>
  <c r="FJ139" i="29"/>
  <c r="FI139" i="29"/>
  <c r="FH139" i="29"/>
  <c r="FG139" i="29"/>
  <c r="FF139" i="29"/>
  <c r="FE139" i="29"/>
  <c r="FD139" i="29"/>
  <c r="FC139" i="29"/>
  <c r="FB139" i="29"/>
  <c r="FA139" i="29"/>
  <c r="EZ139" i="29"/>
  <c r="EY139" i="29"/>
  <c r="EX139" i="29"/>
  <c r="EW139" i="29"/>
  <c r="EV139" i="29"/>
  <c r="EU139" i="29"/>
  <c r="ET139" i="29"/>
  <c r="ES139" i="29"/>
  <c r="ER139" i="29"/>
  <c r="EQ139" i="29"/>
  <c r="EP139" i="29"/>
  <c r="EO139" i="29"/>
  <c r="EN139" i="29"/>
  <c r="EM139" i="29"/>
  <c r="EL139" i="29"/>
  <c r="FO138" i="29"/>
  <c r="FN138" i="29"/>
  <c r="FM138" i="29"/>
  <c r="FL138" i="29"/>
  <c r="FK138" i="29"/>
  <c r="FJ138" i="29"/>
  <c r="FI138" i="29"/>
  <c r="FH138" i="29"/>
  <c r="FG138" i="29"/>
  <c r="FF138" i="29"/>
  <c r="FE138" i="29"/>
  <c r="FD138" i="29"/>
  <c r="FC138" i="29"/>
  <c r="FB138" i="29"/>
  <c r="FA138" i="29"/>
  <c r="EZ138" i="29"/>
  <c r="EY138" i="29"/>
  <c r="EX138" i="29"/>
  <c r="EW138" i="29"/>
  <c r="EV138" i="29"/>
  <c r="EU138" i="29"/>
  <c r="ET138" i="29"/>
  <c r="ES138" i="29"/>
  <c r="ER138" i="29"/>
  <c r="EQ138" i="29"/>
  <c r="EP138" i="29"/>
  <c r="EO138" i="29"/>
  <c r="EN138" i="29"/>
  <c r="EM138" i="29"/>
  <c r="EL138" i="29"/>
  <c r="FO137" i="29"/>
  <c r="FN137" i="29"/>
  <c r="FM137" i="29"/>
  <c r="FL137" i="29"/>
  <c r="FK137" i="29"/>
  <c r="FJ137" i="29"/>
  <c r="FI137" i="29"/>
  <c r="FH137" i="29"/>
  <c r="FG137" i="29"/>
  <c r="FF137" i="29"/>
  <c r="FE137" i="29"/>
  <c r="FD137" i="29"/>
  <c r="FC137" i="29"/>
  <c r="FB137" i="29"/>
  <c r="FA137" i="29"/>
  <c r="EZ137" i="29"/>
  <c r="EY137" i="29"/>
  <c r="EX137" i="29"/>
  <c r="EW137" i="29"/>
  <c r="EV137" i="29"/>
  <c r="EU137" i="29"/>
  <c r="ET137" i="29"/>
  <c r="ES137" i="29"/>
  <c r="ER137" i="29"/>
  <c r="EQ137" i="29"/>
  <c r="EP137" i="29"/>
  <c r="EO137" i="29"/>
  <c r="EN137" i="29"/>
  <c r="EM137" i="29"/>
  <c r="EL137" i="29"/>
  <c r="FO136" i="29"/>
  <c r="FN136" i="29"/>
  <c r="FM136" i="29"/>
  <c r="FL136" i="29"/>
  <c r="FK136" i="29"/>
  <c r="FJ136" i="29"/>
  <c r="FI136" i="29"/>
  <c r="FH136" i="29"/>
  <c r="FG136" i="29"/>
  <c r="FF136" i="29"/>
  <c r="FE136" i="29"/>
  <c r="FD136" i="29"/>
  <c r="FC136" i="29"/>
  <c r="FB136" i="29"/>
  <c r="FA136" i="29"/>
  <c r="EZ136" i="29"/>
  <c r="EY136" i="29"/>
  <c r="EX136" i="29"/>
  <c r="EW136" i="29"/>
  <c r="EV136" i="29"/>
  <c r="EU136" i="29"/>
  <c r="ET136" i="29"/>
  <c r="ES136" i="29"/>
  <c r="ER136" i="29"/>
  <c r="EQ136" i="29"/>
  <c r="EP136" i="29"/>
  <c r="EO136" i="29"/>
  <c r="EN136" i="29"/>
  <c r="EM136" i="29"/>
  <c r="EL136" i="29"/>
  <c r="FO135" i="29"/>
  <c r="FN135" i="29"/>
  <c r="FM135" i="29"/>
  <c r="FL135" i="29"/>
  <c r="FK135" i="29"/>
  <c r="FJ135" i="29"/>
  <c r="FI135" i="29"/>
  <c r="FH135" i="29"/>
  <c r="FG135" i="29"/>
  <c r="FF135" i="29"/>
  <c r="FE135" i="29"/>
  <c r="FD135" i="29"/>
  <c r="FC135" i="29"/>
  <c r="FB135" i="29"/>
  <c r="FA135" i="29"/>
  <c r="EZ135" i="29"/>
  <c r="EY135" i="29"/>
  <c r="EX135" i="29"/>
  <c r="EW135" i="29"/>
  <c r="EV135" i="29"/>
  <c r="EU135" i="29"/>
  <c r="ET135" i="29"/>
  <c r="ES135" i="29"/>
  <c r="ER135" i="29"/>
  <c r="EQ135" i="29"/>
  <c r="EP135" i="29"/>
  <c r="EO135" i="29"/>
  <c r="EN135" i="29"/>
  <c r="EM135" i="29"/>
  <c r="EL135" i="29"/>
  <c r="FO134" i="29"/>
  <c r="FN134" i="29"/>
  <c r="FM134" i="29"/>
  <c r="FL134" i="29"/>
  <c r="FK134" i="29"/>
  <c r="FJ134" i="29"/>
  <c r="FI134" i="29"/>
  <c r="FH134" i="29"/>
  <c r="FG134" i="29"/>
  <c r="FF134" i="29"/>
  <c r="FE134" i="29"/>
  <c r="FD134" i="29"/>
  <c r="FC134" i="29"/>
  <c r="FB134" i="29"/>
  <c r="FA134" i="29"/>
  <c r="EZ134" i="29"/>
  <c r="EY134" i="29"/>
  <c r="EX134" i="29"/>
  <c r="EW134" i="29"/>
  <c r="EV134" i="29"/>
  <c r="EU134" i="29"/>
  <c r="ET134" i="29"/>
  <c r="ES134" i="29"/>
  <c r="ER134" i="29"/>
  <c r="EQ134" i="29"/>
  <c r="EP134" i="29"/>
  <c r="EO134" i="29"/>
  <c r="EN134" i="29"/>
  <c r="EM134" i="29"/>
  <c r="EL134" i="29"/>
  <c r="FO133" i="29"/>
  <c r="FN133" i="29"/>
  <c r="FM133" i="29"/>
  <c r="FL133" i="29"/>
  <c r="FK133" i="29"/>
  <c r="FJ133" i="29"/>
  <c r="FI133" i="29"/>
  <c r="FH133" i="29"/>
  <c r="FG133" i="29"/>
  <c r="FF133" i="29"/>
  <c r="FE133" i="29"/>
  <c r="FD133" i="29"/>
  <c r="FC133" i="29"/>
  <c r="FB133" i="29"/>
  <c r="FA133" i="29"/>
  <c r="EZ133" i="29"/>
  <c r="EY133" i="29"/>
  <c r="EX133" i="29"/>
  <c r="EW133" i="29"/>
  <c r="EV133" i="29"/>
  <c r="EU133" i="29"/>
  <c r="ET133" i="29"/>
  <c r="ES133" i="29"/>
  <c r="ER133" i="29"/>
  <c r="EQ133" i="29"/>
  <c r="EP133" i="29"/>
  <c r="EO133" i="29"/>
  <c r="EN133" i="29"/>
  <c r="EM133" i="29"/>
  <c r="EL133" i="29"/>
  <c r="FO132" i="29"/>
  <c r="FN132" i="29"/>
  <c r="FM132" i="29"/>
  <c r="FL132" i="29"/>
  <c r="FK132" i="29"/>
  <c r="FJ132" i="29"/>
  <c r="FI132" i="29"/>
  <c r="FH132" i="29"/>
  <c r="FG132" i="29"/>
  <c r="FF132" i="29"/>
  <c r="FE132" i="29"/>
  <c r="FD132" i="29"/>
  <c r="FC132" i="29"/>
  <c r="FB132" i="29"/>
  <c r="FA132" i="29"/>
  <c r="EZ132" i="29"/>
  <c r="EY132" i="29"/>
  <c r="EX132" i="29"/>
  <c r="EW132" i="29"/>
  <c r="EV132" i="29"/>
  <c r="EU132" i="29"/>
  <c r="ET132" i="29"/>
  <c r="ES132" i="29"/>
  <c r="ER132" i="29"/>
  <c r="EQ132" i="29"/>
  <c r="EP132" i="29"/>
  <c r="EO132" i="29"/>
  <c r="EN132" i="29"/>
  <c r="EM132" i="29"/>
  <c r="EL132" i="29"/>
  <c r="FO131" i="29"/>
  <c r="FN131" i="29"/>
  <c r="FM131" i="29"/>
  <c r="FL131" i="29"/>
  <c r="FK131" i="29"/>
  <c r="FJ131" i="29"/>
  <c r="FI131" i="29"/>
  <c r="FH131" i="29"/>
  <c r="FG131" i="29"/>
  <c r="FF131" i="29"/>
  <c r="FE131" i="29"/>
  <c r="FD131" i="29"/>
  <c r="FC131" i="29"/>
  <c r="FB131" i="29"/>
  <c r="FA131" i="29"/>
  <c r="EZ131" i="29"/>
  <c r="EY131" i="29"/>
  <c r="EX131" i="29"/>
  <c r="EW131" i="29"/>
  <c r="EV131" i="29"/>
  <c r="EU131" i="29"/>
  <c r="ET131" i="29"/>
  <c r="ES131" i="29"/>
  <c r="ER131" i="29"/>
  <c r="EQ131" i="29"/>
  <c r="EP131" i="29"/>
  <c r="EO131" i="29"/>
  <c r="EN131" i="29"/>
  <c r="EM131" i="29"/>
  <c r="EL131" i="29"/>
  <c r="FO130" i="29"/>
  <c r="FN130" i="29"/>
  <c r="FM130" i="29"/>
  <c r="FL130" i="29"/>
  <c r="FK130" i="29"/>
  <c r="FJ130" i="29"/>
  <c r="FI130" i="29"/>
  <c r="FH130" i="29"/>
  <c r="FG130" i="29"/>
  <c r="FF130" i="29"/>
  <c r="FE130" i="29"/>
  <c r="FD130" i="29"/>
  <c r="FC130" i="29"/>
  <c r="FB130" i="29"/>
  <c r="FA130" i="29"/>
  <c r="EZ130" i="29"/>
  <c r="EY130" i="29"/>
  <c r="EX130" i="29"/>
  <c r="EW130" i="29"/>
  <c r="EV130" i="29"/>
  <c r="EU130" i="29"/>
  <c r="ET130" i="29"/>
  <c r="ES130" i="29"/>
  <c r="ER130" i="29"/>
  <c r="EQ130" i="29"/>
  <c r="EP130" i="29"/>
  <c r="EO130" i="29"/>
  <c r="EN130" i="29"/>
  <c r="EM130" i="29"/>
  <c r="EL130" i="29"/>
  <c r="FO129" i="29"/>
  <c r="FN129" i="29"/>
  <c r="FM129" i="29"/>
  <c r="FL129" i="29"/>
  <c r="FK129" i="29"/>
  <c r="FJ129" i="29"/>
  <c r="FI129" i="29"/>
  <c r="FH129" i="29"/>
  <c r="FG129" i="29"/>
  <c r="FF129" i="29"/>
  <c r="FE129" i="29"/>
  <c r="FD129" i="29"/>
  <c r="FC129" i="29"/>
  <c r="FB129" i="29"/>
  <c r="FA129" i="29"/>
  <c r="EZ129" i="29"/>
  <c r="EY129" i="29"/>
  <c r="EX129" i="29"/>
  <c r="EW129" i="29"/>
  <c r="EV129" i="29"/>
  <c r="EU129" i="29"/>
  <c r="ET129" i="29"/>
  <c r="ES129" i="29"/>
  <c r="ER129" i="29"/>
  <c r="EQ129" i="29"/>
  <c r="EP129" i="29"/>
  <c r="EO129" i="29"/>
  <c r="EN129" i="29"/>
  <c r="EM129" i="29"/>
  <c r="EL129" i="29"/>
  <c r="FO128" i="29"/>
  <c r="FN128" i="29"/>
  <c r="FM128" i="29"/>
  <c r="FL128" i="29"/>
  <c r="FK128" i="29"/>
  <c r="FJ128" i="29"/>
  <c r="FI128" i="29"/>
  <c r="FH128" i="29"/>
  <c r="FG128" i="29"/>
  <c r="FF128" i="29"/>
  <c r="FE128" i="29"/>
  <c r="FD128" i="29"/>
  <c r="FC128" i="29"/>
  <c r="FB128" i="29"/>
  <c r="FA128" i="29"/>
  <c r="EZ128" i="29"/>
  <c r="EY128" i="29"/>
  <c r="EX128" i="29"/>
  <c r="EW128" i="29"/>
  <c r="EV128" i="29"/>
  <c r="EU128" i="29"/>
  <c r="ET128" i="29"/>
  <c r="ES128" i="29"/>
  <c r="ER128" i="29"/>
  <c r="EQ128" i="29"/>
  <c r="EP128" i="29"/>
  <c r="EO128" i="29"/>
  <c r="EN128" i="29"/>
  <c r="EM128" i="29"/>
  <c r="EL128" i="29"/>
  <c r="FO127" i="29"/>
  <c r="FN127" i="29"/>
  <c r="FM127" i="29"/>
  <c r="FL127" i="29"/>
  <c r="FK127" i="29"/>
  <c r="FJ127" i="29"/>
  <c r="FI127" i="29"/>
  <c r="FH127" i="29"/>
  <c r="FG127" i="29"/>
  <c r="FF127" i="29"/>
  <c r="FE127" i="29"/>
  <c r="FD127" i="29"/>
  <c r="FC127" i="29"/>
  <c r="FB127" i="29"/>
  <c r="FA127" i="29"/>
  <c r="EZ127" i="29"/>
  <c r="EY127" i="29"/>
  <c r="EX127" i="29"/>
  <c r="EW127" i="29"/>
  <c r="EV127" i="29"/>
  <c r="EU127" i="29"/>
  <c r="ET127" i="29"/>
  <c r="ES127" i="29"/>
  <c r="ER127" i="29"/>
  <c r="EQ127" i="29"/>
  <c r="EP127" i="29"/>
  <c r="EO127" i="29"/>
  <c r="EN127" i="29"/>
  <c r="EM127" i="29"/>
  <c r="EL127" i="29"/>
  <c r="FO126" i="29"/>
  <c r="FN126" i="29"/>
  <c r="FM126" i="29"/>
  <c r="FL126" i="29"/>
  <c r="FK126" i="29"/>
  <c r="FJ126" i="29"/>
  <c r="FI126" i="29"/>
  <c r="FH126" i="29"/>
  <c r="FG126" i="29"/>
  <c r="FF126" i="29"/>
  <c r="FE126" i="29"/>
  <c r="FD126" i="29"/>
  <c r="FC126" i="29"/>
  <c r="FB126" i="29"/>
  <c r="FA126" i="29"/>
  <c r="EZ126" i="29"/>
  <c r="EY126" i="29"/>
  <c r="EX126" i="29"/>
  <c r="EW126" i="29"/>
  <c r="EV126" i="29"/>
  <c r="EU126" i="29"/>
  <c r="ET126" i="29"/>
  <c r="ES126" i="29"/>
  <c r="ER126" i="29"/>
  <c r="EQ126" i="29"/>
  <c r="EP126" i="29"/>
  <c r="EO126" i="29"/>
  <c r="EN126" i="29"/>
  <c r="EM126" i="29"/>
  <c r="EL126" i="29"/>
  <c r="FO125" i="29"/>
  <c r="FN125" i="29"/>
  <c r="FM125" i="29"/>
  <c r="FL125" i="29"/>
  <c r="FK125" i="29"/>
  <c r="FJ125" i="29"/>
  <c r="FI125" i="29"/>
  <c r="FH125" i="29"/>
  <c r="FG125" i="29"/>
  <c r="FF125" i="29"/>
  <c r="FE125" i="29"/>
  <c r="FD125" i="29"/>
  <c r="FC125" i="29"/>
  <c r="FB125" i="29"/>
  <c r="FA125" i="29"/>
  <c r="EZ125" i="29"/>
  <c r="EY125" i="29"/>
  <c r="EX125" i="29"/>
  <c r="EW125" i="29"/>
  <c r="EV125" i="29"/>
  <c r="EU125" i="29"/>
  <c r="ET125" i="29"/>
  <c r="ES125" i="29"/>
  <c r="ER125" i="29"/>
  <c r="EQ125" i="29"/>
  <c r="EP125" i="29"/>
  <c r="EO125" i="29"/>
  <c r="EN125" i="29"/>
  <c r="EM125" i="29"/>
  <c r="EL125" i="29"/>
  <c r="FO124" i="29"/>
  <c r="FN124" i="29"/>
  <c r="FM124" i="29"/>
  <c r="FL124" i="29"/>
  <c r="FK124" i="29"/>
  <c r="FJ124" i="29"/>
  <c r="FI124" i="29"/>
  <c r="FH124" i="29"/>
  <c r="FG124" i="29"/>
  <c r="FF124" i="29"/>
  <c r="FE124" i="29"/>
  <c r="FD124" i="29"/>
  <c r="FC124" i="29"/>
  <c r="FB124" i="29"/>
  <c r="FA124" i="29"/>
  <c r="EZ124" i="29"/>
  <c r="EY124" i="29"/>
  <c r="EX124" i="29"/>
  <c r="EW124" i="29"/>
  <c r="EV124" i="29"/>
  <c r="EU124" i="29"/>
  <c r="ET124" i="29"/>
  <c r="ES124" i="29"/>
  <c r="ER124" i="29"/>
  <c r="EQ124" i="29"/>
  <c r="EP124" i="29"/>
  <c r="EO124" i="29"/>
  <c r="EN124" i="29"/>
  <c r="EM124" i="29"/>
  <c r="EL124" i="29"/>
  <c r="FO123" i="29"/>
  <c r="FN123" i="29"/>
  <c r="FM123" i="29"/>
  <c r="FL123" i="29"/>
  <c r="FK123" i="29"/>
  <c r="FJ123" i="29"/>
  <c r="FI123" i="29"/>
  <c r="FH123" i="29"/>
  <c r="FG123" i="29"/>
  <c r="FF123" i="29"/>
  <c r="FE123" i="29"/>
  <c r="FD123" i="29"/>
  <c r="FC123" i="29"/>
  <c r="FB123" i="29"/>
  <c r="FA123" i="29"/>
  <c r="EZ123" i="29"/>
  <c r="EY123" i="29"/>
  <c r="EX123" i="29"/>
  <c r="EW123" i="29"/>
  <c r="EV123" i="29"/>
  <c r="EU123" i="29"/>
  <c r="ET123" i="29"/>
  <c r="ES123" i="29"/>
  <c r="ER123" i="29"/>
  <c r="EQ123" i="29"/>
  <c r="EP123" i="29"/>
  <c r="EO123" i="29"/>
  <c r="EN123" i="29"/>
  <c r="EM123" i="29"/>
  <c r="EL123" i="29"/>
  <c r="FO122" i="29"/>
  <c r="FN122" i="29"/>
  <c r="FM122" i="29"/>
  <c r="FL122" i="29"/>
  <c r="FK122" i="29"/>
  <c r="FJ122" i="29"/>
  <c r="FI122" i="29"/>
  <c r="FH122" i="29"/>
  <c r="FG122" i="29"/>
  <c r="FF122" i="29"/>
  <c r="FE122" i="29"/>
  <c r="FD122" i="29"/>
  <c r="FC122" i="29"/>
  <c r="FB122" i="29"/>
  <c r="FA122" i="29"/>
  <c r="EZ122" i="29"/>
  <c r="EY122" i="29"/>
  <c r="EX122" i="29"/>
  <c r="EW122" i="29"/>
  <c r="EV122" i="29"/>
  <c r="EU122" i="29"/>
  <c r="ET122" i="29"/>
  <c r="ES122" i="29"/>
  <c r="ER122" i="29"/>
  <c r="EQ122" i="29"/>
  <c r="EP122" i="29"/>
  <c r="EO122" i="29"/>
  <c r="EN122" i="29"/>
  <c r="EM122" i="29"/>
  <c r="EL122" i="29"/>
  <c r="FO121" i="29"/>
  <c r="FN121" i="29"/>
  <c r="FM121" i="29"/>
  <c r="FL121" i="29"/>
  <c r="FK121" i="29"/>
  <c r="FJ121" i="29"/>
  <c r="FI121" i="29"/>
  <c r="FH121" i="29"/>
  <c r="FG121" i="29"/>
  <c r="FF121" i="29"/>
  <c r="FE121" i="29"/>
  <c r="FD121" i="29"/>
  <c r="FC121" i="29"/>
  <c r="FB121" i="29"/>
  <c r="FA121" i="29"/>
  <c r="EZ121" i="29"/>
  <c r="EY121" i="29"/>
  <c r="EX121" i="29"/>
  <c r="EW121" i="29"/>
  <c r="EV121" i="29"/>
  <c r="EU121" i="29"/>
  <c r="ET121" i="29"/>
  <c r="ES121" i="29"/>
  <c r="ER121" i="29"/>
  <c r="EQ121" i="29"/>
  <c r="EP121" i="29"/>
  <c r="EO121" i="29"/>
  <c r="EN121" i="29"/>
  <c r="EM121" i="29"/>
  <c r="EL121" i="29"/>
  <c r="FO120" i="29"/>
  <c r="FN120" i="29"/>
  <c r="FM120" i="29"/>
  <c r="FL120" i="29"/>
  <c r="FK120" i="29"/>
  <c r="FJ120" i="29"/>
  <c r="FI120" i="29"/>
  <c r="FH120" i="29"/>
  <c r="FG120" i="29"/>
  <c r="FF120" i="29"/>
  <c r="FE120" i="29"/>
  <c r="FD120" i="29"/>
  <c r="FC120" i="29"/>
  <c r="FB120" i="29"/>
  <c r="FA120" i="29"/>
  <c r="EZ120" i="29"/>
  <c r="EY120" i="29"/>
  <c r="EX120" i="29"/>
  <c r="EW120" i="29"/>
  <c r="EV120" i="29"/>
  <c r="EU120" i="29"/>
  <c r="ET120" i="29"/>
  <c r="ES120" i="29"/>
  <c r="ER120" i="29"/>
  <c r="EQ120" i="29"/>
  <c r="EP120" i="29"/>
  <c r="EO120" i="29"/>
  <c r="EN120" i="29"/>
  <c r="EM120" i="29"/>
  <c r="EL120" i="29"/>
  <c r="FO119" i="29"/>
  <c r="FN119" i="29"/>
  <c r="FM119" i="29"/>
  <c r="FL119" i="29"/>
  <c r="FK119" i="29"/>
  <c r="FJ119" i="29"/>
  <c r="FI119" i="29"/>
  <c r="FH119" i="29"/>
  <c r="FG119" i="29"/>
  <c r="FF119" i="29"/>
  <c r="FE119" i="29"/>
  <c r="FD119" i="29"/>
  <c r="FC119" i="29"/>
  <c r="FB119" i="29"/>
  <c r="FA119" i="29"/>
  <c r="EZ119" i="29"/>
  <c r="EY119" i="29"/>
  <c r="EX119" i="29"/>
  <c r="EW119" i="29"/>
  <c r="EV119" i="29"/>
  <c r="EU119" i="29"/>
  <c r="ET119" i="29"/>
  <c r="ES119" i="29"/>
  <c r="ER119" i="29"/>
  <c r="EQ119" i="29"/>
  <c r="EP119" i="29"/>
  <c r="EO119" i="29"/>
  <c r="EN119" i="29"/>
  <c r="EM119" i="29"/>
  <c r="EL119" i="29"/>
  <c r="FO118" i="29"/>
  <c r="FN118" i="29"/>
  <c r="FM118" i="29"/>
  <c r="FL118" i="29"/>
  <c r="FK118" i="29"/>
  <c r="FJ118" i="29"/>
  <c r="FI118" i="29"/>
  <c r="FH118" i="29"/>
  <c r="FG118" i="29"/>
  <c r="FF118" i="29"/>
  <c r="FE118" i="29"/>
  <c r="FD118" i="29"/>
  <c r="FC118" i="29"/>
  <c r="FB118" i="29"/>
  <c r="FA118" i="29"/>
  <c r="EZ118" i="29"/>
  <c r="EY118" i="29"/>
  <c r="EX118" i="29"/>
  <c r="EW118" i="29"/>
  <c r="EV118" i="29"/>
  <c r="EU118" i="29"/>
  <c r="ET118" i="29"/>
  <c r="ES118" i="29"/>
  <c r="ER118" i="29"/>
  <c r="EQ118" i="29"/>
  <c r="EP118" i="29"/>
  <c r="EO118" i="29"/>
  <c r="EN118" i="29"/>
  <c r="EM118" i="29"/>
  <c r="EL118" i="29"/>
  <c r="FO117" i="29"/>
  <c r="FN117" i="29"/>
  <c r="FM117" i="29"/>
  <c r="FL117" i="29"/>
  <c r="FK117" i="29"/>
  <c r="FJ117" i="29"/>
  <c r="FI117" i="29"/>
  <c r="FH117" i="29"/>
  <c r="FG117" i="29"/>
  <c r="FF117" i="29"/>
  <c r="FE117" i="29"/>
  <c r="FD117" i="29"/>
  <c r="FC117" i="29"/>
  <c r="FB117" i="29"/>
  <c r="FA117" i="29"/>
  <c r="EZ117" i="29"/>
  <c r="EY117" i="29"/>
  <c r="EX117" i="29"/>
  <c r="EW117" i="29"/>
  <c r="EV117" i="29"/>
  <c r="EU117" i="29"/>
  <c r="ET117" i="29"/>
  <c r="ES117" i="29"/>
  <c r="ER117" i="29"/>
  <c r="EQ117" i="29"/>
  <c r="EP117" i="29"/>
  <c r="EO117" i="29"/>
  <c r="EN117" i="29"/>
  <c r="EM117" i="29"/>
  <c r="EL117" i="29"/>
  <c r="FO116" i="29"/>
  <c r="FN116" i="29"/>
  <c r="FM116" i="29"/>
  <c r="FL116" i="29"/>
  <c r="FK116" i="29"/>
  <c r="FJ116" i="29"/>
  <c r="FI116" i="29"/>
  <c r="FH116" i="29"/>
  <c r="FG116" i="29"/>
  <c r="FF116" i="29"/>
  <c r="FE116" i="29"/>
  <c r="FD116" i="29"/>
  <c r="FC116" i="29"/>
  <c r="FB116" i="29"/>
  <c r="FA116" i="29"/>
  <c r="EZ116" i="29"/>
  <c r="EY116" i="29"/>
  <c r="EX116" i="29"/>
  <c r="EW116" i="29"/>
  <c r="EV116" i="29"/>
  <c r="EU116" i="29"/>
  <c r="ET116" i="29"/>
  <c r="ES116" i="29"/>
  <c r="ER116" i="29"/>
  <c r="EQ116" i="29"/>
  <c r="EP116" i="29"/>
  <c r="EO116" i="29"/>
  <c r="EN116" i="29"/>
  <c r="EM116" i="29"/>
  <c r="EL116" i="29"/>
  <c r="FO115" i="29"/>
  <c r="FN115" i="29"/>
  <c r="FM115" i="29"/>
  <c r="FL115" i="29"/>
  <c r="FK115" i="29"/>
  <c r="FJ115" i="29"/>
  <c r="FI115" i="29"/>
  <c r="FH115" i="29"/>
  <c r="FG115" i="29"/>
  <c r="FF115" i="29"/>
  <c r="FE115" i="29"/>
  <c r="FD115" i="29"/>
  <c r="FC115" i="29"/>
  <c r="FB115" i="29"/>
  <c r="FA115" i="29"/>
  <c r="EZ115" i="29"/>
  <c r="EY115" i="29"/>
  <c r="EX115" i="29"/>
  <c r="EW115" i="29"/>
  <c r="EV115" i="29"/>
  <c r="EU115" i="29"/>
  <c r="ET115" i="29"/>
  <c r="ES115" i="29"/>
  <c r="ER115" i="29"/>
  <c r="EQ115" i="29"/>
  <c r="EP115" i="29"/>
  <c r="EO115" i="29"/>
  <c r="EN115" i="29"/>
  <c r="EM115" i="29"/>
  <c r="EL115" i="29"/>
  <c r="FO114" i="29"/>
  <c r="FN114" i="29"/>
  <c r="FM114" i="29"/>
  <c r="FL114" i="29"/>
  <c r="FK114" i="29"/>
  <c r="FJ114" i="29"/>
  <c r="FI114" i="29"/>
  <c r="FH114" i="29"/>
  <c r="FG114" i="29"/>
  <c r="FF114" i="29"/>
  <c r="FE114" i="29"/>
  <c r="FD114" i="29"/>
  <c r="FC114" i="29"/>
  <c r="FB114" i="29"/>
  <c r="FA114" i="29"/>
  <c r="EZ114" i="29"/>
  <c r="EY114" i="29"/>
  <c r="EX114" i="29"/>
  <c r="EW114" i="29"/>
  <c r="EV114" i="29"/>
  <c r="EU114" i="29"/>
  <c r="ET114" i="29"/>
  <c r="ES114" i="29"/>
  <c r="ER114" i="29"/>
  <c r="EQ114" i="29"/>
  <c r="EP114" i="29"/>
  <c r="EO114" i="29"/>
  <c r="EN114" i="29"/>
  <c r="EM114" i="29"/>
  <c r="EL114" i="29"/>
  <c r="FO113" i="29"/>
  <c r="FN113" i="29"/>
  <c r="FM113" i="29"/>
  <c r="FL113" i="29"/>
  <c r="FK113" i="29"/>
  <c r="FJ113" i="29"/>
  <c r="FI113" i="29"/>
  <c r="FH113" i="29"/>
  <c r="FG113" i="29"/>
  <c r="FF113" i="29"/>
  <c r="FE113" i="29"/>
  <c r="FD113" i="29"/>
  <c r="FC113" i="29"/>
  <c r="FB113" i="29"/>
  <c r="FA113" i="29"/>
  <c r="EZ113" i="29"/>
  <c r="EY113" i="29"/>
  <c r="EX113" i="29"/>
  <c r="EW113" i="29"/>
  <c r="EV113" i="29"/>
  <c r="EU113" i="29"/>
  <c r="ET113" i="29"/>
  <c r="ES113" i="29"/>
  <c r="ER113" i="29"/>
  <c r="EQ113" i="29"/>
  <c r="EP113" i="29"/>
  <c r="EO113" i="29"/>
  <c r="EN113" i="29"/>
  <c r="EM113" i="29"/>
  <c r="EL113" i="29"/>
  <c r="FO112" i="29"/>
  <c r="FN112" i="29"/>
  <c r="FM112" i="29"/>
  <c r="FL112" i="29"/>
  <c r="FK112" i="29"/>
  <c r="FJ112" i="29"/>
  <c r="FI112" i="29"/>
  <c r="FH112" i="29"/>
  <c r="FG112" i="29"/>
  <c r="FF112" i="29"/>
  <c r="FE112" i="29"/>
  <c r="FD112" i="29"/>
  <c r="FC112" i="29"/>
  <c r="FB112" i="29"/>
  <c r="FA112" i="29"/>
  <c r="EZ112" i="29"/>
  <c r="EY112" i="29"/>
  <c r="EX112" i="29"/>
  <c r="EW112" i="29"/>
  <c r="EV112" i="29"/>
  <c r="EU112" i="29"/>
  <c r="ET112" i="29"/>
  <c r="ES112" i="29"/>
  <c r="ER112" i="29"/>
  <c r="EQ112" i="29"/>
  <c r="EP112" i="29"/>
  <c r="EO112" i="29"/>
  <c r="EN112" i="29"/>
  <c r="EM112" i="29"/>
  <c r="EL112" i="29"/>
  <c r="FO111" i="29"/>
  <c r="FN111" i="29"/>
  <c r="FM111" i="29"/>
  <c r="FL111" i="29"/>
  <c r="FK111" i="29"/>
  <c r="FJ111" i="29"/>
  <c r="FI111" i="29"/>
  <c r="FH111" i="29"/>
  <c r="FG111" i="29"/>
  <c r="FF111" i="29"/>
  <c r="FE111" i="29"/>
  <c r="FD111" i="29"/>
  <c r="FC111" i="29"/>
  <c r="FB111" i="29"/>
  <c r="FA111" i="29"/>
  <c r="EZ111" i="29"/>
  <c r="EY111" i="29"/>
  <c r="EX111" i="29"/>
  <c r="EW111" i="29"/>
  <c r="EV111" i="29"/>
  <c r="EU111" i="29"/>
  <c r="ET111" i="29"/>
  <c r="ES111" i="29"/>
  <c r="ER111" i="29"/>
  <c r="EQ111" i="29"/>
  <c r="EP111" i="29"/>
  <c r="EO111" i="29"/>
  <c r="EN111" i="29"/>
  <c r="EM111" i="29"/>
  <c r="EL111" i="29"/>
  <c r="FO110" i="29"/>
  <c r="FN110" i="29"/>
  <c r="FM110" i="29"/>
  <c r="FL110" i="29"/>
  <c r="FK110" i="29"/>
  <c r="FJ110" i="29"/>
  <c r="FI110" i="29"/>
  <c r="FH110" i="29"/>
  <c r="FG110" i="29"/>
  <c r="FF110" i="29"/>
  <c r="FE110" i="29"/>
  <c r="FD110" i="29"/>
  <c r="FC110" i="29"/>
  <c r="FB110" i="29"/>
  <c r="FA110" i="29"/>
  <c r="EZ110" i="29"/>
  <c r="EY110" i="29"/>
  <c r="EX110" i="29"/>
  <c r="EW110" i="29"/>
  <c r="EV110" i="29"/>
  <c r="EU110" i="29"/>
  <c r="ET110" i="29"/>
  <c r="ES110" i="29"/>
  <c r="ER110" i="29"/>
  <c r="EQ110" i="29"/>
  <c r="EP110" i="29"/>
  <c r="EO110" i="29"/>
  <c r="EN110" i="29"/>
  <c r="EM110" i="29"/>
  <c r="EL110" i="29"/>
  <c r="FO109" i="29"/>
  <c r="FN109" i="29"/>
  <c r="FM109" i="29"/>
  <c r="FL109" i="29"/>
  <c r="FK109" i="29"/>
  <c r="FJ109" i="29"/>
  <c r="FI109" i="29"/>
  <c r="FH109" i="29"/>
  <c r="FG109" i="29"/>
  <c r="FF109" i="29"/>
  <c r="FE109" i="29"/>
  <c r="FD109" i="29"/>
  <c r="FC109" i="29"/>
  <c r="FB109" i="29"/>
  <c r="FA109" i="29"/>
  <c r="EZ109" i="29"/>
  <c r="EY109" i="29"/>
  <c r="EX109" i="29"/>
  <c r="EW109" i="29"/>
  <c r="EV109" i="29"/>
  <c r="EU109" i="29"/>
  <c r="ET109" i="29"/>
  <c r="ES109" i="29"/>
  <c r="ER109" i="29"/>
  <c r="EQ109" i="29"/>
  <c r="EP109" i="29"/>
  <c r="EO109" i="29"/>
  <c r="EN109" i="29"/>
  <c r="EM109" i="29"/>
  <c r="EL109" i="29"/>
  <c r="FO108" i="29"/>
  <c r="FN108" i="29"/>
  <c r="FM108" i="29"/>
  <c r="FL108" i="29"/>
  <c r="FK108" i="29"/>
  <c r="FJ108" i="29"/>
  <c r="FI108" i="29"/>
  <c r="FH108" i="29"/>
  <c r="FG108" i="29"/>
  <c r="FF108" i="29"/>
  <c r="FE108" i="29"/>
  <c r="FD108" i="29"/>
  <c r="FC108" i="29"/>
  <c r="FB108" i="29"/>
  <c r="FA108" i="29"/>
  <c r="EZ108" i="29"/>
  <c r="EY108" i="29"/>
  <c r="EX108" i="29"/>
  <c r="EW108" i="29"/>
  <c r="EV108" i="29"/>
  <c r="EU108" i="29"/>
  <c r="ET108" i="29"/>
  <c r="ES108" i="29"/>
  <c r="ER108" i="29"/>
  <c r="EQ108" i="29"/>
  <c r="EP108" i="29"/>
  <c r="EO108" i="29"/>
  <c r="EN108" i="29"/>
  <c r="EM108" i="29"/>
  <c r="EL108" i="29"/>
  <c r="FO107" i="29"/>
  <c r="FN107" i="29"/>
  <c r="FM107" i="29"/>
  <c r="FL107" i="29"/>
  <c r="FK107" i="29"/>
  <c r="FJ107" i="29"/>
  <c r="FI107" i="29"/>
  <c r="FH107" i="29"/>
  <c r="FG107" i="29"/>
  <c r="FF107" i="29"/>
  <c r="FE107" i="29"/>
  <c r="FD107" i="29"/>
  <c r="FC107" i="29"/>
  <c r="FB107" i="29"/>
  <c r="FA107" i="29"/>
  <c r="EZ107" i="29"/>
  <c r="EY107" i="29"/>
  <c r="EX107" i="29"/>
  <c r="EW107" i="29"/>
  <c r="EV107" i="29"/>
  <c r="EU107" i="29"/>
  <c r="ET107" i="29"/>
  <c r="ES107" i="29"/>
  <c r="ER107" i="29"/>
  <c r="EQ107" i="29"/>
  <c r="EP107" i="29"/>
  <c r="EO107" i="29"/>
  <c r="EN107" i="29"/>
  <c r="EM107" i="29"/>
  <c r="EL107" i="29"/>
  <c r="FO106" i="29"/>
  <c r="FN106" i="29"/>
  <c r="FM106" i="29"/>
  <c r="FL106" i="29"/>
  <c r="FK106" i="29"/>
  <c r="FJ106" i="29"/>
  <c r="FI106" i="29"/>
  <c r="FH106" i="29"/>
  <c r="FG106" i="29"/>
  <c r="FF106" i="29"/>
  <c r="FE106" i="29"/>
  <c r="FD106" i="29"/>
  <c r="FC106" i="29"/>
  <c r="FB106" i="29"/>
  <c r="FA106" i="29"/>
  <c r="EZ106" i="29"/>
  <c r="EY106" i="29"/>
  <c r="EX106" i="29"/>
  <c r="EW106" i="29"/>
  <c r="EV106" i="29"/>
  <c r="EU106" i="29"/>
  <c r="ET106" i="29"/>
  <c r="ES106" i="29"/>
  <c r="ER106" i="29"/>
  <c r="EQ106" i="29"/>
  <c r="EP106" i="29"/>
  <c r="EO106" i="29"/>
  <c r="EN106" i="29"/>
  <c r="EM106" i="29"/>
  <c r="EL106" i="29"/>
  <c r="FO105" i="29"/>
  <c r="FN105" i="29"/>
  <c r="FM105" i="29"/>
  <c r="FL105" i="29"/>
  <c r="FK105" i="29"/>
  <c r="FJ105" i="29"/>
  <c r="FI105" i="29"/>
  <c r="FH105" i="29"/>
  <c r="FG105" i="29"/>
  <c r="FF105" i="29"/>
  <c r="FE105" i="29"/>
  <c r="FD105" i="29"/>
  <c r="FC105" i="29"/>
  <c r="FB105" i="29"/>
  <c r="FA105" i="29"/>
  <c r="EZ105" i="29"/>
  <c r="EY105" i="29"/>
  <c r="EX105" i="29"/>
  <c r="EW105" i="29"/>
  <c r="EV105" i="29"/>
  <c r="EU105" i="29"/>
  <c r="ET105" i="29"/>
  <c r="ES105" i="29"/>
  <c r="ER105" i="29"/>
  <c r="EQ105" i="29"/>
  <c r="EP105" i="29"/>
  <c r="EO105" i="29"/>
  <c r="EN105" i="29"/>
  <c r="EM105" i="29"/>
  <c r="EL105" i="29"/>
  <c r="FO104" i="29"/>
  <c r="FN104" i="29"/>
  <c r="FM104" i="29"/>
  <c r="FL104" i="29"/>
  <c r="FK104" i="29"/>
  <c r="FJ104" i="29"/>
  <c r="FI104" i="29"/>
  <c r="FH104" i="29"/>
  <c r="FG104" i="29"/>
  <c r="FF104" i="29"/>
  <c r="FE104" i="29"/>
  <c r="FD104" i="29"/>
  <c r="FC104" i="29"/>
  <c r="FB104" i="29"/>
  <c r="FA104" i="29"/>
  <c r="EZ104" i="29"/>
  <c r="EY104" i="29"/>
  <c r="EX104" i="29"/>
  <c r="EW104" i="29"/>
  <c r="EV104" i="29"/>
  <c r="EU104" i="29"/>
  <c r="ET104" i="29"/>
  <c r="ES104" i="29"/>
  <c r="ER104" i="29"/>
  <c r="EQ104" i="29"/>
  <c r="EP104" i="29"/>
  <c r="EO104" i="29"/>
  <c r="EN104" i="29"/>
  <c r="EM104" i="29"/>
  <c r="EL104" i="29"/>
  <c r="FO103" i="29"/>
  <c r="FN103" i="29"/>
  <c r="FM103" i="29"/>
  <c r="FL103" i="29"/>
  <c r="FK103" i="29"/>
  <c r="FJ103" i="29"/>
  <c r="FI103" i="29"/>
  <c r="FH103" i="29"/>
  <c r="FG103" i="29"/>
  <c r="FF103" i="29"/>
  <c r="FE103" i="29"/>
  <c r="FD103" i="29"/>
  <c r="FC103" i="29"/>
  <c r="FB103" i="29"/>
  <c r="FA103" i="29"/>
  <c r="EZ103" i="29"/>
  <c r="EY103" i="29"/>
  <c r="EX103" i="29"/>
  <c r="EW103" i="29"/>
  <c r="EV103" i="29"/>
  <c r="EU103" i="29"/>
  <c r="ET103" i="29"/>
  <c r="ES103" i="29"/>
  <c r="ER103" i="29"/>
  <c r="EQ103" i="29"/>
  <c r="EP103" i="29"/>
  <c r="EO103" i="29"/>
  <c r="EN103" i="29"/>
  <c r="EM103" i="29"/>
  <c r="EL103" i="29"/>
  <c r="FO102" i="29"/>
  <c r="FN102" i="29"/>
  <c r="FM102" i="29"/>
  <c r="FL102" i="29"/>
  <c r="FK102" i="29"/>
  <c r="FJ102" i="29"/>
  <c r="FI102" i="29"/>
  <c r="FH102" i="29"/>
  <c r="FG102" i="29"/>
  <c r="FF102" i="29"/>
  <c r="FE102" i="29"/>
  <c r="FD102" i="29"/>
  <c r="FC102" i="29"/>
  <c r="FB102" i="29"/>
  <c r="FA102" i="29"/>
  <c r="EZ102" i="29"/>
  <c r="EY102" i="29"/>
  <c r="EX102" i="29"/>
  <c r="EW102" i="29"/>
  <c r="EV102" i="29"/>
  <c r="EU102" i="29"/>
  <c r="ET102" i="29"/>
  <c r="ES102" i="29"/>
  <c r="ER102" i="29"/>
  <c r="EQ102" i="29"/>
  <c r="EP102" i="29"/>
  <c r="EO102" i="29"/>
  <c r="EN102" i="29"/>
  <c r="EM102" i="29"/>
  <c r="EL102" i="29"/>
  <c r="FO101" i="29"/>
  <c r="FN101" i="29"/>
  <c r="FM101" i="29"/>
  <c r="FL101" i="29"/>
  <c r="FK101" i="29"/>
  <c r="FJ101" i="29"/>
  <c r="FI101" i="29"/>
  <c r="FH101" i="29"/>
  <c r="FG101" i="29"/>
  <c r="FF101" i="29"/>
  <c r="FE101" i="29"/>
  <c r="FD101" i="29"/>
  <c r="FC101" i="29"/>
  <c r="FB101" i="29"/>
  <c r="FA101" i="29"/>
  <c r="EZ101" i="29"/>
  <c r="EY101" i="29"/>
  <c r="EX101" i="29"/>
  <c r="EW101" i="29"/>
  <c r="EV101" i="29"/>
  <c r="EU101" i="29"/>
  <c r="ET101" i="29"/>
  <c r="ES101" i="29"/>
  <c r="ER101" i="29"/>
  <c r="EQ101" i="29"/>
  <c r="EP101" i="29"/>
  <c r="EO101" i="29"/>
  <c r="EN101" i="29"/>
  <c r="EM101" i="29"/>
  <c r="EL101" i="29"/>
  <c r="FO100" i="29"/>
  <c r="FN100" i="29"/>
  <c r="FM100" i="29"/>
  <c r="FL100" i="29"/>
  <c r="FK100" i="29"/>
  <c r="FJ100" i="29"/>
  <c r="FI100" i="29"/>
  <c r="FH100" i="29"/>
  <c r="FG100" i="29"/>
  <c r="FF100" i="29"/>
  <c r="FE100" i="29"/>
  <c r="FD100" i="29"/>
  <c r="FC100" i="29"/>
  <c r="FB100" i="29"/>
  <c r="FA100" i="29"/>
  <c r="EZ100" i="29"/>
  <c r="EY100" i="29"/>
  <c r="EX100" i="29"/>
  <c r="EW100" i="29"/>
  <c r="EV100" i="29"/>
  <c r="EU100" i="29"/>
  <c r="ET100" i="29"/>
  <c r="ES100" i="29"/>
  <c r="ER100" i="29"/>
  <c r="EQ100" i="29"/>
  <c r="EP100" i="29"/>
  <c r="EO100" i="29"/>
  <c r="EN100" i="29"/>
  <c r="EM100" i="29"/>
  <c r="EL100" i="29"/>
  <c r="FO99" i="29"/>
  <c r="FN99" i="29"/>
  <c r="FM99" i="29"/>
  <c r="FL99" i="29"/>
  <c r="FK99" i="29"/>
  <c r="FJ99" i="29"/>
  <c r="FI99" i="29"/>
  <c r="FH99" i="29"/>
  <c r="FG99" i="29"/>
  <c r="FF99" i="29"/>
  <c r="FE99" i="29"/>
  <c r="FD99" i="29"/>
  <c r="FC99" i="29"/>
  <c r="FB99" i="29"/>
  <c r="FA99" i="29"/>
  <c r="EZ99" i="29"/>
  <c r="EY99" i="29"/>
  <c r="EX99" i="29"/>
  <c r="EW99" i="29"/>
  <c r="EV99" i="29"/>
  <c r="EU99" i="29"/>
  <c r="ET99" i="29"/>
  <c r="ES99" i="29"/>
  <c r="ER99" i="29"/>
  <c r="EQ99" i="29"/>
  <c r="EP99" i="29"/>
  <c r="EO99" i="29"/>
  <c r="EN99" i="29"/>
  <c r="EM99" i="29"/>
  <c r="EL99" i="29"/>
  <c r="FO98" i="29"/>
  <c r="FN98" i="29"/>
  <c r="FM98" i="29"/>
  <c r="FL98" i="29"/>
  <c r="FK98" i="29"/>
  <c r="FJ98" i="29"/>
  <c r="FI98" i="29"/>
  <c r="FH98" i="29"/>
  <c r="FG98" i="29"/>
  <c r="FF98" i="29"/>
  <c r="FE98" i="29"/>
  <c r="FD98" i="29"/>
  <c r="FC98" i="29"/>
  <c r="FB98" i="29"/>
  <c r="FA98" i="29"/>
  <c r="EZ98" i="29"/>
  <c r="EY98" i="29"/>
  <c r="EX98" i="29"/>
  <c r="EW98" i="29"/>
  <c r="EV98" i="29"/>
  <c r="EU98" i="29"/>
  <c r="ET98" i="29"/>
  <c r="ES98" i="29"/>
  <c r="ER98" i="29"/>
  <c r="EQ98" i="29"/>
  <c r="EP98" i="29"/>
  <c r="EO98" i="29"/>
  <c r="EN98" i="29"/>
  <c r="EM98" i="29"/>
  <c r="EL98" i="29"/>
  <c r="FO97" i="29"/>
  <c r="FN97" i="29"/>
  <c r="FM97" i="29"/>
  <c r="FL97" i="29"/>
  <c r="FK97" i="29"/>
  <c r="FJ97" i="29"/>
  <c r="FI97" i="29"/>
  <c r="FH97" i="29"/>
  <c r="FG97" i="29"/>
  <c r="FF97" i="29"/>
  <c r="FE97" i="29"/>
  <c r="FD97" i="29"/>
  <c r="FC97" i="29"/>
  <c r="FB97" i="29"/>
  <c r="FA97" i="29"/>
  <c r="EZ97" i="29"/>
  <c r="EY97" i="29"/>
  <c r="EX97" i="29"/>
  <c r="EW97" i="29"/>
  <c r="EV97" i="29"/>
  <c r="EU97" i="29"/>
  <c r="ET97" i="29"/>
  <c r="ES97" i="29"/>
  <c r="ER97" i="29"/>
  <c r="EQ97" i="29"/>
  <c r="EP97" i="29"/>
  <c r="EO97" i="29"/>
  <c r="EN97" i="29"/>
  <c r="EM97" i="29"/>
  <c r="EL97" i="29"/>
  <c r="FO96" i="29"/>
  <c r="FN96" i="29"/>
  <c r="FM96" i="29"/>
  <c r="FL96" i="29"/>
  <c r="FK96" i="29"/>
  <c r="FJ96" i="29"/>
  <c r="FI96" i="29"/>
  <c r="FH96" i="29"/>
  <c r="FG96" i="29"/>
  <c r="FF96" i="29"/>
  <c r="FE96" i="29"/>
  <c r="FD96" i="29"/>
  <c r="FC96" i="29"/>
  <c r="FB96" i="29"/>
  <c r="FA96" i="29"/>
  <c r="EZ96" i="29"/>
  <c r="EY96" i="29"/>
  <c r="EX96" i="29"/>
  <c r="EW96" i="29"/>
  <c r="EV96" i="29"/>
  <c r="EU96" i="29"/>
  <c r="ET96" i="29"/>
  <c r="ES96" i="29"/>
  <c r="ER96" i="29"/>
  <c r="EQ96" i="29"/>
  <c r="EP96" i="29"/>
  <c r="EO96" i="29"/>
  <c r="EN96" i="29"/>
  <c r="EM96" i="29"/>
  <c r="EL96" i="29"/>
  <c r="FO95" i="29"/>
  <c r="FN95" i="29"/>
  <c r="FM95" i="29"/>
  <c r="FL95" i="29"/>
  <c r="FK95" i="29"/>
  <c r="FJ95" i="29"/>
  <c r="FI95" i="29"/>
  <c r="FH95" i="29"/>
  <c r="FG95" i="29"/>
  <c r="FF95" i="29"/>
  <c r="FE95" i="29"/>
  <c r="FD95" i="29"/>
  <c r="FC95" i="29"/>
  <c r="FB95" i="29"/>
  <c r="FA95" i="29"/>
  <c r="EZ95" i="29"/>
  <c r="EY95" i="29"/>
  <c r="EX95" i="29"/>
  <c r="EW95" i="29"/>
  <c r="EV95" i="29"/>
  <c r="EU95" i="29"/>
  <c r="ET95" i="29"/>
  <c r="ES95" i="29"/>
  <c r="ER95" i="29"/>
  <c r="EQ95" i="29"/>
  <c r="EP95" i="29"/>
  <c r="EO95" i="29"/>
  <c r="EN95" i="29"/>
  <c r="EM95" i="29"/>
  <c r="EL95" i="29"/>
  <c r="FO94" i="29"/>
  <c r="FN94" i="29"/>
  <c r="FM94" i="29"/>
  <c r="FL94" i="29"/>
  <c r="FK94" i="29"/>
  <c r="FJ94" i="29"/>
  <c r="FI94" i="29"/>
  <c r="FH94" i="29"/>
  <c r="FG94" i="29"/>
  <c r="FF94" i="29"/>
  <c r="FE94" i="29"/>
  <c r="FD94" i="29"/>
  <c r="FC94" i="29"/>
  <c r="FB94" i="29"/>
  <c r="FA94" i="29"/>
  <c r="EZ94" i="29"/>
  <c r="EY94" i="29"/>
  <c r="EX94" i="29"/>
  <c r="EW94" i="29"/>
  <c r="EV94" i="29"/>
  <c r="EU94" i="29"/>
  <c r="ET94" i="29"/>
  <c r="ES94" i="29"/>
  <c r="ER94" i="29"/>
  <c r="EQ94" i="29"/>
  <c r="EP94" i="29"/>
  <c r="EO94" i="29"/>
  <c r="EN94" i="29"/>
  <c r="EM94" i="29"/>
  <c r="EL94" i="29"/>
  <c r="FO93" i="29"/>
  <c r="FN93" i="29"/>
  <c r="FM93" i="29"/>
  <c r="FL93" i="29"/>
  <c r="FK93" i="29"/>
  <c r="FJ93" i="29"/>
  <c r="FI93" i="29"/>
  <c r="FH93" i="29"/>
  <c r="FG93" i="29"/>
  <c r="FF93" i="29"/>
  <c r="FE93" i="29"/>
  <c r="FD93" i="29"/>
  <c r="FC93" i="29"/>
  <c r="FB93" i="29"/>
  <c r="FA93" i="29"/>
  <c r="EZ93" i="29"/>
  <c r="EY93" i="29"/>
  <c r="EX93" i="29"/>
  <c r="EW93" i="29"/>
  <c r="EV93" i="29"/>
  <c r="EU93" i="29"/>
  <c r="ET93" i="29"/>
  <c r="ES93" i="29"/>
  <c r="ER93" i="29"/>
  <c r="EQ93" i="29"/>
  <c r="EP93" i="29"/>
  <c r="EO93" i="29"/>
  <c r="EN93" i="29"/>
  <c r="EM93" i="29"/>
  <c r="EL93" i="29"/>
  <c r="FO92" i="29"/>
  <c r="FN92" i="29"/>
  <c r="FM92" i="29"/>
  <c r="FL92" i="29"/>
  <c r="FK92" i="29"/>
  <c r="FJ92" i="29"/>
  <c r="FI92" i="29"/>
  <c r="FH92" i="29"/>
  <c r="FG92" i="29"/>
  <c r="FF92" i="29"/>
  <c r="FE92" i="29"/>
  <c r="FD92" i="29"/>
  <c r="FC92" i="29"/>
  <c r="FB92" i="29"/>
  <c r="FA92" i="29"/>
  <c r="EZ92" i="29"/>
  <c r="EY92" i="29"/>
  <c r="EX92" i="29"/>
  <c r="EW92" i="29"/>
  <c r="EV92" i="29"/>
  <c r="EU92" i="29"/>
  <c r="ET92" i="29"/>
  <c r="ES92" i="29"/>
  <c r="ER92" i="29"/>
  <c r="EQ92" i="29"/>
  <c r="EP92" i="29"/>
  <c r="EO92" i="29"/>
  <c r="EN92" i="29"/>
  <c r="EM92" i="29"/>
  <c r="EL92" i="29"/>
  <c r="FO91" i="29"/>
  <c r="FN91" i="29"/>
  <c r="FM91" i="29"/>
  <c r="FL91" i="29"/>
  <c r="FK91" i="29"/>
  <c r="FJ91" i="29"/>
  <c r="FI91" i="29"/>
  <c r="FH91" i="29"/>
  <c r="FG91" i="29"/>
  <c r="FF91" i="29"/>
  <c r="FE91" i="29"/>
  <c r="FD91" i="29"/>
  <c r="FC91" i="29"/>
  <c r="FB91" i="29"/>
  <c r="FA91" i="29"/>
  <c r="EZ91" i="29"/>
  <c r="EY91" i="29"/>
  <c r="EX91" i="29"/>
  <c r="EW91" i="29"/>
  <c r="EV91" i="29"/>
  <c r="EU91" i="29"/>
  <c r="ET91" i="29"/>
  <c r="ES91" i="29"/>
  <c r="ER91" i="29"/>
  <c r="EQ91" i="29"/>
  <c r="EP91" i="29"/>
  <c r="EO91" i="29"/>
  <c r="EN91" i="29"/>
  <c r="EM91" i="29"/>
  <c r="EL91" i="29"/>
  <c r="FO90" i="29"/>
  <c r="FN90" i="29"/>
  <c r="FM90" i="29"/>
  <c r="FL90" i="29"/>
  <c r="FK90" i="29"/>
  <c r="FJ90" i="29"/>
  <c r="FI90" i="29"/>
  <c r="FH90" i="29"/>
  <c r="FG90" i="29"/>
  <c r="FF90" i="29"/>
  <c r="FE90" i="29"/>
  <c r="FD90" i="29"/>
  <c r="FC90" i="29"/>
  <c r="FB90" i="29"/>
  <c r="FA90" i="29"/>
  <c r="EZ90" i="29"/>
  <c r="EY90" i="29"/>
  <c r="EX90" i="29"/>
  <c r="EW90" i="29"/>
  <c r="EV90" i="29"/>
  <c r="EU90" i="29"/>
  <c r="ET90" i="29"/>
  <c r="ES90" i="29"/>
  <c r="ER90" i="29"/>
  <c r="EQ90" i="29"/>
  <c r="EP90" i="29"/>
  <c r="EO90" i="29"/>
  <c r="EN90" i="29"/>
  <c r="EM90" i="29"/>
  <c r="EL90" i="29"/>
  <c r="FO89" i="29"/>
  <c r="FN89" i="29"/>
  <c r="FM89" i="29"/>
  <c r="FL89" i="29"/>
  <c r="FK89" i="29"/>
  <c r="FJ89" i="29"/>
  <c r="FI89" i="29"/>
  <c r="FH89" i="29"/>
  <c r="FG89" i="29"/>
  <c r="FF89" i="29"/>
  <c r="FE89" i="29"/>
  <c r="FD89" i="29"/>
  <c r="FC89" i="29"/>
  <c r="FB89" i="29"/>
  <c r="FA89" i="29"/>
  <c r="EZ89" i="29"/>
  <c r="EY89" i="29"/>
  <c r="EX89" i="29"/>
  <c r="EW89" i="29"/>
  <c r="EV89" i="29"/>
  <c r="EU89" i="29"/>
  <c r="ET89" i="29"/>
  <c r="ES89" i="29"/>
  <c r="ER89" i="29"/>
  <c r="EQ89" i="29"/>
  <c r="EP89" i="29"/>
  <c r="EO89" i="29"/>
  <c r="EN89" i="29"/>
  <c r="EM89" i="29"/>
  <c r="EL89" i="29"/>
  <c r="FO88" i="29"/>
  <c r="FN88" i="29"/>
  <c r="FM88" i="29"/>
  <c r="FL88" i="29"/>
  <c r="FK88" i="29"/>
  <c r="FJ88" i="29"/>
  <c r="FI88" i="29"/>
  <c r="FH88" i="29"/>
  <c r="FG88" i="29"/>
  <c r="FF88" i="29"/>
  <c r="FE88" i="29"/>
  <c r="FD88" i="29"/>
  <c r="FC88" i="29"/>
  <c r="FB88" i="29"/>
  <c r="FA88" i="29"/>
  <c r="EZ88" i="29"/>
  <c r="EY88" i="29"/>
  <c r="EX88" i="29"/>
  <c r="EW88" i="29"/>
  <c r="EV88" i="29"/>
  <c r="EU88" i="29"/>
  <c r="ET88" i="29"/>
  <c r="ES88" i="29"/>
  <c r="ER88" i="29"/>
  <c r="EQ88" i="29"/>
  <c r="EP88" i="29"/>
  <c r="EO88" i="29"/>
  <c r="EN88" i="29"/>
  <c r="EM88" i="29"/>
  <c r="EL88" i="29"/>
  <c r="FO87" i="29"/>
  <c r="FN87" i="29"/>
  <c r="FM87" i="29"/>
  <c r="FL87" i="29"/>
  <c r="FK87" i="29"/>
  <c r="FJ87" i="29"/>
  <c r="FI87" i="29"/>
  <c r="FH87" i="29"/>
  <c r="FG87" i="29"/>
  <c r="FF87" i="29"/>
  <c r="FE87" i="29"/>
  <c r="FD87" i="29"/>
  <c r="FC87" i="29"/>
  <c r="FB87" i="29"/>
  <c r="FA87" i="29"/>
  <c r="EZ87" i="29"/>
  <c r="EY87" i="29"/>
  <c r="EX87" i="29"/>
  <c r="EW87" i="29"/>
  <c r="EV87" i="29"/>
  <c r="EU87" i="29"/>
  <c r="ET87" i="29"/>
  <c r="ES87" i="29"/>
  <c r="ER87" i="29"/>
  <c r="EQ87" i="29"/>
  <c r="EP87" i="29"/>
  <c r="EO87" i="29"/>
  <c r="EN87" i="29"/>
  <c r="EM87" i="29"/>
  <c r="EL87" i="29"/>
  <c r="FO86" i="29"/>
  <c r="FN86" i="29"/>
  <c r="FM86" i="29"/>
  <c r="FL86" i="29"/>
  <c r="FK86" i="29"/>
  <c r="FJ86" i="29"/>
  <c r="FI86" i="29"/>
  <c r="FH86" i="29"/>
  <c r="FG86" i="29"/>
  <c r="FF86" i="29"/>
  <c r="FE86" i="29"/>
  <c r="FD86" i="29"/>
  <c r="FC86" i="29"/>
  <c r="FB86" i="29"/>
  <c r="FA86" i="29"/>
  <c r="EZ86" i="29"/>
  <c r="EY86" i="29"/>
  <c r="EX86" i="29"/>
  <c r="EW86" i="29"/>
  <c r="EV86" i="29"/>
  <c r="EU86" i="29"/>
  <c r="ET86" i="29"/>
  <c r="ES86" i="29"/>
  <c r="ER86" i="29"/>
  <c r="EQ86" i="29"/>
  <c r="EP86" i="29"/>
  <c r="EO86" i="29"/>
  <c r="EN86" i="29"/>
  <c r="EM86" i="29"/>
  <c r="EL86" i="29"/>
  <c r="FO85" i="29"/>
  <c r="FN85" i="29"/>
  <c r="FM85" i="29"/>
  <c r="FL85" i="29"/>
  <c r="FK85" i="29"/>
  <c r="FJ85" i="29"/>
  <c r="FI85" i="29"/>
  <c r="FH85" i="29"/>
  <c r="FG85" i="29"/>
  <c r="FF85" i="29"/>
  <c r="FE85" i="29"/>
  <c r="FD85" i="29"/>
  <c r="FC85" i="29"/>
  <c r="FB85" i="29"/>
  <c r="FA85" i="29"/>
  <c r="EZ85" i="29"/>
  <c r="EY85" i="29"/>
  <c r="EX85" i="29"/>
  <c r="EW85" i="29"/>
  <c r="EV85" i="29"/>
  <c r="EU85" i="29"/>
  <c r="ET85" i="29"/>
  <c r="ES85" i="29"/>
  <c r="ER85" i="29"/>
  <c r="EQ85" i="29"/>
  <c r="EP85" i="29"/>
  <c r="EO85" i="29"/>
  <c r="EN85" i="29"/>
  <c r="EM85" i="29"/>
  <c r="EL85" i="29"/>
  <c r="FO84" i="29"/>
  <c r="FN84" i="29"/>
  <c r="FM84" i="29"/>
  <c r="FL84" i="29"/>
  <c r="FK84" i="29"/>
  <c r="FJ84" i="29"/>
  <c r="FI84" i="29"/>
  <c r="FH84" i="29"/>
  <c r="FG84" i="29"/>
  <c r="FF84" i="29"/>
  <c r="FE84" i="29"/>
  <c r="FD84" i="29"/>
  <c r="FC84" i="29"/>
  <c r="FB84" i="29"/>
  <c r="FA84" i="29"/>
  <c r="EZ84" i="29"/>
  <c r="EY84" i="29"/>
  <c r="EX84" i="29"/>
  <c r="EW84" i="29"/>
  <c r="EV84" i="29"/>
  <c r="EU84" i="29"/>
  <c r="ET84" i="29"/>
  <c r="ES84" i="29"/>
  <c r="ER84" i="29"/>
  <c r="EQ84" i="29"/>
  <c r="EP84" i="29"/>
  <c r="EO84" i="29"/>
  <c r="EN84" i="29"/>
  <c r="EM84" i="29"/>
  <c r="EL84" i="29"/>
  <c r="FO83" i="29"/>
  <c r="FN83" i="29"/>
  <c r="FM83" i="29"/>
  <c r="FL83" i="29"/>
  <c r="FK83" i="29"/>
  <c r="FJ83" i="29"/>
  <c r="FI83" i="29"/>
  <c r="FH83" i="29"/>
  <c r="FG83" i="29"/>
  <c r="FF83" i="29"/>
  <c r="FE83" i="29"/>
  <c r="FD83" i="29"/>
  <c r="FC83" i="29"/>
  <c r="FB83" i="29"/>
  <c r="FA83" i="29"/>
  <c r="EZ83" i="29"/>
  <c r="EY83" i="29"/>
  <c r="EX83" i="29"/>
  <c r="EW83" i="29"/>
  <c r="EV83" i="29"/>
  <c r="EU83" i="29"/>
  <c r="ET83" i="29"/>
  <c r="ES83" i="29"/>
  <c r="ER83" i="29"/>
  <c r="EQ83" i="29"/>
  <c r="EP83" i="29"/>
  <c r="EO83" i="29"/>
  <c r="EN83" i="29"/>
  <c r="EM83" i="29"/>
  <c r="EL83" i="29"/>
  <c r="FO82" i="29"/>
  <c r="FN82" i="29"/>
  <c r="FM82" i="29"/>
  <c r="FL82" i="29"/>
  <c r="FK82" i="29"/>
  <c r="FJ82" i="29"/>
  <c r="FI82" i="29"/>
  <c r="FH82" i="29"/>
  <c r="FG82" i="29"/>
  <c r="FF82" i="29"/>
  <c r="FE82" i="29"/>
  <c r="FD82" i="29"/>
  <c r="FC82" i="29"/>
  <c r="FB82" i="29"/>
  <c r="FA82" i="29"/>
  <c r="EZ82" i="29"/>
  <c r="EY82" i="29"/>
  <c r="EX82" i="29"/>
  <c r="EW82" i="29"/>
  <c r="EV82" i="29"/>
  <c r="EU82" i="29"/>
  <c r="ET82" i="29"/>
  <c r="ES82" i="29"/>
  <c r="ER82" i="29"/>
  <c r="EQ82" i="29"/>
  <c r="EP82" i="29"/>
  <c r="EO82" i="29"/>
  <c r="EN82" i="29"/>
  <c r="EM82" i="29"/>
  <c r="EL82" i="29"/>
  <c r="FO81" i="29"/>
  <c r="FN81" i="29"/>
  <c r="FM81" i="29"/>
  <c r="FL81" i="29"/>
  <c r="FK81" i="29"/>
  <c r="FJ81" i="29"/>
  <c r="FI81" i="29"/>
  <c r="FH81" i="29"/>
  <c r="FG81" i="29"/>
  <c r="FF81" i="29"/>
  <c r="FE81" i="29"/>
  <c r="FD81" i="29"/>
  <c r="FC81" i="29"/>
  <c r="FB81" i="29"/>
  <c r="FA81" i="29"/>
  <c r="EZ81" i="29"/>
  <c r="EY81" i="29"/>
  <c r="EX81" i="29"/>
  <c r="EW81" i="29"/>
  <c r="EV81" i="29"/>
  <c r="EU81" i="29"/>
  <c r="ET81" i="29"/>
  <c r="ES81" i="29"/>
  <c r="ER81" i="29"/>
  <c r="EQ81" i="29"/>
  <c r="EP81" i="29"/>
  <c r="EO81" i="29"/>
  <c r="EN81" i="29"/>
  <c r="EM81" i="29"/>
  <c r="EL81" i="29"/>
  <c r="FO80" i="29"/>
  <c r="FN80" i="29"/>
  <c r="FM80" i="29"/>
  <c r="FL80" i="29"/>
  <c r="FK80" i="29"/>
  <c r="FJ80" i="29"/>
  <c r="FI80" i="29"/>
  <c r="FH80" i="29"/>
  <c r="FG80" i="29"/>
  <c r="FF80" i="29"/>
  <c r="FE80" i="29"/>
  <c r="FD80" i="29"/>
  <c r="FC80" i="29"/>
  <c r="FB80" i="29"/>
  <c r="FA80" i="29"/>
  <c r="EZ80" i="29"/>
  <c r="EY80" i="29"/>
  <c r="EX80" i="29"/>
  <c r="EW80" i="29"/>
  <c r="EV80" i="29"/>
  <c r="EU80" i="29"/>
  <c r="ET80" i="29"/>
  <c r="ES80" i="29"/>
  <c r="ER80" i="29"/>
  <c r="EQ80" i="29"/>
  <c r="EP80" i="29"/>
  <c r="EO80" i="29"/>
  <c r="EN80" i="29"/>
  <c r="EM80" i="29"/>
  <c r="EL80" i="29"/>
  <c r="FO79" i="29"/>
  <c r="FN79" i="29"/>
  <c r="FM79" i="29"/>
  <c r="FL79" i="29"/>
  <c r="FK79" i="29"/>
  <c r="FJ79" i="29"/>
  <c r="FI79" i="29"/>
  <c r="FH79" i="29"/>
  <c r="FG79" i="29"/>
  <c r="FF79" i="29"/>
  <c r="FE79" i="29"/>
  <c r="FD79" i="29"/>
  <c r="FC79" i="29"/>
  <c r="FB79" i="29"/>
  <c r="FA79" i="29"/>
  <c r="EZ79" i="29"/>
  <c r="EY79" i="29"/>
  <c r="EX79" i="29"/>
  <c r="EW79" i="29"/>
  <c r="EV79" i="29"/>
  <c r="EU79" i="29"/>
  <c r="ET79" i="29"/>
  <c r="ES79" i="29"/>
  <c r="ER79" i="29"/>
  <c r="EQ79" i="29"/>
  <c r="EP79" i="29"/>
  <c r="EO79" i="29"/>
  <c r="EN79" i="29"/>
  <c r="EM79" i="29"/>
  <c r="EL79" i="29"/>
  <c r="FO78" i="29"/>
  <c r="FN78" i="29"/>
  <c r="FM78" i="29"/>
  <c r="FL78" i="29"/>
  <c r="FK78" i="29"/>
  <c r="FJ78" i="29"/>
  <c r="FI78" i="29"/>
  <c r="FH78" i="29"/>
  <c r="FG78" i="29"/>
  <c r="FF78" i="29"/>
  <c r="FE78" i="29"/>
  <c r="FD78" i="29"/>
  <c r="FC78" i="29"/>
  <c r="FB78" i="29"/>
  <c r="FA78" i="29"/>
  <c r="EZ78" i="29"/>
  <c r="EY78" i="29"/>
  <c r="EX78" i="29"/>
  <c r="EW78" i="29"/>
  <c r="EV78" i="29"/>
  <c r="EU78" i="29"/>
  <c r="ET78" i="29"/>
  <c r="ES78" i="29"/>
  <c r="ER78" i="29"/>
  <c r="EQ78" i="29"/>
  <c r="EP78" i="29"/>
  <c r="EO78" i="29"/>
  <c r="EN78" i="29"/>
  <c r="EM78" i="29"/>
  <c r="EL78" i="29"/>
  <c r="FO77" i="29"/>
  <c r="FN77" i="29"/>
  <c r="FM77" i="29"/>
  <c r="FL77" i="29"/>
  <c r="FK77" i="29"/>
  <c r="FJ77" i="29"/>
  <c r="FI77" i="29"/>
  <c r="FH77" i="29"/>
  <c r="FG77" i="29"/>
  <c r="FF77" i="29"/>
  <c r="FE77" i="29"/>
  <c r="FD77" i="29"/>
  <c r="FC77" i="29"/>
  <c r="FB77" i="29"/>
  <c r="FA77" i="29"/>
  <c r="EZ77" i="29"/>
  <c r="EY77" i="29"/>
  <c r="EX77" i="29"/>
  <c r="EW77" i="29"/>
  <c r="EV77" i="29"/>
  <c r="EU77" i="29"/>
  <c r="ET77" i="29"/>
  <c r="ES77" i="29"/>
  <c r="ER77" i="29"/>
  <c r="EQ77" i="29"/>
  <c r="EP77" i="29"/>
  <c r="EO77" i="29"/>
  <c r="EN77" i="29"/>
  <c r="EM77" i="29"/>
  <c r="EL77" i="29"/>
  <c r="FO76" i="29"/>
  <c r="FN76" i="29"/>
  <c r="FM76" i="29"/>
  <c r="FL76" i="29"/>
  <c r="FK76" i="29"/>
  <c r="FJ76" i="29"/>
  <c r="FI76" i="29"/>
  <c r="FH76" i="29"/>
  <c r="FG76" i="29"/>
  <c r="FF76" i="29"/>
  <c r="FE76" i="29"/>
  <c r="FD76" i="29"/>
  <c r="FC76" i="29"/>
  <c r="FB76" i="29"/>
  <c r="FA76" i="29"/>
  <c r="EZ76" i="29"/>
  <c r="EY76" i="29"/>
  <c r="EX76" i="29"/>
  <c r="EW76" i="29"/>
  <c r="EV76" i="29"/>
  <c r="EU76" i="29"/>
  <c r="ET76" i="29"/>
  <c r="ES76" i="29"/>
  <c r="ER76" i="29"/>
  <c r="EQ76" i="29"/>
  <c r="EP76" i="29"/>
  <c r="EO76" i="29"/>
  <c r="EN76" i="29"/>
  <c r="EM76" i="29"/>
  <c r="EL76" i="29"/>
  <c r="FO75" i="29"/>
  <c r="FN75" i="29"/>
  <c r="FM75" i="29"/>
  <c r="FL75" i="29"/>
  <c r="FK75" i="29"/>
  <c r="FJ75" i="29"/>
  <c r="FI75" i="29"/>
  <c r="FH75" i="29"/>
  <c r="FG75" i="29"/>
  <c r="FF75" i="29"/>
  <c r="FE75" i="29"/>
  <c r="FD75" i="29"/>
  <c r="FC75" i="29"/>
  <c r="FB75" i="29"/>
  <c r="FA75" i="29"/>
  <c r="EZ75" i="29"/>
  <c r="EY75" i="29"/>
  <c r="EX75" i="29"/>
  <c r="EW75" i="29"/>
  <c r="EV75" i="29"/>
  <c r="EU75" i="29"/>
  <c r="ET75" i="29"/>
  <c r="ES75" i="29"/>
  <c r="ER75" i="29"/>
  <c r="EQ75" i="29"/>
  <c r="EP75" i="29"/>
  <c r="EO75" i="29"/>
  <c r="EN75" i="29"/>
  <c r="EM75" i="29"/>
  <c r="EL75" i="29"/>
  <c r="FO74" i="29"/>
  <c r="FN74" i="29"/>
  <c r="FM74" i="29"/>
  <c r="FL74" i="29"/>
  <c r="FK74" i="29"/>
  <c r="FJ74" i="29"/>
  <c r="FI74" i="29"/>
  <c r="FH74" i="29"/>
  <c r="FG74" i="29"/>
  <c r="FF74" i="29"/>
  <c r="FE74" i="29"/>
  <c r="FD74" i="29"/>
  <c r="FC74" i="29"/>
  <c r="FB74" i="29"/>
  <c r="FA74" i="29"/>
  <c r="EZ74" i="29"/>
  <c r="EY74" i="29"/>
  <c r="EX74" i="29"/>
  <c r="EW74" i="29"/>
  <c r="EV74" i="29"/>
  <c r="EU74" i="29"/>
  <c r="ET74" i="29"/>
  <c r="ES74" i="29"/>
  <c r="ER74" i="29"/>
  <c r="EQ74" i="29"/>
  <c r="EP74" i="29"/>
  <c r="EO74" i="29"/>
  <c r="EN74" i="29"/>
  <c r="EM74" i="29"/>
  <c r="EL74" i="29"/>
  <c r="FO73" i="29"/>
  <c r="FN73" i="29"/>
  <c r="FM73" i="29"/>
  <c r="FL73" i="29"/>
  <c r="FK73" i="29"/>
  <c r="FJ73" i="29"/>
  <c r="FI73" i="29"/>
  <c r="FH73" i="29"/>
  <c r="FG73" i="29"/>
  <c r="FF73" i="29"/>
  <c r="FE73" i="29"/>
  <c r="FD73" i="29"/>
  <c r="FC73" i="29"/>
  <c r="FB73" i="29"/>
  <c r="FA73" i="29"/>
  <c r="EZ73" i="29"/>
  <c r="EY73" i="29"/>
  <c r="EX73" i="29"/>
  <c r="EW73" i="29"/>
  <c r="EV73" i="29"/>
  <c r="EU73" i="29"/>
  <c r="ET73" i="29"/>
  <c r="ES73" i="29"/>
  <c r="ER73" i="29"/>
  <c r="EQ73" i="29"/>
  <c r="EP73" i="29"/>
  <c r="EO73" i="29"/>
  <c r="EN73" i="29"/>
  <c r="EM73" i="29"/>
  <c r="EL73" i="29"/>
  <c r="FO72" i="29"/>
  <c r="FN72" i="29"/>
  <c r="FM72" i="29"/>
  <c r="FL72" i="29"/>
  <c r="FK72" i="29"/>
  <c r="FJ72" i="29"/>
  <c r="FI72" i="29"/>
  <c r="FH72" i="29"/>
  <c r="FG72" i="29"/>
  <c r="FF72" i="29"/>
  <c r="FE72" i="29"/>
  <c r="FD72" i="29"/>
  <c r="FC72" i="29"/>
  <c r="FB72" i="29"/>
  <c r="FA72" i="29"/>
  <c r="EZ72" i="29"/>
  <c r="EY72" i="29"/>
  <c r="EX72" i="29"/>
  <c r="EW72" i="29"/>
  <c r="EV72" i="29"/>
  <c r="EU72" i="29"/>
  <c r="ET72" i="29"/>
  <c r="ES72" i="29"/>
  <c r="ER72" i="29"/>
  <c r="EQ72" i="29"/>
  <c r="EP72" i="29"/>
  <c r="EO72" i="29"/>
  <c r="EN72" i="29"/>
  <c r="EM72" i="29"/>
  <c r="EL72" i="29"/>
  <c r="FO71" i="29"/>
  <c r="FN71" i="29"/>
  <c r="FM71" i="29"/>
  <c r="FL71" i="29"/>
  <c r="FK71" i="29"/>
  <c r="FJ71" i="29"/>
  <c r="FI71" i="29"/>
  <c r="FH71" i="29"/>
  <c r="FG71" i="29"/>
  <c r="FF71" i="29"/>
  <c r="FE71" i="29"/>
  <c r="FD71" i="29"/>
  <c r="FC71" i="29"/>
  <c r="FB71" i="29"/>
  <c r="FA71" i="29"/>
  <c r="EZ71" i="29"/>
  <c r="EY71" i="29"/>
  <c r="EX71" i="29"/>
  <c r="EW71" i="29"/>
  <c r="EV71" i="29"/>
  <c r="EU71" i="29"/>
  <c r="ET71" i="29"/>
  <c r="ES71" i="29"/>
  <c r="ER71" i="29"/>
  <c r="EQ71" i="29"/>
  <c r="EP71" i="29"/>
  <c r="EO71" i="29"/>
  <c r="EN71" i="29"/>
  <c r="EM71" i="29"/>
  <c r="EL71" i="29"/>
  <c r="FO70" i="29"/>
  <c r="FN70" i="29"/>
  <c r="FM70" i="29"/>
  <c r="FL70" i="29"/>
  <c r="FK70" i="29"/>
  <c r="FJ70" i="29"/>
  <c r="FI70" i="29"/>
  <c r="FH70" i="29"/>
  <c r="FG70" i="29"/>
  <c r="FF70" i="29"/>
  <c r="FE70" i="29"/>
  <c r="FD70" i="29"/>
  <c r="FC70" i="29"/>
  <c r="FB70" i="29"/>
  <c r="FA70" i="29"/>
  <c r="EZ70" i="29"/>
  <c r="EY70" i="29"/>
  <c r="EX70" i="29"/>
  <c r="EW70" i="29"/>
  <c r="EV70" i="29"/>
  <c r="EU70" i="29"/>
  <c r="ET70" i="29"/>
  <c r="ES70" i="29"/>
  <c r="ER70" i="29"/>
  <c r="EQ70" i="29"/>
  <c r="EP70" i="29"/>
  <c r="EO70" i="29"/>
  <c r="EN70" i="29"/>
  <c r="EM70" i="29"/>
  <c r="EL70" i="29"/>
  <c r="FO69" i="29"/>
  <c r="FN69" i="29"/>
  <c r="FM69" i="29"/>
  <c r="FL69" i="29"/>
  <c r="FK69" i="29"/>
  <c r="FJ69" i="29"/>
  <c r="FI69" i="29"/>
  <c r="FH69" i="29"/>
  <c r="FG69" i="29"/>
  <c r="FF69" i="29"/>
  <c r="FE69" i="29"/>
  <c r="FD69" i="29"/>
  <c r="FC69" i="29"/>
  <c r="FB69" i="29"/>
  <c r="FA69" i="29"/>
  <c r="EZ69" i="29"/>
  <c r="EY69" i="29"/>
  <c r="EX69" i="29"/>
  <c r="EW69" i="29"/>
  <c r="EV69" i="29"/>
  <c r="EU69" i="29"/>
  <c r="ET69" i="29"/>
  <c r="ES69" i="29"/>
  <c r="ER69" i="29"/>
  <c r="EQ69" i="29"/>
  <c r="EP69" i="29"/>
  <c r="EO69" i="29"/>
  <c r="EN69" i="29"/>
  <c r="EM69" i="29"/>
  <c r="EL69" i="29"/>
  <c r="FO68" i="29"/>
  <c r="FN68" i="29"/>
  <c r="FM68" i="29"/>
  <c r="FL68" i="29"/>
  <c r="FK68" i="29"/>
  <c r="FJ68" i="29"/>
  <c r="FI68" i="29"/>
  <c r="FH68" i="29"/>
  <c r="FG68" i="29"/>
  <c r="FF68" i="29"/>
  <c r="FE68" i="29"/>
  <c r="FD68" i="29"/>
  <c r="FC68" i="29"/>
  <c r="FB68" i="29"/>
  <c r="FA68" i="29"/>
  <c r="EZ68" i="29"/>
  <c r="EY68" i="29"/>
  <c r="EX68" i="29"/>
  <c r="EW68" i="29"/>
  <c r="EV68" i="29"/>
  <c r="EU68" i="29"/>
  <c r="ET68" i="29"/>
  <c r="ES68" i="29"/>
  <c r="ER68" i="29"/>
  <c r="EQ68" i="29"/>
  <c r="EP68" i="29"/>
  <c r="EO68" i="29"/>
  <c r="EN68" i="29"/>
  <c r="EM68" i="29"/>
  <c r="EL68" i="29"/>
  <c r="FO67" i="29"/>
  <c r="FN67" i="29"/>
  <c r="FM67" i="29"/>
  <c r="FL67" i="29"/>
  <c r="FK67" i="29"/>
  <c r="FJ67" i="29"/>
  <c r="FI67" i="29"/>
  <c r="FH67" i="29"/>
  <c r="FG67" i="29"/>
  <c r="FF67" i="29"/>
  <c r="FE67" i="29"/>
  <c r="FD67" i="29"/>
  <c r="FC67" i="29"/>
  <c r="FB67" i="29"/>
  <c r="FA67" i="29"/>
  <c r="EZ67" i="29"/>
  <c r="EY67" i="29"/>
  <c r="EX67" i="29"/>
  <c r="EW67" i="29"/>
  <c r="EV67" i="29"/>
  <c r="EU67" i="29"/>
  <c r="ET67" i="29"/>
  <c r="ES67" i="29"/>
  <c r="ER67" i="29"/>
  <c r="EQ67" i="29"/>
  <c r="EP67" i="29"/>
  <c r="EO67" i="29"/>
  <c r="EN67" i="29"/>
  <c r="EM67" i="29"/>
  <c r="EL67" i="29"/>
  <c r="FO66" i="29"/>
  <c r="FN66" i="29"/>
  <c r="FM66" i="29"/>
  <c r="FL66" i="29"/>
  <c r="FK66" i="29"/>
  <c r="FJ66" i="29"/>
  <c r="FI66" i="29"/>
  <c r="FH66" i="29"/>
  <c r="FG66" i="29"/>
  <c r="FF66" i="29"/>
  <c r="FE66" i="29"/>
  <c r="FD66" i="29"/>
  <c r="FC66" i="29"/>
  <c r="FB66" i="29"/>
  <c r="FA66" i="29"/>
  <c r="EZ66" i="29"/>
  <c r="EY66" i="29"/>
  <c r="EX66" i="29"/>
  <c r="EW66" i="29"/>
  <c r="EV66" i="29"/>
  <c r="EU66" i="29"/>
  <c r="ET66" i="29"/>
  <c r="ES66" i="29"/>
  <c r="ER66" i="29"/>
  <c r="EQ66" i="29"/>
  <c r="EP66" i="29"/>
  <c r="EO66" i="29"/>
  <c r="EN66" i="29"/>
  <c r="EM66" i="29"/>
  <c r="EL66" i="29"/>
  <c r="FO65" i="29"/>
  <c r="FN65" i="29"/>
  <c r="FM65" i="29"/>
  <c r="FL65" i="29"/>
  <c r="FK65" i="29"/>
  <c r="FJ65" i="29"/>
  <c r="FI65" i="29"/>
  <c r="FH65" i="29"/>
  <c r="FG65" i="29"/>
  <c r="FF65" i="29"/>
  <c r="FE65" i="29"/>
  <c r="FD65" i="29"/>
  <c r="FC65" i="29"/>
  <c r="FB65" i="29"/>
  <c r="FA65" i="29"/>
  <c r="EZ65" i="29"/>
  <c r="EY65" i="29"/>
  <c r="EX65" i="29"/>
  <c r="EW65" i="29"/>
  <c r="EV65" i="29"/>
  <c r="EU65" i="29"/>
  <c r="ET65" i="29"/>
  <c r="ES65" i="29"/>
  <c r="ER65" i="29"/>
  <c r="EQ65" i="29"/>
  <c r="EP65" i="29"/>
  <c r="EO65" i="29"/>
  <c r="EN65" i="29"/>
  <c r="EM65" i="29"/>
  <c r="EL65" i="29"/>
  <c r="FO64" i="29"/>
  <c r="FN64" i="29"/>
  <c r="FM64" i="29"/>
  <c r="FL64" i="29"/>
  <c r="FK64" i="29"/>
  <c r="FJ64" i="29"/>
  <c r="FI64" i="29"/>
  <c r="FH64" i="29"/>
  <c r="FG64" i="29"/>
  <c r="FF64" i="29"/>
  <c r="FE64" i="29"/>
  <c r="FD64" i="29"/>
  <c r="FC64" i="29"/>
  <c r="FB64" i="29"/>
  <c r="FA64" i="29"/>
  <c r="EZ64" i="29"/>
  <c r="EY64" i="29"/>
  <c r="EX64" i="29"/>
  <c r="EW64" i="29"/>
  <c r="EV64" i="29"/>
  <c r="EU64" i="29"/>
  <c r="ET64" i="29"/>
  <c r="ES64" i="29"/>
  <c r="ER64" i="29"/>
  <c r="EQ64" i="29"/>
  <c r="EP64" i="29"/>
  <c r="EO64" i="29"/>
  <c r="EN64" i="29"/>
  <c r="EM64" i="29"/>
  <c r="EL64" i="29"/>
  <c r="FO63" i="29"/>
  <c r="FN63" i="29"/>
  <c r="FM63" i="29"/>
  <c r="FL63" i="29"/>
  <c r="FK63" i="29"/>
  <c r="FJ63" i="29"/>
  <c r="FI63" i="29"/>
  <c r="FH63" i="29"/>
  <c r="FG63" i="29"/>
  <c r="FF63" i="29"/>
  <c r="FE63" i="29"/>
  <c r="FD63" i="29"/>
  <c r="FC63" i="29"/>
  <c r="FB63" i="29"/>
  <c r="FA63" i="29"/>
  <c r="EZ63" i="29"/>
  <c r="EY63" i="29"/>
  <c r="EX63" i="29"/>
  <c r="EW63" i="29"/>
  <c r="EV63" i="29"/>
  <c r="EU63" i="29"/>
  <c r="ET63" i="29"/>
  <c r="ES63" i="29"/>
  <c r="ER63" i="29"/>
  <c r="EQ63" i="29"/>
  <c r="EP63" i="29"/>
  <c r="EO63" i="29"/>
  <c r="EN63" i="29"/>
  <c r="EM63" i="29"/>
  <c r="EL63" i="29"/>
  <c r="FO62" i="29"/>
  <c r="FN62" i="29"/>
  <c r="FM62" i="29"/>
  <c r="FL62" i="29"/>
  <c r="FK62" i="29"/>
  <c r="FJ62" i="29"/>
  <c r="FI62" i="29"/>
  <c r="FH62" i="29"/>
  <c r="FG62" i="29"/>
  <c r="FF62" i="29"/>
  <c r="FE62" i="29"/>
  <c r="FD62" i="29"/>
  <c r="FC62" i="29"/>
  <c r="FB62" i="29"/>
  <c r="FA62" i="29"/>
  <c r="EZ62" i="29"/>
  <c r="EY62" i="29"/>
  <c r="EX62" i="29"/>
  <c r="EW62" i="29"/>
  <c r="EV62" i="29"/>
  <c r="EU62" i="29"/>
  <c r="ET62" i="29"/>
  <c r="ES62" i="29"/>
  <c r="ER62" i="29"/>
  <c r="EQ62" i="29"/>
  <c r="EP62" i="29"/>
  <c r="EO62" i="29"/>
  <c r="EN62" i="29"/>
  <c r="EM62" i="29"/>
  <c r="EL62" i="29"/>
  <c r="FO61" i="29"/>
  <c r="FN61" i="29"/>
  <c r="FM61" i="29"/>
  <c r="FL61" i="29"/>
  <c r="FK61" i="29"/>
  <c r="FJ61" i="29"/>
  <c r="FI61" i="29"/>
  <c r="FH61" i="29"/>
  <c r="FG61" i="29"/>
  <c r="FF61" i="29"/>
  <c r="FE61" i="29"/>
  <c r="FD61" i="29"/>
  <c r="FC61" i="29"/>
  <c r="FB61" i="29"/>
  <c r="FA61" i="29"/>
  <c r="EZ61" i="29"/>
  <c r="EY61" i="29"/>
  <c r="EX61" i="29"/>
  <c r="EW61" i="29"/>
  <c r="EV61" i="29"/>
  <c r="EU61" i="29"/>
  <c r="ET61" i="29"/>
  <c r="ES61" i="29"/>
  <c r="ER61" i="29"/>
  <c r="EQ61" i="29"/>
  <c r="EP61" i="29"/>
  <c r="EO61" i="29"/>
  <c r="EN61" i="29"/>
  <c r="EM61" i="29"/>
  <c r="EL61" i="29"/>
  <c r="FO60" i="29"/>
  <c r="FN60" i="29"/>
  <c r="FM60" i="29"/>
  <c r="FL60" i="29"/>
  <c r="FK60" i="29"/>
  <c r="FJ60" i="29"/>
  <c r="FI60" i="29"/>
  <c r="FH60" i="29"/>
  <c r="FG60" i="29"/>
  <c r="FF60" i="29"/>
  <c r="FE60" i="29"/>
  <c r="FD60" i="29"/>
  <c r="FC60" i="29"/>
  <c r="FB60" i="29"/>
  <c r="FA60" i="29"/>
  <c r="EZ60" i="29"/>
  <c r="EY60" i="29"/>
  <c r="EX60" i="29"/>
  <c r="EW60" i="29"/>
  <c r="EV60" i="29"/>
  <c r="EU60" i="29"/>
  <c r="ET60" i="29"/>
  <c r="ES60" i="29"/>
  <c r="ER60" i="29"/>
  <c r="EQ60" i="29"/>
  <c r="EP60" i="29"/>
  <c r="EO60" i="29"/>
  <c r="EN60" i="29"/>
  <c r="EM60" i="29"/>
  <c r="EL60" i="29"/>
  <c r="FO59" i="29"/>
  <c r="FN59" i="29"/>
  <c r="FM59" i="29"/>
  <c r="FL59" i="29"/>
  <c r="FK59" i="29"/>
  <c r="FJ59" i="29"/>
  <c r="FI59" i="29"/>
  <c r="FH59" i="29"/>
  <c r="FG59" i="29"/>
  <c r="FF59" i="29"/>
  <c r="FE59" i="29"/>
  <c r="FD59" i="29"/>
  <c r="FC59" i="29"/>
  <c r="FB59" i="29"/>
  <c r="FA59" i="29"/>
  <c r="EZ59" i="29"/>
  <c r="EY59" i="29"/>
  <c r="EX59" i="29"/>
  <c r="EW59" i="29"/>
  <c r="EV59" i="29"/>
  <c r="EU59" i="29"/>
  <c r="ET59" i="29"/>
  <c r="ES59" i="29"/>
  <c r="ER59" i="29"/>
  <c r="EQ59" i="29"/>
  <c r="EP59" i="29"/>
  <c r="EO59" i="29"/>
  <c r="EN59" i="29"/>
  <c r="EM59" i="29"/>
  <c r="EL59" i="29"/>
  <c r="FO58" i="29"/>
  <c r="FN58" i="29"/>
  <c r="FM58" i="29"/>
  <c r="FL58" i="29"/>
  <c r="FK58" i="29"/>
  <c r="FJ58" i="29"/>
  <c r="FI58" i="29"/>
  <c r="FH58" i="29"/>
  <c r="FG58" i="29"/>
  <c r="FF58" i="29"/>
  <c r="FE58" i="29"/>
  <c r="FD58" i="29"/>
  <c r="FC58" i="29"/>
  <c r="FB58" i="29"/>
  <c r="FA58" i="29"/>
  <c r="EZ58" i="29"/>
  <c r="EY58" i="29"/>
  <c r="EX58" i="29"/>
  <c r="EW58" i="29"/>
  <c r="EV58" i="29"/>
  <c r="EU58" i="29"/>
  <c r="ET58" i="29"/>
  <c r="ES58" i="29"/>
  <c r="ER58" i="29"/>
  <c r="EQ58" i="29"/>
  <c r="EP58" i="29"/>
  <c r="EO58" i="29"/>
  <c r="EN58" i="29"/>
  <c r="EM58" i="29"/>
  <c r="EL58" i="29"/>
  <c r="FO57" i="29"/>
  <c r="FN57" i="29"/>
  <c r="FM57" i="29"/>
  <c r="FL57" i="29"/>
  <c r="FK57" i="29"/>
  <c r="FJ57" i="29"/>
  <c r="FI57" i="29"/>
  <c r="FH57" i="29"/>
  <c r="FG57" i="29"/>
  <c r="FF57" i="29"/>
  <c r="FE57" i="29"/>
  <c r="FD57" i="29"/>
  <c r="FC57" i="29"/>
  <c r="FB57" i="29"/>
  <c r="FA57" i="29"/>
  <c r="EZ57" i="29"/>
  <c r="EY57" i="29"/>
  <c r="EX57" i="29"/>
  <c r="EW57" i="29"/>
  <c r="EV57" i="29"/>
  <c r="EU57" i="29"/>
  <c r="ET57" i="29"/>
  <c r="ES57" i="29"/>
  <c r="ER57" i="29"/>
  <c r="EQ57" i="29"/>
  <c r="EP57" i="29"/>
  <c r="EO57" i="29"/>
  <c r="EN57" i="29"/>
  <c r="EM57" i="29"/>
  <c r="EL57" i="29"/>
  <c r="FO56" i="29"/>
  <c r="FN56" i="29"/>
  <c r="FM56" i="29"/>
  <c r="FL56" i="29"/>
  <c r="FK56" i="29"/>
  <c r="FJ56" i="29"/>
  <c r="FI56" i="29"/>
  <c r="FH56" i="29"/>
  <c r="FG56" i="29"/>
  <c r="FF56" i="29"/>
  <c r="FE56" i="29"/>
  <c r="FD56" i="29"/>
  <c r="FC56" i="29"/>
  <c r="FB56" i="29"/>
  <c r="FA56" i="29"/>
  <c r="EZ56" i="29"/>
  <c r="EY56" i="29"/>
  <c r="EX56" i="29"/>
  <c r="EW56" i="29"/>
  <c r="EV56" i="29"/>
  <c r="EU56" i="29"/>
  <c r="ET56" i="29"/>
  <c r="ES56" i="29"/>
  <c r="ER56" i="29"/>
  <c r="EQ56" i="29"/>
  <c r="EP56" i="29"/>
  <c r="EO56" i="29"/>
  <c r="EN56" i="29"/>
  <c r="EM56" i="29"/>
  <c r="EL56" i="29"/>
  <c r="FO55" i="29"/>
  <c r="FN55" i="29"/>
  <c r="FM55" i="29"/>
  <c r="FL55" i="29"/>
  <c r="FK55" i="29"/>
  <c r="FJ55" i="29"/>
  <c r="FI55" i="29"/>
  <c r="FH55" i="29"/>
  <c r="FG55" i="29"/>
  <c r="FF55" i="29"/>
  <c r="FE55" i="29"/>
  <c r="FD55" i="29"/>
  <c r="FC55" i="29"/>
  <c r="FB55" i="29"/>
  <c r="FA55" i="29"/>
  <c r="EZ55" i="29"/>
  <c r="EY55" i="29"/>
  <c r="EX55" i="29"/>
  <c r="EW55" i="29"/>
  <c r="EV55" i="29"/>
  <c r="EU55" i="29"/>
  <c r="ET55" i="29"/>
  <c r="ES55" i="29"/>
  <c r="ER55" i="29"/>
  <c r="EQ55" i="29"/>
  <c r="EP55" i="29"/>
  <c r="EO55" i="29"/>
  <c r="EN55" i="29"/>
  <c r="EM55" i="29"/>
  <c r="EL55" i="29"/>
  <c r="FO54" i="29"/>
  <c r="FN54" i="29"/>
  <c r="FM54" i="29"/>
  <c r="FL54" i="29"/>
  <c r="FK54" i="29"/>
  <c r="FJ54" i="29"/>
  <c r="FI54" i="29"/>
  <c r="FH54" i="29"/>
  <c r="FG54" i="29"/>
  <c r="FF54" i="29"/>
  <c r="FE54" i="29"/>
  <c r="FD54" i="29"/>
  <c r="FC54" i="29"/>
  <c r="FB54" i="29"/>
  <c r="FA54" i="29"/>
  <c r="EZ54" i="29"/>
  <c r="EY54" i="29"/>
  <c r="EX54" i="29"/>
  <c r="EW54" i="29"/>
  <c r="EV54" i="29"/>
  <c r="EU54" i="29"/>
  <c r="ET54" i="29"/>
  <c r="ES54" i="29"/>
  <c r="ER54" i="29"/>
  <c r="EQ54" i="29"/>
  <c r="EP54" i="29"/>
  <c r="EO54" i="29"/>
  <c r="EN54" i="29"/>
  <c r="EM54" i="29"/>
  <c r="EL54" i="29"/>
  <c r="FO53" i="29"/>
  <c r="FN53" i="29"/>
  <c r="FM53" i="29"/>
  <c r="FL53" i="29"/>
  <c r="FK53" i="29"/>
  <c r="FJ53" i="29"/>
  <c r="FI53" i="29"/>
  <c r="FH53" i="29"/>
  <c r="FG53" i="29"/>
  <c r="FF53" i="29"/>
  <c r="FE53" i="29"/>
  <c r="FD53" i="29"/>
  <c r="FC53" i="29"/>
  <c r="FB53" i="29"/>
  <c r="FA53" i="29"/>
  <c r="EZ53" i="29"/>
  <c r="EY53" i="29"/>
  <c r="EX53" i="29"/>
  <c r="EW53" i="29"/>
  <c r="EV53" i="29"/>
  <c r="EU53" i="29"/>
  <c r="ET53" i="29"/>
  <c r="ES53" i="29"/>
  <c r="ER53" i="29"/>
  <c r="EQ53" i="29"/>
  <c r="EP53" i="29"/>
  <c r="EO53" i="29"/>
  <c r="EN53" i="29"/>
  <c r="EM53" i="29"/>
  <c r="EL53" i="29"/>
  <c r="FO52" i="29"/>
  <c r="FN52" i="29"/>
  <c r="FM52" i="29"/>
  <c r="FL52" i="29"/>
  <c r="FK52" i="29"/>
  <c r="FJ52" i="29"/>
  <c r="FI52" i="29"/>
  <c r="FH52" i="29"/>
  <c r="FG52" i="29"/>
  <c r="FF52" i="29"/>
  <c r="FE52" i="29"/>
  <c r="FD52" i="29"/>
  <c r="FC52" i="29"/>
  <c r="FB52" i="29"/>
  <c r="FA52" i="29"/>
  <c r="EZ52" i="29"/>
  <c r="EY52" i="29"/>
  <c r="EX52" i="29"/>
  <c r="EW52" i="29"/>
  <c r="EV52" i="29"/>
  <c r="EU52" i="29"/>
  <c r="ET52" i="29"/>
  <c r="ES52" i="29"/>
  <c r="ER52" i="29"/>
  <c r="EQ52" i="29"/>
  <c r="EP52" i="29"/>
  <c r="EO52" i="29"/>
  <c r="EN52" i="29"/>
  <c r="EM52" i="29"/>
  <c r="EL52" i="29"/>
  <c r="FO51" i="29"/>
  <c r="FN51" i="29"/>
  <c r="FM51" i="29"/>
  <c r="FL51" i="29"/>
  <c r="FK51" i="29"/>
  <c r="FJ51" i="29"/>
  <c r="FI51" i="29"/>
  <c r="FH51" i="29"/>
  <c r="FG51" i="29"/>
  <c r="FF51" i="29"/>
  <c r="FE51" i="29"/>
  <c r="FD51" i="29"/>
  <c r="FC51" i="29"/>
  <c r="FB51" i="29"/>
  <c r="FA51" i="29"/>
  <c r="EZ51" i="29"/>
  <c r="EY51" i="29"/>
  <c r="EX51" i="29"/>
  <c r="EW51" i="29"/>
  <c r="EV51" i="29"/>
  <c r="EU51" i="29"/>
  <c r="ET51" i="29"/>
  <c r="ES51" i="29"/>
  <c r="ER51" i="29"/>
  <c r="EQ51" i="29"/>
  <c r="EP51" i="29"/>
  <c r="EO51" i="29"/>
  <c r="EN51" i="29"/>
  <c r="EM51" i="29"/>
  <c r="EL51" i="29"/>
  <c r="FO50" i="29"/>
  <c r="FN50" i="29"/>
  <c r="FM50" i="29"/>
  <c r="FL50" i="29"/>
  <c r="FK50" i="29"/>
  <c r="FJ50" i="29"/>
  <c r="FI50" i="29"/>
  <c r="FH50" i="29"/>
  <c r="FG50" i="29"/>
  <c r="FF50" i="29"/>
  <c r="FE50" i="29"/>
  <c r="FD50" i="29"/>
  <c r="FC50" i="29"/>
  <c r="FB50" i="29"/>
  <c r="FA50" i="29"/>
  <c r="EZ50" i="29"/>
  <c r="EY50" i="29"/>
  <c r="EX50" i="29"/>
  <c r="EW50" i="29"/>
  <c r="EV50" i="29"/>
  <c r="EU50" i="29"/>
  <c r="ET50" i="29"/>
  <c r="ES50" i="29"/>
  <c r="ER50" i="29"/>
  <c r="EQ50" i="29"/>
  <c r="EP50" i="29"/>
  <c r="EO50" i="29"/>
  <c r="EN50" i="29"/>
  <c r="EM50" i="29"/>
  <c r="EL50" i="29"/>
  <c r="FO49" i="29"/>
  <c r="FN49" i="29"/>
  <c r="FM49" i="29"/>
  <c r="FL49" i="29"/>
  <c r="FK49" i="29"/>
  <c r="FJ49" i="29"/>
  <c r="FI49" i="29"/>
  <c r="FH49" i="29"/>
  <c r="FG49" i="29"/>
  <c r="FF49" i="29"/>
  <c r="FE49" i="29"/>
  <c r="FD49" i="29"/>
  <c r="FC49" i="29"/>
  <c r="FB49" i="29"/>
  <c r="FA49" i="29"/>
  <c r="EZ49" i="29"/>
  <c r="EY49" i="29"/>
  <c r="EX49" i="29"/>
  <c r="EW49" i="29"/>
  <c r="EV49" i="29"/>
  <c r="EU49" i="29"/>
  <c r="ET49" i="29"/>
  <c r="ES49" i="29"/>
  <c r="ER49" i="29"/>
  <c r="EQ49" i="29"/>
  <c r="EP49" i="29"/>
  <c r="EO49" i="29"/>
  <c r="EN49" i="29"/>
  <c r="EM49" i="29"/>
  <c r="EL49" i="29"/>
  <c r="FO48" i="29"/>
  <c r="FN48" i="29"/>
  <c r="FM48" i="29"/>
  <c r="FL48" i="29"/>
  <c r="FK48" i="29"/>
  <c r="FJ48" i="29"/>
  <c r="FI48" i="29"/>
  <c r="FH48" i="29"/>
  <c r="FG48" i="29"/>
  <c r="FF48" i="29"/>
  <c r="FE48" i="29"/>
  <c r="FD48" i="29"/>
  <c r="FC48" i="29"/>
  <c r="FB48" i="29"/>
  <c r="FA48" i="29"/>
  <c r="EZ48" i="29"/>
  <c r="EY48" i="29"/>
  <c r="EX48" i="29"/>
  <c r="EW48" i="29"/>
  <c r="EV48" i="29"/>
  <c r="EU48" i="29"/>
  <c r="ET48" i="29"/>
  <c r="ES48" i="29"/>
  <c r="ER48" i="29"/>
  <c r="EQ48" i="29"/>
  <c r="EP48" i="29"/>
  <c r="EO48" i="29"/>
  <c r="EN48" i="29"/>
  <c r="EM48" i="29"/>
  <c r="EL48" i="29"/>
  <c r="FO47" i="29"/>
  <c r="FN47" i="29"/>
  <c r="FM47" i="29"/>
  <c r="FL47" i="29"/>
  <c r="FK47" i="29"/>
  <c r="FJ47" i="29"/>
  <c r="FI47" i="29"/>
  <c r="FH47" i="29"/>
  <c r="FG47" i="29"/>
  <c r="FF47" i="29"/>
  <c r="FE47" i="29"/>
  <c r="FD47" i="29"/>
  <c r="FC47" i="29"/>
  <c r="FB47" i="29"/>
  <c r="FA47" i="29"/>
  <c r="EZ47" i="29"/>
  <c r="EY47" i="29"/>
  <c r="EX47" i="29"/>
  <c r="EW47" i="29"/>
  <c r="EV47" i="29"/>
  <c r="EU47" i="29"/>
  <c r="ET47" i="29"/>
  <c r="ES47" i="29"/>
  <c r="ER47" i="29"/>
  <c r="EQ47" i="29"/>
  <c r="EP47" i="29"/>
  <c r="EO47" i="29"/>
  <c r="EN47" i="29"/>
  <c r="EM47" i="29"/>
  <c r="EL47" i="29"/>
  <c r="FO46" i="29"/>
  <c r="FN46" i="29"/>
  <c r="FM46" i="29"/>
  <c r="FL46" i="29"/>
  <c r="FK46" i="29"/>
  <c r="FJ46" i="29"/>
  <c r="FI46" i="29"/>
  <c r="FH46" i="29"/>
  <c r="FG46" i="29"/>
  <c r="FF46" i="29"/>
  <c r="FE46" i="29"/>
  <c r="FD46" i="29"/>
  <c r="FC46" i="29"/>
  <c r="FB46" i="29"/>
  <c r="FA46" i="29"/>
  <c r="EZ46" i="29"/>
  <c r="EY46" i="29"/>
  <c r="EX46" i="29"/>
  <c r="EW46" i="29"/>
  <c r="EV46" i="29"/>
  <c r="EU46" i="29"/>
  <c r="ET46" i="29"/>
  <c r="ES46" i="29"/>
  <c r="ER46" i="29"/>
  <c r="EQ46" i="29"/>
  <c r="EP46" i="29"/>
  <c r="EO46" i="29"/>
  <c r="EN46" i="29"/>
  <c r="EM46" i="29"/>
  <c r="EL46" i="29"/>
  <c r="FO45" i="29"/>
  <c r="FN45" i="29"/>
  <c r="FM45" i="29"/>
  <c r="FL45" i="29"/>
  <c r="FK45" i="29"/>
  <c r="FJ45" i="29"/>
  <c r="FI45" i="29"/>
  <c r="FH45" i="29"/>
  <c r="FG45" i="29"/>
  <c r="FF45" i="29"/>
  <c r="FE45" i="29"/>
  <c r="FD45" i="29"/>
  <c r="FC45" i="29"/>
  <c r="FB45" i="29"/>
  <c r="FA45" i="29"/>
  <c r="EZ45" i="29"/>
  <c r="EY45" i="29"/>
  <c r="EX45" i="29"/>
  <c r="EW45" i="29"/>
  <c r="EV45" i="29"/>
  <c r="EU45" i="29"/>
  <c r="ET45" i="29"/>
  <c r="ES45" i="29"/>
  <c r="ER45" i="29"/>
  <c r="EQ45" i="29"/>
  <c r="EP45" i="29"/>
  <c r="EO45" i="29"/>
  <c r="EN45" i="29"/>
  <c r="EM45" i="29"/>
  <c r="EL45" i="29"/>
  <c r="FO44" i="29"/>
  <c r="FN44" i="29"/>
  <c r="FM44" i="29"/>
  <c r="FL44" i="29"/>
  <c r="FK44" i="29"/>
  <c r="FJ44" i="29"/>
  <c r="FI44" i="29"/>
  <c r="FH44" i="29"/>
  <c r="FG44" i="29"/>
  <c r="FF44" i="29"/>
  <c r="FE44" i="29"/>
  <c r="FD44" i="29"/>
  <c r="FC44" i="29"/>
  <c r="FB44" i="29"/>
  <c r="FA44" i="29"/>
  <c r="EZ44" i="29"/>
  <c r="EY44" i="29"/>
  <c r="EX44" i="29"/>
  <c r="EW44" i="29"/>
  <c r="EV44" i="29"/>
  <c r="EU44" i="29"/>
  <c r="ET44" i="29"/>
  <c r="ES44" i="29"/>
  <c r="ER44" i="29"/>
  <c r="EQ44" i="29"/>
  <c r="EP44" i="29"/>
  <c r="EO44" i="29"/>
  <c r="EN44" i="29"/>
  <c r="EM44" i="29"/>
  <c r="EL44" i="29"/>
  <c r="FO43" i="29"/>
  <c r="FN43" i="29"/>
  <c r="FM43" i="29"/>
  <c r="FL43" i="29"/>
  <c r="FK43" i="29"/>
  <c r="FJ43" i="29"/>
  <c r="FI43" i="29"/>
  <c r="FH43" i="29"/>
  <c r="FG43" i="29"/>
  <c r="FF43" i="29"/>
  <c r="FE43" i="29"/>
  <c r="FD43" i="29"/>
  <c r="FC43" i="29"/>
  <c r="FB43" i="29"/>
  <c r="FA43" i="29"/>
  <c r="EZ43" i="29"/>
  <c r="EY43" i="29"/>
  <c r="EX43" i="29"/>
  <c r="EW43" i="29"/>
  <c r="EV43" i="29"/>
  <c r="EU43" i="29"/>
  <c r="ET43" i="29"/>
  <c r="ES43" i="29"/>
  <c r="ER43" i="29"/>
  <c r="EQ43" i="29"/>
  <c r="EP43" i="29"/>
  <c r="EO43" i="29"/>
  <c r="EN43" i="29"/>
  <c r="EM43" i="29"/>
  <c r="EL43" i="29"/>
  <c r="FO42" i="29"/>
  <c r="FN42" i="29"/>
  <c r="FM42" i="29"/>
  <c r="FL42" i="29"/>
  <c r="FK42" i="29"/>
  <c r="FJ42" i="29"/>
  <c r="FI42" i="29"/>
  <c r="FH42" i="29"/>
  <c r="FG42" i="29"/>
  <c r="FF42" i="29"/>
  <c r="FE42" i="29"/>
  <c r="FD42" i="29"/>
  <c r="FC42" i="29"/>
  <c r="FB42" i="29"/>
  <c r="FA42" i="29"/>
  <c r="EZ42" i="29"/>
  <c r="EY42" i="29"/>
  <c r="EX42" i="29"/>
  <c r="EW42" i="29"/>
  <c r="EV42" i="29"/>
  <c r="EU42" i="29"/>
  <c r="ET42" i="29"/>
  <c r="ES42" i="29"/>
  <c r="ER42" i="29"/>
  <c r="EQ42" i="29"/>
  <c r="EP42" i="29"/>
  <c r="EO42" i="29"/>
  <c r="EN42" i="29"/>
  <c r="EM42" i="29"/>
  <c r="EL42" i="29"/>
  <c r="FO41" i="29"/>
  <c r="FN41" i="29"/>
  <c r="FM41" i="29"/>
  <c r="FL41" i="29"/>
  <c r="FK41" i="29"/>
  <c r="FJ41" i="29"/>
  <c r="FI41" i="29"/>
  <c r="FH41" i="29"/>
  <c r="FG41" i="29"/>
  <c r="FF41" i="29"/>
  <c r="FE41" i="29"/>
  <c r="FD41" i="29"/>
  <c r="FC41" i="29"/>
  <c r="FB41" i="29"/>
  <c r="FA41" i="29"/>
  <c r="EZ41" i="29"/>
  <c r="EY41" i="29"/>
  <c r="EX41" i="29"/>
  <c r="EW41" i="29"/>
  <c r="EV41" i="29"/>
  <c r="EU41" i="29"/>
  <c r="ET41" i="29"/>
  <c r="ES41" i="29"/>
  <c r="ER41" i="29"/>
  <c r="EQ41" i="29"/>
  <c r="EP41" i="29"/>
  <c r="EO41" i="29"/>
  <c r="EN41" i="29"/>
  <c r="EM41" i="29"/>
  <c r="EL41" i="29"/>
  <c r="FO40" i="29"/>
  <c r="FN40" i="29"/>
  <c r="FM40" i="29"/>
  <c r="FL40" i="29"/>
  <c r="FK40" i="29"/>
  <c r="FJ40" i="29"/>
  <c r="FI40" i="29"/>
  <c r="FH40" i="29"/>
  <c r="FG40" i="29"/>
  <c r="FF40" i="29"/>
  <c r="FE40" i="29"/>
  <c r="FD40" i="29"/>
  <c r="FC40" i="29"/>
  <c r="FB40" i="29"/>
  <c r="FA40" i="29"/>
  <c r="EZ40" i="29"/>
  <c r="EY40" i="29"/>
  <c r="EX40" i="29"/>
  <c r="EW40" i="29"/>
  <c r="EV40" i="29"/>
  <c r="EU40" i="29"/>
  <c r="ET40" i="29"/>
  <c r="ES40" i="29"/>
  <c r="ER40" i="29"/>
  <c r="EQ40" i="29"/>
  <c r="EP40" i="29"/>
  <c r="EO40" i="29"/>
  <c r="EN40" i="29"/>
  <c r="EM40" i="29"/>
  <c r="EL40" i="29"/>
  <c r="FO39" i="29"/>
  <c r="FN39" i="29"/>
  <c r="FM39" i="29"/>
  <c r="FL39" i="29"/>
  <c r="FK39" i="29"/>
  <c r="FJ39" i="29"/>
  <c r="FI39" i="29"/>
  <c r="FH39" i="29"/>
  <c r="FG39" i="29"/>
  <c r="FF39" i="29"/>
  <c r="FE39" i="29"/>
  <c r="FD39" i="29"/>
  <c r="FC39" i="29"/>
  <c r="FB39" i="29"/>
  <c r="FA39" i="29"/>
  <c r="EZ39" i="29"/>
  <c r="EY39" i="29"/>
  <c r="EX39" i="29"/>
  <c r="EW39" i="29"/>
  <c r="EV39" i="29"/>
  <c r="EU39" i="29"/>
  <c r="ET39" i="29"/>
  <c r="ES39" i="29"/>
  <c r="ER39" i="29"/>
  <c r="EQ39" i="29"/>
  <c r="EP39" i="29"/>
  <c r="EO39" i="29"/>
  <c r="EN39" i="29"/>
  <c r="EM39" i="29"/>
  <c r="EL39" i="29"/>
  <c r="FO38" i="29"/>
  <c r="FN38" i="29"/>
  <c r="FM38" i="29"/>
  <c r="FL38" i="29"/>
  <c r="FK38" i="29"/>
  <c r="FJ38" i="29"/>
  <c r="FI38" i="29"/>
  <c r="FH38" i="29"/>
  <c r="FG38" i="29"/>
  <c r="FF38" i="29"/>
  <c r="FE38" i="29"/>
  <c r="FD38" i="29"/>
  <c r="FC38" i="29"/>
  <c r="FB38" i="29"/>
  <c r="FA38" i="29"/>
  <c r="EZ38" i="29"/>
  <c r="EY38" i="29"/>
  <c r="EX38" i="29"/>
  <c r="EW38" i="29"/>
  <c r="EV38" i="29"/>
  <c r="EU38" i="29"/>
  <c r="ET38" i="29"/>
  <c r="ES38" i="29"/>
  <c r="ER38" i="29"/>
  <c r="EQ38" i="29"/>
  <c r="EP38" i="29"/>
  <c r="EO38" i="29"/>
  <c r="EN38" i="29"/>
  <c r="EM38" i="29"/>
  <c r="EL38" i="29"/>
  <c r="FO37" i="29"/>
  <c r="FN37" i="29"/>
  <c r="FM37" i="29"/>
  <c r="FL37" i="29"/>
  <c r="FK37" i="29"/>
  <c r="FJ37" i="29"/>
  <c r="FI37" i="29"/>
  <c r="FH37" i="29"/>
  <c r="FG37" i="29"/>
  <c r="FF37" i="29"/>
  <c r="FE37" i="29"/>
  <c r="FD37" i="29"/>
  <c r="FC37" i="29"/>
  <c r="FB37" i="29"/>
  <c r="FA37" i="29"/>
  <c r="EZ37" i="29"/>
  <c r="EY37" i="29"/>
  <c r="EX37" i="29"/>
  <c r="EW37" i="29"/>
  <c r="EV37" i="29"/>
  <c r="EU37" i="29"/>
  <c r="ET37" i="29"/>
  <c r="ES37" i="29"/>
  <c r="ER37" i="29"/>
  <c r="EQ37" i="29"/>
  <c r="EP37" i="29"/>
  <c r="EO37" i="29"/>
  <c r="EN37" i="29"/>
  <c r="EM37" i="29"/>
  <c r="EL37" i="29"/>
  <c r="FO36" i="29"/>
  <c r="FN36" i="29"/>
  <c r="FM36" i="29"/>
  <c r="FL36" i="29"/>
  <c r="FK36" i="29"/>
  <c r="FJ36" i="29"/>
  <c r="FI36" i="29"/>
  <c r="FH36" i="29"/>
  <c r="FG36" i="29"/>
  <c r="FF36" i="29"/>
  <c r="FE36" i="29"/>
  <c r="FD36" i="29"/>
  <c r="FC36" i="29"/>
  <c r="FB36" i="29"/>
  <c r="FA36" i="29"/>
  <c r="EZ36" i="29"/>
  <c r="EY36" i="29"/>
  <c r="EX36" i="29"/>
  <c r="EW36" i="29"/>
  <c r="EV36" i="29"/>
  <c r="EU36" i="29"/>
  <c r="ET36" i="29"/>
  <c r="ES36" i="29"/>
  <c r="ER36" i="29"/>
  <c r="EQ36" i="29"/>
  <c r="EP36" i="29"/>
  <c r="EO36" i="29"/>
  <c r="EN36" i="29"/>
  <c r="EM36" i="29"/>
  <c r="EL36" i="29"/>
  <c r="FO35" i="29"/>
  <c r="FN35" i="29"/>
  <c r="FM35" i="29"/>
  <c r="FL35" i="29"/>
  <c r="FK35" i="29"/>
  <c r="FJ35" i="29"/>
  <c r="FI35" i="29"/>
  <c r="FH35" i="29"/>
  <c r="FG35" i="29"/>
  <c r="FF35" i="29"/>
  <c r="FE35" i="29"/>
  <c r="FD35" i="29"/>
  <c r="FC35" i="29"/>
  <c r="FB35" i="29"/>
  <c r="FA35" i="29"/>
  <c r="EZ35" i="29"/>
  <c r="EY35" i="29"/>
  <c r="EX35" i="29"/>
  <c r="EW35" i="29"/>
  <c r="EV35" i="29"/>
  <c r="EU35" i="29"/>
  <c r="ET35" i="29"/>
  <c r="ES35" i="29"/>
  <c r="ER35" i="29"/>
  <c r="EQ35" i="29"/>
  <c r="EP35" i="29"/>
  <c r="EO35" i="29"/>
  <c r="EN35" i="29"/>
  <c r="EM35" i="29"/>
  <c r="EL35" i="29"/>
  <c r="FO34" i="29"/>
  <c r="FN34" i="29"/>
  <c r="FM34" i="29"/>
  <c r="FL34" i="29"/>
  <c r="FK34" i="29"/>
  <c r="FJ34" i="29"/>
  <c r="FI34" i="29"/>
  <c r="FH34" i="29"/>
  <c r="FG34" i="29"/>
  <c r="FF34" i="29"/>
  <c r="FE34" i="29"/>
  <c r="FD34" i="29"/>
  <c r="FC34" i="29"/>
  <c r="FB34" i="29"/>
  <c r="FA34" i="29"/>
  <c r="EZ34" i="29"/>
  <c r="EY34" i="29"/>
  <c r="EX34" i="29"/>
  <c r="EW34" i="29"/>
  <c r="EV34" i="29"/>
  <c r="EU34" i="29"/>
  <c r="ET34" i="29"/>
  <c r="ES34" i="29"/>
  <c r="ER34" i="29"/>
  <c r="EQ34" i="29"/>
  <c r="EP34" i="29"/>
  <c r="EO34" i="29"/>
  <c r="EN34" i="29"/>
  <c r="EM34" i="29"/>
  <c r="EL34" i="29"/>
  <c r="FO33" i="29"/>
  <c r="FN33" i="29"/>
  <c r="FM33" i="29"/>
  <c r="FL33" i="29"/>
  <c r="FK33" i="29"/>
  <c r="FJ33" i="29"/>
  <c r="FI33" i="29"/>
  <c r="FH33" i="29"/>
  <c r="FG33" i="29"/>
  <c r="FF33" i="29"/>
  <c r="FE33" i="29"/>
  <c r="FD33" i="29"/>
  <c r="FC33" i="29"/>
  <c r="FB33" i="29"/>
  <c r="FA33" i="29"/>
  <c r="EZ33" i="29"/>
  <c r="EY33" i="29"/>
  <c r="EX33" i="29"/>
  <c r="EW33" i="29"/>
  <c r="EV33" i="29"/>
  <c r="EU33" i="29"/>
  <c r="ET33" i="29"/>
  <c r="ES33" i="29"/>
  <c r="ER33" i="29"/>
  <c r="EQ33" i="29"/>
  <c r="EP33" i="29"/>
  <c r="EO33" i="29"/>
  <c r="EN33" i="29"/>
  <c r="EM33" i="29"/>
  <c r="EL33" i="29"/>
  <c r="FO32" i="29"/>
  <c r="FN32" i="29"/>
  <c r="FM32" i="29"/>
  <c r="FL32" i="29"/>
  <c r="FK32" i="29"/>
  <c r="FJ32" i="29"/>
  <c r="FI32" i="29"/>
  <c r="FH32" i="29"/>
  <c r="FG32" i="29"/>
  <c r="FF32" i="29"/>
  <c r="FE32" i="29"/>
  <c r="FD32" i="29"/>
  <c r="FC32" i="29"/>
  <c r="FB32" i="29"/>
  <c r="FA32" i="29"/>
  <c r="EZ32" i="29"/>
  <c r="EY32" i="29"/>
  <c r="EX32" i="29"/>
  <c r="EW32" i="29"/>
  <c r="EV32" i="29"/>
  <c r="EU32" i="29"/>
  <c r="ET32" i="29"/>
  <c r="ES32" i="29"/>
  <c r="ER32" i="29"/>
  <c r="EQ32" i="29"/>
  <c r="EP32" i="29"/>
  <c r="EO32" i="29"/>
  <c r="EN32" i="29"/>
  <c r="EM32" i="29"/>
  <c r="EL32" i="29"/>
  <c r="FO31" i="29"/>
  <c r="FN31" i="29"/>
  <c r="FM31" i="29"/>
  <c r="FL31" i="29"/>
  <c r="FK31" i="29"/>
  <c r="FJ31" i="29"/>
  <c r="FI31" i="29"/>
  <c r="FH31" i="29"/>
  <c r="FG31" i="29"/>
  <c r="FF31" i="29"/>
  <c r="FE31" i="29"/>
  <c r="FD31" i="29"/>
  <c r="FC31" i="29"/>
  <c r="FB31" i="29"/>
  <c r="FA31" i="29"/>
  <c r="EZ31" i="29"/>
  <c r="EY31" i="29"/>
  <c r="EX31" i="29"/>
  <c r="EW31" i="29"/>
  <c r="EV31" i="29"/>
  <c r="EU31" i="29"/>
  <c r="ET31" i="29"/>
  <c r="ES31" i="29"/>
  <c r="ER31" i="29"/>
  <c r="EQ31" i="29"/>
  <c r="EP31" i="29"/>
  <c r="EO31" i="29"/>
  <c r="EN31" i="29"/>
  <c r="EM31" i="29"/>
  <c r="EL31" i="29"/>
  <c r="FO30" i="29"/>
  <c r="FN30" i="29"/>
  <c r="FM30" i="29"/>
  <c r="FL30" i="29"/>
  <c r="FK30" i="29"/>
  <c r="FJ30" i="29"/>
  <c r="FI30" i="29"/>
  <c r="FH30" i="29"/>
  <c r="FG30" i="29"/>
  <c r="FF30" i="29"/>
  <c r="FE30" i="29"/>
  <c r="FD30" i="29"/>
  <c r="FC30" i="29"/>
  <c r="FB30" i="29"/>
  <c r="FA30" i="29"/>
  <c r="EZ30" i="29"/>
  <c r="EY30" i="29"/>
  <c r="EX30" i="29"/>
  <c r="EW30" i="29"/>
  <c r="EV30" i="29"/>
  <c r="EU30" i="29"/>
  <c r="ET30" i="29"/>
  <c r="ES30" i="29"/>
  <c r="ER30" i="29"/>
  <c r="EQ30" i="29"/>
  <c r="EP30" i="29"/>
  <c r="EO30" i="29"/>
  <c r="EN30" i="29"/>
  <c r="EM30" i="29"/>
  <c r="EL30" i="29"/>
  <c r="FO29" i="29"/>
  <c r="FN29" i="29"/>
  <c r="FM29" i="29"/>
  <c r="FL29" i="29"/>
  <c r="FK29" i="29"/>
  <c r="FJ29" i="29"/>
  <c r="FI29" i="29"/>
  <c r="FH29" i="29"/>
  <c r="FG29" i="29"/>
  <c r="FF29" i="29"/>
  <c r="FE29" i="29"/>
  <c r="FD29" i="29"/>
  <c r="FC29" i="29"/>
  <c r="FB29" i="29"/>
  <c r="FA29" i="29"/>
  <c r="EZ29" i="29"/>
  <c r="EY29" i="29"/>
  <c r="EX29" i="29"/>
  <c r="EW29" i="29"/>
  <c r="EV29" i="29"/>
  <c r="EU29" i="29"/>
  <c r="ET29" i="29"/>
  <c r="ES29" i="29"/>
  <c r="ER29" i="29"/>
  <c r="EQ29" i="29"/>
  <c r="EP29" i="29"/>
  <c r="EO29" i="29"/>
  <c r="EN29" i="29"/>
  <c r="EM29" i="29"/>
  <c r="EL29" i="29"/>
  <c r="FO28" i="29"/>
  <c r="FN28" i="29"/>
  <c r="FM28" i="29"/>
  <c r="FL28" i="29"/>
  <c r="FK28" i="29"/>
  <c r="FJ28" i="29"/>
  <c r="FI28" i="29"/>
  <c r="FH28" i="29"/>
  <c r="FG28" i="29"/>
  <c r="FF28" i="29"/>
  <c r="FE28" i="29"/>
  <c r="FD28" i="29"/>
  <c r="FC28" i="29"/>
  <c r="FB28" i="29"/>
  <c r="FA28" i="29"/>
  <c r="EZ28" i="29"/>
  <c r="EY28" i="29"/>
  <c r="EX28" i="29"/>
  <c r="EW28" i="29"/>
  <c r="EV28" i="29"/>
  <c r="EU28" i="29"/>
  <c r="ET28" i="29"/>
  <c r="ES28" i="29"/>
  <c r="ER28" i="29"/>
  <c r="EQ28" i="29"/>
  <c r="EP28" i="29"/>
  <c r="EO28" i="29"/>
  <c r="EN28" i="29"/>
  <c r="EM28" i="29"/>
  <c r="EL28" i="29"/>
  <c r="FO27" i="29"/>
  <c r="FN27" i="29"/>
  <c r="FM27" i="29"/>
  <c r="FL27" i="29"/>
  <c r="FK27" i="29"/>
  <c r="FJ27" i="29"/>
  <c r="FI27" i="29"/>
  <c r="FH27" i="29"/>
  <c r="FG27" i="29"/>
  <c r="FF27" i="29"/>
  <c r="FE27" i="29"/>
  <c r="FD27" i="29"/>
  <c r="FC27" i="29"/>
  <c r="FB27" i="29"/>
  <c r="FA27" i="29"/>
  <c r="EZ27" i="29"/>
  <c r="EY27" i="29"/>
  <c r="EX27" i="29"/>
  <c r="EW27" i="29"/>
  <c r="EV27" i="29"/>
  <c r="EU27" i="29"/>
  <c r="ET27" i="29"/>
  <c r="ES27" i="29"/>
  <c r="ER27" i="29"/>
  <c r="EQ27" i="29"/>
  <c r="EP27" i="29"/>
  <c r="EO27" i="29"/>
  <c r="EN27" i="29"/>
  <c r="EM27" i="29"/>
  <c r="EL27" i="29"/>
  <c r="FO26" i="29"/>
  <c r="FN26" i="29"/>
  <c r="FM26" i="29"/>
  <c r="FL26" i="29"/>
  <c r="FK26" i="29"/>
  <c r="FJ26" i="29"/>
  <c r="FI26" i="29"/>
  <c r="FH26" i="29"/>
  <c r="FG26" i="29"/>
  <c r="FF26" i="29"/>
  <c r="FE26" i="29"/>
  <c r="FD26" i="29"/>
  <c r="FC26" i="29"/>
  <c r="FB26" i="29"/>
  <c r="FA26" i="29"/>
  <c r="EZ26" i="29"/>
  <c r="EY26" i="29"/>
  <c r="EX26" i="29"/>
  <c r="EW26" i="29"/>
  <c r="EV26" i="29"/>
  <c r="EU26" i="29"/>
  <c r="ET26" i="29"/>
  <c r="ES26" i="29"/>
  <c r="ER26" i="29"/>
  <c r="EQ26" i="29"/>
  <c r="EP26" i="29"/>
  <c r="EO26" i="29"/>
  <c r="EN26" i="29"/>
  <c r="EM26" i="29"/>
  <c r="EL26" i="29"/>
  <c r="FO25" i="29"/>
  <c r="FN25" i="29"/>
  <c r="FM25" i="29"/>
  <c r="FL25" i="29"/>
  <c r="FK25" i="29"/>
  <c r="FJ25" i="29"/>
  <c r="FI25" i="29"/>
  <c r="FH25" i="29"/>
  <c r="FG25" i="29"/>
  <c r="FF25" i="29"/>
  <c r="FE25" i="29"/>
  <c r="FD25" i="29"/>
  <c r="FC25" i="29"/>
  <c r="FB25" i="29"/>
  <c r="FA25" i="29"/>
  <c r="EZ25" i="29"/>
  <c r="EY25" i="29"/>
  <c r="EX25" i="29"/>
  <c r="EW25" i="29"/>
  <c r="EV25" i="29"/>
  <c r="EU25" i="29"/>
  <c r="ET25" i="29"/>
  <c r="ES25" i="29"/>
  <c r="ER25" i="29"/>
  <c r="EQ25" i="29"/>
  <c r="EP25" i="29"/>
  <c r="EO25" i="29"/>
  <c r="EN25" i="29"/>
  <c r="EM25" i="29"/>
  <c r="EL25" i="29"/>
  <c r="FO24" i="29"/>
  <c r="FN24" i="29"/>
  <c r="FM24" i="29"/>
  <c r="FL24" i="29"/>
  <c r="FK24" i="29"/>
  <c r="FJ24" i="29"/>
  <c r="FI24" i="29"/>
  <c r="FH24" i="29"/>
  <c r="FG24" i="29"/>
  <c r="FF24" i="29"/>
  <c r="FE24" i="29"/>
  <c r="FD24" i="29"/>
  <c r="FC24" i="29"/>
  <c r="FB24" i="29"/>
  <c r="FA24" i="29"/>
  <c r="EZ24" i="29"/>
  <c r="EY24" i="29"/>
  <c r="EX24" i="29"/>
  <c r="EW24" i="29"/>
  <c r="EV24" i="29"/>
  <c r="EU24" i="29"/>
  <c r="ET24" i="29"/>
  <c r="ES24" i="29"/>
  <c r="ER24" i="29"/>
  <c r="EQ24" i="29"/>
  <c r="EP24" i="29"/>
  <c r="EO24" i="29"/>
  <c r="EN24" i="29"/>
  <c r="EM24" i="29"/>
  <c r="EL24" i="29"/>
  <c r="FO23" i="29"/>
  <c r="FN23" i="29"/>
  <c r="FM23" i="29"/>
  <c r="FL23" i="29"/>
  <c r="FK23" i="29"/>
  <c r="FJ23" i="29"/>
  <c r="FI23" i="29"/>
  <c r="FH23" i="29"/>
  <c r="FG23" i="29"/>
  <c r="FF23" i="29"/>
  <c r="FE23" i="29"/>
  <c r="FD23" i="29"/>
  <c r="FC23" i="29"/>
  <c r="FB23" i="29"/>
  <c r="FA23" i="29"/>
  <c r="EZ23" i="29"/>
  <c r="EY23" i="29"/>
  <c r="EX23" i="29"/>
  <c r="EW23" i="29"/>
  <c r="EV23" i="29"/>
  <c r="EU23" i="29"/>
  <c r="ET23" i="29"/>
  <c r="ES23" i="29"/>
  <c r="ER23" i="29"/>
  <c r="EQ23" i="29"/>
  <c r="EP23" i="29"/>
  <c r="EO23" i="29"/>
  <c r="EN23" i="29"/>
  <c r="EM23" i="29"/>
  <c r="EL23" i="29"/>
  <c r="FO22" i="29"/>
  <c r="FN22" i="29"/>
  <c r="FM22" i="29"/>
  <c r="FL22" i="29"/>
  <c r="FK22" i="29"/>
  <c r="FJ22" i="29"/>
  <c r="FI22" i="29"/>
  <c r="FH22" i="29"/>
  <c r="FG22" i="29"/>
  <c r="FF22" i="29"/>
  <c r="FE22" i="29"/>
  <c r="FD22" i="29"/>
  <c r="FC22" i="29"/>
  <c r="FB22" i="29"/>
  <c r="FA22" i="29"/>
  <c r="EZ22" i="29"/>
  <c r="EY22" i="29"/>
  <c r="EX22" i="29"/>
  <c r="EW22" i="29"/>
  <c r="EV22" i="29"/>
  <c r="EU22" i="29"/>
  <c r="ET22" i="29"/>
  <c r="ES22" i="29"/>
  <c r="ER22" i="29"/>
  <c r="EQ22" i="29"/>
  <c r="EP22" i="29"/>
  <c r="EO22" i="29"/>
  <c r="EN22" i="29"/>
  <c r="EM22" i="29"/>
  <c r="EL22" i="29"/>
  <c r="FO21" i="29"/>
  <c r="FN21" i="29"/>
  <c r="FM21" i="29"/>
  <c r="FL21" i="29"/>
  <c r="FK21" i="29"/>
  <c r="FJ21" i="29"/>
  <c r="FI21" i="29"/>
  <c r="FH21" i="29"/>
  <c r="FG21" i="29"/>
  <c r="FF21" i="29"/>
  <c r="FE21" i="29"/>
  <c r="FD21" i="29"/>
  <c r="FC21" i="29"/>
  <c r="FB21" i="29"/>
  <c r="FA21" i="29"/>
  <c r="EZ21" i="29"/>
  <c r="EY21" i="29"/>
  <c r="EX21" i="29"/>
  <c r="EW21" i="29"/>
  <c r="EV21" i="29"/>
  <c r="EU21" i="29"/>
  <c r="ET21" i="29"/>
  <c r="ES21" i="29"/>
  <c r="ER21" i="29"/>
  <c r="EQ21" i="29"/>
  <c r="EP21" i="29"/>
  <c r="EO21" i="29"/>
  <c r="EN21" i="29"/>
  <c r="EM21" i="29"/>
  <c r="EL21" i="29"/>
  <c r="FO20" i="29"/>
  <c r="FN20" i="29"/>
  <c r="FM20" i="29"/>
  <c r="FL20" i="29"/>
  <c r="FK20" i="29"/>
  <c r="FJ20" i="29"/>
  <c r="FI20" i="29"/>
  <c r="FH20" i="29"/>
  <c r="FG20" i="29"/>
  <c r="FF20" i="29"/>
  <c r="FE20" i="29"/>
  <c r="FD20" i="29"/>
  <c r="FC20" i="29"/>
  <c r="FB20" i="29"/>
  <c r="FA20" i="29"/>
  <c r="EZ20" i="29"/>
  <c r="EY20" i="29"/>
  <c r="EX20" i="29"/>
  <c r="EW20" i="29"/>
  <c r="EV20" i="29"/>
  <c r="EU20" i="29"/>
  <c r="ET20" i="29"/>
  <c r="ES20" i="29"/>
  <c r="ER20" i="29"/>
  <c r="EQ20" i="29"/>
  <c r="EP20" i="29"/>
  <c r="EO20" i="29"/>
  <c r="EN20" i="29"/>
  <c r="EM20" i="29"/>
  <c r="EL20" i="29"/>
  <c r="FO19" i="29"/>
  <c r="FN19" i="29"/>
  <c r="FM19" i="29"/>
  <c r="FL19" i="29"/>
  <c r="FK19" i="29"/>
  <c r="FJ19" i="29"/>
  <c r="FI19" i="29"/>
  <c r="FH19" i="29"/>
  <c r="FG19" i="29"/>
  <c r="FF19" i="29"/>
  <c r="FE19" i="29"/>
  <c r="FD19" i="29"/>
  <c r="FC19" i="29"/>
  <c r="FB19" i="29"/>
  <c r="FA19" i="29"/>
  <c r="EZ19" i="29"/>
  <c r="EY19" i="29"/>
  <c r="EX19" i="29"/>
  <c r="EW19" i="29"/>
  <c r="EV19" i="29"/>
  <c r="EU19" i="29"/>
  <c r="ET19" i="29"/>
  <c r="ES19" i="29"/>
  <c r="ER19" i="29"/>
  <c r="EQ19" i="29"/>
  <c r="EP19" i="29"/>
  <c r="EO19" i="29"/>
  <c r="EN19" i="29"/>
  <c r="EM19" i="29"/>
  <c r="EL19" i="29"/>
  <c r="FO18" i="29"/>
  <c r="FN18" i="29"/>
  <c r="FM18" i="29"/>
  <c r="FL18" i="29"/>
  <c r="FK18" i="29"/>
  <c r="FJ18" i="29"/>
  <c r="FI18" i="29"/>
  <c r="FH18" i="29"/>
  <c r="FG18" i="29"/>
  <c r="FF18" i="29"/>
  <c r="FE18" i="29"/>
  <c r="FD18" i="29"/>
  <c r="FC18" i="29"/>
  <c r="FB18" i="29"/>
  <c r="FA18" i="29"/>
  <c r="EZ18" i="29"/>
  <c r="EY18" i="29"/>
  <c r="EX18" i="29"/>
  <c r="EW18" i="29"/>
  <c r="EV18" i="29"/>
  <c r="EU18" i="29"/>
  <c r="ET18" i="29"/>
  <c r="ES18" i="29"/>
  <c r="ER18" i="29"/>
  <c r="EQ18" i="29"/>
  <c r="EP18" i="29"/>
  <c r="EO18" i="29"/>
  <c r="EN18" i="29"/>
  <c r="EM18" i="29"/>
  <c r="EL18" i="29"/>
  <c r="FO17" i="29"/>
  <c r="FN17" i="29"/>
  <c r="FM17" i="29"/>
  <c r="FL17" i="29"/>
  <c r="FK17" i="29"/>
  <c r="FJ17" i="29"/>
  <c r="FI17" i="29"/>
  <c r="FH17" i="29"/>
  <c r="FG17" i="29"/>
  <c r="FF17" i="29"/>
  <c r="FE17" i="29"/>
  <c r="FD17" i="29"/>
  <c r="FC17" i="29"/>
  <c r="FB17" i="29"/>
  <c r="FA17" i="29"/>
  <c r="EZ17" i="29"/>
  <c r="EY17" i="29"/>
  <c r="EX17" i="29"/>
  <c r="EW17" i="29"/>
  <c r="EV17" i="29"/>
  <c r="EU17" i="29"/>
  <c r="ET17" i="29"/>
  <c r="ES17" i="29"/>
  <c r="ER17" i="29"/>
  <c r="EQ17" i="29"/>
  <c r="EP17" i="29"/>
  <c r="EO17" i="29"/>
  <c r="EN17" i="29"/>
  <c r="EM17" i="29"/>
  <c r="EL17" i="29"/>
  <c r="FO16" i="29"/>
  <c r="FN16" i="29"/>
  <c r="FM16" i="29"/>
  <c r="FL16" i="29"/>
  <c r="FK16" i="29"/>
  <c r="FJ16" i="29"/>
  <c r="FI16" i="29"/>
  <c r="FH16" i="29"/>
  <c r="FG16" i="29"/>
  <c r="FF16" i="29"/>
  <c r="FE16" i="29"/>
  <c r="FD16" i="29"/>
  <c r="FC16" i="29"/>
  <c r="FB16" i="29"/>
  <c r="FA16" i="29"/>
  <c r="EZ16" i="29"/>
  <c r="EY16" i="29"/>
  <c r="EX16" i="29"/>
  <c r="EW16" i="29"/>
  <c r="EV16" i="29"/>
  <c r="EU16" i="29"/>
  <c r="ET16" i="29"/>
  <c r="ES16" i="29"/>
  <c r="ER16" i="29"/>
  <c r="EQ16" i="29"/>
  <c r="EP16" i="29"/>
  <c r="EO16" i="29"/>
  <c r="EN16" i="29"/>
  <c r="EM16" i="29"/>
  <c r="EL16" i="29"/>
  <c r="FO15" i="29"/>
  <c r="FN15" i="29"/>
  <c r="FM15" i="29"/>
  <c r="FL15" i="29"/>
  <c r="FK15" i="29"/>
  <c r="FJ15" i="29"/>
  <c r="FI15" i="29"/>
  <c r="FH15" i="29"/>
  <c r="FG15" i="29"/>
  <c r="FF15" i="29"/>
  <c r="FE15" i="29"/>
  <c r="FD15" i="29"/>
  <c r="FC15" i="29"/>
  <c r="FB15" i="29"/>
  <c r="FA15" i="29"/>
  <c r="EZ15" i="29"/>
  <c r="EY15" i="29"/>
  <c r="EX15" i="29"/>
  <c r="EW15" i="29"/>
  <c r="EV15" i="29"/>
  <c r="EU15" i="29"/>
  <c r="ET15" i="29"/>
  <c r="ES15" i="29"/>
  <c r="ER15" i="29"/>
  <c r="EQ15" i="29"/>
  <c r="EP15" i="29"/>
  <c r="EO15" i="29"/>
  <c r="EN15" i="29"/>
  <c r="EM15" i="29"/>
  <c r="EL15" i="29"/>
  <c r="FO14" i="29"/>
  <c r="FN14" i="29"/>
  <c r="FM14" i="29"/>
  <c r="FL14" i="29"/>
  <c r="FK14" i="29"/>
  <c r="FJ14" i="29"/>
  <c r="FI14" i="29"/>
  <c r="FH14" i="29"/>
  <c r="FG14" i="29"/>
  <c r="FF14" i="29"/>
  <c r="FE14" i="29"/>
  <c r="FD14" i="29"/>
  <c r="FC14" i="29"/>
  <c r="FB14" i="29"/>
  <c r="FA14" i="29"/>
  <c r="EZ14" i="29"/>
  <c r="EY14" i="29"/>
  <c r="EX14" i="29"/>
  <c r="EW14" i="29"/>
  <c r="EV14" i="29"/>
  <c r="EU14" i="29"/>
  <c r="ET14" i="29"/>
  <c r="ES14" i="29"/>
  <c r="ER14" i="29"/>
  <c r="EQ14" i="29"/>
  <c r="EP14" i="29"/>
  <c r="EO14" i="29"/>
  <c r="EN14" i="29"/>
  <c r="EM14" i="29"/>
  <c r="EL14" i="29"/>
  <c r="FO13" i="29"/>
  <c r="FN13" i="29"/>
  <c r="FM13" i="29"/>
  <c r="FL13" i="29"/>
  <c r="FK13" i="29"/>
  <c r="FJ13" i="29"/>
  <c r="FI13" i="29"/>
  <c r="FH13" i="29"/>
  <c r="FG13" i="29"/>
  <c r="FF13" i="29"/>
  <c r="FE13" i="29"/>
  <c r="FD13" i="29"/>
  <c r="FC13" i="29"/>
  <c r="FB13" i="29"/>
  <c r="FA13" i="29"/>
  <c r="EZ13" i="29"/>
  <c r="EY13" i="29"/>
  <c r="EX13" i="29"/>
  <c r="EW13" i="29"/>
  <c r="EV13" i="29"/>
  <c r="EU13" i="29"/>
  <c r="ET13" i="29"/>
  <c r="ES13" i="29"/>
  <c r="ER13" i="29"/>
  <c r="EQ13" i="29"/>
  <c r="EP13" i="29"/>
  <c r="EO13" i="29"/>
  <c r="EN13" i="29"/>
  <c r="EM13" i="29"/>
  <c r="EL13" i="29"/>
  <c r="FO12" i="29"/>
  <c r="FN12" i="29"/>
  <c r="FM12" i="29"/>
  <c r="FL12" i="29"/>
  <c r="FK12" i="29"/>
  <c r="FJ12" i="29"/>
  <c r="FI12" i="29"/>
  <c r="FH12" i="29"/>
  <c r="FG12" i="29"/>
  <c r="FF12" i="29"/>
  <c r="FE12" i="29"/>
  <c r="FD12" i="29"/>
  <c r="FC12" i="29"/>
  <c r="FB12" i="29"/>
  <c r="FA12" i="29"/>
  <c r="EZ12" i="29"/>
  <c r="EY12" i="29"/>
  <c r="EX12" i="29"/>
  <c r="EW12" i="29"/>
  <c r="EV12" i="29"/>
  <c r="EU12" i="29"/>
  <c r="ET12" i="29"/>
  <c r="ES12" i="29"/>
  <c r="ER12" i="29"/>
  <c r="EQ12" i="29"/>
  <c r="EP12" i="29"/>
  <c r="EO12" i="29"/>
  <c r="EN12" i="29"/>
  <c r="EM12" i="29"/>
  <c r="EL12" i="29"/>
  <c r="FO11" i="29"/>
  <c r="FN11" i="29"/>
  <c r="FM11" i="29"/>
  <c r="FL11" i="29"/>
  <c r="FK11" i="29"/>
  <c r="FJ11" i="29"/>
  <c r="FI11" i="29"/>
  <c r="FH11" i="29"/>
  <c r="FG11" i="29"/>
  <c r="FF11" i="29"/>
  <c r="FE11" i="29"/>
  <c r="FD11" i="29"/>
  <c r="FC11" i="29"/>
  <c r="FB11" i="29"/>
  <c r="FA11" i="29"/>
  <c r="EZ11" i="29"/>
  <c r="EY11" i="29"/>
  <c r="EX11" i="29"/>
  <c r="EW11" i="29"/>
  <c r="EV11" i="29"/>
  <c r="EU11" i="29"/>
  <c r="ET11" i="29"/>
  <c r="ES11" i="29"/>
  <c r="ER11" i="29"/>
  <c r="EQ11" i="29"/>
  <c r="EP11" i="29"/>
  <c r="EO11" i="29"/>
  <c r="EN11" i="29"/>
  <c r="EM11" i="29"/>
  <c r="EL11" i="29"/>
  <c r="FO10" i="29"/>
  <c r="FN10" i="29"/>
  <c r="FM10" i="29"/>
  <c r="FL10" i="29"/>
  <c r="FK10" i="29"/>
  <c r="FJ10" i="29"/>
  <c r="FI10" i="29"/>
  <c r="FH10" i="29"/>
  <c r="FG10" i="29"/>
  <c r="FF10" i="29"/>
  <c r="FE10" i="29"/>
  <c r="FD10" i="29"/>
  <c r="FC10" i="29"/>
  <c r="FB10" i="29"/>
  <c r="FA10" i="29"/>
  <c r="EZ10" i="29"/>
  <c r="EY10" i="29"/>
  <c r="EX10" i="29"/>
  <c r="EW10" i="29"/>
  <c r="EV10" i="29"/>
  <c r="EU10" i="29"/>
  <c r="ET10" i="29"/>
  <c r="ES10" i="29"/>
  <c r="ER10" i="29"/>
  <c r="EQ10" i="29"/>
  <c r="EP10" i="29"/>
  <c r="EO10" i="29"/>
  <c r="EN10" i="29"/>
  <c r="EM10" i="29"/>
  <c r="EL10" i="29"/>
  <c r="FO9" i="29"/>
  <c r="FN9" i="29"/>
  <c r="FM9" i="29"/>
  <c r="FL9" i="29"/>
  <c r="FK9" i="29"/>
  <c r="FJ9" i="29"/>
  <c r="FI9" i="29"/>
  <c r="FH9" i="29"/>
  <c r="FG9" i="29"/>
  <c r="FF9" i="29"/>
  <c r="FE9" i="29"/>
  <c r="FD9" i="29"/>
  <c r="FC9" i="29"/>
  <c r="FB9" i="29"/>
  <c r="FA9" i="29"/>
  <c r="EZ9" i="29"/>
  <c r="EY9" i="29"/>
  <c r="EX9" i="29"/>
  <c r="EW9" i="29"/>
  <c r="EV9" i="29"/>
  <c r="EU9" i="29"/>
  <c r="ET9" i="29"/>
  <c r="ES9" i="29"/>
  <c r="ER9" i="29"/>
  <c r="EQ9" i="29"/>
  <c r="EP9" i="29"/>
  <c r="EO9" i="29"/>
  <c r="EN9" i="29"/>
  <c r="EM9" i="29"/>
  <c r="EL9" i="29"/>
  <c r="FO8" i="29"/>
  <c r="FN8" i="29"/>
  <c r="FM8" i="29"/>
  <c r="FL8" i="29"/>
  <c r="FK8" i="29"/>
  <c r="FJ8" i="29"/>
  <c r="FI8" i="29"/>
  <c r="FH8" i="29"/>
  <c r="FG8" i="29"/>
  <c r="FF8" i="29"/>
  <c r="FE8" i="29"/>
  <c r="FD8" i="29"/>
  <c r="FC8" i="29"/>
  <c r="FB8" i="29"/>
  <c r="FA8" i="29"/>
  <c r="EZ8" i="29"/>
  <c r="EY8" i="29"/>
  <c r="EX8" i="29"/>
  <c r="EW8" i="29"/>
  <c r="EV8" i="29"/>
  <c r="EU8" i="29"/>
  <c r="ET8" i="29"/>
  <c r="ES8" i="29"/>
  <c r="ER8" i="29"/>
  <c r="EQ8" i="29"/>
  <c r="EP8" i="29"/>
  <c r="EO8" i="29"/>
  <c r="EN8" i="29"/>
  <c r="EM8" i="29"/>
  <c r="EL8" i="29"/>
  <c r="FO7" i="29"/>
  <c r="FN7" i="29"/>
  <c r="FM7" i="29"/>
  <c r="FL7" i="29"/>
  <c r="FK7" i="29"/>
  <c r="FJ7" i="29"/>
  <c r="FI7" i="29"/>
  <c r="FH7" i="29"/>
  <c r="FG7" i="29"/>
  <c r="FF7" i="29"/>
  <c r="FE7" i="29"/>
  <c r="FD7" i="29"/>
  <c r="FC7" i="29"/>
  <c r="FB7" i="29"/>
  <c r="FA7" i="29"/>
  <c r="EZ7" i="29"/>
  <c r="EY7" i="29"/>
  <c r="EX7" i="29"/>
  <c r="EW7" i="29"/>
  <c r="EV7" i="29"/>
  <c r="EU7" i="29"/>
  <c r="ET7" i="29"/>
  <c r="ES7" i="29"/>
  <c r="ER7" i="29"/>
  <c r="EQ7" i="29"/>
  <c r="EP7" i="29"/>
  <c r="EO7" i="29"/>
  <c r="EN7" i="29"/>
  <c r="EM7" i="29"/>
  <c r="EL7" i="29"/>
  <c r="FO6" i="29"/>
  <c r="FN6" i="29"/>
  <c r="FM6" i="29"/>
  <c r="FL6" i="29"/>
  <c r="FK6" i="29"/>
  <c r="FJ6" i="29"/>
  <c r="FI6" i="29"/>
  <c r="FH6" i="29"/>
  <c r="FG6" i="29"/>
  <c r="FF6" i="29"/>
  <c r="FE6" i="29"/>
  <c r="FD6" i="29"/>
  <c r="FC6" i="29"/>
  <c r="FB6" i="29"/>
  <c r="FA6" i="29"/>
  <c r="EZ6" i="29"/>
  <c r="EY6" i="29"/>
  <c r="EX6" i="29"/>
  <c r="EW6" i="29"/>
  <c r="EV6" i="29"/>
  <c r="EU6" i="29"/>
  <c r="ET6" i="29"/>
  <c r="ES6" i="29"/>
  <c r="ER6" i="29"/>
  <c r="EQ6" i="29"/>
  <c r="EP6" i="29"/>
  <c r="EO6" i="29"/>
  <c r="EN6" i="29"/>
  <c r="EM6" i="29"/>
  <c r="EL6" i="29"/>
  <c r="FO5" i="29"/>
  <c r="FN5" i="29"/>
  <c r="FM5" i="29"/>
  <c r="FL5" i="29"/>
  <c r="FK5" i="29"/>
  <c r="FJ5" i="29"/>
  <c r="FI5" i="29"/>
  <c r="FH5" i="29"/>
  <c r="FG5" i="29"/>
  <c r="FF5" i="29"/>
  <c r="FE5" i="29"/>
  <c r="FD5" i="29"/>
  <c r="FC5" i="29"/>
  <c r="FB5" i="29"/>
  <c r="FA5" i="29"/>
  <c r="EZ5" i="29"/>
  <c r="EY5" i="29"/>
  <c r="EX5" i="29"/>
  <c r="EW5" i="29"/>
  <c r="EV5" i="29"/>
  <c r="EU5" i="29"/>
  <c r="ET5" i="29"/>
  <c r="ES5" i="29"/>
  <c r="ER5" i="29"/>
  <c r="EQ5" i="29"/>
  <c r="EP5" i="29"/>
  <c r="EO5" i="29"/>
  <c r="EN5" i="29"/>
  <c r="EM5" i="29"/>
  <c r="EL5" i="29"/>
  <c r="FO4" i="29"/>
  <c r="FN4" i="29"/>
  <c r="FM4" i="29"/>
  <c r="FL4" i="29"/>
  <c r="FK4" i="29"/>
  <c r="FJ4" i="29"/>
  <c r="FI4" i="29"/>
  <c r="FH4" i="29"/>
  <c r="FG4" i="29"/>
  <c r="FF4" i="29"/>
  <c r="FE4" i="29"/>
  <c r="FD4" i="29"/>
  <c r="FC4" i="29"/>
  <c r="FB4" i="29"/>
  <c r="FA4" i="29"/>
  <c r="EZ4" i="29"/>
  <c r="EY4" i="29"/>
  <c r="EX4" i="29"/>
  <c r="EW4" i="29"/>
  <c r="EV4" i="29"/>
  <c r="EU4" i="29"/>
  <c r="ET4" i="29"/>
  <c r="ES4" i="29"/>
  <c r="ER4" i="29"/>
  <c r="EQ4" i="29"/>
  <c r="EP4" i="29"/>
  <c r="EO4" i="29"/>
  <c r="EN4" i="29"/>
  <c r="EM4" i="29"/>
  <c r="EL4" i="29"/>
  <c r="FO3" i="29"/>
  <c r="DG3" i="29" s="1"/>
  <c r="FN3" i="29"/>
  <c r="DF3" i="29" s="1"/>
  <c r="FM3" i="29"/>
  <c r="DE3" i="29" s="1"/>
  <c r="FL3" i="29"/>
  <c r="DD3" i="29" s="1"/>
  <c r="FK3" i="29"/>
  <c r="DC3" i="29" s="1"/>
  <c r="FJ3" i="29"/>
  <c r="DB3" i="29" s="1"/>
  <c r="FI3" i="29"/>
  <c r="DA3" i="29" s="1"/>
  <c r="FH3" i="29"/>
  <c r="CZ3" i="29" s="1"/>
  <c r="FG3" i="29"/>
  <c r="CY3" i="29" s="1"/>
  <c r="FF3" i="29"/>
  <c r="CX3" i="29" s="1"/>
  <c r="FE3" i="29"/>
  <c r="BS3" i="29" s="1"/>
  <c r="FD3" i="29"/>
  <c r="BR3" i="29" s="1"/>
  <c r="FC3" i="29"/>
  <c r="BQ3" i="29" s="1"/>
  <c r="FB3" i="29"/>
  <c r="BP3" i="29" s="1"/>
  <c r="FA3" i="29"/>
  <c r="BO3" i="29" s="1"/>
  <c r="EZ3" i="29"/>
  <c r="BN3" i="29" s="1"/>
  <c r="EY3" i="29"/>
  <c r="BM3" i="29" s="1"/>
  <c r="EX3" i="29"/>
  <c r="BL3" i="29" s="1"/>
  <c r="EW3" i="29"/>
  <c r="BK3" i="29" s="1"/>
  <c r="EV3" i="29"/>
  <c r="BJ3" i="29" s="1"/>
  <c r="EU3" i="29"/>
  <c r="AE3" i="29" s="1"/>
  <c r="ET3" i="29"/>
  <c r="AD3" i="29" s="1"/>
  <c r="ES3" i="29"/>
  <c r="AC3" i="29" s="1"/>
  <c r="ER3" i="29"/>
  <c r="AB3" i="29" s="1"/>
  <c r="EQ3" i="29"/>
  <c r="AA3" i="29" s="1"/>
  <c r="EP3" i="29"/>
  <c r="Z3" i="29" s="1"/>
  <c r="EO3" i="29"/>
  <c r="Y3" i="29" s="1"/>
  <c r="EN3" i="29"/>
  <c r="X3" i="29" s="1"/>
  <c r="EM3" i="29"/>
  <c r="W3" i="29" s="1"/>
  <c r="EL3" i="29"/>
  <c r="V3" i="29" s="1"/>
  <c r="V4" i="29" l="1"/>
  <c r="Z4" i="29"/>
  <c r="AD4" i="29"/>
  <c r="BL4" i="29"/>
  <c r="BP4" i="29"/>
  <c r="CX4" i="29"/>
  <c r="DB4" i="29"/>
  <c r="DF4" i="29"/>
  <c r="W4" i="29"/>
  <c r="AA4" i="29"/>
  <c r="AE4" i="29"/>
  <c r="BM4" i="29"/>
  <c r="BQ4" i="29"/>
  <c r="CY4" i="29"/>
  <c r="DC4" i="29"/>
  <c r="DG4" i="29"/>
  <c r="X4" i="29"/>
  <c r="CZ4" i="29"/>
  <c r="AB4" i="29"/>
  <c r="BJ4" i="29"/>
  <c r="BN4" i="29"/>
  <c r="BR4" i="29"/>
  <c r="DD4" i="29"/>
  <c r="Y4" i="29"/>
  <c r="AC4" i="29"/>
  <c r="BK4" i="29"/>
  <c r="BO4" i="29"/>
  <c r="BS4" i="29"/>
  <c r="DA4" i="29"/>
  <c r="DE4" i="29"/>
  <c r="BQ5" i="29" l="1"/>
  <c r="DB5" i="29"/>
  <c r="V5" i="29"/>
  <c r="AE5" i="29"/>
  <c r="BP5" i="29"/>
  <c r="W5" i="29"/>
  <c r="X5" i="29"/>
  <c r="Z5" i="29"/>
  <c r="CY5" i="29"/>
  <c r="DD5" i="29"/>
  <c r="BR5" i="29"/>
  <c r="CX5" i="29"/>
  <c r="DE5" i="29"/>
  <c r="CZ5" i="29"/>
  <c r="AA5" i="29"/>
  <c r="BK5" i="29"/>
  <c r="DC5" i="29"/>
  <c r="AD5" i="29"/>
  <c r="BO5" i="29"/>
  <c r="AB5" i="29"/>
  <c r="BJ5" i="29"/>
  <c r="DG5" i="29"/>
  <c r="BM5" i="29"/>
  <c r="DF5" i="29"/>
  <c r="BL5" i="29"/>
  <c r="DA5" i="29"/>
  <c r="AC5" i="29"/>
  <c r="BN5" i="29"/>
  <c r="BS5" i="29"/>
  <c r="Y5" i="29"/>
  <c r="DB6" i="29" l="1"/>
  <c r="BQ6" i="29"/>
  <c r="V6" i="29"/>
  <c r="AE6" i="29"/>
  <c r="Z6" i="29"/>
  <c r="CX6" i="29"/>
  <c r="W6" i="29"/>
  <c r="X6" i="29"/>
  <c r="BP6" i="29"/>
  <c r="CY6" i="29"/>
  <c r="BK6" i="29"/>
  <c r="BO6" i="29"/>
  <c r="BR6" i="29"/>
  <c r="BJ6" i="29"/>
  <c r="BL6" i="29"/>
  <c r="BS6" i="29"/>
  <c r="DE6" i="29"/>
  <c r="DC6" i="29"/>
  <c r="DD6" i="29"/>
  <c r="DA6" i="29"/>
  <c r="Y6" i="29"/>
  <c r="BM6" i="29"/>
  <c r="AD6" i="29"/>
  <c r="AA6" i="29"/>
  <c r="CZ6" i="29"/>
  <c r="AB6" i="29"/>
  <c r="DG6" i="29"/>
  <c r="BN6" i="29"/>
  <c r="DF6" i="29"/>
  <c r="AC6" i="29"/>
  <c r="DB7" i="29" l="1"/>
  <c r="BQ7" i="29"/>
  <c r="AE7" i="29"/>
  <c r="V7" i="29"/>
  <c r="CX7" i="29"/>
  <c r="Z7" i="29"/>
  <c r="W7" i="29"/>
  <c r="DA7" i="29"/>
  <c r="BS7" i="29"/>
  <c r="BO7" i="29"/>
  <c r="X7" i="29"/>
  <c r="BP7" i="29"/>
  <c r="CY7" i="29"/>
  <c r="BJ7" i="29"/>
  <c r="BK7" i="29"/>
  <c r="Y7" i="29"/>
  <c r="BR7" i="29"/>
  <c r="BL7" i="29"/>
  <c r="AD7" i="29"/>
  <c r="DD7" i="29"/>
  <c r="DE7" i="29"/>
  <c r="DC7" i="29"/>
  <c r="BM7" i="29"/>
  <c r="AA7" i="29"/>
  <c r="CZ7" i="29"/>
  <c r="DG7" i="29"/>
  <c r="AC7" i="29"/>
  <c r="AB7" i="29"/>
  <c r="DF7" i="29"/>
  <c r="BN7" i="29"/>
  <c r="BQ8" i="29" l="1"/>
  <c r="DB8" i="29"/>
  <c r="DA8" i="29"/>
  <c r="W8" i="29"/>
  <c r="V8" i="29"/>
  <c r="AE8" i="29"/>
  <c r="CX8" i="29"/>
  <c r="Z8" i="29"/>
  <c r="BS8" i="29"/>
  <c r="X8" i="29"/>
  <c r="BJ8" i="29"/>
  <c r="BO8" i="29"/>
  <c r="BP8" i="29"/>
  <c r="CY8" i="29"/>
  <c r="DC8" i="29"/>
  <c r="BK8" i="29"/>
  <c r="DG8" i="29"/>
  <c r="BL8" i="29"/>
  <c r="Y8" i="29"/>
  <c r="DD8" i="29"/>
  <c r="AD8" i="29"/>
  <c r="BR8" i="29"/>
  <c r="CZ8" i="29"/>
  <c r="DF8" i="29"/>
  <c r="DE8" i="29"/>
  <c r="BM8" i="29"/>
  <c r="AA8" i="29"/>
  <c r="AB8" i="29"/>
  <c r="AC8" i="29"/>
  <c r="BN8" i="29"/>
  <c r="Z9" i="29" l="1"/>
  <c r="BQ9" i="29"/>
  <c r="DB9" i="29"/>
  <c r="DA9" i="29"/>
  <c r="W9" i="29"/>
  <c r="AE9" i="29"/>
  <c r="V9" i="29"/>
  <c r="CX9" i="29"/>
  <c r="BJ9" i="29"/>
  <c r="BS9" i="29"/>
  <c r="BO9" i="29"/>
  <c r="X9" i="29"/>
  <c r="DG9" i="29"/>
  <c r="BP9" i="29"/>
  <c r="AD9" i="29"/>
  <c r="AB9" i="29"/>
  <c r="CY9" i="29"/>
  <c r="DF9" i="29"/>
  <c r="BK9" i="29"/>
  <c r="DC9" i="29"/>
  <c r="CZ9" i="29"/>
  <c r="Y9" i="29"/>
  <c r="BL9" i="29"/>
  <c r="BR9" i="29"/>
  <c r="DD9" i="29"/>
  <c r="AC9" i="29"/>
  <c r="AA9" i="29"/>
  <c r="DE9" i="29"/>
  <c r="BM9" i="29"/>
  <c r="BN9" i="29"/>
  <c r="DB10" i="29" l="1"/>
  <c r="Z10" i="29"/>
  <c r="BQ10" i="29"/>
  <c r="W10" i="29"/>
  <c r="DA10" i="29"/>
  <c r="V10" i="29"/>
  <c r="AE10" i="29"/>
  <c r="CX10" i="29"/>
  <c r="BJ10" i="29"/>
  <c r="BS10" i="29"/>
  <c r="AD10" i="29"/>
  <c r="BO10" i="29"/>
  <c r="CY10" i="29"/>
  <c r="X10" i="29"/>
  <c r="BP10" i="29"/>
  <c r="DG10" i="29"/>
  <c r="DD10" i="29"/>
  <c r="AB10" i="29"/>
  <c r="DF10" i="29"/>
  <c r="Y10" i="29"/>
  <c r="DC10" i="29"/>
  <c r="BL10" i="29"/>
  <c r="BK10" i="29"/>
  <c r="CZ10" i="29"/>
  <c r="BR10" i="29"/>
  <c r="BN10" i="29"/>
  <c r="AC10" i="29"/>
  <c r="DE10" i="29"/>
  <c r="BM10" i="29"/>
  <c r="AA10" i="29"/>
  <c r="BQ11" i="29"/>
  <c r="DB11" i="29" l="1"/>
  <c r="DA11" i="29"/>
  <c r="Z11" i="29"/>
  <c r="W11" i="29"/>
  <c r="AE11" i="29"/>
  <c r="V11" i="29"/>
  <c r="BJ11" i="29"/>
  <c r="CX11" i="29"/>
  <c r="BS11" i="29"/>
  <c r="AD11" i="29"/>
  <c r="BO11" i="29"/>
  <c r="CZ11" i="29"/>
  <c r="CY11" i="29"/>
  <c r="BR11" i="29"/>
  <c r="X11" i="29"/>
  <c r="BP11" i="29"/>
  <c r="BL11" i="29"/>
  <c r="DG11" i="29"/>
  <c r="DC11" i="29"/>
  <c r="DD11" i="29"/>
  <c r="DF11" i="29"/>
  <c r="AB11" i="29"/>
  <c r="BM11" i="29"/>
  <c r="BK11" i="29"/>
  <c r="DE11" i="29"/>
  <c r="Y11" i="29"/>
  <c r="AC11" i="29"/>
  <c r="BN11" i="29"/>
  <c r="AA11" i="29"/>
  <c r="BQ12" i="29"/>
  <c r="BJ12" i="29" l="1"/>
  <c r="CX12" i="29"/>
  <c r="DA12" i="29"/>
  <c r="DB12" i="29"/>
  <c r="AE12" i="29"/>
  <c r="W12" i="29"/>
  <c r="Z12" i="29"/>
  <c r="V12" i="29"/>
  <c r="CY12" i="29"/>
  <c r="BS12" i="29"/>
  <c r="AD12" i="29"/>
  <c r="BO12" i="29"/>
  <c r="CZ12" i="29"/>
  <c r="X12" i="29"/>
  <c r="DD12" i="29"/>
  <c r="BR12" i="29"/>
  <c r="BK12" i="29"/>
  <c r="AA12" i="29"/>
  <c r="BP12" i="29"/>
  <c r="BM12" i="29"/>
  <c r="AC12" i="29"/>
  <c r="DC12" i="29"/>
  <c r="BL12" i="29"/>
  <c r="DG12" i="29"/>
  <c r="DF12" i="29"/>
  <c r="AB12" i="29"/>
  <c r="DE12" i="29"/>
  <c r="Y12" i="29"/>
  <c r="BN12" i="29"/>
  <c r="BQ13" i="29"/>
  <c r="CX13" i="29" l="1"/>
  <c r="BJ13" i="29"/>
  <c r="DA13" i="29"/>
  <c r="DB13" i="29"/>
  <c r="Z13" i="29"/>
  <c r="AE13" i="29"/>
  <c r="W13" i="29"/>
  <c r="V13" i="29"/>
  <c r="BO13" i="29"/>
  <c r="CY13" i="29"/>
  <c r="X13" i="29"/>
  <c r="BS13" i="29"/>
  <c r="BP13" i="29"/>
  <c r="AD13" i="29"/>
  <c r="BK13" i="29"/>
  <c r="AC13" i="29"/>
  <c r="DD13" i="29"/>
  <c r="CZ13" i="29"/>
  <c r="BR13" i="29"/>
  <c r="DC13" i="29"/>
  <c r="AA13" i="29"/>
  <c r="DG13" i="29"/>
  <c r="BM13" i="29"/>
  <c r="BL13" i="29"/>
  <c r="DE13" i="29"/>
  <c r="DF13" i="29"/>
  <c r="AB13" i="29"/>
  <c r="Y13" i="29"/>
  <c r="BN13" i="29"/>
  <c r="BQ14" i="29"/>
  <c r="BJ14" i="29" l="1"/>
  <c r="CX14" i="29"/>
  <c r="DA14" i="29"/>
  <c r="DB14" i="29"/>
  <c r="W14" i="29"/>
  <c r="Z14" i="29"/>
  <c r="AE14" i="29"/>
  <c r="BO14" i="29"/>
  <c r="BR14" i="29"/>
  <c r="CY14" i="29"/>
  <c r="V14" i="29"/>
  <c r="X14" i="29"/>
  <c r="BS14" i="29"/>
  <c r="DD14" i="29"/>
  <c r="AC14" i="29"/>
  <c r="BP14" i="29"/>
  <c r="AD14" i="29"/>
  <c r="BK14" i="29"/>
  <c r="CZ14" i="29"/>
  <c r="DC14" i="29"/>
  <c r="BM14" i="29"/>
  <c r="AB14" i="29"/>
  <c r="AA14" i="29"/>
  <c r="DG14" i="29"/>
  <c r="BL14" i="29"/>
  <c r="DE14" i="29"/>
  <c r="DF14" i="29"/>
  <c r="BN14" i="29"/>
  <c r="Y14" i="29"/>
  <c r="BQ15" i="29"/>
  <c r="BJ15" i="29" l="1"/>
  <c r="AE15" i="29"/>
  <c r="Z15" i="29"/>
  <c r="CX15" i="29"/>
  <c r="W15" i="29"/>
  <c r="DB15" i="29"/>
  <c r="DA15" i="29"/>
  <c r="BO15" i="29"/>
  <c r="CY15" i="29"/>
  <c r="BR15" i="29"/>
  <c r="V15" i="29"/>
  <c r="X15" i="29"/>
  <c r="DD15" i="29"/>
  <c r="BS15" i="29"/>
  <c r="AC15" i="29"/>
  <c r="BK15" i="29"/>
  <c r="AD15" i="29"/>
  <c r="CZ15" i="29"/>
  <c r="BP15" i="29"/>
  <c r="DG15" i="29"/>
  <c r="BN15" i="29"/>
  <c r="DC15" i="29"/>
  <c r="BM15" i="29"/>
  <c r="AA15" i="29"/>
  <c r="AB15" i="29"/>
  <c r="BL15" i="29"/>
  <c r="DE15" i="29"/>
  <c r="DF15" i="29"/>
  <c r="Y15" i="29"/>
  <c r="BQ16" i="29"/>
  <c r="BJ16" i="29" l="1"/>
  <c r="Z16" i="29"/>
  <c r="AE16" i="29"/>
  <c r="W16" i="29"/>
  <c r="CX16" i="29"/>
  <c r="DA16" i="29"/>
  <c r="DB16" i="29"/>
  <c r="CY16" i="29"/>
  <c r="BO16" i="29"/>
  <c r="BR16" i="29"/>
  <c r="X16" i="29"/>
  <c r="V16" i="29"/>
  <c r="AD16" i="29"/>
  <c r="DD16" i="29"/>
  <c r="BS16" i="29"/>
  <c r="BK16" i="29"/>
  <c r="AC16" i="29"/>
  <c r="BP16" i="29"/>
  <c r="CZ16" i="29"/>
  <c r="DC16" i="29"/>
  <c r="BN16" i="29"/>
  <c r="DG16" i="29"/>
  <c r="AB16" i="29"/>
  <c r="AA16" i="29"/>
  <c r="BM16" i="29"/>
  <c r="Y16" i="29"/>
  <c r="DF16" i="29"/>
  <c r="BL16" i="29"/>
  <c r="DE16" i="29"/>
  <c r="BQ17" i="29"/>
  <c r="Z17" i="29" l="1"/>
  <c r="BJ17" i="29"/>
  <c r="AE17" i="29"/>
  <c r="DA17" i="29"/>
  <c r="W17" i="29"/>
  <c r="CX17" i="29"/>
  <c r="DB17" i="29"/>
  <c r="CY17" i="29"/>
  <c r="BO17" i="29"/>
  <c r="BR17" i="29"/>
  <c r="AD17" i="29"/>
  <c r="X17" i="29"/>
  <c r="V17" i="29"/>
  <c r="DD17" i="29"/>
  <c r="BS17" i="29"/>
  <c r="BK17" i="29"/>
  <c r="AC17" i="29"/>
  <c r="BN17" i="29"/>
  <c r="BP17" i="29"/>
  <c r="CZ17" i="29"/>
  <c r="DG17" i="29"/>
  <c r="DC17" i="29"/>
  <c r="BL17" i="29"/>
  <c r="BM17" i="29"/>
  <c r="AB17" i="29"/>
  <c r="AA17" i="29"/>
  <c r="DF17" i="29"/>
  <c r="Y17" i="29"/>
  <c r="DE17" i="29"/>
  <c r="BQ18" i="29"/>
  <c r="BJ18" i="29" l="1"/>
  <c r="Z18" i="29"/>
  <c r="AE18" i="29"/>
  <c r="DA18" i="29"/>
  <c r="DB18" i="29"/>
  <c r="W18" i="29"/>
  <c r="CX18" i="29"/>
  <c r="BO18" i="29"/>
  <c r="CY18" i="29"/>
  <c r="DD18" i="29"/>
  <c r="X18" i="29"/>
  <c r="AD18" i="29"/>
  <c r="V18" i="29"/>
  <c r="BR18" i="29"/>
  <c r="BS18" i="29"/>
  <c r="AC18" i="29"/>
  <c r="BN18" i="29"/>
  <c r="BK18" i="29"/>
  <c r="DC18" i="29"/>
  <c r="BP18" i="29"/>
  <c r="CZ18" i="29"/>
  <c r="AB18" i="29"/>
  <c r="DG18" i="29"/>
  <c r="BL18" i="29"/>
  <c r="BM18" i="29"/>
  <c r="DF18" i="29"/>
  <c r="AA18" i="29"/>
  <c r="Y18" i="29"/>
  <c r="DE18" i="29"/>
  <c r="W19" i="29"/>
  <c r="BQ19" i="29"/>
  <c r="BJ19" i="29" l="1"/>
  <c r="Z19" i="29"/>
  <c r="AE19" i="29"/>
  <c r="DA19" i="29"/>
  <c r="CX19" i="29"/>
  <c r="DB19" i="29"/>
  <c r="BO19" i="29"/>
  <c r="AC19" i="29"/>
  <c r="BR19" i="29"/>
  <c r="CY19" i="29"/>
  <c r="BN19" i="29"/>
  <c r="DD19" i="29"/>
  <c r="X19" i="29"/>
  <c r="V19" i="29"/>
  <c r="AD19" i="29"/>
  <c r="BS19" i="29"/>
  <c r="BK19" i="29"/>
  <c r="CZ19" i="29"/>
  <c r="BP19" i="29"/>
  <c r="DC19" i="29"/>
  <c r="DG19" i="29"/>
  <c r="AB19" i="29"/>
  <c r="DF19" i="29"/>
  <c r="AA19" i="29"/>
  <c r="BM19" i="29"/>
  <c r="BL19" i="29"/>
  <c r="DE19" i="29"/>
  <c r="Y19" i="29"/>
  <c r="BQ20" i="29"/>
  <c r="W20" i="29"/>
  <c r="BJ20" i="29" l="1"/>
  <c r="DG20" i="29"/>
  <c r="AE20" i="29"/>
  <c r="Z20" i="29"/>
  <c r="DA20" i="29"/>
  <c r="DB20" i="29"/>
  <c r="CX20" i="29"/>
  <c r="BS20" i="29"/>
  <c r="BO20" i="29"/>
  <c r="BR20" i="29"/>
  <c r="AC20" i="29"/>
  <c r="CY20" i="29"/>
  <c r="DD20" i="29"/>
  <c r="X20" i="29"/>
  <c r="AD20" i="29"/>
  <c r="BN20" i="29"/>
  <c r="BK20" i="29"/>
  <c r="V20" i="29"/>
  <c r="DC20" i="29"/>
  <c r="DF20" i="29"/>
  <c r="CZ20" i="29"/>
  <c r="BP20" i="29"/>
  <c r="BM20" i="29"/>
  <c r="AB20" i="29"/>
  <c r="BL20" i="29"/>
  <c r="AA20" i="29"/>
  <c r="Y20" i="29"/>
  <c r="DE20" i="29"/>
  <c r="W21" i="29"/>
  <c r="BQ21" i="29"/>
  <c r="AE21" i="29" l="1"/>
  <c r="BJ21" i="29"/>
  <c r="DG21" i="29"/>
  <c r="Z21" i="29"/>
  <c r="DA21" i="29"/>
  <c r="DB21" i="29"/>
  <c r="BS21" i="29"/>
  <c r="CX21" i="29"/>
  <c r="AC21" i="29"/>
  <c r="BR21" i="29"/>
  <c r="BO21" i="29"/>
  <c r="CY21" i="29"/>
  <c r="DD21" i="29"/>
  <c r="AD21" i="29"/>
  <c r="BK21" i="29"/>
  <c r="X21" i="29"/>
  <c r="V21" i="29"/>
  <c r="BN21" i="29"/>
  <c r="DF21" i="29"/>
  <c r="BP21" i="29"/>
  <c r="BM21" i="29"/>
  <c r="DC21" i="29"/>
  <c r="CZ21" i="29"/>
  <c r="AB21" i="29"/>
  <c r="AA21" i="29"/>
  <c r="BL21" i="29"/>
  <c r="DE21" i="29"/>
  <c r="Y21" i="29"/>
  <c r="W22" i="29"/>
  <c r="BQ22" i="29"/>
  <c r="AE22" i="29" l="1"/>
  <c r="BJ22" i="29"/>
  <c r="DG22" i="29"/>
  <c r="Z22" i="29"/>
  <c r="DA22" i="29"/>
  <c r="CX22" i="29"/>
  <c r="DB22" i="29"/>
  <c r="BS22" i="29"/>
  <c r="AC22" i="29"/>
  <c r="BR22" i="29"/>
  <c r="BO22" i="29"/>
  <c r="CY22" i="29"/>
  <c r="AD22" i="29"/>
  <c r="DD22" i="29"/>
  <c r="V22" i="29"/>
  <c r="X22" i="29"/>
  <c r="BK22" i="29"/>
  <c r="BN22" i="29"/>
  <c r="BM22" i="29"/>
  <c r="DF22" i="29"/>
  <c r="DC22" i="29"/>
  <c r="BP22" i="29"/>
  <c r="AB22" i="29"/>
  <c r="CZ22" i="29"/>
  <c r="AA22" i="29"/>
  <c r="BL22" i="29"/>
  <c r="DE22" i="29"/>
  <c r="Y22" i="29"/>
  <c r="AC23" i="29"/>
  <c r="W23" i="29"/>
  <c r="BQ23" i="29"/>
  <c r="AE23" i="29" l="1"/>
  <c r="BJ23" i="29"/>
  <c r="DA23" i="29"/>
  <c r="CX23" i="29"/>
  <c r="Z23" i="29"/>
  <c r="DG23" i="29"/>
  <c r="DB23" i="29"/>
  <c r="BS23" i="29"/>
  <c r="BO23" i="29"/>
  <c r="BR23" i="29"/>
  <c r="CY23" i="29"/>
  <c r="BN23" i="29"/>
  <c r="X23" i="29"/>
  <c r="AD23" i="29"/>
  <c r="V23" i="29"/>
  <c r="DD23" i="29"/>
  <c r="BK23" i="29"/>
  <c r="BM23" i="29"/>
  <c r="BP23" i="29"/>
  <c r="DC23" i="29"/>
  <c r="DF23" i="29"/>
  <c r="AB23" i="29"/>
  <c r="CZ23" i="29"/>
  <c r="AA23" i="29"/>
  <c r="BL23" i="29"/>
  <c r="DE23" i="29"/>
  <c r="Y23" i="29"/>
  <c r="BQ24" i="29"/>
  <c r="W24" i="29"/>
  <c r="AC24" i="29"/>
  <c r="AE24" i="29" l="1"/>
  <c r="BJ24" i="29"/>
  <c r="DA24" i="29"/>
  <c r="CX24" i="29"/>
  <c r="Z24" i="29"/>
  <c r="DG24" i="29"/>
  <c r="BS24" i="29"/>
  <c r="DB24" i="29"/>
  <c r="BR24" i="29"/>
  <c r="BO24" i="29"/>
  <c r="CY24" i="29"/>
  <c r="X24" i="29"/>
  <c r="BN24" i="29"/>
  <c r="V24" i="29"/>
  <c r="AD24" i="29"/>
  <c r="BK24" i="29"/>
  <c r="DD24" i="29"/>
  <c r="DC24" i="29"/>
  <c r="DF24" i="29"/>
  <c r="AA24" i="29"/>
  <c r="BM24" i="29"/>
  <c r="AB24" i="29"/>
  <c r="BP24" i="29"/>
  <c r="CZ24" i="29"/>
  <c r="BL24" i="29"/>
  <c r="DE24" i="29"/>
  <c r="Y24" i="29"/>
  <c r="AC25" i="29"/>
  <c r="Z25" i="29"/>
  <c r="W25" i="29"/>
  <c r="BQ25" i="29"/>
  <c r="AE25" i="29" l="1"/>
  <c r="BJ25" i="29"/>
  <c r="DA25" i="29"/>
  <c r="CX25" i="29"/>
  <c r="DG25" i="29"/>
  <c r="BS25" i="29"/>
  <c r="DB25" i="29"/>
  <c r="BR25" i="29"/>
  <c r="BO25" i="29"/>
  <c r="V25" i="29"/>
  <c r="CY25" i="29"/>
  <c r="BK25" i="29"/>
  <c r="X25" i="29"/>
  <c r="BN25" i="29"/>
  <c r="AD25" i="29"/>
  <c r="AA25" i="29"/>
  <c r="DD25" i="29"/>
  <c r="DF25" i="29"/>
  <c r="DC25" i="29"/>
  <c r="BM25" i="29"/>
  <c r="AB25" i="29"/>
  <c r="BP25" i="29"/>
  <c r="CZ25" i="29"/>
  <c r="DE25" i="29"/>
  <c r="BL25" i="29"/>
  <c r="Y25" i="29"/>
  <c r="BQ26" i="29"/>
  <c r="AC26" i="29"/>
  <c r="W26" i="29"/>
  <c r="AE26" i="29"/>
  <c r="Z26" i="29"/>
  <c r="BJ26" i="29" l="1"/>
  <c r="DA26" i="29"/>
  <c r="DG26" i="29"/>
  <c r="CX26" i="29"/>
  <c r="BS26" i="29"/>
  <c r="DB26" i="29"/>
  <c r="BO26" i="29"/>
  <c r="BR26" i="29"/>
  <c r="V26" i="29"/>
  <c r="CY26" i="29"/>
  <c r="BK26" i="29"/>
  <c r="X26" i="29"/>
  <c r="BN26" i="29"/>
  <c r="DD26" i="29"/>
  <c r="AD26" i="29"/>
  <c r="AA26" i="29"/>
  <c r="DF26" i="29"/>
  <c r="AB26" i="29"/>
  <c r="BP26" i="29"/>
  <c r="BM26" i="29"/>
  <c r="DC26" i="29"/>
  <c r="CZ26" i="29"/>
  <c r="DE26" i="29"/>
  <c r="BL26" i="29"/>
  <c r="Y26" i="29"/>
  <c r="AE27" i="29"/>
  <c r="AC27" i="29"/>
  <c r="Z27" i="29"/>
  <c r="W27" i="29"/>
  <c r="BQ27" i="29"/>
  <c r="BJ27" i="29" l="1"/>
  <c r="BS27" i="29"/>
  <c r="DA27" i="29"/>
  <c r="DG27" i="29"/>
  <c r="CX27" i="29"/>
  <c r="DB27" i="29"/>
  <c r="BO27" i="29"/>
  <c r="BR27" i="29"/>
  <c r="BN27" i="29"/>
  <c r="CY27" i="29"/>
  <c r="V27" i="29"/>
  <c r="BK27" i="29"/>
  <c r="X27" i="29"/>
  <c r="AA27" i="29"/>
  <c r="DD27" i="29"/>
  <c r="AD27" i="29"/>
  <c r="DF27" i="29"/>
  <c r="BP27" i="29"/>
  <c r="AB27" i="29"/>
  <c r="CZ27" i="29"/>
  <c r="Y27" i="29"/>
  <c r="BM27" i="29"/>
  <c r="DC27" i="29"/>
  <c r="DE27" i="29"/>
  <c r="BL27" i="29"/>
  <c r="W28" i="29"/>
  <c r="Z28" i="29"/>
  <c r="AC28" i="29"/>
  <c r="BQ28" i="29"/>
  <c r="AE28" i="29"/>
  <c r="BJ28" i="29" l="1"/>
  <c r="DG28" i="29"/>
  <c r="CX28" i="29"/>
  <c r="BS28" i="29"/>
  <c r="DA28" i="29"/>
  <c r="DB28" i="29"/>
  <c r="CY28" i="29"/>
  <c r="BO28" i="29"/>
  <c r="BR28" i="29"/>
  <c r="BN28" i="29"/>
  <c r="V28" i="29"/>
  <c r="BK28" i="29"/>
  <c r="DD28" i="29"/>
  <c r="AA28" i="29"/>
  <c r="X28" i="29"/>
  <c r="AD28" i="29"/>
  <c r="CZ28" i="29"/>
  <c r="DF28" i="29"/>
  <c r="BP28" i="29"/>
  <c r="AB28" i="29"/>
  <c r="Y28" i="29"/>
  <c r="BM28" i="29"/>
  <c r="DC28" i="29"/>
  <c r="DE28" i="29"/>
  <c r="BL28" i="29"/>
  <c r="AE29" i="29"/>
  <c r="BQ29" i="29"/>
  <c r="AC29" i="29"/>
  <c r="Z29" i="29"/>
  <c r="W29" i="29"/>
  <c r="CX29" i="29"/>
  <c r="BJ29" i="29" l="1"/>
  <c r="DG29" i="29"/>
  <c r="DA29" i="29"/>
  <c r="BS29" i="29"/>
  <c r="DB29" i="29"/>
  <c r="BO29" i="29"/>
  <c r="CY29" i="29"/>
  <c r="BR29" i="29"/>
  <c r="DD29" i="29"/>
  <c r="Y29" i="29"/>
  <c r="BK29" i="29"/>
  <c r="V29" i="29"/>
  <c r="AA29" i="29"/>
  <c r="BM29" i="29"/>
  <c r="BN29" i="29"/>
  <c r="X29" i="29"/>
  <c r="DF29" i="29"/>
  <c r="AD29" i="29"/>
  <c r="CZ29" i="29"/>
  <c r="BP29" i="29"/>
  <c r="AB29" i="29"/>
  <c r="DC29" i="29"/>
  <c r="BL29" i="29"/>
  <c r="DE29" i="29"/>
  <c r="CX30" i="29"/>
  <c r="Z30" i="29"/>
  <c r="AC30" i="29"/>
  <c r="BQ30" i="29"/>
  <c r="AE30" i="29"/>
  <c r="W30" i="29"/>
  <c r="BJ30" i="29" l="1"/>
  <c r="DG30" i="29"/>
  <c r="DA30" i="29"/>
  <c r="BS30" i="29"/>
  <c r="AA30" i="29"/>
  <c r="DB30" i="29"/>
  <c r="CY30" i="29"/>
  <c r="BO30" i="29"/>
  <c r="BR30" i="29"/>
  <c r="V30" i="29"/>
  <c r="DD30" i="29"/>
  <c r="Y30" i="29"/>
  <c r="BM30" i="29"/>
  <c r="BK30" i="29"/>
  <c r="BN30" i="29"/>
  <c r="X30" i="29"/>
  <c r="AD30" i="29"/>
  <c r="DF30" i="29"/>
  <c r="CZ30" i="29"/>
  <c r="BP30" i="29"/>
  <c r="AB30" i="29"/>
  <c r="DC30" i="29"/>
  <c r="BL30" i="29"/>
  <c r="DE30" i="29"/>
  <c r="W31" i="29"/>
  <c r="AE31" i="29"/>
  <c r="BQ31" i="29"/>
  <c r="AC31" i="29"/>
  <c r="Z31" i="29"/>
  <c r="CX31" i="29"/>
  <c r="DG31" i="29" l="1"/>
  <c r="BJ31" i="29"/>
  <c r="BS31" i="29"/>
  <c r="DA31" i="29"/>
  <c r="AA31" i="29"/>
  <c r="DB31" i="29"/>
  <c r="CY31" i="29"/>
  <c r="BO31" i="29"/>
  <c r="BR31" i="29"/>
  <c r="V31" i="29"/>
  <c r="DD31" i="29"/>
  <c r="Y31" i="29"/>
  <c r="BK31" i="29"/>
  <c r="BM31" i="29"/>
  <c r="BN31" i="29"/>
  <c r="AD31" i="29"/>
  <c r="X31" i="29"/>
  <c r="DF31" i="29"/>
  <c r="CZ31" i="29"/>
  <c r="DC31" i="29"/>
  <c r="DE31" i="29"/>
  <c r="BP31" i="29"/>
  <c r="AB31" i="29"/>
  <c r="BL31" i="29"/>
  <c r="CX32" i="29"/>
  <c r="DG32" i="29"/>
  <c r="BS32" i="29"/>
  <c r="AC32" i="29"/>
  <c r="AE32" i="29"/>
  <c r="BJ32" i="29"/>
  <c r="Z32" i="29"/>
  <c r="BQ32" i="29"/>
  <c r="W32" i="29"/>
  <c r="DA32" i="29" l="1"/>
  <c r="AA32" i="29"/>
  <c r="CY32" i="29"/>
  <c r="DB32" i="29"/>
  <c r="BO32" i="29"/>
  <c r="BR32" i="29"/>
  <c r="V32" i="29"/>
  <c r="Y32" i="29"/>
  <c r="BK32" i="29"/>
  <c r="BN32" i="29"/>
  <c r="DD32" i="29"/>
  <c r="AD32" i="29"/>
  <c r="BM32" i="29"/>
  <c r="X32" i="29"/>
  <c r="DF32" i="29"/>
  <c r="CZ32" i="29"/>
  <c r="DC32" i="29"/>
  <c r="BP32" i="29"/>
  <c r="DE32" i="29"/>
  <c r="AB32" i="29"/>
  <c r="BL32" i="29"/>
  <c r="BS33" i="29"/>
  <c r="CX33" i="29"/>
  <c r="W33" i="29"/>
  <c r="BQ33" i="29"/>
  <c r="Z33" i="29"/>
  <c r="BJ33" i="29"/>
  <c r="AE33" i="29"/>
  <c r="AC33" i="29"/>
  <c r="DG33" i="29"/>
  <c r="DA33" i="29" l="1"/>
  <c r="BR33" i="29"/>
  <c r="CY33" i="29"/>
  <c r="AA33" i="29"/>
  <c r="DB33" i="29"/>
  <c r="BO33" i="29"/>
  <c r="V33" i="29"/>
  <c r="Y33" i="29"/>
  <c r="BN33" i="29"/>
  <c r="BK33" i="29"/>
  <c r="DD33" i="29"/>
  <c r="AD33" i="29"/>
  <c r="BM33" i="29"/>
  <c r="X33" i="29"/>
  <c r="CZ33" i="29"/>
  <c r="DF33" i="29"/>
  <c r="BL33" i="29"/>
  <c r="BP33" i="29"/>
  <c r="DC33" i="29"/>
  <c r="DE33" i="29"/>
  <c r="AB33" i="29"/>
  <c r="AC34" i="29"/>
  <c r="BJ34" i="29"/>
  <c r="W34" i="29"/>
  <c r="BS34" i="29"/>
  <c r="DG34" i="29"/>
  <c r="AE34" i="29"/>
  <c r="Z34" i="29"/>
  <c r="BQ34" i="29"/>
  <c r="CX34" i="29"/>
  <c r="DA34" i="29" l="1"/>
  <c r="BR34" i="29"/>
  <c r="AA34" i="29"/>
  <c r="CY34" i="29"/>
  <c r="DB34" i="29"/>
  <c r="BO34" i="29"/>
  <c r="Y34" i="29"/>
  <c r="BN34" i="29"/>
  <c r="V34" i="29"/>
  <c r="BK34" i="29"/>
  <c r="DD34" i="29"/>
  <c r="CZ34" i="29"/>
  <c r="DF34" i="29"/>
  <c r="AD34" i="29"/>
  <c r="BM34" i="29"/>
  <c r="X34" i="29"/>
  <c r="BL34" i="29"/>
  <c r="BP34" i="29"/>
  <c r="DC34" i="29"/>
  <c r="DE34" i="29"/>
  <c r="AB34" i="29"/>
  <c r="CX35" i="29"/>
  <c r="AE35" i="29"/>
  <c r="BS35" i="29"/>
  <c r="AC35" i="29"/>
  <c r="BQ35" i="29"/>
  <c r="Z35" i="29"/>
  <c r="DG35" i="29"/>
  <c r="DA35" i="29"/>
  <c r="W35" i="29"/>
  <c r="BJ35" i="29"/>
  <c r="BR35" i="29" l="1"/>
  <c r="DB35" i="29"/>
  <c r="AA35" i="29"/>
  <c r="BO35" i="29"/>
  <c r="CY35" i="29"/>
  <c r="Y35" i="29"/>
  <c r="V35" i="29"/>
  <c r="BK35" i="29"/>
  <c r="CZ35" i="29"/>
  <c r="BN35" i="29"/>
  <c r="DF35" i="29"/>
  <c r="DD35" i="29"/>
  <c r="AD35" i="29"/>
  <c r="BM35" i="29"/>
  <c r="X35" i="29"/>
  <c r="BL35" i="29"/>
  <c r="BP35" i="29"/>
  <c r="DC35" i="29"/>
  <c r="DE35" i="29"/>
  <c r="AB35" i="29"/>
  <c r="BJ36" i="29"/>
  <c r="W36" i="29"/>
  <c r="DG36" i="29"/>
  <c r="AC36" i="29"/>
  <c r="CX36" i="29"/>
  <c r="DA36" i="29"/>
  <c r="Z36" i="29"/>
  <c r="BQ36" i="29"/>
  <c r="BS36" i="29"/>
  <c r="AE36" i="29"/>
  <c r="BR36" i="29" l="1"/>
  <c r="DB36" i="29"/>
  <c r="CY36" i="29"/>
  <c r="AA36" i="29"/>
  <c r="BO36" i="29"/>
  <c r="V36" i="29"/>
  <c r="DF36" i="29"/>
  <c r="Y36" i="29"/>
  <c r="DD36" i="29"/>
  <c r="BK36" i="29"/>
  <c r="BN36" i="29"/>
  <c r="CZ36" i="29"/>
  <c r="BM36" i="29"/>
  <c r="AD36" i="29"/>
  <c r="X36" i="29"/>
  <c r="BL36" i="29"/>
  <c r="BP36" i="29"/>
  <c r="DC36" i="29"/>
  <c r="DE36" i="29"/>
  <c r="AB36" i="29"/>
  <c r="AE37" i="29"/>
  <c r="BS37" i="29"/>
  <c r="Z37" i="29"/>
  <c r="DA37" i="29"/>
  <c r="CX37" i="29"/>
  <c r="AC37" i="29"/>
  <c r="DG37" i="29"/>
  <c r="W37" i="29"/>
  <c r="BQ37" i="29"/>
  <c r="BJ37" i="29"/>
  <c r="BR37" i="29" l="1"/>
  <c r="AA37" i="29"/>
  <c r="CY37" i="29"/>
  <c r="DB37" i="29"/>
  <c r="DF37" i="29"/>
  <c r="BO37" i="29"/>
  <c r="V37" i="29"/>
  <c r="Y37" i="29"/>
  <c r="CZ37" i="29"/>
  <c r="BN37" i="29"/>
  <c r="BK37" i="29"/>
  <c r="DD37" i="29"/>
  <c r="BM37" i="29"/>
  <c r="AD37" i="29"/>
  <c r="X37" i="29"/>
  <c r="BP37" i="29"/>
  <c r="BL37" i="29"/>
  <c r="DC37" i="29"/>
  <c r="DE37" i="29"/>
  <c r="AB37" i="29"/>
  <c r="BJ38" i="29"/>
  <c r="BQ38" i="29"/>
  <c r="W38" i="29"/>
  <c r="DG38" i="29"/>
  <c r="AC38" i="29"/>
  <c r="DA38" i="29"/>
  <c r="BS38" i="29"/>
  <c r="AE38" i="29"/>
  <c r="CX38" i="29"/>
  <c r="Z38" i="29"/>
  <c r="BR38" i="29" l="1"/>
  <c r="AA38" i="29"/>
  <c r="CY38" i="29"/>
  <c r="DB38" i="29"/>
  <c r="DF38" i="29"/>
  <c r="BO38" i="29"/>
  <c r="V38" i="29"/>
  <c r="AD38" i="29"/>
  <c r="Y38" i="29"/>
  <c r="CZ38" i="29"/>
  <c r="BN38" i="29"/>
  <c r="BK38" i="29"/>
  <c r="DD38" i="29"/>
  <c r="BM38" i="29"/>
  <c r="X38" i="29"/>
  <c r="BP38" i="29"/>
  <c r="BL38" i="29"/>
  <c r="DE38" i="29"/>
  <c r="DC38" i="29"/>
  <c r="AB38" i="29"/>
  <c r="BR39" i="29"/>
  <c r="BS39" i="29"/>
  <c r="W39" i="29"/>
  <c r="Z39" i="29"/>
  <c r="CX39" i="29"/>
  <c r="AA39" i="29"/>
  <c r="AE39" i="29"/>
  <c r="DA39" i="29"/>
  <c r="AC39" i="29"/>
  <c r="DG39" i="29"/>
  <c r="BQ39" i="29"/>
  <c r="BJ39" i="29"/>
  <c r="DB39" i="29" l="1"/>
  <c r="CY39" i="29"/>
  <c r="DF39" i="29"/>
  <c r="BO39" i="29"/>
  <c r="V39" i="29"/>
  <c r="AD39" i="29"/>
  <c r="Y39" i="29"/>
  <c r="X39" i="29"/>
  <c r="BN39" i="29"/>
  <c r="CZ39" i="29"/>
  <c r="BK39" i="29"/>
  <c r="DD39" i="29"/>
  <c r="BM39" i="29"/>
  <c r="BP39" i="29"/>
  <c r="BL39" i="29"/>
  <c r="DE39" i="29"/>
  <c r="DC39" i="29"/>
  <c r="AB39" i="29"/>
  <c r="BJ40" i="29"/>
  <c r="AC40" i="29"/>
  <c r="DA40" i="29"/>
  <c r="AE40" i="29"/>
  <c r="CX40" i="29"/>
  <c r="BQ40" i="29"/>
  <c r="DG40" i="29"/>
  <c r="AA40" i="29"/>
  <c r="Z40" i="29"/>
  <c r="W40" i="29"/>
  <c r="BS40" i="29"/>
  <c r="BR40" i="29"/>
  <c r="CY40" i="29" l="1"/>
  <c r="DB40" i="29"/>
  <c r="DF40" i="29"/>
  <c r="BO40" i="29"/>
  <c r="X40" i="29"/>
  <c r="V40" i="29"/>
  <c r="AD40" i="29"/>
  <c r="CZ40" i="29"/>
  <c r="Y40" i="29"/>
  <c r="BK40" i="29"/>
  <c r="DD40" i="29"/>
  <c r="BN40" i="29"/>
  <c r="BM40" i="29"/>
  <c r="BL40" i="29"/>
  <c r="BP40" i="29"/>
  <c r="DE40" i="29"/>
  <c r="DC40" i="29"/>
  <c r="AB40" i="29"/>
  <c r="BR41" i="29"/>
  <c r="BS41" i="29"/>
  <c r="Z41" i="29"/>
  <c r="CX41" i="29"/>
  <c r="AE41" i="29"/>
  <c r="AC41" i="29"/>
  <c r="CY41" i="29"/>
  <c r="W41" i="29"/>
  <c r="AA41" i="29"/>
  <c r="DG41" i="29"/>
  <c r="BQ41" i="29"/>
  <c r="DB41" i="29"/>
  <c r="DA41" i="29"/>
  <c r="BJ41" i="29"/>
  <c r="X41" i="29" l="1"/>
  <c r="BO41" i="29"/>
  <c r="DF41" i="29"/>
  <c r="V41" i="29"/>
  <c r="DD41" i="29"/>
  <c r="AD41" i="29"/>
  <c r="CZ41" i="29"/>
  <c r="Y41" i="29"/>
  <c r="BN41" i="29"/>
  <c r="BM41" i="29"/>
  <c r="BK41" i="29"/>
  <c r="BL41" i="29"/>
  <c r="BP41" i="29"/>
  <c r="DE41" i="29"/>
  <c r="DC41" i="29"/>
  <c r="AB41" i="29"/>
  <c r="BJ42" i="29"/>
  <c r="DB42" i="29"/>
  <c r="BQ42" i="29"/>
  <c r="W42" i="29"/>
  <c r="AC42" i="29"/>
  <c r="CX42" i="29"/>
  <c r="DA42" i="29"/>
  <c r="DG42" i="29"/>
  <c r="AA42" i="29"/>
  <c r="CY42" i="29"/>
  <c r="AE42" i="29"/>
  <c r="Z42" i="29"/>
  <c r="BS42" i="29"/>
  <c r="BR42" i="29"/>
  <c r="X42" i="29" l="1"/>
  <c r="BO42" i="29"/>
  <c r="DF42" i="29"/>
  <c r="V42" i="29"/>
  <c r="DD42" i="29"/>
  <c r="AD42" i="29"/>
  <c r="BM42" i="29"/>
  <c r="CZ42" i="29"/>
  <c r="Y42" i="29"/>
  <c r="BN42" i="29"/>
  <c r="BK42" i="29"/>
  <c r="BL42" i="29"/>
  <c r="BP42" i="29"/>
  <c r="DE42" i="29"/>
  <c r="DC42" i="29"/>
  <c r="AB42" i="29"/>
  <c r="BR43" i="29"/>
  <c r="BS43" i="29"/>
  <c r="Z43" i="29"/>
  <c r="AA43" i="29"/>
  <c r="DA43" i="29"/>
  <c r="AE43" i="29"/>
  <c r="CY43" i="29"/>
  <c r="DG43" i="29"/>
  <c r="CX43" i="29"/>
  <c r="AC43" i="29"/>
  <c r="W43" i="29"/>
  <c r="BQ43" i="29"/>
  <c r="DB43" i="29"/>
  <c r="BJ43" i="29"/>
  <c r="X43" i="29" l="1"/>
  <c r="DF43" i="29"/>
  <c r="BO43" i="29"/>
  <c r="V43" i="29"/>
  <c r="AD43" i="29"/>
  <c r="DD43" i="29"/>
  <c r="BM43" i="29"/>
  <c r="CZ43" i="29"/>
  <c r="Y43" i="29"/>
  <c r="BN43" i="29"/>
  <c r="BK43" i="29"/>
  <c r="BL43" i="29"/>
  <c r="BP43" i="29"/>
  <c r="DC43" i="29"/>
  <c r="DE43" i="29"/>
  <c r="AB43" i="29"/>
  <c r="BJ44" i="29"/>
  <c r="BQ44" i="29"/>
  <c r="W44" i="29"/>
  <c r="AC44" i="29"/>
  <c r="X44" i="29"/>
  <c r="DF44" i="29"/>
  <c r="BO44" i="29"/>
  <c r="BS44" i="29"/>
  <c r="DB44" i="29"/>
  <c r="CX44" i="29"/>
  <c r="DG44" i="29"/>
  <c r="CY44" i="29"/>
  <c r="AE44" i="29"/>
  <c r="DA44" i="29"/>
  <c r="AA44" i="29"/>
  <c r="Z44" i="29"/>
  <c r="BR44" i="29"/>
  <c r="V44" i="29" l="1"/>
  <c r="AD44" i="29"/>
  <c r="DD44" i="29"/>
  <c r="BM44" i="29"/>
  <c r="CZ44" i="29"/>
  <c r="Y44" i="29"/>
  <c r="BN44" i="29"/>
  <c r="BK44" i="29"/>
  <c r="BL44" i="29"/>
  <c r="BP44" i="29"/>
  <c r="DC44" i="29"/>
  <c r="DE44" i="29"/>
  <c r="AB44" i="29"/>
  <c r="BR45" i="29"/>
  <c r="AE45" i="29"/>
  <c r="DG45" i="29"/>
  <c r="BS45" i="29"/>
  <c r="BO45" i="29"/>
  <c r="AC45" i="29"/>
  <c r="BQ45" i="29"/>
  <c r="BJ45" i="29"/>
  <c r="Z45" i="29"/>
  <c r="AA45" i="29"/>
  <c r="DA45" i="29"/>
  <c r="CY45" i="29"/>
  <c r="CX45" i="29"/>
  <c r="DB45" i="29"/>
  <c r="DF45" i="29"/>
  <c r="X45" i="29"/>
  <c r="W45" i="29"/>
  <c r="V45" i="29" l="1"/>
  <c r="AD45" i="29"/>
  <c r="DD45" i="29"/>
  <c r="BM45" i="29"/>
  <c r="CZ45" i="29"/>
  <c r="BK45" i="29"/>
  <c r="Y45" i="29"/>
  <c r="BL45" i="29"/>
  <c r="BN45" i="29"/>
  <c r="BP45" i="29"/>
  <c r="DE45" i="29"/>
  <c r="DC45" i="29"/>
  <c r="AB45" i="29"/>
  <c r="W46" i="29"/>
  <c r="X46" i="29"/>
  <c r="CY46" i="29"/>
  <c r="DA46" i="29"/>
  <c r="BJ46" i="29"/>
  <c r="AC46" i="29"/>
  <c r="BS46" i="29"/>
  <c r="AE46" i="29"/>
  <c r="DF46" i="29"/>
  <c r="DB46" i="29"/>
  <c r="CX46" i="29"/>
  <c r="AA46" i="29"/>
  <c r="Z46" i="29"/>
  <c r="BQ46" i="29"/>
  <c r="BO46" i="29"/>
  <c r="DG46" i="29"/>
  <c r="BR46" i="29"/>
  <c r="AD46" i="29" l="1"/>
  <c r="DD46" i="29"/>
  <c r="V46" i="29"/>
  <c r="BM46" i="29"/>
  <c r="BN46" i="29"/>
  <c r="BK46" i="29"/>
  <c r="CZ46" i="29"/>
  <c r="BL46" i="29"/>
  <c r="Y46" i="29"/>
  <c r="BP46" i="29"/>
  <c r="DE46" i="29"/>
  <c r="DC46" i="29"/>
  <c r="AB46" i="29"/>
  <c r="BR47" i="29"/>
  <c r="BO47" i="29"/>
  <c r="AA47" i="29"/>
  <c r="DF47" i="29"/>
  <c r="AE47" i="29"/>
  <c r="BJ47" i="29"/>
  <c r="DA47" i="29"/>
  <c r="X47" i="29"/>
  <c r="W47" i="29"/>
  <c r="BQ47" i="29"/>
  <c r="DB47" i="29"/>
  <c r="DG47" i="29"/>
  <c r="Z47" i="29"/>
  <c r="CX47" i="29"/>
  <c r="BS47" i="29"/>
  <c r="AC47" i="29"/>
  <c r="CY47" i="29"/>
  <c r="AD47" i="29" l="1"/>
  <c r="DD47" i="29"/>
  <c r="V47" i="29"/>
  <c r="BM47" i="29"/>
  <c r="BL47" i="29"/>
  <c r="BK47" i="29"/>
  <c r="BN47" i="29"/>
  <c r="Y47" i="29"/>
  <c r="CZ47" i="29"/>
  <c r="BP47" i="29"/>
  <c r="DE47" i="29"/>
  <c r="DC47" i="29"/>
  <c r="AB47" i="29"/>
  <c r="AC48" i="29"/>
  <c r="Z48" i="29"/>
  <c r="DB48" i="29"/>
  <c r="BQ48" i="29"/>
  <c r="W48" i="29"/>
  <c r="X48" i="29"/>
  <c r="DA48" i="29"/>
  <c r="AE48" i="29"/>
  <c r="CY48" i="29"/>
  <c r="BS48" i="29"/>
  <c r="CX48" i="29"/>
  <c r="DG48" i="29"/>
  <c r="BJ48" i="29"/>
  <c r="DF48" i="29"/>
  <c r="AA48" i="29"/>
  <c r="BO48" i="29"/>
  <c r="BR48" i="29"/>
  <c r="DD48" i="29" l="1"/>
  <c r="AD48" i="29"/>
  <c r="V48" i="29"/>
  <c r="BM48" i="29"/>
  <c r="BK48" i="29"/>
  <c r="BL48" i="29"/>
  <c r="BN48" i="29"/>
  <c r="CZ48" i="29"/>
  <c r="Y48" i="29"/>
  <c r="BP48" i="29"/>
  <c r="DE48" i="29"/>
  <c r="DC48" i="29"/>
  <c r="AB48" i="29"/>
  <c r="BR49" i="29"/>
  <c r="BJ49" i="29"/>
  <c r="DG49" i="29"/>
  <c r="CX49" i="29"/>
  <c r="AD49" i="29"/>
  <c r="BS49" i="29"/>
  <c r="DA49" i="29"/>
  <c r="X49" i="29"/>
  <c r="DB49" i="29"/>
  <c r="Z49" i="29"/>
  <c r="AA49" i="29"/>
  <c r="BO49" i="29"/>
  <c r="DF49" i="29"/>
  <c r="CY49" i="29"/>
  <c r="AE49" i="29"/>
  <c r="W49" i="29"/>
  <c r="BQ49" i="29"/>
  <c r="AC49" i="29"/>
  <c r="DD49" i="29" l="1"/>
  <c r="V49" i="29"/>
  <c r="BM49" i="29"/>
  <c r="CZ49" i="29"/>
  <c r="BK49" i="29"/>
  <c r="BL49" i="29"/>
  <c r="BN49" i="29"/>
  <c r="Y49" i="29"/>
  <c r="BP49" i="29"/>
  <c r="DE49" i="29"/>
  <c r="DC49" i="29"/>
  <c r="AB49" i="29"/>
  <c r="BQ50" i="29"/>
  <c r="AE50" i="29"/>
  <c r="CY50" i="29"/>
  <c r="DF50" i="29"/>
  <c r="AA50" i="29"/>
  <c r="Z50" i="29"/>
  <c r="DB50" i="29"/>
  <c r="X50" i="29"/>
  <c r="BS50" i="29"/>
  <c r="CX50" i="29"/>
  <c r="DG50" i="29"/>
  <c r="BJ50" i="29"/>
  <c r="AC50" i="29"/>
  <c r="W50" i="29"/>
  <c r="BO50" i="29"/>
  <c r="DA50" i="29"/>
  <c r="AD50" i="29"/>
  <c r="BR50" i="29"/>
  <c r="DD50" i="29" l="1"/>
  <c r="V50" i="29"/>
  <c r="BN50" i="29"/>
  <c r="BM50" i="29"/>
  <c r="CZ50" i="29"/>
  <c r="BK50" i="29"/>
  <c r="BL50" i="29"/>
  <c r="Y50" i="29"/>
  <c r="DC50" i="29"/>
  <c r="BP50" i="29"/>
  <c r="DE50" i="29"/>
  <c r="AB50" i="29"/>
  <c r="AC51" i="29"/>
  <c r="BJ51" i="29"/>
  <c r="DG51" i="29"/>
  <c r="BS51" i="29"/>
  <c r="X51" i="29"/>
  <c r="Z51" i="29"/>
  <c r="DF51" i="29"/>
  <c r="CY51" i="29"/>
  <c r="AE51" i="29"/>
  <c r="BQ51" i="29"/>
  <c r="BR51" i="29"/>
  <c r="AD51" i="29"/>
  <c r="DA51" i="29"/>
  <c r="BO51" i="29"/>
  <c r="W51" i="29"/>
  <c r="CX51" i="29"/>
  <c r="DB51" i="29"/>
  <c r="AA51" i="29"/>
  <c r="DD51" i="29" l="1"/>
  <c r="V51" i="29"/>
  <c r="BN51" i="29"/>
  <c r="BM51" i="29"/>
  <c r="BK51" i="29"/>
  <c r="CZ51" i="29"/>
  <c r="Y51" i="29"/>
  <c r="BL51" i="29"/>
  <c r="DC51" i="29"/>
  <c r="BP51" i="29"/>
  <c r="DE51" i="29"/>
  <c r="AB51" i="29"/>
  <c r="CX52" i="29"/>
  <c r="BO52" i="29"/>
  <c r="BQ52" i="29"/>
  <c r="CY52" i="29"/>
  <c r="X52" i="29"/>
  <c r="BS52" i="29"/>
  <c r="BJ52" i="29"/>
  <c r="AA52" i="29"/>
  <c r="DB52" i="29"/>
  <c r="W52" i="29"/>
  <c r="DA52" i="29"/>
  <c r="AD52" i="29"/>
  <c r="BR52" i="29"/>
  <c r="AE52" i="29"/>
  <c r="DF52" i="29"/>
  <c r="Z52" i="29"/>
  <c r="DG52" i="29"/>
  <c r="AC52" i="29"/>
  <c r="V52" i="29" l="1"/>
  <c r="DD52" i="29"/>
  <c r="BN52" i="29"/>
  <c r="BK52" i="29"/>
  <c r="BM52" i="29"/>
  <c r="CZ52" i="29"/>
  <c r="BL52" i="29"/>
  <c r="Y52" i="29"/>
  <c r="DC52" i="29"/>
  <c r="BP52" i="29"/>
  <c r="DE52" i="29"/>
  <c r="AB52" i="29"/>
  <c r="DG53" i="29"/>
  <c r="Z53" i="29"/>
  <c r="AD53" i="29"/>
  <c r="AA53" i="29"/>
  <c r="BJ53" i="29"/>
  <c r="X53" i="29"/>
  <c r="BQ53" i="29"/>
  <c r="CX53" i="29"/>
  <c r="AC53" i="29"/>
  <c r="DF53" i="29"/>
  <c r="AE53" i="29"/>
  <c r="BR53" i="29"/>
  <c r="DA53" i="29"/>
  <c r="W53" i="29"/>
  <c r="DB53" i="29"/>
  <c r="BS53" i="29"/>
  <c r="CY53" i="29"/>
  <c r="BO53" i="29"/>
  <c r="V53" i="29" l="1"/>
  <c r="DD53" i="29"/>
  <c r="BN53" i="29"/>
  <c r="Y53" i="29"/>
  <c r="BM53" i="29"/>
  <c r="BK53" i="29"/>
  <c r="CZ53" i="29"/>
  <c r="BL53" i="29"/>
  <c r="DC53" i="29"/>
  <c r="BP53" i="29"/>
  <c r="DE53" i="29"/>
  <c r="AB53" i="29"/>
  <c r="CY54" i="29"/>
  <c r="BS54" i="29"/>
  <c r="BR54" i="29"/>
  <c r="DF54" i="29"/>
  <c r="AC54" i="29"/>
  <c r="CX54" i="29"/>
  <c r="BJ54" i="29"/>
  <c r="AA54" i="29"/>
  <c r="AD54" i="29"/>
  <c r="DD54" i="29"/>
  <c r="DG54" i="29"/>
  <c r="BO54" i="29"/>
  <c r="DB54" i="29"/>
  <c r="W54" i="29"/>
  <c r="DA54" i="29"/>
  <c r="AE54" i="29"/>
  <c r="V54" i="29"/>
  <c r="BQ54" i="29"/>
  <c r="X54" i="29"/>
  <c r="Z54" i="29"/>
  <c r="BN54" i="29" l="1"/>
  <c r="Y54" i="29"/>
  <c r="BM54" i="29"/>
  <c r="BK54" i="29"/>
  <c r="CZ54" i="29"/>
  <c r="DE54" i="29"/>
  <c r="BP54" i="29"/>
  <c r="BL54" i="29"/>
  <c r="DC54" i="29"/>
  <c r="AB54" i="29"/>
  <c r="Z55" i="29"/>
  <c r="BQ55" i="29"/>
  <c r="AE55" i="29"/>
  <c r="W55" i="29"/>
  <c r="DG55" i="29"/>
  <c r="AD55" i="29"/>
  <c r="AA55" i="29"/>
  <c r="DF55" i="29"/>
  <c r="CY55" i="29"/>
  <c r="X55" i="29"/>
  <c r="V55" i="29"/>
  <c r="DA55" i="29"/>
  <c r="DB55" i="29"/>
  <c r="BO55" i="29"/>
  <c r="DD55" i="29"/>
  <c r="BJ55" i="29"/>
  <c r="CX55" i="29"/>
  <c r="AC55" i="29"/>
  <c r="BR55" i="29"/>
  <c r="BS55" i="29"/>
  <c r="BN55" i="29" l="1"/>
  <c r="Y55" i="29"/>
  <c r="BK55" i="29"/>
  <c r="BM55" i="29"/>
  <c r="CZ55" i="29"/>
  <c r="DE55" i="29"/>
  <c r="DC55" i="29"/>
  <c r="BP55" i="29"/>
  <c r="BL55" i="29"/>
  <c r="AB55" i="29"/>
  <c r="DD56" i="29"/>
  <c r="V56" i="29"/>
  <c r="X56" i="29"/>
  <c r="BS56" i="29"/>
  <c r="AC56" i="29"/>
  <c r="CX56" i="29"/>
  <c r="BJ56" i="29"/>
  <c r="BO56" i="29"/>
  <c r="DA56" i="29"/>
  <c r="AD56" i="29"/>
  <c r="AE56" i="29"/>
  <c r="BQ56" i="29"/>
  <c r="Z56" i="29"/>
  <c r="BR56" i="29"/>
  <c r="DB56" i="29"/>
  <c r="CY56" i="29"/>
  <c r="DF56" i="29"/>
  <c r="AA56" i="29"/>
  <c r="DG56" i="29"/>
  <c r="W56" i="29"/>
  <c r="BN56" i="29" l="1"/>
  <c r="Y56" i="29"/>
  <c r="BK56" i="29"/>
  <c r="BM56" i="29"/>
  <c r="CZ56" i="29"/>
  <c r="DE56" i="29"/>
  <c r="DC56" i="29"/>
  <c r="BP56" i="29"/>
  <c r="BL56" i="29"/>
  <c r="AB56" i="29"/>
  <c r="W57" i="29"/>
  <c r="AA57" i="29"/>
  <c r="DB57" i="29"/>
  <c r="Z57" i="29"/>
  <c r="BQ57" i="29"/>
  <c r="AE57" i="29"/>
  <c r="AD57" i="29"/>
  <c r="DA57" i="29"/>
  <c r="BO57" i="29"/>
  <c r="CX57" i="29"/>
  <c r="V57" i="29"/>
  <c r="DD57" i="29"/>
  <c r="DG57" i="29"/>
  <c r="DF57" i="29"/>
  <c r="CY57" i="29"/>
  <c r="BR57" i="29"/>
  <c r="BJ57" i="29"/>
  <c r="AC57" i="29"/>
  <c r="BS57" i="29"/>
  <c r="X57" i="29"/>
  <c r="BN57" i="29" l="1"/>
  <c r="Y57" i="29"/>
  <c r="BK57" i="29"/>
  <c r="BM57" i="29"/>
  <c r="CZ57" i="29"/>
  <c r="DE57" i="29"/>
  <c r="DC57" i="29"/>
  <c r="BL57" i="29"/>
  <c r="BP57" i="29"/>
  <c r="AB57" i="29"/>
  <c r="BS58" i="29"/>
  <c r="BJ58" i="29"/>
  <c r="BN58" i="29"/>
  <c r="CY58" i="29"/>
  <c r="V58" i="29"/>
  <c r="DA58" i="29"/>
  <c r="BQ58" i="29"/>
  <c r="DB58" i="29"/>
  <c r="AA58" i="29"/>
  <c r="W58" i="29"/>
  <c r="X58" i="29"/>
  <c r="AC58" i="29"/>
  <c r="BR58" i="29"/>
  <c r="DF58" i="29"/>
  <c r="DG58" i="29"/>
  <c r="DD58" i="29"/>
  <c r="CX58" i="29"/>
  <c r="BO58" i="29"/>
  <c r="AD58" i="29"/>
  <c r="AE58" i="29"/>
  <c r="Z58" i="29"/>
  <c r="Y58" i="29" l="1"/>
  <c r="BM58" i="29"/>
  <c r="BK58" i="29"/>
  <c r="DE58" i="29"/>
  <c r="CZ58" i="29"/>
  <c r="DC58" i="29"/>
  <c r="BL58" i="29"/>
  <c r="BP58" i="29"/>
  <c r="AB58" i="29"/>
  <c r="DG59" i="29"/>
  <c r="Z59" i="29"/>
  <c r="AD59" i="29"/>
  <c r="CX59" i="29"/>
  <c r="DD59" i="29"/>
  <c r="DF59" i="29"/>
  <c r="BR59" i="29"/>
  <c r="X59" i="29"/>
  <c r="AA59" i="29"/>
  <c r="DB59" i="29"/>
  <c r="BQ59" i="29"/>
  <c r="DA59" i="29"/>
  <c r="CY59" i="29"/>
  <c r="BN59" i="29"/>
  <c r="BJ59" i="29"/>
  <c r="AE59" i="29"/>
  <c r="BO59" i="29"/>
  <c r="AC59" i="29"/>
  <c r="W59" i="29"/>
  <c r="V59" i="29"/>
  <c r="BS59" i="29"/>
  <c r="Y59" i="29" l="1"/>
  <c r="BK59" i="29"/>
  <c r="BM59" i="29"/>
  <c r="DC59" i="29"/>
  <c r="CZ59" i="29"/>
  <c r="DE59" i="29"/>
  <c r="BL59" i="29"/>
  <c r="AB59" i="29"/>
  <c r="BP59" i="29"/>
  <c r="V60" i="29"/>
  <c r="W60" i="29"/>
  <c r="AC60" i="29"/>
  <c r="AE60" i="29"/>
  <c r="BN60" i="29"/>
  <c r="DB60" i="29"/>
  <c r="DF60" i="29"/>
  <c r="DD60" i="29"/>
  <c r="Z60" i="29"/>
  <c r="BS60" i="29"/>
  <c r="BO60" i="29"/>
  <c r="BJ60" i="29"/>
  <c r="CY60" i="29"/>
  <c r="DA60" i="29"/>
  <c r="BQ60" i="29"/>
  <c r="AA60" i="29"/>
  <c r="X60" i="29"/>
  <c r="BR60" i="29"/>
  <c r="CX60" i="29"/>
  <c r="AD60" i="29"/>
  <c r="DG60" i="29"/>
  <c r="Y60" i="29" l="1"/>
  <c r="CZ60" i="29"/>
  <c r="BK60" i="29"/>
  <c r="BM60" i="29"/>
  <c r="DC60" i="29"/>
  <c r="DE60" i="29"/>
  <c r="BL60" i="29"/>
  <c r="AB60" i="29"/>
  <c r="BP60" i="29"/>
  <c r="DG61" i="29"/>
  <c r="CX61" i="29"/>
  <c r="BR61" i="29"/>
  <c r="X61" i="29"/>
  <c r="BQ61" i="29"/>
  <c r="Z61" i="29"/>
  <c r="DD61" i="29"/>
  <c r="BN61" i="29"/>
  <c r="AE61" i="29"/>
  <c r="W61" i="29"/>
  <c r="AD61" i="29"/>
  <c r="AA61" i="29"/>
  <c r="DA61" i="29"/>
  <c r="CY61" i="29"/>
  <c r="BJ61" i="29"/>
  <c r="BO61" i="29"/>
  <c r="BS61" i="29"/>
  <c r="DF61" i="29"/>
  <c r="DB61" i="29"/>
  <c r="AC61" i="29"/>
  <c r="V61" i="29"/>
  <c r="Y61" i="29" l="1"/>
  <c r="BK61" i="29"/>
  <c r="BM61" i="29"/>
  <c r="CZ61" i="29"/>
  <c r="DC61" i="29"/>
  <c r="DE61" i="29"/>
  <c r="BL61" i="29"/>
  <c r="BP61" i="29"/>
  <c r="AB61" i="29"/>
  <c r="V62" i="29"/>
  <c r="AC62" i="29"/>
  <c r="BO62" i="29"/>
  <c r="CY62" i="29"/>
  <c r="AA62" i="29"/>
  <c r="BN62" i="29"/>
  <c r="Z62" i="29"/>
  <c r="X62" i="29"/>
  <c r="CX62" i="29"/>
  <c r="DG62" i="29"/>
  <c r="DB62" i="29"/>
  <c r="DF62" i="29"/>
  <c r="BS62" i="29"/>
  <c r="BJ62" i="29"/>
  <c r="DA62" i="29"/>
  <c r="AD62" i="29"/>
  <c r="W62" i="29"/>
  <c r="AE62" i="29"/>
  <c r="DD62" i="29"/>
  <c r="BQ62" i="29"/>
  <c r="BR62" i="29"/>
  <c r="Y62" i="29" l="1"/>
  <c r="BK62" i="29"/>
  <c r="BM62" i="29"/>
  <c r="CZ62" i="29"/>
  <c r="DC62" i="29"/>
  <c r="DE62" i="29"/>
  <c r="BL62" i="29"/>
  <c r="BP62" i="29"/>
  <c r="AB62" i="29"/>
  <c r="AE63" i="29"/>
  <c r="AD63" i="29"/>
  <c r="DA63" i="29"/>
  <c r="BS63" i="29"/>
  <c r="DF63" i="29"/>
  <c r="DG63" i="29"/>
  <c r="X63" i="29"/>
  <c r="Z63" i="29"/>
  <c r="CY63" i="29"/>
  <c r="V63" i="29"/>
  <c r="BR63" i="29"/>
  <c r="BQ63" i="29"/>
  <c r="DD63" i="29"/>
  <c r="W63" i="29"/>
  <c r="BJ63" i="29"/>
  <c r="DB63" i="29"/>
  <c r="CX63" i="29"/>
  <c r="BN63" i="29"/>
  <c r="AA63" i="29"/>
  <c r="BO63" i="29"/>
  <c r="AC63" i="29"/>
  <c r="Y63" i="29" l="1"/>
  <c r="BK63" i="29"/>
  <c r="BM63" i="29"/>
  <c r="DC63" i="29"/>
  <c r="CZ63" i="29"/>
  <c r="DE63" i="29"/>
  <c r="BL63" i="29"/>
  <c r="BP63" i="29"/>
  <c r="AB63" i="29"/>
  <c r="AA64" i="29"/>
  <c r="CX64" i="29"/>
  <c r="BJ64" i="29"/>
  <c r="BQ64" i="29"/>
  <c r="V64" i="29"/>
  <c r="Z64" i="29"/>
  <c r="DG64" i="29"/>
  <c r="BS64" i="29"/>
  <c r="DA64" i="29"/>
  <c r="AC64" i="29"/>
  <c r="BO64" i="29"/>
  <c r="BN64" i="29"/>
  <c r="DB64" i="29"/>
  <c r="W64" i="29"/>
  <c r="DD64" i="29"/>
  <c r="Y64" i="29"/>
  <c r="BR64" i="29"/>
  <c r="CY64" i="29"/>
  <c r="X64" i="29"/>
  <c r="DF64" i="29"/>
  <c r="AD64" i="29"/>
  <c r="AE64" i="29"/>
  <c r="DC64" i="29" l="1"/>
  <c r="BK64" i="29"/>
  <c r="BM64" i="29"/>
  <c r="CZ64" i="29"/>
  <c r="DE64" i="29"/>
  <c r="BL64" i="29"/>
  <c r="BP64" i="29"/>
  <c r="AB64" i="29"/>
  <c r="AE65" i="29"/>
  <c r="BR65" i="29"/>
  <c r="Y65" i="29"/>
  <c r="W65" i="29"/>
  <c r="DA65" i="29"/>
  <c r="V65" i="29"/>
  <c r="BQ65" i="29"/>
  <c r="BJ65" i="29"/>
  <c r="AD65" i="29"/>
  <c r="DF65" i="29"/>
  <c r="X65" i="29"/>
  <c r="CY65" i="29"/>
  <c r="DD65" i="29"/>
  <c r="DB65" i="29"/>
  <c r="BN65" i="29"/>
  <c r="BO65" i="29"/>
  <c r="AC65" i="29"/>
  <c r="BS65" i="29"/>
  <c r="DG65" i="29"/>
  <c r="Z65" i="29"/>
  <c r="CX65" i="29"/>
  <c r="AA65" i="29"/>
  <c r="DC65" i="29" l="1"/>
  <c r="BK65" i="29"/>
  <c r="CZ65" i="29"/>
  <c r="BM65" i="29"/>
  <c r="BL65" i="29"/>
  <c r="DE65" i="29"/>
  <c r="AB65" i="29"/>
  <c r="BP65" i="29"/>
  <c r="Z66" i="29"/>
  <c r="BS66" i="29"/>
  <c r="BO66" i="29"/>
  <c r="CY66" i="29"/>
  <c r="X66" i="29"/>
  <c r="AD66" i="29"/>
  <c r="V66" i="29"/>
  <c r="Y66" i="29"/>
  <c r="AA66" i="29"/>
  <c r="CX66" i="29"/>
  <c r="DG66" i="29"/>
  <c r="AC66" i="29"/>
  <c r="BN66" i="29"/>
  <c r="DB66" i="29"/>
  <c r="DD66" i="29"/>
  <c r="DF66" i="29"/>
  <c r="BJ66" i="29"/>
  <c r="BQ66" i="29"/>
  <c r="DA66" i="29"/>
  <c r="W66" i="29"/>
  <c r="BR66" i="29"/>
  <c r="AE66" i="29"/>
  <c r="DC66" i="29" l="1"/>
  <c r="BK66" i="29"/>
  <c r="CZ66" i="29"/>
  <c r="BM66" i="29"/>
  <c r="BL66" i="29"/>
  <c r="DE66" i="29"/>
  <c r="AB66" i="29"/>
  <c r="BP66" i="29"/>
  <c r="AE67" i="29"/>
  <c r="W67" i="29"/>
  <c r="DA67" i="29"/>
  <c r="BJ67" i="29"/>
  <c r="DF67" i="29"/>
  <c r="DB67" i="29"/>
  <c r="AC67" i="29"/>
  <c r="DG67" i="29"/>
  <c r="CX67" i="29"/>
  <c r="V67" i="29"/>
  <c r="X67" i="29"/>
  <c r="Z67" i="29"/>
  <c r="BR67" i="29"/>
  <c r="BQ67" i="29"/>
  <c r="DD67" i="29"/>
  <c r="BN67" i="29"/>
  <c r="AA67" i="29"/>
  <c r="Y67" i="29"/>
  <c r="AD67" i="29"/>
  <c r="CY67" i="29"/>
  <c r="BO67" i="29"/>
  <c r="BS67" i="29"/>
  <c r="DC67" i="29" l="1"/>
  <c r="BK67" i="29"/>
  <c r="BM67" i="29"/>
  <c r="CZ67" i="29"/>
  <c r="BL67" i="29"/>
  <c r="DE67" i="29"/>
  <c r="AB67" i="29"/>
  <c r="BP67" i="29"/>
  <c r="BO68" i="29"/>
  <c r="CY68" i="29"/>
  <c r="DD68" i="29"/>
  <c r="BQ68" i="29"/>
  <c r="BR68" i="29"/>
  <c r="V68" i="29"/>
  <c r="CX68" i="29"/>
  <c r="DG68" i="29"/>
  <c r="DB68" i="29"/>
  <c r="DF68" i="29"/>
  <c r="BJ68" i="29"/>
  <c r="DA68" i="29"/>
  <c r="W68" i="29"/>
  <c r="BS68" i="29"/>
  <c r="BM68" i="29"/>
  <c r="AD68" i="29"/>
  <c r="Y68" i="29"/>
  <c r="AA68" i="29"/>
  <c r="BN68" i="29"/>
  <c r="Z68" i="29"/>
  <c r="X68" i="29"/>
  <c r="AC68" i="29"/>
  <c r="AE68" i="29"/>
  <c r="DC68" i="29" l="1"/>
  <c r="CZ68" i="29"/>
  <c r="BK68" i="29"/>
  <c r="BL68" i="29"/>
  <c r="DE68" i="29"/>
  <c r="AB68" i="29"/>
  <c r="BP68" i="29"/>
  <c r="AE69" i="29"/>
  <c r="BN69" i="29"/>
  <c r="AA69" i="29"/>
  <c r="AD69" i="29"/>
  <c r="BS69" i="29"/>
  <c r="DA69" i="29"/>
  <c r="DF69" i="29"/>
  <c r="DG69" i="29"/>
  <c r="V69" i="29"/>
  <c r="BR69" i="29"/>
  <c r="BQ69" i="29"/>
  <c r="DD69" i="29"/>
  <c r="BO69" i="29"/>
  <c r="AC69" i="29"/>
  <c r="X69" i="29"/>
  <c r="Z69" i="29"/>
  <c r="Y69" i="29"/>
  <c r="BM69" i="29"/>
  <c r="W69" i="29"/>
  <c r="BJ69" i="29"/>
  <c r="DB69" i="29"/>
  <c r="CX69" i="29"/>
  <c r="CY69" i="29"/>
  <c r="DC69" i="29" l="1"/>
  <c r="BK69" i="29"/>
  <c r="CZ69" i="29"/>
  <c r="BL69" i="29"/>
  <c r="DE69" i="29"/>
  <c r="AB69" i="29"/>
  <c r="BP69" i="29"/>
  <c r="DB70" i="29"/>
  <c r="W70" i="29"/>
  <c r="BM70" i="29"/>
  <c r="Y70" i="29"/>
  <c r="X70" i="29"/>
  <c r="BQ70" i="29"/>
  <c r="V70" i="29"/>
  <c r="DG70" i="29"/>
  <c r="DA70" i="29"/>
  <c r="BS70" i="29"/>
  <c r="BK70" i="29"/>
  <c r="BN70" i="29"/>
  <c r="CY70" i="29"/>
  <c r="CX70" i="29"/>
  <c r="BJ70" i="29"/>
  <c r="Z70" i="29"/>
  <c r="AC70" i="29"/>
  <c r="BO70" i="29"/>
  <c r="DD70" i="29"/>
  <c r="BR70" i="29"/>
  <c r="DF70" i="29"/>
  <c r="AD70" i="29"/>
  <c r="AA70" i="29"/>
  <c r="AE70" i="29"/>
  <c r="DC70" i="29" l="1"/>
  <c r="CZ70" i="29"/>
  <c r="DE70" i="29"/>
  <c r="BL70" i="29"/>
  <c r="AB70" i="29"/>
  <c r="BP70" i="29"/>
  <c r="AD71" i="29"/>
  <c r="DF71" i="29"/>
  <c r="DD71" i="29"/>
  <c r="BO71" i="29"/>
  <c r="AC71" i="29"/>
  <c r="Z71" i="29"/>
  <c r="CX71" i="29"/>
  <c r="BN71" i="29"/>
  <c r="BS71" i="29"/>
  <c r="DG71" i="29"/>
  <c r="Y71" i="29"/>
  <c r="W71" i="29"/>
  <c r="AE71" i="29"/>
  <c r="AA71" i="29"/>
  <c r="BR71" i="29"/>
  <c r="BJ71" i="29"/>
  <c r="CY71" i="29"/>
  <c r="BK71" i="29"/>
  <c r="DA71" i="29"/>
  <c r="V71" i="29"/>
  <c r="BQ71" i="29"/>
  <c r="X71" i="29"/>
  <c r="BM71" i="29"/>
  <c r="DB71" i="29"/>
  <c r="DC71" i="29" l="1"/>
  <c r="CZ71" i="29"/>
  <c r="DE71" i="29"/>
  <c r="BL71" i="29"/>
  <c r="AB71" i="29"/>
  <c r="BP71" i="29"/>
  <c r="X72" i="29"/>
  <c r="V72" i="29"/>
  <c r="BK72" i="29"/>
  <c r="BJ72" i="29"/>
  <c r="BR72" i="29"/>
  <c r="AE72" i="29"/>
  <c r="W72" i="29"/>
  <c r="BS72" i="29"/>
  <c r="CX72" i="29"/>
  <c r="AC72" i="29"/>
  <c r="DD72" i="29"/>
  <c r="DF72" i="29"/>
  <c r="BM72" i="29"/>
  <c r="DB72" i="29"/>
  <c r="BQ72" i="29"/>
  <c r="DA72" i="29"/>
  <c r="CY72" i="29"/>
  <c r="AA72" i="29"/>
  <c r="Y72" i="29"/>
  <c r="DG72" i="29"/>
  <c r="BN72" i="29"/>
  <c r="Z72" i="29"/>
  <c r="BO72" i="29"/>
  <c r="AD72" i="29"/>
  <c r="DC72" i="29" l="1"/>
  <c r="CZ72" i="29"/>
  <c r="DE72" i="29"/>
  <c r="BL72" i="29"/>
  <c r="BP72" i="29"/>
  <c r="AB72" i="29"/>
  <c r="Z73" i="29"/>
  <c r="BN73" i="29"/>
  <c r="Y73" i="29"/>
  <c r="AA73" i="29"/>
  <c r="CY73" i="29"/>
  <c r="DA73" i="29"/>
  <c r="DB73" i="29"/>
  <c r="BM73" i="29"/>
  <c r="DF73" i="29"/>
  <c r="AC73" i="29"/>
  <c r="CX73" i="29"/>
  <c r="BR73" i="29"/>
  <c r="BK73" i="29"/>
  <c r="AD73" i="29"/>
  <c r="BO73" i="29"/>
  <c r="DG73" i="29"/>
  <c r="BQ73" i="29"/>
  <c r="DD73" i="29"/>
  <c r="BS73" i="29"/>
  <c r="W73" i="29"/>
  <c r="AE73" i="29"/>
  <c r="BJ73" i="29"/>
  <c r="DC73" i="29"/>
  <c r="V73" i="29"/>
  <c r="X73" i="29"/>
  <c r="CZ73" i="29" l="1"/>
  <c r="DE73" i="29"/>
  <c r="BL73" i="29"/>
  <c r="AB73" i="29"/>
  <c r="BP73" i="29"/>
  <c r="V74" i="29"/>
  <c r="BJ74" i="29"/>
  <c r="W74" i="29"/>
  <c r="BS74" i="29"/>
  <c r="CZ74" i="29"/>
  <c r="BO74" i="29"/>
  <c r="BK74" i="29"/>
  <c r="AC74" i="29"/>
  <c r="BM74" i="29"/>
  <c r="CY74" i="29"/>
  <c r="X74" i="29"/>
  <c r="DC74" i="29"/>
  <c r="AE74" i="29"/>
  <c r="DD74" i="29"/>
  <c r="BQ74" i="29"/>
  <c r="DG74" i="29"/>
  <c r="AD74" i="29"/>
  <c r="BR74" i="29"/>
  <c r="CX74" i="29"/>
  <c r="DF74" i="29"/>
  <c r="DB74" i="29"/>
  <c r="DA74" i="29"/>
  <c r="AA74" i="29"/>
  <c r="Y74" i="29"/>
  <c r="BN74" i="29"/>
  <c r="Z74" i="29"/>
  <c r="AB74" i="29" l="1"/>
  <c r="DE74" i="29"/>
  <c r="BL74" i="29"/>
  <c r="BP74" i="29"/>
  <c r="BN75" i="29"/>
  <c r="AA75" i="29"/>
  <c r="DA75" i="29"/>
  <c r="DF75" i="29"/>
  <c r="BR75" i="29"/>
  <c r="AE75" i="29"/>
  <c r="DC75" i="29"/>
  <c r="CY75" i="29"/>
  <c r="BM75" i="29"/>
  <c r="BK75" i="29"/>
  <c r="BO75" i="29"/>
  <c r="W75" i="29"/>
  <c r="BJ75" i="29"/>
  <c r="Z75" i="29"/>
  <c r="Y75" i="29"/>
  <c r="DB75" i="29"/>
  <c r="CX75" i="29"/>
  <c r="AD75" i="29"/>
  <c r="DG75" i="29"/>
  <c r="BQ75" i="29"/>
  <c r="DD75" i="29"/>
  <c r="X75" i="29"/>
  <c r="AC75" i="29"/>
  <c r="CZ75" i="29"/>
  <c r="BS75" i="29"/>
  <c r="V75" i="29"/>
  <c r="AB75" i="29" l="1"/>
  <c r="DE75" i="29"/>
  <c r="BL75" i="29"/>
  <c r="BP75" i="29"/>
  <c r="BS76" i="29"/>
  <c r="AC76" i="29"/>
  <c r="DD76" i="29"/>
  <c r="AD76" i="29"/>
  <c r="DB76" i="29"/>
  <c r="Y76" i="29"/>
  <c r="W76" i="29"/>
  <c r="BK76" i="29"/>
  <c r="CY76" i="29"/>
  <c r="DC76" i="29"/>
  <c r="BR76" i="29"/>
  <c r="DF76" i="29"/>
  <c r="AA76" i="29"/>
  <c r="V76" i="29"/>
  <c r="CZ76" i="29"/>
  <c r="X76" i="29"/>
  <c r="BQ76" i="29"/>
  <c r="DG76" i="29"/>
  <c r="CX76" i="29"/>
  <c r="Z76" i="29"/>
  <c r="BJ76" i="29"/>
  <c r="BO76" i="29"/>
  <c r="BM76" i="29"/>
  <c r="AE76" i="29"/>
  <c r="DA76" i="29"/>
  <c r="BN76" i="29"/>
  <c r="BL76" i="29" l="1"/>
  <c r="AB76" i="29"/>
  <c r="DE76" i="29"/>
  <c r="BP76" i="29"/>
  <c r="BN77" i="29"/>
  <c r="AE77" i="29"/>
  <c r="BJ77" i="29"/>
  <c r="BQ77" i="29"/>
  <c r="X77" i="29"/>
  <c r="AA77" i="29"/>
  <c r="BR77" i="29"/>
  <c r="DC77" i="29"/>
  <c r="CY77" i="29"/>
  <c r="BK77" i="29"/>
  <c r="DB77" i="29"/>
  <c r="AD77" i="29"/>
  <c r="DD77" i="29"/>
  <c r="AC77" i="29"/>
  <c r="DA77" i="29"/>
  <c r="BM77" i="29"/>
  <c r="BO77" i="29"/>
  <c r="Z77" i="29"/>
  <c r="CX77" i="29"/>
  <c r="DG77" i="29"/>
  <c r="CZ77" i="29"/>
  <c r="V77" i="29"/>
  <c r="DF77" i="29"/>
  <c r="W77" i="29"/>
  <c r="Y77" i="29"/>
  <c r="BS77" i="29"/>
  <c r="BL77" i="29" l="1"/>
  <c r="AB77" i="29"/>
  <c r="DE77" i="29"/>
  <c r="BP77" i="29"/>
  <c r="BS78" i="29"/>
  <c r="Y78" i="29"/>
  <c r="V78" i="29"/>
  <c r="CZ78" i="29"/>
  <c r="DG78" i="29"/>
  <c r="Z78" i="29"/>
  <c r="BO78" i="29"/>
  <c r="AD78" i="29"/>
  <c r="BK78" i="29"/>
  <c r="DC78" i="29"/>
  <c r="BR78" i="29"/>
  <c r="X78" i="29"/>
  <c r="BJ78" i="29"/>
  <c r="AE78" i="29"/>
  <c r="W78" i="29"/>
  <c r="DF78" i="29"/>
  <c r="CX78" i="29"/>
  <c r="BM78" i="29"/>
  <c r="DA78" i="29"/>
  <c r="AC78" i="29"/>
  <c r="DD78" i="29"/>
  <c r="DB78" i="29"/>
  <c r="CY78" i="29"/>
  <c r="AA78" i="29"/>
  <c r="BQ78" i="29"/>
  <c r="BN78" i="29"/>
  <c r="AB78" i="29" l="1"/>
  <c r="BL78" i="29"/>
  <c r="DE78" i="29"/>
  <c r="BP78" i="29"/>
  <c r="AA79" i="29"/>
  <c r="CY79" i="29"/>
  <c r="DB79" i="29"/>
  <c r="AC79" i="29"/>
  <c r="W79" i="29"/>
  <c r="BR79" i="29"/>
  <c r="BK79" i="29"/>
  <c r="AD79" i="29"/>
  <c r="Z79" i="29"/>
  <c r="V79" i="29"/>
  <c r="Y79" i="29"/>
  <c r="BN79" i="29"/>
  <c r="BQ79" i="29"/>
  <c r="DD79" i="29"/>
  <c r="DA79" i="29"/>
  <c r="BM79" i="29"/>
  <c r="CX79" i="29"/>
  <c r="DF79" i="29"/>
  <c r="AE79" i="29"/>
  <c r="BJ79" i="29"/>
  <c r="X79" i="29"/>
  <c r="DC79" i="29"/>
  <c r="BO79" i="29"/>
  <c r="DG79" i="29"/>
  <c r="CZ79" i="29"/>
  <c r="BS79" i="29"/>
  <c r="AB79" i="29" l="1"/>
  <c r="BL79" i="29"/>
  <c r="DE79" i="29"/>
  <c r="BP79" i="29"/>
  <c r="BO80" i="29"/>
  <c r="DC80" i="29"/>
  <c r="AE80" i="29"/>
  <c r="DF80" i="29"/>
  <c r="DA80" i="29"/>
  <c r="BN80" i="29"/>
  <c r="Y80" i="29"/>
  <c r="V80" i="29"/>
  <c r="Z80" i="29"/>
  <c r="BK80" i="29"/>
  <c r="DB80" i="29"/>
  <c r="AA80" i="29"/>
  <c r="BS80" i="29"/>
  <c r="CZ80" i="29"/>
  <c r="X80" i="29"/>
  <c r="CX80" i="29"/>
  <c r="DG80" i="29"/>
  <c r="BJ80" i="29"/>
  <c r="BM80" i="29"/>
  <c r="DD80" i="29"/>
  <c r="BQ80" i="29"/>
  <c r="AD80" i="29"/>
  <c r="BR80" i="29"/>
  <c r="W80" i="29"/>
  <c r="AC80" i="29"/>
  <c r="CY80" i="29"/>
  <c r="AB80" i="29" l="1"/>
  <c r="BL80" i="29"/>
  <c r="DE80" i="29"/>
  <c r="BP80" i="29"/>
  <c r="W81" i="29"/>
  <c r="AD81" i="29"/>
  <c r="BQ81" i="29"/>
  <c r="DD81" i="29"/>
  <c r="CX81" i="29"/>
  <c r="X81" i="29"/>
  <c r="CZ81" i="29"/>
  <c r="DB81" i="29"/>
  <c r="V81" i="29"/>
  <c r="BN81" i="29"/>
  <c r="DA81" i="29"/>
  <c r="AE81" i="29"/>
  <c r="BO81" i="29"/>
  <c r="CY81" i="29"/>
  <c r="AC81" i="29"/>
  <c r="BR81" i="29"/>
  <c r="BM81" i="29"/>
  <c r="BJ81" i="29"/>
  <c r="DG81" i="29"/>
  <c r="BS81" i="29"/>
  <c r="AA81" i="29"/>
  <c r="BK81" i="29"/>
  <c r="Z81" i="29"/>
  <c r="Y81" i="29"/>
  <c r="DF81" i="29"/>
  <c r="DC81" i="29"/>
  <c r="AB81" i="29" l="1"/>
  <c r="BL81" i="29"/>
  <c r="DE81" i="29"/>
  <c r="BP81" i="29"/>
  <c r="Y82" i="29"/>
  <c r="BK82" i="29"/>
  <c r="AA82" i="29"/>
  <c r="DG82" i="29"/>
  <c r="BJ82" i="29"/>
  <c r="BM82" i="29"/>
  <c r="AC82" i="29"/>
  <c r="CY82" i="29"/>
  <c r="AE82" i="29"/>
  <c r="BN82" i="29"/>
  <c r="DB82" i="29"/>
  <c r="CZ82" i="29"/>
  <c r="CX82" i="29"/>
  <c r="BQ82" i="29"/>
  <c r="DF82" i="29"/>
  <c r="DC82" i="29"/>
  <c r="Z82" i="29"/>
  <c r="BS82" i="29"/>
  <c r="BR82" i="29"/>
  <c r="BO82" i="29"/>
  <c r="DA82" i="29"/>
  <c r="V82" i="29"/>
  <c r="X82" i="29"/>
  <c r="DD82" i="29"/>
  <c r="AD82" i="29"/>
  <c r="W82" i="29"/>
  <c r="AB82" i="29" l="1"/>
  <c r="BP82" i="29"/>
  <c r="BL82" i="29"/>
  <c r="DE82" i="29"/>
  <c r="AD83" i="29"/>
  <c r="DD83" i="29"/>
  <c r="X83" i="29"/>
  <c r="V83" i="29"/>
  <c r="BO83" i="29"/>
  <c r="BS83" i="29"/>
  <c r="DF83" i="29"/>
  <c r="BQ83" i="29"/>
  <c r="CX83" i="29"/>
  <c r="DB83" i="29"/>
  <c r="AE83" i="29"/>
  <c r="AC83" i="29"/>
  <c r="BM83" i="29"/>
  <c r="DG83" i="29"/>
  <c r="Y83" i="29"/>
  <c r="W83" i="29"/>
  <c r="DA83" i="29"/>
  <c r="BR83" i="29"/>
  <c r="Z83" i="29"/>
  <c r="DC83" i="29"/>
  <c r="CZ83" i="29"/>
  <c r="BN83" i="29"/>
  <c r="CY83" i="29"/>
  <c r="BJ83" i="29"/>
  <c r="AA83" i="29"/>
  <c r="BK83" i="29"/>
  <c r="AB83" i="29" l="1"/>
  <c r="BP83" i="29"/>
  <c r="BL83" i="29"/>
  <c r="DE83" i="29"/>
  <c r="AA84" i="29"/>
  <c r="BN84" i="29"/>
  <c r="CZ84" i="29"/>
  <c r="Z84" i="29"/>
  <c r="AB84" i="29"/>
  <c r="DG84" i="29"/>
  <c r="AE84" i="29"/>
  <c r="DB84" i="29"/>
  <c r="BS84" i="29"/>
  <c r="V84" i="29"/>
  <c r="X84" i="29"/>
  <c r="DD84" i="29"/>
  <c r="BJ84" i="29"/>
  <c r="BK84" i="29"/>
  <c r="CY84" i="29"/>
  <c r="DC84" i="29"/>
  <c r="BR84" i="29"/>
  <c r="DA84" i="29"/>
  <c r="W84" i="29"/>
  <c r="Y84" i="29"/>
  <c r="BM84" i="29"/>
  <c r="AC84" i="29"/>
  <c r="CX84" i="29"/>
  <c r="BQ84" i="29"/>
  <c r="DF84" i="29"/>
  <c r="BO84" i="29"/>
  <c r="AD84" i="29"/>
  <c r="BP84" i="29" l="1"/>
  <c r="BL84" i="29"/>
  <c r="DE84" i="29"/>
  <c r="BQ85" i="29"/>
  <c r="BM85" i="29"/>
  <c r="Y85" i="29"/>
  <c r="DA85" i="29"/>
  <c r="DC85" i="29"/>
  <c r="CY85" i="29"/>
  <c r="BJ85" i="29"/>
  <c r="DD85" i="29"/>
  <c r="V85" i="29"/>
  <c r="AE85" i="29"/>
  <c r="DG85" i="29"/>
  <c r="AB85" i="29"/>
  <c r="CZ85" i="29"/>
  <c r="AD85" i="29"/>
  <c r="BO85" i="29"/>
  <c r="DF85" i="29"/>
  <c r="CX85" i="29"/>
  <c r="AC85" i="29"/>
  <c r="W85" i="29"/>
  <c r="BR85" i="29"/>
  <c r="BK85" i="29"/>
  <c r="X85" i="29"/>
  <c r="BS85" i="29"/>
  <c r="DB85" i="29"/>
  <c r="Z85" i="29"/>
  <c r="BN85" i="29"/>
  <c r="AA85" i="29"/>
  <c r="BP85" i="29" l="1"/>
  <c r="BL85" i="29"/>
  <c r="DE85" i="29"/>
  <c r="AA86" i="29"/>
  <c r="BP86" i="29"/>
  <c r="BR86" i="29"/>
  <c r="W86" i="29"/>
  <c r="AC86" i="29"/>
  <c r="DF86" i="29"/>
  <c r="BO86" i="29"/>
  <c r="AD86" i="29"/>
  <c r="CZ86" i="29"/>
  <c r="DG86" i="29"/>
  <c r="DD86" i="29"/>
  <c r="BM86" i="29"/>
  <c r="BQ86" i="29"/>
  <c r="BN86" i="29"/>
  <c r="Z86" i="29"/>
  <c r="DB86" i="29"/>
  <c r="BS86" i="29"/>
  <c r="X86" i="29"/>
  <c r="BK86" i="29"/>
  <c r="CX86" i="29"/>
  <c r="AB86" i="29"/>
  <c r="AE86" i="29"/>
  <c r="V86" i="29"/>
  <c r="BJ86" i="29"/>
  <c r="CY86" i="29"/>
  <c r="DC86" i="29"/>
  <c r="DA86" i="29"/>
  <c r="Y86" i="29"/>
  <c r="BL86" i="29" l="1"/>
  <c r="DE86" i="29"/>
  <c r="DA87" i="29"/>
  <c r="CY87" i="29"/>
  <c r="V87" i="29"/>
  <c r="AE87" i="29"/>
  <c r="AB87" i="29"/>
  <c r="BK87" i="29"/>
  <c r="BS87" i="29"/>
  <c r="Z87" i="29"/>
  <c r="BQ87" i="29"/>
  <c r="DD87" i="29"/>
  <c r="CZ87" i="29"/>
  <c r="BO87" i="29"/>
  <c r="AC87" i="29"/>
  <c r="BR87" i="29"/>
  <c r="Y87" i="29"/>
  <c r="DC87" i="29"/>
  <c r="BJ87" i="29"/>
  <c r="CX87" i="29"/>
  <c r="X87" i="29"/>
  <c r="DB87" i="29"/>
  <c r="BN87" i="29"/>
  <c r="BM87" i="29"/>
  <c r="DG87" i="29"/>
  <c r="AD87" i="29"/>
  <c r="DF87" i="29"/>
  <c r="W87" i="29"/>
  <c r="BP87" i="29"/>
  <c r="AA87" i="29"/>
  <c r="BL87" i="29" l="1"/>
  <c r="DE87" i="29"/>
  <c r="AA88" i="29"/>
  <c r="DF88" i="29"/>
  <c r="X88" i="29"/>
  <c r="BJ88" i="29"/>
  <c r="Y88" i="29"/>
  <c r="AC88" i="29"/>
  <c r="CZ88" i="29"/>
  <c r="BQ88" i="29"/>
  <c r="Z88" i="29"/>
  <c r="BS88" i="29"/>
  <c r="AB88" i="29"/>
  <c r="V88" i="29"/>
  <c r="DA88" i="29"/>
  <c r="BP88" i="29"/>
  <c r="W88" i="29"/>
  <c r="AD88" i="29"/>
  <c r="DG88" i="29"/>
  <c r="BM88" i="29"/>
  <c r="BN88" i="29"/>
  <c r="DB88" i="29"/>
  <c r="CX88" i="29"/>
  <c r="DC88" i="29"/>
  <c r="BR88" i="29"/>
  <c r="BO88" i="29"/>
  <c r="DD88" i="29"/>
  <c r="BK88" i="29"/>
  <c r="AE88" i="29"/>
  <c r="CY88" i="29"/>
  <c r="DE88" i="29" l="1"/>
  <c r="BL88" i="29"/>
  <c r="BR89" i="29"/>
  <c r="DC89" i="29"/>
  <c r="DE89" i="29"/>
  <c r="BN89" i="29"/>
  <c r="AD89" i="29"/>
  <c r="DA89" i="29"/>
  <c r="AB89" i="29"/>
  <c r="Z89" i="29"/>
  <c r="CZ89" i="29"/>
  <c r="BJ89" i="29"/>
  <c r="X89" i="29"/>
  <c r="DF89" i="29"/>
  <c r="AE89" i="29"/>
  <c r="CY89" i="29"/>
  <c r="BK89" i="29"/>
  <c r="DD89" i="29"/>
  <c r="BO89" i="29"/>
  <c r="CX89" i="29"/>
  <c r="DB89" i="29"/>
  <c r="BM89" i="29"/>
  <c r="DG89" i="29"/>
  <c r="W89" i="29"/>
  <c r="BP89" i="29"/>
  <c r="V89" i="29"/>
  <c r="BS89" i="29"/>
  <c r="BQ89" i="29"/>
  <c r="AC89" i="29"/>
  <c r="Y89" i="29"/>
  <c r="AA89" i="29"/>
  <c r="BL89" i="29" l="1"/>
  <c r="BS90" i="29"/>
  <c r="V90" i="29"/>
  <c r="W90" i="29"/>
  <c r="BM90" i="29"/>
  <c r="CX90" i="29"/>
  <c r="BO90" i="29"/>
  <c r="AE90" i="29"/>
  <c r="DF90" i="29"/>
  <c r="CZ90" i="29"/>
  <c r="Z90" i="29"/>
  <c r="AB90" i="29"/>
  <c r="DC90" i="29"/>
  <c r="BR90" i="29"/>
  <c r="AA90" i="29"/>
  <c r="Y90" i="29"/>
  <c r="AC90" i="29"/>
  <c r="BQ90" i="29"/>
  <c r="BP90" i="29"/>
  <c r="DG90" i="29"/>
  <c r="DB90" i="29"/>
  <c r="DD90" i="29"/>
  <c r="BK90" i="29"/>
  <c r="CY90" i="29"/>
  <c r="X90" i="29"/>
  <c r="BJ90" i="29"/>
  <c r="DA90" i="29"/>
  <c r="AD90" i="29"/>
  <c r="BN90" i="29"/>
  <c r="DE90" i="29"/>
  <c r="BL90" i="29" l="1"/>
  <c r="DE91" i="29"/>
  <c r="AD91" i="29"/>
  <c r="X91" i="29"/>
  <c r="BK91" i="29"/>
  <c r="DB91" i="29"/>
  <c r="BP91" i="29"/>
  <c r="BQ91" i="29"/>
  <c r="Y91" i="29"/>
  <c r="AA91" i="29"/>
  <c r="DC91" i="29"/>
  <c r="AB91" i="29"/>
  <c r="CZ91" i="29"/>
  <c r="DF91" i="29"/>
  <c r="BO91" i="29"/>
  <c r="CX91" i="29"/>
  <c r="W91" i="29"/>
  <c r="BS91" i="29"/>
  <c r="BN91" i="29"/>
  <c r="DA91" i="29"/>
  <c r="BJ91" i="29"/>
  <c r="CY91" i="29"/>
  <c r="DD91" i="29"/>
  <c r="DG91" i="29"/>
  <c r="AC91" i="29"/>
  <c r="BR91" i="29"/>
  <c r="Z91" i="29"/>
  <c r="AE91" i="29"/>
  <c r="BM91" i="29"/>
  <c r="V91" i="29"/>
  <c r="BL91" i="29" l="1"/>
  <c r="BM92" i="29"/>
  <c r="Z92" i="29"/>
  <c r="CY92" i="29"/>
  <c r="BJ92" i="29"/>
  <c r="DA92" i="29"/>
  <c r="BS92" i="29"/>
  <c r="CX92" i="29"/>
  <c r="BL92" i="29"/>
  <c r="AB92" i="29"/>
  <c r="DC92" i="29"/>
  <c r="AA92" i="29"/>
  <c r="Y92" i="29"/>
  <c r="BP92" i="29"/>
  <c r="AD92" i="29"/>
  <c r="V92" i="29"/>
  <c r="AE92" i="29"/>
  <c r="BR92" i="29"/>
  <c r="AC92" i="29"/>
  <c r="DG92" i="29"/>
  <c r="DD92" i="29"/>
  <c r="BN92" i="29"/>
  <c r="W92" i="29"/>
  <c r="BO92" i="29"/>
  <c r="DF92" i="29"/>
  <c r="CZ92" i="29"/>
  <c r="BQ92" i="29"/>
  <c r="DB92" i="29"/>
  <c r="BK92" i="29"/>
  <c r="X92" i="29"/>
  <c r="DE92" i="29"/>
  <c r="BK93" i="29" l="1"/>
  <c r="BQ93" i="29"/>
  <c r="CZ93" i="29"/>
  <c r="BO93" i="29"/>
  <c r="BN93" i="29"/>
  <c r="DG93" i="29"/>
  <c r="AE93" i="29"/>
  <c r="V93" i="29"/>
  <c r="AD93" i="29"/>
  <c r="BP93" i="29"/>
  <c r="AA93" i="29"/>
  <c r="AB93" i="29"/>
  <c r="BL93" i="29"/>
  <c r="BS93" i="29"/>
  <c r="BJ93" i="29"/>
  <c r="BM93" i="29"/>
  <c r="DE93" i="29"/>
  <c r="X93" i="29"/>
  <c r="DB93" i="29"/>
  <c r="DF93" i="29"/>
  <c r="W93" i="29"/>
  <c r="DD93" i="29"/>
  <c r="AC93" i="29"/>
  <c r="BR93" i="29"/>
  <c r="Y93" i="29"/>
  <c r="DC93" i="29"/>
  <c r="CX93" i="29"/>
  <c r="DA93" i="29"/>
  <c r="CY93" i="29"/>
  <c r="Z93" i="29"/>
  <c r="DA94" i="29" l="1"/>
  <c r="CX94" i="29"/>
  <c r="DC94" i="29"/>
  <c r="BR94" i="29"/>
  <c r="DD94" i="29"/>
  <c r="DF94" i="29"/>
  <c r="X94" i="29"/>
  <c r="BM94" i="29"/>
  <c r="BL94" i="29"/>
  <c r="AA94" i="29"/>
  <c r="AE94" i="29"/>
  <c r="CZ94" i="29"/>
  <c r="BQ94" i="29"/>
  <c r="Z94" i="29"/>
  <c r="CY94" i="29"/>
  <c r="Y94" i="29"/>
  <c r="AC94" i="29"/>
  <c r="W94" i="29"/>
  <c r="DB94" i="29"/>
  <c r="DE94" i="29"/>
  <c r="BJ94" i="29"/>
  <c r="BS94" i="29"/>
  <c r="AB94" i="29"/>
  <c r="BP94" i="29"/>
  <c r="AD94" i="29"/>
  <c r="V94" i="29"/>
  <c r="DG94" i="29"/>
  <c r="BN94" i="29"/>
  <c r="BO94" i="29"/>
  <c r="BK94" i="29"/>
  <c r="BN95" i="29" l="1"/>
  <c r="AD95" i="29"/>
  <c r="AB95" i="29"/>
  <c r="BJ95" i="29"/>
  <c r="DB95" i="29"/>
  <c r="W95" i="29"/>
  <c r="AC95" i="29"/>
  <c r="Y95" i="29"/>
  <c r="Z95" i="29"/>
  <c r="BQ95" i="29"/>
  <c r="AA95" i="29"/>
  <c r="X95" i="29"/>
  <c r="DF95" i="29"/>
  <c r="DD95" i="29"/>
  <c r="CX95" i="29"/>
  <c r="BK95" i="29"/>
  <c r="BO95" i="29"/>
  <c r="DG95" i="29"/>
  <c r="V95" i="29"/>
  <c r="BP95" i="29"/>
  <c r="BS95" i="29"/>
  <c r="DE95" i="29"/>
  <c r="CY95" i="29"/>
  <c r="CZ95" i="29"/>
  <c r="AE95" i="29"/>
  <c r="BL95" i="29"/>
  <c r="BM95" i="29"/>
  <c r="BR95" i="29"/>
  <c r="DC95" i="29"/>
  <c r="DA95" i="29"/>
  <c r="DC96" i="29" l="1"/>
  <c r="BR96" i="29"/>
  <c r="CY96" i="29"/>
  <c r="DE96" i="29"/>
  <c r="BS96" i="29"/>
  <c r="V96" i="29"/>
  <c r="BO96" i="29"/>
  <c r="CX96" i="29"/>
  <c r="DF96" i="29"/>
  <c r="AA96" i="29"/>
  <c r="BQ96" i="29"/>
  <c r="Y96" i="29"/>
  <c r="AC96" i="29"/>
  <c r="DB96" i="29"/>
  <c r="BJ96" i="29"/>
  <c r="AD96" i="29"/>
  <c r="BN96" i="29"/>
  <c r="DA96" i="29"/>
  <c r="BM96" i="29"/>
  <c r="BL96" i="29"/>
  <c r="AE96" i="29"/>
  <c r="CZ96" i="29"/>
  <c r="BP96" i="29"/>
  <c r="DG96" i="29"/>
  <c r="BK96" i="29"/>
  <c r="DD96" i="29"/>
  <c r="X96" i="29"/>
  <c r="Z96" i="29"/>
  <c r="W96" i="29"/>
  <c r="AB96" i="29"/>
  <c r="AB97" i="29" l="1"/>
  <c r="W97" i="29"/>
  <c r="DD97" i="29"/>
  <c r="DG97" i="29"/>
  <c r="AE97" i="29"/>
  <c r="BM97" i="29"/>
  <c r="AD97" i="29"/>
  <c r="DB97" i="29"/>
  <c r="Y97" i="29"/>
  <c r="BQ97" i="29"/>
  <c r="AA97" i="29"/>
  <c r="DF97" i="29"/>
  <c r="CX97" i="29"/>
  <c r="BO97" i="29"/>
  <c r="BS97" i="29"/>
  <c r="CY97" i="29"/>
  <c r="BR97" i="29"/>
  <c r="Z97" i="29"/>
  <c r="X97" i="29"/>
  <c r="BK97" i="29"/>
  <c r="BP97" i="29"/>
  <c r="CZ97" i="29"/>
  <c r="BL97" i="29"/>
  <c r="DA97" i="29"/>
  <c r="BN97" i="29"/>
  <c r="BJ97" i="29"/>
  <c r="AC97" i="29"/>
  <c r="V97" i="29"/>
  <c r="DE97" i="29"/>
  <c r="DC97" i="29"/>
  <c r="DC98" i="29" l="1"/>
  <c r="V98" i="29"/>
  <c r="AC98" i="29"/>
  <c r="BN98" i="29"/>
  <c r="CZ98" i="29"/>
  <c r="BK98" i="29"/>
  <c r="Z98" i="29"/>
  <c r="BR98" i="29"/>
  <c r="BO98" i="29"/>
  <c r="DF98" i="29"/>
  <c r="BQ98" i="29"/>
  <c r="DB98" i="29"/>
  <c r="BM98" i="29"/>
  <c r="AB98" i="29"/>
  <c r="DE98" i="29"/>
  <c r="BJ98" i="29"/>
  <c r="DA98" i="29"/>
  <c r="BL98" i="29"/>
  <c r="BP98" i="29"/>
  <c r="X98" i="29"/>
  <c r="CY98" i="29"/>
  <c r="BS98" i="29"/>
  <c r="CX98" i="29"/>
  <c r="AA98" i="29"/>
  <c r="Y98" i="29"/>
  <c r="AD98" i="29"/>
  <c r="AE98" i="29"/>
  <c r="DG98" i="29"/>
  <c r="DD98" i="29"/>
  <c r="W98" i="29"/>
  <c r="DD99" i="29" l="1"/>
  <c r="DG99" i="29"/>
  <c r="AE99" i="29"/>
  <c r="AD99" i="29"/>
  <c r="AA99" i="29"/>
  <c r="BS99" i="29"/>
  <c r="X99" i="29"/>
  <c r="DA99" i="29"/>
  <c r="AB99" i="29"/>
  <c r="BM99" i="29"/>
  <c r="DB99" i="29"/>
  <c r="DF99" i="29"/>
  <c r="BR99" i="29"/>
  <c r="BK99" i="29"/>
  <c r="CZ99" i="29"/>
  <c r="BN99" i="29"/>
  <c r="V99" i="29"/>
  <c r="W99" i="29"/>
  <c r="Y99" i="29"/>
  <c r="CX99" i="29"/>
  <c r="CY99" i="29"/>
  <c r="BP99" i="29"/>
  <c r="BL99" i="29"/>
  <c r="BJ99" i="29"/>
  <c r="DE99" i="29"/>
  <c r="BQ99" i="29"/>
  <c r="BO99" i="29"/>
  <c r="Z99" i="29"/>
  <c r="AC99" i="29"/>
  <c r="DC99" i="29"/>
  <c r="DC100" i="29" l="1"/>
  <c r="Z100" i="29"/>
  <c r="BO100" i="29"/>
  <c r="DE100" i="29"/>
  <c r="BJ100" i="29"/>
  <c r="BP100" i="29"/>
  <c r="CY100" i="29"/>
  <c r="Y100" i="29"/>
  <c r="CZ100" i="29"/>
  <c r="BR100" i="29"/>
  <c r="DF100" i="29"/>
  <c r="BM100" i="29"/>
  <c r="DA100" i="29"/>
  <c r="X100" i="29"/>
  <c r="BS100" i="29"/>
  <c r="AD100" i="29"/>
  <c r="DG100" i="29"/>
  <c r="DD100" i="29"/>
  <c r="AC100" i="29"/>
  <c r="BQ100" i="29"/>
  <c r="BL100" i="29"/>
  <c r="CX100" i="29"/>
  <c r="W100" i="29"/>
  <c r="V100" i="29"/>
  <c r="BN100" i="29"/>
  <c r="BK100" i="29"/>
  <c r="DB100" i="29"/>
  <c r="AB100" i="29"/>
  <c r="AA100" i="29"/>
  <c r="AE100" i="29"/>
  <c r="AA101" i="29" l="1"/>
  <c r="BN101" i="29"/>
  <c r="W101" i="29"/>
  <c r="CX101" i="29"/>
  <c r="BL101" i="29"/>
  <c r="AC101" i="29"/>
  <c r="DD101" i="29"/>
  <c r="DG101" i="29"/>
  <c r="BS101" i="29"/>
  <c r="DA101" i="29"/>
  <c r="BM101" i="29"/>
  <c r="BR101" i="29"/>
  <c r="CY101" i="29"/>
  <c r="BJ101" i="29"/>
  <c r="Z101" i="29"/>
  <c r="AE101" i="29"/>
  <c r="AB101" i="29"/>
  <c r="DB101" i="29"/>
  <c r="BK101" i="29"/>
  <c r="V101" i="29"/>
  <c r="BQ101" i="29"/>
  <c r="AD101" i="29"/>
  <c r="X101" i="29"/>
  <c r="DF101" i="29"/>
  <c r="CZ101" i="29"/>
  <c r="Y101" i="29"/>
  <c r="BP101" i="29"/>
  <c r="DE101" i="29"/>
  <c r="BO101" i="29"/>
  <c r="DC101" i="29"/>
  <c r="DC102" i="29" l="1"/>
  <c r="BO102" i="29"/>
  <c r="DE102" i="29"/>
  <c r="Y102" i="29"/>
  <c r="CZ102" i="29"/>
  <c r="X102" i="29"/>
  <c r="V102" i="29"/>
  <c r="DB102" i="29"/>
  <c r="AE102" i="29"/>
  <c r="BJ102" i="29"/>
  <c r="BR102" i="29"/>
  <c r="BS102" i="29"/>
  <c r="DD102" i="29"/>
  <c r="CX102" i="29"/>
  <c r="BN102" i="29"/>
  <c r="BP102" i="29"/>
  <c r="DF102" i="29"/>
  <c r="AD102" i="29"/>
  <c r="BQ102" i="29"/>
  <c r="BK102" i="29"/>
  <c r="AB102" i="29"/>
  <c r="Z102" i="29"/>
  <c r="CY102" i="29"/>
  <c r="BM102" i="29"/>
  <c r="DA102" i="29"/>
  <c r="DG102" i="29"/>
  <c r="AC102" i="29"/>
  <c r="BL102" i="29"/>
  <c r="W102" i="29"/>
  <c r="AA102" i="29"/>
  <c r="W103" i="29" l="1"/>
  <c r="DG103" i="29"/>
  <c r="BM103" i="29"/>
  <c r="CY103" i="29"/>
  <c r="Z103" i="29"/>
  <c r="BK103" i="29"/>
  <c r="CX103" i="29"/>
  <c r="BS103" i="29"/>
  <c r="BR103" i="29"/>
  <c r="BJ103" i="29"/>
  <c r="V103" i="29"/>
  <c r="Y103" i="29"/>
  <c r="BO103" i="29"/>
  <c r="AA103" i="29"/>
  <c r="BL103" i="29"/>
  <c r="AC103" i="29"/>
  <c r="DA103" i="29"/>
  <c r="AB103" i="29"/>
  <c r="BQ103" i="29"/>
  <c r="AD103" i="29"/>
  <c r="DF103" i="29"/>
  <c r="BP103" i="29"/>
  <c r="BN103" i="29"/>
  <c r="DD103" i="29"/>
  <c r="AE103" i="29"/>
  <c r="DB103" i="29"/>
  <c r="X103" i="29"/>
  <c r="CZ103" i="29"/>
  <c r="DE103" i="29"/>
  <c r="DC103" i="29"/>
  <c r="DC104" i="29" l="1"/>
  <c r="CZ104" i="29"/>
  <c r="DB104" i="29"/>
  <c r="BP104" i="29"/>
  <c r="AD104" i="29"/>
  <c r="AC104" i="29"/>
  <c r="BO104" i="29"/>
  <c r="BJ104" i="29"/>
  <c r="BS104" i="29"/>
  <c r="CX104" i="29"/>
  <c r="BK104" i="29"/>
  <c r="Z104" i="29"/>
  <c r="BM104" i="29"/>
  <c r="DE104" i="29"/>
  <c r="X104" i="29"/>
  <c r="AE104" i="29"/>
  <c r="DD104" i="29"/>
  <c r="BN104" i="29"/>
  <c r="DF104" i="29"/>
  <c r="BQ104" i="29"/>
  <c r="AB104" i="29"/>
  <c r="DA104" i="29"/>
  <c r="BL104" i="29"/>
  <c r="AA104" i="29"/>
  <c r="Y104" i="29"/>
  <c r="V104" i="29"/>
  <c r="BR104" i="29"/>
  <c r="CY104" i="29"/>
  <c r="DG104" i="29"/>
  <c r="W104" i="29"/>
  <c r="DG105" i="29" l="1"/>
  <c r="BR105" i="29"/>
  <c r="V105" i="29"/>
  <c r="Y105" i="29"/>
  <c r="BL105" i="29"/>
  <c r="BQ105" i="29"/>
  <c r="DD105" i="29"/>
  <c r="AE105" i="29"/>
  <c r="X105" i="29"/>
  <c r="BM105" i="29"/>
  <c r="BK105" i="29"/>
  <c r="CX105" i="29"/>
  <c r="BJ105" i="29"/>
  <c r="BO105" i="29"/>
  <c r="AC105" i="29"/>
  <c r="AD105" i="29"/>
  <c r="DB105" i="29"/>
  <c r="CZ105" i="29"/>
  <c r="W105" i="29"/>
  <c r="CY105" i="29"/>
  <c r="AA105" i="29"/>
  <c r="DA105" i="29"/>
  <c r="AB105" i="29"/>
  <c r="DF105" i="29"/>
  <c r="BN105" i="29"/>
  <c r="DE105" i="29"/>
  <c r="Z105" i="29"/>
  <c r="BS105" i="29"/>
  <c r="BP105" i="29"/>
  <c r="DC105" i="29"/>
  <c r="DC106" i="29" l="1"/>
  <c r="BP106" i="29"/>
  <c r="BS106" i="29"/>
  <c r="BN106" i="29"/>
  <c r="AB106" i="29"/>
  <c r="AA106" i="29"/>
  <c r="CY106" i="29"/>
  <c r="CZ106" i="29"/>
  <c r="AD106" i="29"/>
  <c r="AC106" i="29"/>
  <c r="CX106" i="29"/>
  <c r="BK106" i="29"/>
  <c r="AE106" i="29"/>
  <c r="Y106" i="29"/>
  <c r="BR106" i="29"/>
  <c r="DG106" i="29"/>
  <c r="Z106" i="29"/>
  <c r="DE106" i="29"/>
  <c r="DF106" i="29"/>
  <c r="DA106" i="29"/>
  <c r="W106" i="29"/>
  <c r="DB106" i="29"/>
  <c r="BO106" i="29"/>
  <c r="BJ106" i="29"/>
  <c r="BM106" i="29"/>
  <c r="X106" i="29"/>
  <c r="DD106" i="29"/>
  <c r="BQ106" i="29"/>
  <c r="BL106" i="29"/>
  <c r="V106" i="29"/>
  <c r="V107" i="29" l="1"/>
  <c r="X107" i="29"/>
  <c r="BO107" i="29"/>
  <c r="W107" i="29"/>
  <c r="DA107" i="29"/>
  <c r="Z107" i="29"/>
  <c r="BL107" i="29"/>
  <c r="DD107" i="29"/>
  <c r="BM107" i="29"/>
  <c r="BJ107" i="29"/>
  <c r="DB107" i="29"/>
  <c r="DF107" i="29"/>
  <c r="DE107" i="29"/>
  <c r="DG107" i="29"/>
  <c r="BR107" i="29"/>
  <c r="AE107" i="29"/>
  <c r="BK107" i="29"/>
  <c r="AD107" i="29"/>
  <c r="CZ107" i="29"/>
  <c r="AA107" i="29"/>
  <c r="BN107" i="29"/>
  <c r="BS107" i="29"/>
  <c r="BQ107" i="29"/>
  <c r="Y107" i="29"/>
  <c r="CX107" i="29"/>
  <c r="AC107" i="29"/>
  <c r="CY107" i="29"/>
  <c r="AB107" i="29"/>
  <c r="BP107" i="29"/>
  <c r="DC107" i="29"/>
  <c r="BP108" i="29" l="1"/>
  <c r="AB108" i="29"/>
  <c r="AC108" i="29"/>
  <c r="DC108" i="29"/>
  <c r="CX108" i="29"/>
  <c r="BQ108" i="29"/>
  <c r="BS108" i="29"/>
  <c r="BN108" i="29"/>
  <c r="AD108" i="29"/>
  <c r="BK108" i="29"/>
  <c r="DG108" i="29"/>
  <c r="DE108" i="29"/>
  <c r="DB108" i="29"/>
  <c r="BJ108" i="29"/>
  <c r="DD108" i="29"/>
  <c r="Z108" i="29"/>
  <c r="W108" i="29"/>
  <c r="X108" i="29"/>
  <c r="CY108" i="29"/>
  <c r="Y108" i="29"/>
  <c r="AA108" i="29"/>
  <c r="CZ108" i="29"/>
  <c r="AE108" i="29"/>
  <c r="BR108" i="29"/>
  <c r="DF108" i="29"/>
  <c r="BM108" i="29"/>
  <c r="BL108" i="29"/>
  <c r="DA108" i="29"/>
  <c r="BO108" i="29"/>
  <c r="V108" i="29"/>
  <c r="Y109" i="29" l="1"/>
  <c r="BN109" i="29"/>
  <c r="V109" i="29"/>
  <c r="DA109" i="29"/>
  <c r="BL109" i="29"/>
  <c r="DF109" i="29"/>
  <c r="AE109" i="29"/>
  <c r="CZ109" i="29"/>
  <c r="CY109" i="29"/>
  <c r="X109" i="29"/>
  <c r="Z109" i="29"/>
  <c r="DD109" i="29"/>
  <c r="DB109" i="29"/>
  <c r="DE109" i="29"/>
  <c r="DG109" i="29"/>
  <c r="BK109" i="29"/>
  <c r="BS109" i="29"/>
  <c r="BQ109" i="29"/>
  <c r="DC109" i="29"/>
  <c r="AB109" i="29"/>
  <c r="BO109" i="29"/>
  <c r="BM109" i="29"/>
  <c r="BR109" i="29"/>
  <c r="AA109" i="29"/>
  <c r="W109" i="29"/>
  <c r="BJ109" i="29"/>
  <c r="AD109" i="29"/>
  <c r="CX109" i="29"/>
  <c r="AC109" i="29"/>
  <c r="BP109" i="29"/>
  <c r="AC110" i="29" l="1"/>
  <c r="W110" i="29"/>
  <c r="BM110" i="29"/>
  <c r="BQ110" i="29"/>
  <c r="BP110" i="29"/>
  <c r="CX110" i="29"/>
  <c r="AD110" i="29"/>
  <c r="BJ110" i="29"/>
  <c r="BR110" i="29"/>
  <c r="BO110" i="29"/>
  <c r="DC110" i="29"/>
  <c r="BS110" i="29"/>
  <c r="BK110" i="29"/>
  <c r="DE110" i="29"/>
  <c r="DD110" i="29"/>
  <c r="X110" i="29"/>
  <c r="AE110" i="29"/>
  <c r="DF110" i="29"/>
  <c r="BL110" i="29"/>
  <c r="V110" i="29"/>
  <c r="AA110" i="29"/>
  <c r="AB110" i="29"/>
  <c r="DG110" i="29"/>
  <c r="DB110" i="29"/>
  <c r="Z110" i="29"/>
  <c r="CY110" i="29"/>
  <c r="CZ110" i="29"/>
  <c r="DA110" i="29"/>
  <c r="BN110" i="29"/>
  <c r="Y110" i="29"/>
  <c r="CZ111" i="29" l="1"/>
  <c r="CY111" i="29"/>
  <c r="DB111" i="29"/>
  <c r="AB111" i="29"/>
  <c r="DA111" i="29"/>
  <c r="Z111" i="29"/>
  <c r="DG111" i="29"/>
  <c r="AA111" i="29"/>
  <c r="BL111" i="29"/>
  <c r="AE111" i="29"/>
  <c r="DD111" i="29"/>
  <c r="BK111" i="29"/>
  <c r="DC111" i="29"/>
  <c r="BO111" i="29"/>
  <c r="AD111" i="29"/>
  <c r="CX111" i="29"/>
  <c r="BQ111" i="29"/>
  <c r="W111" i="29"/>
  <c r="Y111" i="29"/>
  <c r="BN111" i="29"/>
  <c r="V111" i="29"/>
  <c r="DF111" i="29"/>
  <c r="X111" i="29"/>
  <c r="DE111" i="29"/>
  <c r="BS111" i="29"/>
  <c r="BR111" i="29"/>
  <c r="BJ111" i="29"/>
  <c r="BP111" i="29"/>
  <c r="BM111" i="29"/>
  <c r="AC111" i="29"/>
  <c r="AC112" i="29" l="1"/>
  <c r="BM112" i="29"/>
  <c r="BP112" i="29"/>
  <c r="BR112" i="29"/>
  <c r="DE112" i="29"/>
  <c r="V112" i="29"/>
  <c r="BN112" i="29"/>
  <c r="W112" i="29"/>
  <c r="BQ112" i="29"/>
  <c r="CX112" i="29"/>
  <c r="DC112" i="29"/>
  <c r="BK112" i="29"/>
  <c r="BL112" i="29"/>
  <c r="Z112" i="29"/>
  <c r="DB112" i="29"/>
  <c r="CZ112" i="29"/>
  <c r="BJ112" i="29"/>
  <c r="BS112" i="29"/>
  <c r="X112" i="29"/>
  <c r="DF112" i="29"/>
  <c r="Y112" i="29"/>
  <c r="AD112" i="29"/>
  <c r="BO112" i="29"/>
  <c r="DD112" i="29"/>
  <c r="AE112" i="29"/>
  <c r="AA112" i="29"/>
  <c r="DG112" i="29"/>
  <c r="DA112" i="29"/>
  <c r="AB112" i="29"/>
  <c r="CY112" i="29"/>
  <c r="AB113" i="29" l="1"/>
  <c r="AA113" i="29"/>
  <c r="DD113" i="29"/>
  <c r="BO113" i="29"/>
  <c r="DF113" i="29"/>
  <c r="BS113" i="29"/>
  <c r="BJ113" i="29"/>
  <c r="CZ113" i="29"/>
  <c r="Z113" i="29"/>
  <c r="BL113" i="29"/>
  <c r="BK113" i="29"/>
  <c r="BQ113" i="29"/>
  <c r="BM113" i="29"/>
  <c r="CY113" i="29"/>
  <c r="DA113" i="29"/>
  <c r="DG113" i="29"/>
  <c r="AE113" i="29"/>
  <c r="AD113" i="29"/>
  <c r="Y113" i="29"/>
  <c r="X113" i="29"/>
  <c r="DB113" i="29"/>
  <c r="DC113" i="29"/>
  <c r="CX113" i="29"/>
  <c r="W113" i="29"/>
  <c r="BN113" i="29"/>
  <c r="V113" i="29"/>
  <c r="DE113" i="29"/>
  <c r="BR113" i="29"/>
  <c r="BP113" i="29"/>
  <c r="AC113" i="29"/>
  <c r="AC114" i="29" l="1"/>
  <c r="BR114" i="29"/>
  <c r="V114" i="29"/>
  <c r="W114" i="29"/>
  <c r="DC114" i="29"/>
  <c r="DA114" i="29"/>
  <c r="CY114" i="29"/>
  <c r="BM114" i="29"/>
  <c r="BQ114" i="29"/>
  <c r="BK114" i="29"/>
  <c r="CZ114" i="29"/>
  <c r="BJ114" i="29"/>
  <c r="DF114" i="29"/>
  <c r="BO114" i="29"/>
  <c r="AB114" i="29"/>
  <c r="BP114" i="29"/>
  <c r="DE114" i="29"/>
  <c r="BN114" i="29"/>
  <c r="CX114" i="29"/>
  <c r="DB114" i="29"/>
  <c r="X114" i="29"/>
  <c r="Y114" i="29"/>
  <c r="AD114" i="29"/>
  <c r="AE114" i="29"/>
  <c r="DG114" i="29"/>
  <c r="BL114" i="29"/>
  <c r="Z114" i="29"/>
  <c r="BS114" i="29"/>
  <c r="DD114" i="29"/>
  <c r="AA114" i="29"/>
  <c r="AA115" i="29" l="1"/>
  <c r="BS115" i="29"/>
  <c r="BL115" i="29"/>
  <c r="DG115" i="29"/>
  <c r="AD115" i="29"/>
  <c r="X115" i="29"/>
  <c r="DB115" i="29"/>
  <c r="BN115" i="29"/>
  <c r="BP115" i="29"/>
  <c r="BO115" i="29"/>
  <c r="DF115" i="29"/>
  <c r="CZ115" i="29"/>
  <c r="BQ115" i="29"/>
  <c r="CY115" i="29"/>
  <c r="DC115" i="29"/>
  <c r="V115" i="29"/>
  <c r="AC115" i="29"/>
  <c r="DD115" i="29"/>
  <c r="Z115" i="29"/>
  <c r="AE115" i="29"/>
  <c r="Y115" i="29"/>
  <c r="CX115" i="29"/>
  <c r="DE115" i="29"/>
  <c r="AB115" i="29"/>
  <c r="BJ115" i="29"/>
  <c r="BK115" i="29"/>
  <c r="BM115" i="29"/>
  <c r="DA115" i="29"/>
  <c r="W115" i="29"/>
  <c r="BR115" i="29"/>
  <c r="W116" i="29" l="1"/>
  <c r="BM116" i="29"/>
  <c r="BK116" i="29"/>
  <c r="BJ116" i="29"/>
  <c r="DE116" i="29"/>
  <c r="Y116" i="29"/>
  <c r="DD116" i="29"/>
  <c r="AC116" i="29"/>
  <c r="DC116" i="29"/>
  <c r="DF116" i="29"/>
  <c r="BN116" i="29"/>
  <c r="DB116" i="29"/>
  <c r="AD116" i="29"/>
  <c r="BL116" i="29"/>
  <c r="BS116" i="29"/>
  <c r="AA116" i="29"/>
  <c r="BR116" i="29"/>
  <c r="DA116" i="29"/>
  <c r="AB116" i="29"/>
  <c r="CX116" i="29"/>
  <c r="AE116" i="29"/>
  <c r="Z116" i="29"/>
  <c r="V116" i="29"/>
  <c r="CY116" i="29"/>
  <c r="BQ116" i="29"/>
  <c r="CZ116" i="29"/>
  <c r="BO116" i="29"/>
  <c r="BP116" i="29"/>
  <c r="X116" i="29"/>
  <c r="DG116" i="29"/>
  <c r="X117" i="29" l="1"/>
  <c r="BP117" i="29"/>
  <c r="CZ117" i="29"/>
  <c r="CY117" i="29"/>
  <c r="Z117" i="29"/>
  <c r="AE117" i="29"/>
  <c r="CX117" i="29"/>
  <c r="BR117" i="29"/>
  <c r="AA117" i="29"/>
  <c r="BL117" i="29"/>
  <c r="AD117" i="29"/>
  <c r="BN117" i="29"/>
  <c r="DF117" i="29"/>
  <c r="AC117" i="29"/>
  <c r="BK117" i="29"/>
  <c r="W117" i="29"/>
  <c r="DG117" i="29"/>
  <c r="BO117" i="29"/>
  <c r="BQ117" i="29"/>
  <c r="V117" i="29"/>
  <c r="AB117" i="29"/>
  <c r="DA117" i="29"/>
  <c r="BS117" i="29"/>
  <c r="DB117" i="29"/>
  <c r="DC117" i="29"/>
  <c r="DD117" i="29"/>
  <c r="Y117" i="29"/>
  <c r="DE117" i="29"/>
  <c r="BJ117" i="29"/>
  <c r="BM117" i="29"/>
  <c r="BM118" i="29" l="1"/>
  <c r="DE118" i="29"/>
  <c r="DC118" i="29"/>
  <c r="DB118" i="29"/>
  <c r="BS118" i="29"/>
  <c r="BO118" i="29"/>
  <c r="DG118" i="29"/>
  <c r="W118" i="29"/>
  <c r="BK118" i="29"/>
  <c r="DF118" i="29"/>
  <c r="AD118" i="29"/>
  <c r="AA118" i="29"/>
  <c r="AE118" i="29"/>
  <c r="CZ118" i="29"/>
  <c r="X118" i="29"/>
  <c r="BJ118" i="29"/>
  <c r="Y118" i="29"/>
  <c r="DD118" i="29"/>
  <c r="DA118" i="29"/>
  <c r="AB118" i="29"/>
  <c r="V118" i="29"/>
  <c r="BQ118" i="29"/>
  <c r="AC118" i="29"/>
  <c r="BN118" i="29"/>
  <c r="BL118" i="29"/>
  <c r="BR118" i="29"/>
  <c r="CX118" i="29"/>
  <c r="Z118" i="29"/>
  <c r="CY118" i="29"/>
  <c r="BP118" i="29"/>
  <c r="BP119" i="29" l="1"/>
  <c r="Z119" i="29"/>
  <c r="BL119" i="29"/>
  <c r="V119" i="29"/>
  <c r="AB119" i="29"/>
  <c r="DD119" i="29"/>
  <c r="BJ119" i="29"/>
  <c r="CZ119" i="29"/>
  <c r="AE119" i="29"/>
  <c r="AD119" i="29"/>
  <c r="W119" i="29"/>
  <c r="BO119" i="29"/>
  <c r="BS119" i="29"/>
  <c r="BM119" i="29"/>
  <c r="CY119" i="29"/>
  <c r="CX119" i="29"/>
  <c r="BR119" i="29"/>
  <c r="BN119" i="29"/>
  <c r="AC119" i="29"/>
  <c r="BQ119" i="29"/>
  <c r="DA119" i="29"/>
  <c r="Y119" i="29"/>
  <c r="X119" i="29"/>
  <c r="AA119" i="29"/>
  <c r="DF119" i="29"/>
  <c r="BK119" i="29"/>
  <c r="DG119" i="29"/>
  <c r="DB119" i="29"/>
  <c r="DC119" i="29"/>
  <c r="DE119" i="29"/>
  <c r="DC120" i="29" l="1"/>
  <c r="BK120" i="29"/>
  <c r="DF120" i="29"/>
  <c r="X120" i="29"/>
  <c r="Y120" i="29"/>
  <c r="AC120" i="29"/>
  <c r="BR120" i="29"/>
  <c r="CY120" i="29"/>
  <c r="BM120" i="29"/>
  <c r="BO120" i="29"/>
  <c r="AD120" i="29"/>
  <c r="AE120" i="29"/>
  <c r="DD120" i="29"/>
  <c r="V120" i="29"/>
  <c r="BP120" i="29"/>
  <c r="DE120" i="29"/>
  <c r="DB120" i="29"/>
  <c r="DG120" i="29"/>
  <c r="AA120" i="29"/>
  <c r="DA120" i="29"/>
  <c r="BQ120" i="29"/>
  <c r="BN120" i="29"/>
  <c r="CX120" i="29"/>
  <c r="BS120" i="29"/>
  <c r="W120" i="29"/>
  <c r="CZ120" i="29"/>
  <c r="BJ120" i="29"/>
  <c r="AB120" i="29"/>
  <c r="BL120" i="29"/>
  <c r="Z120" i="29"/>
  <c r="BL121" i="29" l="1"/>
  <c r="CZ121" i="29"/>
  <c r="CX121" i="29"/>
  <c r="DA121" i="29"/>
  <c r="AA121" i="29"/>
  <c r="DG121" i="29"/>
  <c r="DB121" i="29"/>
  <c r="BP121" i="29"/>
  <c r="V121" i="29"/>
  <c r="DD121" i="29"/>
  <c r="AE121" i="29"/>
  <c r="BM121" i="29"/>
  <c r="BR121" i="29"/>
  <c r="X121" i="29"/>
  <c r="DF121" i="29"/>
  <c r="DC121" i="29"/>
  <c r="Z121" i="29"/>
  <c r="AB121" i="29"/>
  <c r="BJ121" i="29"/>
  <c r="W121" i="29"/>
  <c r="BS121" i="29"/>
  <c r="BN121" i="29"/>
  <c r="BQ121" i="29"/>
  <c r="DE121" i="29"/>
  <c r="AD121" i="29"/>
  <c r="BO121" i="29"/>
  <c r="CY121" i="29"/>
  <c r="AC121" i="29"/>
  <c r="Y121" i="29"/>
  <c r="BK121" i="29"/>
  <c r="BK122" i="29" l="1"/>
  <c r="Y122" i="29"/>
  <c r="AC122" i="29"/>
  <c r="AD122" i="29"/>
  <c r="BQ122" i="29"/>
  <c r="W122" i="29"/>
  <c r="BJ122" i="29"/>
  <c r="DC122" i="29"/>
  <c r="DF122" i="29"/>
  <c r="BM122" i="29"/>
  <c r="DD122" i="29"/>
  <c r="DB122" i="29"/>
  <c r="AA122" i="29"/>
  <c r="DA122" i="29"/>
  <c r="CX122" i="29"/>
  <c r="CZ122" i="29"/>
  <c r="CY122" i="29"/>
  <c r="BO122" i="29"/>
  <c r="DE122" i="29"/>
  <c r="BN122" i="29"/>
  <c r="BS122" i="29"/>
  <c r="AB122" i="29"/>
  <c r="Z122" i="29"/>
  <c r="X122" i="29"/>
  <c r="BR122" i="29"/>
  <c r="AE122" i="29"/>
  <c r="V122" i="29"/>
  <c r="BP122" i="29"/>
  <c r="DG122" i="29"/>
  <c r="BL122" i="29"/>
  <c r="BP123" i="29" l="1"/>
  <c r="AE123" i="29"/>
  <c r="BR123" i="29"/>
  <c r="AB123" i="29"/>
  <c r="BS123" i="29"/>
  <c r="DE123" i="29"/>
  <c r="CY123" i="29"/>
  <c r="CZ123" i="29"/>
  <c r="CX123" i="29"/>
  <c r="AA123" i="29"/>
  <c r="DC123" i="29"/>
  <c r="BJ123" i="29"/>
  <c r="AD123" i="29"/>
  <c r="AC123" i="29"/>
  <c r="BK123" i="29"/>
  <c r="BL123" i="29"/>
  <c r="DG123" i="29"/>
  <c r="V123" i="29"/>
  <c r="X123" i="29"/>
  <c r="Z123" i="29"/>
  <c r="BN123" i="29"/>
  <c r="BO123" i="29"/>
  <c r="DA123" i="29"/>
  <c r="DB123" i="29"/>
  <c r="DD123" i="29"/>
  <c r="BM123" i="29"/>
  <c r="DF123" i="29"/>
  <c r="W123" i="29"/>
  <c r="BQ123" i="29"/>
  <c r="Y123" i="29"/>
  <c r="W124" i="29" l="1"/>
  <c r="DF124" i="29"/>
  <c r="DD124" i="29"/>
  <c r="DA124" i="29"/>
  <c r="BN124" i="29"/>
  <c r="Z124" i="29"/>
  <c r="DG124" i="29"/>
  <c r="BK124" i="29"/>
  <c r="AD124" i="29"/>
  <c r="BJ124" i="29"/>
  <c r="CX124" i="29"/>
  <c r="CY124" i="29"/>
  <c r="DE124" i="29"/>
  <c r="BS124" i="29"/>
  <c r="AE124" i="29"/>
  <c r="Y124" i="29"/>
  <c r="BQ124" i="29"/>
  <c r="BM124" i="29"/>
  <c r="DB124" i="29"/>
  <c r="BO124" i="29"/>
  <c r="X124" i="29"/>
  <c r="V124" i="29"/>
  <c r="BL124" i="29"/>
  <c r="AC124" i="29"/>
  <c r="DC124" i="29"/>
  <c r="AA124" i="29"/>
  <c r="CZ124" i="29"/>
  <c r="AB124" i="29"/>
  <c r="BR124" i="29"/>
  <c r="BP124" i="29"/>
  <c r="BP125" i="29" l="1"/>
  <c r="AB125" i="29"/>
  <c r="CZ125" i="29"/>
  <c r="AC125" i="29"/>
  <c r="X125" i="29"/>
  <c r="DB125" i="29"/>
  <c r="Y125" i="29"/>
  <c r="AE125" i="29"/>
  <c r="BS125" i="29"/>
  <c r="CY125" i="29"/>
  <c r="CX125" i="29"/>
  <c r="BK125" i="29"/>
  <c r="DG125" i="29"/>
  <c r="Z125" i="29"/>
  <c r="DD125" i="29"/>
  <c r="W125" i="29"/>
  <c r="BR125" i="29"/>
  <c r="AA125" i="29"/>
  <c r="DC125" i="29"/>
  <c r="BL125" i="29"/>
  <c r="V125" i="29"/>
  <c r="BO125" i="29"/>
  <c r="BM125" i="29"/>
  <c r="BQ125" i="29"/>
  <c r="DE125" i="29"/>
  <c r="BJ125" i="29"/>
  <c r="AD125" i="29"/>
  <c r="BN125" i="29"/>
  <c r="DA125" i="29"/>
  <c r="DF125" i="29"/>
  <c r="DF126" i="29" l="1"/>
  <c r="AD126" i="29"/>
  <c r="DE126" i="29"/>
  <c r="BQ126" i="29"/>
  <c r="BL126" i="29"/>
  <c r="DC126" i="29"/>
  <c r="BR126" i="29"/>
  <c r="DD126" i="29"/>
  <c r="DG126" i="29"/>
  <c r="CX126" i="29"/>
  <c r="BS126" i="29"/>
  <c r="X126" i="29"/>
  <c r="AC126" i="29"/>
  <c r="BP126" i="29"/>
  <c r="DA126" i="29"/>
  <c r="BN126" i="29"/>
  <c r="BJ126" i="29"/>
  <c r="BM126" i="29"/>
  <c r="BO126" i="29"/>
  <c r="V126" i="29"/>
  <c r="AA126" i="29"/>
  <c r="W126" i="29"/>
  <c r="Z126" i="29"/>
  <c r="BK126" i="29"/>
  <c r="CY126" i="29"/>
  <c r="AE126" i="29"/>
  <c r="Y126" i="29"/>
  <c r="DB126" i="29"/>
  <c r="CZ126" i="29"/>
  <c r="AB126" i="29"/>
  <c r="CZ127" i="29" l="1"/>
  <c r="DB127" i="29"/>
  <c r="AE127" i="29"/>
  <c r="Z127" i="29"/>
  <c r="W127" i="29"/>
  <c r="BO127" i="29"/>
  <c r="DA127" i="29"/>
  <c r="BP127" i="29"/>
  <c r="X127" i="29"/>
  <c r="BS127" i="29"/>
  <c r="BL127" i="29"/>
  <c r="DF127" i="29"/>
  <c r="AB127" i="29"/>
  <c r="Y127" i="29"/>
  <c r="CY127" i="29"/>
  <c r="BK127" i="29"/>
  <c r="AA127" i="29"/>
  <c r="V127" i="29"/>
  <c r="BM127" i="29"/>
  <c r="BJ127" i="29"/>
  <c r="BN127" i="29"/>
  <c r="AC127" i="29"/>
  <c r="CX127" i="29"/>
  <c r="DG127" i="29"/>
  <c r="DD127" i="29"/>
  <c r="BR127" i="29"/>
  <c r="DC127" i="29"/>
  <c r="BQ127" i="29"/>
  <c r="DE127" i="29"/>
  <c r="AD127" i="29"/>
  <c r="AD128" i="29" l="1"/>
  <c r="BQ128" i="29"/>
  <c r="DC128" i="29"/>
  <c r="DD128" i="29"/>
  <c r="CX128" i="29"/>
  <c r="BN128" i="29"/>
  <c r="V128" i="29"/>
  <c r="BK128" i="29"/>
  <c r="Y128" i="29"/>
  <c r="DF128" i="29"/>
  <c r="BS128" i="29"/>
  <c r="X128" i="29"/>
  <c r="BP128" i="29"/>
  <c r="W128" i="29"/>
  <c r="DB128" i="29"/>
  <c r="CZ128" i="29"/>
  <c r="DE128" i="29"/>
  <c r="BR128" i="29"/>
  <c r="DG128" i="29"/>
  <c r="AC128" i="29"/>
  <c r="BJ128" i="29"/>
  <c r="BM128" i="29"/>
  <c r="AA128" i="29"/>
  <c r="CY128" i="29"/>
  <c r="AB128" i="29"/>
  <c r="BL128" i="29"/>
  <c r="DA128" i="29"/>
  <c r="BO128" i="29"/>
  <c r="Z128" i="29"/>
  <c r="AE128" i="29"/>
  <c r="AE129" i="29" l="1"/>
  <c r="BL129" i="29"/>
  <c r="BM129" i="29"/>
  <c r="BR129" i="29"/>
  <c r="DE129" i="29"/>
  <c r="CZ129" i="29"/>
  <c r="X129" i="29"/>
  <c r="DF129" i="29"/>
  <c r="Y129" i="29"/>
  <c r="CX129" i="29"/>
  <c r="DC129" i="29"/>
  <c r="AD129" i="29"/>
  <c r="Z129" i="29"/>
  <c r="BO129" i="29"/>
  <c r="DA129" i="29"/>
  <c r="AB129" i="29"/>
  <c r="CY129" i="29"/>
  <c r="AA129" i="29"/>
  <c r="BJ129" i="29"/>
  <c r="AC129" i="29"/>
  <c r="DG129" i="29"/>
  <c r="DB129" i="29"/>
  <c r="W129" i="29"/>
  <c r="BP129" i="29"/>
  <c r="BS129" i="29"/>
  <c r="BK129" i="29"/>
  <c r="V129" i="29"/>
  <c r="BN129" i="29"/>
  <c r="DD129" i="29"/>
  <c r="BQ129" i="29"/>
  <c r="DD130" i="29" l="1"/>
  <c r="BN130" i="29"/>
  <c r="BK130" i="29"/>
  <c r="BS130" i="29"/>
  <c r="DB130" i="29"/>
  <c r="AC130" i="29"/>
  <c r="AA130" i="29"/>
  <c r="AB130" i="29"/>
  <c r="DA130" i="29"/>
  <c r="Z130" i="29"/>
  <c r="AD130" i="29"/>
  <c r="CX130" i="29"/>
  <c r="Y130" i="29"/>
  <c r="X130" i="29"/>
  <c r="CZ130" i="29"/>
  <c r="BR130" i="29"/>
  <c r="AE130" i="29"/>
  <c r="BQ130" i="29"/>
  <c r="V130" i="29"/>
  <c r="BP130" i="29"/>
  <c r="W130" i="29"/>
  <c r="DG130" i="29"/>
  <c r="BJ130" i="29"/>
  <c r="CY130" i="29"/>
  <c r="BO130" i="29"/>
  <c r="DC130" i="29"/>
  <c r="DF130" i="29"/>
  <c r="DE130" i="29"/>
  <c r="BM130" i="29"/>
  <c r="BL130" i="29"/>
  <c r="DC131" i="29" l="1"/>
  <c r="BO131" i="29"/>
  <c r="BJ131" i="29"/>
  <c r="BP131" i="29"/>
  <c r="AE131" i="29"/>
  <c r="BR131" i="29"/>
  <c r="AD131" i="29"/>
  <c r="DA131" i="29"/>
  <c r="AB131" i="29"/>
  <c r="AC131" i="29"/>
  <c r="DB131" i="29"/>
  <c r="BS131" i="29"/>
  <c r="BK131" i="29"/>
  <c r="DD131" i="29"/>
  <c r="BL131" i="29"/>
  <c r="BM131" i="29"/>
  <c r="DE131" i="29"/>
  <c r="DF131" i="29"/>
  <c r="CY131" i="29"/>
  <c r="DG131" i="29"/>
  <c r="W131" i="29"/>
  <c r="V131" i="29"/>
  <c r="BQ131" i="29"/>
  <c r="CZ131" i="29"/>
  <c r="X131" i="29"/>
  <c r="Y131" i="29"/>
  <c r="CX131" i="29"/>
  <c r="Z131" i="29"/>
  <c r="AA131" i="29"/>
  <c r="BN131" i="29"/>
  <c r="Z132" i="29" l="1"/>
  <c r="CZ132" i="29"/>
  <c r="DG132" i="29"/>
  <c r="CX132" i="29"/>
  <c r="X132" i="29"/>
  <c r="V132" i="29"/>
  <c r="W132" i="29"/>
  <c r="CY132" i="29"/>
  <c r="DF132" i="29"/>
  <c r="DE132" i="29"/>
  <c r="BL132" i="29"/>
  <c r="DD132" i="29"/>
  <c r="BS132" i="29"/>
  <c r="AC132" i="29"/>
  <c r="DA132" i="29"/>
  <c r="AE132" i="29"/>
  <c r="DC132" i="29"/>
  <c r="BN132" i="29"/>
  <c r="AA132" i="29"/>
  <c r="Y132" i="29"/>
  <c r="BQ132" i="29"/>
  <c r="BM132" i="29"/>
  <c r="BK132" i="29"/>
  <c r="DB132" i="29"/>
  <c r="AB132" i="29"/>
  <c r="AD132" i="29"/>
  <c r="BR132" i="29"/>
  <c r="BP132" i="29"/>
  <c r="BJ132" i="29"/>
  <c r="BO132" i="29"/>
  <c r="BO133" i="29" l="1"/>
  <c r="AB133" i="29"/>
  <c r="BM133" i="29"/>
  <c r="Y133" i="29"/>
  <c r="BN133" i="29"/>
  <c r="DC133" i="29"/>
  <c r="AE133" i="29"/>
  <c r="DA133" i="29"/>
  <c r="BS133" i="29"/>
  <c r="BL133" i="29"/>
  <c r="DF133" i="29"/>
  <c r="CY133" i="29"/>
  <c r="V133" i="29"/>
  <c r="CX133" i="29"/>
  <c r="DG133" i="29"/>
  <c r="Z133" i="29"/>
  <c r="BP133" i="29"/>
  <c r="BK133" i="29"/>
  <c r="BJ133" i="29"/>
  <c r="BR133" i="29"/>
  <c r="AD133" i="29"/>
  <c r="DB133" i="29"/>
  <c r="BQ133" i="29"/>
  <c r="AA133" i="29"/>
  <c r="AC133" i="29"/>
  <c r="DD133" i="29"/>
  <c r="DE133" i="29"/>
  <c r="W133" i="29"/>
  <c r="X133" i="29"/>
  <c r="CZ133" i="29"/>
  <c r="X134" i="29" l="1"/>
  <c r="W134" i="29"/>
  <c r="DE134" i="29"/>
  <c r="AC134" i="29"/>
  <c r="BQ134" i="29"/>
  <c r="AD134" i="29"/>
  <c r="BK134" i="29"/>
  <c r="BP134" i="29"/>
  <c r="Z134" i="29"/>
  <c r="DG134" i="29"/>
  <c r="CY134" i="29"/>
  <c r="BL134" i="29"/>
  <c r="DA134" i="29"/>
  <c r="AE134" i="29"/>
  <c r="DC134" i="29"/>
  <c r="Y134" i="29"/>
  <c r="AB134" i="29"/>
  <c r="BO134" i="29"/>
  <c r="CZ134" i="29"/>
  <c r="DD134" i="29"/>
  <c r="AA134" i="29"/>
  <c r="DB134" i="29"/>
  <c r="BR134" i="29"/>
  <c r="BJ134" i="29"/>
  <c r="CX134" i="29"/>
  <c r="V134" i="29"/>
  <c r="DF134" i="29"/>
  <c r="BS134" i="29"/>
  <c r="BN134" i="29"/>
  <c r="BM134" i="29"/>
  <c r="BM135" i="29" l="1"/>
  <c r="BS135" i="29"/>
  <c r="V135" i="29"/>
  <c r="BJ135" i="29"/>
  <c r="DB135" i="29"/>
  <c r="AA135" i="29"/>
  <c r="DD135" i="29"/>
  <c r="AB135" i="29"/>
  <c r="DC135" i="29"/>
  <c r="DA135" i="29"/>
  <c r="CY135" i="29"/>
  <c r="Z135" i="29"/>
  <c r="BK135" i="29"/>
  <c r="AD135" i="29"/>
  <c r="BQ135" i="29"/>
  <c r="AC135" i="29"/>
  <c r="W135" i="29"/>
  <c r="BN135" i="29"/>
  <c r="DF135" i="29"/>
  <c r="CX135" i="29"/>
  <c r="BR135" i="29"/>
  <c r="CZ135" i="29"/>
  <c r="BO135" i="29"/>
  <c r="Y135" i="29"/>
  <c r="AE135" i="29"/>
  <c r="BL135" i="29"/>
  <c r="DG135" i="29"/>
  <c r="BP135" i="29"/>
  <c r="DE135" i="29"/>
  <c r="X135" i="29"/>
  <c r="DE136" i="29" l="1"/>
  <c r="BP136" i="29"/>
  <c r="AE136" i="29"/>
  <c r="BO136" i="29"/>
  <c r="DF136" i="29"/>
  <c r="BN136" i="29"/>
  <c r="W136" i="29"/>
  <c r="AD136" i="29"/>
  <c r="BK136" i="29"/>
  <c r="DA136" i="29"/>
  <c r="AB136" i="29"/>
  <c r="DD136" i="29"/>
  <c r="AA136" i="29"/>
  <c r="BJ136" i="29"/>
  <c r="V136" i="29"/>
  <c r="X136" i="29"/>
  <c r="DG136" i="29"/>
  <c r="BL136" i="29"/>
  <c r="Y136" i="29"/>
  <c r="CZ136" i="29"/>
  <c r="BR136" i="29"/>
  <c r="CX136" i="29"/>
  <c r="AC136" i="29"/>
  <c r="BQ136" i="29"/>
  <c r="Z136" i="29"/>
  <c r="CY136" i="29"/>
  <c r="DC136" i="29"/>
  <c r="DB136" i="29"/>
  <c r="BS136" i="29"/>
  <c r="BM136" i="29"/>
  <c r="BM137" i="29" l="1"/>
  <c r="DB137" i="29"/>
  <c r="DC137" i="29"/>
  <c r="Z137" i="29"/>
  <c r="BQ137" i="29"/>
  <c r="CZ137" i="29"/>
  <c r="BL137" i="29"/>
  <c r="V137" i="29"/>
  <c r="BJ137" i="29"/>
  <c r="DD137" i="29"/>
  <c r="AB137" i="29"/>
  <c r="AD137" i="29"/>
  <c r="W137" i="29"/>
  <c r="BN137" i="29"/>
  <c r="AE137" i="29"/>
  <c r="BP137" i="29"/>
  <c r="DE137" i="29"/>
  <c r="BS137" i="29"/>
  <c r="CY137" i="29"/>
  <c r="AC137" i="29"/>
  <c r="CX137" i="29"/>
  <c r="BR137" i="29"/>
  <c r="Y137" i="29"/>
  <c r="DG137" i="29"/>
  <c r="X137" i="29"/>
  <c r="AA137" i="29"/>
  <c r="DA137" i="29"/>
  <c r="BK137" i="29"/>
  <c r="DF137" i="29"/>
  <c r="BO137" i="29"/>
  <c r="DF138" i="29" l="1"/>
  <c r="DA138" i="29"/>
  <c r="AA138" i="29"/>
  <c r="Y138" i="29"/>
  <c r="BR138" i="29"/>
  <c r="BP138" i="29"/>
  <c r="W138" i="29"/>
  <c r="DD138" i="29"/>
  <c r="V138" i="29"/>
  <c r="BL138" i="29"/>
  <c r="BQ138" i="29"/>
  <c r="DC138" i="29"/>
  <c r="DB138" i="29"/>
  <c r="BO138" i="29"/>
  <c r="BK138" i="29"/>
  <c r="X138" i="29"/>
  <c r="DG138" i="29"/>
  <c r="CX138" i="29"/>
  <c r="AC138" i="29"/>
  <c r="CY138" i="29"/>
  <c r="BS138" i="29"/>
  <c r="DE138" i="29"/>
  <c r="AE138" i="29"/>
  <c r="BN138" i="29"/>
  <c r="AD138" i="29"/>
  <c r="AB138" i="29"/>
  <c r="BJ138" i="29"/>
  <c r="CZ138" i="29"/>
  <c r="Z138" i="29"/>
  <c r="BM138" i="29"/>
  <c r="BM139" i="29" l="1"/>
  <c r="Z139" i="29"/>
  <c r="BJ139" i="29"/>
  <c r="AD139" i="29"/>
  <c r="DE139" i="29"/>
  <c r="AC139" i="29"/>
  <c r="X139" i="29"/>
  <c r="BO139" i="29"/>
  <c r="DB139" i="29"/>
  <c r="BQ139" i="29"/>
  <c r="DD139" i="29"/>
  <c r="W139" i="29"/>
  <c r="Y139" i="29"/>
  <c r="DA139" i="29"/>
  <c r="DF139" i="29"/>
  <c r="CZ139" i="29"/>
  <c r="AB139" i="29"/>
  <c r="BN139" i="29"/>
  <c r="AE139" i="29"/>
  <c r="BS139" i="29"/>
  <c r="CY139" i="29"/>
  <c r="CX139" i="29"/>
  <c r="DG139" i="29"/>
  <c r="BK139" i="29"/>
  <c r="DC139" i="29"/>
  <c r="BL139" i="29"/>
  <c r="V139" i="29"/>
  <c r="BP139" i="29"/>
  <c r="BR139" i="29"/>
  <c r="AA139" i="29"/>
  <c r="AA140" i="29" l="1"/>
  <c r="V140" i="29"/>
  <c r="BP140" i="29"/>
  <c r="BL140" i="29"/>
  <c r="DC140" i="29"/>
  <c r="CX140" i="29"/>
  <c r="BS140" i="29"/>
  <c r="BN140" i="29"/>
  <c r="DA140" i="29"/>
  <c r="Y140" i="29"/>
  <c r="DD140" i="29"/>
  <c r="DB140" i="29"/>
  <c r="X140" i="29"/>
  <c r="AC140" i="29"/>
  <c r="DE140" i="29"/>
  <c r="AD140" i="29"/>
  <c r="Z140" i="29"/>
  <c r="BR140" i="29"/>
  <c r="BK140" i="29"/>
  <c r="DG140" i="29"/>
  <c r="CY140" i="29"/>
  <c r="AE140" i="29"/>
  <c r="AB140" i="29"/>
  <c r="CZ140" i="29"/>
  <c r="DF140" i="29"/>
  <c r="W140" i="29"/>
  <c r="BQ140" i="29"/>
  <c r="BO140" i="29"/>
  <c r="BJ140" i="29"/>
  <c r="BM140" i="29"/>
  <c r="CY141" i="29" l="1"/>
  <c r="BR141" i="29"/>
  <c r="BM141" i="29"/>
  <c r="BJ141" i="29"/>
  <c r="BQ141" i="29"/>
  <c r="W141" i="29"/>
  <c r="DF141" i="29"/>
  <c r="CZ141" i="29"/>
  <c r="AE141" i="29"/>
  <c r="DG141" i="29"/>
  <c r="DE141" i="29"/>
  <c r="X141" i="29"/>
  <c r="DB141" i="29"/>
  <c r="DD141" i="29"/>
  <c r="DA141" i="29"/>
  <c r="BN141" i="29"/>
  <c r="CX141" i="29"/>
  <c r="BL141" i="29"/>
  <c r="BP141" i="29"/>
  <c r="BO141" i="29"/>
  <c r="AB141" i="29"/>
  <c r="BK141" i="29"/>
  <c r="Z141" i="29"/>
  <c r="AD141" i="29"/>
  <c r="AC141" i="29"/>
  <c r="Y141" i="29"/>
  <c r="BS141" i="29"/>
  <c r="DC141" i="29"/>
  <c r="V141" i="29"/>
  <c r="AA141" i="29"/>
  <c r="V142" i="29" l="1"/>
  <c r="DC142" i="29"/>
  <c r="AB142" i="29"/>
  <c r="AA142" i="29"/>
  <c r="Y142" i="29"/>
  <c r="AC142" i="29"/>
  <c r="Z142" i="29"/>
  <c r="BK142" i="29"/>
  <c r="BP142" i="29"/>
  <c r="BN142" i="29"/>
  <c r="DA142" i="29"/>
  <c r="DD142" i="29"/>
  <c r="X142" i="29"/>
  <c r="DG142" i="29"/>
  <c r="CZ142" i="29"/>
  <c r="BQ142" i="29"/>
  <c r="BM142" i="29"/>
  <c r="CY142" i="29"/>
  <c r="BS142" i="29"/>
  <c r="AD142" i="29"/>
  <c r="BO142" i="29"/>
  <c r="BL142" i="29"/>
  <c r="CX142" i="29"/>
  <c r="DB142" i="29"/>
  <c r="DE142" i="29"/>
  <c r="AE142" i="29"/>
  <c r="DF142" i="29"/>
  <c r="W142" i="29"/>
  <c r="BJ142" i="29"/>
  <c r="BR142" i="29"/>
  <c r="DF143" i="29" l="1"/>
  <c r="DE143" i="29"/>
  <c r="CX143" i="29"/>
  <c r="AD143" i="29"/>
  <c r="BS143" i="29"/>
  <c r="CY143" i="29"/>
  <c r="BN143" i="29"/>
  <c r="BJ143" i="29"/>
  <c r="W143" i="29"/>
  <c r="AE143" i="29"/>
  <c r="DB143" i="29"/>
  <c r="BL143" i="29"/>
  <c r="BO143" i="29"/>
  <c r="BM143" i="29"/>
  <c r="BQ143" i="29"/>
  <c r="CZ143" i="29"/>
  <c r="X143" i="29"/>
  <c r="DA143" i="29"/>
  <c r="Z143" i="29"/>
  <c r="AA143" i="29"/>
  <c r="AB143" i="29"/>
  <c r="DC143" i="29"/>
  <c r="BR143" i="29"/>
  <c r="DG143" i="29"/>
  <c r="DD143" i="29"/>
  <c r="BP143" i="29"/>
  <c r="BK143" i="29"/>
  <c r="AC143" i="29"/>
  <c r="Y143" i="29"/>
  <c r="V143" i="29"/>
  <c r="AB144" i="29" l="1"/>
  <c r="V144" i="29"/>
  <c r="Y144" i="29"/>
  <c r="BK144" i="29"/>
  <c r="BP144" i="29"/>
  <c r="DG144" i="29"/>
  <c r="BR144" i="29"/>
  <c r="AA144" i="29"/>
  <c r="Z144" i="29"/>
  <c r="DA144" i="29"/>
  <c r="BQ144" i="29"/>
  <c r="BL144" i="29"/>
  <c r="DB144" i="29"/>
  <c r="AE144" i="29"/>
  <c r="BJ144" i="29"/>
  <c r="CY144" i="29"/>
  <c r="AD144" i="29"/>
  <c r="DE144" i="29"/>
  <c r="AC144" i="29"/>
  <c r="DD144" i="29"/>
  <c r="DC144" i="29"/>
  <c r="X144" i="29"/>
  <c r="CZ144" i="29"/>
  <c r="BM144" i="29"/>
  <c r="BO144" i="29"/>
  <c r="W144" i="29"/>
  <c r="BN144" i="29"/>
  <c r="BS144" i="29"/>
  <c r="CX144" i="29"/>
  <c r="DF144" i="29"/>
  <c r="DF145" i="29" l="1"/>
  <c r="BN145" i="29"/>
  <c r="CX145" i="29"/>
  <c r="BO145" i="29"/>
  <c r="BM145" i="29"/>
  <c r="X145" i="29"/>
  <c r="DC145" i="29"/>
  <c r="DD145" i="29"/>
  <c r="DE145" i="29"/>
  <c r="CY145" i="29"/>
  <c r="AE145" i="29"/>
  <c r="BL145" i="29"/>
  <c r="DG145" i="29"/>
  <c r="BK145" i="29"/>
  <c r="V145" i="29"/>
  <c r="AB145" i="29"/>
  <c r="BS145" i="29"/>
  <c r="W145" i="29"/>
  <c r="CZ145" i="29"/>
  <c r="AC145" i="29"/>
  <c r="AD145" i="29"/>
  <c r="BJ145" i="29"/>
  <c r="DB145" i="29"/>
  <c r="BQ145" i="29"/>
  <c r="DA145" i="29"/>
  <c r="Z145" i="29"/>
  <c r="AA145" i="29"/>
  <c r="BR145" i="29"/>
  <c r="BP145" i="29"/>
  <c r="Y145" i="29"/>
  <c r="DA146" i="29" l="1"/>
  <c r="AC146" i="29"/>
  <c r="BS146" i="29"/>
  <c r="V146" i="29"/>
  <c r="BP146" i="29"/>
  <c r="BR146" i="29"/>
  <c r="Z146" i="29"/>
  <c r="BQ146" i="29"/>
  <c r="DB146" i="29"/>
  <c r="AD146" i="29"/>
  <c r="W146" i="29"/>
  <c r="AB146" i="29"/>
  <c r="DG146" i="29"/>
  <c r="AE146" i="29"/>
  <c r="CY146" i="29"/>
  <c r="DC146" i="29"/>
  <c r="X146" i="29"/>
  <c r="BO146" i="29"/>
  <c r="CX146" i="29"/>
  <c r="BN146" i="29"/>
  <c r="Y146" i="29"/>
  <c r="AA146" i="29"/>
  <c r="BJ146" i="29"/>
  <c r="CZ146" i="29"/>
  <c r="BK146" i="29"/>
  <c r="BL146" i="29"/>
  <c r="DE146" i="29"/>
  <c r="DD146" i="29"/>
  <c r="BM146" i="29"/>
  <c r="DF146" i="29"/>
  <c r="BM147" i="29" l="1"/>
  <c r="BK147" i="29"/>
  <c r="AA147" i="29"/>
  <c r="DF147" i="29"/>
  <c r="DE147" i="29"/>
  <c r="BL147" i="29"/>
  <c r="BJ147" i="29"/>
  <c r="Y147" i="29"/>
  <c r="BN147" i="29"/>
  <c r="CX147" i="29"/>
  <c r="BO147" i="29"/>
  <c r="DC147" i="29"/>
  <c r="CY147" i="29"/>
  <c r="DB147" i="29"/>
  <c r="Z147" i="29"/>
  <c r="BP147" i="29"/>
  <c r="BS147" i="29"/>
  <c r="DD147" i="29"/>
  <c r="CZ147" i="29"/>
  <c r="X147" i="29"/>
  <c r="AE147" i="29"/>
  <c r="DG147" i="29"/>
  <c r="AB147" i="29"/>
  <c r="W147" i="29"/>
  <c r="AD147" i="29"/>
  <c r="BQ147" i="29"/>
  <c r="BR147" i="29"/>
  <c r="V147" i="29"/>
  <c r="AC147" i="29"/>
  <c r="DA147" i="29"/>
  <c r="V148" i="29" l="1"/>
  <c r="BQ148" i="29"/>
  <c r="DG148" i="29"/>
  <c r="X148" i="29"/>
  <c r="AC148" i="29"/>
  <c r="BR148" i="29"/>
  <c r="AD148" i="29"/>
  <c r="AB148" i="29"/>
  <c r="CZ148" i="29"/>
  <c r="DD148" i="29"/>
  <c r="BS148" i="29"/>
  <c r="Z148" i="29"/>
  <c r="DC148" i="29"/>
  <c r="CX148" i="29"/>
  <c r="BN148" i="29"/>
  <c r="BJ148" i="29"/>
  <c r="DE148" i="29"/>
  <c r="AA148" i="29"/>
  <c r="DA148" i="29"/>
  <c r="W148" i="29"/>
  <c r="AE148" i="29"/>
  <c r="BP148" i="29"/>
  <c r="DB148" i="29"/>
  <c r="CY148" i="29"/>
  <c r="BO148" i="29"/>
  <c r="Y148" i="29"/>
  <c r="BL148" i="29"/>
  <c r="DF148" i="29"/>
  <c r="BK148" i="29"/>
  <c r="BM148" i="29"/>
  <c r="BM149" i="29" l="1"/>
  <c r="Y149" i="29"/>
  <c r="W149" i="29"/>
  <c r="DC149" i="29"/>
  <c r="Z149" i="29"/>
  <c r="BK149" i="29"/>
  <c r="DF149" i="29"/>
  <c r="CY149" i="29"/>
  <c r="BP149" i="29"/>
  <c r="AE149" i="29"/>
  <c r="AA149" i="29"/>
  <c r="DE149" i="29"/>
  <c r="BJ149" i="29"/>
  <c r="CX149" i="29"/>
  <c r="CZ149" i="29"/>
  <c r="AB149" i="29"/>
  <c r="BR149" i="29"/>
  <c r="AC149" i="29"/>
  <c r="X149" i="29"/>
  <c r="BQ149" i="29"/>
  <c r="BL149" i="29"/>
  <c r="BO149" i="29"/>
  <c r="DB149" i="29"/>
  <c r="DA149" i="29"/>
  <c r="BN149" i="29"/>
  <c r="BS149" i="29"/>
  <c r="DD149" i="29"/>
  <c r="AD149" i="29"/>
  <c r="DG149" i="29"/>
  <c r="V149" i="29"/>
  <c r="DG150" i="29" l="1"/>
  <c r="AD150" i="29"/>
  <c r="BS150" i="29"/>
  <c r="DA150" i="29"/>
  <c r="BL150" i="29"/>
  <c r="V150" i="29"/>
  <c r="DD150" i="29"/>
  <c r="BO150" i="29"/>
  <c r="X150" i="29"/>
  <c r="AC150" i="29"/>
  <c r="AB150" i="29"/>
  <c r="CZ150" i="29"/>
  <c r="BJ150" i="29"/>
  <c r="AE150" i="29"/>
  <c r="BP150" i="29"/>
  <c r="CY150" i="29"/>
  <c r="DF150" i="29"/>
  <c r="DC150" i="29"/>
  <c r="W150" i="29"/>
  <c r="BN150" i="29"/>
  <c r="DB150" i="29"/>
  <c r="BQ150" i="29"/>
  <c r="BR150" i="29"/>
  <c r="CX150" i="29"/>
  <c r="DE150" i="29"/>
  <c r="AA150" i="29"/>
  <c r="BK150" i="29"/>
  <c r="Z150" i="29"/>
  <c r="Y150" i="29"/>
  <c r="BM150" i="29"/>
  <c r="DB151" i="29" l="1"/>
  <c r="BM151" i="29"/>
  <c r="BK151" i="29"/>
  <c r="AA151" i="29"/>
  <c r="CX151" i="29"/>
  <c r="BQ151" i="29"/>
  <c r="BN151" i="29"/>
  <c r="BP151" i="29"/>
  <c r="BJ151" i="29"/>
  <c r="AB151" i="29"/>
  <c r="X151" i="29"/>
  <c r="BO151" i="29"/>
  <c r="DD151" i="29"/>
  <c r="V151" i="29"/>
  <c r="DA151" i="29"/>
  <c r="AD151" i="29"/>
  <c r="Y151" i="29"/>
  <c r="Z151" i="29"/>
  <c r="DE151" i="29"/>
  <c r="BR151" i="29"/>
  <c r="W151" i="29"/>
  <c r="DC151" i="29"/>
  <c r="DF151" i="29"/>
  <c r="CY151" i="29"/>
  <c r="AE151" i="29"/>
  <c r="CZ151" i="29"/>
  <c r="AC151" i="29"/>
  <c r="BL151" i="29"/>
  <c r="BS151" i="29"/>
  <c r="DG151" i="29"/>
  <c r="DG152" i="29" l="1"/>
  <c r="CZ152" i="29"/>
  <c r="CY152" i="29"/>
  <c r="DC152" i="29"/>
  <c r="DE152" i="29"/>
  <c r="V152" i="29"/>
  <c r="BS152" i="29"/>
  <c r="AC152" i="29"/>
  <c r="AE152" i="29"/>
  <c r="DF152" i="29"/>
  <c r="W152" i="29"/>
  <c r="BR152" i="29"/>
  <c r="Y152" i="29"/>
  <c r="DA152" i="29"/>
  <c r="X152" i="29"/>
  <c r="BQ152" i="29"/>
  <c r="CX152" i="29"/>
  <c r="BK152" i="29"/>
  <c r="BL152" i="29"/>
  <c r="Z152" i="29"/>
  <c r="AD152" i="29"/>
  <c r="DD152" i="29"/>
  <c r="BO152" i="29"/>
  <c r="AB152" i="29"/>
  <c r="BJ152" i="29"/>
  <c r="BP152" i="29"/>
  <c r="BN152" i="29"/>
  <c r="AA152" i="29"/>
  <c r="BM152" i="29"/>
  <c r="DB152" i="29"/>
  <c r="BM153" i="29" l="1"/>
  <c r="BJ153" i="29"/>
  <c r="AD153" i="29"/>
  <c r="BL153" i="29"/>
  <c r="X153" i="29"/>
  <c r="Y153" i="29"/>
  <c r="W153" i="29"/>
  <c r="BS153" i="29"/>
  <c r="DE153" i="29"/>
  <c r="CY153" i="29"/>
  <c r="DB153" i="29"/>
  <c r="AA153" i="29"/>
  <c r="BP153" i="29"/>
  <c r="AB153" i="29"/>
  <c r="DD153" i="29"/>
  <c r="Z153" i="29"/>
  <c r="BK153" i="29"/>
  <c r="BQ153" i="29"/>
  <c r="DA153" i="29"/>
  <c r="BR153" i="29"/>
  <c r="DF153" i="29"/>
  <c r="AC153" i="29"/>
  <c r="V153" i="29"/>
  <c r="DC153" i="29"/>
  <c r="CZ153" i="29"/>
  <c r="BN153" i="29"/>
  <c r="BO153" i="29"/>
  <c r="CX153" i="29"/>
  <c r="AE153" i="29"/>
  <c r="DG153" i="29"/>
  <c r="AE154" i="29" l="1"/>
  <c r="BO154" i="29"/>
  <c r="CZ154" i="29"/>
  <c r="DF154" i="29"/>
  <c r="DA154" i="29"/>
  <c r="BK154" i="29"/>
  <c r="BP154" i="29"/>
  <c r="DB154" i="29"/>
  <c r="DE154" i="29"/>
  <c r="W154" i="29"/>
  <c r="X154" i="29"/>
  <c r="AD154" i="29"/>
  <c r="DG154" i="29"/>
  <c r="CX154" i="29"/>
  <c r="BN154" i="29"/>
  <c r="DC154" i="29"/>
  <c r="AC154" i="29"/>
  <c r="BR154" i="29"/>
  <c r="BQ154" i="29"/>
  <c r="Z154" i="29"/>
  <c r="AB154" i="29"/>
  <c r="AA154" i="29"/>
  <c r="CY154" i="29"/>
  <c r="BS154" i="29"/>
  <c r="Y154" i="29"/>
  <c r="BL154" i="29"/>
  <c r="BJ154" i="29"/>
  <c r="V154" i="29"/>
  <c r="DD154" i="29"/>
  <c r="BM154" i="29"/>
  <c r="DD155" i="29" l="1"/>
  <c r="BJ155" i="29"/>
  <c r="Y155" i="29"/>
  <c r="CY155" i="29"/>
  <c r="BQ155" i="29"/>
  <c r="AC155" i="29"/>
  <c r="BN155" i="29"/>
  <c r="DG155" i="29"/>
  <c r="X155" i="29"/>
  <c r="DE155" i="29"/>
  <c r="BP155" i="29"/>
  <c r="DA155" i="29"/>
  <c r="CZ155" i="29"/>
  <c r="BM155" i="29"/>
  <c r="V155" i="29"/>
  <c r="BL155" i="29"/>
  <c r="BS155" i="29"/>
  <c r="AA155" i="29"/>
  <c r="Z155" i="29"/>
  <c r="BR155" i="29"/>
  <c r="DC155" i="29"/>
  <c r="CX155" i="29"/>
  <c r="AD155" i="29"/>
  <c r="W155" i="29"/>
  <c r="DB155" i="29"/>
  <c r="BK155" i="29"/>
  <c r="DF155" i="29"/>
  <c r="BO155" i="29"/>
  <c r="AB155" i="29"/>
  <c r="AE155" i="29"/>
  <c r="AE156" i="29" l="1"/>
  <c r="BK156" i="29"/>
  <c r="W156" i="29"/>
  <c r="CX156" i="29"/>
  <c r="BR156" i="29"/>
  <c r="AA156" i="29"/>
  <c r="BL156" i="29"/>
  <c r="BM156" i="29"/>
  <c r="DA156" i="29"/>
  <c r="DE156" i="29"/>
  <c r="DG156" i="29"/>
  <c r="AC156" i="29"/>
  <c r="CY156" i="29"/>
  <c r="BJ156" i="29"/>
  <c r="BO156" i="29"/>
  <c r="AB156" i="29"/>
  <c r="DF156" i="29"/>
  <c r="DB156" i="29"/>
  <c r="AD156" i="29"/>
  <c r="DC156" i="29"/>
  <c r="Z156" i="29"/>
  <c r="BS156" i="29"/>
  <c r="V156" i="29"/>
  <c r="CZ156" i="29"/>
  <c r="BP156" i="29"/>
  <c r="X156" i="29"/>
  <c r="BN156" i="29"/>
  <c r="BQ156" i="29"/>
  <c r="Y156" i="29"/>
  <c r="DD156" i="29"/>
  <c r="BN157" i="29" l="1"/>
  <c r="BP157" i="29"/>
  <c r="V157" i="29"/>
  <c r="Z157" i="29"/>
  <c r="DF157" i="29"/>
  <c r="BO157" i="29"/>
  <c r="CY157" i="29"/>
  <c r="DG157" i="29"/>
  <c r="DA157" i="29"/>
  <c r="BL157" i="29"/>
  <c r="BR157" i="29"/>
  <c r="W157" i="29"/>
  <c r="DD157" i="29"/>
  <c r="BQ157" i="29"/>
  <c r="X157" i="29"/>
  <c r="CZ157" i="29"/>
  <c r="BS157" i="29"/>
  <c r="DC157" i="29"/>
  <c r="DB157" i="29"/>
  <c r="AB157" i="29"/>
  <c r="BJ157" i="29"/>
  <c r="AC157" i="29"/>
  <c r="DE157" i="29"/>
  <c r="BM157" i="29"/>
  <c r="AA157" i="29"/>
  <c r="CX157" i="29"/>
  <c r="BK157" i="29"/>
  <c r="Y157" i="29"/>
  <c r="AD157" i="29"/>
  <c r="AE157" i="29"/>
  <c r="BK158" i="29" l="1"/>
  <c r="AA158" i="29"/>
  <c r="BJ158" i="29"/>
  <c r="DB158" i="29"/>
  <c r="BS158" i="29"/>
  <c r="DD158" i="29"/>
  <c r="BR158" i="29"/>
  <c r="DA158" i="29"/>
  <c r="CY158" i="29"/>
  <c r="DF158" i="29"/>
  <c r="V158" i="29"/>
  <c r="AE158" i="29"/>
  <c r="Y158" i="29"/>
  <c r="CX158" i="29"/>
  <c r="BM158" i="29"/>
  <c r="AC158" i="29"/>
  <c r="AB158" i="29"/>
  <c r="DC158" i="29"/>
  <c r="CZ158" i="29"/>
  <c r="BQ158" i="29"/>
  <c r="W158" i="29"/>
  <c r="BL158" i="29"/>
  <c r="DG158" i="29"/>
  <c r="BO158" i="29"/>
  <c r="Z158" i="29"/>
  <c r="BP158" i="29"/>
  <c r="AD158" i="29"/>
  <c r="DE158" i="29"/>
  <c r="X158" i="29"/>
  <c r="BN158" i="29"/>
  <c r="X159" i="29" l="1"/>
  <c r="Z159" i="29"/>
  <c r="DG159" i="29"/>
  <c r="W159" i="29"/>
  <c r="CZ159" i="29"/>
  <c r="BM159" i="29"/>
  <c r="Y159" i="29"/>
  <c r="V159" i="29"/>
  <c r="CY159" i="29"/>
  <c r="BR159" i="29"/>
  <c r="BS159" i="29"/>
  <c r="BJ159" i="29"/>
  <c r="BN159" i="29"/>
  <c r="DE159" i="29"/>
  <c r="BP159" i="29"/>
  <c r="BO159" i="29"/>
  <c r="BL159" i="29"/>
  <c r="BQ159" i="29"/>
  <c r="DC159" i="29"/>
  <c r="AC159" i="29"/>
  <c r="CX159" i="29"/>
  <c r="AE159" i="29"/>
  <c r="DF159" i="29"/>
  <c r="DA159" i="29"/>
  <c r="DD159" i="29"/>
  <c r="DB159" i="29"/>
  <c r="AA159" i="29"/>
  <c r="AD159" i="29"/>
  <c r="AB159" i="29"/>
  <c r="BK159" i="29"/>
  <c r="AB160" i="29" l="1"/>
  <c r="AA160" i="29"/>
  <c r="DF160" i="29"/>
  <c r="CX160" i="29"/>
  <c r="DC160" i="29"/>
  <c r="BP160" i="29"/>
  <c r="BN160" i="29"/>
  <c r="BS160" i="29"/>
  <c r="CY160" i="29"/>
  <c r="Y160" i="29"/>
  <c r="CZ160" i="29"/>
  <c r="DG160" i="29"/>
  <c r="BK160" i="29"/>
  <c r="AD160" i="29"/>
  <c r="DB160" i="29"/>
  <c r="DA160" i="29"/>
  <c r="AE160" i="29"/>
  <c r="AC160" i="29"/>
  <c r="BQ160" i="29"/>
  <c r="BO160" i="29"/>
  <c r="DE160" i="29"/>
  <c r="BJ160" i="29"/>
  <c r="BR160" i="29"/>
  <c r="V160" i="29"/>
  <c r="BM160" i="29"/>
  <c r="W160" i="29"/>
  <c r="Z160" i="29"/>
  <c r="DD160" i="29"/>
  <c r="BL160" i="29"/>
  <c r="X160" i="29"/>
  <c r="Z161" i="29" l="1"/>
  <c r="BM161" i="29"/>
  <c r="DE161" i="29"/>
  <c r="BQ161" i="29"/>
  <c r="AE161" i="29"/>
  <c r="BK161" i="29"/>
  <c r="CZ161" i="29"/>
  <c r="CY161" i="29"/>
  <c r="BN161" i="29"/>
  <c r="DC161" i="29"/>
  <c r="DF161" i="29"/>
  <c r="X161" i="29"/>
  <c r="DD161" i="29"/>
  <c r="W161" i="29"/>
  <c r="V161" i="29"/>
  <c r="BJ161" i="29"/>
  <c r="BO161" i="29"/>
  <c r="AC161" i="29"/>
  <c r="DA161" i="29"/>
  <c r="AD161" i="29"/>
  <c r="DG161" i="29"/>
  <c r="Y161" i="29"/>
  <c r="BS161" i="29"/>
  <c r="BP161" i="29"/>
  <c r="CX161" i="29"/>
  <c r="AA161" i="29"/>
  <c r="BL161" i="29"/>
  <c r="BR161" i="29"/>
  <c r="DB161" i="29"/>
  <c r="AB161" i="29"/>
  <c r="DB162" i="29" l="1"/>
  <c r="CX162" i="29"/>
  <c r="BS162" i="29"/>
  <c r="DG162" i="29"/>
  <c r="BO162" i="29"/>
  <c r="V162" i="29"/>
  <c r="DD162" i="29"/>
  <c r="BN162" i="29"/>
  <c r="CZ162" i="29"/>
  <c r="AE162" i="29"/>
  <c r="DE162" i="29"/>
  <c r="AB162" i="29"/>
  <c r="BR162" i="29"/>
  <c r="AA162" i="29"/>
  <c r="BP162" i="29"/>
  <c r="Y162" i="29"/>
  <c r="AD162" i="29"/>
  <c r="AC162" i="29"/>
  <c r="BJ162" i="29"/>
  <c r="W162" i="29"/>
  <c r="X162" i="29"/>
  <c r="DC162" i="29"/>
  <c r="CY162" i="29"/>
  <c r="BK162" i="29"/>
  <c r="BQ162" i="29"/>
  <c r="BM162" i="29"/>
  <c r="BL162" i="29"/>
  <c r="DA162" i="29"/>
  <c r="DF162" i="29"/>
  <c r="Z162" i="29"/>
  <c r="DF163" i="29" l="1"/>
  <c r="BQ163" i="29"/>
  <c r="CY163" i="29"/>
  <c r="X163" i="29"/>
  <c r="BJ163" i="29"/>
  <c r="BP163" i="29"/>
  <c r="BR163" i="29"/>
  <c r="DE163" i="29"/>
  <c r="CZ163" i="29"/>
  <c r="DD163" i="29"/>
  <c r="BO163" i="29"/>
  <c r="BS163" i="29"/>
  <c r="Z163" i="29"/>
  <c r="DA163" i="29"/>
  <c r="BM163" i="29"/>
  <c r="BK163" i="29"/>
  <c r="DC163" i="29"/>
  <c r="W163" i="29"/>
  <c r="AC163" i="29"/>
  <c r="Y163" i="29"/>
  <c r="AA163" i="29"/>
  <c r="AB163" i="29"/>
  <c r="AE163" i="29"/>
  <c r="BN163" i="29"/>
  <c r="V163" i="29"/>
  <c r="DG163" i="29"/>
  <c r="CX163" i="29"/>
  <c r="BL163" i="29"/>
  <c r="AD163" i="29"/>
  <c r="DB163" i="29"/>
  <c r="CX164" i="29" l="1"/>
  <c r="V164" i="29"/>
  <c r="AA164" i="29"/>
  <c r="AC164" i="29"/>
  <c r="DC164" i="29"/>
  <c r="Z164" i="29"/>
  <c r="BO164" i="29"/>
  <c r="CZ164" i="29"/>
  <c r="BR164" i="29"/>
  <c r="BJ164" i="29"/>
  <c r="CY164" i="29"/>
  <c r="DB164" i="29"/>
  <c r="BL164" i="29"/>
  <c r="DG164" i="29"/>
  <c r="BN164" i="29"/>
  <c r="AB164" i="29"/>
  <c r="Y164" i="29"/>
  <c r="W164" i="29"/>
  <c r="BK164" i="29"/>
  <c r="DA164" i="29"/>
  <c r="BS164" i="29"/>
  <c r="DD164" i="29"/>
  <c r="DE164" i="29"/>
  <c r="BP164" i="29"/>
  <c r="X164" i="29"/>
  <c r="BQ164" i="29"/>
  <c r="AD164" i="29"/>
  <c r="AE164" i="29"/>
  <c r="BM164" i="29"/>
  <c r="DF164" i="29"/>
  <c r="DF165" i="29" l="1"/>
  <c r="BQ165" i="29"/>
  <c r="DD165" i="29"/>
  <c r="DA165" i="29"/>
  <c r="AB165" i="29"/>
  <c r="DG165" i="29"/>
  <c r="DB165" i="29"/>
  <c r="BJ165" i="29"/>
  <c r="CZ165" i="29"/>
  <c r="Z165" i="29"/>
  <c r="AC165" i="29"/>
  <c r="V165" i="29"/>
  <c r="AE165" i="29"/>
  <c r="BP165" i="29"/>
  <c r="W165" i="29"/>
  <c r="BM165" i="29"/>
  <c r="AD165" i="29"/>
  <c r="X165" i="29"/>
  <c r="DE165" i="29"/>
  <c r="BS165" i="29"/>
  <c r="BK165" i="29"/>
  <c r="Y165" i="29"/>
  <c r="BN165" i="29"/>
  <c r="BL165" i="29"/>
  <c r="CY165" i="29"/>
  <c r="BR165" i="29"/>
  <c r="BO165" i="29"/>
  <c r="DC165" i="29"/>
  <c r="AA165" i="29"/>
  <c r="CX165" i="29"/>
  <c r="AA166" i="29" l="1"/>
  <c r="CY166" i="29"/>
  <c r="BN166" i="29"/>
  <c r="BK166" i="29"/>
  <c r="DE166" i="29"/>
  <c r="W166" i="29"/>
  <c r="AE166" i="29"/>
  <c r="AC166" i="29"/>
  <c r="CZ166" i="29"/>
  <c r="DB166" i="29"/>
  <c r="AB166" i="29"/>
  <c r="DD166" i="29"/>
  <c r="CX166" i="29"/>
  <c r="DC166" i="29"/>
  <c r="BR166" i="29"/>
  <c r="BL166" i="29"/>
  <c r="Y166" i="29"/>
  <c r="BS166" i="29"/>
  <c r="X166" i="29"/>
  <c r="BM166" i="29"/>
  <c r="BP166" i="29"/>
  <c r="V166" i="29"/>
  <c r="Z166" i="29"/>
  <c r="BJ166" i="29"/>
  <c r="DG166" i="29"/>
  <c r="DA166" i="29"/>
  <c r="BQ166" i="29"/>
  <c r="BO166" i="29"/>
  <c r="AD166" i="29"/>
  <c r="DF166" i="29"/>
  <c r="AD167" i="29" l="1"/>
  <c r="BQ167" i="29"/>
  <c r="Z167" i="29"/>
  <c r="BP167" i="29"/>
  <c r="Y167" i="29"/>
  <c r="BR167" i="29"/>
  <c r="AB167" i="29"/>
  <c r="CZ167" i="29"/>
  <c r="AE167" i="29"/>
  <c r="BN167" i="29"/>
  <c r="DF167" i="29"/>
  <c r="BO167" i="29"/>
  <c r="DA167" i="29"/>
  <c r="BJ167" i="29"/>
  <c r="V167" i="29"/>
  <c r="BM167" i="29"/>
  <c r="BS167" i="29"/>
  <c r="BL167" i="29"/>
  <c r="DC167" i="29"/>
  <c r="DD167" i="29"/>
  <c r="DB167" i="29"/>
  <c r="AC167" i="29"/>
  <c r="W167" i="29"/>
  <c r="BK167" i="29"/>
  <c r="CY167" i="29"/>
  <c r="DG167" i="29"/>
  <c r="X167" i="29"/>
  <c r="CX167" i="29"/>
  <c r="DE167" i="29"/>
  <c r="AA167" i="29"/>
  <c r="DE168" i="29" l="1"/>
  <c r="CY168" i="29"/>
  <c r="DB168" i="29"/>
  <c r="DC168" i="29"/>
  <c r="V168" i="29"/>
  <c r="DA168" i="29"/>
  <c r="AE168" i="29"/>
  <c r="AB168" i="29"/>
  <c r="Z168" i="29"/>
  <c r="AA168" i="29"/>
  <c r="CX168" i="29"/>
  <c r="DG168" i="29"/>
  <c r="BK168" i="29"/>
  <c r="AC168" i="29"/>
  <c r="DD168" i="29"/>
  <c r="BL168" i="29"/>
  <c r="BM168" i="29"/>
  <c r="BJ168" i="29"/>
  <c r="BO168" i="29"/>
  <c r="BN168" i="29"/>
  <c r="CZ168" i="29"/>
  <c r="BR168" i="29"/>
  <c r="BP168" i="29"/>
  <c r="BQ168" i="29"/>
  <c r="X168" i="29"/>
  <c r="W168" i="29"/>
  <c r="BS168" i="29"/>
  <c r="DF168" i="29"/>
  <c r="Y168" i="29"/>
  <c r="AD168" i="29"/>
  <c r="BS169" i="29" l="1"/>
  <c r="X169" i="29"/>
  <c r="CZ169" i="29"/>
  <c r="BO169" i="29"/>
  <c r="BM169" i="29"/>
  <c r="BK169" i="29"/>
  <c r="CX169" i="29"/>
  <c r="Z169" i="29"/>
  <c r="AE169" i="29"/>
  <c r="V169" i="29"/>
  <c r="DB169" i="29"/>
  <c r="AD169" i="29"/>
  <c r="DF169" i="29"/>
  <c r="W169" i="29"/>
  <c r="BQ169" i="29"/>
  <c r="BR169" i="29"/>
  <c r="BN169" i="29"/>
  <c r="BJ169" i="29"/>
  <c r="BL169" i="29"/>
  <c r="AC169" i="29"/>
  <c r="DG169" i="29"/>
  <c r="AA169" i="29"/>
  <c r="AB169" i="29"/>
  <c r="DA169" i="29"/>
  <c r="DC169" i="29"/>
  <c r="CY169" i="29"/>
  <c r="Y169" i="29"/>
  <c r="BP169" i="29"/>
  <c r="DD169" i="29"/>
  <c r="DE169" i="29"/>
  <c r="Y170" i="29" l="1"/>
  <c r="DC170" i="29"/>
  <c r="AB170" i="29"/>
  <c r="DG170" i="29"/>
  <c r="BN170" i="29"/>
  <c r="BQ170" i="29"/>
  <c r="DF170" i="29"/>
  <c r="DB170" i="29"/>
  <c r="AE170" i="29"/>
  <c r="CX170" i="29"/>
  <c r="BM170" i="29"/>
  <c r="CZ170" i="29"/>
  <c r="DE170" i="29"/>
  <c r="BP170" i="29"/>
  <c r="CY170" i="29"/>
  <c r="DA170" i="29"/>
  <c r="AA170" i="29"/>
  <c r="AC170" i="29"/>
  <c r="BJ170" i="29"/>
  <c r="BR170" i="29"/>
  <c r="W170" i="29"/>
  <c r="AD170" i="29"/>
  <c r="V170" i="29"/>
  <c r="Z170" i="29"/>
  <c r="BK170" i="29"/>
  <c r="BO170" i="29"/>
  <c r="X170" i="29"/>
  <c r="DD170" i="29"/>
  <c r="BL170" i="29"/>
  <c r="BS170" i="29"/>
  <c r="X171" i="29" l="1"/>
  <c r="BK171" i="29"/>
  <c r="V171" i="29"/>
  <c r="W171" i="29"/>
  <c r="AA171" i="29"/>
  <c r="CY171" i="29"/>
  <c r="DE171" i="29"/>
  <c r="BM171" i="29"/>
  <c r="AE171" i="29"/>
  <c r="DF171" i="29"/>
  <c r="BN171" i="29"/>
  <c r="AB171" i="29"/>
  <c r="BS171" i="29"/>
  <c r="DD171" i="29"/>
  <c r="BO171" i="29"/>
  <c r="Z171" i="29"/>
  <c r="AD171" i="29"/>
  <c r="BR171" i="29"/>
  <c r="AC171" i="29"/>
  <c r="DA171" i="29"/>
  <c r="BP171" i="29"/>
  <c r="CZ171" i="29"/>
  <c r="CX171" i="29"/>
  <c r="DB171" i="29"/>
  <c r="BQ171" i="29"/>
  <c r="DG171" i="29"/>
  <c r="DC171" i="29"/>
  <c r="BL171" i="29"/>
  <c r="BJ171" i="29"/>
  <c r="Y171" i="29"/>
  <c r="BJ172" i="29" l="1"/>
  <c r="BQ172" i="29"/>
  <c r="CX172" i="29"/>
  <c r="AC172" i="29"/>
  <c r="AD172" i="29"/>
  <c r="BS172" i="29"/>
  <c r="BN172" i="29"/>
  <c r="DE172" i="29"/>
  <c r="AA172" i="29"/>
  <c r="V172" i="29"/>
  <c r="Y172" i="29"/>
  <c r="BL172" i="29"/>
  <c r="DG172" i="29"/>
  <c r="DB172" i="29"/>
  <c r="CZ172" i="29"/>
  <c r="DA172" i="29"/>
  <c r="BR172" i="29"/>
  <c r="Z172" i="29"/>
  <c r="DD172" i="29"/>
  <c r="AB172" i="29"/>
  <c r="DF172" i="29"/>
  <c r="BM172" i="29"/>
  <c r="CY172" i="29"/>
  <c r="W172" i="29"/>
  <c r="BK172" i="29"/>
  <c r="DC172" i="29"/>
  <c r="BP172" i="29"/>
  <c r="BO172" i="29"/>
  <c r="AE172" i="29"/>
  <c r="X172" i="29"/>
  <c r="AE173" i="29" l="1"/>
  <c r="BP173" i="29"/>
  <c r="BK173" i="29"/>
  <c r="CY173" i="29"/>
  <c r="DD173" i="29"/>
  <c r="BR173" i="29"/>
  <c r="CZ173" i="29"/>
  <c r="DG173" i="29"/>
  <c r="Y173" i="29"/>
  <c r="AA173" i="29"/>
  <c r="BN173" i="29"/>
  <c r="AD173" i="29"/>
  <c r="CX173" i="29"/>
  <c r="X173" i="29"/>
  <c r="BO173" i="29"/>
  <c r="DC173" i="29"/>
  <c r="W173" i="29"/>
  <c r="BM173" i="29"/>
  <c r="AB173" i="29"/>
  <c r="Z173" i="29"/>
  <c r="DA173" i="29"/>
  <c r="DB173" i="29"/>
  <c r="BL173" i="29"/>
  <c r="V173" i="29"/>
  <c r="DE173" i="29"/>
  <c r="BS173" i="29"/>
  <c r="AC173" i="29"/>
  <c r="BQ173" i="29"/>
  <c r="DF173" i="29"/>
  <c r="BJ173" i="29"/>
  <c r="AC174" i="29" l="1"/>
  <c r="DE174" i="29"/>
  <c r="DA174" i="29"/>
  <c r="AB174" i="29"/>
  <c r="W174" i="29"/>
  <c r="BO174" i="29"/>
  <c r="BN174" i="29"/>
  <c r="Y174" i="29"/>
  <c r="CZ174" i="29"/>
  <c r="DD174" i="29"/>
  <c r="BK174" i="29"/>
  <c r="BJ174" i="29"/>
  <c r="BQ174" i="29"/>
  <c r="BS174" i="29"/>
  <c r="V174" i="29"/>
  <c r="DB174" i="29"/>
  <c r="Z174" i="29"/>
  <c r="BM174" i="29"/>
  <c r="DC174" i="29"/>
  <c r="X174" i="29"/>
  <c r="AD174" i="29"/>
  <c r="AA174" i="29"/>
  <c r="DG174" i="29"/>
  <c r="BR174" i="29"/>
  <c r="CY174" i="29"/>
  <c r="BP174" i="29"/>
  <c r="DF174" i="29"/>
  <c r="BL174" i="29"/>
  <c r="CX174" i="29"/>
  <c r="AE174" i="29"/>
  <c r="BL175" i="29" l="1"/>
  <c r="BR175" i="29"/>
  <c r="X175" i="29"/>
  <c r="BM175" i="29"/>
  <c r="BS175" i="29"/>
  <c r="BJ175" i="29"/>
  <c r="DD175" i="29"/>
  <c r="Y175" i="29"/>
  <c r="BO175" i="29"/>
  <c r="AB175" i="29"/>
  <c r="DE175" i="29"/>
  <c r="AE175" i="29"/>
  <c r="BP175" i="29"/>
  <c r="AA175" i="29"/>
  <c r="DB175" i="29"/>
  <c r="CX175" i="29"/>
  <c r="DF175" i="29"/>
  <c r="CY175" i="29"/>
  <c r="DG175" i="29"/>
  <c r="AD175" i="29"/>
  <c r="DC175" i="29"/>
  <c r="Z175" i="29"/>
  <c r="V175" i="29"/>
  <c r="BQ175" i="29"/>
  <c r="BK175" i="29"/>
  <c r="CZ175" i="29"/>
  <c r="BN175" i="29"/>
  <c r="W175" i="29"/>
  <c r="DA175" i="29"/>
  <c r="AC175" i="29"/>
  <c r="BN176" i="29" l="1"/>
  <c r="V176" i="29"/>
  <c r="DC176" i="29"/>
  <c r="DF176" i="29"/>
  <c r="DB176" i="29"/>
  <c r="DE176" i="29"/>
  <c r="DD176" i="29"/>
  <c r="X176" i="29"/>
  <c r="AC176" i="29"/>
  <c r="W176" i="29"/>
  <c r="CZ176" i="29"/>
  <c r="BQ176" i="29"/>
  <c r="Z176" i="29"/>
  <c r="AD176" i="29"/>
  <c r="CY176" i="29"/>
  <c r="CX176" i="29"/>
  <c r="AA176" i="29"/>
  <c r="AE176" i="29"/>
  <c r="AB176" i="29"/>
  <c r="Y176" i="29"/>
  <c r="BJ176" i="29"/>
  <c r="BM176" i="29"/>
  <c r="BR176" i="29"/>
  <c r="DA176" i="29"/>
  <c r="BK176" i="29"/>
  <c r="DG176" i="29"/>
  <c r="BP176" i="29"/>
  <c r="BO176" i="29"/>
  <c r="BS176" i="29"/>
  <c r="BL176" i="29"/>
  <c r="BS177" i="29" l="1"/>
  <c r="BK177" i="29"/>
  <c r="BJ177" i="29"/>
  <c r="AB177" i="29"/>
  <c r="CY177" i="29"/>
  <c r="Z177" i="29"/>
  <c r="AC177" i="29"/>
  <c r="DD177" i="29"/>
  <c r="DC177" i="29"/>
  <c r="BL177" i="29"/>
  <c r="BO177" i="29"/>
  <c r="DG177" i="29"/>
  <c r="DA177" i="29"/>
  <c r="BM177" i="29"/>
  <c r="Y177" i="29"/>
  <c r="AE177" i="29"/>
  <c r="CX177" i="29"/>
  <c r="AD177" i="29"/>
  <c r="BQ177" i="29"/>
  <c r="W177" i="29"/>
  <c r="X177" i="29"/>
  <c r="DE177" i="29"/>
  <c r="DF177" i="29"/>
  <c r="V177" i="29"/>
  <c r="BP177" i="29"/>
  <c r="BR177" i="29"/>
  <c r="AA177" i="29"/>
  <c r="CZ177" i="29"/>
  <c r="DB177" i="29"/>
  <c r="BN177" i="29"/>
  <c r="DB178" i="29" l="1"/>
  <c r="AA178" i="29"/>
  <c r="DF178" i="29"/>
  <c r="X178" i="29"/>
  <c r="BQ178" i="29"/>
  <c r="CX178" i="29"/>
  <c r="DA178" i="29"/>
  <c r="BO178" i="29"/>
  <c r="DC178" i="29"/>
  <c r="AC178" i="29"/>
  <c r="CY178" i="29"/>
  <c r="BJ178" i="29"/>
  <c r="BN178" i="29"/>
  <c r="CZ178" i="29"/>
  <c r="BR178" i="29"/>
  <c r="V178" i="29"/>
  <c r="DE178" i="29"/>
  <c r="W178" i="29"/>
  <c r="AD178" i="29"/>
  <c r="AE178" i="29"/>
  <c r="BM178" i="29"/>
  <c r="DG178" i="29"/>
  <c r="BL178" i="29"/>
  <c r="DD178" i="29"/>
  <c r="Z178" i="29"/>
  <c r="AB178" i="29"/>
  <c r="BK178" i="29"/>
  <c r="BP178" i="29"/>
  <c r="Y178" i="29"/>
  <c r="BS178" i="29"/>
  <c r="BS179" i="29" l="1"/>
  <c r="BP179" i="29"/>
  <c r="AB179" i="29"/>
  <c r="DD179" i="29"/>
  <c r="DG179" i="29"/>
  <c r="AE179" i="29"/>
  <c r="W179" i="29"/>
  <c r="V179" i="29"/>
  <c r="CZ179" i="29"/>
  <c r="BJ179" i="29"/>
  <c r="AC179" i="29"/>
  <c r="BO179" i="29"/>
  <c r="CX179" i="29"/>
  <c r="X179" i="29"/>
  <c r="AA179" i="29"/>
  <c r="Y179" i="29"/>
  <c r="BK179" i="29"/>
  <c r="Z179" i="29"/>
  <c r="BL179" i="29"/>
  <c r="BM179" i="29"/>
  <c r="AD179" i="29"/>
  <c r="DE179" i="29"/>
  <c r="BR179" i="29"/>
  <c r="BN179" i="29"/>
  <c r="CY179" i="29"/>
  <c r="DC179" i="29"/>
  <c r="DA179" i="29"/>
  <c r="BQ179" i="29"/>
  <c r="DF179" i="29"/>
  <c r="DB179" i="29"/>
  <c r="DB180" i="29" l="1"/>
  <c r="BQ180" i="29"/>
  <c r="DC180" i="29"/>
  <c r="BN180" i="29"/>
  <c r="DE180" i="29"/>
  <c r="BM180" i="29"/>
  <c r="Z180" i="29"/>
  <c r="Y180" i="29"/>
  <c r="X180" i="29"/>
  <c r="BO180" i="29"/>
  <c r="BJ180" i="29"/>
  <c r="V180" i="29"/>
  <c r="AE180" i="29"/>
  <c r="DD180" i="29"/>
  <c r="BP180" i="29"/>
  <c r="DF180" i="29"/>
  <c r="DA180" i="29"/>
  <c r="CY180" i="29"/>
  <c r="BR180" i="29"/>
  <c r="AD180" i="29"/>
  <c r="BL180" i="29"/>
  <c r="BK180" i="29"/>
  <c r="AA180" i="29"/>
  <c r="CX180" i="29"/>
  <c r="AC180" i="29"/>
  <c r="CZ180" i="29"/>
  <c r="W180" i="29"/>
  <c r="DG180" i="29"/>
  <c r="AB180" i="29"/>
  <c r="BS180" i="29"/>
  <c r="AB181" i="29" l="1"/>
  <c r="W181" i="29"/>
  <c r="AA181" i="29"/>
  <c r="BL181" i="29"/>
  <c r="BR181" i="29"/>
  <c r="DA181" i="29"/>
  <c r="BP181" i="29"/>
  <c r="AE181" i="29"/>
  <c r="BJ181" i="29"/>
  <c r="X181" i="29"/>
  <c r="Z181" i="29"/>
  <c r="DE181" i="29"/>
  <c r="DC181" i="29"/>
  <c r="BS181" i="29"/>
  <c r="DG181" i="29"/>
  <c r="CZ181" i="29"/>
  <c r="CX181" i="29"/>
  <c r="BK181" i="29"/>
  <c r="AD181" i="29"/>
  <c r="CY181" i="29"/>
  <c r="DF181" i="29"/>
  <c r="DD181" i="29"/>
  <c r="V181" i="29"/>
  <c r="BO181" i="29"/>
  <c r="Y181" i="29"/>
  <c r="BM181" i="29"/>
  <c r="BN181" i="29"/>
  <c r="BQ181" i="29"/>
  <c r="AC181" i="29"/>
  <c r="DB181" i="29"/>
  <c r="DB182" i="29" l="1"/>
  <c r="BQ182" i="29"/>
  <c r="BM182" i="29"/>
  <c r="BO182" i="29"/>
  <c r="DD182" i="29"/>
  <c r="CY182" i="29"/>
  <c r="BK182" i="29"/>
  <c r="CZ182" i="29"/>
  <c r="BS182" i="29"/>
  <c r="DE182" i="29"/>
  <c r="X182" i="29"/>
  <c r="AE182" i="29"/>
  <c r="DA182" i="29"/>
  <c r="BL182" i="29"/>
  <c r="W182" i="29"/>
  <c r="AC182" i="29"/>
  <c r="BN182" i="29"/>
  <c r="Y182" i="29"/>
  <c r="V182" i="29"/>
  <c r="DF182" i="29"/>
  <c r="AD182" i="29"/>
  <c r="CX182" i="29"/>
  <c r="DG182" i="29"/>
  <c r="DC182" i="29"/>
  <c r="Z182" i="29"/>
  <c r="BJ182" i="29"/>
  <c r="BP182" i="29"/>
  <c r="BR182" i="29"/>
  <c r="AA182" i="29"/>
  <c r="AB182" i="29"/>
  <c r="AB183" i="29" l="1"/>
  <c r="BR183" i="29"/>
  <c r="BJ183" i="29"/>
  <c r="DC183" i="29"/>
  <c r="CX183" i="29"/>
  <c r="DF183" i="29"/>
  <c r="Y183" i="29"/>
  <c r="AC183" i="29"/>
  <c r="BL183" i="29"/>
  <c r="AE183" i="29"/>
  <c r="DE183" i="29"/>
  <c r="CZ183" i="29"/>
  <c r="CY183" i="29"/>
  <c r="BO183" i="29"/>
  <c r="BQ183" i="29"/>
  <c r="AA183" i="29"/>
  <c r="BP183" i="29"/>
  <c r="Z183" i="29"/>
  <c r="DG183" i="29"/>
  <c r="AD183" i="29"/>
  <c r="V183" i="29"/>
  <c r="BN183" i="29"/>
  <c r="W183" i="29"/>
  <c r="DA183" i="29"/>
  <c r="X183" i="29"/>
  <c r="BS183" i="29"/>
  <c r="BK183" i="29"/>
  <c r="DD183" i="29"/>
  <c r="BM183" i="29"/>
  <c r="DB183" i="29"/>
  <c r="DB184" i="29" l="1"/>
  <c r="DD184" i="29"/>
  <c r="BS184" i="29"/>
  <c r="DA184" i="29"/>
  <c r="BN184" i="29"/>
  <c r="AD184" i="29"/>
  <c r="Z184" i="29"/>
  <c r="AA184" i="29"/>
  <c r="BO184" i="29"/>
  <c r="CZ184" i="29"/>
  <c r="AE184" i="29"/>
  <c r="AC184" i="29"/>
  <c r="DF184" i="29"/>
  <c r="DC184" i="29"/>
  <c r="BR184" i="29"/>
  <c r="BM184" i="29"/>
  <c r="BK184" i="29"/>
  <c r="X184" i="29"/>
  <c r="W184" i="29"/>
  <c r="V184" i="29"/>
  <c r="DG184" i="29"/>
  <c r="BP184" i="29"/>
  <c r="BQ184" i="29"/>
  <c r="CY184" i="29"/>
  <c r="DE184" i="29"/>
  <c r="BL184" i="29"/>
  <c r="Y184" i="29"/>
  <c r="CX184" i="29"/>
  <c r="BJ184" i="29"/>
  <c r="AB184" i="29"/>
  <c r="AB185" i="29" l="1"/>
  <c r="CX185" i="29"/>
  <c r="BL185" i="29"/>
  <c r="CY185" i="29"/>
  <c r="BP185" i="29"/>
  <c r="V185" i="29"/>
  <c r="X185" i="29"/>
  <c r="BM185" i="29"/>
  <c r="DC185" i="29"/>
  <c r="AC185" i="29"/>
  <c r="CZ185" i="29"/>
  <c r="AA185" i="29"/>
  <c r="AD185" i="29"/>
  <c r="DA185" i="29"/>
  <c r="DD185" i="29"/>
  <c r="BJ185" i="29"/>
  <c r="Y185" i="29"/>
  <c r="DE185" i="29"/>
  <c r="BQ185" i="29"/>
  <c r="DG185" i="29"/>
  <c r="W185" i="29"/>
  <c r="BK185" i="29"/>
  <c r="BR185" i="29"/>
  <c r="DF185" i="29"/>
  <c r="AE185" i="29"/>
  <c r="BO185" i="29"/>
  <c r="Z185" i="29"/>
  <c r="BN185" i="29"/>
  <c r="BS185" i="29"/>
  <c r="DB185" i="29"/>
  <c r="DB186" i="29" l="1"/>
  <c r="BN186" i="29"/>
  <c r="BO186" i="29"/>
  <c r="DF186" i="29"/>
  <c r="BK186" i="29"/>
  <c r="DG186" i="29"/>
  <c r="DE186" i="29"/>
  <c r="BJ186" i="29"/>
  <c r="DA186" i="29"/>
  <c r="AA186" i="29"/>
  <c r="AC186" i="29"/>
  <c r="BM186" i="29"/>
  <c r="V186" i="29"/>
  <c r="CY186" i="29"/>
  <c r="CX186" i="29"/>
  <c r="BS186" i="29"/>
  <c r="Z186" i="29"/>
  <c r="AE186" i="29"/>
  <c r="BR186" i="29"/>
  <c r="W186" i="29"/>
  <c r="BQ186" i="29"/>
  <c r="Y186" i="29"/>
  <c r="DD186" i="29"/>
  <c r="AD186" i="29"/>
  <c r="CZ186" i="29"/>
  <c r="DC186" i="29"/>
  <c r="X186" i="29"/>
  <c r="BP186" i="29"/>
  <c r="BL186" i="29"/>
  <c r="AB186" i="29"/>
  <c r="BP187" i="29" l="1"/>
  <c r="AD187" i="29"/>
  <c r="W187" i="29"/>
  <c r="BS187" i="29"/>
  <c r="CY187" i="29"/>
  <c r="BM187" i="29"/>
  <c r="AA187" i="29"/>
  <c r="BJ187" i="29"/>
  <c r="DG187" i="29"/>
  <c r="DF187" i="29"/>
  <c r="BN187" i="29"/>
  <c r="AB187" i="29"/>
  <c r="DC187" i="29"/>
  <c r="Y187" i="29"/>
  <c r="AE187" i="29"/>
  <c r="BL187" i="29"/>
  <c r="X187" i="29"/>
  <c r="CZ187" i="29"/>
  <c r="DD187" i="29"/>
  <c r="BQ187" i="29"/>
  <c r="BR187" i="29"/>
  <c r="Z187" i="29"/>
  <c r="CX187" i="29"/>
  <c r="V187" i="29"/>
  <c r="AC187" i="29"/>
  <c r="DA187" i="29"/>
  <c r="DE187" i="29"/>
  <c r="BK187" i="29"/>
  <c r="BO187" i="29"/>
  <c r="DB187" i="29"/>
  <c r="BK188" i="29" l="1"/>
  <c r="V188" i="29"/>
  <c r="BQ188" i="29"/>
  <c r="BL188" i="29"/>
  <c r="Y188" i="29"/>
  <c r="AB188" i="29"/>
  <c r="DF188" i="29"/>
  <c r="BJ188" i="29"/>
  <c r="BM188" i="29"/>
  <c r="BS188" i="29"/>
  <c r="AD188" i="29"/>
  <c r="DB188" i="29"/>
  <c r="DA188" i="29"/>
  <c r="Z188" i="29"/>
  <c r="CZ188" i="29"/>
  <c r="BO188" i="29"/>
  <c r="DE188" i="29"/>
  <c r="AC188" i="29"/>
  <c r="CX188" i="29"/>
  <c r="BR188" i="29"/>
  <c r="DD188" i="29"/>
  <c r="X188" i="29"/>
  <c r="AE188" i="29"/>
  <c r="DC188" i="29"/>
  <c r="BN188" i="29"/>
  <c r="DG188" i="29"/>
  <c r="AA188" i="29"/>
  <c r="CY188" i="29"/>
  <c r="W188" i="29"/>
  <c r="BP188" i="29"/>
  <c r="CY189" i="29" l="1"/>
  <c r="DG189" i="29"/>
  <c r="X189" i="29"/>
  <c r="AC189" i="29"/>
  <c r="Z189" i="29"/>
  <c r="DB189" i="29"/>
  <c r="BS189" i="29"/>
  <c r="BJ189" i="29"/>
  <c r="AB189" i="29"/>
  <c r="BL189" i="29"/>
  <c r="V189" i="29"/>
  <c r="BP189" i="29"/>
  <c r="DC189" i="29"/>
  <c r="BR189" i="29"/>
  <c r="BO189" i="29"/>
  <c r="W189" i="29"/>
  <c r="AA189" i="29"/>
  <c r="BN189" i="29"/>
  <c r="AE189" i="29"/>
  <c r="DD189" i="29"/>
  <c r="CX189" i="29"/>
  <c r="DE189" i="29"/>
  <c r="CZ189" i="29"/>
  <c r="DA189" i="29"/>
  <c r="AD189" i="29"/>
  <c r="BM189" i="29"/>
  <c r="DF189" i="29"/>
  <c r="Y189" i="29"/>
  <c r="BQ189" i="29"/>
  <c r="BK189" i="29"/>
  <c r="BK190" i="29" l="1"/>
  <c r="BM190" i="29"/>
  <c r="DE190" i="29"/>
  <c r="BN190" i="29"/>
  <c r="BR190" i="29"/>
  <c r="BP190" i="29"/>
  <c r="BL190" i="29"/>
  <c r="BJ190" i="29"/>
  <c r="DB190" i="29"/>
  <c r="AC190" i="29"/>
  <c r="DG190" i="29"/>
  <c r="Y190" i="29"/>
  <c r="DA190" i="29"/>
  <c r="DD190" i="29"/>
  <c r="W190" i="29"/>
  <c r="BQ190" i="29"/>
  <c r="DF190" i="29"/>
  <c r="AD190" i="29"/>
  <c r="CZ190" i="29"/>
  <c r="CX190" i="29"/>
  <c r="AE190" i="29"/>
  <c r="AA190" i="29"/>
  <c r="BO190" i="29"/>
  <c r="DC190" i="29"/>
  <c r="V190" i="29"/>
  <c r="AB190" i="29"/>
  <c r="BS190" i="29"/>
  <c r="Z190" i="29"/>
  <c r="X190" i="29"/>
  <c r="CY190" i="29"/>
  <c r="Z191" i="29" l="1"/>
  <c r="DC191" i="29"/>
  <c r="CX191" i="29"/>
  <c r="BQ191" i="29"/>
  <c r="Y191" i="29"/>
  <c r="AC191" i="29"/>
  <c r="BJ191" i="29"/>
  <c r="BP191" i="29"/>
  <c r="BN191" i="29"/>
  <c r="BM191" i="29"/>
  <c r="CY191" i="29"/>
  <c r="AB191" i="29"/>
  <c r="AA191" i="29"/>
  <c r="AD191" i="29"/>
  <c r="DD191" i="29"/>
  <c r="X191" i="29"/>
  <c r="BS191" i="29"/>
  <c r="V191" i="29"/>
  <c r="BO191" i="29"/>
  <c r="AE191" i="29"/>
  <c r="CZ191" i="29"/>
  <c r="DF191" i="29"/>
  <c r="W191" i="29"/>
  <c r="DA191" i="29"/>
  <c r="DG191" i="29"/>
  <c r="DB191" i="29"/>
  <c r="BL191" i="29"/>
  <c r="BR191" i="29"/>
  <c r="DE191" i="29"/>
  <c r="BK191" i="29"/>
  <c r="BK192" i="29" l="1"/>
  <c r="DB192" i="29"/>
  <c r="DF192" i="29"/>
  <c r="V192" i="29"/>
  <c r="AD192" i="29"/>
  <c r="AB192" i="29"/>
  <c r="BM192" i="29"/>
  <c r="BP192" i="29"/>
  <c r="AC192" i="29"/>
  <c r="BQ192" i="29"/>
  <c r="DC192" i="29"/>
  <c r="BR192" i="29"/>
  <c r="DA192" i="29"/>
  <c r="AE192" i="29"/>
  <c r="X192" i="29"/>
  <c r="DE192" i="29"/>
  <c r="BL192" i="29"/>
  <c r="DG192" i="29"/>
  <c r="W192" i="29"/>
  <c r="CZ192" i="29"/>
  <c r="BO192" i="29"/>
  <c r="BS192" i="29"/>
  <c r="DD192" i="29"/>
  <c r="AA192" i="29"/>
  <c r="CY192" i="29"/>
  <c r="BN192" i="29"/>
  <c r="BJ192" i="29"/>
  <c r="Y192" i="29"/>
  <c r="CX192" i="29"/>
  <c r="Z192" i="29"/>
  <c r="Y193" i="29" l="1"/>
  <c r="AA193" i="29"/>
  <c r="CZ193" i="29"/>
  <c r="DE193" i="29"/>
  <c r="AE193" i="29"/>
  <c r="BR193" i="29"/>
  <c r="BQ193" i="29"/>
  <c r="BP193" i="29"/>
  <c r="AB193" i="29"/>
  <c r="V193" i="29"/>
  <c r="DB193" i="29"/>
  <c r="Z193" i="29"/>
  <c r="BN193" i="29"/>
  <c r="BS193" i="29"/>
  <c r="DG193" i="29"/>
  <c r="CX193" i="29"/>
  <c r="BJ193" i="29"/>
  <c r="CY193" i="29"/>
  <c r="DD193" i="29"/>
  <c r="BO193" i="29"/>
  <c r="W193" i="29"/>
  <c r="BL193" i="29"/>
  <c r="X193" i="29"/>
  <c r="DA193" i="29"/>
  <c r="DC193" i="29"/>
  <c r="AC193" i="29"/>
  <c r="BM193" i="29"/>
  <c r="AD193" i="29"/>
  <c r="DF193" i="29"/>
  <c r="BK193" i="29"/>
  <c r="BK194" i="29" l="1"/>
  <c r="AC194" i="29"/>
  <c r="BL194" i="29"/>
  <c r="CY194" i="29"/>
  <c r="BS194" i="29"/>
  <c r="Z194" i="29"/>
  <c r="V194" i="29"/>
  <c r="BP194" i="29"/>
  <c r="BR194" i="29"/>
  <c r="DE194" i="29"/>
  <c r="AA194" i="29"/>
  <c r="AD194" i="29"/>
  <c r="DA194" i="29"/>
  <c r="BO194" i="29"/>
  <c r="CX194" i="29"/>
  <c r="DF194" i="29"/>
  <c r="BM194" i="29"/>
  <c r="DC194" i="29"/>
  <c r="X194" i="29"/>
  <c r="W194" i="29"/>
  <c r="DD194" i="29"/>
  <c r="BJ194" i="29"/>
  <c r="DG194" i="29"/>
  <c r="BN194" i="29"/>
  <c r="DB194" i="29"/>
  <c r="AB194" i="29"/>
  <c r="BQ194" i="29"/>
  <c r="AE194" i="29"/>
  <c r="CZ194" i="29"/>
  <c r="Y194" i="29"/>
  <c r="Y195" i="29" l="1"/>
  <c r="AB195" i="29"/>
  <c r="BJ195" i="29"/>
  <c r="DC195" i="29"/>
  <c r="BO195" i="29"/>
  <c r="AD195" i="29"/>
  <c r="DE195" i="29"/>
  <c r="BP195" i="29"/>
  <c r="Z195" i="29"/>
  <c r="CY195" i="29"/>
  <c r="AC195" i="29"/>
  <c r="AE195" i="29"/>
  <c r="BN195" i="29"/>
  <c r="W195" i="29"/>
  <c r="DF195" i="29"/>
  <c r="CZ195" i="29"/>
  <c r="BQ195" i="29"/>
  <c r="DB195" i="29"/>
  <c r="DG195" i="29"/>
  <c r="DD195" i="29"/>
  <c r="X195" i="29"/>
  <c r="BM195" i="29"/>
  <c r="CX195" i="29"/>
  <c r="DA195" i="29"/>
  <c r="AA195" i="29"/>
  <c r="BR195" i="29"/>
  <c r="V195" i="29"/>
  <c r="BS195" i="29"/>
  <c r="BL195" i="29"/>
  <c r="BK195" i="29"/>
  <c r="BK196" i="29" l="1"/>
  <c r="BR196" i="29"/>
  <c r="BM196" i="29"/>
  <c r="DB196" i="29"/>
  <c r="W196" i="29"/>
  <c r="AE196" i="29"/>
  <c r="CY196" i="29"/>
  <c r="BP196" i="29"/>
  <c r="AD196" i="29"/>
  <c r="DC196" i="29"/>
  <c r="AB196" i="29"/>
  <c r="BS196" i="29"/>
  <c r="DA196" i="29"/>
  <c r="DD196" i="29"/>
  <c r="CZ196" i="29"/>
  <c r="BL196" i="29"/>
  <c r="V196" i="29"/>
  <c r="AA196" i="29"/>
  <c r="CX196" i="29"/>
  <c r="X196" i="29"/>
  <c r="DG196" i="29"/>
  <c r="BQ196" i="29"/>
  <c r="DF196" i="29"/>
  <c r="BN196" i="29"/>
  <c r="AC196" i="29"/>
  <c r="Z196" i="29"/>
  <c r="DE196" i="29"/>
  <c r="BO196" i="29"/>
  <c r="BJ196" i="29"/>
  <c r="Y196" i="29"/>
  <c r="BO197" i="29" l="1"/>
  <c r="BN197" i="29"/>
  <c r="X197" i="29"/>
  <c r="AA197" i="29"/>
  <c r="DD197" i="29"/>
  <c r="BS197" i="29"/>
  <c r="DC197" i="29"/>
  <c r="BP197" i="29"/>
  <c r="AE197" i="29"/>
  <c r="DB197" i="29"/>
  <c r="BR197" i="29"/>
  <c r="Y197" i="29"/>
  <c r="Z197" i="29"/>
  <c r="BQ197" i="29"/>
  <c r="BL197" i="29"/>
  <c r="BJ197" i="29"/>
  <c r="DE197" i="29"/>
  <c r="AC197" i="29"/>
  <c r="DF197" i="29"/>
  <c r="DG197" i="29"/>
  <c r="CX197" i="29"/>
  <c r="V197" i="29"/>
  <c r="CZ197" i="29"/>
  <c r="DA197" i="29"/>
  <c r="AB197" i="29"/>
  <c r="AD197" i="29"/>
  <c r="CY197" i="29"/>
  <c r="W197" i="29"/>
  <c r="BM197" i="29"/>
  <c r="BK197" i="29"/>
  <c r="W198" i="29" l="1"/>
  <c r="DA198" i="29"/>
  <c r="DG198" i="29"/>
  <c r="BJ198" i="29"/>
  <c r="BQ198" i="29"/>
  <c r="Y198" i="29"/>
  <c r="DB198" i="29"/>
  <c r="BP198" i="29"/>
  <c r="BS198" i="29"/>
  <c r="AA198" i="29"/>
  <c r="BN198" i="29"/>
  <c r="BK198" i="29"/>
  <c r="AD198" i="29"/>
  <c r="V198" i="29"/>
  <c r="AC198" i="29"/>
  <c r="BM198" i="29"/>
  <c r="CY198" i="29"/>
  <c r="AB198" i="29"/>
  <c r="CZ198" i="29"/>
  <c r="CX198" i="29"/>
  <c r="DF198" i="29"/>
  <c r="DE198" i="29"/>
  <c r="BL198" i="29"/>
  <c r="Z198" i="29"/>
  <c r="BR198" i="29"/>
  <c r="AE198" i="29"/>
  <c r="DC198" i="29"/>
  <c r="DD198" i="29"/>
  <c r="X198" i="29"/>
  <c r="BO198" i="29"/>
  <c r="DD199" i="29" l="1"/>
  <c r="Z199" i="29"/>
  <c r="CX199" i="29"/>
  <c r="BM199" i="29"/>
  <c r="BK199" i="29"/>
  <c r="AA199" i="29"/>
  <c r="BP199" i="29"/>
  <c r="Y199" i="29"/>
  <c r="BJ199" i="29"/>
  <c r="DA199" i="29"/>
  <c r="BO199" i="29"/>
  <c r="AE199" i="29"/>
  <c r="DE199" i="29"/>
  <c r="AB199" i="29"/>
  <c r="V199" i="29"/>
  <c r="X199" i="29"/>
  <c r="DC199" i="29"/>
  <c r="BR199" i="29"/>
  <c r="BL199" i="29"/>
  <c r="DF199" i="29"/>
  <c r="CZ199" i="29"/>
  <c r="CY199" i="29"/>
  <c r="AC199" i="29"/>
  <c r="AD199" i="29"/>
  <c r="BN199" i="29"/>
  <c r="BS199" i="29"/>
  <c r="DB199" i="29"/>
  <c r="BQ199" i="29"/>
  <c r="DG199" i="29"/>
  <c r="W199" i="29"/>
  <c r="BQ200" i="29" l="1"/>
  <c r="AD200" i="29"/>
  <c r="DF200" i="29"/>
  <c r="BR200" i="29"/>
  <c r="AB200" i="29"/>
  <c r="AE200" i="29"/>
  <c r="DA200" i="29"/>
  <c r="Y200" i="29"/>
  <c r="AA200" i="29"/>
  <c r="BM200" i="29"/>
  <c r="Z200" i="29"/>
  <c r="W200" i="29"/>
  <c r="BS200" i="29"/>
  <c r="CY200" i="29"/>
  <c r="X200" i="29"/>
  <c r="DG200" i="29"/>
  <c r="DB200" i="29"/>
  <c r="BN200" i="29"/>
  <c r="AC200" i="29"/>
  <c r="CZ200" i="29"/>
  <c r="BL200" i="29"/>
  <c r="DC200" i="29"/>
  <c r="V200" i="29"/>
  <c r="DE200" i="29"/>
  <c r="BO200" i="29"/>
  <c r="BJ200" i="29"/>
  <c r="BP200" i="29"/>
  <c r="BK200" i="29"/>
  <c r="CX200" i="29"/>
  <c r="DD200" i="29"/>
  <c r="DD201" i="29" l="1"/>
  <c r="BJ201" i="29"/>
  <c r="DC201" i="29"/>
  <c r="BN201" i="29"/>
  <c r="CY201" i="29"/>
  <c r="W201" i="29"/>
  <c r="BM201" i="29"/>
  <c r="Y201" i="29"/>
  <c r="AE201" i="29"/>
  <c r="BR201" i="29"/>
  <c r="AD201" i="29"/>
  <c r="BK201" i="29"/>
  <c r="DE201" i="29"/>
  <c r="CZ201" i="29"/>
  <c r="DG201" i="29"/>
  <c r="CX201" i="29"/>
  <c r="BP201" i="29"/>
  <c r="BO201" i="29"/>
  <c r="V201" i="29"/>
  <c r="BL201" i="29"/>
  <c r="AC201" i="29"/>
  <c r="DB201" i="29"/>
  <c r="X201" i="29"/>
  <c r="BS201" i="29"/>
  <c r="Z201" i="29"/>
  <c r="AA201" i="29"/>
  <c r="DA201" i="29"/>
  <c r="AB201" i="29"/>
  <c r="DF201" i="29"/>
  <c r="BQ201" i="29"/>
  <c r="AB202" i="29" l="1"/>
  <c r="BS202" i="29"/>
  <c r="BL202" i="29"/>
  <c r="CX202" i="29"/>
  <c r="BK202" i="29"/>
  <c r="BR202" i="29"/>
  <c r="Y202" i="29"/>
  <c r="W202" i="29"/>
  <c r="BN202" i="29"/>
  <c r="BJ202" i="29"/>
  <c r="BQ202" i="29"/>
  <c r="AA202" i="29"/>
  <c r="DB202" i="29"/>
  <c r="BO202" i="29"/>
  <c r="CZ202" i="29"/>
  <c r="DF202" i="29"/>
  <c r="DA202" i="29"/>
  <c r="Z202" i="29"/>
  <c r="X202" i="29"/>
  <c r="AC202" i="29"/>
  <c r="V202" i="29"/>
  <c r="BP202" i="29"/>
  <c r="DG202" i="29"/>
  <c r="DE202" i="29"/>
  <c r="AD202" i="29"/>
  <c r="AE202" i="29"/>
  <c r="BM202" i="29"/>
  <c r="CY202" i="29"/>
  <c r="DC202" i="29"/>
  <c r="DD202" i="29"/>
  <c r="CY203" i="29" l="1"/>
  <c r="DE203" i="29"/>
  <c r="AC203" i="29"/>
  <c r="Z203" i="29"/>
  <c r="BO203" i="29"/>
  <c r="AA203" i="29"/>
  <c r="BJ203" i="29"/>
  <c r="W203" i="29"/>
  <c r="BR203" i="29"/>
  <c r="CX203" i="29"/>
  <c r="BS203" i="29"/>
  <c r="DD203" i="29"/>
  <c r="AE203" i="29"/>
  <c r="BP203" i="29"/>
  <c r="DF203" i="29"/>
  <c r="DC203" i="29"/>
  <c r="BM203" i="29"/>
  <c r="AD203" i="29"/>
  <c r="DG203" i="29"/>
  <c r="V203" i="29"/>
  <c r="X203" i="29"/>
  <c r="DA203" i="29"/>
  <c r="CZ203" i="29"/>
  <c r="DB203" i="29"/>
  <c r="BQ203" i="29"/>
  <c r="BN203" i="29"/>
  <c r="Y203" i="29"/>
  <c r="BK203" i="29"/>
  <c r="BL203" i="29"/>
  <c r="AB203" i="29"/>
  <c r="AB204" i="29" l="1"/>
  <c r="BN204" i="29"/>
  <c r="DA204" i="29"/>
  <c r="AD204" i="29"/>
  <c r="BP204" i="29"/>
  <c r="DD204" i="29"/>
  <c r="CX204" i="29"/>
  <c r="W204" i="29"/>
  <c r="AA204" i="29"/>
  <c r="Z204" i="29"/>
  <c r="DE204" i="29"/>
  <c r="BK204" i="29"/>
  <c r="DB204" i="29"/>
  <c r="V204" i="29"/>
  <c r="DC204" i="29"/>
  <c r="BL204" i="29"/>
  <c r="Y204" i="29"/>
  <c r="BQ204" i="29"/>
  <c r="CZ204" i="29"/>
  <c r="X204" i="29"/>
  <c r="DG204" i="29"/>
  <c r="BM204" i="29"/>
  <c r="DF204" i="29"/>
  <c r="AE204" i="29"/>
  <c r="BS204" i="29"/>
  <c r="BR204" i="29"/>
  <c r="BJ204" i="29"/>
  <c r="BO204" i="29"/>
  <c r="AC204" i="29"/>
  <c r="CY204" i="29"/>
  <c r="BO205" i="29" l="1"/>
  <c r="AE205" i="29"/>
  <c r="X205" i="29"/>
  <c r="BQ205" i="29"/>
  <c r="V205" i="29"/>
  <c r="BK205" i="29"/>
  <c r="Z205" i="29"/>
  <c r="W205" i="29"/>
  <c r="DD205" i="29"/>
  <c r="AD205" i="29"/>
  <c r="BN205" i="29"/>
  <c r="CY205" i="29"/>
  <c r="BR205" i="29"/>
  <c r="BM205" i="29"/>
  <c r="BL205" i="29"/>
  <c r="AC205" i="29"/>
  <c r="BJ205" i="29"/>
  <c r="BS205" i="29"/>
  <c r="DF205" i="29"/>
  <c r="DG205" i="29"/>
  <c r="CZ205" i="29"/>
  <c r="Y205" i="29"/>
  <c r="DC205" i="29"/>
  <c r="DB205" i="29"/>
  <c r="DE205" i="29"/>
  <c r="AA205" i="29"/>
  <c r="CX205" i="29"/>
  <c r="BP205" i="29"/>
  <c r="DA205" i="29"/>
  <c r="AB205" i="29"/>
  <c r="BP206" i="29" l="1"/>
  <c r="DB206" i="29"/>
  <c r="DG206" i="29"/>
  <c r="AC206" i="29"/>
  <c r="BM206" i="29"/>
  <c r="CY206" i="29"/>
  <c r="AD206" i="29"/>
  <c r="W206" i="29"/>
  <c r="BK206" i="29"/>
  <c r="BQ206" i="29"/>
  <c r="AE206" i="29"/>
  <c r="AB206" i="29"/>
  <c r="AA206" i="29"/>
  <c r="Y206" i="29"/>
  <c r="BS206" i="29"/>
  <c r="DA206" i="29"/>
  <c r="CX206" i="29"/>
  <c r="DE206" i="29"/>
  <c r="DC206" i="29"/>
  <c r="CZ206" i="29"/>
  <c r="DF206" i="29"/>
  <c r="BJ206" i="29"/>
  <c r="BL206" i="29"/>
  <c r="BR206" i="29"/>
  <c r="BN206" i="29"/>
  <c r="DD206" i="29"/>
  <c r="Z206" i="29"/>
  <c r="V206" i="29"/>
  <c r="X206" i="29"/>
  <c r="BO206" i="29"/>
  <c r="V207" i="29" l="1"/>
  <c r="BR207" i="29"/>
  <c r="CZ207" i="29"/>
  <c r="DA207" i="29"/>
  <c r="AB207" i="29"/>
  <c r="BQ207" i="29"/>
  <c r="W207" i="29"/>
  <c r="CY207" i="29"/>
  <c r="AC207" i="29"/>
  <c r="DB207" i="29"/>
  <c r="BO207" i="29"/>
  <c r="DD207" i="29"/>
  <c r="BJ207" i="29"/>
  <c r="DE207" i="29"/>
  <c r="Y207" i="29"/>
  <c r="X207" i="29"/>
  <c r="Z207" i="29"/>
  <c r="BN207" i="29"/>
  <c r="BL207" i="29"/>
  <c r="DF207" i="29"/>
  <c r="DC207" i="29"/>
  <c r="CX207" i="29"/>
  <c r="BS207" i="29"/>
  <c r="AA207" i="29"/>
  <c r="AE207" i="29"/>
  <c r="BK207" i="29"/>
  <c r="AD207" i="29"/>
  <c r="BM207" i="29"/>
  <c r="DG207" i="29"/>
  <c r="BP207" i="29"/>
  <c r="BP208" i="29" l="1"/>
  <c r="BK208" i="29"/>
  <c r="CX208" i="29"/>
  <c r="BN208" i="29"/>
  <c r="DE208" i="29"/>
  <c r="DD208" i="29"/>
  <c r="DB208" i="29"/>
  <c r="CY208" i="29"/>
  <c r="BQ208" i="29"/>
  <c r="DA208" i="29"/>
  <c r="BR208" i="29"/>
  <c r="BM208" i="29"/>
  <c r="AA208" i="29"/>
  <c r="DF208" i="29"/>
  <c r="X208" i="29"/>
  <c r="DG208" i="29"/>
  <c r="AD208" i="29"/>
  <c r="AE208" i="29"/>
  <c r="BS208" i="29"/>
  <c r="DC208" i="29"/>
  <c r="BL208" i="29"/>
  <c r="Z208" i="29"/>
  <c r="Y208" i="29"/>
  <c r="BJ208" i="29"/>
  <c r="BO208" i="29"/>
  <c r="AC208" i="29"/>
  <c r="W208" i="29"/>
  <c r="AB208" i="29"/>
  <c r="CZ208" i="29"/>
  <c r="V208" i="29"/>
  <c r="V209" i="29" l="1"/>
  <c r="AC209" i="29"/>
  <c r="Z209" i="29"/>
  <c r="AE209" i="29"/>
  <c r="DF209" i="29"/>
  <c r="DA209" i="29"/>
  <c r="CY209" i="29"/>
  <c r="DD209" i="29"/>
  <c r="BN209" i="29"/>
  <c r="BK209" i="29"/>
  <c r="AB209" i="29"/>
  <c r="BJ209" i="29"/>
  <c r="DC209" i="29"/>
  <c r="DG209" i="29"/>
  <c r="BM209" i="29"/>
  <c r="CZ209" i="29"/>
  <c r="W209" i="29"/>
  <c r="BO209" i="29"/>
  <c r="Y209" i="29"/>
  <c r="BL209" i="29"/>
  <c r="BS209" i="29"/>
  <c r="AD209" i="29"/>
  <c r="X209" i="29"/>
  <c r="AA209" i="29"/>
  <c r="BR209" i="29"/>
  <c r="BQ209" i="29"/>
  <c r="DB209" i="29"/>
  <c r="DE209" i="29"/>
  <c r="CX209" i="29"/>
  <c r="BP209" i="29"/>
  <c r="DE210" i="29" l="1"/>
  <c r="AA210" i="29"/>
  <c r="BL210" i="29"/>
  <c r="CZ210" i="29"/>
  <c r="DG210" i="29"/>
  <c r="BJ210" i="29"/>
  <c r="BK210" i="29"/>
  <c r="DD210" i="29"/>
  <c r="DA210" i="29"/>
  <c r="AE210" i="29"/>
  <c r="AC210" i="29"/>
  <c r="BP210" i="29"/>
  <c r="BQ210" i="29"/>
  <c r="AD210" i="29"/>
  <c r="BO210" i="29"/>
  <c r="CX210" i="29"/>
  <c r="DB210" i="29"/>
  <c r="BR210" i="29"/>
  <c r="X210" i="29"/>
  <c r="BS210" i="29"/>
  <c r="Y210" i="29"/>
  <c r="W210" i="29"/>
  <c r="BM210" i="29"/>
  <c r="DC210" i="29"/>
  <c r="AB210" i="29"/>
  <c r="BN210" i="29"/>
  <c r="CY210" i="29"/>
  <c r="DF210" i="29"/>
  <c r="Z210" i="29"/>
  <c r="V210" i="29"/>
  <c r="V211" i="29" l="1"/>
  <c r="BN211" i="29"/>
  <c r="W211" i="29"/>
  <c r="CX211" i="29"/>
  <c r="BP211" i="29"/>
  <c r="DD211" i="29"/>
  <c r="BJ211" i="29"/>
  <c r="CZ211" i="29"/>
  <c r="AA211" i="29"/>
  <c r="DF211" i="29"/>
  <c r="DC211" i="29"/>
  <c r="BS211" i="29"/>
  <c r="BR211" i="29"/>
  <c r="AD211" i="29"/>
  <c r="AE211" i="29"/>
  <c r="Z211" i="29"/>
  <c r="CY211" i="29"/>
  <c r="AB211" i="29"/>
  <c r="BM211" i="29"/>
  <c r="Y211" i="29"/>
  <c r="X211" i="29"/>
  <c r="DB211" i="29"/>
  <c r="BO211" i="29"/>
  <c r="BQ211" i="29"/>
  <c r="AC211" i="29"/>
  <c r="DA211" i="29"/>
  <c r="BK211" i="29"/>
  <c r="DG211" i="29"/>
  <c r="BL211" i="29"/>
  <c r="DE211" i="29"/>
  <c r="DE212" i="29" l="1"/>
  <c r="DA212" i="29"/>
  <c r="DB212" i="29"/>
  <c r="AB212" i="29"/>
  <c r="AD212" i="29"/>
  <c r="BS212" i="29"/>
  <c r="DF212" i="29"/>
  <c r="CZ212" i="29"/>
  <c r="DD212" i="29"/>
  <c r="CX212" i="29"/>
  <c r="BN212" i="29"/>
  <c r="DG212" i="29"/>
  <c r="BQ212" i="29"/>
  <c r="Y212" i="29"/>
  <c r="Z212" i="29"/>
  <c r="BL212" i="29"/>
  <c r="BK212" i="29"/>
  <c r="AC212" i="29"/>
  <c r="BO212" i="29"/>
  <c r="X212" i="29"/>
  <c r="BM212" i="29"/>
  <c r="CY212" i="29"/>
  <c r="AE212" i="29"/>
  <c r="BR212" i="29"/>
  <c r="DC212" i="29"/>
  <c r="AA212" i="29"/>
  <c r="BJ212" i="29"/>
  <c r="BP212" i="29"/>
  <c r="W212" i="29"/>
  <c r="V212" i="29"/>
  <c r="V213" i="29" l="1"/>
  <c r="AA213" i="29"/>
  <c r="CY213" i="29"/>
  <c r="AC213" i="29"/>
  <c r="Y213" i="29"/>
  <c r="DG213" i="29"/>
  <c r="CX213" i="29"/>
  <c r="CZ213" i="29"/>
  <c r="BS213" i="29"/>
  <c r="AB213" i="29"/>
  <c r="DA213" i="29"/>
  <c r="BP213" i="29"/>
  <c r="BR213" i="29"/>
  <c r="X213" i="29"/>
  <c r="BL213" i="29"/>
  <c r="W213" i="29"/>
  <c r="BJ213" i="29"/>
  <c r="DC213" i="29"/>
  <c r="AE213" i="29"/>
  <c r="BM213" i="29"/>
  <c r="BO213" i="29"/>
  <c r="BK213" i="29"/>
  <c r="Z213" i="29"/>
  <c r="BQ213" i="29"/>
  <c r="BN213" i="29"/>
  <c r="DD213" i="29"/>
  <c r="DF213" i="29"/>
  <c r="AD213" i="29"/>
  <c r="DB213" i="29"/>
  <c r="DE213" i="29"/>
  <c r="DE214" i="29" l="1"/>
  <c r="DD214" i="29"/>
  <c r="BK214" i="29"/>
  <c r="DC214" i="29"/>
  <c r="X214" i="29"/>
  <c r="BP214" i="29"/>
  <c r="AB214" i="29"/>
  <c r="CZ214" i="29"/>
  <c r="DG214" i="29"/>
  <c r="AC214" i="29"/>
  <c r="AA214" i="29"/>
  <c r="AD214" i="29"/>
  <c r="BQ214" i="29"/>
  <c r="BM214" i="29"/>
  <c r="W214" i="29"/>
  <c r="DB214" i="29"/>
  <c r="DF214" i="29"/>
  <c r="BN214" i="29"/>
  <c r="Z214" i="29"/>
  <c r="BO214" i="29"/>
  <c r="AE214" i="29"/>
  <c r="BJ214" i="29"/>
  <c r="BL214" i="29"/>
  <c r="BR214" i="29"/>
  <c r="DA214" i="29"/>
  <c r="BS214" i="29"/>
  <c r="CX214" i="29"/>
  <c r="Y214" i="29"/>
  <c r="CY214" i="29"/>
  <c r="V214" i="29"/>
  <c r="V215" i="29" l="1"/>
  <c r="BS215" i="29"/>
  <c r="BJ215" i="29"/>
  <c r="BN215" i="29"/>
  <c r="DB215" i="29"/>
  <c r="AD215" i="29"/>
  <c r="AC215" i="29"/>
  <c r="CZ215" i="29"/>
  <c r="BP215" i="29"/>
  <c r="DC215" i="29"/>
  <c r="DD215" i="29"/>
  <c r="Y215" i="29"/>
  <c r="BR215" i="29"/>
  <c r="BO215" i="29"/>
  <c r="BM215" i="29"/>
  <c r="CY215" i="29"/>
  <c r="CX215" i="29"/>
  <c r="DA215" i="29"/>
  <c r="BL215" i="29"/>
  <c r="AE215" i="29"/>
  <c r="Z215" i="29"/>
  <c r="DF215" i="29"/>
  <c r="W215" i="29"/>
  <c r="BQ215" i="29"/>
  <c r="AA215" i="29"/>
  <c r="DG215" i="29"/>
  <c r="AB215" i="29"/>
  <c r="X215" i="29"/>
  <c r="BK215" i="29"/>
  <c r="DE215" i="29"/>
  <c r="DE216" i="29" l="1"/>
  <c r="DG216" i="29"/>
  <c r="DF216" i="29"/>
  <c r="DA216" i="29"/>
  <c r="CZ216" i="29"/>
  <c r="X216" i="29"/>
  <c r="BQ216" i="29"/>
  <c r="AE216" i="29"/>
  <c r="CY216" i="29"/>
  <c r="BO216" i="29"/>
  <c r="Y216" i="29"/>
  <c r="DC216" i="29"/>
  <c r="AD216" i="29"/>
  <c r="BN216" i="29"/>
  <c r="BS216" i="29"/>
  <c r="BK216" i="29"/>
  <c r="AB216" i="29"/>
  <c r="AA216" i="29"/>
  <c r="W216" i="29"/>
  <c r="Z216" i="29"/>
  <c r="BL216" i="29"/>
  <c r="CX216" i="29"/>
  <c r="BM216" i="29"/>
  <c r="BR216" i="29"/>
  <c r="DD216" i="29"/>
  <c r="BP216" i="29"/>
  <c r="AC216" i="29"/>
  <c r="DB216" i="29"/>
  <c r="BJ216" i="29"/>
  <c r="V216" i="29"/>
  <c r="BJ217" i="29" l="1"/>
  <c r="DD217" i="29"/>
  <c r="BL217" i="29"/>
  <c r="W217" i="29"/>
  <c r="BS217" i="29"/>
  <c r="Y217" i="29"/>
  <c r="V217" i="29"/>
  <c r="DB217" i="29"/>
  <c r="BP217" i="29"/>
  <c r="BR217" i="29"/>
  <c r="CX217" i="29"/>
  <c r="Z217" i="29"/>
  <c r="AA217" i="29"/>
  <c r="BK217" i="29"/>
  <c r="BN217" i="29"/>
  <c r="DC217" i="29"/>
  <c r="BO217" i="29"/>
  <c r="AE217" i="29"/>
  <c r="X217" i="29"/>
  <c r="DA217" i="29"/>
  <c r="DG217" i="29"/>
  <c r="AC217" i="29"/>
  <c r="BM217" i="29"/>
  <c r="AB217" i="29"/>
  <c r="AD217" i="29"/>
  <c r="CY217" i="29"/>
  <c r="BQ217" i="29"/>
  <c r="CZ217" i="29"/>
  <c r="DF217" i="29"/>
  <c r="DE217" i="29"/>
  <c r="DE218" i="29" l="1"/>
  <c r="CZ218" i="29"/>
  <c r="CY218" i="29"/>
  <c r="AB218" i="29"/>
  <c r="AC218" i="29"/>
  <c r="DA218" i="29"/>
  <c r="AE218" i="29"/>
  <c r="DC218" i="29"/>
  <c r="BK218" i="29"/>
  <c r="Z218" i="29"/>
  <c r="BR218" i="29"/>
  <c r="DB218" i="29"/>
  <c r="Y218" i="29"/>
  <c r="W218" i="29"/>
  <c r="DD218" i="29"/>
  <c r="DF218" i="29"/>
  <c r="BQ218" i="29"/>
  <c r="AD218" i="29"/>
  <c r="BM218" i="29"/>
  <c r="DG218" i="29"/>
  <c r="X218" i="29"/>
  <c r="BO218" i="29"/>
  <c r="BN218" i="29"/>
  <c r="AA218" i="29"/>
  <c r="CX218" i="29"/>
  <c r="BP218" i="29"/>
  <c r="V218" i="29"/>
  <c r="BS218" i="29"/>
  <c r="BL218" i="29"/>
  <c r="BJ218" i="29"/>
  <c r="BJ219" i="29" l="1"/>
  <c r="BS219" i="29"/>
  <c r="BP219" i="29"/>
  <c r="AA219" i="29"/>
  <c r="BO219" i="29"/>
  <c r="DG219" i="29"/>
  <c r="AD219" i="29"/>
  <c r="DF219" i="29"/>
  <c r="W219" i="29"/>
  <c r="DB219" i="29"/>
  <c r="Z219" i="29"/>
  <c r="DC219" i="29"/>
  <c r="DA219" i="29"/>
  <c r="AB219" i="29"/>
  <c r="CZ219" i="29"/>
  <c r="BL219" i="29"/>
  <c r="V219" i="29"/>
  <c r="CX219" i="29"/>
  <c r="BN219" i="29"/>
  <c r="X219" i="29"/>
  <c r="BM219" i="29"/>
  <c r="BQ219" i="29"/>
  <c r="DD219" i="29"/>
  <c r="Y219" i="29"/>
  <c r="BR219" i="29"/>
  <c r="BK219" i="29"/>
  <c r="AE219" i="29"/>
  <c r="AC219" i="29"/>
  <c r="CY219" i="29"/>
  <c r="DE219" i="29"/>
  <c r="BK220" i="29" l="1"/>
  <c r="BQ220" i="29"/>
  <c r="CX220" i="29"/>
  <c r="AB220" i="29"/>
  <c r="DB220" i="29"/>
  <c r="DG220" i="29"/>
  <c r="BS220" i="29"/>
  <c r="CY220" i="29"/>
  <c r="BR220" i="29"/>
  <c r="BM220" i="29"/>
  <c r="V220" i="29"/>
  <c r="DA220" i="29"/>
  <c r="W220" i="29"/>
  <c r="BO220" i="29"/>
  <c r="BJ220" i="29"/>
  <c r="AC220" i="29"/>
  <c r="Y220" i="29"/>
  <c r="X220" i="29"/>
  <c r="BL220" i="29"/>
  <c r="DC220" i="29"/>
  <c r="DF220" i="29"/>
  <c r="AA220" i="29"/>
  <c r="AE220" i="29"/>
  <c r="DD220" i="29"/>
  <c r="BN220" i="29"/>
  <c r="CZ220" i="29"/>
  <c r="Z220" i="29"/>
  <c r="AD220" i="29"/>
  <c r="BP220" i="29"/>
  <c r="DE220" i="29"/>
  <c r="Z221" i="29" l="1"/>
  <c r="BN221" i="29"/>
  <c r="AE221" i="29"/>
  <c r="BL221" i="29"/>
  <c r="Y221" i="29"/>
  <c r="BJ221" i="29"/>
  <c r="W221" i="29"/>
  <c r="V221" i="29"/>
  <c r="BR221" i="29"/>
  <c r="BS221" i="29"/>
  <c r="CX221" i="29"/>
  <c r="BK221" i="29"/>
  <c r="DE221" i="29"/>
  <c r="AD221" i="29"/>
  <c r="CZ221" i="29"/>
  <c r="DD221" i="29"/>
  <c r="AA221" i="29"/>
  <c r="DC221" i="29"/>
  <c r="X221" i="29"/>
  <c r="AC221" i="29"/>
  <c r="BO221" i="29"/>
  <c r="DA221" i="29"/>
  <c r="BM221" i="29"/>
  <c r="CY221" i="29"/>
  <c r="DG221" i="29"/>
  <c r="AB221" i="29"/>
  <c r="BQ221" i="29"/>
  <c r="BP221" i="29"/>
  <c r="DF221" i="29"/>
  <c r="DB221" i="29"/>
  <c r="BQ222" i="29" l="1"/>
  <c r="BM222" i="29"/>
  <c r="X222" i="29"/>
  <c r="CZ222" i="29"/>
  <c r="DE222" i="29"/>
  <c r="BR222" i="29"/>
  <c r="W222" i="29"/>
  <c r="Y222" i="29"/>
  <c r="Z222" i="29"/>
  <c r="DB222" i="29"/>
  <c r="BP222" i="29"/>
  <c r="AB222" i="29"/>
  <c r="CY222" i="29"/>
  <c r="DA222" i="29"/>
  <c r="AC222" i="29"/>
  <c r="DC222" i="29"/>
  <c r="DD222" i="29"/>
  <c r="AD222" i="29"/>
  <c r="BK222" i="29"/>
  <c r="BS222" i="29"/>
  <c r="V222" i="29"/>
  <c r="BJ222" i="29"/>
  <c r="BL222" i="29"/>
  <c r="BN222" i="29"/>
  <c r="DF222" i="29"/>
  <c r="DG222" i="29"/>
  <c r="BO222" i="29"/>
  <c r="AA222" i="29"/>
  <c r="CX222" i="29"/>
  <c r="AE222" i="29"/>
  <c r="BO223" i="29" l="1"/>
  <c r="DF223" i="29"/>
  <c r="BL223" i="29"/>
  <c r="V223" i="29"/>
  <c r="BK223" i="29"/>
  <c r="DD223" i="29"/>
  <c r="AC223" i="29"/>
  <c r="CY223" i="29"/>
  <c r="BP223" i="29"/>
  <c r="Z223" i="29"/>
  <c r="DE223" i="29"/>
  <c r="X223" i="29"/>
  <c r="BQ223" i="29"/>
  <c r="AE223" i="29"/>
  <c r="AA223" i="29"/>
  <c r="DG223" i="29"/>
  <c r="BN223" i="29"/>
  <c r="BJ223" i="29"/>
  <c r="BS223" i="29"/>
  <c r="AD223" i="29"/>
  <c r="DC223" i="29"/>
  <c r="DA223" i="29"/>
  <c r="AB223" i="29"/>
  <c r="DB223" i="29"/>
  <c r="Y223" i="29"/>
  <c r="BR223" i="29"/>
  <c r="CZ223" i="29"/>
  <c r="BM223" i="29"/>
  <c r="CX223" i="29"/>
  <c r="W223" i="29"/>
  <c r="W224" i="29" l="1"/>
  <c r="BR224" i="29"/>
  <c r="DA224" i="29"/>
  <c r="AD224" i="29"/>
  <c r="DG224" i="29"/>
  <c r="X224" i="29"/>
  <c r="CY224" i="29"/>
  <c r="V224" i="29"/>
  <c r="CX224" i="29"/>
  <c r="Y224" i="29"/>
  <c r="AB224" i="29"/>
  <c r="DC224" i="29"/>
  <c r="BS224" i="29"/>
  <c r="BN224" i="29"/>
  <c r="AA224" i="29"/>
  <c r="BQ224" i="29"/>
  <c r="DE224" i="29"/>
  <c r="BP224" i="29"/>
  <c r="AC224" i="29"/>
  <c r="BK224" i="29"/>
  <c r="BL224" i="29"/>
  <c r="BO224" i="29"/>
  <c r="BM224" i="29"/>
  <c r="DB224" i="29"/>
  <c r="BJ224" i="29"/>
  <c r="AE224" i="29"/>
  <c r="Z224" i="29"/>
  <c r="DD224" i="29"/>
  <c r="DF224" i="29"/>
  <c r="CZ224" i="29"/>
  <c r="DD225" i="29" l="1"/>
  <c r="DB225" i="29"/>
  <c r="BO225" i="29"/>
  <c r="BP225" i="29"/>
  <c r="BN225" i="29"/>
  <c r="Y225" i="29"/>
  <c r="V225" i="29"/>
  <c r="X225" i="29"/>
  <c r="AD225" i="29"/>
  <c r="DF225" i="29"/>
  <c r="Z225" i="29"/>
  <c r="BJ225" i="29"/>
  <c r="BM225" i="29"/>
  <c r="BL225" i="29"/>
  <c r="AC225" i="29"/>
  <c r="DE225" i="29"/>
  <c r="AA225" i="29"/>
  <c r="BS225" i="29"/>
  <c r="AB225" i="29"/>
  <c r="CX225" i="29"/>
  <c r="CY225" i="29"/>
  <c r="DG225" i="29"/>
  <c r="DA225" i="29"/>
  <c r="W225" i="29"/>
  <c r="CZ225" i="29"/>
  <c r="AE225" i="29"/>
  <c r="BK225" i="29"/>
  <c r="BQ225" i="29"/>
  <c r="DC225" i="29"/>
  <c r="BR225" i="29"/>
  <c r="BR226" i="29" l="1"/>
  <c r="BQ226" i="29"/>
  <c r="AE226" i="29"/>
  <c r="W226" i="29"/>
  <c r="DG226" i="29"/>
  <c r="CX226" i="29"/>
  <c r="BS226" i="29"/>
  <c r="DE226" i="29"/>
  <c r="BL226" i="29"/>
  <c r="BJ226" i="29"/>
  <c r="DF226" i="29"/>
  <c r="X226" i="29"/>
  <c r="Y226" i="29"/>
  <c r="BP226" i="29"/>
  <c r="DB226" i="29"/>
  <c r="DC226" i="29"/>
  <c r="BK226" i="29"/>
  <c r="CZ226" i="29"/>
  <c r="DA226" i="29"/>
  <c r="CY226" i="29"/>
  <c r="AB226" i="29"/>
  <c r="AA226" i="29"/>
  <c r="AC226" i="29"/>
  <c r="BM226" i="29"/>
  <c r="Z226" i="29"/>
  <c r="AD226" i="29"/>
  <c r="V226" i="29"/>
  <c r="BN226" i="29"/>
  <c r="BO226" i="29"/>
  <c r="DD226" i="29"/>
  <c r="BO227" i="29" l="1"/>
  <c r="V227" i="29"/>
  <c r="AC227" i="29"/>
  <c r="AB227" i="29"/>
  <c r="DA227" i="29"/>
  <c r="BK227" i="29"/>
  <c r="DB227" i="29"/>
  <c r="Y227" i="29"/>
  <c r="DF227" i="29"/>
  <c r="BL227" i="29"/>
  <c r="BS227" i="29"/>
  <c r="DG227" i="29"/>
  <c r="BR227" i="29"/>
  <c r="DD227" i="29"/>
  <c r="BN227" i="29"/>
  <c r="AD227" i="29"/>
  <c r="BM227" i="29"/>
  <c r="AA227" i="29"/>
  <c r="CY227" i="29"/>
  <c r="CZ227" i="29"/>
  <c r="DC227" i="29"/>
  <c r="BP227" i="29"/>
  <c r="X227" i="29"/>
  <c r="BJ227" i="29"/>
  <c r="DE227" i="29"/>
  <c r="CX227" i="29"/>
  <c r="W227" i="29"/>
  <c r="BQ227" i="29"/>
  <c r="Z227" i="29"/>
  <c r="AE227" i="29"/>
  <c r="W228" i="29" l="1"/>
  <c r="X228" i="29"/>
  <c r="CY228" i="29"/>
  <c r="BN228" i="29"/>
  <c r="BS228" i="29"/>
  <c r="DB228" i="29"/>
  <c r="AC228" i="29"/>
  <c r="AE228" i="29"/>
  <c r="BQ228" i="29"/>
  <c r="CX228" i="29"/>
  <c r="BJ228" i="29"/>
  <c r="BP228" i="29"/>
  <c r="CZ228" i="29"/>
  <c r="AA228" i="29"/>
  <c r="AD228" i="29"/>
  <c r="DD228" i="29"/>
  <c r="DG228" i="29"/>
  <c r="BL228" i="29"/>
  <c r="Y228" i="29"/>
  <c r="BK228" i="29"/>
  <c r="AB228" i="29"/>
  <c r="V228" i="29"/>
  <c r="Z228" i="29"/>
  <c r="DE228" i="29"/>
  <c r="DC228" i="29"/>
  <c r="BM228" i="29"/>
  <c r="BR228" i="29"/>
  <c r="DF228" i="29"/>
  <c r="DA228" i="29"/>
  <c r="BO228" i="29"/>
  <c r="BR229" i="29" l="1"/>
  <c r="DC229" i="29"/>
  <c r="Z229" i="29"/>
  <c r="AB229" i="29"/>
  <c r="Y229" i="29"/>
  <c r="DG229" i="29"/>
  <c r="AD229" i="29"/>
  <c r="CZ229" i="29"/>
  <c r="BQ229" i="29"/>
  <c r="AC229" i="29"/>
  <c r="BS229" i="29"/>
  <c r="CY229" i="29"/>
  <c r="W229" i="29"/>
  <c r="BO229" i="29"/>
  <c r="DF229" i="29"/>
  <c r="BM229" i="29"/>
  <c r="DE229" i="29"/>
  <c r="V229" i="29"/>
  <c r="BK229" i="29"/>
  <c r="BL229" i="29"/>
  <c r="DD229" i="29"/>
  <c r="AA229" i="29"/>
  <c r="BP229" i="29"/>
  <c r="CX229" i="29"/>
  <c r="AE229" i="29"/>
  <c r="DB229" i="29"/>
  <c r="BN229" i="29"/>
  <c r="X229" i="29"/>
  <c r="DA229" i="29"/>
  <c r="BJ229" i="29"/>
  <c r="BJ230" i="29" l="1"/>
  <c r="X230" i="29"/>
  <c r="DB230" i="29"/>
  <c r="CX230" i="29"/>
  <c r="AA230" i="29"/>
  <c r="BL230" i="29"/>
  <c r="V230" i="29"/>
  <c r="BM230" i="29"/>
  <c r="BO230" i="29"/>
  <c r="CY230" i="29"/>
  <c r="AC230" i="29"/>
  <c r="CZ230" i="29"/>
  <c r="DG230" i="29"/>
  <c r="AB230" i="29"/>
  <c r="DC230" i="29"/>
  <c r="DA230" i="29"/>
  <c r="BN230" i="29"/>
  <c r="AE230" i="29"/>
  <c r="BP230" i="29"/>
  <c r="DD230" i="29"/>
  <c r="BK230" i="29"/>
  <c r="DE230" i="29"/>
  <c r="DF230" i="29"/>
  <c r="W230" i="29"/>
  <c r="BS230" i="29"/>
  <c r="BQ230" i="29"/>
  <c r="AD230" i="29"/>
  <c r="Y230" i="29"/>
  <c r="Z230" i="29"/>
  <c r="BR230" i="29"/>
  <c r="BR231" i="29" l="1"/>
  <c r="Y231" i="29"/>
  <c r="BQ231" i="29"/>
  <c r="W231" i="29"/>
  <c r="DE231" i="29"/>
  <c r="DD231" i="29"/>
  <c r="AE231" i="29"/>
  <c r="DA231" i="29"/>
  <c r="AB231" i="29"/>
  <c r="CZ231" i="29"/>
  <c r="CY231" i="29"/>
  <c r="BM231" i="29"/>
  <c r="BL231" i="29"/>
  <c r="CX231" i="29"/>
  <c r="X231" i="29"/>
  <c r="Z231" i="29"/>
  <c r="AD231" i="29"/>
  <c r="BS231" i="29"/>
  <c r="DF231" i="29"/>
  <c r="BK231" i="29"/>
  <c r="BP231" i="29"/>
  <c r="BN231" i="29"/>
  <c r="DC231" i="29"/>
  <c r="DG231" i="29"/>
  <c r="AC231" i="29"/>
  <c r="BO231" i="29"/>
  <c r="V231" i="29"/>
  <c r="AA231" i="29"/>
  <c r="DB231" i="29"/>
  <c r="BJ231" i="29"/>
  <c r="AA232" i="29" l="1"/>
  <c r="DA232" i="29"/>
  <c r="BJ232" i="29"/>
  <c r="BO232" i="29"/>
  <c r="DG232" i="29"/>
  <c r="BN232" i="29"/>
  <c r="BK232" i="29"/>
  <c r="BS232" i="29"/>
  <c r="Z232" i="29"/>
  <c r="CX232" i="29"/>
  <c r="BM232" i="29"/>
  <c r="CZ232" i="29"/>
  <c r="DD232" i="29"/>
  <c r="W232" i="29"/>
  <c r="Y232" i="29"/>
  <c r="DB232" i="29"/>
  <c r="V232" i="29"/>
  <c r="AC232" i="29"/>
  <c r="DC232" i="29"/>
  <c r="BP232" i="29"/>
  <c r="DF232" i="29"/>
  <c r="AD232" i="29"/>
  <c r="X232" i="29"/>
  <c r="BL232" i="29"/>
  <c r="CY232" i="29"/>
  <c r="AB232" i="29"/>
  <c r="AE232" i="29"/>
  <c r="DE232" i="29"/>
  <c r="BQ232" i="29"/>
  <c r="BR232" i="29"/>
  <c r="BQ233" i="29" l="1"/>
  <c r="CY233" i="29"/>
  <c r="X233" i="29"/>
  <c r="DF233" i="29"/>
  <c r="DC233" i="29"/>
  <c r="V233" i="29"/>
  <c r="Y233" i="29"/>
  <c r="DD233" i="29"/>
  <c r="BM233" i="29"/>
  <c r="Z233" i="29"/>
  <c r="DG233" i="29"/>
  <c r="BJ233" i="29"/>
  <c r="AA233" i="29"/>
  <c r="BR233" i="29"/>
  <c r="DE233" i="29"/>
  <c r="AB233" i="29"/>
  <c r="BL233" i="29"/>
  <c r="AD233" i="29"/>
  <c r="BP233" i="29"/>
  <c r="AC233" i="29"/>
  <c r="DB233" i="29"/>
  <c r="W233" i="29"/>
  <c r="CZ233" i="29"/>
  <c r="CX233" i="29"/>
  <c r="BS233" i="29"/>
  <c r="BN233" i="29"/>
  <c r="BO233" i="29"/>
  <c r="DA233" i="29"/>
  <c r="AE233" i="29"/>
  <c r="BK233" i="29"/>
  <c r="DA234" i="29" l="1"/>
  <c r="BN234" i="29"/>
  <c r="W234" i="29"/>
  <c r="AD234" i="29"/>
  <c r="BR234" i="29"/>
  <c r="Z234" i="29"/>
  <c r="DF234" i="29"/>
  <c r="BO234" i="29"/>
  <c r="BS234" i="29"/>
  <c r="CZ234" i="29"/>
  <c r="DB234" i="29"/>
  <c r="BL234" i="29"/>
  <c r="DE234" i="29"/>
  <c r="AA234" i="29"/>
  <c r="DG234" i="29"/>
  <c r="BM234" i="29"/>
  <c r="Y234" i="29"/>
  <c r="DC234" i="29"/>
  <c r="X234" i="29"/>
  <c r="BQ234" i="29"/>
  <c r="BK234" i="29"/>
  <c r="CX234" i="29"/>
  <c r="AC234" i="29"/>
  <c r="AB234" i="29"/>
  <c r="BJ234" i="29"/>
  <c r="DD234" i="29"/>
  <c r="V234" i="29"/>
  <c r="CY234" i="29"/>
  <c r="AE234" i="29"/>
  <c r="BP234" i="29"/>
  <c r="BP235" i="29" l="1"/>
  <c r="DD235" i="29"/>
  <c r="CX235" i="29"/>
  <c r="DC235" i="29"/>
  <c r="AA235" i="29"/>
  <c r="BL235" i="29"/>
  <c r="BO235" i="29"/>
  <c r="Z235" i="29"/>
  <c r="AD235" i="29"/>
  <c r="AE235" i="29"/>
  <c r="V235" i="29"/>
  <c r="BJ235" i="29"/>
  <c r="AC235" i="29"/>
  <c r="BK235" i="29"/>
  <c r="X235" i="29"/>
  <c r="Y235" i="29"/>
  <c r="DG235" i="29"/>
  <c r="DE235" i="29"/>
  <c r="DB235" i="29"/>
  <c r="BS235" i="29"/>
  <c r="DF235" i="29"/>
  <c r="BR235" i="29"/>
  <c r="W235" i="29"/>
  <c r="DA235" i="29"/>
  <c r="CY235" i="29"/>
  <c r="AB235" i="29"/>
  <c r="BQ235" i="29"/>
  <c r="BM235" i="29"/>
  <c r="CZ235" i="29"/>
  <c r="BN235" i="29"/>
  <c r="BN236" i="29" l="1"/>
  <c r="BM236" i="29"/>
  <c r="AB236" i="29"/>
  <c r="DA236" i="29"/>
  <c r="BR236" i="29"/>
  <c r="BS236" i="29"/>
  <c r="DE236" i="29"/>
  <c r="Y236" i="29"/>
  <c r="BK236" i="29"/>
  <c r="BJ236" i="29"/>
  <c r="AE236" i="29"/>
  <c r="Z236" i="29"/>
  <c r="BL236" i="29"/>
  <c r="DC236" i="29"/>
  <c r="DD236" i="29"/>
  <c r="CZ236" i="29"/>
  <c r="BQ236" i="29"/>
  <c r="CY236" i="29"/>
  <c r="W236" i="29"/>
  <c r="DF236" i="29"/>
  <c r="DB236" i="29"/>
  <c r="DG236" i="29"/>
  <c r="X236" i="29"/>
  <c r="AC236" i="29"/>
  <c r="V236" i="29"/>
  <c r="AD236" i="29"/>
  <c r="BO236" i="29"/>
  <c r="AA236" i="29"/>
  <c r="CX236" i="29"/>
  <c r="BP236" i="29"/>
  <c r="BP237" i="29" l="1"/>
  <c r="AA237" i="29"/>
  <c r="AC237" i="29"/>
  <c r="DG237" i="29"/>
  <c r="DF237" i="29"/>
  <c r="CY237" i="29"/>
  <c r="CZ237" i="29"/>
  <c r="DC237" i="29"/>
  <c r="Z237" i="29"/>
  <c r="BJ237" i="29"/>
  <c r="Y237" i="29"/>
  <c r="BS237" i="29"/>
  <c r="DA237" i="29"/>
  <c r="BM237" i="29"/>
  <c r="CX237" i="29"/>
  <c r="BO237" i="29"/>
  <c r="V237" i="29"/>
  <c r="X237" i="29"/>
  <c r="DB237" i="29"/>
  <c r="W237" i="29"/>
  <c r="BQ237" i="29"/>
  <c r="DD237" i="29"/>
  <c r="BL237" i="29"/>
  <c r="AE237" i="29"/>
  <c r="BK237" i="29"/>
  <c r="DE237" i="29"/>
  <c r="BR237" i="29"/>
  <c r="AB237" i="29"/>
  <c r="BN237" i="29"/>
  <c r="AD237" i="29"/>
  <c r="AD238" i="29" l="1"/>
  <c r="DE238" i="29"/>
  <c r="DD238" i="29"/>
  <c r="X238" i="29"/>
  <c r="BO238" i="29"/>
  <c r="BS238" i="29"/>
  <c r="BJ238" i="29"/>
  <c r="DC238" i="29"/>
  <c r="CY238" i="29"/>
  <c r="AA238" i="29"/>
  <c r="BN238" i="29"/>
  <c r="BR238" i="29"/>
  <c r="BK238" i="29"/>
  <c r="BL238" i="29"/>
  <c r="BQ238" i="29"/>
  <c r="DB238" i="29"/>
  <c r="V238" i="29"/>
  <c r="CX238" i="29"/>
  <c r="DA238" i="29"/>
  <c r="Y238" i="29"/>
  <c r="Z238" i="29"/>
  <c r="CZ238" i="29"/>
  <c r="DF238" i="29"/>
  <c r="AC238" i="29"/>
  <c r="BP238" i="29"/>
  <c r="AB238" i="29"/>
  <c r="AE238" i="29"/>
  <c r="W238" i="29"/>
  <c r="BM238" i="29"/>
  <c r="DG238" i="29"/>
  <c r="DG239" i="29" l="1"/>
  <c r="W239" i="29"/>
  <c r="AB239" i="29"/>
  <c r="AC239" i="29"/>
  <c r="CZ239" i="29"/>
  <c r="Y239" i="29"/>
  <c r="CX239" i="29"/>
  <c r="DB239" i="29"/>
  <c r="BL239" i="29"/>
  <c r="BR239" i="29"/>
  <c r="AA239" i="29"/>
  <c r="DC239" i="29"/>
  <c r="BS239" i="29"/>
  <c r="X239" i="29"/>
  <c r="DE239" i="29"/>
  <c r="BM239" i="29"/>
  <c r="AE239" i="29"/>
  <c r="BP239" i="29"/>
  <c r="DF239" i="29"/>
  <c r="Z239" i="29"/>
  <c r="DA239" i="29"/>
  <c r="V239" i="29"/>
  <c r="BQ239" i="29"/>
  <c r="BK239" i="29"/>
  <c r="BN239" i="29"/>
  <c r="CY239" i="29"/>
  <c r="BJ239" i="29"/>
  <c r="BO239" i="29"/>
  <c r="DD239" i="29"/>
  <c r="AD239" i="29"/>
  <c r="AD240" i="29" l="1"/>
  <c r="BO240" i="29"/>
  <c r="BK240" i="29"/>
  <c r="V240" i="29"/>
  <c r="Z240" i="29"/>
  <c r="BP240" i="29"/>
  <c r="BM240" i="29"/>
  <c r="X240" i="29"/>
  <c r="DC240" i="29"/>
  <c r="BR240" i="29"/>
  <c r="DB240" i="29"/>
  <c r="Y240" i="29"/>
  <c r="AC240" i="29"/>
  <c r="W240" i="29"/>
  <c r="DD240" i="29"/>
  <c r="BJ240" i="29"/>
  <c r="BN240" i="29"/>
  <c r="BQ240" i="29"/>
  <c r="DA240" i="29"/>
  <c r="DF240" i="29"/>
  <c r="AE240" i="29"/>
  <c r="DE240" i="29"/>
  <c r="BS240" i="29"/>
  <c r="AA240" i="29"/>
  <c r="BL240" i="29"/>
  <c r="CX240" i="29"/>
  <c r="CZ240" i="29"/>
  <c r="AB240" i="29"/>
  <c r="DG240" i="29"/>
  <c r="CY240" i="29"/>
  <c r="CY241" i="29" l="1"/>
  <c r="AB241" i="29"/>
  <c r="AA241" i="29"/>
  <c r="DF241" i="29"/>
  <c r="BJ241" i="29"/>
  <c r="W241" i="29"/>
  <c r="BR241" i="29"/>
  <c r="X241" i="29"/>
  <c r="BP241" i="29"/>
  <c r="V241" i="29"/>
  <c r="DG241" i="29"/>
  <c r="CZ241" i="29"/>
  <c r="BL241" i="29"/>
  <c r="BS241" i="29"/>
  <c r="AE241" i="29"/>
  <c r="DA241" i="29"/>
  <c r="BN241" i="29"/>
  <c r="DD241" i="29"/>
  <c r="AC241" i="29"/>
  <c r="DB241" i="29"/>
  <c r="DC241" i="29"/>
  <c r="BM241" i="29"/>
  <c r="Z241" i="29"/>
  <c r="BK241" i="29"/>
  <c r="AD241" i="29"/>
  <c r="CX241" i="29"/>
  <c r="DE241" i="29"/>
  <c r="BQ241" i="29"/>
  <c r="Y241" i="29"/>
  <c r="BO241" i="29"/>
  <c r="BQ242" i="29" l="1"/>
  <c r="CX242" i="29"/>
  <c r="BK242" i="29"/>
  <c r="DB242" i="29"/>
  <c r="DD242" i="29"/>
  <c r="DA242" i="29"/>
  <c r="BS242" i="29"/>
  <c r="CZ242" i="29"/>
  <c r="V242" i="29"/>
  <c r="X242" i="29"/>
  <c r="W242" i="29"/>
  <c r="AB242" i="29"/>
  <c r="Y242" i="29"/>
  <c r="DE242" i="29"/>
  <c r="AD242" i="29"/>
  <c r="Z242" i="29"/>
  <c r="DC242" i="29"/>
  <c r="AC242" i="29"/>
  <c r="BN242" i="29"/>
  <c r="AE242" i="29"/>
  <c r="BL242" i="29"/>
  <c r="DG242" i="29"/>
  <c r="BP242" i="29"/>
  <c r="BR242" i="29"/>
  <c r="BJ242" i="29"/>
  <c r="AA242" i="29"/>
  <c r="CY242" i="29"/>
  <c r="BO242" i="29"/>
  <c r="BM242" i="29"/>
  <c r="DF242" i="29"/>
  <c r="BO243" i="29" l="1"/>
  <c r="AA243" i="29"/>
  <c r="DG243" i="29"/>
  <c r="AC243" i="29"/>
  <c r="DE243" i="29"/>
  <c r="AB243" i="29"/>
  <c r="X243" i="29"/>
  <c r="CZ243" i="29"/>
  <c r="DA243" i="29"/>
  <c r="CX243" i="29"/>
  <c r="BM243" i="29"/>
  <c r="CY243" i="29"/>
  <c r="BJ243" i="29"/>
  <c r="BP243" i="29"/>
  <c r="BL243" i="29"/>
  <c r="BN243" i="29"/>
  <c r="DC243" i="29"/>
  <c r="AD243" i="29"/>
  <c r="Y243" i="29"/>
  <c r="W243" i="29"/>
  <c r="V243" i="29"/>
  <c r="BS243" i="29"/>
  <c r="DD243" i="29"/>
  <c r="BK243" i="29"/>
  <c r="BQ243" i="29"/>
  <c r="DF243" i="29"/>
  <c r="BR243" i="29"/>
  <c r="AE243" i="29"/>
  <c r="Z243" i="29"/>
  <c r="DB243" i="29"/>
  <c r="DB244" i="29" l="1"/>
  <c r="AE244" i="29"/>
  <c r="DF244" i="29"/>
  <c r="BK244" i="29"/>
  <c r="BS244" i="29"/>
  <c r="W244" i="29"/>
  <c r="AD244" i="29"/>
  <c r="BN244" i="29"/>
  <c r="BP244" i="29"/>
  <c r="CY244" i="29"/>
  <c r="CX244" i="29"/>
  <c r="CZ244" i="29"/>
  <c r="AB244" i="29"/>
  <c r="AC244" i="29"/>
  <c r="AA244" i="29"/>
  <c r="Z244" i="29"/>
  <c r="BR244" i="29"/>
  <c r="BQ244" i="29"/>
  <c r="DD244" i="29"/>
  <c r="V244" i="29"/>
  <c r="Y244" i="29"/>
  <c r="DC244" i="29"/>
  <c r="BL244" i="29"/>
  <c r="BJ244" i="29"/>
  <c r="BM244" i="29"/>
  <c r="DA244" i="29"/>
  <c r="X244" i="29"/>
  <c r="DE244" i="29"/>
  <c r="DG244" i="29"/>
  <c r="BO244" i="29"/>
  <c r="DE245" i="29" l="1"/>
  <c r="DA245" i="29"/>
  <c r="BJ245" i="29"/>
  <c r="DC245" i="29"/>
  <c r="V245" i="29"/>
  <c r="BQ245" i="29"/>
  <c r="Z245" i="29"/>
  <c r="AC245" i="29"/>
  <c r="CZ245" i="29"/>
  <c r="CY245" i="29"/>
  <c r="BN245" i="29"/>
  <c r="W245" i="29"/>
  <c r="BK245" i="29"/>
  <c r="AE245" i="29"/>
  <c r="DG245" i="29"/>
  <c r="X245" i="29"/>
  <c r="BM245" i="29"/>
  <c r="BL245" i="29"/>
  <c r="Y245" i="29"/>
  <c r="DD245" i="29"/>
  <c r="BR245" i="29"/>
  <c r="AA245" i="29"/>
  <c r="AB245" i="29"/>
  <c r="CX245" i="29"/>
  <c r="BP245" i="29"/>
  <c r="AD245" i="29"/>
  <c r="BS245" i="29"/>
  <c r="DF245" i="29"/>
  <c r="DB245" i="29"/>
  <c r="BO245" i="29"/>
  <c r="BO246" i="29" l="1"/>
  <c r="DF246" i="29"/>
  <c r="AD246" i="29"/>
  <c r="CX246" i="29"/>
  <c r="AA246" i="29"/>
  <c r="DD246" i="29"/>
  <c r="BL246" i="29"/>
  <c r="X246" i="29"/>
  <c r="AE246" i="29"/>
  <c r="W246" i="29"/>
  <c r="CY246" i="29"/>
  <c r="AC246" i="29"/>
  <c r="BQ246" i="29"/>
  <c r="DC246" i="29"/>
  <c r="DA246" i="29"/>
  <c r="DB246" i="29"/>
  <c r="BS246" i="29"/>
  <c r="BP246" i="29"/>
  <c r="AB246" i="29"/>
  <c r="BR246" i="29"/>
  <c r="Y246" i="29"/>
  <c r="BM246" i="29"/>
  <c r="DG246" i="29"/>
  <c r="BK246" i="29"/>
  <c r="BN246" i="29"/>
  <c r="CZ246" i="29"/>
  <c r="Z246" i="29"/>
  <c r="V246" i="29"/>
  <c r="BJ246" i="29"/>
  <c r="DE246" i="29"/>
  <c r="DE247" i="29" l="1"/>
  <c r="V247" i="29"/>
  <c r="CZ247" i="29"/>
  <c r="BK247" i="29"/>
  <c r="BM247" i="29"/>
  <c r="BR247" i="29"/>
  <c r="BP247" i="29"/>
  <c r="DB247" i="29"/>
  <c r="DC247" i="29"/>
  <c r="AC247" i="29"/>
  <c r="W247" i="29"/>
  <c r="X247" i="29"/>
  <c r="DD247" i="29"/>
  <c r="CX247" i="29"/>
  <c r="DF247" i="29"/>
  <c r="BJ247" i="29"/>
  <c r="Z247" i="29"/>
  <c r="BN247" i="29"/>
  <c r="DG247" i="29"/>
  <c r="Y247" i="29"/>
  <c r="AB247" i="29"/>
  <c r="BS247" i="29"/>
  <c r="DA247" i="29"/>
  <c r="BQ247" i="29"/>
  <c r="CY247" i="29"/>
  <c r="AE247" i="29"/>
  <c r="BL247" i="29"/>
  <c r="AA247" i="29"/>
  <c r="AD247" i="29"/>
  <c r="BO247" i="29"/>
  <c r="AA248" i="29" l="1"/>
  <c r="AE248" i="29"/>
  <c r="BQ248" i="29"/>
  <c r="BS248" i="29"/>
  <c r="Y248" i="29"/>
  <c r="BN248" i="29"/>
  <c r="BJ248" i="29"/>
  <c r="CX248" i="29"/>
  <c r="X248" i="29"/>
  <c r="AC248" i="29"/>
  <c r="DB248" i="29"/>
  <c r="BR248" i="29"/>
  <c r="BK248" i="29"/>
  <c r="V248" i="29"/>
  <c r="AD248" i="29"/>
  <c r="BL248" i="29"/>
  <c r="CY248" i="29"/>
  <c r="DA248" i="29"/>
  <c r="AB248" i="29"/>
  <c r="DG248" i="29"/>
  <c r="Z248" i="29"/>
  <c r="DF248" i="29"/>
  <c r="DD248" i="29"/>
  <c r="W248" i="29"/>
  <c r="DC248" i="29"/>
  <c r="BP248" i="29"/>
  <c r="BM248" i="29"/>
  <c r="CZ248" i="29"/>
  <c r="DE248" i="29"/>
  <c r="BO248" i="29"/>
  <c r="BO249" i="29" l="1"/>
  <c r="CZ249" i="29"/>
  <c r="BP249" i="29"/>
  <c r="W249" i="29"/>
  <c r="DF249" i="29"/>
  <c r="DG249" i="29"/>
  <c r="DA249" i="29"/>
  <c r="BL249" i="29"/>
  <c r="V249" i="29"/>
  <c r="BR249" i="29"/>
  <c r="AC249" i="29"/>
  <c r="CX249" i="29"/>
  <c r="BN249" i="29"/>
  <c r="BS249" i="29"/>
  <c r="AE249" i="29"/>
  <c r="DE249" i="29"/>
  <c r="BM249" i="29"/>
  <c r="DC249" i="29"/>
  <c r="DD249" i="29"/>
  <c r="Z249" i="29"/>
  <c r="AB249" i="29"/>
  <c r="CY249" i="29"/>
  <c r="AD249" i="29"/>
  <c r="BK249" i="29"/>
  <c r="DB249" i="29"/>
  <c r="X249" i="29"/>
  <c r="BJ249" i="29"/>
  <c r="Y249" i="29"/>
  <c r="BQ249" i="29"/>
  <c r="AA249" i="29"/>
  <c r="AA250" i="29" l="1"/>
  <c r="Y250" i="29"/>
  <c r="X250" i="29"/>
  <c r="BK250" i="29"/>
  <c r="CY250" i="29"/>
  <c r="Z250" i="29"/>
  <c r="DC250" i="29"/>
  <c r="DE250" i="29"/>
  <c r="BS250" i="29"/>
  <c r="CX250" i="29"/>
  <c r="BR250" i="29"/>
  <c r="BL250" i="29"/>
  <c r="DG250" i="29"/>
  <c r="W250" i="29"/>
  <c r="CZ250" i="29"/>
  <c r="BQ250" i="29"/>
  <c r="BJ250" i="29"/>
  <c r="DB250" i="29"/>
  <c r="AD250" i="29"/>
  <c r="AB250" i="29"/>
  <c r="DD250" i="29"/>
  <c r="BM250" i="29"/>
  <c r="AE250" i="29"/>
  <c r="BN250" i="29"/>
  <c r="AC250" i="29"/>
  <c r="V250" i="29"/>
  <c r="DA250" i="29"/>
  <c r="DF250" i="29"/>
  <c r="BP250" i="29"/>
  <c r="BO250" i="29"/>
  <c r="BO251" i="29" l="1"/>
  <c r="DF251" i="29"/>
  <c r="V251" i="29"/>
  <c r="BN251" i="29"/>
  <c r="BM251" i="29"/>
  <c r="AB251" i="29"/>
  <c r="DB251" i="29"/>
  <c r="BQ251" i="29"/>
  <c r="W251" i="29"/>
  <c r="BL251" i="29"/>
  <c r="CX251" i="29"/>
  <c r="DE251" i="29"/>
  <c r="Z251" i="29"/>
  <c r="BK251" i="29"/>
  <c r="Y251" i="29"/>
  <c r="BP251" i="29"/>
  <c r="DA251" i="29"/>
  <c r="AC251" i="29"/>
  <c r="AE251" i="29"/>
  <c r="DD251" i="29"/>
  <c r="AD251" i="29"/>
  <c r="BJ251" i="29"/>
  <c r="CZ251" i="29"/>
  <c r="DG251" i="29"/>
  <c r="BR251" i="29"/>
  <c r="BS251" i="29"/>
  <c r="DC251" i="29"/>
  <c r="CY251" i="29"/>
  <c r="X251" i="29"/>
  <c r="AA251" i="29"/>
  <c r="DC252" i="29" l="1"/>
  <c r="AA252" i="29"/>
  <c r="CY252" i="29"/>
  <c r="BS252" i="29"/>
  <c r="DG252" i="29"/>
  <c r="BJ252" i="29"/>
  <c r="DD252" i="29"/>
  <c r="AC252" i="29"/>
  <c r="BP252" i="29"/>
  <c r="BK252" i="29"/>
  <c r="DE252" i="29"/>
  <c r="BL252" i="29"/>
  <c r="BQ252" i="29"/>
  <c r="AB252" i="29"/>
  <c r="BN252" i="29"/>
  <c r="DF252" i="29"/>
  <c r="X252" i="29"/>
  <c r="BR252" i="29"/>
  <c r="CZ252" i="29"/>
  <c r="AD252" i="29"/>
  <c r="AE252" i="29"/>
  <c r="DA252" i="29"/>
  <c r="Y252" i="29"/>
  <c r="Z252" i="29"/>
  <c r="CX252" i="29"/>
  <c r="W252" i="29"/>
  <c r="DB252" i="29"/>
  <c r="BM252" i="29"/>
  <c r="V252" i="29"/>
  <c r="BO252" i="29"/>
  <c r="V253" i="29" l="1"/>
  <c r="CX253" i="29"/>
  <c r="AE253" i="29"/>
  <c r="X253" i="29"/>
  <c r="DE253" i="29"/>
  <c r="BO253" i="29"/>
  <c r="BM253" i="29"/>
  <c r="W253" i="29"/>
  <c r="Z253" i="29"/>
  <c r="DA253" i="29"/>
  <c r="AD253" i="29"/>
  <c r="BR253" i="29"/>
  <c r="DF253" i="29"/>
  <c r="AB253" i="29"/>
  <c r="BL253" i="29"/>
  <c r="BK253" i="29"/>
  <c r="AC253" i="29"/>
  <c r="BJ253" i="29"/>
  <c r="BS253" i="29"/>
  <c r="AA253" i="29"/>
  <c r="DB253" i="29"/>
  <c r="Y253" i="29"/>
  <c r="CZ253" i="29"/>
  <c r="BN253" i="29"/>
  <c r="BQ253" i="29"/>
  <c r="BP253" i="29"/>
  <c r="DD253" i="29"/>
  <c r="DG253" i="29"/>
  <c r="CY253" i="29"/>
  <c r="DC253" i="29"/>
  <c r="CY254" i="29" l="1"/>
  <c r="DD254" i="29"/>
  <c r="BQ254" i="29"/>
  <c r="CZ254" i="29"/>
  <c r="DB254" i="29"/>
  <c r="BS254" i="29"/>
  <c r="AC254" i="29"/>
  <c r="DF254" i="29"/>
  <c r="AD254" i="29"/>
  <c r="Z254" i="29"/>
  <c r="BM254" i="29"/>
  <c r="DE254" i="29"/>
  <c r="AE254" i="29"/>
  <c r="V254" i="29"/>
  <c r="DC254" i="29"/>
  <c r="DG254" i="29"/>
  <c r="BP254" i="29"/>
  <c r="BN254" i="29"/>
  <c r="Y254" i="29"/>
  <c r="AA254" i="29"/>
  <c r="BJ254" i="29"/>
  <c r="BK254" i="29"/>
  <c r="AB254" i="29"/>
  <c r="BR254" i="29"/>
  <c r="DA254" i="29"/>
  <c r="W254" i="29"/>
  <c r="BO254" i="29"/>
  <c r="X254" i="29"/>
  <c r="CX254" i="29"/>
  <c r="BL254" i="29"/>
  <c r="BL255" i="29" l="1"/>
  <c r="X255" i="29"/>
  <c r="W255" i="29"/>
  <c r="BR255" i="29"/>
  <c r="BK255" i="29"/>
  <c r="AA255" i="29"/>
  <c r="BN255" i="29"/>
  <c r="DG255" i="29"/>
  <c r="V255" i="29"/>
  <c r="DE255" i="29"/>
  <c r="Z255" i="29"/>
  <c r="DF255" i="29"/>
  <c r="BS255" i="29"/>
  <c r="CZ255" i="29"/>
  <c r="DD255" i="29"/>
  <c r="CX255" i="29"/>
  <c r="BO255" i="29"/>
  <c r="DA255" i="29"/>
  <c r="AB255" i="29"/>
  <c r="BJ255" i="29"/>
  <c r="Y255" i="29"/>
  <c r="BP255" i="29"/>
  <c r="DC255" i="29"/>
  <c r="AE255" i="29"/>
  <c r="BM255" i="29"/>
  <c r="AD255" i="29"/>
  <c r="AC255" i="29"/>
  <c r="DB255" i="29"/>
  <c r="BQ255" i="29"/>
  <c r="CY255" i="29"/>
  <c r="CY256" i="29" l="1"/>
  <c r="DB256" i="29"/>
  <c r="AE256" i="29"/>
  <c r="BP256" i="29"/>
  <c r="BJ256" i="29"/>
  <c r="DA256" i="29"/>
  <c r="CX256" i="29"/>
  <c r="CZ256" i="29"/>
  <c r="DF256" i="29"/>
  <c r="DE256" i="29"/>
  <c r="DG256" i="29"/>
  <c r="AA256" i="29"/>
  <c r="X256" i="29"/>
  <c r="BQ256" i="29"/>
  <c r="AC256" i="29"/>
  <c r="BM256" i="29"/>
  <c r="DC256" i="29"/>
  <c r="Y256" i="29"/>
  <c r="AB256" i="29"/>
  <c r="BO256" i="29"/>
  <c r="DD256" i="29"/>
  <c r="BS256" i="29"/>
  <c r="Z256" i="29"/>
  <c r="V256" i="29"/>
  <c r="BN256" i="29"/>
  <c r="BK256" i="29"/>
  <c r="W256" i="29"/>
  <c r="BL256" i="29"/>
  <c r="AD256" i="29"/>
  <c r="BR256" i="29"/>
  <c r="BL257" i="29" l="1"/>
  <c r="BK257" i="29"/>
  <c r="BS257" i="29"/>
  <c r="BO257" i="29"/>
  <c r="Y257" i="29"/>
  <c r="BM257" i="29"/>
  <c r="BQ257" i="29"/>
  <c r="DE257" i="29"/>
  <c r="CZ257" i="29"/>
  <c r="DA257" i="29"/>
  <c r="BP257" i="29"/>
  <c r="DB257" i="29"/>
  <c r="AD257" i="29"/>
  <c r="W257" i="29"/>
  <c r="BN257" i="29"/>
  <c r="Z257" i="29"/>
  <c r="DD257" i="29"/>
  <c r="AB257" i="29"/>
  <c r="DC257" i="29"/>
  <c r="AC257" i="29"/>
  <c r="X257" i="29"/>
  <c r="DG257" i="29"/>
  <c r="DF257" i="29"/>
  <c r="CX257" i="29"/>
  <c r="BJ257" i="29"/>
  <c r="AE257" i="29"/>
  <c r="CY257" i="29"/>
  <c r="BR257" i="29"/>
  <c r="V257" i="29"/>
  <c r="AA257" i="29"/>
  <c r="AA258" i="29" l="1"/>
  <c r="AE258" i="29"/>
  <c r="CX258" i="29"/>
  <c r="AC258" i="29"/>
  <c r="Z258" i="29"/>
  <c r="DB258" i="29"/>
  <c r="DE258" i="29"/>
  <c r="BM258" i="29"/>
  <c r="BO258" i="29"/>
  <c r="V258" i="29"/>
  <c r="CY258" i="29"/>
  <c r="BJ258" i="29"/>
  <c r="DF258" i="29"/>
  <c r="X258" i="29"/>
  <c r="DC258" i="29"/>
  <c r="DD258" i="29"/>
  <c r="BN258" i="29"/>
  <c r="AD258" i="29"/>
  <c r="BP258" i="29"/>
  <c r="CZ258" i="29"/>
  <c r="BQ258" i="29"/>
  <c r="Y258" i="29"/>
  <c r="BS258" i="29"/>
  <c r="BL258" i="29"/>
  <c r="BR258" i="29"/>
  <c r="DG258" i="29"/>
  <c r="AB258" i="29"/>
  <c r="W258" i="29"/>
  <c r="DA258" i="29"/>
  <c r="BK258" i="29"/>
  <c r="W259" i="29" l="1"/>
  <c r="BL259" i="29"/>
  <c r="CZ259" i="29"/>
  <c r="DD259" i="29"/>
  <c r="BJ259" i="29"/>
  <c r="V259" i="29"/>
  <c r="BM259" i="29"/>
  <c r="DB259" i="29"/>
  <c r="AE259" i="29"/>
  <c r="DA259" i="29"/>
  <c r="AB259" i="29"/>
  <c r="BR259" i="29"/>
  <c r="BS259" i="29"/>
  <c r="BQ259" i="29"/>
  <c r="BP259" i="29"/>
  <c r="BN259" i="29"/>
  <c r="DC259" i="29"/>
  <c r="DF259" i="29"/>
  <c r="CY259" i="29"/>
  <c r="BO259" i="29"/>
  <c r="DE259" i="29"/>
  <c r="Z259" i="29"/>
  <c r="CX259" i="29"/>
  <c r="AA259" i="29"/>
  <c r="BK259" i="29"/>
  <c r="DG259" i="29"/>
  <c r="Y259" i="29"/>
  <c r="AD259" i="29"/>
  <c r="X259" i="29"/>
  <c r="AC259" i="29"/>
  <c r="AC260" i="29" l="1"/>
  <c r="AD260" i="29"/>
  <c r="AA260" i="29"/>
  <c r="BO260" i="29"/>
  <c r="DF260" i="29"/>
  <c r="BQ260" i="29"/>
  <c r="BR260" i="29"/>
  <c r="DA260" i="29"/>
  <c r="DB260" i="29"/>
  <c r="V260" i="29"/>
  <c r="BL260" i="29"/>
  <c r="X260" i="29"/>
  <c r="Y260" i="29"/>
  <c r="BK260" i="29"/>
  <c r="CX260" i="29"/>
  <c r="DE260" i="29"/>
  <c r="CY260" i="29"/>
  <c r="DC260" i="29"/>
  <c r="BP260" i="29"/>
  <c r="BS260" i="29"/>
  <c r="AB260" i="29"/>
  <c r="AE260" i="29"/>
  <c r="BM260" i="29"/>
  <c r="BJ260" i="29"/>
  <c r="CZ260" i="29"/>
  <c r="W260" i="29"/>
  <c r="DG260" i="29"/>
  <c r="Z260" i="29"/>
  <c r="BN260" i="29"/>
  <c r="DD260" i="29"/>
  <c r="DD261" i="29" l="1"/>
  <c r="W261" i="29"/>
  <c r="BJ261" i="29"/>
  <c r="AE261" i="29"/>
  <c r="BS261" i="29"/>
  <c r="DE261" i="29"/>
  <c r="BK261" i="29"/>
  <c r="X261" i="29"/>
  <c r="V261" i="29"/>
  <c r="DA261" i="29"/>
  <c r="BQ261" i="29"/>
  <c r="BO261" i="29"/>
  <c r="AD261" i="29"/>
  <c r="BN261" i="29"/>
  <c r="DG261" i="29"/>
  <c r="CZ261" i="29"/>
  <c r="BM261" i="29"/>
  <c r="AB261" i="29"/>
  <c r="BP261" i="29"/>
  <c r="CY261" i="29"/>
  <c r="CX261" i="29"/>
  <c r="Y261" i="29"/>
  <c r="BL261" i="29"/>
  <c r="DB261" i="29"/>
  <c r="BR261" i="29"/>
  <c r="DF261" i="29"/>
  <c r="AA261" i="29"/>
  <c r="AC261" i="29"/>
  <c r="Z261" i="29"/>
  <c r="DC261" i="29"/>
  <c r="DC262" i="29" l="1"/>
  <c r="DF262" i="29"/>
  <c r="Y262" i="29"/>
  <c r="AB262" i="29"/>
  <c r="BN262" i="29"/>
  <c r="DA262" i="29"/>
  <c r="X262" i="29"/>
  <c r="AE262" i="29"/>
  <c r="Z262" i="29"/>
  <c r="BR262" i="29"/>
  <c r="BL262" i="29"/>
  <c r="CX262" i="29"/>
  <c r="BM262" i="29"/>
  <c r="DG262" i="29"/>
  <c r="AD262" i="29"/>
  <c r="BQ262" i="29"/>
  <c r="V262" i="29"/>
  <c r="BK262" i="29"/>
  <c r="BS262" i="29"/>
  <c r="BJ262" i="29"/>
  <c r="DD262" i="29"/>
  <c r="AC262" i="29"/>
  <c r="DB262" i="29"/>
  <c r="CY262" i="29"/>
  <c r="CZ262" i="29"/>
  <c r="BO262" i="29"/>
  <c r="DE262" i="29"/>
  <c r="W262" i="29"/>
  <c r="AA262" i="29"/>
  <c r="BP262" i="29"/>
  <c r="BP263" i="29" l="1"/>
  <c r="BO263" i="29"/>
  <c r="AC263" i="29"/>
  <c r="BK263" i="29"/>
  <c r="DG263" i="29"/>
  <c r="BR263" i="29"/>
  <c r="DA263" i="29"/>
  <c r="DF263" i="29"/>
  <c r="AA263" i="29"/>
  <c r="CZ263" i="29"/>
  <c r="DB263" i="29"/>
  <c r="BS263" i="29"/>
  <c r="V263" i="29"/>
  <c r="AD263" i="29"/>
  <c r="BM263" i="29"/>
  <c r="BL263" i="29"/>
  <c r="Z263" i="29"/>
  <c r="X263" i="29"/>
  <c r="BN263" i="29"/>
  <c r="Y263" i="29"/>
  <c r="DC263" i="29"/>
  <c r="W263" i="29"/>
  <c r="CY263" i="29"/>
  <c r="BJ263" i="29"/>
  <c r="BQ263" i="29"/>
  <c r="CX263" i="29"/>
  <c r="AE263" i="29"/>
  <c r="AB263" i="29"/>
  <c r="DE263" i="29"/>
  <c r="DD263" i="29"/>
  <c r="DD264" i="29" l="1"/>
  <c r="CX264" i="29"/>
  <c r="W264" i="29"/>
  <c r="X264" i="29"/>
  <c r="AD264" i="29"/>
  <c r="CZ264" i="29"/>
  <c r="BR264" i="29"/>
  <c r="BO264" i="29"/>
  <c r="DE264" i="29"/>
  <c r="AE264" i="29"/>
  <c r="BQ264" i="29"/>
  <c r="DC264" i="29"/>
  <c r="BN264" i="29"/>
  <c r="Z264" i="29"/>
  <c r="BM264" i="29"/>
  <c r="V264" i="29"/>
  <c r="DB264" i="29"/>
  <c r="AA264" i="29"/>
  <c r="DA264" i="29"/>
  <c r="DG264" i="29"/>
  <c r="AC264" i="29"/>
  <c r="BP264" i="29"/>
  <c r="AB264" i="29"/>
  <c r="BJ264" i="29"/>
  <c r="Y264" i="29"/>
  <c r="BL264" i="29"/>
  <c r="BS264" i="29"/>
  <c r="DF264" i="29"/>
  <c r="BK264" i="29"/>
  <c r="CY264" i="29"/>
  <c r="DF265" i="29" l="1"/>
  <c r="BJ265" i="29"/>
  <c r="DG265" i="29"/>
  <c r="V265" i="29"/>
  <c r="DC265" i="29"/>
  <c r="BO265" i="29"/>
  <c r="X265" i="29"/>
  <c r="BK265" i="29"/>
  <c r="BS265" i="29"/>
  <c r="AB265" i="29"/>
  <c r="AC265" i="29"/>
  <c r="DA265" i="29"/>
  <c r="BM265" i="29"/>
  <c r="BN265" i="29"/>
  <c r="BQ265" i="29"/>
  <c r="DE265" i="29"/>
  <c r="BR265" i="29"/>
  <c r="AD265" i="29"/>
  <c r="W265" i="29"/>
  <c r="DD265" i="29"/>
  <c r="CY265" i="29"/>
  <c r="BL265" i="29"/>
  <c r="BP265" i="29"/>
  <c r="AA265" i="29"/>
  <c r="Z265" i="29"/>
  <c r="AE265" i="29"/>
  <c r="CZ265" i="29"/>
  <c r="CX265" i="29"/>
  <c r="Y265" i="29"/>
  <c r="DB265" i="29"/>
  <c r="CX266" i="29" l="1"/>
  <c r="AA266" i="29"/>
  <c r="DD266" i="29"/>
  <c r="DE266" i="29"/>
  <c r="DA266" i="29"/>
  <c r="BK266" i="29"/>
  <c r="V266" i="29"/>
  <c r="CZ266" i="29"/>
  <c r="BP266" i="29"/>
  <c r="CY266" i="29"/>
  <c r="W266" i="29"/>
  <c r="BQ266" i="29"/>
  <c r="BM266" i="29"/>
  <c r="AC266" i="29"/>
  <c r="BS266" i="29"/>
  <c r="X266" i="29"/>
  <c r="DC266" i="29"/>
  <c r="DG266" i="29"/>
  <c r="DF266" i="29"/>
  <c r="DB266" i="29"/>
  <c r="AE266" i="29"/>
  <c r="BL266" i="29"/>
  <c r="AD266" i="29"/>
  <c r="BN266" i="29"/>
  <c r="AB266" i="29"/>
  <c r="BO266" i="29"/>
  <c r="BJ266" i="29"/>
  <c r="Y266" i="29"/>
  <c r="Z266" i="29"/>
  <c r="BR266" i="29"/>
  <c r="BR267" i="29" l="1"/>
  <c r="BO267" i="29"/>
  <c r="BL267" i="29"/>
  <c r="DG267" i="29"/>
  <c r="AC267" i="29"/>
  <c r="CY267" i="29"/>
  <c r="BK267" i="29"/>
  <c r="AA267" i="29"/>
  <c r="BJ267" i="29"/>
  <c r="AD267" i="29"/>
  <c r="AE267" i="29"/>
  <c r="DF267" i="29"/>
  <c r="BS267" i="29"/>
  <c r="BM267" i="29"/>
  <c r="W267" i="29"/>
  <c r="BP267" i="29"/>
  <c r="V267" i="29"/>
  <c r="DA267" i="29"/>
  <c r="DD267" i="29"/>
  <c r="CX267" i="29"/>
  <c r="Y267" i="29"/>
  <c r="BN267" i="29"/>
  <c r="DB267" i="29"/>
  <c r="X267" i="29"/>
  <c r="BQ267" i="29"/>
  <c r="CZ267" i="29"/>
  <c r="DE267" i="29"/>
  <c r="Z267" i="29"/>
  <c r="AB267" i="29"/>
  <c r="DC267" i="29"/>
  <c r="DC268" i="29" l="1"/>
  <c r="CZ268" i="29"/>
  <c r="BN268" i="29"/>
  <c r="CX268" i="29"/>
  <c r="BP268" i="29"/>
  <c r="DF268" i="29"/>
  <c r="AA268" i="29"/>
  <c r="DG268" i="29"/>
  <c r="DE268" i="29"/>
  <c r="DB268" i="29"/>
  <c r="Y268" i="29"/>
  <c r="V268" i="29"/>
  <c r="W268" i="29"/>
  <c r="BS268" i="29"/>
  <c r="AE268" i="29"/>
  <c r="BJ268" i="29"/>
  <c r="BK268" i="29"/>
  <c r="AC268" i="29"/>
  <c r="BL268" i="29"/>
  <c r="BR268" i="29"/>
  <c r="Z268" i="29"/>
  <c r="X268" i="29"/>
  <c r="DA268" i="29"/>
  <c r="BM268" i="29"/>
  <c r="AD268" i="29"/>
  <c r="CY268" i="29"/>
  <c r="BO268" i="29"/>
  <c r="AB268" i="29"/>
  <c r="BQ268" i="29"/>
  <c r="DD268" i="29"/>
  <c r="BQ269" i="29" l="1"/>
  <c r="AD269" i="29"/>
  <c r="Z269" i="29"/>
  <c r="BK269" i="29"/>
  <c r="W269" i="29"/>
  <c r="AA269" i="29"/>
  <c r="DD269" i="29"/>
  <c r="AB269" i="29"/>
  <c r="CY269" i="29"/>
  <c r="BM269" i="29"/>
  <c r="X269" i="29"/>
  <c r="BR269" i="29"/>
  <c r="AC269" i="29"/>
  <c r="BJ269" i="29"/>
  <c r="BS269" i="29"/>
  <c r="V269" i="29"/>
  <c r="DB269" i="29"/>
  <c r="DG269" i="29"/>
  <c r="DF269" i="29"/>
  <c r="CX269" i="29"/>
  <c r="CZ269" i="29"/>
  <c r="BO269" i="29"/>
  <c r="DA269" i="29"/>
  <c r="BL269" i="29"/>
  <c r="AE269" i="29"/>
  <c r="Y269" i="29"/>
  <c r="DE269" i="29"/>
  <c r="BP269" i="29"/>
  <c r="BN269" i="29"/>
  <c r="DC269" i="29"/>
  <c r="BN270" i="29" l="1"/>
  <c r="DE270" i="29"/>
  <c r="AE270" i="29"/>
  <c r="DA270" i="29"/>
  <c r="DF270" i="29"/>
  <c r="DB270" i="29"/>
  <c r="BS270" i="29"/>
  <c r="AC270" i="29"/>
  <c r="X270" i="29"/>
  <c r="CY270" i="29"/>
  <c r="DD270" i="29"/>
  <c r="W270" i="29"/>
  <c r="Z270" i="29"/>
  <c r="BQ270" i="29"/>
  <c r="DC270" i="29"/>
  <c r="BP270" i="29"/>
  <c r="Y270" i="29"/>
  <c r="BL270" i="29"/>
  <c r="BO270" i="29"/>
  <c r="CX270" i="29"/>
  <c r="DG270" i="29"/>
  <c r="V270" i="29"/>
  <c r="BJ270" i="29"/>
  <c r="BR270" i="29"/>
  <c r="BM270" i="29"/>
  <c r="AB270" i="29"/>
  <c r="AA270" i="29"/>
  <c r="BK270" i="29"/>
  <c r="AD270" i="29"/>
  <c r="CZ270" i="29"/>
  <c r="BK271" i="29" l="1"/>
  <c r="BR271" i="29"/>
  <c r="CX271" i="29"/>
  <c r="BP271" i="29"/>
  <c r="W271" i="29"/>
  <c r="AC271" i="29"/>
  <c r="DA271" i="29"/>
  <c r="AA271" i="29"/>
  <c r="BJ271" i="29"/>
  <c r="BO271" i="29"/>
  <c r="DC271" i="29"/>
  <c r="Z271" i="29"/>
  <c r="X271" i="29"/>
  <c r="BS271" i="29"/>
  <c r="DF271" i="29"/>
  <c r="AE271" i="29"/>
  <c r="BN271" i="29"/>
  <c r="CZ271" i="29"/>
  <c r="AB271" i="29"/>
  <c r="V271" i="29"/>
  <c r="BL271" i="29"/>
  <c r="BQ271" i="29"/>
  <c r="CY271" i="29"/>
  <c r="DB271" i="29"/>
  <c r="DE271" i="29"/>
  <c r="AD271" i="29"/>
  <c r="BM271" i="29"/>
  <c r="DG271" i="29"/>
  <c r="Y271" i="29"/>
  <c r="DD271" i="29"/>
  <c r="BM272" i="29" l="1"/>
  <c r="CY272" i="29"/>
  <c r="AB272" i="29"/>
  <c r="BN272" i="29"/>
  <c r="X272" i="29"/>
  <c r="BJ272" i="29"/>
  <c r="W272" i="29"/>
  <c r="CX272" i="29"/>
  <c r="DD272" i="29"/>
  <c r="DG272" i="29"/>
  <c r="AD272" i="29"/>
  <c r="DB272" i="29"/>
  <c r="BQ272" i="29"/>
  <c r="V272" i="29"/>
  <c r="CZ272" i="29"/>
  <c r="AE272" i="29"/>
  <c r="BS272" i="29"/>
  <c r="Z272" i="29"/>
  <c r="BO272" i="29"/>
  <c r="AA272" i="29"/>
  <c r="AC272" i="29"/>
  <c r="BP272" i="29"/>
  <c r="BR272" i="29"/>
  <c r="Y272" i="29"/>
  <c r="DE272" i="29"/>
  <c r="BL272" i="29"/>
  <c r="DF272" i="29"/>
  <c r="DC272" i="29"/>
  <c r="DA272" i="29"/>
  <c r="BK272" i="29"/>
  <c r="DA273" i="29" l="1"/>
  <c r="DF273" i="29"/>
  <c r="DE273" i="29"/>
  <c r="BR273" i="29"/>
  <c r="AC273" i="29"/>
  <c r="BO273" i="29"/>
  <c r="CZ273" i="29"/>
  <c r="BQ273" i="29"/>
  <c r="AD273" i="29"/>
  <c r="DD273" i="29"/>
  <c r="W273" i="29"/>
  <c r="X273" i="29"/>
  <c r="AB273" i="29"/>
  <c r="BM273" i="29"/>
  <c r="BK273" i="29"/>
  <c r="DC273" i="29"/>
  <c r="BL273" i="29"/>
  <c r="Y273" i="29"/>
  <c r="BP273" i="29"/>
  <c r="AA273" i="29"/>
  <c r="Z273" i="29"/>
  <c r="AE273" i="29"/>
  <c r="V273" i="29"/>
  <c r="DB273" i="29"/>
  <c r="DG273" i="29"/>
  <c r="CX273" i="29"/>
  <c r="BJ273" i="29"/>
  <c r="BN273" i="29"/>
  <c r="CY273" i="29"/>
  <c r="BS273" i="29"/>
  <c r="BN274" i="29" l="1"/>
  <c r="DB274" i="29"/>
  <c r="AA274" i="29"/>
  <c r="DC274" i="29"/>
  <c r="X274" i="29"/>
  <c r="BQ274" i="29"/>
  <c r="BR274" i="29"/>
  <c r="CY274" i="29"/>
  <c r="DG274" i="29"/>
  <c r="Z274" i="29"/>
  <c r="BK274" i="29"/>
  <c r="W274" i="29"/>
  <c r="AD274" i="29"/>
  <c r="AC274" i="29"/>
  <c r="DE274" i="29"/>
  <c r="DA274" i="29"/>
  <c r="BS274" i="29"/>
  <c r="CX274" i="29"/>
  <c r="AE274" i="29"/>
  <c r="Y274" i="29"/>
  <c r="BM274" i="29"/>
  <c r="DD274" i="29"/>
  <c r="BO274" i="29"/>
  <c r="DF274" i="29"/>
  <c r="BJ274" i="29"/>
  <c r="V274" i="29"/>
  <c r="BP274" i="29"/>
  <c r="BL274" i="29"/>
  <c r="AB274" i="29"/>
  <c r="CZ274" i="29"/>
  <c r="CZ275" i="29" l="1"/>
  <c r="V275" i="29"/>
  <c r="DD275" i="29"/>
  <c r="CX275" i="29"/>
  <c r="W275" i="29"/>
  <c r="CY275" i="29"/>
  <c r="DC275" i="29"/>
  <c r="BP275" i="29"/>
  <c r="BO275" i="29"/>
  <c r="AE275" i="29"/>
  <c r="BS275" i="29"/>
  <c r="DE275" i="29"/>
  <c r="BK275" i="29"/>
  <c r="DG275" i="29"/>
  <c r="BR275" i="29"/>
  <c r="X275" i="29"/>
  <c r="AA275" i="29"/>
  <c r="BN275" i="29"/>
  <c r="BL275" i="29"/>
  <c r="DF275" i="29"/>
  <c r="Y275" i="29"/>
  <c r="DA275" i="29"/>
  <c r="AC275" i="29"/>
  <c r="Z275" i="29"/>
  <c r="BQ275" i="29"/>
  <c r="DB275" i="29"/>
  <c r="AB275" i="29"/>
  <c r="BJ275" i="29"/>
  <c r="BM275" i="29"/>
  <c r="AD275" i="29"/>
  <c r="BM276" i="29" l="1"/>
  <c r="BQ276" i="29"/>
  <c r="Y276" i="29"/>
  <c r="BL276" i="29"/>
  <c r="BR276" i="29"/>
  <c r="BS276" i="29"/>
  <c r="DC276" i="29"/>
  <c r="W276" i="29"/>
  <c r="DD276" i="29"/>
  <c r="AD276" i="29"/>
  <c r="BJ276" i="29"/>
  <c r="DB276" i="29"/>
  <c r="Z276" i="29"/>
  <c r="DA276" i="29"/>
  <c r="DF276" i="29"/>
  <c r="BN276" i="29"/>
  <c r="X276" i="29"/>
  <c r="DG276" i="29"/>
  <c r="DE276" i="29"/>
  <c r="AE276" i="29"/>
  <c r="BP276" i="29"/>
  <c r="CY276" i="29"/>
  <c r="CX276" i="29"/>
  <c r="V276" i="29"/>
  <c r="AB276" i="29"/>
  <c r="AC276" i="29"/>
  <c r="AA276" i="29"/>
  <c r="BK276" i="29"/>
  <c r="BO276" i="29"/>
  <c r="CZ276" i="29"/>
  <c r="BO277" i="29" l="1"/>
  <c r="AA277" i="29"/>
  <c r="AB277" i="29"/>
  <c r="BP277" i="29"/>
  <c r="DE277" i="29"/>
  <c r="X277" i="29"/>
  <c r="DF277" i="29"/>
  <c r="Z277" i="29"/>
  <c r="BJ277" i="29"/>
  <c r="DD277" i="29"/>
  <c r="DC277" i="29"/>
  <c r="BR277" i="29"/>
  <c r="Y277" i="29"/>
  <c r="BM277" i="29"/>
  <c r="CZ277" i="29"/>
  <c r="BK277" i="29"/>
  <c r="AC277" i="29"/>
  <c r="V277" i="29"/>
  <c r="CY277" i="29"/>
  <c r="AE277" i="29"/>
  <c r="DG277" i="29"/>
  <c r="BN277" i="29"/>
  <c r="DA277" i="29"/>
  <c r="DB277" i="29"/>
  <c r="AD277" i="29"/>
  <c r="W277" i="29"/>
  <c r="BS277" i="29"/>
  <c r="BL277" i="29"/>
  <c r="BQ277" i="29"/>
  <c r="CX277" i="29"/>
  <c r="BQ278" i="29" l="1"/>
  <c r="AD278" i="29"/>
  <c r="DG278" i="29"/>
  <c r="AC278" i="29"/>
  <c r="Y278" i="29"/>
  <c r="BJ278" i="29"/>
  <c r="CX278" i="29"/>
  <c r="BL278" i="29"/>
  <c r="W278" i="29"/>
  <c r="DB278" i="29"/>
  <c r="BN278" i="29"/>
  <c r="AE278" i="29"/>
  <c r="V278" i="29"/>
  <c r="BK278" i="29"/>
  <c r="BM278" i="29"/>
  <c r="BR278" i="29"/>
  <c r="DD278" i="29"/>
  <c r="Z278" i="29"/>
  <c r="X278" i="29"/>
  <c r="BP278" i="29"/>
  <c r="AA278" i="29"/>
  <c r="BS278" i="29"/>
  <c r="DA278" i="29"/>
  <c r="CY278" i="29"/>
  <c r="CZ278" i="29"/>
  <c r="DC278" i="29"/>
  <c r="DF278" i="29"/>
  <c r="DE278" i="29"/>
  <c r="AB278" i="29"/>
  <c r="BO278" i="29"/>
  <c r="DF279" i="29" l="1"/>
  <c r="DA279" i="29"/>
  <c r="X279" i="29"/>
  <c r="BM279" i="29"/>
  <c r="V279" i="29"/>
  <c r="W279" i="29"/>
  <c r="CX279" i="29"/>
  <c r="Y279" i="29"/>
  <c r="BQ279" i="29"/>
  <c r="BO279" i="29"/>
  <c r="DE279" i="29"/>
  <c r="DC279" i="29"/>
  <c r="CY279" i="29"/>
  <c r="BS279" i="29"/>
  <c r="BP279" i="29"/>
  <c r="Z279" i="29"/>
  <c r="BR279" i="29"/>
  <c r="BK279" i="29"/>
  <c r="AE279" i="29"/>
  <c r="DB279" i="29"/>
  <c r="BL279" i="29"/>
  <c r="BJ279" i="29"/>
  <c r="AC279" i="29"/>
  <c r="AD279" i="29"/>
  <c r="AB279" i="29"/>
  <c r="CZ279" i="29"/>
  <c r="AA279" i="29"/>
  <c r="DD279" i="29"/>
  <c r="BN279" i="29"/>
  <c r="DG279" i="29"/>
  <c r="AA280" i="29" l="1"/>
  <c r="AC280" i="29"/>
  <c r="AE280" i="29"/>
  <c r="DG280" i="29"/>
  <c r="DD280" i="29"/>
  <c r="CZ280" i="29"/>
  <c r="AD280" i="29"/>
  <c r="BJ280" i="29"/>
  <c r="DB280" i="29"/>
  <c r="BK280" i="29"/>
  <c r="Z280" i="29"/>
  <c r="BS280" i="29"/>
  <c r="DC280" i="29"/>
  <c r="BO280" i="29"/>
  <c r="Y280" i="29"/>
  <c r="W280" i="29"/>
  <c r="BM280" i="29"/>
  <c r="DA280" i="29"/>
  <c r="BN280" i="29"/>
  <c r="AB280" i="29"/>
  <c r="BL280" i="29"/>
  <c r="BR280" i="29"/>
  <c r="BP280" i="29"/>
  <c r="CY280" i="29"/>
  <c r="DE280" i="29"/>
  <c r="BQ280" i="29"/>
  <c r="CX280" i="29"/>
  <c r="V280" i="29"/>
  <c r="X280" i="29"/>
  <c r="DF280" i="29"/>
  <c r="CX281" i="29" l="1"/>
  <c r="BP281" i="29"/>
  <c r="BN281" i="29"/>
  <c r="DF281" i="29"/>
  <c r="V281" i="29"/>
  <c r="BQ281" i="29"/>
  <c r="CY281" i="29"/>
  <c r="BR281" i="29"/>
  <c r="AB281" i="29"/>
  <c r="DA281" i="29"/>
  <c r="W281" i="29"/>
  <c r="BO281" i="29"/>
  <c r="BS281" i="29"/>
  <c r="BK281" i="29"/>
  <c r="BJ281" i="29"/>
  <c r="CZ281" i="29"/>
  <c r="DG281" i="29"/>
  <c r="AC281" i="29"/>
  <c r="X281" i="29"/>
  <c r="DE281" i="29"/>
  <c r="BL281" i="29"/>
  <c r="BM281" i="29"/>
  <c r="Y281" i="29"/>
  <c r="DC281" i="29"/>
  <c r="Z281" i="29"/>
  <c r="DB281" i="29"/>
  <c r="AD281" i="29"/>
  <c r="DD281" i="29"/>
  <c r="AE281" i="29"/>
  <c r="AA281" i="29"/>
  <c r="AE282" i="29" l="1"/>
  <c r="Z282" i="29"/>
  <c r="BL282" i="29"/>
  <c r="DG282" i="29"/>
  <c r="AA282" i="29"/>
  <c r="DD282" i="29"/>
  <c r="DB282" i="29"/>
  <c r="DC282" i="29"/>
  <c r="BM282" i="29"/>
  <c r="DE282" i="29"/>
  <c r="AC282" i="29"/>
  <c r="CZ282" i="29"/>
  <c r="BK282" i="29"/>
  <c r="BO282" i="29"/>
  <c r="DA282" i="29"/>
  <c r="BR282" i="29"/>
  <c r="BQ282" i="29"/>
  <c r="DF282" i="29"/>
  <c r="BP282" i="29"/>
  <c r="AD282" i="29"/>
  <c r="Y282" i="29"/>
  <c r="X282" i="29"/>
  <c r="BJ282" i="29"/>
  <c r="BS282" i="29"/>
  <c r="W282" i="29"/>
  <c r="AB282" i="29"/>
  <c r="CY282" i="29"/>
  <c r="V282" i="29"/>
  <c r="BN282" i="29"/>
  <c r="CX282" i="29"/>
  <c r="BN283" i="29" l="1"/>
  <c r="CY283" i="29"/>
  <c r="W283" i="29"/>
  <c r="BJ283" i="29"/>
  <c r="BP283" i="29"/>
  <c r="BQ283" i="29"/>
  <c r="DA283" i="29"/>
  <c r="BK283" i="29"/>
  <c r="AC283" i="29"/>
  <c r="BM283" i="29"/>
  <c r="DB283" i="29"/>
  <c r="AA283" i="29"/>
  <c r="BL283" i="29"/>
  <c r="AE283" i="29"/>
  <c r="CX283" i="29"/>
  <c r="V283" i="29"/>
  <c r="AB283" i="29"/>
  <c r="BS283" i="29"/>
  <c r="X283" i="29"/>
  <c r="AD283" i="29"/>
  <c r="DF283" i="29"/>
  <c r="BR283" i="29"/>
  <c r="BO283" i="29"/>
  <c r="CZ283" i="29"/>
  <c r="DE283" i="29"/>
  <c r="DC283" i="29"/>
  <c r="DD283" i="29"/>
  <c r="DG283" i="29"/>
  <c r="Z283" i="29"/>
  <c r="Y283" i="29"/>
  <c r="DG284" i="29" l="1"/>
  <c r="CZ284" i="29"/>
  <c r="AD284" i="29"/>
  <c r="V284" i="29"/>
  <c r="AA284" i="29"/>
  <c r="BK284" i="29"/>
  <c r="BJ284" i="29"/>
  <c r="DD284" i="29"/>
  <c r="BO284" i="29"/>
  <c r="X284" i="29"/>
  <c r="CX284" i="29"/>
  <c r="BL284" i="29"/>
  <c r="DB284" i="29"/>
  <c r="DA284" i="29"/>
  <c r="BP284" i="29"/>
  <c r="W284" i="29"/>
  <c r="BN284" i="29"/>
  <c r="Y284" i="29"/>
  <c r="DC284" i="29"/>
  <c r="BR284" i="29"/>
  <c r="BS284" i="29"/>
  <c r="AE284" i="29"/>
  <c r="BM284" i="29"/>
  <c r="BQ284" i="29"/>
  <c r="CY284" i="29"/>
  <c r="Z284" i="29"/>
  <c r="DE284" i="29"/>
  <c r="DF284" i="29"/>
  <c r="AB284" i="29"/>
  <c r="AC284" i="29"/>
  <c r="DE285" i="29" l="1"/>
  <c r="BM285" i="29"/>
  <c r="DC285" i="29"/>
  <c r="BP285" i="29"/>
  <c r="CX285" i="29"/>
  <c r="BJ285" i="29"/>
  <c r="AA285" i="29"/>
  <c r="AD285" i="29"/>
  <c r="AC285" i="29"/>
  <c r="DF285" i="29"/>
  <c r="Z285" i="29"/>
  <c r="BQ285" i="29"/>
  <c r="AE285" i="29"/>
  <c r="BR285" i="29"/>
  <c r="Y285" i="29"/>
  <c r="W285" i="29"/>
  <c r="DA285" i="29"/>
  <c r="BL285" i="29"/>
  <c r="X285" i="29"/>
  <c r="DD285" i="29"/>
  <c r="BK285" i="29"/>
  <c r="V285" i="29"/>
  <c r="CZ285" i="29"/>
  <c r="AB285" i="29"/>
  <c r="CY285" i="29"/>
  <c r="BS285" i="29"/>
  <c r="BN285" i="29"/>
  <c r="DB285" i="29"/>
  <c r="BO285" i="29"/>
  <c r="DG285" i="29"/>
  <c r="BN286" i="29" l="1"/>
  <c r="CZ286" i="29"/>
  <c r="X286" i="29"/>
  <c r="DG286" i="29"/>
  <c r="DB286" i="29"/>
  <c r="BS286" i="29"/>
  <c r="AB286" i="29"/>
  <c r="V286" i="29"/>
  <c r="DD286" i="29"/>
  <c r="BL286" i="29"/>
  <c r="W286" i="29"/>
  <c r="BR286" i="29"/>
  <c r="BQ286" i="29"/>
  <c r="DF286" i="29"/>
  <c r="AD286" i="29"/>
  <c r="BJ286" i="29"/>
  <c r="BP286" i="29"/>
  <c r="BM286" i="29"/>
  <c r="BO286" i="29"/>
  <c r="CY286" i="29"/>
  <c r="BK286" i="29"/>
  <c r="DA286" i="29"/>
  <c r="Y286" i="29"/>
  <c r="AE286" i="29"/>
  <c r="Z286" i="29"/>
  <c r="AC286" i="29"/>
  <c r="AA286" i="29"/>
  <c r="CX286" i="29"/>
  <c r="DC286" i="29"/>
  <c r="DE286" i="29"/>
  <c r="Z287" i="29" l="1"/>
  <c r="BK287" i="29"/>
  <c r="DE287" i="29"/>
  <c r="CX287" i="29"/>
  <c r="AC287" i="29"/>
  <c r="AE287" i="29"/>
  <c r="DA287" i="29"/>
  <c r="CY287" i="29"/>
  <c r="BM287" i="29"/>
  <c r="BJ287" i="29"/>
  <c r="DF287" i="29"/>
  <c r="BR287" i="29"/>
  <c r="BL287" i="29"/>
  <c r="V287" i="29"/>
  <c r="BS287" i="29"/>
  <c r="DG287" i="29"/>
  <c r="CZ287" i="29"/>
  <c r="DC287" i="29"/>
  <c r="AA287" i="29"/>
  <c r="Y287" i="29"/>
  <c r="BO287" i="29"/>
  <c r="BP287" i="29"/>
  <c r="AD287" i="29"/>
  <c r="BQ287" i="29"/>
  <c r="W287" i="29"/>
  <c r="DD287" i="29"/>
  <c r="AB287" i="29"/>
  <c r="DB287" i="29"/>
  <c r="X287" i="29"/>
  <c r="BN287" i="29"/>
  <c r="X288" i="29" l="1"/>
  <c r="W288" i="29"/>
  <c r="BO288" i="29"/>
  <c r="BN288" i="29"/>
  <c r="DB288" i="29"/>
  <c r="DD288" i="29"/>
  <c r="BQ288" i="29"/>
  <c r="BP288" i="29"/>
  <c r="Y288" i="29"/>
  <c r="DC288" i="29"/>
  <c r="DG288" i="29"/>
  <c r="V288" i="29"/>
  <c r="BR288" i="29"/>
  <c r="BJ288" i="29"/>
  <c r="CY288" i="29"/>
  <c r="AE288" i="29"/>
  <c r="CX288" i="29"/>
  <c r="BK288" i="29"/>
  <c r="AB288" i="29"/>
  <c r="AD288" i="29"/>
  <c r="AA288" i="29"/>
  <c r="CZ288" i="29"/>
  <c r="BS288" i="29"/>
  <c r="BL288" i="29"/>
  <c r="DF288" i="29"/>
  <c r="BM288" i="29"/>
  <c r="DA288" i="29"/>
  <c r="AC288" i="29"/>
  <c r="DE288" i="29"/>
  <c r="Z288" i="29"/>
  <c r="DE289" i="29" l="1"/>
  <c r="DF289" i="29"/>
  <c r="AA289" i="29"/>
  <c r="Z289" i="29"/>
  <c r="AC289" i="29"/>
  <c r="BM289" i="29"/>
  <c r="BL289" i="29"/>
  <c r="CZ289" i="29"/>
  <c r="AD289" i="29"/>
  <c r="BK289" i="29"/>
  <c r="AE289" i="29"/>
  <c r="BJ289" i="29"/>
  <c r="V289" i="29"/>
  <c r="DC289" i="29"/>
  <c r="BP289" i="29"/>
  <c r="DD289" i="29"/>
  <c r="BN289" i="29"/>
  <c r="W289" i="29"/>
  <c r="DA289" i="29"/>
  <c r="BS289" i="29"/>
  <c r="AB289" i="29"/>
  <c r="CX289" i="29"/>
  <c r="CY289" i="29"/>
  <c r="BR289" i="29"/>
  <c r="DG289" i="29"/>
  <c r="Y289" i="29"/>
  <c r="BQ289" i="29"/>
  <c r="DB289" i="29"/>
  <c r="BO289" i="29"/>
  <c r="X289" i="29"/>
  <c r="BO290" i="29" l="1"/>
  <c r="BQ290" i="29"/>
  <c r="DG290" i="29"/>
  <c r="CY290" i="29"/>
  <c r="AB290" i="29"/>
  <c r="BN290" i="29"/>
  <c r="BP290" i="29"/>
  <c r="V290" i="29"/>
  <c r="AE290" i="29"/>
  <c r="AD290" i="29"/>
  <c r="BL290" i="29"/>
  <c r="AC290" i="29"/>
  <c r="AA290" i="29"/>
  <c r="DE290" i="29"/>
  <c r="X290" i="29"/>
  <c r="DB290" i="29"/>
  <c r="Y290" i="29"/>
  <c r="BR290" i="29"/>
  <c r="CX290" i="29"/>
  <c r="BS290" i="29"/>
  <c r="W290" i="29"/>
  <c r="DD290" i="29"/>
  <c r="DC290" i="29"/>
  <c r="BJ290" i="29"/>
  <c r="BK290" i="29"/>
  <c r="CZ290" i="29"/>
  <c r="BM290" i="29"/>
  <c r="Z290" i="29"/>
  <c r="DF290" i="29"/>
  <c r="DA290" i="29"/>
  <c r="Z291" i="29" l="1"/>
  <c r="DD291" i="29"/>
  <c r="BR291" i="29"/>
  <c r="V291" i="29"/>
  <c r="AB291" i="29"/>
  <c r="DG291" i="29"/>
  <c r="BO291" i="29"/>
  <c r="DA291" i="29"/>
  <c r="CZ291" i="29"/>
  <c r="BJ291" i="29"/>
  <c r="BS291" i="29"/>
  <c r="DB291" i="29"/>
  <c r="DE291" i="29"/>
  <c r="AC291" i="29"/>
  <c r="AD291" i="29"/>
  <c r="BN291" i="29"/>
  <c r="CY291" i="29"/>
  <c r="BQ291" i="29"/>
  <c r="DF291" i="29"/>
  <c r="BM291" i="29"/>
  <c r="BK291" i="29"/>
  <c r="DC291" i="29"/>
  <c r="W291" i="29"/>
  <c r="CX291" i="29"/>
  <c r="Y291" i="29"/>
  <c r="X291" i="29"/>
  <c r="AA291" i="29"/>
  <c r="BL291" i="29"/>
  <c r="AE291" i="29"/>
  <c r="BP291" i="29"/>
  <c r="AE292" i="29" l="1"/>
  <c r="Y292" i="29"/>
  <c r="BK292" i="29"/>
  <c r="CY292" i="29"/>
  <c r="AD292" i="29"/>
  <c r="BS292" i="29"/>
  <c r="BO292" i="29"/>
  <c r="AB292" i="29"/>
  <c r="BR292" i="29"/>
  <c r="BP292" i="29"/>
  <c r="BL292" i="29"/>
  <c r="X292" i="29"/>
  <c r="CX292" i="29"/>
  <c r="DC292" i="29"/>
  <c r="BM292" i="29"/>
  <c r="BQ292" i="29"/>
  <c r="BN292" i="29"/>
  <c r="AC292" i="29"/>
  <c r="DB292" i="29"/>
  <c r="BJ292" i="29"/>
  <c r="DA292" i="29"/>
  <c r="DG292" i="29"/>
  <c r="V292" i="29"/>
  <c r="DD292" i="29"/>
  <c r="AA292" i="29"/>
  <c r="W292" i="29"/>
  <c r="DF292" i="29"/>
  <c r="DE292" i="29"/>
  <c r="CZ292" i="29"/>
  <c r="Z292" i="29"/>
  <c r="CZ293" i="29" l="1"/>
  <c r="AA293" i="29"/>
  <c r="DA293" i="29"/>
  <c r="Z293" i="29"/>
  <c r="DE293" i="29"/>
  <c r="W293" i="29"/>
  <c r="DD293" i="29"/>
  <c r="DG293" i="29"/>
  <c r="BJ293" i="29"/>
  <c r="AC293" i="29"/>
  <c r="BQ293" i="29"/>
  <c r="DC293" i="29"/>
  <c r="X293" i="29"/>
  <c r="BP293" i="29"/>
  <c r="AB293" i="29"/>
  <c r="BS293" i="29"/>
  <c r="CY293" i="29"/>
  <c r="Y293" i="29"/>
  <c r="DF293" i="29"/>
  <c r="V293" i="29"/>
  <c r="DB293" i="29"/>
  <c r="BN293" i="29"/>
  <c r="BM293" i="29"/>
  <c r="CX293" i="29"/>
  <c r="BL293" i="29"/>
  <c r="BR293" i="29"/>
  <c r="BO293" i="29"/>
  <c r="AD293" i="29"/>
  <c r="BK293" i="29"/>
  <c r="AE293" i="29"/>
  <c r="BK294" i="29" l="1"/>
  <c r="BL294" i="29"/>
  <c r="DB294" i="29"/>
  <c r="CY294" i="29"/>
  <c r="AE294" i="29"/>
  <c r="AD294" i="29"/>
  <c r="BR294" i="29"/>
  <c r="CX294" i="29"/>
  <c r="BN294" i="29"/>
  <c r="V294" i="29"/>
  <c r="Y294" i="29"/>
  <c r="BS294" i="29"/>
  <c r="BP294" i="29"/>
  <c r="DC294" i="29"/>
  <c r="AC294" i="29"/>
  <c r="DG294" i="29"/>
  <c r="W294" i="29"/>
  <c r="Z294" i="29"/>
  <c r="AA294" i="29"/>
  <c r="BO294" i="29"/>
  <c r="BM294" i="29"/>
  <c r="DF294" i="29"/>
  <c r="AB294" i="29"/>
  <c r="X294" i="29"/>
  <c r="BQ294" i="29"/>
  <c r="BJ294" i="29"/>
  <c r="DD294" i="29"/>
  <c r="DE294" i="29"/>
  <c r="DA294" i="29"/>
  <c r="CZ294" i="29"/>
  <c r="DA295" i="29" l="1"/>
  <c r="BQ295" i="29"/>
  <c r="AB295" i="29"/>
  <c r="AA295" i="29"/>
  <c r="W295" i="29"/>
  <c r="AC295" i="29"/>
  <c r="BP295" i="29"/>
  <c r="Y295" i="29"/>
  <c r="BN295" i="29"/>
  <c r="BR295" i="29"/>
  <c r="AE295" i="29"/>
  <c r="BK295" i="29"/>
  <c r="CZ295" i="29"/>
  <c r="DE295" i="29"/>
  <c r="BJ295" i="29"/>
  <c r="X295" i="29"/>
  <c r="DF295" i="29"/>
  <c r="BO295" i="29"/>
  <c r="Z295" i="29"/>
  <c r="DG295" i="29"/>
  <c r="DC295" i="29"/>
  <c r="BS295" i="29"/>
  <c r="V295" i="29"/>
  <c r="CX295" i="29"/>
  <c r="AD295" i="29"/>
  <c r="CY295" i="29"/>
  <c r="BL295" i="29"/>
  <c r="DD295" i="29"/>
  <c r="BM295" i="29"/>
  <c r="DB295" i="29"/>
  <c r="DD296" i="29" l="1"/>
  <c r="CX296" i="29"/>
  <c r="DG296" i="29"/>
  <c r="X296" i="29"/>
  <c r="BK296" i="29"/>
  <c r="Y296" i="29"/>
  <c r="BQ296" i="29"/>
  <c r="BM296" i="29"/>
  <c r="AD296" i="29"/>
  <c r="DC296" i="29"/>
  <c r="DF296" i="29"/>
  <c r="CZ296" i="29"/>
  <c r="AE296" i="29"/>
  <c r="BP296" i="29"/>
  <c r="W296" i="29"/>
  <c r="AB296" i="29"/>
  <c r="DA296" i="29"/>
  <c r="DB296" i="29"/>
  <c r="CY296" i="29"/>
  <c r="BS296" i="29"/>
  <c r="BO296" i="29"/>
  <c r="DE296" i="29"/>
  <c r="BR296" i="29"/>
  <c r="AC296" i="29"/>
  <c r="AA296" i="29"/>
  <c r="BL296" i="29"/>
  <c r="V296" i="29"/>
  <c r="Z296" i="29"/>
  <c r="BJ296" i="29"/>
  <c r="BN296" i="29"/>
  <c r="BJ297" i="29" l="1"/>
  <c r="AA297" i="29"/>
  <c r="BO297" i="29"/>
  <c r="DA297" i="29"/>
  <c r="AE297" i="29"/>
  <c r="DF297" i="29"/>
  <c r="BQ297" i="29"/>
  <c r="BK297" i="29"/>
  <c r="DG297" i="29"/>
  <c r="BN297" i="29"/>
  <c r="Z297" i="29"/>
  <c r="BL297" i="29"/>
  <c r="AC297" i="29"/>
  <c r="DE297" i="29"/>
  <c r="BS297" i="29"/>
  <c r="DB297" i="29"/>
  <c r="AB297" i="29"/>
  <c r="BP297" i="29"/>
  <c r="CZ297" i="29"/>
  <c r="DC297" i="29"/>
  <c r="BM297" i="29"/>
  <c r="Y297" i="29"/>
  <c r="X297" i="29"/>
  <c r="CX297" i="29"/>
  <c r="V297" i="29"/>
  <c r="BR297" i="29"/>
  <c r="CY297" i="29"/>
  <c r="W297" i="29"/>
  <c r="AD297" i="29"/>
  <c r="DD297" i="29"/>
  <c r="AD298" i="29" l="1"/>
  <c r="CY298" i="29"/>
  <c r="V298" i="29"/>
  <c r="X298" i="29"/>
  <c r="BM298" i="29"/>
  <c r="CZ298" i="29"/>
  <c r="AB298" i="29"/>
  <c r="BS298" i="29"/>
  <c r="AC298" i="29"/>
  <c r="Z298" i="29"/>
  <c r="DG298" i="29"/>
  <c r="DD298" i="29"/>
  <c r="W298" i="29"/>
  <c r="BR298" i="29"/>
  <c r="CX298" i="29"/>
  <c r="Y298" i="29"/>
  <c r="DC298" i="29"/>
  <c r="BP298" i="29"/>
  <c r="DB298" i="29"/>
  <c r="DE298" i="29"/>
  <c r="BL298" i="29"/>
  <c r="BN298" i="29"/>
  <c r="BK298" i="29"/>
  <c r="DF298" i="29"/>
  <c r="DA298" i="29"/>
  <c r="AA298" i="29"/>
  <c r="BQ298" i="29"/>
  <c r="AE298" i="29"/>
  <c r="BO298" i="29"/>
  <c r="BJ298" i="29"/>
  <c r="BJ299" i="29" l="1"/>
  <c r="AA299" i="29"/>
  <c r="BN299" i="29"/>
  <c r="BP299" i="29"/>
  <c r="BR299" i="29"/>
  <c r="Z299" i="29"/>
  <c r="CZ299" i="29"/>
  <c r="CY299" i="29"/>
  <c r="BQ299" i="29"/>
  <c r="BK299" i="29"/>
  <c r="BL299" i="29"/>
  <c r="DC299" i="29"/>
  <c r="CX299" i="29"/>
  <c r="DG299" i="29"/>
  <c r="AC299" i="29"/>
  <c r="AB299" i="29"/>
  <c r="BM299" i="29"/>
  <c r="V299" i="29"/>
  <c r="AD299" i="29"/>
  <c r="AE299" i="29"/>
  <c r="DF299" i="29"/>
  <c r="DE299" i="29"/>
  <c r="Y299" i="29"/>
  <c r="DD299" i="29"/>
  <c r="BS299" i="29"/>
  <c r="X299" i="29"/>
  <c r="BO299" i="29"/>
  <c r="DA299" i="29"/>
  <c r="DB299" i="29"/>
  <c r="W299" i="29"/>
  <c r="BO300" i="29" l="1"/>
  <c r="Y300" i="29"/>
  <c r="AD300" i="29"/>
  <c r="AC300" i="29"/>
  <c r="BL300" i="29"/>
  <c r="BQ300" i="29"/>
  <c r="BR300" i="29"/>
  <c r="BN300" i="29"/>
  <c r="W300" i="29"/>
  <c r="DA300" i="29"/>
  <c r="X300" i="29"/>
  <c r="DD300" i="29"/>
  <c r="DE300" i="29"/>
  <c r="AE300" i="29"/>
  <c r="V300" i="29"/>
  <c r="AB300" i="29"/>
  <c r="DG300" i="29"/>
  <c r="DC300" i="29"/>
  <c r="BK300" i="29"/>
  <c r="CY300" i="29"/>
  <c r="Z300" i="29"/>
  <c r="BP300" i="29"/>
  <c r="AA300" i="29"/>
  <c r="DB300" i="29"/>
  <c r="BS300" i="29"/>
  <c r="DF300" i="29"/>
  <c r="BM300" i="29"/>
  <c r="CX300" i="29"/>
  <c r="CZ300" i="29"/>
  <c r="BJ300" i="29"/>
  <c r="BM301" i="29" l="1"/>
  <c r="AA301" i="29"/>
  <c r="BK301" i="29"/>
  <c r="BJ301" i="29"/>
  <c r="CX301" i="29"/>
  <c r="DF301" i="29"/>
  <c r="DB301" i="29"/>
  <c r="BP301" i="29"/>
  <c r="CY301" i="29"/>
  <c r="DC301" i="29"/>
  <c r="AB301" i="29"/>
  <c r="AE301" i="29"/>
  <c r="DD301" i="29"/>
  <c r="DA301" i="29"/>
  <c r="BN301" i="29"/>
  <c r="BQ301" i="29"/>
  <c r="AC301" i="29"/>
  <c r="Y301" i="29"/>
  <c r="CZ301" i="29"/>
  <c r="BS301" i="29"/>
  <c r="Z301" i="29"/>
  <c r="DG301" i="29"/>
  <c r="V301" i="29"/>
  <c r="DE301" i="29"/>
  <c r="X301" i="29"/>
  <c r="W301" i="29"/>
  <c r="BR301" i="29"/>
  <c r="BL301" i="29"/>
  <c r="AD301" i="29"/>
  <c r="BO301" i="29"/>
  <c r="AD302" i="29" l="1"/>
  <c r="X302" i="29"/>
  <c r="Z302" i="29"/>
  <c r="BO302" i="29"/>
  <c r="BL302" i="29"/>
  <c r="W302" i="29"/>
  <c r="DE302" i="29"/>
  <c r="DG302" i="29"/>
  <c r="BS302" i="29"/>
  <c r="Y302" i="29"/>
  <c r="BQ302" i="29"/>
  <c r="DA302" i="29"/>
  <c r="AE302" i="29"/>
  <c r="DC302" i="29"/>
  <c r="BP302" i="29"/>
  <c r="DF302" i="29"/>
  <c r="BJ302" i="29"/>
  <c r="AA302" i="29"/>
  <c r="BR302" i="29"/>
  <c r="V302" i="29"/>
  <c r="CZ302" i="29"/>
  <c r="AC302" i="29"/>
  <c r="BN302" i="29"/>
  <c r="DD302" i="29"/>
  <c r="AB302" i="29"/>
  <c r="CY302" i="29"/>
  <c r="DB302" i="29"/>
  <c r="CX302" i="29"/>
  <c r="BK302" i="29"/>
  <c r="BM302" i="29"/>
  <c r="DB303" i="29" l="1"/>
  <c r="BN303" i="29"/>
  <c r="BR303" i="29"/>
  <c r="BM303" i="29"/>
  <c r="CX303" i="29"/>
  <c r="CY303" i="29"/>
  <c r="DD303" i="29"/>
  <c r="AC303" i="29"/>
  <c r="V303" i="29"/>
  <c r="AA303" i="29"/>
  <c r="DF303" i="29"/>
  <c r="DC303" i="29"/>
  <c r="DA303" i="29"/>
  <c r="Y303" i="29"/>
  <c r="DG303" i="29"/>
  <c r="W303" i="29"/>
  <c r="BO303" i="29"/>
  <c r="X303" i="29"/>
  <c r="BK303" i="29"/>
  <c r="AB303" i="29"/>
  <c r="CZ303" i="29"/>
  <c r="BJ303" i="29"/>
  <c r="BP303" i="29"/>
  <c r="AE303" i="29"/>
  <c r="BQ303" i="29"/>
  <c r="BS303" i="29"/>
  <c r="DE303" i="29"/>
  <c r="BL303" i="29"/>
  <c r="Z303" i="29"/>
  <c r="AD303" i="29"/>
  <c r="DE304" i="29" l="1"/>
  <c r="BP304" i="29"/>
  <c r="BK304" i="29"/>
  <c r="AD304" i="29"/>
  <c r="BL304" i="29"/>
  <c r="BS304" i="29"/>
  <c r="AE304" i="29"/>
  <c r="BJ304" i="29"/>
  <c r="AB304" i="29"/>
  <c r="X304" i="29"/>
  <c r="W304" i="29"/>
  <c r="Y304" i="29"/>
  <c r="DC304" i="29"/>
  <c r="AA304" i="29"/>
  <c r="AC304" i="29"/>
  <c r="CY304" i="29"/>
  <c r="BM304" i="29"/>
  <c r="BN304" i="29"/>
  <c r="Z304" i="29"/>
  <c r="BQ304" i="29"/>
  <c r="CZ304" i="29"/>
  <c r="BO304" i="29"/>
  <c r="DG304" i="29"/>
  <c r="DA304" i="29"/>
  <c r="DF304" i="29"/>
  <c r="V304" i="29"/>
  <c r="DD304" i="29"/>
  <c r="CX304" i="29"/>
  <c r="BR304" i="29"/>
  <c r="DB304" i="29"/>
  <c r="BR305" i="29" l="1"/>
  <c r="DF305" i="29"/>
  <c r="CZ305" i="29"/>
  <c r="DB305" i="29"/>
  <c r="CX305" i="29"/>
  <c r="V305" i="29"/>
  <c r="DA305" i="29"/>
  <c r="BO305" i="29"/>
  <c r="BQ305" i="29"/>
  <c r="BN305" i="29"/>
  <c r="CY305" i="29"/>
  <c r="AA305" i="29"/>
  <c r="Y305" i="29"/>
  <c r="X305" i="29"/>
  <c r="BJ305" i="29"/>
  <c r="BS305" i="29"/>
  <c r="AD305" i="29"/>
  <c r="BP305" i="29"/>
  <c r="DD305" i="29"/>
  <c r="DG305" i="29"/>
  <c r="Z305" i="29"/>
  <c r="BM305" i="29"/>
  <c r="AC305" i="29"/>
  <c r="DC305" i="29"/>
  <c r="W305" i="29"/>
  <c r="AB305" i="29"/>
  <c r="AE305" i="29"/>
  <c r="BL305" i="29"/>
  <c r="BK305" i="29"/>
  <c r="DE305" i="29"/>
  <c r="BK306" i="29" l="1"/>
  <c r="AE306" i="29"/>
  <c r="W306" i="29"/>
  <c r="AC306" i="29"/>
  <c r="DD306" i="29"/>
  <c r="AD306" i="29"/>
  <c r="BJ306" i="29"/>
  <c r="Y306" i="29"/>
  <c r="CY306" i="29"/>
  <c r="BQ306" i="29"/>
  <c r="DA306" i="29"/>
  <c r="CX306" i="29"/>
  <c r="CZ306" i="29"/>
  <c r="BR306" i="29"/>
  <c r="DE306" i="29"/>
  <c r="BL306" i="29"/>
  <c r="AB306" i="29"/>
  <c r="DC306" i="29"/>
  <c r="BM306" i="29"/>
  <c r="DG306" i="29"/>
  <c r="BP306" i="29"/>
  <c r="BS306" i="29"/>
  <c r="X306" i="29"/>
  <c r="AA306" i="29"/>
  <c r="BN306" i="29"/>
  <c r="BO306" i="29"/>
  <c r="V306" i="29"/>
  <c r="DB306" i="29"/>
  <c r="DF306" i="29"/>
  <c r="Z306" i="29"/>
  <c r="Z307" i="29" l="1"/>
  <c r="BO307" i="29"/>
  <c r="BS307" i="29"/>
  <c r="DC307" i="29"/>
  <c r="BR307" i="29"/>
  <c r="Y307" i="29"/>
  <c r="AC307" i="29"/>
  <c r="V307" i="29"/>
  <c r="X307" i="29"/>
  <c r="BM307" i="29"/>
  <c r="DE307" i="29"/>
  <c r="CZ307" i="29"/>
  <c r="CY307" i="29"/>
  <c r="BJ307" i="29"/>
  <c r="DD307" i="29"/>
  <c r="W307" i="29"/>
  <c r="BK307" i="29"/>
  <c r="DB307" i="29"/>
  <c r="AA307" i="29"/>
  <c r="DG307" i="29"/>
  <c r="BL307" i="29"/>
  <c r="CX307" i="29"/>
  <c r="BQ307" i="29"/>
  <c r="AD307" i="29"/>
  <c r="AE307" i="29"/>
  <c r="DF307" i="29"/>
  <c r="BN307" i="29"/>
  <c r="BP307" i="29"/>
  <c r="AB307" i="29"/>
  <c r="DA307" i="29"/>
  <c r="AB308" i="29" l="1"/>
  <c r="AE308" i="29"/>
  <c r="BL308" i="29"/>
  <c r="BK308" i="29"/>
  <c r="CY308" i="29"/>
  <c r="X308" i="29"/>
  <c r="AC308" i="29"/>
  <c r="BR308" i="29"/>
  <c r="BS308" i="29"/>
  <c r="DA308" i="29"/>
  <c r="BP308" i="29"/>
  <c r="DF308" i="29"/>
  <c r="AD308" i="29"/>
  <c r="CX308" i="29"/>
  <c r="DG308" i="29"/>
  <c r="DB308" i="29"/>
  <c r="W308" i="29"/>
  <c r="BJ308" i="29"/>
  <c r="CZ308" i="29"/>
  <c r="BM308" i="29"/>
  <c r="V308" i="29"/>
  <c r="Y308" i="29"/>
  <c r="DC308" i="29"/>
  <c r="BO308" i="29"/>
  <c r="BN308" i="29"/>
  <c r="BQ308" i="29"/>
  <c r="AA308" i="29"/>
  <c r="DD308" i="29"/>
  <c r="DE308" i="29"/>
  <c r="Z308" i="29"/>
  <c r="DE309" i="29" l="1"/>
  <c r="AA309" i="29"/>
  <c r="BN309" i="29"/>
  <c r="DC309" i="29"/>
  <c r="CZ309" i="29"/>
  <c r="W309" i="29"/>
  <c r="DG309" i="29"/>
  <c r="AD309" i="29"/>
  <c r="BP309" i="29"/>
  <c r="BS309" i="29"/>
  <c r="AC309" i="29"/>
  <c r="CY309" i="29"/>
  <c r="BL309" i="29"/>
  <c r="AB309" i="29"/>
  <c r="Z309" i="29"/>
  <c r="DD309" i="29"/>
  <c r="BQ309" i="29"/>
  <c r="BO309" i="29"/>
  <c r="Y309" i="29"/>
  <c r="BM309" i="29"/>
  <c r="BJ309" i="29"/>
  <c r="DB309" i="29"/>
  <c r="CX309" i="29"/>
  <c r="DF309" i="29"/>
  <c r="DA309" i="29"/>
  <c r="BR309" i="29"/>
  <c r="X309" i="29"/>
  <c r="BK309" i="29"/>
  <c r="AE309" i="29"/>
  <c r="V309" i="29"/>
  <c r="V310" i="29" l="1"/>
  <c r="BR310" i="29"/>
  <c r="DB310" i="29"/>
  <c r="BO310" i="29"/>
  <c r="AB310" i="29"/>
  <c r="AD310" i="29"/>
  <c r="DC310" i="29"/>
  <c r="X310" i="29"/>
  <c r="CX310" i="29"/>
  <c r="Y310" i="29"/>
  <c r="Z310" i="29"/>
  <c r="BL310" i="29"/>
  <c r="BP310" i="29"/>
  <c r="DG310" i="29"/>
  <c r="CZ310" i="29"/>
  <c r="BN310" i="29"/>
  <c r="DE310" i="29"/>
  <c r="BK310" i="29"/>
  <c r="DF310" i="29"/>
  <c r="BM310" i="29"/>
  <c r="DD310" i="29"/>
  <c r="CY310" i="29"/>
  <c r="BS310" i="29"/>
  <c r="W310" i="29"/>
  <c r="AA310" i="29"/>
  <c r="AE310" i="29"/>
  <c r="DA310" i="29"/>
  <c r="BJ310" i="29"/>
  <c r="BQ310" i="29"/>
  <c r="AC310" i="29"/>
  <c r="DA311" i="29" l="1"/>
  <c r="BS311" i="29"/>
  <c r="DF311" i="29"/>
  <c r="CZ311" i="29"/>
  <c r="BP311" i="29"/>
  <c r="CX311" i="29"/>
  <c r="AB311" i="29"/>
  <c r="DB311" i="29"/>
  <c r="AC311" i="29"/>
  <c r="BJ311" i="29"/>
  <c r="AE311" i="29"/>
  <c r="W311" i="29"/>
  <c r="CY311" i="29"/>
  <c r="BM311" i="29"/>
  <c r="BK311" i="29"/>
  <c r="BN311" i="29"/>
  <c r="DG311" i="29"/>
  <c r="BL311" i="29"/>
  <c r="Y311" i="29"/>
  <c r="X311" i="29"/>
  <c r="AD311" i="29"/>
  <c r="BO311" i="29"/>
  <c r="BR311" i="29"/>
  <c r="BQ311" i="29"/>
  <c r="AA311" i="29"/>
  <c r="DD311" i="29"/>
  <c r="DE311" i="29"/>
  <c r="Z311" i="29"/>
  <c r="DC311" i="29"/>
  <c r="V311" i="29"/>
  <c r="DC312" i="29" l="1"/>
  <c r="DE312" i="29"/>
  <c r="AA312" i="29"/>
  <c r="BR312" i="29"/>
  <c r="AD312" i="29"/>
  <c r="Y312" i="29"/>
  <c r="DG312" i="29"/>
  <c r="BK312" i="29"/>
  <c r="CY312" i="29"/>
  <c r="AE312" i="29"/>
  <c r="AC312" i="29"/>
  <c r="AB312" i="29"/>
  <c r="BP312" i="29"/>
  <c r="DF312" i="29"/>
  <c r="DA312" i="29"/>
  <c r="V312" i="29"/>
  <c r="Z312" i="29"/>
  <c r="DD312" i="29"/>
  <c r="BQ312" i="29"/>
  <c r="BO312" i="29"/>
  <c r="X312" i="29"/>
  <c r="BL312" i="29"/>
  <c r="BN312" i="29"/>
  <c r="BM312" i="29"/>
  <c r="W312" i="29"/>
  <c r="BJ312" i="29"/>
  <c r="DB312" i="29"/>
  <c r="CX312" i="29"/>
  <c r="CZ312" i="29"/>
  <c r="BS312" i="29"/>
  <c r="CZ313" i="29" l="1"/>
  <c r="W313" i="29"/>
  <c r="BN313" i="29"/>
  <c r="X313" i="29"/>
  <c r="BQ313" i="29"/>
  <c r="Z313" i="29"/>
  <c r="DA313" i="29"/>
  <c r="AC313" i="29"/>
  <c r="CY313" i="29"/>
  <c r="DG313" i="29"/>
  <c r="AD313" i="29"/>
  <c r="AA313" i="29"/>
  <c r="DC313" i="29"/>
  <c r="BS313" i="29"/>
  <c r="CX313" i="29"/>
  <c r="BJ313" i="29"/>
  <c r="BM313" i="29"/>
  <c r="BL313" i="29"/>
  <c r="BO313" i="29"/>
  <c r="DD313" i="29"/>
  <c r="V313" i="29"/>
  <c r="DF313" i="29"/>
  <c r="AB313" i="29"/>
  <c r="AE313" i="29"/>
  <c r="BK313" i="29"/>
  <c r="Y313" i="29"/>
  <c r="BR313" i="29"/>
  <c r="DE313" i="29"/>
  <c r="DB313" i="29"/>
  <c r="BP313" i="29"/>
  <c r="DB314" i="29" l="1"/>
  <c r="BK314" i="29"/>
  <c r="V314" i="29"/>
  <c r="BM314" i="29"/>
  <c r="DC314" i="29"/>
  <c r="CY314" i="29"/>
  <c r="DA314" i="29"/>
  <c r="BQ314" i="29"/>
  <c r="BN314" i="29"/>
  <c r="BP314" i="29"/>
  <c r="DE314" i="29"/>
  <c r="Y314" i="29"/>
  <c r="AE314" i="29"/>
  <c r="DF314" i="29"/>
  <c r="DD314" i="29"/>
  <c r="BL314" i="29"/>
  <c r="BJ314" i="29"/>
  <c r="BS314" i="29"/>
  <c r="AA314" i="29"/>
  <c r="DG314" i="29"/>
  <c r="AC314" i="29"/>
  <c r="Z314" i="29"/>
  <c r="X314" i="29"/>
  <c r="W314" i="29"/>
  <c r="BR314" i="29"/>
  <c r="AB314" i="29"/>
  <c r="BO314" i="29"/>
  <c r="CX314" i="29"/>
  <c r="AD314" i="29"/>
  <c r="CZ314" i="29"/>
  <c r="BO315" i="29" l="1"/>
  <c r="X315" i="29"/>
  <c r="AA315" i="29"/>
  <c r="CZ315" i="29"/>
  <c r="CX315" i="29"/>
  <c r="AB315" i="29"/>
  <c r="W315" i="29"/>
  <c r="Z315" i="29"/>
  <c r="DG315" i="29"/>
  <c r="BS315" i="29"/>
  <c r="BL315" i="29"/>
  <c r="DF315" i="29"/>
  <c r="Y315" i="29"/>
  <c r="BP315" i="29"/>
  <c r="BQ315" i="29"/>
  <c r="CY315" i="29"/>
  <c r="BM315" i="29"/>
  <c r="BK315" i="29"/>
  <c r="AD315" i="29"/>
  <c r="BR315" i="29"/>
  <c r="AC315" i="29"/>
  <c r="BJ315" i="29"/>
  <c r="DD315" i="29"/>
  <c r="AE315" i="29"/>
  <c r="DE315" i="29"/>
  <c r="BN315" i="29"/>
  <c r="DA315" i="29"/>
  <c r="DC315" i="29"/>
  <c r="V315" i="29"/>
  <c r="DB315" i="29"/>
  <c r="DA316" i="29" l="1"/>
  <c r="DD316" i="29"/>
  <c r="AD316" i="29"/>
  <c r="DB316" i="29"/>
  <c r="DC316" i="29"/>
  <c r="BN316" i="29"/>
  <c r="AE316" i="29"/>
  <c r="BJ316" i="29"/>
  <c r="BR316" i="29"/>
  <c r="BK316" i="29"/>
  <c r="CY316" i="29"/>
  <c r="BP316" i="29"/>
  <c r="DF316" i="29"/>
  <c r="BS316" i="29"/>
  <c r="Z316" i="29"/>
  <c r="AB316" i="29"/>
  <c r="CZ316" i="29"/>
  <c r="X316" i="29"/>
  <c r="V316" i="29"/>
  <c r="DE316" i="29"/>
  <c r="AC316" i="29"/>
  <c r="BM316" i="29"/>
  <c r="BQ316" i="29"/>
  <c r="Y316" i="29"/>
  <c r="BL316" i="29"/>
  <c r="DG316" i="29"/>
  <c r="W316" i="29"/>
  <c r="CX316" i="29"/>
  <c r="AA316" i="29"/>
  <c r="BO316" i="29"/>
  <c r="W317" i="29" l="1"/>
  <c r="BQ317" i="29"/>
  <c r="V317" i="29"/>
  <c r="BO317" i="29"/>
  <c r="CX317" i="29"/>
  <c r="DG317" i="29"/>
  <c r="Y317" i="29"/>
  <c r="BM317" i="29"/>
  <c r="DE317" i="29"/>
  <c r="X317" i="29"/>
  <c r="AB317" i="29"/>
  <c r="BS317" i="29"/>
  <c r="BP317" i="29"/>
  <c r="BK317" i="29"/>
  <c r="BJ317" i="29"/>
  <c r="BN317" i="29"/>
  <c r="DB317" i="29"/>
  <c r="DD317" i="29"/>
  <c r="AA317" i="29"/>
  <c r="BL317" i="29"/>
  <c r="AC317" i="29"/>
  <c r="CZ317" i="29"/>
  <c r="Z317" i="29"/>
  <c r="DF317" i="29"/>
  <c r="CY317" i="29"/>
  <c r="BR317" i="29"/>
  <c r="AE317" i="29"/>
  <c r="DC317" i="29"/>
  <c r="AD317" i="29"/>
  <c r="DA317" i="29"/>
  <c r="AD318" i="29" l="1"/>
  <c r="CY318" i="29"/>
  <c r="AC318" i="29"/>
  <c r="DB318" i="29"/>
  <c r="DA318" i="29"/>
  <c r="DC318" i="29"/>
  <c r="BR318" i="29"/>
  <c r="DF318" i="29"/>
  <c r="CZ318" i="29"/>
  <c r="BL318" i="29"/>
  <c r="DD318" i="29"/>
  <c r="BN318" i="29"/>
  <c r="BK318" i="29"/>
  <c r="BS318" i="29"/>
  <c r="X318" i="29"/>
  <c r="BM318" i="29"/>
  <c r="DG318" i="29"/>
  <c r="BO318" i="29"/>
  <c r="BQ318" i="29"/>
  <c r="AE318" i="29"/>
  <c r="Z318" i="29"/>
  <c r="AA318" i="29"/>
  <c r="BJ318" i="29"/>
  <c r="BP318" i="29"/>
  <c r="AB318" i="29"/>
  <c r="DE318" i="29"/>
  <c r="Y318" i="29"/>
  <c r="CX318" i="29"/>
  <c r="V318" i="29"/>
  <c r="W318" i="29"/>
  <c r="Y319" i="29" l="1"/>
  <c r="BJ319" i="29"/>
  <c r="BQ319" i="29"/>
  <c r="W319" i="29"/>
  <c r="CX319" i="29"/>
  <c r="DE319" i="29"/>
  <c r="BP319" i="29"/>
  <c r="AA319" i="29"/>
  <c r="AE319" i="29"/>
  <c r="BO319" i="29"/>
  <c r="BM319" i="29"/>
  <c r="BS319" i="29"/>
  <c r="BN319" i="29"/>
  <c r="BL319" i="29"/>
  <c r="DF319" i="29"/>
  <c r="DC319" i="29"/>
  <c r="DB319" i="29"/>
  <c r="CY319" i="29"/>
  <c r="V319" i="29"/>
  <c r="AB319" i="29"/>
  <c r="Z319" i="29"/>
  <c r="DG319" i="29"/>
  <c r="X319" i="29"/>
  <c r="BK319" i="29"/>
  <c r="DD319" i="29"/>
  <c r="CZ319" i="29"/>
  <c r="BR319" i="29"/>
  <c r="DA319" i="29"/>
  <c r="AC319" i="29"/>
  <c r="AD319" i="29"/>
  <c r="AC320" i="29" l="1"/>
  <c r="DD320" i="29"/>
  <c r="Z320" i="29"/>
  <c r="AD320" i="29"/>
  <c r="DA320" i="29"/>
  <c r="CZ320" i="29"/>
  <c r="BK320" i="29"/>
  <c r="DG320" i="29"/>
  <c r="AB320" i="29"/>
  <c r="CY320" i="29"/>
  <c r="DC320" i="29"/>
  <c r="BL320" i="29"/>
  <c r="BS320" i="29"/>
  <c r="BO320" i="29"/>
  <c r="AA320" i="29"/>
  <c r="DE320" i="29"/>
  <c r="W320" i="29"/>
  <c r="BJ320" i="29"/>
  <c r="BR320" i="29"/>
  <c r="X320" i="29"/>
  <c r="V320" i="29"/>
  <c r="DB320" i="29"/>
  <c r="DF320" i="29"/>
  <c r="BN320" i="29"/>
  <c r="BM320" i="29"/>
  <c r="AE320" i="29"/>
  <c r="BP320" i="29"/>
  <c r="CX320" i="29"/>
  <c r="BQ320" i="29"/>
  <c r="Y320" i="29"/>
  <c r="BQ321" i="29" l="1"/>
  <c r="BM321" i="29"/>
  <c r="V321" i="29"/>
  <c r="Y321" i="29"/>
  <c r="CX321" i="29"/>
  <c r="AE321" i="29"/>
  <c r="BN321" i="29"/>
  <c r="DB321" i="29"/>
  <c r="X321" i="29"/>
  <c r="BJ321" i="29"/>
  <c r="DE321" i="29"/>
  <c r="BO321" i="29"/>
  <c r="BL321" i="29"/>
  <c r="CY321" i="29"/>
  <c r="DG321" i="29"/>
  <c r="CZ321" i="29"/>
  <c r="AD321" i="29"/>
  <c r="DD321" i="29"/>
  <c r="BP321" i="29"/>
  <c r="DF321" i="29"/>
  <c r="BR321" i="29"/>
  <c r="W321" i="29"/>
  <c r="AA321" i="29"/>
  <c r="BS321" i="29"/>
  <c r="DC321" i="29"/>
  <c r="AB321" i="29"/>
  <c r="BK321" i="29"/>
  <c r="DA321" i="29"/>
  <c r="Z321" i="29"/>
  <c r="AC321" i="29"/>
  <c r="Z322" i="29" l="1"/>
  <c r="DC322" i="29"/>
  <c r="BR322" i="29"/>
  <c r="AC322" i="29"/>
  <c r="DA322" i="29"/>
  <c r="AB322" i="29"/>
  <c r="BS322" i="29"/>
  <c r="W322" i="29"/>
  <c r="DF322" i="29"/>
  <c r="DD322" i="29"/>
  <c r="CZ322" i="29"/>
  <c r="CY322" i="29"/>
  <c r="BO322" i="29"/>
  <c r="BJ322" i="29"/>
  <c r="DB322" i="29"/>
  <c r="AE322" i="29"/>
  <c r="Y322" i="29"/>
  <c r="BM322" i="29"/>
  <c r="BK322" i="29"/>
  <c r="AA322" i="29"/>
  <c r="BP322" i="29"/>
  <c r="AD322" i="29"/>
  <c r="DG322" i="29"/>
  <c r="BL322" i="29"/>
  <c r="DE322" i="29"/>
  <c r="X322" i="29"/>
  <c r="BN322" i="29"/>
  <c r="CX322" i="29"/>
  <c r="V322" i="29"/>
  <c r="BQ322" i="29"/>
  <c r="BN323" i="29" l="1"/>
  <c r="DG323" i="29"/>
  <c r="BK323" i="29"/>
  <c r="BQ323" i="29"/>
  <c r="CX323" i="29"/>
  <c r="X323" i="29"/>
  <c r="BL323" i="29"/>
  <c r="AD323" i="29"/>
  <c r="AA323" i="29"/>
  <c r="BM323" i="29"/>
  <c r="AE323" i="29"/>
  <c r="BJ323" i="29"/>
  <c r="CY323" i="29"/>
  <c r="DD323" i="29"/>
  <c r="W323" i="29"/>
  <c r="AB323" i="29"/>
  <c r="AC323" i="29"/>
  <c r="DC323" i="29"/>
  <c r="V323" i="29"/>
  <c r="DE323" i="29"/>
  <c r="BP323" i="29"/>
  <c r="Y323" i="29"/>
  <c r="DB323" i="29"/>
  <c r="BO323" i="29"/>
  <c r="CZ323" i="29"/>
  <c r="DF323" i="29"/>
  <c r="BS323" i="29"/>
  <c r="DA323" i="29"/>
  <c r="BR323" i="29"/>
  <c r="Z323" i="29"/>
  <c r="BR324" i="29" l="1"/>
  <c r="BS324" i="29"/>
  <c r="CZ324" i="29"/>
  <c r="BP324" i="29"/>
  <c r="V324" i="29"/>
  <c r="AC324" i="29"/>
  <c r="W324" i="29"/>
  <c r="CY324" i="29"/>
  <c r="AE324" i="29"/>
  <c r="AA324" i="29"/>
  <c r="BL324" i="29"/>
  <c r="CX324" i="29"/>
  <c r="BK324" i="29"/>
  <c r="BN324" i="29"/>
  <c r="Z324" i="29"/>
  <c r="DA324" i="29"/>
  <c r="DF324" i="29"/>
  <c r="BO324" i="29"/>
  <c r="Y324" i="29"/>
  <c r="DE324" i="29"/>
  <c r="DC324" i="29"/>
  <c r="AB324" i="29"/>
  <c r="DD324" i="29"/>
  <c r="BJ324" i="29"/>
  <c r="BM324" i="29"/>
  <c r="AD324" i="29"/>
  <c r="X324" i="29"/>
  <c r="BQ324" i="29"/>
  <c r="DG324" i="29"/>
  <c r="DB324" i="29"/>
  <c r="X325" i="29" l="1"/>
  <c r="DD325" i="29"/>
  <c r="Y325" i="29"/>
  <c r="DB325" i="29"/>
  <c r="BQ325" i="29"/>
  <c r="AD325" i="29"/>
  <c r="BJ325" i="29"/>
  <c r="AB325" i="29"/>
  <c r="DE325" i="29"/>
  <c r="BO325" i="29"/>
  <c r="DA325" i="29"/>
  <c r="BN325" i="29"/>
  <c r="CX325" i="29"/>
  <c r="AA325" i="29"/>
  <c r="CY325" i="29"/>
  <c r="AC325" i="29"/>
  <c r="BP325" i="29"/>
  <c r="BS325" i="29"/>
  <c r="DG325" i="29"/>
  <c r="BM325" i="29"/>
  <c r="DC325" i="29"/>
  <c r="DF325" i="29"/>
  <c r="Z325" i="29"/>
  <c r="BK325" i="29"/>
  <c r="BL325" i="29"/>
  <c r="AE325" i="29"/>
  <c r="W325" i="29"/>
  <c r="V325" i="29"/>
  <c r="CZ325" i="29"/>
  <c r="BR325" i="29"/>
  <c r="CZ326" i="29" l="1"/>
  <c r="W326" i="29"/>
  <c r="BL326" i="29"/>
  <c r="Z326" i="29"/>
  <c r="DC326" i="29"/>
  <c r="DG326" i="29"/>
  <c r="BP326" i="29"/>
  <c r="CY326" i="29"/>
  <c r="CX326" i="29"/>
  <c r="DA326" i="29"/>
  <c r="DE326" i="29"/>
  <c r="BJ326" i="29"/>
  <c r="BQ326" i="29"/>
  <c r="Y326" i="29"/>
  <c r="X326" i="29"/>
  <c r="BR326" i="29"/>
  <c r="V326" i="29"/>
  <c r="AE326" i="29"/>
  <c r="BK326" i="29"/>
  <c r="DF326" i="29"/>
  <c r="BM326" i="29"/>
  <c r="BS326" i="29"/>
  <c r="AC326" i="29"/>
  <c r="AA326" i="29"/>
  <c r="BN326" i="29"/>
  <c r="BO326" i="29"/>
  <c r="AB326" i="29"/>
  <c r="AD326" i="29"/>
  <c r="DB326" i="29"/>
  <c r="DD326" i="29"/>
  <c r="AD327" i="29" l="1"/>
  <c r="BO327" i="29"/>
  <c r="AA327" i="29"/>
  <c r="BS327" i="29"/>
  <c r="DF327" i="29"/>
  <c r="AE327" i="29"/>
  <c r="BR327" i="29"/>
  <c r="Y327" i="29"/>
  <c r="BJ327" i="29"/>
  <c r="DA327" i="29"/>
  <c r="CY327" i="29"/>
  <c r="DG327" i="29"/>
  <c r="Z327" i="29"/>
  <c r="W327" i="29"/>
  <c r="DD327" i="29"/>
  <c r="DB327" i="29"/>
  <c r="AB327" i="29"/>
  <c r="BN327" i="29"/>
  <c r="AC327" i="29"/>
  <c r="BM327" i="29"/>
  <c r="BK327" i="29"/>
  <c r="V327" i="29"/>
  <c r="X327" i="29"/>
  <c r="BQ327" i="29"/>
  <c r="DE327" i="29"/>
  <c r="CX327" i="29"/>
  <c r="BP327" i="29"/>
  <c r="DC327" i="29"/>
  <c r="BL327" i="29"/>
  <c r="CZ327" i="29"/>
  <c r="CX328" i="29" l="1"/>
  <c r="V328" i="29"/>
  <c r="BN328" i="29"/>
  <c r="W328" i="29"/>
  <c r="DA328" i="29"/>
  <c r="BO328" i="29"/>
  <c r="CZ328" i="29"/>
  <c r="DC328" i="29"/>
  <c r="BQ328" i="29"/>
  <c r="BM328" i="29"/>
  <c r="DB328" i="29"/>
  <c r="DG328" i="29"/>
  <c r="Y328" i="29"/>
  <c r="AE328" i="29"/>
  <c r="BS328" i="29"/>
  <c r="BL328" i="29"/>
  <c r="BP328" i="29"/>
  <c r="DE328" i="29"/>
  <c r="X328" i="29"/>
  <c r="BK328" i="29"/>
  <c r="AC328" i="29"/>
  <c r="AB328" i="29"/>
  <c r="DD328" i="29"/>
  <c r="Z328" i="29"/>
  <c r="CY328" i="29"/>
  <c r="BJ328" i="29"/>
  <c r="BR328" i="29"/>
  <c r="DF328" i="29"/>
  <c r="AA328" i="29"/>
  <c r="AD328" i="29"/>
  <c r="DF329" i="29" l="1"/>
  <c r="Z329" i="29"/>
  <c r="BK329" i="29"/>
  <c r="BL329" i="29"/>
  <c r="DG329" i="29"/>
  <c r="DC329" i="29"/>
  <c r="W329" i="29"/>
  <c r="V329" i="29"/>
  <c r="AD329" i="29"/>
  <c r="BJ329" i="29"/>
  <c r="AB329" i="29"/>
  <c r="DE329" i="29"/>
  <c r="AE329" i="29"/>
  <c r="BM329" i="29"/>
  <c r="BO329" i="29"/>
  <c r="AA329" i="29"/>
  <c r="BR329" i="29"/>
  <c r="CY329" i="29"/>
  <c r="DD329" i="29"/>
  <c r="AC329" i="29"/>
  <c r="X329" i="29"/>
  <c r="BP329" i="29"/>
  <c r="BS329" i="29"/>
  <c r="Y329" i="29"/>
  <c r="DB329" i="29"/>
  <c r="BQ329" i="29"/>
  <c r="CZ329" i="29"/>
  <c r="DA329" i="29"/>
  <c r="BN329" i="29"/>
  <c r="CX329" i="29"/>
  <c r="CX330" i="29" l="1"/>
  <c r="BQ330" i="29"/>
  <c r="BP330" i="29"/>
  <c r="CY330" i="29"/>
  <c r="BM330" i="29"/>
  <c r="BJ330" i="29"/>
  <c r="V330" i="29"/>
  <c r="DC330" i="29"/>
  <c r="BL330" i="29"/>
  <c r="Z330" i="29"/>
  <c r="DA330" i="29"/>
  <c r="Y330" i="29"/>
  <c r="AC330" i="29"/>
  <c r="AA330" i="29"/>
  <c r="DE330" i="29"/>
  <c r="BN330" i="29"/>
  <c r="CZ330" i="29"/>
  <c r="DB330" i="29"/>
  <c r="BS330" i="29"/>
  <c r="X330" i="29"/>
  <c r="DD330" i="29"/>
  <c r="BR330" i="29"/>
  <c r="BO330" i="29"/>
  <c r="AE330" i="29"/>
  <c r="AB330" i="29"/>
  <c r="AD330" i="29"/>
  <c r="W330" i="29"/>
  <c r="DG330" i="29"/>
  <c r="BK330" i="29"/>
  <c r="DF330" i="29"/>
  <c r="DF331" i="29" l="1"/>
  <c r="AD331" i="29"/>
  <c r="BR331" i="29"/>
  <c r="DB331" i="29"/>
  <c r="BN331" i="29"/>
  <c r="AA331" i="29"/>
  <c r="Y331" i="29"/>
  <c r="Z331" i="29"/>
  <c r="DC331" i="29"/>
  <c r="BJ331" i="29"/>
  <c r="CY331" i="29"/>
  <c r="BQ331" i="29"/>
  <c r="DG331" i="29"/>
  <c r="AE331" i="29"/>
  <c r="X331" i="29"/>
  <c r="BK331" i="29"/>
  <c r="W331" i="29"/>
  <c r="AB331" i="29"/>
  <c r="BO331" i="29"/>
  <c r="DD331" i="29"/>
  <c r="BS331" i="29"/>
  <c r="CZ331" i="29"/>
  <c r="DE331" i="29"/>
  <c r="AC331" i="29"/>
  <c r="DA331" i="29"/>
  <c r="BL331" i="29"/>
  <c r="V331" i="29"/>
  <c r="BM331" i="29"/>
  <c r="BP331" i="29"/>
  <c r="CX331" i="29"/>
  <c r="CX332" i="29" l="1"/>
  <c r="BL332" i="29"/>
  <c r="CZ332" i="29"/>
  <c r="AB332" i="29"/>
  <c r="AE332" i="29"/>
  <c r="BJ332" i="29"/>
  <c r="AA332" i="29"/>
  <c r="DB332" i="29"/>
  <c r="AD332" i="29"/>
  <c r="BM332" i="29"/>
  <c r="AC332" i="29"/>
  <c r="DD332" i="29"/>
  <c r="BK332" i="29"/>
  <c r="BQ332" i="29"/>
  <c r="Z332" i="29"/>
  <c r="BP332" i="29"/>
  <c r="V332" i="29"/>
  <c r="DA332" i="29"/>
  <c r="DE332" i="29"/>
  <c r="BS332" i="29"/>
  <c r="BO332" i="29"/>
  <c r="W332" i="29"/>
  <c r="X332" i="29"/>
  <c r="DG332" i="29"/>
  <c r="CY332" i="29"/>
  <c r="DC332" i="29"/>
  <c r="Y332" i="29"/>
  <c r="BN332" i="29"/>
  <c r="BR332" i="29"/>
  <c r="DF332" i="29"/>
  <c r="BN333" i="29" l="1"/>
  <c r="DG333" i="29"/>
  <c r="W333" i="29"/>
  <c r="BS333" i="29"/>
  <c r="DA333" i="29"/>
  <c r="BP333" i="29"/>
  <c r="BQ333" i="29"/>
  <c r="DD333" i="29"/>
  <c r="BM333" i="29"/>
  <c r="DB333" i="29"/>
  <c r="BJ333" i="29"/>
  <c r="AB333" i="29"/>
  <c r="BL333" i="29"/>
  <c r="DF333" i="29"/>
  <c r="DC333" i="29"/>
  <c r="BR333" i="29"/>
  <c r="Y333" i="29"/>
  <c r="CY333" i="29"/>
  <c r="X333" i="29"/>
  <c r="BO333" i="29"/>
  <c r="DE333" i="29"/>
  <c r="V333" i="29"/>
  <c r="Z333" i="29"/>
  <c r="BK333" i="29"/>
  <c r="AC333" i="29"/>
  <c r="AD333" i="29"/>
  <c r="AA333" i="29"/>
  <c r="AE333" i="29"/>
  <c r="CZ333" i="29"/>
  <c r="CX333" i="29"/>
  <c r="CX334" i="29" l="1"/>
  <c r="AD334" i="29"/>
  <c r="BK334" i="29"/>
  <c r="V334" i="29"/>
  <c r="BO334" i="29"/>
  <c r="CY334" i="29"/>
  <c r="BR334" i="29"/>
  <c r="DF334" i="29"/>
  <c r="AB334" i="29"/>
  <c r="DB334" i="29"/>
  <c r="DD334" i="29"/>
  <c r="BP334" i="29"/>
  <c r="BS334" i="29"/>
  <c r="DG334" i="29"/>
  <c r="AE334" i="29"/>
  <c r="CZ334" i="29"/>
  <c r="AA334" i="29"/>
  <c r="AC334" i="29"/>
  <c r="Z334" i="29"/>
  <c r="DE334" i="29"/>
  <c r="X334" i="29"/>
  <c r="Y334" i="29"/>
  <c r="DC334" i="29"/>
  <c r="BL334" i="29"/>
  <c r="BJ334" i="29"/>
  <c r="BM334" i="29"/>
  <c r="BQ334" i="29"/>
  <c r="DA334" i="29"/>
  <c r="W334" i="29"/>
  <c r="BN334" i="29"/>
  <c r="BN335" i="29" l="1"/>
  <c r="BM335" i="29"/>
  <c r="BL335" i="29"/>
  <c r="Y335" i="29"/>
  <c r="DE335" i="29"/>
  <c r="AC335" i="29"/>
  <c r="CZ335" i="29"/>
  <c r="DG335" i="29"/>
  <c r="BP335" i="29"/>
  <c r="DB335" i="29"/>
  <c r="DF335" i="29"/>
  <c r="CY335" i="29"/>
  <c r="V335" i="29"/>
  <c r="AD335" i="29"/>
  <c r="DA335" i="29"/>
  <c r="W335" i="29"/>
  <c r="BQ335" i="29"/>
  <c r="BJ335" i="29"/>
  <c r="DC335" i="29"/>
  <c r="X335" i="29"/>
  <c r="Z335" i="29"/>
  <c r="AA335" i="29"/>
  <c r="AE335" i="29"/>
  <c r="BS335" i="29"/>
  <c r="DD335" i="29"/>
  <c r="AB335" i="29"/>
  <c r="BR335" i="29"/>
  <c r="BO335" i="29"/>
  <c r="BK335" i="29"/>
  <c r="CX335" i="29"/>
  <c r="BO336" i="29" l="1"/>
  <c r="BS336" i="29"/>
  <c r="AA336" i="29"/>
  <c r="X336" i="29"/>
  <c r="BJ336" i="29"/>
  <c r="W336" i="29"/>
  <c r="AD336" i="29"/>
  <c r="CY336" i="29"/>
  <c r="DB336" i="29"/>
  <c r="DG336" i="29"/>
  <c r="AC336" i="29"/>
  <c r="Y336" i="29"/>
  <c r="BM336" i="29"/>
  <c r="CX336" i="29"/>
  <c r="AB336" i="29"/>
  <c r="BK336" i="29"/>
  <c r="BR336" i="29"/>
  <c r="DD336" i="29"/>
  <c r="AE336" i="29"/>
  <c r="Z336" i="29"/>
  <c r="DC336" i="29"/>
  <c r="BQ336" i="29"/>
  <c r="DA336" i="29"/>
  <c r="V336" i="29"/>
  <c r="DF336" i="29"/>
  <c r="BP336" i="29"/>
  <c r="CZ336" i="29"/>
  <c r="DE336" i="29"/>
  <c r="BL336" i="29"/>
  <c r="BN336" i="29"/>
  <c r="BN337" i="29" l="1"/>
  <c r="BP337" i="29"/>
  <c r="V337" i="29"/>
  <c r="BQ337" i="29"/>
  <c r="Z337" i="29"/>
  <c r="DD337" i="29"/>
  <c r="BK337" i="29"/>
  <c r="CX337" i="29"/>
  <c r="Y337" i="29"/>
  <c r="DG337" i="29"/>
  <c r="CY337" i="29"/>
  <c r="W337" i="29"/>
  <c r="X337" i="29"/>
  <c r="BS337" i="29"/>
  <c r="DE337" i="29"/>
  <c r="BL337" i="29"/>
  <c r="CZ337" i="29"/>
  <c r="DF337" i="29"/>
  <c r="DA337" i="29"/>
  <c r="DC337" i="29"/>
  <c r="AE337" i="29"/>
  <c r="BR337" i="29"/>
  <c r="AB337" i="29"/>
  <c r="BM337" i="29"/>
  <c r="AC337" i="29"/>
  <c r="DB337" i="29"/>
  <c r="AD337" i="29"/>
  <c r="BJ337" i="29"/>
  <c r="AA337" i="29"/>
  <c r="BO337" i="29"/>
  <c r="BJ338" i="29" l="1"/>
  <c r="DB338" i="29"/>
  <c r="BM338" i="29"/>
  <c r="BR338" i="29"/>
  <c r="DC338" i="29"/>
  <c r="DF338" i="29"/>
  <c r="BL338" i="29"/>
  <c r="BS338" i="29"/>
  <c r="W338" i="29"/>
  <c r="DG338" i="29"/>
  <c r="CX338" i="29"/>
  <c r="DD338" i="29"/>
  <c r="BQ338" i="29"/>
  <c r="BP338" i="29"/>
  <c r="BO338" i="29"/>
  <c r="AA338" i="29"/>
  <c r="AD338" i="29"/>
  <c r="AC338" i="29"/>
  <c r="AB338" i="29"/>
  <c r="AE338" i="29"/>
  <c r="DA338" i="29"/>
  <c r="CZ338" i="29"/>
  <c r="DE338" i="29"/>
  <c r="X338" i="29"/>
  <c r="CY338" i="29"/>
  <c r="Y338" i="29"/>
  <c r="BK338" i="29"/>
  <c r="Z338" i="29"/>
  <c r="V338" i="29"/>
  <c r="BN338" i="29"/>
  <c r="Z339" i="29" l="1"/>
  <c r="X339" i="29"/>
  <c r="CZ339" i="29"/>
  <c r="AE339" i="29"/>
  <c r="AC339" i="29"/>
  <c r="AA339" i="29"/>
  <c r="BP339" i="29"/>
  <c r="DD339" i="29"/>
  <c r="DG339" i="29"/>
  <c r="BS339" i="29"/>
  <c r="DF339" i="29"/>
  <c r="BR339" i="29"/>
  <c r="DB339" i="29"/>
  <c r="BN339" i="29"/>
  <c r="Y339" i="29"/>
  <c r="V339" i="29"/>
  <c r="BK339" i="29"/>
  <c r="CY339" i="29"/>
  <c r="DE339" i="29"/>
  <c r="DA339" i="29"/>
  <c r="AB339" i="29"/>
  <c r="AD339" i="29"/>
  <c r="BO339" i="29"/>
  <c r="BQ339" i="29"/>
  <c r="CX339" i="29"/>
  <c r="W339" i="29"/>
  <c r="BL339" i="29"/>
  <c r="DC339" i="29"/>
  <c r="BM339" i="29"/>
  <c r="BJ339" i="29"/>
  <c r="BJ340" i="29" l="1"/>
  <c r="W340" i="29"/>
  <c r="BQ340" i="29"/>
  <c r="AD340" i="29"/>
  <c r="DA340" i="29"/>
  <c r="CY340" i="29"/>
  <c r="V340" i="29"/>
  <c r="BN340" i="29"/>
  <c r="BR340" i="29"/>
  <c r="BS340" i="29"/>
  <c r="DD340" i="29"/>
  <c r="AA340" i="29"/>
  <c r="AE340" i="29"/>
  <c r="X340" i="29"/>
  <c r="DC340" i="29"/>
  <c r="BM340" i="29"/>
  <c r="BL340" i="29"/>
  <c r="CX340" i="29"/>
  <c r="BO340" i="29"/>
  <c r="AB340" i="29"/>
  <c r="DE340" i="29"/>
  <c r="BK340" i="29"/>
  <c r="Y340" i="29"/>
  <c r="DB340" i="29"/>
  <c r="DF340" i="29"/>
  <c r="DG340" i="29"/>
  <c r="BP340" i="29"/>
  <c r="AC340" i="29"/>
  <c r="CZ340" i="29"/>
  <c r="Z340" i="29"/>
  <c r="AC341" i="29" l="1"/>
  <c r="DB341" i="29"/>
  <c r="BK341" i="29"/>
  <c r="AB341" i="29"/>
  <c r="CX341" i="29"/>
  <c r="BM341" i="29"/>
  <c r="X341" i="29"/>
  <c r="AA341" i="29"/>
  <c r="BS341" i="29"/>
  <c r="BN341" i="29"/>
  <c r="CY341" i="29"/>
  <c r="AD341" i="29"/>
  <c r="W341" i="29"/>
  <c r="Z341" i="29"/>
  <c r="DG341" i="29"/>
  <c r="CZ341" i="29"/>
  <c r="BP341" i="29"/>
  <c r="DF341" i="29"/>
  <c r="Y341" i="29"/>
  <c r="DE341" i="29"/>
  <c r="BO341" i="29"/>
  <c r="BL341" i="29"/>
  <c r="DC341" i="29"/>
  <c r="AE341" i="29"/>
  <c r="DD341" i="29"/>
  <c r="BR341" i="29"/>
  <c r="V341" i="29"/>
  <c r="DA341" i="29"/>
  <c r="BQ341" i="29"/>
  <c r="BJ341" i="29"/>
  <c r="BJ342" i="29" l="1"/>
  <c r="DA342" i="29"/>
  <c r="BR342" i="29"/>
  <c r="AE342" i="29"/>
  <c r="BL342" i="29"/>
  <c r="DE342" i="29"/>
  <c r="DF342" i="29"/>
  <c r="CZ342" i="29"/>
  <c r="Z342" i="29"/>
  <c r="AD342" i="29"/>
  <c r="BN342" i="29"/>
  <c r="AA342" i="29"/>
  <c r="BM342" i="29"/>
  <c r="AB342" i="29"/>
  <c r="DB342" i="29"/>
  <c r="BQ342" i="29"/>
  <c r="V342" i="29"/>
  <c r="DD342" i="29"/>
  <c r="DC342" i="29"/>
  <c r="BO342" i="29"/>
  <c r="Y342" i="29"/>
  <c r="BP342" i="29"/>
  <c r="DG342" i="29"/>
  <c r="W342" i="29"/>
  <c r="CY342" i="29"/>
  <c r="BS342" i="29"/>
  <c r="X342" i="29"/>
  <c r="CX342" i="29"/>
  <c r="BK342" i="29"/>
  <c r="AC342" i="29"/>
  <c r="AC343" i="29" l="1"/>
  <c r="BS343" i="29"/>
  <c r="BP343" i="29"/>
  <c r="BO343" i="29"/>
  <c r="DD343" i="29"/>
  <c r="BQ343" i="29"/>
  <c r="AB343" i="29"/>
  <c r="AA343" i="29"/>
  <c r="AD343" i="29"/>
  <c r="CZ343" i="29"/>
  <c r="DE343" i="29"/>
  <c r="AE343" i="29"/>
  <c r="DA343" i="29"/>
  <c r="CX343" i="29"/>
  <c r="W343" i="29"/>
  <c r="BK343" i="29"/>
  <c r="X343" i="29"/>
  <c r="CY343" i="29"/>
  <c r="DG343" i="29"/>
  <c r="Y343" i="29"/>
  <c r="DC343" i="29"/>
  <c r="V343" i="29"/>
  <c r="DB343" i="29"/>
  <c r="BM343" i="29"/>
  <c r="BN343" i="29"/>
  <c r="Z343" i="29"/>
  <c r="DF343" i="29"/>
  <c r="BL343" i="29"/>
  <c r="BR343" i="29"/>
  <c r="BJ343" i="29"/>
  <c r="BL344" i="29" l="1"/>
  <c r="BM344" i="29"/>
  <c r="V344" i="29"/>
  <c r="Y344" i="29"/>
  <c r="CY344" i="29"/>
  <c r="BK344" i="29"/>
  <c r="CX344" i="29"/>
  <c r="AE344" i="29"/>
  <c r="CZ344" i="29"/>
  <c r="AA344" i="29"/>
  <c r="BQ344" i="29"/>
  <c r="BO344" i="29"/>
  <c r="BS344" i="29"/>
  <c r="BJ344" i="29"/>
  <c r="Z344" i="29"/>
  <c r="BR344" i="29"/>
  <c r="DF344" i="29"/>
  <c r="BN344" i="29"/>
  <c r="DB344" i="29"/>
  <c r="DC344" i="29"/>
  <c r="DG344" i="29"/>
  <c r="X344" i="29"/>
  <c r="W344" i="29"/>
  <c r="DA344" i="29"/>
  <c r="DE344" i="29"/>
  <c r="AD344" i="29"/>
  <c r="AB344" i="29"/>
  <c r="DD344" i="29"/>
  <c r="BP344" i="29"/>
  <c r="AC344" i="29"/>
  <c r="DD345" i="29" l="1"/>
  <c r="DA345" i="29"/>
  <c r="X345" i="29"/>
  <c r="DC345" i="29"/>
  <c r="BN345" i="29"/>
  <c r="BR345" i="29"/>
  <c r="BJ345" i="29"/>
  <c r="BO345" i="29"/>
  <c r="AA345" i="29"/>
  <c r="AE345" i="29"/>
  <c r="BK345" i="29"/>
  <c r="Y345" i="29"/>
  <c r="BM345" i="29"/>
  <c r="AC345" i="29"/>
  <c r="AD345" i="29"/>
  <c r="BP345" i="29"/>
  <c r="AB345" i="29"/>
  <c r="DE345" i="29"/>
  <c r="W345" i="29"/>
  <c r="DG345" i="29"/>
  <c r="DB345" i="29"/>
  <c r="DF345" i="29"/>
  <c r="Z345" i="29"/>
  <c r="BS345" i="29"/>
  <c r="BQ345" i="29"/>
  <c r="CZ345" i="29"/>
  <c r="CX345" i="29"/>
  <c r="CY345" i="29"/>
  <c r="V345" i="29"/>
  <c r="BL345" i="29"/>
  <c r="BL346" i="29" l="1"/>
  <c r="CZ346" i="29"/>
  <c r="BS346" i="29"/>
  <c r="DF346" i="29"/>
  <c r="DG346" i="29"/>
  <c r="DE346" i="29"/>
  <c r="BP346" i="29"/>
  <c r="AC346" i="29"/>
  <c r="Y346" i="29"/>
  <c r="AE346" i="29"/>
  <c r="BO346" i="29"/>
  <c r="BR346" i="29"/>
  <c r="DC346" i="29"/>
  <c r="DA346" i="29"/>
  <c r="CY346" i="29"/>
  <c r="V346" i="29"/>
  <c r="CX346" i="29"/>
  <c r="BQ346" i="29"/>
  <c r="Z346" i="29"/>
  <c r="DB346" i="29"/>
  <c r="W346" i="29"/>
  <c r="AB346" i="29"/>
  <c r="AD346" i="29"/>
  <c r="BM346" i="29"/>
  <c r="BK346" i="29"/>
  <c r="AA346" i="29"/>
  <c r="BJ346" i="29"/>
  <c r="BN346" i="29"/>
  <c r="X346" i="29"/>
  <c r="DD346" i="29"/>
  <c r="DD347" i="29" l="1"/>
  <c r="AA347" i="29"/>
  <c r="AB347" i="29"/>
  <c r="BQ347" i="29"/>
  <c r="V347" i="29"/>
  <c r="DA347" i="29"/>
  <c r="BR347" i="29"/>
  <c r="AE347" i="29"/>
  <c r="AC347" i="29"/>
  <c r="DE347" i="29"/>
  <c r="DF347" i="29"/>
  <c r="CZ347" i="29"/>
  <c r="BN347" i="29"/>
  <c r="BM347" i="29"/>
  <c r="DB347" i="29"/>
  <c r="X347" i="29"/>
  <c r="BJ347" i="29"/>
  <c r="BK347" i="29"/>
  <c r="AD347" i="29"/>
  <c r="W347" i="29"/>
  <c r="Z347" i="29"/>
  <c r="CX347" i="29"/>
  <c r="CY347" i="29"/>
  <c r="DC347" i="29"/>
  <c r="BO347" i="29"/>
  <c r="Y347" i="29"/>
  <c r="BP347" i="29"/>
  <c r="DG347" i="29"/>
  <c r="BS347" i="29"/>
  <c r="BL347" i="29"/>
  <c r="DG348" i="29" l="1"/>
  <c r="DC348" i="29"/>
  <c r="W348" i="29"/>
  <c r="X348" i="29"/>
  <c r="CZ348" i="29"/>
  <c r="DE348" i="29"/>
  <c r="AE348" i="29"/>
  <c r="DA348" i="29"/>
  <c r="BQ348" i="29"/>
  <c r="AA348" i="29"/>
  <c r="BL348" i="29"/>
  <c r="Y348" i="29"/>
  <c r="CX348" i="29"/>
  <c r="BK348" i="29"/>
  <c r="BM348" i="29"/>
  <c r="BS348" i="29"/>
  <c r="BP348" i="29"/>
  <c r="BO348" i="29"/>
  <c r="CY348" i="29"/>
  <c r="Z348" i="29"/>
  <c r="AD348" i="29"/>
  <c r="BJ348" i="29"/>
  <c r="DB348" i="29"/>
  <c r="BN348" i="29"/>
  <c r="DF348" i="29"/>
  <c r="AC348" i="29"/>
  <c r="BR348" i="29"/>
  <c r="V348" i="29"/>
  <c r="AB348" i="29"/>
  <c r="DD348" i="29"/>
  <c r="DD349" i="29" l="1"/>
  <c r="AC349" i="29"/>
  <c r="BJ349" i="29"/>
  <c r="Z349" i="29"/>
  <c r="BO349" i="29"/>
  <c r="BS349" i="29"/>
  <c r="BK349" i="29"/>
  <c r="Y349" i="29"/>
  <c r="AA349" i="29"/>
  <c r="DA349" i="29"/>
  <c r="DE349" i="29"/>
  <c r="X349" i="29"/>
  <c r="DC349" i="29"/>
  <c r="V349" i="29"/>
  <c r="BN349" i="29"/>
  <c r="AB349" i="29"/>
  <c r="BR349" i="29"/>
  <c r="DF349" i="29"/>
  <c r="DB349" i="29"/>
  <c r="AD349" i="29"/>
  <c r="CY349" i="29"/>
  <c r="BP349" i="29"/>
  <c r="BM349" i="29"/>
  <c r="CX349" i="29"/>
  <c r="BL349" i="29"/>
  <c r="BQ349" i="29"/>
  <c r="AE349" i="29"/>
  <c r="CZ349" i="29"/>
  <c r="W349" i="29"/>
  <c r="DG349" i="29"/>
  <c r="DG350" i="29" l="1"/>
  <c r="BQ350" i="29"/>
  <c r="BP350" i="29"/>
  <c r="DF350" i="29"/>
  <c r="AB350" i="29"/>
  <c r="V350" i="29"/>
  <c r="X350" i="29"/>
  <c r="DA350" i="29"/>
  <c r="Y350" i="29"/>
  <c r="BS350" i="29"/>
  <c r="Z350" i="29"/>
  <c r="AC350" i="29"/>
  <c r="CZ350" i="29"/>
  <c r="CX350" i="29"/>
  <c r="AD350" i="29"/>
  <c r="W350" i="29"/>
  <c r="AE350" i="29"/>
  <c r="BL350" i="29"/>
  <c r="BM350" i="29"/>
  <c r="CY350" i="29"/>
  <c r="DB350" i="29"/>
  <c r="BR350" i="29"/>
  <c r="BN350" i="29"/>
  <c r="DC350" i="29"/>
  <c r="DE350" i="29"/>
  <c r="AA350" i="29"/>
  <c r="BK350" i="29"/>
  <c r="BO350" i="29"/>
  <c r="BJ350" i="29"/>
  <c r="DD350" i="29"/>
  <c r="AA351" i="29" l="1"/>
  <c r="BR351" i="29"/>
  <c r="BL351" i="29"/>
  <c r="CX351" i="29"/>
  <c r="BS351" i="29"/>
  <c r="BQ351" i="29"/>
  <c r="DD351" i="29"/>
  <c r="BO351" i="29"/>
  <c r="DC351" i="29"/>
  <c r="CY351" i="29"/>
  <c r="W351" i="29"/>
  <c r="AC351" i="29"/>
  <c r="DA351" i="29"/>
  <c r="V351" i="29"/>
  <c r="DF351" i="29"/>
  <c r="BJ351" i="29"/>
  <c r="BK351" i="29"/>
  <c r="DE351" i="29"/>
  <c r="BN351" i="29"/>
  <c r="DB351" i="29"/>
  <c r="BM351" i="29"/>
  <c r="AE351" i="29"/>
  <c r="AD351" i="29"/>
  <c r="CZ351" i="29"/>
  <c r="Z351" i="29"/>
  <c r="Y351" i="29"/>
  <c r="X351" i="29"/>
  <c r="AB351" i="29"/>
  <c r="BP351" i="29"/>
  <c r="DG351" i="29"/>
  <c r="AB352" i="29" l="1"/>
  <c r="CZ352" i="29"/>
  <c r="DB352" i="29"/>
  <c r="BJ352" i="29"/>
  <c r="AC352" i="29"/>
  <c r="BO352" i="29"/>
  <c r="CX352" i="29"/>
  <c r="BR352" i="29"/>
  <c r="DG352" i="29"/>
  <c r="Y352" i="29"/>
  <c r="AE352" i="29"/>
  <c r="DE352" i="29"/>
  <c r="V352" i="29"/>
  <c r="CY352" i="29"/>
  <c r="BQ352" i="29"/>
  <c r="BP352" i="29"/>
  <c r="X352" i="29"/>
  <c r="Z352" i="29"/>
  <c r="AD352" i="29"/>
  <c r="BM352" i="29"/>
  <c r="BN352" i="29"/>
  <c r="BK352" i="29"/>
  <c r="DF352" i="29"/>
  <c r="DA352" i="29"/>
  <c r="W352" i="29"/>
  <c r="DC352" i="29"/>
  <c r="DD352" i="29"/>
  <c r="BS352" i="29"/>
  <c r="BL352" i="29"/>
  <c r="AA352" i="29"/>
  <c r="AA353" i="29" l="1"/>
  <c r="DA353" i="29"/>
  <c r="BK353" i="29"/>
  <c r="BM353" i="29"/>
  <c r="Z353" i="29"/>
  <c r="BP353" i="29"/>
  <c r="CY353" i="29"/>
  <c r="DE353" i="29"/>
  <c r="Y353" i="29"/>
  <c r="BR353" i="29"/>
  <c r="BO353" i="29"/>
  <c r="BJ353" i="29"/>
  <c r="CZ353" i="29"/>
  <c r="BS353" i="29"/>
  <c r="DC353" i="29"/>
  <c r="BL353" i="29"/>
  <c r="DD353" i="29"/>
  <c r="W353" i="29"/>
  <c r="DF353" i="29"/>
  <c r="BN353" i="29"/>
  <c r="AD353" i="29"/>
  <c r="X353" i="29"/>
  <c r="BQ353" i="29"/>
  <c r="V353" i="29"/>
  <c r="AE353" i="29"/>
  <c r="DG353" i="29"/>
  <c r="CX353" i="29"/>
  <c r="AC353" i="29"/>
  <c r="DB353" i="29"/>
  <c r="AB353" i="29"/>
  <c r="AC354" i="29" l="1"/>
  <c r="V354" i="29"/>
  <c r="BN354" i="29"/>
  <c r="BL354" i="29"/>
  <c r="BS354" i="29"/>
  <c r="BJ354" i="29"/>
  <c r="BR354" i="29"/>
  <c r="DE354" i="29"/>
  <c r="BP354" i="29"/>
  <c r="BM354" i="29"/>
  <c r="DA354" i="29"/>
  <c r="AB354" i="29"/>
  <c r="DG354" i="29"/>
  <c r="X354" i="29"/>
  <c r="W354" i="29"/>
  <c r="DB354" i="29"/>
  <c r="CX354" i="29"/>
  <c r="AE354" i="29"/>
  <c r="BQ354" i="29"/>
  <c r="AD354" i="29"/>
  <c r="DF354" i="29"/>
  <c r="DD354" i="29"/>
  <c r="DC354" i="29"/>
  <c r="CZ354" i="29"/>
  <c r="BO354" i="29"/>
  <c r="Y354" i="29"/>
  <c r="CY354" i="29"/>
  <c r="Z354" i="29"/>
  <c r="BK354" i="29"/>
  <c r="AA354" i="29"/>
  <c r="AA355" i="29" l="1"/>
  <c r="Y355" i="29"/>
  <c r="CZ355" i="29"/>
  <c r="DD355" i="29"/>
  <c r="AD355" i="29"/>
  <c r="AE355" i="29"/>
  <c r="DB355" i="29"/>
  <c r="X355" i="29"/>
  <c r="AB355" i="29"/>
  <c r="BM355" i="29"/>
  <c r="DE355" i="29"/>
  <c r="BJ355" i="29"/>
  <c r="BL355" i="29"/>
  <c r="V355" i="29"/>
  <c r="Z355" i="29"/>
  <c r="BK355" i="29"/>
  <c r="CY355" i="29"/>
  <c r="BO355" i="29"/>
  <c r="DC355" i="29"/>
  <c r="DF355" i="29"/>
  <c r="BQ355" i="29"/>
  <c r="CX355" i="29"/>
  <c r="W355" i="29"/>
  <c r="DG355" i="29"/>
  <c r="DA355" i="29"/>
  <c r="BP355" i="29"/>
  <c r="BR355" i="29"/>
  <c r="BS355" i="29"/>
  <c r="BN355" i="29"/>
  <c r="AC355" i="29"/>
  <c r="AC356" i="29" l="1"/>
  <c r="BP356" i="29"/>
  <c r="CX356" i="29"/>
  <c r="DF356" i="29"/>
  <c r="BO356" i="29"/>
  <c r="BK356" i="29"/>
  <c r="V356" i="29"/>
  <c r="BJ356" i="29"/>
  <c r="BM356" i="29"/>
  <c r="X356" i="29"/>
  <c r="AE356" i="29"/>
  <c r="DD356" i="29"/>
  <c r="Y356" i="29"/>
  <c r="BS356" i="29"/>
  <c r="DG356" i="29"/>
  <c r="BN356" i="29"/>
  <c r="BR356" i="29"/>
  <c r="DA356" i="29"/>
  <c r="W356" i="29"/>
  <c r="BQ356" i="29"/>
  <c r="DC356" i="29"/>
  <c r="CY356" i="29"/>
  <c r="Z356" i="29"/>
  <c r="BL356" i="29"/>
  <c r="DE356" i="29"/>
  <c r="AB356" i="29"/>
  <c r="DB356" i="29"/>
  <c r="AD356" i="29"/>
  <c r="CZ356" i="29"/>
  <c r="AA356" i="29"/>
  <c r="AD357" i="29" l="1"/>
  <c r="BL357" i="29"/>
  <c r="CY357" i="29"/>
  <c r="BQ357" i="29"/>
  <c r="DA357" i="29"/>
  <c r="BN357" i="29"/>
  <c r="BS357" i="29"/>
  <c r="DD357" i="29"/>
  <c r="X357" i="29"/>
  <c r="BJ357" i="29"/>
  <c r="BK357" i="29"/>
  <c r="DF357" i="29"/>
  <c r="BP357" i="29"/>
  <c r="AA357" i="29"/>
  <c r="AB357" i="29"/>
  <c r="CZ357" i="29"/>
  <c r="DB357" i="29"/>
  <c r="DE357" i="29"/>
  <c r="Z357" i="29"/>
  <c r="DC357" i="29"/>
  <c r="W357" i="29"/>
  <c r="BR357" i="29"/>
  <c r="DG357" i="29"/>
  <c r="Y357" i="29"/>
  <c r="AE357" i="29"/>
  <c r="BM357" i="29"/>
  <c r="V357" i="29"/>
  <c r="BO357" i="29"/>
  <c r="CX357" i="29"/>
  <c r="AC357" i="29"/>
  <c r="AC358" i="29" l="1"/>
  <c r="Y358" i="29"/>
  <c r="BR358" i="29"/>
  <c r="DC358" i="29"/>
  <c r="DE358" i="29"/>
  <c r="CZ358" i="29"/>
  <c r="AA358" i="29"/>
  <c r="DF358" i="29"/>
  <c r="BJ358" i="29"/>
  <c r="DD358" i="29"/>
  <c r="BN358" i="29"/>
  <c r="BQ358" i="29"/>
  <c r="BL358" i="29"/>
  <c r="BO358" i="29"/>
  <c r="BM358" i="29"/>
  <c r="CX358" i="29"/>
  <c r="V358" i="29"/>
  <c r="AE358" i="29"/>
  <c r="DG358" i="29"/>
  <c r="W358" i="29"/>
  <c r="Z358" i="29"/>
  <c r="DB358" i="29"/>
  <c r="AB358" i="29"/>
  <c r="BP358" i="29"/>
  <c r="BK358" i="29"/>
  <c r="X358" i="29"/>
  <c r="BS358" i="29"/>
  <c r="DA358" i="29"/>
  <c r="CY358" i="29"/>
  <c r="AD358" i="29"/>
  <c r="DA359" i="29" l="1"/>
  <c r="BP359" i="29"/>
  <c r="W359" i="29"/>
  <c r="CX359" i="29"/>
  <c r="DD359" i="29"/>
  <c r="Y359" i="29"/>
  <c r="AD359" i="29"/>
  <c r="X359" i="29"/>
  <c r="DB359" i="29"/>
  <c r="AE359" i="29"/>
  <c r="BO359" i="29"/>
  <c r="BQ359" i="29"/>
  <c r="DF359" i="29"/>
  <c r="CZ359" i="29"/>
  <c r="DC359" i="29"/>
  <c r="CY359" i="29"/>
  <c r="BS359" i="29"/>
  <c r="BK359" i="29"/>
  <c r="AB359" i="29"/>
  <c r="Z359" i="29"/>
  <c r="DG359" i="29"/>
  <c r="V359" i="29"/>
  <c r="BM359" i="29"/>
  <c r="BL359" i="29"/>
  <c r="BN359" i="29"/>
  <c r="BJ359" i="29"/>
  <c r="AA359" i="29"/>
  <c r="DE359" i="29"/>
  <c r="BR359" i="29"/>
  <c r="AC359" i="29"/>
  <c r="DE360" i="29" l="1"/>
  <c r="BL360" i="29"/>
  <c r="V360" i="29"/>
  <c r="Z360" i="29"/>
  <c r="BK360" i="29"/>
  <c r="CY360" i="29"/>
  <c r="CZ360" i="29"/>
  <c r="BQ360" i="29"/>
  <c r="AE360" i="29"/>
  <c r="X360" i="29"/>
  <c r="Y360" i="29"/>
  <c r="CX360" i="29"/>
  <c r="BP360" i="29"/>
  <c r="AC360" i="29"/>
  <c r="BJ360" i="29"/>
  <c r="BR360" i="29"/>
  <c r="AA360" i="29"/>
  <c r="BN360" i="29"/>
  <c r="BM360" i="29"/>
  <c r="DG360" i="29"/>
  <c r="AB360" i="29"/>
  <c r="BS360" i="29"/>
  <c r="DC360" i="29"/>
  <c r="DF360" i="29"/>
  <c r="BO360" i="29"/>
  <c r="DB360" i="29"/>
  <c r="AD360" i="29"/>
  <c r="DD360" i="29"/>
  <c r="W360" i="29"/>
  <c r="DA360" i="29"/>
  <c r="DD361" i="29" l="1"/>
  <c r="BS361" i="29"/>
  <c r="BN361" i="29"/>
  <c r="AC361" i="29"/>
  <c r="X361" i="29"/>
  <c r="CY361" i="29"/>
  <c r="Z361" i="29"/>
  <c r="BL361" i="29"/>
  <c r="DA361" i="29"/>
  <c r="DB361" i="29"/>
  <c r="DF361" i="29"/>
  <c r="DG361" i="29"/>
  <c r="BR361" i="29"/>
  <c r="CX361" i="29"/>
  <c r="BQ361" i="29"/>
  <c r="W361" i="29"/>
  <c r="AD361" i="29"/>
  <c r="BO361" i="29"/>
  <c r="DC361" i="29"/>
  <c r="AB361" i="29"/>
  <c r="BM361" i="29"/>
  <c r="AA361" i="29"/>
  <c r="BJ361" i="29"/>
  <c r="BP361" i="29"/>
  <c r="Y361" i="29"/>
  <c r="AE361" i="29"/>
  <c r="CZ361" i="29"/>
  <c r="BK361" i="29"/>
  <c r="V361" i="29"/>
  <c r="DE361" i="29"/>
  <c r="DE362" i="29" l="1"/>
  <c r="AE362" i="29"/>
  <c r="AA362" i="29"/>
  <c r="BO362" i="29"/>
  <c r="CX362" i="29"/>
  <c r="DG362" i="29"/>
  <c r="DB362" i="29"/>
  <c r="BL362" i="29"/>
  <c r="CY362" i="29"/>
  <c r="AC362" i="29"/>
  <c r="BS362" i="29"/>
  <c r="BK362" i="29"/>
  <c r="BP362" i="29"/>
  <c r="AB362" i="29"/>
  <c r="W362" i="29"/>
  <c r="V362" i="29"/>
  <c r="CZ362" i="29"/>
  <c r="Y362" i="29"/>
  <c r="BJ362" i="29"/>
  <c r="BM362" i="29"/>
  <c r="DC362" i="29"/>
  <c r="AD362" i="29"/>
  <c r="BQ362" i="29"/>
  <c r="BR362" i="29"/>
  <c r="DF362" i="29"/>
  <c r="DA362" i="29"/>
  <c r="Z362" i="29"/>
  <c r="X362" i="29"/>
  <c r="BN362" i="29"/>
  <c r="DD362" i="29"/>
  <c r="DD363" i="29" l="1"/>
  <c r="BR363" i="29"/>
  <c r="AD363" i="29"/>
  <c r="BM363" i="29"/>
  <c r="Y363" i="29"/>
  <c r="V363" i="29"/>
  <c r="AB363" i="29"/>
  <c r="BK363" i="29"/>
  <c r="AC363" i="29"/>
  <c r="BL363" i="29"/>
  <c r="DG363" i="29"/>
  <c r="BO363" i="29"/>
  <c r="AE363" i="29"/>
  <c r="X363" i="29"/>
  <c r="DA363" i="29"/>
  <c r="BN363" i="29"/>
  <c r="Z363" i="29"/>
  <c r="DF363" i="29"/>
  <c r="BQ363" i="29"/>
  <c r="DC363" i="29"/>
  <c r="BJ363" i="29"/>
  <c r="CZ363" i="29"/>
  <c r="W363" i="29"/>
  <c r="BP363" i="29"/>
  <c r="BS363" i="29"/>
  <c r="CY363" i="29"/>
  <c r="DB363" i="29"/>
  <c r="CX363" i="29"/>
  <c r="AA363" i="29"/>
  <c r="DE363" i="29"/>
  <c r="CX364" i="29" l="1"/>
  <c r="CY364" i="29"/>
  <c r="BP364" i="29"/>
  <c r="CZ364" i="29"/>
  <c r="DC364" i="29"/>
  <c r="DF364" i="29"/>
  <c r="BN364" i="29"/>
  <c r="X364" i="29"/>
  <c r="BO364" i="29"/>
  <c r="BL364" i="29"/>
  <c r="BK364" i="29"/>
  <c r="V364" i="29"/>
  <c r="BM364" i="29"/>
  <c r="BR364" i="29"/>
  <c r="DE364" i="29"/>
  <c r="AA364" i="29"/>
  <c r="DB364" i="29"/>
  <c r="BS364" i="29"/>
  <c r="W364" i="29"/>
  <c r="BJ364" i="29"/>
  <c r="BQ364" i="29"/>
  <c r="Z364" i="29"/>
  <c r="DA364" i="29"/>
  <c r="AE364" i="29"/>
  <c r="DG364" i="29"/>
  <c r="AC364" i="29"/>
  <c r="AB364" i="29"/>
  <c r="Y364" i="29"/>
  <c r="AD364" i="29"/>
  <c r="DD364" i="29"/>
  <c r="DD365" i="29" l="1"/>
  <c r="AC365" i="29"/>
  <c r="AE365" i="29"/>
  <c r="Z365" i="29"/>
  <c r="BJ365" i="29"/>
  <c r="BS365" i="29"/>
  <c r="AA365" i="29"/>
  <c r="BR365" i="29"/>
  <c r="V365" i="29"/>
  <c r="BL365" i="29"/>
  <c r="X365" i="29"/>
  <c r="DF365" i="29"/>
  <c r="CZ365" i="29"/>
  <c r="CY365" i="29"/>
  <c r="Y365" i="29"/>
  <c r="AD365" i="29"/>
  <c r="AB365" i="29"/>
  <c r="DG365" i="29"/>
  <c r="DA365" i="29"/>
  <c r="BQ365" i="29"/>
  <c r="W365" i="29"/>
  <c r="DB365" i="29"/>
  <c r="DE365" i="29"/>
  <c r="BM365" i="29"/>
  <c r="BK365" i="29"/>
  <c r="BO365" i="29"/>
  <c r="BN365" i="29"/>
  <c r="DC365" i="29"/>
  <c r="BP365" i="29"/>
  <c r="CX365" i="29"/>
  <c r="DC366" i="29" l="1"/>
  <c r="BM366" i="29"/>
  <c r="DB366" i="29"/>
  <c r="BQ366" i="29"/>
  <c r="DG366" i="29"/>
  <c r="AD366" i="29"/>
  <c r="CY366" i="29"/>
  <c r="DF366" i="29"/>
  <c r="BL366" i="29"/>
  <c r="BR366" i="29"/>
  <c r="BS366" i="29"/>
  <c r="Z366" i="29"/>
  <c r="AC366" i="29"/>
  <c r="CX366" i="29"/>
  <c r="BO366" i="29"/>
  <c r="BP366" i="29"/>
  <c r="BN366" i="29"/>
  <c r="BK366" i="29"/>
  <c r="DE366" i="29"/>
  <c r="W366" i="29"/>
  <c r="DA366" i="29"/>
  <c r="AB366" i="29"/>
  <c r="Y366" i="29"/>
  <c r="CZ366" i="29"/>
  <c r="X366" i="29"/>
  <c r="V366" i="29"/>
  <c r="AA366" i="29"/>
  <c r="BJ366" i="29"/>
  <c r="AE366" i="29"/>
  <c r="DD366" i="29"/>
  <c r="DD367" i="29" l="1"/>
  <c r="CZ367" i="29"/>
  <c r="W367" i="29"/>
  <c r="BP367" i="29"/>
  <c r="Z367" i="29"/>
  <c r="BQ367" i="29"/>
  <c r="BJ367" i="29"/>
  <c r="V367" i="29"/>
  <c r="AB367" i="29"/>
  <c r="BK367" i="29"/>
  <c r="CX367" i="29"/>
  <c r="BR367" i="29"/>
  <c r="DF367" i="29"/>
  <c r="AD367" i="29"/>
  <c r="BM367" i="29"/>
  <c r="AE367" i="29"/>
  <c r="AA367" i="29"/>
  <c r="X367" i="29"/>
  <c r="Y367" i="29"/>
  <c r="DA367" i="29"/>
  <c r="DE367" i="29"/>
  <c r="BN367" i="29"/>
  <c r="BO367" i="29"/>
  <c r="AC367" i="29"/>
  <c r="BS367" i="29"/>
  <c r="BL367" i="29"/>
  <c r="CY367" i="29"/>
  <c r="DG367" i="29"/>
  <c r="DB367" i="29"/>
  <c r="DC367" i="29"/>
  <c r="DC368" i="29" l="1"/>
  <c r="BL368" i="29"/>
  <c r="AC368" i="29"/>
  <c r="BN368" i="29"/>
  <c r="DA368" i="29"/>
  <c r="X368" i="29"/>
  <c r="AE368" i="29"/>
  <c r="AD368" i="29"/>
  <c r="BR368" i="29"/>
  <c r="BK368" i="29"/>
  <c r="V368" i="29"/>
  <c r="BQ368" i="29"/>
  <c r="BP368" i="29"/>
  <c r="CZ368" i="29"/>
  <c r="DG368" i="29"/>
  <c r="DB368" i="29"/>
  <c r="CY368" i="29"/>
  <c r="BS368" i="29"/>
  <c r="BO368" i="29"/>
  <c r="DE368" i="29"/>
  <c r="Y368" i="29"/>
  <c r="AA368" i="29"/>
  <c r="BM368" i="29"/>
  <c r="DF368" i="29"/>
  <c r="CX368" i="29"/>
  <c r="AB368" i="29"/>
  <c r="BJ368" i="29"/>
  <c r="Z368" i="29"/>
  <c r="W368" i="29"/>
  <c r="DD368" i="29"/>
  <c r="E360" i="29" l="1"/>
  <c r="F348" i="29"/>
  <c r="G338" i="29"/>
  <c r="E328" i="29"/>
  <c r="E327" i="29"/>
  <c r="F316" i="29"/>
  <c r="G306" i="29"/>
  <c r="E296" i="29"/>
  <c r="E295" i="29"/>
  <c r="F284" i="29"/>
  <c r="G274" i="29"/>
  <c r="E264" i="29"/>
  <c r="G254" i="29"/>
  <c r="F254" i="29"/>
  <c r="G250" i="29"/>
  <c r="F250" i="29"/>
  <c r="G246" i="29"/>
  <c r="E243" i="29"/>
  <c r="E240" i="29"/>
  <c r="F236" i="29"/>
  <c r="E236" i="29"/>
  <c r="F232" i="29"/>
  <c r="F222" i="29"/>
  <c r="G221" i="29"/>
  <c r="G218" i="29"/>
  <c r="F218" i="29"/>
  <c r="G214" i="29"/>
  <c r="E211" i="29"/>
  <c r="E208" i="29"/>
  <c r="F204" i="29"/>
  <c r="E204" i="29"/>
  <c r="F200" i="29"/>
  <c r="G194" i="29"/>
  <c r="F192" i="29"/>
  <c r="E192" i="29"/>
  <c r="G186" i="29"/>
  <c r="F184" i="29"/>
  <c r="E184" i="29"/>
  <c r="G178" i="29"/>
  <c r="F176" i="29"/>
  <c r="E176" i="29"/>
  <c r="G170" i="29"/>
  <c r="F168" i="29"/>
  <c r="E168" i="29"/>
  <c r="G162" i="29"/>
  <c r="F160" i="29"/>
  <c r="E160" i="29"/>
  <c r="F158" i="29"/>
  <c r="F156" i="29"/>
  <c r="E156" i="29"/>
  <c r="G154" i="29"/>
  <c r="G153" i="29"/>
  <c r="F152" i="29"/>
  <c r="E152" i="29"/>
  <c r="E151" i="29"/>
  <c r="G150" i="29"/>
  <c r="F148" i="29"/>
  <c r="E148" i="29"/>
  <c r="G146" i="29"/>
  <c r="G145" i="29"/>
  <c r="F144" i="29"/>
  <c r="E144" i="29"/>
  <c r="E143" i="29"/>
  <c r="G142" i="29"/>
  <c r="F140" i="29"/>
  <c r="E140" i="29"/>
  <c r="G138" i="29"/>
  <c r="G137" i="29"/>
  <c r="F136" i="29"/>
  <c r="E136" i="29"/>
  <c r="E135" i="29"/>
  <c r="G134" i="29"/>
  <c r="F132" i="29"/>
  <c r="E132" i="29"/>
  <c r="G130" i="29"/>
  <c r="G129" i="29"/>
  <c r="F128" i="29"/>
  <c r="E128" i="29"/>
  <c r="E127" i="29"/>
  <c r="G126" i="29"/>
  <c r="F124" i="29"/>
  <c r="E124" i="29"/>
  <c r="G122" i="29"/>
  <c r="G121" i="29"/>
  <c r="F120" i="29"/>
  <c r="E120" i="29"/>
  <c r="E119" i="29"/>
  <c r="G118" i="29"/>
  <c r="F116" i="29"/>
  <c r="E116" i="29"/>
  <c r="G114" i="29"/>
  <c r="G113" i="29"/>
  <c r="F112" i="29"/>
  <c r="E112" i="29"/>
  <c r="E111" i="29"/>
  <c r="G110" i="29"/>
  <c r="F108" i="29"/>
  <c r="E108" i="29"/>
  <c r="G106" i="29"/>
  <c r="G105" i="29"/>
  <c r="F104" i="29"/>
  <c r="E104" i="29"/>
  <c r="E103" i="29"/>
  <c r="G102" i="29"/>
  <c r="F100" i="29"/>
  <c r="E100" i="29"/>
  <c r="G98" i="29"/>
  <c r="G97" i="29"/>
  <c r="F96" i="29"/>
  <c r="E96" i="29"/>
  <c r="E95" i="29"/>
  <c r="G94" i="29"/>
  <c r="F92" i="29"/>
  <c r="E92" i="29"/>
  <c r="G90" i="29"/>
  <c r="G89" i="29"/>
  <c r="F88" i="29"/>
  <c r="E88" i="29"/>
  <c r="E87" i="29"/>
  <c r="G86" i="29"/>
  <c r="F84" i="29"/>
  <c r="E84" i="29"/>
  <c r="G82" i="29"/>
  <c r="G81" i="29"/>
  <c r="F80" i="29"/>
  <c r="E80" i="29"/>
  <c r="E79" i="29"/>
  <c r="G78" i="29"/>
  <c r="F76" i="29"/>
  <c r="E76" i="29"/>
  <c r="G74" i="29"/>
  <c r="G73" i="29"/>
  <c r="F72" i="29"/>
  <c r="E72" i="29"/>
  <c r="E71" i="29"/>
  <c r="G70" i="29"/>
  <c r="F68" i="29"/>
  <c r="E68" i="29"/>
  <c r="G66" i="29"/>
  <c r="G65" i="29"/>
  <c r="F64" i="29"/>
  <c r="E64" i="29"/>
  <c r="E63" i="29"/>
  <c r="G62" i="29"/>
  <c r="F60" i="29"/>
  <c r="E60" i="29"/>
  <c r="G58" i="29"/>
  <c r="G57" i="29"/>
  <c r="F56" i="29"/>
  <c r="E56" i="29"/>
  <c r="E55" i="29"/>
  <c r="G54" i="29"/>
  <c r="F52" i="29"/>
  <c r="E52" i="29"/>
  <c r="G50" i="29"/>
  <c r="G49" i="29"/>
  <c r="F48" i="29"/>
  <c r="E48" i="29"/>
  <c r="E47" i="29"/>
  <c r="G46" i="29"/>
  <c r="F44" i="29"/>
  <c r="E44" i="29"/>
  <c r="G42" i="29"/>
  <c r="G41" i="29"/>
  <c r="F40" i="29"/>
  <c r="E40" i="29"/>
  <c r="E39" i="29"/>
  <c r="G38" i="29"/>
  <c r="F36" i="29"/>
  <c r="E36" i="29"/>
  <c r="G34" i="29"/>
  <c r="G33" i="29"/>
  <c r="F32" i="29"/>
  <c r="E32" i="29"/>
  <c r="E31" i="29"/>
  <c r="G30" i="29"/>
  <c r="F28" i="29"/>
  <c r="E28" i="29"/>
  <c r="G26" i="29"/>
  <c r="G25" i="29"/>
  <c r="F24" i="29"/>
  <c r="E23" i="29"/>
  <c r="G22" i="29"/>
  <c r="G21" i="29"/>
  <c r="F21" i="29"/>
  <c r="F20" i="29"/>
  <c r="G18" i="29"/>
  <c r="G17" i="29"/>
  <c r="F17" i="29"/>
  <c r="E16" i="29"/>
  <c r="E15" i="29"/>
  <c r="G14" i="29"/>
  <c r="F12" i="29"/>
  <c r="E12" i="29"/>
  <c r="G10" i="29"/>
  <c r="G9" i="29"/>
  <c r="F8" i="29"/>
  <c r="E8" i="29"/>
  <c r="E7" i="29"/>
  <c r="G6" i="29"/>
  <c r="F4" i="29"/>
  <c r="E4" i="29"/>
  <c r="G368" i="29"/>
  <c r="F368" i="29"/>
  <c r="E368" i="29"/>
  <c r="G367" i="29"/>
  <c r="F367" i="29"/>
  <c r="E367" i="29"/>
  <c r="G366" i="29"/>
  <c r="F366" i="29"/>
  <c r="E366" i="29"/>
  <c r="G365" i="29"/>
  <c r="F365" i="29"/>
  <c r="E365" i="29"/>
  <c r="G364" i="29"/>
  <c r="F364" i="29"/>
  <c r="E364" i="29"/>
  <c r="G363" i="29"/>
  <c r="F363" i="29"/>
  <c r="E363" i="29"/>
  <c r="G362" i="29"/>
  <c r="F362" i="29"/>
  <c r="E362" i="29"/>
  <c r="G361" i="29"/>
  <c r="F361" i="29"/>
  <c r="E361" i="29"/>
  <c r="G360" i="29"/>
  <c r="F360" i="29"/>
  <c r="G359" i="29"/>
  <c r="F359" i="29"/>
  <c r="E359" i="29"/>
  <c r="G358" i="29"/>
  <c r="F358" i="29"/>
  <c r="E358" i="29"/>
  <c r="G357" i="29"/>
  <c r="F357" i="29"/>
  <c r="E357" i="29"/>
  <c r="G356" i="29"/>
  <c r="F356" i="29"/>
  <c r="E356" i="29"/>
  <c r="G355" i="29"/>
  <c r="F355" i="29"/>
  <c r="E355" i="29"/>
  <c r="G354" i="29"/>
  <c r="F354" i="29"/>
  <c r="E354" i="29"/>
  <c r="G353" i="29"/>
  <c r="F353" i="29"/>
  <c r="E353" i="29"/>
  <c r="G352" i="29"/>
  <c r="F352" i="29"/>
  <c r="E352" i="29"/>
  <c r="G351" i="29"/>
  <c r="F351" i="29"/>
  <c r="E351" i="29"/>
  <c r="G350" i="29"/>
  <c r="F350" i="29"/>
  <c r="E350" i="29"/>
  <c r="G349" i="29"/>
  <c r="F349" i="29"/>
  <c r="E349" i="29"/>
  <c r="G348" i="29"/>
  <c r="E348" i="29"/>
  <c r="G347" i="29"/>
  <c r="F347" i="29"/>
  <c r="E347" i="29"/>
  <c r="G346" i="29"/>
  <c r="F346" i="29"/>
  <c r="E346" i="29"/>
  <c r="G345" i="29"/>
  <c r="F345" i="29"/>
  <c r="E345" i="29"/>
  <c r="G344" i="29"/>
  <c r="F344" i="29"/>
  <c r="E344" i="29"/>
  <c r="G343" i="29"/>
  <c r="F343" i="29"/>
  <c r="E343" i="29"/>
  <c r="G342" i="29"/>
  <c r="F342" i="29"/>
  <c r="E342" i="29"/>
  <c r="G341" i="29"/>
  <c r="F341" i="29"/>
  <c r="E341" i="29"/>
  <c r="G340" i="29"/>
  <c r="F340" i="29"/>
  <c r="E340" i="29"/>
  <c r="G339" i="29"/>
  <c r="F339" i="29"/>
  <c r="E339" i="29"/>
  <c r="F338" i="29"/>
  <c r="E338" i="29"/>
  <c r="G337" i="29"/>
  <c r="F337" i="29"/>
  <c r="E337" i="29"/>
  <c r="G336" i="29"/>
  <c r="F336" i="29"/>
  <c r="E336" i="29"/>
  <c r="G335" i="29"/>
  <c r="F335" i="29"/>
  <c r="E335" i="29"/>
  <c r="G334" i="29"/>
  <c r="F334" i="29"/>
  <c r="E334" i="29"/>
  <c r="G333" i="29"/>
  <c r="F333" i="29"/>
  <c r="E333" i="29"/>
  <c r="G332" i="29"/>
  <c r="F332" i="29"/>
  <c r="E332" i="29"/>
  <c r="G331" i="29"/>
  <c r="F331" i="29"/>
  <c r="E331" i="29"/>
  <c r="G330" i="29"/>
  <c r="F330" i="29"/>
  <c r="E330" i="29"/>
  <c r="G329" i="29"/>
  <c r="F329" i="29"/>
  <c r="E329" i="29"/>
  <c r="G328" i="29"/>
  <c r="F328" i="29"/>
  <c r="G327" i="29"/>
  <c r="F327" i="29"/>
  <c r="G326" i="29"/>
  <c r="F326" i="29"/>
  <c r="E326" i="29"/>
  <c r="G325" i="29"/>
  <c r="F325" i="29"/>
  <c r="E325" i="29"/>
  <c r="G324" i="29"/>
  <c r="F324" i="29"/>
  <c r="E324" i="29"/>
  <c r="G323" i="29"/>
  <c r="F323" i="29"/>
  <c r="E323" i="29"/>
  <c r="G322" i="29"/>
  <c r="F322" i="29"/>
  <c r="E322" i="29"/>
  <c r="G321" i="29"/>
  <c r="F321" i="29"/>
  <c r="E321" i="29"/>
  <c r="G320" i="29"/>
  <c r="F320" i="29"/>
  <c r="E320" i="29"/>
  <c r="G319" i="29"/>
  <c r="F319" i="29"/>
  <c r="E319" i="29"/>
  <c r="G318" i="29"/>
  <c r="F318" i="29"/>
  <c r="E318" i="29"/>
  <c r="G317" i="29"/>
  <c r="F317" i="29"/>
  <c r="E317" i="29"/>
  <c r="G316" i="29"/>
  <c r="E316" i="29"/>
  <c r="G315" i="29"/>
  <c r="F315" i="29"/>
  <c r="E315" i="29"/>
  <c r="G314" i="29"/>
  <c r="F314" i="29"/>
  <c r="E314" i="29"/>
  <c r="G313" i="29"/>
  <c r="F313" i="29"/>
  <c r="E313" i="29"/>
  <c r="G312" i="29"/>
  <c r="F312" i="29"/>
  <c r="E312" i="29"/>
  <c r="G311" i="29"/>
  <c r="F311" i="29"/>
  <c r="E311" i="29"/>
  <c r="G310" i="29"/>
  <c r="F310" i="29"/>
  <c r="E310" i="29"/>
  <c r="G309" i="29"/>
  <c r="F309" i="29"/>
  <c r="E309" i="29"/>
  <c r="G308" i="29"/>
  <c r="F308" i="29"/>
  <c r="E308" i="29"/>
  <c r="G307" i="29"/>
  <c r="F307" i="29"/>
  <c r="E307" i="29"/>
  <c r="F306" i="29"/>
  <c r="E306" i="29"/>
  <c r="G305" i="29"/>
  <c r="F305" i="29"/>
  <c r="E305" i="29"/>
  <c r="G304" i="29"/>
  <c r="F304" i="29"/>
  <c r="E304" i="29"/>
  <c r="G303" i="29"/>
  <c r="F303" i="29"/>
  <c r="E303" i="29"/>
  <c r="G302" i="29"/>
  <c r="F302" i="29"/>
  <c r="E302" i="29"/>
  <c r="G301" i="29"/>
  <c r="F301" i="29"/>
  <c r="E301" i="29"/>
  <c r="G300" i="29"/>
  <c r="F300" i="29"/>
  <c r="E300" i="29"/>
  <c r="G299" i="29"/>
  <c r="F299" i="29"/>
  <c r="E299" i="29"/>
  <c r="G298" i="29"/>
  <c r="F298" i="29"/>
  <c r="E298" i="29"/>
  <c r="G297" i="29"/>
  <c r="F297" i="29"/>
  <c r="E297" i="29"/>
  <c r="G296" i="29"/>
  <c r="F296" i="29"/>
  <c r="G295" i="29"/>
  <c r="F295" i="29"/>
  <c r="G294" i="29"/>
  <c r="F294" i="29"/>
  <c r="E294" i="29"/>
  <c r="G293" i="29"/>
  <c r="F293" i="29"/>
  <c r="E293" i="29"/>
  <c r="G292" i="29"/>
  <c r="F292" i="29"/>
  <c r="E292" i="29"/>
  <c r="G291" i="29"/>
  <c r="F291" i="29"/>
  <c r="E291" i="29"/>
  <c r="G290" i="29"/>
  <c r="F290" i="29"/>
  <c r="E290" i="29"/>
  <c r="G289" i="29"/>
  <c r="F289" i="29"/>
  <c r="E289" i="29"/>
  <c r="G288" i="29"/>
  <c r="F288" i="29"/>
  <c r="E288" i="29"/>
  <c r="G287" i="29"/>
  <c r="F287" i="29"/>
  <c r="E287" i="29"/>
  <c r="G286" i="29"/>
  <c r="F286" i="29"/>
  <c r="E286" i="29"/>
  <c r="G285" i="29"/>
  <c r="F285" i="29"/>
  <c r="E285" i="29"/>
  <c r="G284" i="29"/>
  <c r="E284" i="29"/>
  <c r="G283" i="29"/>
  <c r="F283" i="29"/>
  <c r="E283" i="29"/>
  <c r="G282" i="29"/>
  <c r="F282" i="29"/>
  <c r="E282" i="29"/>
  <c r="G281" i="29"/>
  <c r="F281" i="29"/>
  <c r="E281" i="29"/>
  <c r="G280" i="29"/>
  <c r="F280" i="29"/>
  <c r="E280" i="29"/>
  <c r="G279" i="29"/>
  <c r="F279" i="29"/>
  <c r="E279" i="29"/>
  <c r="G278" i="29"/>
  <c r="F278" i="29"/>
  <c r="E278" i="29"/>
  <c r="G277" i="29"/>
  <c r="F277" i="29"/>
  <c r="E277" i="29"/>
  <c r="G276" i="29"/>
  <c r="F276" i="29"/>
  <c r="E276" i="29"/>
  <c r="G275" i="29"/>
  <c r="F275" i="29"/>
  <c r="E275" i="29"/>
  <c r="F274" i="29"/>
  <c r="E274" i="29"/>
  <c r="G273" i="29"/>
  <c r="F273" i="29"/>
  <c r="E273" i="29"/>
  <c r="G272" i="29"/>
  <c r="F272" i="29"/>
  <c r="E272" i="29"/>
  <c r="G271" i="29"/>
  <c r="F271" i="29"/>
  <c r="E271" i="29"/>
  <c r="G270" i="29"/>
  <c r="F270" i="29"/>
  <c r="E270" i="29"/>
  <c r="G269" i="29"/>
  <c r="F269" i="29"/>
  <c r="E269" i="29"/>
  <c r="G268" i="29"/>
  <c r="F268" i="29"/>
  <c r="E268" i="29"/>
  <c r="G267" i="29"/>
  <c r="F267" i="29"/>
  <c r="E267" i="29"/>
  <c r="G266" i="29"/>
  <c r="F266" i="29"/>
  <c r="E266" i="29"/>
  <c r="G265" i="29"/>
  <c r="F265" i="29"/>
  <c r="E265" i="29"/>
  <c r="G264" i="29"/>
  <c r="F264" i="29"/>
  <c r="G263" i="29"/>
  <c r="F263" i="29"/>
  <c r="E263" i="29"/>
  <c r="G262" i="29"/>
  <c r="F262" i="29"/>
  <c r="E262" i="29"/>
  <c r="G261" i="29"/>
  <c r="F261" i="29"/>
  <c r="E261" i="29"/>
  <c r="G260" i="29"/>
  <c r="F260" i="29"/>
  <c r="E260" i="29"/>
  <c r="G259" i="29"/>
  <c r="F259" i="29"/>
  <c r="E259" i="29"/>
  <c r="G258" i="29"/>
  <c r="F258" i="29"/>
  <c r="E258" i="29"/>
  <c r="G257" i="29"/>
  <c r="F257" i="29"/>
  <c r="E257" i="29"/>
  <c r="G256" i="29"/>
  <c r="F256" i="29"/>
  <c r="E256" i="29"/>
  <c r="G255" i="29"/>
  <c r="F255" i="29"/>
  <c r="E255" i="29"/>
  <c r="E254" i="29"/>
  <c r="G253" i="29"/>
  <c r="F253" i="29"/>
  <c r="E253" i="29"/>
  <c r="G252" i="29"/>
  <c r="F252" i="29"/>
  <c r="E252" i="29"/>
  <c r="G251" i="29"/>
  <c r="F251" i="29"/>
  <c r="E251" i="29"/>
  <c r="E250" i="29"/>
  <c r="G249" i="29"/>
  <c r="F249" i="29"/>
  <c r="E249" i="29"/>
  <c r="G248" i="29"/>
  <c r="F248" i="29"/>
  <c r="E248" i="29"/>
  <c r="G247" i="29"/>
  <c r="F247" i="29"/>
  <c r="E247" i="29"/>
  <c r="F246" i="29"/>
  <c r="E246" i="29"/>
  <c r="G245" i="29"/>
  <c r="F245" i="29"/>
  <c r="E245" i="29"/>
  <c r="G244" i="29"/>
  <c r="F244" i="29"/>
  <c r="E244" i="29"/>
  <c r="G243" i="29"/>
  <c r="F243" i="29"/>
  <c r="G242" i="29"/>
  <c r="F242" i="29"/>
  <c r="E242" i="29"/>
  <c r="G241" i="29"/>
  <c r="F241" i="29"/>
  <c r="E241" i="29"/>
  <c r="G240" i="29"/>
  <c r="F240" i="29"/>
  <c r="G239" i="29"/>
  <c r="F239" i="29"/>
  <c r="E239" i="29"/>
  <c r="G238" i="29"/>
  <c r="F238" i="29"/>
  <c r="E238" i="29"/>
  <c r="G237" i="29"/>
  <c r="F237" i="29"/>
  <c r="E237" i="29"/>
  <c r="G236" i="29"/>
  <c r="G235" i="29"/>
  <c r="F235" i="29"/>
  <c r="E235" i="29"/>
  <c r="G234" i="29"/>
  <c r="F234" i="29"/>
  <c r="E234" i="29"/>
  <c r="G233" i="29"/>
  <c r="F233" i="29"/>
  <c r="E233" i="29"/>
  <c r="G232" i="29"/>
  <c r="E232" i="29"/>
  <c r="G231" i="29"/>
  <c r="F231" i="29"/>
  <c r="E231" i="29"/>
  <c r="G230" i="29"/>
  <c r="F230" i="29"/>
  <c r="E230" i="29"/>
  <c r="G229" i="29"/>
  <c r="F229" i="29"/>
  <c r="E229" i="29"/>
  <c r="G228" i="29"/>
  <c r="F228" i="29"/>
  <c r="E228" i="29"/>
  <c r="G227" i="29"/>
  <c r="F227" i="29"/>
  <c r="E227" i="29"/>
  <c r="G226" i="29"/>
  <c r="F226" i="29"/>
  <c r="E226" i="29"/>
  <c r="G225" i="29"/>
  <c r="F225" i="29"/>
  <c r="E225" i="29"/>
  <c r="G224" i="29"/>
  <c r="F224" i="29"/>
  <c r="E224" i="29"/>
  <c r="G223" i="29"/>
  <c r="F223" i="29"/>
  <c r="E223" i="29"/>
  <c r="G222" i="29"/>
  <c r="E222" i="29"/>
  <c r="F221" i="29"/>
  <c r="E221" i="29"/>
  <c r="G220" i="29"/>
  <c r="F220" i="29"/>
  <c r="E220" i="29"/>
  <c r="G219" i="29"/>
  <c r="F219" i="29"/>
  <c r="E219" i="29"/>
  <c r="E218" i="29"/>
  <c r="G217" i="29"/>
  <c r="F217" i="29"/>
  <c r="E217" i="29"/>
  <c r="G216" i="29"/>
  <c r="F216" i="29"/>
  <c r="E216" i="29"/>
  <c r="G215" i="29"/>
  <c r="F215" i="29"/>
  <c r="E215" i="29"/>
  <c r="F214" i="29"/>
  <c r="E214" i="29"/>
  <c r="G213" i="29"/>
  <c r="F213" i="29"/>
  <c r="E213" i="29"/>
  <c r="G212" i="29"/>
  <c r="F212" i="29"/>
  <c r="E212" i="29"/>
  <c r="G211" i="29"/>
  <c r="F211" i="29"/>
  <c r="G210" i="29"/>
  <c r="F210" i="29"/>
  <c r="E210" i="29"/>
  <c r="G209" i="29"/>
  <c r="F209" i="29"/>
  <c r="E209" i="29"/>
  <c r="G208" i="29"/>
  <c r="F208" i="29"/>
  <c r="G207" i="29"/>
  <c r="F207" i="29"/>
  <c r="E207" i="29"/>
  <c r="G206" i="29"/>
  <c r="F206" i="29"/>
  <c r="E206" i="29"/>
  <c r="G205" i="29"/>
  <c r="F205" i="29"/>
  <c r="E205" i="29"/>
  <c r="G204" i="29"/>
  <c r="G203" i="29"/>
  <c r="F203" i="29"/>
  <c r="E203" i="29"/>
  <c r="G202" i="29"/>
  <c r="F202" i="29"/>
  <c r="E202" i="29"/>
  <c r="G201" i="29"/>
  <c r="F201" i="29"/>
  <c r="E201" i="29"/>
  <c r="G200" i="29"/>
  <c r="E200" i="29"/>
  <c r="G199" i="29"/>
  <c r="F199" i="29"/>
  <c r="E199" i="29"/>
  <c r="G198" i="29"/>
  <c r="F198" i="29"/>
  <c r="E198" i="29"/>
  <c r="G197" i="29"/>
  <c r="F197" i="29"/>
  <c r="E197" i="29"/>
  <c r="G196" i="29"/>
  <c r="F196" i="29"/>
  <c r="E196" i="29"/>
  <c r="G195" i="29"/>
  <c r="F195" i="29"/>
  <c r="E195" i="29"/>
  <c r="F194" i="29"/>
  <c r="E194" i="29"/>
  <c r="G193" i="29"/>
  <c r="F193" i="29"/>
  <c r="E193" i="29"/>
  <c r="G192" i="29"/>
  <c r="G191" i="29"/>
  <c r="F191" i="29"/>
  <c r="E191" i="29"/>
  <c r="G190" i="29"/>
  <c r="F190" i="29"/>
  <c r="E190" i="29"/>
  <c r="G189" i="29"/>
  <c r="F189" i="29"/>
  <c r="E189" i="29"/>
  <c r="G188" i="29"/>
  <c r="F188" i="29"/>
  <c r="E188" i="29"/>
  <c r="G187" i="29"/>
  <c r="F187" i="29"/>
  <c r="E187" i="29"/>
  <c r="F186" i="29"/>
  <c r="E186" i="29"/>
  <c r="G185" i="29"/>
  <c r="F185" i="29"/>
  <c r="E185" i="29"/>
  <c r="G184" i="29"/>
  <c r="G183" i="29"/>
  <c r="F183" i="29"/>
  <c r="E183" i="29"/>
  <c r="G182" i="29"/>
  <c r="F182" i="29"/>
  <c r="E182" i="29"/>
  <c r="G181" i="29"/>
  <c r="F181" i="29"/>
  <c r="E181" i="29"/>
  <c r="G180" i="29"/>
  <c r="F180" i="29"/>
  <c r="E180" i="29"/>
  <c r="G179" i="29"/>
  <c r="F179" i="29"/>
  <c r="E179" i="29"/>
  <c r="F178" i="29"/>
  <c r="E178" i="29"/>
  <c r="G177" i="29"/>
  <c r="F177" i="29"/>
  <c r="E177" i="29"/>
  <c r="G176" i="29"/>
  <c r="G175" i="29"/>
  <c r="F175" i="29"/>
  <c r="E175" i="29"/>
  <c r="G174" i="29"/>
  <c r="F174" i="29"/>
  <c r="E174" i="29"/>
  <c r="G173" i="29"/>
  <c r="F173" i="29"/>
  <c r="E173" i="29"/>
  <c r="G172" i="29"/>
  <c r="F172" i="29"/>
  <c r="E172" i="29"/>
  <c r="G171" i="29"/>
  <c r="F171" i="29"/>
  <c r="E171" i="29"/>
  <c r="F170" i="29"/>
  <c r="E170" i="29"/>
  <c r="G169" i="29"/>
  <c r="F169" i="29"/>
  <c r="E169" i="29"/>
  <c r="G168" i="29"/>
  <c r="G167" i="29"/>
  <c r="F167" i="29"/>
  <c r="E167" i="29"/>
  <c r="G166" i="29"/>
  <c r="F166" i="29"/>
  <c r="E166" i="29"/>
  <c r="G165" i="29"/>
  <c r="F165" i="29"/>
  <c r="E165" i="29"/>
  <c r="G164" i="29"/>
  <c r="F164" i="29"/>
  <c r="E164" i="29"/>
  <c r="G163" i="29"/>
  <c r="F163" i="29"/>
  <c r="E163" i="29"/>
  <c r="F162" i="29"/>
  <c r="E162" i="29"/>
  <c r="G161" i="29"/>
  <c r="F161" i="29"/>
  <c r="E161" i="29"/>
  <c r="G160" i="29"/>
  <c r="G159" i="29"/>
  <c r="F159" i="29"/>
  <c r="E159" i="29"/>
  <c r="G158" i="29"/>
  <c r="E158" i="29"/>
  <c r="G157" i="29"/>
  <c r="F157" i="29"/>
  <c r="E157" i="29"/>
  <c r="G156" i="29"/>
  <c r="G155" i="29"/>
  <c r="F155" i="29"/>
  <c r="E155" i="29"/>
  <c r="F154" i="29"/>
  <c r="E154" i="29"/>
  <c r="F153" i="29"/>
  <c r="E153" i="29"/>
  <c r="G152" i="29"/>
  <c r="G151" i="29"/>
  <c r="F151" i="29"/>
  <c r="F150" i="29"/>
  <c r="E150" i="29"/>
  <c r="G149" i="29"/>
  <c r="F149" i="29"/>
  <c r="E149" i="29"/>
  <c r="G148" i="29"/>
  <c r="G147" i="29"/>
  <c r="F147" i="29"/>
  <c r="E147" i="29"/>
  <c r="F146" i="29"/>
  <c r="E146" i="29"/>
  <c r="F145" i="29"/>
  <c r="E145" i="29"/>
  <c r="G144" i="29"/>
  <c r="G143" i="29"/>
  <c r="F143" i="29"/>
  <c r="F142" i="29"/>
  <c r="E142" i="29"/>
  <c r="G141" i="29"/>
  <c r="F141" i="29"/>
  <c r="E141" i="29"/>
  <c r="G140" i="29"/>
  <c r="G139" i="29"/>
  <c r="F139" i="29"/>
  <c r="E139" i="29"/>
  <c r="F138" i="29"/>
  <c r="E138" i="29"/>
  <c r="F137" i="29"/>
  <c r="E137" i="29"/>
  <c r="G136" i="29"/>
  <c r="G135" i="29"/>
  <c r="F135" i="29"/>
  <c r="F134" i="29"/>
  <c r="E134" i="29"/>
  <c r="G133" i="29"/>
  <c r="F133" i="29"/>
  <c r="E133" i="29"/>
  <c r="G132" i="29"/>
  <c r="G131" i="29"/>
  <c r="F131" i="29"/>
  <c r="E131" i="29"/>
  <c r="F130" i="29"/>
  <c r="E130" i="29"/>
  <c r="F129" i="29"/>
  <c r="E129" i="29"/>
  <c r="G128" i="29"/>
  <c r="G127" i="29"/>
  <c r="F127" i="29"/>
  <c r="F126" i="29"/>
  <c r="E126" i="29"/>
  <c r="G125" i="29"/>
  <c r="F125" i="29"/>
  <c r="E125" i="29"/>
  <c r="G124" i="29"/>
  <c r="G123" i="29"/>
  <c r="F123" i="29"/>
  <c r="E123" i="29"/>
  <c r="F122" i="29"/>
  <c r="E122" i="29"/>
  <c r="F121" i="29"/>
  <c r="E121" i="29"/>
  <c r="G120" i="29"/>
  <c r="G119" i="29"/>
  <c r="F119" i="29"/>
  <c r="F118" i="29"/>
  <c r="E118" i="29"/>
  <c r="G117" i="29"/>
  <c r="F117" i="29"/>
  <c r="E117" i="29"/>
  <c r="G116" i="29"/>
  <c r="G115" i="29"/>
  <c r="F115" i="29"/>
  <c r="E115" i="29"/>
  <c r="F114" i="29"/>
  <c r="E114" i="29"/>
  <c r="F113" i="29"/>
  <c r="E113" i="29"/>
  <c r="G112" i="29"/>
  <c r="G111" i="29"/>
  <c r="F111" i="29"/>
  <c r="F110" i="29"/>
  <c r="E110" i="29"/>
  <c r="G109" i="29"/>
  <c r="F109" i="29"/>
  <c r="E109" i="29"/>
  <c r="G108" i="29"/>
  <c r="G107" i="29"/>
  <c r="F107" i="29"/>
  <c r="E107" i="29"/>
  <c r="F106" i="29"/>
  <c r="E106" i="29"/>
  <c r="F105" i="29"/>
  <c r="E105" i="29"/>
  <c r="G104" i="29"/>
  <c r="G103" i="29"/>
  <c r="F103" i="29"/>
  <c r="F102" i="29"/>
  <c r="E102" i="29"/>
  <c r="G101" i="29"/>
  <c r="F101" i="29"/>
  <c r="E101" i="29"/>
  <c r="G100" i="29"/>
  <c r="G99" i="29"/>
  <c r="F99" i="29"/>
  <c r="E99" i="29"/>
  <c r="F98" i="29"/>
  <c r="E98" i="29"/>
  <c r="F97" i="29"/>
  <c r="E97" i="29"/>
  <c r="G96" i="29"/>
  <c r="G95" i="29"/>
  <c r="F95" i="29"/>
  <c r="F94" i="29"/>
  <c r="E94" i="29"/>
  <c r="G93" i="29"/>
  <c r="F93" i="29"/>
  <c r="E93" i="29"/>
  <c r="G92" i="29"/>
  <c r="G91" i="29"/>
  <c r="F91" i="29"/>
  <c r="E91" i="29"/>
  <c r="F90" i="29"/>
  <c r="E90" i="29"/>
  <c r="F89" i="29"/>
  <c r="E89" i="29"/>
  <c r="G88" i="29"/>
  <c r="G87" i="29"/>
  <c r="F87" i="29"/>
  <c r="F86" i="29"/>
  <c r="E86" i="29"/>
  <c r="G85" i="29"/>
  <c r="F85" i="29"/>
  <c r="E85" i="29"/>
  <c r="G84" i="29"/>
  <c r="G83" i="29"/>
  <c r="F83" i="29"/>
  <c r="E83" i="29"/>
  <c r="F82" i="29"/>
  <c r="E82" i="29"/>
  <c r="F81" i="29"/>
  <c r="E81" i="29"/>
  <c r="G80" i="29"/>
  <c r="G79" i="29"/>
  <c r="F79" i="29"/>
  <c r="F78" i="29"/>
  <c r="E78" i="29"/>
  <c r="G77" i="29"/>
  <c r="F77" i="29"/>
  <c r="E77" i="29"/>
  <c r="G76" i="29"/>
  <c r="G75" i="29"/>
  <c r="F75" i="29"/>
  <c r="E75" i="29"/>
  <c r="F74" i="29"/>
  <c r="E74" i="29"/>
  <c r="F73" i="29"/>
  <c r="E73" i="29"/>
  <c r="G72" i="29"/>
  <c r="G71" i="29"/>
  <c r="F71" i="29"/>
  <c r="F70" i="29"/>
  <c r="E70" i="29"/>
  <c r="G69" i="29"/>
  <c r="F69" i="29"/>
  <c r="E69" i="29"/>
  <c r="G68" i="29"/>
  <c r="G67" i="29"/>
  <c r="F67" i="29"/>
  <c r="E67" i="29"/>
  <c r="F66" i="29"/>
  <c r="E66" i="29"/>
  <c r="F65" i="29"/>
  <c r="E65" i="29"/>
  <c r="G64" i="29"/>
  <c r="G63" i="29"/>
  <c r="F63" i="29"/>
  <c r="F62" i="29"/>
  <c r="E62" i="29"/>
  <c r="G61" i="29"/>
  <c r="F61" i="29"/>
  <c r="E61" i="29"/>
  <c r="G60" i="29"/>
  <c r="G59" i="29"/>
  <c r="F59" i="29"/>
  <c r="E59" i="29"/>
  <c r="F58" i="29"/>
  <c r="E58" i="29"/>
  <c r="F57" i="29"/>
  <c r="E57" i="29"/>
  <c r="G56" i="29"/>
  <c r="G55" i="29"/>
  <c r="F55" i="29"/>
  <c r="F54" i="29"/>
  <c r="E54" i="29"/>
  <c r="G53" i="29"/>
  <c r="F53" i="29"/>
  <c r="E53" i="29"/>
  <c r="G52" i="29"/>
  <c r="G51" i="29"/>
  <c r="F51" i="29"/>
  <c r="E51" i="29"/>
  <c r="F50" i="29"/>
  <c r="E50" i="29"/>
  <c r="F49" i="29"/>
  <c r="E49" i="29"/>
  <c r="G48" i="29"/>
  <c r="G47" i="29"/>
  <c r="F47" i="29"/>
  <c r="F46" i="29"/>
  <c r="E46" i="29"/>
  <c r="G45" i="29"/>
  <c r="F45" i="29"/>
  <c r="E45" i="29"/>
  <c r="G44" i="29"/>
  <c r="G43" i="29"/>
  <c r="F43" i="29"/>
  <c r="E43" i="29"/>
  <c r="F42" i="29"/>
  <c r="E42" i="29"/>
  <c r="F41" i="29"/>
  <c r="E41" i="29"/>
  <c r="G40" i="29"/>
  <c r="G39" i="29"/>
  <c r="F39" i="29"/>
  <c r="F38" i="29"/>
  <c r="E38" i="29"/>
  <c r="G37" i="29"/>
  <c r="F37" i="29"/>
  <c r="E37" i="29"/>
  <c r="G36" i="29"/>
  <c r="G35" i="29"/>
  <c r="F35" i="29"/>
  <c r="E35" i="29"/>
  <c r="F34" i="29"/>
  <c r="E34" i="29"/>
  <c r="F33" i="29"/>
  <c r="E33" i="29"/>
  <c r="G32" i="29"/>
  <c r="G31" i="29"/>
  <c r="F31" i="29"/>
  <c r="F30" i="29"/>
  <c r="E30" i="29"/>
  <c r="G29" i="29"/>
  <c r="F29" i="29"/>
  <c r="E29" i="29"/>
  <c r="G28" i="29"/>
  <c r="G27" i="29"/>
  <c r="F27" i="29"/>
  <c r="E27" i="29"/>
  <c r="F26" i="29"/>
  <c r="E26" i="29"/>
  <c r="F25" i="29"/>
  <c r="E25" i="29"/>
  <c r="G24" i="29"/>
  <c r="E24" i="29"/>
  <c r="G23" i="29"/>
  <c r="F23" i="29"/>
  <c r="F22" i="29"/>
  <c r="E22" i="29"/>
  <c r="E21" i="29"/>
  <c r="G20" i="29"/>
  <c r="E20" i="29"/>
  <c r="G19" i="29"/>
  <c r="F19" i="29"/>
  <c r="E19" i="29"/>
  <c r="F18" i="29"/>
  <c r="E18" i="29"/>
  <c r="E17" i="29"/>
  <c r="G16" i="29"/>
  <c r="F16" i="29"/>
  <c r="G15" i="29"/>
  <c r="F15" i="29"/>
  <c r="F14" i="29"/>
  <c r="E14" i="29"/>
  <c r="G13" i="29"/>
  <c r="F13" i="29"/>
  <c r="E13" i="29"/>
  <c r="G12" i="29"/>
  <c r="G11" i="29"/>
  <c r="F11" i="29"/>
  <c r="E11" i="29"/>
  <c r="F10" i="29"/>
  <c r="E10" i="29"/>
  <c r="F9" i="29"/>
  <c r="E9" i="29"/>
  <c r="G8" i="29"/>
  <c r="G7" i="29"/>
  <c r="F7" i="29"/>
  <c r="F6" i="29"/>
  <c r="E6" i="29"/>
  <c r="G5" i="29"/>
  <c r="F5" i="29"/>
  <c r="E5" i="29"/>
  <c r="G4" i="29"/>
  <c r="G3" i="29"/>
  <c r="F3" i="29"/>
  <c r="E3" i="29"/>
</calcChain>
</file>

<file path=xl/sharedStrings.xml><?xml version="1.0" encoding="utf-8"?>
<sst xmlns="http://schemas.openxmlformats.org/spreadsheetml/2006/main" count="306" uniqueCount="59">
  <si>
    <t>CWRS</t>
  </si>
  <si>
    <t>Low protein</t>
  </si>
  <si>
    <t>Soft wheat</t>
  </si>
  <si>
    <t>Order quantity</t>
  </si>
  <si>
    <t>TCA</t>
  </si>
  <si>
    <t>Warri</t>
  </si>
  <si>
    <t>PH</t>
  </si>
  <si>
    <t>TCB</t>
  </si>
  <si>
    <t>Beachland</t>
  </si>
  <si>
    <t>Month</t>
  </si>
  <si>
    <t>Calabar</t>
  </si>
  <si>
    <t>Apapa</t>
  </si>
  <si>
    <t>Ikorodu</t>
  </si>
  <si>
    <t>Ilorin</t>
  </si>
  <si>
    <t>Kano</t>
  </si>
  <si>
    <t>Required quantity</t>
  </si>
  <si>
    <t>Received quantity</t>
  </si>
  <si>
    <t>CWRS - Demand</t>
  </si>
  <si>
    <t>CWRS - Inventory position</t>
  </si>
  <si>
    <t>CWRS - Days of inventory</t>
  </si>
  <si>
    <t>Low protein - Demand</t>
  </si>
  <si>
    <t>Low protein - Inventory position</t>
  </si>
  <si>
    <t>Low protein - Days of inventory</t>
  </si>
  <si>
    <t>Soft wheat - Demand</t>
  </si>
  <si>
    <t>Soft wheat - Inventory position</t>
  </si>
  <si>
    <t>Soft wheat - Days of inventory</t>
  </si>
  <si>
    <t>CWRS - Actuals</t>
  </si>
  <si>
    <t>Low protein - Actuals</t>
  </si>
  <si>
    <t>Soft wheat - Actuals</t>
  </si>
  <si>
    <t>Order Quantity</t>
  </si>
  <si>
    <t>Port</t>
  </si>
  <si>
    <t>Lagos</t>
  </si>
  <si>
    <t>Plant</t>
  </si>
  <si>
    <t>Discharge duration (days)</t>
  </si>
  <si>
    <t>Sailing duration to next port (days)</t>
  </si>
  <si>
    <t>NA</t>
  </si>
  <si>
    <t>Discharge start day</t>
  </si>
  <si>
    <t>DOI Threshold</t>
  </si>
  <si>
    <t>Rus</t>
  </si>
  <si>
    <t>Low Protien type</t>
  </si>
  <si>
    <t>Low protein Type- Actuals</t>
  </si>
  <si>
    <t>Fre</t>
  </si>
  <si>
    <t>Arg</t>
  </si>
  <si>
    <t>Ger</t>
  </si>
  <si>
    <t>CWRS - Inventory from the system</t>
  </si>
  <si>
    <t>Low protein - Inventory from the system</t>
  </si>
  <si>
    <t>Soft wheat - Inventory from the system</t>
  </si>
  <si>
    <t>Skip</t>
  </si>
  <si>
    <t>CWRS-Based on Discharge Rate Actual</t>
  </si>
  <si>
    <t>Low protein-Based on Discharge Rate Actual</t>
  </si>
  <si>
    <t>Soft wheat-Based on Discharge Rate Actual</t>
  </si>
  <si>
    <t>Average waiting time</t>
  </si>
  <si>
    <t>Port4</t>
  </si>
  <si>
    <t>Port5</t>
  </si>
  <si>
    <t>Portname</t>
  </si>
  <si>
    <t>AWT</t>
  </si>
  <si>
    <t>Sailing time</t>
  </si>
  <si>
    <t>TWT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</si>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</sst>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7" fontId="0" fillId="0" borderId="0" xfId="0" applyNumberFormat="1"/>
    <xf numFmtId="17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0" xfId="0" applyFill="1"/>
    <xf numFmtId="0" fontId="1" fillId="5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14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0" fontId="0" fillId="9" borderId="0" xfId="0" applyFill="1"/>
    <xf numFmtId="0" fontId="0" fillId="10" borderId="0" xfId="0" applyFill="1"/>
    <xf numFmtId="1" fontId="1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14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" fontId="0" fillId="11" borderId="1" xfId="0" applyNumberFormat="1" applyFill="1" applyBorder="1" applyAlignment="1">
      <alignment horizontal="center" vertical="center"/>
    </xf>
    <xf numFmtId="0" fontId="0" fillId="11" borderId="0" xfId="0" applyFill="1"/>
    <xf numFmtId="0" fontId="1" fillId="3" borderId="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0" borderId="0" xfId="0" applyFont="1"/>
    <xf numFmtId="0" fontId="1" fillId="7" borderId="4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8" borderId="0" xfId="0" applyFill="1"/>
    <xf numFmtId="0" fontId="0" fillId="12" borderId="0" xfId="0" applyFill="1"/>
    <xf numFmtId="0" fontId="0" fillId="13" borderId="0" xfId="0" applyFill="1"/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0" fillId="11" borderId="7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1" fillId="6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7" fontId="1" fillId="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352424</xdr:colOff>
      <xdr:row>0</xdr:row>
      <xdr:rowOff>19050</xdr:rowOff>
    </xdr:from>
    <xdr:to>
      <xdr:col>0</xdr:col>
      <xdr:colOff>1238250</xdr:colOff>
      <xdr:row>0</xdr:row>
      <xdr:rowOff>161925</xdr:rowOff>
    </xdr:to>
    <xdr:sp macro="[0]!invento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A37B9A-2CA8-476B-AAAD-0478C7BE0326}"/>
            </a:ext>
          </a:extLst>
        </xdr:cNvPr>
        <xdr:cNvSpPr/>
      </xdr:nvSpPr>
      <xdr:spPr>
        <a:xfrm>
          <a:off x="352424" y="19050"/>
          <a:ext cx="885826" cy="142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/>
            <a:t>Update DOI</a:t>
          </a:r>
        </a:p>
      </xdr:txBody>
    </xdr:sp>
    <xdr:clientData/>
  </xdr:twoCellAnchor>
  <xdr:twoCellAnchor>
    <xdr:from>
      <xdr:col>5</xdr:col>
      <xdr:colOff>847724</xdr:colOff>
      <xdr:row>0</xdr:row>
      <xdr:rowOff>9525</xdr:rowOff>
    </xdr:from>
    <xdr:to>
      <xdr:col>6</xdr:col>
      <xdr:colOff>847725</xdr:colOff>
      <xdr:row>0</xdr:row>
      <xdr:rowOff>180975</xdr:rowOff>
    </xdr:to>
    <xdr:sp macro="[0]!Sugges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BA7CE1E-FBD4-4274-82E7-987E3461B5FD}"/>
            </a:ext>
          </a:extLst>
        </xdr:cNvPr>
        <xdr:cNvSpPr/>
      </xdr:nvSpPr>
      <xdr:spPr>
        <a:xfrm>
          <a:off x="2771774" y="9525"/>
          <a:ext cx="866776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/>
            <a:t>Get plan</a:t>
          </a:r>
        </a:p>
      </xdr:txBody>
    </xdr:sp>
    <xdr:clientData/>
  </xdr:twoCellAnchor>
  <xdr:twoCellAnchor>
    <xdr:from>
      <xdr:col>10</xdr:col>
      <xdr:colOff>19050</xdr:colOff>
      <xdr:row>0</xdr:row>
      <xdr:rowOff>9525</xdr:rowOff>
    </xdr:from>
    <xdr:to>
      <xdr:col>11</xdr:col>
      <xdr:colOff>0</xdr:colOff>
      <xdr:row>1</xdr:row>
      <xdr:rowOff>9525</xdr:rowOff>
    </xdr:to>
    <xdr:sp macro="[0]!actua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587B619-C09B-4CA4-9394-53C23769DFD7}"/>
            </a:ext>
          </a:extLst>
        </xdr:cNvPr>
        <xdr:cNvSpPr/>
      </xdr:nvSpPr>
      <xdr:spPr>
        <a:xfrm>
          <a:off x="5067300" y="9525"/>
          <a:ext cx="7905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/>
            <a:t>Revise plan</a:t>
          </a:r>
        </a:p>
      </xdr:txBody>
    </xdr:sp>
    <xdr:clientData/>
  </xdr:twoCellAnchor>
  <xdr:twoCellAnchor>
    <xdr:from>
      <xdr:col>0</xdr:col>
      <xdr:colOff>76200</xdr:colOff>
      <xdr:row>0</xdr:row>
      <xdr:rowOff>180976</xdr:rowOff>
    </xdr:from>
    <xdr:to>
      <xdr:col>0</xdr:col>
      <xdr:colOff>752475</xdr:colOff>
      <xdr:row>1</xdr:row>
      <xdr:rowOff>219076</xdr:rowOff>
    </xdr:to>
    <xdr:sp macro="[0]!rollba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2AD7BA9-A674-427F-8DF7-C930060FA33D}"/>
            </a:ext>
          </a:extLst>
        </xdr:cNvPr>
        <xdr:cNvSpPr/>
      </xdr:nvSpPr>
      <xdr:spPr>
        <a:xfrm>
          <a:off x="76200" y="180976"/>
          <a:ext cx="67627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Rollback</a:t>
          </a:r>
        </a:p>
      </xdr:txBody>
    </xdr:sp>
    <xdr:clientData/>
  </xdr:twoCellAnchor>
  <xdr:oneCellAnchor>
    <xdr:from>
      <xdr:col>12</xdr:col>
      <xdr:colOff>374359</xdr:colOff>
      <xdr:row>9</xdr:row>
      <xdr:rowOff>126498</xdr:rowOff>
    </xdr:from>
    <xdr:ext cx="184731" cy="937629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268AF5-6F4E-435C-89A9-C301E6F8D24D}"/>
            </a:ext>
          </a:extLst>
        </xdr:cNvPr>
        <xdr:cNvSpPr/>
      </xdr:nvSpPr>
      <xdr:spPr>
        <a:xfrm>
          <a:off x="6841834" y="1898148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802005</xdr:colOff>
      <xdr:row>1</xdr:row>
      <xdr:rowOff>0</xdr:rowOff>
    </xdr:from>
    <xdr:to>
      <xdr:col>0</xdr:col>
      <xdr:colOff>1533525</xdr:colOff>
      <xdr:row>1</xdr:row>
      <xdr:rowOff>228600</xdr:rowOff>
    </xdr:to>
    <xdr:sp macro="[0]!CheckInv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568805B-15AB-452F-84C5-9C78A235F923}"/>
            </a:ext>
          </a:extLst>
        </xdr:cNvPr>
        <xdr:cNvSpPr/>
      </xdr:nvSpPr>
      <xdr:spPr>
        <a:xfrm rot="10800000" flipV="1">
          <a:off x="802005" y="190500"/>
          <a:ext cx="73152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900">
              <a:latin typeface="+mn-lt"/>
            </a:rPr>
            <a:t>GetSysInv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entory%20optimization%20work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upply%20Planning%20_%20CF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gplan_p1to5"/>
      <sheetName val="Sheet1"/>
      <sheetName val="Sheet2"/>
      <sheetName val="Parameters"/>
      <sheetName val="Sheet1 - C"/>
      <sheetName val="Repl"/>
    </sheetNames>
    <sheetDataSet>
      <sheetData sheetId="0"/>
      <sheetData sheetId="1"/>
      <sheetData sheetId="2">
        <row r="2">
          <cell r="N2">
            <v>48000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AJ2">
            <v>22</v>
          </cell>
          <cell r="AK2">
            <v>20</v>
          </cell>
          <cell r="AL2">
            <v>999999</v>
          </cell>
          <cell r="AM2">
            <v>77</v>
          </cell>
          <cell r="AN2">
            <v>25</v>
          </cell>
          <cell r="AO2">
            <v>25</v>
          </cell>
          <cell r="AP2">
            <v>1</v>
          </cell>
          <cell r="AQ2">
            <v>25</v>
          </cell>
          <cell r="AR2">
            <v>23</v>
          </cell>
          <cell r="AS2">
            <v>23</v>
          </cell>
          <cell r="BE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CB2">
            <v>19</v>
          </cell>
          <cell r="CC2">
            <v>12</v>
          </cell>
          <cell r="CD2">
            <v>41</v>
          </cell>
          <cell r="CE2">
            <v>14</v>
          </cell>
          <cell r="CF2">
            <v>20</v>
          </cell>
          <cell r="CG2">
            <v>22</v>
          </cell>
          <cell r="CH2">
            <v>20</v>
          </cell>
          <cell r="CI2">
            <v>22</v>
          </cell>
          <cell r="CJ2">
            <v>25</v>
          </cell>
          <cell r="CK2">
            <v>23</v>
          </cell>
          <cell r="CW2">
            <v>0</v>
          </cell>
          <cell r="CY2">
            <v>0</v>
          </cell>
          <cell r="CZ2">
            <v>0</v>
          </cell>
          <cell r="DA2">
            <v>0</v>
          </cell>
          <cell r="DB2">
            <v>0</v>
          </cell>
          <cell r="DC2">
            <v>0</v>
          </cell>
          <cell r="DD2">
            <v>0</v>
          </cell>
          <cell r="DE2">
            <v>0</v>
          </cell>
          <cell r="DF2">
            <v>0</v>
          </cell>
          <cell r="DG2">
            <v>0</v>
          </cell>
          <cell r="DH2">
            <v>0</v>
          </cell>
          <cell r="DS2">
            <v>38</v>
          </cell>
          <cell r="DT2">
            <v>365</v>
          </cell>
          <cell r="DU2">
            <v>999999</v>
          </cell>
          <cell r="DV2">
            <v>999999</v>
          </cell>
          <cell r="DW2">
            <v>999999</v>
          </cell>
          <cell r="DX2">
            <v>41</v>
          </cell>
          <cell r="DY2">
            <v>365</v>
          </cell>
          <cell r="DZ2">
            <v>999999</v>
          </cell>
          <cell r="EA2">
            <v>999999</v>
          </cell>
          <cell r="EB2">
            <v>999999</v>
          </cell>
          <cell r="EC2">
            <v>0</v>
          </cell>
          <cell r="ED2">
            <v>0</v>
          </cell>
          <cell r="EE2">
            <v>0</v>
          </cell>
          <cell r="EF2">
            <v>0</v>
          </cell>
          <cell r="EG2">
            <v>0</v>
          </cell>
          <cell r="EH2">
            <v>0</v>
          </cell>
          <cell r="EI2">
            <v>0</v>
          </cell>
          <cell r="EJ2">
            <v>0</v>
          </cell>
          <cell r="EK2">
            <v>0</v>
          </cell>
          <cell r="EL2">
            <v>0</v>
          </cell>
          <cell r="EM2">
            <v>7000</v>
          </cell>
          <cell r="EN2">
            <v>5000</v>
          </cell>
          <cell r="EO2">
            <v>0</v>
          </cell>
          <cell r="EP2">
            <v>9000</v>
          </cell>
          <cell r="EQ2">
            <v>5000</v>
          </cell>
          <cell r="ER2">
            <v>8000</v>
          </cell>
          <cell r="ES2">
            <v>300</v>
          </cell>
          <cell r="ET2">
            <v>5000</v>
          </cell>
          <cell r="EU2">
            <v>5000</v>
          </cell>
          <cell r="EV2">
            <v>5000</v>
          </cell>
          <cell r="EW2">
            <v>10000</v>
          </cell>
          <cell r="EX2">
            <v>10000</v>
          </cell>
          <cell r="EY2">
            <v>10000</v>
          </cell>
          <cell r="EZ2">
            <v>10000</v>
          </cell>
          <cell r="FA2">
            <v>10000</v>
          </cell>
          <cell r="FB2">
            <v>10000</v>
          </cell>
          <cell r="FC2">
            <v>16000</v>
          </cell>
          <cell r="FD2">
            <v>10000</v>
          </cell>
          <cell r="FE2">
            <v>10000</v>
          </cell>
          <cell r="FF2">
            <v>10000</v>
          </cell>
          <cell r="FG2">
            <v>5000</v>
          </cell>
          <cell r="FH2">
            <v>1000</v>
          </cell>
          <cell r="FI2">
            <v>0</v>
          </cell>
          <cell r="FJ2">
            <v>0</v>
          </cell>
          <cell r="FK2">
            <v>0</v>
          </cell>
          <cell r="FL2">
            <v>5000</v>
          </cell>
          <cell r="FM2">
            <v>1000</v>
          </cell>
          <cell r="FN2">
            <v>0</v>
          </cell>
          <cell r="FO2">
            <v>0</v>
          </cell>
          <cell r="FP2">
            <v>0</v>
          </cell>
        </row>
        <row r="3">
          <cell r="N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AJ3">
            <v>21</v>
          </cell>
          <cell r="AK3">
            <v>19</v>
          </cell>
          <cell r="AL3">
            <v>999999</v>
          </cell>
          <cell r="AM3">
            <v>76</v>
          </cell>
          <cell r="AN3">
            <v>24</v>
          </cell>
          <cell r="AO3">
            <v>24</v>
          </cell>
          <cell r="AP3">
            <v>0</v>
          </cell>
          <cell r="AQ3">
            <v>24</v>
          </cell>
          <cell r="AR3">
            <v>22</v>
          </cell>
          <cell r="AS3">
            <v>22</v>
          </cell>
          <cell r="BE3">
            <v>48000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  <cell r="CB3">
            <v>18</v>
          </cell>
          <cell r="CC3">
            <v>11</v>
          </cell>
          <cell r="CD3">
            <v>40</v>
          </cell>
          <cell r="CE3">
            <v>13</v>
          </cell>
          <cell r="CF3">
            <v>19</v>
          </cell>
          <cell r="CG3">
            <v>21</v>
          </cell>
          <cell r="CH3">
            <v>19</v>
          </cell>
          <cell r="CI3">
            <v>21</v>
          </cell>
          <cell r="CJ3">
            <v>24</v>
          </cell>
          <cell r="CK3">
            <v>22</v>
          </cell>
          <cell r="CW3">
            <v>0</v>
          </cell>
          <cell r="CY3">
            <v>0</v>
          </cell>
          <cell r="CZ3">
            <v>0</v>
          </cell>
          <cell r="DA3">
            <v>0</v>
          </cell>
          <cell r="DB3">
            <v>0</v>
          </cell>
          <cell r="DC3">
            <v>0</v>
          </cell>
          <cell r="DD3">
            <v>0</v>
          </cell>
          <cell r="DE3">
            <v>0</v>
          </cell>
          <cell r="DF3">
            <v>0</v>
          </cell>
          <cell r="DG3">
            <v>0</v>
          </cell>
          <cell r="DH3">
            <v>0</v>
          </cell>
          <cell r="DS3">
            <v>37</v>
          </cell>
          <cell r="DT3">
            <v>364</v>
          </cell>
          <cell r="DU3">
            <v>999999</v>
          </cell>
          <cell r="DV3">
            <v>999999</v>
          </cell>
          <cell r="DW3">
            <v>999999</v>
          </cell>
          <cell r="DX3">
            <v>40</v>
          </cell>
          <cell r="DY3">
            <v>364</v>
          </cell>
          <cell r="DZ3">
            <v>999999</v>
          </cell>
          <cell r="EA3">
            <v>999999</v>
          </cell>
          <cell r="EB3">
            <v>999999</v>
          </cell>
          <cell r="EC3">
            <v>0</v>
          </cell>
          <cell r="ED3">
            <v>0</v>
          </cell>
          <cell r="EE3">
            <v>0</v>
          </cell>
          <cell r="EF3">
            <v>0</v>
          </cell>
          <cell r="EG3">
            <v>0</v>
          </cell>
          <cell r="EH3">
            <v>0</v>
          </cell>
          <cell r="EI3">
            <v>0</v>
          </cell>
          <cell r="EJ3">
            <v>0</v>
          </cell>
          <cell r="EK3">
            <v>0</v>
          </cell>
          <cell r="EL3">
            <v>0</v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T3" t="str">
            <v/>
          </cell>
          <cell r="EU3" t="str">
            <v/>
          </cell>
          <cell r="EV3" t="str">
            <v/>
          </cell>
          <cell r="EW3" t="str">
            <v/>
          </cell>
          <cell r="EX3" t="str">
            <v/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 t="str">
            <v/>
          </cell>
          <cell r="FE3" t="str">
            <v/>
          </cell>
          <cell r="FF3" t="str">
            <v/>
          </cell>
          <cell r="FG3" t="str">
            <v/>
          </cell>
          <cell r="FH3" t="str">
            <v/>
          </cell>
          <cell r="FI3" t="str">
            <v/>
          </cell>
          <cell r="FJ3" t="str">
            <v/>
          </cell>
          <cell r="FK3" t="str">
            <v/>
          </cell>
          <cell r="FL3" t="str">
            <v/>
          </cell>
          <cell r="FM3" t="str">
            <v/>
          </cell>
          <cell r="FN3" t="str">
            <v/>
          </cell>
          <cell r="FO3" t="str">
            <v/>
          </cell>
          <cell r="FP3" t="str">
            <v/>
          </cell>
        </row>
        <row r="4">
          <cell r="N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J4">
            <v>20</v>
          </cell>
          <cell r="AK4">
            <v>18</v>
          </cell>
          <cell r="AL4">
            <v>999999</v>
          </cell>
          <cell r="AM4">
            <v>75</v>
          </cell>
          <cell r="AN4">
            <v>23</v>
          </cell>
          <cell r="AO4">
            <v>23</v>
          </cell>
          <cell r="AP4">
            <v>0</v>
          </cell>
          <cell r="AQ4">
            <v>23</v>
          </cell>
          <cell r="AR4">
            <v>21</v>
          </cell>
          <cell r="AS4">
            <v>21</v>
          </cell>
          <cell r="BE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CB4">
            <v>17</v>
          </cell>
          <cell r="CC4">
            <v>10</v>
          </cell>
          <cell r="CD4">
            <v>39</v>
          </cell>
          <cell r="CE4">
            <v>12</v>
          </cell>
          <cell r="CF4">
            <v>18</v>
          </cell>
          <cell r="CG4">
            <v>20</v>
          </cell>
          <cell r="CH4">
            <v>18</v>
          </cell>
          <cell r="CI4">
            <v>20</v>
          </cell>
          <cell r="CJ4">
            <v>23</v>
          </cell>
          <cell r="CK4">
            <v>21</v>
          </cell>
          <cell r="CW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  <cell r="DC4">
            <v>0</v>
          </cell>
          <cell r="DD4">
            <v>0</v>
          </cell>
          <cell r="DE4">
            <v>0</v>
          </cell>
          <cell r="DF4">
            <v>0</v>
          </cell>
          <cell r="DG4">
            <v>0</v>
          </cell>
          <cell r="DH4">
            <v>0</v>
          </cell>
          <cell r="DS4">
            <v>36</v>
          </cell>
          <cell r="DT4">
            <v>363</v>
          </cell>
          <cell r="DU4">
            <v>999999</v>
          </cell>
          <cell r="DV4">
            <v>999999</v>
          </cell>
          <cell r="DW4">
            <v>999999</v>
          </cell>
          <cell r="DX4">
            <v>39</v>
          </cell>
          <cell r="DY4">
            <v>363</v>
          </cell>
          <cell r="DZ4">
            <v>999999</v>
          </cell>
          <cell r="EA4">
            <v>999999</v>
          </cell>
          <cell r="EB4">
            <v>999999</v>
          </cell>
          <cell r="EC4">
            <v>0</v>
          </cell>
          <cell r="ED4">
            <v>0</v>
          </cell>
          <cell r="EE4">
            <v>0</v>
          </cell>
          <cell r="EF4">
            <v>0</v>
          </cell>
          <cell r="EG4">
            <v>0</v>
          </cell>
          <cell r="EH4">
            <v>0</v>
          </cell>
          <cell r="EI4">
            <v>0</v>
          </cell>
          <cell r="EJ4">
            <v>0</v>
          </cell>
          <cell r="EK4">
            <v>0</v>
          </cell>
          <cell r="EL4">
            <v>0</v>
          </cell>
          <cell r="EM4" t="str">
            <v/>
          </cell>
          <cell r="EN4" t="str">
            <v/>
          </cell>
          <cell r="EO4" t="str">
            <v/>
          </cell>
          <cell r="EP4" t="str">
            <v/>
          </cell>
          <cell r="EQ4" t="str">
            <v/>
          </cell>
          <cell r="ER4" t="str">
            <v/>
          </cell>
          <cell r="ES4" t="str">
            <v/>
          </cell>
          <cell r="ET4" t="str">
            <v/>
          </cell>
          <cell r="EU4" t="str">
            <v/>
          </cell>
          <cell r="EV4" t="str">
            <v/>
          </cell>
          <cell r="EW4" t="str">
            <v/>
          </cell>
          <cell r="EX4" t="str">
            <v/>
          </cell>
          <cell r="EY4" t="str">
            <v/>
          </cell>
          <cell r="EZ4" t="str">
            <v/>
          </cell>
          <cell r="FA4" t="str">
            <v/>
          </cell>
          <cell r="FB4" t="str">
            <v/>
          </cell>
          <cell r="FC4" t="str">
            <v/>
          </cell>
          <cell r="FD4" t="str">
            <v/>
          </cell>
          <cell r="FE4" t="str">
            <v/>
          </cell>
          <cell r="FF4" t="str">
            <v/>
          </cell>
          <cell r="FG4" t="str">
            <v/>
          </cell>
          <cell r="FH4" t="str">
            <v/>
          </cell>
          <cell r="FI4" t="str">
            <v/>
          </cell>
          <cell r="FJ4" t="str">
            <v/>
          </cell>
          <cell r="FK4" t="str">
            <v/>
          </cell>
          <cell r="FL4" t="str">
            <v/>
          </cell>
          <cell r="FM4" t="str">
            <v/>
          </cell>
          <cell r="FN4" t="str">
            <v/>
          </cell>
          <cell r="FO4" t="str">
            <v/>
          </cell>
          <cell r="FP4" t="str">
            <v/>
          </cell>
        </row>
        <row r="5">
          <cell r="N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J5">
            <v>19</v>
          </cell>
          <cell r="AK5">
            <v>17</v>
          </cell>
          <cell r="AL5">
            <v>999999</v>
          </cell>
          <cell r="AM5">
            <v>74</v>
          </cell>
          <cell r="AN5">
            <v>22</v>
          </cell>
          <cell r="AO5">
            <v>22</v>
          </cell>
          <cell r="AP5">
            <v>0</v>
          </cell>
          <cell r="AQ5">
            <v>22</v>
          </cell>
          <cell r="AR5">
            <v>20</v>
          </cell>
          <cell r="AS5">
            <v>20</v>
          </cell>
          <cell r="BE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CB5">
            <v>16</v>
          </cell>
          <cell r="CC5">
            <v>9</v>
          </cell>
          <cell r="CD5">
            <v>38</v>
          </cell>
          <cell r="CE5">
            <v>11</v>
          </cell>
          <cell r="CF5">
            <v>17</v>
          </cell>
          <cell r="CG5">
            <v>19</v>
          </cell>
          <cell r="CH5">
            <v>17</v>
          </cell>
          <cell r="CI5">
            <v>19</v>
          </cell>
          <cell r="CJ5">
            <v>22</v>
          </cell>
          <cell r="CK5">
            <v>20</v>
          </cell>
          <cell r="CW5">
            <v>0</v>
          </cell>
          <cell r="CY5">
            <v>0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0</v>
          </cell>
          <cell r="DS5">
            <v>35</v>
          </cell>
          <cell r="DT5">
            <v>362</v>
          </cell>
          <cell r="DU5">
            <v>999999</v>
          </cell>
          <cell r="DV5">
            <v>999999</v>
          </cell>
          <cell r="DW5">
            <v>999999</v>
          </cell>
          <cell r="DX5">
            <v>38</v>
          </cell>
          <cell r="DY5">
            <v>362</v>
          </cell>
          <cell r="DZ5">
            <v>999999</v>
          </cell>
          <cell r="EA5">
            <v>999999</v>
          </cell>
          <cell r="EB5">
            <v>999999</v>
          </cell>
          <cell r="EC5">
            <v>0</v>
          </cell>
          <cell r="ED5">
            <v>0</v>
          </cell>
          <cell r="EE5">
            <v>0</v>
          </cell>
          <cell r="EF5">
            <v>0</v>
          </cell>
          <cell r="EG5">
            <v>0</v>
          </cell>
          <cell r="EH5">
            <v>0</v>
          </cell>
          <cell r="EI5">
            <v>0</v>
          </cell>
          <cell r="EJ5">
            <v>0</v>
          </cell>
          <cell r="EK5">
            <v>0</v>
          </cell>
          <cell r="EL5">
            <v>0</v>
          </cell>
          <cell r="EM5" t="str">
            <v/>
          </cell>
          <cell r="EN5" t="str">
            <v/>
          </cell>
          <cell r="EO5" t="str">
            <v/>
          </cell>
          <cell r="EP5" t="str">
            <v/>
          </cell>
          <cell r="EQ5" t="str">
            <v/>
          </cell>
          <cell r="ER5" t="str">
            <v/>
          </cell>
          <cell r="ES5" t="str">
            <v/>
          </cell>
          <cell r="ET5" t="str">
            <v/>
          </cell>
          <cell r="EU5" t="str">
            <v/>
          </cell>
          <cell r="EV5" t="str">
            <v/>
          </cell>
          <cell r="EW5" t="str">
            <v/>
          </cell>
          <cell r="EX5" t="str">
            <v/>
          </cell>
          <cell r="EY5" t="str">
            <v/>
          </cell>
          <cell r="EZ5" t="str">
            <v/>
          </cell>
          <cell r="FA5" t="str">
            <v/>
          </cell>
          <cell r="FB5" t="str">
            <v/>
          </cell>
          <cell r="FC5" t="str">
            <v/>
          </cell>
          <cell r="FD5" t="str">
            <v/>
          </cell>
          <cell r="FE5" t="str">
            <v/>
          </cell>
          <cell r="FF5" t="str">
            <v/>
          </cell>
          <cell r="FG5" t="str">
            <v/>
          </cell>
          <cell r="FH5" t="str">
            <v/>
          </cell>
          <cell r="FI5" t="str">
            <v/>
          </cell>
          <cell r="FJ5" t="str">
            <v/>
          </cell>
          <cell r="FK5" t="str">
            <v/>
          </cell>
          <cell r="FL5" t="str">
            <v/>
          </cell>
          <cell r="FM5" t="str">
            <v/>
          </cell>
          <cell r="FN5" t="str">
            <v/>
          </cell>
          <cell r="FO5" t="str">
            <v/>
          </cell>
          <cell r="FP5" t="str">
            <v/>
          </cell>
        </row>
        <row r="6">
          <cell r="N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AJ6">
            <v>18</v>
          </cell>
          <cell r="AK6">
            <v>16</v>
          </cell>
          <cell r="AL6">
            <v>999999</v>
          </cell>
          <cell r="AM6">
            <v>73</v>
          </cell>
          <cell r="AN6">
            <v>21</v>
          </cell>
          <cell r="AO6">
            <v>21</v>
          </cell>
          <cell r="AP6">
            <v>0</v>
          </cell>
          <cell r="AQ6">
            <v>21</v>
          </cell>
          <cell r="AR6">
            <v>19</v>
          </cell>
          <cell r="AS6">
            <v>19</v>
          </cell>
          <cell r="BE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CB6">
            <v>15</v>
          </cell>
          <cell r="CC6">
            <v>8</v>
          </cell>
          <cell r="CD6">
            <v>37</v>
          </cell>
          <cell r="CE6">
            <v>10</v>
          </cell>
          <cell r="CF6">
            <v>16</v>
          </cell>
          <cell r="CG6">
            <v>18</v>
          </cell>
          <cell r="CH6">
            <v>16</v>
          </cell>
          <cell r="CI6">
            <v>18</v>
          </cell>
          <cell r="CJ6">
            <v>21</v>
          </cell>
          <cell r="CK6">
            <v>19</v>
          </cell>
          <cell r="CW6">
            <v>0</v>
          </cell>
          <cell r="CY6">
            <v>0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S6">
            <v>34</v>
          </cell>
          <cell r="DT6">
            <v>361</v>
          </cell>
          <cell r="DU6">
            <v>999999</v>
          </cell>
          <cell r="DV6">
            <v>999999</v>
          </cell>
          <cell r="DW6">
            <v>999999</v>
          </cell>
          <cell r="DX6">
            <v>37</v>
          </cell>
          <cell r="DY6">
            <v>361</v>
          </cell>
          <cell r="DZ6">
            <v>999999</v>
          </cell>
          <cell r="EA6">
            <v>999999</v>
          </cell>
          <cell r="EB6">
            <v>999999</v>
          </cell>
          <cell r="EC6">
            <v>0</v>
          </cell>
          <cell r="ED6">
            <v>0</v>
          </cell>
          <cell r="EE6">
            <v>0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</v>
          </cell>
          <cell r="EK6">
            <v>0</v>
          </cell>
          <cell r="EL6">
            <v>0</v>
          </cell>
          <cell r="EM6" t="str">
            <v/>
          </cell>
          <cell r="EN6" t="str">
            <v/>
          </cell>
          <cell r="EO6" t="str">
            <v/>
          </cell>
          <cell r="EP6" t="str">
            <v/>
          </cell>
          <cell r="EQ6" t="str">
            <v/>
          </cell>
          <cell r="ER6" t="str">
            <v/>
          </cell>
          <cell r="ES6" t="str">
            <v/>
          </cell>
          <cell r="ET6" t="str">
            <v/>
          </cell>
          <cell r="EU6" t="str">
            <v/>
          </cell>
          <cell r="EV6" t="str">
            <v/>
          </cell>
          <cell r="EW6" t="str">
            <v/>
          </cell>
          <cell r="EX6" t="str">
            <v/>
          </cell>
          <cell r="EY6" t="str">
            <v/>
          </cell>
          <cell r="EZ6" t="str">
            <v/>
          </cell>
          <cell r="FA6" t="str">
            <v/>
          </cell>
          <cell r="FB6" t="str">
            <v/>
          </cell>
          <cell r="FC6" t="str">
            <v/>
          </cell>
          <cell r="FD6" t="str">
            <v/>
          </cell>
          <cell r="FE6" t="str">
            <v/>
          </cell>
          <cell r="FF6" t="str">
            <v/>
          </cell>
          <cell r="FG6" t="str">
            <v/>
          </cell>
          <cell r="FH6" t="str">
            <v/>
          </cell>
          <cell r="FI6" t="str">
            <v/>
          </cell>
          <cell r="FJ6" t="str">
            <v/>
          </cell>
          <cell r="FK6" t="str">
            <v/>
          </cell>
          <cell r="FL6" t="str">
            <v/>
          </cell>
          <cell r="FM6" t="str">
            <v/>
          </cell>
          <cell r="FN6" t="str">
            <v/>
          </cell>
          <cell r="FO6" t="str">
            <v/>
          </cell>
          <cell r="FP6" t="str">
            <v/>
          </cell>
        </row>
        <row r="7">
          <cell r="N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AJ7">
            <v>17</v>
          </cell>
          <cell r="AK7">
            <v>15</v>
          </cell>
          <cell r="AL7">
            <v>999999</v>
          </cell>
          <cell r="AM7">
            <v>72</v>
          </cell>
          <cell r="AN7">
            <v>20</v>
          </cell>
          <cell r="AO7">
            <v>20</v>
          </cell>
          <cell r="AP7">
            <v>0</v>
          </cell>
          <cell r="AQ7">
            <v>20</v>
          </cell>
          <cell r="AR7">
            <v>18</v>
          </cell>
          <cell r="AS7">
            <v>18</v>
          </cell>
          <cell r="BE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CB7">
            <v>14</v>
          </cell>
          <cell r="CC7">
            <v>7</v>
          </cell>
          <cell r="CD7">
            <v>36</v>
          </cell>
          <cell r="CE7">
            <v>9</v>
          </cell>
          <cell r="CF7">
            <v>15</v>
          </cell>
          <cell r="CG7">
            <v>17</v>
          </cell>
          <cell r="CH7">
            <v>15</v>
          </cell>
          <cell r="CI7">
            <v>17</v>
          </cell>
          <cell r="CJ7">
            <v>20</v>
          </cell>
          <cell r="CK7">
            <v>18</v>
          </cell>
          <cell r="CW7">
            <v>0</v>
          </cell>
          <cell r="CY7">
            <v>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S7">
            <v>33</v>
          </cell>
          <cell r="DT7">
            <v>360</v>
          </cell>
          <cell r="DU7">
            <v>999999</v>
          </cell>
          <cell r="DV7">
            <v>999999</v>
          </cell>
          <cell r="DW7">
            <v>999999</v>
          </cell>
          <cell r="DX7">
            <v>36</v>
          </cell>
          <cell r="DY7">
            <v>360</v>
          </cell>
          <cell r="DZ7">
            <v>999999</v>
          </cell>
          <cell r="EA7">
            <v>999999</v>
          </cell>
          <cell r="EB7">
            <v>999999</v>
          </cell>
          <cell r="EC7">
            <v>0</v>
          </cell>
          <cell r="ED7">
            <v>0</v>
          </cell>
          <cell r="EE7">
            <v>0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0</v>
          </cell>
          <cell r="EK7">
            <v>0</v>
          </cell>
          <cell r="EL7">
            <v>0</v>
          </cell>
          <cell r="EM7" t="str">
            <v/>
          </cell>
          <cell r="EN7" t="str">
            <v/>
          </cell>
          <cell r="EO7" t="str">
            <v/>
          </cell>
          <cell r="EP7" t="str">
            <v/>
          </cell>
          <cell r="EQ7" t="str">
            <v/>
          </cell>
          <cell r="ER7" t="str">
            <v/>
          </cell>
          <cell r="ES7" t="str">
            <v/>
          </cell>
          <cell r="ET7" t="str">
            <v/>
          </cell>
          <cell r="EU7" t="str">
            <v/>
          </cell>
          <cell r="EV7" t="str">
            <v/>
          </cell>
          <cell r="EW7" t="str">
            <v/>
          </cell>
          <cell r="EX7" t="str">
            <v/>
          </cell>
          <cell r="EY7" t="str">
            <v/>
          </cell>
          <cell r="EZ7" t="str">
            <v/>
          </cell>
          <cell r="FA7" t="str">
            <v/>
          </cell>
          <cell r="FB7" t="str">
            <v/>
          </cell>
          <cell r="FC7" t="str">
            <v/>
          </cell>
          <cell r="FD7" t="str">
            <v/>
          </cell>
          <cell r="FE7" t="str">
            <v/>
          </cell>
          <cell r="FF7" t="str">
            <v/>
          </cell>
          <cell r="FG7" t="str">
            <v/>
          </cell>
          <cell r="FH7" t="str">
            <v/>
          </cell>
          <cell r="FI7" t="str">
            <v/>
          </cell>
          <cell r="FJ7" t="str">
            <v/>
          </cell>
          <cell r="FK7" t="str">
            <v/>
          </cell>
          <cell r="FL7" t="str">
            <v/>
          </cell>
          <cell r="FM7" t="str">
            <v/>
          </cell>
          <cell r="FN7" t="str">
            <v/>
          </cell>
          <cell r="FO7" t="str">
            <v/>
          </cell>
          <cell r="FP7" t="str">
            <v/>
          </cell>
        </row>
        <row r="8">
          <cell r="N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AJ8">
            <v>16</v>
          </cell>
          <cell r="AK8">
            <v>14</v>
          </cell>
          <cell r="AL8">
            <v>999999</v>
          </cell>
          <cell r="AM8">
            <v>71</v>
          </cell>
          <cell r="AN8">
            <v>19</v>
          </cell>
          <cell r="AO8">
            <v>19</v>
          </cell>
          <cell r="AP8">
            <v>0</v>
          </cell>
          <cell r="AQ8">
            <v>19</v>
          </cell>
          <cell r="AR8">
            <v>17</v>
          </cell>
          <cell r="AS8">
            <v>17</v>
          </cell>
          <cell r="BE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CB8">
            <v>13</v>
          </cell>
          <cell r="CC8">
            <v>6</v>
          </cell>
          <cell r="CD8">
            <v>35</v>
          </cell>
          <cell r="CE8">
            <v>8</v>
          </cell>
          <cell r="CF8">
            <v>14</v>
          </cell>
          <cell r="CG8">
            <v>16</v>
          </cell>
          <cell r="CH8">
            <v>14</v>
          </cell>
          <cell r="CI8">
            <v>16</v>
          </cell>
          <cell r="CJ8">
            <v>19</v>
          </cell>
          <cell r="CK8">
            <v>17</v>
          </cell>
          <cell r="CW8">
            <v>0</v>
          </cell>
          <cell r="CY8">
            <v>0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S8">
            <v>32</v>
          </cell>
          <cell r="DT8">
            <v>359</v>
          </cell>
          <cell r="DU8">
            <v>999999</v>
          </cell>
          <cell r="DV8">
            <v>999999</v>
          </cell>
          <cell r="DW8">
            <v>999999</v>
          </cell>
          <cell r="DX8">
            <v>35</v>
          </cell>
          <cell r="DY8">
            <v>359</v>
          </cell>
          <cell r="DZ8">
            <v>999999</v>
          </cell>
          <cell r="EA8">
            <v>999999</v>
          </cell>
          <cell r="EB8">
            <v>999999</v>
          </cell>
          <cell r="EC8">
            <v>0</v>
          </cell>
          <cell r="ED8">
            <v>0</v>
          </cell>
          <cell r="EE8">
            <v>0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0</v>
          </cell>
          <cell r="EK8">
            <v>0</v>
          </cell>
          <cell r="EL8">
            <v>0</v>
          </cell>
          <cell r="EM8" t="str">
            <v/>
          </cell>
          <cell r="EN8" t="str">
            <v/>
          </cell>
          <cell r="EO8" t="str">
            <v/>
          </cell>
          <cell r="EP8" t="str">
            <v/>
          </cell>
          <cell r="EQ8" t="str">
            <v/>
          </cell>
          <cell r="ER8" t="str">
            <v/>
          </cell>
          <cell r="ES8" t="str">
            <v/>
          </cell>
          <cell r="ET8" t="str">
            <v/>
          </cell>
          <cell r="EU8" t="str">
            <v/>
          </cell>
          <cell r="EV8" t="str">
            <v/>
          </cell>
          <cell r="EW8" t="str">
            <v/>
          </cell>
          <cell r="EX8" t="str">
            <v/>
          </cell>
          <cell r="EY8" t="str">
            <v/>
          </cell>
          <cell r="EZ8" t="str">
            <v/>
          </cell>
          <cell r="FA8" t="str">
            <v/>
          </cell>
          <cell r="FB8" t="str">
            <v/>
          </cell>
          <cell r="FC8" t="str">
            <v/>
          </cell>
          <cell r="FD8" t="str">
            <v/>
          </cell>
          <cell r="FE8" t="str">
            <v/>
          </cell>
          <cell r="FF8" t="str">
            <v/>
          </cell>
          <cell r="FG8" t="str">
            <v/>
          </cell>
          <cell r="FH8" t="str">
            <v/>
          </cell>
          <cell r="FI8" t="str">
            <v/>
          </cell>
          <cell r="FJ8" t="str">
            <v/>
          </cell>
          <cell r="FK8" t="str">
            <v/>
          </cell>
          <cell r="FL8" t="str">
            <v/>
          </cell>
          <cell r="FM8" t="str">
            <v/>
          </cell>
          <cell r="FN8" t="str">
            <v/>
          </cell>
          <cell r="FO8" t="str">
            <v/>
          </cell>
          <cell r="FP8" t="str">
            <v/>
          </cell>
        </row>
        <row r="9"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AJ9">
            <v>15</v>
          </cell>
          <cell r="AK9">
            <v>13</v>
          </cell>
          <cell r="AL9">
            <v>999999</v>
          </cell>
          <cell r="AM9">
            <v>70</v>
          </cell>
          <cell r="AN9">
            <v>18</v>
          </cell>
          <cell r="AO9">
            <v>18</v>
          </cell>
          <cell r="AP9">
            <v>0</v>
          </cell>
          <cell r="AQ9">
            <v>18</v>
          </cell>
          <cell r="AR9">
            <v>16</v>
          </cell>
          <cell r="AS9">
            <v>16</v>
          </cell>
          <cell r="BE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CB9">
            <v>12</v>
          </cell>
          <cell r="CC9">
            <v>5</v>
          </cell>
          <cell r="CD9">
            <v>34</v>
          </cell>
          <cell r="CE9">
            <v>7</v>
          </cell>
          <cell r="CF9">
            <v>13</v>
          </cell>
          <cell r="CG9">
            <v>15</v>
          </cell>
          <cell r="CH9">
            <v>13</v>
          </cell>
          <cell r="CI9">
            <v>15</v>
          </cell>
          <cell r="CJ9">
            <v>18</v>
          </cell>
          <cell r="CK9">
            <v>16</v>
          </cell>
          <cell r="CW9">
            <v>0</v>
          </cell>
          <cell r="CY9">
            <v>0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H9">
            <v>0</v>
          </cell>
          <cell r="DS9">
            <v>31</v>
          </cell>
          <cell r="DT9">
            <v>358</v>
          </cell>
          <cell r="DU9">
            <v>999999</v>
          </cell>
          <cell r="DV9">
            <v>999999</v>
          </cell>
          <cell r="DW9">
            <v>999999</v>
          </cell>
          <cell r="DX9">
            <v>34</v>
          </cell>
          <cell r="DY9">
            <v>358</v>
          </cell>
          <cell r="DZ9">
            <v>999999</v>
          </cell>
          <cell r="EA9">
            <v>999999</v>
          </cell>
          <cell r="EB9">
            <v>999999</v>
          </cell>
          <cell r="EC9">
            <v>0</v>
          </cell>
          <cell r="ED9">
            <v>0</v>
          </cell>
          <cell r="EE9">
            <v>0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0</v>
          </cell>
          <cell r="EK9">
            <v>0</v>
          </cell>
          <cell r="EL9">
            <v>0</v>
          </cell>
          <cell r="EM9" t="str">
            <v/>
          </cell>
          <cell r="EN9" t="str">
            <v/>
          </cell>
          <cell r="EO9" t="str">
            <v/>
          </cell>
          <cell r="EP9" t="str">
            <v/>
          </cell>
          <cell r="EQ9" t="str">
            <v/>
          </cell>
          <cell r="ER9" t="str">
            <v/>
          </cell>
          <cell r="ES9" t="str">
            <v/>
          </cell>
          <cell r="ET9" t="str">
            <v/>
          </cell>
          <cell r="EU9" t="str">
            <v/>
          </cell>
          <cell r="EV9" t="str">
            <v/>
          </cell>
          <cell r="EW9" t="str">
            <v/>
          </cell>
          <cell r="EX9" t="str">
            <v/>
          </cell>
          <cell r="EY9" t="str">
            <v/>
          </cell>
          <cell r="EZ9" t="str">
            <v/>
          </cell>
          <cell r="FA9" t="str">
            <v/>
          </cell>
          <cell r="FB9" t="str">
            <v/>
          </cell>
          <cell r="FC9" t="str">
            <v/>
          </cell>
          <cell r="FD9" t="str">
            <v/>
          </cell>
          <cell r="FE9" t="str">
            <v/>
          </cell>
          <cell r="FF9" t="str">
            <v/>
          </cell>
          <cell r="FG9" t="str">
            <v/>
          </cell>
          <cell r="FH9" t="str">
            <v/>
          </cell>
          <cell r="FI9" t="str">
            <v/>
          </cell>
          <cell r="FJ9" t="str">
            <v/>
          </cell>
          <cell r="FK9" t="str">
            <v/>
          </cell>
          <cell r="FL9" t="str">
            <v/>
          </cell>
          <cell r="FM9" t="str">
            <v/>
          </cell>
          <cell r="FN9" t="str">
            <v/>
          </cell>
          <cell r="FO9" t="str">
            <v/>
          </cell>
          <cell r="FP9" t="str">
            <v/>
          </cell>
        </row>
        <row r="10"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AJ10">
            <v>14</v>
          </cell>
          <cell r="AK10">
            <v>12</v>
          </cell>
          <cell r="AL10">
            <v>999999</v>
          </cell>
          <cell r="AM10">
            <v>69</v>
          </cell>
          <cell r="AN10">
            <v>17</v>
          </cell>
          <cell r="AO10">
            <v>17</v>
          </cell>
          <cell r="AP10">
            <v>0</v>
          </cell>
          <cell r="AQ10">
            <v>17</v>
          </cell>
          <cell r="AR10">
            <v>15</v>
          </cell>
          <cell r="AS10">
            <v>15</v>
          </cell>
          <cell r="BE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CB10">
            <v>11</v>
          </cell>
          <cell r="CC10">
            <v>4</v>
          </cell>
          <cell r="CD10">
            <v>33</v>
          </cell>
          <cell r="CE10">
            <v>6</v>
          </cell>
          <cell r="CF10">
            <v>12</v>
          </cell>
          <cell r="CG10">
            <v>14</v>
          </cell>
          <cell r="CH10">
            <v>12</v>
          </cell>
          <cell r="CI10">
            <v>14</v>
          </cell>
          <cell r="CJ10">
            <v>17</v>
          </cell>
          <cell r="CK10">
            <v>15</v>
          </cell>
          <cell r="CW10">
            <v>0</v>
          </cell>
          <cell r="CY10">
            <v>0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S10">
            <v>30</v>
          </cell>
          <cell r="DT10">
            <v>357</v>
          </cell>
          <cell r="DU10">
            <v>999999</v>
          </cell>
          <cell r="DV10">
            <v>999999</v>
          </cell>
          <cell r="DW10">
            <v>999999</v>
          </cell>
          <cell r="DX10">
            <v>33</v>
          </cell>
          <cell r="DY10">
            <v>357</v>
          </cell>
          <cell r="DZ10">
            <v>999999</v>
          </cell>
          <cell r="EA10">
            <v>999999</v>
          </cell>
          <cell r="EB10">
            <v>999999</v>
          </cell>
          <cell r="EC10">
            <v>0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  <cell r="EI10">
            <v>0</v>
          </cell>
          <cell r="EJ10">
            <v>0</v>
          </cell>
          <cell r="EK10">
            <v>0</v>
          </cell>
          <cell r="EL10">
            <v>0</v>
          </cell>
          <cell r="EM10" t="str">
            <v/>
          </cell>
          <cell r="EN10" t="str">
            <v/>
          </cell>
          <cell r="EO10" t="str">
            <v/>
          </cell>
          <cell r="EP10" t="str">
            <v/>
          </cell>
          <cell r="EQ10" t="str">
            <v/>
          </cell>
          <cell r="ER10" t="str">
            <v/>
          </cell>
          <cell r="ES10" t="str">
            <v/>
          </cell>
          <cell r="ET10" t="str">
            <v/>
          </cell>
          <cell r="EU10" t="str">
            <v/>
          </cell>
          <cell r="EV10" t="str">
            <v/>
          </cell>
          <cell r="EW10" t="str">
            <v/>
          </cell>
          <cell r="EX10" t="str">
            <v/>
          </cell>
          <cell r="EY10" t="str">
            <v/>
          </cell>
          <cell r="EZ10" t="str">
            <v/>
          </cell>
          <cell r="FA10" t="str">
            <v/>
          </cell>
          <cell r="FB10" t="str">
            <v/>
          </cell>
          <cell r="FC10" t="str">
            <v/>
          </cell>
          <cell r="FD10" t="str">
            <v/>
          </cell>
          <cell r="FE10" t="str">
            <v/>
          </cell>
          <cell r="FF10" t="str">
            <v/>
          </cell>
          <cell r="FG10" t="str">
            <v/>
          </cell>
          <cell r="FH10" t="str">
            <v/>
          </cell>
          <cell r="FI10" t="str">
            <v/>
          </cell>
          <cell r="FJ10" t="str">
            <v/>
          </cell>
          <cell r="FK10" t="str">
            <v/>
          </cell>
          <cell r="FL10" t="str">
            <v/>
          </cell>
          <cell r="FM10" t="str">
            <v/>
          </cell>
          <cell r="FN10" t="str">
            <v/>
          </cell>
          <cell r="FO10" t="str">
            <v/>
          </cell>
          <cell r="FP10" t="str">
            <v/>
          </cell>
        </row>
        <row r="11">
          <cell r="N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AJ11">
            <v>13</v>
          </cell>
          <cell r="AK11">
            <v>11</v>
          </cell>
          <cell r="AL11">
            <v>999999</v>
          </cell>
          <cell r="AM11">
            <v>68</v>
          </cell>
          <cell r="AN11">
            <v>16</v>
          </cell>
          <cell r="AO11">
            <v>16</v>
          </cell>
          <cell r="AP11">
            <v>0</v>
          </cell>
          <cell r="AQ11">
            <v>16</v>
          </cell>
          <cell r="AR11">
            <v>14</v>
          </cell>
          <cell r="AS11">
            <v>14</v>
          </cell>
          <cell r="BE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CB11">
            <v>10</v>
          </cell>
          <cell r="CC11">
            <v>3</v>
          </cell>
          <cell r="CD11">
            <v>32</v>
          </cell>
          <cell r="CE11">
            <v>5</v>
          </cell>
          <cell r="CF11">
            <v>11</v>
          </cell>
          <cell r="CG11">
            <v>13</v>
          </cell>
          <cell r="CH11">
            <v>11</v>
          </cell>
          <cell r="CI11">
            <v>13</v>
          </cell>
          <cell r="CJ11">
            <v>16</v>
          </cell>
          <cell r="CK11">
            <v>14</v>
          </cell>
          <cell r="CW11">
            <v>0</v>
          </cell>
          <cell r="CY11">
            <v>0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S11">
            <v>29</v>
          </cell>
          <cell r="DT11">
            <v>356</v>
          </cell>
          <cell r="DU11">
            <v>999999</v>
          </cell>
          <cell r="DV11">
            <v>999999</v>
          </cell>
          <cell r="DW11">
            <v>999999</v>
          </cell>
          <cell r="DX11">
            <v>32</v>
          </cell>
          <cell r="DY11">
            <v>356</v>
          </cell>
          <cell r="DZ11">
            <v>999999</v>
          </cell>
          <cell r="EA11">
            <v>999999</v>
          </cell>
          <cell r="EB11">
            <v>999999</v>
          </cell>
          <cell r="EC11">
            <v>0</v>
          </cell>
          <cell r="ED11">
            <v>0</v>
          </cell>
          <cell r="EE11">
            <v>0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0</v>
          </cell>
          <cell r="EK11">
            <v>0</v>
          </cell>
          <cell r="EL11">
            <v>0</v>
          </cell>
          <cell r="EM11" t="str">
            <v/>
          </cell>
          <cell r="EN11" t="str">
            <v/>
          </cell>
          <cell r="EO11" t="str">
            <v/>
          </cell>
          <cell r="EP11" t="str">
            <v/>
          </cell>
          <cell r="EQ11" t="str">
            <v/>
          </cell>
          <cell r="ER11" t="str">
            <v/>
          </cell>
          <cell r="ES11" t="str">
            <v/>
          </cell>
          <cell r="ET11" t="str">
            <v/>
          </cell>
          <cell r="EU11" t="str">
            <v/>
          </cell>
          <cell r="EV11" t="str">
            <v/>
          </cell>
          <cell r="EW11" t="str">
            <v/>
          </cell>
          <cell r="EX11" t="str">
            <v/>
          </cell>
          <cell r="EY11" t="str">
            <v/>
          </cell>
          <cell r="EZ11" t="str">
            <v/>
          </cell>
          <cell r="FA11" t="str">
            <v/>
          </cell>
          <cell r="FB11" t="str">
            <v/>
          </cell>
          <cell r="FC11" t="str">
            <v/>
          </cell>
          <cell r="FD11" t="str">
            <v/>
          </cell>
          <cell r="FE11" t="str">
            <v/>
          </cell>
          <cell r="FF11" t="str">
            <v/>
          </cell>
          <cell r="FG11" t="str">
            <v/>
          </cell>
          <cell r="FH11" t="str">
            <v/>
          </cell>
          <cell r="FI11" t="str">
            <v/>
          </cell>
          <cell r="FJ11" t="str">
            <v/>
          </cell>
          <cell r="FK11" t="str">
            <v/>
          </cell>
          <cell r="FL11" t="str">
            <v/>
          </cell>
          <cell r="FM11" t="str">
            <v/>
          </cell>
          <cell r="FN11" t="str">
            <v/>
          </cell>
          <cell r="FO11" t="str">
            <v/>
          </cell>
          <cell r="FP11" t="str">
            <v/>
          </cell>
        </row>
        <row r="12"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AJ12">
            <v>12</v>
          </cell>
          <cell r="AK12">
            <v>10</v>
          </cell>
          <cell r="AL12">
            <v>999999</v>
          </cell>
          <cell r="AM12">
            <v>67</v>
          </cell>
          <cell r="AN12">
            <v>15</v>
          </cell>
          <cell r="AO12">
            <v>15</v>
          </cell>
          <cell r="AP12">
            <v>0</v>
          </cell>
          <cell r="AQ12">
            <v>15</v>
          </cell>
          <cell r="AR12">
            <v>13</v>
          </cell>
          <cell r="AS12">
            <v>13</v>
          </cell>
          <cell r="BE12">
            <v>48000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CB12">
            <v>9</v>
          </cell>
          <cell r="CC12">
            <v>2</v>
          </cell>
          <cell r="CD12">
            <v>31</v>
          </cell>
          <cell r="CE12">
            <v>4</v>
          </cell>
          <cell r="CF12">
            <v>10</v>
          </cell>
          <cell r="CG12">
            <v>12</v>
          </cell>
          <cell r="CH12">
            <v>10</v>
          </cell>
          <cell r="CI12">
            <v>12</v>
          </cell>
          <cell r="CJ12">
            <v>15</v>
          </cell>
          <cell r="CK12">
            <v>13</v>
          </cell>
          <cell r="CW12">
            <v>0</v>
          </cell>
          <cell r="CY12">
            <v>0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S12">
            <v>28</v>
          </cell>
          <cell r="DT12">
            <v>355</v>
          </cell>
          <cell r="DU12">
            <v>999999</v>
          </cell>
          <cell r="DV12">
            <v>999999</v>
          </cell>
          <cell r="DW12">
            <v>999999</v>
          </cell>
          <cell r="DX12">
            <v>31</v>
          </cell>
          <cell r="DY12">
            <v>355</v>
          </cell>
          <cell r="DZ12">
            <v>999999</v>
          </cell>
          <cell r="EA12">
            <v>999999</v>
          </cell>
          <cell r="EB12">
            <v>999999</v>
          </cell>
          <cell r="EC12">
            <v>0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0</v>
          </cell>
          <cell r="EL12">
            <v>0</v>
          </cell>
          <cell r="EM12" t="str">
            <v/>
          </cell>
          <cell r="EN12" t="str">
            <v/>
          </cell>
          <cell r="EO12" t="str">
            <v/>
          </cell>
          <cell r="EP12" t="str">
            <v/>
          </cell>
          <cell r="EQ12" t="str">
            <v/>
          </cell>
          <cell r="ER12" t="str">
            <v/>
          </cell>
          <cell r="ES12" t="str">
            <v/>
          </cell>
          <cell r="ET12" t="str">
            <v/>
          </cell>
          <cell r="EU12" t="str">
            <v/>
          </cell>
          <cell r="EV12" t="str">
            <v/>
          </cell>
          <cell r="EW12" t="str">
            <v/>
          </cell>
          <cell r="EX12" t="str">
            <v/>
          </cell>
          <cell r="EY12" t="str">
            <v/>
          </cell>
          <cell r="EZ12" t="str">
            <v/>
          </cell>
          <cell r="FA12" t="str">
            <v/>
          </cell>
          <cell r="FB12" t="str">
            <v/>
          </cell>
          <cell r="FC12" t="str">
            <v/>
          </cell>
          <cell r="FD12" t="str">
            <v/>
          </cell>
          <cell r="FE12" t="str">
            <v/>
          </cell>
          <cell r="FF12" t="str">
            <v/>
          </cell>
          <cell r="FG12" t="str">
            <v/>
          </cell>
          <cell r="FH12" t="str">
            <v/>
          </cell>
          <cell r="FI12" t="str">
            <v/>
          </cell>
          <cell r="FJ12" t="str">
            <v/>
          </cell>
          <cell r="FK12" t="str">
            <v/>
          </cell>
          <cell r="FL12" t="str">
            <v/>
          </cell>
          <cell r="FM12" t="str">
            <v/>
          </cell>
          <cell r="FN12" t="str">
            <v/>
          </cell>
          <cell r="FO12" t="str">
            <v/>
          </cell>
          <cell r="FP12" t="str">
            <v/>
          </cell>
        </row>
        <row r="13">
          <cell r="N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J13">
            <v>11</v>
          </cell>
          <cell r="AK13">
            <v>9</v>
          </cell>
          <cell r="AL13">
            <v>999999</v>
          </cell>
          <cell r="AM13">
            <v>66</v>
          </cell>
          <cell r="AN13">
            <v>14</v>
          </cell>
          <cell r="AO13">
            <v>14</v>
          </cell>
          <cell r="AP13">
            <v>0</v>
          </cell>
          <cell r="AQ13">
            <v>14</v>
          </cell>
          <cell r="AR13">
            <v>12</v>
          </cell>
          <cell r="AS13">
            <v>12</v>
          </cell>
          <cell r="BE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CB13">
            <v>8</v>
          </cell>
          <cell r="CC13">
            <v>1</v>
          </cell>
          <cell r="CD13">
            <v>30</v>
          </cell>
          <cell r="CE13">
            <v>3</v>
          </cell>
          <cell r="CF13">
            <v>9</v>
          </cell>
          <cell r="CG13">
            <v>11</v>
          </cell>
          <cell r="CH13">
            <v>9</v>
          </cell>
          <cell r="CI13">
            <v>11</v>
          </cell>
          <cell r="CJ13">
            <v>14</v>
          </cell>
          <cell r="CK13">
            <v>12</v>
          </cell>
          <cell r="CW13">
            <v>0</v>
          </cell>
          <cell r="CY13">
            <v>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S13">
            <v>27</v>
          </cell>
          <cell r="DT13">
            <v>354</v>
          </cell>
          <cell r="DU13">
            <v>999999</v>
          </cell>
          <cell r="DV13">
            <v>999999</v>
          </cell>
          <cell r="DW13">
            <v>999999</v>
          </cell>
          <cell r="DX13">
            <v>30</v>
          </cell>
          <cell r="DY13">
            <v>354</v>
          </cell>
          <cell r="DZ13">
            <v>999999</v>
          </cell>
          <cell r="EA13">
            <v>999999</v>
          </cell>
          <cell r="EB13">
            <v>999999</v>
          </cell>
          <cell r="EC13">
            <v>0</v>
          </cell>
          <cell r="ED13">
            <v>0</v>
          </cell>
          <cell r="EE13">
            <v>0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</v>
          </cell>
          <cell r="EM13" t="str">
            <v/>
          </cell>
          <cell r="EN13" t="str">
            <v/>
          </cell>
          <cell r="EO13" t="str">
            <v/>
          </cell>
          <cell r="EP13" t="str">
            <v/>
          </cell>
          <cell r="EQ13" t="str">
            <v/>
          </cell>
          <cell r="ER13" t="str">
            <v/>
          </cell>
          <cell r="ES13" t="str">
            <v/>
          </cell>
          <cell r="ET13" t="str">
            <v/>
          </cell>
          <cell r="EU13" t="str">
            <v/>
          </cell>
          <cell r="EV13" t="str">
            <v/>
          </cell>
          <cell r="EW13" t="str">
            <v/>
          </cell>
          <cell r="EX13" t="str">
            <v/>
          </cell>
          <cell r="EY13" t="str">
            <v/>
          </cell>
          <cell r="EZ13" t="str">
            <v/>
          </cell>
          <cell r="FA13" t="str">
            <v/>
          </cell>
          <cell r="FB13" t="str">
            <v/>
          </cell>
          <cell r="FC13" t="str">
            <v/>
          </cell>
          <cell r="FD13" t="str">
            <v/>
          </cell>
          <cell r="FE13" t="str">
            <v/>
          </cell>
          <cell r="FF13" t="str">
            <v/>
          </cell>
          <cell r="FG13" t="str">
            <v/>
          </cell>
          <cell r="FH13" t="str">
            <v/>
          </cell>
          <cell r="FI13" t="str">
            <v/>
          </cell>
          <cell r="FJ13" t="str">
            <v/>
          </cell>
          <cell r="FK13" t="str">
            <v/>
          </cell>
          <cell r="FL13" t="str">
            <v/>
          </cell>
          <cell r="FM13" t="str">
            <v/>
          </cell>
          <cell r="FN13" t="str">
            <v/>
          </cell>
          <cell r="FO13" t="str">
            <v/>
          </cell>
          <cell r="FP13" t="str">
            <v/>
          </cell>
        </row>
        <row r="14">
          <cell r="N14">
            <v>0</v>
          </cell>
          <cell r="P14">
            <v>0</v>
          </cell>
          <cell r="Q14">
            <v>0</v>
          </cell>
          <cell r="R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J14">
            <v>10</v>
          </cell>
          <cell r="AK14">
            <v>8</v>
          </cell>
          <cell r="AL14">
            <v>999999</v>
          </cell>
          <cell r="AM14">
            <v>65</v>
          </cell>
          <cell r="AN14">
            <v>13</v>
          </cell>
          <cell r="AO14">
            <v>13</v>
          </cell>
          <cell r="AP14">
            <v>0</v>
          </cell>
          <cell r="AQ14">
            <v>13</v>
          </cell>
          <cell r="AR14">
            <v>11</v>
          </cell>
          <cell r="AS14">
            <v>11</v>
          </cell>
          <cell r="BE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CB14">
            <v>7</v>
          </cell>
          <cell r="CC14">
            <v>0</v>
          </cell>
          <cell r="CD14">
            <v>29</v>
          </cell>
          <cell r="CE14">
            <v>2</v>
          </cell>
          <cell r="CF14">
            <v>8</v>
          </cell>
          <cell r="CG14">
            <v>10</v>
          </cell>
          <cell r="CH14">
            <v>8</v>
          </cell>
          <cell r="CI14">
            <v>10</v>
          </cell>
          <cell r="CJ14">
            <v>13</v>
          </cell>
          <cell r="CK14">
            <v>11</v>
          </cell>
          <cell r="CW14">
            <v>0</v>
          </cell>
          <cell r="CY14">
            <v>0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S14">
            <v>26</v>
          </cell>
          <cell r="DT14">
            <v>353</v>
          </cell>
          <cell r="DU14">
            <v>999999</v>
          </cell>
          <cell r="DV14">
            <v>999999</v>
          </cell>
          <cell r="DW14">
            <v>999999</v>
          </cell>
          <cell r="DX14">
            <v>29</v>
          </cell>
          <cell r="DY14">
            <v>353</v>
          </cell>
          <cell r="DZ14">
            <v>999999</v>
          </cell>
          <cell r="EA14">
            <v>999999</v>
          </cell>
          <cell r="EB14">
            <v>999999</v>
          </cell>
          <cell r="EC14">
            <v>0</v>
          </cell>
          <cell r="ED14">
            <v>0</v>
          </cell>
          <cell r="EE14">
            <v>0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0</v>
          </cell>
          <cell r="EK14">
            <v>0</v>
          </cell>
          <cell r="EL14">
            <v>0</v>
          </cell>
          <cell r="EM14" t="str">
            <v/>
          </cell>
          <cell r="EN14" t="str">
            <v/>
          </cell>
          <cell r="EO14" t="str">
            <v/>
          </cell>
          <cell r="EP14" t="str">
            <v/>
          </cell>
          <cell r="EQ14" t="str">
            <v/>
          </cell>
          <cell r="ER14" t="str">
            <v/>
          </cell>
          <cell r="ES14" t="str">
            <v/>
          </cell>
          <cell r="ET14" t="str">
            <v/>
          </cell>
          <cell r="EU14" t="str">
            <v/>
          </cell>
          <cell r="EV14" t="str">
            <v/>
          </cell>
          <cell r="EW14" t="str">
            <v/>
          </cell>
          <cell r="EX14" t="str">
            <v/>
          </cell>
          <cell r="EY14" t="str">
            <v/>
          </cell>
          <cell r="EZ14" t="str">
            <v/>
          </cell>
          <cell r="FA14" t="str">
            <v/>
          </cell>
          <cell r="FB14" t="str">
            <v/>
          </cell>
          <cell r="FC14" t="str">
            <v/>
          </cell>
          <cell r="FD14" t="str">
            <v/>
          </cell>
          <cell r="FE14" t="str">
            <v/>
          </cell>
          <cell r="FF14" t="str">
            <v/>
          </cell>
          <cell r="FG14" t="str">
            <v/>
          </cell>
          <cell r="FH14" t="str">
            <v/>
          </cell>
          <cell r="FI14" t="str">
            <v/>
          </cell>
          <cell r="FJ14" t="str">
            <v/>
          </cell>
          <cell r="FK14" t="str">
            <v/>
          </cell>
          <cell r="FL14" t="str">
            <v/>
          </cell>
          <cell r="FM14" t="str">
            <v/>
          </cell>
          <cell r="FN14" t="str">
            <v/>
          </cell>
          <cell r="FO14" t="str">
            <v/>
          </cell>
          <cell r="FP14" t="str">
            <v/>
          </cell>
        </row>
        <row r="15"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J15">
            <v>9</v>
          </cell>
          <cell r="AK15">
            <v>7</v>
          </cell>
          <cell r="AL15">
            <v>999999</v>
          </cell>
          <cell r="AM15">
            <v>64</v>
          </cell>
          <cell r="AN15">
            <v>12</v>
          </cell>
          <cell r="AO15">
            <v>12</v>
          </cell>
          <cell r="AP15">
            <v>0</v>
          </cell>
          <cell r="AQ15">
            <v>12</v>
          </cell>
          <cell r="AR15">
            <v>10</v>
          </cell>
          <cell r="AS15">
            <v>10</v>
          </cell>
          <cell r="BE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CB15">
            <v>6</v>
          </cell>
          <cell r="CC15">
            <v>0</v>
          </cell>
          <cell r="CD15">
            <v>28</v>
          </cell>
          <cell r="CE15">
            <v>1</v>
          </cell>
          <cell r="CF15">
            <v>7</v>
          </cell>
          <cell r="CG15">
            <v>9</v>
          </cell>
          <cell r="CH15">
            <v>7</v>
          </cell>
          <cell r="CI15">
            <v>9</v>
          </cell>
          <cell r="CJ15">
            <v>12</v>
          </cell>
          <cell r="CK15">
            <v>10</v>
          </cell>
          <cell r="CW15">
            <v>0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G15">
            <v>0</v>
          </cell>
          <cell r="DH15">
            <v>0</v>
          </cell>
          <cell r="DS15">
            <v>25</v>
          </cell>
          <cell r="DT15">
            <v>352</v>
          </cell>
          <cell r="DU15">
            <v>999999</v>
          </cell>
          <cell r="DV15">
            <v>999999</v>
          </cell>
          <cell r="DW15">
            <v>999999</v>
          </cell>
          <cell r="DX15">
            <v>28</v>
          </cell>
          <cell r="DY15">
            <v>352</v>
          </cell>
          <cell r="DZ15">
            <v>999999</v>
          </cell>
          <cell r="EA15">
            <v>999999</v>
          </cell>
          <cell r="EB15">
            <v>999999</v>
          </cell>
          <cell r="EC15">
            <v>0</v>
          </cell>
          <cell r="ED15">
            <v>0</v>
          </cell>
          <cell r="EE15">
            <v>0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K15">
            <v>0</v>
          </cell>
          <cell r="EL15">
            <v>0</v>
          </cell>
          <cell r="EM15" t="str">
            <v/>
          </cell>
          <cell r="EN15" t="str">
            <v/>
          </cell>
          <cell r="EO15" t="str">
            <v/>
          </cell>
          <cell r="EP15" t="str">
            <v/>
          </cell>
          <cell r="EQ15" t="str">
            <v/>
          </cell>
          <cell r="ER15" t="str">
            <v/>
          </cell>
          <cell r="ES15" t="str">
            <v/>
          </cell>
          <cell r="ET15" t="str">
            <v/>
          </cell>
          <cell r="EU15" t="str">
            <v/>
          </cell>
          <cell r="EV15" t="str">
            <v/>
          </cell>
          <cell r="EW15" t="str">
            <v/>
          </cell>
          <cell r="EX15" t="str">
            <v/>
          </cell>
          <cell r="EY15" t="str">
            <v/>
          </cell>
          <cell r="EZ15" t="str">
            <v/>
          </cell>
          <cell r="FA15" t="str">
            <v/>
          </cell>
          <cell r="FB15" t="str">
            <v/>
          </cell>
          <cell r="FC15" t="str">
            <v/>
          </cell>
          <cell r="FD15" t="str">
            <v/>
          </cell>
          <cell r="FE15" t="str">
            <v/>
          </cell>
          <cell r="FF15" t="str">
            <v/>
          </cell>
          <cell r="FG15" t="str">
            <v/>
          </cell>
          <cell r="FH15" t="str">
            <v/>
          </cell>
          <cell r="FI15" t="str">
            <v/>
          </cell>
          <cell r="FJ15" t="str">
            <v/>
          </cell>
          <cell r="FK15" t="str">
            <v/>
          </cell>
          <cell r="FL15" t="str">
            <v/>
          </cell>
          <cell r="FM15" t="str">
            <v/>
          </cell>
          <cell r="FN15" t="str">
            <v/>
          </cell>
          <cell r="FO15" t="str">
            <v/>
          </cell>
          <cell r="FP15" t="str">
            <v/>
          </cell>
        </row>
        <row r="16">
          <cell r="N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J16">
            <v>8</v>
          </cell>
          <cell r="AK16">
            <v>6</v>
          </cell>
          <cell r="AL16">
            <v>999999</v>
          </cell>
          <cell r="AM16">
            <v>63</v>
          </cell>
          <cell r="AN16">
            <v>11</v>
          </cell>
          <cell r="AO16">
            <v>11</v>
          </cell>
          <cell r="AP16">
            <v>0</v>
          </cell>
          <cell r="AQ16">
            <v>11</v>
          </cell>
          <cell r="AR16">
            <v>9</v>
          </cell>
          <cell r="AS16">
            <v>9</v>
          </cell>
          <cell r="BE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CB16">
            <v>5</v>
          </cell>
          <cell r="CC16">
            <v>0</v>
          </cell>
          <cell r="CD16">
            <v>27</v>
          </cell>
          <cell r="CE16">
            <v>0</v>
          </cell>
          <cell r="CF16">
            <v>6</v>
          </cell>
          <cell r="CG16">
            <v>8</v>
          </cell>
          <cell r="CH16">
            <v>6</v>
          </cell>
          <cell r="CI16">
            <v>8</v>
          </cell>
          <cell r="CJ16">
            <v>11</v>
          </cell>
          <cell r="CK16">
            <v>9</v>
          </cell>
          <cell r="CW16">
            <v>0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S16">
            <v>24</v>
          </cell>
          <cell r="DT16">
            <v>351</v>
          </cell>
          <cell r="DU16">
            <v>999999</v>
          </cell>
          <cell r="DV16">
            <v>999999</v>
          </cell>
          <cell r="DW16">
            <v>999999</v>
          </cell>
          <cell r="DX16">
            <v>27</v>
          </cell>
          <cell r="DY16">
            <v>351</v>
          </cell>
          <cell r="DZ16">
            <v>999999</v>
          </cell>
          <cell r="EA16">
            <v>999999</v>
          </cell>
          <cell r="EB16">
            <v>999999</v>
          </cell>
          <cell r="EC16">
            <v>0</v>
          </cell>
          <cell r="ED16">
            <v>0</v>
          </cell>
          <cell r="EE16">
            <v>0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0</v>
          </cell>
          <cell r="EK16">
            <v>0</v>
          </cell>
          <cell r="EL16">
            <v>0</v>
          </cell>
          <cell r="EM16" t="str">
            <v/>
          </cell>
          <cell r="EN16" t="str">
            <v/>
          </cell>
          <cell r="EO16" t="str">
            <v/>
          </cell>
          <cell r="EP16" t="str">
            <v/>
          </cell>
          <cell r="EQ16" t="str">
            <v/>
          </cell>
          <cell r="ER16" t="str">
            <v/>
          </cell>
          <cell r="ES16" t="str">
            <v/>
          </cell>
          <cell r="ET16" t="str">
            <v/>
          </cell>
          <cell r="EU16" t="str">
            <v/>
          </cell>
          <cell r="EV16" t="str">
            <v/>
          </cell>
          <cell r="EW16" t="str">
            <v/>
          </cell>
          <cell r="EX16" t="str">
            <v/>
          </cell>
          <cell r="EY16" t="str">
            <v/>
          </cell>
          <cell r="EZ16" t="str">
            <v/>
          </cell>
          <cell r="FA16" t="str">
            <v/>
          </cell>
          <cell r="FB16" t="str">
            <v/>
          </cell>
          <cell r="FC16" t="str">
            <v/>
          </cell>
          <cell r="FD16" t="str">
            <v/>
          </cell>
          <cell r="FE16" t="str">
            <v/>
          </cell>
          <cell r="FF16" t="str">
            <v/>
          </cell>
          <cell r="FG16" t="str">
            <v/>
          </cell>
          <cell r="FH16" t="str">
            <v/>
          </cell>
          <cell r="FI16" t="str">
            <v/>
          </cell>
          <cell r="FJ16" t="str">
            <v/>
          </cell>
          <cell r="FK16" t="str">
            <v/>
          </cell>
          <cell r="FL16" t="str">
            <v/>
          </cell>
          <cell r="FM16" t="str">
            <v/>
          </cell>
          <cell r="FN16" t="str">
            <v/>
          </cell>
          <cell r="FO16" t="str">
            <v/>
          </cell>
          <cell r="FP16" t="str">
            <v/>
          </cell>
        </row>
        <row r="17">
          <cell r="N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J17">
            <v>7</v>
          </cell>
          <cell r="AK17">
            <v>5</v>
          </cell>
          <cell r="AL17">
            <v>999999</v>
          </cell>
          <cell r="AM17">
            <v>62</v>
          </cell>
          <cell r="AN17">
            <v>10</v>
          </cell>
          <cell r="AO17">
            <v>10</v>
          </cell>
          <cell r="AP17">
            <v>0</v>
          </cell>
          <cell r="AQ17">
            <v>10</v>
          </cell>
          <cell r="AR17">
            <v>8</v>
          </cell>
          <cell r="AS17">
            <v>8</v>
          </cell>
          <cell r="BE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CB17">
            <v>4</v>
          </cell>
          <cell r="CC17">
            <v>0</v>
          </cell>
          <cell r="CD17">
            <v>26</v>
          </cell>
          <cell r="CE17">
            <v>0</v>
          </cell>
          <cell r="CF17">
            <v>5</v>
          </cell>
          <cell r="CG17">
            <v>7</v>
          </cell>
          <cell r="CH17">
            <v>5</v>
          </cell>
          <cell r="CI17">
            <v>7</v>
          </cell>
          <cell r="CJ17">
            <v>10</v>
          </cell>
          <cell r="CK17">
            <v>8</v>
          </cell>
          <cell r="CW17">
            <v>0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S17">
            <v>23</v>
          </cell>
          <cell r="DT17">
            <v>350</v>
          </cell>
          <cell r="DU17">
            <v>999999</v>
          </cell>
          <cell r="DV17">
            <v>999999</v>
          </cell>
          <cell r="DW17">
            <v>999999</v>
          </cell>
          <cell r="DX17">
            <v>26</v>
          </cell>
          <cell r="DY17">
            <v>350</v>
          </cell>
          <cell r="DZ17">
            <v>999999</v>
          </cell>
          <cell r="EA17">
            <v>999999</v>
          </cell>
          <cell r="EB17">
            <v>999999</v>
          </cell>
          <cell r="EC17">
            <v>0</v>
          </cell>
          <cell r="ED17">
            <v>0</v>
          </cell>
          <cell r="EE17">
            <v>0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0</v>
          </cell>
          <cell r="EK17">
            <v>0</v>
          </cell>
          <cell r="EL17">
            <v>0</v>
          </cell>
          <cell r="EM17" t="str">
            <v/>
          </cell>
          <cell r="EN17" t="str">
            <v/>
          </cell>
          <cell r="EO17" t="str">
            <v/>
          </cell>
          <cell r="EP17" t="str">
            <v/>
          </cell>
          <cell r="EQ17" t="str">
            <v/>
          </cell>
          <cell r="ER17" t="str">
            <v/>
          </cell>
          <cell r="ES17" t="str">
            <v/>
          </cell>
          <cell r="ET17" t="str">
            <v/>
          </cell>
          <cell r="EU17" t="str">
            <v/>
          </cell>
          <cell r="EV17" t="str">
            <v/>
          </cell>
          <cell r="EW17" t="str">
            <v/>
          </cell>
          <cell r="EX17" t="str">
            <v/>
          </cell>
          <cell r="EY17" t="str">
            <v/>
          </cell>
          <cell r="EZ17" t="str">
            <v/>
          </cell>
          <cell r="FA17" t="str">
            <v/>
          </cell>
          <cell r="FB17" t="str">
            <v/>
          </cell>
          <cell r="FC17" t="str">
            <v/>
          </cell>
          <cell r="FD17" t="str">
            <v/>
          </cell>
          <cell r="FE17" t="str">
            <v/>
          </cell>
          <cell r="FF17" t="str">
            <v/>
          </cell>
          <cell r="FG17" t="str">
            <v/>
          </cell>
          <cell r="FH17" t="str">
            <v/>
          </cell>
          <cell r="FI17" t="str">
            <v/>
          </cell>
          <cell r="FJ17" t="str">
            <v/>
          </cell>
          <cell r="FK17" t="str">
            <v/>
          </cell>
          <cell r="FL17" t="str">
            <v/>
          </cell>
          <cell r="FM17" t="str">
            <v/>
          </cell>
          <cell r="FN17" t="str">
            <v/>
          </cell>
          <cell r="FO17" t="str">
            <v/>
          </cell>
          <cell r="FP17" t="str">
            <v/>
          </cell>
        </row>
        <row r="18">
          <cell r="N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J18">
            <v>6</v>
          </cell>
          <cell r="AK18">
            <v>4</v>
          </cell>
          <cell r="AL18">
            <v>999999</v>
          </cell>
          <cell r="AM18">
            <v>61</v>
          </cell>
          <cell r="AN18">
            <v>9</v>
          </cell>
          <cell r="AO18">
            <v>9</v>
          </cell>
          <cell r="AP18">
            <v>0</v>
          </cell>
          <cell r="AQ18">
            <v>9</v>
          </cell>
          <cell r="AR18">
            <v>7</v>
          </cell>
          <cell r="AS18">
            <v>7</v>
          </cell>
          <cell r="BE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CB18">
            <v>3</v>
          </cell>
          <cell r="CC18">
            <v>0</v>
          </cell>
          <cell r="CD18">
            <v>25</v>
          </cell>
          <cell r="CE18">
            <v>0</v>
          </cell>
          <cell r="CF18">
            <v>4</v>
          </cell>
          <cell r="CG18">
            <v>6</v>
          </cell>
          <cell r="CH18">
            <v>4</v>
          </cell>
          <cell r="CI18">
            <v>6</v>
          </cell>
          <cell r="CJ18">
            <v>9</v>
          </cell>
          <cell r="CK18">
            <v>7</v>
          </cell>
          <cell r="CW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S18">
            <v>22</v>
          </cell>
          <cell r="DT18">
            <v>349</v>
          </cell>
          <cell r="DU18">
            <v>999999</v>
          </cell>
          <cell r="DV18">
            <v>999999</v>
          </cell>
          <cell r="DW18">
            <v>999999</v>
          </cell>
          <cell r="DX18">
            <v>25</v>
          </cell>
          <cell r="DY18">
            <v>349</v>
          </cell>
          <cell r="DZ18">
            <v>999999</v>
          </cell>
          <cell r="EA18">
            <v>999999</v>
          </cell>
          <cell r="EB18">
            <v>999999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  <cell r="EJ18">
            <v>0</v>
          </cell>
          <cell r="EK18">
            <v>0</v>
          </cell>
          <cell r="EL18">
            <v>0</v>
          </cell>
          <cell r="EM18" t="str">
            <v/>
          </cell>
          <cell r="EN18" t="str">
            <v/>
          </cell>
          <cell r="EO18" t="str">
            <v/>
          </cell>
          <cell r="EP18" t="str">
            <v/>
          </cell>
          <cell r="EQ18" t="str">
            <v/>
          </cell>
          <cell r="ER18" t="str">
            <v/>
          </cell>
          <cell r="ES18" t="str">
            <v/>
          </cell>
          <cell r="ET18" t="str">
            <v/>
          </cell>
          <cell r="EU18" t="str">
            <v/>
          </cell>
          <cell r="EV18" t="str">
            <v/>
          </cell>
          <cell r="EW18" t="str">
            <v/>
          </cell>
          <cell r="EX18" t="str">
            <v/>
          </cell>
          <cell r="EY18" t="str">
            <v/>
          </cell>
          <cell r="EZ18" t="str">
            <v/>
          </cell>
          <cell r="FA18" t="str">
            <v/>
          </cell>
          <cell r="FB18" t="str">
            <v/>
          </cell>
          <cell r="FC18" t="str">
            <v/>
          </cell>
          <cell r="FD18" t="str">
            <v/>
          </cell>
          <cell r="FE18" t="str">
            <v/>
          </cell>
          <cell r="FF18" t="str">
            <v/>
          </cell>
          <cell r="FG18" t="str">
            <v/>
          </cell>
          <cell r="FH18" t="str">
            <v/>
          </cell>
          <cell r="FI18" t="str">
            <v/>
          </cell>
          <cell r="FJ18" t="str">
            <v/>
          </cell>
          <cell r="FK18" t="str">
            <v/>
          </cell>
          <cell r="FL18" t="str">
            <v/>
          </cell>
          <cell r="FM18" t="str">
            <v/>
          </cell>
          <cell r="FN18" t="str">
            <v/>
          </cell>
          <cell r="FO18" t="str">
            <v/>
          </cell>
          <cell r="FP18" t="str">
            <v/>
          </cell>
        </row>
        <row r="19"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J19">
            <v>5</v>
          </cell>
          <cell r="AK19">
            <v>3</v>
          </cell>
          <cell r="AL19">
            <v>999999</v>
          </cell>
          <cell r="AM19">
            <v>60</v>
          </cell>
          <cell r="AN19">
            <v>8</v>
          </cell>
          <cell r="AO19">
            <v>8</v>
          </cell>
          <cell r="AP19">
            <v>0</v>
          </cell>
          <cell r="AQ19">
            <v>8</v>
          </cell>
          <cell r="AR19">
            <v>6</v>
          </cell>
          <cell r="AS19">
            <v>6</v>
          </cell>
          <cell r="BE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CB19">
            <v>2</v>
          </cell>
          <cell r="CC19">
            <v>0</v>
          </cell>
          <cell r="CD19">
            <v>24</v>
          </cell>
          <cell r="CE19">
            <v>0</v>
          </cell>
          <cell r="CF19">
            <v>3</v>
          </cell>
          <cell r="CG19">
            <v>5</v>
          </cell>
          <cell r="CH19">
            <v>3</v>
          </cell>
          <cell r="CI19">
            <v>5</v>
          </cell>
          <cell r="CJ19">
            <v>8</v>
          </cell>
          <cell r="CK19">
            <v>6</v>
          </cell>
          <cell r="CW19">
            <v>0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S19">
            <v>21</v>
          </cell>
          <cell r="DT19">
            <v>348</v>
          </cell>
          <cell r="DU19">
            <v>999999</v>
          </cell>
          <cell r="DV19">
            <v>999999</v>
          </cell>
          <cell r="DW19">
            <v>999999</v>
          </cell>
          <cell r="DX19">
            <v>24</v>
          </cell>
          <cell r="DY19">
            <v>348</v>
          </cell>
          <cell r="DZ19">
            <v>999999</v>
          </cell>
          <cell r="EA19">
            <v>999999</v>
          </cell>
          <cell r="EB19">
            <v>999999</v>
          </cell>
          <cell r="EC19">
            <v>0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</v>
          </cell>
          <cell r="EK19">
            <v>0</v>
          </cell>
          <cell r="EL19">
            <v>0</v>
          </cell>
          <cell r="EM19" t="str">
            <v/>
          </cell>
          <cell r="EN19" t="str">
            <v/>
          </cell>
          <cell r="EO19" t="str">
            <v/>
          </cell>
          <cell r="EP19" t="str">
            <v/>
          </cell>
          <cell r="EQ19" t="str">
            <v/>
          </cell>
          <cell r="ER19" t="str">
            <v/>
          </cell>
          <cell r="ES19" t="str">
            <v/>
          </cell>
          <cell r="ET19" t="str">
            <v/>
          </cell>
          <cell r="EU19" t="str">
            <v/>
          </cell>
          <cell r="EV19" t="str">
            <v/>
          </cell>
          <cell r="EW19" t="str">
            <v/>
          </cell>
          <cell r="EX19" t="str">
            <v/>
          </cell>
          <cell r="EY19" t="str">
            <v/>
          </cell>
          <cell r="EZ19" t="str">
            <v/>
          </cell>
          <cell r="FA19" t="str">
            <v/>
          </cell>
          <cell r="FB19" t="str">
            <v/>
          </cell>
          <cell r="FC19" t="str">
            <v/>
          </cell>
          <cell r="FD19" t="str">
            <v/>
          </cell>
          <cell r="FE19" t="str">
            <v/>
          </cell>
          <cell r="FF19" t="str">
            <v/>
          </cell>
          <cell r="FG19" t="str">
            <v/>
          </cell>
          <cell r="FH19" t="str">
            <v/>
          </cell>
          <cell r="FI19" t="str">
            <v/>
          </cell>
          <cell r="FJ19" t="str">
            <v/>
          </cell>
          <cell r="FK19" t="str">
            <v/>
          </cell>
          <cell r="FL19" t="str">
            <v/>
          </cell>
          <cell r="FM19" t="str">
            <v/>
          </cell>
          <cell r="FN19" t="str">
            <v/>
          </cell>
          <cell r="FO19" t="str">
            <v/>
          </cell>
          <cell r="FP19" t="str">
            <v/>
          </cell>
        </row>
        <row r="20"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J20">
            <v>4</v>
          </cell>
          <cell r="AK20">
            <v>2</v>
          </cell>
          <cell r="AL20">
            <v>999999</v>
          </cell>
          <cell r="AM20">
            <v>59</v>
          </cell>
          <cell r="AN20">
            <v>7</v>
          </cell>
          <cell r="AO20">
            <v>7</v>
          </cell>
          <cell r="AP20">
            <v>0</v>
          </cell>
          <cell r="AQ20">
            <v>7</v>
          </cell>
          <cell r="AR20">
            <v>5</v>
          </cell>
          <cell r="AS20">
            <v>5</v>
          </cell>
          <cell r="BE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CB20">
            <v>1</v>
          </cell>
          <cell r="CC20">
            <v>0</v>
          </cell>
          <cell r="CD20">
            <v>23</v>
          </cell>
          <cell r="CE20">
            <v>0</v>
          </cell>
          <cell r="CF20">
            <v>2</v>
          </cell>
          <cell r="CG20">
            <v>4</v>
          </cell>
          <cell r="CH20">
            <v>2</v>
          </cell>
          <cell r="CI20">
            <v>4</v>
          </cell>
          <cell r="CJ20">
            <v>7</v>
          </cell>
          <cell r="CK20">
            <v>5</v>
          </cell>
          <cell r="CW20">
            <v>0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S20">
            <v>20</v>
          </cell>
          <cell r="DT20">
            <v>347</v>
          </cell>
          <cell r="DU20">
            <v>999999</v>
          </cell>
          <cell r="DV20">
            <v>999999</v>
          </cell>
          <cell r="DW20">
            <v>999999</v>
          </cell>
          <cell r="DX20">
            <v>23</v>
          </cell>
          <cell r="DY20">
            <v>347</v>
          </cell>
          <cell r="DZ20">
            <v>999999</v>
          </cell>
          <cell r="EA20">
            <v>999999</v>
          </cell>
          <cell r="EB20">
            <v>999999</v>
          </cell>
          <cell r="EC20">
            <v>0</v>
          </cell>
          <cell r="ED20">
            <v>0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0</v>
          </cell>
          <cell r="EK20">
            <v>0</v>
          </cell>
          <cell r="EL20">
            <v>0</v>
          </cell>
          <cell r="EM20" t="str">
            <v/>
          </cell>
          <cell r="EN20" t="str">
            <v/>
          </cell>
          <cell r="EO20" t="str">
            <v/>
          </cell>
          <cell r="EP20" t="str">
            <v/>
          </cell>
          <cell r="EQ20" t="str">
            <v/>
          </cell>
          <cell r="ER20" t="str">
            <v/>
          </cell>
          <cell r="ES20" t="str">
            <v/>
          </cell>
          <cell r="ET20" t="str">
            <v/>
          </cell>
          <cell r="EU20" t="str">
            <v/>
          </cell>
          <cell r="EV20" t="str">
            <v/>
          </cell>
          <cell r="EW20" t="str">
            <v/>
          </cell>
          <cell r="EX20" t="str">
            <v/>
          </cell>
          <cell r="EY20" t="str">
            <v/>
          </cell>
          <cell r="EZ20" t="str">
            <v/>
          </cell>
          <cell r="FA20" t="str">
            <v/>
          </cell>
          <cell r="FB20" t="str">
            <v/>
          </cell>
          <cell r="FC20" t="str">
            <v/>
          </cell>
          <cell r="FD20" t="str">
            <v/>
          </cell>
          <cell r="FE20" t="str">
            <v/>
          </cell>
          <cell r="FF20" t="str">
            <v/>
          </cell>
          <cell r="FG20" t="str">
            <v/>
          </cell>
          <cell r="FH20" t="str">
            <v/>
          </cell>
          <cell r="FI20" t="str">
            <v/>
          </cell>
          <cell r="FJ20" t="str">
            <v/>
          </cell>
          <cell r="FK20" t="str">
            <v/>
          </cell>
          <cell r="FL20" t="str">
            <v/>
          </cell>
          <cell r="FM20" t="str">
            <v/>
          </cell>
          <cell r="FN20" t="str">
            <v/>
          </cell>
          <cell r="FO20" t="str">
            <v/>
          </cell>
          <cell r="FP20" t="str">
            <v/>
          </cell>
        </row>
        <row r="21"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J21">
            <v>3</v>
          </cell>
          <cell r="AK21">
            <v>1</v>
          </cell>
          <cell r="AL21">
            <v>999999</v>
          </cell>
          <cell r="AM21">
            <v>58</v>
          </cell>
          <cell r="AN21">
            <v>6</v>
          </cell>
          <cell r="AO21">
            <v>6</v>
          </cell>
          <cell r="AP21">
            <v>0</v>
          </cell>
          <cell r="AQ21">
            <v>6</v>
          </cell>
          <cell r="AR21">
            <v>4</v>
          </cell>
          <cell r="AS21">
            <v>4</v>
          </cell>
          <cell r="BE21">
            <v>48000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CB21">
            <v>0</v>
          </cell>
          <cell r="CC21">
            <v>0</v>
          </cell>
          <cell r="CD21">
            <v>22</v>
          </cell>
          <cell r="CE21">
            <v>0</v>
          </cell>
          <cell r="CF21">
            <v>1</v>
          </cell>
          <cell r="CG21">
            <v>3</v>
          </cell>
          <cell r="CH21">
            <v>1</v>
          </cell>
          <cell r="CI21">
            <v>3</v>
          </cell>
          <cell r="CJ21">
            <v>6</v>
          </cell>
          <cell r="CK21">
            <v>4</v>
          </cell>
          <cell r="CW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S21">
            <v>19</v>
          </cell>
          <cell r="DT21">
            <v>346</v>
          </cell>
          <cell r="DU21">
            <v>999999</v>
          </cell>
          <cell r="DV21">
            <v>999999</v>
          </cell>
          <cell r="DW21">
            <v>999999</v>
          </cell>
          <cell r="DX21">
            <v>22</v>
          </cell>
          <cell r="DY21">
            <v>346</v>
          </cell>
          <cell r="DZ21">
            <v>999999</v>
          </cell>
          <cell r="EA21">
            <v>999999</v>
          </cell>
          <cell r="EB21">
            <v>999999</v>
          </cell>
          <cell r="EC21">
            <v>0</v>
          </cell>
          <cell r="ED21">
            <v>0</v>
          </cell>
          <cell r="EE21">
            <v>0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K21">
            <v>0</v>
          </cell>
          <cell r="EL21">
            <v>0</v>
          </cell>
          <cell r="EM21" t="str">
            <v/>
          </cell>
          <cell r="EN21" t="str">
            <v/>
          </cell>
          <cell r="EO21" t="str">
            <v/>
          </cell>
          <cell r="EP21" t="str">
            <v/>
          </cell>
          <cell r="EQ21" t="str">
            <v/>
          </cell>
          <cell r="ER21" t="str">
            <v/>
          </cell>
          <cell r="ES21" t="str">
            <v/>
          </cell>
          <cell r="ET21" t="str">
            <v/>
          </cell>
          <cell r="EU21" t="str">
            <v/>
          </cell>
          <cell r="EV21" t="str">
            <v/>
          </cell>
          <cell r="EW21" t="str">
            <v/>
          </cell>
          <cell r="EX21" t="str">
            <v/>
          </cell>
          <cell r="EY21" t="str">
            <v/>
          </cell>
          <cell r="EZ21" t="str">
            <v/>
          </cell>
          <cell r="FA21" t="str">
            <v/>
          </cell>
          <cell r="FB21" t="str">
            <v/>
          </cell>
          <cell r="FC21" t="str">
            <v/>
          </cell>
          <cell r="FD21" t="str">
            <v/>
          </cell>
          <cell r="FE21" t="str">
            <v/>
          </cell>
          <cell r="FF21" t="str">
            <v/>
          </cell>
          <cell r="FG21" t="str">
            <v/>
          </cell>
          <cell r="FH21" t="str">
            <v/>
          </cell>
          <cell r="FI21" t="str">
            <v/>
          </cell>
          <cell r="FJ21" t="str">
            <v/>
          </cell>
          <cell r="FK21" t="str">
            <v/>
          </cell>
          <cell r="FL21" t="str">
            <v/>
          </cell>
          <cell r="FM21" t="str">
            <v/>
          </cell>
          <cell r="FN21" t="str">
            <v/>
          </cell>
          <cell r="FO21" t="str">
            <v/>
          </cell>
          <cell r="FP21" t="str">
            <v/>
          </cell>
        </row>
        <row r="22"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J22">
            <v>2</v>
          </cell>
          <cell r="AK22">
            <v>0</v>
          </cell>
          <cell r="AL22">
            <v>999999</v>
          </cell>
          <cell r="AM22">
            <v>57</v>
          </cell>
          <cell r="AN22">
            <v>5</v>
          </cell>
          <cell r="AO22">
            <v>5</v>
          </cell>
          <cell r="AP22">
            <v>0</v>
          </cell>
          <cell r="AQ22">
            <v>5</v>
          </cell>
          <cell r="AR22">
            <v>3</v>
          </cell>
          <cell r="AS22">
            <v>3</v>
          </cell>
          <cell r="BE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CB22">
            <v>0</v>
          </cell>
          <cell r="CC22">
            <v>0</v>
          </cell>
          <cell r="CD22">
            <v>21</v>
          </cell>
          <cell r="CE22">
            <v>0</v>
          </cell>
          <cell r="CF22">
            <v>0</v>
          </cell>
          <cell r="CG22">
            <v>2</v>
          </cell>
          <cell r="CH22">
            <v>0</v>
          </cell>
          <cell r="CI22">
            <v>2</v>
          </cell>
          <cell r="CJ22">
            <v>5</v>
          </cell>
          <cell r="CK22">
            <v>3</v>
          </cell>
          <cell r="CW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S22">
            <v>18</v>
          </cell>
          <cell r="DT22">
            <v>345</v>
          </cell>
          <cell r="DU22">
            <v>999999</v>
          </cell>
          <cell r="DV22">
            <v>999999</v>
          </cell>
          <cell r="DW22">
            <v>999999</v>
          </cell>
          <cell r="DX22">
            <v>21</v>
          </cell>
          <cell r="DY22">
            <v>345</v>
          </cell>
          <cell r="DZ22">
            <v>999999</v>
          </cell>
          <cell r="EA22">
            <v>999999</v>
          </cell>
          <cell r="EB22">
            <v>999999</v>
          </cell>
          <cell r="EC22">
            <v>0</v>
          </cell>
          <cell r="ED22">
            <v>0</v>
          </cell>
          <cell r="EE22">
            <v>0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0</v>
          </cell>
          <cell r="EK22">
            <v>0</v>
          </cell>
          <cell r="EL22">
            <v>0</v>
          </cell>
          <cell r="EM22" t="str">
            <v/>
          </cell>
          <cell r="EN22" t="str">
            <v/>
          </cell>
          <cell r="EO22" t="str">
            <v/>
          </cell>
          <cell r="EP22" t="str">
            <v/>
          </cell>
          <cell r="EQ22" t="str">
            <v/>
          </cell>
          <cell r="ER22" t="str">
            <v/>
          </cell>
          <cell r="ES22" t="str">
            <v/>
          </cell>
          <cell r="ET22" t="str">
            <v/>
          </cell>
          <cell r="EU22" t="str">
            <v/>
          </cell>
          <cell r="EV22" t="str">
            <v/>
          </cell>
          <cell r="EW22" t="str">
            <v/>
          </cell>
          <cell r="EX22" t="str">
            <v/>
          </cell>
          <cell r="EY22" t="str">
            <v/>
          </cell>
          <cell r="EZ22" t="str">
            <v/>
          </cell>
          <cell r="FA22" t="str">
            <v/>
          </cell>
          <cell r="FB22" t="str">
            <v/>
          </cell>
          <cell r="FC22" t="str">
            <v/>
          </cell>
          <cell r="FD22" t="str">
            <v/>
          </cell>
          <cell r="FE22" t="str">
            <v/>
          </cell>
          <cell r="FF22" t="str">
            <v/>
          </cell>
          <cell r="FG22" t="str">
            <v/>
          </cell>
          <cell r="FH22" t="str">
            <v/>
          </cell>
          <cell r="FI22" t="str">
            <v/>
          </cell>
          <cell r="FJ22" t="str">
            <v/>
          </cell>
          <cell r="FK22" t="str">
            <v/>
          </cell>
          <cell r="FL22" t="str">
            <v/>
          </cell>
          <cell r="FM22" t="str">
            <v/>
          </cell>
          <cell r="FN22" t="str">
            <v/>
          </cell>
          <cell r="FO22" t="str">
            <v/>
          </cell>
          <cell r="FP22" t="str">
            <v/>
          </cell>
        </row>
        <row r="23"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J23">
            <v>1</v>
          </cell>
          <cell r="AK23">
            <v>0</v>
          </cell>
          <cell r="AL23">
            <v>999999</v>
          </cell>
          <cell r="AM23">
            <v>56</v>
          </cell>
          <cell r="AN23">
            <v>4</v>
          </cell>
          <cell r="AO23">
            <v>4</v>
          </cell>
          <cell r="AP23">
            <v>0</v>
          </cell>
          <cell r="AQ23">
            <v>4</v>
          </cell>
          <cell r="AR23">
            <v>2</v>
          </cell>
          <cell r="AS23">
            <v>2</v>
          </cell>
          <cell r="BE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CB23">
            <v>0</v>
          </cell>
          <cell r="CC23">
            <v>0</v>
          </cell>
          <cell r="CD23">
            <v>20</v>
          </cell>
          <cell r="CE23">
            <v>0</v>
          </cell>
          <cell r="CF23">
            <v>0</v>
          </cell>
          <cell r="CG23">
            <v>1</v>
          </cell>
          <cell r="CH23">
            <v>0</v>
          </cell>
          <cell r="CI23">
            <v>1</v>
          </cell>
          <cell r="CJ23">
            <v>4</v>
          </cell>
          <cell r="CK23">
            <v>2</v>
          </cell>
          <cell r="CW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S23">
            <v>17</v>
          </cell>
          <cell r="DT23">
            <v>344</v>
          </cell>
          <cell r="DU23">
            <v>999999</v>
          </cell>
          <cell r="DV23">
            <v>999999</v>
          </cell>
          <cell r="DW23">
            <v>999999</v>
          </cell>
          <cell r="DX23">
            <v>20</v>
          </cell>
          <cell r="DY23">
            <v>344</v>
          </cell>
          <cell r="DZ23">
            <v>999999</v>
          </cell>
          <cell r="EA23">
            <v>999999</v>
          </cell>
          <cell r="EB23">
            <v>999999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K23">
            <v>0</v>
          </cell>
          <cell r="EL23">
            <v>0</v>
          </cell>
          <cell r="EM23" t="str">
            <v/>
          </cell>
          <cell r="EN23" t="str">
            <v/>
          </cell>
          <cell r="EO23" t="str">
            <v/>
          </cell>
          <cell r="EP23" t="str">
            <v/>
          </cell>
          <cell r="EQ23" t="str">
            <v/>
          </cell>
          <cell r="ER23" t="str">
            <v/>
          </cell>
          <cell r="ES23" t="str">
            <v/>
          </cell>
          <cell r="ET23" t="str">
            <v/>
          </cell>
          <cell r="EU23" t="str">
            <v/>
          </cell>
          <cell r="EV23" t="str">
            <v/>
          </cell>
          <cell r="EW23" t="str">
            <v/>
          </cell>
          <cell r="EX23" t="str">
            <v/>
          </cell>
          <cell r="EY23" t="str">
            <v/>
          </cell>
          <cell r="EZ23" t="str">
            <v/>
          </cell>
          <cell r="FA23" t="str">
            <v/>
          </cell>
          <cell r="FB23" t="str">
            <v/>
          </cell>
          <cell r="FC23" t="str">
            <v/>
          </cell>
          <cell r="FD23" t="str">
            <v/>
          </cell>
          <cell r="FE23" t="str">
            <v/>
          </cell>
          <cell r="FF23" t="str">
            <v/>
          </cell>
          <cell r="FG23" t="str">
            <v/>
          </cell>
          <cell r="FH23" t="str">
            <v/>
          </cell>
          <cell r="FI23" t="str">
            <v/>
          </cell>
          <cell r="FJ23" t="str">
            <v/>
          </cell>
          <cell r="FK23" t="str">
            <v/>
          </cell>
          <cell r="FL23" t="str">
            <v/>
          </cell>
          <cell r="FM23" t="str">
            <v/>
          </cell>
          <cell r="FN23" t="str">
            <v/>
          </cell>
          <cell r="FO23" t="str">
            <v/>
          </cell>
          <cell r="FP23" t="str">
            <v/>
          </cell>
        </row>
        <row r="24"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J24">
            <v>0</v>
          </cell>
          <cell r="AK24">
            <v>0</v>
          </cell>
          <cell r="AL24">
            <v>999999</v>
          </cell>
          <cell r="AM24">
            <v>55</v>
          </cell>
          <cell r="AN24">
            <v>3</v>
          </cell>
          <cell r="AO24">
            <v>3</v>
          </cell>
          <cell r="AP24">
            <v>0</v>
          </cell>
          <cell r="AQ24">
            <v>3</v>
          </cell>
          <cell r="AR24">
            <v>1</v>
          </cell>
          <cell r="AS24">
            <v>1</v>
          </cell>
          <cell r="BE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CB24">
            <v>0</v>
          </cell>
          <cell r="CC24">
            <v>0</v>
          </cell>
          <cell r="CD24">
            <v>19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3</v>
          </cell>
          <cell r="CK24">
            <v>1</v>
          </cell>
          <cell r="CW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S24">
            <v>16</v>
          </cell>
          <cell r="DT24">
            <v>343</v>
          </cell>
          <cell r="DU24">
            <v>999999</v>
          </cell>
          <cell r="DV24">
            <v>999999</v>
          </cell>
          <cell r="DW24">
            <v>999999</v>
          </cell>
          <cell r="DX24">
            <v>19</v>
          </cell>
          <cell r="DY24">
            <v>343</v>
          </cell>
          <cell r="DZ24">
            <v>999999</v>
          </cell>
          <cell r="EA24">
            <v>999999</v>
          </cell>
          <cell r="EB24">
            <v>999999</v>
          </cell>
          <cell r="EC24">
            <v>0</v>
          </cell>
          <cell r="ED24">
            <v>0</v>
          </cell>
          <cell r="EE24">
            <v>0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K24">
            <v>0</v>
          </cell>
          <cell r="EL24">
            <v>0</v>
          </cell>
          <cell r="EM24" t="str">
            <v/>
          </cell>
          <cell r="EN24" t="str">
            <v/>
          </cell>
          <cell r="EO24" t="str">
            <v/>
          </cell>
          <cell r="EP24" t="str">
            <v/>
          </cell>
          <cell r="EQ24" t="str">
            <v/>
          </cell>
          <cell r="ER24" t="str">
            <v/>
          </cell>
          <cell r="ES24" t="str">
            <v/>
          </cell>
          <cell r="ET24" t="str">
            <v/>
          </cell>
          <cell r="EU24" t="str">
            <v/>
          </cell>
          <cell r="EV24" t="str">
            <v/>
          </cell>
          <cell r="EW24" t="str">
            <v/>
          </cell>
          <cell r="EX24" t="str">
            <v/>
          </cell>
          <cell r="EY24" t="str">
            <v/>
          </cell>
          <cell r="EZ24" t="str">
            <v/>
          </cell>
          <cell r="FA24" t="str">
            <v/>
          </cell>
          <cell r="FB24" t="str">
            <v/>
          </cell>
          <cell r="FC24" t="str">
            <v/>
          </cell>
          <cell r="FD24" t="str">
            <v/>
          </cell>
          <cell r="FE24" t="str">
            <v/>
          </cell>
          <cell r="FF24" t="str">
            <v/>
          </cell>
          <cell r="FG24" t="str">
            <v/>
          </cell>
          <cell r="FH24" t="str">
            <v/>
          </cell>
          <cell r="FI24" t="str">
            <v/>
          </cell>
          <cell r="FJ24" t="str">
            <v/>
          </cell>
          <cell r="FK24" t="str">
            <v/>
          </cell>
          <cell r="FL24" t="str">
            <v/>
          </cell>
          <cell r="FM24" t="str">
            <v/>
          </cell>
          <cell r="FN24" t="str">
            <v/>
          </cell>
          <cell r="FO24" t="str">
            <v/>
          </cell>
          <cell r="FP24" t="str">
            <v/>
          </cell>
        </row>
        <row r="25">
          <cell r="N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J25">
            <v>0</v>
          </cell>
          <cell r="AK25">
            <v>0</v>
          </cell>
          <cell r="AL25">
            <v>999999</v>
          </cell>
          <cell r="AM25">
            <v>54</v>
          </cell>
          <cell r="AN25">
            <v>2</v>
          </cell>
          <cell r="AO25">
            <v>2</v>
          </cell>
          <cell r="AP25">
            <v>0</v>
          </cell>
          <cell r="AQ25">
            <v>2</v>
          </cell>
          <cell r="AR25">
            <v>0</v>
          </cell>
          <cell r="AS25">
            <v>0</v>
          </cell>
          <cell r="BE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CB25">
            <v>0</v>
          </cell>
          <cell r="CC25">
            <v>0</v>
          </cell>
          <cell r="CD25">
            <v>18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  <cell r="CJ25">
            <v>2</v>
          </cell>
          <cell r="CK25">
            <v>0</v>
          </cell>
          <cell r="CW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S25">
            <v>15</v>
          </cell>
          <cell r="DT25">
            <v>342</v>
          </cell>
          <cell r="DU25">
            <v>999999</v>
          </cell>
          <cell r="DV25">
            <v>999999</v>
          </cell>
          <cell r="DW25">
            <v>999999</v>
          </cell>
          <cell r="DX25">
            <v>18</v>
          </cell>
          <cell r="DY25">
            <v>342</v>
          </cell>
          <cell r="DZ25">
            <v>999999</v>
          </cell>
          <cell r="EA25">
            <v>999999</v>
          </cell>
          <cell r="EB25">
            <v>999999</v>
          </cell>
          <cell r="EC25">
            <v>0</v>
          </cell>
          <cell r="ED25">
            <v>0</v>
          </cell>
          <cell r="EE25">
            <v>0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K25">
            <v>0</v>
          </cell>
          <cell r="EL25">
            <v>0</v>
          </cell>
          <cell r="EM25" t="str">
            <v/>
          </cell>
          <cell r="EN25" t="str">
            <v/>
          </cell>
          <cell r="EO25" t="str">
            <v/>
          </cell>
          <cell r="EP25" t="str">
            <v/>
          </cell>
          <cell r="EQ25" t="str">
            <v/>
          </cell>
          <cell r="ER25" t="str">
            <v/>
          </cell>
          <cell r="ES25" t="str">
            <v/>
          </cell>
          <cell r="ET25" t="str">
            <v/>
          </cell>
          <cell r="EU25" t="str">
            <v/>
          </cell>
          <cell r="EV25" t="str">
            <v/>
          </cell>
          <cell r="EW25" t="str">
            <v/>
          </cell>
          <cell r="EX25" t="str">
            <v/>
          </cell>
          <cell r="EY25" t="str">
            <v/>
          </cell>
          <cell r="EZ25" t="str">
            <v/>
          </cell>
          <cell r="FA25" t="str">
            <v/>
          </cell>
          <cell r="FB25" t="str">
            <v/>
          </cell>
          <cell r="FC25" t="str">
            <v/>
          </cell>
          <cell r="FD25" t="str">
            <v/>
          </cell>
          <cell r="FE25" t="str">
            <v/>
          </cell>
          <cell r="FF25" t="str">
            <v/>
          </cell>
          <cell r="FG25" t="str">
            <v/>
          </cell>
          <cell r="FH25" t="str">
            <v/>
          </cell>
          <cell r="FI25" t="str">
            <v/>
          </cell>
          <cell r="FJ25" t="str">
            <v/>
          </cell>
          <cell r="FK25" t="str">
            <v/>
          </cell>
          <cell r="FL25" t="str">
            <v/>
          </cell>
          <cell r="FM25" t="str">
            <v/>
          </cell>
          <cell r="FN25" t="str">
            <v/>
          </cell>
          <cell r="FO25" t="str">
            <v/>
          </cell>
          <cell r="FP25" t="str">
            <v/>
          </cell>
        </row>
        <row r="26">
          <cell r="N26">
            <v>48000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J26">
            <v>0</v>
          </cell>
          <cell r="AK26">
            <v>0</v>
          </cell>
          <cell r="AL26">
            <v>999999</v>
          </cell>
          <cell r="AM26">
            <v>53</v>
          </cell>
          <cell r="AN26">
            <v>1</v>
          </cell>
          <cell r="AO26">
            <v>1</v>
          </cell>
          <cell r="AP26">
            <v>0</v>
          </cell>
          <cell r="AQ26">
            <v>1</v>
          </cell>
          <cell r="AR26">
            <v>0</v>
          </cell>
          <cell r="AS26">
            <v>0</v>
          </cell>
          <cell r="BE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CB26">
            <v>0</v>
          </cell>
          <cell r="CC26">
            <v>0</v>
          </cell>
          <cell r="CD26">
            <v>17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0</v>
          </cell>
          <cell r="CJ26">
            <v>1</v>
          </cell>
          <cell r="CK26">
            <v>0</v>
          </cell>
          <cell r="CW26">
            <v>48000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S26">
            <v>14</v>
          </cell>
          <cell r="DT26">
            <v>341</v>
          </cell>
          <cell r="DU26">
            <v>999999</v>
          </cell>
          <cell r="DV26">
            <v>999999</v>
          </cell>
          <cell r="DW26">
            <v>999999</v>
          </cell>
          <cell r="DX26">
            <v>17</v>
          </cell>
          <cell r="DY26">
            <v>341</v>
          </cell>
          <cell r="DZ26">
            <v>999999</v>
          </cell>
          <cell r="EA26">
            <v>999999</v>
          </cell>
          <cell r="EB26">
            <v>999999</v>
          </cell>
          <cell r="EC26">
            <v>0</v>
          </cell>
          <cell r="ED26">
            <v>0</v>
          </cell>
          <cell r="EE26">
            <v>0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K26">
            <v>0</v>
          </cell>
          <cell r="EL26">
            <v>0</v>
          </cell>
          <cell r="EM26" t="str">
            <v/>
          </cell>
          <cell r="EN26" t="str">
            <v/>
          </cell>
          <cell r="EO26" t="str">
            <v/>
          </cell>
          <cell r="EP26" t="str">
            <v/>
          </cell>
          <cell r="EQ26" t="str">
            <v/>
          </cell>
          <cell r="ER26" t="str">
            <v/>
          </cell>
          <cell r="ES26" t="str">
            <v/>
          </cell>
          <cell r="ET26" t="str">
            <v/>
          </cell>
          <cell r="EU26" t="str">
            <v/>
          </cell>
          <cell r="EV26" t="str">
            <v/>
          </cell>
          <cell r="EW26" t="str">
            <v/>
          </cell>
          <cell r="EX26" t="str">
            <v/>
          </cell>
          <cell r="EY26" t="str">
            <v/>
          </cell>
          <cell r="EZ26" t="str">
            <v/>
          </cell>
          <cell r="FA26" t="str">
            <v/>
          </cell>
          <cell r="FB26" t="str">
            <v/>
          </cell>
          <cell r="FC26" t="str">
            <v/>
          </cell>
          <cell r="FD26" t="str">
            <v/>
          </cell>
          <cell r="FE26" t="str">
            <v/>
          </cell>
          <cell r="FF26" t="str">
            <v/>
          </cell>
          <cell r="FG26" t="str">
            <v/>
          </cell>
          <cell r="FH26" t="str">
            <v/>
          </cell>
          <cell r="FI26" t="str">
            <v/>
          </cell>
          <cell r="FJ26" t="str">
            <v/>
          </cell>
          <cell r="FK26" t="str">
            <v/>
          </cell>
          <cell r="FL26" t="str">
            <v/>
          </cell>
          <cell r="FM26" t="str">
            <v/>
          </cell>
          <cell r="FN26" t="str">
            <v/>
          </cell>
          <cell r="FO26" t="str">
            <v/>
          </cell>
          <cell r="FP26" t="str">
            <v/>
          </cell>
        </row>
        <row r="27">
          <cell r="N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J27">
            <v>0</v>
          </cell>
          <cell r="AK27">
            <v>0</v>
          </cell>
          <cell r="AL27">
            <v>999999</v>
          </cell>
          <cell r="AM27">
            <v>52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BE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CB27">
            <v>0</v>
          </cell>
          <cell r="CC27">
            <v>0</v>
          </cell>
          <cell r="CD27">
            <v>16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W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S27">
            <v>13</v>
          </cell>
          <cell r="DT27">
            <v>340</v>
          </cell>
          <cell r="DU27">
            <v>999999</v>
          </cell>
          <cell r="DV27">
            <v>999999</v>
          </cell>
          <cell r="DW27">
            <v>999999</v>
          </cell>
          <cell r="DX27">
            <v>16</v>
          </cell>
          <cell r="DY27">
            <v>340</v>
          </cell>
          <cell r="DZ27">
            <v>999999</v>
          </cell>
          <cell r="EA27">
            <v>999999</v>
          </cell>
          <cell r="EB27">
            <v>999999</v>
          </cell>
          <cell r="EC27">
            <v>0</v>
          </cell>
          <cell r="ED27">
            <v>0</v>
          </cell>
          <cell r="EE27">
            <v>0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K27">
            <v>0</v>
          </cell>
          <cell r="EL27">
            <v>0</v>
          </cell>
          <cell r="EM27" t="str">
            <v/>
          </cell>
          <cell r="EN27" t="str">
            <v/>
          </cell>
          <cell r="EO27" t="str">
            <v/>
          </cell>
          <cell r="EP27" t="str">
            <v/>
          </cell>
          <cell r="EQ27" t="str">
            <v/>
          </cell>
          <cell r="ER27" t="str">
            <v/>
          </cell>
          <cell r="ES27" t="str">
            <v/>
          </cell>
          <cell r="ET27" t="str">
            <v/>
          </cell>
          <cell r="EU27" t="str">
            <v/>
          </cell>
          <cell r="EV27" t="str">
            <v/>
          </cell>
          <cell r="EW27" t="str">
            <v/>
          </cell>
          <cell r="EX27" t="str">
            <v/>
          </cell>
          <cell r="EY27" t="str">
            <v/>
          </cell>
          <cell r="EZ27" t="str">
            <v/>
          </cell>
          <cell r="FA27" t="str">
            <v/>
          </cell>
          <cell r="FB27" t="str">
            <v/>
          </cell>
          <cell r="FC27" t="str">
            <v/>
          </cell>
          <cell r="FD27" t="str">
            <v/>
          </cell>
          <cell r="FE27" t="str">
            <v/>
          </cell>
          <cell r="FF27" t="str">
            <v/>
          </cell>
          <cell r="FG27" t="str">
            <v/>
          </cell>
          <cell r="FH27" t="str">
            <v/>
          </cell>
          <cell r="FI27" t="str">
            <v/>
          </cell>
          <cell r="FJ27" t="str">
            <v/>
          </cell>
          <cell r="FK27" t="str">
            <v/>
          </cell>
          <cell r="FL27" t="str">
            <v/>
          </cell>
          <cell r="FM27" t="str">
            <v/>
          </cell>
          <cell r="FN27" t="str">
            <v/>
          </cell>
          <cell r="FO27" t="str">
            <v/>
          </cell>
          <cell r="FP27" t="str">
            <v/>
          </cell>
        </row>
        <row r="28"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J28">
            <v>0</v>
          </cell>
          <cell r="AK28">
            <v>0</v>
          </cell>
          <cell r="AL28">
            <v>999999</v>
          </cell>
          <cell r="AM28">
            <v>51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BE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CB28">
            <v>0</v>
          </cell>
          <cell r="CC28">
            <v>0</v>
          </cell>
          <cell r="CD28">
            <v>15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W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S28">
            <v>12</v>
          </cell>
          <cell r="DT28">
            <v>339</v>
          </cell>
          <cell r="DU28">
            <v>999999</v>
          </cell>
          <cell r="DV28">
            <v>999999</v>
          </cell>
          <cell r="DW28">
            <v>999999</v>
          </cell>
          <cell r="DX28">
            <v>15</v>
          </cell>
          <cell r="DY28">
            <v>339</v>
          </cell>
          <cell r="DZ28">
            <v>999999</v>
          </cell>
          <cell r="EA28">
            <v>999999</v>
          </cell>
          <cell r="EB28">
            <v>999999</v>
          </cell>
          <cell r="EC28">
            <v>0</v>
          </cell>
          <cell r="ED28">
            <v>0</v>
          </cell>
          <cell r="EE28">
            <v>0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K28">
            <v>0</v>
          </cell>
          <cell r="EL28">
            <v>0</v>
          </cell>
          <cell r="EM28" t="str">
            <v/>
          </cell>
          <cell r="EN28" t="str">
            <v/>
          </cell>
          <cell r="EO28" t="str">
            <v/>
          </cell>
          <cell r="EP28" t="str">
            <v/>
          </cell>
          <cell r="EQ28" t="str">
            <v/>
          </cell>
          <cell r="ER28" t="str">
            <v/>
          </cell>
          <cell r="ES28" t="str">
            <v/>
          </cell>
          <cell r="ET28" t="str">
            <v/>
          </cell>
          <cell r="EU28" t="str">
            <v/>
          </cell>
          <cell r="EV28" t="str">
            <v/>
          </cell>
          <cell r="EW28" t="str">
            <v/>
          </cell>
          <cell r="EX28" t="str">
            <v/>
          </cell>
          <cell r="EY28" t="str">
            <v/>
          </cell>
          <cell r="EZ28" t="str">
            <v/>
          </cell>
          <cell r="FA28" t="str">
            <v/>
          </cell>
          <cell r="FB28" t="str">
            <v/>
          </cell>
          <cell r="FC28" t="str">
            <v/>
          </cell>
          <cell r="FD28" t="str">
            <v/>
          </cell>
          <cell r="FE28" t="str">
            <v/>
          </cell>
          <cell r="FF28" t="str">
            <v/>
          </cell>
          <cell r="FG28" t="str">
            <v/>
          </cell>
          <cell r="FH28" t="str">
            <v/>
          </cell>
          <cell r="FI28" t="str">
            <v/>
          </cell>
          <cell r="FJ28" t="str">
            <v/>
          </cell>
          <cell r="FK28" t="str">
            <v/>
          </cell>
          <cell r="FL28" t="str">
            <v/>
          </cell>
          <cell r="FM28" t="str">
            <v/>
          </cell>
          <cell r="FN28" t="str">
            <v/>
          </cell>
          <cell r="FO28" t="str">
            <v/>
          </cell>
          <cell r="FP28" t="str">
            <v/>
          </cell>
        </row>
        <row r="29">
          <cell r="N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J29">
            <v>0</v>
          </cell>
          <cell r="AK29">
            <v>0</v>
          </cell>
          <cell r="AL29">
            <v>999999</v>
          </cell>
          <cell r="AM29">
            <v>50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BE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CB29">
            <v>0</v>
          </cell>
          <cell r="CC29">
            <v>0</v>
          </cell>
          <cell r="CD29">
            <v>14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W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G29">
            <v>0</v>
          </cell>
          <cell r="DH29">
            <v>0</v>
          </cell>
          <cell r="DS29">
            <v>11</v>
          </cell>
          <cell r="DT29">
            <v>338</v>
          </cell>
          <cell r="DU29">
            <v>999999</v>
          </cell>
          <cell r="DV29">
            <v>999999</v>
          </cell>
          <cell r="DW29">
            <v>999999</v>
          </cell>
          <cell r="DX29">
            <v>14</v>
          </cell>
          <cell r="DY29">
            <v>338</v>
          </cell>
          <cell r="DZ29">
            <v>999999</v>
          </cell>
          <cell r="EA29">
            <v>999999</v>
          </cell>
          <cell r="EB29">
            <v>999999</v>
          </cell>
          <cell r="EC29">
            <v>0</v>
          </cell>
          <cell r="ED29">
            <v>0</v>
          </cell>
          <cell r="EE29">
            <v>0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K29">
            <v>0</v>
          </cell>
          <cell r="EL29">
            <v>0</v>
          </cell>
          <cell r="EM29" t="str">
            <v/>
          </cell>
          <cell r="EN29" t="str">
            <v/>
          </cell>
          <cell r="EO29" t="str">
            <v/>
          </cell>
          <cell r="EP29" t="str">
            <v/>
          </cell>
          <cell r="EQ29" t="str">
            <v/>
          </cell>
          <cell r="ER29" t="str">
            <v/>
          </cell>
          <cell r="ES29" t="str">
            <v/>
          </cell>
          <cell r="ET29" t="str">
            <v/>
          </cell>
          <cell r="EU29" t="str">
            <v/>
          </cell>
          <cell r="EV29" t="str">
            <v/>
          </cell>
          <cell r="EW29" t="str">
            <v/>
          </cell>
          <cell r="EX29" t="str">
            <v/>
          </cell>
          <cell r="EY29" t="str">
            <v/>
          </cell>
          <cell r="EZ29" t="str">
            <v/>
          </cell>
          <cell r="FA29" t="str">
            <v/>
          </cell>
          <cell r="FB29" t="str">
            <v/>
          </cell>
          <cell r="FC29" t="str">
            <v/>
          </cell>
          <cell r="FD29" t="str">
            <v/>
          </cell>
          <cell r="FE29" t="str">
            <v/>
          </cell>
          <cell r="FF29" t="str">
            <v/>
          </cell>
          <cell r="FG29" t="str">
            <v/>
          </cell>
          <cell r="FH29" t="str">
            <v/>
          </cell>
          <cell r="FI29" t="str">
            <v/>
          </cell>
          <cell r="FJ29" t="str">
            <v/>
          </cell>
          <cell r="FK29" t="str">
            <v/>
          </cell>
          <cell r="FL29" t="str">
            <v/>
          </cell>
          <cell r="FM29" t="str">
            <v/>
          </cell>
          <cell r="FN29" t="str">
            <v/>
          </cell>
          <cell r="FO29" t="str">
            <v/>
          </cell>
          <cell r="FP29" t="str">
            <v/>
          </cell>
        </row>
        <row r="30"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J30">
            <v>0</v>
          </cell>
          <cell r="AK30">
            <v>0</v>
          </cell>
          <cell r="AL30">
            <v>999999</v>
          </cell>
          <cell r="AM30">
            <v>49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BE30">
            <v>48000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CB30">
            <v>0</v>
          </cell>
          <cell r="CC30">
            <v>0</v>
          </cell>
          <cell r="CD30">
            <v>13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W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S30">
            <v>10</v>
          </cell>
          <cell r="DT30">
            <v>337</v>
          </cell>
          <cell r="DU30">
            <v>999999</v>
          </cell>
          <cell r="DV30">
            <v>999999</v>
          </cell>
          <cell r="DW30">
            <v>999999</v>
          </cell>
          <cell r="DX30">
            <v>13</v>
          </cell>
          <cell r="DY30">
            <v>337</v>
          </cell>
          <cell r="DZ30">
            <v>999999</v>
          </cell>
          <cell r="EA30">
            <v>999999</v>
          </cell>
          <cell r="EB30">
            <v>999999</v>
          </cell>
          <cell r="EC30">
            <v>0</v>
          </cell>
          <cell r="ED30">
            <v>0</v>
          </cell>
          <cell r="EE30">
            <v>0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K30">
            <v>0</v>
          </cell>
          <cell r="EL30">
            <v>0</v>
          </cell>
          <cell r="EM30" t="str">
            <v/>
          </cell>
          <cell r="EN30" t="str">
            <v/>
          </cell>
          <cell r="EO30" t="str">
            <v/>
          </cell>
          <cell r="EP30" t="str">
            <v/>
          </cell>
          <cell r="EQ30" t="str">
            <v/>
          </cell>
          <cell r="ER30" t="str">
            <v/>
          </cell>
          <cell r="ES30" t="str">
            <v/>
          </cell>
          <cell r="ET30" t="str">
            <v/>
          </cell>
          <cell r="EU30" t="str">
            <v/>
          </cell>
          <cell r="EV30" t="str">
            <v/>
          </cell>
          <cell r="EW30" t="str">
            <v/>
          </cell>
          <cell r="EX30" t="str">
            <v/>
          </cell>
          <cell r="EY30" t="str">
            <v/>
          </cell>
          <cell r="EZ30" t="str">
            <v/>
          </cell>
          <cell r="FA30" t="str">
            <v/>
          </cell>
          <cell r="FB30" t="str">
            <v/>
          </cell>
          <cell r="FC30" t="str">
            <v/>
          </cell>
          <cell r="FD30" t="str">
            <v/>
          </cell>
          <cell r="FE30" t="str">
            <v/>
          </cell>
          <cell r="FF30" t="str">
            <v/>
          </cell>
          <cell r="FG30" t="str">
            <v/>
          </cell>
          <cell r="FH30" t="str">
            <v/>
          </cell>
          <cell r="FI30" t="str">
            <v/>
          </cell>
          <cell r="FJ30" t="str">
            <v/>
          </cell>
          <cell r="FK30" t="str">
            <v/>
          </cell>
          <cell r="FL30" t="str">
            <v/>
          </cell>
          <cell r="FM30" t="str">
            <v/>
          </cell>
          <cell r="FN30" t="str">
            <v/>
          </cell>
          <cell r="FO30" t="str">
            <v/>
          </cell>
          <cell r="FP30" t="str">
            <v/>
          </cell>
        </row>
        <row r="31">
          <cell r="N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J31">
            <v>0</v>
          </cell>
          <cell r="AK31">
            <v>0</v>
          </cell>
          <cell r="AL31">
            <v>999999</v>
          </cell>
          <cell r="AM31">
            <v>48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BE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CB31">
            <v>0</v>
          </cell>
          <cell r="CC31">
            <v>0</v>
          </cell>
          <cell r="CD31">
            <v>12</v>
          </cell>
          <cell r="CE31">
            <v>0</v>
          </cell>
          <cell r="CF31">
            <v>0</v>
          </cell>
          <cell r="CG31">
            <v>0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W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S31">
            <v>9</v>
          </cell>
          <cell r="DT31">
            <v>336</v>
          </cell>
          <cell r="DU31">
            <v>999999</v>
          </cell>
          <cell r="DV31">
            <v>999999</v>
          </cell>
          <cell r="DW31">
            <v>999999</v>
          </cell>
          <cell r="DX31">
            <v>12</v>
          </cell>
          <cell r="DY31">
            <v>336</v>
          </cell>
          <cell r="DZ31">
            <v>999999</v>
          </cell>
          <cell r="EA31">
            <v>999999</v>
          </cell>
          <cell r="EB31">
            <v>999999</v>
          </cell>
          <cell r="EC31">
            <v>0</v>
          </cell>
          <cell r="ED31">
            <v>0</v>
          </cell>
          <cell r="EE31">
            <v>0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K31">
            <v>0</v>
          </cell>
          <cell r="EL31">
            <v>0</v>
          </cell>
          <cell r="EM31" t="str">
            <v/>
          </cell>
          <cell r="EN31" t="str">
            <v/>
          </cell>
          <cell r="EO31" t="str">
            <v/>
          </cell>
          <cell r="EP31" t="str">
            <v/>
          </cell>
          <cell r="EQ31" t="str">
            <v/>
          </cell>
          <cell r="ER31" t="str">
            <v/>
          </cell>
          <cell r="ES31" t="str">
            <v/>
          </cell>
          <cell r="ET31" t="str">
            <v/>
          </cell>
          <cell r="EU31" t="str">
            <v/>
          </cell>
          <cell r="EV31" t="str">
            <v/>
          </cell>
          <cell r="EW31" t="str">
            <v/>
          </cell>
          <cell r="EX31" t="str">
            <v/>
          </cell>
          <cell r="EY31" t="str">
            <v/>
          </cell>
          <cell r="EZ31" t="str">
            <v/>
          </cell>
          <cell r="FA31" t="str">
            <v/>
          </cell>
          <cell r="FB31" t="str">
            <v/>
          </cell>
          <cell r="FC31" t="str">
            <v/>
          </cell>
          <cell r="FD31" t="str">
            <v/>
          </cell>
          <cell r="FE31" t="str">
            <v/>
          </cell>
          <cell r="FF31" t="str">
            <v/>
          </cell>
          <cell r="FG31" t="str">
            <v/>
          </cell>
          <cell r="FH31" t="str">
            <v/>
          </cell>
          <cell r="FI31" t="str">
            <v/>
          </cell>
          <cell r="FJ31" t="str">
            <v/>
          </cell>
          <cell r="FK31" t="str">
            <v/>
          </cell>
          <cell r="FL31" t="str">
            <v/>
          </cell>
          <cell r="FM31" t="str">
            <v/>
          </cell>
          <cell r="FN31" t="str">
            <v/>
          </cell>
          <cell r="FO31" t="str">
            <v/>
          </cell>
          <cell r="FP31" t="str">
            <v/>
          </cell>
        </row>
        <row r="32"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AJ32">
            <v>0</v>
          </cell>
          <cell r="AK32">
            <v>0</v>
          </cell>
          <cell r="AL32">
            <v>999999</v>
          </cell>
          <cell r="AM32">
            <v>47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BE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CB32">
            <v>0</v>
          </cell>
          <cell r="CC32">
            <v>0</v>
          </cell>
          <cell r="CD32">
            <v>11</v>
          </cell>
          <cell r="CE32">
            <v>0</v>
          </cell>
          <cell r="CF32">
            <v>0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W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S32">
            <v>8</v>
          </cell>
          <cell r="DT32">
            <v>335</v>
          </cell>
          <cell r="DU32">
            <v>999999</v>
          </cell>
          <cell r="DV32">
            <v>999999</v>
          </cell>
          <cell r="DW32">
            <v>999999</v>
          </cell>
          <cell r="DX32">
            <v>11</v>
          </cell>
          <cell r="DY32">
            <v>335</v>
          </cell>
          <cell r="DZ32">
            <v>999999</v>
          </cell>
          <cell r="EA32">
            <v>999999</v>
          </cell>
          <cell r="EB32">
            <v>999999</v>
          </cell>
          <cell r="EC32">
            <v>0</v>
          </cell>
          <cell r="ED32">
            <v>0</v>
          </cell>
          <cell r="EE32">
            <v>0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</v>
          </cell>
          <cell r="EK32">
            <v>0</v>
          </cell>
          <cell r="EL32">
            <v>0</v>
          </cell>
          <cell r="EM32" t="str">
            <v/>
          </cell>
          <cell r="EN32" t="str">
            <v/>
          </cell>
          <cell r="EO32" t="str">
            <v/>
          </cell>
          <cell r="EP32" t="str">
            <v/>
          </cell>
          <cell r="EQ32" t="str">
            <v/>
          </cell>
          <cell r="ER32" t="str">
            <v/>
          </cell>
          <cell r="ES32" t="str">
            <v/>
          </cell>
          <cell r="ET32" t="str">
            <v/>
          </cell>
          <cell r="EU32" t="str">
            <v/>
          </cell>
          <cell r="EV32" t="str">
            <v/>
          </cell>
          <cell r="EW32" t="str">
            <v/>
          </cell>
          <cell r="EX32" t="str">
            <v/>
          </cell>
          <cell r="EY32" t="str">
            <v/>
          </cell>
          <cell r="EZ32" t="str">
            <v/>
          </cell>
          <cell r="FA32" t="str">
            <v/>
          </cell>
          <cell r="FB32" t="str">
            <v/>
          </cell>
          <cell r="FC32" t="str">
            <v/>
          </cell>
          <cell r="FD32" t="str">
            <v/>
          </cell>
          <cell r="FE32" t="str">
            <v/>
          </cell>
          <cell r="FF32" t="str">
            <v/>
          </cell>
          <cell r="FG32" t="str">
            <v/>
          </cell>
          <cell r="FH32" t="str">
            <v/>
          </cell>
          <cell r="FI32" t="str">
            <v/>
          </cell>
          <cell r="FJ32" t="str">
            <v/>
          </cell>
          <cell r="FK32" t="str">
            <v/>
          </cell>
          <cell r="FL32" t="str">
            <v/>
          </cell>
          <cell r="FM32" t="str">
            <v/>
          </cell>
          <cell r="FN32" t="str">
            <v/>
          </cell>
          <cell r="FO32" t="str">
            <v/>
          </cell>
          <cell r="FP32" t="str">
            <v/>
          </cell>
        </row>
        <row r="33"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J33">
            <v>0</v>
          </cell>
          <cell r="AK33">
            <v>0</v>
          </cell>
          <cell r="AL33">
            <v>999999</v>
          </cell>
          <cell r="AM33">
            <v>46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BE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CB33">
            <v>0</v>
          </cell>
          <cell r="CC33">
            <v>0</v>
          </cell>
          <cell r="CD33">
            <v>10</v>
          </cell>
          <cell r="CE33">
            <v>0</v>
          </cell>
          <cell r="CF33">
            <v>0</v>
          </cell>
          <cell r="CG33">
            <v>0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W33">
            <v>0</v>
          </cell>
          <cell r="CY33">
            <v>0</v>
          </cell>
          <cell r="CZ33">
            <v>0</v>
          </cell>
          <cell r="DA33">
            <v>0</v>
          </cell>
          <cell r="DB33">
            <v>0</v>
          </cell>
          <cell r="DC33">
            <v>0</v>
          </cell>
          <cell r="DD33">
            <v>0</v>
          </cell>
          <cell r="DE33">
            <v>0</v>
          </cell>
          <cell r="DF33">
            <v>0</v>
          </cell>
          <cell r="DG33">
            <v>0</v>
          </cell>
          <cell r="DH33">
            <v>0</v>
          </cell>
          <cell r="DS33">
            <v>7</v>
          </cell>
          <cell r="DT33">
            <v>334</v>
          </cell>
          <cell r="DU33">
            <v>999999</v>
          </cell>
          <cell r="DV33">
            <v>999999</v>
          </cell>
          <cell r="DW33">
            <v>999999</v>
          </cell>
          <cell r="DX33">
            <v>10</v>
          </cell>
          <cell r="DY33">
            <v>334</v>
          </cell>
          <cell r="DZ33">
            <v>999999</v>
          </cell>
          <cell r="EA33">
            <v>999999</v>
          </cell>
          <cell r="EB33">
            <v>999999</v>
          </cell>
          <cell r="EC33">
            <v>0</v>
          </cell>
          <cell r="ED33">
            <v>0</v>
          </cell>
          <cell r="EE33">
            <v>0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</v>
          </cell>
          <cell r="EK33">
            <v>0</v>
          </cell>
          <cell r="EL33">
            <v>0</v>
          </cell>
          <cell r="EM33" t="str">
            <v/>
          </cell>
          <cell r="EN33" t="str">
            <v/>
          </cell>
          <cell r="EO33" t="str">
            <v/>
          </cell>
          <cell r="EP33" t="str">
            <v/>
          </cell>
          <cell r="EQ33" t="str">
            <v/>
          </cell>
          <cell r="ER33" t="str">
            <v/>
          </cell>
          <cell r="ES33" t="str">
            <v/>
          </cell>
          <cell r="ET33" t="str">
            <v/>
          </cell>
          <cell r="EU33" t="str">
            <v/>
          </cell>
          <cell r="EV33" t="str">
            <v/>
          </cell>
          <cell r="EW33" t="str">
            <v/>
          </cell>
          <cell r="EX33" t="str">
            <v/>
          </cell>
          <cell r="EY33" t="str">
            <v/>
          </cell>
          <cell r="EZ33" t="str">
            <v/>
          </cell>
          <cell r="FA33" t="str">
            <v/>
          </cell>
          <cell r="FB33" t="str">
            <v/>
          </cell>
          <cell r="FC33" t="str">
            <v/>
          </cell>
          <cell r="FD33" t="str">
            <v/>
          </cell>
          <cell r="FE33" t="str">
            <v/>
          </cell>
          <cell r="FF33" t="str">
            <v/>
          </cell>
          <cell r="FG33" t="str">
            <v/>
          </cell>
          <cell r="FH33" t="str">
            <v/>
          </cell>
          <cell r="FI33" t="str">
            <v/>
          </cell>
          <cell r="FJ33" t="str">
            <v/>
          </cell>
          <cell r="FK33" t="str">
            <v/>
          </cell>
          <cell r="FL33" t="str">
            <v/>
          </cell>
          <cell r="FM33" t="str">
            <v/>
          </cell>
          <cell r="FN33" t="str">
            <v/>
          </cell>
          <cell r="FO33" t="str">
            <v/>
          </cell>
          <cell r="FP33" t="str">
            <v/>
          </cell>
        </row>
        <row r="34"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AJ34">
            <v>0</v>
          </cell>
          <cell r="AK34">
            <v>0</v>
          </cell>
          <cell r="AL34">
            <v>999999</v>
          </cell>
          <cell r="AM34">
            <v>45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BE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CB34">
            <v>0</v>
          </cell>
          <cell r="CC34">
            <v>0</v>
          </cell>
          <cell r="CD34">
            <v>9</v>
          </cell>
          <cell r="CE34">
            <v>0</v>
          </cell>
          <cell r="CF34">
            <v>0</v>
          </cell>
          <cell r="CG34">
            <v>0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W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H34">
            <v>0</v>
          </cell>
          <cell r="DS34">
            <v>6</v>
          </cell>
          <cell r="DT34">
            <v>333</v>
          </cell>
          <cell r="DU34">
            <v>999999</v>
          </cell>
          <cell r="DV34">
            <v>999999</v>
          </cell>
          <cell r="DW34">
            <v>999999</v>
          </cell>
          <cell r="DX34">
            <v>9</v>
          </cell>
          <cell r="DY34">
            <v>333</v>
          </cell>
          <cell r="DZ34">
            <v>999999</v>
          </cell>
          <cell r="EA34">
            <v>999999</v>
          </cell>
          <cell r="EB34">
            <v>999999</v>
          </cell>
          <cell r="EC34">
            <v>0</v>
          </cell>
          <cell r="ED34">
            <v>0</v>
          </cell>
          <cell r="EE34">
            <v>0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0</v>
          </cell>
          <cell r="EK34">
            <v>0</v>
          </cell>
          <cell r="EL34">
            <v>0</v>
          </cell>
          <cell r="EM34" t="str">
            <v/>
          </cell>
          <cell r="EN34" t="str">
            <v/>
          </cell>
          <cell r="EO34" t="str">
            <v/>
          </cell>
          <cell r="EP34" t="str">
            <v/>
          </cell>
          <cell r="EQ34" t="str">
            <v/>
          </cell>
          <cell r="ER34" t="str">
            <v/>
          </cell>
          <cell r="ES34" t="str">
            <v/>
          </cell>
          <cell r="ET34" t="str">
            <v/>
          </cell>
          <cell r="EU34" t="str">
            <v/>
          </cell>
          <cell r="EV34" t="str">
            <v/>
          </cell>
          <cell r="EW34" t="str">
            <v/>
          </cell>
          <cell r="EX34" t="str">
            <v/>
          </cell>
          <cell r="EY34" t="str">
            <v/>
          </cell>
          <cell r="EZ34" t="str">
            <v/>
          </cell>
          <cell r="FA34" t="str">
            <v/>
          </cell>
          <cell r="FB34" t="str">
            <v/>
          </cell>
          <cell r="FC34" t="str">
            <v/>
          </cell>
          <cell r="FD34" t="str">
            <v/>
          </cell>
          <cell r="FE34" t="str">
            <v/>
          </cell>
          <cell r="FF34" t="str">
            <v/>
          </cell>
          <cell r="FG34" t="str">
            <v/>
          </cell>
          <cell r="FH34" t="str">
            <v/>
          </cell>
          <cell r="FI34" t="str">
            <v/>
          </cell>
          <cell r="FJ34" t="str">
            <v/>
          </cell>
          <cell r="FK34" t="str">
            <v/>
          </cell>
          <cell r="FL34" t="str">
            <v/>
          </cell>
          <cell r="FM34" t="str">
            <v/>
          </cell>
          <cell r="FN34" t="str">
            <v/>
          </cell>
          <cell r="FO34" t="str">
            <v/>
          </cell>
          <cell r="FP34" t="str">
            <v/>
          </cell>
        </row>
        <row r="35"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J35">
            <v>0</v>
          </cell>
          <cell r="AK35">
            <v>0</v>
          </cell>
          <cell r="AL35">
            <v>999999</v>
          </cell>
          <cell r="AM35">
            <v>44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BE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CB35">
            <v>0</v>
          </cell>
          <cell r="CC35">
            <v>0</v>
          </cell>
          <cell r="CD35">
            <v>8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W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S35">
            <v>5</v>
          </cell>
          <cell r="DT35">
            <v>332</v>
          </cell>
          <cell r="DU35">
            <v>999999</v>
          </cell>
          <cell r="DV35">
            <v>999999</v>
          </cell>
          <cell r="DW35">
            <v>999999</v>
          </cell>
          <cell r="DX35">
            <v>8</v>
          </cell>
          <cell r="DY35">
            <v>332</v>
          </cell>
          <cell r="DZ35">
            <v>999999</v>
          </cell>
          <cell r="EA35">
            <v>999999</v>
          </cell>
          <cell r="EB35">
            <v>999999</v>
          </cell>
          <cell r="EC35">
            <v>0</v>
          </cell>
          <cell r="ED35">
            <v>0</v>
          </cell>
          <cell r="EE35">
            <v>0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0</v>
          </cell>
          <cell r="EK35">
            <v>0</v>
          </cell>
          <cell r="EL35">
            <v>0</v>
          </cell>
          <cell r="EM35" t="str">
            <v/>
          </cell>
          <cell r="EN35" t="str">
            <v/>
          </cell>
          <cell r="EO35" t="str">
            <v/>
          </cell>
          <cell r="EP35" t="str">
            <v/>
          </cell>
          <cell r="EQ35" t="str">
            <v/>
          </cell>
          <cell r="ER35" t="str">
            <v/>
          </cell>
          <cell r="ES35" t="str">
            <v/>
          </cell>
          <cell r="ET35" t="str">
            <v/>
          </cell>
          <cell r="EU35" t="str">
            <v/>
          </cell>
          <cell r="EV35" t="str">
            <v/>
          </cell>
          <cell r="EW35" t="str">
            <v/>
          </cell>
          <cell r="EX35" t="str">
            <v/>
          </cell>
          <cell r="EY35" t="str">
            <v/>
          </cell>
          <cell r="EZ35" t="str">
            <v/>
          </cell>
          <cell r="FA35" t="str">
            <v/>
          </cell>
          <cell r="FB35" t="str">
            <v/>
          </cell>
          <cell r="FC35" t="str">
            <v/>
          </cell>
          <cell r="FD35" t="str">
            <v/>
          </cell>
          <cell r="FE35" t="str">
            <v/>
          </cell>
          <cell r="FF35" t="str">
            <v/>
          </cell>
          <cell r="FG35" t="str">
            <v/>
          </cell>
          <cell r="FH35" t="str">
            <v/>
          </cell>
          <cell r="FI35" t="str">
            <v/>
          </cell>
          <cell r="FJ35" t="str">
            <v/>
          </cell>
          <cell r="FK35" t="str">
            <v/>
          </cell>
          <cell r="FL35" t="str">
            <v/>
          </cell>
          <cell r="FM35" t="str">
            <v/>
          </cell>
          <cell r="FN35" t="str">
            <v/>
          </cell>
          <cell r="FO35" t="str">
            <v/>
          </cell>
          <cell r="FP35" t="str">
            <v/>
          </cell>
        </row>
        <row r="36"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AJ36">
            <v>0</v>
          </cell>
          <cell r="AK36">
            <v>0</v>
          </cell>
          <cell r="AL36">
            <v>999999</v>
          </cell>
          <cell r="AM36">
            <v>43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BE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CB36">
            <v>0</v>
          </cell>
          <cell r="CC36">
            <v>0</v>
          </cell>
          <cell r="CD36">
            <v>7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0</v>
          </cell>
          <cell r="CJ36">
            <v>0</v>
          </cell>
          <cell r="CK36">
            <v>0</v>
          </cell>
          <cell r="CW36">
            <v>0</v>
          </cell>
          <cell r="CY36">
            <v>0</v>
          </cell>
          <cell r="CZ36">
            <v>0</v>
          </cell>
          <cell r="DA36">
            <v>0</v>
          </cell>
          <cell r="DB36">
            <v>0</v>
          </cell>
          <cell r="DC36">
            <v>0</v>
          </cell>
          <cell r="DD36">
            <v>0</v>
          </cell>
          <cell r="DE36">
            <v>0</v>
          </cell>
          <cell r="DF36">
            <v>0</v>
          </cell>
          <cell r="DG36">
            <v>0</v>
          </cell>
          <cell r="DH36">
            <v>0</v>
          </cell>
          <cell r="DS36">
            <v>4</v>
          </cell>
          <cell r="DT36">
            <v>331</v>
          </cell>
          <cell r="DU36">
            <v>999999</v>
          </cell>
          <cell r="DV36">
            <v>999999</v>
          </cell>
          <cell r="DW36">
            <v>999999</v>
          </cell>
          <cell r="DX36">
            <v>7</v>
          </cell>
          <cell r="DY36">
            <v>331</v>
          </cell>
          <cell r="DZ36">
            <v>999999</v>
          </cell>
          <cell r="EA36">
            <v>999999</v>
          </cell>
          <cell r="EB36">
            <v>999999</v>
          </cell>
          <cell r="EC36">
            <v>0</v>
          </cell>
          <cell r="ED36">
            <v>0</v>
          </cell>
          <cell r="EE36">
            <v>0</v>
          </cell>
          <cell r="EF36">
            <v>0</v>
          </cell>
          <cell r="EG36">
            <v>0</v>
          </cell>
          <cell r="EH36">
            <v>0</v>
          </cell>
          <cell r="EI36">
            <v>0</v>
          </cell>
          <cell r="EJ36">
            <v>0</v>
          </cell>
          <cell r="EK36">
            <v>0</v>
          </cell>
          <cell r="EL36">
            <v>0</v>
          </cell>
          <cell r="EM36" t="str">
            <v/>
          </cell>
          <cell r="EN36" t="str">
            <v/>
          </cell>
          <cell r="EO36" t="str">
            <v/>
          </cell>
          <cell r="EP36" t="str">
            <v/>
          </cell>
          <cell r="EQ36" t="str">
            <v/>
          </cell>
          <cell r="ER36" t="str">
            <v/>
          </cell>
          <cell r="ES36" t="str">
            <v/>
          </cell>
          <cell r="ET36" t="str">
            <v/>
          </cell>
          <cell r="EU36" t="str">
            <v/>
          </cell>
          <cell r="EV36" t="str">
            <v/>
          </cell>
          <cell r="EW36" t="str">
            <v/>
          </cell>
          <cell r="EX36" t="str">
            <v/>
          </cell>
          <cell r="EY36" t="str">
            <v/>
          </cell>
          <cell r="EZ36" t="str">
            <v/>
          </cell>
          <cell r="FA36" t="str">
            <v/>
          </cell>
          <cell r="FB36" t="str">
            <v/>
          </cell>
          <cell r="FC36" t="str">
            <v/>
          </cell>
          <cell r="FD36" t="str">
            <v/>
          </cell>
          <cell r="FE36" t="str">
            <v/>
          </cell>
          <cell r="FF36" t="str">
            <v/>
          </cell>
          <cell r="FG36" t="str">
            <v/>
          </cell>
          <cell r="FH36" t="str">
            <v/>
          </cell>
          <cell r="FI36" t="str">
            <v/>
          </cell>
          <cell r="FJ36" t="str">
            <v/>
          </cell>
          <cell r="FK36" t="str">
            <v/>
          </cell>
          <cell r="FL36" t="str">
            <v/>
          </cell>
          <cell r="FM36" t="str">
            <v/>
          </cell>
          <cell r="FN36" t="str">
            <v/>
          </cell>
          <cell r="FO36" t="str">
            <v/>
          </cell>
          <cell r="FP36" t="str">
            <v/>
          </cell>
        </row>
        <row r="37"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J37">
            <v>0</v>
          </cell>
          <cell r="AK37">
            <v>0</v>
          </cell>
          <cell r="AL37">
            <v>999999</v>
          </cell>
          <cell r="AM37">
            <v>42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BE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CB37">
            <v>0</v>
          </cell>
          <cell r="CC37">
            <v>0</v>
          </cell>
          <cell r="CD37">
            <v>6</v>
          </cell>
          <cell r="CE37">
            <v>0</v>
          </cell>
          <cell r="CF37">
            <v>0</v>
          </cell>
          <cell r="CG37">
            <v>0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  <cell r="CW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E37">
            <v>0</v>
          </cell>
          <cell r="DF37">
            <v>0</v>
          </cell>
          <cell r="DG37">
            <v>0</v>
          </cell>
          <cell r="DH37">
            <v>0</v>
          </cell>
          <cell r="DS37">
            <v>3</v>
          </cell>
          <cell r="DT37">
            <v>330</v>
          </cell>
          <cell r="DU37">
            <v>999999</v>
          </cell>
          <cell r="DV37">
            <v>999999</v>
          </cell>
          <cell r="DW37">
            <v>999999</v>
          </cell>
          <cell r="DX37">
            <v>6</v>
          </cell>
          <cell r="DY37">
            <v>330</v>
          </cell>
          <cell r="DZ37">
            <v>999999</v>
          </cell>
          <cell r="EA37">
            <v>999999</v>
          </cell>
          <cell r="EB37">
            <v>999999</v>
          </cell>
          <cell r="EC37">
            <v>0</v>
          </cell>
          <cell r="ED37">
            <v>0</v>
          </cell>
          <cell r="EE37">
            <v>0</v>
          </cell>
          <cell r="EF37">
            <v>0</v>
          </cell>
          <cell r="EG37">
            <v>0</v>
          </cell>
          <cell r="EH37">
            <v>0</v>
          </cell>
          <cell r="EI37">
            <v>0</v>
          </cell>
          <cell r="EJ37">
            <v>0</v>
          </cell>
          <cell r="EK37">
            <v>0</v>
          </cell>
          <cell r="EL37">
            <v>0</v>
          </cell>
          <cell r="EM37" t="str">
            <v/>
          </cell>
          <cell r="EN37" t="str">
            <v/>
          </cell>
          <cell r="EO37" t="str">
            <v/>
          </cell>
          <cell r="EP37" t="str">
            <v/>
          </cell>
          <cell r="EQ37" t="str">
            <v/>
          </cell>
          <cell r="ER37" t="str">
            <v/>
          </cell>
          <cell r="ES37" t="str">
            <v/>
          </cell>
          <cell r="ET37" t="str">
            <v/>
          </cell>
          <cell r="EU37" t="str">
            <v/>
          </cell>
          <cell r="EV37" t="str">
            <v/>
          </cell>
          <cell r="EW37" t="str">
            <v/>
          </cell>
          <cell r="EX37" t="str">
            <v/>
          </cell>
          <cell r="EY37" t="str">
            <v/>
          </cell>
          <cell r="EZ37" t="str">
            <v/>
          </cell>
          <cell r="FA37" t="str">
            <v/>
          </cell>
          <cell r="FB37" t="str">
            <v/>
          </cell>
          <cell r="FC37" t="str">
            <v/>
          </cell>
          <cell r="FD37" t="str">
            <v/>
          </cell>
          <cell r="FE37" t="str">
            <v/>
          </cell>
          <cell r="FF37" t="str">
            <v/>
          </cell>
          <cell r="FG37" t="str">
            <v/>
          </cell>
          <cell r="FH37" t="str">
            <v/>
          </cell>
          <cell r="FI37" t="str">
            <v/>
          </cell>
          <cell r="FJ37" t="str">
            <v/>
          </cell>
          <cell r="FK37" t="str">
            <v/>
          </cell>
          <cell r="FL37" t="str">
            <v/>
          </cell>
          <cell r="FM37" t="str">
            <v/>
          </cell>
          <cell r="FN37" t="str">
            <v/>
          </cell>
          <cell r="FO37" t="str">
            <v/>
          </cell>
          <cell r="FP37" t="str">
            <v/>
          </cell>
        </row>
        <row r="38">
          <cell r="N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J38">
            <v>0</v>
          </cell>
          <cell r="AK38">
            <v>0</v>
          </cell>
          <cell r="AL38">
            <v>999999</v>
          </cell>
          <cell r="AM38">
            <v>41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BE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CB38">
            <v>0</v>
          </cell>
          <cell r="CC38">
            <v>0</v>
          </cell>
          <cell r="CD38">
            <v>5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  <cell r="CW38">
            <v>0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</v>
          </cell>
          <cell r="DG38">
            <v>0</v>
          </cell>
          <cell r="DH38">
            <v>0</v>
          </cell>
          <cell r="DS38">
            <v>2</v>
          </cell>
          <cell r="DT38">
            <v>329</v>
          </cell>
          <cell r="DU38">
            <v>999999</v>
          </cell>
          <cell r="DV38">
            <v>999999</v>
          </cell>
          <cell r="DW38">
            <v>999999</v>
          </cell>
          <cell r="DX38">
            <v>5</v>
          </cell>
          <cell r="DY38">
            <v>329</v>
          </cell>
          <cell r="DZ38">
            <v>999999</v>
          </cell>
          <cell r="EA38">
            <v>999999</v>
          </cell>
          <cell r="EB38">
            <v>999999</v>
          </cell>
          <cell r="EC38">
            <v>0</v>
          </cell>
          <cell r="ED38">
            <v>0</v>
          </cell>
          <cell r="EE38">
            <v>0</v>
          </cell>
          <cell r="EF38">
            <v>0</v>
          </cell>
          <cell r="EG38">
            <v>0</v>
          </cell>
          <cell r="EH38">
            <v>0</v>
          </cell>
          <cell r="EI38">
            <v>0</v>
          </cell>
          <cell r="EJ38">
            <v>0</v>
          </cell>
          <cell r="EK38">
            <v>0</v>
          </cell>
          <cell r="EL38">
            <v>0</v>
          </cell>
          <cell r="EM38" t="str">
            <v/>
          </cell>
          <cell r="EN38" t="str">
            <v/>
          </cell>
          <cell r="EO38" t="str">
            <v/>
          </cell>
          <cell r="EP38" t="str">
            <v/>
          </cell>
          <cell r="EQ38" t="str">
            <v/>
          </cell>
          <cell r="ER38" t="str">
            <v/>
          </cell>
          <cell r="ES38" t="str">
            <v/>
          </cell>
          <cell r="ET38" t="str">
            <v/>
          </cell>
          <cell r="EU38" t="str">
            <v/>
          </cell>
          <cell r="EV38" t="str">
            <v/>
          </cell>
          <cell r="EW38" t="str">
            <v/>
          </cell>
          <cell r="EX38" t="str">
            <v/>
          </cell>
          <cell r="EY38" t="str">
            <v/>
          </cell>
          <cell r="EZ38" t="str">
            <v/>
          </cell>
          <cell r="FA38" t="str">
            <v/>
          </cell>
          <cell r="FB38" t="str">
            <v/>
          </cell>
          <cell r="FC38" t="str">
            <v/>
          </cell>
          <cell r="FD38" t="str">
            <v/>
          </cell>
          <cell r="FE38" t="str">
            <v/>
          </cell>
          <cell r="FF38" t="str">
            <v/>
          </cell>
          <cell r="FG38" t="str">
            <v/>
          </cell>
          <cell r="FH38" t="str">
            <v/>
          </cell>
          <cell r="FI38" t="str">
            <v/>
          </cell>
          <cell r="FJ38" t="str">
            <v/>
          </cell>
          <cell r="FK38" t="str">
            <v/>
          </cell>
          <cell r="FL38" t="str">
            <v/>
          </cell>
          <cell r="FM38" t="str">
            <v/>
          </cell>
          <cell r="FN38" t="str">
            <v/>
          </cell>
          <cell r="FO38" t="str">
            <v/>
          </cell>
          <cell r="FP38" t="str">
            <v/>
          </cell>
        </row>
        <row r="39"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J39">
            <v>0</v>
          </cell>
          <cell r="AK39">
            <v>0</v>
          </cell>
          <cell r="AL39">
            <v>999999</v>
          </cell>
          <cell r="AM39">
            <v>40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BE39">
            <v>48000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0</v>
          </cell>
          <cell r="BQ39">
            <v>0</v>
          </cell>
          <cell r="CB39">
            <v>0</v>
          </cell>
          <cell r="CC39">
            <v>0</v>
          </cell>
          <cell r="CD39">
            <v>4</v>
          </cell>
          <cell r="CE39">
            <v>0</v>
          </cell>
          <cell r="CF39">
            <v>0</v>
          </cell>
          <cell r="CG39">
            <v>0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W39">
            <v>0</v>
          </cell>
          <cell r="CY39">
            <v>0</v>
          </cell>
          <cell r="CZ39">
            <v>0</v>
          </cell>
          <cell r="DA39">
            <v>0</v>
          </cell>
          <cell r="DB39">
            <v>0</v>
          </cell>
          <cell r="DC39">
            <v>0</v>
          </cell>
          <cell r="DD39">
            <v>0</v>
          </cell>
          <cell r="DE39">
            <v>0</v>
          </cell>
          <cell r="DF39">
            <v>0</v>
          </cell>
          <cell r="DG39">
            <v>0</v>
          </cell>
          <cell r="DH39">
            <v>0</v>
          </cell>
          <cell r="DS39">
            <v>1</v>
          </cell>
          <cell r="DT39">
            <v>328</v>
          </cell>
          <cell r="DU39">
            <v>999999</v>
          </cell>
          <cell r="DV39">
            <v>999999</v>
          </cell>
          <cell r="DW39">
            <v>999999</v>
          </cell>
          <cell r="DX39">
            <v>4</v>
          </cell>
          <cell r="DY39">
            <v>328</v>
          </cell>
          <cell r="DZ39">
            <v>999999</v>
          </cell>
          <cell r="EA39">
            <v>999999</v>
          </cell>
          <cell r="EB39">
            <v>999999</v>
          </cell>
          <cell r="EC39">
            <v>0</v>
          </cell>
          <cell r="ED39">
            <v>0</v>
          </cell>
          <cell r="EE39">
            <v>0</v>
          </cell>
          <cell r="EF39">
            <v>0</v>
          </cell>
          <cell r="EG39">
            <v>0</v>
          </cell>
          <cell r="EH39">
            <v>0</v>
          </cell>
          <cell r="EI39">
            <v>0</v>
          </cell>
          <cell r="EJ39">
            <v>0</v>
          </cell>
          <cell r="EK39">
            <v>0</v>
          </cell>
          <cell r="EL39">
            <v>0</v>
          </cell>
          <cell r="EM39" t="str">
            <v/>
          </cell>
          <cell r="EN39" t="str">
            <v/>
          </cell>
          <cell r="EO39" t="str">
            <v/>
          </cell>
          <cell r="EP39" t="str">
            <v/>
          </cell>
          <cell r="EQ39" t="str">
            <v/>
          </cell>
          <cell r="ER39" t="str">
            <v/>
          </cell>
          <cell r="ES39" t="str">
            <v/>
          </cell>
          <cell r="ET39" t="str">
            <v/>
          </cell>
          <cell r="EU39" t="str">
            <v/>
          </cell>
          <cell r="EV39" t="str">
            <v/>
          </cell>
          <cell r="EW39" t="str">
            <v/>
          </cell>
          <cell r="EX39" t="str">
            <v/>
          </cell>
          <cell r="EY39" t="str">
            <v/>
          </cell>
          <cell r="EZ39" t="str">
            <v/>
          </cell>
          <cell r="FA39" t="str">
            <v/>
          </cell>
          <cell r="FB39" t="str">
            <v/>
          </cell>
          <cell r="FC39" t="str">
            <v/>
          </cell>
          <cell r="FD39" t="str">
            <v/>
          </cell>
          <cell r="FE39" t="str">
            <v/>
          </cell>
          <cell r="FF39" t="str">
            <v/>
          </cell>
          <cell r="FG39" t="str">
            <v/>
          </cell>
          <cell r="FH39" t="str">
            <v/>
          </cell>
          <cell r="FI39" t="str">
            <v/>
          </cell>
          <cell r="FJ39" t="str">
            <v/>
          </cell>
          <cell r="FK39" t="str">
            <v/>
          </cell>
          <cell r="FL39" t="str">
            <v/>
          </cell>
          <cell r="FM39" t="str">
            <v/>
          </cell>
          <cell r="FN39" t="str">
            <v/>
          </cell>
          <cell r="FO39" t="str">
            <v/>
          </cell>
          <cell r="FP39" t="str">
            <v/>
          </cell>
        </row>
        <row r="40"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AJ40">
            <v>0</v>
          </cell>
          <cell r="AK40">
            <v>0</v>
          </cell>
          <cell r="AL40">
            <v>999999</v>
          </cell>
          <cell r="AM40">
            <v>39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BE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CB40">
            <v>0</v>
          </cell>
          <cell r="CC40">
            <v>0</v>
          </cell>
          <cell r="CD40">
            <v>3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W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H40">
            <v>0</v>
          </cell>
          <cell r="DS40">
            <v>0</v>
          </cell>
          <cell r="DT40">
            <v>327</v>
          </cell>
          <cell r="DU40">
            <v>999999</v>
          </cell>
          <cell r="DV40">
            <v>999999</v>
          </cell>
          <cell r="DW40">
            <v>999999</v>
          </cell>
          <cell r="DX40">
            <v>3</v>
          </cell>
          <cell r="DY40">
            <v>327</v>
          </cell>
          <cell r="DZ40">
            <v>999999</v>
          </cell>
          <cell r="EA40">
            <v>999999</v>
          </cell>
          <cell r="EB40">
            <v>999999</v>
          </cell>
          <cell r="EC40">
            <v>0</v>
          </cell>
          <cell r="ED40">
            <v>0</v>
          </cell>
          <cell r="EE40">
            <v>0</v>
          </cell>
          <cell r="EF40">
            <v>0</v>
          </cell>
          <cell r="EG40">
            <v>0</v>
          </cell>
          <cell r="EH40">
            <v>0</v>
          </cell>
          <cell r="EI40">
            <v>0</v>
          </cell>
          <cell r="EJ40">
            <v>0</v>
          </cell>
          <cell r="EK40">
            <v>0</v>
          </cell>
          <cell r="EL40">
            <v>0</v>
          </cell>
          <cell r="EM40" t="str">
            <v/>
          </cell>
          <cell r="EN40" t="str">
            <v/>
          </cell>
          <cell r="EO40" t="str">
            <v/>
          </cell>
          <cell r="EP40" t="str">
            <v/>
          </cell>
          <cell r="EQ40" t="str">
            <v/>
          </cell>
          <cell r="ER40" t="str">
            <v/>
          </cell>
          <cell r="ES40" t="str">
            <v/>
          </cell>
          <cell r="ET40" t="str">
            <v/>
          </cell>
          <cell r="EU40" t="str">
            <v/>
          </cell>
          <cell r="EV40" t="str">
            <v/>
          </cell>
          <cell r="EW40" t="str">
            <v/>
          </cell>
          <cell r="EX40" t="str">
            <v/>
          </cell>
          <cell r="EY40" t="str">
            <v/>
          </cell>
          <cell r="EZ40" t="str">
            <v/>
          </cell>
          <cell r="FA40" t="str">
            <v/>
          </cell>
          <cell r="FB40" t="str">
            <v/>
          </cell>
          <cell r="FC40" t="str">
            <v/>
          </cell>
          <cell r="FD40" t="str">
            <v/>
          </cell>
          <cell r="FE40" t="str">
            <v/>
          </cell>
          <cell r="FF40" t="str">
            <v/>
          </cell>
          <cell r="FG40" t="str">
            <v/>
          </cell>
          <cell r="FH40" t="str">
            <v/>
          </cell>
          <cell r="FI40" t="str">
            <v/>
          </cell>
          <cell r="FJ40" t="str">
            <v/>
          </cell>
          <cell r="FK40" t="str">
            <v/>
          </cell>
          <cell r="FL40" t="str">
            <v/>
          </cell>
          <cell r="FM40" t="str">
            <v/>
          </cell>
          <cell r="FN40" t="str">
            <v/>
          </cell>
          <cell r="FO40" t="str">
            <v/>
          </cell>
          <cell r="FP40" t="str">
            <v/>
          </cell>
        </row>
        <row r="41">
          <cell r="N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J41">
            <v>0</v>
          </cell>
          <cell r="AK41">
            <v>0</v>
          </cell>
          <cell r="AL41">
            <v>999999</v>
          </cell>
          <cell r="AM41">
            <v>38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BE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CB41">
            <v>0</v>
          </cell>
          <cell r="CC41">
            <v>0</v>
          </cell>
          <cell r="CD41">
            <v>2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W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0</v>
          </cell>
          <cell r="DS41">
            <v>0</v>
          </cell>
          <cell r="DT41">
            <v>326</v>
          </cell>
          <cell r="DU41">
            <v>999999</v>
          </cell>
          <cell r="DV41">
            <v>999999</v>
          </cell>
          <cell r="DW41">
            <v>999999</v>
          </cell>
          <cell r="DX41">
            <v>2</v>
          </cell>
          <cell r="DY41">
            <v>326</v>
          </cell>
          <cell r="DZ41">
            <v>999999</v>
          </cell>
          <cell r="EA41">
            <v>999999</v>
          </cell>
          <cell r="EB41">
            <v>999999</v>
          </cell>
          <cell r="EC41">
            <v>0</v>
          </cell>
          <cell r="ED41">
            <v>0</v>
          </cell>
          <cell r="EE41">
            <v>0</v>
          </cell>
          <cell r="EF41">
            <v>0</v>
          </cell>
          <cell r="EG41">
            <v>0</v>
          </cell>
          <cell r="EH41">
            <v>0</v>
          </cell>
          <cell r="EI41">
            <v>0</v>
          </cell>
          <cell r="EJ41">
            <v>0</v>
          </cell>
          <cell r="EK41">
            <v>0</v>
          </cell>
          <cell r="EL41">
            <v>0</v>
          </cell>
          <cell r="EM41" t="str">
            <v/>
          </cell>
          <cell r="EN41" t="str">
            <v/>
          </cell>
          <cell r="EO41" t="str">
            <v/>
          </cell>
          <cell r="EP41" t="str">
            <v/>
          </cell>
          <cell r="EQ41" t="str">
            <v/>
          </cell>
          <cell r="ER41" t="str">
            <v/>
          </cell>
          <cell r="ES41" t="str">
            <v/>
          </cell>
          <cell r="ET41" t="str">
            <v/>
          </cell>
          <cell r="EU41" t="str">
            <v/>
          </cell>
          <cell r="EV41" t="str">
            <v/>
          </cell>
          <cell r="EW41" t="str">
            <v/>
          </cell>
          <cell r="EX41" t="str">
            <v/>
          </cell>
          <cell r="EY41" t="str">
            <v/>
          </cell>
          <cell r="EZ41" t="str">
            <v/>
          </cell>
          <cell r="FA41" t="str">
            <v/>
          </cell>
          <cell r="FB41" t="str">
            <v/>
          </cell>
          <cell r="FC41" t="str">
            <v/>
          </cell>
          <cell r="FD41" t="str">
            <v/>
          </cell>
          <cell r="FE41" t="str">
            <v/>
          </cell>
          <cell r="FF41" t="str">
            <v/>
          </cell>
          <cell r="FG41" t="str">
            <v/>
          </cell>
          <cell r="FH41" t="str">
            <v/>
          </cell>
          <cell r="FI41" t="str">
            <v/>
          </cell>
          <cell r="FJ41" t="str">
            <v/>
          </cell>
          <cell r="FK41" t="str">
            <v/>
          </cell>
          <cell r="FL41" t="str">
            <v/>
          </cell>
          <cell r="FM41" t="str">
            <v/>
          </cell>
          <cell r="FN41" t="str">
            <v/>
          </cell>
          <cell r="FO41" t="str">
            <v/>
          </cell>
          <cell r="FP41" t="str">
            <v/>
          </cell>
        </row>
        <row r="42"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AJ42">
            <v>0</v>
          </cell>
          <cell r="AK42">
            <v>0</v>
          </cell>
          <cell r="AL42">
            <v>999999</v>
          </cell>
          <cell r="AM42">
            <v>37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BE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CB42">
            <v>0</v>
          </cell>
          <cell r="CC42">
            <v>0</v>
          </cell>
          <cell r="CD42">
            <v>1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W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S42">
            <v>0</v>
          </cell>
          <cell r="DT42">
            <v>325</v>
          </cell>
          <cell r="DU42">
            <v>999999</v>
          </cell>
          <cell r="DV42">
            <v>999999</v>
          </cell>
          <cell r="DW42">
            <v>999999</v>
          </cell>
          <cell r="DX42">
            <v>1</v>
          </cell>
          <cell r="DY42">
            <v>325</v>
          </cell>
          <cell r="DZ42">
            <v>999999</v>
          </cell>
          <cell r="EA42">
            <v>999999</v>
          </cell>
          <cell r="EB42">
            <v>999999</v>
          </cell>
          <cell r="EC42">
            <v>0</v>
          </cell>
          <cell r="ED42">
            <v>0</v>
          </cell>
          <cell r="EE42">
            <v>0</v>
          </cell>
          <cell r="EF42">
            <v>0</v>
          </cell>
          <cell r="EG42">
            <v>0</v>
          </cell>
          <cell r="EH42">
            <v>0</v>
          </cell>
          <cell r="EI42">
            <v>0</v>
          </cell>
          <cell r="EJ42">
            <v>0</v>
          </cell>
          <cell r="EK42">
            <v>0</v>
          </cell>
          <cell r="EL42">
            <v>0</v>
          </cell>
          <cell r="EM42" t="str">
            <v/>
          </cell>
          <cell r="EN42" t="str">
            <v/>
          </cell>
          <cell r="EO42" t="str">
            <v/>
          </cell>
          <cell r="EP42" t="str">
            <v/>
          </cell>
          <cell r="EQ42" t="str">
            <v/>
          </cell>
          <cell r="ER42" t="str">
            <v/>
          </cell>
          <cell r="ES42" t="str">
            <v/>
          </cell>
          <cell r="ET42" t="str">
            <v/>
          </cell>
          <cell r="EU42" t="str">
            <v/>
          </cell>
          <cell r="EV42" t="str">
            <v/>
          </cell>
          <cell r="EW42" t="str">
            <v/>
          </cell>
          <cell r="EX42" t="str">
            <v/>
          </cell>
          <cell r="EY42" t="str">
            <v/>
          </cell>
          <cell r="EZ42" t="str">
            <v/>
          </cell>
          <cell r="FA42" t="str">
            <v/>
          </cell>
          <cell r="FB42" t="str">
            <v/>
          </cell>
          <cell r="FC42" t="str">
            <v/>
          </cell>
          <cell r="FD42" t="str">
            <v/>
          </cell>
          <cell r="FE42" t="str">
            <v/>
          </cell>
          <cell r="FF42" t="str">
            <v/>
          </cell>
          <cell r="FG42" t="str">
            <v/>
          </cell>
          <cell r="FH42" t="str">
            <v/>
          </cell>
          <cell r="FI42" t="str">
            <v/>
          </cell>
          <cell r="FJ42" t="str">
            <v/>
          </cell>
          <cell r="FK42" t="str">
            <v/>
          </cell>
          <cell r="FL42" t="str">
            <v/>
          </cell>
          <cell r="FM42" t="str">
            <v/>
          </cell>
          <cell r="FN42" t="str">
            <v/>
          </cell>
          <cell r="FO42" t="str">
            <v/>
          </cell>
          <cell r="FP42" t="str">
            <v/>
          </cell>
        </row>
        <row r="43">
          <cell r="N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J43">
            <v>0</v>
          </cell>
          <cell r="AK43">
            <v>0</v>
          </cell>
          <cell r="AL43">
            <v>999999</v>
          </cell>
          <cell r="AM43">
            <v>36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BE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W43">
            <v>0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0</v>
          </cell>
          <cell r="DE43">
            <v>0</v>
          </cell>
          <cell r="DF43">
            <v>0</v>
          </cell>
          <cell r="DG43">
            <v>0</v>
          </cell>
          <cell r="DH43">
            <v>0</v>
          </cell>
          <cell r="DS43">
            <v>0</v>
          </cell>
          <cell r="DT43">
            <v>324</v>
          </cell>
          <cell r="DU43">
            <v>999999</v>
          </cell>
          <cell r="DV43">
            <v>999999</v>
          </cell>
          <cell r="DW43">
            <v>999999</v>
          </cell>
          <cell r="DX43">
            <v>0</v>
          </cell>
          <cell r="DY43">
            <v>324</v>
          </cell>
          <cell r="DZ43">
            <v>999999</v>
          </cell>
          <cell r="EA43">
            <v>999999</v>
          </cell>
          <cell r="EB43">
            <v>999999</v>
          </cell>
          <cell r="EC43">
            <v>0</v>
          </cell>
          <cell r="ED43">
            <v>0</v>
          </cell>
          <cell r="EE43">
            <v>0</v>
          </cell>
          <cell r="EF43">
            <v>0</v>
          </cell>
          <cell r="EG43">
            <v>0</v>
          </cell>
          <cell r="EH43">
            <v>0</v>
          </cell>
          <cell r="EI43">
            <v>0</v>
          </cell>
          <cell r="EJ43">
            <v>0</v>
          </cell>
          <cell r="EK43">
            <v>0</v>
          </cell>
          <cell r="EL43">
            <v>0</v>
          </cell>
          <cell r="EM43" t="str">
            <v/>
          </cell>
          <cell r="EN43" t="str">
            <v/>
          </cell>
          <cell r="EO43" t="str">
            <v/>
          </cell>
          <cell r="EP43" t="str">
            <v/>
          </cell>
          <cell r="EQ43" t="str">
            <v/>
          </cell>
          <cell r="ER43" t="str">
            <v/>
          </cell>
          <cell r="ES43" t="str">
            <v/>
          </cell>
          <cell r="ET43" t="str">
            <v/>
          </cell>
          <cell r="EU43" t="str">
            <v/>
          </cell>
          <cell r="EV43" t="str">
            <v/>
          </cell>
          <cell r="EW43" t="str">
            <v/>
          </cell>
          <cell r="EX43" t="str">
            <v/>
          </cell>
          <cell r="EY43" t="str">
            <v/>
          </cell>
          <cell r="EZ43" t="str">
            <v/>
          </cell>
          <cell r="FA43" t="str">
            <v/>
          </cell>
          <cell r="FB43" t="str">
            <v/>
          </cell>
          <cell r="FC43" t="str">
            <v/>
          </cell>
          <cell r="FD43" t="str">
            <v/>
          </cell>
          <cell r="FE43" t="str">
            <v/>
          </cell>
          <cell r="FF43" t="str">
            <v/>
          </cell>
          <cell r="FG43" t="str">
            <v/>
          </cell>
          <cell r="FH43" t="str">
            <v/>
          </cell>
          <cell r="FI43" t="str">
            <v/>
          </cell>
          <cell r="FJ43" t="str">
            <v/>
          </cell>
          <cell r="FK43" t="str">
            <v/>
          </cell>
          <cell r="FL43" t="str">
            <v/>
          </cell>
          <cell r="FM43" t="str">
            <v/>
          </cell>
          <cell r="FN43" t="str">
            <v/>
          </cell>
          <cell r="FO43" t="str">
            <v/>
          </cell>
          <cell r="FP43" t="str">
            <v/>
          </cell>
        </row>
        <row r="44">
          <cell r="N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J44">
            <v>0</v>
          </cell>
          <cell r="AK44">
            <v>0</v>
          </cell>
          <cell r="AL44">
            <v>999999</v>
          </cell>
          <cell r="AM44">
            <v>35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BE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W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S44">
            <v>0</v>
          </cell>
          <cell r="DT44">
            <v>323</v>
          </cell>
          <cell r="DU44">
            <v>999999</v>
          </cell>
          <cell r="DV44">
            <v>999999</v>
          </cell>
          <cell r="DW44">
            <v>999999</v>
          </cell>
          <cell r="DX44">
            <v>0</v>
          </cell>
          <cell r="DY44">
            <v>323</v>
          </cell>
          <cell r="DZ44">
            <v>999999</v>
          </cell>
          <cell r="EA44">
            <v>999999</v>
          </cell>
          <cell r="EB44">
            <v>999999</v>
          </cell>
          <cell r="EC44">
            <v>0</v>
          </cell>
          <cell r="ED44">
            <v>0</v>
          </cell>
          <cell r="EE44">
            <v>0</v>
          </cell>
          <cell r="EF44">
            <v>0</v>
          </cell>
          <cell r="EG44">
            <v>0</v>
          </cell>
          <cell r="EH44">
            <v>0</v>
          </cell>
          <cell r="EI44">
            <v>0</v>
          </cell>
          <cell r="EJ44">
            <v>0</v>
          </cell>
          <cell r="EK44">
            <v>0</v>
          </cell>
          <cell r="EL44">
            <v>0</v>
          </cell>
          <cell r="EM44" t="str">
            <v/>
          </cell>
          <cell r="EN44" t="str">
            <v/>
          </cell>
          <cell r="EO44" t="str">
            <v/>
          </cell>
          <cell r="EP44" t="str">
            <v/>
          </cell>
          <cell r="EQ44" t="str">
            <v/>
          </cell>
          <cell r="ER44" t="str">
            <v/>
          </cell>
          <cell r="ES44" t="str">
            <v/>
          </cell>
          <cell r="ET44" t="str">
            <v/>
          </cell>
          <cell r="EU44" t="str">
            <v/>
          </cell>
          <cell r="EV44" t="str">
            <v/>
          </cell>
          <cell r="EW44" t="str">
            <v/>
          </cell>
          <cell r="EX44" t="str">
            <v/>
          </cell>
          <cell r="EY44" t="str">
            <v/>
          </cell>
          <cell r="EZ44" t="str">
            <v/>
          </cell>
          <cell r="FA44" t="str">
            <v/>
          </cell>
          <cell r="FB44" t="str">
            <v/>
          </cell>
          <cell r="FC44" t="str">
            <v/>
          </cell>
          <cell r="FD44" t="str">
            <v/>
          </cell>
          <cell r="FE44" t="str">
            <v/>
          </cell>
          <cell r="FF44" t="str">
            <v/>
          </cell>
          <cell r="FG44" t="str">
            <v/>
          </cell>
          <cell r="FH44" t="str">
            <v/>
          </cell>
          <cell r="FI44" t="str">
            <v/>
          </cell>
          <cell r="FJ44" t="str">
            <v/>
          </cell>
          <cell r="FK44" t="str">
            <v/>
          </cell>
          <cell r="FL44" t="str">
            <v/>
          </cell>
          <cell r="FM44" t="str">
            <v/>
          </cell>
          <cell r="FN44" t="str">
            <v/>
          </cell>
          <cell r="FO44" t="str">
            <v/>
          </cell>
          <cell r="FP44" t="str">
            <v/>
          </cell>
        </row>
        <row r="45"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J45">
            <v>0</v>
          </cell>
          <cell r="AK45">
            <v>0</v>
          </cell>
          <cell r="AL45">
            <v>999999</v>
          </cell>
          <cell r="AM45">
            <v>34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BE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CB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W45">
            <v>0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0</v>
          </cell>
          <cell r="DE45">
            <v>0</v>
          </cell>
          <cell r="DF45">
            <v>0</v>
          </cell>
          <cell r="DG45">
            <v>0</v>
          </cell>
          <cell r="DH45">
            <v>0</v>
          </cell>
          <cell r="DS45">
            <v>0</v>
          </cell>
          <cell r="DT45">
            <v>322</v>
          </cell>
          <cell r="DU45">
            <v>999999</v>
          </cell>
          <cell r="DV45">
            <v>999999</v>
          </cell>
          <cell r="DW45">
            <v>999999</v>
          </cell>
          <cell r="DX45">
            <v>0</v>
          </cell>
          <cell r="DY45">
            <v>322</v>
          </cell>
          <cell r="DZ45">
            <v>999999</v>
          </cell>
          <cell r="EA45">
            <v>999999</v>
          </cell>
          <cell r="EB45">
            <v>999999</v>
          </cell>
          <cell r="EC45">
            <v>0</v>
          </cell>
          <cell r="ED45">
            <v>0</v>
          </cell>
          <cell r="EE45">
            <v>0</v>
          </cell>
          <cell r="EF45">
            <v>0</v>
          </cell>
          <cell r="EG45">
            <v>0</v>
          </cell>
          <cell r="EH45">
            <v>0</v>
          </cell>
          <cell r="EI45">
            <v>0</v>
          </cell>
          <cell r="EJ45">
            <v>0</v>
          </cell>
          <cell r="EK45">
            <v>0</v>
          </cell>
          <cell r="EL45">
            <v>0</v>
          </cell>
          <cell r="EM45" t="str">
            <v/>
          </cell>
          <cell r="EN45" t="str">
            <v/>
          </cell>
          <cell r="EO45" t="str">
            <v/>
          </cell>
          <cell r="EP45" t="str">
            <v/>
          </cell>
          <cell r="EQ45" t="str">
            <v/>
          </cell>
          <cell r="ER45" t="str">
            <v/>
          </cell>
          <cell r="ES45" t="str">
            <v/>
          </cell>
          <cell r="ET45" t="str">
            <v/>
          </cell>
          <cell r="EU45" t="str">
            <v/>
          </cell>
          <cell r="EV45" t="str">
            <v/>
          </cell>
          <cell r="EW45" t="str">
            <v/>
          </cell>
          <cell r="EX45" t="str">
            <v/>
          </cell>
          <cell r="EY45" t="str">
            <v/>
          </cell>
          <cell r="EZ45" t="str">
            <v/>
          </cell>
          <cell r="FA45" t="str">
            <v/>
          </cell>
          <cell r="FB45" t="str">
            <v/>
          </cell>
          <cell r="FC45" t="str">
            <v/>
          </cell>
          <cell r="FD45" t="str">
            <v/>
          </cell>
          <cell r="FE45" t="str">
            <v/>
          </cell>
          <cell r="FF45" t="str">
            <v/>
          </cell>
          <cell r="FG45" t="str">
            <v/>
          </cell>
          <cell r="FH45" t="str">
            <v/>
          </cell>
          <cell r="FI45" t="str">
            <v/>
          </cell>
          <cell r="FJ45" t="str">
            <v/>
          </cell>
          <cell r="FK45" t="str">
            <v/>
          </cell>
          <cell r="FL45" t="str">
            <v/>
          </cell>
          <cell r="FM45" t="str">
            <v/>
          </cell>
          <cell r="FN45" t="str">
            <v/>
          </cell>
          <cell r="FO45" t="str">
            <v/>
          </cell>
          <cell r="FP45" t="str">
            <v/>
          </cell>
        </row>
        <row r="46"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AJ46">
            <v>0</v>
          </cell>
          <cell r="AK46">
            <v>0</v>
          </cell>
          <cell r="AL46">
            <v>999999</v>
          </cell>
          <cell r="AM46">
            <v>33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BE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W46">
            <v>0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0</v>
          </cell>
          <cell r="DE46">
            <v>0</v>
          </cell>
          <cell r="DF46">
            <v>0</v>
          </cell>
          <cell r="DG46">
            <v>0</v>
          </cell>
          <cell r="DH46">
            <v>0</v>
          </cell>
          <cell r="DS46">
            <v>0</v>
          </cell>
          <cell r="DT46">
            <v>321</v>
          </cell>
          <cell r="DU46">
            <v>999999</v>
          </cell>
          <cell r="DV46">
            <v>999999</v>
          </cell>
          <cell r="DW46">
            <v>999999</v>
          </cell>
          <cell r="DX46">
            <v>0</v>
          </cell>
          <cell r="DY46">
            <v>321</v>
          </cell>
          <cell r="DZ46">
            <v>999999</v>
          </cell>
          <cell r="EA46">
            <v>999999</v>
          </cell>
          <cell r="EB46">
            <v>999999</v>
          </cell>
          <cell r="EC46">
            <v>0</v>
          </cell>
          <cell r="ED46">
            <v>0</v>
          </cell>
          <cell r="EE46">
            <v>0</v>
          </cell>
          <cell r="EF46">
            <v>0</v>
          </cell>
          <cell r="EG46">
            <v>0</v>
          </cell>
          <cell r="EH46">
            <v>0</v>
          </cell>
          <cell r="EI46">
            <v>0</v>
          </cell>
          <cell r="EJ46">
            <v>0</v>
          </cell>
          <cell r="EK46">
            <v>0</v>
          </cell>
          <cell r="EL46">
            <v>0</v>
          </cell>
          <cell r="EM46" t="str">
            <v/>
          </cell>
          <cell r="EN46" t="str">
            <v/>
          </cell>
          <cell r="EO46" t="str">
            <v/>
          </cell>
          <cell r="EP46" t="str">
            <v/>
          </cell>
          <cell r="EQ46" t="str">
            <v/>
          </cell>
          <cell r="ER46" t="str">
            <v/>
          </cell>
          <cell r="ES46" t="str">
            <v/>
          </cell>
          <cell r="ET46" t="str">
            <v/>
          </cell>
          <cell r="EU46" t="str">
            <v/>
          </cell>
          <cell r="EV46" t="str">
            <v/>
          </cell>
          <cell r="EW46" t="str">
            <v/>
          </cell>
          <cell r="EX46" t="str">
            <v/>
          </cell>
          <cell r="EY46" t="str">
            <v/>
          </cell>
          <cell r="EZ46" t="str">
            <v/>
          </cell>
          <cell r="FA46" t="str">
            <v/>
          </cell>
          <cell r="FB46" t="str">
            <v/>
          </cell>
          <cell r="FC46" t="str">
            <v/>
          </cell>
          <cell r="FD46" t="str">
            <v/>
          </cell>
          <cell r="FE46" t="str">
            <v/>
          </cell>
          <cell r="FF46" t="str">
            <v/>
          </cell>
          <cell r="FG46" t="str">
            <v/>
          </cell>
          <cell r="FH46" t="str">
            <v/>
          </cell>
          <cell r="FI46" t="str">
            <v/>
          </cell>
          <cell r="FJ46" t="str">
            <v/>
          </cell>
          <cell r="FK46" t="str">
            <v/>
          </cell>
          <cell r="FL46" t="str">
            <v/>
          </cell>
          <cell r="FM46" t="str">
            <v/>
          </cell>
          <cell r="FN46" t="str">
            <v/>
          </cell>
          <cell r="FO46" t="str">
            <v/>
          </cell>
          <cell r="FP46" t="str">
            <v/>
          </cell>
        </row>
        <row r="47"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J47">
            <v>0</v>
          </cell>
          <cell r="AK47">
            <v>0</v>
          </cell>
          <cell r="AL47">
            <v>999999</v>
          </cell>
          <cell r="AM47">
            <v>32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BE47">
            <v>48000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W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0</v>
          </cell>
          <cell r="DG47">
            <v>0</v>
          </cell>
          <cell r="DH47">
            <v>0</v>
          </cell>
          <cell r="DS47">
            <v>0</v>
          </cell>
          <cell r="DT47">
            <v>320</v>
          </cell>
          <cell r="DU47">
            <v>999999</v>
          </cell>
          <cell r="DV47">
            <v>999999</v>
          </cell>
          <cell r="DW47">
            <v>999999</v>
          </cell>
          <cell r="DX47">
            <v>0</v>
          </cell>
          <cell r="DY47">
            <v>320</v>
          </cell>
          <cell r="DZ47">
            <v>999999</v>
          </cell>
          <cell r="EA47">
            <v>999999</v>
          </cell>
          <cell r="EB47">
            <v>999999</v>
          </cell>
          <cell r="EC47">
            <v>0</v>
          </cell>
          <cell r="ED47">
            <v>0</v>
          </cell>
          <cell r="EE47">
            <v>0</v>
          </cell>
          <cell r="EF47">
            <v>0</v>
          </cell>
          <cell r="EG47">
            <v>0</v>
          </cell>
          <cell r="EH47">
            <v>0</v>
          </cell>
          <cell r="EI47">
            <v>0</v>
          </cell>
          <cell r="EJ47">
            <v>0</v>
          </cell>
          <cell r="EK47">
            <v>0</v>
          </cell>
          <cell r="EL47">
            <v>0</v>
          </cell>
          <cell r="EM47" t="str">
            <v/>
          </cell>
          <cell r="EN47" t="str">
            <v/>
          </cell>
          <cell r="EO47" t="str">
            <v/>
          </cell>
          <cell r="EP47" t="str">
            <v/>
          </cell>
          <cell r="EQ47" t="str">
            <v/>
          </cell>
          <cell r="ER47" t="str">
            <v/>
          </cell>
          <cell r="ES47" t="str">
            <v/>
          </cell>
          <cell r="ET47" t="str">
            <v/>
          </cell>
          <cell r="EU47" t="str">
            <v/>
          </cell>
          <cell r="EV47" t="str">
            <v/>
          </cell>
          <cell r="EW47" t="str">
            <v/>
          </cell>
          <cell r="EX47" t="str">
            <v/>
          </cell>
          <cell r="EY47" t="str">
            <v/>
          </cell>
          <cell r="EZ47" t="str">
            <v/>
          </cell>
          <cell r="FA47" t="str">
            <v/>
          </cell>
          <cell r="FB47" t="str">
            <v/>
          </cell>
          <cell r="FC47" t="str">
            <v/>
          </cell>
          <cell r="FD47" t="str">
            <v/>
          </cell>
          <cell r="FE47" t="str">
            <v/>
          </cell>
          <cell r="FF47" t="str">
            <v/>
          </cell>
          <cell r="FG47" t="str">
            <v/>
          </cell>
          <cell r="FH47" t="str">
            <v/>
          </cell>
          <cell r="FI47" t="str">
            <v/>
          </cell>
          <cell r="FJ47" t="str">
            <v/>
          </cell>
          <cell r="FK47" t="str">
            <v/>
          </cell>
          <cell r="FL47" t="str">
            <v/>
          </cell>
          <cell r="FM47" t="str">
            <v/>
          </cell>
          <cell r="FN47" t="str">
            <v/>
          </cell>
          <cell r="FO47" t="str">
            <v/>
          </cell>
          <cell r="FP47" t="str">
            <v/>
          </cell>
        </row>
        <row r="48"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AJ48">
            <v>0</v>
          </cell>
          <cell r="AK48">
            <v>0</v>
          </cell>
          <cell r="AL48">
            <v>999999</v>
          </cell>
          <cell r="AM48">
            <v>31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BE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W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0</v>
          </cell>
          <cell r="DH48">
            <v>0</v>
          </cell>
          <cell r="DS48">
            <v>0</v>
          </cell>
          <cell r="DT48">
            <v>319</v>
          </cell>
          <cell r="DU48">
            <v>999999</v>
          </cell>
          <cell r="DV48">
            <v>999999</v>
          </cell>
          <cell r="DW48">
            <v>999999</v>
          </cell>
          <cell r="DX48">
            <v>0</v>
          </cell>
          <cell r="DY48">
            <v>319</v>
          </cell>
          <cell r="DZ48">
            <v>999999</v>
          </cell>
          <cell r="EA48">
            <v>999999</v>
          </cell>
          <cell r="EB48">
            <v>999999</v>
          </cell>
          <cell r="EC48">
            <v>0</v>
          </cell>
          <cell r="ED48">
            <v>0</v>
          </cell>
          <cell r="EE48">
            <v>0</v>
          </cell>
          <cell r="EF48">
            <v>0</v>
          </cell>
          <cell r="EG48">
            <v>0</v>
          </cell>
          <cell r="EH48">
            <v>0</v>
          </cell>
          <cell r="EI48">
            <v>0</v>
          </cell>
          <cell r="EJ48">
            <v>0</v>
          </cell>
          <cell r="EK48">
            <v>0</v>
          </cell>
          <cell r="EL48">
            <v>0</v>
          </cell>
          <cell r="EM48" t="str">
            <v/>
          </cell>
          <cell r="EN48" t="str">
            <v/>
          </cell>
          <cell r="EO48" t="str">
            <v/>
          </cell>
          <cell r="EP48" t="str">
            <v/>
          </cell>
          <cell r="EQ48" t="str">
            <v/>
          </cell>
          <cell r="ER48" t="str">
            <v/>
          </cell>
          <cell r="ES48" t="str">
            <v/>
          </cell>
          <cell r="ET48" t="str">
            <v/>
          </cell>
          <cell r="EU48" t="str">
            <v/>
          </cell>
          <cell r="EV48" t="str">
            <v/>
          </cell>
          <cell r="EW48" t="str">
            <v/>
          </cell>
          <cell r="EX48" t="str">
            <v/>
          </cell>
          <cell r="EY48" t="str">
            <v/>
          </cell>
          <cell r="EZ48" t="str">
            <v/>
          </cell>
          <cell r="FA48" t="str">
            <v/>
          </cell>
          <cell r="FB48" t="str">
            <v/>
          </cell>
          <cell r="FC48" t="str">
            <v/>
          </cell>
          <cell r="FD48" t="str">
            <v/>
          </cell>
          <cell r="FE48" t="str">
            <v/>
          </cell>
          <cell r="FF48" t="str">
            <v/>
          </cell>
          <cell r="FG48" t="str">
            <v/>
          </cell>
          <cell r="FH48" t="str">
            <v/>
          </cell>
          <cell r="FI48" t="str">
            <v/>
          </cell>
          <cell r="FJ48" t="str">
            <v/>
          </cell>
          <cell r="FK48" t="str">
            <v/>
          </cell>
          <cell r="FL48" t="str">
            <v/>
          </cell>
          <cell r="FM48" t="str">
            <v/>
          </cell>
          <cell r="FN48" t="str">
            <v/>
          </cell>
          <cell r="FO48" t="str">
            <v/>
          </cell>
          <cell r="FP48" t="str">
            <v/>
          </cell>
        </row>
        <row r="49">
          <cell r="N49">
            <v>48000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AJ49">
            <v>0</v>
          </cell>
          <cell r="AK49">
            <v>0</v>
          </cell>
          <cell r="AL49">
            <v>999999</v>
          </cell>
          <cell r="AM49">
            <v>30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BE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CB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W49">
            <v>0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H49">
            <v>0</v>
          </cell>
          <cell r="DS49">
            <v>0</v>
          </cell>
          <cell r="DT49">
            <v>318</v>
          </cell>
          <cell r="DU49">
            <v>999999</v>
          </cell>
          <cell r="DV49">
            <v>999999</v>
          </cell>
          <cell r="DW49">
            <v>999999</v>
          </cell>
          <cell r="DX49">
            <v>0</v>
          </cell>
          <cell r="DY49">
            <v>318</v>
          </cell>
          <cell r="DZ49">
            <v>999999</v>
          </cell>
          <cell r="EA49">
            <v>999999</v>
          </cell>
          <cell r="EB49">
            <v>999999</v>
          </cell>
          <cell r="EC49">
            <v>0</v>
          </cell>
          <cell r="ED49">
            <v>0</v>
          </cell>
          <cell r="EE49">
            <v>0</v>
          </cell>
          <cell r="EF49">
            <v>0</v>
          </cell>
          <cell r="EG49">
            <v>0</v>
          </cell>
          <cell r="EH49">
            <v>0</v>
          </cell>
          <cell r="EI49">
            <v>0</v>
          </cell>
          <cell r="EJ49">
            <v>0</v>
          </cell>
          <cell r="EK49">
            <v>0</v>
          </cell>
          <cell r="EL49">
            <v>0</v>
          </cell>
          <cell r="EM49" t="str">
            <v/>
          </cell>
          <cell r="EN49" t="str">
            <v/>
          </cell>
          <cell r="EO49" t="str">
            <v/>
          </cell>
          <cell r="EP49" t="str">
            <v/>
          </cell>
          <cell r="EQ49" t="str">
            <v/>
          </cell>
          <cell r="ER49" t="str">
            <v/>
          </cell>
          <cell r="ES49" t="str">
            <v/>
          </cell>
          <cell r="ET49" t="str">
            <v/>
          </cell>
          <cell r="EU49" t="str">
            <v/>
          </cell>
          <cell r="EV49" t="str">
            <v/>
          </cell>
          <cell r="EW49" t="str">
            <v/>
          </cell>
          <cell r="EX49" t="str">
            <v/>
          </cell>
          <cell r="EY49" t="str">
            <v/>
          </cell>
          <cell r="EZ49" t="str">
            <v/>
          </cell>
          <cell r="FA49" t="str">
            <v/>
          </cell>
          <cell r="FB49" t="str">
            <v/>
          </cell>
          <cell r="FC49" t="str">
            <v/>
          </cell>
          <cell r="FD49" t="str">
            <v/>
          </cell>
          <cell r="FE49" t="str">
            <v/>
          </cell>
          <cell r="FF49" t="str">
            <v/>
          </cell>
          <cell r="FG49" t="str">
            <v/>
          </cell>
          <cell r="FH49" t="str">
            <v/>
          </cell>
          <cell r="FI49" t="str">
            <v/>
          </cell>
          <cell r="FJ49" t="str">
            <v/>
          </cell>
          <cell r="FK49" t="str">
            <v/>
          </cell>
          <cell r="FL49" t="str">
            <v/>
          </cell>
          <cell r="FM49" t="str">
            <v/>
          </cell>
          <cell r="FN49" t="str">
            <v/>
          </cell>
          <cell r="FO49" t="str">
            <v/>
          </cell>
          <cell r="FP49" t="str">
            <v/>
          </cell>
        </row>
        <row r="50"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J50">
            <v>0</v>
          </cell>
          <cell r="AK50">
            <v>0</v>
          </cell>
          <cell r="AL50">
            <v>999999</v>
          </cell>
          <cell r="AM50">
            <v>29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BE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0</v>
          </cell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W50">
            <v>0</v>
          </cell>
          <cell r="CY50">
            <v>0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H50">
            <v>0</v>
          </cell>
          <cell r="DS50">
            <v>0</v>
          </cell>
          <cell r="DT50">
            <v>317</v>
          </cell>
          <cell r="DU50">
            <v>999999</v>
          </cell>
          <cell r="DV50">
            <v>999999</v>
          </cell>
          <cell r="DW50">
            <v>999999</v>
          </cell>
          <cell r="DX50">
            <v>0</v>
          </cell>
          <cell r="DY50">
            <v>317</v>
          </cell>
          <cell r="DZ50">
            <v>999999</v>
          </cell>
          <cell r="EA50">
            <v>999999</v>
          </cell>
          <cell r="EB50">
            <v>999999</v>
          </cell>
          <cell r="EC50">
            <v>0</v>
          </cell>
          <cell r="ED50">
            <v>0</v>
          </cell>
          <cell r="EE50">
            <v>0</v>
          </cell>
          <cell r="EF50">
            <v>0</v>
          </cell>
          <cell r="EG50">
            <v>0</v>
          </cell>
          <cell r="EH50">
            <v>0</v>
          </cell>
          <cell r="EI50">
            <v>0</v>
          </cell>
          <cell r="EJ50">
            <v>0</v>
          </cell>
          <cell r="EK50">
            <v>0</v>
          </cell>
          <cell r="EL50">
            <v>0</v>
          </cell>
          <cell r="EM50" t="str">
            <v/>
          </cell>
          <cell r="EN50" t="str">
            <v/>
          </cell>
          <cell r="EO50" t="str">
            <v/>
          </cell>
          <cell r="EP50" t="str">
            <v/>
          </cell>
          <cell r="EQ50" t="str">
            <v/>
          </cell>
          <cell r="ER50" t="str">
            <v/>
          </cell>
          <cell r="ES50" t="str">
            <v/>
          </cell>
          <cell r="ET50" t="str">
            <v/>
          </cell>
          <cell r="EU50" t="str">
            <v/>
          </cell>
          <cell r="EV50" t="str">
            <v/>
          </cell>
          <cell r="EW50" t="str">
            <v/>
          </cell>
          <cell r="EX50" t="str">
            <v/>
          </cell>
          <cell r="EY50" t="str">
            <v/>
          </cell>
          <cell r="EZ50" t="str">
            <v/>
          </cell>
          <cell r="FA50" t="str">
            <v/>
          </cell>
          <cell r="FB50" t="str">
            <v/>
          </cell>
          <cell r="FC50" t="str">
            <v/>
          </cell>
          <cell r="FD50" t="str">
            <v/>
          </cell>
          <cell r="FE50" t="str">
            <v/>
          </cell>
          <cell r="FF50" t="str">
            <v/>
          </cell>
          <cell r="FG50" t="str">
            <v/>
          </cell>
          <cell r="FH50" t="str">
            <v/>
          </cell>
          <cell r="FI50" t="str">
            <v/>
          </cell>
          <cell r="FJ50" t="str">
            <v/>
          </cell>
          <cell r="FK50" t="str">
            <v/>
          </cell>
          <cell r="FL50" t="str">
            <v/>
          </cell>
          <cell r="FM50" t="str">
            <v/>
          </cell>
          <cell r="FN50" t="str">
            <v/>
          </cell>
          <cell r="FO50" t="str">
            <v/>
          </cell>
          <cell r="FP50" t="str">
            <v/>
          </cell>
        </row>
        <row r="51"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J51">
            <v>0</v>
          </cell>
          <cell r="AK51">
            <v>0</v>
          </cell>
          <cell r="AL51">
            <v>999999</v>
          </cell>
          <cell r="AM51">
            <v>28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BE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CB51">
            <v>0</v>
          </cell>
          <cell r="CC51">
            <v>0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W51">
            <v>0</v>
          </cell>
          <cell r="CY51">
            <v>0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H51">
            <v>0</v>
          </cell>
          <cell r="DS51">
            <v>0</v>
          </cell>
          <cell r="DT51">
            <v>316</v>
          </cell>
          <cell r="DU51">
            <v>999999</v>
          </cell>
          <cell r="DV51">
            <v>999999</v>
          </cell>
          <cell r="DW51">
            <v>999999</v>
          </cell>
          <cell r="DX51">
            <v>0</v>
          </cell>
          <cell r="DY51">
            <v>316</v>
          </cell>
          <cell r="DZ51">
            <v>999999</v>
          </cell>
          <cell r="EA51">
            <v>999999</v>
          </cell>
          <cell r="EB51">
            <v>999999</v>
          </cell>
          <cell r="EC51">
            <v>0</v>
          </cell>
          <cell r="ED51">
            <v>0</v>
          </cell>
          <cell r="EE51">
            <v>0</v>
          </cell>
          <cell r="EF51">
            <v>0</v>
          </cell>
          <cell r="EG51">
            <v>0</v>
          </cell>
          <cell r="EH51">
            <v>0</v>
          </cell>
          <cell r="EI51">
            <v>0</v>
          </cell>
          <cell r="EJ51">
            <v>0</v>
          </cell>
          <cell r="EK51">
            <v>0</v>
          </cell>
          <cell r="EL51">
            <v>0</v>
          </cell>
          <cell r="EM51" t="str">
            <v/>
          </cell>
          <cell r="EN51" t="str">
            <v/>
          </cell>
          <cell r="EO51" t="str">
            <v/>
          </cell>
          <cell r="EP51" t="str">
            <v/>
          </cell>
          <cell r="EQ51" t="str">
            <v/>
          </cell>
          <cell r="ER51" t="str">
            <v/>
          </cell>
          <cell r="ES51" t="str">
            <v/>
          </cell>
          <cell r="ET51" t="str">
            <v/>
          </cell>
          <cell r="EU51" t="str">
            <v/>
          </cell>
          <cell r="EV51" t="str">
            <v/>
          </cell>
          <cell r="EW51" t="str">
            <v/>
          </cell>
          <cell r="EX51" t="str">
            <v/>
          </cell>
          <cell r="EY51" t="str">
            <v/>
          </cell>
          <cell r="EZ51" t="str">
            <v/>
          </cell>
          <cell r="FA51" t="str">
            <v/>
          </cell>
          <cell r="FB51" t="str">
            <v/>
          </cell>
          <cell r="FC51" t="str">
            <v/>
          </cell>
          <cell r="FD51" t="str">
            <v/>
          </cell>
          <cell r="FE51" t="str">
            <v/>
          </cell>
          <cell r="FF51" t="str">
            <v/>
          </cell>
          <cell r="FG51" t="str">
            <v/>
          </cell>
          <cell r="FH51" t="str">
            <v/>
          </cell>
          <cell r="FI51" t="str">
            <v/>
          </cell>
          <cell r="FJ51" t="str">
            <v/>
          </cell>
          <cell r="FK51" t="str">
            <v/>
          </cell>
          <cell r="FL51" t="str">
            <v/>
          </cell>
          <cell r="FM51" t="str">
            <v/>
          </cell>
          <cell r="FN51" t="str">
            <v/>
          </cell>
          <cell r="FO51" t="str">
            <v/>
          </cell>
          <cell r="FP51" t="str">
            <v/>
          </cell>
        </row>
        <row r="52"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AJ52">
            <v>0</v>
          </cell>
          <cell r="AK52">
            <v>0</v>
          </cell>
          <cell r="AL52">
            <v>999999</v>
          </cell>
          <cell r="AM52">
            <v>27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BE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CB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W52">
            <v>0</v>
          </cell>
          <cell r="CY52">
            <v>0</v>
          </cell>
          <cell r="CZ52">
            <v>0</v>
          </cell>
          <cell r="DA52">
            <v>0</v>
          </cell>
          <cell r="DB52">
            <v>0</v>
          </cell>
          <cell r="DC52">
            <v>0</v>
          </cell>
          <cell r="DD52">
            <v>0</v>
          </cell>
          <cell r="DE52">
            <v>0</v>
          </cell>
          <cell r="DF52">
            <v>0</v>
          </cell>
          <cell r="DG52">
            <v>0</v>
          </cell>
          <cell r="DH52">
            <v>0</v>
          </cell>
          <cell r="DS52">
            <v>0</v>
          </cell>
          <cell r="DT52">
            <v>315</v>
          </cell>
          <cell r="DU52">
            <v>999999</v>
          </cell>
          <cell r="DV52">
            <v>999999</v>
          </cell>
          <cell r="DW52">
            <v>999999</v>
          </cell>
          <cell r="DX52">
            <v>0</v>
          </cell>
          <cell r="DY52">
            <v>315</v>
          </cell>
          <cell r="DZ52">
            <v>999999</v>
          </cell>
          <cell r="EA52">
            <v>999999</v>
          </cell>
          <cell r="EB52">
            <v>999999</v>
          </cell>
          <cell r="EC52">
            <v>0</v>
          </cell>
          <cell r="ED52">
            <v>0</v>
          </cell>
          <cell r="EE52">
            <v>0</v>
          </cell>
          <cell r="EF52">
            <v>0</v>
          </cell>
          <cell r="EG52">
            <v>0</v>
          </cell>
          <cell r="EH52">
            <v>0</v>
          </cell>
          <cell r="EI52">
            <v>0</v>
          </cell>
          <cell r="EJ52">
            <v>0</v>
          </cell>
          <cell r="EK52">
            <v>0</v>
          </cell>
          <cell r="EL52">
            <v>0</v>
          </cell>
          <cell r="EM52" t="str">
            <v/>
          </cell>
          <cell r="EN52" t="str">
            <v/>
          </cell>
          <cell r="EO52" t="str">
            <v/>
          </cell>
          <cell r="EP52" t="str">
            <v/>
          </cell>
          <cell r="EQ52" t="str">
            <v/>
          </cell>
          <cell r="ER52" t="str">
            <v/>
          </cell>
          <cell r="ES52" t="str">
            <v/>
          </cell>
          <cell r="ET52" t="str">
            <v/>
          </cell>
          <cell r="EU52" t="str">
            <v/>
          </cell>
          <cell r="EV52" t="str">
            <v/>
          </cell>
          <cell r="EW52" t="str">
            <v/>
          </cell>
          <cell r="EX52" t="str">
            <v/>
          </cell>
          <cell r="EY52" t="str">
            <v/>
          </cell>
          <cell r="EZ52" t="str">
            <v/>
          </cell>
          <cell r="FA52" t="str">
            <v/>
          </cell>
          <cell r="FB52" t="str">
            <v/>
          </cell>
          <cell r="FC52" t="str">
            <v/>
          </cell>
          <cell r="FD52" t="str">
            <v/>
          </cell>
          <cell r="FE52" t="str">
            <v/>
          </cell>
          <cell r="FF52" t="str">
            <v/>
          </cell>
          <cell r="FG52" t="str">
            <v/>
          </cell>
          <cell r="FH52" t="str">
            <v/>
          </cell>
          <cell r="FI52" t="str">
            <v/>
          </cell>
          <cell r="FJ52" t="str">
            <v/>
          </cell>
          <cell r="FK52" t="str">
            <v/>
          </cell>
          <cell r="FL52" t="str">
            <v/>
          </cell>
          <cell r="FM52" t="str">
            <v/>
          </cell>
          <cell r="FN52" t="str">
            <v/>
          </cell>
          <cell r="FO52" t="str">
            <v/>
          </cell>
          <cell r="FP52" t="str">
            <v/>
          </cell>
        </row>
        <row r="53">
          <cell r="N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AJ53">
            <v>0</v>
          </cell>
          <cell r="AK53">
            <v>0</v>
          </cell>
          <cell r="AL53">
            <v>999999</v>
          </cell>
          <cell r="AM53">
            <v>26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BE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CB53">
            <v>0</v>
          </cell>
          <cell r="CC53">
            <v>0</v>
          </cell>
          <cell r="CD53">
            <v>0</v>
          </cell>
          <cell r="CE53">
            <v>0</v>
          </cell>
          <cell r="CF53">
            <v>0</v>
          </cell>
          <cell r="CG53">
            <v>0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W53">
            <v>0</v>
          </cell>
          <cell r="CY53">
            <v>0</v>
          </cell>
          <cell r="CZ53">
            <v>0</v>
          </cell>
          <cell r="DA53">
            <v>0</v>
          </cell>
          <cell r="DB53">
            <v>0</v>
          </cell>
          <cell r="DC53">
            <v>0</v>
          </cell>
          <cell r="DD53">
            <v>0</v>
          </cell>
          <cell r="DE53">
            <v>0</v>
          </cell>
          <cell r="DF53">
            <v>0</v>
          </cell>
          <cell r="DG53">
            <v>0</v>
          </cell>
          <cell r="DH53">
            <v>0</v>
          </cell>
          <cell r="DS53">
            <v>0</v>
          </cell>
          <cell r="DT53">
            <v>314</v>
          </cell>
          <cell r="DU53">
            <v>999999</v>
          </cell>
          <cell r="DV53">
            <v>999999</v>
          </cell>
          <cell r="DW53">
            <v>999999</v>
          </cell>
          <cell r="DX53">
            <v>0</v>
          </cell>
          <cell r="DY53">
            <v>314</v>
          </cell>
          <cell r="DZ53">
            <v>999999</v>
          </cell>
          <cell r="EA53">
            <v>999999</v>
          </cell>
          <cell r="EB53">
            <v>999999</v>
          </cell>
          <cell r="EC53">
            <v>0</v>
          </cell>
          <cell r="ED53">
            <v>0</v>
          </cell>
          <cell r="EE53">
            <v>0</v>
          </cell>
          <cell r="EF53">
            <v>0</v>
          </cell>
          <cell r="EG53">
            <v>0</v>
          </cell>
          <cell r="EH53">
            <v>0</v>
          </cell>
          <cell r="EI53">
            <v>0</v>
          </cell>
          <cell r="EJ53">
            <v>0</v>
          </cell>
          <cell r="EK53">
            <v>0</v>
          </cell>
          <cell r="EL53">
            <v>0</v>
          </cell>
          <cell r="EM53" t="str">
            <v/>
          </cell>
          <cell r="EN53" t="str">
            <v/>
          </cell>
          <cell r="EO53" t="str">
            <v/>
          </cell>
          <cell r="EP53" t="str">
            <v/>
          </cell>
          <cell r="EQ53" t="str">
            <v/>
          </cell>
          <cell r="ER53" t="str">
            <v/>
          </cell>
          <cell r="ES53" t="str">
            <v/>
          </cell>
          <cell r="ET53" t="str">
            <v/>
          </cell>
          <cell r="EU53" t="str">
            <v/>
          </cell>
          <cell r="EV53" t="str">
            <v/>
          </cell>
          <cell r="EW53" t="str">
            <v/>
          </cell>
          <cell r="EX53" t="str">
            <v/>
          </cell>
          <cell r="EY53" t="str">
            <v/>
          </cell>
          <cell r="EZ53" t="str">
            <v/>
          </cell>
          <cell r="FA53" t="str">
            <v/>
          </cell>
          <cell r="FB53" t="str">
            <v/>
          </cell>
          <cell r="FC53" t="str">
            <v/>
          </cell>
          <cell r="FD53" t="str">
            <v/>
          </cell>
          <cell r="FE53" t="str">
            <v/>
          </cell>
          <cell r="FF53" t="str">
            <v/>
          </cell>
          <cell r="FG53" t="str">
            <v/>
          </cell>
          <cell r="FH53" t="str">
            <v/>
          </cell>
          <cell r="FI53" t="str">
            <v/>
          </cell>
          <cell r="FJ53" t="str">
            <v/>
          </cell>
          <cell r="FK53" t="str">
            <v/>
          </cell>
          <cell r="FL53" t="str">
            <v/>
          </cell>
          <cell r="FM53" t="str">
            <v/>
          </cell>
          <cell r="FN53" t="str">
            <v/>
          </cell>
          <cell r="FO53" t="str">
            <v/>
          </cell>
          <cell r="FP53" t="str">
            <v/>
          </cell>
        </row>
        <row r="54"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AJ54">
            <v>0</v>
          </cell>
          <cell r="AK54">
            <v>0</v>
          </cell>
          <cell r="AL54">
            <v>999999</v>
          </cell>
          <cell r="AM54">
            <v>25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BE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W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0</v>
          </cell>
          <cell r="DH54">
            <v>0</v>
          </cell>
          <cell r="DS54">
            <v>0</v>
          </cell>
          <cell r="DT54">
            <v>313</v>
          </cell>
          <cell r="DU54">
            <v>999999</v>
          </cell>
          <cell r="DV54">
            <v>999999</v>
          </cell>
          <cell r="DW54">
            <v>999999</v>
          </cell>
          <cell r="DX54">
            <v>0</v>
          </cell>
          <cell r="DY54">
            <v>313</v>
          </cell>
          <cell r="DZ54">
            <v>999999</v>
          </cell>
          <cell r="EA54">
            <v>999999</v>
          </cell>
          <cell r="EB54">
            <v>999999</v>
          </cell>
          <cell r="EC54">
            <v>0</v>
          </cell>
          <cell r="ED54">
            <v>0</v>
          </cell>
          <cell r="EE54">
            <v>0</v>
          </cell>
          <cell r="EF54">
            <v>0</v>
          </cell>
          <cell r="EG54">
            <v>0</v>
          </cell>
          <cell r="EH54">
            <v>0</v>
          </cell>
          <cell r="EI54">
            <v>0</v>
          </cell>
          <cell r="EJ54">
            <v>0</v>
          </cell>
          <cell r="EK54">
            <v>0</v>
          </cell>
          <cell r="EL54">
            <v>0</v>
          </cell>
          <cell r="EM54" t="str">
            <v/>
          </cell>
          <cell r="EN54" t="str">
            <v/>
          </cell>
          <cell r="EO54" t="str">
            <v/>
          </cell>
          <cell r="EP54" t="str">
            <v/>
          </cell>
          <cell r="EQ54" t="str">
            <v/>
          </cell>
          <cell r="ER54" t="str">
            <v/>
          </cell>
          <cell r="ES54" t="str">
            <v/>
          </cell>
          <cell r="ET54" t="str">
            <v/>
          </cell>
          <cell r="EU54" t="str">
            <v/>
          </cell>
          <cell r="EV54" t="str">
            <v/>
          </cell>
          <cell r="EW54" t="str">
            <v/>
          </cell>
          <cell r="EX54" t="str">
            <v/>
          </cell>
          <cell r="EY54" t="str">
            <v/>
          </cell>
          <cell r="EZ54" t="str">
            <v/>
          </cell>
          <cell r="FA54" t="str">
            <v/>
          </cell>
          <cell r="FB54" t="str">
            <v/>
          </cell>
          <cell r="FC54" t="str">
            <v/>
          </cell>
          <cell r="FD54" t="str">
            <v/>
          </cell>
          <cell r="FE54" t="str">
            <v/>
          </cell>
          <cell r="FF54" t="str">
            <v/>
          </cell>
          <cell r="FG54" t="str">
            <v/>
          </cell>
          <cell r="FH54" t="str">
            <v/>
          </cell>
          <cell r="FI54" t="str">
            <v/>
          </cell>
          <cell r="FJ54" t="str">
            <v/>
          </cell>
          <cell r="FK54" t="str">
            <v/>
          </cell>
          <cell r="FL54" t="str">
            <v/>
          </cell>
          <cell r="FM54" t="str">
            <v/>
          </cell>
          <cell r="FN54" t="str">
            <v/>
          </cell>
          <cell r="FO54" t="str">
            <v/>
          </cell>
          <cell r="FP54" t="str">
            <v/>
          </cell>
        </row>
        <row r="55"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AJ55">
            <v>0</v>
          </cell>
          <cell r="AK55">
            <v>0</v>
          </cell>
          <cell r="AL55">
            <v>999999</v>
          </cell>
          <cell r="AM55">
            <v>24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BE55">
            <v>48000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W55">
            <v>0</v>
          </cell>
          <cell r="CY55">
            <v>0</v>
          </cell>
          <cell r="CZ55">
            <v>0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H55">
            <v>0</v>
          </cell>
          <cell r="DS55">
            <v>0</v>
          </cell>
          <cell r="DT55">
            <v>312</v>
          </cell>
          <cell r="DU55">
            <v>999999</v>
          </cell>
          <cell r="DV55">
            <v>999999</v>
          </cell>
          <cell r="DW55">
            <v>999999</v>
          </cell>
          <cell r="DX55">
            <v>0</v>
          </cell>
          <cell r="DY55">
            <v>312</v>
          </cell>
          <cell r="DZ55">
            <v>999999</v>
          </cell>
          <cell r="EA55">
            <v>999999</v>
          </cell>
          <cell r="EB55">
            <v>999999</v>
          </cell>
          <cell r="EC55">
            <v>0</v>
          </cell>
          <cell r="ED55">
            <v>0</v>
          </cell>
          <cell r="EE55">
            <v>0</v>
          </cell>
          <cell r="EF55">
            <v>0</v>
          </cell>
          <cell r="EG55">
            <v>0</v>
          </cell>
          <cell r="EH55">
            <v>0</v>
          </cell>
          <cell r="EI55">
            <v>0</v>
          </cell>
          <cell r="EJ55">
            <v>0</v>
          </cell>
          <cell r="EK55">
            <v>0</v>
          </cell>
          <cell r="EL55">
            <v>0</v>
          </cell>
          <cell r="EM55" t="str">
            <v/>
          </cell>
          <cell r="EN55" t="str">
            <v/>
          </cell>
          <cell r="EO55" t="str">
            <v/>
          </cell>
          <cell r="EP55" t="str">
            <v/>
          </cell>
          <cell r="EQ55" t="str">
            <v/>
          </cell>
          <cell r="ER55" t="str">
            <v/>
          </cell>
          <cell r="ES55" t="str">
            <v/>
          </cell>
          <cell r="ET55" t="str">
            <v/>
          </cell>
          <cell r="EU55" t="str">
            <v/>
          </cell>
          <cell r="EV55" t="str">
            <v/>
          </cell>
          <cell r="EW55" t="str">
            <v/>
          </cell>
          <cell r="EX55" t="str">
            <v/>
          </cell>
          <cell r="EY55" t="str">
            <v/>
          </cell>
          <cell r="EZ55" t="str">
            <v/>
          </cell>
          <cell r="FA55" t="str">
            <v/>
          </cell>
          <cell r="FB55" t="str">
            <v/>
          </cell>
          <cell r="FC55" t="str">
            <v/>
          </cell>
          <cell r="FD55" t="str">
            <v/>
          </cell>
          <cell r="FE55" t="str">
            <v/>
          </cell>
          <cell r="FF55" t="str">
            <v/>
          </cell>
          <cell r="FG55" t="str">
            <v/>
          </cell>
          <cell r="FH55" t="str">
            <v/>
          </cell>
          <cell r="FI55" t="str">
            <v/>
          </cell>
          <cell r="FJ55" t="str">
            <v/>
          </cell>
          <cell r="FK55" t="str">
            <v/>
          </cell>
          <cell r="FL55" t="str">
            <v/>
          </cell>
          <cell r="FM55" t="str">
            <v/>
          </cell>
          <cell r="FN55" t="str">
            <v/>
          </cell>
          <cell r="FO55" t="str">
            <v/>
          </cell>
          <cell r="FP55" t="str">
            <v/>
          </cell>
        </row>
        <row r="56">
          <cell r="N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AJ56">
            <v>0</v>
          </cell>
          <cell r="AK56">
            <v>0</v>
          </cell>
          <cell r="AL56">
            <v>999999</v>
          </cell>
          <cell r="AM56">
            <v>23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BE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CB56">
            <v>0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  <cell r="CW56">
            <v>0</v>
          </cell>
          <cell r="CY56">
            <v>0</v>
          </cell>
          <cell r="CZ56">
            <v>0</v>
          </cell>
          <cell r="DA56">
            <v>0</v>
          </cell>
          <cell r="DB56">
            <v>0</v>
          </cell>
          <cell r="DC56">
            <v>0</v>
          </cell>
          <cell r="DD56">
            <v>0</v>
          </cell>
          <cell r="DE56">
            <v>0</v>
          </cell>
          <cell r="DF56">
            <v>0</v>
          </cell>
          <cell r="DG56">
            <v>0</v>
          </cell>
          <cell r="DH56">
            <v>0</v>
          </cell>
          <cell r="DS56">
            <v>0</v>
          </cell>
          <cell r="DT56">
            <v>311</v>
          </cell>
          <cell r="DU56">
            <v>999999</v>
          </cell>
          <cell r="DV56">
            <v>999999</v>
          </cell>
          <cell r="DW56">
            <v>999999</v>
          </cell>
          <cell r="DX56">
            <v>0</v>
          </cell>
          <cell r="DY56">
            <v>311</v>
          </cell>
          <cell r="DZ56">
            <v>999999</v>
          </cell>
          <cell r="EA56">
            <v>999999</v>
          </cell>
          <cell r="EB56">
            <v>999999</v>
          </cell>
          <cell r="EC56">
            <v>0</v>
          </cell>
          <cell r="ED56">
            <v>0</v>
          </cell>
          <cell r="EE56">
            <v>0</v>
          </cell>
          <cell r="EF56">
            <v>0</v>
          </cell>
          <cell r="EG56">
            <v>0</v>
          </cell>
          <cell r="EH56">
            <v>0</v>
          </cell>
          <cell r="EI56">
            <v>0</v>
          </cell>
          <cell r="EJ56">
            <v>0</v>
          </cell>
          <cell r="EK56">
            <v>0</v>
          </cell>
          <cell r="EL56">
            <v>0</v>
          </cell>
          <cell r="EM56" t="str">
            <v/>
          </cell>
          <cell r="EN56" t="str">
            <v/>
          </cell>
          <cell r="EO56" t="str">
            <v/>
          </cell>
          <cell r="EP56" t="str">
            <v/>
          </cell>
          <cell r="EQ56" t="str">
            <v/>
          </cell>
          <cell r="ER56" t="str">
            <v/>
          </cell>
          <cell r="ES56" t="str">
            <v/>
          </cell>
          <cell r="ET56" t="str">
            <v/>
          </cell>
          <cell r="EU56" t="str">
            <v/>
          </cell>
          <cell r="EV56" t="str">
            <v/>
          </cell>
          <cell r="EW56" t="str">
            <v/>
          </cell>
          <cell r="EX56" t="str">
            <v/>
          </cell>
          <cell r="EY56" t="str">
            <v/>
          </cell>
          <cell r="EZ56" t="str">
            <v/>
          </cell>
          <cell r="FA56" t="str">
            <v/>
          </cell>
          <cell r="FB56" t="str">
            <v/>
          </cell>
          <cell r="FC56" t="str">
            <v/>
          </cell>
          <cell r="FD56" t="str">
            <v/>
          </cell>
          <cell r="FE56" t="str">
            <v/>
          </cell>
          <cell r="FF56" t="str">
            <v/>
          </cell>
          <cell r="FG56" t="str">
            <v/>
          </cell>
          <cell r="FH56" t="str">
            <v/>
          </cell>
          <cell r="FI56" t="str">
            <v/>
          </cell>
          <cell r="FJ56" t="str">
            <v/>
          </cell>
          <cell r="FK56" t="str">
            <v/>
          </cell>
          <cell r="FL56" t="str">
            <v/>
          </cell>
          <cell r="FM56" t="str">
            <v/>
          </cell>
          <cell r="FN56" t="str">
            <v/>
          </cell>
          <cell r="FO56" t="str">
            <v/>
          </cell>
          <cell r="FP56" t="str">
            <v/>
          </cell>
        </row>
        <row r="57"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AJ57">
            <v>0</v>
          </cell>
          <cell r="AK57">
            <v>0</v>
          </cell>
          <cell r="AL57">
            <v>999999</v>
          </cell>
          <cell r="AM57">
            <v>22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BE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CB57">
            <v>0</v>
          </cell>
          <cell r="CC57">
            <v>0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  <cell r="CW57">
            <v>0</v>
          </cell>
          <cell r="CY57">
            <v>0</v>
          </cell>
          <cell r="CZ57">
            <v>0</v>
          </cell>
          <cell r="DA57">
            <v>0</v>
          </cell>
          <cell r="DB57">
            <v>0</v>
          </cell>
          <cell r="DC57">
            <v>0</v>
          </cell>
          <cell r="DD57">
            <v>0</v>
          </cell>
          <cell r="DE57">
            <v>0</v>
          </cell>
          <cell r="DF57">
            <v>0</v>
          </cell>
          <cell r="DG57">
            <v>0</v>
          </cell>
          <cell r="DH57">
            <v>0</v>
          </cell>
          <cell r="DS57">
            <v>0</v>
          </cell>
          <cell r="DT57">
            <v>310</v>
          </cell>
          <cell r="DU57">
            <v>999999</v>
          </cell>
          <cell r="DV57">
            <v>999999</v>
          </cell>
          <cell r="DW57">
            <v>999999</v>
          </cell>
          <cell r="DX57">
            <v>0</v>
          </cell>
          <cell r="DY57">
            <v>310</v>
          </cell>
          <cell r="DZ57">
            <v>999999</v>
          </cell>
          <cell r="EA57">
            <v>999999</v>
          </cell>
          <cell r="EB57">
            <v>999999</v>
          </cell>
          <cell r="EC57">
            <v>0</v>
          </cell>
          <cell r="ED57">
            <v>0</v>
          </cell>
          <cell r="EE57">
            <v>0</v>
          </cell>
          <cell r="EF57">
            <v>0</v>
          </cell>
          <cell r="EG57">
            <v>0</v>
          </cell>
          <cell r="EH57">
            <v>0</v>
          </cell>
          <cell r="EI57">
            <v>0</v>
          </cell>
          <cell r="EJ57">
            <v>0</v>
          </cell>
          <cell r="EK57">
            <v>0</v>
          </cell>
          <cell r="EL57">
            <v>0</v>
          </cell>
          <cell r="EM57" t="str">
            <v/>
          </cell>
          <cell r="EN57" t="str">
            <v/>
          </cell>
          <cell r="EO57" t="str">
            <v/>
          </cell>
          <cell r="EP57" t="str">
            <v/>
          </cell>
          <cell r="EQ57" t="str">
            <v/>
          </cell>
          <cell r="ER57" t="str">
            <v/>
          </cell>
          <cell r="ES57" t="str">
            <v/>
          </cell>
          <cell r="ET57" t="str">
            <v/>
          </cell>
          <cell r="EU57" t="str">
            <v/>
          </cell>
          <cell r="EV57" t="str">
            <v/>
          </cell>
          <cell r="EW57" t="str">
            <v/>
          </cell>
          <cell r="EX57" t="str">
            <v/>
          </cell>
          <cell r="EY57" t="str">
            <v/>
          </cell>
          <cell r="EZ57" t="str">
            <v/>
          </cell>
          <cell r="FA57" t="str">
            <v/>
          </cell>
          <cell r="FB57" t="str">
            <v/>
          </cell>
          <cell r="FC57" t="str">
            <v/>
          </cell>
          <cell r="FD57" t="str">
            <v/>
          </cell>
          <cell r="FE57" t="str">
            <v/>
          </cell>
          <cell r="FF57" t="str">
            <v/>
          </cell>
          <cell r="FG57" t="str">
            <v/>
          </cell>
          <cell r="FH57" t="str">
            <v/>
          </cell>
          <cell r="FI57" t="str">
            <v/>
          </cell>
          <cell r="FJ57" t="str">
            <v/>
          </cell>
          <cell r="FK57" t="str">
            <v/>
          </cell>
          <cell r="FL57" t="str">
            <v/>
          </cell>
          <cell r="FM57" t="str">
            <v/>
          </cell>
          <cell r="FN57" t="str">
            <v/>
          </cell>
          <cell r="FO57" t="str">
            <v/>
          </cell>
          <cell r="FP57" t="str">
            <v/>
          </cell>
        </row>
        <row r="58"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AJ58">
            <v>0</v>
          </cell>
          <cell r="AK58">
            <v>0</v>
          </cell>
          <cell r="AL58">
            <v>999999</v>
          </cell>
          <cell r="AM58">
            <v>21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BE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BQ58">
            <v>0</v>
          </cell>
          <cell r="CB58">
            <v>0</v>
          </cell>
          <cell r="CC58">
            <v>0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W58">
            <v>0</v>
          </cell>
          <cell r="CY58">
            <v>0</v>
          </cell>
          <cell r="CZ58">
            <v>0</v>
          </cell>
          <cell r="DA58">
            <v>0</v>
          </cell>
          <cell r="DB58">
            <v>0</v>
          </cell>
          <cell r="DC58">
            <v>0</v>
          </cell>
          <cell r="DD58">
            <v>0</v>
          </cell>
          <cell r="DE58">
            <v>0</v>
          </cell>
          <cell r="DF58">
            <v>0</v>
          </cell>
          <cell r="DG58">
            <v>0</v>
          </cell>
          <cell r="DH58">
            <v>0</v>
          </cell>
          <cell r="DS58">
            <v>0</v>
          </cell>
          <cell r="DT58">
            <v>309</v>
          </cell>
          <cell r="DU58">
            <v>999999</v>
          </cell>
          <cell r="DV58">
            <v>999999</v>
          </cell>
          <cell r="DW58">
            <v>999999</v>
          </cell>
          <cell r="DX58">
            <v>0</v>
          </cell>
          <cell r="DY58">
            <v>309</v>
          </cell>
          <cell r="DZ58">
            <v>999999</v>
          </cell>
          <cell r="EA58">
            <v>999999</v>
          </cell>
          <cell r="EB58">
            <v>999999</v>
          </cell>
          <cell r="EC58">
            <v>0</v>
          </cell>
          <cell r="ED58">
            <v>0</v>
          </cell>
          <cell r="EE58">
            <v>0</v>
          </cell>
          <cell r="EF58">
            <v>0</v>
          </cell>
          <cell r="EG58">
            <v>0</v>
          </cell>
          <cell r="EH58">
            <v>0</v>
          </cell>
          <cell r="EI58">
            <v>0</v>
          </cell>
          <cell r="EJ58">
            <v>0</v>
          </cell>
          <cell r="EK58">
            <v>0</v>
          </cell>
          <cell r="EL58">
            <v>0</v>
          </cell>
          <cell r="EM58" t="str">
            <v/>
          </cell>
          <cell r="EN58" t="str">
            <v/>
          </cell>
          <cell r="EO58" t="str">
            <v/>
          </cell>
          <cell r="EP58" t="str">
            <v/>
          </cell>
          <cell r="EQ58" t="str">
            <v/>
          </cell>
          <cell r="ER58" t="str">
            <v/>
          </cell>
          <cell r="ES58" t="str">
            <v/>
          </cell>
          <cell r="ET58" t="str">
            <v/>
          </cell>
          <cell r="EU58" t="str">
            <v/>
          </cell>
          <cell r="EV58" t="str">
            <v/>
          </cell>
          <cell r="EW58" t="str">
            <v/>
          </cell>
          <cell r="EX58" t="str">
            <v/>
          </cell>
          <cell r="EY58" t="str">
            <v/>
          </cell>
          <cell r="EZ58" t="str">
            <v/>
          </cell>
          <cell r="FA58" t="str">
            <v/>
          </cell>
          <cell r="FB58" t="str">
            <v/>
          </cell>
          <cell r="FC58" t="str">
            <v/>
          </cell>
          <cell r="FD58" t="str">
            <v/>
          </cell>
          <cell r="FE58" t="str">
            <v/>
          </cell>
          <cell r="FF58" t="str">
            <v/>
          </cell>
          <cell r="FG58" t="str">
            <v/>
          </cell>
          <cell r="FH58" t="str">
            <v/>
          </cell>
          <cell r="FI58" t="str">
            <v/>
          </cell>
          <cell r="FJ58" t="str">
            <v/>
          </cell>
          <cell r="FK58" t="str">
            <v/>
          </cell>
          <cell r="FL58" t="str">
            <v/>
          </cell>
          <cell r="FM58" t="str">
            <v/>
          </cell>
          <cell r="FN58" t="str">
            <v/>
          </cell>
          <cell r="FO58" t="str">
            <v/>
          </cell>
          <cell r="FP58" t="str">
            <v/>
          </cell>
        </row>
        <row r="59">
          <cell r="N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AJ59">
            <v>0</v>
          </cell>
          <cell r="AK59">
            <v>0</v>
          </cell>
          <cell r="AL59">
            <v>999999</v>
          </cell>
          <cell r="AM59">
            <v>20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BE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CB59">
            <v>0</v>
          </cell>
          <cell r="CC59">
            <v>0</v>
          </cell>
          <cell r="CD59">
            <v>0</v>
          </cell>
          <cell r="CE59">
            <v>0</v>
          </cell>
          <cell r="CF59">
            <v>0</v>
          </cell>
          <cell r="CG59">
            <v>0</v>
          </cell>
          <cell r="CH59">
            <v>0</v>
          </cell>
          <cell r="CI59">
            <v>0</v>
          </cell>
          <cell r="CJ59">
            <v>0</v>
          </cell>
          <cell r="CK59">
            <v>0</v>
          </cell>
          <cell r="CW59">
            <v>0</v>
          </cell>
          <cell r="CY59">
            <v>0</v>
          </cell>
          <cell r="CZ59">
            <v>0</v>
          </cell>
          <cell r="DA59">
            <v>0</v>
          </cell>
          <cell r="DB59">
            <v>0</v>
          </cell>
          <cell r="DC59">
            <v>0</v>
          </cell>
          <cell r="DD59">
            <v>0</v>
          </cell>
          <cell r="DE59">
            <v>0</v>
          </cell>
          <cell r="DF59">
            <v>0</v>
          </cell>
          <cell r="DG59">
            <v>0</v>
          </cell>
          <cell r="DH59">
            <v>0</v>
          </cell>
          <cell r="DS59">
            <v>0</v>
          </cell>
          <cell r="DT59">
            <v>308</v>
          </cell>
          <cell r="DU59">
            <v>999999</v>
          </cell>
          <cell r="DV59">
            <v>999999</v>
          </cell>
          <cell r="DW59">
            <v>999999</v>
          </cell>
          <cell r="DX59">
            <v>0</v>
          </cell>
          <cell r="DY59">
            <v>308</v>
          </cell>
          <cell r="DZ59">
            <v>999999</v>
          </cell>
          <cell r="EA59">
            <v>999999</v>
          </cell>
          <cell r="EB59">
            <v>999999</v>
          </cell>
          <cell r="EC59">
            <v>0</v>
          </cell>
          <cell r="ED59">
            <v>0</v>
          </cell>
          <cell r="EE59">
            <v>0</v>
          </cell>
          <cell r="EF59">
            <v>0</v>
          </cell>
          <cell r="EG59">
            <v>0</v>
          </cell>
          <cell r="EH59">
            <v>0</v>
          </cell>
          <cell r="EI59">
            <v>0</v>
          </cell>
          <cell r="EJ59">
            <v>0</v>
          </cell>
          <cell r="EK59">
            <v>0</v>
          </cell>
          <cell r="EL59">
            <v>0</v>
          </cell>
          <cell r="EM59" t="str">
            <v/>
          </cell>
          <cell r="EN59" t="str">
            <v/>
          </cell>
          <cell r="EO59" t="str">
            <v/>
          </cell>
          <cell r="EP59" t="str">
            <v/>
          </cell>
          <cell r="EQ59" t="str">
            <v/>
          </cell>
          <cell r="ER59" t="str">
            <v/>
          </cell>
          <cell r="ES59" t="str">
            <v/>
          </cell>
          <cell r="ET59" t="str">
            <v/>
          </cell>
          <cell r="EU59" t="str">
            <v/>
          </cell>
          <cell r="EV59" t="str">
            <v/>
          </cell>
          <cell r="EW59" t="str">
            <v/>
          </cell>
          <cell r="EX59" t="str">
            <v/>
          </cell>
          <cell r="EY59" t="str">
            <v/>
          </cell>
          <cell r="EZ59" t="str">
            <v/>
          </cell>
          <cell r="FA59" t="str">
            <v/>
          </cell>
          <cell r="FB59" t="str">
            <v/>
          </cell>
          <cell r="FC59" t="str">
            <v/>
          </cell>
          <cell r="FD59" t="str">
            <v/>
          </cell>
          <cell r="FE59" t="str">
            <v/>
          </cell>
          <cell r="FF59" t="str">
            <v/>
          </cell>
          <cell r="FG59" t="str">
            <v/>
          </cell>
          <cell r="FH59" t="str">
            <v/>
          </cell>
          <cell r="FI59" t="str">
            <v/>
          </cell>
          <cell r="FJ59" t="str">
            <v/>
          </cell>
          <cell r="FK59" t="str">
            <v/>
          </cell>
          <cell r="FL59" t="str">
            <v/>
          </cell>
          <cell r="FM59" t="str">
            <v/>
          </cell>
          <cell r="FN59" t="str">
            <v/>
          </cell>
          <cell r="FO59" t="str">
            <v/>
          </cell>
          <cell r="FP59" t="str">
            <v/>
          </cell>
        </row>
        <row r="60">
          <cell r="N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AJ60">
            <v>0</v>
          </cell>
          <cell r="AK60">
            <v>0</v>
          </cell>
          <cell r="AL60">
            <v>999999</v>
          </cell>
          <cell r="AM60">
            <v>19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BE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0</v>
          </cell>
          <cell r="BQ60">
            <v>0</v>
          </cell>
          <cell r="CB60">
            <v>0</v>
          </cell>
          <cell r="CC60">
            <v>0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  <cell r="CW60">
            <v>0</v>
          </cell>
          <cell r="CY60">
            <v>0</v>
          </cell>
          <cell r="CZ60">
            <v>0</v>
          </cell>
          <cell r="DA60">
            <v>0</v>
          </cell>
          <cell r="DB60">
            <v>0</v>
          </cell>
          <cell r="DC60">
            <v>0</v>
          </cell>
          <cell r="DD60">
            <v>0</v>
          </cell>
          <cell r="DE60">
            <v>0</v>
          </cell>
          <cell r="DF60">
            <v>0</v>
          </cell>
          <cell r="DG60">
            <v>0</v>
          </cell>
          <cell r="DH60">
            <v>0</v>
          </cell>
          <cell r="DS60">
            <v>0</v>
          </cell>
          <cell r="DT60">
            <v>307</v>
          </cell>
          <cell r="DU60">
            <v>999999</v>
          </cell>
          <cell r="DV60">
            <v>999999</v>
          </cell>
          <cell r="DW60">
            <v>999999</v>
          </cell>
          <cell r="DX60">
            <v>0</v>
          </cell>
          <cell r="DY60">
            <v>307</v>
          </cell>
          <cell r="DZ60">
            <v>999999</v>
          </cell>
          <cell r="EA60">
            <v>999999</v>
          </cell>
          <cell r="EB60">
            <v>999999</v>
          </cell>
          <cell r="EC60">
            <v>0</v>
          </cell>
          <cell r="ED60">
            <v>0</v>
          </cell>
          <cell r="EE60">
            <v>0</v>
          </cell>
          <cell r="EF60">
            <v>0</v>
          </cell>
          <cell r="EG60">
            <v>0</v>
          </cell>
          <cell r="EH60">
            <v>0</v>
          </cell>
          <cell r="EI60">
            <v>0</v>
          </cell>
          <cell r="EJ60">
            <v>0</v>
          </cell>
          <cell r="EK60">
            <v>0</v>
          </cell>
          <cell r="EL60">
            <v>0</v>
          </cell>
          <cell r="EM60" t="str">
            <v/>
          </cell>
          <cell r="EN60" t="str">
            <v/>
          </cell>
          <cell r="EO60" t="str">
            <v/>
          </cell>
          <cell r="EP60" t="str">
            <v/>
          </cell>
          <cell r="EQ60" t="str">
            <v/>
          </cell>
          <cell r="ER60" t="str">
            <v/>
          </cell>
          <cell r="ES60" t="str">
            <v/>
          </cell>
          <cell r="ET60" t="str">
            <v/>
          </cell>
          <cell r="EU60" t="str">
            <v/>
          </cell>
          <cell r="EV60" t="str">
            <v/>
          </cell>
          <cell r="EW60" t="str">
            <v/>
          </cell>
          <cell r="EX60" t="str">
            <v/>
          </cell>
          <cell r="EY60" t="str">
            <v/>
          </cell>
          <cell r="EZ60" t="str">
            <v/>
          </cell>
          <cell r="FA60" t="str">
            <v/>
          </cell>
          <cell r="FB60" t="str">
            <v/>
          </cell>
          <cell r="FC60" t="str">
            <v/>
          </cell>
          <cell r="FD60" t="str">
            <v/>
          </cell>
          <cell r="FE60" t="str">
            <v/>
          </cell>
          <cell r="FF60" t="str">
            <v/>
          </cell>
          <cell r="FG60" t="str">
            <v/>
          </cell>
          <cell r="FH60" t="str">
            <v/>
          </cell>
          <cell r="FI60" t="str">
            <v/>
          </cell>
          <cell r="FJ60" t="str">
            <v/>
          </cell>
          <cell r="FK60" t="str">
            <v/>
          </cell>
          <cell r="FL60" t="str">
            <v/>
          </cell>
          <cell r="FM60" t="str">
            <v/>
          </cell>
          <cell r="FN60" t="str">
            <v/>
          </cell>
          <cell r="FO60" t="str">
            <v/>
          </cell>
          <cell r="FP60" t="str">
            <v/>
          </cell>
        </row>
        <row r="61">
          <cell r="N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AJ61">
            <v>0</v>
          </cell>
          <cell r="AK61">
            <v>0</v>
          </cell>
          <cell r="AL61">
            <v>999999</v>
          </cell>
          <cell r="AM61">
            <v>18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BE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CB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W61">
            <v>0</v>
          </cell>
          <cell r="CY61">
            <v>0</v>
          </cell>
          <cell r="CZ61">
            <v>0</v>
          </cell>
          <cell r="DA61">
            <v>0</v>
          </cell>
          <cell r="DB61">
            <v>0</v>
          </cell>
          <cell r="DC61">
            <v>0</v>
          </cell>
          <cell r="DD61">
            <v>0</v>
          </cell>
          <cell r="DE61">
            <v>0</v>
          </cell>
          <cell r="DF61">
            <v>0</v>
          </cell>
          <cell r="DG61">
            <v>0</v>
          </cell>
          <cell r="DH61">
            <v>0</v>
          </cell>
          <cell r="DS61">
            <v>0</v>
          </cell>
          <cell r="DT61">
            <v>306</v>
          </cell>
          <cell r="DU61">
            <v>999999</v>
          </cell>
          <cell r="DV61">
            <v>999999</v>
          </cell>
          <cell r="DW61">
            <v>999999</v>
          </cell>
          <cell r="DX61">
            <v>0</v>
          </cell>
          <cell r="DY61">
            <v>306</v>
          </cell>
          <cell r="DZ61">
            <v>999999</v>
          </cell>
          <cell r="EA61">
            <v>999999</v>
          </cell>
          <cell r="EB61">
            <v>999999</v>
          </cell>
          <cell r="EC61">
            <v>0</v>
          </cell>
          <cell r="ED61">
            <v>0</v>
          </cell>
          <cell r="EE61">
            <v>0</v>
          </cell>
          <cell r="EF61">
            <v>0</v>
          </cell>
          <cell r="EG61">
            <v>0</v>
          </cell>
          <cell r="EH61">
            <v>0</v>
          </cell>
          <cell r="EI61">
            <v>0</v>
          </cell>
          <cell r="EJ61">
            <v>0</v>
          </cell>
          <cell r="EK61">
            <v>0</v>
          </cell>
          <cell r="EL61">
            <v>0</v>
          </cell>
          <cell r="EM61" t="str">
            <v/>
          </cell>
          <cell r="EN61" t="str">
            <v/>
          </cell>
          <cell r="EO61" t="str">
            <v/>
          </cell>
          <cell r="EP61" t="str">
            <v/>
          </cell>
          <cell r="EQ61" t="str">
            <v/>
          </cell>
          <cell r="ER61" t="str">
            <v/>
          </cell>
          <cell r="ES61" t="str">
            <v/>
          </cell>
          <cell r="ET61" t="str">
            <v/>
          </cell>
          <cell r="EU61" t="str">
            <v/>
          </cell>
          <cell r="EV61" t="str">
            <v/>
          </cell>
          <cell r="EW61" t="str">
            <v/>
          </cell>
          <cell r="EX61" t="str">
            <v/>
          </cell>
          <cell r="EY61" t="str">
            <v/>
          </cell>
          <cell r="EZ61" t="str">
            <v/>
          </cell>
          <cell r="FA61" t="str">
            <v/>
          </cell>
          <cell r="FB61" t="str">
            <v/>
          </cell>
          <cell r="FC61" t="str">
            <v/>
          </cell>
          <cell r="FD61" t="str">
            <v/>
          </cell>
          <cell r="FE61" t="str">
            <v/>
          </cell>
          <cell r="FF61" t="str">
            <v/>
          </cell>
          <cell r="FG61" t="str">
            <v/>
          </cell>
          <cell r="FH61" t="str">
            <v/>
          </cell>
          <cell r="FI61" t="str">
            <v/>
          </cell>
          <cell r="FJ61" t="str">
            <v/>
          </cell>
          <cell r="FK61" t="str">
            <v/>
          </cell>
          <cell r="FL61" t="str">
            <v/>
          </cell>
          <cell r="FM61" t="str">
            <v/>
          </cell>
          <cell r="FN61" t="str">
            <v/>
          </cell>
          <cell r="FO61" t="str">
            <v/>
          </cell>
          <cell r="FP61" t="str">
            <v/>
          </cell>
        </row>
        <row r="62">
          <cell r="N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AJ62">
            <v>0</v>
          </cell>
          <cell r="AK62">
            <v>0</v>
          </cell>
          <cell r="AL62">
            <v>999999</v>
          </cell>
          <cell r="AM62">
            <v>17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BE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CB62">
            <v>0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W62">
            <v>0</v>
          </cell>
          <cell r="CY62">
            <v>0</v>
          </cell>
          <cell r="CZ62">
            <v>0</v>
          </cell>
          <cell r="DA62">
            <v>0</v>
          </cell>
          <cell r="DB62">
            <v>0</v>
          </cell>
          <cell r="DC62">
            <v>0</v>
          </cell>
          <cell r="DD62">
            <v>0</v>
          </cell>
          <cell r="DE62">
            <v>0</v>
          </cell>
          <cell r="DF62">
            <v>0</v>
          </cell>
          <cell r="DG62">
            <v>0</v>
          </cell>
          <cell r="DH62">
            <v>0</v>
          </cell>
          <cell r="DS62">
            <v>0</v>
          </cell>
          <cell r="DT62">
            <v>305</v>
          </cell>
          <cell r="DU62">
            <v>999999</v>
          </cell>
          <cell r="DV62">
            <v>999999</v>
          </cell>
          <cell r="DW62">
            <v>999999</v>
          </cell>
          <cell r="DX62">
            <v>0</v>
          </cell>
          <cell r="DY62">
            <v>305</v>
          </cell>
          <cell r="DZ62">
            <v>999999</v>
          </cell>
          <cell r="EA62">
            <v>999999</v>
          </cell>
          <cell r="EB62">
            <v>999999</v>
          </cell>
          <cell r="EC62">
            <v>0</v>
          </cell>
          <cell r="ED62">
            <v>0</v>
          </cell>
          <cell r="EE62">
            <v>0</v>
          </cell>
          <cell r="EF62">
            <v>0</v>
          </cell>
          <cell r="EG62">
            <v>0</v>
          </cell>
          <cell r="EH62">
            <v>0</v>
          </cell>
          <cell r="EI62">
            <v>0</v>
          </cell>
          <cell r="EJ62">
            <v>0</v>
          </cell>
          <cell r="EK62">
            <v>0</v>
          </cell>
          <cell r="EL62">
            <v>0</v>
          </cell>
          <cell r="EM62" t="str">
            <v/>
          </cell>
          <cell r="EN62" t="str">
            <v/>
          </cell>
          <cell r="EO62" t="str">
            <v/>
          </cell>
          <cell r="EP62" t="str">
            <v/>
          </cell>
          <cell r="EQ62" t="str">
            <v/>
          </cell>
          <cell r="ER62" t="str">
            <v/>
          </cell>
          <cell r="ES62" t="str">
            <v/>
          </cell>
          <cell r="ET62" t="str">
            <v/>
          </cell>
          <cell r="EU62" t="str">
            <v/>
          </cell>
          <cell r="EV62" t="str">
            <v/>
          </cell>
          <cell r="EW62" t="str">
            <v/>
          </cell>
          <cell r="EX62" t="str">
            <v/>
          </cell>
          <cell r="EY62" t="str">
            <v/>
          </cell>
          <cell r="EZ62" t="str">
            <v/>
          </cell>
          <cell r="FA62" t="str">
            <v/>
          </cell>
          <cell r="FB62" t="str">
            <v/>
          </cell>
          <cell r="FC62" t="str">
            <v/>
          </cell>
          <cell r="FD62" t="str">
            <v/>
          </cell>
          <cell r="FE62" t="str">
            <v/>
          </cell>
          <cell r="FF62" t="str">
            <v/>
          </cell>
          <cell r="FG62" t="str">
            <v/>
          </cell>
          <cell r="FH62" t="str">
            <v/>
          </cell>
          <cell r="FI62" t="str">
            <v/>
          </cell>
          <cell r="FJ62" t="str">
            <v/>
          </cell>
          <cell r="FK62" t="str">
            <v/>
          </cell>
          <cell r="FL62" t="str">
            <v/>
          </cell>
          <cell r="FM62" t="str">
            <v/>
          </cell>
          <cell r="FN62" t="str">
            <v/>
          </cell>
          <cell r="FO62" t="str">
            <v/>
          </cell>
          <cell r="FP62" t="str">
            <v/>
          </cell>
        </row>
        <row r="63">
          <cell r="N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AJ63">
            <v>0</v>
          </cell>
          <cell r="AK63">
            <v>0</v>
          </cell>
          <cell r="AL63">
            <v>999999</v>
          </cell>
          <cell r="AM63">
            <v>16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BE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CB63">
            <v>0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W63">
            <v>0</v>
          </cell>
          <cell r="CY63">
            <v>0</v>
          </cell>
          <cell r="CZ63">
            <v>0</v>
          </cell>
          <cell r="DA63">
            <v>0</v>
          </cell>
          <cell r="DB63">
            <v>0</v>
          </cell>
          <cell r="DC63">
            <v>0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S63">
            <v>0</v>
          </cell>
          <cell r="DT63">
            <v>304</v>
          </cell>
          <cell r="DU63">
            <v>999999</v>
          </cell>
          <cell r="DV63">
            <v>999999</v>
          </cell>
          <cell r="DW63">
            <v>999999</v>
          </cell>
          <cell r="DX63">
            <v>0</v>
          </cell>
          <cell r="DY63">
            <v>304</v>
          </cell>
          <cell r="DZ63">
            <v>999999</v>
          </cell>
          <cell r="EA63">
            <v>999999</v>
          </cell>
          <cell r="EB63">
            <v>999999</v>
          </cell>
          <cell r="EC63">
            <v>0</v>
          </cell>
          <cell r="ED63">
            <v>0</v>
          </cell>
          <cell r="EE63">
            <v>0</v>
          </cell>
          <cell r="EF63">
            <v>0</v>
          </cell>
          <cell r="EG63">
            <v>0</v>
          </cell>
          <cell r="EH63">
            <v>0</v>
          </cell>
          <cell r="EI63">
            <v>0</v>
          </cell>
          <cell r="EJ63">
            <v>0</v>
          </cell>
          <cell r="EK63">
            <v>0</v>
          </cell>
          <cell r="EL63">
            <v>0</v>
          </cell>
          <cell r="EM63" t="str">
            <v/>
          </cell>
          <cell r="EN63" t="str">
            <v/>
          </cell>
          <cell r="EO63" t="str">
            <v/>
          </cell>
          <cell r="EP63" t="str">
            <v/>
          </cell>
          <cell r="EQ63" t="str">
            <v/>
          </cell>
          <cell r="ER63" t="str">
            <v/>
          </cell>
          <cell r="ES63" t="str">
            <v/>
          </cell>
          <cell r="ET63" t="str">
            <v/>
          </cell>
          <cell r="EU63" t="str">
            <v/>
          </cell>
          <cell r="EV63" t="str">
            <v/>
          </cell>
          <cell r="EW63" t="str">
            <v/>
          </cell>
          <cell r="EX63" t="str">
            <v/>
          </cell>
          <cell r="EY63" t="str">
            <v/>
          </cell>
          <cell r="EZ63" t="str">
            <v/>
          </cell>
          <cell r="FA63" t="str">
            <v/>
          </cell>
          <cell r="FB63" t="str">
            <v/>
          </cell>
          <cell r="FC63" t="str">
            <v/>
          </cell>
          <cell r="FD63" t="str">
            <v/>
          </cell>
          <cell r="FE63" t="str">
            <v/>
          </cell>
          <cell r="FF63" t="str">
            <v/>
          </cell>
          <cell r="FG63" t="str">
            <v/>
          </cell>
          <cell r="FH63" t="str">
            <v/>
          </cell>
          <cell r="FI63" t="str">
            <v/>
          </cell>
          <cell r="FJ63" t="str">
            <v/>
          </cell>
          <cell r="FK63" t="str">
            <v/>
          </cell>
          <cell r="FL63" t="str">
            <v/>
          </cell>
          <cell r="FM63" t="str">
            <v/>
          </cell>
          <cell r="FN63" t="str">
            <v/>
          </cell>
          <cell r="FO63" t="str">
            <v/>
          </cell>
          <cell r="FP63" t="str">
            <v/>
          </cell>
        </row>
        <row r="64">
          <cell r="N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AJ64">
            <v>0</v>
          </cell>
          <cell r="AK64">
            <v>0</v>
          </cell>
          <cell r="AL64">
            <v>999999</v>
          </cell>
          <cell r="AM64">
            <v>15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BE64">
            <v>48000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CB64">
            <v>0</v>
          </cell>
          <cell r="CC64">
            <v>0</v>
          </cell>
          <cell r="CD64">
            <v>0</v>
          </cell>
          <cell r="CE64">
            <v>0</v>
          </cell>
          <cell r="CF64">
            <v>0</v>
          </cell>
          <cell r="CG64">
            <v>0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  <cell r="CW64">
            <v>0</v>
          </cell>
          <cell r="CY64">
            <v>0</v>
          </cell>
          <cell r="CZ64">
            <v>0</v>
          </cell>
          <cell r="DA64">
            <v>0</v>
          </cell>
          <cell r="DB64">
            <v>0</v>
          </cell>
          <cell r="DC64">
            <v>0</v>
          </cell>
          <cell r="DD64">
            <v>0</v>
          </cell>
          <cell r="DE64">
            <v>0</v>
          </cell>
          <cell r="DF64">
            <v>0</v>
          </cell>
          <cell r="DG64">
            <v>0</v>
          </cell>
          <cell r="DH64">
            <v>0</v>
          </cell>
          <cell r="DS64">
            <v>0</v>
          </cell>
          <cell r="DT64">
            <v>303</v>
          </cell>
          <cell r="DU64">
            <v>999999</v>
          </cell>
          <cell r="DV64">
            <v>999999</v>
          </cell>
          <cell r="DW64">
            <v>999999</v>
          </cell>
          <cell r="DX64">
            <v>0</v>
          </cell>
          <cell r="DY64">
            <v>303</v>
          </cell>
          <cell r="DZ64">
            <v>999999</v>
          </cell>
          <cell r="EA64">
            <v>999999</v>
          </cell>
          <cell r="EB64">
            <v>999999</v>
          </cell>
          <cell r="EC64">
            <v>0</v>
          </cell>
          <cell r="ED64">
            <v>0</v>
          </cell>
          <cell r="EE64">
            <v>0</v>
          </cell>
          <cell r="EF64">
            <v>0</v>
          </cell>
          <cell r="EG64">
            <v>0</v>
          </cell>
          <cell r="EH64">
            <v>0</v>
          </cell>
          <cell r="EI64">
            <v>0</v>
          </cell>
          <cell r="EJ64">
            <v>0</v>
          </cell>
          <cell r="EK64">
            <v>0</v>
          </cell>
          <cell r="EL64">
            <v>0</v>
          </cell>
          <cell r="EM64" t="str">
            <v/>
          </cell>
          <cell r="EN64" t="str">
            <v/>
          </cell>
          <cell r="EO64" t="str">
            <v/>
          </cell>
          <cell r="EP64" t="str">
            <v/>
          </cell>
          <cell r="EQ64" t="str">
            <v/>
          </cell>
          <cell r="ER64" t="str">
            <v/>
          </cell>
          <cell r="ES64" t="str">
            <v/>
          </cell>
          <cell r="ET64" t="str">
            <v/>
          </cell>
          <cell r="EU64" t="str">
            <v/>
          </cell>
          <cell r="EV64" t="str">
            <v/>
          </cell>
          <cell r="EW64" t="str">
            <v/>
          </cell>
          <cell r="EX64" t="str">
            <v/>
          </cell>
          <cell r="EY64" t="str">
            <v/>
          </cell>
          <cell r="EZ64" t="str">
            <v/>
          </cell>
          <cell r="FA64" t="str">
            <v/>
          </cell>
          <cell r="FB64" t="str">
            <v/>
          </cell>
          <cell r="FC64" t="str">
            <v/>
          </cell>
          <cell r="FD64" t="str">
            <v/>
          </cell>
          <cell r="FE64" t="str">
            <v/>
          </cell>
          <cell r="FF64" t="str">
            <v/>
          </cell>
          <cell r="FG64" t="str">
            <v/>
          </cell>
          <cell r="FH64" t="str">
            <v/>
          </cell>
          <cell r="FI64" t="str">
            <v/>
          </cell>
          <cell r="FJ64" t="str">
            <v/>
          </cell>
          <cell r="FK64" t="str">
            <v/>
          </cell>
          <cell r="FL64" t="str">
            <v/>
          </cell>
          <cell r="FM64" t="str">
            <v/>
          </cell>
          <cell r="FN64" t="str">
            <v/>
          </cell>
          <cell r="FO64" t="str">
            <v/>
          </cell>
          <cell r="FP64" t="str">
            <v/>
          </cell>
        </row>
        <row r="65">
          <cell r="N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AJ65">
            <v>0</v>
          </cell>
          <cell r="AK65">
            <v>0</v>
          </cell>
          <cell r="AL65">
            <v>999999</v>
          </cell>
          <cell r="AM65">
            <v>14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BE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CB65">
            <v>0</v>
          </cell>
          <cell r="CC65">
            <v>0</v>
          </cell>
          <cell r="CD65">
            <v>0</v>
          </cell>
          <cell r="CE65">
            <v>0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W65">
            <v>0</v>
          </cell>
          <cell r="CY65">
            <v>0</v>
          </cell>
          <cell r="CZ65">
            <v>0</v>
          </cell>
          <cell r="DA65">
            <v>0</v>
          </cell>
          <cell r="DB65">
            <v>0</v>
          </cell>
          <cell r="DC65">
            <v>0</v>
          </cell>
          <cell r="DD65">
            <v>0</v>
          </cell>
          <cell r="DE65">
            <v>0</v>
          </cell>
          <cell r="DF65">
            <v>0</v>
          </cell>
          <cell r="DG65">
            <v>0</v>
          </cell>
          <cell r="DH65">
            <v>0</v>
          </cell>
          <cell r="DS65">
            <v>0</v>
          </cell>
          <cell r="DT65">
            <v>302</v>
          </cell>
          <cell r="DU65">
            <v>999999</v>
          </cell>
          <cell r="DV65">
            <v>999999</v>
          </cell>
          <cell r="DW65">
            <v>999999</v>
          </cell>
          <cell r="DX65">
            <v>0</v>
          </cell>
          <cell r="DY65">
            <v>302</v>
          </cell>
          <cell r="DZ65">
            <v>999999</v>
          </cell>
          <cell r="EA65">
            <v>999999</v>
          </cell>
          <cell r="EB65">
            <v>999999</v>
          </cell>
          <cell r="EC65">
            <v>0</v>
          </cell>
          <cell r="ED65">
            <v>0</v>
          </cell>
          <cell r="EE65">
            <v>0</v>
          </cell>
          <cell r="EF65">
            <v>0</v>
          </cell>
          <cell r="EG65">
            <v>0</v>
          </cell>
          <cell r="EH65">
            <v>0</v>
          </cell>
          <cell r="EI65">
            <v>0</v>
          </cell>
          <cell r="EJ65">
            <v>0</v>
          </cell>
          <cell r="EK65">
            <v>0</v>
          </cell>
          <cell r="EL65">
            <v>0</v>
          </cell>
          <cell r="EM65" t="str">
            <v/>
          </cell>
          <cell r="EN65" t="str">
            <v/>
          </cell>
          <cell r="EO65" t="str">
            <v/>
          </cell>
          <cell r="EP65" t="str">
            <v/>
          </cell>
          <cell r="EQ65" t="str">
            <v/>
          </cell>
          <cell r="ER65" t="str">
            <v/>
          </cell>
          <cell r="ES65" t="str">
            <v/>
          </cell>
          <cell r="ET65" t="str">
            <v/>
          </cell>
          <cell r="EU65" t="str">
            <v/>
          </cell>
          <cell r="EV65" t="str">
            <v/>
          </cell>
          <cell r="EW65" t="str">
            <v/>
          </cell>
          <cell r="EX65" t="str">
            <v/>
          </cell>
          <cell r="EY65" t="str">
            <v/>
          </cell>
          <cell r="EZ65" t="str">
            <v/>
          </cell>
          <cell r="FA65" t="str">
            <v/>
          </cell>
          <cell r="FB65" t="str">
            <v/>
          </cell>
          <cell r="FC65" t="str">
            <v/>
          </cell>
          <cell r="FD65" t="str">
            <v/>
          </cell>
          <cell r="FE65" t="str">
            <v/>
          </cell>
          <cell r="FF65" t="str">
            <v/>
          </cell>
          <cell r="FG65" t="str">
            <v/>
          </cell>
          <cell r="FH65" t="str">
            <v/>
          </cell>
          <cell r="FI65" t="str">
            <v/>
          </cell>
          <cell r="FJ65" t="str">
            <v/>
          </cell>
          <cell r="FK65" t="str">
            <v/>
          </cell>
          <cell r="FL65" t="str">
            <v/>
          </cell>
          <cell r="FM65" t="str">
            <v/>
          </cell>
          <cell r="FN65" t="str">
            <v/>
          </cell>
          <cell r="FO65" t="str">
            <v/>
          </cell>
          <cell r="FP65" t="str">
            <v/>
          </cell>
        </row>
        <row r="66">
          <cell r="N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AJ66">
            <v>0</v>
          </cell>
          <cell r="AK66">
            <v>0</v>
          </cell>
          <cell r="AL66">
            <v>999999</v>
          </cell>
          <cell r="AM66">
            <v>13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BE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CB66">
            <v>0</v>
          </cell>
          <cell r="CC66">
            <v>0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W66">
            <v>0</v>
          </cell>
          <cell r="CY66">
            <v>0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0</v>
          </cell>
          <cell r="DE66">
            <v>0</v>
          </cell>
          <cell r="DF66">
            <v>0</v>
          </cell>
          <cell r="DG66">
            <v>0</v>
          </cell>
          <cell r="DH66">
            <v>0</v>
          </cell>
          <cell r="DS66">
            <v>0</v>
          </cell>
          <cell r="DT66">
            <v>301</v>
          </cell>
          <cell r="DU66">
            <v>999999</v>
          </cell>
          <cell r="DV66">
            <v>999999</v>
          </cell>
          <cell r="DW66">
            <v>999999</v>
          </cell>
          <cell r="DX66">
            <v>0</v>
          </cell>
          <cell r="DY66">
            <v>301</v>
          </cell>
          <cell r="DZ66">
            <v>999999</v>
          </cell>
          <cell r="EA66">
            <v>999999</v>
          </cell>
          <cell r="EB66">
            <v>999999</v>
          </cell>
          <cell r="EC66">
            <v>0</v>
          </cell>
          <cell r="ED66">
            <v>0</v>
          </cell>
          <cell r="EE66">
            <v>0</v>
          </cell>
          <cell r="EF66">
            <v>0</v>
          </cell>
          <cell r="EG66">
            <v>0</v>
          </cell>
          <cell r="EH66">
            <v>0</v>
          </cell>
          <cell r="EI66">
            <v>0</v>
          </cell>
          <cell r="EJ66">
            <v>0</v>
          </cell>
          <cell r="EK66">
            <v>0</v>
          </cell>
          <cell r="EL66">
            <v>0</v>
          </cell>
          <cell r="EM66" t="str">
            <v/>
          </cell>
          <cell r="EN66" t="str">
            <v/>
          </cell>
          <cell r="EO66" t="str">
            <v/>
          </cell>
          <cell r="EP66" t="str">
            <v/>
          </cell>
          <cell r="EQ66" t="str">
            <v/>
          </cell>
          <cell r="ER66" t="str">
            <v/>
          </cell>
          <cell r="ES66" t="str">
            <v/>
          </cell>
          <cell r="ET66" t="str">
            <v/>
          </cell>
          <cell r="EU66" t="str">
            <v/>
          </cell>
          <cell r="EV66" t="str">
            <v/>
          </cell>
          <cell r="EW66" t="str">
            <v/>
          </cell>
          <cell r="EX66" t="str">
            <v/>
          </cell>
          <cell r="EY66" t="str">
            <v/>
          </cell>
          <cell r="EZ66" t="str">
            <v/>
          </cell>
          <cell r="FA66" t="str">
            <v/>
          </cell>
          <cell r="FB66" t="str">
            <v/>
          </cell>
          <cell r="FC66" t="str">
            <v/>
          </cell>
          <cell r="FD66" t="str">
            <v/>
          </cell>
          <cell r="FE66" t="str">
            <v/>
          </cell>
          <cell r="FF66" t="str">
            <v/>
          </cell>
          <cell r="FG66" t="str">
            <v/>
          </cell>
          <cell r="FH66" t="str">
            <v/>
          </cell>
          <cell r="FI66" t="str">
            <v/>
          </cell>
          <cell r="FJ66" t="str">
            <v/>
          </cell>
          <cell r="FK66" t="str">
            <v/>
          </cell>
          <cell r="FL66" t="str">
            <v/>
          </cell>
          <cell r="FM66" t="str">
            <v/>
          </cell>
          <cell r="FN66" t="str">
            <v/>
          </cell>
          <cell r="FO66" t="str">
            <v/>
          </cell>
          <cell r="FP66" t="str">
            <v/>
          </cell>
        </row>
        <row r="67"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AJ67">
            <v>0</v>
          </cell>
          <cell r="AK67">
            <v>0</v>
          </cell>
          <cell r="AL67">
            <v>999999</v>
          </cell>
          <cell r="AM67">
            <v>12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BE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>
            <v>0</v>
          </cell>
          <cell r="BQ67">
            <v>0</v>
          </cell>
          <cell r="CB67">
            <v>0</v>
          </cell>
          <cell r="CC67">
            <v>0</v>
          </cell>
          <cell r="CD67">
            <v>0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W67">
            <v>0</v>
          </cell>
          <cell r="CY67">
            <v>0</v>
          </cell>
          <cell r="CZ67">
            <v>0</v>
          </cell>
          <cell r="DA67">
            <v>0</v>
          </cell>
          <cell r="DB67">
            <v>0</v>
          </cell>
          <cell r="DC67">
            <v>0</v>
          </cell>
          <cell r="DD67">
            <v>0</v>
          </cell>
          <cell r="DE67">
            <v>0</v>
          </cell>
          <cell r="DF67">
            <v>0</v>
          </cell>
          <cell r="DG67">
            <v>0</v>
          </cell>
          <cell r="DH67">
            <v>0</v>
          </cell>
          <cell r="DS67">
            <v>0</v>
          </cell>
          <cell r="DT67">
            <v>300</v>
          </cell>
          <cell r="DU67">
            <v>999999</v>
          </cell>
          <cell r="DV67">
            <v>999999</v>
          </cell>
          <cell r="DW67">
            <v>999999</v>
          </cell>
          <cell r="DX67">
            <v>0</v>
          </cell>
          <cell r="DY67">
            <v>300</v>
          </cell>
          <cell r="DZ67">
            <v>999999</v>
          </cell>
          <cell r="EA67">
            <v>999999</v>
          </cell>
          <cell r="EB67">
            <v>999999</v>
          </cell>
          <cell r="EC67">
            <v>0</v>
          </cell>
          <cell r="ED67">
            <v>0</v>
          </cell>
          <cell r="EE67">
            <v>0</v>
          </cell>
          <cell r="EF67">
            <v>0</v>
          </cell>
          <cell r="EG67">
            <v>0</v>
          </cell>
          <cell r="EH67">
            <v>0</v>
          </cell>
          <cell r="EI67">
            <v>0</v>
          </cell>
          <cell r="EJ67">
            <v>0</v>
          </cell>
          <cell r="EK67">
            <v>0</v>
          </cell>
          <cell r="EL67">
            <v>0</v>
          </cell>
          <cell r="EM67" t="str">
            <v/>
          </cell>
          <cell r="EN67" t="str">
            <v/>
          </cell>
          <cell r="EO67" t="str">
            <v/>
          </cell>
          <cell r="EP67" t="str">
            <v/>
          </cell>
          <cell r="EQ67" t="str">
            <v/>
          </cell>
          <cell r="ER67" t="str">
            <v/>
          </cell>
          <cell r="ES67" t="str">
            <v/>
          </cell>
          <cell r="ET67" t="str">
            <v/>
          </cell>
          <cell r="EU67" t="str">
            <v/>
          </cell>
          <cell r="EV67" t="str">
            <v/>
          </cell>
          <cell r="EW67" t="str">
            <v/>
          </cell>
          <cell r="EX67" t="str">
            <v/>
          </cell>
          <cell r="EY67" t="str">
            <v/>
          </cell>
          <cell r="EZ67" t="str">
            <v/>
          </cell>
          <cell r="FA67" t="str">
            <v/>
          </cell>
          <cell r="FB67" t="str">
            <v/>
          </cell>
          <cell r="FC67" t="str">
            <v/>
          </cell>
          <cell r="FD67" t="str">
            <v/>
          </cell>
          <cell r="FE67" t="str">
            <v/>
          </cell>
          <cell r="FF67" t="str">
            <v/>
          </cell>
          <cell r="FG67" t="str">
            <v/>
          </cell>
          <cell r="FH67" t="str">
            <v/>
          </cell>
          <cell r="FI67" t="str">
            <v/>
          </cell>
          <cell r="FJ67" t="str">
            <v/>
          </cell>
          <cell r="FK67" t="str">
            <v/>
          </cell>
          <cell r="FL67" t="str">
            <v/>
          </cell>
          <cell r="FM67" t="str">
            <v/>
          </cell>
          <cell r="FN67" t="str">
            <v/>
          </cell>
          <cell r="FO67" t="str">
            <v/>
          </cell>
          <cell r="FP67" t="str">
            <v/>
          </cell>
        </row>
        <row r="68">
          <cell r="N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AJ68">
            <v>0</v>
          </cell>
          <cell r="AK68">
            <v>0</v>
          </cell>
          <cell r="AL68">
            <v>999999</v>
          </cell>
          <cell r="AM68">
            <v>11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BE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BQ68">
            <v>0</v>
          </cell>
          <cell r="CB68">
            <v>0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  <cell r="CI68">
            <v>0</v>
          </cell>
          <cell r="CJ68">
            <v>0</v>
          </cell>
          <cell r="CK68">
            <v>0</v>
          </cell>
          <cell r="CW68">
            <v>0</v>
          </cell>
          <cell r="CY68">
            <v>0</v>
          </cell>
          <cell r="CZ68">
            <v>0</v>
          </cell>
          <cell r="DA68">
            <v>0</v>
          </cell>
          <cell r="DB68">
            <v>0</v>
          </cell>
          <cell r="DC68">
            <v>0</v>
          </cell>
          <cell r="DD68">
            <v>0</v>
          </cell>
          <cell r="DE68">
            <v>0</v>
          </cell>
          <cell r="DF68">
            <v>0</v>
          </cell>
          <cell r="DG68">
            <v>0</v>
          </cell>
          <cell r="DH68">
            <v>0</v>
          </cell>
          <cell r="DS68">
            <v>0</v>
          </cell>
          <cell r="DT68">
            <v>299</v>
          </cell>
          <cell r="DU68">
            <v>999999</v>
          </cell>
          <cell r="DV68">
            <v>999999</v>
          </cell>
          <cell r="DW68">
            <v>999999</v>
          </cell>
          <cell r="DX68">
            <v>0</v>
          </cell>
          <cell r="DY68">
            <v>299</v>
          </cell>
          <cell r="DZ68">
            <v>999999</v>
          </cell>
          <cell r="EA68">
            <v>999999</v>
          </cell>
          <cell r="EB68">
            <v>999999</v>
          </cell>
          <cell r="EC68">
            <v>0</v>
          </cell>
          <cell r="ED68">
            <v>0</v>
          </cell>
          <cell r="EE68">
            <v>0</v>
          </cell>
          <cell r="EF68">
            <v>0</v>
          </cell>
          <cell r="EG68">
            <v>0</v>
          </cell>
          <cell r="EH68">
            <v>0</v>
          </cell>
          <cell r="EI68">
            <v>0</v>
          </cell>
          <cell r="EJ68">
            <v>0</v>
          </cell>
          <cell r="EK68">
            <v>0</v>
          </cell>
          <cell r="EL68">
            <v>0</v>
          </cell>
          <cell r="EM68" t="str">
            <v/>
          </cell>
          <cell r="EN68" t="str">
            <v/>
          </cell>
          <cell r="EO68" t="str">
            <v/>
          </cell>
          <cell r="EP68" t="str">
            <v/>
          </cell>
          <cell r="EQ68" t="str">
            <v/>
          </cell>
          <cell r="ER68" t="str">
            <v/>
          </cell>
          <cell r="ES68" t="str">
            <v/>
          </cell>
          <cell r="ET68" t="str">
            <v/>
          </cell>
          <cell r="EU68" t="str">
            <v/>
          </cell>
          <cell r="EV68" t="str">
            <v/>
          </cell>
          <cell r="EW68" t="str">
            <v/>
          </cell>
          <cell r="EX68" t="str">
            <v/>
          </cell>
          <cell r="EY68" t="str">
            <v/>
          </cell>
          <cell r="EZ68" t="str">
            <v/>
          </cell>
          <cell r="FA68" t="str">
            <v/>
          </cell>
          <cell r="FB68" t="str">
            <v/>
          </cell>
          <cell r="FC68" t="str">
            <v/>
          </cell>
          <cell r="FD68" t="str">
            <v/>
          </cell>
          <cell r="FE68" t="str">
            <v/>
          </cell>
          <cell r="FF68" t="str">
            <v/>
          </cell>
          <cell r="FG68" t="str">
            <v/>
          </cell>
          <cell r="FH68" t="str">
            <v/>
          </cell>
          <cell r="FI68" t="str">
            <v/>
          </cell>
          <cell r="FJ68" t="str">
            <v/>
          </cell>
          <cell r="FK68" t="str">
            <v/>
          </cell>
          <cell r="FL68" t="str">
            <v/>
          </cell>
          <cell r="FM68" t="str">
            <v/>
          </cell>
          <cell r="FN68" t="str">
            <v/>
          </cell>
          <cell r="FO68" t="str">
            <v/>
          </cell>
          <cell r="FP68" t="str">
            <v/>
          </cell>
        </row>
        <row r="69">
          <cell r="N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AJ69">
            <v>0</v>
          </cell>
          <cell r="AK69">
            <v>0</v>
          </cell>
          <cell r="AL69">
            <v>999999</v>
          </cell>
          <cell r="AM69">
            <v>10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BE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>
            <v>0</v>
          </cell>
          <cell r="BQ69">
            <v>0</v>
          </cell>
          <cell r="CB69">
            <v>0</v>
          </cell>
          <cell r="CC69">
            <v>0</v>
          </cell>
          <cell r="CD69">
            <v>0</v>
          </cell>
          <cell r="CE69">
            <v>0</v>
          </cell>
          <cell r="CF69">
            <v>0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W69">
            <v>0</v>
          </cell>
          <cell r="CY69">
            <v>0</v>
          </cell>
          <cell r="CZ69">
            <v>0</v>
          </cell>
          <cell r="DA69">
            <v>0</v>
          </cell>
          <cell r="DB69">
            <v>0</v>
          </cell>
          <cell r="DC69">
            <v>0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H69">
            <v>0</v>
          </cell>
          <cell r="DS69">
            <v>0</v>
          </cell>
          <cell r="DT69">
            <v>298</v>
          </cell>
          <cell r="DU69">
            <v>999999</v>
          </cell>
          <cell r="DV69">
            <v>999999</v>
          </cell>
          <cell r="DW69">
            <v>999999</v>
          </cell>
          <cell r="DX69">
            <v>0</v>
          </cell>
          <cell r="DY69">
            <v>298</v>
          </cell>
          <cell r="DZ69">
            <v>999999</v>
          </cell>
          <cell r="EA69">
            <v>999999</v>
          </cell>
          <cell r="EB69">
            <v>999999</v>
          </cell>
          <cell r="EC69">
            <v>0</v>
          </cell>
          <cell r="ED69">
            <v>0</v>
          </cell>
          <cell r="EE69">
            <v>0</v>
          </cell>
          <cell r="EF69">
            <v>0</v>
          </cell>
          <cell r="EG69">
            <v>0</v>
          </cell>
          <cell r="EH69">
            <v>0</v>
          </cell>
          <cell r="EI69">
            <v>0</v>
          </cell>
          <cell r="EJ69">
            <v>0</v>
          </cell>
          <cell r="EK69">
            <v>0</v>
          </cell>
          <cell r="EL69">
            <v>0</v>
          </cell>
          <cell r="EM69" t="str">
            <v/>
          </cell>
          <cell r="EN69" t="str">
            <v/>
          </cell>
          <cell r="EO69" t="str">
            <v/>
          </cell>
          <cell r="EP69" t="str">
            <v/>
          </cell>
          <cell r="EQ69" t="str">
            <v/>
          </cell>
          <cell r="ER69" t="str">
            <v/>
          </cell>
          <cell r="ES69" t="str">
            <v/>
          </cell>
          <cell r="ET69" t="str">
            <v/>
          </cell>
          <cell r="EU69" t="str">
            <v/>
          </cell>
          <cell r="EV69" t="str">
            <v/>
          </cell>
          <cell r="EW69" t="str">
            <v/>
          </cell>
          <cell r="EX69" t="str">
            <v/>
          </cell>
          <cell r="EY69" t="str">
            <v/>
          </cell>
          <cell r="EZ69" t="str">
            <v/>
          </cell>
          <cell r="FA69" t="str">
            <v/>
          </cell>
          <cell r="FB69" t="str">
            <v/>
          </cell>
          <cell r="FC69" t="str">
            <v/>
          </cell>
          <cell r="FD69" t="str">
            <v/>
          </cell>
          <cell r="FE69" t="str">
            <v/>
          </cell>
          <cell r="FF69" t="str">
            <v/>
          </cell>
          <cell r="FG69" t="str">
            <v/>
          </cell>
          <cell r="FH69" t="str">
            <v/>
          </cell>
          <cell r="FI69" t="str">
            <v/>
          </cell>
          <cell r="FJ69" t="str">
            <v/>
          </cell>
          <cell r="FK69" t="str">
            <v/>
          </cell>
          <cell r="FL69" t="str">
            <v/>
          </cell>
          <cell r="FM69" t="str">
            <v/>
          </cell>
          <cell r="FN69" t="str">
            <v/>
          </cell>
          <cell r="FO69" t="str">
            <v/>
          </cell>
          <cell r="FP69" t="str">
            <v/>
          </cell>
        </row>
        <row r="70">
          <cell r="N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AJ70">
            <v>0</v>
          </cell>
          <cell r="AK70">
            <v>0</v>
          </cell>
          <cell r="AL70">
            <v>999999</v>
          </cell>
          <cell r="AM70">
            <v>9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BE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BQ70">
            <v>0</v>
          </cell>
          <cell r="CB70">
            <v>0</v>
          </cell>
          <cell r="CC70">
            <v>0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W70">
            <v>0</v>
          </cell>
          <cell r="CY70">
            <v>0</v>
          </cell>
          <cell r="CZ70">
            <v>0</v>
          </cell>
          <cell r="DA70">
            <v>0</v>
          </cell>
          <cell r="DB70">
            <v>0</v>
          </cell>
          <cell r="DC70">
            <v>0</v>
          </cell>
          <cell r="DD70">
            <v>0</v>
          </cell>
          <cell r="DE70">
            <v>0</v>
          </cell>
          <cell r="DF70">
            <v>0</v>
          </cell>
          <cell r="DG70">
            <v>0</v>
          </cell>
          <cell r="DH70">
            <v>0</v>
          </cell>
          <cell r="DS70">
            <v>0</v>
          </cell>
          <cell r="DT70">
            <v>297</v>
          </cell>
          <cell r="DU70">
            <v>999999</v>
          </cell>
          <cell r="DV70">
            <v>999999</v>
          </cell>
          <cell r="DW70">
            <v>999999</v>
          </cell>
          <cell r="DX70">
            <v>0</v>
          </cell>
          <cell r="DY70">
            <v>297</v>
          </cell>
          <cell r="DZ70">
            <v>999999</v>
          </cell>
          <cell r="EA70">
            <v>999999</v>
          </cell>
          <cell r="EB70">
            <v>999999</v>
          </cell>
          <cell r="EC70">
            <v>0</v>
          </cell>
          <cell r="ED70">
            <v>0</v>
          </cell>
          <cell r="EE70">
            <v>0</v>
          </cell>
          <cell r="EF70">
            <v>0</v>
          </cell>
          <cell r="EG70">
            <v>0</v>
          </cell>
          <cell r="EH70">
            <v>0</v>
          </cell>
          <cell r="EI70">
            <v>0</v>
          </cell>
          <cell r="EJ70">
            <v>0</v>
          </cell>
          <cell r="EK70">
            <v>0</v>
          </cell>
          <cell r="EL70">
            <v>0</v>
          </cell>
          <cell r="EM70" t="str">
            <v/>
          </cell>
          <cell r="EN70" t="str">
            <v/>
          </cell>
          <cell r="EO70" t="str">
            <v/>
          </cell>
          <cell r="EP70" t="str">
            <v/>
          </cell>
          <cell r="EQ70" t="str">
            <v/>
          </cell>
          <cell r="ER70" t="str">
            <v/>
          </cell>
          <cell r="ES70" t="str">
            <v/>
          </cell>
          <cell r="ET70" t="str">
            <v/>
          </cell>
          <cell r="EU70" t="str">
            <v/>
          </cell>
          <cell r="EV70" t="str">
            <v/>
          </cell>
          <cell r="EW70" t="str">
            <v/>
          </cell>
          <cell r="EX70" t="str">
            <v/>
          </cell>
          <cell r="EY70" t="str">
            <v/>
          </cell>
          <cell r="EZ70" t="str">
            <v/>
          </cell>
          <cell r="FA70" t="str">
            <v/>
          </cell>
          <cell r="FB70" t="str">
            <v/>
          </cell>
          <cell r="FC70" t="str">
            <v/>
          </cell>
          <cell r="FD70" t="str">
            <v/>
          </cell>
          <cell r="FE70" t="str">
            <v/>
          </cell>
          <cell r="FF70" t="str">
            <v/>
          </cell>
          <cell r="FG70" t="str">
            <v/>
          </cell>
          <cell r="FH70" t="str">
            <v/>
          </cell>
          <cell r="FI70" t="str">
            <v/>
          </cell>
          <cell r="FJ70" t="str">
            <v/>
          </cell>
          <cell r="FK70" t="str">
            <v/>
          </cell>
          <cell r="FL70" t="str">
            <v/>
          </cell>
          <cell r="FM70" t="str">
            <v/>
          </cell>
          <cell r="FN70" t="str">
            <v/>
          </cell>
          <cell r="FO70" t="str">
            <v/>
          </cell>
          <cell r="FP70" t="str">
            <v/>
          </cell>
        </row>
        <row r="71">
          <cell r="N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AJ71">
            <v>0</v>
          </cell>
          <cell r="AK71">
            <v>0</v>
          </cell>
          <cell r="AL71">
            <v>999999</v>
          </cell>
          <cell r="AM71">
            <v>8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BE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CB71">
            <v>0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  <cell r="CW71">
            <v>0</v>
          </cell>
          <cell r="CY71">
            <v>0</v>
          </cell>
          <cell r="CZ71">
            <v>0</v>
          </cell>
          <cell r="DA71">
            <v>0</v>
          </cell>
          <cell r="DB71">
            <v>0</v>
          </cell>
          <cell r="DC71">
            <v>0</v>
          </cell>
          <cell r="DD71">
            <v>0</v>
          </cell>
          <cell r="DE71">
            <v>0</v>
          </cell>
          <cell r="DF71">
            <v>0</v>
          </cell>
          <cell r="DG71">
            <v>0</v>
          </cell>
          <cell r="DH71">
            <v>0</v>
          </cell>
          <cell r="DS71">
            <v>0</v>
          </cell>
          <cell r="DT71">
            <v>296</v>
          </cell>
          <cell r="DU71">
            <v>999999</v>
          </cell>
          <cell r="DV71">
            <v>999999</v>
          </cell>
          <cell r="DW71">
            <v>999999</v>
          </cell>
          <cell r="DX71">
            <v>0</v>
          </cell>
          <cell r="DY71">
            <v>296</v>
          </cell>
          <cell r="DZ71">
            <v>999999</v>
          </cell>
          <cell r="EA71">
            <v>999999</v>
          </cell>
          <cell r="EB71">
            <v>999999</v>
          </cell>
          <cell r="EC71">
            <v>0</v>
          </cell>
          <cell r="ED71">
            <v>0</v>
          </cell>
          <cell r="EE71">
            <v>0</v>
          </cell>
          <cell r="EF71">
            <v>0</v>
          </cell>
          <cell r="EG71">
            <v>0</v>
          </cell>
          <cell r="EH71">
            <v>0</v>
          </cell>
          <cell r="EI71">
            <v>0</v>
          </cell>
          <cell r="EJ71">
            <v>0</v>
          </cell>
          <cell r="EK71">
            <v>0</v>
          </cell>
          <cell r="EL71">
            <v>0</v>
          </cell>
          <cell r="EM71" t="str">
            <v/>
          </cell>
          <cell r="EN71" t="str">
            <v/>
          </cell>
          <cell r="EO71" t="str">
            <v/>
          </cell>
          <cell r="EP71" t="str">
            <v/>
          </cell>
          <cell r="EQ71" t="str">
            <v/>
          </cell>
          <cell r="ER71" t="str">
            <v/>
          </cell>
          <cell r="ES71" t="str">
            <v/>
          </cell>
          <cell r="ET71" t="str">
            <v/>
          </cell>
          <cell r="EU71" t="str">
            <v/>
          </cell>
          <cell r="EV71" t="str">
            <v/>
          </cell>
          <cell r="EW71" t="str">
            <v/>
          </cell>
          <cell r="EX71" t="str">
            <v/>
          </cell>
          <cell r="EY71" t="str">
            <v/>
          </cell>
          <cell r="EZ71" t="str">
            <v/>
          </cell>
          <cell r="FA71" t="str">
            <v/>
          </cell>
          <cell r="FB71" t="str">
            <v/>
          </cell>
          <cell r="FC71" t="str">
            <v/>
          </cell>
          <cell r="FD71" t="str">
            <v/>
          </cell>
          <cell r="FE71" t="str">
            <v/>
          </cell>
          <cell r="FF71" t="str">
            <v/>
          </cell>
          <cell r="FG71" t="str">
            <v/>
          </cell>
          <cell r="FH71" t="str">
            <v/>
          </cell>
          <cell r="FI71" t="str">
            <v/>
          </cell>
          <cell r="FJ71" t="str">
            <v/>
          </cell>
          <cell r="FK71" t="str">
            <v/>
          </cell>
          <cell r="FL71" t="str">
            <v/>
          </cell>
          <cell r="FM71" t="str">
            <v/>
          </cell>
          <cell r="FN71" t="str">
            <v/>
          </cell>
          <cell r="FO71" t="str">
            <v/>
          </cell>
          <cell r="FP71" t="str">
            <v/>
          </cell>
        </row>
        <row r="72">
          <cell r="N72">
            <v>48000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AJ72">
            <v>0</v>
          </cell>
          <cell r="AK72">
            <v>0</v>
          </cell>
          <cell r="AL72">
            <v>999999</v>
          </cell>
          <cell r="AM72">
            <v>7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BE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W72">
            <v>0</v>
          </cell>
          <cell r="CY72">
            <v>0</v>
          </cell>
          <cell r="CZ72">
            <v>0</v>
          </cell>
          <cell r="DA72">
            <v>0</v>
          </cell>
          <cell r="DB72">
            <v>0</v>
          </cell>
          <cell r="DC72">
            <v>0</v>
          </cell>
          <cell r="DD72">
            <v>0</v>
          </cell>
          <cell r="DE72">
            <v>0</v>
          </cell>
          <cell r="DF72">
            <v>0</v>
          </cell>
          <cell r="DG72">
            <v>0</v>
          </cell>
          <cell r="DH72">
            <v>0</v>
          </cell>
          <cell r="DS72">
            <v>0</v>
          </cell>
          <cell r="DT72">
            <v>295</v>
          </cell>
          <cell r="DU72">
            <v>999999</v>
          </cell>
          <cell r="DV72">
            <v>999999</v>
          </cell>
          <cell r="DW72">
            <v>999999</v>
          </cell>
          <cell r="DX72">
            <v>0</v>
          </cell>
          <cell r="DY72">
            <v>295</v>
          </cell>
          <cell r="DZ72">
            <v>999999</v>
          </cell>
          <cell r="EA72">
            <v>999999</v>
          </cell>
          <cell r="EB72">
            <v>999999</v>
          </cell>
          <cell r="EC72">
            <v>0</v>
          </cell>
          <cell r="ED72">
            <v>0</v>
          </cell>
          <cell r="EE72">
            <v>0</v>
          </cell>
          <cell r="EF72">
            <v>0</v>
          </cell>
          <cell r="EG72">
            <v>0</v>
          </cell>
          <cell r="EH72">
            <v>0</v>
          </cell>
          <cell r="EI72">
            <v>0</v>
          </cell>
          <cell r="EJ72">
            <v>0</v>
          </cell>
          <cell r="EK72">
            <v>0</v>
          </cell>
          <cell r="EL72">
            <v>0</v>
          </cell>
          <cell r="EM72" t="str">
            <v/>
          </cell>
          <cell r="EN72" t="str">
            <v/>
          </cell>
          <cell r="EO72" t="str">
            <v/>
          </cell>
          <cell r="EP72" t="str">
            <v/>
          </cell>
          <cell r="EQ72" t="str">
            <v/>
          </cell>
          <cell r="ER72" t="str">
            <v/>
          </cell>
          <cell r="ES72" t="str">
            <v/>
          </cell>
          <cell r="ET72" t="str">
            <v/>
          </cell>
          <cell r="EU72" t="str">
            <v/>
          </cell>
          <cell r="EV72" t="str">
            <v/>
          </cell>
          <cell r="EW72" t="str">
            <v/>
          </cell>
          <cell r="EX72" t="str">
            <v/>
          </cell>
          <cell r="EY72" t="str">
            <v/>
          </cell>
          <cell r="EZ72" t="str">
            <v/>
          </cell>
          <cell r="FA72" t="str">
            <v/>
          </cell>
          <cell r="FB72" t="str">
            <v/>
          </cell>
          <cell r="FC72" t="str">
            <v/>
          </cell>
          <cell r="FD72" t="str">
            <v/>
          </cell>
          <cell r="FE72" t="str">
            <v/>
          </cell>
          <cell r="FF72" t="str">
            <v/>
          </cell>
          <cell r="FG72" t="str">
            <v/>
          </cell>
          <cell r="FH72" t="str">
            <v/>
          </cell>
          <cell r="FI72" t="str">
            <v/>
          </cell>
          <cell r="FJ72" t="str">
            <v/>
          </cell>
          <cell r="FK72" t="str">
            <v/>
          </cell>
          <cell r="FL72" t="str">
            <v/>
          </cell>
          <cell r="FM72" t="str">
            <v/>
          </cell>
          <cell r="FN72" t="str">
            <v/>
          </cell>
          <cell r="FO72" t="str">
            <v/>
          </cell>
          <cell r="FP72" t="str">
            <v/>
          </cell>
        </row>
        <row r="73">
          <cell r="N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AJ73">
            <v>0</v>
          </cell>
          <cell r="AK73">
            <v>0</v>
          </cell>
          <cell r="AL73">
            <v>999999</v>
          </cell>
          <cell r="AM73">
            <v>6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BE73">
            <v>48000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W73">
            <v>0</v>
          </cell>
          <cell r="CY73">
            <v>0</v>
          </cell>
          <cell r="CZ73">
            <v>0</v>
          </cell>
          <cell r="DA73">
            <v>0</v>
          </cell>
          <cell r="DB73">
            <v>0</v>
          </cell>
          <cell r="DC73">
            <v>0</v>
          </cell>
          <cell r="DD73">
            <v>0</v>
          </cell>
          <cell r="DE73">
            <v>0</v>
          </cell>
          <cell r="DF73">
            <v>0</v>
          </cell>
          <cell r="DG73">
            <v>0</v>
          </cell>
          <cell r="DH73">
            <v>0</v>
          </cell>
          <cell r="DS73">
            <v>0</v>
          </cell>
          <cell r="DT73">
            <v>294</v>
          </cell>
          <cell r="DU73">
            <v>999999</v>
          </cell>
          <cell r="DV73">
            <v>999999</v>
          </cell>
          <cell r="DW73">
            <v>999999</v>
          </cell>
          <cell r="DX73">
            <v>0</v>
          </cell>
          <cell r="DY73">
            <v>294</v>
          </cell>
          <cell r="DZ73">
            <v>999999</v>
          </cell>
          <cell r="EA73">
            <v>999999</v>
          </cell>
          <cell r="EB73">
            <v>999999</v>
          </cell>
          <cell r="EC73">
            <v>0</v>
          </cell>
          <cell r="ED73">
            <v>0</v>
          </cell>
          <cell r="EE73">
            <v>0</v>
          </cell>
          <cell r="EF73">
            <v>0</v>
          </cell>
          <cell r="EG73">
            <v>0</v>
          </cell>
          <cell r="EH73">
            <v>0</v>
          </cell>
          <cell r="EI73">
            <v>0</v>
          </cell>
          <cell r="EJ73">
            <v>0</v>
          </cell>
          <cell r="EK73">
            <v>0</v>
          </cell>
          <cell r="EL73">
            <v>0</v>
          </cell>
          <cell r="EM73" t="str">
            <v/>
          </cell>
          <cell r="EN73" t="str">
            <v/>
          </cell>
          <cell r="EO73" t="str">
            <v/>
          </cell>
          <cell r="EP73" t="str">
            <v/>
          </cell>
          <cell r="EQ73" t="str">
            <v/>
          </cell>
          <cell r="ER73" t="str">
            <v/>
          </cell>
          <cell r="ES73" t="str">
            <v/>
          </cell>
          <cell r="ET73" t="str">
            <v/>
          </cell>
          <cell r="EU73" t="str">
            <v/>
          </cell>
          <cell r="EV73" t="str">
            <v/>
          </cell>
          <cell r="EW73" t="str">
            <v/>
          </cell>
          <cell r="EX73" t="str">
            <v/>
          </cell>
          <cell r="EY73" t="str">
            <v/>
          </cell>
          <cell r="EZ73" t="str">
            <v/>
          </cell>
          <cell r="FA73" t="str">
            <v/>
          </cell>
          <cell r="FB73" t="str">
            <v/>
          </cell>
          <cell r="FC73" t="str">
            <v/>
          </cell>
          <cell r="FD73" t="str">
            <v/>
          </cell>
          <cell r="FE73" t="str">
            <v/>
          </cell>
          <cell r="FF73" t="str">
            <v/>
          </cell>
          <cell r="FG73" t="str">
            <v/>
          </cell>
          <cell r="FH73" t="str">
            <v/>
          </cell>
          <cell r="FI73" t="str">
            <v/>
          </cell>
          <cell r="FJ73" t="str">
            <v/>
          </cell>
          <cell r="FK73" t="str">
            <v/>
          </cell>
          <cell r="FL73" t="str">
            <v/>
          </cell>
          <cell r="FM73" t="str">
            <v/>
          </cell>
          <cell r="FN73" t="str">
            <v/>
          </cell>
          <cell r="FO73" t="str">
            <v/>
          </cell>
          <cell r="FP73" t="str">
            <v/>
          </cell>
        </row>
        <row r="74">
          <cell r="N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AJ74">
            <v>0</v>
          </cell>
          <cell r="AK74">
            <v>0</v>
          </cell>
          <cell r="AL74">
            <v>999999</v>
          </cell>
          <cell r="AM74">
            <v>5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BE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CB74">
            <v>0</v>
          </cell>
          <cell r="CC74">
            <v>0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W74">
            <v>0</v>
          </cell>
          <cell r="CY74">
            <v>0</v>
          </cell>
          <cell r="CZ74">
            <v>0</v>
          </cell>
          <cell r="DA74">
            <v>0</v>
          </cell>
          <cell r="DB74">
            <v>0</v>
          </cell>
          <cell r="DC74">
            <v>0</v>
          </cell>
          <cell r="DD74">
            <v>0</v>
          </cell>
          <cell r="DE74">
            <v>0</v>
          </cell>
          <cell r="DF74">
            <v>0</v>
          </cell>
          <cell r="DG74">
            <v>0</v>
          </cell>
          <cell r="DH74">
            <v>0</v>
          </cell>
          <cell r="DS74">
            <v>0</v>
          </cell>
          <cell r="DT74">
            <v>293</v>
          </cell>
          <cell r="DU74">
            <v>999999</v>
          </cell>
          <cell r="DV74">
            <v>999999</v>
          </cell>
          <cell r="DW74">
            <v>999999</v>
          </cell>
          <cell r="DX74">
            <v>0</v>
          </cell>
          <cell r="DY74">
            <v>293</v>
          </cell>
          <cell r="DZ74">
            <v>999999</v>
          </cell>
          <cell r="EA74">
            <v>999999</v>
          </cell>
          <cell r="EB74">
            <v>999999</v>
          </cell>
          <cell r="EC74">
            <v>0</v>
          </cell>
          <cell r="ED74">
            <v>0</v>
          </cell>
          <cell r="EE74">
            <v>0</v>
          </cell>
          <cell r="EF74">
            <v>0</v>
          </cell>
          <cell r="EG74">
            <v>0</v>
          </cell>
          <cell r="EH74">
            <v>0</v>
          </cell>
          <cell r="EI74">
            <v>0</v>
          </cell>
          <cell r="EJ74">
            <v>0</v>
          </cell>
          <cell r="EK74">
            <v>0</v>
          </cell>
          <cell r="EL74">
            <v>0</v>
          </cell>
          <cell r="EM74" t="str">
            <v/>
          </cell>
          <cell r="EN74" t="str">
            <v/>
          </cell>
          <cell r="EO74" t="str">
            <v/>
          </cell>
          <cell r="EP74" t="str">
            <v/>
          </cell>
          <cell r="EQ74" t="str">
            <v/>
          </cell>
          <cell r="ER74" t="str">
            <v/>
          </cell>
          <cell r="ES74" t="str">
            <v/>
          </cell>
          <cell r="ET74" t="str">
            <v/>
          </cell>
          <cell r="EU74" t="str">
            <v/>
          </cell>
          <cell r="EV74" t="str">
            <v/>
          </cell>
          <cell r="EW74" t="str">
            <v/>
          </cell>
          <cell r="EX74" t="str">
            <v/>
          </cell>
          <cell r="EY74" t="str">
            <v/>
          </cell>
          <cell r="EZ74" t="str">
            <v/>
          </cell>
          <cell r="FA74" t="str">
            <v/>
          </cell>
          <cell r="FB74" t="str">
            <v/>
          </cell>
          <cell r="FC74" t="str">
            <v/>
          </cell>
          <cell r="FD74" t="str">
            <v/>
          </cell>
          <cell r="FE74" t="str">
            <v/>
          </cell>
          <cell r="FF74" t="str">
            <v/>
          </cell>
          <cell r="FG74" t="str">
            <v/>
          </cell>
          <cell r="FH74" t="str">
            <v/>
          </cell>
          <cell r="FI74" t="str">
            <v/>
          </cell>
          <cell r="FJ74" t="str">
            <v/>
          </cell>
          <cell r="FK74" t="str">
            <v/>
          </cell>
          <cell r="FL74" t="str">
            <v/>
          </cell>
          <cell r="FM74" t="str">
            <v/>
          </cell>
          <cell r="FN74" t="str">
            <v/>
          </cell>
          <cell r="FO74" t="str">
            <v/>
          </cell>
          <cell r="FP74" t="str">
            <v/>
          </cell>
        </row>
        <row r="75">
          <cell r="N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AJ75">
            <v>0</v>
          </cell>
          <cell r="AK75">
            <v>0</v>
          </cell>
          <cell r="AL75">
            <v>999999</v>
          </cell>
          <cell r="AM75">
            <v>4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BE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CB75">
            <v>0</v>
          </cell>
          <cell r="CC75">
            <v>0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W75">
            <v>0</v>
          </cell>
          <cell r="CY75">
            <v>0</v>
          </cell>
          <cell r="CZ75">
            <v>0</v>
          </cell>
          <cell r="DA75">
            <v>0</v>
          </cell>
          <cell r="DB75">
            <v>0</v>
          </cell>
          <cell r="DC75">
            <v>0</v>
          </cell>
          <cell r="DD75">
            <v>0</v>
          </cell>
          <cell r="DE75">
            <v>0</v>
          </cell>
          <cell r="DF75">
            <v>0</v>
          </cell>
          <cell r="DG75">
            <v>0</v>
          </cell>
          <cell r="DH75">
            <v>0</v>
          </cell>
          <cell r="DS75">
            <v>0</v>
          </cell>
          <cell r="DT75">
            <v>292</v>
          </cell>
          <cell r="DU75">
            <v>999999</v>
          </cell>
          <cell r="DV75">
            <v>999999</v>
          </cell>
          <cell r="DW75">
            <v>999999</v>
          </cell>
          <cell r="DX75">
            <v>0</v>
          </cell>
          <cell r="DY75">
            <v>292</v>
          </cell>
          <cell r="DZ75">
            <v>999999</v>
          </cell>
          <cell r="EA75">
            <v>999999</v>
          </cell>
          <cell r="EB75">
            <v>999999</v>
          </cell>
          <cell r="EC75">
            <v>0</v>
          </cell>
          <cell r="ED75">
            <v>0</v>
          </cell>
          <cell r="EE75">
            <v>0</v>
          </cell>
          <cell r="EF75">
            <v>0</v>
          </cell>
          <cell r="EG75">
            <v>0</v>
          </cell>
          <cell r="EH75">
            <v>0</v>
          </cell>
          <cell r="EI75">
            <v>0</v>
          </cell>
          <cell r="EJ75">
            <v>0</v>
          </cell>
          <cell r="EK75">
            <v>0</v>
          </cell>
          <cell r="EL75">
            <v>0</v>
          </cell>
          <cell r="EM75" t="str">
            <v/>
          </cell>
          <cell r="EN75" t="str">
            <v/>
          </cell>
          <cell r="EO75" t="str">
            <v/>
          </cell>
          <cell r="EP75" t="str">
            <v/>
          </cell>
          <cell r="EQ75" t="str">
            <v/>
          </cell>
          <cell r="ER75" t="str">
            <v/>
          </cell>
          <cell r="ES75" t="str">
            <v/>
          </cell>
          <cell r="ET75" t="str">
            <v/>
          </cell>
          <cell r="EU75" t="str">
            <v/>
          </cell>
          <cell r="EV75" t="str">
            <v/>
          </cell>
          <cell r="EW75" t="str">
            <v/>
          </cell>
          <cell r="EX75" t="str">
            <v/>
          </cell>
          <cell r="EY75" t="str">
            <v/>
          </cell>
          <cell r="EZ75" t="str">
            <v/>
          </cell>
          <cell r="FA75" t="str">
            <v/>
          </cell>
          <cell r="FB75" t="str">
            <v/>
          </cell>
          <cell r="FC75" t="str">
            <v/>
          </cell>
          <cell r="FD75" t="str">
            <v/>
          </cell>
          <cell r="FE75" t="str">
            <v/>
          </cell>
          <cell r="FF75" t="str">
            <v/>
          </cell>
          <cell r="FG75" t="str">
            <v/>
          </cell>
          <cell r="FH75" t="str">
            <v/>
          </cell>
          <cell r="FI75" t="str">
            <v/>
          </cell>
          <cell r="FJ75" t="str">
            <v/>
          </cell>
          <cell r="FK75" t="str">
            <v/>
          </cell>
          <cell r="FL75" t="str">
            <v/>
          </cell>
          <cell r="FM75" t="str">
            <v/>
          </cell>
          <cell r="FN75" t="str">
            <v/>
          </cell>
          <cell r="FO75" t="str">
            <v/>
          </cell>
          <cell r="FP75" t="str">
            <v/>
          </cell>
        </row>
        <row r="76">
          <cell r="N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AJ76">
            <v>0</v>
          </cell>
          <cell r="AK76">
            <v>0</v>
          </cell>
          <cell r="AL76">
            <v>999999</v>
          </cell>
          <cell r="AM76">
            <v>3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BE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CB76">
            <v>0</v>
          </cell>
          <cell r="CC76">
            <v>0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W76">
            <v>0</v>
          </cell>
          <cell r="CY76">
            <v>0</v>
          </cell>
          <cell r="CZ76">
            <v>0</v>
          </cell>
          <cell r="DA76">
            <v>0</v>
          </cell>
          <cell r="DB76">
            <v>0</v>
          </cell>
          <cell r="DC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0</v>
          </cell>
          <cell r="DH76">
            <v>0</v>
          </cell>
          <cell r="DS76">
            <v>0</v>
          </cell>
          <cell r="DT76">
            <v>291</v>
          </cell>
          <cell r="DU76">
            <v>999999</v>
          </cell>
          <cell r="DV76">
            <v>999999</v>
          </cell>
          <cell r="DW76">
            <v>999999</v>
          </cell>
          <cell r="DX76">
            <v>0</v>
          </cell>
          <cell r="DY76">
            <v>291</v>
          </cell>
          <cell r="DZ76">
            <v>999999</v>
          </cell>
          <cell r="EA76">
            <v>999999</v>
          </cell>
          <cell r="EB76">
            <v>999999</v>
          </cell>
          <cell r="EC76">
            <v>0</v>
          </cell>
          <cell r="ED76">
            <v>0</v>
          </cell>
          <cell r="EE76">
            <v>0</v>
          </cell>
          <cell r="EF76">
            <v>0</v>
          </cell>
          <cell r="EG76">
            <v>0</v>
          </cell>
          <cell r="EH76">
            <v>0</v>
          </cell>
          <cell r="EI76">
            <v>0</v>
          </cell>
          <cell r="EJ76">
            <v>0</v>
          </cell>
          <cell r="EK76">
            <v>0</v>
          </cell>
          <cell r="EL76">
            <v>0</v>
          </cell>
          <cell r="EM76" t="str">
            <v/>
          </cell>
          <cell r="EN76" t="str">
            <v/>
          </cell>
          <cell r="EO76" t="str">
            <v/>
          </cell>
          <cell r="EP76" t="str">
            <v/>
          </cell>
          <cell r="EQ76" t="str">
            <v/>
          </cell>
          <cell r="ER76" t="str">
            <v/>
          </cell>
          <cell r="ES76" t="str">
            <v/>
          </cell>
          <cell r="ET76" t="str">
            <v/>
          </cell>
          <cell r="EU76" t="str">
            <v/>
          </cell>
          <cell r="EV76" t="str">
            <v/>
          </cell>
          <cell r="EW76" t="str">
            <v/>
          </cell>
          <cell r="EX76" t="str">
            <v/>
          </cell>
          <cell r="EY76" t="str">
            <v/>
          </cell>
          <cell r="EZ76" t="str">
            <v/>
          </cell>
          <cell r="FA76" t="str">
            <v/>
          </cell>
          <cell r="FB76" t="str">
            <v/>
          </cell>
          <cell r="FC76" t="str">
            <v/>
          </cell>
          <cell r="FD76" t="str">
            <v/>
          </cell>
          <cell r="FE76" t="str">
            <v/>
          </cell>
          <cell r="FF76" t="str">
            <v/>
          </cell>
          <cell r="FG76" t="str">
            <v/>
          </cell>
          <cell r="FH76" t="str">
            <v/>
          </cell>
          <cell r="FI76" t="str">
            <v/>
          </cell>
          <cell r="FJ76" t="str">
            <v/>
          </cell>
          <cell r="FK76" t="str">
            <v/>
          </cell>
          <cell r="FL76" t="str">
            <v/>
          </cell>
          <cell r="FM76" t="str">
            <v/>
          </cell>
          <cell r="FN76" t="str">
            <v/>
          </cell>
          <cell r="FO76" t="str">
            <v/>
          </cell>
          <cell r="FP76" t="str">
            <v/>
          </cell>
        </row>
        <row r="77">
          <cell r="N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AJ77">
            <v>0</v>
          </cell>
          <cell r="AK77">
            <v>0</v>
          </cell>
          <cell r="AL77">
            <v>999999</v>
          </cell>
          <cell r="AM77">
            <v>2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BE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CB77">
            <v>0</v>
          </cell>
          <cell r="CC77">
            <v>0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W77">
            <v>0</v>
          </cell>
          <cell r="CY77">
            <v>0</v>
          </cell>
          <cell r="CZ77">
            <v>0</v>
          </cell>
          <cell r="DA77">
            <v>0</v>
          </cell>
          <cell r="DB77">
            <v>0</v>
          </cell>
          <cell r="DC77">
            <v>0</v>
          </cell>
          <cell r="DD77">
            <v>0</v>
          </cell>
          <cell r="DE77">
            <v>0</v>
          </cell>
          <cell r="DF77">
            <v>0</v>
          </cell>
          <cell r="DG77">
            <v>0</v>
          </cell>
          <cell r="DH77">
            <v>0</v>
          </cell>
          <cell r="DS77">
            <v>0</v>
          </cell>
          <cell r="DT77">
            <v>290</v>
          </cell>
          <cell r="DU77">
            <v>999999</v>
          </cell>
          <cell r="DV77">
            <v>999999</v>
          </cell>
          <cell r="DW77">
            <v>999999</v>
          </cell>
          <cell r="DX77">
            <v>0</v>
          </cell>
          <cell r="DY77">
            <v>290</v>
          </cell>
          <cell r="DZ77">
            <v>999999</v>
          </cell>
          <cell r="EA77">
            <v>999999</v>
          </cell>
          <cell r="EB77">
            <v>999999</v>
          </cell>
          <cell r="EC77">
            <v>0</v>
          </cell>
          <cell r="ED77">
            <v>0</v>
          </cell>
          <cell r="EE77">
            <v>0</v>
          </cell>
          <cell r="EF77">
            <v>0</v>
          </cell>
          <cell r="EG77">
            <v>0</v>
          </cell>
          <cell r="EH77">
            <v>0</v>
          </cell>
          <cell r="EI77">
            <v>0</v>
          </cell>
          <cell r="EJ77">
            <v>0</v>
          </cell>
          <cell r="EK77">
            <v>0</v>
          </cell>
          <cell r="EL77">
            <v>0</v>
          </cell>
          <cell r="EM77" t="str">
            <v/>
          </cell>
          <cell r="EN77" t="str">
            <v/>
          </cell>
          <cell r="EO77" t="str">
            <v/>
          </cell>
          <cell r="EP77" t="str">
            <v/>
          </cell>
          <cell r="EQ77" t="str">
            <v/>
          </cell>
          <cell r="ER77" t="str">
            <v/>
          </cell>
          <cell r="ES77" t="str">
            <v/>
          </cell>
          <cell r="ET77" t="str">
            <v/>
          </cell>
          <cell r="EU77" t="str">
            <v/>
          </cell>
          <cell r="EV77" t="str">
            <v/>
          </cell>
          <cell r="EW77" t="str">
            <v/>
          </cell>
          <cell r="EX77" t="str">
            <v/>
          </cell>
          <cell r="EY77" t="str">
            <v/>
          </cell>
          <cell r="EZ77" t="str">
            <v/>
          </cell>
          <cell r="FA77" t="str">
            <v/>
          </cell>
          <cell r="FB77" t="str">
            <v/>
          </cell>
          <cell r="FC77" t="str">
            <v/>
          </cell>
          <cell r="FD77" t="str">
            <v/>
          </cell>
          <cell r="FE77" t="str">
            <v/>
          </cell>
          <cell r="FF77" t="str">
            <v/>
          </cell>
          <cell r="FG77" t="str">
            <v/>
          </cell>
          <cell r="FH77" t="str">
            <v/>
          </cell>
          <cell r="FI77" t="str">
            <v/>
          </cell>
          <cell r="FJ77" t="str">
            <v/>
          </cell>
          <cell r="FK77" t="str">
            <v/>
          </cell>
          <cell r="FL77" t="str">
            <v/>
          </cell>
          <cell r="FM77" t="str">
            <v/>
          </cell>
          <cell r="FN77" t="str">
            <v/>
          </cell>
          <cell r="FO77" t="str">
            <v/>
          </cell>
          <cell r="FP77" t="str">
            <v/>
          </cell>
        </row>
        <row r="78">
          <cell r="N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AJ78">
            <v>0</v>
          </cell>
          <cell r="AK78">
            <v>0</v>
          </cell>
          <cell r="AL78">
            <v>999999</v>
          </cell>
          <cell r="AM78">
            <v>1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BE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CB78">
            <v>0</v>
          </cell>
          <cell r="CC78">
            <v>0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W78">
            <v>0</v>
          </cell>
          <cell r="CY78">
            <v>0</v>
          </cell>
          <cell r="CZ78">
            <v>0</v>
          </cell>
          <cell r="DA78">
            <v>0</v>
          </cell>
          <cell r="DB78">
            <v>0</v>
          </cell>
          <cell r="DC78">
            <v>0</v>
          </cell>
          <cell r="DD78">
            <v>0</v>
          </cell>
          <cell r="DE78">
            <v>0</v>
          </cell>
          <cell r="DF78">
            <v>0</v>
          </cell>
          <cell r="DG78">
            <v>0</v>
          </cell>
          <cell r="DH78">
            <v>0</v>
          </cell>
          <cell r="DS78">
            <v>0</v>
          </cell>
          <cell r="DT78">
            <v>289</v>
          </cell>
          <cell r="DU78">
            <v>999999</v>
          </cell>
          <cell r="DV78">
            <v>999999</v>
          </cell>
          <cell r="DW78">
            <v>999999</v>
          </cell>
          <cell r="DX78">
            <v>0</v>
          </cell>
          <cell r="DY78">
            <v>289</v>
          </cell>
          <cell r="DZ78">
            <v>999999</v>
          </cell>
          <cell r="EA78">
            <v>999999</v>
          </cell>
          <cell r="EB78">
            <v>999999</v>
          </cell>
          <cell r="EC78">
            <v>0</v>
          </cell>
          <cell r="ED78">
            <v>0</v>
          </cell>
          <cell r="EE78">
            <v>0</v>
          </cell>
          <cell r="EF78">
            <v>0</v>
          </cell>
          <cell r="EG78">
            <v>0</v>
          </cell>
          <cell r="EH78">
            <v>0</v>
          </cell>
          <cell r="EI78">
            <v>0</v>
          </cell>
          <cell r="EJ78">
            <v>0</v>
          </cell>
          <cell r="EK78">
            <v>0</v>
          </cell>
          <cell r="EL78">
            <v>0</v>
          </cell>
          <cell r="EM78" t="str">
            <v/>
          </cell>
          <cell r="EN78" t="str">
            <v/>
          </cell>
          <cell r="EO78" t="str">
            <v/>
          </cell>
          <cell r="EP78" t="str">
            <v/>
          </cell>
          <cell r="EQ78" t="str">
            <v/>
          </cell>
          <cell r="ER78" t="str">
            <v/>
          </cell>
          <cell r="ES78" t="str">
            <v/>
          </cell>
          <cell r="ET78" t="str">
            <v/>
          </cell>
          <cell r="EU78" t="str">
            <v/>
          </cell>
          <cell r="EV78" t="str">
            <v/>
          </cell>
          <cell r="EW78" t="str">
            <v/>
          </cell>
          <cell r="EX78" t="str">
            <v/>
          </cell>
          <cell r="EY78" t="str">
            <v/>
          </cell>
          <cell r="EZ78" t="str">
            <v/>
          </cell>
          <cell r="FA78" t="str">
            <v/>
          </cell>
          <cell r="FB78" t="str">
            <v/>
          </cell>
          <cell r="FC78" t="str">
            <v/>
          </cell>
          <cell r="FD78" t="str">
            <v/>
          </cell>
          <cell r="FE78" t="str">
            <v/>
          </cell>
          <cell r="FF78" t="str">
            <v/>
          </cell>
          <cell r="FG78" t="str">
            <v/>
          </cell>
          <cell r="FH78" t="str">
            <v/>
          </cell>
          <cell r="FI78" t="str">
            <v/>
          </cell>
          <cell r="FJ78" t="str">
            <v/>
          </cell>
          <cell r="FK78" t="str">
            <v/>
          </cell>
          <cell r="FL78" t="str">
            <v/>
          </cell>
          <cell r="FM78" t="str">
            <v/>
          </cell>
          <cell r="FN78" t="str">
            <v/>
          </cell>
          <cell r="FO78" t="str">
            <v/>
          </cell>
          <cell r="FP78" t="str">
            <v/>
          </cell>
        </row>
        <row r="79">
          <cell r="N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AJ79">
            <v>0</v>
          </cell>
          <cell r="AK79">
            <v>0</v>
          </cell>
          <cell r="AL79">
            <v>999999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BE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CB79">
            <v>0</v>
          </cell>
          <cell r="CC79">
            <v>0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W79">
            <v>0</v>
          </cell>
          <cell r="CY79">
            <v>0</v>
          </cell>
          <cell r="CZ79">
            <v>0</v>
          </cell>
          <cell r="DA79">
            <v>0</v>
          </cell>
          <cell r="DB79">
            <v>0</v>
          </cell>
          <cell r="DC79">
            <v>0</v>
          </cell>
          <cell r="DD79">
            <v>0</v>
          </cell>
          <cell r="DE79">
            <v>0</v>
          </cell>
          <cell r="DF79">
            <v>0</v>
          </cell>
          <cell r="DG79">
            <v>0</v>
          </cell>
          <cell r="DH79">
            <v>0</v>
          </cell>
          <cell r="DS79">
            <v>0</v>
          </cell>
          <cell r="DT79">
            <v>288</v>
          </cell>
          <cell r="DU79">
            <v>999999</v>
          </cell>
          <cell r="DV79">
            <v>999999</v>
          </cell>
          <cell r="DW79">
            <v>999999</v>
          </cell>
          <cell r="DX79">
            <v>0</v>
          </cell>
          <cell r="DY79">
            <v>288</v>
          </cell>
          <cell r="DZ79">
            <v>999999</v>
          </cell>
          <cell r="EA79">
            <v>999999</v>
          </cell>
          <cell r="EB79">
            <v>999999</v>
          </cell>
          <cell r="EC79">
            <v>0</v>
          </cell>
          <cell r="ED79">
            <v>0</v>
          </cell>
          <cell r="EE79">
            <v>0</v>
          </cell>
          <cell r="EF79">
            <v>0</v>
          </cell>
          <cell r="EG79">
            <v>0</v>
          </cell>
          <cell r="EH79">
            <v>0</v>
          </cell>
          <cell r="EI79">
            <v>0</v>
          </cell>
          <cell r="EJ79">
            <v>0</v>
          </cell>
          <cell r="EK79">
            <v>0</v>
          </cell>
          <cell r="EL79">
            <v>0</v>
          </cell>
          <cell r="EM79" t="str">
            <v/>
          </cell>
          <cell r="EN79" t="str">
            <v/>
          </cell>
          <cell r="EO79" t="str">
            <v/>
          </cell>
          <cell r="EP79" t="str">
            <v/>
          </cell>
          <cell r="EQ79" t="str">
            <v/>
          </cell>
          <cell r="ER79" t="str">
            <v/>
          </cell>
          <cell r="ES79" t="str">
            <v/>
          </cell>
          <cell r="ET79" t="str">
            <v/>
          </cell>
          <cell r="EU79" t="str">
            <v/>
          </cell>
          <cell r="EV79" t="str">
            <v/>
          </cell>
          <cell r="EW79" t="str">
            <v/>
          </cell>
          <cell r="EX79" t="str">
            <v/>
          </cell>
          <cell r="EY79" t="str">
            <v/>
          </cell>
          <cell r="EZ79" t="str">
            <v/>
          </cell>
          <cell r="FA79" t="str">
            <v/>
          </cell>
          <cell r="FB79" t="str">
            <v/>
          </cell>
          <cell r="FC79" t="str">
            <v/>
          </cell>
          <cell r="FD79" t="str">
            <v/>
          </cell>
          <cell r="FE79" t="str">
            <v/>
          </cell>
          <cell r="FF79" t="str">
            <v/>
          </cell>
          <cell r="FG79" t="str">
            <v/>
          </cell>
          <cell r="FH79" t="str">
            <v/>
          </cell>
          <cell r="FI79" t="str">
            <v/>
          </cell>
          <cell r="FJ79" t="str">
            <v/>
          </cell>
          <cell r="FK79" t="str">
            <v/>
          </cell>
          <cell r="FL79" t="str">
            <v/>
          </cell>
          <cell r="FM79" t="str">
            <v/>
          </cell>
          <cell r="FN79" t="str">
            <v/>
          </cell>
          <cell r="FO79" t="str">
            <v/>
          </cell>
          <cell r="FP79" t="str">
            <v/>
          </cell>
        </row>
        <row r="80">
          <cell r="N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AJ80">
            <v>0</v>
          </cell>
          <cell r="AK80">
            <v>0</v>
          </cell>
          <cell r="AL80">
            <v>999999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BE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  <cell r="CB80">
            <v>0</v>
          </cell>
          <cell r="CC80">
            <v>0</v>
          </cell>
          <cell r="CD80">
            <v>0</v>
          </cell>
          <cell r="CE80">
            <v>0</v>
          </cell>
          <cell r="CF80">
            <v>0</v>
          </cell>
          <cell r="CG80">
            <v>0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W80">
            <v>0</v>
          </cell>
          <cell r="CY80">
            <v>0</v>
          </cell>
          <cell r="CZ80">
            <v>0</v>
          </cell>
          <cell r="DA80">
            <v>0</v>
          </cell>
          <cell r="DB80">
            <v>0</v>
          </cell>
          <cell r="DC80">
            <v>0</v>
          </cell>
          <cell r="DD80">
            <v>0</v>
          </cell>
          <cell r="DE80">
            <v>0</v>
          </cell>
          <cell r="DF80">
            <v>0</v>
          </cell>
          <cell r="DG80">
            <v>0</v>
          </cell>
          <cell r="DH80">
            <v>0</v>
          </cell>
          <cell r="DS80">
            <v>0</v>
          </cell>
          <cell r="DT80">
            <v>287</v>
          </cell>
          <cell r="DU80">
            <v>999999</v>
          </cell>
          <cell r="DV80">
            <v>999999</v>
          </cell>
          <cell r="DW80">
            <v>999999</v>
          </cell>
          <cell r="DX80">
            <v>0</v>
          </cell>
          <cell r="DY80">
            <v>287</v>
          </cell>
          <cell r="DZ80">
            <v>999999</v>
          </cell>
          <cell r="EA80">
            <v>999999</v>
          </cell>
          <cell r="EB80">
            <v>999999</v>
          </cell>
          <cell r="EC80">
            <v>0</v>
          </cell>
          <cell r="ED80">
            <v>0</v>
          </cell>
          <cell r="EE80">
            <v>0</v>
          </cell>
          <cell r="EF80">
            <v>0</v>
          </cell>
          <cell r="EG80">
            <v>0</v>
          </cell>
          <cell r="EH80">
            <v>0</v>
          </cell>
          <cell r="EI80">
            <v>0</v>
          </cell>
          <cell r="EJ80">
            <v>0</v>
          </cell>
          <cell r="EK80">
            <v>0</v>
          </cell>
          <cell r="EL80">
            <v>0</v>
          </cell>
          <cell r="EM80" t="str">
            <v/>
          </cell>
          <cell r="EN80" t="str">
            <v/>
          </cell>
          <cell r="EO80" t="str">
            <v/>
          </cell>
          <cell r="EP80" t="str">
            <v/>
          </cell>
          <cell r="EQ80" t="str">
            <v/>
          </cell>
          <cell r="ER80" t="str">
            <v/>
          </cell>
          <cell r="ES80" t="str">
            <v/>
          </cell>
          <cell r="ET80" t="str">
            <v/>
          </cell>
          <cell r="EU80" t="str">
            <v/>
          </cell>
          <cell r="EV80" t="str">
            <v/>
          </cell>
          <cell r="EW80" t="str">
            <v/>
          </cell>
          <cell r="EX80" t="str">
            <v/>
          </cell>
          <cell r="EY80" t="str">
            <v/>
          </cell>
          <cell r="EZ80" t="str">
            <v/>
          </cell>
          <cell r="FA80" t="str">
            <v/>
          </cell>
          <cell r="FB80" t="str">
            <v/>
          </cell>
          <cell r="FC80" t="str">
            <v/>
          </cell>
          <cell r="FD80" t="str">
            <v/>
          </cell>
          <cell r="FE80" t="str">
            <v/>
          </cell>
          <cell r="FF80" t="str">
            <v/>
          </cell>
          <cell r="FG80" t="str">
            <v/>
          </cell>
          <cell r="FH80" t="str">
            <v/>
          </cell>
          <cell r="FI80" t="str">
            <v/>
          </cell>
          <cell r="FJ80" t="str">
            <v/>
          </cell>
          <cell r="FK80" t="str">
            <v/>
          </cell>
          <cell r="FL80" t="str">
            <v/>
          </cell>
          <cell r="FM80" t="str">
            <v/>
          </cell>
          <cell r="FN80" t="str">
            <v/>
          </cell>
          <cell r="FO80" t="str">
            <v/>
          </cell>
          <cell r="FP80" t="str">
            <v/>
          </cell>
        </row>
        <row r="81">
          <cell r="N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AJ81">
            <v>0</v>
          </cell>
          <cell r="AK81">
            <v>0</v>
          </cell>
          <cell r="AL81">
            <v>999999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BE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  <cell r="CB81">
            <v>0</v>
          </cell>
          <cell r="CC81">
            <v>0</v>
          </cell>
          <cell r="CD81">
            <v>0</v>
          </cell>
          <cell r="CE81">
            <v>0</v>
          </cell>
          <cell r="CF81">
            <v>0</v>
          </cell>
          <cell r="CG81">
            <v>0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W81">
            <v>0</v>
          </cell>
          <cell r="CY81">
            <v>0</v>
          </cell>
          <cell r="CZ81">
            <v>0</v>
          </cell>
          <cell r="DA81">
            <v>0</v>
          </cell>
          <cell r="DB81">
            <v>0</v>
          </cell>
          <cell r="DC81">
            <v>0</v>
          </cell>
          <cell r="DD81">
            <v>0</v>
          </cell>
          <cell r="DE81">
            <v>0</v>
          </cell>
          <cell r="DF81">
            <v>0</v>
          </cell>
          <cell r="DG81">
            <v>0</v>
          </cell>
          <cell r="DH81">
            <v>0</v>
          </cell>
          <cell r="DS81">
            <v>0</v>
          </cell>
          <cell r="DT81">
            <v>286</v>
          </cell>
          <cell r="DU81">
            <v>999999</v>
          </cell>
          <cell r="DV81">
            <v>999999</v>
          </cell>
          <cell r="DW81">
            <v>999999</v>
          </cell>
          <cell r="DX81">
            <v>0</v>
          </cell>
          <cell r="DY81">
            <v>286</v>
          </cell>
          <cell r="DZ81">
            <v>999999</v>
          </cell>
          <cell r="EA81">
            <v>999999</v>
          </cell>
          <cell r="EB81">
            <v>999999</v>
          </cell>
          <cell r="EC81">
            <v>0</v>
          </cell>
          <cell r="ED81">
            <v>0</v>
          </cell>
          <cell r="EE81">
            <v>0</v>
          </cell>
          <cell r="EF81">
            <v>0</v>
          </cell>
          <cell r="EG81">
            <v>0</v>
          </cell>
          <cell r="EH81">
            <v>0</v>
          </cell>
          <cell r="EI81">
            <v>0</v>
          </cell>
          <cell r="EJ81">
            <v>0</v>
          </cell>
          <cell r="EK81">
            <v>0</v>
          </cell>
          <cell r="EL81">
            <v>0</v>
          </cell>
          <cell r="EM81" t="str">
            <v/>
          </cell>
          <cell r="EN81" t="str">
            <v/>
          </cell>
          <cell r="EO81" t="str">
            <v/>
          </cell>
          <cell r="EP81" t="str">
            <v/>
          </cell>
          <cell r="EQ81" t="str">
            <v/>
          </cell>
          <cell r="ER81" t="str">
            <v/>
          </cell>
          <cell r="ES81" t="str">
            <v/>
          </cell>
          <cell r="ET81" t="str">
            <v/>
          </cell>
          <cell r="EU81" t="str">
            <v/>
          </cell>
          <cell r="EV81" t="str">
            <v/>
          </cell>
          <cell r="EW81" t="str">
            <v/>
          </cell>
          <cell r="EX81" t="str">
            <v/>
          </cell>
          <cell r="EY81" t="str">
            <v/>
          </cell>
          <cell r="EZ81" t="str">
            <v/>
          </cell>
          <cell r="FA81" t="str">
            <v/>
          </cell>
          <cell r="FB81" t="str">
            <v/>
          </cell>
          <cell r="FC81" t="str">
            <v/>
          </cell>
          <cell r="FD81" t="str">
            <v/>
          </cell>
          <cell r="FE81" t="str">
            <v/>
          </cell>
          <cell r="FF81" t="str">
            <v/>
          </cell>
          <cell r="FG81" t="str">
            <v/>
          </cell>
          <cell r="FH81" t="str">
            <v/>
          </cell>
          <cell r="FI81" t="str">
            <v/>
          </cell>
          <cell r="FJ81" t="str">
            <v/>
          </cell>
          <cell r="FK81" t="str">
            <v/>
          </cell>
          <cell r="FL81" t="str">
            <v/>
          </cell>
          <cell r="FM81" t="str">
            <v/>
          </cell>
          <cell r="FN81" t="str">
            <v/>
          </cell>
          <cell r="FO81" t="str">
            <v/>
          </cell>
          <cell r="FP81" t="str">
            <v/>
          </cell>
        </row>
        <row r="82">
          <cell r="N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AJ82">
            <v>0</v>
          </cell>
          <cell r="AK82">
            <v>0</v>
          </cell>
          <cell r="AL82">
            <v>999999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BE82">
            <v>48000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CB82">
            <v>0</v>
          </cell>
          <cell r="CC82">
            <v>0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W82">
            <v>0</v>
          </cell>
          <cell r="CY82">
            <v>0</v>
          </cell>
          <cell r="CZ82">
            <v>0</v>
          </cell>
          <cell r="DA82">
            <v>0</v>
          </cell>
          <cell r="DB82">
            <v>0</v>
          </cell>
          <cell r="DC82">
            <v>0</v>
          </cell>
          <cell r="DD82">
            <v>0</v>
          </cell>
          <cell r="DE82">
            <v>0</v>
          </cell>
          <cell r="DF82">
            <v>0</v>
          </cell>
          <cell r="DG82">
            <v>0</v>
          </cell>
          <cell r="DH82">
            <v>0</v>
          </cell>
          <cell r="DS82">
            <v>0</v>
          </cell>
          <cell r="DT82">
            <v>285</v>
          </cell>
          <cell r="DU82">
            <v>999999</v>
          </cell>
          <cell r="DV82">
            <v>999999</v>
          </cell>
          <cell r="DW82">
            <v>999999</v>
          </cell>
          <cell r="DX82">
            <v>0</v>
          </cell>
          <cell r="DY82">
            <v>285</v>
          </cell>
          <cell r="DZ82">
            <v>999999</v>
          </cell>
          <cell r="EA82">
            <v>999999</v>
          </cell>
          <cell r="EB82">
            <v>999999</v>
          </cell>
          <cell r="EC82">
            <v>0</v>
          </cell>
          <cell r="ED82">
            <v>0</v>
          </cell>
          <cell r="EE82">
            <v>0</v>
          </cell>
          <cell r="EF82">
            <v>0</v>
          </cell>
          <cell r="EG82">
            <v>0</v>
          </cell>
          <cell r="EH82">
            <v>0</v>
          </cell>
          <cell r="EI82">
            <v>0</v>
          </cell>
          <cell r="EJ82">
            <v>0</v>
          </cell>
          <cell r="EK82">
            <v>0</v>
          </cell>
          <cell r="EL82">
            <v>0</v>
          </cell>
          <cell r="EM82" t="str">
            <v/>
          </cell>
          <cell r="EN82" t="str">
            <v/>
          </cell>
          <cell r="EO82" t="str">
            <v/>
          </cell>
          <cell r="EP82" t="str">
            <v/>
          </cell>
          <cell r="EQ82" t="str">
            <v/>
          </cell>
          <cell r="ER82" t="str">
            <v/>
          </cell>
          <cell r="ES82" t="str">
            <v/>
          </cell>
          <cell r="ET82" t="str">
            <v/>
          </cell>
          <cell r="EU82" t="str">
            <v/>
          </cell>
          <cell r="EV82" t="str">
            <v/>
          </cell>
          <cell r="EW82" t="str">
            <v/>
          </cell>
          <cell r="EX82" t="str">
            <v/>
          </cell>
          <cell r="EY82" t="str">
            <v/>
          </cell>
          <cell r="EZ82" t="str">
            <v/>
          </cell>
          <cell r="FA82" t="str">
            <v/>
          </cell>
          <cell r="FB82" t="str">
            <v/>
          </cell>
          <cell r="FC82" t="str">
            <v/>
          </cell>
          <cell r="FD82" t="str">
            <v/>
          </cell>
          <cell r="FE82" t="str">
            <v/>
          </cell>
          <cell r="FF82" t="str">
            <v/>
          </cell>
          <cell r="FG82" t="str">
            <v/>
          </cell>
          <cell r="FH82" t="str">
            <v/>
          </cell>
          <cell r="FI82" t="str">
            <v/>
          </cell>
          <cell r="FJ82" t="str">
            <v/>
          </cell>
          <cell r="FK82" t="str">
            <v/>
          </cell>
          <cell r="FL82" t="str">
            <v/>
          </cell>
          <cell r="FM82" t="str">
            <v/>
          </cell>
          <cell r="FN82" t="str">
            <v/>
          </cell>
          <cell r="FO82" t="str">
            <v/>
          </cell>
          <cell r="FP82" t="str">
            <v/>
          </cell>
        </row>
        <row r="83">
          <cell r="N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AJ83">
            <v>0</v>
          </cell>
          <cell r="AK83">
            <v>0</v>
          </cell>
          <cell r="AL83">
            <v>999999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BE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CB83">
            <v>0</v>
          </cell>
          <cell r="CC83">
            <v>0</v>
          </cell>
          <cell r="CD83">
            <v>0</v>
          </cell>
          <cell r="CE83">
            <v>0</v>
          </cell>
          <cell r="CF83">
            <v>0</v>
          </cell>
          <cell r="CG83">
            <v>0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W83">
            <v>0</v>
          </cell>
          <cell r="CY83">
            <v>0</v>
          </cell>
          <cell r="CZ83">
            <v>0</v>
          </cell>
          <cell r="DA83">
            <v>0</v>
          </cell>
          <cell r="DB83">
            <v>0</v>
          </cell>
          <cell r="DC83">
            <v>0</v>
          </cell>
          <cell r="DD83">
            <v>0</v>
          </cell>
          <cell r="DE83">
            <v>0</v>
          </cell>
          <cell r="DF83">
            <v>0</v>
          </cell>
          <cell r="DG83">
            <v>0</v>
          </cell>
          <cell r="DH83">
            <v>0</v>
          </cell>
          <cell r="DS83">
            <v>0</v>
          </cell>
          <cell r="DT83">
            <v>284</v>
          </cell>
          <cell r="DU83">
            <v>999999</v>
          </cell>
          <cell r="DV83">
            <v>999999</v>
          </cell>
          <cell r="DW83">
            <v>999999</v>
          </cell>
          <cell r="DX83">
            <v>0</v>
          </cell>
          <cell r="DY83">
            <v>284</v>
          </cell>
          <cell r="DZ83">
            <v>999999</v>
          </cell>
          <cell r="EA83">
            <v>999999</v>
          </cell>
          <cell r="EB83">
            <v>999999</v>
          </cell>
          <cell r="EC83">
            <v>0</v>
          </cell>
          <cell r="ED83">
            <v>0</v>
          </cell>
          <cell r="EE83">
            <v>0</v>
          </cell>
          <cell r="EF83">
            <v>0</v>
          </cell>
          <cell r="EG83">
            <v>0</v>
          </cell>
          <cell r="EH83">
            <v>0</v>
          </cell>
          <cell r="EI83">
            <v>0</v>
          </cell>
          <cell r="EJ83">
            <v>0</v>
          </cell>
          <cell r="EK83">
            <v>0</v>
          </cell>
          <cell r="EL83">
            <v>0</v>
          </cell>
          <cell r="EM83" t="str">
            <v/>
          </cell>
          <cell r="EN83" t="str">
            <v/>
          </cell>
          <cell r="EO83" t="str">
            <v/>
          </cell>
          <cell r="EP83" t="str">
            <v/>
          </cell>
          <cell r="EQ83" t="str">
            <v/>
          </cell>
          <cell r="ER83" t="str">
            <v/>
          </cell>
          <cell r="ES83" t="str">
            <v/>
          </cell>
          <cell r="ET83" t="str">
            <v/>
          </cell>
          <cell r="EU83" t="str">
            <v/>
          </cell>
          <cell r="EV83" t="str">
            <v/>
          </cell>
          <cell r="EW83" t="str">
            <v/>
          </cell>
          <cell r="EX83" t="str">
            <v/>
          </cell>
          <cell r="EY83" t="str">
            <v/>
          </cell>
          <cell r="EZ83" t="str">
            <v/>
          </cell>
          <cell r="FA83" t="str">
            <v/>
          </cell>
          <cell r="FB83" t="str">
            <v/>
          </cell>
          <cell r="FC83" t="str">
            <v/>
          </cell>
          <cell r="FD83" t="str">
            <v/>
          </cell>
          <cell r="FE83" t="str">
            <v/>
          </cell>
          <cell r="FF83" t="str">
            <v/>
          </cell>
          <cell r="FG83" t="str">
            <v/>
          </cell>
          <cell r="FH83" t="str">
            <v/>
          </cell>
          <cell r="FI83" t="str">
            <v/>
          </cell>
          <cell r="FJ83" t="str">
            <v/>
          </cell>
          <cell r="FK83" t="str">
            <v/>
          </cell>
          <cell r="FL83" t="str">
            <v/>
          </cell>
          <cell r="FM83" t="str">
            <v/>
          </cell>
          <cell r="FN83" t="str">
            <v/>
          </cell>
          <cell r="FO83" t="str">
            <v/>
          </cell>
          <cell r="FP83" t="str">
            <v/>
          </cell>
        </row>
        <row r="84">
          <cell r="N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AJ84">
            <v>0</v>
          </cell>
          <cell r="AK84">
            <v>0</v>
          </cell>
          <cell r="AL84">
            <v>999999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BE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  <cell r="CB84">
            <v>0</v>
          </cell>
          <cell r="CC84">
            <v>0</v>
          </cell>
          <cell r="CD84">
            <v>0</v>
          </cell>
          <cell r="CE84">
            <v>0</v>
          </cell>
          <cell r="CF84">
            <v>0</v>
          </cell>
          <cell r="CG84">
            <v>0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W84">
            <v>0</v>
          </cell>
          <cell r="CY84">
            <v>0</v>
          </cell>
          <cell r="CZ84">
            <v>0</v>
          </cell>
          <cell r="DA84">
            <v>0</v>
          </cell>
          <cell r="DB84">
            <v>0</v>
          </cell>
          <cell r="DC84">
            <v>0</v>
          </cell>
          <cell r="DD84">
            <v>0</v>
          </cell>
          <cell r="DE84">
            <v>0</v>
          </cell>
          <cell r="DF84">
            <v>0</v>
          </cell>
          <cell r="DG84">
            <v>0</v>
          </cell>
          <cell r="DH84">
            <v>0</v>
          </cell>
          <cell r="DS84">
            <v>0</v>
          </cell>
          <cell r="DT84">
            <v>283</v>
          </cell>
          <cell r="DU84">
            <v>999999</v>
          </cell>
          <cell r="DV84">
            <v>999999</v>
          </cell>
          <cell r="DW84">
            <v>999999</v>
          </cell>
          <cell r="DX84">
            <v>0</v>
          </cell>
          <cell r="DY84">
            <v>283</v>
          </cell>
          <cell r="DZ84">
            <v>999999</v>
          </cell>
          <cell r="EA84">
            <v>999999</v>
          </cell>
          <cell r="EB84">
            <v>999999</v>
          </cell>
          <cell r="EC84">
            <v>0</v>
          </cell>
          <cell r="ED84">
            <v>0</v>
          </cell>
          <cell r="EE84">
            <v>0</v>
          </cell>
          <cell r="EF84">
            <v>0</v>
          </cell>
          <cell r="EG84">
            <v>0</v>
          </cell>
          <cell r="EH84">
            <v>0</v>
          </cell>
          <cell r="EI84">
            <v>0</v>
          </cell>
          <cell r="EJ84">
            <v>0</v>
          </cell>
          <cell r="EK84">
            <v>0</v>
          </cell>
          <cell r="EL84">
            <v>0</v>
          </cell>
          <cell r="EM84" t="str">
            <v/>
          </cell>
          <cell r="EN84" t="str">
            <v/>
          </cell>
          <cell r="EO84" t="str">
            <v/>
          </cell>
          <cell r="EP84" t="str">
            <v/>
          </cell>
          <cell r="EQ84" t="str">
            <v/>
          </cell>
          <cell r="ER84" t="str">
            <v/>
          </cell>
          <cell r="ES84" t="str">
            <v/>
          </cell>
          <cell r="ET84" t="str">
            <v/>
          </cell>
          <cell r="EU84" t="str">
            <v/>
          </cell>
          <cell r="EV84" t="str">
            <v/>
          </cell>
          <cell r="EW84" t="str">
            <v/>
          </cell>
          <cell r="EX84" t="str">
            <v/>
          </cell>
          <cell r="EY84" t="str">
            <v/>
          </cell>
          <cell r="EZ84" t="str">
            <v/>
          </cell>
          <cell r="FA84" t="str">
            <v/>
          </cell>
          <cell r="FB84" t="str">
            <v/>
          </cell>
          <cell r="FC84" t="str">
            <v/>
          </cell>
          <cell r="FD84" t="str">
            <v/>
          </cell>
          <cell r="FE84" t="str">
            <v/>
          </cell>
          <cell r="FF84" t="str">
            <v/>
          </cell>
          <cell r="FG84" t="str">
            <v/>
          </cell>
          <cell r="FH84" t="str">
            <v/>
          </cell>
          <cell r="FI84" t="str">
            <v/>
          </cell>
          <cell r="FJ84" t="str">
            <v/>
          </cell>
          <cell r="FK84" t="str">
            <v/>
          </cell>
          <cell r="FL84" t="str">
            <v/>
          </cell>
          <cell r="FM84" t="str">
            <v/>
          </cell>
          <cell r="FN84" t="str">
            <v/>
          </cell>
          <cell r="FO84" t="str">
            <v/>
          </cell>
          <cell r="FP84" t="str">
            <v/>
          </cell>
        </row>
        <row r="85">
          <cell r="N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AJ85">
            <v>0</v>
          </cell>
          <cell r="AK85">
            <v>0</v>
          </cell>
          <cell r="AL85">
            <v>999999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BE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>
            <v>0</v>
          </cell>
          <cell r="BQ85">
            <v>0</v>
          </cell>
          <cell r="CB85">
            <v>0</v>
          </cell>
          <cell r="CC85">
            <v>0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0</v>
          </cell>
          <cell r="CI85">
            <v>0</v>
          </cell>
          <cell r="CJ85">
            <v>0</v>
          </cell>
          <cell r="CK85">
            <v>0</v>
          </cell>
          <cell r="CW85">
            <v>0</v>
          </cell>
          <cell r="CY85">
            <v>0</v>
          </cell>
          <cell r="CZ85">
            <v>0</v>
          </cell>
          <cell r="DA85">
            <v>0</v>
          </cell>
          <cell r="DB85">
            <v>0</v>
          </cell>
          <cell r="DC85">
            <v>0</v>
          </cell>
          <cell r="DD85">
            <v>0</v>
          </cell>
          <cell r="DE85">
            <v>0</v>
          </cell>
          <cell r="DF85">
            <v>0</v>
          </cell>
          <cell r="DG85">
            <v>0</v>
          </cell>
          <cell r="DH85">
            <v>0</v>
          </cell>
          <cell r="DS85">
            <v>0</v>
          </cell>
          <cell r="DT85">
            <v>282</v>
          </cell>
          <cell r="DU85">
            <v>999999</v>
          </cell>
          <cell r="DV85">
            <v>999999</v>
          </cell>
          <cell r="DW85">
            <v>999999</v>
          </cell>
          <cell r="DX85">
            <v>0</v>
          </cell>
          <cell r="DY85">
            <v>282</v>
          </cell>
          <cell r="DZ85">
            <v>999999</v>
          </cell>
          <cell r="EA85">
            <v>999999</v>
          </cell>
          <cell r="EB85">
            <v>999999</v>
          </cell>
          <cell r="EC85">
            <v>0</v>
          </cell>
          <cell r="ED85">
            <v>0</v>
          </cell>
          <cell r="EE85">
            <v>0</v>
          </cell>
          <cell r="EF85">
            <v>0</v>
          </cell>
          <cell r="EG85">
            <v>0</v>
          </cell>
          <cell r="EH85">
            <v>0</v>
          </cell>
          <cell r="EI85">
            <v>0</v>
          </cell>
          <cell r="EJ85">
            <v>0</v>
          </cell>
          <cell r="EK85">
            <v>0</v>
          </cell>
          <cell r="EL85">
            <v>0</v>
          </cell>
          <cell r="EM85" t="str">
            <v/>
          </cell>
          <cell r="EN85" t="str">
            <v/>
          </cell>
          <cell r="EO85" t="str">
            <v/>
          </cell>
          <cell r="EP85" t="str">
            <v/>
          </cell>
          <cell r="EQ85" t="str">
            <v/>
          </cell>
          <cell r="ER85" t="str">
            <v/>
          </cell>
          <cell r="ES85" t="str">
            <v/>
          </cell>
          <cell r="ET85" t="str">
            <v/>
          </cell>
          <cell r="EU85" t="str">
            <v/>
          </cell>
          <cell r="EV85" t="str">
            <v/>
          </cell>
          <cell r="EW85" t="str">
            <v/>
          </cell>
          <cell r="EX85" t="str">
            <v/>
          </cell>
          <cell r="EY85" t="str">
            <v/>
          </cell>
          <cell r="EZ85" t="str">
            <v/>
          </cell>
          <cell r="FA85" t="str">
            <v/>
          </cell>
          <cell r="FB85" t="str">
            <v/>
          </cell>
          <cell r="FC85" t="str">
            <v/>
          </cell>
          <cell r="FD85" t="str">
            <v/>
          </cell>
          <cell r="FE85" t="str">
            <v/>
          </cell>
          <cell r="FF85" t="str">
            <v/>
          </cell>
          <cell r="FG85" t="str">
            <v/>
          </cell>
          <cell r="FH85" t="str">
            <v/>
          </cell>
          <cell r="FI85" t="str">
            <v/>
          </cell>
          <cell r="FJ85" t="str">
            <v/>
          </cell>
          <cell r="FK85" t="str">
            <v/>
          </cell>
          <cell r="FL85" t="str">
            <v/>
          </cell>
          <cell r="FM85" t="str">
            <v/>
          </cell>
          <cell r="FN85" t="str">
            <v/>
          </cell>
          <cell r="FO85" t="str">
            <v/>
          </cell>
          <cell r="FP85" t="str">
            <v/>
          </cell>
        </row>
        <row r="86">
          <cell r="N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AJ86">
            <v>0</v>
          </cell>
          <cell r="AK86">
            <v>0</v>
          </cell>
          <cell r="AL86">
            <v>999999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BE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0</v>
          </cell>
          <cell r="BQ86">
            <v>0</v>
          </cell>
          <cell r="CB86">
            <v>0</v>
          </cell>
          <cell r="CC86">
            <v>0</v>
          </cell>
          <cell r="CD86">
            <v>0</v>
          </cell>
          <cell r="CE86">
            <v>0</v>
          </cell>
          <cell r="CF86">
            <v>0</v>
          </cell>
          <cell r="CG86">
            <v>0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  <cell r="CW86">
            <v>0</v>
          </cell>
          <cell r="CY86">
            <v>0</v>
          </cell>
          <cell r="CZ86">
            <v>0</v>
          </cell>
          <cell r="DA86">
            <v>0</v>
          </cell>
          <cell r="DB86">
            <v>0</v>
          </cell>
          <cell r="DC86">
            <v>0</v>
          </cell>
          <cell r="DD86">
            <v>0</v>
          </cell>
          <cell r="DE86">
            <v>0</v>
          </cell>
          <cell r="DF86">
            <v>0</v>
          </cell>
          <cell r="DG86">
            <v>0</v>
          </cell>
          <cell r="DH86">
            <v>0</v>
          </cell>
          <cell r="DS86">
            <v>0</v>
          </cell>
          <cell r="DT86">
            <v>281</v>
          </cell>
          <cell r="DU86">
            <v>999999</v>
          </cell>
          <cell r="DV86">
            <v>999999</v>
          </cell>
          <cell r="DW86">
            <v>999999</v>
          </cell>
          <cell r="DX86">
            <v>0</v>
          </cell>
          <cell r="DY86">
            <v>281</v>
          </cell>
          <cell r="DZ86">
            <v>999999</v>
          </cell>
          <cell r="EA86">
            <v>999999</v>
          </cell>
          <cell r="EB86">
            <v>999999</v>
          </cell>
          <cell r="EC86">
            <v>0</v>
          </cell>
          <cell r="ED86">
            <v>0</v>
          </cell>
          <cell r="EE86">
            <v>0</v>
          </cell>
          <cell r="EF86">
            <v>0</v>
          </cell>
          <cell r="EG86">
            <v>0</v>
          </cell>
          <cell r="EH86">
            <v>0</v>
          </cell>
          <cell r="EI86">
            <v>0</v>
          </cell>
          <cell r="EJ86">
            <v>0</v>
          </cell>
          <cell r="EK86">
            <v>0</v>
          </cell>
          <cell r="EL86">
            <v>0</v>
          </cell>
          <cell r="EM86" t="str">
            <v/>
          </cell>
          <cell r="EN86" t="str">
            <v/>
          </cell>
          <cell r="EO86" t="str">
            <v/>
          </cell>
          <cell r="EP86" t="str">
            <v/>
          </cell>
          <cell r="EQ86" t="str">
            <v/>
          </cell>
          <cell r="ER86" t="str">
            <v/>
          </cell>
          <cell r="ES86" t="str">
            <v/>
          </cell>
          <cell r="ET86" t="str">
            <v/>
          </cell>
          <cell r="EU86" t="str">
            <v/>
          </cell>
          <cell r="EV86" t="str">
            <v/>
          </cell>
          <cell r="EW86" t="str">
            <v/>
          </cell>
          <cell r="EX86" t="str">
            <v/>
          </cell>
          <cell r="EY86" t="str">
            <v/>
          </cell>
          <cell r="EZ86" t="str">
            <v/>
          </cell>
          <cell r="FA86" t="str">
            <v/>
          </cell>
          <cell r="FB86" t="str">
            <v/>
          </cell>
          <cell r="FC86" t="str">
            <v/>
          </cell>
          <cell r="FD86" t="str">
            <v/>
          </cell>
          <cell r="FE86" t="str">
            <v/>
          </cell>
          <cell r="FF86" t="str">
            <v/>
          </cell>
          <cell r="FG86" t="str">
            <v/>
          </cell>
          <cell r="FH86" t="str">
            <v/>
          </cell>
          <cell r="FI86" t="str">
            <v/>
          </cell>
          <cell r="FJ86" t="str">
            <v/>
          </cell>
          <cell r="FK86" t="str">
            <v/>
          </cell>
          <cell r="FL86" t="str">
            <v/>
          </cell>
          <cell r="FM86" t="str">
            <v/>
          </cell>
          <cell r="FN86" t="str">
            <v/>
          </cell>
          <cell r="FO86" t="str">
            <v/>
          </cell>
          <cell r="FP86" t="str">
            <v/>
          </cell>
        </row>
        <row r="87">
          <cell r="N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AJ87">
            <v>0</v>
          </cell>
          <cell r="AK87">
            <v>0</v>
          </cell>
          <cell r="AL87">
            <v>999999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BE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CB87">
            <v>0</v>
          </cell>
          <cell r="CC87">
            <v>0</v>
          </cell>
          <cell r="CD87">
            <v>0</v>
          </cell>
          <cell r="CE87">
            <v>0</v>
          </cell>
          <cell r="CF87">
            <v>0</v>
          </cell>
          <cell r="CG87">
            <v>0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W87">
            <v>0</v>
          </cell>
          <cell r="CY87">
            <v>0</v>
          </cell>
          <cell r="CZ87">
            <v>0</v>
          </cell>
          <cell r="DA87">
            <v>0</v>
          </cell>
          <cell r="DB87">
            <v>0</v>
          </cell>
          <cell r="DC87">
            <v>0</v>
          </cell>
          <cell r="DD87">
            <v>0</v>
          </cell>
          <cell r="DE87">
            <v>0</v>
          </cell>
          <cell r="DF87">
            <v>0</v>
          </cell>
          <cell r="DG87">
            <v>0</v>
          </cell>
          <cell r="DH87">
            <v>0</v>
          </cell>
          <cell r="DS87">
            <v>0</v>
          </cell>
          <cell r="DT87">
            <v>280</v>
          </cell>
          <cell r="DU87">
            <v>999999</v>
          </cell>
          <cell r="DV87">
            <v>999999</v>
          </cell>
          <cell r="DW87">
            <v>999999</v>
          </cell>
          <cell r="DX87">
            <v>0</v>
          </cell>
          <cell r="DY87">
            <v>280</v>
          </cell>
          <cell r="DZ87">
            <v>999999</v>
          </cell>
          <cell r="EA87">
            <v>999999</v>
          </cell>
          <cell r="EB87">
            <v>999999</v>
          </cell>
          <cell r="EC87">
            <v>0</v>
          </cell>
          <cell r="ED87">
            <v>0</v>
          </cell>
          <cell r="EE87">
            <v>0</v>
          </cell>
          <cell r="EF87">
            <v>0</v>
          </cell>
          <cell r="EG87">
            <v>0</v>
          </cell>
          <cell r="EH87">
            <v>0</v>
          </cell>
          <cell r="EI87">
            <v>0</v>
          </cell>
          <cell r="EJ87">
            <v>0</v>
          </cell>
          <cell r="EK87">
            <v>0</v>
          </cell>
          <cell r="EL87">
            <v>0</v>
          </cell>
          <cell r="EM87" t="str">
            <v/>
          </cell>
          <cell r="EN87" t="str">
            <v/>
          </cell>
          <cell r="EO87" t="str">
            <v/>
          </cell>
          <cell r="EP87" t="str">
            <v/>
          </cell>
          <cell r="EQ87" t="str">
            <v/>
          </cell>
          <cell r="ER87" t="str">
            <v/>
          </cell>
          <cell r="ES87" t="str">
            <v/>
          </cell>
          <cell r="ET87" t="str">
            <v/>
          </cell>
          <cell r="EU87" t="str">
            <v/>
          </cell>
          <cell r="EV87" t="str">
            <v/>
          </cell>
          <cell r="EW87" t="str">
            <v/>
          </cell>
          <cell r="EX87" t="str">
            <v/>
          </cell>
          <cell r="EY87" t="str">
            <v/>
          </cell>
          <cell r="EZ87" t="str">
            <v/>
          </cell>
          <cell r="FA87" t="str">
            <v/>
          </cell>
          <cell r="FB87" t="str">
            <v/>
          </cell>
          <cell r="FC87" t="str">
            <v/>
          </cell>
          <cell r="FD87" t="str">
            <v/>
          </cell>
          <cell r="FE87" t="str">
            <v/>
          </cell>
          <cell r="FF87" t="str">
            <v/>
          </cell>
          <cell r="FG87" t="str">
            <v/>
          </cell>
          <cell r="FH87" t="str">
            <v/>
          </cell>
          <cell r="FI87" t="str">
            <v/>
          </cell>
          <cell r="FJ87" t="str">
            <v/>
          </cell>
          <cell r="FK87" t="str">
            <v/>
          </cell>
          <cell r="FL87" t="str">
            <v/>
          </cell>
          <cell r="FM87" t="str">
            <v/>
          </cell>
          <cell r="FN87" t="str">
            <v/>
          </cell>
          <cell r="FO87" t="str">
            <v/>
          </cell>
          <cell r="FP87" t="str">
            <v/>
          </cell>
        </row>
        <row r="88">
          <cell r="N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AJ88">
            <v>0</v>
          </cell>
          <cell r="AK88">
            <v>0</v>
          </cell>
          <cell r="AL88">
            <v>999999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BE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CB88">
            <v>0</v>
          </cell>
          <cell r="CC88">
            <v>0</v>
          </cell>
          <cell r="CD88">
            <v>0</v>
          </cell>
          <cell r="CE88">
            <v>0</v>
          </cell>
          <cell r="CF88">
            <v>0</v>
          </cell>
          <cell r="CG88">
            <v>0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W88">
            <v>0</v>
          </cell>
          <cell r="CY88">
            <v>0</v>
          </cell>
          <cell r="CZ88">
            <v>0</v>
          </cell>
          <cell r="DA88">
            <v>0</v>
          </cell>
          <cell r="DB88">
            <v>0</v>
          </cell>
          <cell r="DC88">
            <v>0</v>
          </cell>
          <cell r="DD88">
            <v>0</v>
          </cell>
          <cell r="DE88">
            <v>0</v>
          </cell>
          <cell r="DF88">
            <v>0</v>
          </cell>
          <cell r="DG88">
            <v>0</v>
          </cell>
          <cell r="DH88">
            <v>0</v>
          </cell>
          <cell r="DS88">
            <v>0</v>
          </cell>
          <cell r="DT88">
            <v>279</v>
          </cell>
          <cell r="DU88">
            <v>999999</v>
          </cell>
          <cell r="DV88">
            <v>999999</v>
          </cell>
          <cell r="DW88">
            <v>999999</v>
          </cell>
          <cell r="DX88">
            <v>0</v>
          </cell>
          <cell r="DY88">
            <v>279</v>
          </cell>
          <cell r="DZ88">
            <v>999999</v>
          </cell>
          <cell r="EA88">
            <v>999999</v>
          </cell>
          <cell r="EB88">
            <v>999999</v>
          </cell>
          <cell r="EC88">
            <v>0</v>
          </cell>
          <cell r="ED88">
            <v>0</v>
          </cell>
          <cell r="EE88">
            <v>0</v>
          </cell>
          <cell r="EF88">
            <v>0</v>
          </cell>
          <cell r="EG88">
            <v>0</v>
          </cell>
          <cell r="EH88">
            <v>0</v>
          </cell>
          <cell r="EI88">
            <v>0</v>
          </cell>
          <cell r="EJ88">
            <v>0</v>
          </cell>
          <cell r="EK88">
            <v>0</v>
          </cell>
          <cell r="EL88">
            <v>0</v>
          </cell>
          <cell r="EM88" t="str">
            <v/>
          </cell>
          <cell r="EN88" t="str">
            <v/>
          </cell>
          <cell r="EO88" t="str">
            <v/>
          </cell>
          <cell r="EP88" t="str">
            <v/>
          </cell>
          <cell r="EQ88" t="str">
            <v/>
          </cell>
          <cell r="ER88" t="str">
            <v/>
          </cell>
          <cell r="ES88" t="str">
            <v/>
          </cell>
          <cell r="ET88" t="str">
            <v/>
          </cell>
          <cell r="EU88" t="str">
            <v/>
          </cell>
          <cell r="EV88" t="str">
            <v/>
          </cell>
          <cell r="EW88" t="str">
            <v/>
          </cell>
          <cell r="EX88" t="str">
            <v/>
          </cell>
          <cell r="EY88" t="str">
            <v/>
          </cell>
          <cell r="EZ88" t="str">
            <v/>
          </cell>
          <cell r="FA88" t="str">
            <v/>
          </cell>
          <cell r="FB88" t="str">
            <v/>
          </cell>
          <cell r="FC88" t="str">
            <v/>
          </cell>
          <cell r="FD88" t="str">
            <v/>
          </cell>
          <cell r="FE88" t="str">
            <v/>
          </cell>
          <cell r="FF88" t="str">
            <v/>
          </cell>
          <cell r="FG88" t="str">
            <v/>
          </cell>
          <cell r="FH88" t="str">
            <v/>
          </cell>
          <cell r="FI88" t="str">
            <v/>
          </cell>
          <cell r="FJ88" t="str">
            <v/>
          </cell>
          <cell r="FK88" t="str">
            <v/>
          </cell>
          <cell r="FL88" t="str">
            <v/>
          </cell>
          <cell r="FM88" t="str">
            <v/>
          </cell>
          <cell r="FN88" t="str">
            <v/>
          </cell>
          <cell r="FO88" t="str">
            <v/>
          </cell>
          <cell r="FP88" t="str">
            <v/>
          </cell>
        </row>
        <row r="89">
          <cell r="N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AJ89">
            <v>0</v>
          </cell>
          <cell r="AK89">
            <v>0</v>
          </cell>
          <cell r="AL89">
            <v>999999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BE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>
            <v>0</v>
          </cell>
          <cell r="BQ89">
            <v>0</v>
          </cell>
          <cell r="CB89">
            <v>0</v>
          </cell>
          <cell r="CC89">
            <v>0</v>
          </cell>
          <cell r="CD89">
            <v>0</v>
          </cell>
          <cell r="CE89">
            <v>0</v>
          </cell>
          <cell r="CF89">
            <v>0</v>
          </cell>
          <cell r="CG89">
            <v>0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W89">
            <v>0</v>
          </cell>
          <cell r="CY89">
            <v>0</v>
          </cell>
          <cell r="CZ89">
            <v>0</v>
          </cell>
          <cell r="DA89">
            <v>0</v>
          </cell>
          <cell r="DB89">
            <v>0</v>
          </cell>
          <cell r="DC89">
            <v>0</v>
          </cell>
          <cell r="DD89">
            <v>0</v>
          </cell>
          <cell r="DE89">
            <v>0</v>
          </cell>
          <cell r="DF89">
            <v>0</v>
          </cell>
          <cell r="DG89">
            <v>0</v>
          </cell>
          <cell r="DH89">
            <v>0</v>
          </cell>
          <cell r="DS89">
            <v>0</v>
          </cell>
          <cell r="DT89">
            <v>278</v>
          </cell>
          <cell r="DU89">
            <v>999999</v>
          </cell>
          <cell r="DV89">
            <v>999999</v>
          </cell>
          <cell r="DW89">
            <v>999999</v>
          </cell>
          <cell r="DX89">
            <v>0</v>
          </cell>
          <cell r="DY89">
            <v>278</v>
          </cell>
          <cell r="DZ89">
            <v>999999</v>
          </cell>
          <cell r="EA89">
            <v>999999</v>
          </cell>
          <cell r="EB89">
            <v>999999</v>
          </cell>
          <cell r="EC89">
            <v>0</v>
          </cell>
          <cell r="ED89">
            <v>0</v>
          </cell>
          <cell r="EE89">
            <v>0</v>
          </cell>
          <cell r="EF89">
            <v>0</v>
          </cell>
          <cell r="EG89">
            <v>0</v>
          </cell>
          <cell r="EH89">
            <v>0</v>
          </cell>
          <cell r="EI89">
            <v>0</v>
          </cell>
          <cell r="EJ89">
            <v>0</v>
          </cell>
          <cell r="EK89">
            <v>0</v>
          </cell>
          <cell r="EL89">
            <v>0</v>
          </cell>
          <cell r="EM89" t="str">
            <v/>
          </cell>
          <cell r="EN89" t="str">
            <v/>
          </cell>
          <cell r="EO89" t="str">
            <v/>
          </cell>
          <cell r="EP89" t="str">
            <v/>
          </cell>
          <cell r="EQ89" t="str">
            <v/>
          </cell>
          <cell r="ER89" t="str">
            <v/>
          </cell>
          <cell r="ES89" t="str">
            <v/>
          </cell>
          <cell r="ET89" t="str">
            <v/>
          </cell>
          <cell r="EU89" t="str">
            <v/>
          </cell>
          <cell r="EV89" t="str">
            <v/>
          </cell>
          <cell r="EW89" t="str">
            <v/>
          </cell>
          <cell r="EX89" t="str">
            <v/>
          </cell>
          <cell r="EY89" t="str">
            <v/>
          </cell>
          <cell r="EZ89" t="str">
            <v/>
          </cell>
          <cell r="FA89" t="str">
            <v/>
          </cell>
          <cell r="FB89" t="str">
            <v/>
          </cell>
          <cell r="FC89" t="str">
            <v/>
          </cell>
          <cell r="FD89" t="str">
            <v/>
          </cell>
          <cell r="FE89" t="str">
            <v/>
          </cell>
          <cell r="FF89" t="str">
            <v/>
          </cell>
          <cell r="FG89" t="str">
            <v/>
          </cell>
          <cell r="FH89" t="str">
            <v/>
          </cell>
          <cell r="FI89" t="str">
            <v/>
          </cell>
          <cell r="FJ89" t="str">
            <v/>
          </cell>
          <cell r="FK89" t="str">
            <v/>
          </cell>
          <cell r="FL89" t="str">
            <v/>
          </cell>
          <cell r="FM89" t="str">
            <v/>
          </cell>
          <cell r="FN89" t="str">
            <v/>
          </cell>
          <cell r="FO89" t="str">
            <v/>
          </cell>
          <cell r="FP89" t="str">
            <v/>
          </cell>
        </row>
        <row r="90">
          <cell r="N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AJ90">
            <v>0</v>
          </cell>
          <cell r="AK90">
            <v>0</v>
          </cell>
          <cell r="AL90">
            <v>999999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BE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CB90">
            <v>0</v>
          </cell>
          <cell r="CC90">
            <v>0</v>
          </cell>
          <cell r="CD90">
            <v>0</v>
          </cell>
          <cell r="CE90">
            <v>0</v>
          </cell>
          <cell r="CF90">
            <v>0</v>
          </cell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W90">
            <v>0</v>
          </cell>
          <cell r="CY90">
            <v>0</v>
          </cell>
          <cell r="CZ90">
            <v>0</v>
          </cell>
          <cell r="DA90">
            <v>0</v>
          </cell>
          <cell r="DB90">
            <v>0</v>
          </cell>
          <cell r="DC90">
            <v>0</v>
          </cell>
          <cell r="DD90">
            <v>0</v>
          </cell>
          <cell r="DE90">
            <v>0</v>
          </cell>
          <cell r="DF90">
            <v>0</v>
          </cell>
          <cell r="DG90">
            <v>0</v>
          </cell>
          <cell r="DH90">
            <v>0</v>
          </cell>
          <cell r="DS90">
            <v>0</v>
          </cell>
          <cell r="DT90">
            <v>277</v>
          </cell>
          <cell r="DU90">
            <v>999999</v>
          </cell>
          <cell r="DV90">
            <v>999999</v>
          </cell>
          <cell r="DW90">
            <v>999999</v>
          </cell>
          <cell r="DX90">
            <v>0</v>
          </cell>
          <cell r="DY90">
            <v>277</v>
          </cell>
          <cell r="DZ90">
            <v>999999</v>
          </cell>
          <cell r="EA90">
            <v>999999</v>
          </cell>
          <cell r="EB90">
            <v>999999</v>
          </cell>
          <cell r="EC90">
            <v>0</v>
          </cell>
          <cell r="ED90">
            <v>0</v>
          </cell>
          <cell r="EE90">
            <v>0</v>
          </cell>
          <cell r="EF90">
            <v>0</v>
          </cell>
          <cell r="EG90">
            <v>0</v>
          </cell>
          <cell r="EH90">
            <v>0</v>
          </cell>
          <cell r="EI90">
            <v>0</v>
          </cell>
          <cell r="EJ90">
            <v>0</v>
          </cell>
          <cell r="EK90">
            <v>0</v>
          </cell>
          <cell r="EL90">
            <v>0</v>
          </cell>
          <cell r="EM90" t="str">
            <v/>
          </cell>
          <cell r="EN90" t="str">
            <v/>
          </cell>
          <cell r="EO90" t="str">
            <v/>
          </cell>
          <cell r="EP90" t="str">
            <v/>
          </cell>
          <cell r="EQ90" t="str">
            <v/>
          </cell>
          <cell r="ER90" t="str">
            <v/>
          </cell>
          <cell r="ES90" t="str">
            <v/>
          </cell>
          <cell r="ET90" t="str">
            <v/>
          </cell>
          <cell r="EU90" t="str">
            <v/>
          </cell>
          <cell r="EV90" t="str">
            <v/>
          </cell>
          <cell r="EW90" t="str">
            <v/>
          </cell>
          <cell r="EX90" t="str">
            <v/>
          </cell>
          <cell r="EY90" t="str">
            <v/>
          </cell>
          <cell r="EZ90" t="str">
            <v/>
          </cell>
          <cell r="FA90" t="str">
            <v/>
          </cell>
          <cell r="FB90" t="str">
            <v/>
          </cell>
          <cell r="FC90" t="str">
            <v/>
          </cell>
          <cell r="FD90" t="str">
            <v/>
          </cell>
          <cell r="FE90" t="str">
            <v/>
          </cell>
          <cell r="FF90" t="str">
            <v/>
          </cell>
          <cell r="FG90" t="str">
            <v/>
          </cell>
          <cell r="FH90" t="str">
            <v/>
          </cell>
          <cell r="FI90" t="str">
            <v/>
          </cell>
          <cell r="FJ90" t="str">
            <v/>
          </cell>
          <cell r="FK90" t="str">
            <v/>
          </cell>
          <cell r="FL90" t="str">
            <v/>
          </cell>
          <cell r="FM90" t="str">
            <v/>
          </cell>
          <cell r="FN90" t="str">
            <v/>
          </cell>
          <cell r="FO90" t="str">
            <v/>
          </cell>
          <cell r="FP90" t="str">
            <v/>
          </cell>
        </row>
        <row r="91">
          <cell r="N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AJ91">
            <v>0</v>
          </cell>
          <cell r="AK91">
            <v>0</v>
          </cell>
          <cell r="AL91">
            <v>999999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BE91">
            <v>48000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CB91">
            <v>0</v>
          </cell>
          <cell r="CC91">
            <v>0</v>
          </cell>
          <cell r="CD91">
            <v>0</v>
          </cell>
          <cell r="CE91">
            <v>0</v>
          </cell>
          <cell r="CF91">
            <v>0</v>
          </cell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W91">
            <v>0</v>
          </cell>
          <cell r="CY91">
            <v>0</v>
          </cell>
          <cell r="CZ91">
            <v>0</v>
          </cell>
          <cell r="DA91">
            <v>0</v>
          </cell>
          <cell r="DB91">
            <v>0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S91">
            <v>0</v>
          </cell>
          <cell r="DT91">
            <v>276</v>
          </cell>
          <cell r="DU91">
            <v>999999</v>
          </cell>
          <cell r="DV91">
            <v>999999</v>
          </cell>
          <cell r="DW91">
            <v>999999</v>
          </cell>
          <cell r="DX91">
            <v>0</v>
          </cell>
          <cell r="DY91">
            <v>276</v>
          </cell>
          <cell r="DZ91">
            <v>999999</v>
          </cell>
          <cell r="EA91">
            <v>999999</v>
          </cell>
          <cell r="EB91">
            <v>999999</v>
          </cell>
          <cell r="EC91">
            <v>0</v>
          </cell>
          <cell r="ED91">
            <v>0</v>
          </cell>
          <cell r="EE91">
            <v>0</v>
          </cell>
          <cell r="EF91">
            <v>0</v>
          </cell>
          <cell r="EG91">
            <v>0</v>
          </cell>
          <cell r="EH91">
            <v>0</v>
          </cell>
          <cell r="EI91">
            <v>0</v>
          </cell>
          <cell r="EJ91">
            <v>0</v>
          </cell>
          <cell r="EK91">
            <v>0</v>
          </cell>
          <cell r="EL91">
            <v>0</v>
          </cell>
          <cell r="EM91" t="str">
            <v/>
          </cell>
          <cell r="EN91" t="str">
            <v/>
          </cell>
          <cell r="EO91" t="str">
            <v/>
          </cell>
          <cell r="EP91" t="str">
            <v/>
          </cell>
          <cell r="EQ91" t="str">
            <v/>
          </cell>
          <cell r="ER91" t="str">
            <v/>
          </cell>
          <cell r="ES91" t="str">
            <v/>
          </cell>
          <cell r="ET91" t="str">
            <v/>
          </cell>
          <cell r="EU91" t="str">
            <v/>
          </cell>
          <cell r="EV91" t="str">
            <v/>
          </cell>
          <cell r="EW91" t="str">
            <v/>
          </cell>
          <cell r="EX91" t="str">
            <v/>
          </cell>
          <cell r="EY91" t="str">
            <v/>
          </cell>
          <cell r="EZ91" t="str">
            <v/>
          </cell>
          <cell r="FA91" t="str">
            <v/>
          </cell>
          <cell r="FB91" t="str">
            <v/>
          </cell>
          <cell r="FC91" t="str">
            <v/>
          </cell>
          <cell r="FD91" t="str">
            <v/>
          </cell>
          <cell r="FE91" t="str">
            <v/>
          </cell>
          <cell r="FF91" t="str">
            <v/>
          </cell>
          <cell r="FG91" t="str">
            <v/>
          </cell>
          <cell r="FH91" t="str">
            <v/>
          </cell>
          <cell r="FI91" t="str">
            <v/>
          </cell>
          <cell r="FJ91" t="str">
            <v/>
          </cell>
          <cell r="FK91" t="str">
            <v/>
          </cell>
          <cell r="FL91" t="str">
            <v/>
          </cell>
          <cell r="FM91" t="str">
            <v/>
          </cell>
          <cell r="FN91" t="str">
            <v/>
          </cell>
          <cell r="FO91" t="str">
            <v/>
          </cell>
          <cell r="FP91" t="str">
            <v/>
          </cell>
        </row>
        <row r="92">
          <cell r="N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AJ92">
            <v>0</v>
          </cell>
          <cell r="AK92">
            <v>0</v>
          </cell>
          <cell r="AL92">
            <v>999999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BE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>
            <v>0</v>
          </cell>
          <cell r="CB92">
            <v>0</v>
          </cell>
          <cell r="CC92">
            <v>0</v>
          </cell>
          <cell r="CD92">
            <v>0</v>
          </cell>
          <cell r="CE92">
            <v>0</v>
          </cell>
          <cell r="CF92">
            <v>0</v>
          </cell>
          <cell r="CG92">
            <v>0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  <cell r="CW92">
            <v>0</v>
          </cell>
          <cell r="CY92">
            <v>0</v>
          </cell>
          <cell r="CZ92">
            <v>0</v>
          </cell>
          <cell r="DA92">
            <v>0</v>
          </cell>
          <cell r="DB92">
            <v>0</v>
          </cell>
          <cell r="DC92">
            <v>0</v>
          </cell>
          <cell r="DD92">
            <v>0</v>
          </cell>
          <cell r="DE92">
            <v>0</v>
          </cell>
          <cell r="DF92">
            <v>0</v>
          </cell>
          <cell r="DG92">
            <v>0</v>
          </cell>
          <cell r="DH92">
            <v>0</v>
          </cell>
          <cell r="DS92">
            <v>0</v>
          </cell>
          <cell r="DT92">
            <v>275</v>
          </cell>
          <cell r="DU92">
            <v>999999</v>
          </cell>
          <cell r="DV92">
            <v>999999</v>
          </cell>
          <cell r="DW92">
            <v>999999</v>
          </cell>
          <cell r="DX92">
            <v>0</v>
          </cell>
          <cell r="DY92">
            <v>275</v>
          </cell>
          <cell r="DZ92">
            <v>999999</v>
          </cell>
          <cell r="EA92">
            <v>999999</v>
          </cell>
          <cell r="EB92">
            <v>999999</v>
          </cell>
          <cell r="EC92">
            <v>0</v>
          </cell>
          <cell r="ED92">
            <v>0</v>
          </cell>
          <cell r="EE92">
            <v>0</v>
          </cell>
          <cell r="EF92">
            <v>0</v>
          </cell>
          <cell r="EG92">
            <v>0</v>
          </cell>
          <cell r="EH92">
            <v>0</v>
          </cell>
          <cell r="EI92">
            <v>0</v>
          </cell>
          <cell r="EJ92">
            <v>0</v>
          </cell>
          <cell r="EK92">
            <v>0</v>
          </cell>
          <cell r="EL92">
            <v>0</v>
          </cell>
          <cell r="EM92" t="str">
            <v/>
          </cell>
          <cell r="EN92" t="str">
            <v/>
          </cell>
          <cell r="EO92" t="str">
            <v/>
          </cell>
          <cell r="EP92" t="str">
            <v/>
          </cell>
          <cell r="EQ92" t="str">
            <v/>
          </cell>
          <cell r="ER92" t="str">
            <v/>
          </cell>
          <cell r="ES92" t="str">
            <v/>
          </cell>
          <cell r="ET92" t="str">
            <v/>
          </cell>
          <cell r="EU92" t="str">
            <v/>
          </cell>
          <cell r="EV92" t="str">
            <v/>
          </cell>
          <cell r="EW92" t="str">
            <v/>
          </cell>
          <cell r="EX92" t="str">
            <v/>
          </cell>
          <cell r="EY92" t="str">
            <v/>
          </cell>
          <cell r="EZ92" t="str">
            <v/>
          </cell>
          <cell r="FA92" t="str">
            <v/>
          </cell>
          <cell r="FB92" t="str">
            <v/>
          </cell>
          <cell r="FC92" t="str">
            <v/>
          </cell>
          <cell r="FD92" t="str">
            <v/>
          </cell>
          <cell r="FE92" t="str">
            <v/>
          </cell>
          <cell r="FF92" t="str">
            <v/>
          </cell>
          <cell r="FG92" t="str">
            <v/>
          </cell>
          <cell r="FH92" t="str">
            <v/>
          </cell>
          <cell r="FI92" t="str">
            <v/>
          </cell>
          <cell r="FJ92" t="str">
            <v/>
          </cell>
          <cell r="FK92" t="str">
            <v/>
          </cell>
          <cell r="FL92" t="str">
            <v/>
          </cell>
          <cell r="FM92" t="str">
            <v/>
          </cell>
          <cell r="FN92" t="str">
            <v/>
          </cell>
          <cell r="FO92" t="str">
            <v/>
          </cell>
          <cell r="FP92" t="str">
            <v/>
          </cell>
        </row>
        <row r="93">
          <cell r="N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AJ93">
            <v>0</v>
          </cell>
          <cell r="AK93">
            <v>0</v>
          </cell>
          <cell r="AL93">
            <v>999999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BE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>
            <v>0</v>
          </cell>
          <cell r="BQ93">
            <v>0</v>
          </cell>
          <cell r="CB93">
            <v>0</v>
          </cell>
          <cell r="CC93">
            <v>0</v>
          </cell>
          <cell r="CD93">
            <v>0</v>
          </cell>
          <cell r="CE93">
            <v>0</v>
          </cell>
          <cell r="CF93">
            <v>0</v>
          </cell>
          <cell r="CG93">
            <v>0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  <cell r="CW93">
            <v>0</v>
          </cell>
          <cell r="CY93">
            <v>0</v>
          </cell>
          <cell r="CZ93">
            <v>0</v>
          </cell>
          <cell r="DA93">
            <v>0</v>
          </cell>
          <cell r="DB93">
            <v>0</v>
          </cell>
          <cell r="DC93">
            <v>0</v>
          </cell>
          <cell r="DD93">
            <v>0</v>
          </cell>
          <cell r="DE93">
            <v>0</v>
          </cell>
          <cell r="DF93">
            <v>0</v>
          </cell>
          <cell r="DG93">
            <v>0</v>
          </cell>
          <cell r="DH93">
            <v>0</v>
          </cell>
          <cell r="DS93">
            <v>0</v>
          </cell>
          <cell r="DT93">
            <v>274</v>
          </cell>
          <cell r="DU93">
            <v>999999</v>
          </cell>
          <cell r="DV93">
            <v>999999</v>
          </cell>
          <cell r="DW93">
            <v>999999</v>
          </cell>
          <cell r="DX93">
            <v>0</v>
          </cell>
          <cell r="DY93">
            <v>274</v>
          </cell>
          <cell r="DZ93">
            <v>999999</v>
          </cell>
          <cell r="EA93">
            <v>999999</v>
          </cell>
          <cell r="EB93">
            <v>999999</v>
          </cell>
          <cell r="EC93">
            <v>0</v>
          </cell>
          <cell r="ED93">
            <v>0</v>
          </cell>
          <cell r="EE93">
            <v>0</v>
          </cell>
          <cell r="EF93">
            <v>0</v>
          </cell>
          <cell r="EG93">
            <v>0</v>
          </cell>
          <cell r="EH93">
            <v>0</v>
          </cell>
          <cell r="EI93">
            <v>0</v>
          </cell>
          <cell r="EJ93">
            <v>0</v>
          </cell>
          <cell r="EK93">
            <v>0</v>
          </cell>
          <cell r="EL93">
            <v>0</v>
          </cell>
          <cell r="EM93" t="str">
            <v/>
          </cell>
          <cell r="EN93" t="str">
            <v/>
          </cell>
          <cell r="EO93" t="str">
            <v/>
          </cell>
          <cell r="EP93" t="str">
            <v/>
          </cell>
          <cell r="EQ93" t="str">
            <v/>
          </cell>
          <cell r="ER93" t="str">
            <v/>
          </cell>
          <cell r="ES93" t="str">
            <v/>
          </cell>
          <cell r="ET93" t="str">
            <v/>
          </cell>
          <cell r="EU93" t="str">
            <v/>
          </cell>
          <cell r="EV93" t="str">
            <v/>
          </cell>
          <cell r="EW93" t="str">
            <v/>
          </cell>
          <cell r="EX93" t="str">
            <v/>
          </cell>
          <cell r="EY93" t="str">
            <v/>
          </cell>
          <cell r="EZ93" t="str">
            <v/>
          </cell>
          <cell r="FA93" t="str">
            <v/>
          </cell>
          <cell r="FB93" t="str">
            <v/>
          </cell>
          <cell r="FC93" t="str">
            <v/>
          </cell>
          <cell r="FD93" t="str">
            <v/>
          </cell>
          <cell r="FE93" t="str">
            <v/>
          </cell>
          <cell r="FF93" t="str">
            <v/>
          </cell>
          <cell r="FG93" t="str">
            <v/>
          </cell>
          <cell r="FH93" t="str">
            <v/>
          </cell>
          <cell r="FI93" t="str">
            <v/>
          </cell>
          <cell r="FJ93" t="str">
            <v/>
          </cell>
          <cell r="FK93" t="str">
            <v/>
          </cell>
          <cell r="FL93" t="str">
            <v/>
          </cell>
          <cell r="FM93" t="str">
            <v/>
          </cell>
          <cell r="FN93" t="str">
            <v/>
          </cell>
          <cell r="FO93" t="str">
            <v/>
          </cell>
          <cell r="FP93" t="str">
            <v/>
          </cell>
        </row>
        <row r="94">
          <cell r="N94">
            <v>48000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AJ94">
            <v>0</v>
          </cell>
          <cell r="AK94">
            <v>0</v>
          </cell>
          <cell r="AL94">
            <v>999999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BE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>
            <v>0</v>
          </cell>
          <cell r="BQ94">
            <v>0</v>
          </cell>
          <cell r="CB94">
            <v>0</v>
          </cell>
          <cell r="CC94">
            <v>0</v>
          </cell>
          <cell r="CD94">
            <v>0</v>
          </cell>
          <cell r="CE94">
            <v>0</v>
          </cell>
          <cell r="CF94">
            <v>0</v>
          </cell>
          <cell r="CG94">
            <v>0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  <cell r="CW94">
            <v>0</v>
          </cell>
          <cell r="CY94">
            <v>0</v>
          </cell>
          <cell r="CZ94">
            <v>0</v>
          </cell>
          <cell r="DA94">
            <v>0</v>
          </cell>
          <cell r="DB94">
            <v>0</v>
          </cell>
          <cell r="DC94">
            <v>0</v>
          </cell>
          <cell r="DD94">
            <v>0</v>
          </cell>
          <cell r="DE94">
            <v>0</v>
          </cell>
          <cell r="DF94">
            <v>0</v>
          </cell>
          <cell r="DG94">
            <v>0</v>
          </cell>
          <cell r="DH94">
            <v>0</v>
          </cell>
          <cell r="DS94">
            <v>0</v>
          </cell>
          <cell r="DT94">
            <v>273</v>
          </cell>
          <cell r="DU94">
            <v>999999</v>
          </cell>
          <cell r="DV94">
            <v>999999</v>
          </cell>
          <cell r="DW94">
            <v>999999</v>
          </cell>
          <cell r="DX94">
            <v>0</v>
          </cell>
          <cell r="DY94">
            <v>273</v>
          </cell>
          <cell r="DZ94">
            <v>999999</v>
          </cell>
          <cell r="EA94">
            <v>999999</v>
          </cell>
          <cell r="EB94">
            <v>999999</v>
          </cell>
          <cell r="EC94">
            <v>0</v>
          </cell>
          <cell r="ED94">
            <v>0</v>
          </cell>
          <cell r="EE94">
            <v>0</v>
          </cell>
          <cell r="EF94">
            <v>0</v>
          </cell>
          <cell r="EG94">
            <v>0</v>
          </cell>
          <cell r="EH94">
            <v>0</v>
          </cell>
          <cell r="EI94">
            <v>0</v>
          </cell>
          <cell r="EJ94">
            <v>0</v>
          </cell>
          <cell r="EK94">
            <v>0</v>
          </cell>
          <cell r="EL94">
            <v>0</v>
          </cell>
          <cell r="EM94" t="str">
            <v/>
          </cell>
          <cell r="EN94" t="str">
            <v/>
          </cell>
          <cell r="EO94" t="str">
            <v/>
          </cell>
          <cell r="EP94" t="str">
            <v/>
          </cell>
          <cell r="EQ94" t="str">
            <v/>
          </cell>
          <cell r="ER94" t="str">
            <v/>
          </cell>
          <cell r="ES94" t="str">
            <v/>
          </cell>
          <cell r="ET94" t="str">
            <v/>
          </cell>
          <cell r="EU94" t="str">
            <v/>
          </cell>
          <cell r="EV94" t="str">
            <v/>
          </cell>
          <cell r="EW94" t="str">
            <v/>
          </cell>
          <cell r="EX94" t="str">
            <v/>
          </cell>
          <cell r="EY94" t="str">
            <v/>
          </cell>
          <cell r="EZ94" t="str">
            <v/>
          </cell>
          <cell r="FA94" t="str">
            <v/>
          </cell>
          <cell r="FB94" t="str">
            <v/>
          </cell>
          <cell r="FC94" t="str">
            <v/>
          </cell>
          <cell r="FD94" t="str">
            <v/>
          </cell>
          <cell r="FE94" t="str">
            <v/>
          </cell>
          <cell r="FF94" t="str">
            <v/>
          </cell>
          <cell r="FG94" t="str">
            <v/>
          </cell>
          <cell r="FH94" t="str">
            <v/>
          </cell>
          <cell r="FI94" t="str">
            <v/>
          </cell>
          <cell r="FJ94" t="str">
            <v/>
          </cell>
          <cell r="FK94" t="str">
            <v/>
          </cell>
          <cell r="FL94" t="str">
            <v/>
          </cell>
          <cell r="FM94" t="str">
            <v/>
          </cell>
          <cell r="FN94" t="str">
            <v/>
          </cell>
          <cell r="FO94" t="str">
            <v/>
          </cell>
          <cell r="FP94" t="str">
            <v/>
          </cell>
        </row>
        <row r="95">
          <cell r="N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AJ95">
            <v>0</v>
          </cell>
          <cell r="AK95">
            <v>0</v>
          </cell>
          <cell r="AL95">
            <v>999999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BE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CB95">
            <v>0</v>
          </cell>
          <cell r="CC95">
            <v>0</v>
          </cell>
          <cell r="CD95">
            <v>0</v>
          </cell>
          <cell r="CE95">
            <v>0</v>
          </cell>
          <cell r="CF95">
            <v>0</v>
          </cell>
          <cell r="CG95">
            <v>0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  <cell r="CW95">
            <v>0</v>
          </cell>
          <cell r="CY95">
            <v>0</v>
          </cell>
          <cell r="CZ95">
            <v>0</v>
          </cell>
          <cell r="DA95">
            <v>0</v>
          </cell>
          <cell r="DB95">
            <v>0</v>
          </cell>
          <cell r="DC95">
            <v>0</v>
          </cell>
          <cell r="DD95">
            <v>0</v>
          </cell>
          <cell r="DE95">
            <v>0</v>
          </cell>
          <cell r="DF95">
            <v>0</v>
          </cell>
          <cell r="DG95">
            <v>0</v>
          </cell>
          <cell r="DH95">
            <v>0</v>
          </cell>
          <cell r="DS95">
            <v>0</v>
          </cell>
          <cell r="DT95">
            <v>272</v>
          </cell>
          <cell r="DU95">
            <v>999999</v>
          </cell>
          <cell r="DV95">
            <v>999999</v>
          </cell>
          <cell r="DW95">
            <v>999999</v>
          </cell>
          <cell r="DX95">
            <v>0</v>
          </cell>
          <cell r="DY95">
            <v>272</v>
          </cell>
          <cell r="DZ95">
            <v>999999</v>
          </cell>
          <cell r="EA95">
            <v>999999</v>
          </cell>
          <cell r="EB95">
            <v>999999</v>
          </cell>
          <cell r="EC95">
            <v>0</v>
          </cell>
          <cell r="ED95">
            <v>0</v>
          </cell>
          <cell r="EE95">
            <v>0</v>
          </cell>
          <cell r="EF95">
            <v>0</v>
          </cell>
          <cell r="EG95">
            <v>0</v>
          </cell>
          <cell r="EH95">
            <v>0</v>
          </cell>
          <cell r="EI95">
            <v>0</v>
          </cell>
          <cell r="EJ95">
            <v>0</v>
          </cell>
          <cell r="EK95">
            <v>0</v>
          </cell>
          <cell r="EL95">
            <v>0</v>
          </cell>
          <cell r="EM95" t="str">
            <v/>
          </cell>
          <cell r="EN95" t="str">
            <v/>
          </cell>
          <cell r="EO95" t="str">
            <v/>
          </cell>
          <cell r="EP95" t="str">
            <v/>
          </cell>
          <cell r="EQ95" t="str">
            <v/>
          </cell>
          <cell r="ER95" t="str">
            <v/>
          </cell>
          <cell r="ES95" t="str">
            <v/>
          </cell>
          <cell r="ET95" t="str">
            <v/>
          </cell>
          <cell r="EU95" t="str">
            <v/>
          </cell>
          <cell r="EV95" t="str">
            <v/>
          </cell>
          <cell r="EW95" t="str">
            <v/>
          </cell>
          <cell r="EX95" t="str">
            <v/>
          </cell>
          <cell r="EY95" t="str">
            <v/>
          </cell>
          <cell r="EZ95" t="str">
            <v/>
          </cell>
          <cell r="FA95" t="str">
            <v/>
          </cell>
          <cell r="FB95" t="str">
            <v/>
          </cell>
          <cell r="FC95" t="str">
            <v/>
          </cell>
          <cell r="FD95" t="str">
            <v/>
          </cell>
          <cell r="FE95" t="str">
            <v/>
          </cell>
          <cell r="FF95" t="str">
            <v/>
          </cell>
          <cell r="FG95" t="str">
            <v/>
          </cell>
          <cell r="FH95" t="str">
            <v/>
          </cell>
          <cell r="FI95" t="str">
            <v/>
          </cell>
          <cell r="FJ95" t="str">
            <v/>
          </cell>
          <cell r="FK95" t="str">
            <v/>
          </cell>
          <cell r="FL95" t="str">
            <v/>
          </cell>
          <cell r="FM95" t="str">
            <v/>
          </cell>
          <cell r="FN95" t="str">
            <v/>
          </cell>
          <cell r="FO95" t="str">
            <v/>
          </cell>
          <cell r="FP95" t="str">
            <v/>
          </cell>
        </row>
        <row r="96">
          <cell r="N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AJ96">
            <v>0</v>
          </cell>
          <cell r="AK96">
            <v>0</v>
          </cell>
          <cell r="AL96">
            <v>999999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BE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CB96">
            <v>0</v>
          </cell>
          <cell r="CC96">
            <v>0</v>
          </cell>
          <cell r="CD96">
            <v>0</v>
          </cell>
          <cell r="CE96">
            <v>0</v>
          </cell>
          <cell r="CF96">
            <v>0</v>
          </cell>
          <cell r="CG96">
            <v>0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  <cell r="CW96">
            <v>0</v>
          </cell>
          <cell r="CY96">
            <v>0</v>
          </cell>
          <cell r="CZ96">
            <v>0</v>
          </cell>
          <cell r="DA96">
            <v>0</v>
          </cell>
          <cell r="DB96">
            <v>0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H96">
            <v>0</v>
          </cell>
          <cell r="DS96">
            <v>0</v>
          </cell>
          <cell r="DT96">
            <v>271</v>
          </cell>
          <cell r="DU96">
            <v>999999</v>
          </cell>
          <cell r="DV96">
            <v>999999</v>
          </cell>
          <cell r="DW96">
            <v>999999</v>
          </cell>
          <cell r="DX96">
            <v>0</v>
          </cell>
          <cell r="DY96">
            <v>271</v>
          </cell>
          <cell r="DZ96">
            <v>999999</v>
          </cell>
          <cell r="EA96">
            <v>999999</v>
          </cell>
          <cell r="EB96">
            <v>999999</v>
          </cell>
          <cell r="EC96">
            <v>0</v>
          </cell>
          <cell r="ED96">
            <v>0</v>
          </cell>
          <cell r="EE96">
            <v>0</v>
          </cell>
          <cell r="EF96">
            <v>0</v>
          </cell>
          <cell r="EG96">
            <v>0</v>
          </cell>
          <cell r="EH96">
            <v>0</v>
          </cell>
          <cell r="EI96">
            <v>0</v>
          </cell>
          <cell r="EJ96">
            <v>0</v>
          </cell>
          <cell r="EK96">
            <v>0</v>
          </cell>
          <cell r="EL96">
            <v>0</v>
          </cell>
          <cell r="EM96" t="str">
            <v/>
          </cell>
          <cell r="EN96" t="str">
            <v/>
          </cell>
          <cell r="EO96" t="str">
            <v/>
          </cell>
          <cell r="EP96" t="str">
            <v/>
          </cell>
          <cell r="EQ96" t="str">
            <v/>
          </cell>
          <cell r="ER96" t="str">
            <v/>
          </cell>
          <cell r="ES96" t="str">
            <v/>
          </cell>
          <cell r="ET96" t="str">
            <v/>
          </cell>
          <cell r="EU96" t="str">
            <v/>
          </cell>
          <cell r="EV96" t="str">
            <v/>
          </cell>
          <cell r="EW96" t="str">
            <v/>
          </cell>
          <cell r="EX96" t="str">
            <v/>
          </cell>
          <cell r="EY96" t="str">
            <v/>
          </cell>
          <cell r="EZ96" t="str">
            <v/>
          </cell>
          <cell r="FA96" t="str">
            <v/>
          </cell>
          <cell r="FB96" t="str">
            <v/>
          </cell>
          <cell r="FC96" t="str">
            <v/>
          </cell>
          <cell r="FD96" t="str">
            <v/>
          </cell>
          <cell r="FE96" t="str">
            <v/>
          </cell>
          <cell r="FF96" t="str">
            <v/>
          </cell>
          <cell r="FG96" t="str">
            <v/>
          </cell>
          <cell r="FH96" t="str">
            <v/>
          </cell>
          <cell r="FI96" t="str">
            <v/>
          </cell>
          <cell r="FJ96" t="str">
            <v/>
          </cell>
          <cell r="FK96" t="str">
            <v/>
          </cell>
          <cell r="FL96" t="str">
            <v/>
          </cell>
          <cell r="FM96" t="str">
            <v/>
          </cell>
          <cell r="FN96" t="str">
            <v/>
          </cell>
          <cell r="FO96" t="str">
            <v/>
          </cell>
          <cell r="FP96" t="str">
            <v/>
          </cell>
        </row>
        <row r="97">
          <cell r="N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AJ97">
            <v>0</v>
          </cell>
          <cell r="AK97">
            <v>0</v>
          </cell>
          <cell r="AL97">
            <v>999999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BE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BQ97">
            <v>0</v>
          </cell>
          <cell r="CB97">
            <v>0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W97">
            <v>0</v>
          </cell>
          <cell r="CY97">
            <v>0</v>
          </cell>
          <cell r="CZ97">
            <v>0</v>
          </cell>
          <cell r="DA97">
            <v>0</v>
          </cell>
          <cell r="DB97">
            <v>0</v>
          </cell>
          <cell r="DC97">
            <v>0</v>
          </cell>
          <cell r="DD97">
            <v>0</v>
          </cell>
          <cell r="DE97">
            <v>0</v>
          </cell>
          <cell r="DF97">
            <v>0</v>
          </cell>
          <cell r="DG97">
            <v>0</v>
          </cell>
          <cell r="DH97">
            <v>0</v>
          </cell>
          <cell r="DS97">
            <v>0</v>
          </cell>
          <cell r="DT97">
            <v>270</v>
          </cell>
          <cell r="DU97">
            <v>999999</v>
          </cell>
          <cell r="DV97">
            <v>999999</v>
          </cell>
          <cell r="DW97">
            <v>999999</v>
          </cell>
          <cell r="DX97">
            <v>0</v>
          </cell>
          <cell r="DY97">
            <v>270</v>
          </cell>
          <cell r="DZ97">
            <v>999999</v>
          </cell>
          <cell r="EA97">
            <v>999999</v>
          </cell>
          <cell r="EB97">
            <v>999999</v>
          </cell>
          <cell r="EC97">
            <v>0</v>
          </cell>
          <cell r="ED97">
            <v>0</v>
          </cell>
          <cell r="EE97">
            <v>0</v>
          </cell>
          <cell r="EF97">
            <v>0</v>
          </cell>
          <cell r="EG97">
            <v>0</v>
          </cell>
          <cell r="EH97">
            <v>0</v>
          </cell>
          <cell r="EI97">
            <v>0</v>
          </cell>
          <cell r="EJ97">
            <v>0</v>
          </cell>
          <cell r="EK97">
            <v>0</v>
          </cell>
          <cell r="EL97">
            <v>0</v>
          </cell>
          <cell r="EM97" t="str">
            <v/>
          </cell>
          <cell r="EN97" t="str">
            <v/>
          </cell>
          <cell r="EO97" t="str">
            <v/>
          </cell>
          <cell r="EP97" t="str">
            <v/>
          </cell>
          <cell r="EQ97" t="str">
            <v/>
          </cell>
          <cell r="ER97" t="str">
            <v/>
          </cell>
          <cell r="ES97" t="str">
            <v/>
          </cell>
          <cell r="ET97" t="str">
            <v/>
          </cell>
          <cell r="EU97" t="str">
            <v/>
          </cell>
          <cell r="EV97" t="str">
            <v/>
          </cell>
          <cell r="EW97" t="str">
            <v/>
          </cell>
          <cell r="EX97" t="str">
            <v/>
          </cell>
          <cell r="EY97" t="str">
            <v/>
          </cell>
          <cell r="EZ97" t="str">
            <v/>
          </cell>
          <cell r="FA97" t="str">
            <v/>
          </cell>
          <cell r="FB97" t="str">
            <v/>
          </cell>
          <cell r="FC97" t="str">
            <v/>
          </cell>
          <cell r="FD97" t="str">
            <v/>
          </cell>
          <cell r="FE97" t="str">
            <v/>
          </cell>
          <cell r="FF97" t="str">
            <v/>
          </cell>
          <cell r="FG97" t="str">
            <v/>
          </cell>
          <cell r="FH97" t="str">
            <v/>
          </cell>
          <cell r="FI97" t="str">
            <v/>
          </cell>
          <cell r="FJ97" t="str">
            <v/>
          </cell>
          <cell r="FK97" t="str">
            <v/>
          </cell>
          <cell r="FL97" t="str">
            <v/>
          </cell>
          <cell r="FM97" t="str">
            <v/>
          </cell>
          <cell r="FN97" t="str">
            <v/>
          </cell>
          <cell r="FO97" t="str">
            <v/>
          </cell>
          <cell r="FP97" t="str">
            <v/>
          </cell>
        </row>
        <row r="98">
          <cell r="N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AJ98">
            <v>0</v>
          </cell>
          <cell r="AK98">
            <v>0</v>
          </cell>
          <cell r="AL98">
            <v>999999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BE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>
            <v>0</v>
          </cell>
          <cell r="BQ98">
            <v>0</v>
          </cell>
          <cell r="CB98">
            <v>0</v>
          </cell>
          <cell r="CC98">
            <v>0</v>
          </cell>
          <cell r="CD98">
            <v>0</v>
          </cell>
          <cell r="CE98">
            <v>0</v>
          </cell>
          <cell r="CF98">
            <v>0</v>
          </cell>
          <cell r="CG98">
            <v>0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W98">
            <v>0</v>
          </cell>
          <cell r="CY98">
            <v>0</v>
          </cell>
          <cell r="CZ98">
            <v>0</v>
          </cell>
          <cell r="DA98">
            <v>0</v>
          </cell>
          <cell r="DB98">
            <v>0</v>
          </cell>
          <cell r="DC98">
            <v>0</v>
          </cell>
          <cell r="DD98">
            <v>0</v>
          </cell>
          <cell r="DE98">
            <v>0</v>
          </cell>
          <cell r="DF98">
            <v>0</v>
          </cell>
          <cell r="DG98">
            <v>0</v>
          </cell>
          <cell r="DH98">
            <v>0</v>
          </cell>
          <cell r="DS98">
            <v>0</v>
          </cell>
          <cell r="DT98">
            <v>269</v>
          </cell>
          <cell r="DU98">
            <v>999999</v>
          </cell>
          <cell r="DV98">
            <v>999999</v>
          </cell>
          <cell r="DW98">
            <v>999999</v>
          </cell>
          <cell r="DX98">
            <v>0</v>
          </cell>
          <cell r="DY98">
            <v>269</v>
          </cell>
          <cell r="DZ98">
            <v>999999</v>
          </cell>
          <cell r="EA98">
            <v>999999</v>
          </cell>
          <cell r="EB98">
            <v>999999</v>
          </cell>
          <cell r="EC98">
            <v>0</v>
          </cell>
          <cell r="ED98">
            <v>0</v>
          </cell>
          <cell r="EE98">
            <v>0</v>
          </cell>
          <cell r="EF98">
            <v>0</v>
          </cell>
          <cell r="EG98">
            <v>0</v>
          </cell>
          <cell r="EH98">
            <v>0</v>
          </cell>
          <cell r="EI98">
            <v>0</v>
          </cell>
          <cell r="EJ98">
            <v>0</v>
          </cell>
          <cell r="EK98">
            <v>0</v>
          </cell>
          <cell r="EL98">
            <v>0</v>
          </cell>
          <cell r="EM98" t="str">
            <v/>
          </cell>
          <cell r="EN98" t="str">
            <v/>
          </cell>
          <cell r="EO98" t="str">
            <v/>
          </cell>
          <cell r="EP98" t="str">
            <v/>
          </cell>
          <cell r="EQ98" t="str">
            <v/>
          </cell>
          <cell r="ER98" t="str">
            <v/>
          </cell>
          <cell r="ES98" t="str">
            <v/>
          </cell>
          <cell r="ET98" t="str">
            <v/>
          </cell>
          <cell r="EU98" t="str">
            <v/>
          </cell>
          <cell r="EV98" t="str">
            <v/>
          </cell>
          <cell r="EW98" t="str">
            <v/>
          </cell>
          <cell r="EX98" t="str">
            <v/>
          </cell>
          <cell r="EY98" t="str">
            <v/>
          </cell>
          <cell r="EZ98" t="str">
            <v/>
          </cell>
          <cell r="FA98" t="str">
            <v/>
          </cell>
          <cell r="FB98" t="str">
            <v/>
          </cell>
          <cell r="FC98" t="str">
            <v/>
          </cell>
          <cell r="FD98" t="str">
            <v/>
          </cell>
          <cell r="FE98" t="str">
            <v/>
          </cell>
          <cell r="FF98" t="str">
            <v/>
          </cell>
          <cell r="FG98" t="str">
            <v/>
          </cell>
          <cell r="FH98" t="str">
            <v/>
          </cell>
          <cell r="FI98" t="str">
            <v/>
          </cell>
          <cell r="FJ98" t="str">
            <v/>
          </cell>
          <cell r="FK98" t="str">
            <v/>
          </cell>
          <cell r="FL98" t="str">
            <v/>
          </cell>
          <cell r="FM98" t="str">
            <v/>
          </cell>
          <cell r="FN98" t="str">
            <v/>
          </cell>
          <cell r="FO98" t="str">
            <v/>
          </cell>
          <cell r="FP98" t="str">
            <v/>
          </cell>
        </row>
        <row r="99">
          <cell r="N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AJ99">
            <v>0</v>
          </cell>
          <cell r="AK99">
            <v>0</v>
          </cell>
          <cell r="AL99">
            <v>999999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BE99">
            <v>48000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CB99">
            <v>0</v>
          </cell>
          <cell r="CC99">
            <v>0</v>
          </cell>
          <cell r="CD99">
            <v>0</v>
          </cell>
          <cell r="CE99">
            <v>0</v>
          </cell>
          <cell r="CF99">
            <v>0</v>
          </cell>
          <cell r="CG99">
            <v>0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  <cell r="CW99">
            <v>0</v>
          </cell>
          <cell r="CY99">
            <v>0</v>
          </cell>
          <cell r="CZ99">
            <v>0</v>
          </cell>
          <cell r="DA99">
            <v>0</v>
          </cell>
          <cell r="DB99">
            <v>0</v>
          </cell>
          <cell r="DC99">
            <v>0</v>
          </cell>
          <cell r="DD99">
            <v>0</v>
          </cell>
          <cell r="DE99">
            <v>0</v>
          </cell>
          <cell r="DF99">
            <v>0</v>
          </cell>
          <cell r="DG99">
            <v>0</v>
          </cell>
          <cell r="DH99">
            <v>0</v>
          </cell>
          <cell r="DS99">
            <v>0</v>
          </cell>
          <cell r="DT99">
            <v>268</v>
          </cell>
          <cell r="DU99">
            <v>999999</v>
          </cell>
          <cell r="DV99">
            <v>999999</v>
          </cell>
          <cell r="DW99">
            <v>999999</v>
          </cell>
          <cell r="DX99">
            <v>0</v>
          </cell>
          <cell r="DY99">
            <v>268</v>
          </cell>
          <cell r="DZ99">
            <v>999999</v>
          </cell>
          <cell r="EA99">
            <v>999999</v>
          </cell>
          <cell r="EB99">
            <v>999999</v>
          </cell>
          <cell r="EC99">
            <v>0</v>
          </cell>
          <cell r="ED99">
            <v>0</v>
          </cell>
          <cell r="EE99">
            <v>0</v>
          </cell>
          <cell r="EF99">
            <v>0</v>
          </cell>
          <cell r="EG99">
            <v>0</v>
          </cell>
          <cell r="EH99">
            <v>0</v>
          </cell>
          <cell r="EI99">
            <v>0</v>
          </cell>
          <cell r="EJ99">
            <v>0</v>
          </cell>
          <cell r="EK99">
            <v>0</v>
          </cell>
          <cell r="EL99">
            <v>0</v>
          </cell>
          <cell r="EM99" t="str">
            <v/>
          </cell>
          <cell r="EN99" t="str">
            <v/>
          </cell>
          <cell r="EO99" t="str">
            <v/>
          </cell>
          <cell r="EP99" t="str">
            <v/>
          </cell>
          <cell r="EQ99" t="str">
            <v/>
          </cell>
          <cell r="ER99" t="str">
            <v/>
          </cell>
          <cell r="ES99" t="str">
            <v/>
          </cell>
          <cell r="ET99" t="str">
            <v/>
          </cell>
          <cell r="EU99" t="str">
            <v/>
          </cell>
          <cell r="EV99" t="str">
            <v/>
          </cell>
          <cell r="EW99" t="str">
            <v/>
          </cell>
          <cell r="EX99" t="str">
            <v/>
          </cell>
          <cell r="EY99" t="str">
            <v/>
          </cell>
          <cell r="EZ99" t="str">
            <v/>
          </cell>
          <cell r="FA99" t="str">
            <v/>
          </cell>
          <cell r="FB99" t="str">
            <v/>
          </cell>
          <cell r="FC99" t="str">
            <v/>
          </cell>
          <cell r="FD99" t="str">
            <v/>
          </cell>
          <cell r="FE99" t="str">
            <v/>
          </cell>
          <cell r="FF99" t="str">
            <v/>
          </cell>
          <cell r="FG99" t="str">
            <v/>
          </cell>
          <cell r="FH99" t="str">
            <v/>
          </cell>
          <cell r="FI99" t="str">
            <v/>
          </cell>
          <cell r="FJ99" t="str">
            <v/>
          </cell>
          <cell r="FK99" t="str">
            <v/>
          </cell>
          <cell r="FL99" t="str">
            <v/>
          </cell>
          <cell r="FM99" t="str">
            <v/>
          </cell>
          <cell r="FN99" t="str">
            <v/>
          </cell>
          <cell r="FO99" t="str">
            <v/>
          </cell>
          <cell r="FP99" t="str">
            <v/>
          </cell>
        </row>
        <row r="100">
          <cell r="N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AJ100">
            <v>0</v>
          </cell>
          <cell r="AK100">
            <v>0</v>
          </cell>
          <cell r="AL100">
            <v>999999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BE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CB100">
            <v>0</v>
          </cell>
          <cell r="CC100">
            <v>0</v>
          </cell>
          <cell r="CD100">
            <v>0</v>
          </cell>
          <cell r="CE100">
            <v>0</v>
          </cell>
          <cell r="CF100">
            <v>0</v>
          </cell>
          <cell r="CG100">
            <v>0</v>
          </cell>
          <cell r="CH100">
            <v>0</v>
          </cell>
          <cell r="CI100">
            <v>0</v>
          </cell>
          <cell r="CJ100">
            <v>0</v>
          </cell>
          <cell r="CK100">
            <v>0</v>
          </cell>
          <cell r="CW100">
            <v>0</v>
          </cell>
          <cell r="CY100">
            <v>0</v>
          </cell>
          <cell r="CZ100">
            <v>0</v>
          </cell>
          <cell r="DA100">
            <v>0</v>
          </cell>
          <cell r="DB100">
            <v>0</v>
          </cell>
          <cell r="DC100">
            <v>0</v>
          </cell>
          <cell r="DD100">
            <v>0</v>
          </cell>
          <cell r="DE100">
            <v>0</v>
          </cell>
          <cell r="DF100">
            <v>0</v>
          </cell>
          <cell r="DG100">
            <v>0</v>
          </cell>
          <cell r="DH100">
            <v>0</v>
          </cell>
          <cell r="DS100">
            <v>0</v>
          </cell>
          <cell r="DT100">
            <v>267</v>
          </cell>
          <cell r="DU100">
            <v>999999</v>
          </cell>
          <cell r="DV100">
            <v>999999</v>
          </cell>
          <cell r="DW100">
            <v>999999</v>
          </cell>
          <cell r="DX100">
            <v>0</v>
          </cell>
          <cell r="DY100">
            <v>267</v>
          </cell>
          <cell r="DZ100">
            <v>999999</v>
          </cell>
          <cell r="EA100">
            <v>999999</v>
          </cell>
          <cell r="EB100">
            <v>999999</v>
          </cell>
          <cell r="EC100">
            <v>0</v>
          </cell>
          <cell r="ED100">
            <v>0</v>
          </cell>
          <cell r="EE100">
            <v>0</v>
          </cell>
          <cell r="EF100">
            <v>0</v>
          </cell>
          <cell r="EG100">
            <v>0</v>
          </cell>
          <cell r="EH100">
            <v>0</v>
          </cell>
          <cell r="EI100">
            <v>0</v>
          </cell>
          <cell r="EJ100">
            <v>0</v>
          </cell>
          <cell r="EK100">
            <v>0</v>
          </cell>
          <cell r="EL100">
            <v>0</v>
          </cell>
          <cell r="EM100" t="str">
            <v/>
          </cell>
          <cell r="EN100" t="str">
            <v/>
          </cell>
          <cell r="EO100" t="str">
            <v/>
          </cell>
          <cell r="EP100" t="str">
            <v/>
          </cell>
          <cell r="EQ100" t="str">
            <v/>
          </cell>
          <cell r="ER100" t="str">
            <v/>
          </cell>
          <cell r="ES100" t="str">
            <v/>
          </cell>
          <cell r="ET100" t="str">
            <v/>
          </cell>
          <cell r="EU100" t="str">
            <v/>
          </cell>
          <cell r="EV100" t="str">
            <v/>
          </cell>
          <cell r="EW100" t="str">
            <v/>
          </cell>
          <cell r="EX100" t="str">
            <v/>
          </cell>
          <cell r="EY100" t="str">
            <v/>
          </cell>
          <cell r="EZ100" t="str">
            <v/>
          </cell>
          <cell r="FA100" t="str">
            <v/>
          </cell>
          <cell r="FB100" t="str">
            <v/>
          </cell>
          <cell r="FC100" t="str">
            <v/>
          </cell>
          <cell r="FD100" t="str">
            <v/>
          </cell>
          <cell r="FE100" t="str">
            <v/>
          </cell>
          <cell r="FF100" t="str">
            <v/>
          </cell>
          <cell r="FG100" t="str">
            <v/>
          </cell>
          <cell r="FH100" t="str">
            <v/>
          </cell>
          <cell r="FI100" t="str">
            <v/>
          </cell>
          <cell r="FJ100" t="str">
            <v/>
          </cell>
          <cell r="FK100" t="str">
            <v/>
          </cell>
          <cell r="FL100" t="str">
            <v/>
          </cell>
          <cell r="FM100" t="str">
            <v/>
          </cell>
          <cell r="FN100" t="str">
            <v/>
          </cell>
          <cell r="FO100" t="str">
            <v/>
          </cell>
          <cell r="FP100" t="str">
            <v/>
          </cell>
        </row>
        <row r="101">
          <cell r="N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AJ101">
            <v>0</v>
          </cell>
          <cell r="AK101">
            <v>0</v>
          </cell>
          <cell r="AL101">
            <v>999999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BE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CB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W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H101">
            <v>0</v>
          </cell>
          <cell r="DS101">
            <v>0</v>
          </cell>
          <cell r="DT101">
            <v>266</v>
          </cell>
          <cell r="DU101">
            <v>999999</v>
          </cell>
          <cell r="DV101">
            <v>999999</v>
          </cell>
          <cell r="DW101">
            <v>999999</v>
          </cell>
          <cell r="DX101">
            <v>0</v>
          </cell>
          <cell r="DY101">
            <v>266</v>
          </cell>
          <cell r="DZ101">
            <v>999999</v>
          </cell>
          <cell r="EA101">
            <v>999999</v>
          </cell>
          <cell r="EB101">
            <v>999999</v>
          </cell>
          <cell r="EC101">
            <v>0</v>
          </cell>
          <cell r="ED101">
            <v>0</v>
          </cell>
          <cell r="EE101">
            <v>0</v>
          </cell>
          <cell r="EF101">
            <v>0</v>
          </cell>
          <cell r="EG101">
            <v>0</v>
          </cell>
          <cell r="EH101">
            <v>0</v>
          </cell>
          <cell r="EI101">
            <v>0</v>
          </cell>
          <cell r="EJ101">
            <v>0</v>
          </cell>
          <cell r="EK101">
            <v>0</v>
          </cell>
          <cell r="EL101">
            <v>0</v>
          </cell>
          <cell r="EM101" t="str">
            <v/>
          </cell>
          <cell r="EN101" t="str">
            <v/>
          </cell>
          <cell r="EO101" t="str">
            <v/>
          </cell>
          <cell r="EP101" t="str">
            <v/>
          </cell>
          <cell r="EQ101" t="str">
            <v/>
          </cell>
          <cell r="ER101" t="str">
            <v/>
          </cell>
          <cell r="ES101" t="str">
            <v/>
          </cell>
          <cell r="ET101" t="str">
            <v/>
          </cell>
          <cell r="EU101" t="str">
            <v/>
          </cell>
          <cell r="EV101" t="str">
            <v/>
          </cell>
          <cell r="EW101" t="str">
            <v/>
          </cell>
          <cell r="EX101" t="str">
            <v/>
          </cell>
          <cell r="EY101" t="str">
            <v/>
          </cell>
          <cell r="EZ101" t="str">
            <v/>
          </cell>
          <cell r="FA101" t="str">
            <v/>
          </cell>
          <cell r="FB101" t="str">
            <v/>
          </cell>
          <cell r="FC101" t="str">
            <v/>
          </cell>
          <cell r="FD101" t="str">
            <v/>
          </cell>
          <cell r="FE101" t="str">
            <v/>
          </cell>
          <cell r="FF101" t="str">
            <v/>
          </cell>
          <cell r="FG101" t="str">
            <v/>
          </cell>
          <cell r="FH101" t="str">
            <v/>
          </cell>
          <cell r="FI101" t="str">
            <v/>
          </cell>
          <cell r="FJ101" t="str">
            <v/>
          </cell>
          <cell r="FK101" t="str">
            <v/>
          </cell>
          <cell r="FL101" t="str">
            <v/>
          </cell>
          <cell r="FM101" t="str">
            <v/>
          </cell>
          <cell r="FN101" t="str">
            <v/>
          </cell>
          <cell r="FO101" t="str">
            <v/>
          </cell>
          <cell r="FP101" t="str">
            <v/>
          </cell>
        </row>
        <row r="102">
          <cell r="N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AJ102">
            <v>0</v>
          </cell>
          <cell r="AK102">
            <v>0</v>
          </cell>
          <cell r="AL102">
            <v>999999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BE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0</v>
          </cell>
          <cell r="BQ102">
            <v>0</v>
          </cell>
          <cell r="CB102">
            <v>0</v>
          </cell>
          <cell r="CC102">
            <v>0</v>
          </cell>
          <cell r="CD102">
            <v>0</v>
          </cell>
          <cell r="CE102">
            <v>0</v>
          </cell>
          <cell r="CF102">
            <v>0</v>
          </cell>
          <cell r="CG102">
            <v>0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W102">
            <v>0</v>
          </cell>
          <cell r="CY102">
            <v>0</v>
          </cell>
          <cell r="CZ102">
            <v>0</v>
          </cell>
          <cell r="DA102">
            <v>0</v>
          </cell>
          <cell r="DB102">
            <v>0</v>
          </cell>
          <cell r="DC102">
            <v>0</v>
          </cell>
          <cell r="DD102">
            <v>0</v>
          </cell>
          <cell r="DE102">
            <v>0</v>
          </cell>
          <cell r="DF102">
            <v>0</v>
          </cell>
          <cell r="DG102">
            <v>0</v>
          </cell>
          <cell r="DH102">
            <v>0</v>
          </cell>
          <cell r="DS102">
            <v>0</v>
          </cell>
          <cell r="DT102">
            <v>265</v>
          </cell>
          <cell r="DU102">
            <v>999999</v>
          </cell>
          <cell r="DV102">
            <v>999999</v>
          </cell>
          <cell r="DW102">
            <v>999999</v>
          </cell>
          <cell r="DX102">
            <v>0</v>
          </cell>
          <cell r="DY102">
            <v>265</v>
          </cell>
          <cell r="DZ102">
            <v>999999</v>
          </cell>
          <cell r="EA102">
            <v>999999</v>
          </cell>
          <cell r="EB102">
            <v>999999</v>
          </cell>
          <cell r="EC102">
            <v>0</v>
          </cell>
          <cell r="ED102">
            <v>0</v>
          </cell>
          <cell r="EE102">
            <v>0</v>
          </cell>
          <cell r="EF102">
            <v>0</v>
          </cell>
          <cell r="EG102">
            <v>0</v>
          </cell>
          <cell r="EH102">
            <v>0</v>
          </cell>
          <cell r="EI102">
            <v>0</v>
          </cell>
          <cell r="EJ102">
            <v>0</v>
          </cell>
          <cell r="EK102">
            <v>0</v>
          </cell>
          <cell r="EL102">
            <v>0</v>
          </cell>
          <cell r="EM102" t="str">
            <v/>
          </cell>
          <cell r="EN102" t="str">
            <v/>
          </cell>
          <cell r="EO102" t="str">
            <v/>
          </cell>
          <cell r="EP102" t="str">
            <v/>
          </cell>
          <cell r="EQ102" t="str">
            <v/>
          </cell>
          <cell r="ER102" t="str">
            <v/>
          </cell>
          <cell r="ES102" t="str">
            <v/>
          </cell>
          <cell r="ET102" t="str">
            <v/>
          </cell>
          <cell r="EU102" t="str">
            <v/>
          </cell>
          <cell r="EV102" t="str">
            <v/>
          </cell>
          <cell r="EW102" t="str">
            <v/>
          </cell>
          <cell r="EX102" t="str">
            <v/>
          </cell>
          <cell r="EY102" t="str">
            <v/>
          </cell>
          <cell r="EZ102" t="str">
            <v/>
          </cell>
          <cell r="FA102" t="str">
            <v/>
          </cell>
          <cell r="FB102" t="str">
            <v/>
          </cell>
          <cell r="FC102" t="str">
            <v/>
          </cell>
          <cell r="FD102" t="str">
            <v/>
          </cell>
          <cell r="FE102" t="str">
            <v/>
          </cell>
          <cell r="FF102" t="str">
            <v/>
          </cell>
          <cell r="FG102" t="str">
            <v/>
          </cell>
          <cell r="FH102" t="str">
            <v/>
          </cell>
          <cell r="FI102" t="str">
            <v/>
          </cell>
          <cell r="FJ102" t="str">
            <v/>
          </cell>
          <cell r="FK102" t="str">
            <v/>
          </cell>
          <cell r="FL102" t="str">
            <v/>
          </cell>
          <cell r="FM102" t="str">
            <v/>
          </cell>
          <cell r="FN102" t="str">
            <v/>
          </cell>
          <cell r="FO102" t="str">
            <v/>
          </cell>
          <cell r="FP102" t="str">
            <v/>
          </cell>
        </row>
        <row r="103">
          <cell r="N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AJ103">
            <v>0</v>
          </cell>
          <cell r="AK103">
            <v>0</v>
          </cell>
          <cell r="AL103">
            <v>999999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BE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CB103">
            <v>0</v>
          </cell>
          <cell r="CC103">
            <v>0</v>
          </cell>
          <cell r="CD103">
            <v>0</v>
          </cell>
          <cell r="CE103">
            <v>0</v>
          </cell>
          <cell r="CF103">
            <v>0</v>
          </cell>
          <cell r="CG103">
            <v>0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W103">
            <v>0</v>
          </cell>
          <cell r="CY103">
            <v>0</v>
          </cell>
          <cell r="CZ103">
            <v>0</v>
          </cell>
          <cell r="DA103">
            <v>0</v>
          </cell>
          <cell r="DB103">
            <v>0</v>
          </cell>
          <cell r="DC103">
            <v>0</v>
          </cell>
          <cell r="DD103">
            <v>0</v>
          </cell>
          <cell r="DE103">
            <v>0</v>
          </cell>
          <cell r="DF103">
            <v>0</v>
          </cell>
          <cell r="DG103">
            <v>0</v>
          </cell>
          <cell r="DH103">
            <v>0</v>
          </cell>
          <cell r="DS103">
            <v>0</v>
          </cell>
          <cell r="DT103">
            <v>264</v>
          </cell>
          <cell r="DU103">
            <v>999999</v>
          </cell>
          <cell r="DV103">
            <v>999999</v>
          </cell>
          <cell r="DW103">
            <v>999999</v>
          </cell>
          <cell r="DX103">
            <v>0</v>
          </cell>
          <cell r="DY103">
            <v>264</v>
          </cell>
          <cell r="DZ103">
            <v>999999</v>
          </cell>
          <cell r="EA103">
            <v>999999</v>
          </cell>
          <cell r="EB103">
            <v>999999</v>
          </cell>
          <cell r="EC103">
            <v>0</v>
          </cell>
          <cell r="ED103">
            <v>0</v>
          </cell>
          <cell r="EE103">
            <v>0</v>
          </cell>
          <cell r="EF103">
            <v>0</v>
          </cell>
          <cell r="EG103">
            <v>0</v>
          </cell>
          <cell r="EH103">
            <v>0</v>
          </cell>
          <cell r="EI103">
            <v>0</v>
          </cell>
          <cell r="EJ103">
            <v>0</v>
          </cell>
          <cell r="EK103">
            <v>0</v>
          </cell>
          <cell r="EL103">
            <v>0</v>
          </cell>
          <cell r="EM103" t="str">
            <v/>
          </cell>
          <cell r="EN103" t="str">
            <v/>
          </cell>
          <cell r="EO103" t="str">
            <v/>
          </cell>
          <cell r="EP103" t="str">
            <v/>
          </cell>
          <cell r="EQ103" t="str">
            <v/>
          </cell>
          <cell r="ER103" t="str">
            <v/>
          </cell>
          <cell r="ES103" t="str">
            <v/>
          </cell>
          <cell r="ET103" t="str">
            <v/>
          </cell>
          <cell r="EU103" t="str">
            <v/>
          </cell>
          <cell r="EV103" t="str">
            <v/>
          </cell>
          <cell r="EW103" t="str">
            <v/>
          </cell>
          <cell r="EX103" t="str">
            <v/>
          </cell>
          <cell r="EY103" t="str">
            <v/>
          </cell>
          <cell r="EZ103" t="str">
            <v/>
          </cell>
          <cell r="FA103" t="str">
            <v/>
          </cell>
          <cell r="FB103" t="str">
            <v/>
          </cell>
          <cell r="FC103" t="str">
            <v/>
          </cell>
          <cell r="FD103" t="str">
            <v/>
          </cell>
          <cell r="FE103" t="str">
            <v/>
          </cell>
          <cell r="FF103" t="str">
            <v/>
          </cell>
          <cell r="FG103" t="str">
            <v/>
          </cell>
          <cell r="FH103" t="str">
            <v/>
          </cell>
          <cell r="FI103" t="str">
            <v/>
          </cell>
          <cell r="FJ103" t="str">
            <v/>
          </cell>
          <cell r="FK103" t="str">
            <v/>
          </cell>
          <cell r="FL103" t="str">
            <v/>
          </cell>
          <cell r="FM103" t="str">
            <v/>
          </cell>
          <cell r="FN103" t="str">
            <v/>
          </cell>
          <cell r="FO103" t="str">
            <v/>
          </cell>
          <cell r="FP103" t="str">
            <v/>
          </cell>
        </row>
        <row r="104">
          <cell r="N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AJ104">
            <v>0</v>
          </cell>
          <cell r="AK104">
            <v>0</v>
          </cell>
          <cell r="AL104">
            <v>999999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BE104">
            <v>0</v>
          </cell>
          <cell r="BH104">
            <v>0</v>
          </cell>
          <cell r="BI104">
            <v>0</v>
          </cell>
          <cell r="BJ104">
            <v>0</v>
          </cell>
          <cell r="BK104">
            <v>0</v>
          </cell>
          <cell r="BL104">
            <v>0</v>
          </cell>
          <cell r="BM104">
            <v>0</v>
          </cell>
          <cell r="BN104">
            <v>0</v>
          </cell>
          <cell r="BO104">
            <v>0</v>
          </cell>
          <cell r="BP104">
            <v>0</v>
          </cell>
          <cell r="BQ104">
            <v>0</v>
          </cell>
          <cell r="CB104">
            <v>0</v>
          </cell>
          <cell r="CC104">
            <v>0</v>
          </cell>
          <cell r="CD104">
            <v>0</v>
          </cell>
          <cell r="CE104">
            <v>0</v>
          </cell>
          <cell r="CF104">
            <v>0</v>
          </cell>
          <cell r="CG104">
            <v>0</v>
          </cell>
          <cell r="CH104">
            <v>0</v>
          </cell>
          <cell r="CI104">
            <v>0</v>
          </cell>
          <cell r="CJ104">
            <v>0</v>
          </cell>
          <cell r="CK104">
            <v>0</v>
          </cell>
          <cell r="CW104">
            <v>0</v>
          </cell>
          <cell r="CY104">
            <v>0</v>
          </cell>
          <cell r="CZ104">
            <v>0</v>
          </cell>
          <cell r="DA104">
            <v>0</v>
          </cell>
          <cell r="DB104">
            <v>0</v>
          </cell>
          <cell r="DC104">
            <v>0</v>
          </cell>
          <cell r="DD104">
            <v>0</v>
          </cell>
          <cell r="DE104">
            <v>0</v>
          </cell>
          <cell r="DF104">
            <v>0</v>
          </cell>
          <cell r="DG104">
            <v>0</v>
          </cell>
          <cell r="DH104">
            <v>0</v>
          </cell>
          <cell r="DS104">
            <v>0</v>
          </cell>
          <cell r="DT104">
            <v>263</v>
          </cell>
          <cell r="DU104">
            <v>999999</v>
          </cell>
          <cell r="DV104">
            <v>999999</v>
          </cell>
          <cell r="DW104">
            <v>999999</v>
          </cell>
          <cell r="DX104">
            <v>0</v>
          </cell>
          <cell r="DY104">
            <v>263</v>
          </cell>
          <cell r="DZ104">
            <v>999999</v>
          </cell>
          <cell r="EA104">
            <v>999999</v>
          </cell>
          <cell r="EB104">
            <v>999999</v>
          </cell>
          <cell r="EC104">
            <v>0</v>
          </cell>
          <cell r="ED104">
            <v>0</v>
          </cell>
          <cell r="EE104">
            <v>0</v>
          </cell>
          <cell r="EF104">
            <v>0</v>
          </cell>
          <cell r="EG104">
            <v>0</v>
          </cell>
          <cell r="EH104">
            <v>0</v>
          </cell>
          <cell r="EI104">
            <v>0</v>
          </cell>
          <cell r="EJ104">
            <v>0</v>
          </cell>
          <cell r="EK104">
            <v>0</v>
          </cell>
          <cell r="EL104">
            <v>0</v>
          </cell>
          <cell r="EM104" t="str">
            <v/>
          </cell>
          <cell r="EN104" t="str">
            <v/>
          </cell>
          <cell r="EO104" t="str">
            <v/>
          </cell>
          <cell r="EP104" t="str">
            <v/>
          </cell>
          <cell r="EQ104" t="str">
            <v/>
          </cell>
          <cell r="ER104" t="str">
            <v/>
          </cell>
          <cell r="ES104" t="str">
            <v/>
          </cell>
          <cell r="ET104" t="str">
            <v/>
          </cell>
          <cell r="EU104" t="str">
            <v/>
          </cell>
          <cell r="EV104" t="str">
            <v/>
          </cell>
          <cell r="EW104" t="str">
            <v/>
          </cell>
          <cell r="EX104" t="str">
            <v/>
          </cell>
          <cell r="EY104" t="str">
            <v/>
          </cell>
          <cell r="EZ104" t="str">
            <v/>
          </cell>
          <cell r="FA104" t="str">
            <v/>
          </cell>
          <cell r="FB104" t="str">
            <v/>
          </cell>
          <cell r="FC104" t="str">
            <v/>
          </cell>
          <cell r="FD104" t="str">
            <v/>
          </cell>
          <cell r="FE104" t="str">
            <v/>
          </cell>
          <cell r="FF104" t="str">
            <v/>
          </cell>
          <cell r="FG104" t="str">
            <v/>
          </cell>
          <cell r="FH104" t="str">
            <v/>
          </cell>
          <cell r="FI104" t="str">
            <v/>
          </cell>
          <cell r="FJ104" t="str">
            <v/>
          </cell>
          <cell r="FK104" t="str">
            <v/>
          </cell>
          <cell r="FL104" t="str">
            <v/>
          </cell>
          <cell r="FM104" t="str">
            <v/>
          </cell>
          <cell r="FN104" t="str">
            <v/>
          </cell>
          <cell r="FO104" t="str">
            <v/>
          </cell>
          <cell r="FP104" t="str">
            <v/>
          </cell>
        </row>
        <row r="105">
          <cell r="N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AJ105">
            <v>0</v>
          </cell>
          <cell r="AK105">
            <v>0</v>
          </cell>
          <cell r="AL105">
            <v>999999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BE105">
            <v>0</v>
          </cell>
          <cell r="BH105">
            <v>0</v>
          </cell>
          <cell r="BI105">
            <v>0</v>
          </cell>
          <cell r="BJ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P105">
            <v>0</v>
          </cell>
          <cell r="BQ105">
            <v>0</v>
          </cell>
          <cell r="CB105">
            <v>0</v>
          </cell>
          <cell r="CC105">
            <v>0</v>
          </cell>
          <cell r="CD105">
            <v>0</v>
          </cell>
          <cell r="CE105">
            <v>0</v>
          </cell>
          <cell r="CF105">
            <v>0</v>
          </cell>
          <cell r="CG105">
            <v>0</v>
          </cell>
          <cell r="CH105">
            <v>0</v>
          </cell>
          <cell r="CI105">
            <v>0</v>
          </cell>
          <cell r="CJ105">
            <v>0</v>
          </cell>
          <cell r="CK105">
            <v>0</v>
          </cell>
          <cell r="CW105">
            <v>0</v>
          </cell>
          <cell r="CY105">
            <v>0</v>
          </cell>
          <cell r="CZ105">
            <v>0</v>
          </cell>
          <cell r="DA105">
            <v>0</v>
          </cell>
          <cell r="DB105">
            <v>0</v>
          </cell>
          <cell r="DC105">
            <v>0</v>
          </cell>
          <cell r="DD105">
            <v>0</v>
          </cell>
          <cell r="DE105">
            <v>0</v>
          </cell>
          <cell r="DF105">
            <v>0</v>
          </cell>
          <cell r="DG105">
            <v>0</v>
          </cell>
          <cell r="DH105">
            <v>0</v>
          </cell>
          <cell r="DS105">
            <v>0</v>
          </cell>
          <cell r="DT105">
            <v>262</v>
          </cell>
          <cell r="DU105">
            <v>999999</v>
          </cell>
          <cell r="DV105">
            <v>999999</v>
          </cell>
          <cell r="DW105">
            <v>999999</v>
          </cell>
          <cell r="DX105">
            <v>0</v>
          </cell>
          <cell r="DY105">
            <v>262</v>
          </cell>
          <cell r="DZ105">
            <v>999999</v>
          </cell>
          <cell r="EA105">
            <v>999999</v>
          </cell>
          <cell r="EB105">
            <v>999999</v>
          </cell>
          <cell r="EC105">
            <v>0</v>
          </cell>
          <cell r="ED105">
            <v>0</v>
          </cell>
          <cell r="EE105">
            <v>0</v>
          </cell>
          <cell r="EF105">
            <v>0</v>
          </cell>
          <cell r="EG105">
            <v>0</v>
          </cell>
          <cell r="EH105">
            <v>0</v>
          </cell>
          <cell r="EI105">
            <v>0</v>
          </cell>
          <cell r="EJ105">
            <v>0</v>
          </cell>
          <cell r="EK105">
            <v>0</v>
          </cell>
          <cell r="EL105">
            <v>0</v>
          </cell>
          <cell r="EM105" t="str">
            <v/>
          </cell>
          <cell r="EN105" t="str">
            <v/>
          </cell>
          <cell r="EO105" t="str">
            <v/>
          </cell>
          <cell r="EP105" t="str">
            <v/>
          </cell>
          <cell r="EQ105" t="str">
            <v/>
          </cell>
          <cell r="ER105" t="str">
            <v/>
          </cell>
          <cell r="ES105" t="str">
            <v/>
          </cell>
          <cell r="ET105" t="str">
            <v/>
          </cell>
          <cell r="EU105" t="str">
            <v/>
          </cell>
          <cell r="EV105" t="str">
            <v/>
          </cell>
          <cell r="EW105" t="str">
            <v/>
          </cell>
          <cell r="EX105" t="str">
            <v/>
          </cell>
          <cell r="EY105" t="str">
            <v/>
          </cell>
          <cell r="EZ105" t="str">
            <v/>
          </cell>
          <cell r="FA105" t="str">
            <v/>
          </cell>
          <cell r="FB105" t="str">
            <v/>
          </cell>
          <cell r="FC105" t="str">
            <v/>
          </cell>
          <cell r="FD105" t="str">
            <v/>
          </cell>
          <cell r="FE105" t="str">
            <v/>
          </cell>
          <cell r="FF105" t="str">
            <v/>
          </cell>
          <cell r="FG105" t="str">
            <v/>
          </cell>
          <cell r="FH105" t="str">
            <v/>
          </cell>
          <cell r="FI105" t="str">
            <v/>
          </cell>
          <cell r="FJ105" t="str">
            <v/>
          </cell>
          <cell r="FK105" t="str">
            <v/>
          </cell>
          <cell r="FL105" t="str">
            <v/>
          </cell>
          <cell r="FM105" t="str">
            <v/>
          </cell>
          <cell r="FN105" t="str">
            <v/>
          </cell>
          <cell r="FO105" t="str">
            <v/>
          </cell>
          <cell r="FP105" t="str">
            <v/>
          </cell>
        </row>
        <row r="106">
          <cell r="N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AJ106">
            <v>0</v>
          </cell>
          <cell r="AK106">
            <v>0</v>
          </cell>
          <cell r="AL106">
            <v>999999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BE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BQ106">
            <v>0</v>
          </cell>
          <cell r="CB106">
            <v>0</v>
          </cell>
          <cell r="CC106">
            <v>0</v>
          </cell>
          <cell r="CD106">
            <v>0</v>
          </cell>
          <cell r="CE106">
            <v>0</v>
          </cell>
          <cell r="CF106">
            <v>0</v>
          </cell>
          <cell r="CG106">
            <v>0</v>
          </cell>
          <cell r="CH106">
            <v>0</v>
          </cell>
          <cell r="CI106">
            <v>0</v>
          </cell>
          <cell r="CJ106">
            <v>0</v>
          </cell>
          <cell r="CK106">
            <v>0</v>
          </cell>
          <cell r="CW106">
            <v>0</v>
          </cell>
          <cell r="CY106">
            <v>0</v>
          </cell>
          <cell r="CZ106">
            <v>0</v>
          </cell>
          <cell r="DA106">
            <v>0</v>
          </cell>
          <cell r="DB106">
            <v>0</v>
          </cell>
          <cell r="DC106">
            <v>0</v>
          </cell>
          <cell r="DD106">
            <v>0</v>
          </cell>
          <cell r="DE106">
            <v>0</v>
          </cell>
          <cell r="DF106">
            <v>0</v>
          </cell>
          <cell r="DG106">
            <v>0</v>
          </cell>
          <cell r="DH106">
            <v>0</v>
          </cell>
          <cell r="DS106">
            <v>0</v>
          </cell>
          <cell r="DT106">
            <v>261</v>
          </cell>
          <cell r="DU106">
            <v>999999</v>
          </cell>
          <cell r="DV106">
            <v>999999</v>
          </cell>
          <cell r="DW106">
            <v>999999</v>
          </cell>
          <cell r="DX106">
            <v>0</v>
          </cell>
          <cell r="DY106">
            <v>261</v>
          </cell>
          <cell r="DZ106">
            <v>999999</v>
          </cell>
          <cell r="EA106">
            <v>999999</v>
          </cell>
          <cell r="EB106">
            <v>999999</v>
          </cell>
          <cell r="EC106">
            <v>0</v>
          </cell>
          <cell r="ED106">
            <v>0</v>
          </cell>
          <cell r="EE106">
            <v>0</v>
          </cell>
          <cell r="EF106">
            <v>0</v>
          </cell>
          <cell r="EG106">
            <v>0</v>
          </cell>
          <cell r="EH106">
            <v>0</v>
          </cell>
          <cell r="EI106">
            <v>0</v>
          </cell>
          <cell r="EJ106">
            <v>0</v>
          </cell>
          <cell r="EK106">
            <v>0</v>
          </cell>
          <cell r="EL106">
            <v>0</v>
          </cell>
          <cell r="EM106" t="str">
            <v/>
          </cell>
          <cell r="EN106" t="str">
            <v/>
          </cell>
          <cell r="EO106" t="str">
            <v/>
          </cell>
          <cell r="EP106" t="str">
            <v/>
          </cell>
          <cell r="EQ106" t="str">
            <v/>
          </cell>
          <cell r="ER106" t="str">
            <v/>
          </cell>
          <cell r="ES106" t="str">
            <v/>
          </cell>
          <cell r="ET106" t="str">
            <v/>
          </cell>
          <cell r="EU106" t="str">
            <v/>
          </cell>
          <cell r="EV106" t="str">
            <v/>
          </cell>
          <cell r="EW106" t="str">
            <v/>
          </cell>
          <cell r="EX106" t="str">
            <v/>
          </cell>
          <cell r="EY106" t="str">
            <v/>
          </cell>
          <cell r="EZ106" t="str">
            <v/>
          </cell>
          <cell r="FA106" t="str">
            <v/>
          </cell>
          <cell r="FB106" t="str">
            <v/>
          </cell>
          <cell r="FC106" t="str">
            <v/>
          </cell>
          <cell r="FD106" t="str">
            <v/>
          </cell>
          <cell r="FE106" t="str">
            <v/>
          </cell>
          <cell r="FF106" t="str">
            <v/>
          </cell>
          <cell r="FG106" t="str">
            <v/>
          </cell>
          <cell r="FH106" t="str">
            <v/>
          </cell>
          <cell r="FI106" t="str">
            <v/>
          </cell>
          <cell r="FJ106" t="str">
            <v/>
          </cell>
          <cell r="FK106" t="str">
            <v/>
          </cell>
          <cell r="FL106" t="str">
            <v/>
          </cell>
          <cell r="FM106" t="str">
            <v/>
          </cell>
          <cell r="FN106" t="str">
            <v/>
          </cell>
          <cell r="FO106" t="str">
            <v/>
          </cell>
          <cell r="FP106" t="str">
            <v/>
          </cell>
        </row>
        <row r="107">
          <cell r="N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AJ107">
            <v>0</v>
          </cell>
          <cell r="AK107">
            <v>0</v>
          </cell>
          <cell r="AL107">
            <v>999999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BE107">
            <v>48000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BQ107">
            <v>0</v>
          </cell>
          <cell r="CB107">
            <v>0</v>
          </cell>
          <cell r="CC107">
            <v>0</v>
          </cell>
          <cell r="CD107">
            <v>0</v>
          </cell>
          <cell r="CE107">
            <v>0</v>
          </cell>
          <cell r="CF107">
            <v>0</v>
          </cell>
          <cell r="CG107">
            <v>0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W107">
            <v>0</v>
          </cell>
          <cell r="CY107">
            <v>0</v>
          </cell>
          <cell r="CZ107">
            <v>0</v>
          </cell>
          <cell r="DA107">
            <v>0</v>
          </cell>
          <cell r="DB107">
            <v>0</v>
          </cell>
          <cell r="DC107">
            <v>0</v>
          </cell>
          <cell r="DD107">
            <v>0</v>
          </cell>
          <cell r="DE107">
            <v>0</v>
          </cell>
          <cell r="DF107">
            <v>0</v>
          </cell>
          <cell r="DG107">
            <v>0</v>
          </cell>
          <cell r="DH107">
            <v>0</v>
          </cell>
          <cell r="DS107">
            <v>0</v>
          </cell>
          <cell r="DT107">
            <v>260</v>
          </cell>
          <cell r="DU107">
            <v>999999</v>
          </cell>
          <cell r="DV107">
            <v>999999</v>
          </cell>
          <cell r="DW107">
            <v>999999</v>
          </cell>
          <cell r="DX107">
            <v>0</v>
          </cell>
          <cell r="DY107">
            <v>260</v>
          </cell>
          <cell r="DZ107">
            <v>999999</v>
          </cell>
          <cell r="EA107">
            <v>999999</v>
          </cell>
          <cell r="EB107">
            <v>999999</v>
          </cell>
          <cell r="EC107">
            <v>0</v>
          </cell>
          <cell r="ED107">
            <v>0</v>
          </cell>
          <cell r="EE107">
            <v>0</v>
          </cell>
          <cell r="EF107">
            <v>0</v>
          </cell>
          <cell r="EG107">
            <v>0</v>
          </cell>
          <cell r="EH107">
            <v>0</v>
          </cell>
          <cell r="EI107">
            <v>0</v>
          </cell>
          <cell r="EJ107">
            <v>0</v>
          </cell>
          <cell r="EK107">
            <v>0</v>
          </cell>
          <cell r="EL107">
            <v>0</v>
          </cell>
          <cell r="EM107" t="str">
            <v/>
          </cell>
          <cell r="EN107" t="str">
            <v/>
          </cell>
          <cell r="EO107" t="str">
            <v/>
          </cell>
          <cell r="EP107" t="str">
            <v/>
          </cell>
          <cell r="EQ107" t="str">
            <v/>
          </cell>
          <cell r="ER107" t="str">
            <v/>
          </cell>
          <cell r="ES107" t="str">
            <v/>
          </cell>
          <cell r="ET107" t="str">
            <v/>
          </cell>
          <cell r="EU107" t="str">
            <v/>
          </cell>
          <cell r="EV107" t="str">
            <v/>
          </cell>
          <cell r="EW107" t="str">
            <v/>
          </cell>
          <cell r="EX107" t="str">
            <v/>
          </cell>
          <cell r="EY107" t="str">
            <v/>
          </cell>
          <cell r="EZ107" t="str">
            <v/>
          </cell>
          <cell r="FA107" t="str">
            <v/>
          </cell>
          <cell r="FB107" t="str">
            <v/>
          </cell>
          <cell r="FC107" t="str">
            <v/>
          </cell>
          <cell r="FD107" t="str">
            <v/>
          </cell>
          <cell r="FE107" t="str">
            <v/>
          </cell>
          <cell r="FF107" t="str">
            <v/>
          </cell>
          <cell r="FG107" t="str">
            <v/>
          </cell>
          <cell r="FH107" t="str">
            <v/>
          </cell>
          <cell r="FI107" t="str">
            <v/>
          </cell>
          <cell r="FJ107" t="str">
            <v/>
          </cell>
          <cell r="FK107" t="str">
            <v/>
          </cell>
          <cell r="FL107" t="str">
            <v/>
          </cell>
          <cell r="FM107" t="str">
            <v/>
          </cell>
          <cell r="FN107" t="str">
            <v/>
          </cell>
          <cell r="FO107" t="str">
            <v/>
          </cell>
          <cell r="FP107" t="str">
            <v/>
          </cell>
        </row>
        <row r="108">
          <cell r="N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AJ108">
            <v>0</v>
          </cell>
          <cell r="AK108">
            <v>0</v>
          </cell>
          <cell r="AL108">
            <v>999999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BE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  <cell r="BP108">
            <v>0</v>
          </cell>
          <cell r="BQ108">
            <v>0</v>
          </cell>
          <cell r="CB108">
            <v>0</v>
          </cell>
          <cell r="CC108">
            <v>0</v>
          </cell>
          <cell r="CD108">
            <v>0</v>
          </cell>
          <cell r="CE108">
            <v>0</v>
          </cell>
          <cell r="CF108">
            <v>0</v>
          </cell>
          <cell r="CG108">
            <v>0</v>
          </cell>
          <cell r="CH108">
            <v>0</v>
          </cell>
          <cell r="CI108">
            <v>0</v>
          </cell>
          <cell r="CJ108">
            <v>0</v>
          </cell>
          <cell r="CK108">
            <v>0</v>
          </cell>
          <cell r="CW108">
            <v>0</v>
          </cell>
          <cell r="CY108">
            <v>0</v>
          </cell>
          <cell r="CZ108">
            <v>0</v>
          </cell>
          <cell r="DA108">
            <v>0</v>
          </cell>
          <cell r="DB108">
            <v>0</v>
          </cell>
          <cell r="DC108">
            <v>0</v>
          </cell>
          <cell r="DD108">
            <v>0</v>
          </cell>
          <cell r="DE108">
            <v>0</v>
          </cell>
          <cell r="DF108">
            <v>0</v>
          </cell>
          <cell r="DG108">
            <v>0</v>
          </cell>
          <cell r="DH108">
            <v>0</v>
          </cell>
          <cell r="DS108">
            <v>0</v>
          </cell>
          <cell r="DT108">
            <v>259</v>
          </cell>
          <cell r="DU108">
            <v>999999</v>
          </cell>
          <cell r="DV108">
            <v>999999</v>
          </cell>
          <cell r="DW108">
            <v>999999</v>
          </cell>
          <cell r="DX108">
            <v>0</v>
          </cell>
          <cell r="DY108">
            <v>259</v>
          </cell>
          <cell r="DZ108">
            <v>999999</v>
          </cell>
          <cell r="EA108">
            <v>999999</v>
          </cell>
          <cell r="EB108">
            <v>999999</v>
          </cell>
          <cell r="EC108">
            <v>0</v>
          </cell>
          <cell r="ED108">
            <v>0</v>
          </cell>
          <cell r="EE108">
            <v>0</v>
          </cell>
          <cell r="EF108">
            <v>0</v>
          </cell>
          <cell r="EG108">
            <v>0</v>
          </cell>
          <cell r="EH108">
            <v>0</v>
          </cell>
          <cell r="EI108">
            <v>0</v>
          </cell>
          <cell r="EJ108">
            <v>0</v>
          </cell>
          <cell r="EK108">
            <v>0</v>
          </cell>
          <cell r="EL108">
            <v>0</v>
          </cell>
          <cell r="EM108" t="str">
            <v/>
          </cell>
          <cell r="EN108" t="str">
            <v/>
          </cell>
          <cell r="EO108" t="str">
            <v/>
          </cell>
          <cell r="EP108" t="str">
            <v/>
          </cell>
          <cell r="EQ108" t="str">
            <v/>
          </cell>
          <cell r="ER108" t="str">
            <v/>
          </cell>
          <cell r="ES108" t="str">
            <v/>
          </cell>
          <cell r="ET108" t="str">
            <v/>
          </cell>
          <cell r="EU108" t="str">
            <v/>
          </cell>
          <cell r="EV108" t="str">
            <v/>
          </cell>
          <cell r="EW108" t="str">
            <v/>
          </cell>
          <cell r="EX108" t="str">
            <v/>
          </cell>
          <cell r="EY108" t="str">
            <v/>
          </cell>
          <cell r="EZ108" t="str">
            <v/>
          </cell>
          <cell r="FA108" t="str">
            <v/>
          </cell>
          <cell r="FB108" t="str">
            <v/>
          </cell>
          <cell r="FC108" t="str">
            <v/>
          </cell>
          <cell r="FD108" t="str">
            <v/>
          </cell>
          <cell r="FE108" t="str">
            <v/>
          </cell>
          <cell r="FF108" t="str">
            <v/>
          </cell>
          <cell r="FG108" t="str">
            <v/>
          </cell>
          <cell r="FH108" t="str">
            <v/>
          </cell>
          <cell r="FI108" t="str">
            <v/>
          </cell>
          <cell r="FJ108" t="str">
            <v/>
          </cell>
          <cell r="FK108" t="str">
            <v/>
          </cell>
          <cell r="FL108" t="str">
            <v/>
          </cell>
          <cell r="FM108" t="str">
            <v/>
          </cell>
          <cell r="FN108" t="str">
            <v/>
          </cell>
          <cell r="FO108" t="str">
            <v/>
          </cell>
          <cell r="FP108" t="str">
            <v/>
          </cell>
        </row>
        <row r="109">
          <cell r="N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AJ109">
            <v>0</v>
          </cell>
          <cell r="AK109">
            <v>0</v>
          </cell>
          <cell r="AL109">
            <v>999999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BE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P109">
            <v>0</v>
          </cell>
          <cell r="BQ109">
            <v>0</v>
          </cell>
          <cell r="CB109">
            <v>0</v>
          </cell>
          <cell r="CC109">
            <v>0</v>
          </cell>
          <cell r="CD109">
            <v>0</v>
          </cell>
          <cell r="CE109">
            <v>0</v>
          </cell>
          <cell r="CF109">
            <v>0</v>
          </cell>
          <cell r="CG109">
            <v>0</v>
          </cell>
          <cell r="CH109">
            <v>0</v>
          </cell>
          <cell r="CI109">
            <v>0</v>
          </cell>
          <cell r="CJ109">
            <v>0</v>
          </cell>
          <cell r="CK109">
            <v>0</v>
          </cell>
          <cell r="CW109">
            <v>0</v>
          </cell>
          <cell r="CY109">
            <v>0</v>
          </cell>
          <cell r="CZ109">
            <v>0</v>
          </cell>
          <cell r="DA109">
            <v>0</v>
          </cell>
          <cell r="DB109">
            <v>0</v>
          </cell>
          <cell r="DC109">
            <v>0</v>
          </cell>
          <cell r="DD109">
            <v>0</v>
          </cell>
          <cell r="DE109">
            <v>0</v>
          </cell>
          <cell r="DF109">
            <v>0</v>
          </cell>
          <cell r="DG109">
            <v>0</v>
          </cell>
          <cell r="DH109">
            <v>0</v>
          </cell>
          <cell r="DS109">
            <v>0</v>
          </cell>
          <cell r="DT109">
            <v>258</v>
          </cell>
          <cell r="DU109">
            <v>999999</v>
          </cell>
          <cell r="DV109">
            <v>999999</v>
          </cell>
          <cell r="DW109">
            <v>999999</v>
          </cell>
          <cell r="DX109">
            <v>0</v>
          </cell>
          <cell r="DY109">
            <v>258</v>
          </cell>
          <cell r="DZ109">
            <v>999999</v>
          </cell>
          <cell r="EA109">
            <v>999999</v>
          </cell>
          <cell r="EB109">
            <v>999999</v>
          </cell>
          <cell r="EC109">
            <v>0</v>
          </cell>
          <cell r="ED109">
            <v>0</v>
          </cell>
          <cell r="EE109">
            <v>0</v>
          </cell>
          <cell r="EF109">
            <v>0</v>
          </cell>
          <cell r="EG109">
            <v>0</v>
          </cell>
          <cell r="EH109">
            <v>0</v>
          </cell>
          <cell r="EI109">
            <v>0</v>
          </cell>
          <cell r="EJ109">
            <v>0</v>
          </cell>
          <cell r="EK109">
            <v>0</v>
          </cell>
          <cell r="EL109">
            <v>0</v>
          </cell>
          <cell r="EM109" t="str">
            <v/>
          </cell>
          <cell r="EN109" t="str">
            <v/>
          </cell>
          <cell r="EO109" t="str">
            <v/>
          </cell>
          <cell r="EP109" t="str">
            <v/>
          </cell>
          <cell r="EQ109" t="str">
            <v/>
          </cell>
          <cell r="ER109" t="str">
            <v/>
          </cell>
          <cell r="ES109" t="str">
            <v/>
          </cell>
          <cell r="ET109" t="str">
            <v/>
          </cell>
          <cell r="EU109" t="str">
            <v/>
          </cell>
          <cell r="EV109" t="str">
            <v/>
          </cell>
          <cell r="EW109" t="str">
            <v/>
          </cell>
          <cell r="EX109" t="str">
            <v/>
          </cell>
          <cell r="EY109" t="str">
            <v/>
          </cell>
          <cell r="EZ109" t="str">
            <v/>
          </cell>
          <cell r="FA109" t="str">
            <v/>
          </cell>
          <cell r="FB109" t="str">
            <v/>
          </cell>
          <cell r="FC109" t="str">
            <v/>
          </cell>
          <cell r="FD109" t="str">
            <v/>
          </cell>
          <cell r="FE109" t="str">
            <v/>
          </cell>
          <cell r="FF109" t="str">
            <v/>
          </cell>
          <cell r="FG109" t="str">
            <v/>
          </cell>
          <cell r="FH109" t="str">
            <v/>
          </cell>
          <cell r="FI109" t="str">
            <v/>
          </cell>
          <cell r="FJ109" t="str">
            <v/>
          </cell>
          <cell r="FK109" t="str">
            <v/>
          </cell>
          <cell r="FL109" t="str">
            <v/>
          </cell>
          <cell r="FM109" t="str">
            <v/>
          </cell>
          <cell r="FN109" t="str">
            <v/>
          </cell>
          <cell r="FO109" t="str">
            <v/>
          </cell>
          <cell r="FP109" t="str">
            <v/>
          </cell>
        </row>
        <row r="110">
          <cell r="N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AJ110">
            <v>0</v>
          </cell>
          <cell r="AK110">
            <v>0</v>
          </cell>
          <cell r="AL110">
            <v>999999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BE110">
            <v>0</v>
          </cell>
          <cell r="BH110">
            <v>0</v>
          </cell>
          <cell r="BI110">
            <v>0</v>
          </cell>
          <cell r="BJ110">
            <v>0</v>
          </cell>
          <cell r="BK110">
            <v>0</v>
          </cell>
          <cell r="BL110">
            <v>0</v>
          </cell>
          <cell r="BM110">
            <v>0</v>
          </cell>
          <cell r="BN110">
            <v>0</v>
          </cell>
          <cell r="BO110">
            <v>0</v>
          </cell>
          <cell r="BP110">
            <v>0</v>
          </cell>
          <cell r="BQ110">
            <v>0</v>
          </cell>
          <cell r="CB110">
            <v>0</v>
          </cell>
          <cell r="CC110">
            <v>0</v>
          </cell>
          <cell r="CD110">
            <v>0</v>
          </cell>
          <cell r="CE110">
            <v>0</v>
          </cell>
          <cell r="CF110">
            <v>0</v>
          </cell>
          <cell r="CG110">
            <v>0</v>
          </cell>
          <cell r="CH110">
            <v>0</v>
          </cell>
          <cell r="CI110">
            <v>0</v>
          </cell>
          <cell r="CJ110">
            <v>0</v>
          </cell>
          <cell r="CK110">
            <v>0</v>
          </cell>
          <cell r="CW110">
            <v>0</v>
          </cell>
          <cell r="CY110">
            <v>0</v>
          </cell>
          <cell r="CZ110">
            <v>0</v>
          </cell>
          <cell r="DA110">
            <v>0</v>
          </cell>
          <cell r="DB110">
            <v>0</v>
          </cell>
          <cell r="DC110">
            <v>0</v>
          </cell>
          <cell r="DD110">
            <v>0</v>
          </cell>
          <cell r="DE110">
            <v>0</v>
          </cell>
          <cell r="DF110">
            <v>0</v>
          </cell>
          <cell r="DG110">
            <v>0</v>
          </cell>
          <cell r="DH110">
            <v>0</v>
          </cell>
          <cell r="DS110">
            <v>0</v>
          </cell>
          <cell r="DT110">
            <v>257</v>
          </cell>
          <cell r="DU110">
            <v>999999</v>
          </cell>
          <cell r="DV110">
            <v>999999</v>
          </cell>
          <cell r="DW110">
            <v>999999</v>
          </cell>
          <cell r="DX110">
            <v>0</v>
          </cell>
          <cell r="DY110">
            <v>257</v>
          </cell>
          <cell r="DZ110">
            <v>999999</v>
          </cell>
          <cell r="EA110">
            <v>999999</v>
          </cell>
          <cell r="EB110">
            <v>999999</v>
          </cell>
          <cell r="EC110">
            <v>0</v>
          </cell>
          <cell r="ED110">
            <v>0</v>
          </cell>
          <cell r="EE110">
            <v>0</v>
          </cell>
          <cell r="EF110">
            <v>0</v>
          </cell>
          <cell r="EG110">
            <v>0</v>
          </cell>
          <cell r="EH110">
            <v>0</v>
          </cell>
          <cell r="EI110">
            <v>0</v>
          </cell>
          <cell r="EJ110">
            <v>0</v>
          </cell>
          <cell r="EK110">
            <v>0</v>
          </cell>
          <cell r="EL110">
            <v>0</v>
          </cell>
          <cell r="EM110" t="str">
            <v/>
          </cell>
          <cell r="EN110" t="str">
            <v/>
          </cell>
          <cell r="EO110" t="str">
            <v/>
          </cell>
          <cell r="EP110" t="str">
            <v/>
          </cell>
          <cell r="EQ110" t="str">
            <v/>
          </cell>
          <cell r="ER110" t="str">
            <v/>
          </cell>
          <cell r="ES110" t="str">
            <v/>
          </cell>
          <cell r="ET110" t="str">
            <v/>
          </cell>
          <cell r="EU110" t="str">
            <v/>
          </cell>
          <cell r="EV110" t="str">
            <v/>
          </cell>
          <cell r="EW110" t="str">
            <v/>
          </cell>
          <cell r="EX110" t="str">
            <v/>
          </cell>
          <cell r="EY110" t="str">
            <v/>
          </cell>
          <cell r="EZ110" t="str">
            <v/>
          </cell>
          <cell r="FA110" t="str">
            <v/>
          </cell>
          <cell r="FB110" t="str">
            <v/>
          </cell>
          <cell r="FC110" t="str">
            <v/>
          </cell>
          <cell r="FD110" t="str">
            <v/>
          </cell>
          <cell r="FE110" t="str">
            <v/>
          </cell>
          <cell r="FF110" t="str">
            <v/>
          </cell>
          <cell r="FG110" t="str">
            <v/>
          </cell>
          <cell r="FH110" t="str">
            <v/>
          </cell>
          <cell r="FI110" t="str">
            <v/>
          </cell>
          <cell r="FJ110" t="str">
            <v/>
          </cell>
          <cell r="FK110" t="str">
            <v/>
          </cell>
          <cell r="FL110" t="str">
            <v/>
          </cell>
          <cell r="FM110" t="str">
            <v/>
          </cell>
          <cell r="FN110" t="str">
            <v/>
          </cell>
          <cell r="FO110" t="str">
            <v/>
          </cell>
          <cell r="FP110" t="str">
            <v/>
          </cell>
        </row>
        <row r="111">
          <cell r="N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AJ111">
            <v>0</v>
          </cell>
          <cell r="AK111">
            <v>0</v>
          </cell>
          <cell r="AL111">
            <v>999999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BE111">
            <v>0</v>
          </cell>
          <cell r="BH111">
            <v>0</v>
          </cell>
          <cell r="BI111">
            <v>0</v>
          </cell>
          <cell r="BJ111">
            <v>0</v>
          </cell>
          <cell r="BK111">
            <v>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P111">
            <v>0</v>
          </cell>
          <cell r="BQ111">
            <v>0</v>
          </cell>
          <cell r="CB111">
            <v>0</v>
          </cell>
          <cell r="CC111">
            <v>0</v>
          </cell>
          <cell r="CD111">
            <v>0</v>
          </cell>
          <cell r="CE111">
            <v>0</v>
          </cell>
          <cell r="CF111">
            <v>0</v>
          </cell>
          <cell r="CG111">
            <v>0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W111">
            <v>0</v>
          </cell>
          <cell r="CY111">
            <v>0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H111">
            <v>0</v>
          </cell>
          <cell r="DS111">
            <v>0</v>
          </cell>
          <cell r="DT111">
            <v>256</v>
          </cell>
          <cell r="DU111">
            <v>999999</v>
          </cell>
          <cell r="DV111">
            <v>999999</v>
          </cell>
          <cell r="DW111">
            <v>999999</v>
          </cell>
          <cell r="DX111">
            <v>0</v>
          </cell>
          <cell r="DY111">
            <v>256</v>
          </cell>
          <cell r="DZ111">
            <v>999999</v>
          </cell>
          <cell r="EA111">
            <v>999999</v>
          </cell>
          <cell r="EB111">
            <v>999999</v>
          </cell>
          <cell r="EC111">
            <v>0</v>
          </cell>
          <cell r="ED111">
            <v>0</v>
          </cell>
          <cell r="EE111">
            <v>0</v>
          </cell>
          <cell r="EF111">
            <v>0</v>
          </cell>
          <cell r="EG111">
            <v>0</v>
          </cell>
          <cell r="EH111">
            <v>0</v>
          </cell>
          <cell r="EI111">
            <v>0</v>
          </cell>
          <cell r="EJ111">
            <v>0</v>
          </cell>
          <cell r="EK111">
            <v>0</v>
          </cell>
          <cell r="EL111">
            <v>0</v>
          </cell>
          <cell r="EM111" t="str">
            <v/>
          </cell>
          <cell r="EN111" t="str">
            <v/>
          </cell>
          <cell r="EO111" t="str">
            <v/>
          </cell>
          <cell r="EP111" t="str">
            <v/>
          </cell>
          <cell r="EQ111" t="str">
            <v/>
          </cell>
          <cell r="ER111" t="str">
            <v/>
          </cell>
          <cell r="ES111" t="str">
            <v/>
          </cell>
          <cell r="ET111" t="str">
            <v/>
          </cell>
          <cell r="EU111" t="str">
            <v/>
          </cell>
          <cell r="EV111" t="str">
            <v/>
          </cell>
          <cell r="EW111" t="str">
            <v/>
          </cell>
          <cell r="EX111" t="str">
            <v/>
          </cell>
          <cell r="EY111" t="str">
            <v/>
          </cell>
          <cell r="EZ111" t="str">
            <v/>
          </cell>
          <cell r="FA111" t="str">
            <v/>
          </cell>
          <cell r="FB111" t="str">
            <v/>
          </cell>
          <cell r="FC111" t="str">
            <v/>
          </cell>
          <cell r="FD111" t="str">
            <v/>
          </cell>
          <cell r="FE111" t="str">
            <v/>
          </cell>
          <cell r="FF111" t="str">
            <v/>
          </cell>
          <cell r="FG111" t="str">
            <v/>
          </cell>
          <cell r="FH111" t="str">
            <v/>
          </cell>
          <cell r="FI111" t="str">
            <v/>
          </cell>
          <cell r="FJ111" t="str">
            <v/>
          </cell>
          <cell r="FK111" t="str">
            <v/>
          </cell>
          <cell r="FL111" t="str">
            <v/>
          </cell>
          <cell r="FM111" t="str">
            <v/>
          </cell>
          <cell r="FN111" t="str">
            <v/>
          </cell>
          <cell r="FO111" t="str">
            <v/>
          </cell>
          <cell r="FP111" t="str">
            <v/>
          </cell>
        </row>
        <row r="112">
          <cell r="N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AJ112">
            <v>0</v>
          </cell>
          <cell r="AK112">
            <v>0</v>
          </cell>
          <cell r="AL112">
            <v>999999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BE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  <cell r="BP112">
            <v>0</v>
          </cell>
          <cell r="BQ112">
            <v>0</v>
          </cell>
          <cell r="CB112">
            <v>0</v>
          </cell>
          <cell r="CC112">
            <v>0</v>
          </cell>
          <cell r="CD112">
            <v>0</v>
          </cell>
          <cell r="CE112">
            <v>0</v>
          </cell>
          <cell r="CF112">
            <v>0</v>
          </cell>
          <cell r="CG112">
            <v>0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  <cell r="CW112">
            <v>0</v>
          </cell>
          <cell r="CY112">
            <v>0</v>
          </cell>
          <cell r="CZ112">
            <v>0</v>
          </cell>
          <cell r="DA112">
            <v>0</v>
          </cell>
          <cell r="DB112">
            <v>0</v>
          </cell>
          <cell r="DC112">
            <v>0</v>
          </cell>
          <cell r="DD112">
            <v>0</v>
          </cell>
          <cell r="DE112">
            <v>0</v>
          </cell>
          <cell r="DF112">
            <v>0</v>
          </cell>
          <cell r="DG112">
            <v>0</v>
          </cell>
          <cell r="DH112">
            <v>0</v>
          </cell>
          <cell r="DS112">
            <v>0</v>
          </cell>
          <cell r="DT112">
            <v>255</v>
          </cell>
          <cell r="DU112">
            <v>999999</v>
          </cell>
          <cell r="DV112">
            <v>999999</v>
          </cell>
          <cell r="DW112">
            <v>999999</v>
          </cell>
          <cell r="DX112">
            <v>0</v>
          </cell>
          <cell r="DY112">
            <v>255</v>
          </cell>
          <cell r="DZ112">
            <v>999999</v>
          </cell>
          <cell r="EA112">
            <v>999999</v>
          </cell>
          <cell r="EB112">
            <v>999999</v>
          </cell>
          <cell r="EC112">
            <v>0</v>
          </cell>
          <cell r="ED112">
            <v>0</v>
          </cell>
          <cell r="EE112">
            <v>0</v>
          </cell>
          <cell r="EF112">
            <v>0</v>
          </cell>
          <cell r="EG112">
            <v>0</v>
          </cell>
          <cell r="EH112">
            <v>0</v>
          </cell>
          <cell r="EI112">
            <v>0</v>
          </cell>
          <cell r="EJ112">
            <v>0</v>
          </cell>
          <cell r="EK112">
            <v>0</v>
          </cell>
          <cell r="EL112">
            <v>0</v>
          </cell>
          <cell r="EM112" t="str">
            <v/>
          </cell>
          <cell r="EN112" t="str">
            <v/>
          </cell>
          <cell r="EO112" t="str">
            <v/>
          </cell>
          <cell r="EP112" t="str">
            <v/>
          </cell>
          <cell r="EQ112" t="str">
            <v/>
          </cell>
          <cell r="ER112" t="str">
            <v/>
          </cell>
          <cell r="ES112" t="str">
            <v/>
          </cell>
          <cell r="ET112" t="str">
            <v/>
          </cell>
          <cell r="EU112" t="str">
            <v/>
          </cell>
          <cell r="EV112" t="str">
            <v/>
          </cell>
          <cell r="EW112" t="str">
            <v/>
          </cell>
          <cell r="EX112" t="str">
            <v/>
          </cell>
          <cell r="EY112" t="str">
            <v/>
          </cell>
          <cell r="EZ112" t="str">
            <v/>
          </cell>
          <cell r="FA112" t="str">
            <v/>
          </cell>
          <cell r="FB112" t="str">
            <v/>
          </cell>
          <cell r="FC112" t="str">
            <v/>
          </cell>
          <cell r="FD112" t="str">
            <v/>
          </cell>
          <cell r="FE112" t="str">
            <v/>
          </cell>
          <cell r="FF112" t="str">
            <v/>
          </cell>
          <cell r="FG112" t="str">
            <v/>
          </cell>
          <cell r="FH112" t="str">
            <v/>
          </cell>
          <cell r="FI112" t="str">
            <v/>
          </cell>
          <cell r="FJ112" t="str">
            <v/>
          </cell>
          <cell r="FK112" t="str">
            <v/>
          </cell>
          <cell r="FL112" t="str">
            <v/>
          </cell>
          <cell r="FM112" t="str">
            <v/>
          </cell>
          <cell r="FN112" t="str">
            <v/>
          </cell>
          <cell r="FO112" t="str">
            <v/>
          </cell>
          <cell r="FP112" t="str">
            <v/>
          </cell>
        </row>
        <row r="113">
          <cell r="N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AJ113">
            <v>0</v>
          </cell>
          <cell r="AK113">
            <v>0</v>
          </cell>
          <cell r="AL113">
            <v>999999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BE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BQ113">
            <v>0</v>
          </cell>
          <cell r="CB113">
            <v>0</v>
          </cell>
          <cell r="CC113">
            <v>0</v>
          </cell>
          <cell r="CD113">
            <v>0</v>
          </cell>
          <cell r="CE113">
            <v>0</v>
          </cell>
          <cell r="CF113">
            <v>0</v>
          </cell>
          <cell r="CG113">
            <v>0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  <cell r="CW113">
            <v>0</v>
          </cell>
          <cell r="CY113">
            <v>0</v>
          </cell>
          <cell r="CZ113">
            <v>0</v>
          </cell>
          <cell r="DA113">
            <v>0</v>
          </cell>
          <cell r="DB113">
            <v>0</v>
          </cell>
          <cell r="DC113">
            <v>0</v>
          </cell>
          <cell r="DD113">
            <v>0</v>
          </cell>
          <cell r="DE113">
            <v>0</v>
          </cell>
          <cell r="DF113">
            <v>0</v>
          </cell>
          <cell r="DG113">
            <v>0</v>
          </cell>
          <cell r="DH113">
            <v>0</v>
          </cell>
          <cell r="DS113">
            <v>0</v>
          </cell>
          <cell r="DT113">
            <v>254</v>
          </cell>
          <cell r="DU113">
            <v>999999</v>
          </cell>
          <cell r="DV113">
            <v>999999</v>
          </cell>
          <cell r="DW113">
            <v>999999</v>
          </cell>
          <cell r="DX113">
            <v>0</v>
          </cell>
          <cell r="DY113">
            <v>254</v>
          </cell>
          <cell r="DZ113">
            <v>999999</v>
          </cell>
          <cell r="EA113">
            <v>999999</v>
          </cell>
          <cell r="EB113">
            <v>999999</v>
          </cell>
          <cell r="EC113">
            <v>0</v>
          </cell>
          <cell r="ED113">
            <v>0</v>
          </cell>
          <cell r="EE113">
            <v>0</v>
          </cell>
          <cell r="EF113">
            <v>0</v>
          </cell>
          <cell r="EG113">
            <v>0</v>
          </cell>
          <cell r="EH113">
            <v>0</v>
          </cell>
          <cell r="EI113">
            <v>0</v>
          </cell>
          <cell r="EJ113">
            <v>0</v>
          </cell>
          <cell r="EK113">
            <v>0</v>
          </cell>
          <cell r="EL113">
            <v>0</v>
          </cell>
          <cell r="EM113" t="str">
            <v/>
          </cell>
          <cell r="EN113" t="str">
            <v/>
          </cell>
          <cell r="EO113" t="str">
            <v/>
          </cell>
          <cell r="EP113" t="str">
            <v/>
          </cell>
          <cell r="EQ113" t="str">
            <v/>
          </cell>
          <cell r="ER113" t="str">
            <v/>
          </cell>
          <cell r="ES113" t="str">
            <v/>
          </cell>
          <cell r="ET113" t="str">
            <v/>
          </cell>
          <cell r="EU113" t="str">
            <v/>
          </cell>
          <cell r="EV113" t="str">
            <v/>
          </cell>
          <cell r="EW113" t="str">
            <v/>
          </cell>
          <cell r="EX113" t="str">
            <v/>
          </cell>
          <cell r="EY113" t="str">
            <v/>
          </cell>
          <cell r="EZ113" t="str">
            <v/>
          </cell>
          <cell r="FA113" t="str">
            <v/>
          </cell>
          <cell r="FB113" t="str">
            <v/>
          </cell>
          <cell r="FC113" t="str">
            <v/>
          </cell>
          <cell r="FD113" t="str">
            <v/>
          </cell>
          <cell r="FE113" t="str">
            <v/>
          </cell>
          <cell r="FF113" t="str">
            <v/>
          </cell>
          <cell r="FG113" t="str">
            <v/>
          </cell>
          <cell r="FH113" t="str">
            <v/>
          </cell>
          <cell r="FI113" t="str">
            <v/>
          </cell>
          <cell r="FJ113" t="str">
            <v/>
          </cell>
          <cell r="FK113" t="str">
            <v/>
          </cell>
          <cell r="FL113" t="str">
            <v/>
          </cell>
          <cell r="FM113" t="str">
            <v/>
          </cell>
          <cell r="FN113" t="str">
            <v/>
          </cell>
          <cell r="FO113" t="str">
            <v/>
          </cell>
          <cell r="FP113" t="str">
            <v/>
          </cell>
        </row>
        <row r="114">
          <cell r="N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AJ114">
            <v>0</v>
          </cell>
          <cell r="AK114">
            <v>0</v>
          </cell>
          <cell r="AL114">
            <v>999999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BE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P114">
            <v>0</v>
          </cell>
          <cell r="BQ114">
            <v>0</v>
          </cell>
          <cell r="CB114">
            <v>0</v>
          </cell>
          <cell r="CC114">
            <v>0</v>
          </cell>
          <cell r="CD114">
            <v>0</v>
          </cell>
          <cell r="CE114">
            <v>0</v>
          </cell>
          <cell r="CF114">
            <v>0</v>
          </cell>
          <cell r="CG114">
            <v>0</v>
          </cell>
          <cell r="CH114">
            <v>0</v>
          </cell>
          <cell r="CI114">
            <v>0</v>
          </cell>
          <cell r="CJ114">
            <v>0</v>
          </cell>
          <cell r="CK114">
            <v>0</v>
          </cell>
          <cell r="CW114">
            <v>0</v>
          </cell>
          <cell r="CY114">
            <v>0</v>
          </cell>
          <cell r="CZ114">
            <v>0</v>
          </cell>
          <cell r="DA114">
            <v>0</v>
          </cell>
          <cell r="DB114">
            <v>0</v>
          </cell>
          <cell r="DC114">
            <v>0</v>
          </cell>
          <cell r="DD114">
            <v>0</v>
          </cell>
          <cell r="DE114">
            <v>0</v>
          </cell>
          <cell r="DF114">
            <v>0</v>
          </cell>
          <cell r="DG114">
            <v>0</v>
          </cell>
          <cell r="DH114">
            <v>0</v>
          </cell>
          <cell r="DS114">
            <v>0</v>
          </cell>
          <cell r="DT114">
            <v>253</v>
          </cell>
          <cell r="DU114">
            <v>999999</v>
          </cell>
          <cell r="DV114">
            <v>999999</v>
          </cell>
          <cell r="DW114">
            <v>999999</v>
          </cell>
          <cell r="DX114">
            <v>0</v>
          </cell>
          <cell r="DY114">
            <v>253</v>
          </cell>
          <cell r="DZ114">
            <v>999999</v>
          </cell>
          <cell r="EA114">
            <v>999999</v>
          </cell>
          <cell r="EB114">
            <v>999999</v>
          </cell>
          <cell r="EC114">
            <v>0</v>
          </cell>
          <cell r="ED114">
            <v>0</v>
          </cell>
          <cell r="EE114">
            <v>0</v>
          </cell>
          <cell r="EF114">
            <v>0</v>
          </cell>
          <cell r="EG114">
            <v>0</v>
          </cell>
          <cell r="EH114">
            <v>0</v>
          </cell>
          <cell r="EI114">
            <v>0</v>
          </cell>
          <cell r="EJ114">
            <v>0</v>
          </cell>
          <cell r="EK114">
            <v>0</v>
          </cell>
          <cell r="EL114">
            <v>0</v>
          </cell>
          <cell r="EM114" t="str">
            <v/>
          </cell>
          <cell r="EN114" t="str">
            <v/>
          </cell>
          <cell r="EO114" t="str">
            <v/>
          </cell>
          <cell r="EP114" t="str">
            <v/>
          </cell>
          <cell r="EQ114" t="str">
            <v/>
          </cell>
          <cell r="ER114" t="str">
            <v/>
          </cell>
          <cell r="ES114" t="str">
            <v/>
          </cell>
          <cell r="ET114" t="str">
            <v/>
          </cell>
          <cell r="EU114" t="str">
            <v/>
          </cell>
          <cell r="EV114" t="str">
            <v/>
          </cell>
          <cell r="EW114" t="str">
            <v/>
          </cell>
          <cell r="EX114" t="str">
            <v/>
          </cell>
          <cell r="EY114" t="str">
            <v/>
          </cell>
          <cell r="EZ114" t="str">
            <v/>
          </cell>
          <cell r="FA114" t="str">
            <v/>
          </cell>
          <cell r="FB114" t="str">
            <v/>
          </cell>
          <cell r="FC114" t="str">
            <v/>
          </cell>
          <cell r="FD114" t="str">
            <v/>
          </cell>
          <cell r="FE114" t="str">
            <v/>
          </cell>
          <cell r="FF114" t="str">
            <v/>
          </cell>
          <cell r="FG114" t="str">
            <v/>
          </cell>
          <cell r="FH114" t="str">
            <v/>
          </cell>
          <cell r="FI114" t="str">
            <v/>
          </cell>
          <cell r="FJ114" t="str">
            <v/>
          </cell>
          <cell r="FK114" t="str">
            <v/>
          </cell>
          <cell r="FL114" t="str">
            <v/>
          </cell>
          <cell r="FM114" t="str">
            <v/>
          </cell>
          <cell r="FN114" t="str">
            <v/>
          </cell>
          <cell r="FO114" t="str">
            <v/>
          </cell>
          <cell r="FP114" t="str">
            <v/>
          </cell>
        </row>
        <row r="115">
          <cell r="N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AJ115">
            <v>0</v>
          </cell>
          <cell r="AK115">
            <v>0</v>
          </cell>
          <cell r="AL115">
            <v>999999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BE115">
            <v>48000</v>
          </cell>
          <cell r="BH115">
            <v>0</v>
          </cell>
          <cell r="BI115">
            <v>0</v>
          </cell>
          <cell r="BJ115">
            <v>0</v>
          </cell>
          <cell r="BK115">
            <v>0</v>
          </cell>
          <cell r="BL115">
            <v>0</v>
          </cell>
          <cell r="BM115">
            <v>0</v>
          </cell>
          <cell r="BN115">
            <v>0</v>
          </cell>
          <cell r="BO115">
            <v>0</v>
          </cell>
          <cell r="BP115">
            <v>0</v>
          </cell>
          <cell r="BQ115">
            <v>0</v>
          </cell>
          <cell r="CB115">
            <v>0</v>
          </cell>
          <cell r="CC115">
            <v>0</v>
          </cell>
          <cell r="CD115">
            <v>0</v>
          </cell>
          <cell r="CE115">
            <v>0</v>
          </cell>
          <cell r="CF115">
            <v>0</v>
          </cell>
          <cell r="CG115">
            <v>0</v>
          </cell>
          <cell r="CH115">
            <v>0</v>
          </cell>
          <cell r="CI115">
            <v>0</v>
          </cell>
          <cell r="CJ115">
            <v>0</v>
          </cell>
          <cell r="CK115">
            <v>0</v>
          </cell>
          <cell r="CW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S115">
            <v>0</v>
          </cell>
          <cell r="DT115">
            <v>252</v>
          </cell>
          <cell r="DU115">
            <v>999999</v>
          </cell>
          <cell r="DV115">
            <v>999999</v>
          </cell>
          <cell r="DW115">
            <v>999999</v>
          </cell>
          <cell r="DX115">
            <v>0</v>
          </cell>
          <cell r="DY115">
            <v>252</v>
          </cell>
          <cell r="DZ115">
            <v>999999</v>
          </cell>
          <cell r="EA115">
            <v>999999</v>
          </cell>
          <cell r="EB115">
            <v>999999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 t="str">
            <v/>
          </cell>
          <cell r="EN115" t="str">
            <v/>
          </cell>
          <cell r="EO115" t="str">
            <v/>
          </cell>
          <cell r="EP115" t="str">
            <v/>
          </cell>
          <cell r="EQ115" t="str">
            <v/>
          </cell>
          <cell r="ER115" t="str">
            <v/>
          </cell>
          <cell r="ES115" t="str">
            <v/>
          </cell>
          <cell r="ET115" t="str">
            <v/>
          </cell>
          <cell r="EU115" t="str">
            <v/>
          </cell>
          <cell r="EV115" t="str">
            <v/>
          </cell>
          <cell r="EW115" t="str">
            <v/>
          </cell>
          <cell r="EX115" t="str">
            <v/>
          </cell>
          <cell r="EY115" t="str">
            <v/>
          </cell>
          <cell r="EZ115" t="str">
            <v/>
          </cell>
          <cell r="FA115" t="str">
            <v/>
          </cell>
          <cell r="FB115" t="str">
            <v/>
          </cell>
          <cell r="FC115" t="str">
            <v/>
          </cell>
          <cell r="FD115" t="str">
            <v/>
          </cell>
          <cell r="FE115" t="str">
            <v/>
          </cell>
          <cell r="FF115" t="str">
            <v/>
          </cell>
          <cell r="FG115" t="str">
            <v/>
          </cell>
          <cell r="FH115" t="str">
            <v/>
          </cell>
          <cell r="FI115" t="str">
            <v/>
          </cell>
          <cell r="FJ115" t="str">
            <v/>
          </cell>
          <cell r="FK115" t="str">
            <v/>
          </cell>
          <cell r="FL115" t="str">
            <v/>
          </cell>
          <cell r="FM115" t="str">
            <v/>
          </cell>
          <cell r="FN115" t="str">
            <v/>
          </cell>
          <cell r="FO115" t="str">
            <v/>
          </cell>
          <cell r="FP115" t="str">
            <v/>
          </cell>
        </row>
        <row r="116">
          <cell r="N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AJ116">
            <v>0</v>
          </cell>
          <cell r="AK116">
            <v>0</v>
          </cell>
          <cell r="AL116">
            <v>999999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BE116">
            <v>0</v>
          </cell>
          <cell r="BH116">
            <v>0</v>
          </cell>
          <cell r="BI116">
            <v>0</v>
          </cell>
          <cell r="BJ116">
            <v>0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CB116">
            <v>0</v>
          </cell>
          <cell r="CC116">
            <v>0</v>
          </cell>
          <cell r="CD116">
            <v>0</v>
          </cell>
          <cell r="CE116">
            <v>0</v>
          </cell>
          <cell r="CF116">
            <v>0</v>
          </cell>
          <cell r="CG116">
            <v>0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W116">
            <v>0</v>
          </cell>
          <cell r="CY116">
            <v>0</v>
          </cell>
          <cell r="CZ116">
            <v>0</v>
          </cell>
          <cell r="DA116">
            <v>0</v>
          </cell>
          <cell r="DB116">
            <v>0</v>
          </cell>
          <cell r="DC116">
            <v>0</v>
          </cell>
          <cell r="DD116">
            <v>0</v>
          </cell>
          <cell r="DE116">
            <v>0</v>
          </cell>
          <cell r="DF116">
            <v>0</v>
          </cell>
          <cell r="DG116">
            <v>0</v>
          </cell>
          <cell r="DH116">
            <v>0</v>
          </cell>
          <cell r="DS116">
            <v>0</v>
          </cell>
          <cell r="DT116">
            <v>251</v>
          </cell>
          <cell r="DU116">
            <v>999999</v>
          </cell>
          <cell r="DV116">
            <v>999999</v>
          </cell>
          <cell r="DW116">
            <v>999999</v>
          </cell>
          <cell r="DX116">
            <v>0</v>
          </cell>
          <cell r="DY116">
            <v>251</v>
          </cell>
          <cell r="DZ116">
            <v>999999</v>
          </cell>
          <cell r="EA116">
            <v>999999</v>
          </cell>
          <cell r="EB116">
            <v>999999</v>
          </cell>
          <cell r="EC116">
            <v>0</v>
          </cell>
          <cell r="ED116">
            <v>0</v>
          </cell>
          <cell r="EE116">
            <v>0</v>
          </cell>
          <cell r="EF116">
            <v>0</v>
          </cell>
          <cell r="EG116">
            <v>0</v>
          </cell>
          <cell r="EH116">
            <v>0</v>
          </cell>
          <cell r="EI116">
            <v>0</v>
          </cell>
          <cell r="EJ116">
            <v>0</v>
          </cell>
          <cell r="EK116">
            <v>0</v>
          </cell>
          <cell r="EL116">
            <v>0</v>
          </cell>
          <cell r="EM116" t="str">
            <v/>
          </cell>
          <cell r="EN116" t="str">
            <v/>
          </cell>
          <cell r="EO116" t="str">
            <v/>
          </cell>
          <cell r="EP116" t="str">
            <v/>
          </cell>
          <cell r="EQ116" t="str">
            <v/>
          </cell>
          <cell r="ER116" t="str">
            <v/>
          </cell>
          <cell r="ES116" t="str">
            <v/>
          </cell>
          <cell r="ET116" t="str">
            <v/>
          </cell>
          <cell r="EU116" t="str">
            <v/>
          </cell>
          <cell r="EV116" t="str">
            <v/>
          </cell>
          <cell r="EW116" t="str">
            <v/>
          </cell>
          <cell r="EX116" t="str">
            <v/>
          </cell>
          <cell r="EY116" t="str">
            <v/>
          </cell>
          <cell r="EZ116" t="str">
            <v/>
          </cell>
          <cell r="FA116" t="str">
            <v/>
          </cell>
          <cell r="FB116" t="str">
            <v/>
          </cell>
          <cell r="FC116" t="str">
            <v/>
          </cell>
          <cell r="FD116" t="str">
            <v/>
          </cell>
          <cell r="FE116" t="str">
            <v/>
          </cell>
          <cell r="FF116" t="str">
            <v/>
          </cell>
          <cell r="FG116" t="str">
            <v/>
          </cell>
          <cell r="FH116" t="str">
            <v/>
          </cell>
          <cell r="FI116" t="str">
            <v/>
          </cell>
          <cell r="FJ116" t="str">
            <v/>
          </cell>
          <cell r="FK116" t="str">
            <v/>
          </cell>
          <cell r="FL116" t="str">
            <v/>
          </cell>
          <cell r="FM116" t="str">
            <v/>
          </cell>
          <cell r="FN116" t="str">
            <v/>
          </cell>
          <cell r="FO116" t="str">
            <v/>
          </cell>
          <cell r="FP116" t="str">
            <v/>
          </cell>
        </row>
        <row r="117">
          <cell r="N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AJ117">
            <v>0</v>
          </cell>
          <cell r="AK117">
            <v>0</v>
          </cell>
          <cell r="AL117">
            <v>999999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BE117">
            <v>0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CB117">
            <v>0</v>
          </cell>
          <cell r="CC117">
            <v>0</v>
          </cell>
          <cell r="CD117">
            <v>0</v>
          </cell>
          <cell r="CE117">
            <v>0</v>
          </cell>
          <cell r="CF117">
            <v>0</v>
          </cell>
          <cell r="CG117">
            <v>0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W117">
            <v>0</v>
          </cell>
          <cell r="CY117">
            <v>0</v>
          </cell>
          <cell r="CZ117">
            <v>0</v>
          </cell>
          <cell r="DA117">
            <v>0</v>
          </cell>
          <cell r="DB117">
            <v>0</v>
          </cell>
          <cell r="DC117">
            <v>0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H117">
            <v>0</v>
          </cell>
          <cell r="DS117">
            <v>0</v>
          </cell>
          <cell r="DT117">
            <v>250</v>
          </cell>
          <cell r="DU117">
            <v>999999</v>
          </cell>
          <cell r="DV117">
            <v>999999</v>
          </cell>
          <cell r="DW117">
            <v>999999</v>
          </cell>
          <cell r="DX117">
            <v>0</v>
          </cell>
          <cell r="DY117">
            <v>250</v>
          </cell>
          <cell r="DZ117">
            <v>999999</v>
          </cell>
          <cell r="EA117">
            <v>999999</v>
          </cell>
          <cell r="EB117">
            <v>999999</v>
          </cell>
          <cell r="EC117">
            <v>0</v>
          </cell>
          <cell r="ED117">
            <v>0</v>
          </cell>
          <cell r="EE117">
            <v>0</v>
          </cell>
          <cell r="EF117">
            <v>0</v>
          </cell>
          <cell r="EG117">
            <v>0</v>
          </cell>
          <cell r="EH117">
            <v>0</v>
          </cell>
          <cell r="EI117">
            <v>0</v>
          </cell>
          <cell r="EJ117">
            <v>0</v>
          </cell>
          <cell r="EK117">
            <v>0</v>
          </cell>
          <cell r="EL117">
            <v>0</v>
          </cell>
          <cell r="EM117" t="str">
            <v/>
          </cell>
          <cell r="EN117" t="str">
            <v/>
          </cell>
          <cell r="EO117" t="str">
            <v/>
          </cell>
          <cell r="EP117" t="str">
            <v/>
          </cell>
          <cell r="EQ117" t="str">
            <v/>
          </cell>
          <cell r="ER117" t="str">
            <v/>
          </cell>
          <cell r="ES117" t="str">
            <v/>
          </cell>
          <cell r="ET117" t="str">
            <v/>
          </cell>
          <cell r="EU117" t="str">
            <v/>
          </cell>
          <cell r="EV117" t="str">
            <v/>
          </cell>
          <cell r="EW117" t="str">
            <v/>
          </cell>
          <cell r="EX117" t="str">
            <v/>
          </cell>
          <cell r="EY117" t="str">
            <v/>
          </cell>
          <cell r="EZ117" t="str">
            <v/>
          </cell>
          <cell r="FA117" t="str">
            <v/>
          </cell>
          <cell r="FB117" t="str">
            <v/>
          </cell>
          <cell r="FC117" t="str">
            <v/>
          </cell>
          <cell r="FD117" t="str">
            <v/>
          </cell>
          <cell r="FE117" t="str">
            <v/>
          </cell>
          <cell r="FF117" t="str">
            <v/>
          </cell>
          <cell r="FG117" t="str">
            <v/>
          </cell>
          <cell r="FH117" t="str">
            <v/>
          </cell>
          <cell r="FI117" t="str">
            <v/>
          </cell>
          <cell r="FJ117" t="str">
            <v/>
          </cell>
          <cell r="FK117" t="str">
            <v/>
          </cell>
          <cell r="FL117" t="str">
            <v/>
          </cell>
          <cell r="FM117" t="str">
            <v/>
          </cell>
          <cell r="FN117" t="str">
            <v/>
          </cell>
          <cell r="FO117" t="str">
            <v/>
          </cell>
          <cell r="FP117" t="str">
            <v/>
          </cell>
        </row>
        <row r="118">
          <cell r="N118">
            <v>48000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AJ118">
            <v>0</v>
          </cell>
          <cell r="AK118">
            <v>0</v>
          </cell>
          <cell r="AL118">
            <v>999999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BE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CB118">
            <v>0</v>
          </cell>
          <cell r="CC118">
            <v>0</v>
          </cell>
          <cell r="CD118">
            <v>0</v>
          </cell>
          <cell r="CE118">
            <v>0</v>
          </cell>
          <cell r="CF118">
            <v>0</v>
          </cell>
          <cell r="CG118">
            <v>0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W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S118">
            <v>0</v>
          </cell>
          <cell r="DT118">
            <v>249</v>
          </cell>
          <cell r="DU118">
            <v>999999</v>
          </cell>
          <cell r="DV118">
            <v>999999</v>
          </cell>
          <cell r="DW118">
            <v>999999</v>
          </cell>
          <cell r="DX118">
            <v>0</v>
          </cell>
          <cell r="DY118">
            <v>249</v>
          </cell>
          <cell r="DZ118">
            <v>999999</v>
          </cell>
          <cell r="EA118">
            <v>999999</v>
          </cell>
          <cell r="EB118">
            <v>999999</v>
          </cell>
          <cell r="EC118">
            <v>0</v>
          </cell>
          <cell r="ED118">
            <v>0</v>
          </cell>
          <cell r="EE118">
            <v>0</v>
          </cell>
          <cell r="EF118">
            <v>0</v>
          </cell>
          <cell r="EG118">
            <v>0</v>
          </cell>
          <cell r="EH118">
            <v>0</v>
          </cell>
          <cell r="EI118">
            <v>0</v>
          </cell>
          <cell r="EJ118">
            <v>0</v>
          </cell>
          <cell r="EK118">
            <v>0</v>
          </cell>
          <cell r="EL118">
            <v>0</v>
          </cell>
          <cell r="EM118" t="str">
            <v/>
          </cell>
          <cell r="EN118" t="str">
            <v/>
          </cell>
          <cell r="EO118" t="str">
            <v/>
          </cell>
          <cell r="EP118" t="str">
            <v/>
          </cell>
          <cell r="EQ118" t="str">
            <v/>
          </cell>
          <cell r="ER118" t="str">
            <v/>
          </cell>
          <cell r="ES118" t="str">
            <v/>
          </cell>
          <cell r="ET118" t="str">
            <v/>
          </cell>
          <cell r="EU118" t="str">
            <v/>
          </cell>
          <cell r="EV118" t="str">
            <v/>
          </cell>
          <cell r="EW118" t="str">
            <v/>
          </cell>
          <cell r="EX118" t="str">
            <v/>
          </cell>
          <cell r="EY118" t="str">
            <v/>
          </cell>
          <cell r="EZ118" t="str">
            <v/>
          </cell>
          <cell r="FA118" t="str">
            <v/>
          </cell>
          <cell r="FB118" t="str">
            <v/>
          </cell>
          <cell r="FC118" t="str">
            <v/>
          </cell>
          <cell r="FD118" t="str">
            <v/>
          </cell>
          <cell r="FE118" t="str">
            <v/>
          </cell>
          <cell r="FF118" t="str">
            <v/>
          </cell>
          <cell r="FG118" t="str">
            <v/>
          </cell>
          <cell r="FH118" t="str">
            <v/>
          </cell>
          <cell r="FI118" t="str">
            <v/>
          </cell>
          <cell r="FJ118" t="str">
            <v/>
          </cell>
          <cell r="FK118" t="str">
            <v/>
          </cell>
          <cell r="FL118" t="str">
            <v/>
          </cell>
          <cell r="FM118" t="str">
            <v/>
          </cell>
          <cell r="FN118" t="str">
            <v/>
          </cell>
          <cell r="FO118" t="str">
            <v/>
          </cell>
          <cell r="FP118" t="str">
            <v/>
          </cell>
        </row>
        <row r="119">
          <cell r="N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AJ119">
            <v>0</v>
          </cell>
          <cell r="AK119">
            <v>0</v>
          </cell>
          <cell r="AL119">
            <v>999999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BE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W119">
            <v>0</v>
          </cell>
          <cell r="CY119">
            <v>0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H119">
            <v>0</v>
          </cell>
          <cell r="DS119">
            <v>0</v>
          </cell>
          <cell r="DT119">
            <v>248</v>
          </cell>
          <cell r="DU119">
            <v>999999</v>
          </cell>
          <cell r="DV119">
            <v>999999</v>
          </cell>
          <cell r="DW119">
            <v>999999</v>
          </cell>
          <cell r="DX119">
            <v>0</v>
          </cell>
          <cell r="DY119">
            <v>248</v>
          </cell>
          <cell r="DZ119">
            <v>999999</v>
          </cell>
          <cell r="EA119">
            <v>999999</v>
          </cell>
          <cell r="EB119">
            <v>999999</v>
          </cell>
          <cell r="EC119">
            <v>0</v>
          </cell>
          <cell r="ED119">
            <v>0</v>
          </cell>
          <cell r="EE119">
            <v>0</v>
          </cell>
          <cell r="EF119">
            <v>0</v>
          </cell>
          <cell r="EG119">
            <v>0</v>
          </cell>
          <cell r="EH119">
            <v>0</v>
          </cell>
          <cell r="EI119">
            <v>0</v>
          </cell>
          <cell r="EJ119">
            <v>0</v>
          </cell>
          <cell r="EK119">
            <v>0</v>
          </cell>
          <cell r="EL119">
            <v>0</v>
          </cell>
          <cell r="EM119" t="str">
            <v/>
          </cell>
          <cell r="EN119" t="str">
            <v/>
          </cell>
          <cell r="EO119" t="str">
            <v/>
          </cell>
          <cell r="EP119" t="str">
            <v/>
          </cell>
          <cell r="EQ119" t="str">
            <v/>
          </cell>
          <cell r="ER119" t="str">
            <v/>
          </cell>
          <cell r="ES119" t="str">
            <v/>
          </cell>
          <cell r="ET119" t="str">
            <v/>
          </cell>
          <cell r="EU119" t="str">
            <v/>
          </cell>
          <cell r="EV119" t="str">
            <v/>
          </cell>
          <cell r="EW119" t="str">
            <v/>
          </cell>
          <cell r="EX119" t="str">
            <v/>
          </cell>
          <cell r="EY119" t="str">
            <v/>
          </cell>
          <cell r="EZ119" t="str">
            <v/>
          </cell>
          <cell r="FA119" t="str">
            <v/>
          </cell>
          <cell r="FB119" t="str">
            <v/>
          </cell>
          <cell r="FC119" t="str">
            <v/>
          </cell>
          <cell r="FD119" t="str">
            <v/>
          </cell>
          <cell r="FE119" t="str">
            <v/>
          </cell>
          <cell r="FF119" t="str">
            <v/>
          </cell>
          <cell r="FG119" t="str">
            <v/>
          </cell>
          <cell r="FH119" t="str">
            <v/>
          </cell>
          <cell r="FI119" t="str">
            <v/>
          </cell>
          <cell r="FJ119" t="str">
            <v/>
          </cell>
          <cell r="FK119" t="str">
            <v/>
          </cell>
          <cell r="FL119" t="str">
            <v/>
          </cell>
          <cell r="FM119" t="str">
            <v/>
          </cell>
          <cell r="FN119" t="str">
            <v/>
          </cell>
          <cell r="FO119" t="str">
            <v/>
          </cell>
          <cell r="FP119" t="str">
            <v/>
          </cell>
        </row>
        <row r="120">
          <cell r="N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AJ120">
            <v>0</v>
          </cell>
          <cell r="AK120">
            <v>0</v>
          </cell>
          <cell r="AL120">
            <v>999999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BE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BQ120">
            <v>0</v>
          </cell>
          <cell r="CB120">
            <v>0</v>
          </cell>
          <cell r="CC120">
            <v>0</v>
          </cell>
          <cell r="CD120">
            <v>0</v>
          </cell>
          <cell r="CE120">
            <v>0</v>
          </cell>
          <cell r="CF120">
            <v>0</v>
          </cell>
          <cell r="CG120">
            <v>0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W120">
            <v>0</v>
          </cell>
          <cell r="CY120">
            <v>0</v>
          </cell>
          <cell r="CZ120">
            <v>0</v>
          </cell>
          <cell r="DA120">
            <v>0</v>
          </cell>
          <cell r="DB120">
            <v>0</v>
          </cell>
          <cell r="DC120">
            <v>0</v>
          </cell>
          <cell r="DD120">
            <v>0</v>
          </cell>
          <cell r="DE120">
            <v>0</v>
          </cell>
          <cell r="DF120">
            <v>0</v>
          </cell>
          <cell r="DG120">
            <v>0</v>
          </cell>
          <cell r="DH120">
            <v>0</v>
          </cell>
          <cell r="DS120">
            <v>0</v>
          </cell>
          <cell r="DT120">
            <v>247</v>
          </cell>
          <cell r="DU120">
            <v>999999</v>
          </cell>
          <cell r="DV120">
            <v>999999</v>
          </cell>
          <cell r="DW120">
            <v>999999</v>
          </cell>
          <cell r="DX120">
            <v>0</v>
          </cell>
          <cell r="DY120">
            <v>247</v>
          </cell>
          <cell r="DZ120">
            <v>999999</v>
          </cell>
          <cell r="EA120">
            <v>999999</v>
          </cell>
          <cell r="EB120">
            <v>999999</v>
          </cell>
          <cell r="EC120">
            <v>0</v>
          </cell>
          <cell r="ED120">
            <v>0</v>
          </cell>
          <cell r="EE120">
            <v>0</v>
          </cell>
          <cell r="EF120">
            <v>0</v>
          </cell>
          <cell r="EG120">
            <v>0</v>
          </cell>
          <cell r="EH120">
            <v>0</v>
          </cell>
          <cell r="EI120">
            <v>0</v>
          </cell>
          <cell r="EJ120">
            <v>0</v>
          </cell>
          <cell r="EK120">
            <v>0</v>
          </cell>
          <cell r="EL120">
            <v>0</v>
          </cell>
          <cell r="EM120" t="str">
            <v/>
          </cell>
          <cell r="EN120" t="str">
            <v/>
          </cell>
          <cell r="EO120" t="str">
            <v/>
          </cell>
          <cell r="EP120" t="str">
            <v/>
          </cell>
          <cell r="EQ120" t="str">
            <v/>
          </cell>
          <cell r="ER120" t="str">
            <v/>
          </cell>
          <cell r="ES120" t="str">
            <v/>
          </cell>
          <cell r="ET120" t="str">
            <v/>
          </cell>
          <cell r="EU120" t="str">
            <v/>
          </cell>
          <cell r="EV120" t="str">
            <v/>
          </cell>
          <cell r="EW120" t="str">
            <v/>
          </cell>
          <cell r="EX120" t="str">
            <v/>
          </cell>
          <cell r="EY120" t="str">
            <v/>
          </cell>
          <cell r="EZ120" t="str">
            <v/>
          </cell>
          <cell r="FA120" t="str">
            <v/>
          </cell>
          <cell r="FB120" t="str">
            <v/>
          </cell>
          <cell r="FC120" t="str">
            <v/>
          </cell>
          <cell r="FD120" t="str">
            <v/>
          </cell>
          <cell r="FE120" t="str">
            <v/>
          </cell>
          <cell r="FF120" t="str">
            <v/>
          </cell>
          <cell r="FG120" t="str">
            <v/>
          </cell>
          <cell r="FH120" t="str">
            <v/>
          </cell>
          <cell r="FI120" t="str">
            <v/>
          </cell>
          <cell r="FJ120" t="str">
            <v/>
          </cell>
          <cell r="FK120" t="str">
            <v/>
          </cell>
          <cell r="FL120" t="str">
            <v/>
          </cell>
          <cell r="FM120" t="str">
            <v/>
          </cell>
          <cell r="FN120" t="str">
            <v/>
          </cell>
          <cell r="FO120" t="str">
            <v/>
          </cell>
          <cell r="FP120" t="str">
            <v/>
          </cell>
        </row>
        <row r="121">
          <cell r="N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AJ121">
            <v>0</v>
          </cell>
          <cell r="AK121">
            <v>0</v>
          </cell>
          <cell r="AL121">
            <v>999999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BE121">
            <v>0</v>
          </cell>
          <cell r="BH121">
            <v>0</v>
          </cell>
          <cell r="BI121">
            <v>0</v>
          </cell>
          <cell r="BJ121">
            <v>0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BQ121">
            <v>0</v>
          </cell>
          <cell r="CB121">
            <v>0</v>
          </cell>
          <cell r="CC121">
            <v>0</v>
          </cell>
          <cell r="CD121">
            <v>0</v>
          </cell>
          <cell r="CE121">
            <v>0</v>
          </cell>
          <cell r="CF121">
            <v>0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W121">
            <v>0</v>
          </cell>
          <cell r="CY121">
            <v>0</v>
          </cell>
          <cell r="CZ121">
            <v>0</v>
          </cell>
          <cell r="DA121">
            <v>0</v>
          </cell>
          <cell r="DB121">
            <v>0</v>
          </cell>
          <cell r="DC121">
            <v>0</v>
          </cell>
          <cell r="DD121">
            <v>0</v>
          </cell>
          <cell r="DE121">
            <v>0</v>
          </cell>
          <cell r="DF121">
            <v>0</v>
          </cell>
          <cell r="DG121">
            <v>0</v>
          </cell>
          <cell r="DH121">
            <v>0</v>
          </cell>
          <cell r="DS121">
            <v>0</v>
          </cell>
          <cell r="DT121">
            <v>246</v>
          </cell>
          <cell r="DU121">
            <v>999999</v>
          </cell>
          <cell r="DV121">
            <v>999999</v>
          </cell>
          <cell r="DW121">
            <v>999999</v>
          </cell>
          <cell r="DX121">
            <v>0</v>
          </cell>
          <cell r="DY121">
            <v>246</v>
          </cell>
          <cell r="DZ121">
            <v>999999</v>
          </cell>
          <cell r="EA121">
            <v>999999</v>
          </cell>
          <cell r="EB121">
            <v>999999</v>
          </cell>
          <cell r="EC121">
            <v>0</v>
          </cell>
          <cell r="ED121">
            <v>0</v>
          </cell>
          <cell r="EE121">
            <v>0</v>
          </cell>
          <cell r="EF121">
            <v>0</v>
          </cell>
          <cell r="EG121">
            <v>0</v>
          </cell>
          <cell r="EH121">
            <v>0</v>
          </cell>
          <cell r="EI121">
            <v>0</v>
          </cell>
          <cell r="EJ121">
            <v>0</v>
          </cell>
          <cell r="EK121">
            <v>0</v>
          </cell>
          <cell r="EL121">
            <v>0</v>
          </cell>
          <cell r="EM121" t="str">
            <v/>
          </cell>
          <cell r="EN121" t="str">
            <v/>
          </cell>
          <cell r="EO121" t="str">
            <v/>
          </cell>
          <cell r="EP121" t="str">
            <v/>
          </cell>
          <cell r="EQ121" t="str">
            <v/>
          </cell>
          <cell r="ER121" t="str">
            <v/>
          </cell>
          <cell r="ES121" t="str">
            <v/>
          </cell>
          <cell r="ET121" t="str">
            <v/>
          </cell>
          <cell r="EU121" t="str">
            <v/>
          </cell>
          <cell r="EV121" t="str">
            <v/>
          </cell>
          <cell r="EW121" t="str">
            <v/>
          </cell>
          <cell r="EX121" t="str">
            <v/>
          </cell>
          <cell r="EY121" t="str">
            <v/>
          </cell>
          <cell r="EZ121" t="str">
            <v/>
          </cell>
          <cell r="FA121" t="str">
            <v/>
          </cell>
          <cell r="FB121" t="str">
            <v/>
          </cell>
          <cell r="FC121" t="str">
            <v/>
          </cell>
          <cell r="FD121" t="str">
            <v/>
          </cell>
          <cell r="FE121" t="str">
            <v/>
          </cell>
          <cell r="FF121" t="str">
            <v/>
          </cell>
          <cell r="FG121" t="str">
            <v/>
          </cell>
          <cell r="FH121" t="str">
            <v/>
          </cell>
          <cell r="FI121" t="str">
            <v/>
          </cell>
          <cell r="FJ121" t="str">
            <v/>
          </cell>
          <cell r="FK121" t="str">
            <v/>
          </cell>
          <cell r="FL121" t="str">
            <v/>
          </cell>
          <cell r="FM121" t="str">
            <v/>
          </cell>
          <cell r="FN121" t="str">
            <v/>
          </cell>
          <cell r="FO121" t="str">
            <v/>
          </cell>
          <cell r="FP121" t="str">
            <v/>
          </cell>
        </row>
        <row r="122">
          <cell r="N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AJ122">
            <v>0</v>
          </cell>
          <cell r="AK122">
            <v>0</v>
          </cell>
          <cell r="AL122">
            <v>999999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BE122">
            <v>0</v>
          </cell>
          <cell r="BH122">
            <v>0</v>
          </cell>
          <cell r="BI122">
            <v>0</v>
          </cell>
          <cell r="BJ122">
            <v>0</v>
          </cell>
          <cell r="BK122">
            <v>0</v>
          </cell>
          <cell r="BL122">
            <v>0</v>
          </cell>
          <cell r="BM122">
            <v>0</v>
          </cell>
          <cell r="BN122">
            <v>0</v>
          </cell>
          <cell r="BO122">
            <v>0</v>
          </cell>
          <cell r="BP122">
            <v>0</v>
          </cell>
          <cell r="BQ122">
            <v>0</v>
          </cell>
          <cell r="CB122">
            <v>0</v>
          </cell>
          <cell r="CC122">
            <v>0</v>
          </cell>
          <cell r="CD122">
            <v>0</v>
          </cell>
          <cell r="CE122">
            <v>0</v>
          </cell>
          <cell r="CF122">
            <v>0</v>
          </cell>
          <cell r="CG122">
            <v>0</v>
          </cell>
          <cell r="CH122">
            <v>0</v>
          </cell>
          <cell r="CI122">
            <v>0</v>
          </cell>
          <cell r="CJ122">
            <v>0</v>
          </cell>
          <cell r="CK122">
            <v>0</v>
          </cell>
          <cell r="CW122">
            <v>0</v>
          </cell>
          <cell r="CY122">
            <v>0</v>
          </cell>
          <cell r="CZ122">
            <v>0</v>
          </cell>
          <cell r="DA122">
            <v>0</v>
          </cell>
          <cell r="DB122">
            <v>0</v>
          </cell>
          <cell r="DC122">
            <v>0</v>
          </cell>
          <cell r="DD122">
            <v>0</v>
          </cell>
          <cell r="DE122">
            <v>0</v>
          </cell>
          <cell r="DF122">
            <v>0</v>
          </cell>
          <cell r="DG122">
            <v>0</v>
          </cell>
          <cell r="DH122">
            <v>0</v>
          </cell>
          <cell r="DS122">
            <v>0</v>
          </cell>
          <cell r="DT122">
            <v>245</v>
          </cell>
          <cell r="DU122">
            <v>999999</v>
          </cell>
          <cell r="DV122">
            <v>999999</v>
          </cell>
          <cell r="DW122">
            <v>999999</v>
          </cell>
          <cell r="DX122">
            <v>0</v>
          </cell>
          <cell r="DY122">
            <v>245</v>
          </cell>
          <cell r="DZ122">
            <v>999999</v>
          </cell>
          <cell r="EA122">
            <v>999999</v>
          </cell>
          <cell r="EB122">
            <v>999999</v>
          </cell>
          <cell r="EC122">
            <v>0</v>
          </cell>
          <cell r="ED122">
            <v>0</v>
          </cell>
          <cell r="EE122">
            <v>0</v>
          </cell>
          <cell r="EF122">
            <v>0</v>
          </cell>
          <cell r="EG122">
            <v>0</v>
          </cell>
          <cell r="EH122">
            <v>0</v>
          </cell>
          <cell r="EI122">
            <v>0</v>
          </cell>
          <cell r="EJ122">
            <v>0</v>
          </cell>
          <cell r="EK122">
            <v>0</v>
          </cell>
          <cell r="EL122">
            <v>0</v>
          </cell>
          <cell r="EM122" t="str">
            <v/>
          </cell>
          <cell r="EN122" t="str">
            <v/>
          </cell>
          <cell r="EO122" t="str">
            <v/>
          </cell>
          <cell r="EP122" t="str">
            <v/>
          </cell>
          <cell r="EQ122" t="str">
            <v/>
          </cell>
          <cell r="ER122" t="str">
            <v/>
          </cell>
          <cell r="ES122" t="str">
            <v/>
          </cell>
          <cell r="ET122" t="str">
            <v/>
          </cell>
          <cell r="EU122" t="str">
            <v/>
          </cell>
          <cell r="EV122" t="str">
            <v/>
          </cell>
          <cell r="EW122" t="str">
            <v/>
          </cell>
          <cell r="EX122" t="str">
            <v/>
          </cell>
          <cell r="EY122" t="str">
            <v/>
          </cell>
          <cell r="EZ122" t="str">
            <v/>
          </cell>
          <cell r="FA122" t="str">
            <v/>
          </cell>
          <cell r="FB122" t="str">
            <v/>
          </cell>
          <cell r="FC122" t="str">
            <v/>
          </cell>
          <cell r="FD122" t="str">
            <v/>
          </cell>
          <cell r="FE122" t="str">
            <v/>
          </cell>
          <cell r="FF122" t="str">
            <v/>
          </cell>
          <cell r="FG122" t="str">
            <v/>
          </cell>
          <cell r="FH122" t="str">
            <v/>
          </cell>
          <cell r="FI122" t="str">
            <v/>
          </cell>
          <cell r="FJ122" t="str">
            <v/>
          </cell>
          <cell r="FK122" t="str">
            <v/>
          </cell>
          <cell r="FL122" t="str">
            <v/>
          </cell>
          <cell r="FM122" t="str">
            <v/>
          </cell>
          <cell r="FN122" t="str">
            <v/>
          </cell>
          <cell r="FO122" t="str">
            <v/>
          </cell>
          <cell r="FP122" t="str">
            <v/>
          </cell>
        </row>
        <row r="123">
          <cell r="N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AJ123">
            <v>0</v>
          </cell>
          <cell r="AK123">
            <v>0</v>
          </cell>
          <cell r="AL123">
            <v>999999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BE123">
            <v>48000</v>
          </cell>
          <cell r="BH123">
            <v>0</v>
          </cell>
          <cell r="BI123">
            <v>0</v>
          </cell>
          <cell r="BJ123">
            <v>0</v>
          </cell>
          <cell r="BK123">
            <v>0</v>
          </cell>
          <cell r="BL123">
            <v>0</v>
          </cell>
          <cell r="BM123">
            <v>0</v>
          </cell>
          <cell r="BN123">
            <v>0</v>
          </cell>
          <cell r="BO123">
            <v>0</v>
          </cell>
          <cell r="BP123">
            <v>0</v>
          </cell>
          <cell r="BQ123">
            <v>0</v>
          </cell>
          <cell r="CB123">
            <v>0</v>
          </cell>
          <cell r="CC123">
            <v>0</v>
          </cell>
          <cell r="CD123">
            <v>0</v>
          </cell>
          <cell r="CE123">
            <v>0</v>
          </cell>
          <cell r="CF123">
            <v>0</v>
          </cell>
          <cell r="CG123">
            <v>0</v>
          </cell>
          <cell r="CH123">
            <v>0</v>
          </cell>
          <cell r="CI123">
            <v>0</v>
          </cell>
          <cell r="CJ123">
            <v>0</v>
          </cell>
          <cell r="CK123">
            <v>0</v>
          </cell>
          <cell r="CW123">
            <v>0</v>
          </cell>
          <cell r="CY123">
            <v>0</v>
          </cell>
          <cell r="CZ123">
            <v>0</v>
          </cell>
          <cell r="DA123">
            <v>0</v>
          </cell>
          <cell r="DB123">
            <v>0</v>
          </cell>
          <cell r="DC123">
            <v>0</v>
          </cell>
          <cell r="DD123">
            <v>0</v>
          </cell>
          <cell r="DE123">
            <v>0</v>
          </cell>
          <cell r="DF123">
            <v>0</v>
          </cell>
          <cell r="DG123">
            <v>0</v>
          </cell>
          <cell r="DH123">
            <v>0</v>
          </cell>
          <cell r="DS123">
            <v>0</v>
          </cell>
          <cell r="DT123">
            <v>244</v>
          </cell>
          <cell r="DU123">
            <v>999999</v>
          </cell>
          <cell r="DV123">
            <v>999999</v>
          </cell>
          <cell r="DW123">
            <v>999999</v>
          </cell>
          <cell r="DX123">
            <v>0</v>
          </cell>
          <cell r="DY123">
            <v>244</v>
          </cell>
          <cell r="DZ123">
            <v>999999</v>
          </cell>
          <cell r="EA123">
            <v>999999</v>
          </cell>
          <cell r="EB123">
            <v>999999</v>
          </cell>
          <cell r="EC123">
            <v>0</v>
          </cell>
          <cell r="ED123">
            <v>0</v>
          </cell>
          <cell r="EE123">
            <v>0</v>
          </cell>
          <cell r="EF123">
            <v>0</v>
          </cell>
          <cell r="EG123">
            <v>0</v>
          </cell>
          <cell r="EH123">
            <v>0</v>
          </cell>
          <cell r="EI123">
            <v>0</v>
          </cell>
          <cell r="EJ123">
            <v>0</v>
          </cell>
          <cell r="EK123">
            <v>0</v>
          </cell>
          <cell r="EL123">
            <v>0</v>
          </cell>
          <cell r="EM123" t="str">
            <v/>
          </cell>
          <cell r="EN123" t="str">
            <v/>
          </cell>
          <cell r="EO123" t="str">
            <v/>
          </cell>
          <cell r="EP123" t="str">
            <v/>
          </cell>
          <cell r="EQ123" t="str">
            <v/>
          </cell>
          <cell r="ER123" t="str">
            <v/>
          </cell>
          <cell r="ES123" t="str">
            <v/>
          </cell>
          <cell r="ET123" t="str">
            <v/>
          </cell>
          <cell r="EU123" t="str">
            <v/>
          </cell>
          <cell r="EV123" t="str">
            <v/>
          </cell>
          <cell r="EW123" t="str">
            <v/>
          </cell>
          <cell r="EX123" t="str">
            <v/>
          </cell>
          <cell r="EY123" t="str">
            <v/>
          </cell>
          <cell r="EZ123" t="str">
            <v/>
          </cell>
          <cell r="FA123" t="str">
            <v/>
          </cell>
          <cell r="FB123" t="str">
            <v/>
          </cell>
          <cell r="FC123" t="str">
            <v/>
          </cell>
          <cell r="FD123" t="str">
            <v/>
          </cell>
          <cell r="FE123" t="str">
            <v/>
          </cell>
          <cell r="FF123" t="str">
            <v/>
          </cell>
          <cell r="FG123" t="str">
            <v/>
          </cell>
          <cell r="FH123" t="str">
            <v/>
          </cell>
          <cell r="FI123" t="str">
            <v/>
          </cell>
          <cell r="FJ123" t="str">
            <v/>
          </cell>
          <cell r="FK123" t="str">
            <v/>
          </cell>
          <cell r="FL123" t="str">
            <v/>
          </cell>
          <cell r="FM123" t="str">
            <v/>
          </cell>
          <cell r="FN123" t="str">
            <v/>
          </cell>
          <cell r="FO123" t="str">
            <v/>
          </cell>
          <cell r="FP123" t="str">
            <v/>
          </cell>
        </row>
        <row r="124">
          <cell r="N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AJ124">
            <v>0</v>
          </cell>
          <cell r="AK124">
            <v>0</v>
          </cell>
          <cell r="AL124">
            <v>999999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BE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  <cell r="BQ124">
            <v>0</v>
          </cell>
          <cell r="CB124">
            <v>0</v>
          </cell>
          <cell r="CC124">
            <v>0</v>
          </cell>
          <cell r="CD124">
            <v>0</v>
          </cell>
          <cell r="CE124">
            <v>0</v>
          </cell>
          <cell r="CF124">
            <v>0</v>
          </cell>
          <cell r="CG124">
            <v>0</v>
          </cell>
          <cell r="CH124">
            <v>0</v>
          </cell>
          <cell r="CI124">
            <v>0</v>
          </cell>
          <cell r="CJ124">
            <v>0</v>
          </cell>
          <cell r="CK124">
            <v>0</v>
          </cell>
          <cell r="CW124">
            <v>0</v>
          </cell>
          <cell r="CY124">
            <v>0</v>
          </cell>
          <cell r="CZ124">
            <v>0</v>
          </cell>
          <cell r="DA124">
            <v>0</v>
          </cell>
          <cell r="DB124">
            <v>0</v>
          </cell>
          <cell r="DC124">
            <v>0</v>
          </cell>
          <cell r="DD124">
            <v>0</v>
          </cell>
          <cell r="DE124">
            <v>0</v>
          </cell>
          <cell r="DF124">
            <v>0</v>
          </cell>
          <cell r="DG124">
            <v>0</v>
          </cell>
          <cell r="DH124">
            <v>0</v>
          </cell>
          <cell r="DS124">
            <v>0</v>
          </cell>
          <cell r="DT124">
            <v>243</v>
          </cell>
          <cell r="DU124">
            <v>999999</v>
          </cell>
          <cell r="DV124">
            <v>999999</v>
          </cell>
          <cell r="DW124">
            <v>999999</v>
          </cell>
          <cell r="DX124">
            <v>0</v>
          </cell>
          <cell r="DY124">
            <v>243</v>
          </cell>
          <cell r="DZ124">
            <v>999999</v>
          </cell>
          <cell r="EA124">
            <v>999999</v>
          </cell>
          <cell r="EB124">
            <v>999999</v>
          </cell>
          <cell r="EC124">
            <v>0</v>
          </cell>
          <cell r="ED124">
            <v>0</v>
          </cell>
          <cell r="EE124">
            <v>0</v>
          </cell>
          <cell r="EF124">
            <v>0</v>
          </cell>
          <cell r="EG124">
            <v>0</v>
          </cell>
          <cell r="EH124">
            <v>0</v>
          </cell>
          <cell r="EI124">
            <v>0</v>
          </cell>
          <cell r="EJ124">
            <v>0</v>
          </cell>
          <cell r="EK124">
            <v>0</v>
          </cell>
          <cell r="EL124">
            <v>0</v>
          </cell>
          <cell r="EM124" t="str">
            <v/>
          </cell>
          <cell r="EN124" t="str">
            <v/>
          </cell>
          <cell r="EO124" t="str">
            <v/>
          </cell>
          <cell r="EP124" t="str">
            <v/>
          </cell>
          <cell r="EQ124" t="str">
            <v/>
          </cell>
          <cell r="ER124" t="str">
            <v/>
          </cell>
          <cell r="ES124" t="str">
            <v/>
          </cell>
          <cell r="ET124" t="str">
            <v/>
          </cell>
          <cell r="EU124" t="str">
            <v/>
          </cell>
          <cell r="EV124" t="str">
            <v/>
          </cell>
          <cell r="EW124" t="str">
            <v/>
          </cell>
          <cell r="EX124" t="str">
            <v/>
          </cell>
          <cell r="EY124" t="str">
            <v/>
          </cell>
          <cell r="EZ124" t="str">
            <v/>
          </cell>
          <cell r="FA124" t="str">
            <v/>
          </cell>
          <cell r="FB124" t="str">
            <v/>
          </cell>
          <cell r="FC124" t="str">
            <v/>
          </cell>
          <cell r="FD124" t="str">
            <v/>
          </cell>
          <cell r="FE124" t="str">
            <v/>
          </cell>
          <cell r="FF124" t="str">
            <v/>
          </cell>
          <cell r="FG124" t="str">
            <v/>
          </cell>
          <cell r="FH124" t="str">
            <v/>
          </cell>
          <cell r="FI124" t="str">
            <v/>
          </cell>
          <cell r="FJ124" t="str">
            <v/>
          </cell>
          <cell r="FK124" t="str">
            <v/>
          </cell>
          <cell r="FL124" t="str">
            <v/>
          </cell>
          <cell r="FM124" t="str">
            <v/>
          </cell>
          <cell r="FN124" t="str">
            <v/>
          </cell>
          <cell r="FO124" t="str">
            <v/>
          </cell>
          <cell r="FP124" t="str">
            <v/>
          </cell>
        </row>
        <row r="125">
          <cell r="N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AJ125">
            <v>0</v>
          </cell>
          <cell r="AK125">
            <v>0</v>
          </cell>
          <cell r="AL125">
            <v>999999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BE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BQ125">
            <v>0</v>
          </cell>
          <cell r="CB125">
            <v>0</v>
          </cell>
          <cell r="CC125">
            <v>0</v>
          </cell>
          <cell r="CD125">
            <v>0</v>
          </cell>
          <cell r="CE125">
            <v>0</v>
          </cell>
          <cell r="CF125">
            <v>0</v>
          </cell>
          <cell r="CG125">
            <v>0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W125">
            <v>0</v>
          </cell>
          <cell r="CY125">
            <v>0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S125">
            <v>0</v>
          </cell>
          <cell r="DT125">
            <v>242</v>
          </cell>
          <cell r="DU125">
            <v>999999</v>
          </cell>
          <cell r="DV125">
            <v>999999</v>
          </cell>
          <cell r="DW125">
            <v>999999</v>
          </cell>
          <cell r="DX125">
            <v>0</v>
          </cell>
          <cell r="DY125">
            <v>242</v>
          </cell>
          <cell r="DZ125">
            <v>999999</v>
          </cell>
          <cell r="EA125">
            <v>999999</v>
          </cell>
          <cell r="EB125">
            <v>999999</v>
          </cell>
          <cell r="EC125">
            <v>0</v>
          </cell>
          <cell r="ED125">
            <v>0</v>
          </cell>
          <cell r="EE125">
            <v>0</v>
          </cell>
          <cell r="EF125">
            <v>0</v>
          </cell>
          <cell r="EG125">
            <v>0</v>
          </cell>
          <cell r="EH125">
            <v>0</v>
          </cell>
          <cell r="EI125">
            <v>0</v>
          </cell>
          <cell r="EJ125">
            <v>0</v>
          </cell>
          <cell r="EK125">
            <v>0</v>
          </cell>
          <cell r="EL125">
            <v>0</v>
          </cell>
          <cell r="EM125" t="str">
            <v/>
          </cell>
          <cell r="EN125" t="str">
            <v/>
          </cell>
          <cell r="EO125" t="str">
            <v/>
          </cell>
          <cell r="EP125" t="str">
            <v/>
          </cell>
          <cell r="EQ125" t="str">
            <v/>
          </cell>
          <cell r="ER125" t="str">
            <v/>
          </cell>
          <cell r="ES125" t="str">
            <v/>
          </cell>
          <cell r="ET125" t="str">
            <v/>
          </cell>
          <cell r="EU125" t="str">
            <v/>
          </cell>
          <cell r="EV125" t="str">
            <v/>
          </cell>
          <cell r="EW125" t="str">
            <v/>
          </cell>
          <cell r="EX125" t="str">
            <v/>
          </cell>
          <cell r="EY125" t="str">
            <v/>
          </cell>
          <cell r="EZ125" t="str">
            <v/>
          </cell>
          <cell r="FA125" t="str">
            <v/>
          </cell>
          <cell r="FB125" t="str">
            <v/>
          </cell>
          <cell r="FC125" t="str">
            <v/>
          </cell>
          <cell r="FD125" t="str">
            <v/>
          </cell>
          <cell r="FE125" t="str">
            <v/>
          </cell>
          <cell r="FF125" t="str">
            <v/>
          </cell>
          <cell r="FG125" t="str">
            <v/>
          </cell>
          <cell r="FH125" t="str">
            <v/>
          </cell>
          <cell r="FI125" t="str">
            <v/>
          </cell>
          <cell r="FJ125" t="str">
            <v/>
          </cell>
          <cell r="FK125" t="str">
            <v/>
          </cell>
          <cell r="FL125" t="str">
            <v/>
          </cell>
          <cell r="FM125" t="str">
            <v/>
          </cell>
          <cell r="FN125" t="str">
            <v/>
          </cell>
          <cell r="FO125" t="str">
            <v/>
          </cell>
          <cell r="FP125" t="str">
            <v/>
          </cell>
        </row>
        <row r="126">
          <cell r="N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AJ126">
            <v>0</v>
          </cell>
          <cell r="AK126">
            <v>0</v>
          </cell>
          <cell r="AL126">
            <v>999999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BE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  <cell r="BQ126">
            <v>0</v>
          </cell>
          <cell r="CB126">
            <v>0</v>
          </cell>
          <cell r="CC126">
            <v>0</v>
          </cell>
          <cell r="CD126">
            <v>0</v>
          </cell>
          <cell r="CE126">
            <v>0</v>
          </cell>
          <cell r="CF126">
            <v>0</v>
          </cell>
          <cell r="CG126">
            <v>0</v>
          </cell>
          <cell r="CH126">
            <v>0</v>
          </cell>
          <cell r="CI126">
            <v>0</v>
          </cell>
          <cell r="CJ126">
            <v>0</v>
          </cell>
          <cell r="CK126">
            <v>0</v>
          </cell>
          <cell r="CW126">
            <v>0</v>
          </cell>
          <cell r="CY126">
            <v>0</v>
          </cell>
          <cell r="CZ126">
            <v>0</v>
          </cell>
          <cell r="DA126">
            <v>0</v>
          </cell>
          <cell r="DB126">
            <v>0</v>
          </cell>
          <cell r="DC126">
            <v>0</v>
          </cell>
          <cell r="DD126">
            <v>0</v>
          </cell>
          <cell r="DE126">
            <v>0</v>
          </cell>
          <cell r="DF126">
            <v>0</v>
          </cell>
          <cell r="DG126">
            <v>0</v>
          </cell>
          <cell r="DH126">
            <v>0</v>
          </cell>
          <cell r="DS126">
            <v>0</v>
          </cell>
          <cell r="DT126">
            <v>241</v>
          </cell>
          <cell r="DU126">
            <v>999999</v>
          </cell>
          <cell r="DV126">
            <v>999999</v>
          </cell>
          <cell r="DW126">
            <v>999999</v>
          </cell>
          <cell r="DX126">
            <v>0</v>
          </cell>
          <cell r="DY126">
            <v>241</v>
          </cell>
          <cell r="DZ126">
            <v>999999</v>
          </cell>
          <cell r="EA126">
            <v>999999</v>
          </cell>
          <cell r="EB126">
            <v>999999</v>
          </cell>
          <cell r="EC126">
            <v>0</v>
          </cell>
          <cell r="ED126">
            <v>0</v>
          </cell>
          <cell r="EE126">
            <v>0</v>
          </cell>
          <cell r="EF126">
            <v>0</v>
          </cell>
          <cell r="EG126">
            <v>0</v>
          </cell>
          <cell r="EH126">
            <v>0</v>
          </cell>
          <cell r="EI126">
            <v>0</v>
          </cell>
          <cell r="EJ126">
            <v>0</v>
          </cell>
          <cell r="EK126">
            <v>0</v>
          </cell>
          <cell r="EL126">
            <v>0</v>
          </cell>
          <cell r="EM126" t="str">
            <v/>
          </cell>
          <cell r="EN126" t="str">
            <v/>
          </cell>
          <cell r="EO126" t="str">
            <v/>
          </cell>
          <cell r="EP126" t="str">
            <v/>
          </cell>
          <cell r="EQ126" t="str">
            <v/>
          </cell>
          <cell r="ER126" t="str">
            <v/>
          </cell>
          <cell r="ES126" t="str">
            <v/>
          </cell>
          <cell r="ET126" t="str">
            <v/>
          </cell>
          <cell r="EU126" t="str">
            <v/>
          </cell>
          <cell r="EV126" t="str">
            <v/>
          </cell>
          <cell r="EW126" t="str">
            <v/>
          </cell>
          <cell r="EX126" t="str">
            <v/>
          </cell>
          <cell r="EY126" t="str">
            <v/>
          </cell>
          <cell r="EZ126" t="str">
            <v/>
          </cell>
          <cell r="FA126" t="str">
            <v/>
          </cell>
          <cell r="FB126" t="str">
            <v/>
          </cell>
          <cell r="FC126" t="str">
            <v/>
          </cell>
          <cell r="FD126" t="str">
            <v/>
          </cell>
          <cell r="FE126" t="str">
            <v/>
          </cell>
          <cell r="FF126" t="str">
            <v/>
          </cell>
          <cell r="FG126" t="str">
            <v/>
          </cell>
          <cell r="FH126" t="str">
            <v/>
          </cell>
          <cell r="FI126" t="str">
            <v/>
          </cell>
          <cell r="FJ126" t="str">
            <v/>
          </cell>
          <cell r="FK126" t="str">
            <v/>
          </cell>
          <cell r="FL126" t="str">
            <v/>
          </cell>
          <cell r="FM126" t="str">
            <v/>
          </cell>
          <cell r="FN126" t="str">
            <v/>
          </cell>
          <cell r="FO126" t="str">
            <v/>
          </cell>
          <cell r="FP126" t="str">
            <v/>
          </cell>
        </row>
        <row r="127">
          <cell r="N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AJ127">
            <v>0</v>
          </cell>
          <cell r="AK127">
            <v>0</v>
          </cell>
          <cell r="AL127">
            <v>999999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BE127">
            <v>0</v>
          </cell>
          <cell r="BH127">
            <v>0</v>
          </cell>
          <cell r="BI127">
            <v>0</v>
          </cell>
          <cell r="BJ127">
            <v>0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P127">
            <v>0</v>
          </cell>
          <cell r="BQ127">
            <v>0</v>
          </cell>
          <cell r="CB127">
            <v>0</v>
          </cell>
          <cell r="CC127">
            <v>0</v>
          </cell>
          <cell r="CD127">
            <v>0</v>
          </cell>
          <cell r="CE127">
            <v>0</v>
          </cell>
          <cell r="CF127">
            <v>0</v>
          </cell>
          <cell r="CG127">
            <v>0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  <cell r="CW127">
            <v>0</v>
          </cell>
          <cell r="CY127">
            <v>0</v>
          </cell>
          <cell r="CZ127">
            <v>0</v>
          </cell>
          <cell r="DA127">
            <v>0</v>
          </cell>
          <cell r="DB127">
            <v>0</v>
          </cell>
          <cell r="DC127">
            <v>0</v>
          </cell>
          <cell r="DD127">
            <v>0</v>
          </cell>
          <cell r="DE127">
            <v>0</v>
          </cell>
          <cell r="DF127">
            <v>0</v>
          </cell>
          <cell r="DG127">
            <v>0</v>
          </cell>
          <cell r="DH127">
            <v>0</v>
          </cell>
          <cell r="DS127">
            <v>0</v>
          </cell>
          <cell r="DT127">
            <v>240</v>
          </cell>
          <cell r="DU127">
            <v>999999</v>
          </cell>
          <cell r="DV127">
            <v>999999</v>
          </cell>
          <cell r="DW127">
            <v>999999</v>
          </cell>
          <cell r="DX127">
            <v>0</v>
          </cell>
          <cell r="DY127">
            <v>240</v>
          </cell>
          <cell r="DZ127">
            <v>999999</v>
          </cell>
          <cell r="EA127">
            <v>999999</v>
          </cell>
          <cell r="EB127">
            <v>999999</v>
          </cell>
          <cell r="EC127">
            <v>0</v>
          </cell>
          <cell r="ED127">
            <v>0</v>
          </cell>
          <cell r="EE127">
            <v>0</v>
          </cell>
          <cell r="EF127">
            <v>0</v>
          </cell>
          <cell r="EG127">
            <v>0</v>
          </cell>
          <cell r="EH127">
            <v>0</v>
          </cell>
          <cell r="EI127">
            <v>0</v>
          </cell>
          <cell r="EJ127">
            <v>0</v>
          </cell>
          <cell r="EK127">
            <v>0</v>
          </cell>
          <cell r="EL127">
            <v>0</v>
          </cell>
          <cell r="EM127" t="str">
            <v/>
          </cell>
          <cell r="EN127" t="str">
            <v/>
          </cell>
          <cell r="EO127" t="str">
            <v/>
          </cell>
          <cell r="EP127" t="str">
            <v/>
          </cell>
          <cell r="EQ127" t="str">
            <v/>
          </cell>
          <cell r="ER127" t="str">
            <v/>
          </cell>
          <cell r="ES127" t="str">
            <v/>
          </cell>
          <cell r="ET127" t="str">
            <v/>
          </cell>
          <cell r="EU127" t="str">
            <v/>
          </cell>
          <cell r="EV127" t="str">
            <v/>
          </cell>
          <cell r="EW127" t="str">
            <v/>
          </cell>
          <cell r="EX127" t="str">
            <v/>
          </cell>
          <cell r="EY127" t="str">
            <v/>
          </cell>
          <cell r="EZ127" t="str">
            <v/>
          </cell>
          <cell r="FA127" t="str">
            <v/>
          </cell>
          <cell r="FB127" t="str">
            <v/>
          </cell>
          <cell r="FC127" t="str">
            <v/>
          </cell>
          <cell r="FD127" t="str">
            <v/>
          </cell>
          <cell r="FE127" t="str">
            <v/>
          </cell>
          <cell r="FF127" t="str">
            <v/>
          </cell>
          <cell r="FG127" t="str">
            <v/>
          </cell>
          <cell r="FH127" t="str">
            <v/>
          </cell>
          <cell r="FI127" t="str">
            <v/>
          </cell>
          <cell r="FJ127" t="str">
            <v/>
          </cell>
          <cell r="FK127" t="str">
            <v/>
          </cell>
          <cell r="FL127" t="str">
            <v/>
          </cell>
          <cell r="FM127" t="str">
            <v/>
          </cell>
          <cell r="FN127" t="str">
            <v/>
          </cell>
          <cell r="FO127" t="str">
            <v/>
          </cell>
          <cell r="FP127" t="str">
            <v/>
          </cell>
        </row>
        <row r="128">
          <cell r="N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AJ128">
            <v>0</v>
          </cell>
          <cell r="AK128">
            <v>0</v>
          </cell>
          <cell r="AL128">
            <v>999999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BE128">
            <v>0</v>
          </cell>
          <cell r="BH128">
            <v>0</v>
          </cell>
          <cell r="BI128">
            <v>0</v>
          </cell>
          <cell r="BJ128">
            <v>0</v>
          </cell>
          <cell r="BK128">
            <v>0</v>
          </cell>
          <cell r="BL128">
            <v>0</v>
          </cell>
          <cell r="BM128">
            <v>0</v>
          </cell>
          <cell r="BN128">
            <v>0</v>
          </cell>
          <cell r="BO128">
            <v>0</v>
          </cell>
          <cell r="BP128">
            <v>0</v>
          </cell>
          <cell r="BQ128">
            <v>0</v>
          </cell>
          <cell r="CB128">
            <v>0</v>
          </cell>
          <cell r="CC128">
            <v>0</v>
          </cell>
          <cell r="CD128">
            <v>0</v>
          </cell>
          <cell r="CE128">
            <v>0</v>
          </cell>
          <cell r="CF128">
            <v>0</v>
          </cell>
          <cell r="CG128">
            <v>0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  <cell r="CW128">
            <v>0</v>
          </cell>
          <cell r="CY128">
            <v>0</v>
          </cell>
          <cell r="CZ128">
            <v>0</v>
          </cell>
          <cell r="DA128">
            <v>0</v>
          </cell>
          <cell r="DB128">
            <v>0</v>
          </cell>
          <cell r="DC128">
            <v>0</v>
          </cell>
          <cell r="DD128">
            <v>0</v>
          </cell>
          <cell r="DE128">
            <v>0</v>
          </cell>
          <cell r="DF128">
            <v>0</v>
          </cell>
          <cell r="DG128">
            <v>0</v>
          </cell>
          <cell r="DH128">
            <v>0</v>
          </cell>
          <cell r="DS128">
            <v>0</v>
          </cell>
          <cell r="DT128">
            <v>239</v>
          </cell>
          <cell r="DU128">
            <v>999999</v>
          </cell>
          <cell r="DV128">
            <v>999999</v>
          </cell>
          <cell r="DW128">
            <v>999999</v>
          </cell>
          <cell r="DX128">
            <v>0</v>
          </cell>
          <cell r="DY128">
            <v>239</v>
          </cell>
          <cell r="DZ128">
            <v>999999</v>
          </cell>
          <cell r="EA128">
            <v>999999</v>
          </cell>
          <cell r="EB128">
            <v>999999</v>
          </cell>
          <cell r="EC128">
            <v>0</v>
          </cell>
          <cell r="ED128">
            <v>0</v>
          </cell>
          <cell r="EE128">
            <v>0</v>
          </cell>
          <cell r="EF128">
            <v>0</v>
          </cell>
          <cell r="EG128">
            <v>0</v>
          </cell>
          <cell r="EH128">
            <v>0</v>
          </cell>
          <cell r="EI128">
            <v>0</v>
          </cell>
          <cell r="EJ128">
            <v>0</v>
          </cell>
          <cell r="EK128">
            <v>0</v>
          </cell>
          <cell r="EL128">
            <v>0</v>
          </cell>
          <cell r="EM128" t="str">
            <v/>
          </cell>
          <cell r="EN128" t="str">
            <v/>
          </cell>
          <cell r="EO128" t="str">
            <v/>
          </cell>
          <cell r="EP128" t="str">
            <v/>
          </cell>
          <cell r="EQ128" t="str">
            <v/>
          </cell>
          <cell r="ER128" t="str">
            <v/>
          </cell>
          <cell r="ES128" t="str">
            <v/>
          </cell>
          <cell r="ET128" t="str">
            <v/>
          </cell>
          <cell r="EU128" t="str">
            <v/>
          </cell>
          <cell r="EV128" t="str">
            <v/>
          </cell>
          <cell r="EW128" t="str">
            <v/>
          </cell>
          <cell r="EX128" t="str">
            <v/>
          </cell>
          <cell r="EY128" t="str">
            <v/>
          </cell>
          <cell r="EZ128" t="str">
            <v/>
          </cell>
          <cell r="FA128" t="str">
            <v/>
          </cell>
          <cell r="FB128" t="str">
            <v/>
          </cell>
          <cell r="FC128" t="str">
            <v/>
          </cell>
          <cell r="FD128" t="str">
            <v/>
          </cell>
          <cell r="FE128" t="str">
            <v/>
          </cell>
          <cell r="FF128" t="str">
            <v/>
          </cell>
          <cell r="FG128" t="str">
            <v/>
          </cell>
          <cell r="FH128" t="str">
            <v/>
          </cell>
          <cell r="FI128" t="str">
            <v/>
          </cell>
          <cell r="FJ128" t="str">
            <v/>
          </cell>
          <cell r="FK128" t="str">
            <v/>
          </cell>
          <cell r="FL128" t="str">
            <v/>
          </cell>
          <cell r="FM128" t="str">
            <v/>
          </cell>
          <cell r="FN128" t="str">
            <v/>
          </cell>
          <cell r="FO128" t="str">
            <v/>
          </cell>
          <cell r="FP128" t="str">
            <v/>
          </cell>
        </row>
        <row r="129">
          <cell r="N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AJ129">
            <v>0</v>
          </cell>
          <cell r="AK129">
            <v>0</v>
          </cell>
          <cell r="AL129">
            <v>999999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BE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  <cell r="BP129">
            <v>0</v>
          </cell>
          <cell r="BQ129">
            <v>0</v>
          </cell>
          <cell r="CB129">
            <v>0</v>
          </cell>
          <cell r="CC129">
            <v>0</v>
          </cell>
          <cell r="CD129">
            <v>0</v>
          </cell>
          <cell r="CE129">
            <v>0</v>
          </cell>
          <cell r="CF129">
            <v>0</v>
          </cell>
          <cell r="CG129">
            <v>0</v>
          </cell>
          <cell r="CH129">
            <v>0</v>
          </cell>
          <cell r="CI129">
            <v>0</v>
          </cell>
          <cell r="CJ129">
            <v>0</v>
          </cell>
          <cell r="CK129">
            <v>0</v>
          </cell>
          <cell r="CW129">
            <v>0</v>
          </cell>
          <cell r="CY129">
            <v>0</v>
          </cell>
          <cell r="CZ129">
            <v>0</v>
          </cell>
          <cell r="DA129">
            <v>0</v>
          </cell>
          <cell r="DB129">
            <v>0</v>
          </cell>
          <cell r="DC129">
            <v>0</v>
          </cell>
          <cell r="DD129">
            <v>0</v>
          </cell>
          <cell r="DE129">
            <v>0</v>
          </cell>
          <cell r="DF129">
            <v>0</v>
          </cell>
          <cell r="DG129">
            <v>0</v>
          </cell>
          <cell r="DH129">
            <v>0</v>
          </cell>
          <cell r="DS129">
            <v>0</v>
          </cell>
          <cell r="DT129">
            <v>238</v>
          </cell>
          <cell r="DU129">
            <v>999999</v>
          </cell>
          <cell r="DV129">
            <v>999999</v>
          </cell>
          <cell r="DW129">
            <v>999999</v>
          </cell>
          <cell r="DX129">
            <v>0</v>
          </cell>
          <cell r="DY129">
            <v>238</v>
          </cell>
          <cell r="DZ129">
            <v>999999</v>
          </cell>
          <cell r="EA129">
            <v>999999</v>
          </cell>
          <cell r="EB129">
            <v>999999</v>
          </cell>
          <cell r="EC129">
            <v>0</v>
          </cell>
          <cell r="ED129">
            <v>0</v>
          </cell>
          <cell r="EE129">
            <v>0</v>
          </cell>
          <cell r="EF129">
            <v>0</v>
          </cell>
          <cell r="EG129">
            <v>0</v>
          </cell>
          <cell r="EH129">
            <v>0</v>
          </cell>
          <cell r="EI129">
            <v>0</v>
          </cell>
          <cell r="EJ129">
            <v>0</v>
          </cell>
          <cell r="EK129">
            <v>0</v>
          </cell>
          <cell r="EL129">
            <v>0</v>
          </cell>
          <cell r="EM129" t="str">
            <v/>
          </cell>
          <cell r="EN129" t="str">
            <v/>
          </cell>
          <cell r="EO129" t="str">
            <v/>
          </cell>
          <cell r="EP129" t="str">
            <v/>
          </cell>
          <cell r="EQ129" t="str">
            <v/>
          </cell>
          <cell r="ER129" t="str">
            <v/>
          </cell>
          <cell r="ES129" t="str">
            <v/>
          </cell>
          <cell r="ET129" t="str">
            <v/>
          </cell>
          <cell r="EU129" t="str">
            <v/>
          </cell>
          <cell r="EV129" t="str">
            <v/>
          </cell>
          <cell r="EW129" t="str">
            <v/>
          </cell>
          <cell r="EX129" t="str">
            <v/>
          </cell>
          <cell r="EY129" t="str">
            <v/>
          </cell>
          <cell r="EZ129" t="str">
            <v/>
          </cell>
          <cell r="FA129" t="str">
            <v/>
          </cell>
          <cell r="FB129" t="str">
            <v/>
          </cell>
          <cell r="FC129" t="str">
            <v/>
          </cell>
          <cell r="FD129" t="str">
            <v/>
          </cell>
          <cell r="FE129" t="str">
            <v/>
          </cell>
          <cell r="FF129" t="str">
            <v/>
          </cell>
          <cell r="FG129" t="str">
            <v/>
          </cell>
          <cell r="FH129" t="str">
            <v/>
          </cell>
          <cell r="FI129" t="str">
            <v/>
          </cell>
          <cell r="FJ129" t="str">
            <v/>
          </cell>
          <cell r="FK129" t="str">
            <v/>
          </cell>
          <cell r="FL129" t="str">
            <v/>
          </cell>
          <cell r="FM129" t="str">
            <v/>
          </cell>
          <cell r="FN129" t="str">
            <v/>
          </cell>
          <cell r="FO129" t="str">
            <v/>
          </cell>
          <cell r="FP129" t="str">
            <v/>
          </cell>
        </row>
        <row r="130">
          <cell r="N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AJ130">
            <v>0</v>
          </cell>
          <cell r="AK130">
            <v>0</v>
          </cell>
          <cell r="AL130">
            <v>999999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BE130">
            <v>0</v>
          </cell>
          <cell r="BH130">
            <v>0</v>
          </cell>
          <cell r="BI130">
            <v>0</v>
          </cell>
          <cell r="BJ130">
            <v>0</v>
          </cell>
          <cell r="BK130">
            <v>0</v>
          </cell>
          <cell r="BL130">
            <v>0</v>
          </cell>
          <cell r="BM130">
            <v>0</v>
          </cell>
          <cell r="BN130">
            <v>0</v>
          </cell>
          <cell r="BO130">
            <v>0</v>
          </cell>
          <cell r="BP130">
            <v>0</v>
          </cell>
          <cell r="BQ130">
            <v>0</v>
          </cell>
          <cell r="CB130">
            <v>0</v>
          </cell>
          <cell r="CC130">
            <v>0</v>
          </cell>
          <cell r="CD130">
            <v>0</v>
          </cell>
          <cell r="CE130">
            <v>0</v>
          </cell>
          <cell r="CF130">
            <v>0</v>
          </cell>
          <cell r="CG130">
            <v>0</v>
          </cell>
          <cell r="CH130">
            <v>0</v>
          </cell>
          <cell r="CI130">
            <v>0</v>
          </cell>
          <cell r="CJ130">
            <v>0</v>
          </cell>
          <cell r="CK130">
            <v>0</v>
          </cell>
          <cell r="CW130">
            <v>0</v>
          </cell>
          <cell r="CY130">
            <v>0</v>
          </cell>
          <cell r="CZ130">
            <v>0</v>
          </cell>
          <cell r="DA130">
            <v>0</v>
          </cell>
          <cell r="DB130">
            <v>0</v>
          </cell>
          <cell r="DC130">
            <v>0</v>
          </cell>
          <cell r="DD130">
            <v>0</v>
          </cell>
          <cell r="DE130">
            <v>0</v>
          </cell>
          <cell r="DF130">
            <v>0</v>
          </cell>
          <cell r="DG130">
            <v>0</v>
          </cell>
          <cell r="DH130">
            <v>0</v>
          </cell>
          <cell r="DS130">
            <v>0</v>
          </cell>
          <cell r="DT130">
            <v>237</v>
          </cell>
          <cell r="DU130">
            <v>999999</v>
          </cell>
          <cell r="DV130">
            <v>999999</v>
          </cell>
          <cell r="DW130">
            <v>999999</v>
          </cell>
          <cell r="DX130">
            <v>0</v>
          </cell>
          <cell r="DY130">
            <v>237</v>
          </cell>
          <cell r="DZ130">
            <v>999999</v>
          </cell>
          <cell r="EA130">
            <v>999999</v>
          </cell>
          <cell r="EB130">
            <v>999999</v>
          </cell>
          <cell r="EC130">
            <v>0</v>
          </cell>
          <cell r="ED130">
            <v>0</v>
          </cell>
          <cell r="EE130">
            <v>0</v>
          </cell>
          <cell r="EF130">
            <v>0</v>
          </cell>
          <cell r="EG130">
            <v>0</v>
          </cell>
          <cell r="EH130">
            <v>0</v>
          </cell>
          <cell r="EI130">
            <v>0</v>
          </cell>
          <cell r="EJ130">
            <v>0</v>
          </cell>
          <cell r="EK130">
            <v>0</v>
          </cell>
          <cell r="EL130">
            <v>0</v>
          </cell>
          <cell r="EM130" t="str">
            <v/>
          </cell>
          <cell r="EN130" t="str">
            <v/>
          </cell>
          <cell r="EO130" t="str">
            <v/>
          </cell>
          <cell r="EP130" t="str">
            <v/>
          </cell>
          <cell r="EQ130" t="str">
            <v/>
          </cell>
          <cell r="ER130" t="str">
            <v/>
          </cell>
          <cell r="ES130" t="str">
            <v/>
          </cell>
          <cell r="ET130" t="str">
            <v/>
          </cell>
          <cell r="EU130" t="str">
            <v/>
          </cell>
          <cell r="EV130" t="str">
            <v/>
          </cell>
          <cell r="EW130" t="str">
            <v/>
          </cell>
          <cell r="EX130" t="str">
            <v/>
          </cell>
          <cell r="EY130" t="str">
            <v/>
          </cell>
          <cell r="EZ130" t="str">
            <v/>
          </cell>
          <cell r="FA130" t="str">
            <v/>
          </cell>
          <cell r="FB130" t="str">
            <v/>
          </cell>
          <cell r="FC130" t="str">
            <v/>
          </cell>
          <cell r="FD130" t="str">
            <v/>
          </cell>
          <cell r="FE130" t="str">
            <v/>
          </cell>
          <cell r="FF130" t="str">
            <v/>
          </cell>
          <cell r="FG130" t="str">
            <v/>
          </cell>
          <cell r="FH130" t="str">
            <v/>
          </cell>
          <cell r="FI130" t="str">
            <v/>
          </cell>
          <cell r="FJ130" t="str">
            <v/>
          </cell>
          <cell r="FK130" t="str">
            <v/>
          </cell>
          <cell r="FL130" t="str">
            <v/>
          </cell>
          <cell r="FM130" t="str">
            <v/>
          </cell>
          <cell r="FN130" t="str">
            <v/>
          </cell>
          <cell r="FO130" t="str">
            <v/>
          </cell>
          <cell r="FP130" t="str">
            <v/>
          </cell>
        </row>
        <row r="131">
          <cell r="N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AJ131">
            <v>0</v>
          </cell>
          <cell r="AK131">
            <v>0</v>
          </cell>
          <cell r="AL131">
            <v>999999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BE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BQ131">
            <v>0</v>
          </cell>
          <cell r="CB131">
            <v>0</v>
          </cell>
          <cell r="CC131">
            <v>0</v>
          </cell>
          <cell r="CD131">
            <v>0</v>
          </cell>
          <cell r="CE131">
            <v>0</v>
          </cell>
          <cell r="CF131">
            <v>0</v>
          </cell>
          <cell r="CG131">
            <v>0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  <cell r="CW131">
            <v>0</v>
          </cell>
          <cell r="CY131">
            <v>0</v>
          </cell>
          <cell r="CZ131">
            <v>0</v>
          </cell>
          <cell r="DA131">
            <v>0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0</v>
          </cell>
          <cell r="DS131">
            <v>0</v>
          </cell>
          <cell r="DT131">
            <v>236</v>
          </cell>
          <cell r="DU131">
            <v>999999</v>
          </cell>
          <cell r="DV131">
            <v>999999</v>
          </cell>
          <cell r="DW131">
            <v>999999</v>
          </cell>
          <cell r="DX131">
            <v>0</v>
          </cell>
          <cell r="DY131">
            <v>236</v>
          </cell>
          <cell r="DZ131">
            <v>999999</v>
          </cell>
          <cell r="EA131">
            <v>999999</v>
          </cell>
          <cell r="EB131">
            <v>999999</v>
          </cell>
          <cell r="EC131">
            <v>0</v>
          </cell>
          <cell r="ED131">
            <v>0</v>
          </cell>
          <cell r="EE131">
            <v>0</v>
          </cell>
          <cell r="EF131">
            <v>0</v>
          </cell>
          <cell r="EG131">
            <v>0</v>
          </cell>
          <cell r="EH131">
            <v>0</v>
          </cell>
          <cell r="EI131">
            <v>0</v>
          </cell>
          <cell r="EJ131">
            <v>0</v>
          </cell>
          <cell r="EK131">
            <v>0</v>
          </cell>
          <cell r="EL131">
            <v>0</v>
          </cell>
          <cell r="EM131" t="str">
            <v/>
          </cell>
          <cell r="EN131" t="str">
            <v/>
          </cell>
          <cell r="EO131" t="str">
            <v/>
          </cell>
          <cell r="EP131" t="str">
            <v/>
          </cell>
          <cell r="EQ131" t="str">
            <v/>
          </cell>
          <cell r="ER131" t="str">
            <v/>
          </cell>
          <cell r="ES131" t="str">
            <v/>
          </cell>
          <cell r="ET131" t="str">
            <v/>
          </cell>
          <cell r="EU131" t="str">
            <v/>
          </cell>
          <cell r="EV131" t="str">
            <v/>
          </cell>
          <cell r="EW131" t="str">
            <v/>
          </cell>
          <cell r="EX131" t="str">
            <v/>
          </cell>
          <cell r="EY131" t="str">
            <v/>
          </cell>
          <cell r="EZ131" t="str">
            <v/>
          </cell>
          <cell r="FA131" t="str">
            <v/>
          </cell>
          <cell r="FB131" t="str">
            <v/>
          </cell>
          <cell r="FC131" t="str">
            <v/>
          </cell>
          <cell r="FD131" t="str">
            <v/>
          </cell>
          <cell r="FE131" t="str">
            <v/>
          </cell>
          <cell r="FF131" t="str">
            <v/>
          </cell>
          <cell r="FG131" t="str">
            <v/>
          </cell>
          <cell r="FH131" t="str">
            <v/>
          </cell>
          <cell r="FI131" t="str">
            <v/>
          </cell>
          <cell r="FJ131" t="str">
            <v/>
          </cell>
          <cell r="FK131" t="str">
            <v/>
          </cell>
          <cell r="FL131" t="str">
            <v/>
          </cell>
          <cell r="FM131" t="str">
            <v/>
          </cell>
          <cell r="FN131" t="str">
            <v/>
          </cell>
          <cell r="FO131" t="str">
            <v/>
          </cell>
          <cell r="FP131" t="str">
            <v/>
          </cell>
        </row>
        <row r="132">
          <cell r="N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AJ132">
            <v>0</v>
          </cell>
          <cell r="AK132">
            <v>0</v>
          </cell>
          <cell r="AL132">
            <v>999999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BE132">
            <v>48000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0</v>
          </cell>
          <cell r="CB132">
            <v>0</v>
          </cell>
          <cell r="CC132">
            <v>0</v>
          </cell>
          <cell r="CD132">
            <v>0</v>
          </cell>
          <cell r="CE132">
            <v>0</v>
          </cell>
          <cell r="CF132">
            <v>0</v>
          </cell>
          <cell r="CG132">
            <v>0</v>
          </cell>
          <cell r="CH132">
            <v>0</v>
          </cell>
          <cell r="CI132">
            <v>0</v>
          </cell>
          <cell r="CJ132">
            <v>0</v>
          </cell>
          <cell r="CK132">
            <v>0</v>
          </cell>
          <cell r="CW132">
            <v>0</v>
          </cell>
          <cell r="CY132">
            <v>0</v>
          </cell>
          <cell r="CZ132">
            <v>0</v>
          </cell>
          <cell r="DA132">
            <v>0</v>
          </cell>
          <cell r="DB132">
            <v>0</v>
          </cell>
          <cell r="DC132">
            <v>0</v>
          </cell>
          <cell r="DD132">
            <v>0</v>
          </cell>
          <cell r="DE132">
            <v>0</v>
          </cell>
          <cell r="DF132">
            <v>0</v>
          </cell>
          <cell r="DG132">
            <v>0</v>
          </cell>
          <cell r="DH132">
            <v>0</v>
          </cell>
          <cell r="DS132">
            <v>0</v>
          </cell>
          <cell r="DT132">
            <v>235</v>
          </cell>
          <cell r="DU132">
            <v>999999</v>
          </cell>
          <cell r="DV132">
            <v>999999</v>
          </cell>
          <cell r="DW132">
            <v>999999</v>
          </cell>
          <cell r="DX132">
            <v>0</v>
          </cell>
          <cell r="DY132">
            <v>235</v>
          </cell>
          <cell r="DZ132">
            <v>999999</v>
          </cell>
          <cell r="EA132">
            <v>999999</v>
          </cell>
          <cell r="EB132">
            <v>999999</v>
          </cell>
          <cell r="EC132">
            <v>0</v>
          </cell>
          <cell r="ED132">
            <v>0</v>
          </cell>
          <cell r="EE132">
            <v>0</v>
          </cell>
          <cell r="EF132">
            <v>0</v>
          </cell>
          <cell r="EG132">
            <v>0</v>
          </cell>
          <cell r="EH132">
            <v>0</v>
          </cell>
          <cell r="EI132">
            <v>0</v>
          </cell>
          <cell r="EJ132">
            <v>0</v>
          </cell>
          <cell r="EK132">
            <v>0</v>
          </cell>
          <cell r="EL132">
            <v>0</v>
          </cell>
          <cell r="EM132" t="str">
            <v/>
          </cell>
          <cell r="EN132" t="str">
            <v/>
          </cell>
          <cell r="EO132" t="str">
            <v/>
          </cell>
          <cell r="EP132" t="str">
            <v/>
          </cell>
          <cell r="EQ132" t="str">
            <v/>
          </cell>
          <cell r="ER132" t="str">
            <v/>
          </cell>
          <cell r="ES132" t="str">
            <v/>
          </cell>
          <cell r="ET132" t="str">
            <v/>
          </cell>
          <cell r="EU132" t="str">
            <v/>
          </cell>
          <cell r="EV132" t="str">
            <v/>
          </cell>
          <cell r="EW132" t="str">
            <v/>
          </cell>
          <cell r="EX132" t="str">
            <v/>
          </cell>
          <cell r="EY132" t="str">
            <v/>
          </cell>
          <cell r="EZ132" t="str">
            <v/>
          </cell>
          <cell r="FA132" t="str">
            <v/>
          </cell>
          <cell r="FB132" t="str">
            <v/>
          </cell>
          <cell r="FC132" t="str">
            <v/>
          </cell>
          <cell r="FD132" t="str">
            <v/>
          </cell>
          <cell r="FE132" t="str">
            <v/>
          </cell>
          <cell r="FF132" t="str">
            <v/>
          </cell>
          <cell r="FG132" t="str">
            <v/>
          </cell>
          <cell r="FH132" t="str">
            <v/>
          </cell>
          <cell r="FI132" t="str">
            <v/>
          </cell>
          <cell r="FJ132" t="str">
            <v/>
          </cell>
          <cell r="FK132" t="str">
            <v/>
          </cell>
          <cell r="FL132" t="str">
            <v/>
          </cell>
          <cell r="FM132" t="str">
            <v/>
          </cell>
          <cell r="FN132" t="str">
            <v/>
          </cell>
          <cell r="FO132" t="str">
            <v/>
          </cell>
          <cell r="FP132" t="str">
            <v/>
          </cell>
        </row>
        <row r="133">
          <cell r="N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AJ133">
            <v>0</v>
          </cell>
          <cell r="AK133">
            <v>0</v>
          </cell>
          <cell r="AL133">
            <v>999999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BE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P133">
            <v>0</v>
          </cell>
          <cell r="BQ133">
            <v>0</v>
          </cell>
          <cell r="CB133">
            <v>0</v>
          </cell>
          <cell r="CC133">
            <v>0</v>
          </cell>
          <cell r="CD133">
            <v>0</v>
          </cell>
          <cell r="CE133">
            <v>0</v>
          </cell>
          <cell r="CF133">
            <v>0</v>
          </cell>
          <cell r="CG133">
            <v>0</v>
          </cell>
          <cell r="CH133">
            <v>0</v>
          </cell>
          <cell r="CI133">
            <v>0</v>
          </cell>
          <cell r="CJ133">
            <v>0</v>
          </cell>
          <cell r="CK133">
            <v>0</v>
          </cell>
          <cell r="CW133">
            <v>0</v>
          </cell>
          <cell r="CY133">
            <v>0</v>
          </cell>
          <cell r="CZ133">
            <v>0</v>
          </cell>
          <cell r="DA133">
            <v>0</v>
          </cell>
          <cell r="DB133">
            <v>0</v>
          </cell>
          <cell r="DC133">
            <v>0</v>
          </cell>
          <cell r="DD133">
            <v>0</v>
          </cell>
          <cell r="DE133">
            <v>0</v>
          </cell>
          <cell r="DF133">
            <v>0</v>
          </cell>
          <cell r="DG133">
            <v>0</v>
          </cell>
          <cell r="DH133">
            <v>0</v>
          </cell>
          <cell r="DS133">
            <v>0</v>
          </cell>
          <cell r="DT133">
            <v>234</v>
          </cell>
          <cell r="DU133">
            <v>999999</v>
          </cell>
          <cell r="DV133">
            <v>999999</v>
          </cell>
          <cell r="DW133">
            <v>999999</v>
          </cell>
          <cell r="DX133">
            <v>0</v>
          </cell>
          <cell r="DY133">
            <v>234</v>
          </cell>
          <cell r="DZ133">
            <v>999999</v>
          </cell>
          <cell r="EA133">
            <v>999999</v>
          </cell>
          <cell r="EB133">
            <v>999999</v>
          </cell>
          <cell r="EC133">
            <v>0</v>
          </cell>
          <cell r="ED133">
            <v>0</v>
          </cell>
          <cell r="EE133">
            <v>0</v>
          </cell>
          <cell r="EF133">
            <v>0</v>
          </cell>
          <cell r="EG133">
            <v>0</v>
          </cell>
          <cell r="EH133">
            <v>0</v>
          </cell>
          <cell r="EI133">
            <v>0</v>
          </cell>
          <cell r="EJ133">
            <v>0</v>
          </cell>
          <cell r="EK133">
            <v>0</v>
          </cell>
          <cell r="EL133">
            <v>0</v>
          </cell>
          <cell r="EM133" t="str">
            <v/>
          </cell>
          <cell r="EN133" t="str">
            <v/>
          </cell>
          <cell r="EO133" t="str">
            <v/>
          </cell>
          <cell r="EP133" t="str">
            <v/>
          </cell>
          <cell r="EQ133" t="str">
            <v/>
          </cell>
          <cell r="ER133" t="str">
            <v/>
          </cell>
          <cell r="ES133" t="str">
            <v/>
          </cell>
          <cell r="ET133" t="str">
            <v/>
          </cell>
          <cell r="EU133" t="str">
            <v/>
          </cell>
          <cell r="EV133" t="str">
            <v/>
          </cell>
          <cell r="EW133" t="str">
            <v/>
          </cell>
          <cell r="EX133" t="str">
            <v/>
          </cell>
          <cell r="EY133" t="str">
            <v/>
          </cell>
          <cell r="EZ133" t="str">
            <v/>
          </cell>
          <cell r="FA133" t="str">
            <v/>
          </cell>
          <cell r="FB133" t="str">
            <v/>
          </cell>
          <cell r="FC133" t="str">
            <v/>
          </cell>
          <cell r="FD133" t="str">
            <v/>
          </cell>
          <cell r="FE133" t="str">
            <v/>
          </cell>
          <cell r="FF133" t="str">
            <v/>
          </cell>
          <cell r="FG133" t="str">
            <v/>
          </cell>
          <cell r="FH133" t="str">
            <v/>
          </cell>
          <cell r="FI133" t="str">
            <v/>
          </cell>
          <cell r="FJ133" t="str">
            <v/>
          </cell>
          <cell r="FK133" t="str">
            <v/>
          </cell>
          <cell r="FL133" t="str">
            <v/>
          </cell>
          <cell r="FM133" t="str">
            <v/>
          </cell>
          <cell r="FN133" t="str">
            <v/>
          </cell>
          <cell r="FO133" t="str">
            <v/>
          </cell>
          <cell r="FP133" t="str">
            <v/>
          </cell>
        </row>
        <row r="134">
          <cell r="N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AJ134">
            <v>0</v>
          </cell>
          <cell r="AK134">
            <v>0</v>
          </cell>
          <cell r="AL134">
            <v>999999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BE134">
            <v>0</v>
          </cell>
          <cell r="BH134">
            <v>0</v>
          </cell>
          <cell r="BI134">
            <v>0</v>
          </cell>
          <cell r="BJ134">
            <v>0</v>
          </cell>
          <cell r="BK134">
            <v>0</v>
          </cell>
          <cell r="BL134">
            <v>0</v>
          </cell>
          <cell r="BM134">
            <v>0</v>
          </cell>
          <cell r="BN134">
            <v>0</v>
          </cell>
          <cell r="BO134">
            <v>0</v>
          </cell>
          <cell r="BP134">
            <v>0</v>
          </cell>
          <cell r="BQ134">
            <v>0</v>
          </cell>
          <cell r="CB134">
            <v>0</v>
          </cell>
          <cell r="CC134">
            <v>0</v>
          </cell>
          <cell r="CD134">
            <v>0</v>
          </cell>
          <cell r="CE134">
            <v>0</v>
          </cell>
          <cell r="CF134">
            <v>0</v>
          </cell>
          <cell r="CG134">
            <v>0</v>
          </cell>
          <cell r="CH134">
            <v>0</v>
          </cell>
          <cell r="CI134">
            <v>0</v>
          </cell>
          <cell r="CJ134">
            <v>0</v>
          </cell>
          <cell r="CK134">
            <v>0</v>
          </cell>
          <cell r="CW134">
            <v>0</v>
          </cell>
          <cell r="CY134">
            <v>0</v>
          </cell>
          <cell r="CZ134">
            <v>0</v>
          </cell>
          <cell r="DA134">
            <v>0</v>
          </cell>
          <cell r="DB134">
            <v>0</v>
          </cell>
          <cell r="DC134">
            <v>0</v>
          </cell>
          <cell r="DD134">
            <v>0</v>
          </cell>
          <cell r="DE134">
            <v>0</v>
          </cell>
          <cell r="DF134">
            <v>0</v>
          </cell>
          <cell r="DG134">
            <v>0</v>
          </cell>
          <cell r="DH134">
            <v>0</v>
          </cell>
          <cell r="DS134">
            <v>0</v>
          </cell>
          <cell r="DT134">
            <v>233</v>
          </cell>
          <cell r="DU134">
            <v>999999</v>
          </cell>
          <cell r="DV134">
            <v>999999</v>
          </cell>
          <cell r="DW134">
            <v>999999</v>
          </cell>
          <cell r="DX134">
            <v>0</v>
          </cell>
          <cell r="DY134">
            <v>233</v>
          </cell>
          <cell r="DZ134">
            <v>999999</v>
          </cell>
          <cell r="EA134">
            <v>999999</v>
          </cell>
          <cell r="EB134">
            <v>999999</v>
          </cell>
          <cell r="EC134">
            <v>0</v>
          </cell>
          <cell r="ED134">
            <v>0</v>
          </cell>
          <cell r="EE134">
            <v>0</v>
          </cell>
          <cell r="EF134">
            <v>0</v>
          </cell>
          <cell r="EG134">
            <v>0</v>
          </cell>
          <cell r="EH134">
            <v>0</v>
          </cell>
          <cell r="EI134">
            <v>0</v>
          </cell>
          <cell r="EJ134">
            <v>0</v>
          </cell>
          <cell r="EK134">
            <v>0</v>
          </cell>
          <cell r="EL134">
            <v>0</v>
          </cell>
          <cell r="EM134" t="str">
            <v/>
          </cell>
          <cell r="EN134" t="str">
            <v/>
          </cell>
          <cell r="EO134" t="str">
            <v/>
          </cell>
          <cell r="EP134" t="str">
            <v/>
          </cell>
          <cell r="EQ134" t="str">
            <v/>
          </cell>
          <cell r="ER134" t="str">
            <v/>
          </cell>
          <cell r="ES134" t="str">
            <v/>
          </cell>
          <cell r="ET134" t="str">
            <v/>
          </cell>
          <cell r="EU134" t="str">
            <v/>
          </cell>
          <cell r="EV134" t="str">
            <v/>
          </cell>
          <cell r="EW134" t="str">
            <v/>
          </cell>
          <cell r="EX134" t="str">
            <v/>
          </cell>
          <cell r="EY134" t="str">
            <v/>
          </cell>
          <cell r="EZ134" t="str">
            <v/>
          </cell>
          <cell r="FA134" t="str">
            <v/>
          </cell>
          <cell r="FB134" t="str">
            <v/>
          </cell>
          <cell r="FC134" t="str">
            <v/>
          </cell>
          <cell r="FD134" t="str">
            <v/>
          </cell>
          <cell r="FE134" t="str">
            <v/>
          </cell>
          <cell r="FF134" t="str">
            <v/>
          </cell>
          <cell r="FG134" t="str">
            <v/>
          </cell>
          <cell r="FH134" t="str">
            <v/>
          </cell>
          <cell r="FI134" t="str">
            <v/>
          </cell>
          <cell r="FJ134" t="str">
            <v/>
          </cell>
          <cell r="FK134" t="str">
            <v/>
          </cell>
          <cell r="FL134" t="str">
            <v/>
          </cell>
          <cell r="FM134" t="str">
            <v/>
          </cell>
          <cell r="FN134" t="str">
            <v/>
          </cell>
          <cell r="FO134" t="str">
            <v/>
          </cell>
          <cell r="FP134" t="str">
            <v/>
          </cell>
        </row>
        <row r="135">
          <cell r="N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AJ135">
            <v>0</v>
          </cell>
          <cell r="AK135">
            <v>0</v>
          </cell>
          <cell r="AL135">
            <v>999999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BE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  <cell r="BP135">
            <v>0</v>
          </cell>
          <cell r="BQ135">
            <v>0</v>
          </cell>
          <cell r="CB135">
            <v>0</v>
          </cell>
          <cell r="CC135">
            <v>0</v>
          </cell>
          <cell r="CD135">
            <v>0</v>
          </cell>
          <cell r="CE135">
            <v>0</v>
          </cell>
          <cell r="CF135">
            <v>0</v>
          </cell>
          <cell r="CG135">
            <v>0</v>
          </cell>
          <cell r="CH135">
            <v>0</v>
          </cell>
          <cell r="CI135">
            <v>0</v>
          </cell>
          <cell r="CJ135">
            <v>0</v>
          </cell>
          <cell r="CK135">
            <v>0</v>
          </cell>
          <cell r="CW135">
            <v>0</v>
          </cell>
          <cell r="CY135">
            <v>0</v>
          </cell>
          <cell r="CZ135">
            <v>0</v>
          </cell>
          <cell r="DA135">
            <v>0</v>
          </cell>
          <cell r="DB135">
            <v>0</v>
          </cell>
          <cell r="DC135">
            <v>0</v>
          </cell>
          <cell r="DD135">
            <v>0</v>
          </cell>
          <cell r="DE135">
            <v>0</v>
          </cell>
          <cell r="DF135">
            <v>0</v>
          </cell>
          <cell r="DG135">
            <v>0</v>
          </cell>
          <cell r="DH135">
            <v>0</v>
          </cell>
          <cell r="DS135">
            <v>0</v>
          </cell>
          <cell r="DT135">
            <v>232</v>
          </cell>
          <cell r="DU135">
            <v>999999</v>
          </cell>
          <cell r="DV135">
            <v>999999</v>
          </cell>
          <cell r="DW135">
            <v>999999</v>
          </cell>
          <cell r="DX135">
            <v>0</v>
          </cell>
          <cell r="DY135">
            <v>232</v>
          </cell>
          <cell r="DZ135">
            <v>999999</v>
          </cell>
          <cell r="EA135">
            <v>999999</v>
          </cell>
          <cell r="EB135">
            <v>999999</v>
          </cell>
          <cell r="EC135">
            <v>0</v>
          </cell>
          <cell r="ED135">
            <v>0</v>
          </cell>
          <cell r="EE135">
            <v>0</v>
          </cell>
          <cell r="EF135">
            <v>0</v>
          </cell>
          <cell r="EG135">
            <v>0</v>
          </cell>
          <cell r="EH135">
            <v>0</v>
          </cell>
          <cell r="EI135">
            <v>0</v>
          </cell>
          <cell r="EJ135">
            <v>0</v>
          </cell>
          <cell r="EK135">
            <v>0</v>
          </cell>
          <cell r="EL135">
            <v>0</v>
          </cell>
          <cell r="EM135" t="str">
            <v/>
          </cell>
          <cell r="EN135" t="str">
            <v/>
          </cell>
          <cell r="EO135" t="str">
            <v/>
          </cell>
          <cell r="EP135" t="str">
            <v/>
          </cell>
          <cell r="EQ135" t="str">
            <v/>
          </cell>
          <cell r="ER135" t="str">
            <v/>
          </cell>
          <cell r="ES135" t="str">
            <v/>
          </cell>
          <cell r="ET135" t="str">
            <v/>
          </cell>
          <cell r="EU135" t="str">
            <v/>
          </cell>
          <cell r="EV135" t="str">
            <v/>
          </cell>
          <cell r="EW135" t="str">
            <v/>
          </cell>
          <cell r="EX135" t="str">
            <v/>
          </cell>
          <cell r="EY135" t="str">
            <v/>
          </cell>
          <cell r="EZ135" t="str">
            <v/>
          </cell>
          <cell r="FA135" t="str">
            <v/>
          </cell>
          <cell r="FB135" t="str">
            <v/>
          </cell>
          <cell r="FC135" t="str">
            <v/>
          </cell>
          <cell r="FD135" t="str">
            <v/>
          </cell>
          <cell r="FE135" t="str">
            <v/>
          </cell>
          <cell r="FF135" t="str">
            <v/>
          </cell>
          <cell r="FG135" t="str">
            <v/>
          </cell>
          <cell r="FH135" t="str">
            <v/>
          </cell>
          <cell r="FI135" t="str">
            <v/>
          </cell>
          <cell r="FJ135" t="str">
            <v/>
          </cell>
          <cell r="FK135" t="str">
            <v/>
          </cell>
          <cell r="FL135" t="str">
            <v/>
          </cell>
          <cell r="FM135" t="str">
            <v/>
          </cell>
          <cell r="FN135" t="str">
            <v/>
          </cell>
          <cell r="FO135" t="str">
            <v/>
          </cell>
          <cell r="FP135" t="str">
            <v/>
          </cell>
        </row>
        <row r="136">
          <cell r="N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AJ136">
            <v>0</v>
          </cell>
          <cell r="AK136">
            <v>0</v>
          </cell>
          <cell r="AL136">
            <v>999999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BE136">
            <v>0</v>
          </cell>
          <cell r="BH136">
            <v>0</v>
          </cell>
          <cell r="BI136">
            <v>0</v>
          </cell>
          <cell r="BJ136">
            <v>0</v>
          </cell>
          <cell r="BK136">
            <v>0</v>
          </cell>
          <cell r="BL136">
            <v>0</v>
          </cell>
          <cell r="BM136">
            <v>0</v>
          </cell>
          <cell r="BN136">
            <v>0</v>
          </cell>
          <cell r="BO136">
            <v>0</v>
          </cell>
          <cell r="BP136">
            <v>0</v>
          </cell>
          <cell r="BQ136">
            <v>0</v>
          </cell>
          <cell r="CB136">
            <v>0</v>
          </cell>
          <cell r="CC136">
            <v>0</v>
          </cell>
          <cell r="CD136">
            <v>0</v>
          </cell>
          <cell r="CE136">
            <v>0</v>
          </cell>
          <cell r="CF136">
            <v>0</v>
          </cell>
          <cell r="CG136">
            <v>0</v>
          </cell>
          <cell r="CH136">
            <v>0</v>
          </cell>
          <cell r="CI136">
            <v>0</v>
          </cell>
          <cell r="CJ136">
            <v>0</v>
          </cell>
          <cell r="CK136">
            <v>0</v>
          </cell>
          <cell r="CW136">
            <v>0</v>
          </cell>
          <cell r="CY136">
            <v>0</v>
          </cell>
          <cell r="CZ136">
            <v>0</v>
          </cell>
          <cell r="DA136">
            <v>0</v>
          </cell>
          <cell r="DB136">
            <v>0</v>
          </cell>
          <cell r="DC136">
            <v>0</v>
          </cell>
          <cell r="DD136">
            <v>0</v>
          </cell>
          <cell r="DE136">
            <v>0</v>
          </cell>
          <cell r="DF136">
            <v>0</v>
          </cell>
          <cell r="DG136">
            <v>0</v>
          </cell>
          <cell r="DH136">
            <v>0</v>
          </cell>
          <cell r="DS136">
            <v>0</v>
          </cell>
          <cell r="DT136">
            <v>231</v>
          </cell>
          <cell r="DU136">
            <v>999999</v>
          </cell>
          <cell r="DV136">
            <v>999999</v>
          </cell>
          <cell r="DW136">
            <v>999999</v>
          </cell>
          <cell r="DX136">
            <v>0</v>
          </cell>
          <cell r="DY136">
            <v>231</v>
          </cell>
          <cell r="DZ136">
            <v>999999</v>
          </cell>
          <cell r="EA136">
            <v>999999</v>
          </cell>
          <cell r="EB136">
            <v>999999</v>
          </cell>
          <cell r="EC136">
            <v>0</v>
          </cell>
          <cell r="ED136">
            <v>0</v>
          </cell>
          <cell r="EE136">
            <v>0</v>
          </cell>
          <cell r="EF136">
            <v>0</v>
          </cell>
          <cell r="EG136">
            <v>0</v>
          </cell>
          <cell r="EH136">
            <v>0</v>
          </cell>
          <cell r="EI136">
            <v>0</v>
          </cell>
          <cell r="EJ136">
            <v>0</v>
          </cell>
          <cell r="EK136">
            <v>0</v>
          </cell>
          <cell r="EL136">
            <v>0</v>
          </cell>
          <cell r="EM136" t="str">
            <v/>
          </cell>
          <cell r="EN136" t="str">
            <v/>
          </cell>
          <cell r="EO136" t="str">
            <v/>
          </cell>
          <cell r="EP136" t="str">
            <v/>
          </cell>
          <cell r="EQ136" t="str">
            <v/>
          </cell>
          <cell r="ER136" t="str">
            <v/>
          </cell>
          <cell r="ES136" t="str">
            <v/>
          </cell>
          <cell r="ET136" t="str">
            <v/>
          </cell>
          <cell r="EU136" t="str">
            <v/>
          </cell>
          <cell r="EV136" t="str">
            <v/>
          </cell>
          <cell r="EW136" t="str">
            <v/>
          </cell>
          <cell r="EX136" t="str">
            <v/>
          </cell>
          <cell r="EY136" t="str">
            <v/>
          </cell>
          <cell r="EZ136" t="str">
            <v/>
          </cell>
          <cell r="FA136" t="str">
            <v/>
          </cell>
          <cell r="FB136" t="str">
            <v/>
          </cell>
          <cell r="FC136" t="str">
            <v/>
          </cell>
          <cell r="FD136" t="str">
            <v/>
          </cell>
          <cell r="FE136" t="str">
            <v/>
          </cell>
          <cell r="FF136" t="str">
            <v/>
          </cell>
          <cell r="FG136" t="str">
            <v/>
          </cell>
          <cell r="FH136" t="str">
            <v/>
          </cell>
          <cell r="FI136" t="str">
            <v/>
          </cell>
          <cell r="FJ136" t="str">
            <v/>
          </cell>
          <cell r="FK136" t="str">
            <v/>
          </cell>
          <cell r="FL136" t="str">
            <v/>
          </cell>
          <cell r="FM136" t="str">
            <v/>
          </cell>
          <cell r="FN136" t="str">
            <v/>
          </cell>
          <cell r="FO136" t="str">
            <v/>
          </cell>
          <cell r="FP136" t="str">
            <v/>
          </cell>
        </row>
        <row r="137">
          <cell r="N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AJ137">
            <v>0</v>
          </cell>
          <cell r="AK137">
            <v>0</v>
          </cell>
          <cell r="AL137">
            <v>999999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BE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P137">
            <v>0</v>
          </cell>
          <cell r="BQ137">
            <v>0</v>
          </cell>
          <cell r="CB137">
            <v>0</v>
          </cell>
          <cell r="CC137">
            <v>0</v>
          </cell>
          <cell r="CD137">
            <v>0</v>
          </cell>
          <cell r="CE137">
            <v>0</v>
          </cell>
          <cell r="CF137">
            <v>0</v>
          </cell>
          <cell r="CG137">
            <v>0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  <cell r="CW137">
            <v>0</v>
          </cell>
          <cell r="CY137">
            <v>0</v>
          </cell>
          <cell r="CZ137">
            <v>0</v>
          </cell>
          <cell r="DA137">
            <v>0</v>
          </cell>
          <cell r="DB137">
            <v>0</v>
          </cell>
          <cell r="DC137">
            <v>0</v>
          </cell>
          <cell r="DD137">
            <v>0</v>
          </cell>
          <cell r="DE137">
            <v>0</v>
          </cell>
          <cell r="DF137">
            <v>0</v>
          </cell>
          <cell r="DG137">
            <v>0</v>
          </cell>
          <cell r="DH137">
            <v>0</v>
          </cell>
          <cell r="DS137">
            <v>0</v>
          </cell>
          <cell r="DT137">
            <v>230</v>
          </cell>
          <cell r="DU137">
            <v>999999</v>
          </cell>
          <cell r="DV137">
            <v>999999</v>
          </cell>
          <cell r="DW137">
            <v>999999</v>
          </cell>
          <cell r="DX137">
            <v>0</v>
          </cell>
          <cell r="DY137">
            <v>230</v>
          </cell>
          <cell r="DZ137">
            <v>999999</v>
          </cell>
          <cell r="EA137">
            <v>999999</v>
          </cell>
          <cell r="EB137">
            <v>999999</v>
          </cell>
          <cell r="EC137">
            <v>0</v>
          </cell>
          <cell r="ED137">
            <v>0</v>
          </cell>
          <cell r="EE137">
            <v>0</v>
          </cell>
          <cell r="EF137">
            <v>0</v>
          </cell>
          <cell r="EG137">
            <v>0</v>
          </cell>
          <cell r="EH137">
            <v>0</v>
          </cell>
          <cell r="EI137">
            <v>0</v>
          </cell>
          <cell r="EJ137">
            <v>0</v>
          </cell>
          <cell r="EK137">
            <v>0</v>
          </cell>
          <cell r="EL137">
            <v>0</v>
          </cell>
          <cell r="EM137" t="str">
            <v/>
          </cell>
          <cell r="EN137" t="str">
            <v/>
          </cell>
          <cell r="EO137" t="str">
            <v/>
          </cell>
          <cell r="EP137" t="str">
            <v/>
          </cell>
          <cell r="EQ137" t="str">
            <v/>
          </cell>
          <cell r="ER137" t="str">
            <v/>
          </cell>
          <cell r="ES137" t="str">
            <v/>
          </cell>
          <cell r="ET137" t="str">
            <v/>
          </cell>
          <cell r="EU137" t="str">
            <v/>
          </cell>
          <cell r="EV137" t="str">
            <v/>
          </cell>
          <cell r="EW137" t="str">
            <v/>
          </cell>
          <cell r="EX137" t="str">
            <v/>
          </cell>
          <cell r="EY137" t="str">
            <v/>
          </cell>
          <cell r="EZ137" t="str">
            <v/>
          </cell>
          <cell r="FA137" t="str">
            <v/>
          </cell>
          <cell r="FB137" t="str">
            <v/>
          </cell>
          <cell r="FC137" t="str">
            <v/>
          </cell>
          <cell r="FD137" t="str">
            <v/>
          </cell>
          <cell r="FE137" t="str">
            <v/>
          </cell>
          <cell r="FF137" t="str">
            <v/>
          </cell>
          <cell r="FG137" t="str">
            <v/>
          </cell>
          <cell r="FH137" t="str">
            <v/>
          </cell>
          <cell r="FI137" t="str">
            <v/>
          </cell>
          <cell r="FJ137" t="str">
            <v/>
          </cell>
          <cell r="FK137" t="str">
            <v/>
          </cell>
          <cell r="FL137" t="str">
            <v/>
          </cell>
          <cell r="FM137" t="str">
            <v/>
          </cell>
          <cell r="FN137" t="str">
            <v/>
          </cell>
          <cell r="FO137" t="str">
            <v/>
          </cell>
          <cell r="FP137" t="str">
            <v/>
          </cell>
        </row>
        <row r="138">
          <cell r="N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AJ138">
            <v>0</v>
          </cell>
          <cell r="AK138">
            <v>0</v>
          </cell>
          <cell r="AL138">
            <v>999999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BE138">
            <v>0</v>
          </cell>
          <cell r="BH138">
            <v>0</v>
          </cell>
          <cell r="BI138">
            <v>0</v>
          </cell>
          <cell r="BJ138">
            <v>0</v>
          </cell>
          <cell r="BK138">
            <v>0</v>
          </cell>
          <cell r="BL138">
            <v>0</v>
          </cell>
          <cell r="BM138">
            <v>0</v>
          </cell>
          <cell r="BN138">
            <v>0</v>
          </cell>
          <cell r="BO138">
            <v>0</v>
          </cell>
          <cell r="BP138">
            <v>0</v>
          </cell>
          <cell r="BQ138">
            <v>0</v>
          </cell>
          <cell r="CB138">
            <v>0</v>
          </cell>
          <cell r="CC138">
            <v>0</v>
          </cell>
          <cell r="CD138">
            <v>0</v>
          </cell>
          <cell r="CE138">
            <v>0</v>
          </cell>
          <cell r="CF138">
            <v>0</v>
          </cell>
          <cell r="CG138">
            <v>0</v>
          </cell>
          <cell r="CH138">
            <v>0</v>
          </cell>
          <cell r="CI138">
            <v>0</v>
          </cell>
          <cell r="CJ138">
            <v>0</v>
          </cell>
          <cell r="CK138">
            <v>0</v>
          </cell>
          <cell r="CW138">
            <v>0</v>
          </cell>
          <cell r="CY138">
            <v>0</v>
          </cell>
          <cell r="CZ138">
            <v>0</v>
          </cell>
          <cell r="DA138">
            <v>0</v>
          </cell>
          <cell r="DB138">
            <v>0</v>
          </cell>
          <cell r="DC138">
            <v>0</v>
          </cell>
          <cell r="DD138">
            <v>0</v>
          </cell>
          <cell r="DE138">
            <v>0</v>
          </cell>
          <cell r="DF138">
            <v>0</v>
          </cell>
          <cell r="DG138">
            <v>0</v>
          </cell>
          <cell r="DH138">
            <v>0</v>
          </cell>
          <cell r="DS138">
            <v>0</v>
          </cell>
          <cell r="DT138">
            <v>229</v>
          </cell>
          <cell r="DU138">
            <v>999999</v>
          </cell>
          <cell r="DV138">
            <v>999999</v>
          </cell>
          <cell r="DW138">
            <v>999999</v>
          </cell>
          <cell r="DX138">
            <v>0</v>
          </cell>
          <cell r="DY138">
            <v>229</v>
          </cell>
          <cell r="DZ138">
            <v>999999</v>
          </cell>
          <cell r="EA138">
            <v>999999</v>
          </cell>
          <cell r="EB138">
            <v>999999</v>
          </cell>
          <cell r="EC138">
            <v>0</v>
          </cell>
          <cell r="ED138">
            <v>0</v>
          </cell>
          <cell r="EE138">
            <v>0</v>
          </cell>
          <cell r="EF138">
            <v>0</v>
          </cell>
          <cell r="EG138">
            <v>0</v>
          </cell>
          <cell r="EH138">
            <v>0</v>
          </cell>
          <cell r="EI138">
            <v>0</v>
          </cell>
          <cell r="EJ138">
            <v>0</v>
          </cell>
          <cell r="EK138">
            <v>0</v>
          </cell>
          <cell r="EL138">
            <v>0</v>
          </cell>
          <cell r="EM138" t="str">
            <v/>
          </cell>
          <cell r="EN138" t="str">
            <v/>
          </cell>
          <cell r="EO138" t="str">
            <v/>
          </cell>
          <cell r="EP138" t="str">
            <v/>
          </cell>
          <cell r="EQ138" t="str">
            <v/>
          </cell>
          <cell r="ER138" t="str">
            <v/>
          </cell>
          <cell r="ES138" t="str">
            <v/>
          </cell>
          <cell r="ET138" t="str">
            <v/>
          </cell>
          <cell r="EU138" t="str">
            <v/>
          </cell>
          <cell r="EV138" t="str">
            <v/>
          </cell>
          <cell r="EW138" t="str">
            <v/>
          </cell>
          <cell r="EX138" t="str">
            <v/>
          </cell>
          <cell r="EY138" t="str">
            <v/>
          </cell>
          <cell r="EZ138" t="str">
            <v/>
          </cell>
          <cell r="FA138" t="str">
            <v/>
          </cell>
          <cell r="FB138" t="str">
            <v/>
          </cell>
          <cell r="FC138" t="str">
            <v/>
          </cell>
          <cell r="FD138" t="str">
            <v/>
          </cell>
          <cell r="FE138" t="str">
            <v/>
          </cell>
          <cell r="FF138" t="str">
            <v/>
          </cell>
          <cell r="FG138" t="str">
            <v/>
          </cell>
          <cell r="FH138" t="str">
            <v/>
          </cell>
          <cell r="FI138" t="str">
            <v/>
          </cell>
          <cell r="FJ138" t="str">
            <v/>
          </cell>
          <cell r="FK138" t="str">
            <v/>
          </cell>
          <cell r="FL138" t="str">
            <v/>
          </cell>
          <cell r="FM138" t="str">
            <v/>
          </cell>
          <cell r="FN138" t="str">
            <v/>
          </cell>
          <cell r="FO138" t="str">
            <v/>
          </cell>
          <cell r="FP138" t="str">
            <v/>
          </cell>
        </row>
        <row r="139">
          <cell r="N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AJ139">
            <v>0</v>
          </cell>
          <cell r="AK139">
            <v>0</v>
          </cell>
          <cell r="AL139">
            <v>999999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BE139">
            <v>0</v>
          </cell>
          <cell r="BH139">
            <v>0</v>
          </cell>
          <cell r="BI139">
            <v>0</v>
          </cell>
          <cell r="BJ139">
            <v>0</v>
          </cell>
          <cell r="BK139">
            <v>0</v>
          </cell>
          <cell r="BL139">
            <v>0</v>
          </cell>
          <cell r="BM139">
            <v>0</v>
          </cell>
          <cell r="BN139">
            <v>0</v>
          </cell>
          <cell r="BO139">
            <v>0</v>
          </cell>
          <cell r="BP139">
            <v>0</v>
          </cell>
          <cell r="BQ139">
            <v>0</v>
          </cell>
          <cell r="CB139">
            <v>0</v>
          </cell>
          <cell r="CC139">
            <v>0</v>
          </cell>
          <cell r="CD139">
            <v>0</v>
          </cell>
          <cell r="CE139">
            <v>0</v>
          </cell>
          <cell r="CF139">
            <v>0</v>
          </cell>
          <cell r="CG139">
            <v>0</v>
          </cell>
          <cell r="CH139">
            <v>0</v>
          </cell>
          <cell r="CI139">
            <v>0</v>
          </cell>
          <cell r="CJ139">
            <v>0</v>
          </cell>
          <cell r="CK139">
            <v>0</v>
          </cell>
          <cell r="CW139">
            <v>0</v>
          </cell>
          <cell r="CY139">
            <v>0</v>
          </cell>
          <cell r="CZ139">
            <v>0</v>
          </cell>
          <cell r="DA139">
            <v>0</v>
          </cell>
          <cell r="DB139">
            <v>0</v>
          </cell>
          <cell r="DC139">
            <v>0</v>
          </cell>
          <cell r="DD139">
            <v>0</v>
          </cell>
          <cell r="DE139">
            <v>0</v>
          </cell>
          <cell r="DF139">
            <v>0</v>
          </cell>
          <cell r="DG139">
            <v>0</v>
          </cell>
          <cell r="DH139">
            <v>0</v>
          </cell>
          <cell r="DS139">
            <v>0</v>
          </cell>
          <cell r="DT139">
            <v>228</v>
          </cell>
          <cell r="DU139">
            <v>999999</v>
          </cell>
          <cell r="DV139">
            <v>999999</v>
          </cell>
          <cell r="DW139">
            <v>999999</v>
          </cell>
          <cell r="DX139">
            <v>0</v>
          </cell>
          <cell r="DY139">
            <v>228</v>
          </cell>
          <cell r="DZ139">
            <v>999999</v>
          </cell>
          <cell r="EA139">
            <v>999999</v>
          </cell>
          <cell r="EB139">
            <v>999999</v>
          </cell>
          <cell r="EC139">
            <v>0</v>
          </cell>
          <cell r="ED139">
            <v>0</v>
          </cell>
          <cell r="EE139">
            <v>0</v>
          </cell>
          <cell r="EF139">
            <v>0</v>
          </cell>
          <cell r="EG139">
            <v>0</v>
          </cell>
          <cell r="EH139">
            <v>0</v>
          </cell>
          <cell r="EI139">
            <v>0</v>
          </cell>
          <cell r="EJ139">
            <v>0</v>
          </cell>
          <cell r="EK139">
            <v>0</v>
          </cell>
          <cell r="EL139">
            <v>0</v>
          </cell>
          <cell r="EM139" t="str">
            <v/>
          </cell>
          <cell r="EN139" t="str">
            <v/>
          </cell>
          <cell r="EO139" t="str">
            <v/>
          </cell>
          <cell r="EP139" t="str">
            <v/>
          </cell>
          <cell r="EQ139" t="str">
            <v/>
          </cell>
          <cell r="ER139" t="str">
            <v/>
          </cell>
          <cell r="ES139" t="str">
            <v/>
          </cell>
          <cell r="ET139" t="str">
            <v/>
          </cell>
          <cell r="EU139" t="str">
            <v/>
          </cell>
          <cell r="EV139" t="str">
            <v/>
          </cell>
          <cell r="EW139" t="str">
            <v/>
          </cell>
          <cell r="EX139" t="str">
            <v/>
          </cell>
          <cell r="EY139" t="str">
            <v/>
          </cell>
          <cell r="EZ139" t="str">
            <v/>
          </cell>
          <cell r="FA139" t="str">
            <v/>
          </cell>
          <cell r="FB139" t="str">
            <v/>
          </cell>
          <cell r="FC139" t="str">
            <v/>
          </cell>
          <cell r="FD139" t="str">
            <v/>
          </cell>
          <cell r="FE139" t="str">
            <v/>
          </cell>
          <cell r="FF139" t="str">
            <v/>
          </cell>
          <cell r="FG139" t="str">
            <v/>
          </cell>
          <cell r="FH139" t="str">
            <v/>
          </cell>
          <cell r="FI139" t="str">
            <v/>
          </cell>
          <cell r="FJ139" t="str">
            <v/>
          </cell>
          <cell r="FK139" t="str">
            <v/>
          </cell>
          <cell r="FL139" t="str">
            <v/>
          </cell>
          <cell r="FM139" t="str">
            <v/>
          </cell>
          <cell r="FN139" t="str">
            <v/>
          </cell>
          <cell r="FO139" t="str">
            <v/>
          </cell>
          <cell r="FP139" t="str">
            <v/>
          </cell>
        </row>
        <row r="140">
          <cell r="N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AJ140">
            <v>0</v>
          </cell>
          <cell r="AK140">
            <v>0</v>
          </cell>
          <cell r="AL140">
            <v>999999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BE140">
            <v>0</v>
          </cell>
          <cell r="BH140">
            <v>0</v>
          </cell>
          <cell r="BI140">
            <v>0</v>
          </cell>
          <cell r="BJ140">
            <v>0</v>
          </cell>
          <cell r="BK140">
            <v>0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  <cell r="BP140">
            <v>0</v>
          </cell>
          <cell r="BQ140">
            <v>0</v>
          </cell>
          <cell r="CB140">
            <v>0</v>
          </cell>
          <cell r="CC140">
            <v>0</v>
          </cell>
          <cell r="CD140">
            <v>0</v>
          </cell>
          <cell r="CE140">
            <v>0</v>
          </cell>
          <cell r="CF140">
            <v>0</v>
          </cell>
          <cell r="CG140">
            <v>0</v>
          </cell>
          <cell r="CH140">
            <v>0</v>
          </cell>
          <cell r="CI140">
            <v>0</v>
          </cell>
          <cell r="CJ140">
            <v>0</v>
          </cell>
          <cell r="CK140">
            <v>0</v>
          </cell>
          <cell r="CW140">
            <v>0</v>
          </cell>
          <cell r="CY140">
            <v>0</v>
          </cell>
          <cell r="CZ140">
            <v>0</v>
          </cell>
          <cell r="DA140">
            <v>0</v>
          </cell>
          <cell r="DB140">
            <v>0</v>
          </cell>
          <cell r="DC140">
            <v>0</v>
          </cell>
          <cell r="DD140">
            <v>0</v>
          </cell>
          <cell r="DE140">
            <v>0</v>
          </cell>
          <cell r="DF140">
            <v>0</v>
          </cell>
          <cell r="DG140">
            <v>0</v>
          </cell>
          <cell r="DH140">
            <v>0</v>
          </cell>
          <cell r="DS140">
            <v>0</v>
          </cell>
          <cell r="DT140">
            <v>227</v>
          </cell>
          <cell r="DU140">
            <v>999999</v>
          </cell>
          <cell r="DV140">
            <v>999999</v>
          </cell>
          <cell r="DW140">
            <v>999999</v>
          </cell>
          <cell r="DX140">
            <v>0</v>
          </cell>
          <cell r="DY140">
            <v>227</v>
          </cell>
          <cell r="DZ140">
            <v>999999</v>
          </cell>
          <cell r="EA140">
            <v>999999</v>
          </cell>
          <cell r="EB140">
            <v>999999</v>
          </cell>
          <cell r="EC140">
            <v>0</v>
          </cell>
          <cell r="ED140">
            <v>0</v>
          </cell>
          <cell r="EE140">
            <v>0</v>
          </cell>
          <cell r="EF140">
            <v>0</v>
          </cell>
          <cell r="EG140">
            <v>0</v>
          </cell>
          <cell r="EH140">
            <v>0</v>
          </cell>
          <cell r="EI140">
            <v>0</v>
          </cell>
          <cell r="EJ140">
            <v>0</v>
          </cell>
          <cell r="EK140">
            <v>0</v>
          </cell>
          <cell r="EL140">
            <v>0</v>
          </cell>
          <cell r="EM140" t="str">
            <v/>
          </cell>
          <cell r="EN140" t="str">
            <v/>
          </cell>
          <cell r="EO140" t="str">
            <v/>
          </cell>
          <cell r="EP140" t="str">
            <v/>
          </cell>
          <cell r="EQ140" t="str">
            <v/>
          </cell>
          <cell r="ER140" t="str">
            <v/>
          </cell>
          <cell r="ES140" t="str">
            <v/>
          </cell>
          <cell r="ET140" t="str">
            <v/>
          </cell>
          <cell r="EU140" t="str">
            <v/>
          </cell>
          <cell r="EV140" t="str">
            <v/>
          </cell>
          <cell r="EW140" t="str">
            <v/>
          </cell>
          <cell r="EX140" t="str">
            <v/>
          </cell>
          <cell r="EY140" t="str">
            <v/>
          </cell>
          <cell r="EZ140" t="str">
            <v/>
          </cell>
          <cell r="FA140" t="str">
            <v/>
          </cell>
          <cell r="FB140" t="str">
            <v/>
          </cell>
          <cell r="FC140" t="str">
            <v/>
          </cell>
          <cell r="FD140" t="str">
            <v/>
          </cell>
          <cell r="FE140" t="str">
            <v/>
          </cell>
          <cell r="FF140" t="str">
            <v/>
          </cell>
          <cell r="FG140" t="str">
            <v/>
          </cell>
          <cell r="FH140" t="str">
            <v/>
          </cell>
          <cell r="FI140" t="str">
            <v/>
          </cell>
          <cell r="FJ140" t="str">
            <v/>
          </cell>
          <cell r="FK140" t="str">
            <v/>
          </cell>
          <cell r="FL140" t="str">
            <v/>
          </cell>
          <cell r="FM140" t="str">
            <v/>
          </cell>
          <cell r="FN140" t="str">
            <v/>
          </cell>
          <cell r="FO140" t="str">
            <v/>
          </cell>
          <cell r="FP140" t="str">
            <v/>
          </cell>
        </row>
        <row r="141">
          <cell r="N141">
            <v>48000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AJ141">
            <v>0</v>
          </cell>
          <cell r="AK141">
            <v>0</v>
          </cell>
          <cell r="AL141">
            <v>999999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BE141">
            <v>48000</v>
          </cell>
          <cell r="BH141">
            <v>0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  <cell r="BP141">
            <v>0</v>
          </cell>
          <cell r="BQ141">
            <v>0</v>
          </cell>
          <cell r="CB141">
            <v>0</v>
          </cell>
          <cell r="CC141">
            <v>0</v>
          </cell>
          <cell r="CD141">
            <v>0</v>
          </cell>
          <cell r="CE141">
            <v>0</v>
          </cell>
          <cell r="CF141">
            <v>0</v>
          </cell>
          <cell r="CG141">
            <v>0</v>
          </cell>
          <cell r="CH141">
            <v>0</v>
          </cell>
          <cell r="CI141">
            <v>0</v>
          </cell>
          <cell r="CJ141">
            <v>0</v>
          </cell>
          <cell r="CK141">
            <v>0</v>
          </cell>
          <cell r="CW141">
            <v>0</v>
          </cell>
          <cell r="CY141">
            <v>0</v>
          </cell>
          <cell r="CZ141">
            <v>0</v>
          </cell>
          <cell r="DA141">
            <v>0</v>
          </cell>
          <cell r="DB141">
            <v>0</v>
          </cell>
          <cell r="DC141">
            <v>0</v>
          </cell>
          <cell r="DD141">
            <v>0</v>
          </cell>
          <cell r="DE141">
            <v>0</v>
          </cell>
          <cell r="DF141">
            <v>0</v>
          </cell>
          <cell r="DG141">
            <v>0</v>
          </cell>
          <cell r="DH141">
            <v>0</v>
          </cell>
          <cell r="DS141">
            <v>0</v>
          </cell>
          <cell r="DT141">
            <v>226</v>
          </cell>
          <cell r="DU141">
            <v>999999</v>
          </cell>
          <cell r="DV141">
            <v>999999</v>
          </cell>
          <cell r="DW141">
            <v>999999</v>
          </cell>
          <cell r="DX141">
            <v>0</v>
          </cell>
          <cell r="DY141">
            <v>226</v>
          </cell>
          <cell r="DZ141">
            <v>999999</v>
          </cell>
          <cell r="EA141">
            <v>999999</v>
          </cell>
          <cell r="EB141">
            <v>999999</v>
          </cell>
          <cell r="EC141">
            <v>0</v>
          </cell>
          <cell r="ED141">
            <v>0</v>
          </cell>
          <cell r="EE141">
            <v>0</v>
          </cell>
          <cell r="EF141">
            <v>0</v>
          </cell>
          <cell r="EG141">
            <v>0</v>
          </cell>
          <cell r="EH141">
            <v>0</v>
          </cell>
          <cell r="EI141">
            <v>0</v>
          </cell>
          <cell r="EJ141">
            <v>0</v>
          </cell>
          <cell r="EK141">
            <v>0</v>
          </cell>
          <cell r="EL141">
            <v>0</v>
          </cell>
          <cell r="EM141" t="str">
            <v/>
          </cell>
          <cell r="EN141" t="str">
            <v/>
          </cell>
          <cell r="EO141" t="str">
            <v/>
          </cell>
          <cell r="EP141" t="str">
            <v/>
          </cell>
          <cell r="EQ141" t="str">
            <v/>
          </cell>
          <cell r="ER141" t="str">
            <v/>
          </cell>
          <cell r="ES141" t="str">
            <v/>
          </cell>
          <cell r="ET141" t="str">
            <v/>
          </cell>
          <cell r="EU141" t="str">
            <v/>
          </cell>
          <cell r="EV141" t="str">
            <v/>
          </cell>
          <cell r="EW141" t="str">
            <v/>
          </cell>
          <cell r="EX141" t="str">
            <v/>
          </cell>
          <cell r="EY141" t="str">
            <v/>
          </cell>
          <cell r="EZ141" t="str">
            <v/>
          </cell>
          <cell r="FA141" t="str">
            <v/>
          </cell>
          <cell r="FB141" t="str">
            <v/>
          </cell>
          <cell r="FC141" t="str">
            <v/>
          </cell>
          <cell r="FD141" t="str">
            <v/>
          </cell>
          <cell r="FE141" t="str">
            <v/>
          </cell>
          <cell r="FF141" t="str">
            <v/>
          </cell>
          <cell r="FG141" t="str">
            <v/>
          </cell>
          <cell r="FH141" t="str">
            <v/>
          </cell>
          <cell r="FI141" t="str">
            <v/>
          </cell>
          <cell r="FJ141" t="str">
            <v/>
          </cell>
          <cell r="FK141" t="str">
            <v/>
          </cell>
          <cell r="FL141" t="str">
            <v/>
          </cell>
          <cell r="FM141" t="str">
            <v/>
          </cell>
          <cell r="FN141" t="str">
            <v/>
          </cell>
          <cell r="FO141" t="str">
            <v/>
          </cell>
          <cell r="FP141" t="str">
            <v/>
          </cell>
        </row>
        <row r="142">
          <cell r="N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AJ142">
            <v>0</v>
          </cell>
          <cell r="AK142">
            <v>0</v>
          </cell>
          <cell r="AL142">
            <v>999999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BE142">
            <v>0</v>
          </cell>
          <cell r="BH142">
            <v>0</v>
          </cell>
          <cell r="BI142">
            <v>0</v>
          </cell>
          <cell r="BJ142">
            <v>0</v>
          </cell>
          <cell r="BK142">
            <v>0</v>
          </cell>
          <cell r="BL142">
            <v>0</v>
          </cell>
          <cell r="BM142">
            <v>0</v>
          </cell>
          <cell r="BN142">
            <v>0</v>
          </cell>
          <cell r="BO142">
            <v>0</v>
          </cell>
          <cell r="BP142">
            <v>0</v>
          </cell>
          <cell r="BQ142">
            <v>0</v>
          </cell>
          <cell r="CB142">
            <v>0</v>
          </cell>
          <cell r="CC142">
            <v>0</v>
          </cell>
          <cell r="CD142">
            <v>0</v>
          </cell>
          <cell r="CE142">
            <v>0</v>
          </cell>
          <cell r="CF142">
            <v>0</v>
          </cell>
          <cell r="CG142">
            <v>0</v>
          </cell>
          <cell r="CH142">
            <v>0</v>
          </cell>
          <cell r="CI142">
            <v>0</v>
          </cell>
          <cell r="CJ142">
            <v>0</v>
          </cell>
          <cell r="CK142">
            <v>0</v>
          </cell>
          <cell r="CW142">
            <v>0</v>
          </cell>
          <cell r="CY142">
            <v>0</v>
          </cell>
          <cell r="CZ142">
            <v>0</v>
          </cell>
          <cell r="DA142">
            <v>0</v>
          </cell>
          <cell r="DB142">
            <v>0</v>
          </cell>
          <cell r="DC142">
            <v>0</v>
          </cell>
          <cell r="DD142">
            <v>0</v>
          </cell>
          <cell r="DE142">
            <v>0</v>
          </cell>
          <cell r="DF142">
            <v>0</v>
          </cell>
          <cell r="DG142">
            <v>0</v>
          </cell>
          <cell r="DH142">
            <v>0</v>
          </cell>
          <cell r="DS142">
            <v>0</v>
          </cell>
          <cell r="DT142">
            <v>225</v>
          </cell>
          <cell r="DU142">
            <v>999999</v>
          </cell>
          <cell r="DV142">
            <v>999999</v>
          </cell>
          <cell r="DW142">
            <v>999999</v>
          </cell>
          <cell r="DX142">
            <v>0</v>
          </cell>
          <cell r="DY142">
            <v>225</v>
          </cell>
          <cell r="DZ142">
            <v>999999</v>
          </cell>
          <cell r="EA142">
            <v>999999</v>
          </cell>
          <cell r="EB142">
            <v>999999</v>
          </cell>
          <cell r="EC142">
            <v>0</v>
          </cell>
          <cell r="ED142">
            <v>0</v>
          </cell>
          <cell r="EE142">
            <v>0</v>
          </cell>
          <cell r="EF142">
            <v>0</v>
          </cell>
          <cell r="EG142">
            <v>0</v>
          </cell>
          <cell r="EH142">
            <v>0</v>
          </cell>
          <cell r="EI142">
            <v>0</v>
          </cell>
          <cell r="EJ142">
            <v>0</v>
          </cell>
          <cell r="EK142">
            <v>0</v>
          </cell>
          <cell r="EL142">
            <v>0</v>
          </cell>
          <cell r="EM142" t="str">
            <v/>
          </cell>
          <cell r="EN142" t="str">
            <v/>
          </cell>
          <cell r="EO142" t="str">
            <v/>
          </cell>
          <cell r="EP142" t="str">
            <v/>
          </cell>
          <cell r="EQ142" t="str">
            <v/>
          </cell>
          <cell r="ER142" t="str">
            <v/>
          </cell>
          <cell r="ES142" t="str">
            <v/>
          </cell>
          <cell r="ET142" t="str">
            <v/>
          </cell>
          <cell r="EU142" t="str">
            <v/>
          </cell>
          <cell r="EV142" t="str">
            <v/>
          </cell>
          <cell r="EW142" t="str">
            <v/>
          </cell>
          <cell r="EX142" t="str">
            <v/>
          </cell>
          <cell r="EY142" t="str">
            <v/>
          </cell>
          <cell r="EZ142" t="str">
            <v/>
          </cell>
          <cell r="FA142" t="str">
            <v/>
          </cell>
          <cell r="FB142" t="str">
            <v/>
          </cell>
          <cell r="FC142" t="str">
            <v/>
          </cell>
          <cell r="FD142" t="str">
            <v/>
          </cell>
          <cell r="FE142" t="str">
            <v/>
          </cell>
          <cell r="FF142" t="str">
            <v/>
          </cell>
          <cell r="FG142" t="str">
            <v/>
          </cell>
          <cell r="FH142" t="str">
            <v/>
          </cell>
          <cell r="FI142" t="str">
            <v/>
          </cell>
          <cell r="FJ142" t="str">
            <v/>
          </cell>
          <cell r="FK142" t="str">
            <v/>
          </cell>
          <cell r="FL142" t="str">
            <v/>
          </cell>
          <cell r="FM142" t="str">
            <v/>
          </cell>
          <cell r="FN142" t="str">
            <v/>
          </cell>
          <cell r="FO142" t="str">
            <v/>
          </cell>
          <cell r="FP142" t="str">
            <v/>
          </cell>
        </row>
        <row r="143">
          <cell r="N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AJ143">
            <v>0</v>
          </cell>
          <cell r="AK143">
            <v>0</v>
          </cell>
          <cell r="AL143">
            <v>999999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BE143">
            <v>0</v>
          </cell>
          <cell r="BH143">
            <v>0</v>
          </cell>
          <cell r="BI143">
            <v>0</v>
          </cell>
          <cell r="BJ143">
            <v>0</v>
          </cell>
          <cell r="BK143">
            <v>0</v>
          </cell>
          <cell r="BL143">
            <v>0</v>
          </cell>
          <cell r="BM143">
            <v>0</v>
          </cell>
          <cell r="BN143">
            <v>0</v>
          </cell>
          <cell r="BO143">
            <v>0</v>
          </cell>
          <cell r="BP143">
            <v>0</v>
          </cell>
          <cell r="BQ143">
            <v>0</v>
          </cell>
          <cell r="CB143">
            <v>0</v>
          </cell>
          <cell r="CC143">
            <v>0</v>
          </cell>
          <cell r="CD143">
            <v>0</v>
          </cell>
          <cell r="CE143">
            <v>0</v>
          </cell>
          <cell r="CF143">
            <v>0</v>
          </cell>
          <cell r="CG143">
            <v>0</v>
          </cell>
          <cell r="CH143">
            <v>0</v>
          </cell>
          <cell r="CI143">
            <v>0</v>
          </cell>
          <cell r="CJ143">
            <v>0</v>
          </cell>
          <cell r="CK143">
            <v>0</v>
          </cell>
          <cell r="CW143">
            <v>0</v>
          </cell>
          <cell r="CY143">
            <v>0</v>
          </cell>
          <cell r="CZ143">
            <v>0</v>
          </cell>
          <cell r="DA143">
            <v>0</v>
          </cell>
          <cell r="DB143">
            <v>0</v>
          </cell>
          <cell r="DC143">
            <v>0</v>
          </cell>
          <cell r="DD143">
            <v>0</v>
          </cell>
          <cell r="DE143">
            <v>0</v>
          </cell>
          <cell r="DF143">
            <v>0</v>
          </cell>
          <cell r="DG143">
            <v>0</v>
          </cell>
          <cell r="DH143">
            <v>0</v>
          </cell>
          <cell r="DS143">
            <v>0</v>
          </cell>
          <cell r="DT143">
            <v>224</v>
          </cell>
          <cell r="DU143">
            <v>999999</v>
          </cell>
          <cell r="DV143">
            <v>999999</v>
          </cell>
          <cell r="DW143">
            <v>999999</v>
          </cell>
          <cell r="DX143">
            <v>0</v>
          </cell>
          <cell r="DY143">
            <v>224</v>
          </cell>
          <cell r="DZ143">
            <v>999999</v>
          </cell>
          <cell r="EA143">
            <v>999999</v>
          </cell>
          <cell r="EB143">
            <v>999999</v>
          </cell>
          <cell r="EC143">
            <v>0</v>
          </cell>
          <cell r="ED143">
            <v>0</v>
          </cell>
          <cell r="EE143">
            <v>0</v>
          </cell>
          <cell r="EF143">
            <v>0</v>
          </cell>
          <cell r="EG143">
            <v>0</v>
          </cell>
          <cell r="EH143">
            <v>0</v>
          </cell>
          <cell r="EI143">
            <v>0</v>
          </cell>
          <cell r="EJ143">
            <v>0</v>
          </cell>
          <cell r="EK143">
            <v>0</v>
          </cell>
          <cell r="EL143">
            <v>0</v>
          </cell>
          <cell r="EM143" t="str">
            <v/>
          </cell>
          <cell r="EN143" t="str">
            <v/>
          </cell>
          <cell r="EO143" t="str">
            <v/>
          </cell>
          <cell r="EP143" t="str">
            <v/>
          </cell>
          <cell r="EQ143" t="str">
            <v/>
          </cell>
          <cell r="ER143" t="str">
            <v/>
          </cell>
          <cell r="ES143" t="str">
            <v/>
          </cell>
          <cell r="ET143" t="str">
            <v/>
          </cell>
          <cell r="EU143" t="str">
            <v/>
          </cell>
          <cell r="EV143" t="str">
            <v/>
          </cell>
          <cell r="EW143" t="str">
            <v/>
          </cell>
          <cell r="EX143" t="str">
            <v/>
          </cell>
          <cell r="EY143" t="str">
            <v/>
          </cell>
          <cell r="EZ143" t="str">
            <v/>
          </cell>
          <cell r="FA143" t="str">
            <v/>
          </cell>
          <cell r="FB143" t="str">
            <v/>
          </cell>
          <cell r="FC143" t="str">
            <v/>
          </cell>
          <cell r="FD143" t="str">
            <v/>
          </cell>
          <cell r="FE143" t="str">
            <v/>
          </cell>
          <cell r="FF143" t="str">
            <v/>
          </cell>
          <cell r="FG143" t="str">
            <v/>
          </cell>
          <cell r="FH143" t="str">
            <v/>
          </cell>
          <cell r="FI143" t="str">
            <v/>
          </cell>
          <cell r="FJ143" t="str">
            <v/>
          </cell>
          <cell r="FK143" t="str">
            <v/>
          </cell>
          <cell r="FL143" t="str">
            <v/>
          </cell>
          <cell r="FM143" t="str">
            <v/>
          </cell>
          <cell r="FN143" t="str">
            <v/>
          </cell>
          <cell r="FO143" t="str">
            <v/>
          </cell>
          <cell r="FP143" t="str">
            <v/>
          </cell>
        </row>
        <row r="144">
          <cell r="N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AJ144">
            <v>0</v>
          </cell>
          <cell r="AK144">
            <v>0</v>
          </cell>
          <cell r="AL144">
            <v>999999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BE144">
            <v>0</v>
          </cell>
          <cell r="BH144">
            <v>0</v>
          </cell>
          <cell r="BI144">
            <v>0</v>
          </cell>
          <cell r="BJ144">
            <v>0</v>
          </cell>
          <cell r="BK144">
            <v>0</v>
          </cell>
          <cell r="BL144">
            <v>0</v>
          </cell>
          <cell r="BM144">
            <v>0</v>
          </cell>
          <cell r="BN144">
            <v>0</v>
          </cell>
          <cell r="BO144">
            <v>0</v>
          </cell>
          <cell r="BP144">
            <v>0</v>
          </cell>
          <cell r="BQ144">
            <v>0</v>
          </cell>
          <cell r="CB144">
            <v>0</v>
          </cell>
          <cell r="CC144">
            <v>0</v>
          </cell>
          <cell r="CD144">
            <v>0</v>
          </cell>
          <cell r="CE144">
            <v>0</v>
          </cell>
          <cell r="CF144">
            <v>0</v>
          </cell>
          <cell r="CG144">
            <v>0</v>
          </cell>
          <cell r="CH144">
            <v>0</v>
          </cell>
          <cell r="CI144">
            <v>0</v>
          </cell>
          <cell r="CJ144">
            <v>0</v>
          </cell>
          <cell r="CK144">
            <v>0</v>
          </cell>
          <cell r="CW144">
            <v>0</v>
          </cell>
          <cell r="CY144">
            <v>0</v>
          </cell>
          <cell r="CZ144">
            <v>0</v>
          </cell>
          <cell r="DA144">
            <v>0</v>
          </cell>
          <cell r="DB144">
            <v>0</v>
          </cell>
          <cell r="DC144">
            <v>0</v>
          </cell>
          <cell r="DD144">
            <v>0</v>
          </cell>
          <cell r="DE144">
            <v>0</v>
          </cell>
          <cell r="DF144">
            <v>0</v>
          </cell>
          <cell r="DG144">
            <v>0</v>
          </cell>
          <cell r="DH144">
            <v>0</v>
          </cell>
          <cell r="DS144">
            <v>0</v>
          </cell>
          <cell r="DT144">
            <v>223</v>
          </cell>
          <cell r="DU144">
            <v>999999</v>
          </cell>
          <cell r="DV144">
            <v>999999</v>
          </cell>
          <cell r="DW144">
            <v>999999</v>
          </cell>
          <cell r="DX144">
            <v>0</v>
          </cell>
          <cell r="DY144">
            <v>223</v>
          </cell>
          <cell r="DZ144">
            <v>999999</v>
          </cell>
          <cell r="EA144">
            <v>999999</v>
          </cell>
          <cell r="EB144">
            <v>999999</v>
          </cell>
          <cell r="EC144">
            <v>0</v>
          </cell>
          <cell r="ED144">
            <v>0</v>
          </cell>
          <cell r="EE144">
            <v>0</v>
          </cell>
          <cell r="EF144">
            <v>0</v>
          </cell>
          <cell r="EG144">
            <v>0</v>
          </cell>
          <cell r="EH144">
            <v>0</v>
          </cell>
          <cell r="EI144">
            <v>0</v>
          </cell>
          <cell r="EJ144">
            <v>0</v>
          </cell>
          <cell r="EK144">
            <v>0</v>
          </cell>
          <cell r="EL144">
            <v>0</v>
          </cell>
          <cell r="EM144" t="str">
            <v/>
          </cell>
          <cell r="EN144" t="str">
            <v/>
          </cell>
          <cell r="EO144" t="str">
            <v/>
          </cell>
          <cell r="EP144" t="str">
            <v/>
          </cell>
          <cell r="EQ144" t="str">
            <v/>
          </cell>
          <cell r="ER144" t="str">
            <v/>
          </cell>
          <cell r="ES144" t="str">
            <v/>
          </cell>
          <cell r="ET144" t="str">
            <v/>
          </cell>
          <cell r="EU144" t="str">
            <v/>
          </cell>
          <cell r="EV144" t="str">
            <v/>
          </cell>
          <cell r="EW144" t="str">
            <v/>
          </cell>
          <cell r="EX144" t="str">
            <v/>
          </cell>
          <cell r="EY144" t="str">
            <v/>
          </cell>
          <cell r="EZ144" t="str">
            <v/>
          </cell>
          <cell r="FA144" t="str">
            <v/>
          </cell>
          <cell r="FB144" t="str">
            <v/>
          </cell>
          <cell r="FC144" t="str">
            <v/>
          </cell>
          <cell r="FD144" t="str">
            <v/>
          </cell>
          <cell r="FE144" t="str">
            <v/>
          </cell>
          <cell r="FF144" t="str">
            <v/>
          </cell>
          <cell r="FG144" t="str">
            <v/>
          </cell>
          <cell r="FH144" t="str">
            <v/>
          </cell>
          <cell r="FI144" t="str">
            <v/>
          </cell>
          <cell r="FJ144" t="str">
            <v/>
          </cell>
          <cell r="FK144" t="str">
            <v/>
          </cell>
          <cell r="FL144" t="str">
            <v/>
          </cell>
          <cell r="FM144" t="str">
            <v/>
          </cell>
          <cell r="FN144" t="str">
            <v/>
          </cell>
          <cell r="FO144" t="str">
            <v/>
          </cell>
          <cell r="FP144" t="str">
            <v/>
          </cell>
        </row>
        <row r="145">
          <cell r="N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AJ145">
            <v>0</v>
          </cell>
          <cell r="AK145">
            <v>0</v>
          </cell>
          <cell r="AL145">
            <v>999999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BE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BQ145">
            <v>0</v>
          </cell>
          <cell r="CB145">
            <v>0</v>
          </cell>
          <cell r="CC145">
            <v>0</v>
          </cell>
          <cell r="CD145">
            <v>0</v>
          </cell>
          <cell r="CE145">
            <v>0</v>
          </cell>
          <cell r="CF145">
            <v>0</v>
          </cell>
          <cell r="CG145">
            <v>0</v>
          </cell>
          <cell r="CH145">
            <v>0</v>
          </cell>
          <cell r="CI145">
            <v>0</v>
          </cell>
          <cell r="CJ145">
            <v>0</v>
          </cell>
          <cell r="CK145">
            <v>0</v>
          </cell>
          <cell r="CW145">
            <v>0</v>
          </cell>
          <cell r="CY145">
            <v>0</v>
          </cell>
          <cell r="CZ145">
            <v>0</v>
          </cell>
          <cell r="DA145">
            <v>0</v>
          </cell>
          <cell r="DB145">
            <v>0</v>
          </cell>
          <cell r="DC145">
            <v>0</v>
          </cell>
          <cell r="DD145">
            <v>0</v>
          </cell>
          <cell r="DE145">
            <v>0</v>
          </cell>
          <cell r="DF145">
            <v>0</v>
          </cell>
          <cell r="DG145">
            <v>0</v>
          </cell>
          <cell r="DH145">
            <v>0</v>
          </cell>
          <cell r="DS145">
            <v>0</v>
          </cell>
          <cell r="DT145">
            <v>222</v>
          </cell>
          <cell r="DU145">
            <v>999999</v>
          </cell>
          <cell r="DV145">
            <v>999999</v>
          </cell>
          <cell r="DW145">
            <v>999999</v>
          </cell>
          <cell r="DX145">
            <v>0</v>
          </cell>
          <cell r="DY145">
            <v>222</v>
          </cell>
          <cell r="DZ145">
            <v>999999</v>
          </cell>
          <cell r="EA145">
            <v>999999</v>
          </cell>
          <cell r="EB145">
            <v>999999</v>
          </cell>
          <cell r="EC145">
            <v>0</v>
          </cell>
          <cell r="ED145">
            <v>0</v>
          </cell>
          <cell r="EE145">
            <v>0</v>
          </cell>
          <cell r="EF145">
            <v>0</v>
          </cell>
          <cell r="EG145">
            <v>0</v>
          </cell>
          <cell r="EH145">
            <v>0</v>
          </cell>
          <cell r="EI145">
            <v>0</v>
          </cell>
          <cell r="EJ145">
            <v>0</v>
          </cell>
          <cell r="EK145">
            <v>0</v>
          </cell>
          <cell r="EL145">
            <v>0</v>
          </cell>
          <cell r="EM145" t="str">
            <v/>
          </cell>
          <cell r="EN145" t="str">
            <v/>
          </cell>
          <cell r="EO145" t="str">
            <v/>
          </cell>
          <cell r="EP145" t="str">
            <v/>
          </cell>
          <cell r="EQ145" t="str">
            <v/>
          </cell>
          <cell r="ER145" t="str">
            <v/>
          </cell>
          <cell r="ES145" t="str">
            <v/>
          </cell>
          <cell r="ET145" t="str">
            <v/>
          </cell>
          <cell r="EU145" t="str">
            <v/>
          </cell>
          <cell r="EV145" t="str">
            <v/>
          </cell>
          <cell r="EW145" t="str">
            <v/>
          </cell>
          <cell r="EX145" t="str">
            <v/>
          </cell>
          <cell r="EY145" t="str">
            <v/>
          </cell>
          <cell r="EZ145" t="str">
            <v/>
          </cell>
          <cell r="FA145" t="str">
            <v/>
          </cell>
          <cell r="FB145" t="str">
            <v/>
          </cell>
          <cell r="FC145" t="str">
            <v/>
          </cell>
          <cell r="FD145" t="str">
            <v/>
          </cell>
          <cell r="FE145" t="str">
            <v/>
          </cell>
          <cell r="FF145" t="str">
            <v/>
          </cell>
          <cell r="FG145" t="str">
            <v/>
          </cell>
          <cell r="FH145" t="str">
            <v/>
          </cell>
          <cell r="FI145" t="str">
            <v/>
          </cell>
          <cell r="FJ145" t="str">
            <v/>
          </cell>
          <cell r="FK145" t="str">
            <v/>
          </cell>
          <cell r="FL145" t="str">
            <v/>
          </cell>
          <cell r="FM145" t="str">
            <v/>
          </cell>
          <cell r="FN145" t="str">
            <v/>
          </cell>
          <cell r="FO145" t="str">
            <v/>
          </cell>
          <cell r="FP145" t="str">
            <v/>
          </cell>
        </row>
        <row r="146">
          <cell r="N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AJ146">
            <v>0</v>
          </cell>
          <cell r="AK146">
            <v>0</v>
          </cell>
          <cell r="AL146">
            <v>999999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BE146">
            <v>0</v>
          </cell>
          <cell r="BH146">
            <v>0</v>
          </cell>
          <cell r="BI146">
            <v>0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0</v>
          </cell>
          <cell r="BQ146">
            <v>0</v>
          </cell>
          <cell r="CB146">
            <v>0</v>
          </cell>
          <cell r="CC146">
            <v>0</v>
          </cell>
          <cell r="CD146">
            <v>0</v>
          </cell>
          <cell r="CE146">
            <v>0</v>
          </cell>
          <cell r="CF146">
            <v>0</v>
          </cell>
          <cell r="CG146">
            <v>0</v>
          </cell>
          <cell r="CH146">
            <v>0</v>
          </cell>
          <cell r="CI146">
            <v>0</v>
          </cell>
          <cell r="CJ146">
            <v>0</v>
          </cell>
          <cell r="CK146">
            <v>0</v>
          </cell>
          <cell r="CW146">
            <v>0</v>
          </cell>
          <cell r="CY146">
            <v>0</v>
          </cell>
          <cell r="CZ146">
            <v>0</v>
          </cell>
          <cell r="DA146">
            <v>0</v>
          </cell>
          <cell r="DB146">
            <v>0</v>
          </cell>
          <cell r="DC146">
            <v>0</v>
          </cell>
          <cell r="DD146">
            <v>0</v>
          </cell>
          <cell r="DE146">
            <v>0</v>
          </cell>
          <cell r="DF146">
            <v>0</v>
          </cell>
          <cell r="DG146">
            <v>0</v>
          </cell>
          <cell r="DH146">
            <v>0</v>
          </cell>
          <cell r="DS146">
            <v>0</v>
          </cell>
          <cell r="DT146">
            <v>221</v>
          </cell>
          <cell r="DU146">
            <v>999999</v>
          </cell>
          <cell r="DV146">
            <v>999999</v>
          </cell>
          <cell r="DW146">
            <v>999999</v>
          </cell>
          <cell r="DX146">
            <v>0</v>
          </cell>
          <cell r="DY146">
            <v>221</v>
          </cell>
          <cell r="DZ146">
            <v>999999</v>
          </cell>
          <cell r="EA146">
            <v>999999</v>
          </cell>
          <cell r="EB146">
            <v>999999</v>
          </cell>
          <cell r="EC146">
            <v>0</v>
          </cell>
          <cell r="ED146">
            <v>0</v>
          </cell>
          <cell r="EE146">
            <v>0</v>
          </cell>
          <cell r="EF146">
            <v>0</v>
          </cell>
          <cell r="EG146">
            <v>0</v>
          </cell>
          <cell r="EH146">
            <v>0</v>
          </cell>
          <cell r="EI146">
            <v>0</v>
          </cell>
          <cell r="EJ146">
            <v>0</v>
          </cell>
          <cell r="EK146">
            <v>0</v>
          </cell>
          <cell r="EL146">
            <v>0</v>
          </cell>
          <cell r="EM146" t="str">
            <v/>
          </cell>
          <cell r="EN146" t="str">
            <v/>
          </cell>
          <cell r="EO146" t="str">
            <v/>
          </cell>
          <cell r="EP146" t="str">
            <v/>
          </cell>
          <cell r="EQ146" t="str">
            <v/>
          </cell>
          <cell r="ER146" t="str">
            <v/>
          </cell>
          <cell r="ES146" t="str">
            <v/>
          </cell>
          <cell r="ET146" t="str">
            <v/>
          </cell>
          <cell r="EU146" t="str">
            <v/>
          </cell>
          <cell r="EV146" t="str">
            <v/>
          </cell>
          <cell r="EW146" t="str">
            <v/>
          </cell>
          <cell r="EX146" t="str">
            <v/>
          </cell>
          <cell r="EY146" t="str">
            <v/>
          </cell>
          <cell r="EZ146" t="str">
            <v/>
          </cell>
          <cell r="FA146" t="str">
            <v/>
          </cell>
          <cell r="FB146" t="str">
            <v/>
          </cell>
          <cell r="FC146" t="str">
            <v/>
          </cell>
          <cell r="FD146" t="str">
            <v/>
          </cell>
          <cell r="FE146" t="str">
            <v/>
          </cell>
          <cell r="FF146" t="str">
            <v/>
          </cell>
          <cell r="FG146" t="str">
            <v/>
          </cell>
          <cell r="FH146" t="str">
            <v/>
          </cell>
          <cell r="FI146" t="str">
            <v/>
          </cell>
          <cell r="FJ146" t="str">
            <v/>
          </cell>
          <cell r="FK146" t="str">
            <v/>
          </cell>
          <cell r="FL146" t="str">
            <v/>
          </cell>
          <cell r="FM146" t="str">
            <v/>
          </cell>
          <cell r="FN146" t="str">
            <v/>
          </cell>
          <cell r="FO146" t="str">
            <v/>
          </cell>
          <cell r="FP146" t="str">
            <v/>
          </cell>
        </row>
        <row r="147">
          <cell r="N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AJ147">
            <v>0</v>
          </cell>
          <cell r="AK147">
            <v>0</v>
          </cell>
          <cell r="AL147">
            <v>999999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BE147">
            <v>0</v>
          </cell>
          <cell r="BH147">
            <v>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CB147">
            <v>0</v>
          </cell>
          <cell r="CC147">
            <v>0</v>
          </cell>
          <cell r="CD147">
            <v>0</v>
          </cell>
          <cell r="CE147">
            <v>0</v>
          </cell>
          <cell r="CF147">
            <v>0</v>
          </cell>
          <cell r="CG147">
            <v>0</v>
          </cell>
          <cell r="CH147">
            <v>0</v>
          </cell>
          <cell r="CI147">
            <v>0</v>
          </cell>
          <cell r="CJ147">
            <v>0</v>
          </cell>
          <cell r="CK147">
            <v>0</v>
          </cell>
          <cell r="CW147">
            <v>0</v>
          </cell>
          <cell r="CY147">
            <v>0</v>
          </cell>
          <cell r="CZ147">
            <v>0</v>
          </cell>
          <cell r="DA147">
            <v>0</v>
          </cell>
          <cell r="DB147">
            <v>0</v>
          </cell>
          <cell r="DC147">
            <v>0</v>
          </cell>
          <cell r="DD147">
            <v>0</v>
          </cell>
          <cell r="DE147">
            <v>0</v>
          </cell>
          <cell r="DF147">
            <v>0</v>
          </cell>
          <cell r="DG147">
            <v>0</v>
          </cell>
          <cell r="DH147">
            <v>0</v>
          </cell>
          <cell r="DS147">
            <v>0</v>
          </cell>
          <cell r="DT147">
            <v>220</v>
          </cell>
          <cell r="DU147">
            <v>999999</v>
          </cell>
          <cell r="DV147">
            <v>999999</v>
          </cell>
          <cell r="DW147">
            <v>999999</v>
          </cell>
          <cell r="DX147">
            <v>0</v>
          </cell>
          <cell r="DY147">
            <v>220</v>
          </cell>
          <cell r="DZ147">
            <v>999999</v>
          </cell>
          <cell r="EA147">
            <v>999999</v>
          </cell>
          <cell r="EB147">
            <v>999999</v>
          </cell>
          <cell r="EC147">
            <v>0</v>
          </cell>
          <cell r="ED147">
            <v>0</v>
          </cell>
          <cell r="EE147">
            <v>0</v>
          </cell>
          <cell r="EF147">
            <v>0</v>
          </cell>
          <cell r="EG147">
            <v>0</v>
          </cell>
          <cell r="EH147">
            <v>0</v>
          </cell>
          <cell r="EI147">
            <v>0</v>
          </cell>
          <cell r="EJ147">
            <v>0</v>
          </cell>
          <cell r="EK147">
            <v>0</v>
          </cell>
          <cell r="EL147">
            <v>0</v>
          </cell>
          <cell r="EM147" t="str">
            <v/>
          </cell>
          <cell r="EN147" t="str">
            <v/>
          </cell>
          <cell r="EO147" t="str">
            <v/>
          </cell>
          <cell r="EP147" t="str">
            <v/>
          </cell>
          <cell r="EQ147" t="str">
            <v/>
          </cell>
          <cell r="ER147" t="str">
            <v/>
          </cell>
          <cell r="ES147" t="str">
            <v/>
          </cell>
          <cell r="ET147" t="str">
            <v/>
          </cell>
          <cell r="EU147" t="str">
            <v/>
          </cell>
          <cell r="EV147" t="str">
            <v/>
          </cell>
          <cell r="EW147" t="str">
            <v/>
          </cell>
          <cell r="EX147" t="str">
            <v/>
          </cell>
          <cell r="EY147" t="str">
            <v/>
          </cell>
          <cell r="EZ147" t="str">
            <v/>
          </cell>
          <cell r="FA147" t="str">
            <v/>
          </cell>
          <cell r="FB147" t="str">
            <v/>
          </cell>
          <cell r="FC147" t="str">
            <v/>
          </cell>
          <cell r="FD147" t="str">
            <v/>
          </cell>
          <cell r="FE147" t="str">
            <v/>
          </cell>
          <cell r="FF147" t="str">
            <v/>
          </cell>
          <cell r="FG147" t="str">
            <v/>
          </cell>
          <cell r="FH147" t="str">
            <v/>
          </cell>
          <cell r="FI147" t="str">
            <v/>
          </cell>
          <cell r="FJ147" t="str">
            <v/>
          </cell>
          <cell r="FK147" t="str">
            <v/>
          </cell>
          <cell r="FL147" t="str">
            <v/>
          </cell>
          <cell r="FM147" t="str">
            <v/>
          </cell>
          <cell r="FN147" t="str">
            <v/>
          </cell>
          <cell r="FO147" t="str">
            <v/>
          </cell>
          <cell r="FP147" t="str">
            <v/>
          </cell>
        </row>
        <row r="148">
          <cell r="N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AJ148">
            <v>0</v>
          </cell>
          <cell r="AK148">
            <v>0</v>
          </cell>
          <cell r="AL148">
            <v>999999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BE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</v>
          </cell>
          <cell r="BM148">
            <v>0</v>
          </cell>
          <cell r="BN148">
            <v>0</v>
          </cell>
          <cell r="BO148">
            <v>0</v>
          </cell>
          <cell r="BP148">
            <v>0</v>
          </cell>
          <cell r="BQ148">
            <v>0</v>
          </cell>
          <cell r="CB148">
            <v>0</v>
          </cell>
          <cell r="CC148">
            <v>0</v>
          </cell>
          <cell r="CD148">
            <v>0</v>
          </cell>
          <cell r="CE148">
            <v>0</v>
          </cell>
          <cell r="CF148">
            <v>0</v>
          </cell>
          <cell r="CG148">
            <v>0</v>
          </cell>
          <cell r="CH148">
            <v>0</v>
          </cell>
          <cell r="CI148">
            <v>0</v>
          </cell>
          <cell r="CJ148">
            <v>0</v>
          </cell>
          <cell r="CK148">
            <v>0</v>
          </cell>
          <cell r="CW148">
            <v>0</v>
          </cell>
          <cell r="CY148">
            <v>0</v>
          </cell>
          <cell r="CZ148">
            <v>0</v>
          </cell>
          <cell r="DA148">
            <v>0</v>
          </cell>
          <cell r="DB148">
            <v>0</v>
          </cell>
          <cell r="DC148">
            <v>0</v>
          </cell>
          <cell r="DD148">
            <v>0</v>
          </cell>
          <cell r="DE148">
            <v>0</v>
          </cell>
          <cell r="DF148">
            <v>0</v>
          </cell>
          <cell r="DG148">
            <v>0</v>
          </cell>
          <cell r="DH148">
            <v>0</v>
          </cell>
          <cell r="DS148">
            <v>0</v>
          </cell>
          <cell r="DT148">
            <v>219</v>
          </cell>
          <cell r="DU148">
            <v>999999</v>
          </cell>
          <cell r="DV148">
            <v>999999</v>
          </cell>
          <cell r="DW148">
            <v>999999</v>
          </cell>
          <cell r="DX148">
            <v>0</v>
          </cell>
          <cell r="DY148">
            <v>219</v>
          </cell>
          <cell r="DZ148">
            <v>999999</v>
          </cell>
          <cell r="EA148">
            <v>999999</v>
          </cell>
          <cell r="EB148">
            <v>999999</v>
          </cell>
          <cell r="EC148">
            <v>0</v>
          </cell>
          <cell r="ED148">
            <v>0</v>
          </cell>
          <cell r="EE148">
            <v>0</v>
          </cell>
          <cell r="EF148">
            <v>0</v>
          </cell>
          <cell r="EG148">
            <v>0</v>
          </cell>
          <cell r="EH148">
            <v>0</v>
          </cell>
          <cell r="EI148">
            <v>0</v>
          </cell>
          <cell r="EJ148">
            <v>0</v>
          </cell>
          <cell r="EK148">
            <v>0</v>
          </cell>
          <cell r="EL148">
            <v>0</v>
          </cell>
          <cell r="EM148" t="str">
            <v/>
          </cell>
          <cell r="EN148" t="str">
            <v/>
          </cell>
          <cell r="EO148" t="str">
            <v/>
          </cell>
          <cell r="EP148" t="str">
            <v/>
          </cell>
          <cell r="EQ148" t="str">
            <v/>
          </cell>
          <cell r="ER148" t="str">
            <v/>
          </cell>
          <cell r="ES148" t="str">
            <v/>
          </cell>
          <cell r="ET148" t="str">
            <v/>
          </cell>
          <cell r="EU148" t="str">
            <v/>
          </cell>
          <cell r="EV148" t="str">
            <v/>
          </cell>
          <cell r="EW148" t="str">
            <v/>
          </cell>
          <cell r="EX148" t="str">
            <v/>
          </cell>
          <cell r="EY148" t="str">
            <v/>
          </cell>
          <cell r="EZ148" t="str">
            <v/>
          </cell>
          <cell r="FA148" t="str">
            <v/>
          </cell>
          <cell r="FB148" t="str">
            <v/>
          </cell>
          <cell r="FC148" t="str">
            <v/>
          </cell>
          <cell r="FD148" t="str">
            <v/>
          </cell>
          <cell r="FE148" t="str">
            <v/>
          </cell>
          <cell r="FF148" t="str">
            <v/>
          </cell>
          <cell r="FG148" t="str">
            <v/>
          </cell>
          <cell r="FH148" t="str">
            <v/>
          </cell>
          <cell r="FI148" t="str">
            <v/>
          </cell>
          <cell r="FJ148" t="str">
            <v/>
          </cell>
          <cell r="FK148" t="str">
            <v/>
          </cell>
          <cell r="FL148" t="str">
            <v/>
          </cell>
          <cell r="FM148" t="str">
            <v/>
          </cell>
          <cell r="FN148" t="str">
            <v/>
          </cell>
          <cell r="FO148" t="str">
            <v/>
          </cell>
          <cell r="FP148" t="str">
            <v/>
          </cell>
        </row>
        <row r="149">
          <cell r="N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AJ149">
            <v>0</v>
          </cell>
          <cell r="AK149">
            <v>0</v>
          </cell>
          <cell r="AL149">
            <v>999999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BE149">
            <v>0</v>
          </cell>
          <cell r="BH149">
            <v>0</v>
          </cell>
          <cell r="BI149">
            <v>0</v>
          </cell>
          <cell r="BJ149">
            <v>0</v>
          </cell>
          <cell r="BK149">
            <v>0</v>
          </cell>
          <cell r="BL149">
            <v>0</v>
          </cell>
          <cell r="BM149">
            <v>0</v>
          </cell>
          <cell r="BN149">
            <v>0</v>
          </cell>
          <cell r="BO149">
            <v>0</v>
          </cell>
          <cell r="BP149">
            <v>0</v>
          </cell>
          <cell r="BQ149">
            <v>0</v>
          </cell>
          <cell r="CB149">
            <v>0</v>
          </cell>
          <cell r="CC149">
            <v>0</v>
          </cell>
          <cell r="CD149">
            <v>0</v>
          </cell>
          <cell r="CE149">
            <v>0</v>
          </cell>
          <cell r="CF149">
            <v>0</v>
          </cell>
          <cell r="CG149">
            <v>0</v>
          </cell>
          <cell r="CH149">
            <v>0</v>
          </cell>
          <cell r="CI149">
            <v>0</v>
          </cell>
          <cell r="CJ149">
            <v>0</v>
          </cell>
          <cell r="CK149">
            <v>0</v>
          </cell>
          <cell r="CW149">
            <v>0</v>
          </cell>
          <cell r="CY149">
            <v>0</v>
          </cell>
          <cell r="CZ149">
            <v>0</v>
          </cell>
          <cell r="DA149">
            <v>0</v>
          </cell>
          <cell r="DB149">
            <v>0</v>
          </cell>
          <cell r="DC149">
            <v>0</v>
          </cell>
          <cell r="DD149">
            <v>0</v>
          </cell>
          <cell r="DE149">
            <v>0</v>
          </cell>
          <cell r="DF149">
            <v>0</v>
          </cell>
          <cell r="DG149">
            <v>0</v>
          </cell>
          <cell r="DH149">
            <v>0</v>
          </cell>
          <cell r="DS149">
            <v>0</v>
          </cell>
          <cell r="DT149">
            <v>218</v>
          </cell>
          <cell r="DU149">
            <v>999999</v>
          </cell>
          <cell r="DV149">
            <v>999999</v>
          </cell>
          <cell r="DW149">
            <v>999999</v>
          </cell>
          <cell r="DX149">
            <v>0</v>
          </cell>
          <cell r="DY149">
            <v>218</v>
          </cell>
          <cell r="DZ149">
            <v>999999</v>
          </cell>
          <cell r="EA149">
            <v>999999</v>
          </cell>
          <cell r="EB149">
            <v>999999</v>
          </cell>
          <cell r="EC149">
            <v>0</v>
          </cell>
          <cell r="ED149">
            <v>0</v>
          </cell>
          <cell r="EE149">
            <v>0</v>
          </cell>
          <cell r="EF149">
            <v>0</v>
          </cell>
          <cell r="EG149">
            <v>0</v>
          </cell>
          <cell r="EH149">
            <v>0</v>
          </cell>
          <cell r="EI149">
            <v>0</v>
          </cell>
          <cell r="EJ149">
            <v>0</v>
          </cell>
          <cell r="EK149">
            <v>0</v>
          </cell>
          <cell r="EL149">
            <v>0</v>
          </cell>
          <cell r="EM149" t="str">
            <v/>
          </cell>
          <cell r="EN149" t="str">
            <v/>
          </cell>
          <cell r="EO149" t="str">
            <v/>
          </cell>
          <cell r="EP149" t="str">
            <v/>
          </cell>
          <cell r="EQ149" t="str">
            <v/>
          </cell>
          <cell r="ER149" t="str">
            <v/>
          </cell>
          <cell r="ES149" t="str">
            <v/>
          </cell>
          <cell r="ET149" t="str">
            <v/>
          </cell>
          <cell r="EU149" t="str">
            <v/>
          </cell>
          <cell r="EV149" t="str">
            <v/>
          </cell>
          <cell r="EW149" t="str">
            <v/>
          </cell>
          <cell r="EX149" t="str">
            <v/>
          </cell>
          <cell r="EY149" t="str">
            <v/>
          </cell>
          <cell r="EZ149" t="str">
            <v/>
          </cell>
          <cell r="FA149" t="str">
            <v/>
          </cell>
          <cell r="FB149" t="str">
            <v/>
          </cell>
          <cell r="FC149" t="str">
            <v/>
          </cell>
          <cell r="FD149" t="str">
            <v/>
          </cell>
          <cell r="FE149" t="str">
            <v/>
          </cell>
          <cell r="FF149" t="str">
            <v/>
          </cell>
          <cell r="FG149" t="str">
            <v/>
          </cell>
          <cell r="FH149" t="str">
            <v/>
          </cell>
          <cell r="FI149" t="str">
            <v/>
          </cell>
          <cell r="FJ149" t="str">
            <v/>
          </cell>
          <cell r="FK149" t="str">
            <v/>
          </cell>
          <cell r="FL149" t="str">
            <v/>
          </cell>
          <cell r="FM149" t="str">
            <v/>
          </cell>
          <cell r="FN149" t="str">
            <v/>
          </cell>
          <cell r="FO149" t="str">
            <v/>
          </cell>
          <cell r="FP149" t="str">
            <v/>
          </cell>
        </row>
        <row r="150">
          <cell r="N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AJ150">
            <v>0</v>
          </cell>
          <cell r="AK150">
            <v>0</v>
          </cell>
          <cell r="AL150">
            <v>999999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BE150">
            <v>48000</v>
          </cell>
          <cell r="BH150">
            <v>0</v>
          </cell>
          <cell r="BI150">
            <v>0</v>
          </cell>
          <cell r="BJ150">
            <v>0</v>
          </cell>
          <cell r="BK150">
            <v>0</v>
          </cell>
          <cell r="BL150">
            <v>0</v>
          </cell>
          <cell r="BM150">
            <v>0</v>
          </cell>
          <cell r="BN150">
            <v>0</v>
          </cell>
          <cell r="BO150">
            <v>0</v>
          </cell>
          <cell r="BP150">
            <v>0</v>
          </cell>
          <cell r="BQ150">
            <v>0</v>
          </cell>
          <cell r="CB150">
            <v>0</v>
          </cell>
          <cell r="CC150">
            <v>0</v>
          </cell>
          <cell r="CD150">
            <v>0</v>
          </cell>
          <cell r="CE150">
            <v>0</v>
          </cell>
          <cell r="CF150">
            <v>0</v>
          </cell>
          <cell r="CG150">
            <v>0</v>
          </cell>
          <cell r="CH150">
            <v>0</v>
          </cell>
          <cell r="CI150">
            <v>0</v>
          </cell>
          <cell r="CJ150">
            <v>0</v>
          </cell>
          <cell r="CK150">
            <v>0</v>
          </cell>
          <cell r="CW150">
            <v>0</v>
          </cell>
          <cell r="CY150">
            <v>0</v>
          </cell>
          <cell r="CZ150">
            <v>0</v>
          </cell>
          <cell r="DA150">
            <v>0</v>
          </cell>
          <cell r="DB150">
            <v>0</v>
          </cell>
          <cell r="DC150">
            <v>0</v>
          </cell>
          <cell r="DD150">
            <v>0</v>
          </cell>
          <cell r="DE150">
            <v>0</v>
          </cell>
          <cell r="DF150">
            <v>0</v>
          </cell>
          <cell r="DG150">
            <v>0</v>
          </cell>
          <cell r="DH150">
            <v>0</v>
          </cell>
          <cell r="DS150">
            <v>0</v>
          </cell>
          <cell r="DT150">
            <v>217</v>
          </cell>
          <cell r="DU150">
            <v>999999</v>
          </cell>
          <cell r="DV150">
            <v>999999</v>
          </cell>
          <cell r="DW150">
            <v>999999</v>
          </cell>
          <cell r="DX150">
            <v>0</v>
          </cell>
          <cell r="DY150">
            <v>217</v>
          </cell>
          <cell r="DZ150">
            <v>999999</v>
          </cell>
          <cell r="EA150">
            <v>999999</v>
          </cell>
          <cell r="EB150">
            <v>999999</v>
          </cell>
          <cell r="EC150">
            <v>0</v>
          </cell>
          <cell r="ED150">
            <v>0</v>
          </cell>
          <cell r="EE150">
            <v>0</v>
          </cell>
          <cell r="EF150">
            <v>0</v>
          </cell>
          <cell r="EG150">
            <v>0</v>
          </cell>
          <cell r="EH150">
            <v>0</v>
          </cell>
          <cell r="EI150">
            <v>0</v>
          </cell>
          <cell r="EJ150">
            <v>0</v>
          </cell>
          <cell r="EK150">
            <v>0</v>
          </cell>
          <cell r="EL150">
            <v>0</v>
          </cell>
          <cell r="EM150" t="str">
            <v/>
          </cell>
          <cell r="EN150" t="str">
            <v/>
          </cell>
          <cell r="EO150" t="str">
            <v/>
          </cell>
          <cell r="EP150" t="str">
            <v/>
          </cell>
          <cell r="EQ150" t="str">
            <v/>
          </cell>
          <cell r="ER150" t="str">
            <v/>
          </cell>
          <cell r="ES150" t="str">
            <v/>
          </cell>
          <cell r="ET150" t="str">
            <v/>
          </cell>
          <cell r="EU150" t="str">
            <v/>
          </cell>
          <cell r="EV150" t="str">
            <v/>
          </cell>
          <cell r="EW150" t="str">
            <v/>
          </cell>
          <cell r="EX150" t="str">
            <v/>
          </cell>
          <cell r="EY150" t="str">
            <v/>
          </cell>
          <cell r="EZ150" t="str">
            <v/>
          </cell>
          <cell r="FA150" t="str">
            <v/>
          </cell>
          <cell r="FB150" t="str">
            <v/>
          </cell>
          <cell r="FC150" t="str">
            <v/>
          </cell>
          <cell r="FD150" t="str">
            <v/>
          </cell>
          <cell r="FE150" t="str">
            <v/>
          </cell>
          <cell r="FF150" t="str">
            <v/>
          </cell>
          <cell r="FG150" t="str">
            <v/>
          </cell>
          <cell r="FH150" t="str">
            <v/>
          </cell>
          <cell r="FI150" t="str">
            <v/>
          </cell>
          <cell r="FJ150" t="str">
            <v/>
          </cell>
          <cell r="FK150" t="str">
            <v/>
          </cell>
          <cell r="FL150" t="str">
            <v/>
          </cell>
          <cell r="FM150" t="str">
            <v/>
          </cell>
          <cell r="FN150" t="str">
            <v/>
          </cell>
          <cell r="FO150" t="str">
            <v/>
          </cell>
          <cell r="FP150" t="str">
            <v/>
          </cell>
        </row>
        <row r="151">
          <cell r="N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AJ151">
            <v>0</v>
          </cell>
          <cell r="AK151">
            <v>0</v>
          </cell>
          <cell r="AL151">
            <v>999999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BE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  <cell r="BP151">
            <v>0</v>
          </cell>
          <cell r="BQ151">
            <v>0</v>
          </cell>
          <cell r="CB151">
            <v>0</v>
          </cell>
          <cell r="CC151">
            <v>0</v>
          </cell>
          <cell r="CD151">
            <v>0</v>
          </cell>
          <cell r="CE151">
            <v>0</v>
          </cell>
          <cell r="CF151">
            <v>0</v>
          </cell>
          <cell r="CG151">
            <v>0</v>
          </cell>
          <cell r="CH151">
            <v>0</v>
          </cell>
          <cell r="CI151">
            <v>0</v>
          </cell>
          <cell r="CJ151">
            <v>0</v>
          </cell>
          <cell r="CK151">
            <v>0</v>
          </cell>
          <cell r="CW151">
            <v>0</v>
          </cell>
          <cell r="CY151">
            <v>0</v>
          </cell>
          <cell r="CZ151">
            <v>0</v>
          </cell>
          <cell r="DA151">
            <v>0</v>
          </cell>
          <cell r="DB151">
            <v>0</v>
          </cell>
          <cell r="DC151">
            <v>0</v>
          </cell>
          <cell r="DD151">
            <v>0</v>
          </cell>
          <cell r="DE151">
            <v>0</v>
          </cell>
          <cell r="DF151">
            <v>0</v>
          </cell>
          <cell r="DG151">
            <v>0</v>
          </cell>
          <cell r="DH151">
            <v>0</v>
          </cell>
          <cell r="DS151">
            <v>0</v>
          </cell>
          <cell r="DT151">
            <v>216</v>
          </cell>
          <cell r="DU151">
            <v>999999</v>
          </cell>
          <cell r="DV151">
            <v>999999</v>
          </cell>
          <cell r="DW151">
            <v>999999</v>
          </cell>
          <cell r="DX151">
            <v>0</v>
          </cell>
          <cell r="DY151">
            <v>216</v>
          </cell>
          <cell r="DZ151">
            <v>999999</v>
          </cell>
          <cell r="EA151">
            <v>999999</v>
          </cell>
          <cell r="EB151">
            <v>999999</v>
          </cell>
          <cell r="EC151">
            <v>0</v>
          </cell>
          <cell r="ED151">
            <v>0</v>
          </cell>
          <cell r="EE151">
            <v>0</v>
          </cell>
          <cell r="EF151">
            <v>0</v>
          </cell>
          <cell r="EG151">
            <v>0</v>
          </cell>
          <cell r="EH151">
            <v>0</v>
          </cell>
          <cell r="EI151">
            <v>0</v>
          </cell>
          <cell r="EJ151">
            <v>0</v>
          </cell>
          <cell r="EK151">
            <v>0</v>
          </cell>
          <cell r="EL151">
            <v>0</v>
          </cell>
          <cell r="EM151" t="str">
            <v/>
          </cell>
          <cell r="EN151" t="str">
            <v/>
          </cell>
          <cell r="EO151" t="str">
            <v/>
          </cell>
          <cell r="EP151" t="str">
            <v/>
          </cell>
          <cell r="EQ151" t="str">
            <v/>
          </cell>
          <cell r="ER151" t="str">
            <v/>
          </cell>
          <cell r="ES151" t="str">
            <v/>
          </cell>
          <cell r="ET151" t="str">
            <v/>
          </cell>
          <cell r="EU151" t="str">
            <v/>
          </cell>
          <cell r="EV151" t="str">
            <v/>
          </cell>
          <cell r="EW151" t="str">
            <v/>
          </cell>
          <cell r="EX151" t="str">
            <v/>
          </cell>
          <cell r="EY151" t="str">
            <v/>
          </cell>
          <cell r="EZ151" t="str">
            <v/>
          </cell>
          <cell r="FA151" t="str">
            <v/>
          </cell>
          <cell r="FB151" t="str">
            <v/>
          </cell>
          <cell r="FC151" t="str">
            <v/>
          </cell>
          <cell r="FD151" t="str">
            <v/>
          </cell>
          <cell r="FE151" t="str">
            <v/>
          </cell>
          <cell r="FF151" t="str">
            <v/>
          </cell>
          <cell r="FG151" t="str">
            <v/>
          </cell>
          <cell r="FH151" t="str">
            <v/>
          </cell>
          <cell r="FI151" t="str">
            <v/>
          </cell>
          <cell r="FJ151" t="str">
            <v/>
          </cell>
          <cell r="FK151" t="str">
            <v/>
          </cell>
          <cell r="FL151" t="str">
            <v/>
          </cell>
          <cell r="FM151" t="str">
            <v/>
          </cell>
          <cell r="FN151" t="str">
            <v/>
          </cell>
          <cell r="FO151" t="str">
            <v/>
          </cell>
          <cell r="FP151" t="str">
            <v/>
          </cell>
        </row>
        <row r="152">
          <cell r="N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AJ152">
            <v>0</v>
          </cell>
          <cell r="AK152">
            <v>0</v>
          </cell>
          <cell r="AL152">
            <v>999999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BE152">
            <v>0</v>
          </cell>
          <cell r="BH152">
            <v>0</v>
          </cell>
          <cell r="BI152">
            <v>0</v>
          </cell>
          <cell r="BJ152">
            <v>0</v>
          </cell>
          <cell r="BK152">
            <v>0</v>
          </cell>
          <cell r="BL152">
            <v>0</v>
          </cell>
          <cell r="BM152">
            <v>0</v>
          </cell>
          <cell r="BN152">
            <v>0</v>
          </cell>
          <cell r="BO152">
            <v>0</v>
          </cell>
          <cell r="BP152">
            <v>0</v>
          </cell>
          <cell r="BQ152">
            <v>0</v>
          </cell>
          <cell r="CB152">
            <v>0</v>
          </cell>
          <cell r="CC152">
            <v>0</v>
          </cell>
          <cell r="CD152">
            <v>0</v>
          </cell>
          <cell r="CE152">
            <v>0</v>
          </cell>
          <cell r="CF152">
            <v>0</v>
          </cell>
          <cell r="CG152">
            <v>0</v>
          </cell>
          <cell r="CH152">
            <v>0</v>
          </cell>
          <cell r="CI152">
            <v>0</v>
          </cell>
          <cell r="CJ152">
            <v>0</v>
          </cell>
          <cell r="CK152">
            <v>0</v>
          </cell>
          <cell r="CW152">
            <v>0</v>
          </cell>
          <cell r="CY152">
            <v>0</v>
          </cell>
          <cell r="CZ152">
            <v>0</v>
          </cell>
          <cell r="DA152">
            <v>0</v>
          </cell>
          <cell r="DB152">
            <v>0</v>
          </cell>
          <cell r="DC152">
            <v>0</v>
          </cell>
          <cell r="DD152">
            <v>0</v>
          </cell>
          <cell r="DE152">
            <v>0</v>
          </cell>
          <cell r="DF152">
            <v>0</v>
          </cell>
          <cell r="DG152">
            <v>0</v>
          </cell>
          <cell r="DH152">
            <v>0</v>
          </cell>
          <cell r="DS152">
            <v>0</v>
          </cell>
          <cell r="DT152">
            <v>215</v>
          </cell>
          <cell r="DU152">
            <v>999999</v>
          </cell>
          <cell r="DV152">
            <v>999999</v>
          </cell>
          <cell r="DW152">
            <v>999999</v>
          </cell>
          <cell r="DX152">
            <v>0</v>
          </cell>
          <cell r="DY152">
            <v>215</v>
          </cell>
          <cell r="DZ152">
            <v>999999</v>
          </cell>
          <cell r="EA152">
            <v>999999</v>
          </cell>
          <cell r="EB152">
            <v>999999</v>
          </cell>
          <cell r="EC152">
            <v>0</v>
          </cell>
          <cell r="ED152">
            <v>0</v>
          </cell>
          <cell r="EE152">
            <v>0</v>
          </cell>
          <cell r="EF152">
            <v>0</v>
          </cell>
          <cell r="EG152">
            <v>0</v>
          </cell>
          <cell r="EH152">
            <v>0</v>
          </cell>
          <cell r="EI152">
            <v>0</v>
          </cell>
          <cell r="EJ152">
            <v>0</v>
          </cell>
          <cell r="EK152">
            <v>0</v>
          </cell>
          <cell r="EL152">
            <v>0</v>
          </cell>
          <cell r="EM152" t="str">
            <v/>
          </cell>
          <cell r="EN152" t="str">
            <v/>
          </cell>
          <cell r="EO152" t="str">
            <v/>
          </cell>
          <cell r="EP152" t="str">
            <v/>
          </cell>
          <cell r="EQ152" t="str">
            <v/>
          </cell>
          <cell r="ER152" t="str">
            <v/>
          </cell>
          <cell r="ES152" t="str">
            <v/>
          </cell>
          <cell r="ET152" t="str">
            <v/>
          </cell>
          <cell r="EU152" t="str">
            <v/>
          </cell>
          <cell r="EV152" t="str">
            <v/>
          </cell>
          <cell r="EW152" t="str">
            <v/>
          </cell>
          <cell r="EX152" t="str">
            <v/>
          </cell>
          <cell r="EY152" t="str">
            <v/>
          </cell>
          <cell r="EZ152" t="str">
            <v/>
          </cell>
          <cell r="FA152" t="str">
            <v/>
          </cell>
          <cell r="FB152" t="str">
            <v/>
          </cell>
          <cell r="FC152" t="str">
            <v/>
          </cell>
          <cell r="FD152" t="str">
            <v/>
          </cell>
          <cell r="FE152" t="str">
            <v/>
          </cell>
          <cell r="FF152" t="str">
            <v/>
          </cell>
          <cell r="FG152" t="str">
            <v/>
          </cell>
          <cell r="FH152" t="str">
            <v/>
          </cell>
          <cell r="FI152" t="str">
            <v/>
          </cell>
          <cell r="FJ152" t="str">
            <v/>
          </cell>
          <cell r="FK152" t="str">
            <v/>
          </cell>
          <cell r="FL152" t="str">
            <v/>
          </cell>
          <cell r="FM152" t="str">
            <v/>
          </cell>
          <cell r="FN152" t="str">
            <v/>
          </cell>
          <cell r="FO152" t="str">
            <v/>
          </cell>
          <cell r="FP152" t="str">
            <v/>
          </cell>
        </row>
        <row r="153">
          <cell r="N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AJ153">
            <v>0</v>
          </cell>
          <cell r="AK153">
            <v>0</v>
          </cell>
          <cell r="AL153">
            <v>999999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BE153">
            <v>0</v>
          </cell>
          <cell r="BH153">
            <v>0</v>
          </cell>
          <cell r="BI153">
            <v>0</v>
          </cell>
          <cell r="BJ153">
            <v>0</v>
          </cell>
          <cell r="BK153">
            <v>0</v>
          </cell>
          <cell r="BL153">
            <v>0</v>
          </cell>
          <cell r="BM153">
            <v>0</v>
          </cell>
          <cell r="BN153">
            <v>0</v>
          </cell>
          <cell r="BO153">
            <v>0</v>
          </cell>
          <cell r="BP153">
            <v>0</v>
          </cell>
          <cell r="BQ153">
            <v>0</v>
          </cell>
          <cell r="CB153">
            <v>0</v>
          </cell>
          <cell r="CC153">
            <v>0</v>
          </cell>
          <cell r="CD153">
            <v>0</v>
          </cell>
          <cell r="CE153">
            <v>0</v>
          </cell>
          <cell r="CF153">
            <v>0</v>
          </cell>
          <cell r="CG153">
            <v>0</v>
          </cell>
          <cell r="CH153">
            <v>0</v>
          </cell>
          <cell r="CI153">
            <v>0</v>
          </cell>
          <cell r="CJ153">
            <v>0</v>
          </cell>
          <cell r="CK153">
            <v>0</v>
          </cell>
          <cell r="CW153">
            <v>0</v>
          </cell>
          <cell r="CY153">
            <v>0</v>
          </cell>
          <cell r="CZ153">
            <v>0</v>
          </cell>
          <cell r="DA153">
            <v>0</v>
          </cell>
          <cell r="DB153">
            <v>0</v>
          </cell>
          <cell r="DC153">
            <v>0</v>
          </cell>
          <cell r="DD153">
            <v>0</v>
          </cell>
          <cell r="DE153">
            <v>0</v>
          </cell>
          <cell r="DF153">
            <v>0</v>
          </cell>
          <cell r="DG153">
            <v>0</v>
          </cell>
          <cell r="DH153">
            <v>0</v>
          </cell>
          <cell r="DS153">
            <v>0</v>
          </cell>
          <cell r="DT153">
            <v>214</v>
          </cell>
          <cell r="DU153">
            <v>999999</v>
          </cell>
          <cell r="DV153">
            <v>999999</v>
          </cell>
          <cell r="DW153">
            <v>999999</v>
          </cell>
          <cell r="DX153">
            <v>0</v>
          </cell>
          <cell r="DY153">
            <v>214</v>
          </cell>
          <cell r="DZ153">
            <v>999999</v>
          </cell>
          <cell r="EA153">
            <v>999999</v>
          </cell>
          <cell r="EB153">
            <v>999999</v>
          </cell>
          <cell r="EC153">
            <v>0</v>
          </cell>
          <cell r="ED153">
            <v>0</v>
          </cell>
          <cell r="EE153">
            <v>0</v>
          </cell>
          <cell r="EF153">
            <v>0</v>
          </cell>
          <cell r="EG153">
            <v>0</v>
          </cell>
          <cell r="EH153">
            <v>0</v>
          </cell>
          <cell r="EI153">
            <v>0</v>
          </cell>
          <cell r="EJ153">
            <v>0</v>
          </cell>
          <cell r="EK153">
            <v>0</v>
          </cell>
          <cell r="EL153">
            <v>0</v>
          </cell>
          <cell r="EM153" t="str">
            <v/>
          </cell>
          <cell r="EN153" t="str">
            <v/>
          </cell>
          <cell r="EO153" t="str">
            <v/>
          </cell>
          <cell r="EP153" t="str">
            <v/>
          </cell>
          <cell r="EQ153" t="str">
            <v/>
          </cell>
          <cell r="ER153" t="str">
            <v/>
          </cell>
          <cell r="ES153" t="str">
            <v/>
          </cell>
          <cell r="ET153" t="str">
            <v/>
          </cell>
          <cell r="EU153" t="str">
            <v/>
          </cell>
          <cell r="EV153" t="str">
            <v/>
          </cell>
          <cell r="EW153" t="str">
            <v/>
          </cell>
          <cell r="EX153" t="str">
            <v/>
          </cell>
          <cell r="EY153" t="str">
            <v/>
          </cell>
          <cell r="EZ153" t="str">
            <v/>
          </cell>
          <cell r="FA153" t="str">
            <v/>
          </cell>
          <cell r="FB153" t="str">
            <v/>
          </cell>
          <cell r="FC153" t="str">
            <v/>
          </cell>
          <cell r="FD153" t="str">
            <v/>
          </cell>
          <cell r="FE153" t="str">
            <v/>
          </cell>
          <cell r="FF153" t="str">
            <v/>
          </cell>
          <cell r="FG153" t="str">
            <v/>
          </cell>
          <cell r="FH153" t="str">
            <v/>
          </cell>
          <cell r="FI153" t="str">
            <v/>
          </cell>
          <cell r="FJ153" t="str">
            <v/>
          </cell>
          <cell r="FK153" t="str">
            <v/>
          </cell>
          <cell r="FL153" t="str">
            <v/>
          </cell>
          <cell r="FM153" t="str">
            <v/>
          </cell>
          <cell r="FN153" t="str">
            <v/>
          </cell>
          <cell r="FO153" t="str">
            <v/>
          </cell>
          <cell r="FP153" t="str">
            <v/>
          </cell>
        </row>
        <row r="154">
          <cell r="N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AJ154">
            <v>0</v>
          </cell>
          <cell r="AK154">
            <v>0</v>
          </cell>
          <cell r="AL154">
            <v>999999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BE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  <cell r="BP154">
            <v>0</v>
          </cell>
          <cell r="BQ154">
            <v>0</v>
          </cell>
          <cell r="CB154">
            <v>0</v>
          </cell>
          <cell r="CC154">
            <v>0</v>
          </cell>
          <cell r="CD154">
            <v>0</v>
          </cell>
          <cell r="CE154">
            <v>0</v>
          </cell>
          <cell r="CF154">
            <v>0</v>
          </cell>
          <cell r="CG154">
            <v>0</v>
          </cell>
          <cell r="CH154">
            <v>0</v>
          </cell>
          <cell r="CI154">
            <v>0</v>
          </cell>
          <cell r="CJ154">
            <v>0</v>
          </cell>
          <cell r="CK154">
            <v>0</v>
          </cell>
          <cell r="CW154">
            <v>0</v>
          </cell>
          <cell r="CY154">
            <v>0</v>
          </cell>
          <cell r="CZ154">
            <v>0</v>
          </cell>
          <cell r="DA154">
            <v>0</v>
          </cell>
          <cell r="DB154">
            <v>0</v>
          </cell>
          <cell r="DC154">
            <v>0</v>
          </cell>
          <cell r="DD154">
            <v>0</v>
          </cell>
          <cell r="DE154">
            <v>0</v>
          </cell>
          <cell r="DF154">
            <v>0</v>
          </cell>
          <cell r="DG154">
            <v>0</v>
          </cell>
          <cell r="DH154">
            <v>0</v>
          </cell>
          <cell r="DS154">
            <v>0</v>
          </cell>
          <cell r="DT154">
            <v>213</v>
          </cell>
          <cell r="DU154">
            <v>999999</v>
          </cell>
          <cell r="DV154">
            <v>999999</v>
          </cell>
          <cell r="DW154">
            <v>999999</v>
          </cell>
          <cell r="DX154">
            <v>0</v>
          </cell>
          <cell r="DY154">
            <v>213</v>
          </cell>
          <cell r="DZ154">
            <v>999999</v>
          </cell>
          <cell r="EA154">
            <v>999999</v>
          </cell>
          <cell r="EB154">
            <v>999999</v>
          </cell>
          <cell r="EC154">
            <v>0</v>
          </cell>
          <cell r="ED154">
            <v>0</v>
          </cell>
          <cell r="EE154">
            <v>0</v>
          </cell>
          <cell r="EF154">
            <v>0</v>
          </cell>
          <cell r="EG154">
            <v>0</v>
          </cell>
          <cell r="EH154">
            <v>0</v>
          </cell>
          <cell r="EI154">
            <v>0</v>
          </cell>
          <cell r="EJ154">
            <v>0</v>
          </cell>
          <cell r="EK154">
            <v>0</v>
          </cell>
          <cell r="EL154">
            <v>0</v>
          </cell>
          <cell r="EM154" t="str">
            <v/>
          </cell>
          <cell r="EN154" t="str">
            <v/>
          </cell>
          <cell r="EO154" t="str">
            <v/>
          </cell>
          <cell r="EP154" t="str">
            <v/>
          </cell>
          <cell r="EQ154" t="str">
            <v/>
          </cell>
          <cell r="ER154" t="str">
            <v/>
          </cell>
          <cell r="ES154" t="str">
            <v/>
          </cell>
          <cell r="ET154" t="str">
            <v/>
          </cell>
          <cell r="EU154" t="str">
            <v/>
          </cell>
          <cell r="EV154" t="str">
            <v/>
          </cell>
          <cell r="EW154" t="str">
            <v/>
          </cell>
          <cell r="EX154" t="str">
            <v/>
          </cell>
          <cell r="EY154" t="str">
            <v/>
          </cell>
          <cell r="EZ154" t="str">
            <v/>
          </cell>
          <cell r="FA154" t="str">
            <v/>
          </cell>
          <cell r="FB154" t="str">
            <v/>
          </cell>
          <cell r="FC154" t="str">
            <v/>
          </cell>
          <cell r="FD154" t="str">
            <v/>
          </cell>
          <cell r="FE154" t="str">
            <v/>
          </cell>
          <cell r="FF154" t="str">
            <v/>
          </cell>
          <cell r="FG154" t="str">
            <v/>
          </cell>
          <cell r="FH154" t="str">
            <v/>
          </cell>
          <cell r="FI154" t="str">
            <v/>
          </cell>
          <cell r="FJ154" t="str">
            <v/>
          </cell>
          <cell r="FK154" t="str">
            <v/>
          </cell>
          <cell r="FL154" t="str">
            <v/>
          </cell>
          <cell r="FM154" t="str">
            <v/>
          </cell>
          <cell r="FN154" t="str">
            <v/>
          </cell>
          <cell r="FO154" t="str">
            <v/>
          </cell>
          <cell r="FP154" t="str">
            <v/>
          </cell>
        </row>
        <row r="155">
          <cell r="N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AJ155">
            <v>0</v>
          </cell>
          <cell r="AK155">
            <v>0</v>
          </cell>
          <cell r="AL155">
            <v>999999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BE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  <cell r="CB155">
            <v>0</v>
          </cell>
          <cell r="CC155">
            <v>0</v>
          </cell>
          <cell r="CD155">
            <v>0</v>
          </cell>
          <cell r="CE155">
            <v>0</v>
          </cell>
          <cell r="CF155">
            <v>0</v>
          </cell>
          <cell r="CG155">
            <v>0</v>
          </cell>
          <cell r="CH155">
            <v>0</v>
          </cell>
          <cell r="CI155">
            <v>0</v>
          </cell>
          <cell r="CJ155">
            <v>0</v>
          </cell>
          <cell r="CK155">
            <v>0</v>
          </cell>
          <cell r="CW155">
            <v>0</v>
          </cell>
          <cell r="CY155">
            <v>0</v>
          </cell>
          <cell r="CZ155">
            <v>0</v>
          </cell>
          <cell r="DA155">
            <v>0</v>
          </cell>
          <cell r="DB155">
            <v>0</v>
          </cell>
          <cell r="DC155">
            <v>0</v>
          </cell>
          <cell r="DD155">
            <v>0</v>
          </cell>
          <cell r="DE155">
            <v>0</v>
          </cell>
          <cell r="DF155">
            <v>0</v>
          </cell>
          <cell r="DG155">
            <v>0</v>
          </cell>
          <cell r="DH155">
            <v>0</v>
          </cell>
          <cell r="DS155">
            <v>0</v>
          </cell>
          <cell r="DT155">
            <v>212</v>
          </cell>
          <cell r="DU155">
            <v>999999</v>
          </cell>
          <cell r="DV155">
            <v>999999</v>
          </cell>
          <cell r="DW155">
            <v>999999</v>
          </cell>
          <cell r="DX155">
            <v>0</v>
          </cell>
          <cell r="DY155">
            <v>212</v>
          </cell>
          <cell r="DZ155">
            <v>999999</v>
          </cell>
          <cell r="EA155">
            <v>999999</v>
          </cell>
          <cell r="EB155">
            <v>999999</v>
          </cell>
          <cell r="EC155">
            <v>0</v>
          </cell>
          <cell r="ED155">
            <v>0</v>
          </cell>
          <cell r="EE155">
            <v>0</v>
          </cell>
          <cell r="EF155">
            <v>0</v>
          </cell>
          <cell r="EG155">
            <v>0</v>
          </cell>
          <cell r="EH155">
            <v>0</v>
          </cell>
          <cell r="EI155">
            <v>0</v>
          </cell>
          <cell r="EJ155">
            <v>0</v>
          </cell>
          <cell r="EK155">
            <v>0</v>
          </cell>
          <cell r="EL155">
            <v>0</v>
          </cell>
          <cell r="EM155" t="str">
            <v/>
          </cell>
          <cell r="EN155" t="str">
            <v/>
          </cell>
          <cell r="EO155" t="str">
            <v/>
          </cell>
          <cell r="EP155" t="str">
            <v/>
          </cell>
          <cell r="EQ155" t="str">
            <v/>
          </cell>
          <cell r="ER155" t="str">
            <v/>
          </cell>
          <cell r="ES155" t="str">
            <v/>
          </cell>
          <cell r="ET155" t="str">
            <v/>
          </cell>
          <cell r="EU155" t="str">
            <v/>
          </cell>
          <cell r="EV155" t="str">
            <v/>
          </cell>
          <cell r="EW155" t="str">
            <v/>
          </cell>
          <cell r="EX155" t="str">
            <v/>
          </cell>
          <cell r="EY155" t="str">
            <v/>
          </cell>
          <cell r="EZ155" t="str">
            <v/>
          </cell>
          <cell r="FA155" t="str">
            <v/>
          </cell>
          <cell r="FB155" t="str">
            <v/>
          </cell>
          <cell r="FC155" t="str">
            <v/>
          </cell>
          <cell r="FD155" t="str">
            <v/>
          </cell>
          <cell r="FE155" t="str">
            <v/>
          </cell>
          <cell r="FF155" t="str">
            <v/>
          </cell>
          <cell r="FG155" t="str">
            <v/>
          </cell>
          <cell r="FH155" t="str">
            <v/>
          </cell>
          <cell r="FI155" t="str">
            <v/>
          </cell>
          <cell r="FJ155" t="str">
            <v/>
          </cell>
          <cell r="FK155" t="str">
            <v/>
          </cell>
          <cell r="FL155" t="str">
            <v/>
          </cell>
          <cell r="FM155" t="str">
            <v/>
          </cell>
          <cell r="FN155" t="str">
            <v/>
          </cell>
          <cell r="FO155" t="str">
            <v/>
          </cell>
          <cell r="FP155" t="str">
            <v/>
          </cell>
        </row>
        <row r="156">
          <cell r="N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AJ156">
            <v>0</v>
          </cell>
          <cell r="AK156">
            <v>0</v>
          </cell>
          <cell r="AL156">
            <v>999999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BE156">
            <v>0</v>
          </cell>
          <cell r="BH156">
            <v>0</v>
          </cell>
          <cell r="BI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  <cell r="CB156">
            <v>0</v>
          </cell>
          <cell r="CC156">
            <v>0</v>
          </cell>
          <cell r="CD156">
            <v>0</v>
          </cell>
          <cell r="CE156">
            <v>0</v>
          </cell>
          <cell r="CF156">
            <v>0</v>
          </cell>
          <cell r="CG156">
            <v>0</v>
          </cell>
          <cell r="CH156">
            <v>0</v>
          </cell>
          <cell r="CI156">
            <v>0</v>
          </cell>
          <cell r="CJ156">
            <v>0</v>
          </cell>
          <cell r="CK156">
            <v>0</v>
          </cell>
          <cell r="CW156">
            <v>0</v>
          </cell>
          <cell r="CY156">
            <v>0</v>
          </cell>
          <cell r="CZ156">
            <v>0</v>
          </cell>
          <cell r="DA156">
            <v>0</v>
          </cell>
          <cell r="DB156">
            <v>0</v>
          </cell>
          <cell r="DC156">
            <v>0</v>
          </cell>
          <cell r="DD156">
            <v>0</v>
          </cell>
          <cell r="DE156">
            <v>0</v>
          </cell>
          <cell r="DF156">
            <v>0</v>
          </cell>
          <cell r="DG156">
            <v>0</v>
          </cell>
          <cell r="DH156">
            <v>0</v>
          </cell>
          <cell r="DS156">
            <v>0</v>
          </cell>
          <cell r="DT156">
            <v>211</v>
          </cell>
          <cell r="DU156">
            <v>999999</v>
          </cell>
          <cell r="DV156">
            <v>999999</v>
          </cell>
          <cell r="DW156">
            <v>999999</v>
          </cell>
          <cell r="DX156">
            <v>0</v>
          </cell>
          <cell r="DY156">
            <v>211</v>
          </cell>
          <cell r="DZ156">
            <v>999999</v>
          </cell>
          <cell r="EA156">
            <v>999999</v>
          </cell>
          <cell r="EB156">
            <v>999999</v>
          </cell>
          <cell r="EC156">
            <v>0</v>
          </cell>
          <cell r="ED156">
            <v>0</v>
          </cell>
          <cell r="EE156">
            <v>0</v>
          </cell>
          <cell r="EF156">
            <v>0</v>
          </cell>
          <cell r="EG156">
            <v>0</v>
          </cell>
          <cell r="EH156">
            <v>0</v>
          </cell>
          <cell r="EI156">
            <v>0</v>
          </cell>
          <cell r="EJ156">
            <v>0</v>
          </cell>
          <cell r="EK156">
            <v>0</v>
          </cell>
          <cell r="EL156">
            <v>0</v>
          </cell>
          <cell r="EM156" t="str">
            <v/>
          </cell>
          <cell r="EN156" t="str">
            <v/>
          </cell>
          <cell r="EO156" t="str">
            <v/>
          </cell>
          <cell r="EP156" t="str">
            <v/>
          </cell>
          <cell r="EQ156" t="str">
            <v/>
          </cell>
          <cell r="ER156" t="str">
            <v/>
          </cell>
          <cell r="ES156" t="str">
            <v/>
          </cell>
          <cell r="ET156" t="str">
            <v/>
          </cell>
          <cell r="EU156" t="str">
            <v/>
          </cell>
          <cell r="EV156" t="str">
            <v/>
          </cell>
          <cell r="EW156" t="str">
            <v/>
          </cell>
          <cell r="EX156" t="str">
            <v/>
          </cell>
          <cell r="EY156" t="str">
            <v/>
          </cell>
          <cell r="EZ156" t="str">
            <v/>
          </cell>
          <cell r="FA156" t="str">
            <v/>
          </cell>
          <cell r="FB156" t="str">
            <v/>
          </cell>
          <cell r="FC156" t="str">
            <v/>
          </cell>
          <cell r="FD156" t="str">
            <v/>
          </cell>
          <cell r="FE156" t="str">
            <v/>
          </cell>
          <cell r="FF156" t="str">
            <v/>
          </cell>
          <cell r="FG156" t="str">
            <v/>
          </cell>
          <cell r="FH156" t="str">
            <v/>
          </cell>
          <cell r="FI156" t="str">
            <v/>
          </cell>
          <cell r="FJ156" t="str">
            <v/>
          </cell>
          <cell r="FK156" t="str">
            <v/>
          </cell>
          <cell r="FL156" t="str">
            <v/>
          </cell>
          <cell r="FM156" t="str">
            <v/>
          </cell>
          <cell r="FN156" t="str">
            <v/>
          </cell>
          <cell r="FO156" t="str">
            <v/>
          </cell>
          <cell r="FP156" t="str">
            <v/>
          </cell>
        </row>
        <row r="157">
          <cell r="N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AJ157">
            <v>0</v>
          </cell>
          <cell r="AK157">
            <v>0</v>
          </cell>
          <cell r="AL157">
            <v>999999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BE157">
            <v>0</v>
          </cell>
          <cell r="BH157">
            <v>0</v>
          </cell>
          <cell r="BI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  <cell r="CB157">
            <v>0</v>
          </cell>
          <cell r="CC157">
            <v>0</v>
          </cell>
          <cell r="CD157">
            <v>0</v>
          </cell>
          <cell r="CE157">
            <v>0</v>
          </cell>
          <cell r="CF157">
            <v>0</v>
          </cell>
          <cell r="CG157">
            <v>0</v>
          </cell>
          <cell r="CH157">
            <v>0</v>
          </cell>
          <cell r="CI157">
            <v>0</v>
          </cell>
          <cell r="CJ157">
            <v>0</v>
          </cell>
          <cell r="CK157">
            <v>0</v>
          </cell>
          <cell r="CW157">
            <v>0</v>
          </cell>
          <cell r="CY157">
            <v>0</v>
          </cell>
          <cell r="CZ157">
            <v>0</v>
          </cell>
          <cell r="DA157">
            <v>0</v>
          </cell>
          <cell r="DB157">
            <v>0</v>
          </cell>
          <cell r="DC157">
            <v>0</v>
          </cell>
          <cell r="DD157">
            <v>0</v>
          </cell>
          <cell r="DE157">
            <v>0</v>
          </cell>
          <cell r="DF157">
            <v>0</v>
          </cell>
          <cell r="DG157">
            <v>0</v>
          </cell>
          <cell r="DH157">
            <v>0</v>
          </cell>
          <cell r="DS157">
            <v>0</v>
          </cell>
          <cell r="DT157">
            <v>210</v>
          </cell>
          <cell r="DU157">
            <v>999999</v>
          </cell>
          <cell r="DV157">
            <v>999999</v>
          </cell>
          <cell r="DW157">
            <v>999999</v>
          </cell>
          <cell r="DX157">
            <v>0</v>
          </cell>
          <cell r="DY157">
            <v>210</v>
          </cell>
          <cell r="DZ157">
            <v>999999</v>
          </cell>
          <cell r="EA157">
            <v>999999</v>
          </cell>
          <cell r="EB157">
            <v>999999</v>
          </cell>
          <cell r="EC157">
            <v>0</v>
          </cell>
          <cell r="ED157">
            <v>0</v>
          </cell>
          <cell r="EE157">
            <v>0</v>
          </cell>
          <cell r="EF157">
            <v>0</v>
          </cell>
          <cell r="EG157">
            <v>0</v>
          </cell>
          <cell r="EH157">
            <v>0</v>
          </cell>
          <cell r="EI157">
            <v>0</v>
          </cell>
          <cell r="EJ157">
            <v>0</v>
          </cell>
          <cell r="EK157">
            <v>0</v>
          </cell>
          <cell r="EL157">
            <v>0</v>
          </cell>
          <cell r="EM157" t="str">
            <v/>
          </cell>
          <cell r="EN157" t="str">
            <v/>
          </cell>
          <cell r="EO157" t="str">
            <v/>
          </cell>
          <cell r="EP157" t="str">
            <v/>
          </cell>
          <cell r="EQ157" t="str">
            <v/>
          </cell>
          <cell r="ER157" t="str">
            <v/>
          </cell>
          <cell r="ES157" t="str">
            <v/>
          </cell>
          <cell r="ET157" t="str">
            <v/>
          </cell>
          <cell r="EU157" t="str">
            <v/>
          </cell>
          <cell r="EV157" t="str">
            <v/>
          </cell>
          <cell r="EW157" t="str">
            <v/>
          </cell>
          <cell r="EX157" t="str">
            <v/>
          </cell>
          <cell r="EY157" t="str">
            <v/>
          </cell>
          <cell r="EZ157" t="str">
            <v/>
          </cell>
          <cell r="FA157" t="str">
            <v/>
          </cell>
          <cell r="FB157" t="str">
            <v/>
          </cell>
          <cell r="FC157" t="str">
            <v/>
          </cell>
          <cell r="FD157" t="str">
            <v/>
          </cell>
          <cell r="FE157" t="str">
            <v/>
          </cell>
          <cell r="FF157" t="str">
            <v/>
          </cell>
          <cell r="FG157" t="str">
            <v/>
          </cell>
          <cell r="FH157" t="str">
            <v/>
          </cell>
          <cell r="FI157" t="str">
            <v/>
          </cell>
          <cell r="FJ157" t="str">
            <v/>
          </cell>
          <cell r="FK157" t="str">
            <v/>
          </cell>
          <cell r="FL157" t="str">
            <v/>
          </cell>
          <cell r="FM157" t="str">
            <v/>
          </cell>
          <cell r="FN157" t="str">
            <v/>
          </cell>
          <cell r="FO157" t="str">
            <v/>
          </cell>
          <cell r="FP157" t="str">
            <v/>
          </cell>
        </row>
        <row r="158">
          <cell r="N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AJ158">
            <v>0</v>
          </cell>
          <cell r="AK158">
            <v>0</v>
          </cell>
          <cell r="AL158">
            <v>999999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BE158">
            <v>48000</v>
          </cell>
          <cell r="BH158">
            <v>0</v>
          </cell>
          <cell r="BI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  <cell r="CB158">
            <v>0</v>
          </cell>
          <cell r="CC158">
            <v>0</v>
          </cell>
          <cell r="CD158">
            <v>0</v>
          </cell>
          <cell r="CE158">
            <v>0</v>
          </cell>
          <cell r="CF158">
            <v>0</v>
          </cell>
          <cell r="CG158">
            <v>0</v>
          </cell>
          <cell r="CH158">
            <v>0</v>
          </cell>
          <cell r="CI158">
            <v>0</v>
          </cell>
          <cell r="CJ158">
            <v>0</v>
          </cell>
          <cell r="CK158">
            <v>0</v>
          </cell>
          <cell r="CW158">
            <v>0</v>
          </cell>
          <cell r="CY158">
            <v>0</v>
          </cell>
          <cell r="CZ158">
            <v>0</v>
          </cell>
          <cell r="DA158">
            <v>0</v>
          </cell>
          <cell r="DB158">
            <v>0</v>
          </cell>
          <cell r="DC158">
            <v>0</v>
          </cell>
          <cell r="DD158">
            <v>0</v>
          </cell>
          <cell r="DE158">
            <v>0</v>
          </cell>
          <cell r="DF158">
            <v>0</v>
          </cell>
          <cell r="DG158">
            <v>0</v>
          </cell>
          <cell r="DH158">
            <v>0</v>
          </cell>
          <cell r="DS158">
            <v>0</v>
          </cell>
          <cell r="DT158">
            <v>209</v>
          </cell>
          <cell r="DU158">
            <v>999999</v>
          </cell>
          <cell r="DV158">
            <v>999999</v>
          </cell>
          <cell r="DW158">
            <v>999999</v>
          </cell>
          <cell r="DX158">
            <v>0</v>
          </cell>
          <cell r="DY158">
            <v>209</v>
          </cell>
          <cell r="DZ158">
            <v>999999</v>
          </cell>
          <cell r="EA158">
            <v>999999</v>
          </cell>
          <cell r="EB158">
            <v>999999</v>
          </cell>
          <cell r="EC158">
            <v>0</v>
          </cell>
          <cell r="ED158">
            <v>0</v>
          </cell>
          <cell r="EE158">
            <v>0</v>
          </cell>
          <cell r="EF158">
            <v>0</v>
          </cell>
          <cell r="EG158">
            <v>0</v>
          </cell>
          <cell r="EH158">
            <v>0</v>
          </cell>
          <cell r="EI158">
            <v>0</v>
          </cell>
          <cell r="EJ158">
            <v>0</v>
          </cell>
          <cell r="EK158">
            <v>0</v>
          </cell>
          <cell r="EL158">
            <v>0</v>
          </cell>
          <cell r="EM158" t="str">
            <v/>
          </cell>
          <cell r="EN158" t="str">
            <v/>
          </cell>
          <cell r="EO158" t="str">
            <v/>
          </cell>
          <cell r="EP158" t="str">
            <v/>
          </cell>
          <cell r="EQ158" t="str">
            <v/>
          </cell>
          <cell r="ER158" t="str">
            <v/>
          </cell>
          <cell r="ES158" t="str">
            <v/>
          </cell>
          <cell r="ET158" t="str">
            <v/>
          </cell>
          <cell r="EU158" t="str">
            <v/>
          </cell>
          <cell r="EV158" t="str">
            <v/>
          </cell>
          <cell r="EW158" t="str">
            <v/>
          </cell>
          <cell r="EX158" t="str">
            <v/>
          </cell>
          <cell r="EY158" t="str">
            <v/>
          </cell>
          <cell r="EZ158" t="str">
            <v/>
          </cell>
          <cell r="FA158" t="str">
            <v/>
          </cell>
          <cell r="FB158" t="str">
            <v/>
          </cell>
          <cell r="FC158" t="str">
            <v/>
          </cell>
          <cell r="FD158" t="str">
            <v/>
          </cell>
          <cell r="FE158" t="str">
            <v/>
          </cell>
          <cell r="FF158" t="str">
            <v/>
          </cell>
          <cell r="FG158" t="str">
            <v/>
          </cell>
          <cell r="FH158" t="str">
            <v/>
          </cell>
          <cell r="FI158" t="str">
            <v/>
          </cell>
          <cell r="FJ158" t="str">
            <v/>
          </cell>
          <cell r="FK158" t="str">
            <v/>
          </cell>
          <cell r="FL158" t="str">
            <v/>
          </cell>
          <cell r="FM158" t="str">
            <v/>
          </cell>
          <cell r="FN158" t="str">
            <v/>
          </cell>
          <cell r="FO158" t="str">
            <v/>
          </cell>
          <cell r="FP158" t="str">
            <v/>
          </cell>
        </row>
        <row r="159">
          <cell r="N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AJ159">
            <v>0</v>
          </cell>
          <cell r="AK159">
            <v>0</v>
          </cell>
          <cell r="AL159">
            <v>999999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BE159">
            <v>0</v>
          </cell>
          <cell r="BH159">
            <v>0</v>
          </cell>
          <cell r="BI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  <cell r="CB159">
            <v>0</v>
          </cell>
          <cell r="CC159">
            <v>0</v>
          </cell>
          <cell r="CD159">
            <v>0</v>
          </cell>
          <cell r="CE159">
            <v>0</v>
          </cell>
          <cell r="CF159">
            <v>0</v>
          </cell>
          <cell r="CG159">
            <v>0</v>
          </cell>
          <cell r="CH159">
            <v>0</v>
          </cell>
          <cell r="CI159">
            <v>0</v>
          </cell>
          <cell r="CJ159">
            <v>0</v>
          </cell>
          <cell r="CK159">
            <v>0</v>
          </cell>
          <cell r="CW159">
            <v>0</v>
          </cell>
          <cell r="CY159">
            <v>0</v>
          </cell>
          <cell r="CZ159">
            <v>0</v>
          </cell>
          <cell r="DA159">
            <v>0</v>
          </cell>
          <cell r="DB159">
            <v>0</v>
          </cell>
          <cell r="DC159">
            <v>0</v>
          </cell>
          <cell r="DD159">
            <v>0</v>
          </cell>
          <cell r="DE159">
            <v>0</v>
          </cell>
          <cell r="DF159">
            <v>0</v>
          </cell>
          <cell r="DG159">
            <v>0</v>
          </cell>
          <cell r="DH159">
            <v>0</v>
          </cell>
          <cell r="DS159">
            <v>0</v>
          </cell>
          <cell r="DT159">
            <v>208</v>
          </cell>
          <cell r="DU159">
            <v>999999</v>
          </cell>
          <cell r="DV159">
            <v>999999</v>
          </cell>
          <cell r="DW159">
            <v>999999</v>
          </cell>
          <cell r="DX159">
            <v>0</v>
          </cell>
          <cell r="DY159">
            <v>208</v>
          </cell>
          <cell r="DZ159">
            <v>999999</v>
          </cell>
          <cell r="EA159">
            <v>999999</v>
          </cell>
          <cell r="EB159">
            <v>999999</v>
          </cell>
          <cell r="EC159">
            <v>0</v>
          </cell>
          <cell r="ED159">
            <v>0</v>
          </cell>
          <cell r="EE159">
            <v>0</v>
          </cell>
          <cell r="EF159">
            <v>0</v>
          </cell>
          <cell r="EG159">
            <v>0</v>
          </cell>
          <cell r="EH159">
            <v>0</v>
          </cell>
          <cell r="EI159">
            <v>0</v>
          </cell>
          <cell r="EJ159">
            <v>0</v>
          </cell>
          <cell r="EK159">
            <v>0</v>
          </cell>
          <cell r="EL159">
            <v>0</v>
          </cell>
          <cell r="EM159" t="str">
            <v/>
          </cell>
          <cell r="EN159" t="str">
            <v/>
          </cell>
          <cell r="EO159" t="str">
            <v/>
          </cell>
          <cell r="EP159" t="str">
            <v/>
          </cell>
          <cell r="EQ159" t="str">
            <v/>
          </cell>
          <cell r="ER159" t="str">
            <v/>
          </cell>
          <cell r="ES159" t="str">
            <v/>
          </cell>
          <cell r="ET159" t="str">
            <v/>
          </cell>
          <cell r="EU159" t="str">
            <v/>
          </cell>
          <cell r="EV159" t="str">
            <v/>
          </cell>
          <cell r="EW159" t="str">
            <v/>
          </cell>
          <cell r="EX159" t="str">
            <v/>
          </cell>
          <cell r="EY159" t="str">
            <v/>
          </cell>
          <cell r="EZ159" t="str">
            <v/>
          </cell>
          <cell r="FA159" t="str">
            <v/>
          </cell>
          <cell r="FB159" t="str">
            <v/>
          </cell>
          <cell r="FC159" t="str">
            <v/>
          </cell>
          <cell r="FD159" t="str">
            <v/>
          </cell>
          <cell r="FE159" t="str">
            <v/>
          </cell>
          <cell r="FF159" t="str">
            <v/>
          </cell>
          <cell r="FG159" t="str">
            <v/>
          </cell>
          <cell r="FH159" t="str">
            <v/>
          </cell>
          <cell r="FI159" t="str">
            <v/>
          </cell>
          <cell r="FJ159" t="str">
            <v/>
          </cell>
          <cell r="FK159" t="str">
            <v/>
          </cell>
          <cell r="FL159" t="str">
            <v/>
          </cell>
          <cell r="FM159" t="str">
            <v/>
          </cell>
          <cell r="FN159" t="str">
            <v/>
          </cell>
          <cell r="FO159" t="str">
            <v/>
          </cell>
          <cell r="FP159" t="str">
            <v/>
          </cell>
        </row>
        <row r="160">
          <cell r="N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AJ160">
            <v>0</v>
          </cell>
          <cell r="AK160">
            <v>0</v>
          </cell>
          <cell r="AL160">
            <v>999999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BE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  <cell r="CB160">
            <v>0</v>
          </cell>
          <cell r="CC160">
            <v>0</v>
          </cell>
          <cell r="CD160">
            <v>0</v>
          </cell>
          <cell r="CE160">
            <v>0</v>
          </cell>
          <cell r="CF160">
            <v>0</v>
          </cell>
          <cell r="CG160">
            <v>0</v>
          </cell>
          <cell r="CH160">
            <v>0</v>
          </cell>
          <cell r="CI160">
            <v>0</v>
          </cell>
          <cell r="CJ160">
            <v>0</v>
          </cell>
          <cell r="CK160">
            <v>0</v>
          </cell>
          <cell r="CW160">
            <v>0</v>
          </cell>
          <cell r="CY160">
            <v>0</v>
          </cell>
          <cell r="CZ160">
            <v>0</v>
          </cell>
          <cell r="DA160">
            <v>0</v>
          </cell>
          <cell r="DB160">
            <v>0</v>
          </cell>
          <cell r="DC160">
            <v>0</v>
          </cell>
          <cell r="DD160">
            <v>0</v>
          </cell>
          <cell r="DE160">
            <v>0</v>
          </cell>
          <cell r="DF160">
            <v>0</v>
          </cell>
          <cell r="DG160">
            <v>0</v>
          </cell>
          <cell r="DH160">
            <v>0</v>
          </cell>
          <cell r="DS160">
            <v>0</v>
          </cell>
          <cell r="DT160">
            <v>207</v>
          </cell>
          <cell r="DU160">
            <v>999999</v>
          </cell>
          <cell r="DV160">
            <v>999999</v>
          </cell>
          <cell r="DW160">
            <v>999999</v>
          </cell>
          <cell r="DX160">
            <v>0</v>
          </cell>
          <cell r="DY160">
            <v>207</v>
          </cell>
          <cell r="DZ160">
            <v>999999</v>
          </cell>
          <cell r="EA160">
            <v>999999</v>
          </cell>
          <cell r="EB160">
            <v>999999</v>
          </cell>
          <cell r="EC160">
            <v>0</v>
          </cell>
          <cell r="ED160">
            <v>0</v>
          </cell>
          <cell r="EE160">
            <v>0</v>
          </cell>
          <cell r="EF160">
            <v>0</v>
          </cell>
          <cell r="EG160">
            <v>0</v>
          </cell>
          <cell r="EH160">
            <v>0</v>
          </cell>
          <cell r="EI160">
            <v>0</v>
          </cell>
          <cell r="EJ160">
            <v>0</v>
          </cell>
          <cell r="EK160">
            <v>0</v>
          </cell>
          <cell r="EL160">
            <v>0</v>
          </cell>
          <cell r="EM160" t="str">
            <v/>
          </cell>
          <cell r="EN160" t="str">
            <v/>
          </cell>
          <cell r="EO160" t="str">
            <v/>
          </cell>
          <cell r="EP160" t="str">
            <v/>
          </cell>
          <cell r="EQ160" t="str">
            <v/>
          </cell>
          <cell r="ER160" t="str">
            <v/>
          </cell>
          <cell r="ES160" t="str">
            <v/>
          </cell>
          <cell r="ET160" t="str">
            <v/>
          </cell>
          <cell r="EU160" t="str">
            <v/>
          </cell>
          <cell r="EV160" t="str">
            <v/>
          </cell>
          <cell r="EW160" t="str">
            <v/>
          </cell>
          <cell r="EX160" t="str">
            <v/>
          </cell>
          <cell r="EY160" t="str">
            <v/>
          </cell>
          <cell r="EZ160" t="str">
            <v/>
          </cell>
          <cell r="FA160" t="str">
            <v/>
          </cell>
          <cell r="FB160" t="str">
            <v/>
          </cell>
          <cell r="FC160" t="str">
            <v/>
          </cell>
          <cell r="FD160" t="str">
            <v/>
          </cell>
          <cell r="FE160" t="str">
            <v/>
          </cell>
          <cell r="FF160" t="str">
            <v/>
          </cell>
          <cell r="FG160" t="str">
            <v/>
          </cell>
          <cell r="FH160" t="str">
            <v/>
          </cell>
          <cell r="FI160" t="str">
            <v/>
          </cell>
          <cell r="FJ160" t="str">
            <v/>
          </cell>
          <cell r="FK160" t="str">
            <v/>
          </cell>
          <cell r="FL160" t="str">
            <v/>
          </cell>
          <cell r="FM160" t="str">
            <v/>
          </cell>
          <cell r="FN160" t="str">
            <v/>
          </cell>
          <cell r="FO160" t="str">
            <v/>
          </cell>
          <cell r="FP160" t="str">
            <v/>
          </cell>
        </row>
        <row r="161">
          <cell r="N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AJ161">
            <v>0</v>
          </cell>
          <cell r="AK161">
            <v>0</v>
          </cell>
          <cell r="AL161">
            <v>999999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BE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  <cell r="CB161">
            <v>0</v>
          </cell>
          <cell r="CC161">
            <v>0</v>
          </cell>
          <cell r="CD161">
            <v>0</v>
          </cell>
          <cell r="CE161">
            <v>0</v>
          </cell>
          <cell r="CF161">
            <v>0</v>
          </cell>
          <cell r="CG161">
            <v>0</v>
          </cell>
          <cell r="CH161">
            <v>0</v>
          </cell>
          <cell r="CI161">
            <v>0</v>
          </cell>
          <cell r="CJ161">
            <v>0</v>
          </cell>
          <cell r="CK161">
            <v>0</v>
          </cell>
          <cell r="CW161">
            <v>0</v>
          </cell>
          <cell r="CY161">
            <v>0</v>
          </cell>
          <cell r="CZ161">
            <v>0</v>
          </cell>
          <cell r="DA161">
            <v>0</v>
          </cell>
          <cell r="DB161">
            <v>0</v>
          </cell>
          <cell r="DC161">
            <v>0</v>
          </cell>
          <cell r="DD161">
            <v>0</v>
          </cell>
          <cell r="DE161">
            <v>0</v>
          </cell>
          <cell r="DF161">
            <v>0</v>
          </cell>
          <cell r="DG161">
            <v>0</v>
          </cell>
          <cell r="DH161">
            <v>0</v>
          </cell>
          <cell r="DS161">
            <v>0</v>
          </cell>
          <cell r="DT161">
            <v>206</v>
          </cell>
          <cell r="DU161">
            <v>999999</v>
          </cell>
          <cell r="DV161">
            <v>999999</v>
          </cell>
          <cell r="DW161">
            <v>999999</v>
          </cell>
          <cell r="DX161">
            <v>0</v>
          </cell>
          <cell r="DY161">
            <v>206</v>
          </cell>
          <cell r="DZ161">
            <v>999999</v>
          </cell>
          <cell r="EA161">
            <v>999999</v>
          </cell>
          <cell r="EB161">
            <v>999999</v>
          </cell>
          <cell r="EC161">
            <v>0</v>
          </cell>
          <cell r="ED161">
            <v>0</v>
          </cell>
          <cell r="EE161">
            <v>0</v>
          </cell>
          <cell r="EF161">
            <v>0</v>
          </cell>
          <cell r="EG161">
            <v>0</v>
          </cell>
          <cell r="EH161">
            <v>0</v>
          </cell>
          <cell r="EI161">
            <v>0</v>
          </cell>
          <cell r="EJ161">
            <v>0</v>
          </cell>
          <cell r="EK161">
            <v>0</v>
          </cell>
          <cell r="EL161">
            <v>0</v>
          </cell>
          <cell r="EM161" t="str">
            <v/>
          </cell>
          <cell r="EN161" t="str">
            <v/>
          </cell>
          <cell r="EO161" t="str">
            <v/>
          </cell>
          <cell r="EP161" t="str">
            <v/>
          </cell>
          <cell r="EQ161" t="str">
            <v/>
          </cell>
          <cell r="ER161" t="str">
            <v/>
          </cell>
          <cell r="ES161" t="str">
            <v/>
          </cell>
          <cell r="ET161" t="str">
            <v/>
          </cell>
          <cell r="EU161" t="str">
            <v/>
          </cell>
          <cell r="EV161" t="str">
            <v/>
          </cell>
          <cell r="EW161" t="str">
            <v/>
          </cell>
          <cell r="EX161" t="str">
            <v/>
          </cell>
          <cell r="EY161" t="str">
            <v/>
          </cell>
          <cell r="EZ161" t="str">
            <v/>
          </cell>
          <cell r="FA161" t="str">
            <v/>
          </cell>
          <cell r="FB161" t="str">
            <v/>
          </cell>
          <cell r="FC161" t="str">
            <v/>
          </cell>
          <cell r="FD161" t="str">
            <v/>
          </cell>
          <cell r="FE161" t="str">
            <v/>
          </cell>
          <cell r="FF161" t="str">
            <v/>
          </cell>
          <cell r="FG161" t="str">
            <v/>
          </cell>
          <cell r="FH161" t="str">
            <v/>
          </cell>
          <cell r="FI161" t="str">
            <v/>
          </cell>
          <cell r="FJ161" t="str">
            <v/>
          </cell>
          <cell r="FK161" t="str">
            <v/>
          </cell>
          <cell r="FL161" t="str">
            <v/>
          </cell>
          <cell r="FM161" t="str">
            <v/>
          </cell>
          <cell r="FN161" t="str">
            <v/>
          </cell>
          <cell r="FO161" t="str">
            <v/>
          </cell>
          <cell r="FP161" t="str">
            <v/>
          </cell>
        </row>
        <row r="162">
          <cell r="N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AJ162">
            <v>0</v>
          </cell>
          <cell r="AK162">
            <v>0</v>
          </cell>
          <cell r="AL162">
            <v>999999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BE162">
            <v>0</v>
          </cell>
          <cell r="BH162">
            <v>0</v>
          </cell>
          <cell r="BI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  <cell r="CB162">
            <v>0</v>
          </cell>
          <cell r="CC162">
            <v>0</v>
          </cell>
          <cell r="CD162">
            <v>0</v>
          </cell>
          <cell r="CE162">
            <v>0</v>
          </cell>
          <cell r="CF162">
            <v>0</v>
          </cell>
          <cell r="CG162">
            <v>0</v>
          </cell>
          <cell r="CH162">
            <v>0</v>
          </cell>
          <cell r="CI162">
            <v>0</v>
          </cell>
          <cell r="CJ162">
            <v>0</v>
          </cell>
          <cell r="CK162">
            <v>0</v>
          </cell>
          <cell r="CW162">
            <v>0</v>
          </cell>
          <cell r="CY162">
            <v>0</v>
          </cell>
          <cell r="CZ162">
            <v>0</v>
          </cell>
          <cell r="DA162">
            <v>0</v>
          </cell>
          <cell r="DB162">
            <v>0</v>
          </cell>
          <cell r="DC162">
            <v>0</v>
          </cell>
          <cell r="DD162">
            <v>0</v>
          </cell>
          <cell r="DE162">
            <v>0</v>
          </cell>
          <cell r="DF162">
            <v>0</v>
          </cell>
          <cell r="DG162">
            <v>0</v>
          </cell>
          <cell r="DH162">
            <v>0</v>
          </cell>
          <cell r="DS162">
            <v>0</v>
          </cell>
          <cell r="DT162">
            <v>205</v>
          </cell>
          <cell r="DU162">
            <v>999999</v>
          </cell>
          <cell r="DV162">
            <v>999999</v>
          </cell>
          <cell r="DW162">
            <v>999999</v>
          </cell>
          <cell r="DX162">
            <v>0</v>
          </cell>
          <cell r="DY162">
            <v>205</v>
          </cell>
          <cell r="DZ162">
            <v>999999</v>
          </cell>
          <cell r="EA162">
            <v>999999</v>
          </cell>
          <cell r="EB162">
            <v>999999</v>
          </cell>
          <cell r="EC162">
            <v>0</v>
          </cell>
          <cell r="ED162">
            <v>0</v>
          </cell>
          <cell r="EE162">
            <v>0</v>
          </cell>
          <cell r="EF162">
            <v>0</v>
          </cell>
          <cell r="EG162">
            <v>0</v>
          </cell>
          <cell r="EH162">
            <v>0</v>
          </cell>
          <cell r="EI162">
            <v>0</v>
          </cell>
          <cell r="EJ162">
            <v>0</v>
          </cell>
          <cell r="EK162">
            <v>0</v>
          </cell>
          <cell r="EL162">
            <v>0</v>
          </cell>
          <cell r="EM162" t="str">
            <v/>
          </cell>
          <cell r="EN162" t="str">
            <v/>
          </cell>
          <cell r="EO162" t="str">
            <v/>
          </cell>
          <cell r="EP162" t="str">
            <v/>
          </cell>
          <cell r="EQ162" t="str">
            <v/>
          </cell>
          <cell r="ER162" t="str">
            <v/>
          </cell>
          <cell r="ES162" t="str">
            <v/>
          </cell>
          <cell r="ET162" t="str">
            <v/>
          </cell>
          <cell r="EU162" t="str">
            <v/>
          </cell>
          <cell r="EV162" t="str">
            <v/>
          </cell>
          <cell r="EW162" t="str">
            <v/>
          </cell>
          <cell r="EX162" t="str">
            <v/>
          </cell>
          <cell r="EY162" t="str">
            <v/>
          </cell>
          <cell r="EZ162" t="str">
            <v/>
          </cell>
          <cell r="FA162" t="str">
            <v/>
          </cell>
          <cell r="FB162" t="str">
            <v/>
          </cell>
          <cell r="FC162" t="str">
            <v/>
          </cell>
          <cell r="FD162" t="str">
            <v/>
          </cell>
          <cell r="FE162" t="str">
            <v/>
          </cell>
          <cell r="FF162" t="str">
            <v/>
          </cell>
          <cell r="FG162" t="str">
            <v/>
          </cell>
          <cell r="FH162" t="str">
            <v/>
          </cell>
          <cell r="FI162" t="str">
            <v/>
          </cell>
          <cell r="FJ162" t="str">
            <v/>
          </cell>
          <cell r="FK162" t="str">
            <v/>
          </cell>
          <cell r="FL162" t="str">
            <v/>
          </cell>
          <cell r="FM162" t="str">
            <v/>
          </cell>
          <cell r="FN162" t="str">
            <v/>
          </cell>
          <cell r="FO162" t="str">
            <v/>
          </cell>
          <cell r="FP162" t="str">
            <v/>
          </cell>
        </row>
        <row r="163">
          <cell r="N163">
            <v>48000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AJ163">
            <v>0</v>
          </cell>
          <cell r="AK163">
            <v>0</v>
          </cell>
          <cell r="AL163">
            <v>999999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BE163">
            <v>0</v>
          </cell>
          <cell r="BH163">
            <v>0</v>
          </cell>
          <cell r="BI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  <cell r="CB163">
            <v>0</v>
          </cell>
          <cell r="CC163">
            <v>0</v>
          </cell>
          <cell r="CD163">
            <v>0</v>
          </cell>
          <cell r="CE163">
            <v>0</v>
          </cell>
          <cell r="CF163">
            <v>0</v>
          </cell>
          <cell r="CG163">
            <v>0</v>
          </cell>
          <cell r="CH163">
            <v>0</v>
          </cell>
          <cell r="CI163">
            <v>0</v>
          </cell>
          <cell r="CJ163">
            <v>0</v>
          </cell>
          <cell r="CK163">
            <v>0</v>
          </cell>
          <cell r="CW163">
            <v>0</v>
          </cell>
          <cell r="CY163">
            <v>0</v>
          </cell>
          <cell r="CZ163">
            <v>0</v>
          </cell>
          <cell r="DA163">
            <v>0</v>
          </cell>
          <cell r="DB163">
            <v>0</v>
          </cell>
          <cell r="DC163">
            <v>0</v>
          </cell>
          <cell r="DD163">
            <v>0</v>
          </cell>
          <cell r="DE163">
            <v>0</v>
          </cell>
          <cell r="DF163">
            <v>0</v>
          </cell>
          <cell r="DG163">
            <v>0</v>
          </cell>
          <cell r="DH163">
            <v>0</v>
          </cell>
          <cell r="DS163">
            <v>0</v>
          </cell>
          <cell r="DT163">
            <v>204</v>
          </cell>
          <cell r="DU163">
            <v>999999</v>
          </cell>
          <cell r="DV163">
            <v>999999</v>
          </cell>
          <cell r="DW163">
            <v>999999</v>
          </cell>
          <cell r="DX163">
            <v>0</v>
          </cell>
          <cell r="DY163">
            <v>204</v>
          </cell>
          <cell r="DZ163">
            <v>999999</v>
          </cell>
          <cell r="EA163">
            <v>999999</v>
          </cell>
          <cell r="EB163">
            <v>999999</v>
          </cell>
          <cell r="EC163">
            <v>0</v>
          </cell>
          <cell r="ED163">
            <v>0</v>
          </cell>
          <cell r="EE163">
            <v>0</v>
          </cell>
          <cell r="EF163">
            <v>0</v>
          </cell>
          <cell r="EG163">
            <v>0</v>
          </cell>
          <cell r="EH163">
            <v>0</v>
          </cell>
          <cell r="EI163">
            <v>0</v>
          </cell>
          <cell r="EJ163">
            <v>0</v>
          </cell>
          <cell r="EK163">
            <v>0</v>
          </cell>
          <cell r="EL163">
            <v>0</v>
          </cell>
          <cell r="EM163" t="str">
            <v/>
          </cell>
          <cell r="EN163" t="str">
            <v/>
          </cell>
          <cell r="EO163" t="str">
            <v/>
          </cell>
          <cell r="EP163" t="str">
            <v/>
          </cell>
          <cell r="EQ163" t="str">
            <v/>
          </cell>
          <cell r="ER163" t="str">
            <v/>
          </cell>
          <cell r="ES163" t="str">
            <v/>
          </cell>
          <cell r="ET163" t="str">
            <v/>
          </cell>
          <cell r="EU163" t="str">
            <v/>
          </cell>
          <cell r="EV163" t="str">
            <v/>
          </cell>
          <cell r="EW163" t="str">
            <v/>
          </cell>
          <cell r="EX163" t="str">
            <v/>
          </cell>
          <cell r="EY163" t="str">
            <v/>
          </cell>
          <cell r="EZ163" t="str">
            <v/>
          </cell>
          <cell r="FA163" t="str">
            <v/>
          </cell>
          <cell r="FB163" t="str">
            <v/>
          </cell>
          <cell r="FC163" t="str">
            <v/>
          </cell>
          <cell r="FD163" t="str">
            <v/>
          </cell>
          <cell r="FE163" t="str">
            <v/>
          </cell>
          <cell r="FF163" t="str">
            <v/>
          </cell>
          <cell r="FG163" t="str">
            <v/>
          </cell>
          <cell r="FH163" t="str">
            <v/>
          </cell>
          <cell r="FI163" t="str">
            <v/>
          </cell>
          <cell r="FJ163" t="str">
            <v/>
          </cell>
          <cell r="FK163" t="str">
            <v/>
          </cell>
          <cell r="FL163" t="str">
            <v/>
          </cell>
          <cell r="FM163" t="str">
            <v/>
          </cell>
          <cell r="FN163" t="str">
            <v/>
          </cell>
          <cell r="FO163" t="str">
            <v/>
          </cell>
          <cell r="FP163" t="str">
            <v/>
          </cell>
        </row>
        <row r="164">
          <cell r="N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AJ164">
            <v>0</v>
          </cell>
          <cell r="AK164">
            <v>0</v>
          </cell>
          <cell r="AL164">
            <v>999999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BE164">
            <v>0</v>
          </cell>
          <cell r="BH164">
            <v>0</v>
          </cell>
          <cell r="BI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  <cell r="CB164">
            <v>0</v>
          </cell>
          <cell r="CC164">
            <v>0</v>
          </cell>
          <cell r="CD164">
            <v>0</v>
          </cell>
          <cell r="CE164">
            <v>0</v>
          </cell>
          <cell r="CF164">
            <v>0</v>
          </cell>
          <cell r="CG164">
            <v>0</v>
          </cell>
          <cell r="CH164">
            <v>0</v>
          </cell>
          <cell r="CI164">
            <v>0</v>
          </cell>
          <cell r="CJ164">
            <v>0</v>
          </cell>
          <cell r="CK164">
            <v>0</v>
          </cell>
          <cell r="CW164">
            <v>0</v>
          </cell>
          <cell r="CY164">
            <v>0</v>
          </cell>
          <cell r="CZ164">
            <v>0</v>
          </cell>
          <cell r="DA164">
            <v>0</v>
          </cell>
          <cell r="DB164">
            <v>0</v>
          </cell>
          <cell r="DC164">
            <v>0</v>
          </cell>
          <cell r="DD164">
            <v>0</v>
          </cell>
          <cell r="DE164">
            <v>0</v>
          </cell>
          <cell r="DF164">
            <v>0</v>
          </cell>
          <cell r="DG164">
            <v>0</v>
          </cell>
          <cell r="DH164">
            <v>0</v>
          </cell>
          <cell r="DS164">
            <v>0</v>
          </cell>
          <cell r="DT164">
            <v>203</v>
          </cell>
          <cell r="DU164">
            <v>999999</v>
          </cell>
          <cell r="DV164">
            <v>999999</v>
          </cell>
          <cell r="DW164">
            <v>999999</v>
          </cell>
          <cell r="DX164">
            <v>0</v>
          </cell>
          <cell r="DY164">
            <v>203</v>
          </cell>
          <cell r="DZ164">
            <v>999999</v>
          </cell>
          <cell r="EA164">
            <v>999999</v>
          </cell>
          <cell r="EB164">
            <v>999999</v>
          </cell>
          <cell r="EC164">
            <v>0</v>
          </cell>
          <cell r="ED164">
            <v>0</v>
          </cell>
          <cell r="EE164">
            <v>0</v>
          </cell>
          <cell r="EF164">
            <v>0</v>
          </cell>
          <cell r="EG164">
            <v>0</v>
          </cell>
          <cell r="EH164">
            <v>0</v>
          </cell>
          <cell r="EI164">
            <v>0</v>
          </cell>
          <cell r="EJ164">
            <v>0</v>
          </cell>
          <cell r="EK164">
            <v>0</v>
          </cell>
          <cell r="EL164">
            <v>0</v>
          </cell>
          <cell r="EM164" t="str">
            <v/>
          </cell>
          <cell r="EN164" t="str">
            <v/>
          </cell>
          <cell r="EO164" t="str">
            <v/>
          </cell>
          <cell r="EP164" t="str">
            <v/>
          </cell>
          <cell r="EQ164" t="str">
            <v/>
          </cell>
          <cell r="ER164" t="str">
            <v/>
          </cell>
          <cell r="ES164" t="str">
            <v/>
          </cell>
          <cell r="ET164" t="str">
            <v/>
          </cell>
          <cell r="EU164" t="str">
            <v/>
          </cell>
          <cell r="EV164" t="str">
            <v/>
          </cell>
          <cell r="EW164" t="str">
            <v/>
          </cell>
          <cell r="EX164" t="str">
            <v/>
          </cell>
          <cell r="EY164" t="str">
            <v/>
          </cell>
          <cell r="EZ164" t="str">
            <v/>
          </cell>
          <cell r="FA164" t="str">
            <v/>
          </cell>
          <cell r="FB164" t="str">
            <v/>
          </cell>
          <cell r="FC164" t="str">
            <v/>
          </cell>
          <cell r="FD164" t="str">
            <v/>
          </cell>
          <cell r="FE164" t="str">
            <v/>
          </cell>
          <cell r="FF164" t="str">
            <v/>
          </cell>
          <cell r="FG164" t="str">
            <v/>
          </cell>
          <cell r="FH164" t="str">
            <v/>
          </cell>
          <cell r="FI164" t="str">
            <v/>
          </cell>
          <cell r="FJ164" t="str">
            <v/>
          </cell>
          <cell r="FK164" t="str">
            <v/>
          </cell>
          <cell r="FL164" t="str">
            <v/>
          </cell>
          <cell r="FM164" t="str">
            <v/>
          </cell>
          <cell r="FN164" t="str">
            <v/>
          </cell>
          <cell r="FO164" t="str">
            <v/>
          </cell>
          <cell r="FP164" t="str">
            <v/>
          </cell>
        </row>
        <row r="165">
          <cell r="N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AJ165">
            <v>0</v>
          </cell>
          <cell r="AK165">
            <v>0</v>
          </cell>
          <cell r="AL165">
            <v>999999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BE165">
            <v>0</v>
          </cell>
          <cell r="BH165">
            <v>0</v>
          </cell>
          <cell r="BI165">
            <v>0</v>
          </cell>
          <cell r="BJ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0</v>
          </cell>
          <cell r="BQ165">
            <v>0</v>
          </cell>
          <cell r="CB165">
            <v>0</v>
          </cell>
          <cell r="CC165">
            <v>0</v>
          </cell>
          <cell r="CD165">
            <v>0</v>
          </cell>
          <cell r="CE165">
            <v>0</v>
          </cell>
          <cell r="CF165">
            <v>0</v>
          </cell>
          <cell r="CG165">
            <v>0</v>
          </cell>
          <cell r="CH165">
            <v>0</v>
          </cell>
          <cell r="CI165">
            <v>0</v>
          </cell>
          <cell r="CJ165">
            <v>0</v>
          </cell>
          <cell r="CK165">
            <v>0</v>
          </cell>
          <cell r="CW165">
            <v>0</v>
          </cell>
          <cell r="CY165">
            <v>0</v>
          </cell>
          <cell r="CZ165">
            <v>0</v>
          </cell>
          <cell r="DA165">
            <v>0</v>
          </cell>
          <cell r="DB165">
            <v>0</v>
          </cell>
          <cell r="DC165">
            <v>0</v>
          </cell>
          <cell r="DD165">
            <v>0</v>
          </cell>
          <cell r="DE165">
            <v>0</v>
          </cell>
          <cell r="DF165">
            <v>0</v>
          </cell>
          <cell r="DG165">
            <v>0</v>
          </cell>
          <cell r="DH165">
            <v>0</v>
          </cell>
          <cell r="DS165">
            <v>0</v>
          </cell>
          <cell r="DT165">
            <v>202</v>
          </cell>
          <cell r="DU165">
            <v>999999</v>
          </cell>
          <cell r="DV165">
            <v>999999</v>
          </cell>
          <cell r="DW165">
            <v>999999</v>
          </cell>
          <cell r="DX165">
            <v>0</v>
          </cell>
          <cell r="DY165">
            <v>202</v>
          </cell>
          <cell r="DZ165">
            <v>999999</v>
          </cell>
          <cell r="EA165">
            <v>999999</v>
          </cell>
          <cell r="EB165">
            <v>999999</v>
          </cell>
          <cell r="EC165">
            <v>0</v>
          </cell>
          <cell r="ED165">
            <v>0</v>
          </cell>
          <cell r="EE165">
            <v>0</v>
          </cell>
          <cell r="EF165">
            <v>0</v>
          </cell>
          <cell r="EG165">
            <v>0</v>
          </cell>
          <cell r="EH165">
            <v>0</v>
          </cell>
          <cell r="EI165">
            <v>0</v>
          </cell>
          <cell r="EJ165">
            <v>0</v>
          </cell>
          <cell r="EK165">
            <v>0</v>
          </cell>
          <cell r="EL165">
            <v>0</v>
          </cell>
          <cell r="EM165" t="str">
            <v/>
          </cell>
          <cell r="EN165" t="str">
            <v/>
          </cell>
          <cell r="EO165" t="str">
            <v/>
          </cell>
          <cell r="EP165" t="str">
            <v/>
          </cell>
          <cell r="EQ165" t="str">
            <v/>
          </cell>
          <cell r="ER165" t="str">
            <v/>
          </cell>
          <cell r="ES165" t="str">
            <v/>
          </cell>
          <cell r="ET165" t="str">
            <v/>
          </cell>
          <cell r="EU165" t="str">
            <v/>
          </cell>
          <cell r="EV165" t="str">
            <v/>
          </cell>
          <cell r="EW165" t="str">
            <v/>
          </cell>
          <cell r="EX165" t="str">
            <v/>
          </cell>
          <cell r="EY165" t="str">
            <v/>
          </cell>
          <cell r="EZ165" t="str">
            <v/>
          </cell>
          <cell r="FA165" t="str">
            <v/>
          </cell>
          <cell r="FB165" t="str">
            <v/>
          </cell>
          <cell r="FC165" t="str">
            <v/>
          </cell>
          <cell r="FD165" t="str">
            <v/>
          </cell>
          <cell r="FE165" t="str">
            <v/>
          </cell>
          <cell r="FF165" t="str">
            <v/>
          </cell>
          <cell r="FG165" t="str">
            <v/>
          </cell>
          <cell r="FH165" t="str">
            <v/>
          </cell>
          <cell r="FI165" t="str">
            <v/>
          </cell>
          <cell r="FJ165" t="str">
            <v/>
          </cell>
          <cell r="FK165" t="str">
            <v/>
          </cell>
          <cell r="FL165" t="str">
            <v/>
          </cell>
          <cell r="FM165" t="str">
            <v/>
          </cell>
          <cell r="FN165" t="str">
            <v/>
          </cell>
          <cell r="FO165" t="str">
            <v/>
          </cell>
          <cell r="FP165" t="str">
            <v/>
          </cell>
        </row>
        <row r="166">
          <cell r="N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AJ166">
            <v>0</v>
          </cell>
          <cell r="AK166">
            <v>0</v>
          </cell>
          <cell r="AL166">
            <v>999999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BE166">
            <v>48000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  <cell r="BP166">
            <v>0</v>
          </cell>
          <cell r="BQ166">
            <v>0</v>
          </cell>
          <cell r="CB166">
            <v>0</v>
          </cell>
          <cell r="CC166">
            <v>0</v>
          </cell>
          <cell r="CD166">
            <v>0</v>
          </cell>
          <cell r="CE166">
            <v>0</v>
          </cell>
          <cell r="CF166">
            <v>0</v>
          </cell>
          <cell r="CG166">
            <v>0</v>
          </cell>
          <cell r="CH166">
            <v>0</v>
          </cell>
          <cell r="CI166">
            <v>0</v>
          </cell>
          <cell r="CJ166">
            <v>0</v>
          </cell>
          <cell r="CK166">
            <v>0</v>
          </cell>
          <cell r="CW166">
            <v>0</v>
          </cell>
          <cell r="CY166">
            <v>0</v>
          </cell>
          <cell r="CZ166">
            <v>0</v>
          </cell>
          <cell r="DA166">
            <v>0</v>
          </cell>
          <cell r="DB166">
            <v>0</v>
          </cell>
          <cell r="DC166">
            <v>0</v>
          </cell>
          <cell r="DD166">
            <v>0</v>
          </cell>
          <cell r="DE166">
            <v>0</v>
          </cell>
          <cell r="DF166">
            <v>0</v>
          </cell>
          <cell r="DG166">
            <v>0</v>
          </cell>
          <cell r="DH166">
            <v>0</v>
          </cell>
          <cell r="DS166">
            <v>0</v>
          </cell>
          <cell r="DT166">
            <v>201</v>
          </cell>
          <cell r="DU166">
            <v>999999</v>
          </cell>
          <cell r="DV166">
            <v>999999</v>
          </cell>
          <cell r="DW166">
            <v>999999</v>
          </cell>
          <cell r="DX166">
            <v>0</v>
          </cell>
          <cell r="DY166">
            <v>201</v>
          </cell>
          <cell r="DZ166">
            <v>999999</v>
          </cell>
          <cell r="EA166">
            <v>999999</v>
          </cell>
          <cell r="EB166">
            <v>999999</v>
          </cell>
          <cell r="EC166">
            <v>0</v>
          </cell>
          <cell r="ED166">
            <v>0</v>
          </cell>
          <cell r="EE166">
            <v>0</v>
          </cell>
          <cell r="EF166">
            <v>0</v>
          </cell>
          <cell r="EG166">
            <v>0</v>
          </cell>
          <cell r="EH166">
            <v>0</v>
          </cell>
          <cell r="EI166">
            <v>0</v>
          </cell>
          <cell r="EJ166">
            <v>0</v>
          </cell>
          <cell r="EK166">
            <v>0</v>
          </cell>
          <cell r="EL166">
            <v>0</v>
          </cell>
          <cell r="EM166" t="str">
            <v/>
          </cell>
          <cell r="EN166" t="str">
            <v/>
          </cell>
          <cell r="EO166" t="str">
            <v/>
          </cell>
          <cell r="EP166" t="str">
            <v/>
          </cell>
          <cell r="EQ166" t="str">
            <v/>
          </cell>
          <cell r="ER166" t="str">
            <v/>
          </cell>
          <cell r="ES166" t="str">
            <v/>
          </cell>
          <cell r="ET166" t="str">
            <v/>
          </cell>
          <cell r="EU166" t="str">
            <v/>
          </cell>
          <cell r="EV166" t="str">
            <v/>
          </cell>
          <cell r="EW166" t="str">
            <v/>
          </cell>
          <cell r="EX166" t="str">
            <v/>
          </cell>
          <cell r="EY166" t="str">
            <v/>
          </cell>
          <cell r="EZ166" t="str">
            <v/>
          </cell>
          <cell r="FA166" t="str">
            <v/>
          </cell>
          <cell r="FB166" t="str">
            <v/>
          </cell>
          <cell r="FC166" t="str">
            <v/>
          </cell>
          <cell r="FD166" t="str">
            <v/>
          </cell>
          <cell r="FE166" t="str">
            <v/>
          </cell>
          <cell r="FF166" t="str">
            <v/>
          </cell>
          <cell r="FG166" t="str">
            <v/>
          </cell>
          <cell r="FH166" t="str">
            <v/>
          </cell>
          <cell r="FI166" t="str">
            <v/>
          </cell>
          <cell r="FJ166" t="str">
            <v/>
          </cell>
          <cell r="FK166" t="str">
            <v/>
          </cell>
          <cell r="FL166" t="str">
            <v/>
          </cell>
          <cell r="FM166" t="str">
            <v/>
          </cell>
          <cell r="FN166" t="str">
            <v/>
          </cell>
          <cell r="FO166" t="str">
            <v/>
          </cell>
          <cell r="FP166" t="str">
            <v/>
          </cell>
        </row>
        <row r="167">
          <cell r="N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AJ167">
            <v>0</v>
          </cell>
          <cell r="AK167">
            <v>0</v>
          </cell>
          <cell r="AL167">
            <v>999999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BE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  <cell r="BP167">
            <v>0</v>
          </cell>
          <cell r="BQ167">
            <v>0</v>
          </cell>
          <cell r="CB167">
            <v>0</v>
          </cell>
          <cell r="CC167">
            <v>0</v>
          </cell>
          <cell r="CD167">
            <v>0</v>
          </cell>
          <cell r="CE167">
            <v>0</v>
          </cell>
          <cell r="CF167">
            <v>0</v>
          </cell>
          <cell r="CG167">
            <v>0</v>
          </cell>
          <cell r="CH167">
            <v>0</v>
          </cell>
          <cell r="CI167">
            <v>0</v>
          </cell>
          <cell r="CJ167">
            <v>0</v>
          </cell>
          <cell r="CK167">
            <v>0</v>
          </cell>
          <cell r="CW167">
            <v>0</v>
          </cell>
          <cell r="CY167">
            <v>0</v>
          </cell>
          <cell r="CZ167">
            <v>0</v>
          </cell>
          <cell r="DA167">
            <v>0</v>
          </cell>
          <cell r="DB167">
            <v>0</v>
          </cell>
          <cell r="DC167">
            <v>0</v>
          </cell>
          <cell r="DD167">
            <v>0</v>
          </cell>
          <cell r="DE167">
            <v>0</v>
          </cell>
          <cell r="DF167">
            <v>0</v>
          </cell>
          <cell r="DG167">
            <v>0</v>
          </cell>
          <cell r="DH167">
            <v>0</v>
          </cell>
          <cell r="DS167">
            <v>0</v>
          </cell>
          <cell r="DT167">
            <v>200</v>
          </cell>
          <cell r="DU167">
            <v>999999</v>
          </cell>
          <cell r="DV167">
            <v>999999</v>
          </cell>
          <cell r="DW167">
            <v>999999</v>
          </cell>
          <cell r="DX167">
            <v>0</v>
          </cell>
          <cell r="DY167">
            <v>200</v>
          </cell>
          <cell r="DZ167">
            <v>999999</v>
          </cell>
          <cell r="EA167">
            <v>999999</v>
          </cell>
          <cell r="EB167">
            <v>999999</v>
          </cell>
          <cell r="EC167">
            <v>0</v>
          </cell>
          <cell r="ED167">
            <v>0</v>
          </cell>
          <cell r="EE167">
            <v>0</v>
          </cell>
          <cell r="EF167">
            <v>0</v>
          </cell>
          <cell r="EG167">
            <v>0</v>
          </cell>
          <cell r="EH167">
            <v>0</v>
          </cell>
          <cell r="EI167">
            <v>0</v>
          </cell>
          <cell r="EJ167">
            <v>0</v>
          </cell>
          <cell r="EK167">
            <v>0</v>
          </cell>
          <cell r="EL167">
            <v>0</v>
          </cell>
          <cell r="EM167" t="str">
            <v/>
          </cell>
          <cell r="EN167" t="str">
            <v/>
          </cell>
          <cell r="EO167" t="str">
            <v/>
          </cell>
          <cell r="EP167" t="str">
            <v/>
          </cell>
          <cell r="EQ167" t="str">
            <v/>
          </cell>
          <cell r="ER167" t="str">
            <v/>
          </cell>
          <cell r="ES167" t="str">
            <v/>
          </cell>
          <cell r="ET167" t="str">
            <v/>
          </cell>
          <cell r="EU167" t="str">
            <v/>
          </cell>
          <cell r="EV167" t="str">
            <v/>
          </cell>
          <cell r="EW167" t="str">
            <v/>
          </cell>
          <cell r="EX167" t="str">
            <v/>
          </cell>
          <cell r="EY167" t="str">
            <v/>
          </cell>
          <cell r="EZ167" t="str">
            <v/>
          </cell>
          <cell r="FA167" t="str">
            <v/>
          </cell>
          <cell r="FB167" t="str">
            <v/>
          </cell>
          <cell r="FC167" t="str">
            <v/>
          </cell>
          <cell r="FD167" t="str">
            <v/>
          </cell>
          <cell r="FE167" t="str">
            <v/>
          </cell>
          <cell r="FF167" t="str">
            <v/>
          </cell>
          <cell r="FG167" t="str">
            <v/>
          </cell>
          <cell r="FH167" t="str">
            <v/>
          </cell>
          <cell r="FI167" t="str">
            <v/>
          </cell>
          <cell r="FJ167" t="str">
            <v/>
          </cell>
          <cell r="FK167" t="str">
            <v/>
          </cell>
          <cell r="FL167" t="str">
            <v/>
          </cell>
          <cell r="FM167" t="str">
            <v/>
          </cell>
          <cell r="FN167" t="str">
            <v/>
          </cell>
          <cell r="FO167" t="str">
            <v/>
          </cell>
          <cell r="FP167" t="str">
            <v/>
          </cell>
        </row>
        <row r="168">
          <cell r="N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AJ168">
            <v>0</v>
          </cell>
          <cell r="AK168">
            <v>0</v>
          </cell>
          <cell r="AL168">
            <v>999999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BE168">
            <v>0</v>
          </cell>
          <cell r="BH168">
            <v>0</v>
          </cell>
          <cell r="BI168">
            <v>0</v>
          </cell>
          <cell r="BJ168">
            <v>0</v>
          </cell>
          <cell r="BK168">
            <v>0</v>
          </cell>
          <cell r="BL168">
            <v>0</v>
          </cell>
          <cell r="BM168">
            <v>0</v>
          </cell>
          <cell r="BN168">
            <v>0</v>
          </cell>
          <cell r="BO168">
            <v>0</v>
          </cell>
          <cell r="BP168">
            <v>0</v>
          </cell>
          <cell r="BQ168">
            <v>0</v>
          </cell>
          <cell r="CB168">
            <v>0</v>
          </cell>
          <cell r="CC168">
            <v>0</v>
          </cell>
          <cell r="CD168">
            <v>0</v>
          </cell>
          <cell r="CE168">
            <v>0</v>
          </cell>
          <cell r="CF168">
            <v>0</v>
          </cell>
          <cell r="CG168">
            <v>0</v>
          </cell>
          <cell r="CH168">
            <v>0</v>
          </cell>
          <cell r="CI168">
            <v>0</v>
          </cell>
          <cell r="CJ168">
            <v>0</v>
          </cell>
          <cell r="CK168">
            <v>0</v>
          </cell>
          <cell r="CW168">
            <v>0</v>
          </cell>
          <cell r="CY168">
            <v>0</v>
          </cell>
          <cell r="CZ168">
            <v>0</v>
          </cell>
          <cell r="DA168">
            <v>0</v>
          </cell>
          <cell r="DB168">
            <v>0</v>
          </cell>
          <cell r="DC168">
            <v>0</v>
          </cell>
          <cell r="DD168">
            <v>0</v>
          </cell>
          <cell r="DE168">
            <v>0</v>
          </cell>
          <cell r="DF168">
            <v>0</v>
          </cell>
          <cell r="DG168">
            <v>0</v>
          </cell>
          <cell r="DH168">
            <v>0</v>
          </cell>
          <cell r="DS168">
            <v>0</v>
          </cell>
          <cell r="DT168">
            <v>199</v>
          </cell>
          <cell r="DU168">
            <v>999999</v>
          </cell>
          <cell r="DV168">
            <v>999999</v>
          </cell>
          <cell r="DW168">
            <v>999999</v>
          </cell>
          <cell r="DX168">
            <v>0</v>
          </cell>
          <cell r="DY168">
            <v>199</v>
          </cell>
          <cell r="DZ168">
            <v>999999</v>
          </cell>
          <cell r="EA168">
            <v>999999</v>
          </cell>
          <cell r="EB168">
            <v>999999</v>
          </cell>
          <cell r="EC168">
            <v>0</v>
          </cell>
          <cell r="ED168">
            <v>0</v>
          </cell>
          <cell r="EE168">
            <v>0</v>
          </cell>
          <cell r="EF168">
            <v>0</v>
          </cell>
          <cell r="EG168">
            <v>0</v>
          </cell>
          <cell r="EH168">
            <v>0</v>
          </cell>
          <cell r="EI168">
            <v>0</v>
          </cell>
          <cell r="EJ168">
            <v>0</v>
          </cell>
          <cell r="EK168">
            <v>0</v>
          </cell>
          <cell r="EL168">
            <v>0</v>
          </cell>
          <cell r="EM168" t="str">
            <v/>
          </cell>
          <cell r="EN168" t="str">
            <v/>
          </cell>
          <cell r="EO168" t="str">
            <v/>
          </cell>
          <cell r="EP168" t="str">
            <v/>
          </cell>
          <cell r="EQ168" t="str">
            <v/>
          </cell>
          <cell r="ER168" t="str">
            <v/>
          </cell>
          <cell r="ES168" t="str">
            <v/>
          </cell>
          <cell r="ET168" t="str">
            <v/>
          </cell>
          <cell r="EU168" t="str">
            <v/>
          </cell>
          <cell r="EV168" t="str">
            <v/>
          </cell>
          <cell r="EW168" t="str">
            <v/>
          </cell>
          <cell r="EX168" t="str">
            <v/>
          </cell>
          <cell r="EY168" t="str">
            <v/>
          </cell>
          <cell r="EZ168" t="str">
            <v/>
          </cell>
          <cell r="FA168" t="str">
            <v/>
          </cell>
          <cell r="FB168" t="str">
            <v/>
          </cell>
          <cell r="FC168" t="str">
            <v/>
          </cell>
          <cell r="FD168" t="str">
            <v/>
          </cell>
          <cell r="FE168" t="str">
            <v/>
          </cell>
          <cell r="FF168" t="str">
            <v/>
          </cell>
          <cell r="FG168" t="str">
            <v/>
          </cell>
          <cell r="FH168" t="str">
            <v/>
          </cell>
          <cell r="FI168" t="str">
            <v/>
          </cell>
          <cell r="FJ168" t="str">
            <v/>
          </cell>
          <cell r="FK168" t="str">
            <v/>
          </cell>
          <cell r="FL168" t="str">
            <v/>
          </cell>
          <cell r="FM168" t="str">
            <v/>
          </cell>
          <cell r="FN168" t="str">
            <v/>
          </cell>
          <cell r="FO168" t="str">
            <v/>
          </cell>
          <cell r="FP168" t="str">
            <v/>
          </cell>
        </row>
        <row r="169">
          <cell r="N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AJ169">
            <v>0</v>
          </cell>
          <cell r="AK169">
            <v>0</v>
          </cell>
          <cell r="AL169">
            <v>999999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BE169">
            <v>0</v>
          </cell>
          <cell r="BH169">
            <v>0</v>
          </cell>
          <cell r="BI169">
            <v>0</v>
          </cell>
          <cell r="BJ169">
            <v>0</v>
          </cell>
          <cell r="BK169">
            <v>0</v>
          </cell>
          <cell r="BL169">
            <v>0</v>
          </cell>
          <cell r="BM169">
            <v>0</v>
          </cell>
          <cell r="BN169">
            <v>0</v>
          </cell>
          <cell r="BO169">
            <v>0</v>
          </cell>
          <cell r="BP169">
            <v>0</v>
          </cell>
          <cell r="BQ169">
            <v>0</v>
          </cell>
          <cell r="CB169">
            <v>0</v>
          </cell>
          <cell r="CC169">
            <v>0</v>
          </cell>
          <cell r="CD169">
            <v>0</v>
          </cell>
          <cell r="CE169">
            <v>0</v>
          </cell>
          <cell r="CF169">
            <v>0</v>
          </cell>
          <cell r="CG169">
            <v>0</v>
          </cell>
          <cell r="CH169">
            <v>0</v>
          </cell>
          <cell r="CI169">
            <v>0</v>
          </cell>
          <cell r="CJ169">
            <v>0</v>
          </cell>
          <cell r="CK169">
            <v>0</v>
          </cell>
          <cell r="CW169">
            <v>0</v>
          </cell>
          <cell r="CY169">
            <v>0</v>
          </cell>
          <cell r="CZ169">
            <v>0</v>
          </cell>
          <cell r="DA169">
            <v>0</v>
          </cell>
          <cell r="DB169">
            <v>0</v>
          </cell>
          <cell r="DC169">
            <v>0</v>
          </cell>
          <cell r="DD169">
            <v>0</v>
          </cell>
          <cell r="DE169">
            <v>0</v>
          </cell>
          <cell r="DF169">
            <v>0</v>
          </cell>
          <cell r="DG169">
            <v>0</v>
          </cell>
          <cell r="DH169">
            <v>0</v>
          </cell>
          <cell r="DS169">
            <v>0</v>
          </cell>
          <cell r="DT169">
            <v>198</v>
          </cell>
          <cell r="DU169">
            <v>999999</v>
          </cell>
          <cell r="DV169">
            <v>999999</v>
          </cell>
          <cell r="DW169">
            <v>999999</v>
          </cell>
          <cell r="DX169">
            <v>0</v>
          </cell>
          <cell r="DY169">
            <v>198</v>
          </cell>
          <cell r="DZ169">
            <v>999999</v>
          </cell>
          <cell r="EA169">
            <v>999999</v>
          </cell>
          <cell r="EB169">
            <v>999999</v>
          </cell>
          <cell r="EC169">
            <v>0</v>
          </cell>
          <cell r="ED169">
            <v>0</v>
          </cell>
          <cell r="EE169">
            <v>0</v>
          </cell>
          <cell r="EF169">
            <v>0</v>
          </cell>
          <cell r="EG169">
            <v>0</v>
          </cell>
          <cell r="EH169">
            <v>0</v>
          </cell>
          <cell r="EI169">
            <v>0</v>
          </cell>
          <cell r="EJ169">
            <v>0</v>
          </cell>
          <cell r="EK169">
            <v>0</v>
          </cell>
          <cell r="EL169">
            <v>0</v>
          </cell>
          <cell r="EM169" t="str">
            <v/>
          </cell>
          <cell r="EN169" t="str">
            <v/>
          </cell>
          <cell r="EO169" t="str">
            <v/>
          </cell>
          <cell r="EP169" t="str">
            <v/>
          </cell>
          <cell r="EQ169" t="str">
            <v/>
          </cell>
          <cell r="ER169" t="str">
            <v/>
          </cell>
          <cell r="ES169" t="str">
            <v/>
          </cell>
          <cell r="ET169" t="str">
            <v/>
          </cell>
          <cell r="EU169" t="str">
            <v/>
          </cell>
          <cell r="EV169" t="str">
            <v/>
          </cell>
          <cell r="EW169" t="str">
            <v/>
          </cell>
          <cell r="EX169" t="str">
            <v/>
          </cell>
          <cell r="EY169" t="str">
            <v/>
          </cell>
          <cell r="EZ169" t="str">
            <v/>
          </cell>
          <cell r="FA169" t="str">
            <v/>
          </cell>
          <cell r="FB169" t="str">
            <v/>
          </cell>
          <cell r="FC169" t="str">
            <v/>
          </cell>
          <cell r="FD169" t="str">
            <v/>
          </cell>
          <cell r="FE169" t="str">
            <v/>
          </cell>
          <cell r="FF169" t="str">
            <v/>
          </cell>
          <cell r="FG169" t="str">
            <v/>
          </cell>
          <cell r="FH169" t="str">
            <v/>
          </cell>
          <cell r="FI169" t="str">
            <v/>
          </cell>
          <cell r="FJ169" t="str">
            <v/>
          </cell>
          <cell r="FK169" t="str">
            <v/>
          </cell>
          <cell r="FL169" t="str">
            <v/>
          </cell>
          <cell r="FM169" t="str">
            <v/>
          </cell>
          <cell r="FN169" t="str">
            <v/>
          </cell>
          <cell r="FO169" t="str">
            <v/>
          </cell>
          <cell r="FP169" t="str">
            <v/>
          </cell>
        </row>
        <row r="170">
          <cell r="N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AJ170">
            <v>0</v>
          </cell>
          <cell r="AK170">
            <v>0</v>
          </cell>
          <cell r="AL170">
            <v>999999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BE170">
            <v>0</v>
          </cell>
          <cell r="BH170">
            <v>0</v>
          </cell>
          <cell r="BI170">
            <v>0</v>
          </cell>
          <cell r="BJ170">
            <v>0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0</v>
          </cell>
          <cell r="BQ170">
            <v>0</v>
          </cell>
          <cell r="CB170">
            <v>0</v>
          </cell>
          <cell r="CC170">
            <v>0</v>
          </cell>
          <cell r="CD170">
            <v>0</v>
          </cell>
          <cell r="CE170">
            <v>0</v>
          </cell>
          <cell r="CF170">
            <v>0</v>
          </cell>
          <cell r="CG170">
            <v>0</v>
          </cell>
          <cell r="CH170">
            <v>0</v>
          </cell>
          <cell r="CI170">
            <v>0</v>
          </cell>
          <cell r="CJ170">
            <v>0</v>
          </cell>
          <cell r="CK170">
            <v>0</v>
          </cell>
          <cell r="CW170">
            <v>0</v>
          </cell>
          <cell r="CY170">
            <v>0</v>
          </cell>
          <cell r="CZ170">
            <v>0</v>
          </cell>
          <cell r="DA170">
            <v>0</v>
          </cell>
          <cell r="DB170">
            <v>0</v>
          </cell>
          <cell r="DC170">
            <v>0</v>
          </cell>
          <cell r="DD170">
            <v>0</v>
          </cell>
          <cell r="DE170">
            <v>0</v>
          </cell>
          <cell r="DF170">
            <v>0</v>
          </cell>
          <cell r="DG170">
            <v>0</v>
          </cell>
          <cell r="DH170">
            <v>0</v>
          </cell>
          <cell r="DS170">
            <v>0</v>
          </cell>
          <cell r="DT170">
            <v>197</v>
          </cell>
          <cell r="DU170">
            <v>999999</v>
          </cell>
          <cell r="DV170">
            <v>999999</v>
          </cell>
          <cell r="DW170">
            <v>999999</v>
          </cell>
          <cell r="DX170">
            <v>0</v>
          </cell>
          <cell r="DY170">
            <v>197</v>
          </cell>
          <cell r="DZ170">
            <v>999999</v>
          </cell>
          <cell r="EA170">
            <v>999999</v>
          </cell>
          <cell r="EB170">
            <v>999999</v>
          </cell>
          <cell r="EC170">
            <v>0</v>
          </cell>
          <cell r="ED170">
            <v>0</v>
          </cell>
          <cell r="EE170">
            <v>0</v>
          </cell>
          <cell r="EF170">
            <v>0</v>
          </cell>
          <cell r="EG170">
            <v>0</v>
          </cell>
          <cell r="EH170">
            <v>0</v>
          </cell>
          <cell r="EI170">
            <v>0</v>
          </cell>
          <cell r="EJ170">
            <v>0</v>
          </cell>
          <cell r="EK170">
            <v>0</v>
          </cell>
          <cell r="EL170">
            <v>0</v>
          </cell>
          <cell r="EM170" t="str">
            <v/>
          </cell>
          <cell r="EN170" t="str">
            <v/>
          </cell>
          <cell r="EO170" t="str">
            <v/>
          </cell>
          <cell r="EP170" t="str">
            <v/>
          </cell>
          <cell r="EQ170" t="str">
            <v/>
          </cell>
          <cell r="ER170" t="str">
            <v/>
          </cell>
          <cell r="ES170" t="str">
            <v/>
          </cell>
          <cell r="ET170" t="str">
            <v/>
          </cell>
          <cell r="EU170" t="str">
            <v/>
          </cell>
          <cell r="EV170" t="str">
            <v/>
          </cell>
          <cell r="EW170" t="str">
            <v/>
          </cell>
          <cell r="EX170" t="str">
            <v/>
          </cell>
          <cell r="EY170" t="str">
            <v/>
          </cell>
          <cell r="EZ170" t="str">
            <v/>
          </cell>
          <cell r="FA170" t="str">
            <v/>
          </cell>
          <cell r="FB170" t="str">
            <v/>
          </cell>
          <cell r="FC170" t="str">
            <v/>
          </cell>
          <cell r="FD170" t="str">
            <v/>
          </cell>
          <cell r="FE170" t="str">
            <v/>
          </cell>
          <cell r="FF170" t="str">
            <v/>
          </cell>
          <cell r="FG170" t="str">
            <v/>
          </cell>
          <cell r="FH170" t="str">
            <v/>
          </cell>
          <cell r="FI170" t="str">
            <v/>
          </cell>
          <cell r="FJ170" t="str">
            <v/>
          </cell>
          <cell r="FK170" t="str">
            <v/>
          </cell>
          <cell r="FL170" t="str">
            <v/>
          </cell>
          <cell r="FM170" t="str">
            <v/>
          </cell>
          <cell r="FN170" t="str">
            <v/>
          </cell>
          <cell r="FO170" t="str">
            <v/>
          </cell>
          <cell r="FP170" t="str">
            <v/>
          </cell>
        </row>
        <row r="171">
          <cell r="N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AJ171">
            <v>0</v>
          </cell>
          <cell r="AK171">
            <v>0</v>
          </cell>
          <cell r="AL171">
            <v>999999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BE171">
            <v>0</v>
          </cell>
          <cell r="BH171">
            <v>0</v>
          </cell>
          <cell r="BI171">
            <v>0</v>
          </cell>
          <cell r="BJ171">
            <v>0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P171">
            <v>0</v>
          </cell>
          <cell r="BQ171">
            <v>0</v>
          </cell>
          <cell r="CB171">
            <v>0</v>
          </cell>
          <cell r="CC171">
            <v>0</v>
          </cell>
          <cell r="CD171">
            <v>0</v>
          </cell>
          <cell r="CE171">
            <v>0</v>
          </cell>
          <cell r="CF171">
            <v>0</v>
          </cell>
          <cell r="CG171">
            <v>0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  <cell r="CW171">
            <v>0</v>
          </cell>
          <cell r="CY171">
            <v>0</v>
          </cell>
          <cell r="CZ171">
            <v>0</v>
          </cell>
          <cell r="DA171">
            <v>0</v>
          </cell>
          <cell r="DB171">
            <v>0</v>
          </cell>
          <cell r="DC171">
            <v>0</v>
          </cell>
          <cell r="DD171">
            <v>0</v>
          </cell>
          <cell r="DE171">
            <v>0</v>
          </cell>
          <cell r="DF171">
            <v>0</v>
          </cell>
          <cell r="DG171">
            <v>0</v>
          </cell>
          <cell r="DH171">
            <v>0</v>
          </cell>
          <cell r="DS171">
            <v>0</v>
          </cell>
          <cell r="DT171">
            <v>196</v>
          </cell>
          <cell r="DU171">
            <v>999999</v>
          </cell>
          <cell r="DV171">
            <v>999999</v>
          </cell>
          <cell r="DW171">
            <v>999999</v>
          </cell>
          <cell r="DX171">
            <v>0</v>
          </cell>
          <cell r="DY171">
            <v>196</v>
          </cell>
          <cell r="DZ171">
            <v>999999</v>
          </cell>
          <cell r="EA171">
            <v>999999</v>
          </cell>
          <cell r="EB171">
            <v>999999</v>
          </cell>
          <cell r="EC171">
            <v>0</v>
          </cell>
          <cell r="ED171">
            <v>0</v>
          </cell>
          <cell r="EE171">
            <v>0</v>
          </cell>
          <cell r="EF171">
            <v>0</v>
          </cell>
          <cell r="EG171">
            <v>0</v>
          </cell>
          <cell r="EH171">
            <v>0</v>
          </cell>
          <cell r="EI171">
            <v>0</v>
          </cell>
          <cell r="EJ171">
            <v>0</v>
          </cell>
          <cell r="EK171">
            <v>0</v>
          </cell>
          <cell r="EL171">
            <v>0</v>
          </cell>
          <cell r="EM171" t="str">
            <v/>
          </cell>
          <cell r="EN171" t="str">
            <v/>
          </cell>
          <cell r="EO171" t="str">
            <v/>
          </cell>
          <cell r="EP171" t="str">
            <v/>
          </cell>
          <cell r="EQ171" t="str">
            <v/>
          </cell>
          <cell r="ER171" t="str">
            <v/>
          </cell>
          <cell r="ES171" t="str">
            <v/>
          </cell>
          <cell r="ET171" t="str">
            <v/>
          </cell>
          <cell r="EU171" t="str">
            <v/>
          </cell>
          <cell r="EV171" t="str">
            <v/>
          </cell>
          <cell r="EW171" t="str">
            <v/>
          </cell>
          <cell r="EX171" t="str">
            <v/>
          </cell>
          <cell r="EY171" t="str">
            <v/>
          </cell>
          <cell r="EZ171" t="str">
            <v/>
          </cell>
          <cell r="FA171" t="str">
            <v/>
          </cell>
          <cell r="FB171" t="str">
            <v/>
          </cell>
          <cell r="FC171" t="str">
            <v/>
          </cell>
          <cell r="FD171" t="str">
            <v/>
          </cell>
          <cell r="FE171" t="str">
            <v/>
          </cell>
          <cell r="FF171" t="str">
            <v/>
          </cell>
          <cell r="FG171" t="str">
            <v/>
          </cell>
          <cell r="FH171" t="str">
            <v/>
          </cell>
          <cell r="FI171" t="str">
            <v/>
          </cell>
          <cell r="FJ171" t="str">
            <v/>
          </cell>
          <cell r="FK171" t="str">
            <v/>
          </cell>
          <cell r="FL171" t="str">
            <v/>
          </cell>
          <cell r="FM171" t="str">
            <v/>
          </cell>
          <cell r="FN171" t="str">
            <v/>
          </cell>
          <cell r="FO171" t="str">
            <v/>
          </cell>
          <cell r="FP171" t="str">
            <v/>
          </cell>
        </row>
        <row r="172">
          <cell r="N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AJ172">
            <v>0</v>
          </cell>
          <cell r="AK172">
            <v>0</v>
          </cell>
          <cell r="AL172">
            <v>999999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BE172">
            <v>0</v>
          </cell>
          <cell r="BH172">
            <v>0</v>
          </cell>
          <cell r="BI172">
            <v>0</v>
          </cell>
          <cell r="BJ172">
            <v>0</v>
          </cell>
          <cell r="BK172">
            <v>0</v>
          </cell>
          <cell r="BL172">
            <v>0</v>
          </cell>
          <cell r="BM172">
            <v>0</v>
          </cell>
          <cell r="BN172">
            <v>0</v>
          </cell>
          <cell r="BO172">
            <v>0</v>
          </cell>
          <cell r="BP172">
            <v>0</v>
          </cell>
          <cell r="BQ172">
            <v>0</v>
          </cell>
          <cell r="CB172">
            <v>0</v>
          </cell>
          <cell r="CC172">
            <v>0</v>
          </cell>
          <cell r="CD172">
            <v>0</v>
          </cell>
          <cell r="CE172">
            <v>0</v>
          </cell>
          <cell r="CF172">
            <v>0</v>
          </cell>
          <cell r="CG172">
            <v>0</v>
          </cell>
          <cell r="CH172">
            <v>0</v>
          </cell>
          <cell r="CI172">
            <v>0</v>
          </cell>
          <cell r="CJ172">
            <v>0</v>
          </cell>
          <cell r="CK172">
            <v>0</v>
          </cell>
          <cell r="CW172">
            <v>0</v>
          </cell>
          <cell r="CY172">
            <v>0</v>
          </cell>
          <cell r="CZ172">
            <v>0</v>
          </cell>
          <cell r="DA172">
            <v>0</v>
          </cell>
          <cell r="DB172">
            <v>0</v>
          </cell>
          <cell r="DC172">
            <v>0</v>
          </cell>
          <cell r="DD172">
            <v>0</v>
          </cell>
          <cell r="DE172">
            <v>0</v>
          </cell>
          <cell r="DF172">
            <v>0</v>
          </cell>
          <cell r="DG172">
            <v>0</v>
          </cell>
          <cell r="DH172">
            <v>0</v>
          </cell>
          <cell r="DS172">
            <v>0</v>
          </cell>
          <cell r="DT172">
            <v>195</v>
          </cell>
          <cell r="DU172">
            <v>999999</v>
          </cell>
          <cell r="DV172">
            <v>999999</v>
          </cell>
          <cell r="DW172">
            <v>999999</v>
          </cell>
          <cell r="DX172">
            <v>0</v>
          </cell>
          <cell r="DY172">
            <v>195</v>
          </cell>
          <cell r="DZ172">
            <v>999999</v>
          </cell>
          <cell r="EA172">
            <v>999999</v>
          </cell>
          <cell r="EB172">
            <v>999999</v>
          </cell>
          <cell r="EC172">
            <v>0</v>
          </cell>
          <cell r="ED172">
            <v>0</v>
          </cell>
          <cell r="EE172">
            <v>0</v>
          </cell>
          <cell r="EF172">
            <v>0</v>
          </cell>
          <cell r="EG172">
            <v>0</v>
          </cell>
          <cell r="EH172">
            <v>0</v>
          </cell>
          <cell r="EI172">
            <v>0</v>
          </cell>
          <cell r="EJ172">
            <v>0</v>
          </cell>
          <cell r="EK172">
            <v>0</v>
          </cell>
          <cell r="EL172">
            <v>0</v>
          </cell>
          <cell r="EM172" t="str">
            <v/>
          </cell>
          <cell r="EN172" t="str">
            <v/>
          </cell>
          <cell r="EO172" t="str">
            <v/>
          </cell>
          <cell r="EP172" t="str">
            <v/>
          </cell>
          <cell r="EQ172" t="str">
            <v/>
          </cell>
          <cell r="ER172" t="str">
            <v/>
          </cell>
          <cell r="ES172" t="str">
            <v/>
          </cell>
          <cell r="ET172" t="str">
            <v/>
          </cell>
          <cell r="EU172" t="str">
            <v/>
          </cell>
          <cell r="EV172" t="str">
            <v/>
          </cell>
          <cell r="EW172" t="str">
            <v/>
          </cell>
          <cell r="EX172" t="str">
            <v/>
          </cell>
          <cell r="EY172" t="str">
            <v/>
          </cell>
          <cell r="EZ172" t="str">
            <v/>
          </cell>
          <cell r="FA172" t="str">
            <v/>
          </cell>
          <cell r="FB172" t="str">
            <v/>
          </cell>
          <cell r="FC172" t="str">
            <v/>
          </cell>
          <cell r="FD172" t="str">
            <v/>
          </cell>
          <cell r="FE172" t="str">
            <v/>
          </cell>
          <cell r="FF172" t="str">
            <v/>
          </cell>
          <cell r="FG172" t="str">
            <v/>
          </cell>
          <cell r="FH172" t="str">
            <v/>
          </cell>
          <cell r="FI172" t="str">
            <v/>
          </cell>
          <cell r="FJ172" t="str">
            <v/>
          </cell>
          <cell r="FK172" t="str">
            <v/>
          </cell>
          <cell r="FL172" t="str">
            <v/>
          </cell>
          <cell r="FM172" t="str">
            <v/>
          </cell>
          <cell r="FN172" t="str">
            <v/>
          </cell>
          <cell r="FO172" t="str">
            <v/>
          </cell>
          <cell r="FP172" t="str">
            <v/>
          </cell>
        </row>
        <row r="173">
          <cell r="N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AJ173">
            <v>0</v>
          </cell>
          <cell r="AK173">
            <v>0</v>
          </cell>
          <cell r="AL173">
            <v>999999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BE173">
            <v>0</v>
          </cell>
          <cell r="BH173">
            <v>0</v>
          </cell>
          <cell r="BI173">
            <v>0</v>
          </cell>
          <cell r="BJ173">
            <v>0</v>
          </cell>
          <cell r="BK173">
            <v>0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  <cell r="BP173">
            <v>0</v>
          </cell>
          <cell r="BQ173">
            <v>0</v>
          </cell>
          <cell r="CB173">
            <v>0</v>
          </cell>
          <cell r="CC173">
            <v>0</v>
          </cell>
          <cell r="CD173">
            <v>0</v>
          </cell>
          <cell r="CE173">
            <v>0</v>
          </cell>
          <cell r="CF173">
            <v>0</v>
          </cell>
          <cell r="CG173">
            <v>0</v>
          </cell>
          <cell r="CH173">
            <v>0</v>
          </cell>
          <cell r="CI173">
            <v>0</v>
          </cell>
          <cell r="CJ173">
            <v>0</v>
          </cell>
          <cell r="CK173">
            <v>0</v>
          </cell>
          <cell r="CW173">
            <v>0</v>
          </cell>
          <cell r="CY173">
            <v>0</v>
          </cell>
          <cell r="CZ173">
            <v>0</v>
          </cell>
          <cell r="DA173">
            <v>0</v>
          </cell>
          <cell r="DB173">
            <v>0</v>
          </cell>
          <cell r="DC173">
            <v>0</v>
          </cell>
          <cell r="DD173">
            <v>0</v>
          </cell>
          <cell r="DE173">
            <v>0</v>
          </cell>
          <cell r="DF173">
            <v>0</v>
          </cell>
          <cell r="DG173">
            <v>0</v>
          </cell>
          <cell r="DH173">
            <v>0</v>
          </cell>
          <cell r="DS173">
            <v>0</v>
          </cell>
          <cell r="DT173">
            <v>194</v>
          </cell>
          <cell r="DU173">
            <v>999999</v>
          </cell>
          <cell r="DV173">
            <v>999999</v>
          </cell>
          <cell r="DW173">
            <v>999999</v>
          </cell>
          <cell r="DX173">
            <v>0</v>
          </cell>
          <cell r="DY173">
            <v>194</v>
          </cell>
          <cell r="DZ173">
            <v>999999</v>
          </cell>
          <cell r="EA173">
            <v>999999</v>
          </cell>
          <cell r="EB173">
            <v>999999</v>
          </cell>
          <cell r="EC173">
            <v>0</v>
          </cell>
          <cell r="ED173">
            <v>0</v>
          </cell>
          <cell r="EE173">
            <v>0</v>
          </cell>
          <cell r="EF173">
            <v>0</v>
          </cell>
          <cell r="EG173">
            <v>0</v>
          </cell>
          <cell r="EH173">
            <v>0</v>
          </cell>
          <cell r="EI173">
            <v>0</v>
          </cell>
          <cell r="EJ173">
            <v>0</v>
          </cell>
          <cell r="EK173">
            <v>0</v>
          </cell>
          <cell r="EL173">
            <v>0</v>
          </cell>
          <cell r="EM173" t="str">
            <v/>
          </cell>
          <cell r="EN173" t="str">
            <v/>
          </cell>
          <cell r="EO173" t="str">
            <v/>
          </cell>
          <cell r="EP173" t="str">
            <v/>
          </cell>
          <cell r="EQ173" t="str">
            <v/>
          </cell>
          <cell r="ER173" t="str">
            <v/>
          </cell>
          <cell r="ES173" t="str">
            <v/>
          </cell>
          <cell r="ET173" t="str">
            <v/>
          </cell>
          <cell r="EU173" t="str">
            <v/>
          </cell>
          <cell r="EV173" t="str">
            <v/>
          </cell>
          <cell r="EW173" t="str">
            <v/>
          </cell>
          <cell r="EX173" t="str">
            <v/>
          </cell>
          <cell r="EY173" t="str">
            <v/>
          </cell>
          <cell r="EZ173" t="str">
            <v/>
          </cell>
          <cell r="FA173" t="str">
            <v/>
          </cell>
          <cell r="FB173" t="str">
            <v/>
          </cell>
          <cell r="FC173" t="str">
            <v/>
          </cell>
          <cell r="FD173" t="str">
            <v/>
          </cell>
          <cell r="FE173" t="str">
            <v/>
          </cell>
          <cell r="FF173" t="str">
            <v/>
          </cell>
          <cell r="FG173" t="str">
            <v/>
          </cell>
          <cell r="FH173" t="str">
            <v/>
          </cell>
          <cell r="FI173" t="str">
            <v/>
          </cell>
          <cell r="FJ173" t="str">
            <v/>
          </cell>
          <cell r="FK173" t="str">
            <v/>
          </cell>
          <cell r="FL173" t="str">
            <v/>
          </cell>
          <cell r="FM173" t="str">
            <v/>
          </cell>
          <cell r="FN173" t="str">
            <v/>
          </cell>
          <cell r="FO173" t="str">
            <v/>
          </cell>
          <cell r="FP173" t="str">
            <v/>
          </cell>
        </row>
        <row r="174">
          <cell r="N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AJ174">
            <v>0</v>
          </cell>
          <cell r="AK174">
            <v>0</v>
          </cell>
          <cell r="AL174">
            <v>999999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BE174">
            <v>48000</v>
          </cell>
          <cell r="BH174">
            <v>0</v>
          </cell>
          <cell r="BI174">
            <v>0</v>
          </cell>
          <cell r="BJ174">
            <v>0</v>
          </cell>
          <cell r="BK174">
            <v>0</v>
          </cell>
          <cell r="BL174">
            <v>0</v>
          </cell>
          <cell r="BM174">
            <v>0</v>
          </cell>
          <cell r="BN174">
            <v>0</v>
          </cell>
          <cell r="BO174">
            <v>0</v>
          </cell>
          <cell r="BP174">
            <v>0</v>
          </cell>
          <cell r="BQ174">
            <v>0</v>
          </cell>
          <cell r="CB174">
            <v>0</v>
          </cell>
          <cell r="CC174">
            <v>0</v>
          </cell>
          <cell r="CD174">
            <v>0</v>
          </cell>
          <cell r="CE174">
            <v>0</v>
          </cell>
          <cell r="CF174">
            <v>0</v>
          </cell>
          <cell r="CG174">
            <v>0</v>
          </cell>
          <cell r="CH174">
            <v>0</v>
          </cell>
          <cell r="CI174">
            <v>0</v>
          </cell>
          <cell r="CJ174">
            <v>0</v>
          </cell>
          <cell r="CK174">
            <v>0</v>
          </cell>
          <cell r="CW174">
            <v>0</v>
          </cell>
          <cell r="CY174">
            <v>0</v>
          </cell>
          <cell r="CZ174">
            <v>0</v>
          </cell>
          <cell r="DA174">
            <v>0</v>
          </cell>
          <cell r="DB174">
            <v>0</v>
          </cell>
          <cell r="DC174">
            <v>0</v>
          </cell>
          <cell r="DD174">
            <v>0</v>
          </cell>
          <cell r="DE174">
            <v>0</v>
          </cell>
          <cell r="DF174">
            <v>0</v>
          </cell>
          <cell r="DG174">
            <v>0</v>
          </cell>
          <cell r="DH174">
            <v>0</v>
          </cell>
          <cell r="DS174">
            <v>0</v>
          </cell>
          <cell r="DT174">
            <v>193</v>
          </cell>
          <cell r="DU174">
            <v>999999</v>
          </cell>
          <cell r="DV174">
            <v>999999</v>
          </cell>
          <cell r="DW174">
            <v>999999</v>
          </cell>
          <cell r="DX174">
            <v>0</v>
          </cell>
          <cell r="DY174">
            <v>193</v>
          </cell>
          <cell r="DZ174">
            <v>999999</v>
          </cell>
          <cell r="EA174">
            <v>999999</v>
          </cell>
          <cell r="EB174">
            <v>999999</v>
          </cell>
          <cell r="EC174">
            <v>0</v>
          </cell>
          <cell r="ED174">
            <v>0</v>
          </cell>
          <cell r="EE174">
            <v>0</v>
          </cell>
          <cell r="EF174">
            <v>0</v>
          </cell>
          <cell r="EG174">
            <v>0</v>
          </cell>
          <cell r="EH174">
            <v>0</v>
          </cell>
          <cell r="EI174">
            <v>0</v>
          </cell>
          <cell r="EJ174">
            <v>0</v>
          </cell>
          <cell r="EK174">
            <v>0</v>
          </cell>
          <cell r="EL174">
            <v>0</v>
          </cell>
          <cell r="EM174" t="str">
            <v/>
          </cell>
          <cell r="EN174" t="str">
            <v/>
          </cell>
          <cell r="EO174" t="str">
            <v/>
          </cell>
          <cell r="EP174" t="str">
            <v/>
          </cell>
          <cell r="EQ174" t="str">
            <v/>
          </cell>
          <cell r="ER174" t="str">
            <v/>
          </cell>
          <cell r="ES174" t="str">
            <v/>
          </cell>
          <cell r="ET174" t="str">
            <v/>
          </cell>
          <cell r="EU174" t="str">
            <v/>
          </cell>
          <cell r="EV174" t="str">
            <v/>
          </cell>
          <cell r="EW174" t="str">
            <v/>
          </cell>
          <cell r="EX174" t="str">
            <v/>
          </cell>
          <cell r="EY174" t="str">
            <v/>
          </cell>
          <cell r="EZ174" t="str">
            <v/>
          </cell>
          <cell r="FA174" t="str">
            <v/>
          </cell>
          <cell r="FB174" t="str">
            <v/>
          </cell>
          <cell r="FC174" t="str">
            <v/>
          </cell>
          <cell r="FD174" t="str">
            <v/>
          </cell>
          <cell r="FE174" t="str">
            <v/>
          </cell>
          <cell r="FF174" t="str">
            <v/>
          </cell>
          <cell r="FG174" t="str">
            <v/>
          </cell>
          <cell r="FH174" t="str">
            <v/>
          </cell>
          <cell r="FI174" t="str">
            <v/>
          </cell>
          <cell r="FJ174" t="str">
            <v/>
          </cell>
          <cell r="FK174" t="str">
            <v/>
          </cell>
          <cell r="FL174" t="str">
            <v/>
          </cell>
          <cell r="FM174" t="str">
            <v/>
          </cell>
          <cell r="FN174" t="str">
            <v/>
          </cell>
          <cell r="FO174" t="str">
            <v/>
          </cell>
          <cell r="FP174" t="str">
            <v/>
          </cell>
        </row>
        <row r="175">
          <cell r="N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AJ175">
            <v>0</v>
          </cell>
          <cell r="AK175">
            <v>0</v>
          </cell>
          <cell r="AL175">
            <v>999999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BE175">
            <v>0</v>
          </cell>
          <cell r="BH175">
            <v>0</v>
          </cell>
          <cell r="BI175">
            <v>0</v>
          </cell>
          <cell r="BJ175">
            <v>0</v>
          </cell>
          <cell r="BK175">
            <v>0</v>
          </cell>
          <cell r="BL175">
            <v>0</v>
          </cell>
          <cell r="BM175">
            <v>0</v>
          </cell>
          <cell r="BN175">
            <v>0</v>
          </cell>
          <cell r="BO175">
            <v>0</v>
          </cell>
          <cell r="BP175">
            <v>0</v>
          </cell>
          <cell r="BQ175">
            <v>0</v>
          </cell>
          <cell r="CB175">
            <v>0</v>
          </cell>
          <cell r="CC175">
            <v>0</v>
          </cell>
          <cell r="CD175">
            <v>0</v>
          </cell>
          <cell r="CE175">
            <v>0</v>
          </cell>
          <cell r="CF175">
            <v>0</v>
          </cell>
          <cell r="CG175">
            <v>0</v>
          </cell>
          <cell r="CH175">
            <v>0</v>
          </cell>
          <cell r="CI175">
            <v>0</v>
          </cell>
          <cell r="CJ175">
            <v>0</v>
          </cell>
          <cell r="CK175">
            <v>0</v>
          </cell>
          <cell r="CW175">
            <v>0</v>
          </cell>
          <cell r="CY175">
            <v>0</v>
          </cell>
          <cell r="CZ175">
            <v>0</v>
          </cell>
          <cell r="DA175">
            <v>0</v>
          </cell>
          <cell r="DB175">
            <v>0</v>
          </cell>
          <cell r="DC175">
            <v>0</v>
          </cell>
          <cell r="DD175">
            <v>0</v>
          </cell>
          <cell r="DE175">
            <v>0</v>
          </cell>
          <cell r="DF175">
            <v>0</v>
          </cell>
          <cell r="DG175">
            <v>0</v>
          </cell>
          <cell r="DH175">
            <v>0</v>
          </cell>
          <cell r="DS175">
            <v>0</v>
          </cell>
          <cell r="DT175">
            <v>192</v>
          </cell>
          <cell r="DU175">
            <v>999999</v>
          </cell>
          <cell r="DV175">
            <v>999999</v>
          </cell>
          <cell r="DW175">
            <v>999999</v>
          </cell>
          <cell r="DX175">
            <v>0</v>
          </cell>
          <cell r="DY175">
            <v>192</v>
          </cell>
          <cell r="DZ175">
            <v>999999</v>
          </cell>
          <cell r="EA175">
            <v>999999</v>
          </cell>
          <cell r="EB175">
            <v>999999</v>
          </cell>
          <cell r="EC175">
            <v>0</v>
          </cell>
          <cell r="ED175">
            <v>0</v>
          </cell>
          <cell r="EE175">
            <v>0</v>
          </cell>
          <cell r="EF175">
            <v>0</v>
          </cell>
          <cell r="EG175">
            <v>0</v>
          </cell>
          <cell r="EH175">
            <v>0</v>
          </cell>
          <cell r="EI175">
            <v>0</v>
          </cell>
          <cell r="EJ175">
            <v>0</v>
          </cell>
          <cell r="EK175">
            <v>0</v>
          </cell>
          <cell r="EL175">
            <v>0</v>
          </cell>
          <cell r="EM175" t="str">
            <v/>
          </cell>
          <cell r="EN175" t="str">
            <v/>
          </cell>
          <cell r="EO175" t="str">
            <v/>
          </cell>
          <cell r="EP175" t="str">
            <v/>
          </cell>
          <cell r="EQ175" t="str">
            <v/>
          </cell>
          <cell r="ER175" t="str">
            <v/>
          </cell>
          <cell r="ES175" t="str">
            <v/>
          </cell>
          <cell r="ET175" t="str">
            <v/>
          </cell>
          <cell r="EU175" t="str">
            <v/>
          </cell>
          <cell r="EV175" t="str">
            <v/>
          </cell>
          <cell r="EW175" t="str">
            <v/>
          </cell>
          <cell r="EX175" t="str">
            <v/>
          </cell>
          <cell r="EY175" t="str">
            <v/>
          </cell>
          <cell r="EZ175" t="str">
            <v/>
          </cell>
          <cell r="FA175" t="str">
            <v/>
          </cell>
          <cell r="FB175" t="str">
            <v/>
          </cell>
          <cell r="FC175" t="str">
            <v/>
          </cell>
          <cell r="FD175" t="str">
            <v/>
          </cell>
          <cell r="FE175" t="str">
            <v/>
          </cell>
          <cell r="FF175" t="str">
            <v/>
          </cell>
          <cell r="FG175" t="str">
            <v/>
          </cell>
          <cell r="FH175" t="str">
            <v/>
          </cell>
          <cell r="FI175" t="str">
            <v/>
          </cell>
          <cell r="FJ175" t="str">
            <v/>
          </cell>
          <cell r="FK175" t="str">
            <v/>
          </cell>
          <cell r="FL175" t="str">
            <v/>
          </cell>
          <cell r="FM175" t="str">
            <v/>
          </cell>
          <cell r="FN175" t="str">
            <v/>
          </cell>
          <cell r="FO175" t="str">
            <v/>
          </cell>
          <cell r="FP175" t="str">
            <v/>
          </cell>
        </row>
        <row r="176">
          <cell r="N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AJ176">
            <v>0</v>
          </cell>
          <cell r="AK176">
            <v>0</v>
          </cell>
          <cell r="AL176">
            <v>999999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BE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  <cell r="BP176">
            <v>0</v>
          </cell>
          <cell r="BQ176">
            <v>0</v>
          </cell>
          <cell r="CB176">
            <v>0</v>
          </cell>
          <cell r="CC176">
            <v>0</v>
          </cell>
          <cell r="CD176">
            <v>0</v>
          </cell>
          <cell r="CE176">
            <v>0</v>
          </cell>
          <cell r="CF176">
            <v>0</v>
          </cell>
          <cell r="CG176">
            <v>0</v>
          </cell>
          <cell r="CH176">
            <v>0</v>
          </cell>
          <cell r="CI176">
            <v>0</v>
          </cell>
          <cell r="CJ176">
            <v>0</v>
          </cell>
          <cell r="CK176">
            <v>0</v>
          </cell>
          <cell r="CW176">
            <v>0</v>
          </cell>
          <cell r="CY176">
            <v>0</v>
          </cell>
          <cell r="CZ176">
            <v>0</v>
          </cell>
          <cell r="DA176">
            <v>0</v>
          </cell>
          <cell r="DB176">
            <v>0</v>
          </cell>
          <cell r="DC176">
            <v>0</v>
          </cell>
          <cell r="DD176">
            <v>0</v>
          </cell>
          <cell r="DE176">
            <v>0</v>
          </cell>
          <cell r="DF176">
            <v>0</v>
          </cell>
          <cell r="DG176">
            <v>0</v>
          </cell>
          <cell r="DH176">
            <v>0</v>
          </cell>
          <cell r="DS176">
            <v>0</v>
          </cell>
          <cell r="DT176">
            <v>191</v>
          </cell>
          <cell r="DU176">
            <v>999999</v>
          </cell>
          <cell r="DV176">
            <v>999999</v>
          </cell>
          <cell r="DW176">
            <v>999999</v>
          </cell>
          <cell r="DX176">
            <v>0</v>
          </cell>
          <cell r="DY176">
            <v>191</v>
          </cell>
          <cell r="DZ176">
            <v>999999</v>
          </cell>
          <cell r="EA176">
            <v>999999</v>
          </cell>
          <cell r="EB176">
            <v>999999</v>
          </cell>
          <cell r="EC176">
            <v>0</v>
          </cell>
          <cell r="ED176">
            <v>0</v>
          </cell>
          <cell r="EE176">
            <v>0</v>
          </cell>
          <cell r="EF176">
            <v>0</v>
          </cell>
          <cell r="EG176">
            <v>0</v>
          </cell>
          <cell r="EH176">
            <v>0</v>
          </cell>
          <cell r="EI176">
            <v>0</v>
          </cell>
          <cell r="EJ176">
            <v>0</v>
          </cell>
          <cell r="EK176">
            <v>0</v>
          </cell>
          <cell r="EL176">
            <v>0</v>
          </cell>
          <cell r="EM176" t="str">
            <v/>
          </cell>
          <cell r="EN176" t="str">
            <v/>
          </cell>
          <cell r="EO176" t="str">
            <v/>
          </cell>
          <cell r="EP176" t="str">
            <v/>
          </cell>
          <cell r="EQ176" t="str">
            <v/>
          </cell>
          <cell r="ER176" t="str">
            <v/>
          </cell>
          <cell r="ES176" t="str">
            <v/>
          </cell>
          <cell r="ET176" t="str">
            <v/>
          </cell>
          <cell r="EU176" t="str">
            <v/>
          </cell>
          <cell r="EV176" t="str">
            <v/>
          </cell>
          <cell r="EW176" t="str">
            <v/>
          </cell>
          <cell r="EX176" t="str">
            <v/>
          </cell>
          <cell r="EY176" t="str">
            <v/>
          </cell>
          <cell r="EZ176" t="str">
            <v/>
          </cell>
          <cell r="FA176" t="str">
            <v/>
          </cell>
          <cell r="FB176" t="str">
            <v/>
          </cell>
          <cell r="FC176" t="str">
            <v/>
          </cell>
          <cell r="FD176" t="str">
            <v/>
          </cell>
          <cell r="FE176" t="str">
            <v/>
          </cell>
          <cell r="FF176" t="str">
            <v/>
          </cell>
          <cell r="FG176" t="str">
            <v/>
          </cell>
          <cell r="FH176" t="str">
            <v/>
          </cell>
          <cell r="FI176" t="str">
            <v/>
          </cell>
          <cell r="FJ176" t="str">
            <v/>
          </cell>
          <cell r="FK176" t="str">
            <v/>
          </cell>
          <cell r="FL176" t="str">
            <v/>
          </cell>
          <cell r="FM176" t="str">
            <v/>
          </cell>
          <cell r="FN176" t="str">
            <v/>
          </cell>
          <cell r="FO176" t="str">
            <v/>
          </cell>
          <cell r="FP176" t="str">
            <v/>
          </cell>
        </row>
        <row r="177">
          <cell r="N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AJ177">
            <v>0</v>
          </cell>
          <cell r="AK177">
            <v>0</v>
          </cell>
          <cell r="AL177">
            <v>999999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BE177">
            <v>0</v>
          </cell>
          <cell r="BH177">
            <v>0</v>
          </cell>
          <cell r="BI177">
            <v>0</v>
          </cell>
          <cell r="BJ177">
            <v>0</v>
          </cell>
          <cell r="BK177">
            <v>0</v>
          </cell>
          <cell r="BL177">
            <v>0</v>
          </cell>
          <cell r="BM177">
            <v>0</v>
          </cell>
          <cell r="BN177">
            <v>0</v>
          </cell>
          <cell r="BO177">
            <v>0</v>
          </cell>
          <cell r="BP177">
            <v>0</v>
          </cell>
          <cell r="BQ177">
            <v>0</v>
          </cell>
          <cell r="CB177">
            <v>0</v>
          </cell>
          <cell r="CC177">
            <v>0</v>
          </cell>
          <cell r="CD177">
            <v>0</v>
          </cell>
          <cell r="CE177">
            <v>0</v>
          </cell>
          <cell r="CF177">
            <v>0</v>
          </cell>
          <cell r="CG177">
            <v>0</v>
          </cell>
          <cell r="CH177">
            <v>0</v>
          </cell>
          <cell r="CI177">
            <v>0</v>
          </cell>
          <cell r="CJ177">
            <v>0</v>
          </cell>
          <cell r="CK177">
            <v>0</v>
          </cell>
          <cell r="CW177">
            <v>0</v>
          </cell>
          <cell r="CY177">
            <v>0</v>
          </cell>
          <cell r="CZ177">
            <v>0</v>
          </cell>
          <cell r="DA177">
            <v>0</v>
          </cell>
          <cell r="DB177">
            <v>0</v>
          </cell>
          <cell r="DC177">
            <v>0</v>
          </cell>
          <cell r="DD177">
            <v>0</v>
          </cell>
          <cell r="DE177">
            <v>0</v>
          </cell>
          <cell r="DF177">
            <v>0</v>
          </cell>
          <cell r="DG177">
            <v>0</v>
          </cell>
          <cell r="DH177">
            <v>0</v>
          </cell>
          <cell r="DS177">
            <v>0</v>
          </cell>
          <cell r="DT177">
            <v>190</v>
          </cell>
          <cell r="DU177">
            <v>999999</v>
          </cell>
          <cell r="DV177">
            <v>999999</v>
          </cell>
          <cell r="DW177">
            <v>999999</v>
          </cell>
          <cell r="DX177">
            <v>0</v>
          </cell>
          <cell r="DY177">
            <v>190</v>
          </cell>
          <cell r="DZ177">
            <v>999999</v>
          </cell>
          <cell r="EA177">
            <v>999999</v>
          </cell>
          <cell r="EB177">
            <v>999999</v>
          </cell>
          <cell r="EC177">
            <v>0</v>
          </cell>
          <cell r="ED177">
            <v>0</v>
          </cell>
          <cell r="EE177">
            <v>0</v>
          </cell>
          <cell r="EF177">
            <v>0</v>
          </cell>
          <cell r="EG177">
            <v>0</v>
          </cell>
          <cell r="EH177">
            <v>0</v>
          </cell>
          <cell r="EI177">
            <v>0</v>
          </cell>
          <cell r="EJ177">
            <v>0</v>
          </cell>
          <cell r="EK177">
            <v>0</v>
          </cell>
          <cell r="EL177">
            <v>0</v>
          </cell>
          <cell r="EM177" t="str">
            <v/>
          </cell>
          <cell r="EN177" t="str">
            <v/>
          </cell>
          <cell r="EO177" t="str">
            <v/>
          </cell>
          <cell r="EP177" t="str">
            <v/>
          </cell>
          <cell r="EQ177" t="str">
            <v/>
          </cell>
          <cell r="ER177" t="str">
            <v/>
          </cell>
          <cell r="ES177" t="str">
            <v/>
          </cell>
          <cell r="ET177" t="str">
            <v/>
          </cell>
          <cell r="EU177" t="str">
            <v/>
          </cell>
          <cell r="EV177" t="str">
            <v/>
          </cell>
          <cell r="EW177" t="str">
            <v/>
          </cell>
          <cell r="EX177" t="str">
            <v/>
          </cell>
          <cell r="EY177" t="str">
            <v/>
          </cell>
          <cell r="EZ177" t="str">
            <v/>
          </cell>
          <cell r="FA177" t="str">
            <v/>
          </cell>
          <cell r="FB177" t="str">
            <v/>
          </cell>
          <cell r="FC177" t="str">
            <v/>
          </cell>
          <cell r="FD177" t="str">
            <v/>
          </cell>
          <cell r="FE177" t="str">
            <v/>
          </cell>
          <cell r="FF177" t="str">
            <v/>
          </cell>
          <cell r="FG177" t="str">
            <v/>
          </cell>
          <cell r="FH177" t="str">
            <v/>
          </cell>
          <cell r="FI177" t="str">
            <v/>
          </cell>
          <cell r="FJ177" t="str">
            <v/>
          </cell>
          <cell r="FK177" t="str">
            <v/>
          </cell>
          <cell r="FL177" t="str">
            <v/>
          </cell>
          <cell r="FM177" t="str">
            <v/>
          </cell>
          <cell r="FN177" t="str">
            <v/>
          </cell>
          <cell r="FO177" t="str">
            <v/>
          </cell>
          <cell r="FP177" t="str">
            <v/>
          </cell>
        </row>
        <row r="178">
          <cell r="N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AJ178">
            <v>0</v>
          </cell>
          <cell r="AK178">
            <v>0</v>
          </cell>
          <cell r="AL178">
            <v>999999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BE178">
            <v>0</v>
          </cell>
          <cell r="BH178">
            <v>0</v>
          </cell>
          <cell r="BI178">
            <v>0</v>
          </cell>
          <cell r="BJ178">
            <v>0</v>
          </cell>
          <cell r="BK178">
            <v>0</v>
          </cell>
          <cell r="BL178">
            <v>0</v>
          </cell>
          <cell r="BM178">
            <v>0</v>
          </cell>
          <cell r="BN178">
            <v>0</v>
          </cell>
          <cell r="BO178">
            <v>0</v>
          </cell>
          <cell r="BP178">
            <v>0</v>
          </cell>
          <cell r="BQ178">
            <v>0</v>
          </cell>
          <cell r="CB178">
            <v>0</v>
          </cell>
          <cell r="CC178">
            <v>0</v>
          </cell>
          <cell r="CD178">
            <v>0</v>
          </cell>
          <cell r="CE178">
            <v>0</v>
          </cell>
          <cell r="CF178">
            <v>0</v>
          </cell>
          <cell r="CG178">
            <v>0</v>
          </cell>
          <cell r="CH178">
            <v>0</v>
          </cell>
          <cell r="CI178">
            <v>0</v>
          </cell>
          <cell r="CJ178">
            <v>0</v>
          </cell>
          <cell r="CK178">
            <v>0</v>
          </cell>
          <cell r="CW178">
            <v>0</v>
          </cell>
          <cell r="CY178">
            <v>0</v>
          </cell>
          <cell r="CZ178">
            <v>0</v>
          </cell>
          <cell r="DA178">
            <v>0</v>
          </cell>
          <cell r="DB178">
            <v>0</v>
          </cell>
          <cell r="DC178">
            <v>0</v>
          </cell>
          <cell r="DD178">
            <v>0</v>
          </cell>
          <cell r="DE178">
            <v>0</v>
          </cell>
          <cell r="DF178">
            <v>0</v>
          </cell>
          <cell r="DG178">
            <v>0</v>
          </cell>
          <cell r="DH178">
            <v>0</v>
          </cell>
          <cell r="DS178">
            <v>0</v>
          </cell>
          <cell r="DT178">
            <v>189</v>
          </cell>
          <cell r="DU178">
            <v>999999</v>
          </cell>
          <cell r="DV178">
            <v>999999</v>
          </cell>
          <cell r="DW178">
            <v>999999</v>
          </cell>
          <cell r="DX178">
            <v>0</v>
          </cell>
          <cell r="DY178">
            <v>189</v>
          </cell>
          <cell r="DZ178">
            <v>999999</v>
          </cell>
          <cell r="EA178">
            <v>999999</v>
          </cell>
          <cell r="EB178">
            <v>999999</v>
          </cell>
          <cell r="EC178">
            <v>0</v>
          </cell>
          <cell r="ED178">
            <v>0</v>
          </cell>
          <cell r="EE178">
            <v>0</v>
          </cell>
          <cell r="EF178">
            <v>0</v>
          </cell>
          <cell r="EG178">
            <v>0</v>
          </cell>
          <cell r="EH178">
            <v>0</v>
          </cell>
          <cell r="EI178">
            <v>0</v>
          </cell>
          <cell r="EJ178">
            <v>0</v>
          </cell>
          <cell r="EK178">
            <v>0</v>
          </cell>
          <cell r="EL178">
            <v>0</v>
          </cell>
          <cell r="EM178" t="str">
            <v/>
          </cell>
          <cell r="EN178" t="str">
            <v/>
          </cell>
          <cell r="EO178" t="str">
            <v/>
          </cell>
          <cell r="EP178" t="str">
            <v/>
          </cell>
          <cell r="EQ178" t="str">
            <v/>
          </cell>
          <cell r="ER178" t="str">
            <v/>
          </cell>
          <cell r="ES178" t="str">
            <v/>
          </cell>
          <cell r="ET178" t="str">
            <v/>
          </cell>
          <cell r="EU178" t="str">
            <v/>
          </cell>
          <cell r="EV178" t="str">
            <v/>
          </cell>
          <cell r="EW178" t="str">
            <v/>
          </cell>
          <cell r="EX178" t="str">
            <v/>
          </cell>
          <cell r="EY178" t="str">
            <v/>
          </cell>
          <cell r="EZ178" t="str">
            <v/>
          </cell>
          <cell r="FA178" t="str">
            <v/>
          </cell>
          <cell r="FB178" t="str">
            <v/>
          </cell>
          <cell r="FC178" t="str">
            <v/>
          </cell>
          <cell r="FD178" t="str">
            <v/>
          </cell>
          <cell r="FE178" t="str">
            <v/>
          </cell>
          <cell r="FF178" t="str">
            <v/>
          </cell>
          <cell r="FG178" t="str">
            <v/>
          </cell>
          <cell r="FH178" t="str">
            <v/>
          </cell>
          <cell r="FI178" t="str">
            <v/>
          </cell>
          <cell r="FJ178" t="str">
            <v/>
          </cell>
          <cell r="FK178" t="str">
            <v/>
          </cell>
          <cell r="FL178" t="str">
            <v/>
          </cell>
          <cell r="FM178" t="str">
            <v/>
          </cell>
          <cell r="FN178" t="str">
            <v/>
          </cell>
          <cell r="FO178" t="str">
            <v/>
          </cell>
          <cell r="FP178" t="str">
            <v/>
          </cell>
        </row>
        <row r="179">
          <cell r="N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AJ179">
            <v>0</v>
          </cell>
          <cell r="AK179">
            <v>0</v>
          </cell>
          <cell r="AL179">
            <v>999999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BE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P179">
            <v>0</v>
          </cell>
          <cell r="BQ179">
            <v>0</v>
          </cell>
          <cell r="CB179">
            <v>0</v>
          </cell>
          <cell r="CC179">
            <v>0</v>
          </cell>
          <cell r="CD179">
            <v>0</v>
          </cell>
          <cell r="CE179">
            <v>0</v>
          </cell>
          <cell r="CF179">
            <v>0</v>
          </cell>
          <cell r="CG179">
            <v>0</v>
          </cell>
          <cell r="CH179">
            <v>0</v>
          </cell>
          <cell r="CI179">
            <v>0</v>
          </cell>
          <cell r="CJ179">
            <v>0</v>
          </cell>
          <cell r="CK179">
            <v>0</v>
          </cell>
          <cell r="CW179">
            <v>0</v>
          </cell>
          <cell r="CY179">
            <v>0</v>
          </cell>
          <cell r="CZ179">
            <v>0</v>
          </cell>
          <cell r="DA179">
            <v>0</v>
          </cell>
          <cell r="DB179">
            <v>0</v>
          </cell>
          <cell r="DC179">
            <v>0</v>
          </cell>
          <cell r="DD179">
            <v>0</v>
          </cell>
          <cell r="DE179">
            <v>0</v>
          </cell>
          <cell r="DF179">
            <v>0</v>
          </cell>
          <cell r="DG179">
            <v>0</v>
          </cell>
          <cell r="DH179">
            <v>0</v>
          </cell>
          <cell r="DS179">
            <v>0</v>
          </cell>
          <cell r="DT179">
            <v>188</v>
          </cell>
          <cell r="DU179">
            <v>999999</v>
          </cell>
          <cell r="DV179">
            <v>999999</v>
          </cell>
          <cell r="DW179">
            <v>999999</v>
          </cell>
          <cell r="DX179">
            <v>0</v>
          </cell>
          <cell r="DY179">
            <v>188</v>
          </cell>
          <cell r="DZ179">
            <v>999999</v>
          </cell>
          <cell r="EA179">
            <v>999999</v>
          </cell>
          <cell r="EB179">
            <v>999999</v>
          </cell>
          <cell r="EC179">
            <v>0</v>
          </cell>
          <cell r="ED179">
            <v>0</v>
          </cell>
          <cell r="EE179">
            <v>0</v>
          </cell>
          <cell r="EF179">
            <v>0</v>
          </cell>
          <cell r="EG179">
            <v>0</v>
          </cell>
          <cell r="EH179">
            <v>0</v>
          </cell>
          <cell r="EI179">
            <v>0</v>
          </cell>
          <cell r="EJ179">
            <v>0</v>
          </cell>
          <cell r="EK179">
            <v>0</v>
          </cell>
          <cell r="EL179">
            <v>0</v>
          </cell>
          <cell r="EM179" t="str">
            <v/>
          </cell>
          <cell r="EN179" t="str">
            <v/>
          </cell>
          <cell r="EO179" t="str">
            <v/>
          </cell>
          <cell r="EP179" t="str">
            <v/>
          </cell>
          <cell r="EQ179" t="str">
            <v/>
          </cell>
          <cell r="ER179" t="str">
            <v/>
          </cell>
          <cell r="ES179" t="str">
            <v/>
          </cell>
          <cell r="ET179" t="str">
            <v/>
          </cell>
          <cell r="EU179" t="str">
            <v/>
          </cell>
          <cell r="EV179" t="str">
            <v/>
          </cell>
          <cell r="EW179" t="str">
            <v/>
          </cell>
          <cell r="EX179" t="str">
            <v/>
          </cell>
          <cell r="EY179" t="str">
            <v/>
          </cell>
          <cell r="EZ179" t="str">
            <v/>
          </cell>
          <cell r="FA179" t="str">
            <v/>
          </cell>
          <cell r="FB179" t="str">
            <v/>
          </cell>
          <cell r="FC179" t="str">
            <v/>
          </cell>
          <cell r="FD179" t="str">
            <v/>
          </cell>
          <cell r="FE179" t="str">
            <v/>
          </cell>
          <cell r="FF179" t="str">
            <v/>
          </cell>
          <cell r="FG179" t="str">
            <v/>
          </cell>
          <cell r="FH179" t="str">
            <v/>
          </cell>
          <cell r="FI179" t="str">
            <v/>
          </cell>
          <cell r="FJ179" t="str">
            <v/>
          </cell>
          <cell r="FK179" t="str">
            <v/>
          </cell>
          <cell r="FL179" t="str">
            <v/>
          </cell>
          <cell r="FM179" t="str">
            <v/>
          </cell>
          <cell r="FN179" t="str">
            <v/>
          </cell>
          <cell r="FO179" t="str">
            <v/>
          </cell>
          <cell r="FP179" t="str">
            <v/>
          </cell>
        </row>
        <row r="180">
          <cell r="N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AJ180">
            <v>0</v>
          </cell>
          <cell r="AK180">
            <v>0</v>
          </cell>
          <cell r="AL180">
            <v>999999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BE180">
            <v>0</v>
          </cell>
          <cell r="BH180">
            <v>0</v>
          </cell>
          <cell r="BI180">
            <v>0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  <cell r="BP180">
            <v>0</v>
          </cell>
          <cell r="BQ180">
            <v>0</v>
          </cell>
          <cell r="CB180">
            <v>0</v>
          </cell>
          <cell r="CC180">
            <v>0</v>
          </cell>
          <cell r="CD180">
            <v>0</v>
          </cell>
          <cell r="CE180">
            <v>0</v>
          </cell>
          <cell r="CF180">
            <v>0</v>
          </cell>
          <cell r="CG180">
            <v>0</v>
          </cell>
          <cell r="CH180">
            <v>0</v>
          </cell>
          <cell r="CI180">
            <v>0</v>
          </cell>
          <cell r="CJ180">
            <v>0</v>
          </cell>
          <cell r="CK180">
            <v>0</v>
          </cell>
          <cell r="CW180">
            <v>0</v>
          </cell>
          <cell r="CY180">
            <v>0</v>
          </cell>
          <cell r="CZ180">
            <v>0</v>
          </cell>
          <cell r="DA180">
            <v>0</v>
          </cell>
          <cell r="DB180">
            <v>0</v>
          </cell>
          <cell r="DC180">
            <v>0</v>
          </cell>
          <cell r="DD180">
            <v>0</v>
          </cell>
          <cell r="DE180">
            <v>0</v>
          </cell>
          <cell r="DF180">
            <v>0</v>
          </cell>
          <cell r="DG180">
            <v>0</v>
          </cell>
          <cell r="DH180">
            <v>0</v>
          </cell>
          <cell r="DS180">
            <v>0</v>
          </cell>
          <cell r="DT180">
            <v>187</v>
          </cell>
          <cell r="DU180">
            <v>999999</v>
          </cell>
          <cell r="DV180">
            <v>999999</v>
          </cell>
          <cell r="DW180">
            <v>999999</v>
          </cell>
          <cell r="DX180">
            <v>0</v>
          </cell>
          <cell r="DY180">
            <v>187</v>
          </cell>
          <cell r="DZ180">
            <v>999999</v>
          </cell>
          <cell r="EA180">
            <v>999999</v>
          </cell>
          <cell r="EB180">
            <v>999999</v>
          </cell>
          <cell r="EC180">
            <v>0</v>
          </cell>
          <cell r="ED180">
            <v>0</v>
          </cell>
          <cell r="EE180">
            <v>0</v>
          </cell>
          <cell r="EF180">
            <v>0</v>
          </cell>
          <cell r="EG180">
            <v>0</v>
          </cell>
          <cell r="EH180">
            <v>0</v>
          </cell>
          <cell r="EI180">
            <v>0</v>
          </cell>
          <cell r="EJ180">
            <v>0</v>
          </cell>
          <cell r="EK180">
            <v>0</v>
          </cell>
          <cell r="EL180">
            <v>0</v>
          </cell>
          <cell r="EM180" t="str">
            <v/>
          </cell>
          <cell r="EN180" t="str">
            <v/>
          </cell>
          <cell r="EO180" t="str">
            <v/>
          </cell>
          <cell r="EP180" t="str">
            <v/>
          </cell>
          <cell r="EQ180" t="str">
            <v/>
          </cell>
          <cell r="ER180" t="str">
            <v/>
          </cell>
          <cell r="ES180" t="str">
            <v/>
          </cell>
          <cell r="ET180" t="str">
            <v/>
          </cell>
          <cell r="EU180" t="str">
            <v/>
          </cell>
          <cell r="EV180" t="str">
            <v/>
          </cell>
          <cell r="EW180" t="str">
            <v/>
          </cell>
          <cell r="EX180" t="str">
            <v/>
          </cell>
          <cell r="EY180" t="str">
            <v/>
          </cell>
          <cell r="EZ180" t="str">
            <v/>
          </cell>
          <cell r="FA180" t="str">
            <v/>
          </cell>
          <cell r="FB180" t="str">
            <v/>
          </cell>
          <cell r="FC180" t="str">
            <v/>
          </cell>
          <cell r="FD180" t="str">
            <v/>
          </cell>
          <cell r="FE180" t="str">
            <v/>
          </cell>
          <cell r="FF180" t="str">
            <v/>
          </cell>
          <cell r="FG180" t="str">
            <v/>
          </cell>
          <cell r="FH180" t="str">
            <v/>
          </cell>
          <cell r="FI180" t="str">
            <v/>
          </cell>
          <cell r="FJ180" t="str">
            <v/>
          </cell>
          <cell r="FK180" t="str">
            <v/>
          </cell>
          <cell r="FL180" t="str">
            <v/>
          </cell>
          <cell r="FM180" t="str">
            <v/>
          </cell>
          <cell r="FN180" t="str">
            <v/>
          </cell>
          <cell r="FO180" t="str">
            <v/>
          </cell>
          <cell r="FP180" t="str">
            <v/>
          </cell>
        </row>
        <row r="181">
          <cell r="N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AJ181">
            <v>0</v>
          </cell>
          <cell r="AK181">
            <v>0</v>
          </cell>
          <cell r="AL181">
            <v>999999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BE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0</v>
          </cell>
          <cell r="BL181">
            <v>0</v>
          </cell>
          <cell r="BM181">
            <v>0</v>
          </cell>
          <cell r="BN181">
            <v>0</v>
          </cell>
          <cell r="BO181">
            <v>0</v>
          </cell>
          <cell r="BP181">
            <v>0</v>
          </cell>
          <cell r="BQ181">
            <v>0</v>
          </cell>
          <cell r="CB181">
            <v>0</v>
          </cell>
          <cell r="CC181">
            <v>0</v>
          </cell>
          <cell r="CD181">
            <v>0</v>
          </cell>
          <cell r="CE181">
            <v>0</v>
          </cell>
          <cell r="CF181">
            <v>0</v>
          </cell>
          <cell r="CG181">
            <v>0</v>
          </cell>
          <cell r="CH181">
            <v>0</v>
          </cell>
          <cell r="CI181">
            <v>0</v>
          </cell>
          <cell r="CJ181">
            <v>0</v>
          </cell>
          <cell r="CK181">
            <v>0</v>
          </cell>
          <cell r="CW181">
            <v>0</v>
          </cell>
          <cell r="CY181">
            <v>0</v>
          </cell>
          <cell r="CZ181">
            <v>0</v>
          </cell>
          <cell r="DA181">
            <v>0</v>
          </cell>
          <cell r="DB181">
            <v>0</v>
          </cell>
          <cell r="DC181">
            <v>0</v>
          </cell>
          <cell r="DD181">
            <v>0</v>
          </cell>
          <cell r="DE181">
            <v>0</v>
          </cell>
          <cell r="DF181">
            <v>0</v>
          </cell>
          <cell r="DG181">
            <v>0</v>
          </cell>
          <cell r="DH181">
            <v>0</v>
          </cell>
          <cell r="DS181">
            <v>0</v>
          </cell>
          <cell r="DT181">
            <v>186</v>
          </cell>
          <cell r="DU181">
            <v>999999</v>
          </cell>
          <cell r="DV181">
            <v>999999</v>
          </cell>
          <cell r="DW181">
            <v>999999</v>
          </cell>
          <cell r="DX181">
            <v>0</v>
          </cell>
          <cell r="DY181">
            <v>186</v>
          </cell>
          <cell r="DZ181">
            <v>999999</v>
          </cell>
          <cell r="EA181">
            <v>999999</v>
          </cell>
          <cell r="EB181">
            <v>999999</v>
          </cell>
          <cell r="EC181">
            <v>0</v>
          </cell>
          <cell r="ED181">
            <v>0</v>
          </cell>
          <cell r="EE181">
            <v>0</v>
          </cell>
          <cell r="EF181">
            <v>0</v>
          </cell>
          <cell r="EG181">
            <v>0</v>
          </cell>
          <cell r="EH181">
            <v>0</v>
          </cell>
          <cell r="EI181">
            <v>0</v>
          </cell>
          <cell r="EJ181">
            <v>0</v>
          </cell>
          <cell r="EK181">
            <v>0</v>
          </cell>
          <cell r="EL181">
            <v>0</v>
          </cell>
          <cell r="EM181" t="str">
            <v/>
          </cell>
          <cell r="EN181" t="str">
            <v/>
          </cell>
          <cell r="EO181" t="str">
            <v/>
          </cell>
          <cell r="EP181" t="str">
            <v/>
          </cell>
          <cell r="EQ181" t="str">
            <v/>
          </cell>
          <cell r="ER181" t="str">
            <v/>
          </cell>
          <cell r="ES181" t="str">
            <v/>
          </cell>
          <cell r="ET181" t="str">
            <v/>
          </cell>
          <cell r="EU181" t="str">
            <v/>
          </cell>
          <cell r="EV181" t="str">
            <v/>
          </cell>
          <cell r="EW181" t="str">
            <v/>
          </cell>
          <cell r="EX181" t="str">
            <v/>
          </cell>
          <cell r="EY181" t="str">
            <v/>
          </cell>
          <cell r="EZ181" t="str">
            <v/>
          </cell>
          <cell r="FA181" t="str">
            <v/>
          </cell>
          <cell r="FB181" t="str">
            <v/>
          </cell>
          <cell r="FC181" t="str">
            <v/>
          </cell>
          <cell r="FD181" t="str">
            <v/>
          </cell>
          <cell r="FE181" t="str">
            <v/>
          </cell>
          <cell r="FF181" t="str">
            <v/>
          </cell>
          <cell r="FG181" t="str">
            <v/>
          </cell>
          <cell r="FH181" t="str">
            <v/>
          </cell>
          <cell r="FI181" t="str">
            <v/>
          </cell>
          <cell r="FJ181" t="str">
            <v/>
          </cell>
          <cell r="FK181" t="str">
            <v/>
          </cell>
          <cell r="FL181" t="str">
            <v/>
          </cell>
          <cell r="FM181" t="str">
            <v/>
          </cell>
          <cell r="FN181" t="str">
            <v/>
          </cell>
          <cell r="FO181" t="str">
            <v/>
          </cell>
          <cell r="FP181" t="str">
            <v/>
          </cell>
        </row>
        <row r="182">
          <cell r="N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AJ182">
            <v>0</v>
          </cell>
          <cell r="AK182">
            <v>0</v>
          </cell>
          <cell r="AL182">
            <v>999999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BE182">
            <v>48000</v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0</v>
          </cell>
          <cell r="BM182">
            <v>0</v>
          </cell>
          <cell r="BN182">
            <v>0</v>
          </cell>
          <cell r="BO182">
            <v>0</v>
          </cell>
          <cell r="BP182">
            <v>0</v>
          </cell>
          <cell r="BQ182">
            <v>0</v>
          </cell>
          <cell r="CB182">
            <v>0</v>
          </cell>
          <cell r="CC182">
            <v>0</v>
          </cell>
          <cell r="CD182">
            <v>0</v>
          </cell>
          <cell r="CE182">
            <v>0</v>
          </cell>
          <cell r="CF182">
            <v>0</v>
          </cell>
          <cell r="CG182">
            <v>0</v>
          </cell>
          <cell r="CH182">
            <v>0</v>
          </cell>
          <cell r="CI182">
            <v>0</v>
          </cell>
          <cell r="CJ182">
            <v>0</v>
          </cell>
          <cell r="CK182">
            <v>0</v>
          </cell>
          <cell r="CW182">
            <v>0</v>
          </cell>
          <cell r="CY182">
            <v>0</v>
          </cell>
          <cell r="CZ182">
            <v>0</v>
          </cell>
          <cell r="DA182">
            <v>0</v>
          </cell>
          <cell r="DB182">
            <v>0</v>
          </cell>
          <cell r="DC182">
            <v>0</v>
          </cell>
          <cell r="DD182">
            <v>0</v>
          </cell>
          <cell r="DE182">
            <v>0</v>
          </cell>
          <cell r="DF182">
            <v>0</v>
          </cell>
          <cell r="DG182">
            <v>0</v>
          </cell>
          <cell r="DH182">
            <v>0</v>
          </cell>
          <cell r="DS182">
            <v>0</v>
          </cell>
          <cell r="DT182">
            <v>185</v>
          </cell>
          <cell r="DU182">
            <v>999999</v>
          </cell>
          <cell r="DV182">
            <v>999999</v>
          </cell>
          <cell r="DW182">
            <v>999999</v>
          </cell>
          <cell r="DX182">
            <v>0</v>
          </cell>
          <cell r="DY182">
            <v>185</v>
          </cell>
          <cell r="DZ182">
            <v>999999</v>
          </cell>
          <cell r="EA182">
            <v>999999</v>
          </cell>
          <cell r="EB182">
            <v>999999</v>
          </cell>
          <cell r="EC182">
            <v>0</v>
          </cell>
          <cell r="ED182">
            <v>0</v>
          </cell>
          <cell r="EE182">
            <v>0</v>
          </cell>
          <cell r="EF182">
            <v>0</v>
          </cell>
          <cell r="EG182">
            <v>0</v>
          </cell>
          <cell r="EH182">
            <v>0</v>
          </cell>
          <cell r="EI182">
            <v>0</v>
          </cell>
          <cell r="EJ182">
            <v>0</v>
          </cell>
          <cell r="EK182">
            <v>0</v>
          </cell>
          <cell r="EL182">
            <v>0</v>
          </cell>
          <cell r="EM182" t="str">
            <v/>
          </cell>
          <cell r="EN182" t="str">
            <v/>
          </cell>
          <cell r="EO182" t="str">
            <v/>
          </cell>
          <cell r="EP182" t="str">
            <v/>
          </cell>
          <cell r="EQ182" t="str">
            <v/>
          </cell>
          <cell r="ER182" t="str">
            <v/>
          </cell>
          <cell r="ES182" t="str">
            <v/>
          </cell>
          <cell r="ET182" t="str">
            <v/>
          </cell>
          <cell r="EU182" t="str">
            <v/>
          </cell>
          <cell r="EV182" t="str">
            <v/>
          </cell>
          <cell r="EW182" t="str">
            <v/>
          </cell>
          <cell r="EX182" t="str">
            <v/>
          </cell>
          <cell r="EY182" t="str">
            <v/>
          </cell>
          <cell r="EZ182" t="str">
            <v/>
          </cell>
          <cell r="FA182" t="str">
            <v/>
          </cell>
          <cell r="FB182" t="str">
            <v/>
          </cell>
          <cell r="FC182" t="str">
            <v/>
          </cell>
          <cell r="FD182" t="str">
            <v/>
          </cell>
          <cell r="FE182" t="str">
            <v/>
          </cell>
          <cell r="FF182" t="str">
            <v/>
          </cell>
          <cell r="FG182" t="str">
            <v/>
          </cell>
          <cell r="FH182" t="str">
            <v/>
          </cell>
          <cell r="FI182" t="str">
            <v/>
          </cell>
          <cell r="FJ182" t="str">
            <v/>
          </cell>
          <cell r="FK182" t="str">
            <v/>
          </cell>
          <cell r="FL182" t="str">
            <v/>
          </cell>
          <cell r="FM182" t="str">
            <v/>
          </cell>
          <cell r="FN182" t="str">
            <v/>
          </cell>
          <cell r="FO182" t="str">
            <v/>
          </cell>
          <cell r="FP182" t="str">
            <v/>
          </cell>
        </row>
        <row r="183">
          <cell r="N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AJ183">
            <v>0</v>
          </cell>
          <cell r="AK183">
            <v>0</v>
          </cell>
          <cell r="AL183">
            <v>999999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BE183">
            <v>0</v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0</v>
          </cell>
          <cell r="BM183">
            <v>0</v>
          </cell>
          <cell r="BN183">
            <v>0</v>
          </cell>
          <cell r="BO183">
            <v>0</v>
          </cell>
          <cell r="BP183">
            <v>0</v>
          </cell>
          <cell r="BQ183">
            <v>0</v>
          </cell>
          <cell r="CB183">
            <v>0</v>
          </cell>
          <cell r="CC183">
            <v>0</v>
          </cell>
          <cell r="CD183">
            <v>0</v>
          </cell>
          <cell r="CE183">
            <v>0</v>
          </cell>
          <cell r="CF183">
            <v>0</v>
          </cell>
          <cell r="CG183">
            <v>0</v>
          </cell>
          <cell r="CH183">
            <v>0</v>
          </cell>
          <cell r="CI183">
            <v>0</v>
          </cell>
          <cell r="CJ183">
            <v>0</v>
          </cell>
          <cell r="CK183">
            <v>0</v>
          </cell>
          <cell r="CW183">
            <v>0</v>
          </cell>
          <cell r="CY183">
            <v>0</v>
          </cell>
          <cell r="CZ183">
            <v>0</v>
          </cell>
          <cell r="DA183">
            <v>0</v>
          </cell>
          <cell r="DB183">
            <v>0</v>
          </cell>
          <cell r="DC183">
            <v>0</v>
          </cell>
          <cell r="DD183">
            <v>0</v>
          </cell>
          <cell r="DE183">
            <v>0</v>
          </cell>
          <cell r="DF183">
            <v>0</v>
          </cell>
          <cell r="DG183">
            <v>0</v>
          </cell>
          <cell r="DH183">
            <v>0</v>
          </cell>
          <cell r="DS183">
            <v>0</v>
          </cell>
          <cell r="DT183">
            <v>184</v>
          </cell>
          <cell r="DU183">
            <v>999999</v>
          </cell>
          <cell r="DV183">
            <v>999999</v>
          </cell>
          <cell r="DW183">
            <v>999999</v>
          </cell>
          <cell r="DX183">
            <v>0</v>
          </cell>
          <cell r="DY183">
            <v>184</v>
          </cell>
          <cell r="DZ183">
            <v>999999</v>
          </cell>
          <cell r="EA183">
            <v>999999</v>
          </cell>
          <cell r="EB183">
            <v>999999</v>
          </cell>
          <cell r="EC183">
            <v>0</v>
          </cell>
          <cell r="ED183">
            <v>0</v>
          </cell>
          <cell r="EE183">
            <v>0</v>
          </cell>
          <cell r="EF183">
            <v>0</v>
          </cell>
          <cell r="EG183">
            <v>0</v>
          </cell>
          <cell r="EH183">
            <v>0</v>
          </cell>
          <cell r="EI183">
            <v>0</v>
          </cell>
          <cell r="EJ183">
            <v>0</v>
          </cell>
          <cell r="EK183">
            <v>0</v>
          </cell>
          <cell r="EL183">
            <v>0</v>
          </cell>
          <cell r="EM183" t="str">
            <v/>
          </cell>
          <cell r="EN183" t="str">
            <v/>
          </cell>
          <cell r="EO183" t="str">
            <v/>
          </cell>
          <cell r="EP183" t="str">
            <v/>
          </cell>
          <cell r="EQ183" t="str">
            <v/>
          </cell>
          <cell r="ER183" t="str">
            <v/>
          </cell>
          <cell r="ES183" t="str">
            <v/>
          </cell>
          <cell r="ET183" t="str">
            <v/>
          </cell>
          <cell r="EU183" t="str">
            <v/>
          </cell>
          <cell r="EV183" t="str">
            <v/>
          </cell>
          <cell r="EW183" t="str">
            <v/>
          </cell>
          <cell r="EX183" t="str">
            <v/>
          </cell>
          <cell r="EY183" t="str">
            <v/>
          </cell>
          <cell r="EZ183" t="str">
            <v/>
          </cell>
          <cell r="FA183" t="str">
            <v/>
          </cell>
          <cell r="FB183" t="str">
            <v/>
          </cell>
          <cell r="FC183" t="str">
            <v/>
          </cell>
          <cell r="FD183" t="str">
            <v/>
          </cell>
          <cell r="FE183" t="str">
            <v/>
          </cell>
          <cell r="FF183" t="str">
            <v/>
          </cell>
          <cell r="FG183" t="str">
            <v/>
          </cell>
          <cell r="FH183" t="str">
            <v/>
          </cell>
          <cell r="FI183" t="str">
            <v/>
          </cell>
          <cell r="FJ183" t="str">
            <v/>
          </cell>
          <cell r="FK183" t="str">
            <v/>
          </cell>
          <cell r="FL183" t="str">
            <v/>
          </cell>
          <cell r="FM183" t="str">
            <v/>
          </cell>
          <cell r="FN183" t="str">
            <v/>
          </cell>
          <cell r="FO183" t="str">
            <v/>
          </cell>
          <cell r="FP183" t="str">
            <v/>
          </cell>
        </row>
        <row r="184">
          <cell r="N184">
            <v>48000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AJ184">
            <v>0</v>
          </cell>
          <cell r="AK184">
            <v>0</v>
          </cell>
          <cell r="AL184">
            <v>999999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BE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0</v>
          </cell>
          <cell r="BL184">
            <v>0</v>
          </cell>
          <cell r="BM184">
            <v>0</v>
          </cell>
          <cell r="BN184">
            <v>0</v>
          </cell>
          <cell r="BO184">
            <v>0</v>
          </cell>
          <cell r="BP184">
            <v>0</v>
          </cell>
          <cell r="BQ184">
            <v>0</v>
          </cell>
          <cell r="CB184">
            <v>0</v>
          </cell>
          <cell r="CC184">
            <v>0</v>
          </cell>
          <cell r="CD184">
            <v>0</v>
          </cell>
          <cell r="CE184">
            <v>0</v>
          </cell>
          <cell r="CF184">
            <v>0</v>
          </cell>
          <cell r="CG184">
            <v>0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  <cell r="CW184">
            <v>0</v>
          </cell>
          <cell r="CY184">
            <v>0</v>
          </cell>
          <cell r="CZ184">
            <v>0</v>
          </cell>
          <cell r="DA184">
            <v>0</v>
          </cell>
          <cell r="DB184">
            <v>0</v>
          </cell>
          <cell r="DC184">
            <v>0</v>
          </cell>
          <cell r="DD184">
            <v>0</v>
          </cell>
          <cell r="DE184">
            <v>0</v>
          </cell>
          <cell r="DF184">
            <v>0</v>
          </cell>
          <cell r="DG184">
            <v>0</v>
          </cell>
          <cell r="DH184">
            <v>0</v>
          </cell>
          <cell r="DS184">
            <v>0</v>
          </cell>
          <cell r="DT184">
            <v>183</v>
          </cell>
          <cell r="DU184">
            <v>999999</v>
          </cell>
          <cell r="DV184">
            <v>999999</v>
          </cell>
          <cell r="DW184">
            <v>999999</v>
          </cell>
          <cell r="DX184">
            <v>0</v>
          </cell>
          <cell r="DY184">
            <v>183</v>
          </cell>
          <cell r="DZ184">
            <v>999999</v>
          </cell>
          <cell r="EA184">
            <v>999999</v>
          </cell>
          <cell r="EB184">
            <v>999999</v>
          </cell>
          <cell r="EC184">
            <v>0</v>
          </cell>
          <cell r="ED184">
            <v>0</v>
          </cell>
          <cell r="EE184">
            <v>0</v>
          </cell>
          <cell r="EF184">
            <v>0</v>
          </cell>
          <cell r="EG184">
            <v>0</v>
          </cell>
          <cell r="EH184">
            <v>0</v>
          </cell>
          <cell r="EI184">
            <v>0</v>
          </cell>
          <cell r="EJ184">
            <v>0</v>
          </cell>
          <cell r="EK184">
            <v>0</v>
          </cell>
          <cell r="EL184">
            <v>0</v>
          </cell>
          <cell r="EM184" t="str">
            <v/>
          </cell>
          <cell r="EN184" t="str">
            <v/>
          </cell>
          <cell r="EO184" t="str">
            <v/>
          </cell>
          <cell r="EP184" t="str">
            <v/>
          </cell>
          <cell r="EQ184" t="str">
            <v/>
          </cell>
          <cell r="ER184" t="str">
            <v/>
          </cell>
          <cell r="ES184" t="str">
            <v/>
          </cell>
          <cell r="ET184" t="str">
            <v/>
          </cell>
          <cell r="EU184" t="str">
            <v/>
          </cell>
          <cell r="EV184" t="str">
            <v/>
          </cell>
          <cell r="EW184" t="str">
            <v/>
          </cell>
          <cell r="EX184" t="str">
            <v/>
          </cell>
          <cell r="EY184" t="str">
            <v/>
          </cell>
          <cell r="EZ184" t="str">
            <v/>
          </cell>
          <cell r="FA184" t="str">
            <v/>
          </cell>
          <cell r="FB184" t="str">
            <v/>
          </cell>
          <cell r="FC184" t="str">
            <v/>
          </cell>
          <cell r="FD184" t="str">
            <v/>
          </cell>
          <cell r="FE184" t="str">
            <v/>
          </cell>
          <cell r="FF184" t="str">
            <v/>
          </cell>
          <cell r="FG184" t="str">
            <v/>
          </cell>
          <cell r="FH184" t="str">
            <v/>
          </cell>
          <cell r="FI184" t="str">
            <v/>
          </cell>
          <cell r="FJ184" t="str">
            <v/>
          </cell>
          <cell r="FK184" t="str">
            <v/>
          </cell>
          <cell r="FL184" t="str">
            <v/>
          </cell>
          <cell r="FM184" t="str">
            <v/>
          </cell>
          <cell r="FN184" t="str">
            <v/>
          </cell>
          <cell r="FO184" t="str">
            <v/>
          </cell>
          <cell r="FP184" t="str">
            <v/>
          </cell>
        </row>
        <row r="185">
          <cell r="N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AJ185">
            <v>0</v>
          </cell>
          <cell r="AK185">
            <v>0</v>
          </cell>
          <cell r="AL185">
            <v>999999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BE185">
            <v>0</v>
          </cell>
          <cell r="BH185">
            <v>0</v>
          </cell>
          <cell r="BI185">
            <v>0</v>
          </cell>
          <cell r="BJ185">
            <v>0</v>
          </cell>
          <cell r="BK185">
            <v>0</v>
          </cell>
          <cell r="BL185">
            <v>0</v>
          </cell>
          <cell r="BM185">
            <v>0</v>
          </cell>
          <cell r="BN185">
            <v>0</v>
          </cell>
          <cell r="BO185">
            <v>0</v>
          </cell>
          <cell r="BP185">
            <v>0</v>
          </cell>
          <cell r="BQ185">
            <v>0</v>
          </cell>
          <cell r="CB185">
            <v>0</v>
          </cell>
          <cell r="CC185">
            <v>0</v>
          </cell>
          <cell r="CD185">
            <v>0</v>
          </cell>
          <cell r="CE185">
            <v>0</v>
          </cell>
          <cell r="CF185">
            <v>0</v>
          </cell>
          <cell r="CG185">
            <v>0</v>
          </cell>
          <cell r="CH185">
            <v>0</v>
          </cell>
          <cell r="CI185">
            <v>0</v>
          </cell>
          <cell r="CJ185">
            <v>0</v>
          </cell>
          <cell r="CK185">
            <v>0</v>
          </cell>
          <cell r="CW185">
            <v>0</v>
          </cell>
          <cell r="CY185">
            <v>0</v>
          </cell>
          <cell r="CZ185">
            <v>0</v>
          </cell>
          <cell r="DA185">
            <v>0</v>
          </cell>
          <cell r="DB185">
            <v>0</v>
          </cell>
          <cell r="DC185">
            <v>0</v>
          </cell>
          <cell r="DD185">
            <v>0</v>
          </cell>
          <cell r="DE185">
            <v>0</v>
          </cell>
          <cell r="DF185">
            <v>0</v>
          </cell>
          <cell r="DG185">
            <v>0</v>
          </cell>
          <cell r="DH185">
            <v>0</v>
          </cell>
          <cell r="DS185">
            <v>0</v>
          </cell>
          <cell r="DT185">
            <v>182</v>
          </cell>
          <cell r="DU185">
            <v>999999</v>
          </cell>
          <cell r="DV185">
            <v>999999</v>
          </cell>
          <cell r="DW185">
            <v>999999</v>
          </cell>
          <cell r="DX185">
            <v>0</v>
          </cell>
          <cell r="DY185">
            <v>182</v>
          </cell>
          <cell r="DZ185">
            <v>999999</v>
          </cell>
          <cell r="EA185">
            <v>999999</v>
          </cell>
          <cell r="EB185">
            <v>999999</v>
          </cell>
          <cell r="EC185">
            <v>0</v>
          </cell>
          <cell r="ED185">
            <v>0</v>
          </cell>
          <cell r="EE185">
            <v>0</v>
          </cell>
          <cell r="EF185">
            <v>0</v>
          </cell>
          <cell r="EG185">
            <v>0</v>
          </cell>
          <cell r="EH185">
            <v>0</v>
          </cell>
          <cell r="EI185">
            <v>0</v>
          </cell>
          <cell r="EJ185">
            <v>0</v>
          </cell>
          <cell r="EK185">
            <v>0</v>
          </cell>
          <cell r="EL185">
            <v>0</v>
          </cell>
          <cell r="EM185" t="str">
            <v/>
          </cell>
          <cell r="EN185" t="str">
            <v/>
          </cell>
          <cell r="EO185" t="str">
            <v/>
          </cell>
          <cell r="EP185" t="str">
            <v/>
          </cell>
          <cell r="EQ185" t="str">
            <v/>
          </cell>
          <cell r="ER185" t="str">
            <v/>
          </cell>
          <cell r="ES185" t="str">
            <v/>
          </cell>
          <cell r="ET185" t="str">
            <v/>
          </cell>
          <cell r="EU185" t="str">
            <v/>
          </cell>
          <cell r="EV185" t="str">
            <v/>
          </cell>
          <cell r="EW185" t="str">
            <v/>
          </cell>
          <cell r="EX185" t="str">
            <v/>
          </cell>
          <cell r="EY185" t="str">
            <v/>
          </cell>
          <cell r="EZ185" t="str">
            <v/>
          </cell>
          <cell r="FA185" t="str">
            <v/>
          </cell>
          <cell r="FB185" t="str">
            <v/>
          </cell>
          <cell r="FC185" t="str">
            <v/>
          </cell>
          <cell r="FD185" t="str">
            <v/>
          </cell>
          <cell r="FE185" t="str">
            <v/>
          </cell>
          <cell r="FF185" t="str">
            <v/>
          </cell>
          <cell r="FG185" t="str">
            <v/>
          </cell>
          <cell r="FH185" t="str">
            <v/>
          </cell>
          <cell r="FI185" t="str">
            <v/>
          </cell>
          <cell r="FJ185" t="str">
            <v/>
          </cell>
          <cell r="FK185" t="str">
            <v/>
          </cell>
          <cell r="FL185" t="str">
            <v/>
          </cell>
          <cell r="FM185" t="str">
            <v/>
          </cell>
          <cell r="FN185" t="str">
            <v/>
          </cell>
          <cell r="FO185" t="str">
            <v/>
          </cell>
          <cell r="FP185" t="str">
            <v/>
          </cell>
        </row>
        <row r="186">
          <cell r="N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AJ186">
            <v>0</v>
          </cell>
          <cell r="AK186">
            <v>0</v>
          </cell>
          <cell r="AL186">
            <v>999999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BE186">
            <v>0</v>
          </cell>
          <cell r="BH186">
            <v>0</v>
          </cell>
          <cell r="BI186">
            <v>0</v>
          </cell>
          <cell r="BJ186">
            <v>0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  <cell r="BP186">
            <v>0</v>
          </cell>
          <cell r="BQ186">
            <v>0</v>
          </cell>
          <cell r="CB186">
            <v>0</v>
          </cell>
          <cell r="CC186">
            <v>0</v>
          </cell>
          <cell r="CD186">
            <v>0</v>
          </cell>
          <cell r="CE186">
            <v>0</v>
          </cell>
          <cell r="CF186">
            <v>0</v>
          </cell>
          <cell r="CG186">
            <v>0</v>
          </cell>
          <cell r="CH186">
            <v>0</v>
          </cell>
          <cell r="CI186">
            <v>0</v>
          </cell>
          <cell r="CJ186">
            <v>0</v>
          </cell>
          <cell r="CK186">
            <v>0</v>
          </cell>
          <cell r="CW186">
            <v>0</v>
          </cell>
          <cell r="CY186">
            <v>0</v>
          </cell>
          <cell r="CZ186">
            <v>0</v>
          </cell>
          <cell r="DA186">
            <v>0</v>
          </cell>
          <cell r="DB186">
            <v>0</v>
          </cell>
          <cell r="DC186">
            <v>0</v>
          </cell>
          <cell r="DD186">
            <v>0</v>
          </cell>
          <cell r="DE186">
            <v>0</v>
          </cell>
          <cell r="DF186">
            <v>0</v>
          </cell>
          <cell r="DG186">
            <v>0</v>
          </cell>
          <cell r="DH186">
            <v>0</v>
          </cell>
          <cell r="DS186">
            <v>0</v>
          </cell>
          <cell r="DT186">
            <v>181</v>
          </cell>
          <cell r="DU186">
            <v>999999</v>
          </cell>
          <cell r="DV186">
            <v>999999</v>
          </cell>
          <cell r="DW186">
            <v>999999</v>
          </cell>
          <cell r="DX186">
            <v>0</v>
          </cell>
          <cell r="DY186">
            <v>181</v>
          </cell>
          <cell r="DZ186">
            <v>999999</v>
          </cell>
          <cell r="EA186">
            <v>999999</v>
          </cell>
          <cell r="EB186">
            <v>999999</v>
          </cell>
          <cell r="EC186">
            <v>0</v>
          </cell>
          <cell r="ED186">
            <v>0</v>
          </cell>
          <cell r="EE186">
            <v>0</v>
          </cell>
          <cell r="EF186">
            <v>0</v>
          </cell>
          <cell r="EG186">
            <v>0</v>
          </cell>
          <cell r="EH186">
            <v>0</v>
          </cell>
          <cell r="EI186">
            <v>0</v>
          </cell>
          <cell r="EJ186">
            <v>0</v>
          </cell>
          <cell r="EK186">
            <v>0</v>
          </cell>
          <cell r="EL186">
            <v>0</v>
          </cell>
          <cell r="EM186" t="str">
            <v/>
          </cell>
          <cell r="EN186" t="str">
            <v/>
          </cell>
          <cell r="EO186" t="str">
            <v/>
          </cell>
          <cell r="EP186" t="str">
            <v/>
          </cell>
          <cell r="EQ186" t="str">
            <v/>
          </cell>
          <cell r="ER186" t="str">
            <v/>
          </cell>
          <cell r="ES186" t="str">
            <v/>
          </cell>
          <cell r="ET186" t="str">
            <v/>
          </cell>
          <cell r="EU186" t="str">
            <v/>
          </cell>
          <cell r="EV186" t="str">
            <v/>
          </cell>
          <cell r="EW186" t="str">
            <v/>
          </cell>
          <cell r="EX186" t="str">
            <v/>
          </cell>
          <cell r="EY186" t="str">
            <v/>
          </cell>
          <cell r="EZ186" t="str">
            <v/>
          </cell>
          <cell r="FA186" t="str">
            <v/>
          </cell>
          <cell r="FB186" t="str">
            <v/>
          </cell>
          <cell r="FC186" t="str">
            <v/>
          </cell>
          <cell r="FD186" t="str">
            <v/>
          </cell>
          <cell r="FE186" t="str">
            <v/>
          </cell>
          <cell r="FF186" t="str">
            <v/>
          </cell>
          <cell r="FG186" t="str">
            <v/>
          </cell>
          <cell r="FH186" t="str">
            <v/>
          </cell>
          <cell r="FI186" t="str">
            <v/>
          </cell>
          <cell r="FJ186" t="str">
            <v/>
          </cell>
          <cell r="FK186" t="str">
            <v/>
          </cell>
          <cell r="FL186" t="str">
            <v/>
          </cell>
          <cell r="FM186" t="str">
            <v/>
          </cell>
          <cell r="FN186" t="str">
            <v/>
          </cell>
          <cell r="FO186" t="str">
            <v/>
          </cell>
          <cell r="FP186" t="str">
            <v/>
          </cell>
        </row>
        <row r="187">
          <cell r="N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AJ187">
            <v>0</v>
          </cell>
          <cell r="AK187">
            <v>0</v>
          </cell>
          <cell r="AL187">
            <v>999999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BE187">
            <v>0</v>
          </cell>
          <cell r="BH187">
            <v>0</v>
          </cell>
          <cell r="BI187">
            <v>0</v>
          </cell>
          <cell r="BJ187">
            <v>0</v>
          </cell>
          <cell r="BK187">
            <v>0</v>
          </cell>
          <cell r="BL187">
            <v>0</v>
          </cell>
          <cell r="BM187">
            <v>0</v>
          </cell>
          <cell r="BN187">
            <v>0</v>
          </cell>
          <cell r="BO187">
            <v>0</v>
          </cell>
          <cell r="BP187">
            <v>0</v>
          </cell>
          <cell r="BQ187">
            <v>0</v>
          </cell>
          <cell r="CB187">
            <v>0</v>
          </cell>
          <cell r="CC187">
            <v>0</v>
          </cell>
          <cell r="CD187">
            <v>0</v>
          </cell>
          <cell r="CE187">
            <v>0</v>
          </cell>
          <cell r="CF187">
            <v>0</v>
          </cell>
          <cell r="CG187">
            <v>0</v>
          </cell>
          <cell r="CH187">
            <v>0</v>
          </cell>
          <cell r="CI187">
            <v>0</v>
          </cell>
          <cell r="CJ187">
            <v>0</v>
          </cell>
          <cell r="CK187">
            <v>0</v>
          </cell>
          <cell r="CW187">
            <v>0</v>
          </cell>
          <cell r="CY187">
            <v>0</v>
          </cell>
          <cell r="CZ187">
            <v>0</v>
          </cell>
          <cell r="DA187">
            <v>0</v>
          </cell>
          <cell r="DB187">
            <v>0</v>
          </cell>
          <cell r="DC187">
            <v>0</v>
          </cell>
          <cell r="DD187">
            <v>0</v>
          </cell>
          <cell r="DE187">
            <v>0</v>
          </cell>
          <cell r="DF187">
            <v>0</v>
          </cell>
          <cell r="DG187">
            <v>0</v>
          </cell>
          <cell r="DH187">
            <v>0</v>
          </cell>
          <cell r="DS187">
            <v>0</v>
          </cell>
          <cell r="DT187">
            <v>180</v>
          </cell>
          <cell r="DU187">
            <v>999999</v>
          </cell>
          <cell r="DV187">
            <v>999999</v>
          </cell>
          <cell r="DW187">
            <v>999999</v>
          </cell>
          <cell r="DX187">
            <v>0</v>
          </cell>
          <cell r="DY187">
            <v>180</v>
          </cell>
          <cell r="DZ187">
            <v>999999</v>
          </cell>
          <cell r="EA187">
            <v>999999</v>
          </cell>
          <cell r="EB187">
            <v>999999</v>
          </cell>
          <cell r="EC187">
            <v>0</v>
          </cell>
          <cell r="ED187">
            <v>0</v>
          </cell>
          <cell r="EE187">
            <v>0</v>
          </cell>
          <cell r="EF187">
            <v>0</v>
          </cell>
          <cell r="EG187">
            <v>0</v>
          </cell>
          <cell r="EH187">
            <v>0</v>
          </cell>
          <cell r="EI187">
            <v>0</v>
          </cell>
          <cell r="EJ187">
            <v>0</v>
          </cell>
          <cell r="EK187">
            <v>0</v>
          </cell>
          <cell r="EL187">
            <v>0</v>
          </cell>
          <cell r="EM187" t="str">
            <v/>
          </cell>
          <cell r="EN187" t="str">
            <v/>
          </cell>
          <cell r="EO187" t="str">
            <v/>
          </cell>
          <cell r="EP187" t="str">
            <v/>
          </cell>
          <cell r="EQ187" t="str">
            <v/>
          </cell>
          <cell r="ER187" t="str">
            <v/>
          </cell>
          <cell r="ES187" t="str">
            <v/>
          </cell>
          <cell r="ET187" t="str">
            <v/>
          </cell>
          <cell r="EU187" t="str">
            <v/>
          </cell>
          <cell r="EV187" t="str">
            <v/>
          </cell>
          <cell r="EW187" t="str">
            <v/>
          </cell>
          <cell r="EX187" t="str">
            <v/>
          </cell>
          <cell r="EY187" t="str">
            <v/>
          </cell>
          <cell r="EZ187" t="str">
            <v/>
          </cell>
          <cell r="FA187" t="str">
            <v/>
          </cell>
          <cell r="FB187" t="str">
            <v/>
          </cell>
          <cell r="FC187" t="str">
            <v/>
          </cell>
          <cell r="FD187" t="str">
            <v/>
          </cell>
          <cell r="FE187" t="str">
            <v/>
          </cell>
          <cell r="FF187" t="str">
            <v/>
          </cell>
          <cell r="FG187" t="str">
            <v/>
          </cell>
          <cell r="FH187" t="str">
            <v/>
          </cell>
          <cell r="FI187" t="str">
            <v/>
          </cell>
          <cell r="FJ187" t="str">
            <v/>
          </cell>
          <cell r="FK187" t="str">
            <v/>
          </cell>
          <cell r="FL187" t="str">
            <v/>
          </cell>
          <cell r="FM187" t="str">
            <v/>
          </cell>
          <cell r="FN187" t="str">
            <v/>
          </cell>
          <cell r="FO187" t="str">
            <v/>
          </cell>
          <cell r="FP187" t="str">
            <v/>
          </cell>
        </row>
        <row r="188">
          <cell r="N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AJ188">
            <v>0</v>
          </cell>
          <cell r="AK188">
            <v>0</v>
          </cell>
          <cell r="AL188">
            <v>999999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BE188">
            <v>0</v>
          </cell>
          <cell r="BH188">
            <v>0</v>
          </cell>
          <cell r="BI188">
            <v>0</v>
          </cell>
          <cell r="BJ188">
            <v>0</v>
          </cell>
          <cell r="BK188">
            <v>0</v>
          </cell>
          <cell r="BL188">
            <v>0</v>
          </cell>
          <cell r="BM188">
            <v>0</v>
          </cell>
          <cell r="BN188">
            <v>0</v>
          </cell>
          <cell r="BO188">
            <v>0</v>
          </cell>
          <cell r="BP188">
            <v>0</v>
          </cell>
          <cell r="BQ188">
            <v>0</v>
          </cell>
          <cell r="CB188">
            <v>0</v>
          </cell>
          <cell r="CC188">
            <v>0</v>
          </cell>
          <cell r="CD188">
            <v>0</v>
          </cell>
          <cell r="CE188">
            <v>0</v>
          </cell>
          <cell r="CF188">
            <v>0</v>
          </cell>
          <cell r="CG188">
            <v>0</v>
          </cell>
          <cell r="CH188">
            <v>0</v>
          </cell>
          <cell r="CI188">
            <v>0</v>
          </cell>
          <cell r="CJ188">
            <v>0</v>
          </cell>
          <cell r="CK188">
            <v>0</v>
          </cell>
          <cell r="CW188">
            <v>0</v>
          </cell>
          <cell r="CY188">
            <v>0</v>
          </cell>
          <cell r="CZ188">
            <v>0</v>
          </cell>
          <cell r="DA188">
            <v>0</v>
          </cell>
          <cell r="DB188">
            <v>0</v>
          </cell>
          <cell r="DC188">
            <v>0</v>
          </cell>
          <cell r="DD188">
            <v>0</v>
          </cell>
          <cell r="DE188">
            <v>0</v>
          </cell>
          <cell r="DF188">
            <v>0</v>
          </cell>
          <cell r="DG188">
            <v>0</v>
          </cell>
          <cell r="DH188">
            <v>0</v>
          </cell>
          <cell r="DS188">
            <v>0</v>
          </cell>
          <cell r="DT188">
            <v>179</v>
          </cell>
          <cell r="DU188">
            <v>999999</v>
          </cell>
          <cell r="DV188">
            <v>999999</v>
          </cell>
          <cell r="DW188">
            <v>999999</v>
          </cell>
          <cell r="DX188">
            <v>0</v>
          </cell>
          <cell r="DY188">
            <v>179</v>
          </cell>
          <cell r="DZ188">
            <v>999999</v>
          </cell>
          <cell r="EA188">
            <v>999999</v>
          </cell>
          <cell r="EB188">
            <v>999999</v>
          </cell>
          <cell r="EC188">
            <v>0</v>
          </cell>
          <cell r="ED188">
            <v>0</v>
          </cell>
          <cell r="EE188">
            <v>0</v>
          </cell>
          <cell r="EF188">
            <v>0</v>
          </cell>
          <cell r="EG188">
            <v>0</v>
          </cell>
          <cell r="EH188">
            <v>0</v>
          </cell>
          <cell r="EI188">
            <v>0</v>
          </cell>
          <cell r="EJ188">
            <v>0</v>
          </cell>
          <cell r="EK188">
            <v>0</v>
          </cell>
          <cell r="EL188">
            <v>0</v>
          </cell>
          <cell r="EM188" t="str">
            <v/>
          </cell>
          <cell r="EN188" t="str">
            <v/>
          </cell>
          <cell r="EO188" t="str">
            <v/>
          </cell>
          <cell r="EP188" t="str">
            <v/>
          </cell>
          <cell r="EQ188" t="str">
            <v/>
          </cell>
          <cell r="ER188" t="str">
            <v/>
          </cell>
          <cell r="ES188" t="str">
            <v/>
          </cell>
          <cell r="ET188" t="str">
            <v/>
          </cell>
          <cell r="EU188" t="str">
            <v/>
          </cell>
          <cell r="EV188" t="str">
            <v/>
          </cell>
          <cell r="EW188" t="str">
            <v/>
          </cell>
          <cell r="EX188" t="str">
            <v/>
          </cell>
          <cell r="EY188" t="str">
            <v/>
          </cell>
          <cell r="EZ188" t="str">
            <v/>
          </cell>
          <cell r="FA188" t="str">
            <v/>
          </cell>
          <cell r="FB188" t="str">
            <v/>
          </cell>
          <cell r="FC188" t="str">
            <v/>
          </cell>
          <cell r="FD188" t="str">
            <v/>
          </cell>
          <cell r="FE188" t="str">
            <v/>
          </cell>
          <cell r="FF188" t="str">
            <v/>
          </cell>
          <cell r="FG188" t="str">
            <v/>
          </cell>
          <cell r="FH188" t="str">
            <v/>
          </cell>
          <cell r="FI188" t="str">
            <v/>
          </cell>
          <cell r="FJ188" t="str">
            <v/>
          </cell>
          <cell r="FK188" t="str">
            <v/>
          </cell>
          <cell r="FL188" t="str">
            <v/>
          </cell>
          <cell r="FM188" t="str">
            <v/>
          </cell>
          <cell r="FN188" t="str">
            <v/>
          </cell>
          <cell r="FO188" t="str">
            <v/>
          </cell>
          <cell r="FP188" t="str">
            <v/>
          </cell>
        </row>
        <row r="189">
          <cell r="N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AJ189">
            <v>0</v>
          </cell>
          <cell r="AK189">
            <v>0</v>
          </cell>
          <cell r="AL189">
            <v>999999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BE189">
            <v>0</v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0</v>
          </cell>
          <cell r="BM189">
            <v>0</v>
          </cell>
          <cell r="BN189">
            <v>0</v>
          </cell>
          <cell r="BO189">
            <v>0</v>
          </cell>
          <cell r="BP189">
            <v>0</v>
          </cell>
          <cell r="BQ189">
            <v>0</v>
          </cell>
          <cell r="CB189">
            <v>0</v>
          </cell>
          <cell r="CC189">
            <v>0</v>
          </cell>
          <cell r="CD189">
            <v>0</v>
          </cell>
          <cell r="CE189">
            <v>0</v>
          </cell>
          <cell r="CF189">
            <v>0</v>
          </cell>
          <cell r="CG189">
            <v>0</v>
          </cell>
          <cell r="CH189">
            <v>0</v>
          </cell>
          <cell r="CI189">
            <v>0</v>
          </cell>
          <cell r="CJ189">
            <v>0</v>
          </cell>
          <cell r="CK189">
            <v>0</v>
          </cell>
          <cell r="CW189">
            <v>0</v>
          </cell>
          <cell r="CY189">
            <v>0</v>
          </cell>
          <cell r="CZ189">
            <v>0</v>
          </cell>
          <cell r="DA189">
            <v>0</v>
          </cell>
          <cell r="DB189">
            <v>0</v>
          </cell>
          <cell r="DC189">
            <v>0</v>
          </cell>
          <cell r="DD189">
            <v>0</v>
          </cell>
          <cell r="DE189">
            <v>0</v>
          </cell>
          <cell r="DF189">
            <v>0</v>
          </cell>
          <cell r="DG189">
            <v>0</v>
          </cell>
          <cell r="DH189">
            <v>0</v>
          </cell>
          <cell r="DS189">
            <v>0</v>
          </cell>
          <cell r="DT189">
            <v>178</v>
          </cell>
          <cell r="DU189">
            <v>999999</v>
          </cell>
          <cell r="DV189">
            <v>999999</v>
          </cell>
          <cell r="DW189">
            <v>999999</v>
          </cell>
          <cell r="DX189">
            <v>0</v>
          </cell>
          <cell r="DY189">
            <v>178</v>
          </cell>
          <cell r="DZ189">
            <v>999999</v>
          </cell>
          <cell r="EA189">
            <v>999999</v>
          </cell>
          <cell r="EB189">
            <v>999999</v>
          </cell>
          <cell r="EC189">
            <v>0</v>
          </cell>
          <cell r="ED189">
            <v>0</v>
          </cell>
          <cell r="EE189">
            <v>0</v>
          </cell>
          <cell r="EF189">
            <v>0</v>
          </cell>
          <cell r="EG189">
            <v>0</v>
          </cell>
          <cell r="EH189">
            <v>0</v>
          </cell>
          <cell r="EI189">
            <v>0</v>
          </cell>
          <cell r="EJ189">
            <v>0</v>
          </cell>
          <cell r="EK189">
            <v>0</v>
          </cell>
          <cell r="EL189">
            <v>0</v>
          </cell>
          <cell r="EM189" t="str">
            <v/>
          </cell>
          <cell r="EN189" t="str">
            <v/>
          </cell>
          <cell r="EO189" t="str">
            <v/>
          </cell>
          <cell r="EP189" t="str">
            <v/>
          </cell>
          <cell r="EQ189" t="str">
            <v/>
          </cell>
          <cell r="ER189" t="str">
            <v/>
          </cell>
          <cell r="ES189" t="str">
            <v/>
          </cell>
          <cell r="ET189" t="str">
            <v/>
          </cell>
          <cell r="EU189" t="str">
            <v/>
          </cell>
          <cell r="EV189" t="str">
            <v/>
          </cell>
          <cell r="EW189" t="str">
            <v/>
          </cell>
          <cell r="EX189" t="str">
            <v/>
          </cell>
          <cell r="EY189" t="str">
            <v/>
          </cell>
          <cell r="EZ189" t="str">
            <v/>
          </cell>
          <cell r="FA189" t="str">
            <v/>
          </cell>
          <cell r="FB189" t="str">
            <v/>
          </cell>
          <cell r="FC189" t="str">
            <v/>
          </cell>
          <cell r="FD189" t="str">
            <v/>
          </cell>
          <cell r="FE189" t="str">
            <v/>
          </cell>
          <cell r="FF189" t="str">
            <v/>
          </cell>
          <cell r="FG189" t="str">
            <v/>
          </cell>
          <cell r="FH189" t="str">
            <v/>
          </cell>
          <cell r="FI189" t="str">
            <v/>
          </cell>
          <cell r="FJ189" t="str">
            <v/>
          </cell>
          <cell r="FK189" t="str">
            <v/>
          </cell>
          <cell r="FL189" t="str">
            <v/>
          </cell>
          <cell r="FM189" t="str">
            <v/>
          </cell>
          <cell r="FN189" t="str">
            <v/>
          </cell>
          <cell r="FO189" t="str">
            <v/>
          </cell>
          <cell r="FP189" t="str">
            <v/>
          </cell>
        </row>
        <row r="190">
          <cell r="N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AJ190">
            <v>0</v>
          </cell>
          <cell r="AK190">
            <v>0</v>
          </cell>
          <cell r="AL190">
            <v>999999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BE190">
            <v>48000</v>
          </cell>
          <cell r="BH190">
            <v>0</v>
          </cell>
          <cell r="BI190">
            <v>0</v>
          </cell>
          <cell r="BJ190">
            <v>0</v>
          </cell>
          <cell r="BK190">
            <v>0</v>
          </cell>
          <cell r="BL190">
            <v>0</v>
          </cell>
          <cell r="BM190">
            <v>0</v>
          </cell>
          <cell r="BN190">
            <v>0</v>
          </cell>
          <cell r="BO190">
            <v>0</v>
          </cell>
          <cell r="BP190">
            <v>0</v>
          </cell>
          <cell r="BQ190">
            <v>0</v>
          </cell>
          <cell r="CB190">
            <v>0</v>
          </cell>
          <cell r="CC190">
            <v>0</v>
          </cell>
          <cell r="CD190">
            <v>0</v>
          </cell>
          <cell r="CE190">
            <v>0</v>
          </cell>
          <cell r="CF190">
            <v>0</v>
          </cell>
          <cell r="CG190">
            <v>0</v>
          </cell>
          <cell r="CH190">
            <v>0</v>
          </cell>
          <cell r="CI190">
            <v>0</v>
          </cell>
          <cell r="CJ190">
            <v>0</v>
          </cell>
          <cell r="CK190">
            <v>0</v>
          </cell>
          <cell r="CW190">
            <v>0</v>
          </cell>
          <cell r="CY190">
            <v>0</v>
          </cell>
          <cell r="CZ190">
            <v>0</v>
          </cell>
          <cell r="DA190">
            <v>0</v>
          </cell>
          <cell r="DB190">
            <v>0</v>
          </cell>
          <cell r="DC190">
            <v>0</v>
          </cell>
          <cell r="DD190">
            <v>0</v>
          </cell>
          <cell r="DE190">
            <v>0</v>
          </cell>
          <cell r="DF190">
            <v>0</v>
          </cell>
          <cell r="DG190">
            <v>0</v>
          </cell>
          <cell r="DH190">
            <v>0</v>
          </cell>
          <cell r="DS190">
            <v>0</v>
          </cell>
          <cell r="DT190">
            <v>177</v>
          </cell>
          <cell r="DU190">
            <v>999999</v>
          </cell>
          <cell r="DV190">
            <v>999999</v>
          </cell>
          <cell r="DW190">
            <v>999999</v>
          </cell>
          <cell r="DX190">
            <v>0</v>
          </cell>
          <cell r="DY190">
            <v>177</v>
          </cell>
          <cell r="DZ190">
            <v>999999</v>
          </cell>
          <cell r="EA190">
            <v>999999</v>
          </cell>
          <cell r="EB190">
            <v>999999</v>
          </cell>
          <cell r="EC190">
            <v>0</v>
          </cell>
          <cell r="ED190">
            <v>0</v>
          </cell>
          <cell r="EE190">
            <v>0</v>
          </cell>
          <cell r="EF190">
            <v>0</v>
          </cell>
          <cell r="EG190">
            <v>0</v>
          </cell>
          <cell r="EH190">
            <v>0</v>
          </cell>
          <cell r="EI190">
            <v>0</v>
          </cell>
          <cell r="EJ190">
            <v>0</v>
          </cell>
          <cell r="EK190">
            <v>0</v>
          </cell>
          <cell r="EL190">
            <v>0</v>
          </cell>
          <cell r="EM190" t="str">
            <v/>
          </cell>
          <cell r="EN190" t="str">
            <v/>
          </cell>
          <cell r="EO190" t="str">
            <v/>
          </cell>
          <cell r="EP190" t="str">
            <v/>
          </cell>
          <cell r="EQ190" t="str">
            <v/>
          </cell>
          <cell r="ER190" t="str">
            <v/>
          </cell>
          <cell r="ES190" t="str">
            <v/>
          </cell>
          <cell r="ET190" t="str">
            <v/>
          </cell>
          <cell r="EU190" t="str">
            <v/>
          </cell>
          <cell r="EV190" t="str">
            <v/>
          </cell>
          <cell r="EW190" t="str">
            <v/>
          </cell>
          <cell r="EX190" t="str">
            <v/>
          </cell>
          <cell r="EY190" t="str">
            <v/>
          </cell>
          <cell r="EZ190" t="str">
            <v/>
          </cell>
          <cell r="FA190" t="str">
            <v/>
          </cell>
          <cell r="FB190" t="str">
            <v/>
          </cell>
          <cell r="FC190" t="str">
            <v/>
          </cell>
          <cell r="FD190" t="str">
            <v/>
          </cell>
          <cell r="FE190" t="str">
            <v/>
          </cell>
          <cell r="FF190" t="str">
            <v/>
          </cell>
          <cell r="FG190" t="str">
            <v/>
          </cell>
          <cell r="FH190" t="str">
            <v/>
          </cell>
          <cell r="FI190" t="str">
            <v/>
          </cell>
          <cell r="FJ190" t="str">
            <v/>
          </cell>
          <cell r="FK190" t="str">
            <v/>
          </cell>
          <cell r="FL190" t="str">
            <v/>
          </cell>
          <cell r="FM190" t="str">
            <v/>
          </cell>
          <cell r="FN190" t="str">
            <v/>
          </cell>
          <cell r="FO190" t="str">
            <v/>
          </cell>
          <cell r="FP190" t="str">
            <v/>
          </cell>
        </row>
        <row r="191">
          <cell r="N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AJ191">
            <v>0</v>
          </cell>
          <cell r="AK191">
            <v>0</v>
          </cell>
          <cell r="AL191">
            <v>999999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BE191">
            <v>0</v>
          </cell>
          <cell r="BH191">
            <v>0</v>
          </cell>
          <cell r="BI191">
            <v>0</v>
          </cell>
          <cell r="BJ191">
            <v>0</v>
          </cell>
          <cell r="BK191">
            <v>0</v>
          </cell>
          <cell r="BL191">
            <v>0</v>
          </cell>
          <cell r="BM191">
            <v>0</v>
          </cell>
          <cell r="BN191">
            <v>0</v>
          </cell>
          <cell r="BO191">
            <v>0</v>
          </cell>
          <cell r="BP191">
            <v>0</v>
          </cell>
          <cell r="BQ191">
            <v>0</v>
          </cell>
          <cell r="CB191">
            <v>0</v>
          </cell>
          <cell r="CC191">
            <v>0</v>
          </cell>
          <cell r="CD191">
            <v>0</v>
          </cell>
          <cell r="CE191">
            <v>0</v>
          </cell>
          <cell r="CF191">
            <v>0</v>
          </cell>
          <cell r="CG191">
            <v>0</v>
          </cell>
          <cell r="CH191">
            <v>0</v>
          </cell>
          <cell r="CI191">
            <v>0</v>
          </cell>
          <cell r="CJ191">
            <v>0</v>
          </cell>
          <cell r="CK191">
            <v>0</v>
          </cell>
          <cell r="CW191">
            <v>0</v>
          </cell>
          <cell r="CY191">
            <v>0</v>
          </cell>
          <cell r="CZ191">
            <v>0</v>
          </cell>
          <cell r="DA191">
            <v>0</v>
          </cell>
          <cell r="DB191">
            <v>0</v>
          </cell>
          <cell r="DC191">
            <v>0</v>
          </cell>
          <cell r="DD191">
            <v>0</v>
          </cell>
          <cell r="DE191">
            <v>0</v>
          </cell>
          <cell r="DF191">
            <v>0</v>
          </cell>
          <cell r="DG191">
            <v>0</v>
          </cell>
          <cell r="DH191">
            <v>0</v>
          </cell>
          <cell r="DS191">
            <v>0</v>
          </cell>
          <cell r="DT191">
            <v>176</v>
          </cell>
          <cell r="DU191">
            <v>999999</v>
          </cell>
          <cell r="DV191">
            <v>999999</v>
          </cell>
          <cell r="DW191">
            <v>999999</v>
          </cell>
          <cell r="DX191">
            <v>0</v>
          </cell>
          <cell r="DY191">
            <v>176</v>
          </cell>
          <cell r="DZ191">
            <v>999999</v>
          </cell>
          <cell r="EA191">
            <v>999999</v>
          </cell>
          <cell r="EB191">
            <v>999999</v>
          </cell>
          <cell r="EC191">
            <v>0</v>
          </cell>
          <cell r="ED191">
            <v>0</v>
          </cell>
          <cell r="EE191">
            <v>0</v>
          </cell>
          <cell r="EF191">
            <v>0</v>
          </cell>
          <cell r="EG191">
            <v>0</v>
          </cell>
          <cell r="EH191">
            <v>0</v>
          </cell>
          <cell r="EI191">
            <v>0</v>
          </cell>
          <cell r="EJ191">
            <v>0</v>
          </cell>
          <cell r="EK191">
            <v>0</v>
          </cell>
          <cell r="EL191">
            <v>0</v>
          </cell>
          <cell r="EM191" t="str">
            <v/>
          </cell>
          <cell r="EN191" t="str">
            <v/>
          </cell>
          <cell r="EO191" t="str">
            <v/>
          </cell>
          <cell r="EP191" t="str">
            <v/>
          </cell>
          <cell r="EQ191" t="str">
            <v/>
          </cell>
          <cell r="ER191" t="str">
            <v/>
          </cell>
          <cell r="ES191" t="str">
            <v/>
          </cell>
          <cell r="ET191" t="str">
            <v/>
          </cell>
          <cell r="EU191" t="str">
            <v/>
          </cell>
          <cell r="EV191" t="str">
            <v/>
          </cell>
          <cell r="EW191" t="str">
            <v/>
          </cell>
          <cell r="EX191" t="str">
            <v/>
          </cell>
          <cell r="EY191" t="str">
            <v/>
          </cell>
          <cell r="EZ191" t="str">
            <v/>
          </cell>
          <cell r="FA191" t="str">
            <v/>
          </cell>
          <cell r="FB191" t="str">
            <v/>
          </cell>
          <cell r="FC191" t="str">
            <v/>
          </cell>
          <cell r="FD191" t="str">
            <v/>
          </cell>
          <cell r="FE191" t="str">
            <v/>
          </cell>
          <cell r="FF191" t="str">
            <v/>
          </cell>
          <cell r="FG191" t="str">
            <v/>
          </cell>
          <cell r="FH191" t="str">
            <v/>
          </cell>
          <cell r="FI191" t="str">
            <v/>
          </cell>
          <cell r="FJ191" t="str">
            <v/>
          </cell>
          <cell r="FK191" t="str">
            <v/>
          </cell>
          <cell r="FL191" t="str">
            <v/>
          </cell>
          <cell r="FM191" t="str">
            <v/>
          </cell>
          <cell r="FN191" t="str">
            <v/>
          </cell>
          <cell r="FO191" t="str">
            <v/>
          </cell>
          <cell r="FP191" t="str">
            <v/>
          </cell>
        </row>
        <row r="192">
          <cell r="N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AJ192">
            <v>0</v>
          </cell>
          <cell r="AK192">
            <v>0</v>
          </cell>
          <cell r="AL192">
            <v>999999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BE192">
            <v>0</v>
          </cell>
          <cell r="BH192">
            <v>0</v>
          </cell>
          <cell r="BI192">
            <v>0</v>
          </cell>
          <cell r="BJ192">
            <v>0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0</v>
          </cell>
          <cell r="BQ192">
            <v>0</v>
          </cell>
          <cell r="CB192">
            <v>0</v>
          </cell>
          <cell r="CC192">
            <v>0</v>
          </cell>
          <cell r="CD192">
            <v>0</v>
          </cell>
          <cell r="CE192">
            <v>0</v>
          </cell>
          <cell r="CF192">
            <v>0</v>
          </cell>
          <cell r="CG192">
            <v>0</v>
          </cell>
          <cell r="CH192">
            <v>0</v>
          </cell>
          <cell r="CI192">
            <v>0</v>
          </cell>
          <cell r="CJ192">
            <v>0</v>
          </cell>
          <cell r="CK192">
            <v>0</v>
          </cell>
          <cell r="CW192">
            <v>0</v>
          </cell>
          <cell r="CY192">
            <v>0</v>
          </cell>
          <cell r="CZ192">
            <v>0</v>
          </cell>
          <cell r="DA192">
            <v>0</v>
          </cell>
          <cell r="DB192">
            <v>0</v>
          </cell>
          <cell r="DC192">
            <v>0</v>
          </cell>
          <cell r="DD192">
            <v>0</v>
          </cell>
          <cell r="DE192">
            <v>0</v>
          </cell>
          <cell r="DF192">
            <v>0</v>
          </cell>
          <cell r="DG192">
            <v>0</v>
          </cell>
          <cell r="DH192">
            <v>0</v>
          </cell>
          <cell r="DS192">
            <v>0</v>
          </cell>
          <cell r="DT192">
            <v>175</v>
          </cell>
          <cell r="DU192">
            <v>999999</v>
          </cell>
          <cell r="DV192">
            <v>999999</v>
          </cell>
          <cell r="DW192">
            <v>999999</v>
          </cell>
          <cell r="DX192">
            <v>0</v>
          </cell>
          <cell r="DY192">
            <v>175</v>
          </cell>
          <cell r="DZ192">
            <v>999999</v>
          </cell>
          <cell r="EA192">
            <v>999999</v>
          </cell>
          <cell r="EB192">
            <v>999999</v>
          </cell>
          <cell r="EC192">
            <v>0</v>
          </cell>
          <cell r="ED192">
            <v>0</v>
          </cell>
          <cell r="EE192">
            <v>0</v>
          </cell>
          <cell r="EF192">
            <v>0</v>
          </cell>
          <cell r="EG192">
            <v>0</v>
          </cell>
          <cell r="EH192">
            <v>0</v>
          </cell>
          <cell r="EI192">
            <v>0</v>
          </cell>
          <cell r="EJ192">
            <v>0</v>
          </cell>
          <cell r="EK192">
            <v>0</v>
          </cell>
          <cell r="EL192">
            <v>0</v>
          </cell>
          <cell r="EM192" t="str">
            <v/>
          </cell>
          <cell r="EN192" t="str">
            <v/>
          </cell>
          <cell r="EO192" t="str">
            <v/>
          </cell>
          <cell r="EP192" t="str">
            <v/>
          </cell>
          <cell r="EQ192" t="str">
            <v/>
          </cell>
          <cell r="ER192" t="str">
            <v/>
          </cell>
          <cell r="ES192" t="str">
            <v/>
          </cell>
          <cell r="ET192" t="str">
            <v/>
          </cell>
          <cell r="EU192" t="str">
            <v/>
          </cell>
          <cell r="EV192" t="str">
            <v/>
          </cell>
          <cell r="EW192" t="str">
            <v/>
          </cell>
          <cell r="EX192" t="str">
            <v/>
          </cell>
          <cell r="EY192" t="str">
            <v/>
          </cell>
          <cell r="EZ192" t="str">
            <v/>
          </cell>
          <cell r="FA192" t="str">
            <v/>
          </cell>
          <cell r="FB192" t="str">
            <v/>
          </cell>
          <cell r="FC192" t="str">
            <v/>
          </cell>
          <cell r="FD192" t="str">
            <v/>
          </cell>
          <cell r="FE192" t="str">
            <v/>
          </cell>
          <cell r="FF192" t="str">
            <v/>
          </cell>
          <cell r="FG192" t="str">
            <v/>
          </cell>
          <cell r="FH192" t="str">
            <v/>
          </cell>
          <cell r="FI192" t="str">
            <v/>
          </cell>
          <cell r="FJ192" t="str">
            <v/>
          </cell>
          <cell r="FK192" t="str">
            <v/>
          </cell>
          <cell r="FL192" t="str">
            <v/>
          </cell>
          <cell r="FM192" t="str">
            <v/>
          </cell>
          <cell r="FN192" t="str">
            <v/>
          </cell>
          <cell r="FO192" t="str">
            <v/>
          </cell>
          <cell r="FP192" t="str">
            <v/>
          </cell>
        </row>
        <row r="193">
          <cell r="N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AJ193">
            <v>0</v>
          </cell>
          <cell r="AK193">
            <v>0</v>
          </cell>
          <cell r="AL193">
            <v>999999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BE193">
            <v>0</v>
          </cell>
          <cell r="BH193">
            <v>0</v>
          </cell>
          <cell r="BI193">
            <v>0</v>
          </cell>
          <cell r="BJ193">
            <v>0</v>
          </cell>
          <cell r="BK193">
            <v>0</v>
          </cell>
          <cell r="BL193">
            <v>0</v>
          </cell>
          <cell r="BM193">
            <v>0</v>
          </cell>
          <cell r="BN193">
            <v>0</v>
          </cell>
          <cell r="BO193">
            <v>0</v>
          </cell>
          <cell r="BP193">
            <v>0</v>
          </cell>
          <cell r="BQ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W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S193">
            <v>0</v>
          </cell>
          <cell r="DT193">
            <v>174</v>
          </cell>
          <cell r="DU193">
            <v>999999</v>
          </cell>
          <cell r="DV193">
            <v>999999</v>
          </cell>
          <cell r="DW193">
            <v>999999</v>
          </cell>
          <cell r="DX193">
            <v>0</v>
          </cell>
          <cell r="DY193">
            <v>174</v>
          </cell>
          <cell r="DZ193">
            <v>999999</v>
          </cell>
          <cell r="EA193">
            <v>999999</v>
          </cell>
          <cell r="EB193">
            <v>999999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 t="str">
            <v/>
          </cell>
          <cell r="EN193" t="str">
            <v/>
          </cell>
          <cell r="EO193" t="str">
            <v/>
          </cell>
          <cell r="EP193" t="str">
            <v/>
          </cell>
          <cell r="EQ193" t="str">
            <v/>
          </cell>
          <cell r="ER193" t="str">
            <v/>
          </cell>
          <cell r="ES193" t="str">
            <v/>
          </cell>
          <cell r="ET193" t="str">
            <v/>
          </cell>
          <cell r="EU193" t="str">
            <v/>
          </cell>
          <cell r="EV193" t="str">
            <v/>
          </cell>
          <cell r="EW193" t="str">
            <v/>
          </cell>
          <cell r="EX193" t="str">
            <v/>
          </cell>
          <cell r="EY193" t="str">
            <v/>
          </cell>
          <cell r="EZ193" t="str">
            <v/>
          </cell>
          <cell r="FA193" t="str">
            <v/>
          </cell>
          <cell r="FB193" t="str">
            <v/>
          </cell>
          <cell r="FC193" t="str">
            <v/>
          </cell>
          <cell r="FD193" t="str">
            <v/>
          </cell>
          <cell r="FE193" t="str">
            <v/>
          </cell>
          <cell r="FF193" t="str">
            <v/>
          </cell>
          <cell r="FG193" t="str">
            <v/>
          </cell>
          <cell r="FH193" t="str">
            <v/>
          </cell>
          <cell r="FI193" t="str">
            <v/>
          </cell>
          <cell r="FJ193" t="str">
            <v/>
          </cell>
          <cell r="FK193" t="str">
            <v/>
          </cell>
          <cell r="FL193" t="str">
            <v/>
          </cell>
          <cell r="FM193" t="str">
            <v/>
          </cell>
          <cell r="FN193" t="str">
            <v/>
          </cell>
          <cell r="FO193" t="str">
            <v/>
          </cell>
          <cell r="FP193" t="str">
            <v/>
          </cell>
        </row>
        <row r="194">
          <cell r="N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AJ194">
            <v>0</v>
          </cell>
          <cell r="AK194">
            <v>0</v>
          </cell>
          <cell r="AL194">
            <v>999999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BE194">
            <v>0</v>
          </cell>
          <cell r="BH194">
            <v>0</v>
          </cell>
          <cell r="BI194">
            <v>0</v>
          </cell>
          <cell r="BJ194">
            <v>0</v>
          </cell>
          <cell r="BK194">
            <v>0</v>
          </cell>
          <cell r="BL194">
            <v>0</v>
          </cell>
          <cell r="BM194">
            <v>0</v>
          </cell>
          <cell r="BN194">
            <v>0</v>
          </cell>
          <cell r="BO194">
            <v>0</v>
          </cell>
          <cell r="BP194">
            <v>0</v>
          </cell>
          <cell r="BQ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W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S194">
            <v>0</v>
          </cell>
          <cell r="DT194">
            <v>173</v>
          </cell>
          <cell r="DU194">
            <v>999999</v>
          </cell>
          <cell r="DV194">
            <v>999999</v>
          </cell>
          <cell r="DW194">
            <v>999999</v>
          </cell>
          <cell r="DX194">
            <v>0</v>
          </cell>
          <cell r="DY194">
            <v>173</v>
          </cell>
          <cell r="DZ194">
            <v>999999</v>
          </cell>
          <cell r="EA194">
            <v>999999</v>
          </cell>
          <cell r="EB194">
            <v>999999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 t="str">
            <v/>
          </cell>
          <cell r="EN194" t="str">
            <v/>
          </cell>
          <cell r="EO194" t="str">
            <v/>
          </cell>
          <cell r="EP194" t="str">
            <v/>
          </cell>
          <cell r="EQ194" t="str">
            <v/>
          </cell>
          <cell r="ER194" t="str">
            <v/>
          </cell>
          <cell r="ES194" t="str">
            <v/>
          </cell>
          <cell r="ET194" t="str">
            <v/>
          </cell>
          <cell r="EU194" t="str">
            <v/>
          </cell>
          <cell r="EV194" t="str">
            <v/>
          </cell>
          <cell r="EW194" t="str">
            <v/>
          </cell>
          <cell r="EX194" t="str">
            <v/>
          </cell>
          <cell r="EY194" t="str">
            <v/>
          </cell>
          <cell r="EZ194" t="str">
            <v/>
          </cell>
          <cell r="FA194" t="str">
            <v/>
          </cell>
          <cell r="FB194" t="str">
            <v/>
          </cell>
          <cell r="FC194" t="str">
            <v/>
          </cell>
          <cell r="FD194" t="str">
            <v/>
          </cell>
          <cell r="FE194" t="str">
            <v/>
          </cell>
          <cell r="FF194" t="str">
            <v/>
          </cell>
          <cell r="FG194" t="str">
            <v/>
          </cell>
          <cell r="FH194" t="str">
            <v/>
          </cell>
          <cell r="FI194" t="str">
            <v/>
          </cell>
          <cell r="FJ194" t="str">
            <v/>
          </cell>
          <cell r="FK194" t="str">
            <v/>
          </cell>
          <cell r="FL194" t="str">
            <v/>
          </cell>
          <cell r="FM194" t="str">
            <v/>
          </cell>
          <cell r="FN194" t="str">
            <v/>
          </cell>
          <cell r="FO194" t="str">
            <v/>
          </cell>
          <cell r="FP194" t="str">
            <v/>
          </cell>
        </row>
        <row r="195">
          <cell r="N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AJ195">
            <v>0</v>
          </cell>
          <cell r="AK195">
            <v>0</v>
          </cell>
          <cell r="AL195">
            <v>999999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BE195">
            <v>0</v>
          </cell>
          <cell r="BH195">
            <v>0</v>
          </cell>
          <cell r="BI195">
            <v>0</v>
          </cell>
          <cell r="BJ195">
            <v>0</v>
          </cell>
          <cell r="BK195">
            <v>0</v>
          </cell>
          <cell r="BL195">
            <v>0</v>
          </cell>
          <cell r="BM195">
            <v>0</v>
          </cell>
          <cell r="BN195">
            <v>0</v>
          </cell>
          <cell r="BO195">
            <v>0</v>
          </cell>
          <cell r="BP195">
            <v>0</v>
          </cell>
          <cell r="BQ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W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S195">
            <v>0</v>
          </cell>
          <cell r="DT195">
            <v>172</v>
          </cell>
          <cell r="DU195">
            <v>999999</v>
          </cell>
          <cell r="DV195">
            <v>999999</v>
          </cell>
          <cell r="DW195">
            <v>999999</v>
          </cell>
          <cell r="DX195">
            <v>0</v>
          </cell>
          <cell r="DY195">
            <v>172</v>
          </cell>
          <cell r="DZ195">
            <v>999999</v>
          </cell>
          <cell r="EA195">
            <v>999999</v>
          </cell>
          <cell r="EB195">
            <v>999999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 t="str">
            <v/>
          </cell>
          <cell r="EN195" t="str">
            <v/>
          </cell>
          <cell r="EO195" t="str">
            <v/>
          </cell>
          <cell r="EP195" t="str">
            <v/>
          </cell>
          <cell r="EQ195" t="str">
            <v/>
          </cell>
          <cell r="ER195" t="str">
            <v/>
          </cell>
          <cell r="ES195" t="str">
            <v/>
          </cell>
          <cell r="ET195" t="str">
            <v/>
          </cell>
          <cell r="EU195" t="str">
            <v/>
          </cell>
          <cell r="EV195" t="str">
            <v/>
          </cell>
          <cell r="EW195" t="str">
            <v/>
          </cell>
          <cell r="EX195" t="str">
            <v/>
          </cell>
          <cell r="EY195" t="str">
            <v/>
          </cell>
          <cell r="EZ195" t="str">
            <v/>
          </cell>
          <cell r="FA195" t="str">
            <v/>
          </cell>
          <cell r="FB195" t="str">
            <v/>
          </cell>
          <cell r="FC195" t="str">
            <v/>
          </cell>
          <cell r="FD195" t="str">
            <v/>
          </cell>
          <cell r="FE195" t="str">
            <v/>
          </cell>
          <cell r="FF195" t="str">
            <v/>
          </cell>
          <cell r="FG195" t="str">
            <v/>
          </cell>
          <cell r="FH195" t="str">
            <v/>
          </cell>
          <cell r="FI195" t="str">
            <v/>
          </cell>
          <cell r="FJ195" t="str">
            <v/>
          </cell>
          <cell r="FK195" t="str">
            <v/>
          </cell>
          <cell r="FL195" t="str">
            <v/>
          </cell>
          <cell r="FM195" t="str">
            <v/>
          </cell>
          <cell r="FN195" t="str">
            <v/>
          </cell>
          <cell r="FO195" t="str">
            <v/>
          </cell>
          <cell r="FP195" t="str">
            <v/>
          </cell>
        </row>
        <row r="196">
          <cell r="N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AJ196">
            <v>0</v>
          </cell>
          <cell r="AK196">
            <v>0</v>
          </cell>
          <cell r="AL196">
            <v>999999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BE196">
            <v>0</v>
          </cell>
          <cell r="BH196">
            <v>0</v>
          </cell>
          <cell r="BI196">
            <v>0</v>
          </cell>
          <cell r="BJ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0</v>
          </cell>
          <cell r="BP196">
            <v>0</v>
          </cell>
          <cell r="BQ196">
            <v>0</v>
          </cell>
          <cell r="CB196">
            <v>0</v>
          </cell>
          <cell r="CC196">
            <v>0</v>
          </cell>
          <cell r="CD196">
            <v>0</v>
          </cell>
          <cell r="CE196">
            <v>0</v>
          </cell>
          <cell r="CF196">
            <v>0</v>
          </cell>
          <cell r="CG196">
            <v>0</v>
          </cell>
          <cell r="CH196">
            <v>0</v>
          </cell>
          <cell r="CI196">
            <v>0</v>
          </cell>
          <cell r="CJ196">
            <v>0</v>
          </cell>
          <cell r="CK196">
            <v>0</v>
          </cell>
          <cell r="CW196">
            <v>0</v>
          </cell>
          <cell r="CY196">
            <v>0</v>
          </cell>
          <cell r="CZ196">
            <v>0</v>
          </cell>
          <cell r="DA196">
            <v>0</v>
          </cell>
          <cell r="DB196">
            <v>0</v>
          </cell>
          <cell r="DC196">
            <v>0</v>
          </cell>
          <cell r="DD196">
            <v>0</v>
          </cell>
          <cell r="DE196">
            <v>0</v>
          </cell>
          <cell r="DF196">
            <v>0</v>
          </cell>
          <cell r="DG196">
            <v>0</v>
          </cell>
          <cell r="DH196">
            <v>0</v>
          </cell>
          <cell r="DS196">
            <v>0</v>
          </cell>
          <cell r="DT196">
            <v>171</v>
          </cell>
          <cell r="DU196">
            <v>999999</v>
          </cell>
          <cell r="DV196">
            <v>999999</v>
          </cell>
          <cell r="DW196">
            <v>999999</v>
          </cell>
          <cell r="DX196">
            <v>0</v>
          </cell>
          <cell r="DY196">
            <v>171</v>
          </cell>
          <cell r="DZ196">
            <v>999999</v>
          </cell>
          <cell r="EA196">
            <v>999999</v>
          </cell>
          <cell r="EB196">
            <v>999999</v>
          </cell>
          <cell r="EC196">
            <v>0</v>
          </cell>
          <cell r="ED196">
            <v>0</v>
          </cell>
          <cell r="EE196">
            <v>0</v>
          </cell>
          <cell r="EF196">
            <v>0</v>
          </cell>
          <cell r="EG196">
            <v>0</v>
          </cell>
          <cell r="EH196">
            <v>0</v>
          </cell>
          <cell r="EI196">
            <v>0</v>
          </cell>
          <cell r="EJ196">
            <v>0</v>
          </cell>
          <cell r="EK196">
            <v>0</v>
          </cell>
          <cell r="EL196">
            <v>0</v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 t="str">
            <v/>
          </cell>
          <cell r="EU196" t="str">
            <v/>
          </cell>
          <cell r="EV196" t="str">
            <v/>
          </cell>
          <cell r="EW196" t="str">
            <v/>
          </cell>
          <cell r="EX196" t="str">
            <v/>
          </cell>
          <cell r="EY196" t="str">
            <v/>
          </cell>
          <cell r="EZ196" t="str">
            <v/>
          </cell>
          <cell r="FA196" t="str">
            <v/>
          </cell>
          <cell r="FB196" t="str">
            <v/>
          </cell>
          <cell r="FC196" t="str">
            <v/>
          </cell>
          <cell r="FD196" t="str">
            <v/>
          </cell>
          <cell r="FE196" t="str">
            <v/>
          </cell>
          <cell r="FF196" t="str">
            <v/>
          </cell>
          <cell r="FG196" t="str">
            <v/>
          </cell>
          <cell r="FH196" t="str">
            <v/>
          </cell>
          <cell r="FI196" t="str">
            <v/>
          </cell>
          <cell r="FJ196" t="str">
            <v/>
          </cell>
          <cell r="FK196" t="str">
            <v/>
          </cell>
          <cell r="FL196" t="str">
            <v/>
          </cell>
          <cell r="FM196" t="str">
            <v/>
          </cell>
          <cell r="FN196" t="str">
            <v/>
          </cell>
          <cell r="FO196" t="str">
            <v/>
          </cell>
          <cell r="FP196" t="str">
            <v/>
          </cell>
        </row>
        <row r="197">
          <cell r="N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AJ197">
            <v>0</v>
          </cell>
          <cell r="AK197">
            <v>0</v>
          </cell>
          <cell r="AL197">
            <v>999999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BE197">
            <v>0</v>
          </cell>
          <cell r="BH197">
            <v>0</v>
          </cell>
          <cell r="BI197">
            <v>0</v>
          </cell>
          <cell r="BJ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P197">
            <v>0</v>
          </cell>
          <cell r="BQ197">
            <v>0</v>
          </cell>
          <cell r="CB197">
            <v>0</v>
          </cell>
          <cell r="CC197">
            <v>0</v>
          </cell>
          <cell r="CD197">
            <v>0</v>
          </cell>
          <cell r="CE197">
            <v>0</v>
          </cell>
          <cell r="CF197">
            <v>0</v>
          </cell>
          <cell r="CG197">
            <v>0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  <cell r="CW197">
            <v>0</v>
          </cell>
          <cell r="CY197">
            <v>0</v>
          </cell>
          <cell r="CZ197">
            <v>0</v>
          </cell>
          <cell r="DA197">
            <v>0</v>
          </cell>
          <cell r="DB197">
            <v>0</v>
          </cell>
          <cell r="DC197">
            <v>0</v>
          </cell>
          <cell r="DD197">
            <v>0</v>
          </cell>
          <cell r="DE197">
            <v>0</v>
          </cell>
          <cell r="DF197">
            <v>0</v>
          </cell>
          <cell r="DG197">
            <v>0</v>
          </cell>
          <cell r="DH197">
            <v>0</v>
          </cell>
          <cell r="DS197">
            <v>0</v>
          </cell>
          <cell r="DT197">
            <v>170</v>
          </cell>
          <cell r="DU197">
            <v>999999</v>
          </cell>
          <cell r="DV197">
            <v>999999</v>
          </cell>
          <cell r="DW197">
            <v>999999</v>
          </cell>
          <cell r="DX197">
            <v>0</v>
          </cell>
          <cell r="DY197">
            <v>170</v>
          </cell>
          <cell r="DZ197">
            <v>999999</v>
          </cell>
          <cell r="EA197">
            <v>999999</v>
          </cell>
          <cell r="EB197">
            <v>999999</v>
          </cell>
          <cell r="EC197">
            <v>0</v>
          </cell>
          <cell r="ED197">
            <v>0</v>
          </cell>
          <cell r="EE197">
            <v>0</v>
          </cell>
          <cell r="EF197">
            <v>0</v>
          </cell>
          <cell r="EG197">
            <v>0</v>
          </cell>
          <cell r="EH197">
            <v>0</v>
          </cell>
          <cell r="EI197">
            <v>0</v>
          </cell>
          <cell r="EJ197">
            <v>0</v>
          </cell>
          <cell r="EK197">
            <v>0</v>
          </cell>
          <cell r="EL197">
            <v>0</v>
          </cell>
          <cell r="EM197" t="str">
            <v/>
          </cell>
          <cell r="EN197" t="str">
            <v/>
          </cell>
          <cell r="EO197" t="str">
            <v/>
          </cell>
          <cell r="EP197" t="str">
            <v/>
          </cell>
          <cell r="EQ197" t="str">
            <v/>
          </cell>
          <cell r="ER197" t="str">
            <v/>
          </cell>
          <cell r="ES197" t="str">
            <v/>
          </cell>
          <cell r="ET197" t="str">
            <v/>
          </cell>
          <cell r="EU197" t="str">
            <v/>
          </cell>
          <cell r="EV197" t="str">
            <v/>
          </cell>
          <cell r="EW197" t="str">
            <v/>
          </cell>
          <cell r="EX197" t="str">
            <v/>
          </cell>
          <cell r="EY197" t="str">
            <v/>
          </cell>
          <cell r="EZ197" t="str">
            <v/>
          </cell>
          <cell r="FA197" t="str">
            <v/>
          </cell>
          <cell r="FB197" t="str">
            <v/>
          </cell>
          <cell r="FC197" t="str">
            <v/>
          </cell>
          <cell r="FD197" t="str">
            <v/>
          </cell>
          <cell r="FE197" t="str">
            <v/>
          </cell>
          <cell r="FF197" t="str">
            <v/>
          </cell>
          <cell r="FG197" t="str">
            <v/>
          </cell>
          <cell r="FH197" t="str">
            <v/>
          </cell>
          <cell r="FI197" t="str">
            <v/>
          </cell>
          <cell r="FJ197" t="str">
            <v/>
          </cell>
          <cell r="FK197" t="str">
            <v/>
          </cell>
          <cell r="FL197" t="str">
            <v/>
          </cell>
          <cell r="FM197" t="str">
            <v/>
          </cell>
          <cell r="FN197" t="str">
            <v/>
          </cell>
          <cell r="FO197" t="str">
            <v/>
          </cell>
          <cell r="FP197" t="str">
            <v/>
          </cell>
        </row>
        <row r="198">
          <cell r="N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AJ198">
            <v>0</v>
          </cell>
          <cell r="AK198">
            <v>0</v>
          </cell>
          <cell r="AL198">
            <v>999999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BE198">
            <v>48000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  <cell r="CB198">
            <v>0</v>
          </cell>
          <cell r="CC198">
            <v>0</v>
          </cell>
          <cell r="CD198">
            <v>0</v>
          </cell>
          <cell r="CE198">
            <v>0</v>
          </cell>
          <cell r="CF198">
            <v>0</v>
          </cell>
          <cell r="CG198">
            <v>0</v>
          </cell>
          <cell r="CH198">
            <v>0</v>
          </cell>
          <cell r="CI198">
            <v>0</v>
          </cell>
          <cell r="CJ198">
            <v>0</v>
          </cell>
          <cell r="CK198">
            <v>0</v>
          </cell>
          <cell r="CW198">
            <v>48000</v>
          </cell>
          <cell r="CY198">
            <v>0</v>
          </cell>
          <cell r="CZ198">
            <v>0</v>
          </cell>
          <cell r="DA198">
            <v>0</v>
          </cell>
          <cell r="DB198">
            <v>0</v>
          </cell>
          <cell r="DC198">
            <v>0</v>
          </cell>
          <cell r="DD198">
            <v>0</v>
          </cell>
          <cell r="DE198">
            <v>0</v>
          </cell>
          <cell r="DF198">
            <v>0</v>
          </cell>
          <cell r="DG198">
            <v>0</v>
          </cell>
          <cell r="DH198">
            <v>0</v>
          </cell>
          <cell r="DS198">
            <v>0</v>
          </cell>
          <cell r="DT198">
            <v>169</v>
          </cell>
          <cell r="DU198">
            <v>999999</v>
          </cell>
          <cell r="DV198">
            <v>999999</v>
          </cell>
          <cell r="DW198">
            <v>999999</v>
          </cell>
          <cell r="DX198">
            <v>0</v>
          </cell>
          <cell r="DY198">
            <v>169</v>
          </cell>
          <cell r="DZ198">
            <v>999999</v>
          </cell>
          <cell r="EA198">
            <v>999999</v>
          </cell>
          <cell r="EB198">
            <v>999999</v>
          </cell>
          <cell r="EC198">
            <v>0</v>
          </cell>
          <cell r="ED198">
            <v>0</v>
          </cell>
          <cell r="EE198">
            <v>0</v>
          </cell>
          <cell r="EF198">
            <v>0</v>
          </cell>
          <cell r="EG198">
            <v>0</v>
          </cell>
          <cell r="EH198">
            <v>0</v>
          </cell>
          <cell r="EI198">
            <v>0</v>
          </cell>
          <cell r="EJ198">
            <v>0</v>
          </cell>
          <cell r="EK198">
            <v>0</v>
          </cell>
          <cell r="EL198">
            <v>0</v>
          </cell>
          <cell r="EM198" t="str">
            <v/>
          </cell>
          <cell r="EN198" t="str">
            <v/>
          </cell>
          <cell r="EO198" t="str">
            <v/>
          </cell>
          <cell r="EP198" t="str">
            <v/>
          </cell>
          <cell r="EQ198" t="str">
            <v/>
          </cell>
          <cell r="ER198" t="str">
            <v/>
          </cell>
          <cell r="ES198" t="str">
            <v/>
          </cell>
          <cell r="ET198" t="str">
            <v/>
          </cell>
          <cell r="EU198" t="str">
            <v/>
          </cell>
          <cell r="EV198" t="str">
            <v/>
          </cell>
          <cell r="EW198" t="str">
            <v/>
          </cell>
          <cell r="EX198" t="str">
            <v/>
          </cell>
          <cell r="EY198" t="str">
            <v/>
          </cell>
          <cell r="EZ198" t="str">
            <v/>
          </cell>
          <cell r="FA198" t="str">
            <v/>
          </cell>
          <cell r="FB198" t="str">
            <v/>
          </cell>
          <cell r="FC198" t="str">
            <v/>
          </cell>
          <cell r="FD198" t="str">
            <v/>
          </cell>
          <cell r="FE198" t="str">
            <v/>
          </cell>
          <cell r="FF198" t="str">
            <v/>
          </cell>
          <cell r="FG198" t="str">
            <v/>
          </cell>
          <cell r="FH198" t="str">
            <v/>
          </cell>
          <cell r="FI198" t="str">
            <v/>
          </cell>
          <cell r="FJ198" t="str">
            <v/>
          </cell>
          <cell r="FK198" t="str">
            <v/>
          </cell>
          <cell r="FL198" t="str">
            <v/>
          </cell>
          <cell r="FM198" t="str">
            <v/>
          </cell>
          <cell r="FN198" t="str">
            <v/>
          </cell>
          <cell r="FO198" t="str">
            <v/>
          </cell>
          <cell r="FP198" t="str">
            <v/>
          </cell>
        </row>
        <row r="199">
          <cell r="N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AJ199">
            <v>0</v>
          </cell>
          <cell r="AK199">
            <v>0</v>
          </cell>
          <cell r="AL199">
            <v>999999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BE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  <cell r="CB199">
            <v>0</v>
          </cell>
          <cell r="CC199">
            <v>0</v>
          </cell>
          <cell r="CD199">
            <v>0</v>
          </cell>
          <cell r="CE199">
            <v>0</v>
          </cell>
          <cell r="CF199">
            <v>0</v>
          </cell>
          <cell r="CG199">
            <v>0</v>
          </cell>
          <cell r="CH199">
            <v>0</v>
          </cell>
          <cell r="CI199">
            <v>0</v>
          </cell>
          <cell r="CJ199">
            <v>0</v>
          </cell>
          <cell r="CK199">
            <v>0</v>
          </cell>
          <cell r="CW199">
            <v>0</v>
          </cell>
          <cell r="CY199">
            <v>0</v>
          </cell>
          <cell r="CZ199">
            <v>0</v>
          </cell>
          <cell r="DA199">
            <v>0</v>
          </cell>
          <cell r="DB199">
            <v>0</v>
          </cell>
          <cell r="DC199">
            <v>0</v>
          </cell>
          <cell r="DD199">
            <v>0</v>
          </cell>
          <cell r="DE199">
            <v>0</v>
          </cell>
          <cell r="DF199">
            <v>0</v>
          </cell>
          <cell r="DG199">
            <v>0</v>
          </cell>
          <cell r="DH199">
            <v>0</v>
          </cell>
          <cell r="DS199">
            <v>0</v>
          </cell>
          <cell r="DT199">
            <v>168</v>
          </cell>
          <cell r="DU199">
            <v>999999</v>
          </cell>
          <cell r="DV199">
            <v>999999</v>
          </cell>
          <cell r="DW199">
            <v>999999</v>
          </cell>
          <cell r="DX199">
            <v>0</v>
          </cell>
          <cell r="DY199">
            <v>168</v>
          </cell>
          <cell r="DZ199">
            <v>999999</v>
          </cell>
          <cell r="EA199">
            <v>999999</v>
          </cell>
          <cell r="EB199">
            <v>999999</v>
          </cell>
          <cell r="EC199">
            <v>0</v>
          </cell>
          <cell r="ED199">
            <v>0</v>
          </cell>
          <cell r="EE199">
            <v>0</v>
          </cell>
          <cell r="EF199">
            <v>0</v>
          </cell>
          <cell r="EG199">
            <v>0</v>
          </cell>
          <cell r="EH199">
            <v>0</v>
          </cell>
          <cell r="EI199">
            <v>0</v>
          </cell>
          <cell r="EJ199">
            <v>0</v>
          </cell>
          <cell r="EK199">
            <v>0</v>
          </cell>
          <cell r="EL199">
            <v>0</v>
          </cell>
          <cell r="EM199" t="str">
            <v/>
          </cell>
          <cell r="EN199" t="str">
            <v/>
          </cell>
          <cell r="EO199" t="str">
            <v/>
          </cell>
          <cell r="EP199" t="str">
            <v/>
          </cell>
          <cell r="EQ199" t="str">
            <v/>
          </cell>
          <cell r="ER199" t="str">
            <v/>
          </cell>
          <cell r="ES199" t="str">
            <v/>
          </cell>
          <cell r="ET199" t="str">
            <v/>
          </cell>
          <cell r="EU199" t="str">
            <v/>
          </cell>
          <cell r="EV199" t="str">
            <v/>
          </cell>
          <cell r="EW199" t="str">
            <v/>
          </cell>
          <cell r="EX199" t="str">
            <v/>
          </cell>
          <cell r="EY199" t="str">
            <v/>
          </cell>
          <cell r="EZ199" t="str">
            <v/>
          </cell>
          <cell r="FA199" t="str">
            <v/>
          </cell>
          <cell r="FB199" t="str">
            <v/>
          </cell>
          <cell r="FC199" t="str">
            <v/>
          </cell>
          <cell r="FD199" t="str">
            <v/>
          </cell>
          <cell r="FE199" t="str">
            <v/>
          </cell>
          <cell r="FF199" t="str">
            <v/>
          </cell>
          <cell r="FG199" t="str">
            <v/>
          </cell>
          <cell r="FH199" t="str">
            <v/>
          </cell>
          <cell r="FI199" t="str">
            <v/>
          </cell>
          <cell r="FJ199" t="str">
            <v/>
          </cell>
          <cell r="FK199" t="str">
            <v/>
          </cell>
          <cell r="FL199" t="str">
            <v/>
          </cell>
          <cell r="FM199" t="str">
            <v/>
          </cell>
          <cell r="FN199" t="str">
            <v/>
          </cell>
          <cell r="FO199" t="str">
            <v/>
          </cell>
          <cell r="FP199" t="str">
            <v/>
          </cell>
        </row>
        <row r="200">
          <cell r="N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AJ200">
            <v>0</v>
          </cell>
          <cell r="AK200">
            <v>0</v>
          </cell>
          <cell r="AL200">
            <v>999999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BE200">
            <v>0</v>
          </cell>
          <cell r="BH200">
            <v>0</v>
          </cell>
          <cell r="BI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  <cell r="CB200">
            <v>0</v>
          </cell>
          <cell r="CC200">
            <v>0</v>
          </cell>
          <cell r="CD200">
            <v>0</v>
          </cell>
          <cell r="CE200">
            <v>0</v>
          </cell>
          <cell r="CF200">
            <v>0</v>
          </cell>
          <cell r="CG200">
            <v>0</v>
          </cell>
          <cell r="CH200">
            <v>0</v>
          </cell>
          <cell r="CI200">
            <v>0</v>
          </cell>
          <cell r="CJ200">
            <v>0</v>
          </cell>
          <cell r="CK200">
            <v>0</v>
          </cell>
          <cell r="CW200">
            <v>0</v>
          </cell>
          <cell r="CY200">
            <v>0</v>
          </cell>
          <cell r="CZ200">
            <v>0</v>
          </cell>
          <cell r="DA200">
            <v>0</v>
          </cell>
          <cell r="DB200">
            <v>0</v>
          </cell>
          <cell r="DC200">
            <v>0</v>
          </cell>
          <cell r="DD200">
            <v>0</v>
          </cell>
          <cell r="DE200">
            <v>0</v>
          </cell>
          <cell r="DF200">
            <v>0</v>
          </cell>
          <cell r="DG200">
            <v>0</v>
          </cell>
          <cell r="DH200">
            <v>0</v>
          </cell>
          <cell r="DS200">
            <v>0</v>
          </cell>
          <cell r="DT200">
            <v>167</v>
          </cell>
          <cell r="DU200">
            <v>999999</v>
          </cell>
          <cell r="DV200">
            <v>999999</v>
          </cell>
          <cell r="DW200">
            <v>999999</v>
          </cell>
          <cell r="DX200">
            <v>0</v>
          </cell>
          <cell r="DY200">
            <v>167</v>
          </cell>
          <cell r="DZ200">
            <v>999999</v>
          </cell>
          <cell r="EA200">
            <v>999999</v>
          </cell>
          <cell r="EB200">
            <v>999999</v>
          </cell>
          <cell r="EC200">
            <v>0</v>
          </cell>
          <cell r="ED200">
            <v>0</v>
          </cell>
          <cell r="EE200">
            <v>0</v>
          </cell>
          <cell r="EF200">
            <v>0</v>
          </cell>
          <cell r="EG200">
            <v>0</v>
          </cell>
          <cell r="EH200">
            <v>0</v>
          </cell>
          <cell r="EI200">
            <v>0</v>
          </cell>
          <cell r="EJ200">
            <v>0</v>
          </cell>
          <cell r="EK200">
            <v>0</v>
          </cell>
          <cell r="EL200">
            <v>0</v>
          </cell>
          <cell r="EM200" t="str">
            <v/>
          </cell>
          <cell r="EN200" t="str">
            <v/>
          </cell>
          <cell r="EO200" t="str">
            <v/>
          </cell>
          <cell r="EP200" t="str">
            <v/>
          </cell>
          <cell r="EQ200" t="str">
            <v/>
          </cell>
          <cell r="ER200" t="str">
            <v/>
          </cell>
          <cell r="ES200" t="str">
            <v/>
          </cell>
          <cell r="ET200" t="str">
            <v/>
          </cell>
          <cell r="EU200" t="str">
            <v/>
          </cell>
          <cell r="EV200" t="str">
            <v/>
          </cell>
          <cell r="EW200" t="str">
            <v/>
          </cell>
          <cell r="EX200" t="str">
            <v/>
          </cell>
          <cell r="EY200" t="str">
            <v/>
          </cell>
          <cell r="EZ200" t="str">
            <v/>
          </cell>
          <cell r="FA200" t="str">
            <v/>
          </cell>
          <cell r="FB200" t="str">
            <v/>
          </cell>
          <cell r="FC200" t="str">
            <v/>
          </cell>
          <cell r="FD200" t="str">
            <v/>
          </cell>
          <cell r="FE200" t="str">
            <v/>
          </cell>
          <cell r="FF200" t="str">
            <v/>
          </cell>
          <cell r="FG200" t="str">
            <v/>
          </cell>
          <cell r="FH200" t="str">
            <v/>
          </cell>
          <cell r="FI200" t="str">
            <v/>
          </cell>
          <cell r="FJ200" t="str">
            <v/>
          </cell>
          <cell r="FK200" t="str">
            <v/>
          </cell>
          <cell r="FL200" t="str">
            <v/>
          </cell>
          <cell r="FM200" t="str">
            <v/>
          </cell>
          <cell r="FN200" t="str">
            <v/>
          </cell>
          <cell r="FO200" t="str">
            <v/>
          </cell>
          <cell r="FP200" t="str">
            <v/>
          </cell>
        </row>
        <row r="201">
          <cell r="N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AJ201">
            <v>0</v>
          </cell>
          <cell r="AK201">
            <v>0</v>
          </cell>
          <cell r="AL201">
            <v>999999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BE201">
            <v>0</v>
          </cell>
          <cell r="BH201">
            <v>0</v>
          </cell>
          <cell r="BI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  <cell r="CB201">
            <v>0</v>
          </cell>
          <cell r="CC201">
            <v>0</v>
          </cell>
          <cell r="CD201">
            <v>0</v>
          </cell>
          <cell r="CE201">
            <v>0</v>
          </cell>
          <cell r="CF201">
            <v>0</v>
          </cell>
          <cell r="CG201">
            <v>0</v>
          </cell>
          <cell r="CH201">
            <v>0</v>
          </cell>
          <cell r="CI201">
            <v>0</v>
          </cell>
          <cell r="CJ201">
            <v>0</v>
          </cell>
          <cell r="CK201">
            <v>0</v>
          </cell>
          <cell r="CW201">
            <v>0</v>
          </cell>
          <cell r="CY201">
            <v>0</v>
          </cell>
          <cell r="CZ201">
            <v>0</v>
          </cell>
          <cell r="DA201">
            <v>0</v>
          </cell>
          <cell r="DB201">
            <v>0</v>
          </cell>
          <cell r="DC201">
            <v>0</v>
          </cell>
          <cell r="DD201">
            <v>0</v>
          </cell>
          <cell r="DE201">
            <v>0</v>
          </cell>
          <cell r="DF201">
            <v>0</v>
          </cell>
          <cell r="DG201">
            <v>0</v>
          </cell>
          <cell r="DH201">
            <v>0</v>
          </cell>
          <cell r="DS201">
            <v>0</v>
          </cell>
          <cell r="DT201">
            <v>166</v>
          </cell>
          <cell r="DU201">
            <v>999999</v>
          </cell>
          <cell r="DV201">
            <v>999999</v>
          </cell>
          <cell r="DW201">
            <v>999999</v>
          </cell>
          <cell r="DX201">
            <v>0</v>
          </cell>
          <cell r="DY201">
            <v>166</v>
          </cell>
          <cell r="DZ201">
            <v>999999</v>
          </cell>
          <cell r="EA201">
            <v>999999</v>
          </cell>
          <cell r="EB201">
            <v>999999</v>
          </cell>
          <cell r="EC201">
            <v>0</v>
          </cell>
          <cell r="ED201">
            <v>0</v>
          </cell>
          <cell r="EE201">
            <v>0</v>
          </cell>
          <cell r="EF201">
            <v>0</v>
          </cell>
          <cell r="EG201">
            <v>0</v>
          </cell>
          <cell r="EH201">
            <v>0</v>
          </cell>
          <cell r="EI201">
            <v>0</v>
          </cell>
          <cell r="EJ201">
            <v>0</v>
          </cell>
          <cell r="EK201">
            <v>0</v>
          </cell>
          <cell r="EL201">
            <v>0</v>
          </cell>
          <cell r="EM201" t="str">
            <v/>
          </cell>
          <cell r="EN201" t="str">
            <v/>
          </cell>
          <cell r="EO201" t="str">
            <v/>
          </cell>
          <cell r="EP201" t="str">
            <v/>
          </cell>
          <cell r="EQ201" t="str">
            <v/>
          </cell>
          <cell r="ER201" t="str">
            <v/>
          </cell>
          <cell r="ES201" t="str">
            <v/>
          </cell>
          <cell r="ET201" t="str">
            <v/>
          </cell>
          <cell r="EU201" t="str">
            <v/>
          </cell>
          <cell r="EV201" t="str">
            <v/>
          </cell>
          <cell r="EW201" t="str">
            <v/>
          </cell>
          <cell r="EX201" t="str">
            <v/>
          </cell>
          <cell r="EY201" t="str">
            <v/>
          </cell>
          <cell r="EZ201" t="str">
            <v/>
          </cell>
          <cell r="FA201" t="str">
            <v/>
          </cell>
          <cell r="FB201" t="str">
            <v/>
          </cell>
          <cell r="FC201" t="str">
            <v/>
          </cell>
          <cell r="FD201" t="str">
            <v/>
          </cell>
          <cell r="FE201" t="str">
            <v/>
          </cell>
          <cell r="FF201" t="str">
            <v/>
          </cell>
          <cell r="FG201" t="str">
            <v/>
          </cell>
          <cell r="FH201" t="str">
            <v/>
          </cell>
          <cell r="FI201" t="str">
            <v/>
          </cell>
          <cell r="FJ201" t="str">
            <v/>
          </cell>
          <cell r="FK201" t="str">
            <v/>
          </cell>
          <cell r="FL201" t="str">
            <v/>
          </cell>
          <cell r="FM201" t="str">
            <v/>
          </cell>
          <cell r="FN201" t="str">
            <v/>
          </cell>
          <cell r="FO201" t="str">
            <v/>
          </cell>
          <cell r="FP201" t="str">
            <v/>
          </cell>
        </row>
        <row r="202">
          <cell r="N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AJ202">
            <v>0</v>
          </cell>
          <cell r="AK202">
            <v>0</v>
          </cell>
          <cell r="AL202">
            <v>999999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BE202">
            <v>0</v>
          </cell>
          <cell r="BH202">
            <v>0</v>
          </cell>
          <cell r="BI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CB202">
            <v>0</v>
          </cell>
          <cell r="CC202">
            <v>0</v>
          </cell>
          <cell r="CD202">
            <v>0</v>
          </cell>
          <cell r="CE202">
            <v>0</v>
          </cell>
          <cell r="CF202">
            <v>0</v>
          </cell>
          <cell r="CG202">
            <v>0</v>
          </cell>
          <cell r="CH202">
            <v>0</v>
          </cell>
          <cell r="CI202">
            <v>0</v>
          </cell>
          <cell r="CJ202">
            <v>0</v>
          </cell>
          <cell r="CK202">
            <v>0</v>
          </cell>
          <cell r="CW202">
            <v>0</v>
          </cell>
          <cell r="CY202">
            <v>0</v>
          </cell>
          <cell r="CZ202">
            <v>0</v>
          </cell>
          <cell r="DA202">
            <v>0</v>
          </cell>
          <cell r="DB202">
            <v>0</v>
          </cell>
          <cell r="DC202">
            <v>0</v>
          </cell>
          <cell r="DD202">
            <v>0</v>
          </cell>
          <cell r="DE202">
            <v>0</v>
          </cell>
          <cell r="DF202">
            <v>0</v>
          </cell>
          <cell r="DG202">
            <v>0</v>
          </cell>
          <cell r="DH202">
            <v>0</v>
          </cell>
          <cell r="DS202">
            <v>0</v>
          </cell>
          <cell r="DT202">
            <v>165</v>
          </cell>
          <cell r="DU202">
            <v>999999</v>
          </cell>
          <cell r="DV202">
            <v>999999</v>
          </cell>
          <cell r="DW202">
            <v>999999</v>
          </cell>
          <cell r="DX202">
            <v>0</v>
          </cell>
          <cell r="DY202">
            <v>165</v>
          </cell>
          <cell r="DZ202">
            <v>999999</v>
          </cell>
          <cell r="EA202">
            <v>999999</v>
          </cell>
          <cell r="EB202">
            <v>999999</v>
          </cell>
          <cell r="EC202">
            <v>0</v>
          </cell>
          <cell r="ED202">
            <v>0</v>
          </cell>
          <cell r="EE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 t="str">
            <v/>
          </cell>
          <cell r="EN202" t="str">
            <v/>
          </cell>
          <cell r="EO202" t="str">
            <v/>
          </cell>
          <cell r="EP202" t="str">
            <v/>
          </cell>
          <cell r="EQ202" t="str">
            <v/>
          </cell>
          <cell r="ER202" t="str">
            <v/>
          </cell>
          <cell r="ES202" t="str">
            <v/>
          </cell>
          <cell r="ET202" t="str">
            <v/>
          </cell>
          <cell r="EU202" t="str">
            <v/>
          </cell>
          <cell r="EV202" t="str">
            <v/>
          </cell>
          <cell r="EW202" t="str">
            <v/>
          </cell>
          <cell r="EX202" t="str">
            <v/>
          </cell>
          <cell r="EY202" t="str">
            <v/>
          </cell>
          <cell r="EZ202" t="str">
            <v/>
          </cell>
          <cell r="FA202" t="str">
            <v/>
          </cell>
          <cell r="FB202" t="str">
            <v/>
          </cell>
          <cell r="FC202" t="str">
            <v/>
          </cell>
          <cell r="FD202" t="str">
            <v/>
          </cell>
          <cell r="FE202" t="str">
            <v/>
          </cell>
          <cell r="FF202" t="str">
            <v/>
          </cell>
          <cell r="FG202" t="str">
            <v/>
          </cell>
          <cell r="FH202" t="str">
            <v/>
          </cell>
          <cell r="FI202" t="str">
            <v/>
          </cell>
          <cell r="FJ202" t="str">
            <v/>
          </cell>
          <cell r="FK202" t="str">
            <v/>
          </cell>
          <cell r="FL202" t="str">
            <v/>
          </cell>
          <cell r="FM202" t="str">
            <v/>
          </cell>
          <cell r="FN202" t="str">
            <v/>
          </cell>
          <cell r="FO202" t="str">
            <v/>
          </cell>
          <cell r="FP202" t="str">
            <v/>
          </cell>
        </row>
        <row r="203">
          <cell r="N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AJ203">
            <v>0</v>
          </cell>
          <cell r="AK203">
            <v>0</v>
          </cell>
          <cell r="AL203">
            <v>999999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BE203">
            <v>0</v>
          </cell>
          <cell r="BH203">
            <v>0</v>
          </cell>
          <cell r="BI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CB203">
            <v>0</v>
          </cell>
          <cell r="CC203">
            <v>0</v>
          </cell>
          <cell r="CD203">
            <v>0</v>
          </cell>
          <cell r="CE203">
            <v>0</v>
          </cell>
          <cell r="CF203">
            <v>0</v>
          </cell>
          <cell r="CG203">
            <v>0</v>
          </cell>
          <cell r="CH203">
            <v>0</v>
          </cell>
          <cell r="CI203">
            <v>0</v>
          </cell>
          <cell r="CJ203">
            <v>0</v>
          </cell>
          <cell r="CK203">
            <v>0</v>
          </cell>
          <cell r="CW203">
            <v>0</v>
          </cell>
          <cell r="CY203">
            <v>0</v>
          </cell>
          <cell r="CZ203">
            <v>0</v>
          </cell>
          <cell r="DA203">
            <v>0</v>
          </cell>
          <cell r="DB203">
            <v>0</v>
          </cell>
          <cell r="DC203">
            <v>0</v>
          </cell>
          <cell r="DD203">
            <v>0</v>
          </cell>
          <cell r="DE203">
            <v>0</v>
          </cell>
          <cell r="DF203">
            <v>0</v>
          </cell>
          <cell r="DG203">
            <v>0</v>
          </cell>
          <cell r="DH203">
            <v>0</v>
          </cell>
          <cell r="DS203">
            <v>0</v>
          </cell>
          <cell r="DT203">
            <v>164</v>
          </cell>
          <cell r="DU203">
            <v>999999</v>
          </cell>
          <cell r="DV203">
            <v>999999</v>
          </cell>
          <cell r="DW203">
            <v>999999</v>
          </cell>
          <cell r="DX203">
            <v>0</v>
          </cell>
          <cell r="DY203">
            <v>164</v>
          </cell>
          <cell r="DZ203">
            <v>999999</v>
          </cell>
          <cell r="EA203">
            <v>999999</v>
          </cell>
          <cell r="EB203">
            <v>999999</v>
          </cell>
          <cell r="EC203">
            <v>0</v>
          </cell>
          <cell r="ED203">
            <v>0</v>
          </cell>
          <cell r="EE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 t="str">
            <v/>
          </cell>
          <cell r="EN203" t="str">
            <v/>
          </cell>
          <cell r="EO203" t="str">
            <v/>
          </cell>
          <cell r="EP203" t="str">
            <v/>
          </cell>
          <cell r="EQ203" t="str">
            <v/>
          </cell>
          <cell r="ER203" t="str">
            <v/>
          </cell>
          <cell r="ES203" t="str">
            <v/>
          </cell>
          <cell r="ET203" t="str">
            <v/>
          </cell>
          <cell r="EU203" t="str">
            <v/>
          </cell>
          <cell r="EV203" t="str">
            <v/>
          </cell>
          <cell r="EW203" t="str">
            <v/>
          </cell>
          <cell r="EX203" t="str">
            <v/>
          </cell>
          <cell r="EY203" t="str">
            <v/>
          </cell>
          <cell r="EZ203" t="str">
            <v/>
          </cell>
          <cell r="FA203" t="str">
            <v/>
          </cell>
          <cell r="FB203" t="str">
            <v/>
          </cell>
          <cell r="FC203" t="str">
            <v/>
          </cell>
          <cell r="FD203" t="str">
            <v/>
          </cell>
          <cell r="FE203" t="str">
            <v/>
          </cell>
          <cell r="FF203" t="str">
            <v/>
          </cell>
          <cell r="FG203" t="str">
            <v/>
          </cell>
          <cell r="FH203" t="str">
            <v/>
          </cell>
          <cell r="FI203" t="str">
            <v/>
          </cell>
          <cell r="FJ203" t="str">
            <v/>
          </cell>
          <cell r="FK203" t="str">
            <v/>
          </cell>
          <cell r="FL203" t="str">
            <v/>
          </cell>
          <cell r="FM203" t="str">
            <v/>
          </cell>
          <cell r="FN203" t="str">
            <v/>
          </cell>
          <cell r="FO203" t="str">
            <v/>
          </cell>
          <cell r="FP203" t="str">
            <v/>
          </cell>
        </row>
        <row r="204">
          <cell r="N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AJ204">
            <v>0</v>
          </cell>
          <cell r="AK204">
            <v>0</v>
          </cell>
          <cell r="AL204">
            <v>999999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BE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CB204">
            <v>0</v>
          </cell>
          <cell r="CC204">
            <v>0</v>
          </cell>
          <cell r="CD204">
            <v>0</v>
          </cell>
          <cell r="CE204">
            <v>0</v>
          </cell>
          <cell r="CF204">
            <v>0</v>
          </cell>
          <cell r="CG204">
            <v>0</v>
          </cell>
          <cell r="CH204">
            <v>0</v>
          </cell>
          <cell r="CI204">
            <v>0</v>
          </cell>
          <cell r="CJ204">
            <v>0</v>
          </cell>
          <cell r="CK204">
            <v>0</v>
          </cell>
          <cell r="CW204">
            <v>0</v>
          </cell>
          <cell r="CY204">
            <v>0</v>
          </cell>
          <cell r="CZ204">
            <v>0</v>
          </cell>
          <cell r="DA204">
            <v>0</v>
          </cell>
          <cell r="DB204">
            <v>0</v>
          </cell>
          <cell r="DC204">
            <v>0</v>
          </cell>
          <cell r="DD204">
            <v>0</v>
          </cell>
          <cell r="DE204">
            <v>0</v>
          </cell>
          <cell r="DF204">
            <v>0</v>
          </cell>
          <cell r="DG204">
            <v>0</v>
          </cell>
          <cell r="DH204">
            <v>0</v>
          </cell>
          <cell r="DS204">
            <v>0</v>
          </cell>
          <cell r="DT204">
            <v>163</v>
          </cell>
          <cell r="DU204">
            <v>999999</v>
          </cell>
          <cell r="DV204">
            <v>999999</v>
          </cell>
          <cell r="DW204">
            <v>999999</v>
          </cell>
          <cell r="DX204">
            <v>0</v>
          </cell>
          <cell r="DY204">
            <v>163</v>
          </cell>
          <cell r="DZ204">
            <v>999999</v>
          </cell>
          <cell r="EA204">
            <v>999999</v>
          </cell>
          <cell r="EB204">
            <v>999999</v>
          </cell>
          <cell r="EC204">
            <v>0</v>
          </cell>
          <cell r="ED204">
            <v>0</v>
          </cell>
          <cell r="EE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 t="str">
            <v/>
          </cell>
          <cell r="EN204" t="str">
            <v/>
          </cell>
          <cell r="EO204" t="str">
            <v/>
          </cell>
          <cell r="EP204" t="str">
            <v/>
          </cell>
          <cell r="EQ204" t="str">
            <v/>
          </cell>
          <cell r="ER204" t="str">
            <v/>
          </cell>
          <cell r="ES204" t="str">
            <v/>
          </cell>
          <cell r="ET204" t="str">
            <v/>
          </cell>
          <cell r="EU204" t="str">
            <v/>
          </cell>
          <cell r="EV204" t="str">
            <v/>
          </cell>
          <cell r="EW204" t="str">
            <v/>
          </cell>
          <cell r="EX204" t="str">
            <v/>
          </cell>
          <cell r="EY204" t="str">
            <v/>
          </cell>
          <cell r="EZ204" t="str">
            <v/>
          </cell>
          <cell r="FA204" t="str">
            <v/>
          </cell>
          <cell r="FB204" t="str">
            <v/>
          </cell>
          <cell r="FC204" t="str">
            <v/>
          </cell>
          <cell r="FD204" t="str">
            <v/>
          </cell>
          <cell r="FE204" t="str">
            <v/>
          </cell>
          <cell r="FF204" t="str">
            <v/>
          </cell>
          <cell r="FG204" t="str">
            <v/>
          </cell>
          <cell r="FH204" t="str">
            <v/>
          </cell>
          <cell r="FI204" t="str">
            <v/>
          </cell>
          <cell r="FJ204" t="str">
            <v/>
          </cell>
          <cell r="FK204" t="str">
            <v/>
          </cell>
          <cell r="FL204" t="str">
            <v/>
          </cell>
          <cell r="FM204" t="str">
            <v/>
          </cell>
          <cell r="FN204" t="str">
            <v/>
          </cell>
          <cell r="FO204" t="str">
            <v/>
          </cell>
          <cell r="FP204" t="str">
            <v/>
          </cell>
        </row>
        <row r="205">
          <cell r="N205">
            <v>48000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AJ205">
            <v>0</v>
          </cell>
          <cell r="AK205">
            <v>0</v>
          </cell>
          <cell r="AL205">
            <v>999999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BE205">
            <v>0</v>
          </cell>
          <cell r="BH205">
            <v>0</v>
          </cell>
          <cell r="BI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  <cell r="CB205">
            <v>0</v>
          </cell>
          <cell r="CC205">
            <v>0</v>
          </cell>
          <cell r="CD205">
            <v>0</v>
          </cell>
          <cell r="CE205">
            <v>0</v>
          </cell>
          <cell r="CF205">
            <v>0</v>
          </cell>
          <cell r="CG205">
            <v>0</v>
          </cell>
          <cell r="CH205">
            <v>0</v>
          </cell>
          <cell r="CI205">
            <v>0</v>
          </cell>
          <cell r="CJ205">
            <v>0</v>
          </cell>
          <cell r="CK205">
            <v>0</v>
          </cell>
          <cell r="CW205">
            <v>0</v>
          </cell>
          <cell r="CY205">
            <v>0</v>
          </cell>
          <cell r="CZ205">
            <v>0</v>
          </cell>
          <cell r="DA205">
            <v>0</v>
          </cell>
          <cell r="DB205">
            <v>0</v>
          </cell>
          <cell r="DC205">
            <v>0</v>
          </cell>
          <cell r="DD205">
            <v>0</v>
          </cell>
          <cell r="DE205">
            <v>0</v>
          </cell>
          <cell r="DF205">
            <v>0</v>
          </cell>
          <cell r="DG205">
            <v>0</v>
          </cell>
          <cell r="DH205">
            <v>0</v>
          </cell>
          <cell r="DS205">
            <v>0</v>
          </cell>
          <cell r="DT205">
            <v>162</v>
          </cell>
          <cell r="DU205">
            <v>999999</v>
          </cell>
          <cell r="DV205">
            <v>999999</v>
          </cell>
          <cell r="DW205">
            <v>999999</v>
          </cell>
          <cell r="DX205">
            <v>0</v>
          </cell>
          <cell r="DY205">
            <v>162</v>
          </cell>
          <cell r="DZ205">
            <v>999999</v>
          </cell>
          <cell r="EA205">
            <v>999999</v>
          </cell>
          <cell r="EB205">
            <v>999999</v>
          </cell>
          <cell r="EC205">
            <v>0</v>
          </cell>
          <cell r="ED205">
            <v>0</v>
          </cell>
          <cell r="EE205">
            <v>0</v>
          </cell>
          <cell r="EF205">
            <v>0</v>
          </cell>
          <cell r="EG205">
            <v>0</v>
          </cell>
          <cell r="EH205">
            <v>0</v>
          </cell>
          <cell r="EI205">
            <v>0</v>
          </cell>
          <cell r="EJ205">
            <v>0</v>
          </cell>
          <cell r="EK205">
            <v>0</v>
          </cell>
          <cell r="EL205">
            <v>0</v>
          </cell>
          <cell r="EM205" t="str">
            <v/>
          </cell>
          <cell r="EN205" t="str">
            <v/>
          </cell>
          <cell r="EO205" t="str">
            <v/>
          </cell>
          <cell r="EP205" t="str">
            <v/>
          </cell>
          <cell r="EQ205" t="str">
            <v/>
          </cell>
          <cell r="ER205" t="str">
            <v/>
          </cell>
          <cell r="ES205" t="str">
            <v/>
          </cell>
          <cell r="ET205" t="str">
            <v/>
          </cell>
          <cell r="EU205" t="str">
            <v/>
          </cell>
          <cell r="EV205" t="str">
            <v/>
          </cell>
          <cell r="EW205" t="str">
            <v/>
          </cell>
          <cell r="EX205" t="str">
            <v/>
          </cell>
          <cell r="EY205" t="str">
            <v/>
          </cell>
          <cell r="EZ205" t="str">
            <v/>
          </cell>
          <cell r="FA205" t="str">
            <v/>
          </cell>
          <cell r="FB205" t="str">
            <v/>
          </cell>
          <cell r="FC205" t="str">
            <v/>
          </cell>
          <cell r="FD205" t="str">
            <v/>
          </cell>
          <cell r="FE205" t="str">
            <v/>
          </cell>
          <cell r="FF205" t="str">
            <v/>
          </cell>
          <cell r="FG205" t="str">
            <v/>
          </cell>
          <cell r="FH205" t="str">
            <v/>
          </cell>
          <cell r="FI205" t="str">
            <v/>
          </cell>
          <cell r="FJ205" t="str">
            <v/>
          </cell>
          <cell r="FK205" t="str">
            <v/>
          </cell>
          <cell r="FL205" t="str">
            <v/>
          </cell>
          <cell r="FM205" t="str">
            <v/>
          </cell>
          <cell r="FN205" t="str">
            <v/>
          </cell>
          <cell r="FO205" t="str">
            <v/>
          </cell>
          <cell r="FP205" t="str">
            <v/>
          </cell>
        </row>
        <row r="206">
          <cell r="N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AJ206">
            <v>0</v>
          </cell>
          <cell r="AK206">
            <v>0</v>
          </cell>
          <cell r="AL206">
            <v>999999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BE206">
            <v>48000</v>
          </cell>
          <cell r="BH206">
            <v>0</v>
          </cell>
          <cell r="BI206">
            <v>0</v>
          </cell>
          <cell r="BJ206">
            <v>0</v>
          </cell>
          <cell r="BK206">
            <v>0</v>
          </cell>
          <cell r="BL206">
            <v>0</v>
          </cell>
          <cell r="BM206">
            <v>0</v>
          </cell>
          <cell r="BN206">
            <v>0</v>
          </cell>
          <cell r="BO206">
            <v>0</v>
          </cell>
          <cell r="BP206">
            <v>0</v>
          </cell>
          <cell r="BQ206">
            <v>0</v>
          </cell>
          <cell r="CB206">
            <v>0</v>
          </cell>
          <cell r="CC206">
            <v>0</v>
          </cell>
          <cell r="CD206">
            <v>0</v>
          </cell>
          <cell r="CE206">
            <v>0</v>
          </cell>
          <cell r="CF206">
            <v>0</v>
          </cell>
          <cell r="CG206">
            <v>0</v>
          </cell>
          <cell r="CH206">
            <v>0</v>
          </cell>
          <cell r="CI206">
            <v>0</v>
          </cell>
          <cell r="CJ206">
            <v>0</v>
          </cell>
          <cell r="CK206">
            <v>0</v>
          </cell>
          <cell r="CW206">
            <v>0</v>
          </cell>
          <cell r="CY206">
            <v>0</v>
          </cell>
          <cell r="CZ206">
            <v>0</v>
          </cell>
          <cell r="DA206">
            <v>0</v>
          </cell>
          <cell r="DB206">
            <v>0</v>
          </cell>
          <cell r="DC206">
            <v>0</v>
          </cell>
          <cell r="DD206">
            <v>0</v>
          </cell>
          <cell r="DE206">
            <v>0</v>
          </cell>
          <cell r="DF206">
            <v>0</v>
          </cell>
          <cell r="DG206">
            <v>0</v>
          </cell>
          <cell r="DH206">
            <v>0</v>
          </cell>
          <cell r="DS206">
            <v>0</v>
          </cell>
          <cell r="DT206">
            <v>161</v>
          </cell>
          <cell r="DU206">
            <v>999999</v>
          </cell>
          <cell r="DV206">
            <v>999999</v>
          </cell>
          <cell r="DW206">
            <v>999999</v>
          </cell>
          <cell r="DX206">
            <v>0</v>
          </cell>
          <cell r="DY206">
            <v>161</v>
          </cell>
          <cell r="DZ206">
            <v>999999</v>
          </cell>
          <cell r="EA206">
            <v>999999</v>
          </cell>
          <cell r="EB206">
            <v>999999</v>
          </cell>
          <cell r="EC206">
            <v>0</v>
          </cell>
          <cell r="ED206">
            <v>0</v>
          </cell>
          <cell r="EE206">
            <v>0</v>
          </cell>
          <cell r="EF206">
            <v>0</v>
          </cell>
          <cell r="EG206">
            <v>0</v>
          </cell>
          <cell r="EH206">
            <v>0</v>
          </cell>
          <cell r="EI206">
            <v>0</v>
          </cell>
          <cell r="EJ206">
            <v>0</v>
          </cell>
          <cell r="EK206">
            <v>0</v>
          </cell>
          <cell r="EL206">
            <v>0</v>
          </cell>
          <cell r="EM206" t="str">
            <v/>
          </cell>
          <cell r="EN206" t="str">
            <v/>
          </cell>
          <cell r="EO206" t="str">
            <v/>
          </cell>
          <cell r="EP206" t="str">
            <v/>
          </cell>
          <cell r="EQ206" t="str">
            <v/>
          </cell>
          <cell r="ER206" t="str">
            <v/>
          </cell>
          <cell r="ES206" t="str">
            <v/>
          </cell>
          <cell r="ET206" t="str">
            <v/>
          </cell>
          <cell r="EU206" t="str">
            <v/>
          </cell>
          <cell r="EV206" t="str">
            <v/>
          </cell>
          <cell r="EW206" t="str">
            <v/>
          </cell>
          <cell r="EX206" t="str">
            <v/>
          </cell>
          <cell r="EY206" t="str">
            <v/>
          </cell>
          <cell r="EZ206" t="str">
            <v/>
          </cell>
          <cell r="FA206" t="str">
            <v/>
          </cell>
          <cell r="FB206" t="str">
            <v/>
          </cell>
          <cell r="FC206" t="str">
            <v/>
          </cell>
          <cell r="FD206" t="str">
            <v/>
          </cell>
          <cell r="FE206" t="str">
            <v/>
          </cell>
          <cell r="FF206" t="str">
            <v/>
          </cell>
          <cell r="FG206" t="str">
            <v/>
          </cell>
          <cell r="FH206" t="str">
            <v/>
          </cell>
          <cell r="FI206" t="str">
            <v/>
          </cell>
          <cell r="FJ206" t="str">
            <v/>
          </cell>
          <cell r="FK206" t="str">
            <v/>
          </cell>
          <cell r="FL206" t="str">
            <v/>
          </cell>
          <cell r="FM206" t="str">
            <v/>
          </cell>
          <cell r="FN206" t="str">
            <v/>
          </cell>
          <cell r="FO206" t="str">
            <v/>
          </cell>
          <cell r="FP206" t="str">
            <v/>
          </cell>
        </row>
        <row r="207">
          <cell r="N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AJ207">
            <v>0</v>
          </cell>
          <cell r="AK207">
            <v>0</v>
          </cell>
          <cell r="AL207">
            <v>999999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BE207">
            <v>0</v>
          </cell>
          <cell r="BH207">
            <v>0</v>
          </cell>
          <cell r="BI207">
            <v>0</v>
          </cell>
          <cell r="BJ207">
            <v>0</v>
          </cell>
          <cell r="BK207">
            <v>0</v>
          </cell>
          <cell r="BL207">
            <v>0</v>
          </cell>
          <cell r="BM207">
            <v>0</v>
          </cell>
          <cell r="BN207">
            <v>0</v>
          </cell>
          <cell r="BO207">
            <v>0</v>
          </cell>
          <cell r="BP207">
            <v>0</v>
          </cell>
          <cell r="BQ207">
            <v>0</v>
          </cell>
          <cell r="CB207">
            <v>0</v>
          </cell>
          <cell r="CC207">
            <v>0</v>
          </cell>
          <cell r="CD207">
            <v>0</v>
          </cell>
          <cell r="CE207">
            <v>0</v>
          </cell>
          <cell r="CF207">
            <v>0</v>
          </cell>
          <cell r="CG207">
            <v>0</v>
          </cell>
          <cell r="CH207">
            <v>0</v>
          </cell>
          <cell r="CI207">
            <v>0</v>
          </cell>
          <cell r="CJ207">
            <v>0</v>
          </cell>
          <cell r="CK207">
            <v>0</v>
          </cell>
          <cell r="CW207">
            <v>0</v>
          </cell>
          <cell r="CY207">
            <v>0</v>
          </cell>
          <cell r="CZ207">
            <v>0</v>
          </cell>
          <cell r="DA207">
            <v>0</v>
          </cell>
          <cell r="DB207">
            <v>0</v>
          </cell>
          <cell r="DC207">
            <v>0</v>
          </cell>
          <cell r="DD207">
            <v>0</v>
          </cell>
          <cell r="DE207">
            <v>0</v>
          </cell>
          <cell r="DF207">
            <v>0</v>
          </cell>
          <cell r="DG207">
            <v>0</v>
          </cell>
          <cell r="DH207">
            <v>0</v>
          </cell>
          <cell r="DS207">
            <v>0</v>
          </cell>
          <cell r="DT207">
            <v>160</v>
          </cell>
          <cell r="DU207">
            <v>999999</v>
          </cell>
          <cell r="DV207">
            <v>999999</v>
          </cell>
          <cell r="DW207">
            <v>999999</v>
          </cell>
          <cell r="DX207">
            <v>0</v>
          </cell>
          <cell r="DY207">
            <v>160</v>
          </cell>
          <cell r="DZ207">
            <v>999999</v>
          </cell>
          <cell r="EA207">
            <v>999999</v>
          </cell>
          <cell r="EB207">
            <v>999999</v>
          </cell>
          <cell r="EC207">
            <v>0</v>
          </cell>
          <cell r="ED207">
            <v>0</v>
          </cell>
          <cell r="EE207">
            <v>0</v>
          </cell>
          <cell r="EF207">
            <v>0</v>
          </cell>
          <cell r="EG207">
            <v>0</v>
          </cell>
          <cell r="EH207">
            <v>0</v>
          </cell>
          <cell r="EI207">
            <v>0</v>
          </cell>
          <cell r="EJ207">
            <v>0</v>
          </cell>
          <cell r="EK207">
            <v>0</v>
          </cell>
          <cell r="EL207">
            <v>0</v>
          </cell>
          <cell r="EM207" t="str">
            <v/>
          </cell>
          <cell r="EN207" t="str">
            <v/>
          </cell>
          <cell r="EO207" t="str">
            <v/>
          </cell>
          <cell r="EP207" t="str">
            <v/>
          </cell>
          <cell r="EQ207" t="str">
            <v/>
          </cell>
          <cell r="ER207" t="str">
            <v/>
          </cell>
          <cell r="ES207" t="str">
            <v/>
          </cell>
          <cell r="ET207" t="str">
            <v/>
          </cell>
          <cell r="EU207" t="str">
            <v/>
          </cell>
          <cell r="EV207" t="str">
            <v/>
          </cell>
          <cell r="EW207" t="str">
            <v/>
          </cell>
          <cell r="EX207" t="str">
            <v/>
          </cell>
          <cell r="EY207" t="str">
            <v/>
          </cell>
          <cell r="EZ207" t="str">
            <v/>
          </cell>
          <cell r="FA207" t="str">
            <v/>
          </cell>
          <cell r="FB207" t="str">
            <v/>
          </cell>
          <cell r="FC207" t="str">
            <v/>
          </cell>
          <cell r="FD207" t="str">
            <v/>
          </cell>
          <cell r="FE207" t="str">
            <v/>
          </cell>
          <cell r="FF207" t="str">
            <v/>
          </cell>
          <cell r="FG207" t="str">
            <v/>
          </cell>
          <cell r="FH207" t="str">
            <v/>
          </cell>
          <cell r="FI207" t="str">
            <v/>
          </cell>
          <cell r="FJ207" t="str">
            <v/>
          </cell>
          <cell r="FK207" t="str">
            <v/>
          </cell>
          <cell r="FL207" t="str">
            <v/>
          </cell>
          <cell r="FM207" t="str">
            <v/>
          </cell>
          <cell r="FN207" t="str">
            <v/>
          </cell>
          <cell r="FO207" t="str">
            <v/>
          </cell>
          <cell r="FP207" t="str">
            <v/>
          </cell>
        </row>
        <row r="208">
          <cell r="N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AJ208">
            <v>0</v>
          </cell>
          <cell r="AK208">
            <v>0</v>
          </cell>
          <cell r="AL208">
            <v>999999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BE208">
            <v>0</v>
          </cell>
          <cell r="BH208">
            <v>0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0</v>
          </cell>
          <cell r="BP208">
            <v>0</v>
          </cell>
          <cell r="BQ208">
            <v>0</v>
          </cell>
          <cell r="CB208">
            <v>0</v>
          </cell>
          <cell r="CC208">
            <v>0</v>
          </cell>
          <cell r="CD208">
            <v>0</v>
          </cell>
          <cell r="CE208">
            <v>0</v>
          </cell>
          <cell r="CF208">
            <v>0</v>
          </cell>
          <cell r="CG208">
            <v>0</v>
          </cell>
          <cell r="CH208">
            <v>0</v>
          </cell>
          <cell r="CI208">
            <v>0</v>
          </cell>
          <cell r="CJ208">
            <v>0</v>
          </cell>
          <cell r="CK208">
            <v>0</v>
          </cell>
          <cell r="CW208">
            <v>0</v>
          </cell>
          <cell r="CY208">
            <v>0</v>
          </cell>
          <cell r="CZ208">
            <v>0</v>
          </cell>
          <cell r="DA208">
            <v>0</v>
          </cell>
          <cell r="DB208">
            <v>0</v>
          </cell>
          <cell r="DC208">
            <v>0</v>
          </cell>
          <cell r="DD208">
            <v>0</v>
          </cell>
          <cell r="DE208">
            <v>0</v>
          </cell>
          <cell r="DF208">
            <v>0</v>
          </cell>
          <cell r="DG208">
            <v>0</v>
          </cell>
          <cell r="DH208">
            <v>0</v>
          </cell>
          <cell r="DS208">
            <v>0</v>
          </cell>
          <cell r="DT208">
            <v>159</v>
          </cell>
          <cell r="DU208">
            <v>999999</v>
          </cell>
          <cell r="DV208">
            <v>999999</v>
          </cell>
          <cell r="DW208">
            <v>999999</v>
          </cell>
          <cell r="DX208">
            <v>0</v>
          </cell>
          <cell r="DY208">
            <v>159</v>
          </cell>
          <cell r="DZ208">
            <v>999999</v>
          </cell>
          <cell r="EA208">
            <v>999999</v>
          </cell>
          <cell r="EB208">
            <v>999999</v>
          </cell>
          <cell r="EC208">
            <v>0</v>
          </cell>
          <cell r="ED208">
            <v>0</v>
          </cell>
          <cell r="EE208">
            <v>0</v>
          </cell>
          <cell r="EF208">
            <v>0</v>
          </cell>
          <cell r="EG208">
            <v>0</v>
          </cell>
          <cell r="EH208">
            <v>0</v>
          </cell>
          <cell r="EI208">
            <v>0</v>
          </cell>
          <cell r="EJ208">
            <v>0</v>
          </cell>
          <cell r="EK208">
            <v>0</v>
          </cell>
          <cell r="EL208">
            <v>0</v>
          </cell>
          <cell r="EM208" t="str">
            <v/>
          </cell>
          <cell r="EN208" t="str">
            <v/>
          </cell>
          <cell r="EO208" t="str">
            <v/>
          </cell>
          <cell r="EP208" t="str">
            <v/>
          </cell>
          <cell r="EQ208" t="str">
            <v/>
          </cell>
          <cell r="ER208" t="str">
            <v/>
          </cell>
          <cell r="ES208" t="str">
            <v/>
          </cell>
          <cell r="ET208" t="str">
            <v/>
          </cell>
          <cell r="EU208" t="str">
            <v/>
          </cell>
          <cell r="EV208" t="str">
            <v/>
          </cell>
          <cell r="EW208" t="str">
            <v/>
          </cell>
          <cell r="EX208" t="str">
            <v/>
          </cell>
          <cell r="EY208" t="str">
            <v/>
          </cell>
          <cell r="EZ208" t="str">
            <v/>
          </cell>
          <cell r="FA208" t="str">
            <v/>
          </cell>
          <cell r="FB208" t="str">
            <v/>
          </cell>
          <cell r="FC208" t="str">
            <v/>
          </cell>
          <cell r="FD208" t="str">
            <v/>
          </cell>
          <cell r="FE208" t="str">
            <v/>
          </cell>
          <cell r="FF208" t="str">
            <v/>
          </cell>
          <cell r="FG208" t="str">
            <v/>
          </cell>
          <cell r="FH208" t="str">
            <v/>
          </cell>
          <cell r="FI208" t="str">
            <v/>
          </cell>
          <cell r="FJ208" t="str">
            <v/>
          </cell>
          <cell r="FK208" t="str">
            <v/>
          </cell>
          <cell r="FL208" t="str">
            <v/>
          </cell>
          <cell r="FM208" t="str">
            <v/>
          </cell>
          <cell r="FN208" t="str">
            <v/>
          </cell>
          <cell r="FO208" t="str">
            <v/>
          </cell>
          <cell r="FP208" t="str">
            <v/>
          </cell>
        </row>
        <row r="209">
          <cell r="N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AJ209">
            <v>0</v>
          </cell>
          <cell r="AK209">
            <v>0</v>
          </cell>
          <cell r="AL209">
            <v>999999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BE209">
            <v>0</v>
          </cell>
          <cell r="BH209">
            <v>0</v>
          </cell>
          <cell r="BI209">
            <v>0</v>
          </cell>
          <cell r="BJ209">
            <v>0</v>
          </cell>
          <cell r="BK209">
            <v>0</v>
          </cell>
          <cell r="BL209">
            <v>0</v>
          </cell>
          <cell r="BM209">
            <v>0</v>
          </cell>
          <cell r="BN209">
            <v>0</v>
          </cell>
          <cell r="BO209">
            <v>0</v>
          </cell>
          <cell r="BP209">
            <v>0</v>
          </cell>
          <cell r="BQ209">
            <v>0</v>
          </cell>
          <cell r="CB209">
            <v>0</v>
          </cell>
          <cell r="CC209">
            <v>0</v>
          </cell>
          <cell r="CD209">
            <v>0</v>
          </cell>
          <cell r="CE209">
            <v>0</v>
          </cell>
          <cell r="CF209">
            <v>0</v>
          </cell>
          <cell r="CG209">
            <v>0</v>
          </cell>
          <cell r="CH209">
            <v>0</v>
          </cell>
          <cell r="CI209">
            <v>0</v>
          </cell>
          <cell r="CJ209">
            <v>0</v>
          </cell>
          <cell r="CK209">
            <v>0</v>
          </cell>
          <cell r="CW209">
            <v>0</v>
          </cell>
          <cell r="CY209">
            <v>0</v>
          </cell>
          <cell r="CZ209">
            <v>0</v>
          </cell>
          <cell r="DA209">
            <v>0</v>
          </cell>
          <cell r="DB209">
            <v>0</v>
          </cell>
          <cell r="DC209">
            <v>0</v>
          </cell>
          <cell r="DD209">
            <v>0</v>
          </cell>
          <cell r="DE209">
            <v>0</v>
          </cell>
          <cell r="DF209">
            <v>0</v>
          </cell>
          <cell r="DG209">
            <v>0</v>
          </cell>
          <cell r="DH209">
            <v>0</v>
          </cell>
          <cell r="DS209">
            <v>0</v>
          </cell>
          <cell r="DT209">
            <v>158</v>
          </cell>
          <cell r="DU209">
            <v>999999</v>
          </cell>
          <cell r="DV209">
            <v>999999</v>
          </cell>
          <cell r="DW209">
            <v>999999</v>
          </cell>
          <cell r="DX209">
            <v>0</v>
          </cell>
          <cell r="DY209">
            <v>158</v>
          </cell>
          <cell r="DZ209">
            <v>999999</v>
          </cell>
          <cell r="EA209">
            <v>999999</v>
          </cell>
          <cell r="EB209">
            <v>999999</v>
          </cell>
          <cell r="EC209">
            <v>0</v>
          </cell>
          <cell r="ED209">
            <v>0</v>
          </cell>
          <cell r="EE209">
            <v>0</v>
          </cell>
          <cell r="EF209">
            <v>0</v>
          </cell>
          <cell r="EG209">
            <v>0</v>
          </cell>
          <cell r="EH209">
            <v>0</v>
          </cell>
          <cell r="EI209">
            <v>0</v>
          </cell>
          <cell r="EJ209">
            <v>0</v>
          </cell>
          <cell r="EK209">
            <v>0</v>
          </cell>
          <cell r="EL209">
            <v>0</v>
          </cell>
          <cell r="EM209" t="str">
            <v/>
          </cell>
          <cell r="EN209" t="str">
            <v/>
          </cell>
          <cell r="EO209" t="str">
            <v/>
          </cell>
          <cell r="EP209" t="str">
            <v/>
          </cell>
          <cell r="EQ209" t="str">
            <v/>
          </cell>
          <cell r="ER209" t="str">
            <v/>
          </cell>
          <cell r="ES209" t="str">
            <v/>
          </cell>
          <cell r="ET209" t="str">
            <v/>
          </cell>
          <cell r="EU209" t="str">
            <v/>
          </cell>
          <cell r="EV209" t="str">
            <v/>
          </cell>
          <cell r="EW209" t="str">
            <v/>
          </cell>
          <cell r="EX209" t="str">
            <v/>
          </cell>
          <cell r="EY209" t="str">
            <v/>
          </cell>
          <cell r="EZ209" t="str">
            <v/>
          </cell>
          <cell r="FA209" t="str">
            <v/>
          </cell>
          <cell r="FB209" t="str">
            <v/>
          </cell>
          <cell r="FC209" t="str">
            <v/>
          </cell>
          <cell r="FD209" t="str">
            <v/>
          </cell>
          <cell r="FE209" t="str">
            <v/>
          </cell>
          <cell r="FF209" t="str">
            <v/>
          </cell>
          <cell r="FG209" t="str">
            <v/>
          </cell>
          <cell r="FH209" t="str">
            <v/>
          </cell>
          <cell r="FI209" t="str">
            <v/>
          </cell>
          <cell r="FJ209" t="str">
            <v/>
          </cell>
          <cell r="FK209" t="str">
            <v/>
          </cell>
          <cell r="FL209" t="str">
            <v/>
          </cell>
          <cell r="FM209" t="str">
            <v/>
          </cell>
          <cell r="FN209" t="str">
            <v/>
          </cell>
          <cell r="FO209" t="str">
            <v/>
          </cell>
          <cell r="FP209" t="str">
            <v/>
          </cell>
        </row>
        <row r="210">
          <cell r="N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AJ210">
            <v>0</v>
          </cell>
          <cell r="AK210">
            <v>0</v>
          </cell>
          <cell r="AL210">
            <v>999999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BE210">
            <v>0</v>
          </cell>
          <cell r="BH210">
            <v>0</v>
          </cell>
          <cell r="BI210">
            <v>0</v>
          </cell>
          <cell r="BJ210">
            <v>0</v>
          </cell>
          <cell r="BK210">
            <v>0</v>
          </cell>
          <cell r="BL210">
            <v>0</v>
          </cell>
          <cell r="BM210">
            <v>0</v>
          </cell>
          <cell r="BN210">
            <v>0</v>
          </cell>
          <cell r="BO210">
            <v>0</v>
          </cell>
          <cell r="BP210">
            <v>0</v>
          </cell>
          <cell r="BQ210">
            <v>0</v>
          </cell>
          <cell r="CB210">
            <v>0</v>
          </cell>
          <cell r="CC210">
            <v>0</v>
          </cell>
          <cell r="CD210">
            <v>0</v>
          </cell>
          <cell r="CE210">
            <v>0</v>
          </cell>
          <cell r="CF210">
            <v>0</v>
          </cell>
          <cell r="CG210">
            <v>0</v>
          </cell>
          <cell r="CH210">
            <v>0</v>
          </cell>
          <cell r="CI210">
            <v>0</v>
          </cell>
          <cell r="CJ210">
            <v>0</v>
          </cell>
          <cell r="CK210">
            <v>0</v>
          </cell>
          <cell r="CW210">
            <v>0</v>
          </cell>
          <cell r="CY210">
            <v>0</v>
          </cell>
          <cell r="CZ210">
            <v>0</v>
          </cell>
          <cell r="DA210">
            <v>0</v>
          </cell>
          <cell r="DB210">
            <v>0</v>
          </cell>
          <cell r="DC210">
            <v>0</v>
          </cell>
          <cell r="DD210">
            <v>0</v>
          </cell>
          <cell r="DE210">
            <v>0</v>
          </cell>
          <cell r="DF210">
            <v>0</v>
          </cell>
          <cell r="DG210">
            <v>0</v>
          </cell>
          <cell r="DH210">
            <v>0</v>
          </cell>
          <cell r="DS210">
            <v>0</v>
          </cell>
          <cell r="DT210">
            <v>157</v>
          </cell>
          <cell r="DU210">
            <v>999999</v>
          </cell>
          <cell r="DV210">
            <v>999999</v>
          </cell>
          <cell r="DW210">
            <v>999999</v>
          </cell>
          <cell r="DX210">
            <v>0</v>
          </cell>
          <cell r="DY210">
            <v>157</v>
          </cell>
          <cell r="DZ210">
            <v>999999</v>
          </cell>
          <cell r="EA210">
            <v>999999</v>
          </cell>
          <cell r="EB210">
            <v>999999</v>
          </cell>
          <cell r="EC210">
            <v>0</v>
          </cell>
          <cell r="ED210">
            <v>0</v>
          </cell>
          <cell r="EE210">
            <v>0</v>
          </cell>
          <cell r="EF210">
            <v>0</v>
          </cell>
          <cell r="EG210">
            <v>0</v>
          </cell>
          <cell r="EH210">
            <v>0</v>
          </cell>
          <cell r="EI210">
            <v>0</v>
          </cell>
          <cell r="EJ210">
            <v>0</v>
          </cell>
          <cell r="EK210">
            <v>0</v>
          </cell>
          <cell r="EL210">
            <v>0</v>
          </cell>
          <cell r="EM210" t="str">
            <v/>
          </cell>
          <cell r="EN210" t="str">
            <v/>
          </cell>
          <cell r="EO210" t="str">
            <v/>
          </cell>
          <cell r="EP210" t="str">
            <v/>
          </cell>
          <cell r="EQ210" t="str">
            <v/>
          </cell>
          <cell r="ER210" t="str">
            <v/>
          </cell>
          <cell r="ES210" t="str">
            <v/>
          </cell>
          <cell r="ET210" t="str">
            <v/>
          </cell>
          <cell r="EU210" t="str">
            <v/>
          </cell>
          <cell r="EV210" t="str">
            <v/>
          </cell>
          <cell r="EW210" t="str">
            <v/>
          </cell>
          <cell r="EX210" t="str">
            <v/>
          </cell>
          <cell r="EY210" t="str">
            <v/>
          </cell>
          <cell r="EZ210" t="str">
            <v/>
          </cell>
          <cell r="FA210" t="str">
            <v/>
          </cell>
          <cell r="FB210" t="str">
            <v/>
          </cell>
          <cell r="FC210" t="str">
            <v/>
          </cell>
          <cell r="FD210" t="str">
            <v/>
          </cell>
          <cell r="FE210" t="str">
            <v/>
          </cell>
          <cell r="FF210" t="str">
            <v/>
          </cell>
          <cell r="FG210" t="str">
            <v/>
          </cell>
          <cell r="FH210" t="str">
            <v/>
          </cell>
          <cell r="FI210" t="str">
            <v/>
          </cell>
          <cell r="FJ210" t="str">
            <v/>
          </cell>
          <cell r="FK210" t="str">
            <v/>
          </cell>
          <cell r="FL210" t="str">
            <v/>
          </cell>
          <cell r="FM210" t="str">
            <v/>
          </cell>
          <cell r="FN210" t="str">
            <v/>
          </cell>
          <cell r="FO210" t="str">
            <v/>
          </cell>
          <cell r="FP210" t="str">
            <v/>
          </cell>
        </row>
        <row r="211">
          <cell r="N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AJ211">
            <v>0</v>
          </cell>
          <cell r="AK211">
            <v>0</v>
          </cell>
          <cell r="AL211">
            <v>999999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BE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  <cell r="BP211">
            <v>0</v>
          </cell>
          <cell r="BQ211">
            <v>0</v>
          </cell>
          <cell r="CB211">
            <v>0</v>
          </cell>
          <cell r="CC211">
            <v>0</v>
          </cell>
          <cell r="CD211">
            <v>0</v>
          </cell>
          <cell r="CE211">
            <v>0</v>
          </cell>
          <cell r="CF211">
            <v>0</v>
          </cell>
          <cell r="CG211">
            <v>0</v>
          </cell>
          <cell r="CH211">
            <v>0</v>
          </cell>
          <cell r="CI211">
            <v>0</v>
          </cell>
          <cell r="CJ211">
            <v>0</v>
          </cell>
          <cell r="CK211">
            <v>0</v>
          </cell>
          <cell r="CW211">
            <v>0</v>
          </cell>
          <cell r="CY211">
            <v>0</v>
          </cell>
          <cell r="CZ211">
            <v>0</v>
          </cell>
          <cell r="DA211">
            <v>0</v>
          </cell>
          <cell r="DB211">
            <v>0</v>
          </cell>
          <cell r="DC211">
            <v>0</v>
          </cell>
          <cell r="DD211">
            <v>0</v>
          </cell>
          <cell r="DE211">
            <v>0</v>
          </cell>
          <cell r="DF211">
            <v>0</v>
          </cell>
          <cell r="DG211">
            <v>0</v>
          </cell>
          <cell r="DH211">
            <v>0</v>
          </cell>
          <cell r="DS211">
            <v>0</v>
          </cell>
          <cell r="DT211">
            <v>156</v>
          </cell>
          <cell r="DU211">
            <v>999999</v>
          </cell>
          <cell r="DV211">
            <v>999999</v>
          </cell>
          <cell r="DW211">
            <v>999999</v>
          </cell>
          <cell r="DX211">
            <v>0</v>
          </cell>
          <cell r="DY211">
            <v>156</v>
          </cell>
          <cell r="DZ211">
            <v>999999</v>
          </cell>
          <cell r="EA211">
            <v>999999</v>
          </cell>
          <cell r="EB211">
            <v>999999</v>
          </cell>
          <cell r="EC211">
            <v>0</v>
          </cell>
          <cell r="ED211">
            <v>0</v>
          </cell>
          <cell r="EE211">
            <v>0</v>
          </cell>
          <cell r="EF211">
            <v>0</v>
          </cell>
          <cell r="EG211">
            <v>0</v>
          </cell>
          <cell r="EH211">
            <v>0</v>
          </cell>
          <cell r="EI211">
            <v>0</v>
          </cell>
          <cell r="EJ211">
            <v>0</v>
          </cell>
          <cell r="EK211">
            <v>0</v>
          </cell>
          <cell r="EL211">
            <v>0</v>
          </cell>
          <cell r="EM211" t="str">
            <v/>
          </cell>
          <cell r="EN211" t="str">
            <v/>
          </cell>
          <cell r="EO211" t="str">
            <v/>
          </cell>
          <cell r="EP211" t="str">
            <v/>
          </cell>
          <cell r="EQ211" t="str">
            <v/>
          </cell>
          <cell r="ER211" t="str">
            <v/>
          </cell>
          <cell r="ES211" t="str">
            <v/>
          </cell>
          <cell r="ET211" t="str">
            <v/>
          </cell>
          <cell r="EU211" t="str">
            <v/>
          </cell>
          <cell r="EV211" t="str">
            <v/>
          </cell>
          <cell r="EW211" t="str">
            <v/>
          </cell>
          <cell r="EX211" t="str">
            <v/>
          </cell>
          <cell r="EY211" t="str">
            <v/>
          </cell>
          <cell r="EZ211" t="str">
            <v/>
          </cell>
          <cell r="FA211" t="str">
            <v/>
          </cell>
          <cell r="FB211" t="str">
            <v/>
          </cell>
          <cell r="FC211" t="str">
            <v/>
          </cell>
          <cell r="FD211" t="str">
            <v/>
          </cell>
          <cell r="FE211" t="str">
            <v/>
          </cell>
          <cell r="FF211" t="str">
            <v/>
          </cell>
          <cell r="FG211" t="str">
            <v/>
          </cell>
          <cell r="FH211" t="str">
            <v/>
          </cell>
          <cell r="FI211" t="str">
            <v/>
          </cell>
          <cell r="FJ211" t="str">
            <v/>
          </cell>
          <cell r="FK211" t="str">
            <v/>
          </cell>
          <cell r="FL211" t="str">
            <v/>
          </cell>
          <cell r="FM211" t="str">
            <v/>
          </cell>
          <cell r="FN211" t="str">
            <v/>
          </cell>
          <cell r="FO211" t="str">
            <v/>
          </cell>
          <cell r="FP211" t="str">
            <v/>
          </cell>
        </row>
        <row r="212">
          <cell r="N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AJ212">
            <v>0</v>
          </cell>
          <cell r="AK212">
            <v>0</v>
          </cell>
          <cell r="AL212">
            <v>999999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BE212">
            <v>0</v>
          </cell>
          <cell r="BH212">
            <v>0</v>
          </cell>
          <cell r="BI212">
            <v>0</v>
          </cell>
          <cell r="BJ212">
            <v>0</v>
          </cell>
          <cell r="BK212">
            <v>0</v>
          </cell>
          <cell r="BL212">
            <v>0</v>
          </cell>
          <cell r="BM212">
            <v>0</v>
          </cell>
          <cell r="BN212">
            <v>0</v>
          </cell>
          <cell r="BO212">
            <v>0</v>
          </cell>
          <cell r="BP212">
            <v>0</v>
          </cell>
          <cell r="BQ212">
            <v>0</v>
          </cell>
          <cell r="CB212">
            <v>0</v>
          </cell>
          <cell r="CC212">
            <v>0</v>
          </cell>
          <cell r="CD212">
            <v>0</v>
          </cell>
          <cell r="CE212">
            <v>0</v>
          </cell>
          <cell r="CF212">
            <v>0</v>
          </cell>
          <cell r="CG212">
            <v>0</v>
          </cell>
          <cell r="CH212">
            <v>0</v>
          </cell>
          <cell r="CI212">
            <v>0</v>
          </cell>
          <cell r="CJ212">
            <v>0</v>
          </cell>
          <cell r="CK212">
            <v>0</v>
          </cell>
          <cell r="CW212">
            <v>0</v>
          </cell>
          <cell r="CY212">
            <v>0</v>
          </cell>
          <cell r="CZ212">
            <v>0</v>
          </cell>
          <cell r="DA212">
            <v>0</v>
          </cell>
          <cell r="DB212">
            <v>0</v>
          </cell>
          <cell r="DC212">
            <v>0</v>
          </cell>
          <cell r="DD212">
            <v>0</v>
          </cell>
          <cell r="DE212">
            <v>0</v>
          </cell>
          <cell r="DF212">
            <v>0</v>
          </cell>
          <cell r="DG212">
            <v>0</v>
          </cell>
          <cell r="DH212">
            <v>0</v>
          </cell>
          <cell r="DS212">
            <v>0</v>
          </cell>
          <cell r="DT212">
            <v>155</v>
          </cell>
          <cell r="DU212">
            <v>999999</v>
          </cell>
          <cell r="DV212">
            <v>999999</v>
          </cell>
          <cell r="DW212">
            <v>999999</v>
          </cell>
          <cell r="DX212">
            <v>0</v>
          </cell>
          <cell r="DY212">
            <v>155</v>
          </cell>
          <cell r="DZ212">
            <v>999999</v>
          </cell>
          <cell r="EA212">
            <v>999999</v>
          </cell>
          <cell r="EB212">
            <v>999999</v>
          </cell>
          <cell r="EC212">
            <v>0</v>
          </cell>
          <cell r="ED212">
            <v>0</v>
          </cell>
          <cell r="EE212">
            <v>0</v>
          </cell>
          <cell r="EF212">
            <v>0</v>
          </cell>
          <cell r="EG212">
            <v>0</v>
          </cell>
          <cell r="EH212">
            <v>0</v>
          </cell>
          <cell r="EI212">
            <v>0</v>
          </cell>
          <cell r="EJ212">
            <v>0</v>
          </cell>
          <cell r="EK212">
            <v>0</v>
          </cell>
          <cell r="EL212">
            <v>0</v>
          </cell>
          <cell r="EM212" t="str">
            <v/>
          </cell>
          <cell r="EN212" t="str">
            <v/>
          </cell>
          <cell r="EO212" t="str">
            <v/>
          </cell>
          <cell r="EP212" t="str">
            <v/>
          </cell>
          <cell r="EQ212" t="str">
            <v/>
          </cell>
          <cell r="ER212" t="str">
            <v/>
          </cell>
          <cell r="ES212" t="str">
            <v/>
          </cell>
          <cell r="ET212" t="str">
            <v/>
          </cell>
          <cell r="EU212" t="str">
            <v/>
          </cell>
          <cell r="EV212" t="str">
            <v/>
          </cell>
          <cell r="EW212" t="str">
            <v/>
          </cell>
          <cell r="EX212" t="str">
            <v/>
          </cell>
          <cell r="EY212" t="str">
            <v/>
          </cell>
          <cell r="EZ212" t="str">
            <v/>
          </cell>
          <cell r="FA212" t="str">
            <v/>
          </cell>
          <cell r="FB212" t="str">
            <v/>
          </cell>
          <cell r="FC212" t="str">
            <v/>
          </cell>
          <cell r="FD212" t="str">
            <v/>
          </cell>
          <cell r="FE212" t="str">
            <v/>
          </cell>
          <cell r="FF212" t="str">
            <v/>
          </cell>
          <cell r="FG212" t="str">
            <v/>
          </cell>
          <cell r="FH212" t="str">
            <v/>
          </cell>
          <cell r="FI212" t="str">
            <v/>
          </cell>
          <cell r="FJ212" t="str">
            <v/>
          </cell>
          <cell r="FK212" t="str">
            <v/>
          </cell>
          <cell r="FL212" t="str">
            <v/>
          </cell>
          <cell r="FM212" t="str">
            <v/>
          </cell>
          <cell r="FN212" t="str">
            <v/>
          </cell>
          <cell r="FO212" t="str">
            <v/>
          </cell>
          <cell r="FP212" t="str">
            <v/>
          </cell>
        </row>
        <row r="213">
          <cell r="N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AJ213">
            <v>0</v>
          </cell>
          <cell r="AK213">
            <v>0</v>
          </cell>
          <cell r="AL213">
            <v>999999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BE213">
            <v>0</v>
          </cell>
          <cell r="BH213">
            <v>0</v>
          </cell>
          <cell r="BI213">
            <v>0</v>
          </cell>
          <cell r="BJ213">
            <v>0</v>
          </cell>
          <cell r="BK213">
            <v>0</v>
          </cell>
          <cell r="BL213">
            <v>0</v>
          </cell>
          <cell r="BM213">
            <v>0</v>
          </cell>
          <cell r="BN213">
            <v>0</v>
          </cell>
          <cell r="BO213">
            <v>0</v>
          </cell>
          <cell r="BP213">
            <v>0</v>
          </cell>
          <cell r="BQ213">
            <v>0</v>
          </cell>
          <cell r="CB213">
            <v>0</v>
          </cell>
          <cell r="CC213">
            <v>0</v>
          </cell>
          <cell r="CD213">
            <v>0</v>
          </cell>
          <cell r="CE213">
            <v>0</v>
          </cell>
          <cell r="CF213">
            <v>0</v>
          </cell>
          <cell r="CG213">
            <v>0</v>
          </cell>
          <cell r="CH213">
            <v>0</v>
          </cell>
          <cell r="CI213">
            <v>0</v>
          </cell>
          <cell r="CJ213">
            <v>0</v>
          </cell>
          <cell r="CK213">
            <v>0</v>
          </cell>
          <cell r="CW213">
            <v>0</v>
          </cell>
          <cell r="CY213">
            <v>0</v>
          </cell>
          <cell r="CZ213">
            <v>0</v>
          </cell>
          <cell r="DA213">
            <v>0</v>
          </cell>
          <cell r="DB213">
            <v>0</v>
          </cell>
          <cell r="DC213">
            <v>0</v>
          </cell>
          <cell r="DD213">
            <v>0</v>
          </cell>
          <cell r="DE213">
            <v>0</v>
          </cell>
          <cell r="DF213">
            <v>0</v>
          </cell>
          <cell r="DG213">
            <v>0</v>
          </cell>
          <cell r="DH213">
            <v>0</v>
          </cell>
          <cell r="DS213">
            <v>0</v>
          </cell>
          <cell r="DT213">
            <v>154</v>
          </cell>
          <cell r="DU213">
            <v>999999</v>
          </cell>
          <cell r="DV213">
            <v>999999</v>
          </cell>
          <cell r="DW213">
            <v>999999</v>
          </cell>
          <cell r="DX213">
            <v>0</v>
          </cell>
          <cell r="DY213">
            <v>154</v>
          </cell>
          <cell r="DZ213">
            <v>999999</v>
          </cell>
          <cell r="EA213">
            <v>999999</v>
          </cell>
          <cell r="EB213">
            <v>999999</v>
          </cell>
          <cell r="EC213">
            <v>0</v>
          </cell>
          <cell r="ED213">
            <v>0</v>
          </cell>
          <cell r="EE213">
            <v>0</v>
          </cell>
          <cell r="EF213">
            <v>0</v>
          </cell>
          <cell r="EG213">
            <v>0</v>
          </cell>
          <cell r="EH213">
            <v>0</v>
          </cell>
          <cell r="EI213">
            <v>0</v>
          </cell>
          <cell r="EJ213">
            <v>0</v>
          </cell>
          <cell r="EK213">
            <v>0</v>
          </cell>
          <cell r="EL213">
            <v>0</v>
          </cell>
          <cell r="EM213" t="str">
            <v/>
          </cell>
          <cell r="EN213" t="str">
            <v/>
          </cell>
          <cell r="EO213" t="str">
            <v/>
          </cell>
          <cell r="EP213" t="str">
            <v/>
          </cell>
          <cell r="EQ213" t="str">
            <v/>
          </cell>
          <cell r="ER213" t="str">
            <v/>
          </cell>
          <cell r="ES213" t="str">
            <v/>
          </cell>
          <cell r="ET213" t="str">
            <v/>
          </cell>
          <cell r="EU213" t="str">
            <v/>
          </cell>
          <cell r="EV213" t="str">
            <v/>
          </cell>
          <cell r="EW213" t="str">
            <v/>
          </cell>
          <cell r="EX213" t="str">
            <v/>
          </cell>
          <cell r="EY213" t="str">
            <v/>
          </cell>
          <cell r="EZ213" t="str">
            <v/>
          </cell>
          <cell r="FA213" t="str">
            <v/>
          </cell>
          <cell r="FB213" t="str">
            <v/>
          </cell>
          <cell r="FC213" t="str">
            <v/>
          </cell>
          <cell r="FD213" t="str">
            <v/>
          </cell>
          <cell r="FE213" t="str">
            <v/>
          </cell>
          <cell r="FF213" t="str">
            <v/>
          </cell>
          <cell r="FG213" t="str">
            <v/>
          </cell>
          <cell r="FH213" t="str">
            <v/>
          </cell>
          <cell r="FI213" t="str">
            <v/>
          </cell>
          <cell r="FJ213" t="str">
            <v/>
          </cell>
          <cell r="FK213" t="str">
            <v/>
          </cell>
          <cell r="FL213" t="str">
            <v/>
          </cell>
          <cell r="FM213" t="str">
            <v/>
          </cell>
          <cell r="FN213" t="str">
            <v/>
          </cell>
          <cell r="FO213" t="str">
            <v/>
          </cell>
          <cell r="FP213" t="str">
            <v/>
          </cell>
        </row>
        <row r="214">
          <cell r="N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AJ214">
            <v>0</v>
          </cell>
          <cell r="AK214">
            <v>0</v>
          </cell>
          <cell r="AL214">
            <v>999999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BE214">
            <v>48000</v>
          </cell>
          <cell r="BH214">
            <v>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0</v>
          </cell>
          <cell r="BP214">
            <v>0</v>
          </cell>
          <cell r="BQ214">
            <v>0</v>
          </cell>
          <cell r="CB214">
            <v>0</v>
          </cell>
          <cell r="CC214">
            <v>0</v>
          </cell>
          <cell r="CD214">
            <v>0</v>
          </cell>
          <cell r="CE214">
            <v>0</v>
          </cell>
          <cell r="CF214">
            <v>0</v>
          </cell>
          <cell r="CG214">
            <v>0</v>
          </cell>
          <cell r="CH214">
            <v>0</v>
          </cell>
          <cell r="CI214">
            <v>0</v>
          </cell>
          <cell r="CJ214">
            <v>0</v>
          </cell>
          <cell r="CK214">
            <v>0</v>
          </cell>
          <cell r="CW214">
            <v>0</v>
          </cell>
          <cell r="CY214">
            <v>0</v>
          </cell>
          <cell r="CZ214">
            <v>0</v>
          </cell>
          <cell r="DA214">
            <v>0</v>
          </cell>
          <cell r="DB214">
            <v>0</v>
          </cell>
          <cell r="DC214">
            <v>0</v>
          </cell>
          <cell r="DD214">
            <v>0</v>
          </cell>
          <cell r="DE214">
            <v>0</v>
          </cell>
          <cell r="DF214">
            <v>0</v>
          </cell>
          <cell r="DG214">
            <v>0</v>
          </cell>
          <cell r="DH214">
            <v>0</v>
          </cell>
          <cell r="DS214">
            <v>0</v>
          </cell>
          <cell r="DT214">
            <v>153</v>
          </cell>
          <cell r="DU214">
            <v>999999</v>
          </cell>
          <cell r="DV214">
            <v>999999</v>
          </cell>
          <cell r="DW214">
            <v>999999</v>
          </cell>
          <cell r="DX214">
            <v>0</v>
          </cell>
          <cell r="DY214">
            <v>153</v>
          </cell>
          <cell r="DZ214">
            <v>999999</v>
          </cell>
          <cell r="EA214">
            <v>999999</v>
          </cell>
          <cell r="EB214">
            <v>999999</v>
          </cell>
          <cell r="EC214">
            <v>0</v>
          </cell>
          <cell r="ED214">
            <v>0</v>
          </cell>
          <cell r="EE214">
            <v>0</v>
          </cell>
          <cell r="EF214">
            <v>0</v>
          </cell>
          <cell r="EG214">
            <v>0</v>
          </cell>
          <cell r="EH214">
            <v>0</v>
          </cell>
          <cell r="EI214">
            <v>0</v>
          </cell>
          <cell r="EJ214">
            <v>0</v>
          </cell>
          <cell r="EK214">
            <v>0</v>
          </cell>
          <cell r="EL214">
            <v>0</v>
          </cell>
          <cell r="EM214" t="str">
            <v/>
          </cell>
          <cell r="EN214" t="str">
            <v/>
          </cell>
          <cell r="EO214" t="str">
            <v/>
          </cell>
          <cell r="EP214" t="str">
            <v/>
          </cell>
          <cell r="EQ214" t="str">
            <v/>
          </cell>
          <cell r="ER214" t="str">
            <v/>
          </cell>
          <cell r="ES214" t="str">
            <v/>
          </cell>
          <cell r="ET214" t="str">
            <v/>
          </cell>
          <cell r="EU214" t="str">
            <v/>
          </cell>
          <cell r="EV214" t="str">
            <v/>
          </cell>
          <cell r="EW214" t="str">
            <v/>
          </cell>
          <cell r="EX214" t="str">
            <v/>
          </cell>
          <cell r="EY214" t="str">
            <v/>
          </cell>
          <cell r="EZ214" t="str">
            <v/>
          </cell>
          <cell r="FA214" t="str">
            <v/>
          </cell>
          <cell r="FB214" t="str">
            <v/>
          </cell>
          <cell r="FC214" t="str">
            <v/>
          </cell>
          <cell r="FD214" t="str">
            <v/>
          </cell>
          <cell r="FE214" t="str">
            <v/>
          </cell>
          <cell r="FF214" t="str">
            <v/>
          </cell>
          <cell r="FG214" t="str">
            <v/>
          </cell>
          <cell r="FH214" t="str">
            <v/>
          </cell>
          <cell r="FI214" t="str">
            <v/>
          </cell>
          <cell r="FJ214" t="str">
            <v/>
          </cell>
          <cell r="FK214" t="str">
            <v/>
          </cell>
          <cell r="FL214" t="str">
            <v/>
          </cell>
          <cell r="FM214" t="str">
            <v/>
          </cell>
          <cell r="FN214" t="str">
            <v/>
          </cell>
          <cell r="FO214" t="str">
            <v/>
          </cell>
          <cell r="FP214" t="str">
            <v/>
          </cell>
        </row>
        <row r="215">
          <cell r="N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AJ215">
            <v>0</v>
          </cell>
          <cell r="AK215">
            <v>0</v>
          </cell>
          <cell r="AL215">
            <v>999999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BE215">
            <v>0</v>
          </cell>
          <cell r="BH215">
            <v>0</v>
          </cell>
          <cell r="BI215">
            <v>0</v>
          </cell>
          <cell r="BJ215">
            <v>0</v>
          </cell>
          <cell r="BK215">
            <v>0</v>
          </cell>
          <cell r="BL215">
            <v>0</v>
          </cell>
          <cell r="BM215">
            <v>0</v>
          </cell>
          <cell r="BN215">
            <v>0</v>
          </cell>
          <cell r="BO215">
            <v>0</v>
          </cell>
          <cell r="BP215">
            <v>0</v>
          </cell>
          <cell r="BQ215">
            <v>0</v>
          </cell>
          <cell r="CB215">
            <v>0</v>
          </cell>
          <cell r="CC215">
            <v>0</v>
          </cell>
          <cell r="CD215">
            <v>0</v>
          </cell>
          <cell r="CE215">
            <v>0</v>
          </cell>
          <cell r="CF215">
            <v>0</v>
          </cell>
          <cell r="CG215">
            <v>0</v>
          </cell>
          <cell r="CH215">
            <v>0</v>
          </cell>
          <cell r="CI215">
            <v>0</v>
          </cell>
          <cell r="CJ215">
            <v>0</v>
          </cell>
          <cell r="CK215">
            <v>0</v>
          </cell>
          <cell r="CW215">
            <v>0</v>
          </cell>
          <cell r="CY215">
            <v>0</v>
          </cell>
          <cell r="CZ215">
            <v>0</v>
          </cell>
          <cell r="DA215">
            <v>0</v>
          </cell>
          <cell r="DB215">
            <v>0</v>
          </cell>
          <cell r="DC215">
            <v>0</v>
          </cell>
          <cell r="DD215">
            <v>0</v>
          </cell>
          <cell r="DE215">
            <v>0</v>
          </cell>
          <cell r="DF215">
            <v>0</v>
          </cell>
          <cell r="DG215">
            <v>0</v>
          </cell>
          <cell r="DH215">
            <v>0</v>
          </cell>
          <cell r="DS215">
            <v>0</v>
          </cell>
          <cell r="DT215">
            <v>152</v>
          </cell>
          <cell r="DU215">
            <v>999999</v>
          </cell>
          <cell r="DV215">
            <v>999999</v>
          </cell>
          <cell r="DW215">
            <v>999999</v>
          </cell>
          <cell r="DX215">
            <v>0</v>
          </cell>
          <cell r="DY215">
            <v>152</v>
          </cell>
          <cell r="DZ215">
            <v>999999</v>
          </cell>
          <cell r="EA215">
            <v>999999</v>
          </cell>
          <cell r="EB215">
            <v>999999</v>
          </cell>
          <cell r="EC215">
            <v>0</v>
          </cell>
          <cell r="ED215">
            <v>0</v>
          </cell>
          <cell r="EE215">
            <v>0</v>
          </cell>
          <cell r="EF215">
            <v>0</v>
          </cell>
          <cell r="EG215">
            <v>0</v>
          </cell>
          <cell r="EH215">
            <v>0</v>
          </cell>
          <cell r="EI215">
            <v>0</v>
          </cell>
          <cell r="EJ215">
            <v>0</v>
          </cell>
          <cell r="EK215">
            <v>0</v>
          </cell>
          <cell r="EL215">
            <v>0</v>
          </cell>
          <cell r="EM215" t="str">
            <v/>
          </cell>
          <cell r="EN215" t="str">
            <v/>
          </cell>
          <cell r="EO215" t="str">
            <v/>
          </cell>
          <cell r="EP215" t="str">
            <v/>
          </cell>
          <cell r="EQ215" t="str">
            <v/>
          </cell>
          <cell r="ER215" t="str">
            <v/>
          </cell>
          <cell r="ES215" t="str">
            <v/>
          </cell>
          <cell r="ET215" t="str">
            <v/>
          </cell>
          <cell r="EU215" t="str">
            <v/>
          </cell>
          <cell r="EV215" t="str">
            <v/>
          </cell>
          <cell r="EW215" t="str">
            <v/>
          </cell>
          <cell r="EX215" t="str">
            <v/>
          </cell>
          <cell r="EY215" t="str">
            <v/>
          </cell>
          <cell r="EZ215" t="str">
            <v/>
          </cell>
          <cell r="FA215" t="str">
            <v/>
          </cell>
          <cell r="FB215" t="str">
            <v/>
          </cell>
          <cell r="FC215" t="str">
            <v/>
          </cell>
          <cell r="FD215" t="str">
            <v/>
          </cell>
          <cell r="FE215" t="str">
            <v/>
          </cell>
          <cell r="FF215" t="str">
            <v/>
          </cell>
          <cell r="FG215" t="str">
            <v/>
          </cell>
          <cell r="FH215" t="str">
            <v/>
          </cell>
          <cell r="FI215" t="str">
            <v/>
          </cell>
          <cell r="FJ215" t="str">
            <v/>
          </cell>
          <cell r="FK215" t="str">
            <v/>
          </cell>
          <cell r="FL215" t="str">
            <v/>
          </cell>
          <cell r="FM215" t="str">
            <v/>
          </cell>
          <cell r="FN215" t="str">
            <v/>
          </cell>
          <cell r="FO215" t="str">
            <v/>
          </cell>
          <cell r="FP215" t="str">
            <v/>
          </cell>
        </row>
        <row r="216">
          <cell r="N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AJ216">
            <v>0</v>
          </cell>
          <cell r="AK216">
            <v>0</v>
          </cell>
          <cell r="AL216">
            <v>999999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BE216">
            <v>0</v>
          </cell>
          <cell r="BH216">
            <v>0</v>
          </cell>
          <cell r="BI216">
            <v>0</v>
          </cell>
          <cell r="BJ216">
            <v>0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0</v>
          </cell>
          <cell r="BP216">
            <v>0</v>
          </cell>
          <cell r="BQ216">
            <v>0</v>
          </cell>
          <cell r="CB216">
            <v>0</v>
          </cell>
          <cell r="CC216">
            <v>0</v>
          </cell>
          <cell r="CD216">
            <v>0</v>
          </cell>
          <cell r="CE216">
            <v>0</v>
          </cell>
          <cell r="CF216">
            <v>0</v>
          </cell>
          <cell r="CG216">
            <v>0</v>
          </cell>
          <cell r="CH216">
            <v>0</v>
          </cell>
          <cell r="CI216">
            <v>0</v>
          </cell>
          <cell r="CJ216">
            <v>0</v>
          </cell>
          <cell r="CK216">
            <v>0</v>
          </cell>
          <cell r="CW216">
            <v>0</v>
          </cell>
          <cell r="CY216">
            <v>0</v>
          </cell>
          <cell r="CZ216">
            <v>0</v>
          </cell>
          <cell r="DA216">
            <v>0</v>
          </cell>
          <cell r="DB216">
            <v>0</v>
          </cell>
          <cell r="DC216">
            <v>0</v>
          </cell>
          <cell r="DD216">
            <v>0</v>
          </cell>
          <cell r="DE216">
            <v>0</v>
          </cell>
          <cell r="DF216">
            <v>0</v>
          </cell>
          <cell r="DG216">
            <v>0</v>
          </cell>
          <cell r="DH216">
            <v>0</v>
          </cell>
          <cell r="DS216">
            <v>0</v>
          </cell>
          <cell r="DT216">
            <v>151</v>
          </cell>
          <cell r="DU216">
            <v>999999</v>
          </cell>
          <cell r="DV216">
            <v>999999</v>
          </cell>
          <cell r="DW216">
            <v>999999</v>
          </cell>
          <cell r="DX216">
            <v>0</v>
          </cell>
          <cell r="DY216">
            <v>151</v>
          </cell>
          <cell r="DZ216">
            <v>999999</v>
          </cell>
          <cell r="EA216">
            <v>999999</v>
          </cell>
          <cell r="EB216">
            <v>999999</v>
          </cell>
          <cell r="EC216">
            <v>0</v>
          </cell>
          <cell r="ED216">
            <v>0</v>
          </cell>
          <cell r="EE216">
            <v>0</v>
          </cell>
          <cell r="EF216">
            <v>0</v>
          </cell>
          <cell r="EG216">
            <v>0</v>
          </cell>
          <cell r="EH216">
            <v>0</v>
          </cell>
          <cell r="EI216">
            <v>0</v>
          </cell>
          <cell r="EJ216">
            <v>0</v>
          </cell>
          <cell r="EK216">
            <v>0</v>
          </cell>
          <cell r="EL216">
            <v>0</v>
          </cell>
          <cell r="EM216" t="str">
            <v/>
          </cell>
          <cell r="EN216" t="str">
            <v/>
          </cell>
          <cell r="EO216" t="str">
            <v/>
          </cell>
          <cell r="EP216" t="str">
            <v/>
          </cell>
          <cell r="EQ216" t="str">
            <v/>
          </cell>
          <cell r="ER216" t="str">
            <v/>
          </cell>
          <cell r="ES216" t="str">
            <v/>
          </cell>
          <cell r="ET216" t="str">
            <v/>
          </cell>
          <cell r="EU216" t="str">
            <v/>
          </cell>
          <cell r="EV216" t="str">
            <v/>
          </cell>
          <cell r="EW216" t="str">
            <v/>
          </cell>
          <cell r="EX216" t="str">
            <v/>
          </cell>
          <cell r="EY216" t="str">
            <v/>
          </cell>
          <cell r="EZ216" t="str">
            <v/>
          </cell>
          <cell r="FA216" t="str">
            <v/>
          </cell>
          <cell r="FB216" t="str">
            <v/>
          </cell>
          <cell r="FC216" t="str">
            <v/>
          </cell>
          <cell r="FD216" t="str">
            <v/>
          </cell>
          <cell r="FE216" t="str">
            <v/>
          </cell>
          <cell r="FF216" t="str">
            <v/>
          </cell>
          <cell r="FG216" t="str">
            <v/>
          </cell>
          <cell r="FH216" t="str">
            <v/>
          </cell>
          <cell r="FI216" t="str">
            <v/>
          </cell>
          <cell r="FJ216" t="str">
            <v/>
          </cell>
          <cell r="FK216" t="str">
            <v/>
          </cell>
          <cell r="FL216" t="str">
            <v/>
          </cell>
          <cell r="FM216" t="str">
            <v/>
          </cell>
          <cell r="FN216" t="str">
            <v/>
          </cell>
          <cell r="FO216" t="str">
            <v/>
          </cell>
          <cell r="FP216" t="str">
            <v/>
          </cell>
        </row>
        <row r="217">
          <cell r="N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AJ217">
            <v>0</v>
          </cell>
          <cell r="AK217">
            <v>0</v>
          </cell>
          <cell r="AL217">
            <v>999999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BE217">
            <v>0</v>
          </cell>
          <cell r="BH217">
            <v>0</v>
          </cell>
          <cell r="BI217">
            <v>0</v>
          </cell>
          <cell r="BJ217">
            <v>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0</v>
          </cell>
          <cell r="BP217">
            <v>0</v>
          </cell>
          <cell r="BQ217">
            <v>0</v>
          </cell>
          <cell r="CB217">
            <v>0</v>
          </cell>
          <cell r="CC217">
            <v>0</v>
          </cell>
          <cell r="CD217">
            <v>0</v>
          </cell>
          <cell r="CE217">
            <v>0</v>
          </cell>
          <cell r="CF217">
            <v>0</v>
          </cell>
          <cell r="CG217">
            <v>0</v>
          </cell>
          <cell r="CH217">
            <v>0</v>
          </cell>
          <cell r="CI217">
            <v>0</v>
          </cell>
          <cell r="CJ217">
            <v>0</v>
          </cell>
          <cell r="CK217">
            <v>0</v>
          </cell>
          <cell r="CW217">
            <v>0</v>
          </cell>
          <cell r="CY217">
            <v>0</v>
          </cell>
          <cell r="CZ217">
            <v>0</v>
          </cell>
          <cell r="DA217">
            <v>0</v>
          </cell>
          <cell r="DB217">
            <v>0</v>
          </cell>
          <cell r="DC217">
            <v>0</v>
          </cell>
          <cell r="DD217">
            <v>0</v>
          </cell>
          <cell r="DE217">
            <v>0</v>
          </cell>
          <cell r="DF217">
            <v>0</v>
          </cell>
          <cell r="DG217">
            <v>0</v>
          </cell>
          <cell r="DH217">
            <v>0</v>
          </cell>
          <cell r="DS217">
            <v>0</v>
          </cell>
          <cell r="DT217">
            <v>150</v>
          </cell>
          <cell r="DU217">
            <v>999999</v>
          </cell>
          <cell r="DV217">
            <v>999999</v>
          </cell>
          <cell r="DW217">
            <v>999999</v>
          </cell>
          <cell r="DX217">
            <v>0</v>
          </cell>
          <cell r="DY217">
            <v>150</v>
          </cell>
          <cell r="DZ217">
            <v>999999</v>
          </cell>
          <cell r="EA217">
            <v>999999</v>
          </cell>
          <cell r="EB217">
            <v>999999</v>
          </cell>
          <cell r="EC217">
            <v>0</v>
          </cell>
          <cell r="ED217">
            <v>0</v>
          </cell>
          <cell r="EE217">
            <v>0</v>
          </cell>
          <cell r="EF217">
            <v>0</v>
          </cell>
          <cell r="EG217">
            <v>0</v>
          </cell>
          <cell r="EH217">
            <v>0</v>
          </cell>
          <cell r="EI217">
            <v>0</v>
          </cell>
          <cell r="EJ217">
            <v>0</v>
          </cell>
          <cell r="EK217">
            <v>0</v>
          </cell>
          <cell r="EL217">
            <v>0</v>
          </cell>
          <cell r="EM217" t="str">
            <v/>
          </cell>
          <cell r="EN217" t="str">
            <v/>
          </cell>
          <cell r="EO217" t="str">
            <v/>
          </cell>
          <cell r="EP217" t="str">
            <v/>
          </cell>
          <cell r="EQ217" t="str">
            <v/>
          </cell>
          <cell r="ER217" t="str">
            <v/>
          </cell>
          <cell r="ES217" t="str">
            <v/>
          </cell>
          <cell r="ET217" t="str">
            <v/>
          </cell>
          <cell r="EU217" t="str">
            <v/>
          </cell>
          <cell r="EV217" t="str">
            <v/>
          </cell>
          <cell r="EW217" t="str">
            <v/>
          </cell>
          <cell r="EX217" t="str">
            <v/>
          </cell>
          <cell r="EY217" t="str">
            <v/>
          </cell>
          <cell r="EZ217" t="str">
            <v/>
          </cell>
          <cell r="FA217" t="str">
            <v/>
          </cell>
          <cell r="FB217" t="str">
            <v/>
          </cell>
          <cell r="FC217" t="str">
            <v/>
          </cell>
          <cell r="FD217" t="str">
            <v/>
          </cell>
          <cell r="FE217" t="str">
            <v/>
          </cell>
          <cell r="FF217" t="str">
            <v/>
          </cell>
          <cell r="FG217" t="str">
            <v/>
          </cell>
          <cell r="FH217" t="str">
            <v/>
          </cell>
          <cell r="FI217" t="str">
            <v/>
          </cell>
          <cell r="FJ217" t="str">
            <v/>
          </cell>
          <cell r="FK217" t="str">
            <v/>
          </cell>
          <cell r="FL217" t="str">
            <v/>
          </cell>
          <cell r="FM217" t="str">
            <v/>
          </cell>
          <cell r="FN217" t="str">
            <v/>
          </cell>
          <cell r="FO217" t="str">
            <v/>
          </cell>
          <cell r="FP217" t="str">
            <v/>
          </cell>
        </row>
        <row r="218">
          <cell r="N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AJ218">
            <v>0</v>
          </cell>
          <cell r="AK218">
            <v>0</v>
          </cell>
          <cell r="AL218">
            <v>999999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BE218">
            <v>0</v>
          </cell>
          <cell r="BH218">
            <v>0</v>
          </cell>
          <cell r="BI218">
            <v>0</v>
          </cell>
          <cell r="BJ218">
            <v>0</v>
          </cell>
          <cell r="BK218">
            <v>0</v>
          </cell>
          <cell r="BL218">
            <v>0</v>
          </cell>
          <cell r="BM218">
            <v>0</v>
          </cell>
          <cell r="BN218">
            <v>0</v>
          </cell>
          <cell r="BO218">
            <v>0</v>
          </cell>
          <cell r="BP218">
            <v>0</v>
          </cell>
          <cell r="BQ218">
            <v>0</v>
          </cell>
          <cell r="CB218">
            <v>0</v>
          </cell>
          <cell r="CC218">
            <v>0</v>
          </cell>
          <cell r="CD218">
            <v>0</v>
          </cell>
          <cell r="CE218">
            <v>0</v>
          </cell>
          <cell r="CF218">
            <v>0</v>
          </cell>
          <cell r="CG218">
            <v>0</v>
          </cell>
          <cell r="CH218">
            <v>0</v>
          </cell>
          <cell r="CI218">
            <v>0</v>
          </cell>
          <cell r="CJ218">
            <v>0</v>
          </cell>
          <cell r="CK218">
            <v>0</v>
          </cell>
          <cell r="CW218">
            <v>0</v>
          </cell>
          <cell r="CY218">
            <v>0</v>
          </cell>
          <cell r="CZ218">
            <v>0</v>
          </cell>
          <cell r="DA218">
            <v>0</v>
          </cell>
          <cell r="DB218">
            <v>0</v>
          </cell>
          <cell r="DC218">
            <v>0</v>
          </cell>
          <cell r="DD218">
            <v>0</v>
          </cell>
          <cell r="DE218">
            <v>0</v>
          </cell>
          <cell r="DF218">
            <v>0</v>
          </cell>
          <cell r="DG218">
            <v>0</v>
          </cell>
          <cell r="DH218">
            <v>0</v>
          </cell>
          <cell r="DS218">
            <v>0</v>
          </cell>
          <cell r="DT218">
            <v>149</v>
          </cell>
          <cell r="DU218">
            <v>999999</v>
          </cell>
          <cell r="DV218">
            <v>999999</v>
          </cell>
          <cell r="DW218">
            <v>999999</v>
          </cell>
          <cell r="DX218">
            <v>0</v>
          </cell>
          <cell r="DY218">
            <v>149</v>
          </cell>
          <cell r="DZ218">
            <v>999999</v>
          </cell>
          <cell r="EA218">
            <v>999999</v>
          </cell>
          <cell r="EB218">
            <v>999999</v>
          </cell>
          <cell r="EC218">
            <v>0</v>
          </cell>
          <cell r="ED218">
            <v>0</v>
          </cell>
          <cell r="EE218">
            <v>0</v>
          </cell>
          <cell r="EF218">
            <v>0</v>
          </cell>
          <cell r="EG218">
            <v>0</v>
          </cell>
          <cell r="EH218">
            <v>0</v>
          </cell>
          <cell r="EI218">
            <v>0</v>
          </cell>
          <cell r="EJ218">
            <v>0</v>
          </cell>
          <cell r="EK218">
            <v>0</v>
          </cell>
          <cell r="EL218">
            <v>0</v>
          </cell>
          <cell r="EM218" t="str">
            <v/>
          </cell>
          <cell r="EN218" t="str">
            <v/>
          </cell>
          <cell r="EO218" t="str">
            <v/>
          </cell>
          <cell r="EP218" t="str">
            <v/>
          </cell>
          <cell r="EQ218" t="str">
            <v/>
          </cell>
          <cell r="ER218" t="str">
            <v/>
          </cell>
          <cell r="ES218" t="str">
            <v/>
          </cell>
          <cell r="ET218" t="str">
            <v/>
          </cell>
          <cell r="EU218" t="str">
            <v/>
          </cell>
          <cell r="EV218" t="str">
            <v/>
          </cell>
          <cell r="EW218" t="str">
            <v/>
          </cell>
          <cell r="EX218" t="str">
            <v/>
          </cell>
          <cell r="EY218" t="str">
            <v/>
          </cell>
          <cell r="EZ218" t="str">
            <v/>
          </cell>
          <cell r="FA218" t="str">
            <v/>
          </cell>
          <cell r="FB218" t="str">
            <v/>
          </cell>
          <cell r="FC218" t="str">
            <v/>
          </cell>
          <cell r="FD218" t="str">
            <v/>
          </cell>
          <cell r="FE218" t="str">
            <v/>
          </cell>
          <cell r="FF218" t="str">
            <v/>
          </cell>
          <cell r="FG218" t="str">
            <v/>
          </cell>
          <cell r="FH218" t="str">
            <v/>
          </cell>
          <cell r="FI218" t="str">
            <v/>
          </cell>
          <cell r="FJ218" t="str">
            <v/>
          </cell>
          <cell r="FK218" t="str">
            <v/>
          </cell>
          <cell r="FL218" t="str">
            <v/>
          </cell>
          <cell r="FM218" t="str">
            <v/>
          </cell>
          <cell r="FN218" t="str">
            <v/>
          </cell>
          <cell r="FO218" t="str">
            <v/>
          </cell>
          <cell r="FP218" t="str">
            <v/>
          </cell>
        </row>
        <row r="219">
          <cell r="N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AJ219">
            <v>0</v>
          </cell>
          <cell r="AK219">
            <v>0</v>
          </cell>
          <cell r="AL219">
            <v>999999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BE219">
            <v>0</v>
          </cell>
          <cell r="BH219">
            <v>0</v>
          </cell>
          <cell r="BI219">
            <v>0</v>
          </cell>
          <cell r="BJ219">
            <v>0</v>
          </cell>
          <cell r="BK219">
            <v>0</v>
          </cell>
          <cell r="BL219">
            <v>0</v>
          </cell>
          <cell r="BM219">
            <v>0</v>
          </cell>
          <cell r="BN219">
            <v>0</v>
          </cell>
          <cell r="BO219">
            <v>0</v>
          </cell>
          <cell r="BP219">
            <v>0</v>
          </cell>
          <cell r="BQ219">
            <v>0</v>
          </cell>
          <cell r="CB219">
            <v>0</v>
          </cell>
          <cell r="CC219">
            <v>0</v>
          </cell>
          <cell r="CD219">
            <v>0</v>
          </cell>
          <cell r="CE219">
            <v>0</v>
          </cell>
          <cell r="CF219">
            <v>0</v>
          </cell>
          <cell r="CG219">
            <v>0</v>
          </cell>
          <cell r="CH219">
            <v>0</v>
          </cell>
          <cell r="CI219">
            <v>0</v>
          </cell>
          <cell r="CJ219">
            <v>0</v>
          </cell>
          <cell r="CK219">
            <v>0</v>
          </cell>
          <cell r="CW219">
            <v>0</v>
          </cell>
          <cell r="CY219">
            <v>0</v>
          </cell>
          <cell r="CZ219">
            <v>0</v>
          </cell>
          <cell r="DA219">
            <v>0</v>
          </cell>
          <cell r="DB219">
            <v>0</v>
          </cell>
          <cell r="DC219">
            <v>0</v>
          </cell>
          <cell r="DD219">
            <v>0</v>
          </cell>
          <cell r="DE219">
            <v>0</v>
          </cell>
          <cell r="DF219">
            <v>0</v>
          </cell>
          <cell r="DG219">
            <v>0</v>
          </cell>
          <cell r="DH219">
            <v>0</v>
          </cell>
          <cell r="DS219">
            <v>0</v>
          </cell>
          <cell r="DT219">
            <v>148</v>
          </cell>
          <cell r="DU219">
            <v>999999</v>
          </cell>
          <cell r="DV219">
            <v>999999</v>
          </cell>
          <cell r="DW219">
            <v>999999</v>
          </cell>
          <cell r="DX219">
            <v>0</v>
          </cell>
          <cell r="DY219">
            <v>148</v>
          </cell>
          <cell r="DZ219">
            <v>999999</v>
          </cell>
          <cell r="EA219">
            <v>999999</v>
          </cell>
          <cell r="EB219">
            <v>999999</v>
          </cell>
          <cell r="EC219">
            <v>0</v>
          </cell>
          <cell r="ED219">
            <v>0</v>
          </cell>
          <cell r="EE219">
            <v>0</v>
          </cell>
          <cell r="EF219">
            <v>0</v>
          </cell>
          <cell r="EG219">
            <v>0</v>
          </cell>
          <cell r="EH219">
            <v>0</v>
          </cell>
          <cell r="EI219">
            <v>0</v>
          </cell>
          <cell r="EJ219">
            <v>0</v>
          </cell>
          <cell r="EK219">
            <v>0</v>
          </cell>
          <cell r="EL219">
            <v>0</v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 t="str">
            <v/>
          </cell>
          <cell r="EU219" t="str">
            <v/>
          </cell>
          <cell r="EV219" t="str">
            <v/>
          </cell>
          <cell r="EW219" t="str">
            <v/>
          </cell>
          <cell r="EX219" t="str">
            <v/>
          </cell>
          <cell r="EY219" t="str">
            <v/>
          </cell>
          <cell r="EZ219" t="str">
            <v/>
          </cell>
          <cell r="FA219" t="str">
            <v/>
          </cell>
          <cell r="FB219" t="str">
            <v/>
          </cell>
          <cell r="FC219" t="str">
            <v/>
          </cell>
          <cell r="FD219" t="str">
            <v/>
          </cell>
          <cell r="FE219" t="str">
            <v/>
          </cell>
          <cell r="FF219" t="str">
            <v/>
          </cell>
          <cell r="FG219" t="str">
            <v/>
          </cell>
          <cell r="FH219" t="str">
            <v/>
          </cell>
          <cell r="FI219" t="str">
            <v/>
          </cell>
          <cell r="FJ219" t="str">
            <v/>
          </cell>
          <cell r="FK219" t="str">
            <v/>
          </cell>
          <cell r="FL219" t="str">
            <v/>
          </cell>
          <cell r="FM219" t="str">
            <v/>
          </cell>
          <cell r="FN219" t="str">
            <v/>
          </cell>
          <cell r="FO219" t="str">
            <v/>
          </cell>
          <cell r="FP219" t="str">
            <v/>
          </cell>
        </row>
        <row r="220">
          <cell r="N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AJ220">
            <v>0</v>
          </cell>
          <cell r="AK220">
            <v>0</v>
          </cell>
          <cell r="AL220">
            <v>999999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BE220">
            <v>0</v>
          </cell>
          <cell r="BH220">
            <v>0</v>
          </cell>
          <cell r="BI220">
            <v>0</v>
          </cell>
          <cell r="BJ220">
            <v>0</v>
          </cell>
          <cell r="BK220">
            <v>0</v>
          </cell>
          <cell r="BL220">
            <v>0</v>
          </cell>
          <cell r="BM220">
            <v>0</v>
          </cell>
          <cell r="BN220">
            <v>0</v>
          </cell>
          <cell r="BO220">
            <v>0</v>
          </cell>
          <cell r="BP220">
            <v>0</v>
          </cell>
          <cell r="BQ220">
            <v>0</v>
          </cell>
          <cell r="CB220">
            <v>0</v>
          </cell>
          <cell r="CC220">
            <v>0</v>
          </cell>
          <cell r="CD220">
            <v>0</v>
          </cell>
          <cell r="CE220">
            <v>0</v>
          </cell>
          <cell r="CF220">
            <v>0</v>
          </cell>
          <cell r="CG220">
            <v>0</v>
          </cell>
          <cell r="CH220">
            <v>0</v>
          </cell>
          <cell r="CI220">
            <v>0</v>
          </cell>
          <cell r="CJ220">
            <v>0</v>
          </cell>
          <cell r="CK220">
            <v>0</v>
          </cell>
          <cell r="CW220">
            <v>0</v>
          </cell>
          <cell r="CY220">
            <v>0</v>
          </cell>
          <cell r="CZ220">
            <v>0</v>
          </cell>
          <cell r="DA220">
            <v>0</v>
          </cell>
          <cell r="DB220">
            <v>0</v>
          </cell>
          <cell r="DC220">
            <v>0</v>
          </cell>
          <cell r="DD220">
            <v>0</v>
          </cell>
          <cell r="DE220">
            <v>0</v>
          </cell>
          <cell r="DF220">
            <v>0</v>
          </cell>
          <cell r="DG220">
            <v>0</v>
          </cell>
          <cell r="DH220">
            <v>0</v>
          </cell>
          <cell r="DS220">
            <v>0</v>
          </cell>
          <cell r="DT220">
            <v>147</v>
          </cell>
          <cell r="DU220">
            <v>999999</v>
          </cell>
          <cell r="DV220">
            <v>999999</v>
          </cell>
          <cell r="DW220">
            <v>999999</v>
          </cell>
          <cell r="DX220">
            <v>0</v>
          </cell>
          <cell r="DY220">
            <v>147</v>
          </cell>
          <cell r="DZ220">
            <v>999999</v>
          </cell>
          <cell r="EA220">
            <v>999999</v>
          </cell>
          <cell r="EB220">
            <v>999999</v>
          </cell>
          <cell r="EC220">
            <v>0</v>
          </cell>
          <cell r="ED220">
            <v>0</v>
          </cell>
          <cell r="EE220">
            <v>0</v>
          </cell>
          <cell r="EF220">
            <v>0</v>
          </cell>
          <cell r="EG220">
            <v>0</v>
          </cell>
          <cell r="EH220">
            <v>0</v>
          </cell>
          <cell r="EI220">
            <v>0</v>
          </cell>
          <cell r="EJ220">
            <v>0</v>
          </cell>
          <cell r="EK220">
            <v>0</v>
          </cell>
          <cell r="EL220">
            <v>0</v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 t="str">
            <v/>
          </cell>
          <cell r="EU220" t="str">
            <v/>
          </cell>
          <cell r="EV220" t="str">
            <v/>
          </cell>
          <cell r="EW220" t="str">
            <v/>
          </cell>
          <cell r="EX220" t="str">
            <v/>
          </cell>
          <cell r="EY220" t="str">
            <v/>
          </cell>
          <cell r="EZ220" t="str">
            <v/>
          </cell>
          <cell r="FA220" t="str">
            <v/>
          </cell>
          <cell r="FB220" t="str">
            <v/>
          </cell>
          <cell r="FC220" t="str">
            <v/>
          </cell>
          <cell r="FD220" t="str">
            <v/>
          </cell>
          <cell r="FE220" t="str">
            <v/>
          </cell>
          <cell r="FF220" t="str">
            <v/>
          </cell>
          <cell r="FG220" t="str">
            <v/>
          </cell>
          <cell r="FH220" t="str">
            <v/>
          </cell>
          <cell r="FI220" t="str">
            <v/>
          </cell>
          <cell r="FJ220" t="str">
            <v/>
          </cell>
          <cell r="FK220" t="str">
            <v/>
          </cell>
          <cell r="FL220" t="str">
            <v/>
          </cell>
          <cell r="FM220" t="str">
            <v/>
          </cell>
          <cell r="FN220" t="str">
            <v/>
          </cell>
          <cell r="FO220" t="str">
            <v/>
          </cell>
          <cell r="FP220" t="str">
            <v/>
          </cell>
        </row>
        <row r="221">
          <cell r="N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AJ221">
            <v>0</v>
          </cell>
          <cell r="AK221">
            <v>0</v>
          </cell>
          <cell r="AL221">
            <v>999999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BE221">
            <v>0</v>
          </cell>
          <cell r="BH221">
            <v>0</v>
          </cell>
          <cell r="BI221">
            <v>0</v>
          </cell>
          <cell r="BJ221">
            <v>0</v>
          </cell>
          <cell r="BK221">
            <v>0</v>
          </cell>
          <cell r="BL221">
            <v>0</v>
          </cell>
          <cell r="BM221">
            <v>0</v>
          </cell>
          <cell r="BN221">
            <v>0</v>
          </cell>
          <cell r="BO221">
            <v>0</v>
          </cell>
          <cell r="BP221">
            <v>0</v>
          </cell>
          <cell r="BQ221">
            <v>0</v>
          </cell>
          <cell r="CB221">
            <v>0</v>
          </cell>
          <cell r="CC221">
            <v>0</v>
          </cell>
          <cell r="CD221">
            <v>0</v>
          </cell>
          <cell r="CE221">
            <v>0</v>
          </cell>
          <cell r="CF221">
            <v>0</v>
          </cell>
          <cell r="CG221">
            <v>0</v>
          </cell>
          <cell r="CH221">
            <v>0</v>
          </cell>
          <cell r="CI221">
            <v>0</v>
          </cell>
          <cell r="CJ221">
            <v>0</v>
          </cell>
          <cell r="CK221">
            <v>0</v>
          </cell>
          <cell r="CW221">
            <v>0</v>
          </cell>
          <cell r="CY221">
            <v>0</v>
          </cell>
          <cell r="CZ221">
            <v>0</v>
          </cell>
          <cell r="DA221">
            <v>0</v>
          </cell>
          <cell r="DB221">
            <v>0</v>
          </cell>
          <cell r="DC221">
            <v>0</v>
          </cell>
          <cell r="DD221">
            <v>0</v>
          </cell>
          <cell r="DE221">
            <v>0</v>
          </cell>
          <cell r="DF221">
            <v>0</v>
          </cell>
          <cell r="DG221">
            <v>0</v>
          </cell>
          <cell r="DH221">
            <v>0</v>
          </cell>
          <cell r="DS221">
            <v>0</v>
          </cell>
          <cell r="DT221">
            <v>146</v>
          </cell>
          <cell r="DU221">
            <v>999999</v>
          </cell>
          <cell r="DV221">
            <v>999999</v>
          </cell>
          <cell r="DW221">
            <v>999999</v>
          </cell>
          <cell r="DX221">
            <v>0</v>
          </cell>
          <cell r="DY221">
            <v>146</v>
          </cell>
          <cell r="DZ221">
            <v>999999</v>
          </cell>
          <cell r="EA221">
            <v>999999</v>
          </cell>
          <cell r="EB221">
            <v>999999</v>
          </cell>
          <cell r="EC221">
            <v>0</v>
          </cell>
          <cell r="ED221">
            <v>0</v>
          </cell>
          <cell r="EE221">
            <v>0</v>
          </cell>
          <cell r="EF221">
            <v>0</v>
          </cell>
          <cell r="EG221">
            <v>0</v>
          </cell>
          <cell r="EH221">
            <v>0</v>
          </cell>
          <cell r="EI221">
            <v>0</v>
          </cell>
          <cell r="EJ221">
            <v>0</v>
          </cell>
          <cell r="EK221">
            <v>0</v>
          </cell>
          <cell r="EL221">
            <v>0</v>
          </cell>
          <cell r="EM221" t="str">
            <v/>
          </cell>
          <cell r="EN221" t="str">
            <v/>
          </cell>
          <cell r="EO221" t="str">
            <v/>
          </cell>
          <cell r="EP221" t="str">
            <v/>
          </cell>
          <cell r="EQ221" t="str">
            <v/>
          </cell>
          <cell r="ER221" t="str">
            <v/>
          </cell>
          <cell r="ES221" t="str">
            <v/>
          </cell>
          <cell r="ET221" t="str">
            <v/>
          </cell>
          <cell r="EU221" t="str">
            <v/>
          </cell>
          <cell r="EV221" t="str">
            <v/>
          </cell>
          <cell r="EW221" t="str">
            <v/>
          </cell>
          <cell r="EX221" t="str">
            <v/>
          </cell>
          <cell r="EY221" t="str">
            <v/>
          </cell>
          <cell r="EZ221" t="str">
            <v/>
          </cell>
          <cell r="FA221" t="str">
            <v/>
          </cell>
          <cell r="FB221" t="str">
            <v/>
          </cell>
          <cell r="FC221" t="str">
            <v/>
          </cell>
          <cell r="FD221" t="str">
            <v/>
          </cell>
          <cell r="FE221" t="str">
            <v/>
          </cell>
          <cell r="FF221" t="str">
            <v/>
          </cell>
          <cell r="FG221" t="str">
            <v/>
          </cell>
          <cell r="FH221" t="str">
            <v/>
          </cell>
          <cell r="FI221" t="str">
            <v/>
          </cell>
          <cell r="FJ221" t="str">
            <v/>
          </cell>
          <cell r="FK221" t="str">
            <v/>
          </cell>
          <cell r="FL221" t="str">
            <v/>
          </cell>
          <cell r="FM221" t="str">
            <v/>
          </cell>
          <cell r="FN221" t="str">
            <v/>
          </cell>
          <cell r="FO221" t="str">
            <v/>
          </cell>
          <cell r="FP221" t="str">
            <v/>
          </cell>
        </row>
        <row r="222">
          <cell r="N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AJ222">
            <v>0</v>
          </cell>
          <cell r="AK222">
            <v>0</v>
          </cell>
          <cell r="AL222">
            <v>999999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BE222">
            <v>48000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  <cell r="BP222">
            <v>0</v>
          </cell>
          <cell r="BQ222">
            <v>0</v>
          </cell>
          <cell r="CB222">
            <v>0</v>
          </cell>
          <cell r="CC222">
            <v>0</v>
          </cell>
          <cell r="CD222">
            <v>0</v>
          </cell>
          <cell r="CE222">
            <v>0</v>
          </cell>
          <cell r="CF222">
            <v>0</v>
          </cell>
          <cell r="CG222">
            <v>0</v>
          </cell>
          <cell r="CH222">
            <v>0</v>
          </cell>
          <cell r="CI222">
            <v>0</v>
          </cell>
          <cell r="CJ222">
            <v>0</v>
          </cell>
          <cell r="CK222">
            <v>0</v>
          </cell>
          <cell r="CW222">
            <v>0</v>
          </cell>
          <cell r="CY222">
            <v>0</v>
          </cell>
          <cell r="CZ222">
            <v>0</v>
          </cell>
          <cell r="DA222">
            <v>0</v>
          </cell>
          <cell r="DB222">
            <v>0</v>
          </cell>
          <cell r="DC222">
            <v>0</v>
          </cell>
          <cell r="DD222">
            <v>0</v>
          </cell>
          <cell r="DE222">
            <v>0</v>
          </cell>
          <cell r="DF222">
            <v>0</v>
          </cell>
          <cell r="DG222">
            <v>0</v>
          </cell>
          <cell r="DH222">
            <v>0</v>
          </cell>
          <cell r="DS222">
            <v>0</v>
          </cell>
          <cell r="DT222">
            <v>145</v>
          </cell>
          <cell r="DU222">
            <v>999999</v>
          </cell>
          <cell r="DV222">
            <v>999999</v>
          </cell>
          <cell r="DW222">
            <v>999999</v>
          </cell>
          <cell r="DX222">
            <v>0</v>
          </cell>
          <cell r="DY222">
            <v>145</v>
          </cell>
          <cell r="DZ222">
            <v>999999</v>
          </cell>
          <cell r="EA222">
            <v>999999</v>
          </cell>
          <cell r="EB222">
            <v>999999</v>
          </cell>
          <cell r="EC222">
            <v>0</v>
          </cell>
          <cell r="ED222">
            <v>0</v>
          </cell>
          <cell r="EE222">
            <v>0</v>
          </cell>
          <cell r="EF222">
            <v>0</v>
          </cell>
          <cell r="EG222">
            <v>0</v>
          </cell>
          <cell r="EH222">
            <v>0</v>
          </cell>
          <cell r="EI222">
            <v>0</v>
          </cell>
          <cell r="EJ222">
            <v>0</v>
          </cell>
          <cell r="EK222">
            <v>0</v>
          </cell>
          <cell r="EL222">
            <v>0</v>
          </cell>
          <cell r="EM222" t="str">
            <v/>
          </cell>
          <cell r="EN222" t="str">
            <v/>
          </cell>
          <cell r="EO222" t="str">
            <v/>
          </cell>
          <cell r="EP222" t="str">
            <v/>
          </cell>
          <cell r="EQ222" t="str">
            <v/>
          </cell>
          <cell r="ER222" t="str">
            <v/>
          </cell>
          <cell r="ES222" t="str">
            <v/>
          </cell>
          <cell r="ET222" t="str">
            <v/>
          </cell>
          <cell r="EU222" t="str">
            <v/>
          </cell>
          <cell r="EV222" t="str">
            <v/>
          </cell>
          <cell r="EW222" t="str">
            <v/>
          </cell>
          <cell r="EX222" t="str">
            <v/>
          </cell>
          <cell r="EY222" t="str">
            <v/>
          </cell>
          <cell r="EZ222" t="str">
            <v/>
          </cell>
          <cell r="FA222" t="str">
            <v/>
          </cell>
          <cell r="FB222" t="str">
            <v/>
          </cell>
          <cell r="FC222" t="str">
            <v/>
          </cell>
          <cell r="FD222" t="str">
            <v/>
          </cell>
          <cell r="FE222" t="str">
            <v/>
          </cell>
          <cell r="FF222" t="str">
            <v/>
          </cell>
          <cell r="FG222" t="str">
            <v/>
          </cell>
          <cell r="FH222" t="str">
            <v/>
          </cell>
          <cell r="FI222" t="str">
            <v/>
          </cell>
          <cell r="FJ222" t="str">
            <v/>
          </cell>
          <cell r="FK222" t="str">
            <v/>
          </cell>
          <cell r="FL222" t="str">
            <v/>
          </cell>
          <cell r="FM222" t="str">
            <v/>
          </cell>
          <cell r="FN222" t="str">
            <v/>
          </cell>
          <cell r="FO222" t="str">
            <v/>
          </cell>
          <cell r="FP222" t="str">
            <v/>
          </cell>
        </row>
        <row r="223">
          <cell r="N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AJ223">
            <v>0</v>
          </cell>
          <cell r="AK223">
            <v>0</v>
          </cell>
          <cell r="AL223">
            <v>999999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BE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  <cell r="BP223">
            <v>0</v>
          </cell>
          <cell r="BQ223">
            <v>0</v>
          </cell>
          <cell r="CB223">
            <v>0</v>
          </cell>
          <cell r="CC223">
            <v>0</v>
          </cell>
          <cell r="CD223">
            <v>0</v>
          </cell>
          <cell r="CE223">
            <v>0</v>
          </cell>
          <cell r="CF223">
            <v>0</v>
          </cell>
          <cell r="CG223">
            <v>0</v>
          </cell>
          <cell r="CH223">
            <v>0</v>
          </cell>
          <cell r="CI223">
            <v>0</v>
          </cell>
          <cell r="CJ223">
            <v>0</v>
          </cell>
          <cell r="CK223">
            <v>0</v>
          </cell>
          <cell r="CW223">
            <v>0</v>
          </cell>
          <cell r="CY223">
            <v>0</v>
          </cell>
          <cell r="CZ223">
            <v>0</v>
          </cell>
          <cell r="DA223">
            <v>0</v>
          </cell>
          <cell r="DB223">
            <v>0</v>
          </cell>
          <cell r="DC223">
            <v>0</v>
          </cell>
          <cell r="DD223">
            <v>0</v>
          </cell>
          <cell r="DE223">
            <v>0</v>
          </cell>
          <cell r="DF223">
            <v>0</v>
          </cell>
          <cell r="DG223">
            <v>0</v>
          </cell>
          <cell r="DH223">
            <v>0</v>
          </cell>
          <cell r="DS223">
            <v>0</v>
          </cell>
          <cell r="DT223">
            <v>144</v>
          </cell>
          <cell r="DU223">
            <v>999999</v>
          </cell>
          <cell r="DV223">
            <v>999999</v>
          </cell>
          <cell r="DW223">
            <v>999999</v>
          </cell>
          <cell r="DX223">
            <v>0</v>
          </cell>
          <cell r="DY223">
            <v>144</v>
          </cell>
          <cell r="DZ223">
            <v>999999</v>
          </cell>
          <cell r="EA223">
            <v>999999</v>
          </cell>
          <cell r="EB223">
            <v>999999</v>
          </cell>
          <cell r="EC223">
            <v>0</v>
          </cell>
          <cell r="ED223">
            <v>0</v>
          </cell>
          <cell r="EE223">
            <v>0</v>
          </cell>
          <cell r="EF223">
            <v>0</v>
          </cell>
          <cell r="EG223">
            <v>0</v>
          </cell>
          <cell r="EH223">
            <v>0</v>
          </cell>
          <cell r="EI223">
            <v>0</v>
          </cell>
          <cell r="EJ223">
            <v>0</v>
          </cell>
          <cell r="EK223">
            <v>0</v>
          </cell>
          <cell r="EL223">
            <v>0</v>
          </cell>
          <cell r="EM223" t="str">
            <v/>
          </cell>
          <cell r="EN223" t="str">
            <v/>
          </cell>
          <cell r="EO223" t="str">
            <v/>
          </cell>
          <cell r="EP223" t="str">
            <v/>
          </cell>
          <cell r="EQ223" t="str">
            <v/>
          </cell>
          <cell r="ER223" t="str">
            <v/>
          </cell>
          <cell r="ES223" t="str">
            <v/>
          </cell>
          <cell r="ET223" t="str">
            <v/>
          </cell>
          <cell r="EU223" t="str">
            <v/>
          </cell>
          <cell r="EV223" t="str">
            <v/>
          </cell>
          <cell r="EW223" t="str">
            <v/>
          </cell>
          <cell r="EX223" t="str">
            <v/>
          </cell>
          <cell r="EY223" t="str">
            <v/>
          </cell>
          <cell r="EZ223" t="str">
            <v/>
          </cell>
          <cell r="FA223" t="str">
            <v/>
          </cell>
          <cell r="FB223" t="str">
            <v/>
          </cell>
          <cell r="FC223" t="str">
            <v/>
          </cell>
          <cell r="FD223" t="str">
            <v/>
          </cell>
          <cell r="FE223" t="str">
            <v/>
          </cell>
          <cell r="FF223" t="str">
            <v/>
          </cell>
          <cell r="FG223" t="str">
            <v/>
          </cell>
          <cell r="FH223" t="str">
            <v/>
          </cell>
          <cell r="FI223" t="str">
            <v/>
          </cell>
          <cell r="FJ223" t="str">
            <v/>
          </cell>
          <cell r="FK223" t="str">
            <v/>
          </cell>
          <cell r="FL223" t="str">
            <v/>
          </cell>
          <cell r="FM223" t="str">
            <v/>
          </cell>
          <cell r="FN223" t="str">
            <v/>
          </cell>
          <cell r="FO223" t="str">
            <v/>
          </cell>
          <cell r="FP223" t="str">
            <v/>
          </cell>
        </row>
        <row r="224">
          <cell r="N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AJ224">
            <v>0</v>
          </cell>
          <cell r="AK224">
            <v>0</v>
          </cell>
          <cell r="AL224">
            <v>999999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BE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CB224">
            <v>0</v>
          </cell>
          <cell r="CC224">
            <v>0</v>
          </cell>
          <cell r="CD224">
            <v>0</v>
          </cell>
          <cell r="CE224">
            <v>0</v>
          </cell>
          <cell r="CF224">
            <v>0</v>
          </cell>
          <cell r="CG224">
            <v>0</v>
          </cell>
          <cell r="CH224">
            <v>0</v>
          </cell>
          <cell r="CI224">
            <v>0</v>
          </cell>
          <cell r="CJ224">
            <v>0</v>
          </cell>
          <cell r="CK224">
            <v>0</v>
          </cell>
          <cell r="CW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S224">
            <v>0</v>
          </cell>
          <cell r="DT224">
            <v>143</v>
          </cell>
          <cell r="DU224">
            <v>999999</v>
          </cell>
          <cell r="DV224">
            <v>999999</v>
          </cell>
          <cell r="DW224">
            <v>999999</v>
          </cell>
          <cell r="DX224">
            <v>0</v>
          </cell>
          <cell r="DY224">
            <v>143</v>
          </cell>
          <cell r="DZ224">
            <v>999999</v>
          </cell>
          <cell r="EA224">
            <v>999999</v>
          </cell>
          <cell r="EB224">
            <v>999999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 t="str">
            <v/>
          </cell>
          <cell r="EN224" t="str">
            <v/>
          </cell>
          <cell r="EO224" t="str">
            <v/>
          </cell>
          <cell r="EP224" t="str">
            <v/>
          </cell>
          <cell r="EQ224" t="str">
            <v/>
          </cell>
          <cell r="ER224" t="str">
            <v/>
          </cell>
          <cell r="ES224" t="str">
            <v/>
          </cell>
          <cell r="ET224" t="str">
            <v/>
          </cell>
          <cell r="EU224" t="str">
            <v/>
          </cell>
          <cell r="EV224" t="str">
            <v/>
          </cell>
          <cell r="EW224" t="str">
            <v/>
          </cell>
          <cell r="EX224" t="str">
            <v/>
          </cell>
          <cell r="EY224" t="str">
            <v/>
          </cell>
          <cell r="EZ224" t="str">
            <v/>
          </cell>
          <cell r="FA224" t="str">
            <v/>
          </cell>
          <cell r="FB224" t="str">
            <v/>
          </cell>
          <cell r="FC224" t="str">
            <v/>
          </cell>
          <cell r="FD224" t="str">
            <v/>
          </cell>
          <cell r="FE224" t="str">
            <v/>
          </cell>
          <cell r="FF224" t="str">
            <v/>
          </cell>
          <cell r="FG224" t="str">
            <v/>
          </cell>
          <cell r="FH224" t="str">
            <v/>
          </cell>
          <cell r="FI224" t="str">
            <v/>
          </cell>
          <cell r="FJ224" t="str">
            <v/>
          </cell>
          <cell r="FK224" t="str">
            <v/>
          </cell>
          <cell r="FL224" t="str">
            <v/>
          </cell>
          <cell r="FM224" t="str">
            <v/>
          </cell>
          <cell r="FN224" t="str">
            <v/>
          </cell>
          <cell r="FO224" t="str">
            <v/>
          </cell>
          <cell r="FP224" t="str">
            <v/>
          </cell>
        </row>
        <row r="225">
          <cell r="N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AJ225">
            <v>0</v>
          </cell>
          <cell r="AK225">
            <v>0</v>
          </cell>
          <cell r="AL225">
            <v>999999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BE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CB225">
            <v>0</v>
          </cell>
          <cell r="CC225">
            <v>0</v>
          </cell>
          <cell r="CD225">
            <v>0</v>
          </cell>
          <cell r="CE225">
            <v>0</v>
          </cell>
          <cell r="CF225">
            <v>0</v>
          </cell>
          <cell r="CG225">
            <v>0</v>
          </cell>
          <cell r="CH225">
            <v>0</v>
          </cell>
          <cell r="CI225">
            <v>0</v>
          </cell>
          <cell r="CJ225">
            <v>0</v>
          </cell>
          <cell r="CK225">
            <v>0</v>
          </cell>
          <cell r="CW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S225">
            <v>0</v>
          </cell>
          <cell r="DT225">
            <v>142</v>
          </cell>
          <cell r="DU225">
            <v>999999</v>
          </cell>
          <cell r="DV225">
            <v>999999</v>
          </cell>
          <cell r="DW225">
            <v>999999</v>
          </cell>
          <cell r="DX225">
            <v>0</v>
          </cell>
          <cell r="DY225">
            <v>142</v>
          </cell>
          <cell r="DZ225">
            <v>999999</v>
          </cell>
          <cell r="EA225">
            <v>999999</v>
          </cell>
          <cell r="EB225">
            <v>999999</v>
          </cell>
          <cell r="EC225">
            <v>0</v>
          </cell>
          <cell r="ED225">
            <v>0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 t="str">
            <v/>
          </cell>
          <cell r="EN225" t="str">
            <v/>
          </cell>
          <cell r="EO225" t="str">
            <v/>
          </cell>
          <cell r="EP225" t="str">
            <v/>
          </cell>
          <cell r="EQ225" t="str">
            <v/>
          </cell>
          <cell r="ER225" t="str">
            <v/>
          </cell>
          <cell r="ES225" t="str">
            <v/>
          </cell>
          <cell r="ET225" t="str">
            <v/>
          </cell>
          <cell r="EU225" t="str">
            <v/>
          </cell>
          <cell r="EV225" t="str">
            <v/>
          </cell>
          <cell r="EW225" t="str">
            <v/>
          </cell>
          <cell r="EX225" t="str">
            <v/>
          </cell>
          <cell r="EY225" t="str">
            <v/>
          </cell>
          <cell r="EZ225" t="str">
            <v/>
          </cell>
          <cell r="FA225" t="str">
            <v/>
          </cell>
          <cell r="FB225" t="str">
            <v/>
          </cell>
          <cell r="FC225" t="str">
            <v/>
          </cell>
          <cell r="FD225" t="str">
            <v/>
          </cell>
          <cell r="FE225" t="str">
            <v/>
          </cell>
          <cell r="FF225" t="str">
            <v/>
          </cell>
          <cell r="FG225" t="str">
            <v/>
          </cell>
          <cell r="FH225" t="str">
            <v/>
          </cell>
          <cell r="FI225" t="str">
            <v/>
          </cell>
          <cell r="FJ225" t="str">
            <v/>
          </cell>
          <cell r="FK225" t="str">
            <v/>
          </cell>
          <cell r="FL225" t="str">
            <v/>
          </cell>
          <cell r="FM225" t="str">
            <v/>
          </cell>
          <cell r="FN225" t="str">
            <v/>
          </cell>
          <cell r="FO225" t="str">
            <v/>
          </cell>
          <cell r="FP225" t="str">
            <v/>
          </cell>
        </row>
        <row r="226">
          <cell r="N226">
            <v>48000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AJ226">
            <v>0</v>
          </cell>
          <cell r="AK226">
            <v>0</v>
          </cell>
          <cell r="AL226">
            <v>999999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BE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CB226">
            <v>0</v>
          </cell>
          <cell r="CC226">
            <v>0</v>
          </cell>
          <cell r="CD226">
            <v>0</v>
          </cell>
          <cell r="CE226">
            <v>0</v>
          </cell>
          <cell r="CF226">
            <v>0</v>
          </cell>
          <cell r="CG226">
            <v>0</v>
          </cell>
          <cell r="CH226">
            <v>0</v>
          </cell>
          <cell r="CI226">
            <v>0</v>
          </cell>
          <cell r="CJ226">
            <v>0</v>
          </cell>
          <cell r="CK226">
            <v>0</v>
          </cell>
          <cell r="CW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S226">
            <v>0</v>
          </cell>
          <cell r="DT226">
            <v>141</v>
          </cell>
          <cell r="DU226">
            <v>999999</v>
          </cell>
          <cell r="DV226">
            <v>999999</v>
          </cell>
          <cell r="DW226">
            <v>999999</v>
          </cell>
          <cell r="DX226">
            <v>0</v>
          </cell>
          <cell r="DY226">
            <v>141</v>
          </cell>
          <cell r="DZ226">
            <v>999999</v>
          </cell>
          <cell r="EA226">
            <v>999999</v>
          </cell>
          <cell r="EB226">
            <v>999999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 t="str">
            <v/>
          </cell>
          <cell r="EN226" t="str">
            <v/>
          </cell>
          <cell r="EO226" t="str">
            <v/>
          </cell>
          <cell r="EP226" t="str">
            <v/>
          </cell>
          <cell r="EQ226" t="str">
            <v/>
          </cell>
          <cell r="ER226" t="str">
            <v/>
          </cell>
          <cell r="ES226" t="str">
            <v/>
          </cell>
          <cell r="ET226" t="str">
            <v/>
          </cell>
          <cell r="EU226" t="str">
            <v/>
          </cell>
          <cell r="EV226" t="str">
            <v/>
          </cell>
          <cell r="EW226" t="str">
            <v/>
          </cell>
          <cell r="EX226" t="str">
            <v/>
          </cell>
          <cell r="EY226" t="str">
            <v/>
          </cell>
          <cell r="EZ226" t="str">
            <v/>
          </cell>
          <cell r="FA226" t="str">
            <v/>
          </cell>
          <cell r="FB226" t="str">
            <v/>
          </cell>
          <cell r="FC226" t="str">
            <v/>
          </cell>
          <cell r="FD226" t="str">
            <v/>
          </cell>
          <cell r="FE226" t="str">
            <v/>
          </cell>
          <cell r="FF226" t="str">
            <v/>
          </cell>
          <cell r="FG226" t="str">
            <v/>
          </cell>
          <cell r="FH226" t="str">
            <v/>
          </cell>
          <cell r="FI226" t="str">
            <v/>
          </cell>
          <cell r="FJ226" t="str">
            <v/>
          </cell>
          <cell r="FK226" t="str">
            <v/>
          </cell>
          <cell r="FL226" t="str">
            <v/>
          </cell>
          <cell r="FM226" t="str">
            <v/>
          </cell>
          <cell r="FN226" t="str">
            <v/>
          </cell>
          <cell r="FO226" t="str">
            <v/>
          </cell>
          <cell r="FP226" t="str">
            <v/>
          </cell>
        </row>
        <row r="227">
          <cell r="N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AJ227">
            <v>0</v>
          </cell>
          <cell r="AK227">
            <v>0</v>
          </cell>
          <cell r="AL227">
            <v>999999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BE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CB227">
            <v>0</v>
          </cell>
          <cell r="CC227">
            <v>0</v>
          </cell>
          <cell r="CD227">
            <v>0</v>
          </cell>
          <cell r="CE227">
            <v>0</v>
          </cell>
          <cell r="CF227">
            <v>0</v>
          </cell>
          <cell r="CG227">
            <v>0</v>
          </cell>
          <cell r="CH227">
            <v>0</v>
          </cell>
          <cell r="CI227">
            <v>0</v>
          </cell>
          <cell r="CJ227">
            <v>0</v>
          </cell>
          <cell r="CK227">
            <v>0</v>
          </cell>
          <cell r="CW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S227">
            <v>0</v>
          </cell>
          <cell r="DT227">
            <v>140</v>
          </cell>
          <cell r="DU227">
            <v>999999</v>
          </cell>
          <cell r="DV227">
            <v>999999</v>
          </cell>
          <cell r="DW227">
            <v>999999</v>
          </cell>
          <cell r="DX227">
            <v>0</v>
          </cell>
          <cell r="DY227">
            <v>140</v>
          </cell>
          <cell r="DZ227">
            <v>999999</v>
          </cell>
          <cell r="EA227">
            <v>999999</v>
          </cell>
          <cell r="EB227">
            <v>999999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 t="str">
            <v/>
          </cell>
          <cell r="EN227" t="str">
            <v/>
          </cell>
          <cell r="EO227" t="str">
            <v/>
          </cell>
          <cell r="EP227" t="str">
            <v/>
          </cell>
          <cell r="EQ227" t="str">
            <v/>
          </cell>
          <cell r="ER227" t="str">
            <v/>
          </cell>
          <cell r="ES227" t="str">
            <v/>
          </cell>
          <cell r="ET227" t="str">
            <v/>
          </cell>
          <cell r="EU227" t="str">
            <v/>
          </cell>
          <cell r="EV227" t="str">
            <v/>
          </cell>
          <cell r="EW227" t="str">
            <v/>
          </cell>
          <cell r="EX227" t="str">
            <v/>
          </cell>
          <cell r="EY227" t="str">
            <v/>
          </cell>
          <cell r="EZ227" t="str">
            <v/>
          </cell>
          <cell r="FA227" t="str">
            <v/>
          </cell>
          <cell r="FB227" t="str">
            <v/>
          </cell>
          <cell r="FC227" t="str">
            <v/>
          </cell>
          <cell r="FD227" t="str">
            <v/>
          </cell>
          <cell r="FE227" t="str">
            <v/>
          </cell>
          <cell r="FF227" t="str">
            <v/>
          </cell>
          <cell r="FG227" t="str">
            <v/>
          </cell>
          <cell r="FH227" t="str">
            <v/>
          </cell>
          <cell r="FI227" t="str">
            <v/>
          </cell>
          <cell r="FJ227" t="str">
            <v/>
          </cell>
          <cell r="FK227" t="str">
            <v/>
          </cell>
          <cell r="FL227" t="str">
            <v/>
          </cell>
          <cell r="FM227" t="str">
            <v/>
          </cell>
          <cell r="FN227" t="str">
            <v/>
          </cell>
          <cell r="FO227" t="str">
            <v/>
          </cell>
          <cell r="FP227" t="str">
            <v/>
          </cell>
        </row>
        <row r="228">
          <cell r="N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AJ228">
            <v>0</v>
          </cell>
          <cell r="AK228">
            <v>0</v>
          </cell>
          <cell r="AL228">
            <v>999999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BE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  <cell r="BP228">
            <v>0</v>
          </cell>
          <cell r="BQ228">
            <v>0</v>
          </cell>
          <cell r="CB228">
            <v>0</v>
          </cell>
          <cell r="CC228">
            <v>0</v>
          </cell>
          <cell r="CD228">
            <v>0</v>
          </cell>
          <cell r="CE228">
            <v>0</v>
          </cell>
          <cell r="CF228">
            <v>0</v>
          </cell>
          <cell r="CG228">
            <v>0</v>
          </cell>
          <cell r="CH228">
            <v>0</v>
          </cell>
          <cell r="CI228">
            <v>0</v>
          </cell>
          <cell r="CJ228">
            <v>0</v>
          </cell>
          <cell r="CK228">
            <v>0</v>
          </cell>
          <cell r="CW228">
            <v>0</v>
          </cell>
          <cell r="CY228">
            <v>0</v>
          </cell>
          <cell r="CZ228">
            <v>0</v>
          </cell>
          <cell r="DA228">
            <v>0</v>
          </cell>
          <cell r="DB228">
            <v>0</v>
          </cell>
          <cell r="DC228">
            <v>0</v>
          </cell>
          <cell r="DD228">
            <v>0</v>
          </cell>
          <cell r="DE228">
            <v>0</v>
          </cell>
          <cell r="DF228">
            <v>0</v>
          </cell>
          <cell r="DG228">
            <v>0</v>
          </cell>
          <cell r="DH228">
            <v>0</v>
          </cell>
          <cell r="DS228">
            <v>0</v>
          </cell>
          <cell r="DT228">
            <v>139</v>
          </cell>
          <cell r="DU228">
            <v>999999</v>
          </cell>
          <cell r="DV228">
            <v>999999</v>
          </cell>
          <cell r="DW228">
            <v>999999</v>
          </cell>
          <cell r="DX228">
            <v>0</v>
          </cell>
          <cell r="DY228">
            <v>139</v>
          </cell>
          <cell r="DZ228">
            <v>999999</v>
          </cell>
          <cell r="EA228">
            <v>999999</v>
          </cell>
          <cell r="EB228">
            <v>999999</v>
          </cell>
          <cell r="EC228">
            <v>0</v>
          </cell>
          <cell r="ED228">
            <v>0</v>
          </cell>
          <cell r="EE228">
            <v>0</v>
          </cell>
          <cell r="EF228">
            <v>0</v>
          </cell>
          <cell r="EG228">
            <v>0</v>
          </cell>
          <cell r="EH228">
            <v>0</v>
          </cell>
          <cell r="EI228">
            <v>0</v>
          </cell>
          <cell r="EJ228">
            <v>0</v>
          </cell>
          <cell r="EK228">
            <v>0</v>
          </cell>
          <cell r="EL228">
            <v>0</v>
          </cell>
          <cell r="EM228" t="str">
            <v/>
          </cell>
          <cell r="EN228" t="str">
            <v/>
          </cell>
          <cell r="EO228" t="str">
            <v/>
          </cell>
          <cell r="EP228" t="str">
            <v/>
          </cell>
          <cell r="EQ228" t="str">
            <v/>
          </cell>
          <cell r="ER228" t="str">
            <v/>
          </cell>
          <cell r="ES228" t="str">
            <v/>
          </cell>
          <cell r="ET228" t="str">
            <v/>
          </cell>
          <cell r="EU228" t="str">
            <v/>
          </cell>
          <cell r="EV228" t="str">
            <v/>
          </cell>
          <cell r="EW228" t="str">
            <v/>
          </cell>
          <cell r="EX228" t="str">
            <v/>
          </cell>
          <cell r="EY228" t="str">
            <v/>
          </cell>
          <cell r="EZ228" t="str">
            <v/>
          </cell>
          <cell r="FA228" t="str">
            <v/>
          </cell>
          <cell r="FB228" t="str">
            <v/>
          </cell>
          <cell r="FC228" t="str">
            <v/>
          </cell>
          <cell r="FD228" t="str">
            <v/>
          </cell>
          <cell r="FE228" t="str">
            <v/>
          </cell>
          <cell r="FF228" t="str">
            <v/>
          </cell>
          <cell r="FG228" t="str">
            <v/>
          </cell>
          <cell r="FH228" t="str">
            <v/>
          </cell>
          <cell r="FI228" t="str">
            <v/>
          </cell>
          <cell r="FJ228" t="str">
            <v/>
          </cell>
          <cell r="FK228" t="str">
            <v/>
          </cell>
          <cell r="FL228" t="str">
            <v/>
          </cell>
          <cell r="FM228" t="str">
            <v/>
          </cell>
          <cell r="FN228" t="str">
            <v/>
          </cell>
          <cell r="FO228" t="str">
            <v/>
          </cell>
          <cell r="FP228" t="str">
            <v/>
          </cell>
        </row>
        <row r="229">
          <cell r="N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AJ229">
            <v>0</v>
          </cell>
          <cell r="AK229">
            <v>0</v>
          </cell>
          <cell r="AL229">
            <v>999999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BE229">
            <v>0</v>
          </cell>
          <cell r="BH229">
            <v>0</v>
          </cell>
          <cell r="BI229">
            <v>0</v>
          </cell>
          <cell r="BJ229">
            <v>0</v>
          </cell>
          <cell r="BK229">
            <v>0</v>
          </cell>
          <cell r="BL229">
            <v>0</v>
          </cell>
          <cell r="BM229">
            <v>0</v>
          </cell>
          <cell r="BN229">
            <v>0</v>
          </cell>
          <cell r="BO229">
            <v>0</v>
          </cell>
          <cell r="BP229">
            <v>0</v>
          </cell>
          <cell r="BQ229">
            <v>0</v>
          </cell>
          <cell r="CB229">
            <v>0</v>
          </cell>
          <cell r="CC229">
            <v>0</v>
          </cell>
          <cell r="CD229">
            <v>0</v>
          </cell>
          <cell r="CE229">
            <v>0</v>
          </cell>
          <cell r="CF229">
            <v>0</v>
          </cell>
          <cell r="CG229">
            <v>0</v>
          </cell>
          <cell r="CH229">
            <v>0</v>
          </cell>
          <cell r="CI229">
            <v>0</v>
          </cell>
          <cell r="CJ229">
            <v>0</v>
          </cell>
          <cell r="CK229">
            <v>0</v>
          </cell>
          <cell r="CW229">
            <v>0</v>
          </cell>
          <cell r="CY229">
            <v>0</v>
          </cell>
          <cell r="CZ229">
            <v>0</v>
          </cell>
          <cell r="DA229">
            <v>0</v>
          </cell>
          <cell r="DB229">
            <v>0</v>
          </cell>
          <cell r="DC229">
            <v>0</v>
          </cell>
          <cell r="DD229">
            <v>0</v>
          </cell>
          <cell r="DE229">
            <v>0</v>
          </cell>
          <cell r="DF229">
            <v>0</v>
          </cell>
          <cell r="DG229">
            <v>0</v>
          </cell>
          <cell r="DH229">
            <v>0</v>
          </cell>
          <cell r="DS229">
            <v>0</v>
          </cell>
          <cell r="DT229">
            <v>138</v>
          </cell>
          <cell r="DU229">
            <v>999999</v>
          </cell>
          <cell r="DV229">
            <v>999999</v>
          </cell>
          <cell r="DW229">
            <v>999999</v>
          </cell>
          <cell r="DX229">
            <v>0</v>
          </cell>
          <cell r="DY229">
            <v>138</v>
          </cell>
          <cell r="DZ229">
            <v>999999</v>
          </cell>
          <cell r="EA229">
            <v>999999</v>
          </cell>
          <cell r="EB229">
            <v>999999</v>
          </cell>
          <cell r="EC229">
            <v>0</v>
          </cell>
          <cell r="ED229">
            <v>0</v>
          </cell>
          <cell r="EE229">
            <v>0</v>
          </cell>
          <cell r="EF229">
            <v>0</v>
          </cell>
          <cell r="EG229">
            <v>0</v>
          </cell>
          <cell r="EH229">
            <v>0</v>
          </cell>
          <cell r="EI229">
            <v>0</v>
          </cell>
          <cell r="EJ229">
            <v>0</v>
          </cell>
          <cell r="EK229">
            <v>0</v>
          </cell>
          <cell r="EL229">
            <v>0</v>
          </cell>
          <cell r="EM229" t="str">
            <v/>
          </cell>
          <cell r="EN229" t="str">
            <v/>
          </cell>
          <cell r="EO229" t="str">
            <v/>
          </cell>
          <cell r="EP229" t="str">
            <v/>
          </cell>
          <cell r="EQ229" t="str">
            <v/>
          </cell>
          <cell r="ER229" t="str">
            <v/>
          </cell>
          <cell r="ES229" t="str">
            <v/>
          </cell>
          <cell r="ET229" t="str">
            <v/>
          </cell>
          <cell r="EU229" t="str">
            <v/>
          </cell>
          <cell r="EV229" t="str">
            <v/>
          </cell>
          <cell r="EW229" t="str">
            <v/>
          </cell>
          <cell r="EX229" t="str">
            <v/>
          </cell>
          <cell r="EY229" t="str">
            <v/>
          </cell>
          <cell r="EZ229" t="str">
            <v/>
          </cell>
          <cell r="FA229" t="str">
            <v/>
          </cell>
          <cell r="FB229" t="str">
            <v/>
          </cell>
          <cell r="FC229" t="str">
            <v/>
          </cell>
          <cell r="FD229" t="str">
            <v/>
          </cell>
          <cell r="FE229" t="str">
            <v/>
          </cell>
          <cell r="FF229" t="str">
            <v/>
          </cell>
          <cell r="FG229" t="str">
            <v/>
          </cell>
          <cell r="FH229" t="str">
            <v/>
          </cell>
          <cell r="FI229" t="str">
            <v/>
          </cell>
          <cell r="FJ229" t="str">
            <v/>
          </cell>
          <cell r="FK229" t="str">
            <v/>
          </cell>
          <cell r="FL229" t="str">
            <v/>
          </cell>
          <cell r="FM229" t="str">
            <v/>
          </cell>
          <cell r="FN229" t="str">
            <v/>
          </cell>
          <cell r="FO229" t="str">
            <v/>
          </cell>
          <cell r="FP229" t="str">
            <v/>
          </cell>
        </row>
        <row r="230">
          <cell r="N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AJ230">
            <v>0</v>
          </cell>
          <cell r="AK230">
            <v>0</v>
          </cell>
          <cell r="AL230">
            <v>999999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BE230">
            <v>48000</v>
          </cell>
          <cell r="BH230">
            <v>0</v>
          </cell>
          <cell r="BI230">
            <v>0</v>
          </cell>
          <cell r="BJ230">
            <v>0</v>
          </cell>
          <cell r="BK230">
            <v>0</v>
          </cell>
          <cell r="BL230">
            <v>0</v>
          </cell>
          <cell r="BM230">
            <v>0</v>
          </cell>
          <cell r="BN230">
            <v>0</v>
          </cell>
          <cell r="BO230">
            <v>0</v>
          </cell>
          <cell r="BP230">
            <v>0</v>
          </cell>
          <cell r="BQ230">
            <v>0</v>
          </cell>
          <cell r="CB230">
            <v>0</v>
          </cell>
          <cell r="CC230">
            <v>0</v>
          </cell>
          <cell r="CD230">
            <v>0</v>
          </cell>
          <cell r="CE230">
            <v>0</v>
          </cell>
          <cell r="CF230">
            <v>0</v>
          </cell>
          <cell r="CG230">
            <v>0</v>
          </cell>
          <cell r="CH230">
            <v>0</v>
          </cell>
          <cell r="CI230">
            <v>0</v>
          </cell>
          <cell r="CJ230">
            <v>0</v>
          </cell>
          <cell r="CK230">
            <v>0</v>
          </cell>
          <cell r="CW230">
            <v>0</v>
          </cell>
          <cell r="CY230">
            <v>0</v>
          </cell>
          <cell r="CZ230">
            <v>0</v>
          </cell>
          <cell r="DA230">
            <v>0</v>
          </cell>
          <cell r="DB230">
            <v>0</v>
          </cell>
          <cell r="DC230">
            <v>0</v>
          </cell>
          <cell r="DD230">
            <v>0</v>
          </cell>
          <cell r="DE230">
            <v>0</v>
          </cell>
          <cell r="DF230">
            <v>0</v>
          </cell>
          <cell r="DG230">
            <v>0</v>
          </cell>
          <cell r="DH230">
            <v>0</v>
          </cell>
          <cell r="DS230">
            <v>0</v>
          </cell>
          <cell r="DT230">
            <v>137</v>
          </cell>
          <cell r="DU230">
            <v>999999</v>
          </cell>
          <cell r="DV230">
            <v>999999</v>
          </cell>
          <cell r="DW230">
            <v>999999</v>
          </cell>
          <cell r="DX230">
            <v>0</v>
          </cell>
          <cell r="DY230">
            <v>137</v>
          </cell>
          <cell r="DZ230">
            <v>999999</v>
          </cell>
          <cell r="EA230">
            <v>999999</v>
          </cell>
          <cell r="EB230">
            <v>999999</v>
          </cell>
          <cell r="EC230">
            <v>0</v>
          </cell>
          <cell r="ED230">
            <v>0</v>
          </cell>
          <cell r="EE230">
            <v>0</v>
          </cell>
          <cell r="EF230">
            <v>0</v>
          </cell>
          <cell r="EG230">
            <v>0</v>
          </cell>
          <cell r="EH230">
            <v>0</v>
          </cell>
          <cell r="EI230">
            <v>0</v>
          </cell>
          <cell r="EJ230">
            <v>0</v>
          </cell>
          <cell r="EK230">
            <v>0</v>
          </cell>
          <cell r="EL230">
            <v>0</v>
          </cell>
          <cell r="EM230" t="str">
            <v/>
          </cell>
          <cell r="EN230" t="str">
            <v/>
          </cell>
          <cell r="EO230" t="str">
            <v/>
          </cell>
          <cell r="EP230" t="str">
            <v/>
          </cell>
          <cell r="EQ230" t="str">
            <v/>
          </cell>
          <cell r="ER230" t="str">
            <v/>
          </cell>
          <cell r="ES230" t="str">
            <v/>
          </cell>
          <cell r="ET230" t="str">
            <v/>
          </cell>
          <cell r="EU230" t="str">
            <v/>
          </cell>
          <cell r="EV230" t="str">
            <v/>
          </cell>
          <cell r="EW230" t="str">
            <v/>
          </cell>
          <cell r="EX230" t="str">
            <v/>
          </cell>
          <cell r="EY230" t="str">
            <v/>
          </cell>
          <cell r="EZ230" t="str">
            <v/>
          </cell>
          <cell r="FA230" t="str">
            <v/>
          </cell>
          <cell r="FB230" t="str">
            <v/>
          </cell>
          <cell r="FC230" t="str">
            <v/>
          </cell>
          <cell r="FD230" t="str">
            <v/>
          </cell>
          <cell r="FE230" t="str">
            <v/>
          </cell>
          <cell r="FF230" t="str">
            <v/>
          </cell>
          <cell r="FG230" t="str">
            <v/>
          </cell>
          <cell r="FH230" t="str">
            <v/>
          </cell>
          <cell r="FI230" t="str">
            <v/>
          </cell>
          <cell r="FJ230" t="str">
            <v/>
          </cell>
          <cell r="FK230" t="str">
            <v/>
          </cell>
          <cell r="FL230" t="str">
            <v/>
          </cell>
          <cell r="FM230" t="str">
            <v/>
          </cell>
          <cell r="FN230" t="str">
            <v/>
          </cell>
          <cell r="FO230" t="str">
            <v/>
          </cell>
          <cell r="FP230" t="str">
            <v/>
          </cell>
        </row>
        <row r="231">
          <cell r="N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AJ231">
            <v>0</v>
          </cell>
          <cell r="AK231">
            <v>0</v>
          </cell>
          <cell r="AL231">
            <v>999999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BE231">
            <v>0</v>
          </cell>
          <cell r="BH231">
            <v>0</v>
          </cell>
          <cell r="BI231">
            <v>0</v>
          </cell>
          <cell r="BJ231">
            <v>0</v>
          </cell>
          <cell r="BK231">
            <v>0</v>
          </cell>
          <cell r="BL231">
            <v>0</v>
          </cell>
          <cell r="BM231">
            <v>0</v>
          </cell>
          <cell r="BN231">
            <v>0</v>
          </cell>
          <cell r="BO231">
            <v>0</v>
          </cell>
          <cell r="BP231">
            <v>0</v>
          </cell>
          <cell r="BQ231">
            <v>0</v>
          </cell>
          <cell r="CB231">
            <v>0</v>
          </cell>
          <cell r="CC231">
            <v>0</v>
          </cell>
          <cell r="CD231">
            <v>0</v>
          </cell>
          <cell r="CE231">
            <v>0</v>
          </cell>
          <cell r="CF231">
            <v>0</v>
          </cell>
          <cell r="CG231">
            <v>0</v>
          </cell>
          <cell r="CH231">
            <v>0</v>
          </cell>
          <cell r="CI231">
            <v>0</v>
          </cell>
          <cell r="CJ231">
            <v>0</v>
          </cell>
          <cell r="CK231">
            <v>0</v>
          </cell>
          <cell r="CW231">
            <v>0</v>
          </cell>
          <cell r="CY231">
            <v>0</v>
          </cell>
          <cell r="CZ231">
            <v>0</v>
          </cell>
          <cell r="DA231">
            <v>0</v>
          </cell>
          <cell r="DB231">
            <v>0</v>
          </cell>
          <cell r="DC231">
            <v>0</v>
          </cell>
          <cell r="DD231">
            <v>0</v>
          </cell>
          <cell r="DE231">
            <v>0</v>
          </cell>
          <cell r="DF231">
            <v>0</v>
          </cell>
          <cell r="DG231">
            <v>0</v>
          </cell>
          <cell r="DH231">
            <v>0</v>
          </cell>
          <cell r="DS231">
            <v>0</v>
          </cell>
          <cell r="DT231">
            <v>136</v>
          </cell>
          <cell r="DU231">
            <v>999999</v>
          </cell>
          <cell r="DV231">
            <v>999999</v>
          </cell>
          <cell r="DW231">
            <v>999999</v>
          </cell>
          <cell r="DX231">
            <v>0</v>
          </cell>
          <cell r="DY231">
            <v>136</v>
          </cell>
          <cell r="DZ231">
            <v>999999</v>
          </cell>
          <cell r="EA231">
            <v>999999</v>
          </cell>
          <cell r="EB231">
            <v>999999</v>
          </cell>
          <cell r="EC231">
            <v>0</v>
          </cell>
          <cell r="ED231">
            <v>0</v>
          </cell>
          <cell r="EE231">
            <v>0</v>
          </cell>
          <cell r="EF231">
            <v>0</v>
          </cell>
          <cell r="EG231">
            <v>0</v>
          </cell>
          <cell r="EH231">
            <v>0</v>
          </cell>
          <cell r="EI231">
            <v>0</v>
          </cell>
          <cell r="EJ231">
            <v>0</v>
          </cell>
          <cell r="EK231">
            <v>0</v>
          </cell>
          <cell r="EL231">
            <v>0</v>
          </cell>
          <cell r="EM231" t="str">
            <v/>
          </cell>
          <cell r="EN231" t="str">
            <v/>
          </cell>
          <cell r="EO231" t="str">
            <v/>
          </cell>
          <cell r="EP231" t="str">
            <v/>
          </cell>
          <cell r="EQ231" t="str">
            <v/>
          </cell>
          <cell r="ER231" t="str">
            <v/>
          </cell>
          <cell r="ES231" t="str">
            <v/>
          </cell>
          <cell r="ET231" t="str">
            <v/>
          </cell>
          <cell r="EU231" t="str">
            <v/>
          </cell>
          <cell r="EV231" t="str">
            <v/>
          </cell>
          <cell r="EW231" t="str">
            <v/>
          </cell>
          <cell r="EX231" t="str">
            <v/>
          </cell>
          <cell r="EY231" t="str">
            <v/>
          </cell>
          <cell r="EZ231" t="str">
            <v/>
          </cell>
          <cell r="FA231" t="str">
            <v/>
          </cell>
          <cell r="FB231" t="str">
            <v/>
          </cell>
          <cell r="FC231" t="str">
            <v/>
          </cell>
          <cell r="FD231" t="str">
            <v/>
          </cell>
          <cell r="FE231" t="str">
            <v/>
          </cell>
          <cell r="FF231" t="str">
            <v/>
          </cell>
          <cell r="FG231" t="str">
            <v/>
          </cell>
          <cell r="FH231" t="str">
            <v/>
          </cell>
          <cell r="FI231" t="str">
            <v/>
          </cell>
          <cell r="FJ231" t="str">
            <v/>
          </cell>
          <cell r="FK231" t="str">
            <v/>
          </cell>
          <cell r="FL231" t="str">
            <v/>
          </cell>
          <cell r="FM231" t="str">
            <v/>
          </cell>
          <cell r="FN231" t="str">
            <v/>
          </cell>
          <cell r="FO231" t="str">
            <v/>
          </cell>
          <cell r="FP231" t="str">
            <v/>
          </cell>
        </row>
        <row r="232">
          <cell r="N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AJ232">
            <v>0</v>
          </cell>
          <cell r="AK232">
            <v>0</v>
          </cell>
          <cell r="AL232">
            <v>999999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BE232">
            <v>0</v>
          </cell>
          <cell r="BH232">
            <v>0</v>
          </cell>
          <cell r="BI232">
            <v>0</v>
          </cell>
          <cell r="BJ232">
            <v>0</v>
          </cell>
          <cell r="BK232">
            <v>0</v>
          </cell>
          <cell r="BL232">
            <v>0</v>
          </cell>
          <cell r="BM232">
            <v>0</v>
          </cell>
          <cell r="BN232">
            <v>0</v>
          </cell>
          <cell r="BO232">
            <v>0</v>
          </cell>
          <cell r="BP232">
            <v>0</v>
          </cell>
          <cell r="BQ232">
            <v>0</v>
          </cell>
          <cell r="CB232">
            <v>0</v>
          </cell>
          <cell r="CC232">
            <v>0</v>
          </cell>
          <cell r="CD232">
            <v>0</v>
          </cell>
          <cell r="CE232">
            <v>0</v>
          </cell>
          <cell r="CF232">
            <v>0</v>
          </cell>
          <cell r="CG232">
            <v>0</v>
          </cell>
          <cell r="CH232">
            <v>0</v>
          </cell>
          <cell r="CI232">
            <v>0</v>
          </cell>
          <cell r="CJ232">
            <v>0</v>
          </cell>
          <cell r="CK232">
            <v>0</v>
          </cell>
          <cell r="CW232">
            <v>0</v>
          </cell>
          <cell r="CY232">
            <v>0</v>
          </cell>
          <cell r="CZ232">
            <v>0</v>
          </cell>
          <cell r="DA232">
            <v>0</v>
          </cell>
          <cell r="DB232">
            <v>0</v>
          </cell>
          <cell r="DC232">
            <v>0</v>
          </cell>
          <cell r="DD232">
            <v>0</v>
          </cell>
          <cell r="DE232">
            <v>0</v>
          </cell>
          <cell r="DF232">
            <v>0</v>
          </cell>
          <cell r="DG232">
            <v>0</v>
          </cell>
          <cell r="DH232">
            <v>0</v>
          </cell>
          <cell r="DS232">
            <v>0</v>
          </cell>
          <cell r="DT232">
            <v>135</v>
          </cell>
          <cell r="DU232">
            <v>999999</v>
          </cell>
          <cell r="DV232">
            <v>999999</v>
          </cell>
          <cell r="DW232">
            <v>999999</v>
          </cell>
          <cell r="DX232">
            <v>0</v>
          </cell>
          <cell r="DY232">
            <v>135</v>
          </cell>
          <cell r="DZ232">
            <v>999999</v>
          </cell>
          <cell r="EA232">
            <v>999999</v>
          </cell>
          <cell r="EB232">
            <v>999999</v>
          </cell>
          <cell r="EC232">
            <v>0</v>
          </cell>
          <cell r="ED232">
            <v>0</v>
          </cell>
          <cell r="EE232">
            <v>0</v>
          </cell>
          <cell r="EF232">
            <v>0</v>
          </cell>
          <cell r="EG232">
            <v>0</v>
          </cell>
          <cell r="EH232">
            <v>0</v>
          </cell>
          <cell r="EI232">
            <v>0</v>
          </cell>
          <cell r="EJ232">
            <v>0</v>
          </cell>
          <cell r="EK232">
            <v>0</v>
          </cell>
          <cell r="EL232">
            <v>0</v>
          </cell>
          <cell r="EM232" t="str">
            <v/>
          </cell>
          <cell r="EN232" t="str">
            <v/>
          </cell>
          <cell r="EO232" t="str">
            <v/>
          </cell>
          <cell r="EP232" t="str">
            <v/>
          </cell>
          <cell r="EQ232" t="str">
            <v/>
          </cell>
          <cell r="ER232" t="str">
            <v/>
          </cell>
          <cell r="ES232" t="str">
            <v/>
          </cell>
          <cell r="ET232" t="str">
            <v/>
          </cell>
          <cell r="EU232" t="str">
            <v/>
          </cell>
          <cell r="EV232" t="str">
            <v/>
          </cell>
          <cell r="EW232" t="str">
            <v/>
          </cell>
          <cell r="EX232" t="str">
            <v/>
          </cell>
          <cell r="EY232" t="str">
            <v/>
          </cell>
          <cell r="EZ232" t="str">
            <v/>
          </cell>
          <cell r="FA232" t="str">
            <v/>
          </cell>
          <cell r="FB232" t="str">
            <v/>
          </cell>
          <cell r="FC232" t="str">
            <v/>
          </cell>
          <cell r="FD232" t="str">
            <v/>
          </cell>
          <cell r="FE232" t="str">
            <v/>
          </cell>
          <cell r="FF232" t="str">
            <v/>
          </cell>
          <cell r="FG232" t="str">
            <v/>
          </cell>
          <cell r="FH232" t="str">
            <v/>
          </cell>
          <cell r="FI232" t="str">
            <v/>
          </cell>
          <cell r="FJ232" t="str">
            <v/>
          </cell>
          <cell r="FK232" t="str">
            <v/>
          </cell>
          <cell r="FL232" t="str">
            <v/>
          </cell>
          <cell r="FM232" t="str">
            <v/>
          </cell>
          <cell r="FN232" t="str">
            <v/>
          </cell>
          <cell r="FO232" t="str">
            <v/>
          </cell>
          <cell r="FP232" t="str">
            <v/>
          </cell>
        </row>
        <row r="233">
          <cell r="N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AJ233">
            <v>0</v>
          </cell>
          <cell r="AK233">
            <v>0</v>
          </cell>
          <cell r="AL233">
            <v>999999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BE233">
            <v>0</v>
          </cell>
          <cell r="BH233">
            <v>0</v>
          </cell>
          <cell r="BI233">
            <v>0</v>
          </cell>
          <cell r="BJ233">
            <v>0</v>
          </cell>
          <cell r="BK233">
            <v>0</v>
          </cell>
          <cell r="BL233">
            <v>0</v>
          </cell>
          <cell r="BM233">
            <v>0</v>
          </cell>
          <cell r="BN233">
            <v>0</v>
          </cell>
          <cell r="BO233">
            <v>0</v>
          </cell>
          <cell r="BP233">
            <v>0</v>
          </cell>
          <cell r="BQ233">
            <v>0</v>
          </cell>
          <cell r="CB233">
            <v>0</v>
          </cell>
          <cell r="CC233">
            <v>0</v>
          </cell>
          <cell r="CD233">
            <v>0</v>
          </cell>
          <cell r="CE233">
            <v>0</v>
          </cell>
          <cell r="CF233">
            <v>0</v>
          </cell>
          <cell r="CG233">
            <v>0</v>
          </cell>
          <cell r="CH233">
            <v>0</v>
          </cell>
          <cell r="CI233">
            <v>0</v>
          </cell>
          <cell r="CJ233">
            <v>0</v>
          </cell>
          <cell r="CK233">
            <v>0</v>
          </cell>
          <cell r="CW233">
            <v>0</v>
          </cell>
          <cell r="CY233">
            <v>0</v>
          </cell>
          <cell r="CZ233">
            <v>0</v>
          </cell>
          <cell r="DA233">
            <v>0</v>
          </cell>
          <cell r="DB233">
            <v>0</v>
          </cell>
          <cell r="DC233">
            <v>0</v>
          </cell>
          <cell r="DD233">
            <v>0</v>
          </cell>
          <cell r="DE233">
            <v>0</v>
          </cell>
          <cell r="DF233">
            <v>0</v>
          </cell>
          <cell r="DG233">
            <v>0</v>
          </cell>
          <cell r="DH233">
            <v>0</v>
          </cell>
          <cell r="DS233">
            <v>0</v>
          </cell>
          <cell r="DT233">
            <v>134</v>
          </cell>
          <cell r="DU233">
            <v>999999</v>
          </cell>
          <cell r="DV233">
            <v>999999</v>
          </cell>
          <cell r="DW233">
            <v>999999</v>
          </cell>
          <cell r="DX233">
            <v>0</v>
          </cell>
          <cell r="DY233">
            <v>134</v>
          </cell>
          <cell r="DZ233">
            <v>999999</v>
          </cell>
          <cell r="EA233">
            <v>999999</v>
          </cell>
          <cell r="EB233">
            <v>999999</v>
          </cell>
          <cell r="EC233">
            <v>0</v>
          </cell>
          <cell r="ED233">
            <v>0</v>
          </cell>
          <cell r="EE233">
            <v>0</v>
          </cell>
          <cell r="EF233">
            <v>0</v>
          </cell>
          <cell r="EG233">
            <v>0</v>
          </cell>
          <cell r="EH233">
            <v>0</v>
          </cell>
          <cell r="EI233">
            <v>0</v>
          </cell>
          <cell r="EJ233">
            <v>0</v>
          </cell>
          <cell r="EK233">
            <v>0</v>
          </cell>
          <cell r="EL233">
            <v>0</v>
          </cell>
          <cell r="EM233" t="str">
            <v/>
          </cell>
          <cell r="EN233" t="str">
            <v/>
          </cell>
          <cell r="EO233" t="str">
            <v/>
          </cell>
          <cell r="EP233" t="str">
            <v/>
          </cell>
          <cell r="EQ233" t="str">
            <v/>
          </cell>
          <cell r="ER233" t="str">
            <v/>
          </cell>
          <cell r="ES233" t="str">
            <v/>
          </cell>
          <cell r="ET233" t="str">
            <v/>
          </cell>
          <cell r="EU233" t="str">
            <v/>
          </cell>
          <cell r="EV233" t="str">
            <v/>
          </cell>
          <cell r="EW233" t="str">
            <v/>
          </cell>
          <cell r="EX233" t="str">
            <v/>
          </cell>
          <cell r="EY233" t="str">
            <v/>
          </cell>
          <cell r="EZ233" t="str">
            <v/>
          </cell>
          <cell r="FA233" t="str">
            <v/>
          </cell>
          <cell r="FB233" t="str">
            <v/>
          </cell>
          <cell r="FC233" t="str">
            <v/>
          </cell>
          <cell r="FD233" t="str">
            <v/>
          </cell>
          <cell r="FE233" t="str">
            <v/>
          </cell>
          <cell r="FF233" t="str">
            <v/>
          </cell>
          <cell r="FG233" t="str">
            <v/>
          </cell>
          <cell r="FH233" t="str">
            <v/>
          </cell>
          <cell r="FI233" t="str">
            <v/>
          </cell>
          <cell r="FJ233" t="str">
            <v/>
          </cell>
          <cell r="FK233" t="str">
            <v/>
          </cell>
          <cell r="FL233" t="str">
            <v/>
          </cell>
          <cell r="FM233" t="str">
            <v/>
          </cell>
          <cell r="FN233" t="str">
            <v/>
          </cell>
          <cell r="FO233" t="str">
            <v/>
          </cell>
          <cell r="FP233" t="str">
            <v/>
          </cell>
        </row>
        <row r="234">
          <cell r="N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AJ234">
            <v>0</v>
          </cell>
          <cell r="AK234">
            <v>0</v>
          </cell>
          <cell r="AL234">
            <v>999999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BE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  <cell r="BP234">
            <v>0</v>
          </cell>
          <cell r="BQ234">
            <v>0</v>
          </cell>
          <cell r="CB234">
            <v>0</v>
          </cell>
          <cell r="CC234">
            <v>0</v>
          </cell>
          <cell r="CD234">
            <v>0</v>
          </cell>
          <cell r="CE234">
            <v>0</v>
          </cell>
          <cell r="CF234">
            <v>0</v>
          </cell>
          <cell r="CG234">
            <v>0</v>
          </cell>
          <cell r="CH234">
            <v>0</v>
          </cell>
          <cell r="CI234">
            <v>0</v>
          </cell>
          <cell r="CJ234">
            <v>0</v>
          </cell>
          <cell r="CK234">
            <v>0</v>
          </cell>
          <cell r="CW234">
            <v>0</v>
          </cell>
          <cell r="CY234">
            <v>0</v>
          </cell>
          <cell r="CZ234">
            <v>0</v>
          </cell>
          <cell r="DA234">
            <v>0</v>
          </cell>
          <cell r="DB234">
            <v>0</v>
          </cell>
          <cell r="DC234">
            <v>0</v>
          </cell>
          <cell r="DD234">
            <v>0</v>
          </cell>
          <cell r="DE234">
            <v>0</v>
          </cell>
          <cell r="DF234">
            <v>0</v>
          </cell>
          <cell r="DG234">
            <v>0</v>
          </cell>
          <cell r="DH234">
            <v>0</v>
          </cell>
          <cell r="DS234">
            <v>0</v>
          </cell>
          <cell r="DT234">
            <v>133</v>
          </cell>
          <cell r="DU234">
            <v>999999</v>
          </cell>
          <cell r="DV234">
            <v>999999</v>
          </cell>
          <cell r="DW234">
            <v>999999</v>
          </cell>
          <cell r="DX234">
            <v>0</v>
          </cell>
          <cell r="DY234">
            <v>133</v>
          </cell>
          <cell r="DZ234">
            <v>999999</v>
          </cell>
          <cell r="EA234">
            <v>999999</v>
          </cell>
          <cell r="EB234">
            <v>999999</v>
          </cell>
          <cell r="EC234">
            <v>0</v>
          </cell>
          <cell r="ED234">
            <v>0</v>
          </cell>
          <cell r="EE234">
            <v>0</v>
          </cell>
          <cell r="EF234">
            <v>0</v>
          </cell>
          <cell r="EG234">
            <v>0</v>
          </cell>
          <cell r="EH234">
            <v>0</v>
          </cell>
          <cell r="EI234">
            <v>0</v>
          </cell>
          <cell r="EJ234">
            <v>0</v>
          </cell>
          <cell r="EK234">
            <v>0</v>
          </cell>
          <cell r="EL234">
            <v>0</v>
          </cell>
          <cell r="EM234" t="str">
            <v/>
          </cell>
          <cell r="EN234" t="str">
            <v/>
          </cell>
          <cell r="EO234" t="str">
            <v/>
          </cell>
          <cell r="EP234" t="str">
            <v/>
          </cell>
          <cell r="EQ234" t="str">
            <v/>
          </cell>
          <cell r="ER234" t="str">
            <v/>
          </cell>
          <cell r="ES234" t="str">
            <v/>
          </cell>
          <cell r="ET234" t="str">
            <v/>
          </cell>
          <cell r="EU234" t="str">
            <v/>
          </cell>
          <cell r="EV234" t="str">
            <v/>
          </cell>
          <cell r="EW234" t="str">
            <v/>
          </cell>
          <cell r="EX234" t="str">
            <v/>
          </cell>
          <cell r="EY234" t="str">
            <v/>
          </cell>
          <cell r="EZ234" t="str">
            <v/>
          </cell>
          <cell r="FA234" t="str">
            <v/>
          </cell>
          <cell r="FB234" t="str">
            <v/>
          </cell>
          <cell r="FC234" t="str">
            <v/>
          </cell>
          <cell r="FD234" t="str">
            <v/>
          </cell>
          <cell r="FE234" t="str">
            <v/>
          </cell>
          <cell r="FF234" t="str">
            <v/>
          </cell>
          <cell r="FG234" t="str">
            <v/>
          </cell>
          <cell r="FH234" t="str">
            <v/>
          </cell>
          <cell r="FI234" t="str">
            <v/>
          </cell>
          <cell r="FJ234" t="str">
            <v/>
          </cell>
          <cell r="FK234" t="str">
            <v/>
          </cell>
          <cell r="FL234" t="str">
            <v/>
          </cell>
          <cell r="FM234" t="str">
            <v/>
          </cell>
          <cell r="FN234" t="str">
            <v/>
          </cell>
          <cell r="FO234" t="str">
            <v/>
          </cell>
          <cell r="FP234" t="str">
            <v/>
          </cell>
        </row>
        <row r="235">
          <cell r="N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AJ235">
            <v>0</v>
          </cell>
          <cell r="AK235">
            <v>0</v>
          </cell>
          <cell r="AL235">
            <v>999999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BE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  <cell r="BP235">
            <v>0</v>
          </cell>
          <cell r="BQ235">
            <v>0</v>
          </cell>
          <cell r="CB235">
            <v>0</v>
          </cell>
          <cell r="CC235">
            <v>0</v>
          </cell>
          <cell r="CD235">
            <v>0</v>
          </cell>
          <cell r="CE235">
            <v>0</v>
          </cell>
          <cell r="CF235">
            <v>0</v>
          </cell>
          <cell r="CG235">
            <v>0</v>
          </cell>
          <cell r="CH235">
            <v>0</v>
          </cell>
          <cell r="CI235">
            <v>0</v>
          </cell>
          <cell r="CJ235">
            <v>0</v>
          </cell>
          <cell r="CK235">
            <v>0</v>
          </cell>
          <cell r="CW235">
            <v>0</v>
          </cell>
          <cell r="CY235">
            <v>0</v>
          </cell>
          <cell r="CZ235">
            <v>0</v>
          </cell>
          <cell r="DA235">
            <v>0</v>
          </cell>
          <cell r="DB235">
            <v>0</v>
          </cell>
          <cell r="DC235">
            <v>0</v>
          </cell>
          <cell r="DD235">
            <v>0</v>
          </cell>
          <cell r="DE235">
            <v>0</v>
          </cell>
          <cell r="DF235">
            <v>0</v>
          </cell>
          <cell r="DG235">
            <v>0</v>
          </cell>
          <cell r="DH235">
            <v>0</v>
          </cell>
          <cell r="DS235">
            <v>0</v>
          </cell>
          <cell r="DT235">
            <v>132</v>
          </cell>
          <cell r="DU235">
            <v>999999</v>
          </cell>
          <cell r="DV235">
            <v>999999</v>
          </cell>
          <cell r="DW235">
            <v>999999</v>
          </cell>
          <cell r="DX235">
            <v>0</v>
          </cell>
          <cell r="DY235">
            <v>132</v>
          </cell>
          <cell r="DZ235">
            <v>999999</v>
          </cell>
          <cell r="EA235">
            <v>999999</v>
          </cell>
          <cell r="EB235">
            <v>999999</v>
          </cell>
          <cell r="EC235">
            <v>0</v>
          </cell>
          <cell r="ED235">
            <v>0</v>
          </cell>
          <cell r="EE235">
            <v>0</v>
          </cell>
          <cell r="EF235">
            <v>0</v>
          </cell>
          <cell r="EG235">
            <v>0</v>
          </cell>
          <cell r="EH235">
            <v>0</v>
          </cell>
          <cell r="EI235">
            <v>0</v>
          </cell>
          <cell r="EJ235">
            <v>0</v>
          </cell>
          <cell r="EK235">
            <v>0</v>
          </cell>
          <cell r="EL235">
            <v>0</v>
          </cell>
          <cell r="EM235" t="str">
            <v/>
          </cell>
          <cell r="EN235" t="str">
            <v/>
          </cell>
          <cell r="EO235" t="str">
            <v/>
          </cell>
          <cell r="EP235" t="str">
            <v/>
          </cell>
          <cell r="EQ235" t="str">
            <v/>
          </cell>
          <cell r="ER235" t="str">
            <v/>
          </cell>
          <cell r="ES235" t="str">
            <v/>
          </cell>
          <cell r="ET235" t="str">
            <v/>
          </cell>
          <cell r="EU235" t="str">
            <v/>
          </cell>
          <cell r="EV235" t="str">
            <v/>
          </cell>
          <cell r="EW235" t="str">
            <v/>
          </cell>
          <cell r="EX235" t="str">
            <v/>
          </cell>
          <cell r="EY235" t="str">
            <v/>
          </cell>
          <cell r="EZ235" t="str">
            <v/>
          </cell>
          <cell r="FA235" t="str">
            <v/>
          </cell>
          <cell r="FB235" t="str">
            <v/>
          </cell>
          <cell r="FC235" t="str">
            <v/>
          </cell>
          <cell r="FD235" t="str">
            <v/>
          </cell>
          <cell r="FE235" t="str">
            <v/>
          </cell>
          <cell r="FF235" t="str">
            <v/>
          </cell>
          <cell r="FG235" t="str">
            <v/>
          </cell>
          <cell r="FH235" t="str">
            <v/>
          </cell>
          <cell r="FI235" t="str">
            <v/>
          </cell>
          <cell r="FJ235" t="str">
            <v/>
          </cell>
          <cell r="FK235" t="str">
            <v/>
          </cell>
          <cell r="FL235" t="str">
            <v/>
          </cell>
          <cell r="FM235" t="str">
            <v/>
          </cell>
          <cell r="FN235" t="str">
            <v/>
          </cell>
          <cell r="FO235" t="str">
            <v/>
          </cell>
          <cell r="FP235" t="str">
            <v/>
          </cell>
        </row>
        <row r="236">
          <cell r="N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AJ236">
            <v>0</v>
          </cell>
          <cell r="AK236">
            <v>0</v>
          </cell>
          <cell r="AL236">
            <v>999999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BE236">
            <v>0</v>
          </cell>
          <cell r="BH236">
            <v>0</v>
          </cell>
          <cell r="BI236">
            <v>0</v>
          </cell>
          <cell r="BJ236">
            <v>0</v>
          </cell>
          <cell r="BK236">
            <v>0</v>
          </cell>
          <cell r="BL236">
            <v>0</v>
          </cell>
          <cell r="BM236">
            <v>0</v>
          </cell>
          <cell r="BN236">
            <v>0</v>
          </cell>
          <cell r="BO236">
            <v>0</v>
          </cell>
          <cell r="BP236">
            <v>0</v>
          </cell>
          <cell r="BQ236">
            <v>0</v>
          </cell>
          <cell r="CB236">
            <v>0</v>
          </cell>
          <cell r="CC236">
            <v>0</v>
          </cell>
          <cell r="CD236">
            <v>0</v>
          </cell>
          <cell r="CE236">
            <v>0</v>
          </cell>
          <cell r="CF236">
            <v>0</v>
          </cell>
          <cell r="CG236">
            <v>0</v>
          </cell>
          <cell r="CH236">
            <v>0</v>
          </cell>
          <cell r="CI236">
            <v>0</v>
          </cell>
          <cell r="CJ236">
            <v>0</v>
          </cell>
          <cell r="CK236">
            <v>0</v>
          </cell>
          <cell r="CW236">
            <v>0</v>
          </cell>
          <cell r="CY236">
            <v>0</v>
          </cell>
          <cell r="CZ236">
            <v>0</v>
          </cell>
          <cell r="DA236">
            <v>0</v>
          </cell>
          <cell r="DB236">
            <v>0</v>
          </cell>
          <cell r="DC236">
            <v>0</v>
          </cell>
          <cell r="DD236">
            <v>0</v>
          </cell>
          <cell r="DE236">
            <v>0</v>
          </cell>
          <cell r="DF236">
            <v>0</v>
          </cell>
          <cell r="DG236">
            <v>0</v>
          </cell>
          <cell r="DH236">
            <v>0</v>
          </cell>
          <cell r="DS236">
            <v>0</v>
          </cell>
          <cell r="DT236">
            <v>131</v>
          </cell>
          <cell r="DU236">
            <v>999999</v>
          </cell>
          <cell r="DV236">
            <v>999999</v>
          </cell>
          <cell r="DW236">
            <v>999999</v>
          </cell>
          <cell r="DX236">
            <v>0</v>
          </cell>
          <cell r="DY236">
            <v>131</v>
          </cell>
          <cell r="DZ236">
            <v>999999</v>
          </cell>
          <cell r="EA236">
            <v>999999</v>
          </cell>
          <cell r="EB236">
            <v>999999</v>
          </cell>
          <cell r="EC236">
            <v>0</v>
          </cell>
          <cell r="ED236">
            <v>0</v>
          </cell>
          <cell r="EE236">
            <v>0</v>
          </cell>
          <cell r="EF236">
            <v>0</v>
          </cell>
          <cell r="EG236">
            <v>0</v>
          </cell>
          <cell r="EH236">
            <v>0</v>
          </cell>
          <cell r="EI236">
            <v>0</v>
          </cell>
          <cell r="EJ236">
            <v>0</v>
          </cell>
          <cell r="EK236">
            <v>0</v>
          </cell>
          <cell r="EL236">
            <v>0</v>
          </cell>
          <cell r="EM236" t="str">
            <v/>
          </cell>
          <cell r="EN236" t="str">
            <v/>
          </cell>
          <cell r="EO236" t="str">
            <v/>
          </cell>
          <cell r="EP236" t="str">
            <v/>
          </cell>
          <cell r="EQ236" t="str">
            <v/>
          </cell>
          <cell r="ER236" t="str">
            <v/>
          </cell>
          <cell r="ES236" t="str">
            <v/>
          </cell>
          <cell r="ET236" t="str">
            <v/>
          </cell>
          <cell r="EU236" t="str">
            <v/>
          </cell>
          <cell r="EV236" t="str">
            <v/>
          </cell>
          <cell r="EW236" t="str">
            <v/>
          </cell>
          <cell r="EX236" t="str">
            <v/>
          </cell>
          <cell r="EY236" t="str">
            <v/>
          </cell>
          <cell r="EZ236" t="str">
            <v/>
          </cell>
          <cell r="FA236" t="str">
            <v/>
          </cell>
          <cell r="FB236" t="str">
            <v/>
          </cell>
          <cell r="FC236" t="str">
            <v/>
          </cell>
          <cell r="FD236" t="str">
            <v/>
          </cell>
          <cell r="FE236" t="str">
            <v/>
          </cell>
          <cell r="FF236" t="str">
            <v/>
          </cell>
          <cell r="FG236" t="str">
            <v/>
          </cell>
          <cell r="FH236" t="str">
            <v/>
          </cell>
          <cell r="FI236" t="str">
            <v/>
          </cell>
          <cell r="FJ236" t="str">
            <v/>
          </cell>
          <cell r="FK236" t="str">
            <v/>
          </cell>
          <cell r="FL236" t="str">
            <v/>
          </cell>
          <cell r="FM236" t="str">
            <v/>
          </cell>
          <cell r="FN236" t="str">
            <v/>
          </cell>
          <cell r="FO236" t="str">
            <v/>
          </cell>
          <cell r="FP236" t="str">
            <v/>
          </cell>
        </row>
        <row r="237">
          <cell r="N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AJ237">
            <v>0</v>
          </cell>
          <cell r="AK237">
            <v>0</v>
          </cell>
          <cell r="AL237">
            <v>999999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BE237">
            <v>0</v>
          </cell>
          <cell r="BH237">
            <v>0</v>
          </cell>
          <cell r="BI237">
            <v>0</v>
          </cell>
          <cell r="BJ237">
            <v>0</v>
          </cell>
          <cell r="BK237">
            <v>0</v>
          </cell>
          <cell r="BL237">
            <v>0</v>
          </cell>
          <cell r="BM237">
            <v>0</v>
          </cell>
          <cell r="BN237">
            <v>0</v>
          </cell>
          <cell r="BO237">
            <v>0</v>
          </cell>
          <cell r="BP237">
            <v>0</v>
          </cell>
          <cell r="BQ237">
            <v>0</v>
          </cell>
          <cell r="CB237">
            <v>0</v>
          </cell>
          <cell r="CC237">
            <v>0</v>
          </cell>
          <cell r="CD237">
            <v>0</v>
          </cell>
          <cell r="CE237">
            <v>0</v>
          </cell>
          <cell r="CF237">
            <v>0</v>
          </cell>
          <cell r="CG237">
            <v>0</v>
          </cell>
          <cell r="CH237">
            <v>0</v>
          </cell>
          <cell r="CI237">
            <v>0</v>
          </cell>
          <cell r="CJ237">
            <v>0</v>
          </cell>
          <cell r="CK237">
            <v>0</v>
          </cell>
          <cell r="CW237">
            <v>0</v>
          </cell>
          <cell r="CY237">
            <v>0</v>
          </cell>
          <cell r="CZ237">
            <v>0</v>
          </cell>
          <cell r="DA237">
            <v>0</v>
          </cell>
          <cell r="DB237">
            <v>0</v>
          </cell>
          <cell r="DC237">
            <v>0</v>
          </cell>
          <cell r="DD237">
            <v>0</v>
          </cell>
          <cell r="DE237">
            <v>0</v>
          </cell>
          <cell r="DF237">
            <v>0</v>
          </cell>
          <cell r="DG237">
            <v>0</v>
          </cell>
          <cell r="DH237">
            <v>0</v>
          </cell>
          <cell r="DS237">
            <v>0</v>
          </cell>
          <cell r="DT237">
            <v>130</v>
          </cell>
          <cell r="DU237">
            <v>999999</v>
          </cell>
          <cell r="DV237">
            <v>999999</v>
          </cell>
          <cell r="DW237">
            <v>999999</v>
          </cell>
          <cell r="DX237">
            <v>0</v>
          </cell>
          <cell r="DY237">
            <v>130</v>
          </cell>
          <cell r="DZ237">
            <v>999999</v>
          </cell>
          <cell r="EA237">
            <v>999999</v>
          </cell>
          <cell r="EB237">
            <v>999999</v>
          </cell>
          <cell r="EC237">
            <v>0</v>
          </cell>
          <cell r="ED237">
            <v>0</v>
          </cell>
          <cell r="EE237">
            <v>0</v>
          </cell>
          <cell r="EF237">
            <v>0</v>
          </cell>
          <cell r="EG237">
            <v>0</v>
          </cell>
          <cell r="EH237">
            <v>0</v>
          </cell>
          <cell r="EI237">
            <v>0</v>
          </cell>
          <cell r="EJ237">
            <v>0</v>
          </cell>
          <cell r="EK237">
            <v>0</v>
          </cell>
          <cell r="EL237">
            <v>0</v>
          </cell>
          <cell r="EM237" t="str">
            <v/>
          </cell>
          <cell r="EN237" t="str">
            <v/>
          </cell>
          <cell r="EO237" t="str">
            <v/>
          </cell>
          <cell r="EP237" t="str">
            <v/>
          </cell>
          <cell r="EQ237" t="str">
            <v/>
          </cell>
          <cell r="ER237" t="str">
            <v/>
          </cell>
          <cell r="ES237" t="str">
            <v/>
          </cell>
          <cell r="ET237" t="str">
            <v/>
          </cell>
          <cell r="EU237" t="str">
            <v/>
          </cell>
          <cell r="EV237" t="str">
            <v/>
          </cell>
          <cell r="EW237" t="str">
            <v/>
          </cell>
          <cell r="EX237" t="str">
            <v/>
          </cell>
          <cell r="EY237" t="str">
            <v/>
          </cell>
          <cell r="EZ237" t="str">
            <v/>
          </cell>
          <cell r="FA237" t="str">
            <v/>
          </cell>
          <cell r="FB237" t="str">
            <v/>
          </cell>
          <cell r="FC237" t="str">
            <v/>
          </cell>
          <cell r="FD237" t="str">
            <v/>
          </cell>
          <cell r="FE237" t="str">
            <v/>
          </cell>
          <cell r="FF237" t="str">
            <v/>
          </cell>
          <cell r="FG237" t="str">
            <v/>
          </cell>
          <cell r="FH237" t="str">
            <v/>
          </cell>
          <cell r="FI237" t="str">
            <v/>
          </cell>
          <cell r="FJ237" t="str">
            <v/>
          </cell>
          <cell r="FK237" t="str">
            <v/>
          </cell>
          <cell r="FL237" t="str">
            <v/>
          </cell>
          <cell r="FM237" t="str">
            <v/>
          </cell>
          <cell r="FN237" t="str">
            <v/>
          </cell>
          <cell r="FO237" t="str">
            <v/>
          </cell>
          <cell r="FP237" t="str">
            <v/>
          </cell>
        </row>
        <row r="238">
          <cell r="N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AJ238">
            <v>0</v>
          </cell>
          <cell r="AK238">
            <v>0</v>
          </cell>
          <cell r="AL238">
            <v>999999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BE238">
            <v>48000</v>
          </cell>
          <cell r="BH238">
            <v>0</v>
          </cell>
          <cell r="BI238">
            <v>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  <cell r="BP238">
            <v>0</v>
          </cell>
          <cell r="BQ238">
            <v>0</v>
          </cell>
          <cell r="CB238">
            <v>0</v>
          </cell>
          <cell r="CC238">
            <v>0</v>
          </cell>
          <cell r="CD238">
            <v>0</v>
          </cell>
          <cell r="CE238">
            <v>0</v>
          </cell>
          <cell r="CF238">
            <v>0</v>
          </cell>
          <cell r="CG238">
            <v>0</v>
          </cell>
          <cell r="CH238">
            <v>0</v>
          </cell>
          <cell r="CI238">
            <v>0</v>
          </cell>
          <cell r="CJ238">
            <v>0</v>
          </cell>
          <cell r="CK238">
            <v>0</v>
          </cell>
          <cell r="CW238">
            <v>0</v>
          </cell>
          <cell r="CY238">
            <v>0</v>
          </cell>
          <cell r="CZ238">
            <v>0</v>
          </cell>
          <cell r="DA238">
            <v>0</v>
          </cell>
          <cell r="DB238">
            <v>0</v>
          </cell>
          <cell r="DC238">
            <v>0</v>
          </cell>
          <cell r="DD238">
            <v>0</v>
          </cell>
          <cell r="DE238">
            <v>0</v>
          </cell>
          <cell r="DF238">
            <v>0</v>
          </cell>
          <cell r="DG238">
            <v>0</v>
          </cell>
          <cell r="DH238">
            <v>0</v>
          </cell>
          <cell r="DS238">
            <v>0</v>
          </cell>
          <cell r="DT238">
            <v>129</v>
          </cell>
          <cell r="DU238">
            <v>999999</v>
          </cell>
          <cell r="DV238">
            <v>999999</v>
          </cell>
          <cell r="DW238">
            <v>999999</v>
          </cell>
          <cell r="DX238">
            <v>0</v>
          </cell>
          <cell r="DY238">
            <v>129</v>
          </cell>
          <cell r="DZ238">
            <v>999999</v>
          </cell>
          <cell r="EA238">
            <v>999999</v>
          </cell>
          <cell r="EB238">
            <v>999999</v>
          </cell>
          <cell r="EC238">
            <v>0</v>
          </cell>
          <cell r="ED238">
            <v>0</v>
          </cell>
          <cell r="EE238">
            <v>0</v>
          </cell>
          <cell r="EF238">
            <v>0</v>
          </cell>
          <cell r="EG238">
            <v>0</v>
          </cell>
          <cell r="EH238">
            <v>0</v>
          </cell>
          <cell r="EI238">
            <v>0</v>
          </cell>
          <cell r="EJ238">
            <v>0</v>
          </cell>
          <cell r="EK238">
            <v>0</v>
          </cell>
          <cell r="EL238">
            <v>0</v>
          </cell>
          <cell r="EM238" t="str">
            <v/>
          </cell>
          <cell r="EN238" t="str">
            <v/>
          </cell>
          <cell r="EO238" t="str">
            <v/>
          </cell>
          <cell r="EP238" t="str">
            <v/>
          </cell>
          <cell r="EQ238" t="str">
            <v/>
          </cell>
          <cell r="ER238" t="str">
            <v/>
          </cell>
          <cell r="ES238" t="str">
            <v/>
          </cell>
          <cell r="ET238" t="str">
            <v/>
          </cell>
          <cell r="EU238" t="str">
            <v/>
          </cell>
          <cell r="EV238" t="str">
            <v/>
          </cell>
          <cell r="EW238" t="str">
            <v/>
          </cell>
          <cell r="EX238" t="str">
            <v/>
          </cell>
          <cell r="EY238" t="str">
            <v/>
          </cell>
          <cell r="EZ238" t="str">
            <v/>
          </cell>
          <cell r="FA238" t="str">
            <v/>
          </cell>
          <cell r="FB238" t="str">
            <v/>
          </cell>
          <cell r="FC238" t="str">
            <v/>
          </cell>
          <cell r="FD238" t="str">
            <v/>
          </cell>
          <cell r="FE238" t="str">
            <v/>
          </cell>
          <cell r="FF238" t="str">
            <v/>
          </cell>
          <cell r="FG238" t="str">
            <v/>
          </cell>
          <cell r="FH238" t="str">
            <v/>
          </cell>
          <cell r="FI238" t="str">
            <v/>
          </cell>
          <cell r="FJ238" t="str">
            <v/>
          </cell>
          <cell r="FK238" t="str">
            <v/>
          </cell>
          <cell r="FL238" t="str">
            <v/>
          </cell>
          <cell r="FM238" t="str">
            <v/>
          </cell>
          <cell r="FN238" t="str">
            <v/>
          </cell>
          <cell r="FO238" t="str">
            <v/>
          </cell>
          <cell r="FP238" t="str">
            <v/>
          </cell>
        </row>
        <row r="239">
          <cell r="N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AJ239">
            <v>0</v>
          </cell>
          <cell r="AK239">
            <v>0</v>
          </cell>
          <cell r="AL239">
            <v>999999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BE239">
            <v>0</v>
          </cell>
          <cell r="BH239">
            <v>0</v>
          </cell>
          <cell r="BI239">
            <v>0</v>
          </cell>
          <cell r="BJ239">
            <v>0</v>
          </cell>
          <cell r="BK239">
            <v>0</v>
          </cell>
          <cell r="BL239">
            <v>0</v>
          </cell>
          <cell r="BM239">
            <v>0</v>
          </cell>
          <cell r="BN239">
            <v>0</v>
          </cell>
          <cell r="BO239">
            <v>0</v>
          </cell>
          <cell r="BP239">
            <v>0</v>
          </cell>
          <cell r="BQ239">
            <v>0</v>
          </cell>
          <cell r="CB239">
            <v>0</v>
          </cell>
          <cell r="CC239">
            <v>0</v>
          </cell>
          <cell r="CD239">
            <v>0</v>
          </cell>
          <cell r="CE239">
            <v>0</v>
          </cell>
          <cell r="CF239">
            <v>0</v>
          </cell>
          <cell r="CG239">
            <v>0</v>
          </cell>
          <cell r="CH239">
            <v>0</v>
          </cell>
          <cell r="CI239">
            <v>0</v>
          </cell>
          <cell r="CJ239">
            <v>0</v>
          </cell>
          <cell r="CK239">
            <v>0</v>
          </cell>
          <cell r="CW239">
            <v>0</v>
          </cell>
          <cell r="CY239">
            <v>0</v>
          </cell>
          <cell r="CZ239">
            <v>0</v>
          </cell>
          <cell r="DA239">
            <v>0</v>
          </cell>
          <cell r="DB239">
            <v>0</v>
          </cell>
          <cell r="DC239">
            <v>0</v>
          </cell>
          <cell r="DD239">
            <v>0</v>
          </cell>
          <cell r="DE239">
            <v>0</v>
          </cell>
          <cell r="DF239">
            <v>0</v>
          </cell>
          <cell r="DG239">
            <v>0</v>
          </cell>
          <cell r="DH239">
            <v>0</v>
          </cell>
          <cell r="DS239">
            <v>0</v>
          </cell>
          <cell r="DT239">
            <v>128</v>
          </cell>
          <cell r="DU239">
            <v>999999</v>
          </cell>
          <cell r="DV239">
            <v>999999</v>
          </cell>
          <cell r="DW239">
            <v>999999</v>
          </cell>
          <cell r="DX239">
            <v>0</v>
          </cell>
          <cell r="DY239">
            <v>128</v>
          </cell>
          <cell r="DZ239">
            <v>999999</v>
          </cell>
          <cell r="EA239">
            <v>999999</v>
          </cell>
          <cell r="EB239">
            <v>999999</v>
          </cell>
          <cell r="EC239">
            <v>0</v>
          </cell>
          <cell r="ED239">
            <v>0</v>
          </cell>
          <cell r="EE239">
            <v>0</v>
          </cell>
          <cell r="EF239">
            <v>0</v>
          </cell>
          <cell r="EG239">
            <v>0</v>
          </cell>
          <cell r="EH239">
            <v>0</v>
          </cell>
          <cell r="EI239">
            <v>0</v>
          </cell>
          <cell r="EJ239">
            <v>0</v>
          </cell>
          <cell r="EK239">
            <v>0</v>
          </cell>
          <cell r="EL239">
            <v>0</v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 t="str">
            <v/>
          </cell>
          <cell r="EU239" t="str">
            <v/>
          </cell>
          <cell r="EV239" t="str">
            <v/>
          </cell>
          <cell r="EW239" t="str">
            <v/>
          </cell>
          <cell r="EX239" t="str">
            <v/>
          </cell>
          <cell r="EY239" t="str">
            <v/>
          </cell>
          <cell r="EZ239" t="str">
            <v/>
          </cell>
          <cell r="FA239" t="str">
            <v/>
          </cell>
          <cell r="FB239" t="str">
            <v/>
          </cell>
          <cell r="FC239" t="str">
            <v/>
          </cell>
          <cell r="FD239" t="str">
            <v/>
          </cell>
          <cell r="FE239" t="str">
            <v/>
          </cell>
          <cell r="FF239" t="str">
            <v/>
          </cell>
          <cell r="FG239" t="str">
            <v/>
          </cell>
          <cell r="FH239" t="str">
            <v/>
          </cell>
          <cell r="FI239" t="str">
            <v/>
          </cell>
          <cell r="FJ239" t="str">
            <v/>
          </cell>
          <cell r="FK239" t="str">
            <v/>
          </cell>
          <cell r="FL239" t="str">
            <v/>
          </cell>
          <cell r="FM239" t="str">
            <v/>
          </cell>
          <cell r="FN239" t="str">
            <v/>
          </cell>
          <cell r="FO239" t="str">
            <v/>
          </cell>
          <cell r="FP239" t="str">
            <v/>
          </cell>
        </row>
        <row r="240">
          <cell r="N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AJ240">
            <v>0</v>
          </cell>
          <cell r="AK240">
            <v>0</v>
          </cell>
          <cell r="AL240">
            <v>999999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BE240">
            <v>0</v>
          </cell>
          <cell r="BH240">
            <v>0</v>
          </cell>
          <cell r="BI240">
            <v>0</v>
          </cell>
          <cell r="BJ240">
            <v>0</v>
          </cell>
          <cell r="BK240">
            <v>0</v>
          </cell>
          <cell r="BL240">
            <v>0</v>
          </cell>
          <cell r="BM240">
            <v>0</v>
          </cell>
          <cell r="BN240">
            <v>0</v>
          </cell>
          <cell r="BO240">
            <v>0</v>
          </cell>
          <cell r="BP240">
            <v>0</v>
          </cell>
          <cell r="BQ240">
            <v>0</v>
          </cell>
          <cell r="CB240">
            <v>0</v>
          </cell>
          <cell r="CC240">
            <v>0</v>
          </cell>
          <cell r="CD240">
            <v>0</v>
          </cell>
          <cell r="CE240">
            <v>0</v>
          </cell>
          <cell r="CF240">
            <v>0</v>
          </cell>
          <cell r="CG240">
            <v>0</v>
          </cell>
          <cell r="CH240">
            <v>0</v>
          </cell>
          <cell r="CI240">
            <v>0</v>
          </cell>
          <cell r="CJ240">
            <v>0</v>
          </cell>
          <cell r="CK240">
            <v>0</v>
          </cell>
          <cell r="CW240">
            <v>0</v>
          </cell>
          <cell r="CY240">
            <v>0</v>
          </cell>
          <cell r="CZ240">
            <v>0</v>
          </cell>
          <cell r="DA240">
            <v>0</v>
          </cell>
          <cell r="DB240">
            <v>0</v>
          </cell>
          <cell r="DC240">
            <v>0</v>
          </cell>
          <cell r="DD240">
            <v>0</v>
          </cell>
          <cell r="DE240">
            <v>0</v>
          </cell>
          <cell r="DF240">
            <v>0</v>
          </cell>
          <cell r="DG240">
            <v>0</v>
          </cell>
          <cell r="DH240">
            <v>0</v>
          </cell>
          <cell r="DS240">
            <v>0</v>
          </cell>
          <cell r="DT240">
            <v>127</v>
          </cell>
          <cell r="DU240">
            <v>999999</v>
          </cell>
          <cell r="DV240">
            <v>999999</v>
          </cell>
          <cell r="DW240">
            <v>999999</v>
          </cell>
          <cell r="DX240">
            <v>0</v>
          </cell>
          <cell r="DY240">
            <v>127</v>
          </cell>
          <cell r="DZ240">
            <v>999999</v>
          </cell>
          <cell r="EA240">
            <v>999999</v>
          </cell>
          <cell r="EB240">
            <v>999999</v>
          </cell>
          <cell r="EC240">
            <v>0</v>
          </cell>
          <cell r="ED240">
            <v>0</v>
          </cell>
          <cell r="EE240">
            <v>0</v>
          </cell>
          <cell r="EF240">
            <v>0</v>
          </cell>
          <cell r="EG240">
            <v>0</v>
          </cell>
          <cell r="EH240">
            <v>0</v>
          </cell>
          <cell r="EI240">
            <v>0</v>
          </cell>
          <cell r="EJ240">
            <v>0</v>
          </cell>
          <cell r="EK240">
            <v>0</v>
          </cell>
          <cell r="EL240">
            <v>0</v>
          </cell>
          <cell r="EM240" t="str">
            <v/>
          </cell>
          <cell r="EN240" t="str">
            <v/>
          </cell>
          <cell r="EO240" t="str">
            <v/>
          </cell>
          <cell r="EP240" t="str">
            <v/>
          </cell>
          <cell r="EQ240" t="str">
            <v/>
          </cell>
          <cell r="ER240" t="str">
            <v/>
          </cell>
          <cell r="ES240" t="str">
            <v/>
          </cell>
          <cell r="ET240" t="str">
            <v/>
          </cell>
          <cell r="EU240" t="str">
            <v/>
          </cell>
          <cell r="EV240" t="str">
            <v/>
          </cell>
          <cell r="EW240" t="str">
            <v/>
          </cell>
          <cell r="EX240" t="str">
            <v/>
          </cell>
          <cell r="EY240" t="str">
            <v/>
          </cell>
          <cell r="EZ240" t="str">
            <v/>
          </cell>
          <cell r="FA240" t="str">
            <v/>
          </cell>
          <cell r="FB240" t="str">
            <v/>
          </cell>
          <cell r="FC240" t="str">
            <v/>
          </cell>
          <cell r="FD240" t="str">
            <v/>
          </cell>
          <cell r="FE240" t="str">
            <v/>
          </cell>
          <cell r="FF240" t="str">
            <v/>
          </cell>
          <cell r="FG240" t="str">
            <v/>
          </cell>
          <cell r="FH240" t="str">
            <v/>
          </cell>
          <cell r="FI240" t="str">
            <v/>
          </cell>
          <cell r="FJ240" t="str">
            <v/>
          </cell>
          <cell r="FK240" t="str">
            <v/>
          </cell>
          <cell r="FL240" t="str">
            <v/>
          </cell>
          <cell r="FM240" t="str">
            <v/>
          </cell>
          <cell r="FN240" t="str">
            <v/>
          </cell>
          <cell r="FO240" t="str">
            <v/>
          </cell>
          <cell r="FP240" t="str">
            <v/>
          </cell>
        </row>
        <row r="241">
          <cell r="N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AJ241">
            <v>0</v>
          </cell>
          <cell r="AK241">
            <v>0</v>
          </cell>
          <cell r="AL241">
            <v>999999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BE241">
            <v>0</v>
          </cell>
          <cell r="BH241">
            <v>0</v>
          </cell>
          <cell r="BI241">
            <v>0</v>
          </cell>
          <cell r="BJ241">
            <v>0</v>
          </cell>
          <cell r="BK241">
            <v>0</v>
          </cell>
          <cell r="BL241">
            <v>0</v>
          </cell>
          <cell r="BM241">
            <v>0</v>
          </cell>
          <cell r="BN241">
            <v>0</v>
          </cell>
          <cell r="BO241">
            <v>0</v>
          </cell>
          <cell r="BP241">
            <v>0</v>
          </cell>
          <cell r="BQ241">
            <v>0</v>
          </cell>
          <cell r="CB241">
            <v>0</v>
          </cell>
          <cell r="CC241">
            <v>0</v>
          </cell>
          <cell r="CD241">
            <v>0</v>
          </cell>
          <cell r="CE241">
            <v>0</v>
          </cell>
          <cell r="CF241">
            <v>0</v>
          </cell>
          <cell r="CG241">
            <v>0</v>
          </cell>
          <cell r="CH241">
            <v>0</v>
          </cell>
          <cell r="CI241">
            <v>0</v>
          </cell>
          <cell r="CJ241">
            <v>0</v>
          </cell>
          <cell r="CK241">
            <v>0</v>
          </cell>
          <cell r="CW241">
            <v>0</v>
          </cell>
          <cell r="CY241">
            <v>0</v>
          </cell>
          <cell r="CZ241">
            <v>0</v>
          </cell>
          <cell r="DA241">
            <v>0</v>
          </cell>
          <cell r="DB241">
            <v>0</v>
          </cell>
          <cell r="DC241">
            <v>0</v>
          </cell>
          <cell r="DD241">
            <v>0</v>
          </cell>
          <cell r="DE241">
            <v>0</v>
          </cell>
          <cell r="DF241">
            <v>0</v>
          </cell>
          <cell r="DG241">
            <v>0</v>
          </cell>
          <cell r="DH241">
            <v>0</v>
          </cell>
          <cell r="DS241">
            <v>0</v>
          </cell>
          <cell r="DT241">
            <v>126</v>
          </cell>
          <cell r="DU241">
            <v>999999</v>
          </cell>
          <cell r="DV241">
            <v>999999</v>
          </cell>
          <cell r="DW241">
            <v>999999</v>
          </cell>
          <cell r="DX241">
            <v>0</v>
          </cell>
          <cell r="DY241">
            <v>126</v>
          </cell>
          <cell r="DZ241">
            <v>999999</v>
          </cell>
          <cell r="EA241">
            <v>999999</v>
          </cell>
          <cell r="EB241">
            <v>999999</v>
          </cell>
          <cell r="EC241">
            <v>0</v>
          </cell>
          <cell r="ED241">
            <v>0</v>
          </cell>
          <cell r="EE241">
            <v>0</v>
          </cell>
          <cell r="EF241">
            <v>0</v>
          </cell>
          <cell r="EG241">
            <v>0</v>
          </cell>
          <cell r="EH241">
            <v>0</v>
          </cell>
          <cell r="EI241">
            <v>0</v>
          </cell>
          <cell r="EJ241">
            <v>0</v>
          </cell>
          <cell r="EK241">
            <v>0</v>
          </cell>
          <cell r="EL241">
            <v>0</v>
          </cell>
          <cell r="EM241" t="str">
            <v/>
          </cell>
          <cell r="EN241" t="str">
            <v/>
          </cell>
          <cell r="EO241" t="str">
            <v/>
          </cell>
          <cell r="EP241" t="str">
            <v/>
          </cell>
          <cell r="EQ241" t="str">
            <v/>
          </cell>
          <cell r="ER241" t="str">
            <v/>
          </cell>
          <cell r="ES241" t="str">
            <v/>
          </cell>
          <cell r="ET241" t="str">
            <v/>
          </cell>
          <cell r="EU241" t="str">
            <v/>
          </cell>
          <cell r="EV241" t="str">
            <v/>
          </cell>
          <cell r="EW241" t="str">
            <v/>
          </cell>
          <cell r="EX241" t="str">
            <v/>
          </cell>
          <cell r="EY241" t="str">
            <v/>
          </cell>
          <cell r="EZ241" t="str">
            <v/>
          </cell>
          <cell r="FA241" t="str">
            <v/>
          </cell>
          <cell r="FB241" t="str">
            <v/>
          </cell>
          <cell r="FC241" t="str">
            <v/>
          </cell>
          <cell r="FD241" t="str">
            <v/>
          </cell>
          <cell r="FE241" t="str">
            <v/>
          </cell>
          <cell r="FF241" t="str">
            <v/>
          </cell>
          <cell r="FG241" t="str">
            <v/>
          </cell>
          <cell r="FH241" t="str">
            <v/>
          </cell>
          <cell r="FI241" t="str">
            <v/>
          </cell>
          <cell r="FJ241" t="str">
            <v/>
          </cell>
          <cell r="FK241" t="str">
            <v/>
          </cell>
          <cell r="FL241" t="str">
            <v/>
          </cell>
          <cell r="FM241" t="str">
            <v/>
          </cell>
          <cell r="FN241" t="str">
            <v/>
          </cell>
          <cell r="FO241" t="str">
            <v/>
          </cell>
          <cell r="FP241" t="str">
            <v/>
          </cell>
        </row>
        <row r="242">
          <cell r="N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AJ242">
            <v>0</v>
          </cell>
          <cell r="AK242">
            <v>0</v>
          </cell>
          <cell r="AL242">
            <v>999999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BE242">
            <v>0</v>
          </cell>
          <cell r="BH242">
            <v>0</v>
          </cell>
          <cell r="BI242">
            <v>0</v>
          </cell>
          <cell r="BJ242">
            <v>0</v>
          </cell>
          <cell r="BK242">
            <v>0</v>
          </cell>
          <cell r="BL242">
            <v>0</v>
          </cell>
          <cell r="BM242">
            <v>0</v>
          </cell>
          <cell r="BN242">
            <v>0</v>
          </cell>
          <cell r="BO242">
            <v>0</v>
          </cell>
          <cell r="BP242">
            <v>0</v>
          </cell>
          <cell r="BQ242">
            <v>0</v>
          </cell>
          <cell r="CB242">
            <v>0</v>
          </cell>
          <cell r="CC242">
            <v>0</v>
          </cell>
          <cell r="CD242">
            <v>0</v>
          </cell>
          <cell r="CE242">
            <v>0</v>
          </cell>
          <cell r="CF242">
            <v>0</v>
          </cell>
          <cell r="CG242">
            <v>0</v>
          </cell>
          <cell r="CH242">
            <v>0</v>
          </cell>
          <cell r="CI242">
            <v>0</v>
          </cell>
          <cell r="CJ242">
            <v>0</v>
          </cell>
          <cell r="CK242">
            <v>0</v>
          </cell>
          <cell r="CW242">
            <v>0</v>
          </cell>
          <cell r="CY242">
            <v>0</v>
          </cell>
          <cell r="CZ242">
            <v>0</v>
          </cell>
          <cell r="DA242">
            <v>0</v>
          </cell>
          <cell r="DB242">
            <v>0</v>
          </cell>
          <cell r="DC242">
            <v>0</v>
          </cell>
          <cell r="DD242">
            <v>0</v>
          </cell>
          <cell r="DE242">
            <v>0</v>
          </cell>
          <cell r="DF242">
            <v>0</v>
          </cell>
          <cell r="DG242">
            <v>0</v>
          </cell>
          <cell r="DH242">
            <v>0</v>
          </cell>
          <cell r="DS242">
            <v>0</v>
          </cell>
          <cell r="DT242">
            <v>125</v>
          </cell>
          <cell r="DU242">
            <v>999999</v>
          </cell>
          <cell r="DV242">
            <v>999999</v>
          </cell>
          <cell r="DW242">
            <v>999999</v>
          </cell>
          <cell r="DX242">
            <v>0</v>
          </cell>
          <cell r="DY242">
            <v>125</v>
          </cell>
          <cell r="DZ242">
            <v>999999</v>
          </cell>
          <cell r="EA242">
            <v>999999</v>
          </cell>
          <cell r="EB242">
            <v>999999</v>
          </cell>
          <cell r="EC242">
            <v>0</v>
          </cell>
          <cell r="ED242">
            <v>0</v>
          </cell>
          <cell r="EE242">
            <v>0</v>
          </cell>
          <cell r="EF242">
            <v>0</v>
          </cell>
          <cell r="EG242">
            <v>0</v>
          </cell>
          <cell r="EH242">
            <v>0</v>
          </cell>
          <cell r="EI242">
            <v>0</v>
          </cell>
          <cell r="EJ242">
            <v>0</v>
          </cell>
          <cell r="EK242">
            <v>0</v>
          </cell>
          <cell r="EL242">
            <v>0</v>
          </cell>
          <cell r="EM242" t="str">
            <v/>
          </cell>
          <cell r="EN242" t="str">
            <v/>
          </cell>
          <cell r="EO242" t="str">
            <v/>
          </cell>
          <cell r="EP242" t="str">
            <v/>
          </cell>
          <cell r="EQ242" t="str">
            <v/>
          </cell>
          <cell r="ER242" t="str">
            <v/>
          </cell>
          <cell r="ES242" t="str">
            <v/>
          </cell>
          <cell r="ET242" t="str">
            <v/>
          </cell>
          <cell r="EU242" t="str">
            <v/>
          </cell>
          <cell r="EV242" t="str">
            <v/>
          </cell>
          <cell r="EW242" t="str">
            <v/>
          </cell>
          <cell r="EX242" t="str">
            <v/>
          </cell>
          <cell r="EY242" t="str">
            <v/>
          </cell>
          <cell r="EZ242" t="str">
            <v/>
          </cell>
          <cell r="FA242" t="str">
            <v/>
          </cell>
          <cell r="FB242" t="str">
            <v/>
          </cell>
          <cell r="FC242" t="str">
            <v/>
          </cell>
          <cell r="FD242" t="str">
            <v/>
          </cell>
          <cell r="FE242" t="str">
            <v/>
          </cell>
          <cell r="FF242" t="str">
            <v/>
          </cell>
          <cell r="FG242" t="str">
            <v/>
          </cell>
          <cell r="FH242" t="str">
            <v/>
          </cell>
          <cell r="FI242" t="str">
            <v/>
          </cell>
          <cell r="FJ242" t="str">
            <v/>
          </cell>
          <cell r="FK242" t="str">
            <v/>
          </cell>
          <cell r="FL242" t="str">
            <v/>
          </cell>
          <cell r="FM242" t="str">
            <v/>
          </cell>
          <cell r="FN242" t="str">
            <v/>
          </cell>
          <cell r="FO242" t="str">
            <v/>
          </cell>
          <cell r="FP242" t="str">
            <v/>
          </cell>
        </row>
        <row r="243">
          <cell r="N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AJ243">
            <v>0</v>
          </cell>
          <cell r="AK243">
            <v>0</v>
          </cell>
          <cell r="AL243">
            <v>999999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BE243">
            <v>0</v>
          </cell>
          <cell r="BH243">
            <v>0</v>
          </cell>
          <cell r="BI243">
            <v>0</v>
          </cell>
          <cell r="BJ243">
            <v>0</v>
          </cell>
          <cell r="BK243">
            <v>0</v>
          </cell>
          <cell r="BL243">
            <v>0</v>
          </cell>
          <cell r="BM243">
            <v>0</v>
          </cell>
          <cell r="BN243">
            <v>0</v>
          </cell>
          <cell r="BO243">
            <v>0</v>
          </cell>
          <cell r="BP243">
            <v>0</v>
          </cell>
          <cell r="BQ243">
            <v>0</v>
          </cell>
          <cell r="CB243">
            <v>0</v>
          </cell>
          <cell r="CC243">
            <v>0</v>
          </cell>
          <cell r="CD243">
            <v>0</v>
          </cell>
          <cell r="CE243">
            <v>0</v>
          </cell>
          <cell r="CF243">
            <v>0</v>
          </cell>
          <cell r="CG243">
            <v>0</v>
          </cell>
          <cell r="CH243">
            <v>0</v>
          </cell>
          <cell r="CI243">
            <v>0</v>
          </cell>
          <cell r="CJ243">
            <v>0</v>
          </cell>
          <cell r="CK243">
            <v>0</v>
          </cell>
          <cell r="CW243">
            <v>0</v>
          </cell>
          <cell r="CY243">
            <v>0</v>
          </cell>
          <cell r="CZ243">
            <v>0</v>
          </cell>
          <cell r="DA243">
            <v>0</v>
          </cell>
          <cell r="DB243">
            <v>0</v>
          </cell>
          <cell r="DC243">
            <v>0</v>
          </cell>
          <cell r="DD243">
            <v>0</v>
          </cell>
          <cell r="DE243">
            <v>0</v>
          </cell>
          <cell r="DF243">
            <v>0</v>
          </cell>
          <cell r="DG243">
            <v>0</v>
          </cell>
          <cell r="DH243">
            <v>0</v>
          </cell>
          <cell r="DS243">
            <v>0</v>
          </cell>
          <cell r="DT243">
            <v>124</v>
          </cell>
          <cell r="DU243">
            <v>999999</v>
          </cell>
          <cell r="DV243">
            <v>999999</v>
          </cell>
          <cell r="DW243">
            <v>999999</v>
          </cell>
          <cell r="DX243">
            <v>0</v>
          </cell>
          <cell r="DY243">
            <v>124</v>
          </cell>
          <cell r="DZ243">
            <v>999999</v>
          </cell>
          <cell r="EA243">
            <v>999999</v>
          </cell>
          <cell r="EB243">
            <v>999999</v>
          </cell>
          <cell r="EC243">
            <v>0</v>
          </cell>
          <cell r="ED243">
            <v>0</v>
          </cell>
          <cell r="EE243">
            <v>0</v>
          </cell>
          <cell r="EF243">
            <v>0</v>
          </cell>
          <cell r="EG243">
            <v>0</v>
          </cell>
          <cell r="EH243">
            <v>0</v>
          </cell>
          <cell r="EI243">
            <v>0</v>
          </cell>
          <cell r="EJ243">
            <v>0</v>
          </cell>
          <cell r="EK243">
            <v>0</v>
          </cell>
          <cell r="EL243">
            <v>0</v>
          </cell>
          <cell r="EM243" t="str">
            <v/>
          </cell>
          <cell r="EN243" t="str">
            <v/>
          </cell>
          <cell r="EO243" t="str">
            <v/>
          </cell>
          <cell r="EP243" t="str">
            <v/>
          </cell>
          <cell r="EQ243" t="str">
            <v/>
          </cell>
          <cell r="ER243" t="str">
            <v/>
          </cell>
          <cell r="ES243" t="str">
            <v/>
          </cell>
          <cell r="ET243" t="str">
            <v/>
          </cell>
          <cell r="EU243" t="str">
            <v/>
          </cell>
          <cell r="EV243" t="str">
            <v/>
          </cell>
          <cell r="EW243" t="str">
            <v/>
          </cell>
          <cell r="EX243" t="str">
            <v/>
          </cell>
          <cell r="EY243" t="str">
            <v/>
          </cell>
          <cell r="EZ243" t="str">
            <v/>
          </cell>
          <cell r="FA243" t="str">
            <v/>
          </cell>
          <cell r="FB243" t="str">
            <v/>
          </cell>
          <cell r="FC243" t="str">
            <v/>
          </cell>
          <cell r="FD243" t="str">
            <v/>
          </cell>
          <cell r="FE243" t="str">
            <v/>
          </cell>
          <cell r="FF243" t="str">
            <v/>
          </cell>
          <cell r="FG243" t="str">
            <v/>
          </cell>
          <cell r="FH243" t="str">
            <v/>
          </cell>
          <cell r="FI243" t="str">
            <v/>
          </cell>
          <cell r="FJ243" t="str">
            <v/>
          </cell>
          <cell r="FK243" t="str">
            <v/>
          </cell>
          <cell r="FL243" t="str">
            <v/>
          </cell>
          <cell r="FM243" t="str">
            <v/>
          </cell>
          <cell r="FN243" t="str">
            <v/>
          </cell>
          <cell r="FO243" t="str">
            <v/>
          </cell>
          <cell r="FP243" t="str">
            <v/>
          </cell>
        </row>
        <row r="244">
          <cell r="N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AJ244">
            <v>0</v>
          </cell>
          <cell r="AK244">
            <v>0</v>
          </cell>
          <cell r="AL244">
            <v>999999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BE244">
            <v>0</v>
          </cell>
          <cell r="BH244">
            <v>0</v>
          </cell>
          <cell r="BI244">
            <v>0</v>
          </cell>
          <cell r="BJ244">
            <v>0</v>
          </cell>
          <cell r="BK244">
            <v>0</v>
          </cell>
          <cell r="BL244">
            <v>0</v>
          </cell>
          <cell r="BM244">
            <v>0</v>
          </cell>
          <cell r="BN244">
            <v>0</v>
          </cell>
          <cell r="BO244">
            <v>0</v>
          </cell>
          <cell r="BP244">
            <v>0</v>
          </cell>
          <cell r="BQ244">
            <v>0</v>
          </cell>
          <cell r="CB244">
            <v>0</v>
          </cell>
          <cell r="CC244">
            <v>0</v>
          </cell>
          <cell r="CD244">
            <v>0</v>
          </cell>
          <cell r="CE244">
            <v>0</v>
          </cell>
          <cell r="CF244">
            <v>0</v>
          </cell>
          <cell r="CG244">
            <v>0</v>
          </cell>
          <cell r="CH244">
            <v>0</v>
          </cell>
          <cell r="CI244">
            <v>0</v>
          </cell>
          <cell r="CJ244">
            <v>0</v>
          </cell>
          <cell r="CK244">
            <v>0</v>
          </cell>
          <cell r="CW244">
            <v>0</v>
          </cell>
          <cell r="CY244">
            <v>0</v>
          </cell>
          <cell r="CZ244">
            <v>0</v>
          </cell>
          <cell r="DA244">
            <v>0</v>
          </cell>
          <cell r="DB244">
            <v>0</v>
          </cell>
          <cell r="DC244">
            <v>0</v>
          </cell>
          <cell r="DD244">
            <v>0</v>
          </cell>
          <cell r="DE244">
            <v>0</v>
          </cell>
          <cell r="DF244">
            <v>0</v>
          </cell>
          <cell r="DG244">
            <v>0</v>
          </cell>
          <cell r="DH244">
            <v>0</v>
          </cell>
          <cell r="DS244">
            <v>0</v>
          </cell>
          <cell r="DT244">
            <v>123</v>
          </cell>
          <cell r="DU244">
            <v>999999</v>
          </cell>
          <cell r="DV244">
            <v>999999</v>
          </cell>
          <cell r="DW244">
            <v>999999</v>
          </cell>
          <cell r="DX244">
            <v>0</v>
          </cell>
          <cell r="DY244">
            <v>123</v>
          </cell>
          <cell r="DZ244">
            <v>999999</v>
          </cell>
          <cell r="EA244">
            <v>999999</v>
          </cell>
          <cell r="EB244">
            <v>999999</v>
          </cell>
          <cell r="EC244">
            <v>0</v>
          </cell>
          <cell r="ED244">
            <v>0</v>
          </cell>
          <cell r="EE244">
            <v>0</v>
          </cell>
          <cell r="EF244">
            <v>0</v>
          </cell>
          <cell r="EG244">
            <v>0</v>
          </cell>
          <cell r="EH244">
            <v>0</v>
          </cell>
          <cell r="EI244">
            <v>0</v>
          </cell>
          <cell r="EJ244">
            <v>0</v>
          </cell>
          <cell r="EK244">
            <v>0</v>
          </cell>
          <cell r="EL244">
            <v>0</v>
          </cell>
          <cell r="EM244" t="str">
            <v/>
          </cell>
          <cell r="EN244" t="str">
            <v/>
          </cell>
          <cell r="EO244" t="str">
            <v/>
          </cell>
          <cell r="EP244" t="str">
            <v/>
          </cell>
          <cell r="EQ244" t="str">
            <v/>
          </cell>
          <cell r="ER244" t="str">
            <v/>
          </cell>
          <cell r="ES244" t="str">
            <v/>
          </cell>
          <cell r="ET244" t="str">
            <v/>
          </cell>
          <cell r="EU244" t="str">
            <v/>
          </cell>
          <cell r="EV244" t="str">
            <v/>
          </cell>
          <cell r="EW244" t="str">
            <v/>
          </cell>
          <cell r="EX244" t="str">
            <v/>
          </cell>
          <cell r="EY244" t="str">
            <v/>
          </cell>
          <cell r="EZ244" t="str">
            <v/>
          </cell>
          <cell r="FA244" t="str">
            <v/>
          </cell>
          <cell r="FB244" t="str">
            <v/>
          </cell>
          <cell r="FC244" t="str">
            <v/>
          </cell>
          <cell r="FD244" t="str">
            <v/>
          </cell>
          <cell r="FE244" t="str">
            <v/>
          </cell>
          <cell r="FF244" t="str">
            <v/>
          </cell>
          <cell r="FG244" t="str">
            <v/>
          </cell>
          <cell r="FH244" t="str">
            <v/>
          </cell>
          <cell r="FI244" t="str">
            <v/>
          </cell>
          <cell r="FJ244" t="str">
            <v/>
          </cell>
          <cell r="FK244" t="str">
            <v/>
          </cell>
          <cell r="FL244" t="str">
            <v/>
          </cell>
          <cell r="FM244" t="str">
            <v/>
          </cell>
          <cell r="FN244" t="str">
            <v/>
          </cell>
          <cell r="FO244" t="str">
            <v/>
          </cell>
          <cell r="FP244" t="str">
            <v/>
          </cell>
        </row>
        <row r="245">
          <cell r="N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AJ245">
            <v>0</v>
          </cell>
          <cell r="AK245">
            <v>0</v>
          </cell>
          <cell r="AL245">
            <v>999999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BE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CB245">
            <v>0</v>
          </cell>
          <cell r="CC245">
            <v>0</v>
          </cell>
          <cell r="CD245">
            <v>0</v>
          </cell>
          <cell r="CE245">
            <v>0</v>
          </cell>
          <cell r="CF245">
            <v>0</v>
          </cell>
          <cell r="CG245">
            <v>0</v>
          </cell>
          <cell r="CH245">
            <v>0</v>
          </cell>
          <cell r="CI245">
            <v>0</v>
          </cell>
          <cell r="CJ245">
            <v>0</v>
          </cell>
          <cell r="CK245">
            <v>0</v>
          </cell>
          <cell r="CW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S245">
            <v>0</v>
          </cell>
          <cell r="DT245">
            <v>122</v>
          </cell>
          <cell r="DU245">
            <v>999999</v>
          </cell>
          <cell r="DV245">
            <v>999999</v>
          </cell>
          <cell r="DW245">
            <v>999999</v>
          </cell>
          <cell r="DX245">
            <v>0</v>
          </cell>
          <cell r="DY245">
            <v>122</v>
          </cell>
          <cell r="DZ245">
            <v>999999</v>
          </cell>
          <cell r="EA245">
            <v>999999</v>
          </cell>
          <cell r="EB245">
            <v>999999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 t="str">
            <v/>
          </cell>
          <cell r="EN245" t="str">
            <v/>
          </cell>
          <cell r="EO245" t="str">
            <v/>
          </cell>
          <cell r="EP245" t="str">
            <v/>
          </cell>
          <cell r="EQ245" t="str">
            <v/>
          </cell>
          <cell r="ER245" t="str">
            <v/>
          </cell>
          <cell r="ES245" t="str">
            <v/>
          </cell>
          <cell r="ET245" t="str">
            <v/>
          </cell>
          <cell r="EU245" t="str">
            <v/>
          </cell>
          <cell r="EV245" t="str">
            <v/>
          </cell>
          <cell r="EW245" t="str">
            <v/>
          </cell>
          <cell r="EX245" t="str">
            <v/>
          </cell>
          <cell r="EY245" t="str">
            <v/>
          </cell>
          <cell r="EZ245" t="str">
            <v/>
          </cell>
          <cell r="FA245" t="str">
            <v/>
          </cell>
          <cell r="FB245" t="str">
            <v/>
          </cell>
          <cell r="FC245" t="str">
            <v/>
          </cell>
          <cell r="FD245" t="str">
            <v/>
          </cell>
          <cell r="FE245" t="str">
            <v/>
          </cell>
          <cell r="FF245" t="str">
            <v/>
          </cell>
          <cell r="FG245" t="str">
            <v/>
          </cell>
          <cell r="FH245" t="str">
            <v/>
          </cell>
          <cell r="FI245" t="str">
            <v/>
          </cell>
          <cell r="FJ245" t="str">
            <v/>
          </cell>
          <cell r="FK245" t="str">
            <v/>
          </cell>
          <cell r="FL245" t="str">
            <v/>
          </cell>
          <cell r="FM245" t="str">
            <v/>
          </cell>
          <cell r="FN245" t="str">
            <v/>
          </cell>
          <cell r="FO245" t="str">
            <v/>
          </cell>
          <cell r="FP245" t="str">
            <v/>
          </cell>
        </row>
        <row r="246">
          <cell r="N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AJ246">
            <v>0</v>
          </cell>
          <cell r="AK246">
            <v>0</v>
          </cell>
          <cell r="AL246">
            <v>999999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BE246">
            <v>48000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CB246">
            <v>0</v>
          </cell>
          <cell r="CC246">
            <v>0</v>
          </cell>
          <cell r="CD246">
            <v>0</v>
          </cell>
          <cell r="CE246">
            <v>0</v>
          </cell>
          <cell r="CF246">
            <v>0</v>
          </cell>
          <cell r="CG246">
            <v>0</v>
          </cell>
          <cell r="CH246">
            <v>0</v>
          </cell>
          <cell r="CI246">
            <v>0</v>
          </cell>
          <cell r="CJ246">
            <v>0</v>
          </cell>
          <cell r="CK246">
            <v>0</v>
          </cell>
          <cell r="CW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S246">
            <v>0</v>
          </cell>
          <cell r="DT246">
            <v>121</v>
          </cell>
          <cell r="DU246">
            <v>999999</v>
          </cell>
          <cell r="DV246">
            <v>999999</v>
          </cell>
          <cell r="DW246">
            <v>999999</v>
          </cell>
          <cell r="DX246">
            <v>0</v>
          </cell>
          <cell r="DY246">
            <v>121</v>
          </cell>
          <cell r="DZ246">
            <v>999999</v>
          </cell>
          <cell r="EA246">
            <v>999999</v>
          </cell>
          <cell r="EB246">
            <v>999999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 t="str">
            <v/>
          </cell>
          <cell r="EN246" t="str">
            <v/>
          </cell>
          <cell r="EO246" t="str">
            <v/>
          </cell>
          <cell r="EP246" t="str">
            <v/>
          </cell>
          <cell r="EQ246" t="str">
            <v/>
          </cell>
          <cell r="ER246" t="str">
            <v/>
          </cell>
          <cell r="ES246" t="str">
            <v/>
          </cell>
          <cell r="ET246" t="str">
            <v/>
          </cell>
          <cell r="EU246" t="str">
            <v/>
          </cell>
          <cell r="EV246" t="str">
            <v/>
          </cell>
          <cell r="EW246" t="str">
            <v/>
          </cell>
          <cell r="EX246" t="str">
            <v/>
          </cell>
          <cell r="EY246" t="str">
            <v/>
          </cell>
          <cell r="EZ246" t="str">
            <v/>
          </cell>
          <cell r="FA246" t="str">
            <v/>
          </cell>
          <cell r="FB246" t="str">
            <v/>
          </cell>
          <cell r="FC246" t="str">
            <v/>
          </cell>
          <cell r="FD246" t="str">
            <v/>
          </cell>
          <cell r="FE246" t="str">
            <v/>
          </cell>
          <cell r="FF246" t="str">
            <v/>
          </cell>
          <cell r="FG246" t="str">
            <v/>
          </cell>
          <cell r="FH246" t="str">
            <v/>
          </cell>
          <cell r="FI246" t="str">
            <v/>
          </cell>
          <cell r="FJ246" t="str">
            <v/>
          </cell>
          <cell r="FK246" t="str">
            <v/>
          </cell>
          <cell r="FL246" t="str">
            <v/>
          </cell>
          <cell r="FM246" t="str">
            <v/>
          </cell>
          <cell r="FN246" t="str">
            <v/>
          </cell>
          <cell r="FO246" t="str">
            <v/>
          </cell>
          <cell r="FP246" t="str">
            <v/>
          </cell>
        </row>
        <row r="247">
          <cell r="N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AJ247">
            <v>0</v>
          </cell>
          <cell r="AK247">
            <v>0</v>
          </cell>
          <cell r="AL247">
            <v>999999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BE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CB247">
            <v>0</v>
          </cell>
          <cell r="CC247">
            <v>0</v>
          </cell>
          <cell r="CD247">
            <v>0</v>
          </cell>
          <cell r="CE247">
            <v>0</v>
          </cell>
          <cell r="CF247">
            <v>0</v>
          </cell>
          <cell r="CG247">
            <v>0</v>
          </cell>
          <cell r="CH247">
            <v>0</v>
          </cell>
          <cell r="CI247">
            <v>0</v>
          </cell>
          <cell r="CJ247">
            <v>0</v>
          </cell>
          <cell r="CK247">
            <v>0</v>
          </cell>
          <cell r="CW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S247">
            <v>0</v>
          </cell>
          <cell r="DT247">
            <v>120</v>
          </cell>
          <cell r="DU247">
            <v>999999</v>
          </cell>
          <cell r="DV247">
            <v>999999</v>
          </cell>
          <cell r="DW247">
            <v>999999</v>
          </cell>
          <cell r="DX247">
            <v>0</v>
          </cell>
          <cell r="DY247">
            <v>120</v>
          </cell>
          <cell r="DZ247">
            <v>999999</v>
          </cell>
          <cell r="EA247">
            <v>999999</v>
          </cell>
          <cell r="EB247">
            <v>999999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 t="str">
            <v/>
          </cell>
          <cell r="EN247" t="str">
            <v/>
          </cell>
          <cell r="EO247" t="str">
            <v/>
          </cell>
          <cell r="EP247" t="str">
            <v/>
          </cell>
          <cell r="EQ247" t="str">
            <v/>
          </cell>
          <cell r="ER247" t="str">
            <v/>
          </cell>
          <cell r="ES247" t="str">
            <v/>
          </cell>
          <cell r="ET247" t="str">
            <v/>
          </cell>
          <cell r="EU247" t="str">
            <v/>
          </cell>
          <cell r="EV247" t="str">
            <v/>
          </cell>
          <cell r="EW247" t="str">
            <v/>
          </cell>
          <cell r="EX247" t="str">
            <v/>
          </cell>
          <cell r="EY247" t="str">
            <v/>
          </cell>
          <cell r="EZ247" t="str">
            <v/>
          </cell>
          <cell r="FA247" t="str">
            <v/>
          </cell>
          <cell r="FB247" t="str">
            <v/>
          </cell>
          <cell r="FC247" t="str">
            <v/>
          </cell>
          <cell r="FD247" t="str">
            <v/>
          </cell>
          <cell r="FE247" t="str">
            <v/>
          </cell>
          <cell r="FF247" t="str">
            <v/>
          </cell>
          <cell r="FG247" t="str">
            <v/>
          </cell>
          <cell r="FH247" t="str">
            <v/>
          </cell>
          <cell r="FI247" t="str">
            <v/>
          </cell>
          <cell r="FJ247" t="str">
            <v/>
          </cell>
          <cell r="FK247" t="str">
            <v/>
          </cell>
          <cell r="FL247" t="str">
            <v/>
          </cell>
          <cell r="FM247" t="str">
            <v/>
          </cell>
          <cell r="FN247" t="str">
            <v/>
          </cell>
          <cell r="FO247" t="str">
            <v/>
          </cell>
          <cell r="FP247" t="str">
            <v/>
          </cell>
        </row>
        <row r="248">
          <cell r="N248">
            <v>48000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AJ248">
            <v>0</v>
          </cell>
          <cell r="AK248">
            <v>0</v>
          </cell>
          <cell r="AL248">
            <v>999999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BE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CB248">
            <v>0</v>
          </cell>
          <cell r="CC248">
            <v>0</v>
          </cell>
          <cell r="CD248">
            <v>0</v>
          </cell>
          <cell r="CE248">
            <v>0</v>
          </cell>
          <cell r="CF248">
            <v>0</v>
          </cell>
          <cell r="CG248">
            <v>0</v>
          </cell>
          <cell r="CH248">
            <v>0</v>
          </cell>
          <cell r="CI248">
            <v>0</v>
          </cell>
          <cell r="CJ248">
            <v>0</v>
          </cell>
          <cell r="CK248">
            <v>0</v>
          </cell>
          <cell r="CW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S248">
            <v>0</v>
          </cell>
          <cell r="DT248">
            <v>119</v>
          </cell>
          <cell r="DU248">
            <v>999999</v>
          </cell>
          <cell r="DV248">
            <v>999999</v>
          </cell>
          <cell r="DW248">
            <v>999999</v>
          </cell>
          <cell r="DX248">
            <v>0</v>
          </cell>
          <cell r="DY248">
            <v>119</v>
          </cell>
          <cell r="DZ248">
            <v>999999</v>
          </cell>
          <cell r="EA248">
            <v>999999</v>
          </cell>
          <cell r="EB248">
            <v>999999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 t="str">
            <v/>
          </cell>
          <cell r="EN248" t="str">
            <v/>
          </cell>
          <cell r="EO248" t="str">
            <v/>
          </cell>
          <cell r="EP248" t="str">
            <v/>
          </cell>
          <cell r="EQ248" t="str">
            <v/>
          </cell>
          <cell r="ER248" t="str">
            <v/>
          </cell>
          <cell r="ES248" t="str">
            <v/>
          </cell>
          <cell r="ET248" t="str">
            <v/>
          </cell>
          <cell r="EU248" t="str">
            <v/>
          </cell>
          <cell r="EV248" t="str">
            <v/>
          </cell>
          <cell r="EW248" t="str">
            <v/>
          </cell>
          <cell r="EX248" t="str">
            <v/>
          </cell>
          <cell r="EY248" t="str">
            <v/>
          </cell>
          <cell r="EZ248" t="str">
            <v/>
          </cell>
          <cell r="FA248" t="str">
            <v/>
          </cell>
          <cell r="FB248" t="str">
            <v/>
          </cell>
          <cell r="FC248" t="str">
            <v/>
          </cell>
          <cell r="FD248" t="str">
            <v/>
          </cell>
          <cell r="FE248" t="str">
            <v/>
          </cell>
          <cell r="FF248" t="str">
            <v/>
          </cell>
          <cell r="FG248" t="str">
            <v/>
          </cell>
          <cell r="FH248" t="str">
            <v/>
          </cell>
          <cell r="FI248" t="str">
            <v/>
          </cell>
          <cell r="FJ248" t="str">
            <v/>
          </cell>
          <cell r="FK248" t="str">
            <v/>
          </cell>
          <cell r="FL248" t="str">
            <v/>
          </cell>
          <cell r="FM248" t="str">
            <v/>
          </cell>
          <cell r="FN248" t="str">
            <v/>
          </cell>
          <cell r="FO248" t="str">
            <v/>
          </cell>
          <cell r="FP248" t="str">
            <v/>
          </cell>
        </row>
        <row r="249">
          <cell r="N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AJ249">
            <v>0</v>
          </cell>
          <cell r="AK249">
            <v>0</v>
          </cell>
          <cell r="AL249">
            <v>999999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BE249">
            <v>0</v>
          </cell>
          <cell r="BH249">
            <v>0</v>
          </cell>
          <cell r="BI249">
            <v>0</v>
          </cell>
          <cell r="BJ249">
            <v>0</v>
          </cell>
          <cell r="BK249">
            <v>0</v>
          </cell>
          <cell r="BL249">
            <v>0</v>
          </cell>
          <cell r="BM249">
            <v>0</v>
          </cell>
          <cell r="BN249">
            <v>0</v>
          </cell>
          <cell r="BO249">
            <v>0</v>
          </cell>
          <cell r="BP249">
            <v>0</v>
          </cell>
          <cell r="BQ249">
            <v>0</v>
          </cell>
          <cell r="CB249">
            <v>0</v>
          </cell>
          <cell r="CC249">
            <v>0</v>
          </cell>
          <cell r="CD249">
            <v>0</v>
          </cell>
          <cell r="CE249">
            <v>0</v>
          </cell>
          <cell r="CF249">
            <v>0</v>
          </cell>
          <cell r="CG249">
            <v>0</v>
          </cell>
          <cell r="CH249">
            <v>0</v>
          </cell>
          <cell r="CI249">
            <v>0</v>
          </cell>
          <cell r="CJ249">
            <v>0</v>
          </cell>
          <cell r="CK249">
            <v>0</v>
          </cell>
          <cell r="CW249">
            <v>0</v>
          </cell>
          <cell r="CY249">
            <v>0</v>
          </cell>
          <cell r="CZ249">
            <v>0</v>
          </cell>
          <cell r="DA249">
            <v>0</v>
          </cell>
          <cell r="DB249">
            <v>0</v>
          </cell>
          <cell r="DC249">
            <v>0</v>
          </cell>
          <cell r="DD249">
            <v>0</v>
          </cell>
          <cell r="DE249">
            <v>0</v>
          </cell>
          <cell r="DF249">
            <v>0</v>
          </cell>
          <cell r="DG249">
            <v>0</v>
          </cell>
          <cell r="DH249">
            <v>0</v>
          </cell>
          <cell r="DS249">
            <v>0</v>
          </cell>
          <cell r="DT249">
            <v>118</v>
          </cell>
          <cell r="DU249">
            <v>999999</v>
          </cell>
          <cell r="DV249">
            <v>999999</v>
          </cell>
          <cell r="DW249">
            <v>999999</v>
          </cell>
          <cell r="DX249">
            <v>0</v>
          </cell>
          <cell r="DY249">
            <v>118</v>
          </cell>
          <cell r="DZ249">
            <v>999999</v>
          </cell>
          <cell r="EA249">
            <v>999999</v>
          </cell>
          <cell r="EB249">
            <v>999999</v>
          </cell>
          <cell r="EC249">
            <v>0</v>
          </cell>
          <cell r="ED249">
            <v>0</v>
          </cell>
          <cell r="EE249">
            <v>0</v>
          </cell>
          <cell r="EF249">
            <v>0</v>
          </cell>
          <cell r="EG249">
            <v>0</v>
          </cell>
          <cell r="EH249">
            <v>0</v>
          </cell>
          <cell r="EI249">
            <v>0</v>
          </cell>
          <cell r="EJ249">
            <v>0</v>
          </cell>
          <cell r="EK249">
            <v>0</v>
          </cell>
          <cell r="EL249">
            <v>0</v>
          </cell>
          <cell r="EM249" t="str">
            <v/>
          </cell>
          <cell r="EN249" t="str">
            <v/>
          </cell>
          <cell r="EO249" t="str">
            <v/>
          </cell>
          <cell r="EP249" t="str">
            <v/>
          </cell>
          <cell r="EQ249" t="str">
            <v/>
          </cell>
          <cell r="ER249" t="str">
            <v/>
          </cell>
          <cell r="ES249" t="str">
            <v/>
          </cell>
          <cell r="ET249" t="str">
            <v/>
          </cell>
          <cell r="EU249" t="str">
            <v/>
          </cell>
          <cell r="EV249" t="str">
            <v/>
          </cell>
          <cell r="EW249" t="str">
            <v/>
          </cell>
          <cell r="EX249" t="str">
            <v/>
          </cell>
          <cell r="EY249" t="str">
            <v/>
          </cell>
          <cell r="EZ249" t="str">
            <v/>
          </cell>
          <cell r="FA249" t="str">
            <v/>
          </cell>
          <cell r="FB249" t="str">
            <v/>
          </cell>
          <cell r="FC249" t="str">
            <v/>
          </cell>
          <cell r="FD249" t="str">
            <v/>
          </cell>
          <cell r="FE249" t="str">
            <v/>
          </cell>
          <cell r="FF249" t="str">
            <v/>
          </cell>
          <cell r="FG249" t="str">
            <v/>
          </cell>
          <cell r="FH249" t="str">
            <v/>
          </cell>
          <cell r="FI249" t="str">
            <v/>
          </cell>
          <cell r="FJ249" t="str">
            <v/>
          </cell>
          <cell r="FK249" t="str">
            <v/>
          </cell>
          <cell r="FL249" t="str">
            <v/>
          </cell>
          <cell r="FM249" t="str">
            <v/>
          </cell>
          <cell r="FN249" t="str">
            <v/>
          </cell>
          <cell r="FO249" t="str">
            <v/>
          </cell>
          <cell r="FP249" t="str">
            <v/>
          </cell>
        </row>
        <row r="250">
          <cell r="N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AJ250">
            <v>0</v>
          </cell>
          <cell r="AK250">
            <v>0</v>
          </cell>
          <cell r="AL250">
            <v>999999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BE250">
            <v>0</v>
          </cell>
          <cell r="BH250">
            <v>0</v>
          </cell>
          <cell r="BI250">
            <v>0</v>
          </cell>
          <cell r="BJ250">
            <v>0</v>
          </cell>
          <cell r="BK250">
            <v>0</v>
          </cell>
          <cell r="BL250">
            <v>0</v>
          </cell>
          <cell r="BM250">
            <v>0</v>
          </cell>
          <cell r="BN250">
            <v>0</v>
          </cell>
          <cell r="BO250">
            <v>0</v>
          </cell>
          <cell r="BP250">
            <v>0</v>
          </cell>
          <cell r="BQ250">
            <v>0</v>
          </cell>
          <cell r="CB250">
            <v>0</v>
          </cell>
          <cell r="CC250">
            <v>0</v>
          </cell>
          <cell r="CD250">
            <v>0</v>
          </cell>
          <cell r="CE250">
            <v>0</v>
          </cell>
          <cell r="CF250">
            <v>0</v>
          </cell>
          <cell r="CG250">
            <v>0</v>
          </cell>
          <cell r="CH250">
            <v>0</v>
          </cell>
          <cell r="CI250">
            <v>0</v>
          </cell>
          <cell r="CJ250">
            <v>0</v>
          </cell>
          <cell r="CK250">
            <v>0</v>
          </cell>
          <cell r="CW250">
            <v>0</v>
          </cell>
          <cell r="CY250">
            <v>0</v>
          </cell>
          <cell r="CZ250">
            <v>0</v>
          </cell>
          <cell r="DA250">
            <v>0</v>
          </cell>
          <cell r="DB250">
            <v>0</v>
          </cell>
          <cell r="DC250">
            <v>0</v>
          </cell>
          <cell r="DD250">
            <v>0</v>
          </cell>
          <cell r="DE250">
            <v>0</v>
          </cell>
          <cell r="DF250">
            <v>0</v>
          </cell>
          <cell r="DG250">
            <v>0</v>
          </cell>
          <cell r="DH250">
            <v>0</v>
          </cell>
          <cell r="DS250">
            <v>0</v>
          </cell>
          <cell r="DT250">
            <v>117</v>
          </cell>
          <cell r="DU250">
            <v>999999</v>
          </cell>
          <cell r="DV250">
            <v>999999</v>
          </cell>
          <cell r="DW250">
            <v>999999</v>
          </cell>
          <cell r="DX250">
            <v>0</v>
          </cell>
          <cell r="DY250">
            <v>117</v>
          </cell>
          <cell r="DZ250">
            <v>999999</v>
          </cell>
          <cell r="EA250">
            <v>999999</v>
          </cell>
          <cell r="EB250">
            <v>999999</v>
          </cell>
          <cell r="EC250">
            <v>0</v>
          </cell>
          <cell r="ED250">
            <v>0</v>
          </cell>
          <cell r="EE250">
            <v>0</v>
          </cell>
          <cell r="EF250">
            <v>0</v>
          </cell>
          <cell r="EG250">
            <v>0</v>
          </cell>
          <cell r="EH250">
            <v>0</v>
          </cell>
          <cell r="EI250">
            <v>0</v>
          </cell>
          <cell r="EJ250">
            <v>0</v>
          </cell>
          <cell r="EK250">
            <v>0</v>
          </cell>
          <cell r="EL250">
            <v>0</v>
          </cell>
          <cell r="EM250" t="str">
            <v/>
          </cell>
          <cell r="EN250" t="str">
            <v/>
          </cell>
          <cell r="EO250" t="str">
            <v/>
          </cell>
          <cell r="EP250" t="str">
            <v/>
          </cell>
          <cell r="EQ250" t="str">
            <v/>
          </cell>
          <cell r="ER250" t="str">
            <v/>
          </cell>
          <cell r="ES250" t="str">
            <v/>
          </cell>
          <cell r="ET250" t="str">
            <v/>
          </cell>
          <cell r="EU250" t="str">
            <v/>
          </cell>
          <cell r="EV250" t="str">
            <v/>
          </cell>
          <cell r="EW250" t="str">
            <v/>
          </cell>
          <cell r="EX250" t="str">
            <v/>
          </cell>
          <cell r="EY250" t="str">
            <v/>
          </cell>
          <cell r="EZ250" t="str">
            <v/>
          </cell>
          <cell r="FA250" t="str">
            <v/>
          </cell>
          <cell r="FB250" t="str">
            <v/>
          </cell>
          <cell r="FC250" t="str">
            <v/>
          </cell>
          <cell r="FD250" t="str">
            <v/>
          </cell>
          <cell r="FE250" t="str">
            <v/>
          </cell>
          <cell r="FF250" t="str">
            <v/>
          </cell>
          <cell r="FG250" t="str">
            <v/>
          </cell>
          <cell r="FH250" t="str">
            <v/>
          </cell>
          <cell r="FI250" t="str">
            <v/>
          </cell>
          <cell r="FJ250" t="str">
            <v/>
          </cell>
          <cell r="FK250" t="str">
            <v/>
          </cell>
          <cell r="FL250" t="str">
            <v/>
          </cell>
          <cell r="FM250" t="str">
            <v/>
          </cell>
          <cell r="FN250" t="str">
            <v/>
          </cell>
          <cell r="FO250" t="str">
            <v/>
          </cell>
          <cell r="FP250" t="str">
            <v/>
          </cell>
        </row>
        <row r="251">
          <cell r="N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AJ251">
            <v>0</v>
          </cell>
          <cell r="AK251">
            <v>0</v>
          </cell>
          <cell r="AL251">
            <v>999999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BE251">
            <v>0</v>
          </cell>
          <cell r="BH251">
            <v>0</v>
          </cell>
          <cell r="BI251">
            <v>0</v>
          </cell>
          <cell r="BJ251">
            <v>0</v>
          </cell>
          <cell r="BK251">
            <v>0</v>
          </cell>
          <cell r="BL251">
            <v>0</v>
          </cell>
          <cell r="BM251">
            <v>0</v>
          </cell>
          <cell r="BN251">
            <v>0</v>
          </cell>
          <cell r="BO251">
            <v>0</v>
          </cell>
          <cell r="BP251">
            <v>0</v>
          </cell>
          <cell r="BQ251">
            <v>0</v>
          </cell>
          <cell r="CB251">
            <v>0</v>
          </cell>
          <cell r="CC251">
            <v>0</v>
          </cell>
          <cell r="CD251">
            <v>0</v>
          </cell>
          <cell r="CE251">
            <v>0</v>
          </cell>
          <cell r="CF251">
            <v>0</v>
          </cell>
          <cell r="CG251">
            <v>0</v>
          </cell>
          <cell r="CH251">
            <v>0</v>
          </cell>
          <cell r="CI251">
            <v>0</v>
          </cell>
          <cell r="CJ251">
            <v>0</v>
          </cell>
          <cell r="CK251">
            <v>0</v>
          </cell>
          <cell r="CW251">
            <v>0</v>
          </cell>
          <cell r="CY251">
            <v>0</v>
          </cell>
          <cell r="CZ251">
            <v>0</v>
          </cell>
          <cell r="DA251">
            <v>0</v>
          </cell>
          <cell r="DB251">
            <v>0</v>
          </cell>
          <cell r="DC251">
            <v>0</v>
          </cell>
          <cell r="DD251">
            <v>0</v>
          </cell>
          <cell r="DE251">
            <v>0</v>
          </cell>
          <cell r="DF251">
            <v>0</v>
          </cell>
          <cell r="DG251">
            <v>0</v>
          </cell>
          <cell r="DH251">
            <v>0</v>
          </cell>
          <cell r="DS251">
            <v>0</v>
          </cell>
          <cell r="DT251">
            <v>116</v>
          </cell>
          <cell r="DU251">
            <v>999999</v>
          </cell>
          <cell r="DV251">
            <v>999999</v>
          </cell>
          <cell r="DW251">
            <v>999999</v>
          </cell>
          <cell r="DX251">
            <v>0</v>
          </cell>
          <cell r="DY251">
            <v>116</v>
          </cell>
          <cell r="DZ251">
            <v>999999</v>
          </cell>
          <cell r="EA251">
            <v>999999</v>
          </cell>
          <cell r="EB251">
            <v>999999</v>
          </cell>
          <cell r="EC251">
            <v>0</v>
          </cell>
          <cell r="ED251">
            <v>0</v>
          </cell>
          <cell r="EE251">
            <v>0</v>
          </cell>
          <cell r="EF251">
            <v>0</v>
          </cell>
          <cell r="EG251">
            <v>0</v>
          </cell>
          <cell r="EH251">
            <v>0</v>
          </cell>
          <cell r="EI251">
            <v>0</v>
          </cell>
          <cell r="EJ251">
            <v>0</v>
          </cell>
          <cell r="EK251">
            <v>0</v>
          </cell>
          <cell r="EL251">
            <v>0</v>
          </cell>
          <cell r="EM251" t="str">
            <v/>
          </cell>
          <cell r="EN251" t="str">
            <v/>
          </cell>
          <cell r="EO251" t="str">
            <v/>
          </cell>
          <cell r="EP251" t="str">
            <v/>
          </cell>
          <cell r="EQ251" t="str">
            <v/>
          </cell>
          <cell r="ER251" t="str">
            <v/>
          </cell>
          <cell r="ES251" t="str">
            <v/>
          </cell>
          <cell r="ET251" t="str">
            <v/>
          </cell>
          <cell r="EU251" t="str">
            <v/>
          </cell>
          <cell r="EV251" t="str">
            <v/>
          </cell>
          <cell r="EW251" t="str">
            <v/>
          </cell>
          <cell r="EX251" t="str">
            <v/>
          </cell>
          <cell r="EY251" t="str">
            <v/>
          </cell>
          <cell r="EZ251" t="str">
            <v/>
          </cell>
          <cell r="FA251" t="str">
            <v/>
          </cell>
          <cell r="FB251" t="str">
            <v/>
          </cell>
          <cell r="FC251" t="str">
            <v/>
          </cell>
          <cell r="FD251" t="str">
            <v/>
          </cell>
          <cell r="FE251" t="str">
            <v/>
          </cell>
          <cell r="FF251" t="str">
            <v/>
          </cell>
          <cell r="FG251" t="str">
            <v/>
          </cell>
          <cell r="FH251" t="str">
            <v/>
          </cell>
          <cell r="FI251" t="str">
            <v/>
          </cell>
          <cell r="FJ251" t="str">
            <v/>
          </cell>
          <cell r="FK251" t="str">
            <v/>
          </cell>
          <cell r="FL251" t="str">
            <v/>
          </cell>
          <cell r="FM251" t="str">
            <v/>
          </cell>
          <cell r="FN251" t="str">
            <v/>
          </cell>
          <cell r="FO251" t="str">
            <v/>
          </cell>
          <cell r="FP251" t="str">
            <v/>
          </cell>
        </row>
        <row r="252">
          <cell r="N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AJ252">
            <v>0</v>
          </cell>
          <cell r="AK252">
            <v>0</v>
          </cell>
          <cell r="AL252">
            <v>999999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BE252">
            <v>0</v>
          </cell>
          <cell r="BH252">
            <v>0</v>
          </cell>
          <cell r="BI252">
            <v>0</v>
          </cell>
          <cell r="BJ252">
            <v>0</v>
          </cell>
          <cell r="BK252">
            <v>0</v>
          </cell>
          <cell r="BL252">
            <v>0</v>
          </cell>
          <cell r="BM252">
            <v>0</v>
          </cell>
          <cell r="BN252">
            <v>0</v>
          </cell>
          <cell r="BO252">
            <v>0</v>
          </cell>
          <cell r="BP252">
            <v>0</v>
          </cell>
          <cell r="BQ252">
            <v>0</v>
          </cell>
          <cell r="CB252">
            <v>0</v>
          </cell>
          <cell r="CC252">
            <v>0</v>
          </cell>
          <cell r="CD252">
            <v>0</v>
          </cell>
          <cell r="CE252">
            <v>0</v>
          </cell>
          <cell r="CF252">
            <v>0</v>
          </cell>
          <cell r="CG252">
            <v>0</v>
          </cell>
          <cell r="CH252">
            <v>0</v>
          </cell>
          <cell r="CI252">
            <v>0</v>
          </cell>
          <cell r="CJ252">
            <v>0</v>
          </cell>
          <cell r="CK252">
            <v>0</v>
          </cell>
          <cell r="CW252">
            <v>0</v>
          </cell>
          <cell r="CY252">
            <v>0</v>
          </cell>
          <cell r="CZ252">
            <v>0</v>
          </cell>
          <cell r="DA252">
            <v>0</v>
          </cell>
          <cell r="DB252">
            <v>0</v>
          </cell>
          <cell r="DC252">
            <v>0</v>
          </cell>
          <cell r="DD252">
            <v>0</v>
          </cell>
          <cell r="DE252">
            <v>0</v>
          </cell>
          <cell r="DF252">
            <v>0</v>
          </cell>
          <cell r="DG252">
            <v>0</v>
          </cell>
          <cell r="DH252">
            <v>0</v>
          </cell>
          <cell r="DS252">
            <v>0</v>
          </cell>
          <cell r="DT252">
            <v>115</v>
          </cell>
          <cell r="DU252">
            <v>999999</v>
          </cell>
          <cell r="DV252">
            <v>999999</v>
          </cell>
          <cell r="DW252">
            <v>999999</v>
          </cell>
          <cell r="DX252">
            <v>0</v>
          </cell>
          <cell r="DY252">
            <v>115</v>
          </cell>
          <cell r="DZ252">
            <v>999999</v>
          </cell>
          <cell r="EA252">
            <v>999999</v>
          </cell>
          <cell r="EB252">
            <v>999999</v>
          </cell>
          <cell r="EC252">
            <v>0</v>
          </cell>
          <cell r="ED252">
            <v>0</v>
          </cell>
          <cell r="EE252">
            <v>0</v>
          </cell>
          <cell r="EF252">
            <v>0</v>
          </cell>
          <cell r="EG252">
            <v>0</v>
          </cell>
          <cell r="EH252">
            <v>0</v>
          </cell>
          <cell r="EI252">
            <v>0</v>
          </cell>
          <cell r="EJ252">
            <v>0</v>
          </cell>
          <cell r="EK252">
            <v>0</v>
          </cell>
          <cell r="EL252">
            <v>0</v>
          </cell>
          <cell r="EM252" t="str">
            <v/>
          </cell>
          <cell r="EN252" t="str">
            <v/>
          </cell>
          <cell r="EO252" t="str">
            <v/>
          </cell>
          <cell r="EP252" t="str">
            <v/>
          </cell>
          <cell r="EQ252" t="str">
            <v/>
          </cell>
          <cell r="ER252" t="str">
            <v/>
          </cell>
          <cell r="ES252" t="str">
            <v/>
          </cell>
          <cell r="ET252" t="str">
            <v/>
          </cell>
          <cell r="EU252" t="str">
            <v/>
          </cell>
          <cell r="EV252" t="str">
            <v/>
          </cell>
          <cell r="EW252" t="str">
            <v/>
          </cell>
          <cell r="EX252" t="str">
            <v/>
          </cell>
          <cell r="EY252" t="str">
            <v/>
          </cell>
          <cell r="EZ252" t="str">
            <v/>
          </cell>
          <cell r="FA252" t="str">
            <v/>
          </cell>
          <cell r="FB252" t="str">
            <v/>
          </cell>
          <cell r="FC252" t="str">
            <v/>
          </cell>
          <cell r="FD252" t="str">
            <v/>
          </cell>
          <cell r="FE252" t="str">
            <v/>
          </cell>
          <cell r="FF252" t="str">
            <v/>
          </cell>
          <cell r="FG252" t="str">
            <v/>
          </cell>
          <cell r="FH252" t="str">
            <v/>
          </cell>
          <cell r="FI252" t="str">
            <v/>
          </cell>
          <cell r="FJ252" t="str">
            <v/>
          </cell>
          <cell r="FK252" t="str">
            <v/>
          </cell>
          <cell r="FL252" t="str">
            <v/>
          </cell>
          <cell r="FM252" t="str">
            <v/>
          </cell>
          <cell r="FN252" t="str">
            <v/>
          </cell>
          <cell r="FO252" t="str">
            <v/>
          </cell>
          <cell r="FP252" t="str">
            <v/>
          </cell>
        </row>
        <row r="253">
          <cell r="N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AJ253">
            <v>0</v>
          </cell>
          <cell r="AK253">
            <v>0</v>
          </cell>
          <cell r="AL253">
            <v>999999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BE253">
            <v>0</v>
          </cell>
          <cell r="BH253">
            <v>0</v>
          </cell>
          <cell r="BI253">
            <v>0</v>
          </cell>
          <cell r="BJ253">
            <v>0</v>
          </cell>
          <cell r="BK253">
            <v>0</v>
          </cell>
          <cell r="BL253">
            <v>0</v>
          </cell>
          <cell r="BM253">
            <v>0</v>
          </cell>
          <cell r="BN253">
            <v>0</v>
          </cell>
          <cell r="BO253">
            <v>0</v>
          </cell>
          <cell r="BP253">
            <v>0</v>
          </cell>
          <cell r="BQ253">
            <v>0</v>
          </cell>
          <cell r="CB253">
            <v>0</v>
          </cell>
          <cell r="CC253">
            <v>0</v>
          </cell>
          <cell r="CD253">
            <v>0</v>
          </cell>
          <cell r="CE253">
            <v>0</v>
          </cell>
          <cell r="CF253">
            <v>0</v>
          </cell>
          <cell r="CG253">
            <v>0</v>
          </cell>
          <cell r="CH253">
            <v>0</v>
          </cell>
          <cell r="CI253">
            <v>0</v>
          </cell>
          <cell r="CJ253">
            <v>0</v>
          </cell>
          <cell r="CK253">
            <v>0</v>
          </cell>
          <cell r="CW253">
            <v>0</v>
          </cell>
          <cell r="CY253">
            <v>0</v>
          </cell>
          <cell r="CZ253">
            <v>0</v>
          </cell>
          <cell r="DA253">
            <v>0</v>
          </cell>
          <cell r="DB253">
            <v>0</v>
          </cell>
          <cell r="DC253">
            <v>0</v>
          </cell>
          <cell r="DD253">
            <v>0</v>
          </cell>
          <cell r="DE253">
            <v>0</v>
          </cell>
          <cell r="DF253">
            <v>0</v>
          </cell>
          <cell r="DG253">
            <v>0</v>
          </cell>
          <cell r="DH253">
            <v>0</v>
          </cell>
          <cell r="DS253">
            <v>0</v>
          </cell>
          <cell r="DT253">
            <v>114</v>
          </cell>
          <cell r="DU253">
            <v>999999</v>
          </cell>
          <cell r="DV253">
            <v>999999</v>
          </cell>
          <cell r="DW253">
            <v>999999</v>
          </cell>
          <cell r="DX253">
            <v>0</v>
          </cell>
          <cell r="DY253">
            <v>114</v>
          </cell>
          <cell r="DZ253">
            <v>999999</v>
          </cell>
          <cell r="EA253">
            <v>999999</v>
          </cell>
          <cell r="EB253">
            <v>999999</v>
          </cell>
          <cell r="EC253">
            <v>0</v>
          </cell>
          <cell r="ED253">
            <v>0</v>
          </cell>
          <cell r="EE253">
            <v>0</v>
          </cell>
          <cell r="EF253">
            <v>0</v>
          </cell>
          <cell r="EG253">
            <v>0</v>
          </cell>
          <cell r="EH253">
            <v>0</v>
          </cell>
          <cell r="EI253">
            <v>0</v>
          </cell>
          <cell r="EJ253">
            <v>0</v>
          </cell>
          <cell r="EK253">
            <v>0</v>
          </cell>
          <cell r="EL253">
            <v>0</v>
          </cell>
          <cell r="EM253" t="str">
            <v/>
          </cell>
          <cell r="EN253" t="str">
            <v/>
          </cell>
          <cell r="EO253" t="str">
            <v/>
          </cell>
          <cell r="EP253" t="str">
            <v/>
          </cell>
          <cell r="EQ253" t="str">
            <v/>
          </cell>
          <cell r="ER253" t="str">
            <v/>
          </cell>
          <cell r="ES253" t="str">
            <v/>
          </cell>
          <cell r="ET253" t="str">
            <v/>
          </cell>
          <cell r="EU253" t="str">
            <v/>
          </cell>
          <cell r="EV253" t="str">
            <v/>
          </cell>
          <cell r="EW253" t="str">
            <v/>
          </cell>
          <cell r="EX253" t="str">
            <v/>
          </cell>
          <cell r="EY253" t="str">
            <v/>
          </cell>
          <cell r="EZ253" t="str">
            <v/>
          </cell>
          <cell r="FA253" t="str">
            <v/>
          </cell>
          <cell r="FB253" t="str">
            <v/>
          </cell>
          <cell r="FC253" t="str">
            <v/>
          </cell>
          <cell r="FD253" t="str">
            <v/>
          </cell>
          <cell r="FE253" t="str">
            <v/>
          </cell>
          <cell r="FF253" t="str">
            <v/>
          </cell>
          <cell r="FG253" t="str">
            <v/>
          </cell>
          <cell r="FH253" t="str">
            <v/>
          </cell>
          <cell r="FI253" t="str">
            <v/>
          </cell>
          <cell r="FJ253" t="str">
            <v/>
          </cell>
          <cell r="FK253" t="str">
            <v/>
          </cell>
          <cell r="FL253" t="str">
            <v/>
          </cell>
          <cell r="FM253" t="str">
            <v/>
          </cell>
          <cell r="FN253" t="str">
            <v/>
          </cell>
          <cell r="FO253" t="str">
            <v/>
          </cell>
          <cell r="FP253" t="str">
            <v/>
          </cell>
        </row>
        <row r="254">
          <cell r="N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AJ254">
            <v>0</v>
          </cell>
          <cell r="AK254">
            <v>0</v>
          </cell>
          <cell r="AL254">
            <v>999999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BE254">
            <v>0</v>
          </cell>
          <cell r="BH254">
            <v>0</v>
          </cell>
          <cell r="BI254">
            <v>0</v>
          </cell>
          <cell r="BJ254">
            <v>0</v>
          </cell>
          <cell r="BK254">
            <v>0</v>
          </cell>
          <cell r="BL254">
            <v>0</v>
          </cell>
          <cell r="BM254">
            <v>0</v>
          </cell>
          <cell r="BN254">
            <v>0</v>
          </cell>
          <cell r="BO254">
            <v>0</v>
          </cell>
          <cell r="BP254">
            <v>0</v>
          </cell>
          <cell r="BQ254">
            <v>0</v>
          </cell>
          <cell r="CB254">
            <v>0</v>
          </cell>
          <cell r="CC254">
            <v>0</v>
          </cell>
          <cell r="CD254">
            <v>0</v>
          </cell>
          <cell r="CE254">
            <v>0</v>
          </cell>
          <cell r="CF254">
            <v>0</v>
          </cell>
          <cell r="CG254">
            <v>0</v>
          </cell>
          <cell r="CH254">
            <v>0</v>
          </cell>
          <cell r="CI254">
            <v>0</v>
          </cell>
          <cell r="CJ254">
            <v>0</v>
          </cell>
          <cell r="CK254">
            <v>0</v>
          </cell>
          <cell r="CW254">
            <v>0</v>
          </cell>
          <cell r="CY254">
            <v>0</v>
          </cell>
          <cell r="CZ254">
            <v>0</v>
          </cell>
          <cell r="DA254">
            <v>0</v>
          </cell>
          <cell r="DB254">
            <v>0</v>
          </cell>
          <cell r="DC254">
            <v>0</v>
          </cell>
          <cell r="DD254">
            <v>0</v>
          </cell>
          <cell r="DE254">
            <v>0</v>
          </cell>
          <cell r="DF254">
            <v>0</v>
          </cell>
          <cell r="DG254">
            <v>0</v>
          </cell>
          <cell r="DH254">
            <v>0</v>
          </cell>
          <cell r="DS254">
            <v>0</v>
          </cell>
          <cell r="DT254">
            <v>113</v>
          </cell>
          <cell r="DU254">
            <v>999999</v>
          </cell>
          <cell r="DV254">
            <v>999999</v>
          </cell>
          <cell r="DW254">
            <v>999999</v>
          </cell>
          <cell r="DX254">
            <v>0</v>
          </cell>
          <cell r="DY254">
            <v>113</v>
          </cell>
          <cell r="DZ254">
            <v>999999</v>
          </cell>
          <cell r="EA254">
            <v>999999</v>
          </cell>
          <cell r="EB254">
            <v>999999</v>
          </cell>
          <cell r="EC254">
            <v>0</v>
          </cell>
          <cell r="ED254">
            <v>0</v>
          </cell>
          <cell r="EE254">
            <v>0</v>
          </cell>
          <cell r="EF254">
            <v>0</v>
          </cell>
          <cell r="EG254">
            <v>0</v>
          </cell>
          <cell r="EH254">
            <v>0</v>
          </cell>
          <cell r="EI254">
            <v>0</v>
          </cell>
          <cell r="EJ254">
            <v>0</v>
          </cell>
          <cell r="EK254">
            <v>0</v>
          </cell>
          <cell r="EL254">
            <v>0</v>
          </cell>
          <cell r="EM254" t="str">
            <v/>
          </cell>
          <cell r="EN254" t="str">
            <v/>
          </cell>
          <cell r="EO254" t="str">
            <v/>
          </cell>
          <cell r="EP254" t="str">
            <v/>
          </cell>
          <cell r="EQ254" t="str">
            <v/>
          </cell>
          <cell r="ER254" t="str">
            <v/>
          </cell>
          <cell r="ES254" t="str">
            <v/>
          </cell>
          <cell r="ET254" t="str">
            <v/>
          </cell>
          <cell r="EU254" t="str">
            <v/>
          </cell>
          <cell r="EV254" t="str">
            <v/>
          </cell>
          <cell r="EW254" t="str">
            <v/>
          </cell>
          <cell r="EX254" t="str">
            <v/>
          </cell>
          <cell r="EY254" t="str">
            <v/>
          </cell>
          <cell r="EZ254" t="str">
            <v/>
          </cell>
          <cell r="FA254" t="str">
            <v/>
          </cell>
          <cell r="FB254" t="str">
            <v/>
          </cell>
          <cell r="FC254" t="str">
            <v/>
          </cell>
          <cell r="FD254" t="str">
            <v/>
          </cell>
          <cell r="FE254" t="str">
            <v/>
          </cell>
          <cell r="FF254" t="str">
            <v/>
          </cell>
          <cell r="FG254" t="str">
            <v/>
          </cell>
          <cell r="FH254" t="str">
            <v/>
          </cell>
          <cell r="FI254" t="str">
            <v/>
          </cell>
          <cell r="FJ254" t="str">
            <v/>
          </cell>
          <cell r="FK254" t="str">
            <v/>
          </cell>
          <cell r="FL254" t="str">
            <v/>
          </cell>
          <cell r="FM254" t="str">
            <v/>
          </cell>
          <cell r="FN254" t="str">
            <v/>
          </cell>
          <cell r="FO254" t="str">
            <v/>
          </cell>
          <cell r="FP254" t="str">
            <v/>
          </cell>
        </row>
        <row r="255">
          <cell r="N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AJ255">
            <v>0</v>
          </cell>
          <cell r="AK255">
            <v>0</v>
          </cell>
          <cell r="AL255">
            <v>999999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BE255">
            <v>0</v>
          </cell>
          <cell r="BH255">
            <v>0</v>
          </cell>
          <cell r="BI255">
            <v>0</v>
          </cell>
          <cell r="BJ255">
            <v>0</v>
          </cell>
          <cell r="BK255">
            <v>0</v>
          </cell>
          <cell r="BL255">
            <v>0</v>
          </cell>
          <cell r="BM255">
            <v>0</v>
          </cell>
          <cell r="BN255">
            <v>0</v>
          </cell>
          <cell r="BO255">
            <v>0</v>
          </cell>
          <cell r="BP255">
            <v>0</v>
          </cell>
          <cell r="BQ255">
            <v>0</v>
          </cell>
          <cell r="CB255">
            <v>0</v>
          </cell>
          <cell r="CC255">
            <v>0</v>
          </cell>
          <cell r="CD255">
            <v>0</v>
          </cell>
          <cell r="CE255">
            <v>0</v>
          </cell>
          <cell r="CF255">
            <v>0</v>
          </cell>
          <cell r="CG255">
            <v>0</v>
          </cell>
          <cell r="CH255">
            <v>0</v>
          </cell>
          <cell r="CI255">
            <v>0</v>
          </cell>
          <cell r="CJ255">
            <v>0</v>
          </cell>
          <cell r="CK255">
            <v>0</v>
          </cell>
          <cell r="CW255">
            <v>0</v>
          </cell>
          <cell r="CY255">
            <v>0</v>
          </cell>
          <cell r="CZ255">
            <v>0</v>
          </cell>
          <cell r="DA255">
            <v>0</v>
          </cell>
          <cell r="DB255">
            <v>0</v>
          </cell>
          <cell r="DC255">
            <v>0</v>
          </cell>
          <cell r="DD255">
            <v>0</v>
          </cell>
          <cell r="DE255">
            <v>0</v>
          </cell>
          <cell r="DF255">
            <v>0</v>
          </cell>
          <cell r="DG255">
            <v>0</v>
          </cell>
          <cell r="DH255">
            <v>0</v>
          </cell>
          <cell r="DS255">
            <v>0</v>
          </cell>
          <cell r="DT255">
            <v>112</v>
          </cell>
          <cell r="DU255">
            <v>999999</v>
          </cell>
          <cell r="DV255">
            <v>999999</v>
          </cell>
          <cell r="DW255">
            <v>999999</v>
          </cell>
          <cell r="DX255">
            <v>0</v>
          </cell>
          <cell r="DY255">
            <v>112</v>
          </cell>
          <cell r="DZ255">
            <v>999999</v>
          </cell>
          <cell r="EA255">
            <v>999999</v>
          </cell>
          <cell r="EB255">
            <v>999999</v>
          </cell>
          <cell r="EC255">
            <v>0</v>
          </cell>
          <cell r="ED255">
            <v>0</v>
          </cell>
          <cell r="EE255">
            <v>0</v>
          </cell>
          <cell r="EF255">
            <v>0</v>
          </cell>
          <cell r="EG255">
            <v>0</v>
          </cell>
          <cell r="EH255">
            <v>0</v>
          </cell>
          <cell r="EI255">
            <v>0</v>
          </cell>
          <cell r="EJ255">
            <v>0</v>
          </cell>
          <cell r="EK255">
            <v>0</v>
          </cell>
          <cell r="EL255">
            <v>0</v>
          </cell>
          <cell r="EM255" t="str">
            <v/>
          </cell>
          <cell r="EN255" t="str">
            <v/>
          </cell>
          <cell r="EO255" t="str">
            <v/>
          </cell>
          <cell r="EP255" t="str">
            <v/>
          </cell>
          <cell r="EQ255" t="str">
            <v/>
          </cell>
          <cell r="ER255" t="str">
            <v/>
          </cell>
          <cell r="ES255" t="str">
            <v/>
          </cell>
          <cell r="ET255" t="str">
            <v/>
          </cell>
          <cell r="EU255" t="str">
            <v/>
          </cell>
          <cell r="EV255" t="str">
            <v/>
          </cell>
          <cell r="EW255" t="str">
            <v/>
          </cell>
          <cell r="EX255" t="str">
            <v/>
          </cell>
          <cell r="EY255" t="str">
            <v/>
          </cell>
          <cell r="EZ255" t="str">
            <v/>
          </cell>
          <cell r="FA255" t="str">
            <v/>
          </cell>
          <cell r="FB255" t="str">
            <v/>
          </cell>
          <cell r="FC255" t="str">
            <v/>
          </cell>
          <cell r="FD255" t="str">
            <v/>
          </cell>
          <cell r="FE255" t="str">
            <v/>
          </cell>
          <cell r="FF255" t="str">
            <v/>
          </cell>
          <cell r="FG255" t="str">
            <v/>
          </cell>
          <cell r="FH255" t="str">
            <v/>
          </cell>
          <cell r="FI255" t="str">
            <v/>
          </cell>
          <cell r="FJ255" t="str">
            <v/>
          </cell>
          <cell r="FK255" t="str">
            <v/>
          </cell>
          <cell r="FL255" t="str">
            <v/>
          </cell>
          <cell r="FM255" t="str">
            <v/>
          </cell>
          <cell r="FN255" t="str">
            <v/>
          </cell>
          <cell r="FO255" t="str">
            <v/>
          </cell>
          <cell r="FP255" t="str">
            <v/>
          </cell>
        </row>
        <row r="256">
          <cell r="N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AJ256">
            <v>0</v>
          </cell>
          <cell r="AK256">
            <v>0</v>
          </cell>
          <cell r="AL256">
            <v>999999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BE256">
            <v>0</v>
          </cell>
          <cell r="BH256">
            <v>0</v>
          </cell>
          <cell r="BI256">
            <v>0</v>
          </cell>
          <cell r="BJ256">
            <v>0</v>
          </cell>
          <cell r="BK256">
            <v>0</v>
          </cell>
          <cell r="BL256">
            <v>0</v>
          </cell>
          <cell r="BM256">
            <v>0</v>
          </cell>
          <cell r="BN256">
            <v>0</v>
          </cell>
          <cell r="BO256">
            <v>0</v>
          </cell>
          <cell r="BP256">
            <v>0</v>
          </cell>
          <cell r="BQ256">
            <v>0</v>
          </cell>
          <cell r="CB256">
            <v>0</v>
          </cell>
          <cell r="CC256">
            <v>0</v>
          </cell>
          <cell r="CD256">
            <v>0</v>
          </cell>
          <cell r="CE256">
            <v>0</v>
          </cell>
          <cell r="CF256">
            <v>0</v>
          </cell>
          <cell r="CG256">
            <v>0</v>
          </cell>
          <cell r="CH256">
            <v>0</v>
          </cell>
          <cell r="CI256">
            <v>0</v>
          </cell>
          <cell r="CJ256">
            <v>0</v>
          </cell>
          <cell r="CK256">
            <v>0</v>
          </cell>
          <cell r="CW256">
            <v>0</v>
          </cell>
          <cell r="CY256">
            <v>0</v>
          </cell>
          <cell r="CZ256">
            <v>0</v>
          </cell>
          <cell r="DA256">
            <v>0</v>
          </cell>
          <cell r="DB256">
            <v>0</v>
          </cell>
          <cell r="DC256">
            <v>0</v>
          </cell>
          <cell r="DD256">
            <v>0</v>
          </cell>
          <cell r="DE256">
            <v>0</v>
          </cell>
          <cell r="DF256">
            <v>0</v>
          </cell>
          <cell r="DG256">
            <v>0</v>
          </cell>
          <cell r="DH256">
            <v>0</v>
          </cell>
          <cell r="DS256">
            <v>0</v>
          </cell>
          <cell r="DT256">
            <v>111</v>
          </cell>
          <cell r="DU256">
            <v>999999</v>
          </cell>
          <cell r="DV256">
            <v>999999</v>
          </cell>
          <cell r="DW256">
            <v>999999</v>
          </cell>
          <cell r="DX256">
            <v>0</v>
          </cell>
          <cell r="DY256">
            <v>111</v>
          </cell>
          <cell r="DZ256">
            <v>999999</v>
          </cell>
          <cell r="EA256">
            <v>999999</v>
          </cell>
          <cell r="EB256">
            <v>999999</v>
          </cell>
          <cell r="EC256">
            <v>0</v>
          </cell>
          <cell r="EE256">
            <v>0</v>
          </cell>
          <cell r="EF256">
            <v>0</v>
          </cell>
          <cell r="EG256">
            <v>0</v>
          </cell>
          <cell r="EH256">
            <v>0</v>
          </cell>
          <cell r="EI256">
            <v>0</v>
          </cell>
          <cell r="EJ256">
            <v>0</v>
          </cell>
          <cell r="EK256">
            <v>0</v>
          </cell>
          <cell r="EL256">
            <v>0</v>
          </cell>
          <cell r="EM256" t="str">
            <v/>
          </cell>
          <cell r="EN256" t="str">
            <v/>
          </cell>
          <cell r="EO256" t="str">
            <v/>
          </cell>
          <cell r="EP256" t="str">
            <v/>
          </cell>
          <cell r="EQ256" t="str">
            <v/>
          </cell>
          <cell r="ER256" t="str">
            <v/>
          </cell>
          <cell r="ES256" t="str">
            <v/>
          </cell>
          <cell r="ET256" t="str">
            <v/>
          </cell>
          <cell r="EU256" t="str">
            <v/>
          </cell>
          <cell r="EV256" t="str">
            <v/>
          </cell>
          <cell r="EW256" t="str">
            <v/>
          </cell>
          <cell r="EX256" t="str">
            <v/>
          </cell>
          <cell r="EY256" t="str">
            <v/>
          </cell>
          <cell r="EZ256" t="str">
            <v/>
          </cell>
          <cell r="FA256" t="str">
            <v/>
          </cell>
          <cell r="FB256" t="str">
            <v/>
          </cell>
          <cell r="FC256" t="str">
            <v/>
          </cell>
          <cell r="FD256" t="str">
            <v/>
          </cell>
          <cell r="FE256" t="str">
            <v/>
          </cell>
          <cell r="FF256" t="str">
            <v/>
          </cell>
          <cell r="FG256" t="str">
            <v/>
          </cell>
          <cell r="FH256" t="str">
            <v/>
          </cell>
          <cell r="FI256" t="str">
            <v/>
          </cell>
          <cell r="FJ256" t="str">
            <v/>
          </cell>
          <cell r="FK256" t="str">
            <v/>
          </cell>
          <cell r="FL256" t="str">
            <v/>
          </cell>
          <cell r="FM256" t="str">
            <v/>
          </cell>
          <cell r="FN256" t="str">
            <v/>
          </cell>
          <cell r="FO256" t="str">
            <v/>
          </cell>
          <cell r="FP256" t="str">
            <v/>
          </cell>
        </row>
        <row r="257">
          <cell r="N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4500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AJ257">
            <v>0</v>
          </cell>
          <cell r="AK257">
            <v>0</v>
          </cell>
          <cell r="AL257">
            <v>999999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BE257">
            <v>0</v>
          </cell>
          <cell r="BH257">
            <v>0</v>
          </cell>
          <cell r="BI257">
            <v>0</v>
          </cell>
          <cell r="BJ257">
            <v>0</v>
          </cell>
          <cell r="BK257">
            <v>0</v>
          </cell>
          <cell r="BL257">
            <v>4307</v>
          </cell>
          <cell r="BM257">
            <v>0</v>
          </cell>
          <cell r="BN257">
            <v>0</v>
          </cell>
          <cell r="BO257">
            <v>0</v>
          </cell>
          <cell r="BP257">
            <v>0</v>
          </cell>
          <cell r="BQ257">
            <v>0</v>
          </cell>
          <cell r="CB257">
            <v>0</v>
          </cell>
          <cell r="CC257">
            <v>0</v>
          </cell>
          <cell r="CD257">
            <v>0</v>
          </cell>
          <cell r="CE257">
            <v>0</v>
          </cell>
          <cell r="CF257">
            <v>0</v>
          </cell>
          <cell r="CG257">
            <v>0</v>
          </cell>
          <cell r="CH257">
            <v>0</v>
          </cell>
          <cell r="CI257">
            <v>0</v>
          </cell>
          <cell r="CJ257">
            <v>0</v>
          </cell>
          <cell r="CK257">
            <v>0</v>
          </cell>
          <cell r="CW257">
            <v>0</v>
          </cell>
          <cell r="CY257">
            <v>0</v>
          </cell>
          <cell r="CZ257">
            <v>0</v>
          </cell>
          <cell r="DA257">
            <v>0</v>
          </cell>
          <cell r="DB257">
            <v>0</v>
          </cell>
          <cell r="DC257">
            <v>0</v>
          </cell>
          <cell r="DD257">
            <v>0</v>
          </cell>
          <cell r="DE257">
            <v>0</v>
          </cell>
          <cell r="DF257">
            <v>0</v>
          </cell>
          <cell r="DG257">
            <v>0</v>
          </cell>
          <cell r="DH257">
            <v>0</v>
          </cell>
          <cell r="DS257">
            <v>0</v>
          </cell>
          <cell r="DT257">
            <v>110</v>
          </cell>
          <cell r="DU257">
            <v>999999</v>
          </cell>
          <cell r="DV257">
            <v>999999</v>
          </cell>
          <cell r="DW257">
            <v>999999</v>
          </cell>
          <cell r="DX257">
            <v>0</v>
          </cell>
          <cell r="DY257">
            <v>110</v>
          </cell>
          <cell r="DZ257">
            <v>999999</v>
          </cell>
          <cell r="EA257">
            <v>999999</v>
          </cell>
          <cell r="EB257">
            <v>999999</v>
          </cell>
          <cell r="EC257">
            <v>0</v>
          </cell>
          <cell r="ED257">
            <v>0</v>
          </cell>
          <cell r="EE257">
            <v>0</v>
          </cell>
          <cell r="EF257">
            <v>0</v>
          </cell>
          <cell r="EG257" t="str">
            <v>Arg</v>
          </cell>
          <cell r="EH257">
            <v>0</v>
          </cell>
          <cell r="EI257">
            <v>0</v>
          </cell>
          <cell r="EJ257">
            <v>0</v>
          </cell>
          <cell r="EK257">
            <v>0</v>
          </cell>
          <cell r="EL257">
            <v>0</v>
          </cell>
          <cell r="EM257" t="str">
            <v/>
          </cell>
          <cell r="EN257" t="str">
            <v/>
          </cell>
          <cell r="EO257" t="str">
            <v/>
          </cell>
          <cell r="EP257" t="str">
            <v/>
          </cell>
          <cell r="EQ257" t="str">
            <v/>
          </cell>
          <cell r="ER257" t="str">
            <v/>
          </cell>
          <cell r="ES257" t="str">
            <v/>
          </cell>
          <cell r="ET257" t="str">
            <v/>
          </cell>
          <cell r="EU257" t="str">
            <v/>
          </cell>
          <cell r="EV257" t="str">
            <v/>
          </cell>
          <cell r="EW257" t="str">
            <v/>
          </cell>
          <cell r="EX257" t="str">
            <v/>
          </cell>
          <cell r="EY257" t="str">
            <v/>
          </cell>
          <cell r="EZ257" t="str">
            <v/>
          </cell>
          <cell r="FA257" t="str">
            <v/>
          </cell>
          <cell r="FB257" t="str">
            <v/>
          </cell>
          <cell r="FC257" t="str">
            <v/>
          </cell>
          <cell r="FD257" t="str">
            <v/>
          </cell>
          <cell r="FE257" t="str">
            <v/>
          </cell>
          <cell r="FF257" t="str">
            <v/>
          </cell>
          <cell r="FG257" t="str">
            <v/>
          </cell>
          <cell r="FH257" t="str">
            <v/>
          </cell>
          <cell r="FI257" t="str">
            <v/>
          </cell>
          <cell r="FJ257" t="str">
            <v/>
          </cell>
          <cell r="FK257" t="str">
            <v/>
          </cell>
          <cell r="FL257" t="str">
            <v/>
          </cell>
          <cell r="FM257" t="str">
            <v/>
          </cell>
          <cell r="FN257" t="str">
            <v/>
          </cell>
          <cell r="FO257" t="str">
            <v/>
          </cell>
          <cell r="FP257" t="str">
            <v/>
          </cell>
        </row>
        <row r="258">
          <cell r="N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728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AJ258">
            <v>0</v>
          </cell>
          <cell r="AK258">
            <v>0</v>
          </cell>
          <cell r="AL258">
            <v>999999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BE258">
            <v>0</v>
          </cell>
          <cell r="BH258">
            <v>0</v>
          </cell>
          <cell r="BI258">
            <v>0</v>
          </cell>
          <cell r="BJ258">
            <v>0</v>
          </cell>
          <cell r="BK258">
            <v>0</v>
          </cell>
          <cell r="BL258">
            <v>0</v>
          </cell>
          <cell r="BM258">
            <v>0</v>
          </cell>
          <cell r="BN258">
            <v>0</v>
          </cell>
          <cell r="BO258">
            <v>0</v>
          </cell>
          <cell r="BP258">
            <v>0</v>
          </cell>
          <cell r="BQ258">
            <v>0</v>
          </cell>
          <cell r="CB258">
            <v>0</v>
          </cell>
          <cell r="CC258">
            <v>0</v>
          </cell>
          <cell r="CD258">
            <v>0</v>
          </cell>
          <cell r="CE258">
            <v>0</v>
          </cell>
          <cell r="CF258">
            <v>0</v>
          </cell>
          <cell r="CG258">
            <v>0</v>
          </cell>
          <cell r="CH258">
            <v>0</v>
          </cell>
          <cell r="CI258">
            <v>0</v>
          </cell>
          <cell r="CJ258">
            <v>0</v>
          </cell>
          <cell r="CK258">
            <v>0</v>
          </cell>
          <cell r="CW258">
            <v>0</v>
          </cell>
          <cell r="CY258">
            <v>0</v>
          </cell>
          <cell r="CZ258">
            <v>0</v>
          </cell>
          <cell r="DA258">
            <v>0</v>
          </cell>
          <cell r="DB258">
            <v>0</v>
          </cell>
          <cell r="DC258">
            <v>0</v>
          </cell>
          <cell r="DD258">
            <v>0</v>
          </cell>
          <cell r="DE258">
            <v>0</v>
          </cell>
          <cell r="DF258">
            <v>0</v>
          </cell>
          <cell r="DG258">
            <v>0</v>
          </cell>
          <cell r="DH258">
            <v>0</v>
          </cell>
          <cell r="DS258">
            <v>0</v>
          </cell>
          <cell r="DT258">
            <v>109</v>
          </cell>
          <cell r="DU258">
            <v>999999</v>
          </cell>
          <cell r="DV258">
            <v>999999</v>
          </cell>
          <cell r="DW258">
            <v>999999</v>
          </cell>
          <cell r="DX258">
            <v>0</v>
          </cell>
          <cell r="DY258">
            <v>109</v>
          </cell>
          <cell r="DZ258">
            <v>999999</v>
          </cell>
          <cell r="EA258">
            <v>999999</v>
          </cell>
          <cell r="EB258">
            <v>999999</v>
          </cell>
          <cell r="EC258">
            <v>0</v>
          </cell>
          <cell r="ED258">
            <v>0</v>
          </cell>
          <cell r="EE258">
            <v>0</v>
          </cell>
          <cell r="EF258">
            <v>0</v>
          </cell>
          <cell r="EG258">
            <v>0</v>
          </cell>
          <cell r="EH258">
            <v>0</v>
          </cell>
          <cell r="EI258">
            <v>0</v>
          </cell>
          <cell r="EJ258">
            <v>0</v>
          </cell>
          <cell r="EK258">
            <v>0</v>
          </cell>
          <cell r="EL258">
            <v>0</v>
          </cell>
          <cell r="EM258" t="str">
            <v/>
          </cell>
          <cell r="EN258" t="str">
            <v/>
          </cell>
          <cell r="EO258" t="str">
            <v/>
          </cell>
          <cell r="EP258" t="str">
            <v/>
          </cell>
          <cell r="EQ258" t="str">
            <v/>
          </cell>
          <cell r="ER258" t="str">
            <v/>
          </cell>
          <cell r="ES258" t="str">
            <v/>
          </cell>
          <cell r="ET258" t="str">
            <v/>
          </cell>
          <cell r="EU258" t="str">
            <v/>
          </cell>
          <cell r="EV258" t="str">
            <v/>
          </cell>
          <cell r="EW258" t="str">
            <v/>
          </cell>
          <cell r="EX258" t="str">
            <v/>
          </cell>
          <cell r="EY258" t="str">
            <v/>
          </cell>
          <cell r="EZ258" t="str">
            <v/>
          </cell>
          <cell r="FA258" t="str">
            <v/>
          </cell>
          <cell r="FB258" t="str">
            <v/>
          </cell>
          <cell r="FC258" t="str">
            <v/>
          </cell>
          <cell r="FD258" t="str">
            <v/>
          </cell>
          <cell r="FE258" t="str">
            <v/>
          </cell>
          <cell r="FF258" t="str">
            <v/>
          </cell>
          <cell r="FG258" t="str">
            <v/>
          </cell>
          <cell r="FH258" t="str">
            <v/>
          </cell>
          <cell r="FI258" t="str">
            <v/>
          </cell>
          <cell r="FJ258" t="str">
            <v/>
          </cell>
          <cell r="FK258" t="str">
            <v/>
          </cell>
          <cell r="FL258" t="str">
            <v/>
          </cell>
          <cell r="FM258" t="str">
            <v/>
          </cell>
          <cell r="FN258" t="str">
            <v/>
          </cell>
          <cell r="FO258" t="str">
            <v/>
          </cell>
          <cell r="FP258" t="str">
            <v/>
          </cell>
        </row>
        <row r="259">
          <cell r="N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AJ259">
            <v>0</v>
          </cell>
          <cell r="AK259">
            <v>0</v>
          </cell>
          <cell r="AL259">
            <v>999999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BE259">
            <v>0</v>
          </cell>
          <cell r="BH259">
            <v>0</v>
          </cell>
          <cell r="BI259">
            <v>0</v>
          </cell>
          <cell r="BJ259">
            <v>0</v>
          </cell>
          <cell r="BK259">
            <v>0</v>
          </cell>
          <cell r="BL259">
            <v>0</v>
          </cell>
          <cell r="BM259">
            <v>0</v>
          </cell>
          <cell r="BN259">
            <v>0</v>
          </cell>
          <cell r="BO259">
            <v>0</v>
          </cell>
          <cell r="BP259">
            <v>0</v>
          </cell>
          <cell r="BQ259">
            <v>0</v>
          </cell>
          <cell r="CB259">
            <v>0</v>
          </cell>
          <cell r="CC259">
            <v>0</v>
          </cell>
          <cell r="CD259">
            <v>0</v>
          </cell>
          <cell r="CE259">
            <v>0</v>
          </cell>
          <cell r="CF259">
            <v>0</v>
          </cell>
          <cell r="CG259">
            <v>0</v>
          </cell>
          <cell r="CH259">
            <v>0</v>
          </cell>
          <cell r="CI259">
            <v>0</v>
          </cell>
          <cell r="CJ259">
            <v>0</v>
          </cell>
          <cell r="CK259">
            <v>0</v>
          </cell>
          <cell r="CW259">
            <v>0</v>
          </cell>
          <cell r="CY259">
            <v>0</v>
          </cell>
          <cell r="CZ259">
            <v>0</v>
          </cell>
          <cell r="DA259">
            <v>0</v>
          </cell>
          <cell r="DB259">
            <v>0</v>
          </cell>
          <cell r="DC259">
            <v>0</v>
          </cell>
          <cell r="DD259">
            <v>0</v>
          </cell>
          <cell r="DE259">
            <v>0</v>
          </cell>
          <cell r="DF259">
            <v>0</v>
          </cell>
          <cell r="DG259">
            <v>0</v>
          </cell>
          <cell r="DH259">
            <v>0</v>
          </cell>
          <cell r="DS259">
            <v>0</v>
          </cell>
          <cell r="DT259">
            <v>108</v>
          </cell>
          <cell r="DU259">
            <v>999999</v>
          </cell>
          <cell r="DV259">
            <v>999999</v>
          </cell>
          <cell r="DW259">
            <v>999999</v>
          </cell>
          <cell r="DX259">
            <v>0</v>
          </cell>
          <cell r="DY259">
            <v>108</v>
          </cell>
          <cell r="DZ259">
            <v>999999</v>
          </cell>
          <cell r="EA259">
            <v>999999</v>
          </cell>
          <cell r="EB259">
            <v>999999</v>
          </cell>
          <cell r="EC259">
            <v>0</v>
          </cell>
          <cell r="ED259">
            <v>0</v>
          </cell>
          <cell r="EE259">
            <v>0</v>
          </cell>
          <cell r="EF259">
            <v>0</v>
          </cell>
          <cell r="EG259">
            <v>0</v>
          </cell>
          <cell r="EH259">
            <v>0</v>
          </cell>
          <cell r="EI259">
            <v>0</v>
          </cell>
          <cell r="EJ259">
            <v>0</v>
          </cell>
          <cell r="EK259">
            <v>0</v>
          </cell>
          <cell r="EL259">
            <v>0</v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 t="str">
            <v/>
          </cell>
          <cell r="EU259" t="str">
            <v/>
          </cell>
          <cell r="EV259" t="str">
            <v/>
          </cell>
          <cell r="EW259" t="str">
            <v/>
          </cell>
          <cell r="EX259" t="str">
            <v/>
          </cell>
          <cell r="EY259" t="str">
            <v/>
          </cell>
          <cell r="EZ259" t="str">
            <v/>
          </cell>
          <cell r="FA259" t="str">
            <v/>
          </cell>
          <cell r="FB259" t="str">
            <v/>
          </cell>
          <cell r="FC259" t="str">
            <v/>
          </cell>
          <cell r="FD259" t="str">
            <v/>
          </cell>
          <cell r="FE259" t="str">
            <v/>
          </cell>
          <cell r="FF259" t="str">
            <v/>
          </cell>
          <cell r="FG259" t="str">
            <v/>
          </cell>
          <cell r="FH259" t="str">
            <v/>
          </cell>
          <cell r="FI259" t="str">
            <v/>
          </cell>
          <cell r="FJ259" t="str">
            <v/>
          </cell>
          <cell r="FK259" t="str">
            <v/>
          </cell>
          <cell r="FL259" t="str">
            <v/>
          </cell>
          <cell r="FM259" t="str">
            <v/>
          </cell>
          <cell r="FN259" t="str">
            <v/>
          </cell>
          <cell r="FO259" t="str">
            <v/>
          </cell>
          <cell r="FP259" t="str">
            <v/>
          </cell>
        </row>
        <row r="260">
          <cell r="N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AJ260">
            <v>0</v>
          </cell>
          <cell r="AK260">
            <v>0</v>
          </cell>
          <cell r="AL260">
            <v>999999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BE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  <cell r="BP260">
            <v>0</v>
          </cell>
          <cell r="BQ260">
            <v>0</v>
          </cell>
          <cell r="CB260">
            <v>0</v>
          </cell>
          <cell r="CC260">
            <v>0</v>
          </cell>
          <cell r="CD260">
            <v>0</v>
          </cell>
          <cell r="CE260">
            <v>0</v>
          </cell>
          <cell r="CF260">
            <v>0</v>
          </cell>
          <cell r="CG260">
            <v>0</v>
          </cell>
          <cell r="CH260">
            <v>0</v>
          </cell>
          <cell r="CI260">
            <v>0</v>
          </cell>
          <cell r="CJ260">
            <v>0</v>
          </cell>
          <cell r="CK260">
            <v>0</v>
          </cell>
          <cell r="CW260">
            <v>0</v>
          </cell>
          <cell r="CY260">
            <v>4500</v>
          </cell>
          <cell r="CZ260">
            <v>0</v>
          </cell>
          <cell r="DA260">
            <v>0</v>
          </cell>
          <cell r="DB260">
            <v>0</v>
          </cell>
          <cell r="DC260">
            <v>0</v>
          </cell>
          <cell r="DD260">
            <v>0</v>
          </cell>
          <cell r="DE260">
            <v>0</v>
          </cell>
          <cell r="DF260">
            <v>0</v>
          </cell>
          <cell r="DG260">
            <v>0</v>
          </cell>
          <cell r="DH260">
            <v>0</v>
          </cell>
          <cell r="DS260">
            <v>0</v>
          </cell>
          <cell r="DT260">
            <v>107</v>
          </cell>
          <cell r="DU260">
            <v>999999</v>
          </cell>
          <cell r="DV260">
            <v>999999</v>
          </cell>
          <cell r="DW260">
            <v>999999</v>
          </cell>
          <cell r="DX260">
            <v>0</v>
          </cell>
          <cell r="DY260">
            <v>107</v>
          </cell>
          <cell r="DZ260">
            <v>999999</v>
          </cell>
          <cell r="EA260">
            <v>999999</v>
          </cell>
          <cell r="EB260">
            <v>999999</v>
          </cell>
          <cell r="EC260">
            <v>0</v>
          </cell>
          <cell r="ED260">
            <v>0</v>
          </cell>
          <cell r="EE260">
            <v>0</v>
          </cell>
          <cell r="EF260">
            <v>0</v>
          </cell>
          <cell r="EG260">
            <v>0</v>
          </cell>
          <cell r="EH260">
            <v>0</v>
          </cell>
          <cell r="EI260">
            <v>0</v>
          </cell>
          <cell r="EJ260">
            <v>0</v>
          </cell>
          <cell r="EK260">
            <v>0</v>
          </cell>
          <cell r="EL260">
            <v>0</v>
          </cell>
          <cell r="EM260" t="str">
            <v/>
          </cell>
          <cell r="EN260" t="str">
            <v/>
          </cell>
          <cell r="EO260" t="str">
            <v/>
          </cell>
          <cell r="EP260" t="str">
            <v/>
          </cell>
          <cell r="EQ260" t="str">
            <v/>
          </cell>
          <cell r="ER260" t="str">
            <v/>
          </cell>
          <cell r="ES260" t="str">
            <v/>
          </cell>
          <cell r="ET260" t="str">
            <v/>
          </cell>
          <cell r="EU260" t="str">
            <v/>
          </cell>
          <cell r="EV260" t="str">
            <v/>
          </cell>
          <cell r="EW260" t="str">
            <v/>
          </cell>
          <cell r="EX260" t="str">
            <v/>
          </cell>
          <cell r="EY260" t="str">
            <v/>
          </cell>
          <cell r="EZ260" t="str">
            <v/>
          </cell>
          <cell r="FA260" t="str">
            <v/>
          </cell>
          <cell r="FB260" t="str">
            <v/>
          </cell>
          <cell r="FC260" t="str">
            <v/>
          </cell>
          <cell r="FD260" t="str">
            <v/>
          </cell>
          <cell r="FE260" t="str">
            <v/>
          </cell>
          <cell r="FF260" t="str">
            <v/>
          </cell>
          <cell r="FG260" t="str">
            <v/>
          </cell>
          <cell r="FH260" t="str">
            <v/>
          </cell>
          <cell r="FI260" t="str">
            <v/>
          </cell>
          <cell r="FJ260" t="str">
            <v/>
          </cell>
          <cell r="FK260" t="str">
            <v/>
          </cell>
          <cell r="FL260" t="str">
            <v/>
          </cell>
          <cell r="FM260" t="str">
            <v/>
          </cell>
          <cell r="FN260" t="str">
            <v/>
          </cell>
          <cell r="FO260" t="str">
            <v/>
          </cell>
          <cell r="FP260" t="str">
            <v/>
          </cell>
        </row>
        <row r="261">
          <cell r="N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AJ261">
            <v>0</v>
          </cell>
          <cell r="AK261">
            <v>0</v>
          </cell>
          <cell r="AL261">
            <v>999999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BE261">
            <v>0</v>
          </cell>
          <cell r="BH261">
            <v>0</v>
          </cell>
          <cell r="BI261">
            <v>0</v>
          </cell>
          <cell r="BJ261">
            <v>0</v>
          </cell>
          <cell r="BK261">
            <v>4500</v>
          </cell>
          <cell r="BL261">
            <v>0</v>
          </cell>
          <cell r="BM261">
            <v>0</v>
          </cell>
          <cell r="BN261">
            <v>0</v>
          </cell>
          <cell r="BO261">
            <v>0</v>
          </cell>
          <cell r="BP261">
            <v>0</v>
          </cell>
          <cell r="BQ261">
            <v>0</v>
          </cell>
          <cell r="CB261">
            <v>0</v>
          </cell>
          <cell r="CC261">
            <v>0</v>
          </cell>
          <cell r="CD261">
            <v>0</v>
          </cell>
          <cell r="CE261">
            <v>0</v>
          </cell>
          <cell r="CF261">
            <v>0</v>
          </cell>
          <cell r="CG261">
            <v>0</v>
          </cell>
          <cell r="CH261">
            <v>0</v>
          </cell>
          <cell r="CI261">
            <v>0</v>
          </cell>
          <cell r="CJ261">
            <v>0</v>
          </cell>
          <cell r="CK261">
            <v>0</v>
          </cell>
          <cell r="CW261">
            <v>0</v>
          </cell>
          <cell r="CY261">
            <v>4500</v>
          </cell>
          <cell r="CZ261">
            <v>0</v>
          </cell>
          <cell r="DA261">
            <v>0</v>
          </cell>
          <cell r="DB261">
            <v>0</v>
          </cell>
          <cell r="DC261">
            <v>0</v>
          </cell>
          <cell r="DD261">
            <v>0</v>
          </cell>
          <cell r="DE261">
            <v>0</v>
          </cell>
          <cell r="DF261">
            <v>0</v>
          </cell>
          <cell r="DG261">
            <v>0</v>
          </cell>
          <cell r="DH261">
            <v>0</v>
          </cell>
          <cell r="DS261">
            <v>0</v>
          </cell>
          <cell r="DT261">
            <v>106</v>
          </cell>
          <cell r="DU261">
            <v>999999</v>
          </cell>
          <cell r="DV261">
            <v>999999</v>
          </cell>
          <cell r="DW261">
            <v>999999</v>
          </cell>
          <cell r="DX261">
            <v>0</v>
          </cell>
          <cell r="DY261">
            <v>106</v>
          </cell>
          <cell r="DZ261">
            <v>999999</v>
          </cell>
          <cell r="EA261">
            <v>999999</v>
          </cell>
          <cell r="EB261">
            <v>999999</v>
          </cell>
          <cell r="EC261">
            <v>0</v>
          </cell>
          <cell r="ED261">
            <v>0</v>
          </cell>
          <cell r="EE261">
            <v>0</v>
          </cell>
          <cell r="EF261" t="str">
            <v>Arg</v>
          </cell>
          <cell r="EG261">
            <v>0</v>
          </cell>
          <cell r="EH261">
            <v>0</v>
          </cell>
          <cell r="EI261">
            <v>0</v>
          </cell>
          <cell r="EJ261">
            <v>0</v>
          </cell>
          <cell r="EK261">
            <v>0</v>
          </cell>
          <cell r="EL261">
            <v>0</v>
          </cell>
          <cell r="EM261" t="str">
            <v/>
          </cell>
          <cell r="EN261" t="str">
            <v/>
          </cell>
          <cell r="EO261" t="str">
            <v/>
          </cell>
          <cell r="EP261" t="str">
            <v/>
          </cell>
          <cell r="EQ261" t="str">
            <v/>
          </cell>
          <cell r="ER261" t="str">
            <v/>
          </cell>
          <cell r="ES261" t="str">
            <v/>
          </cell>
          <cell r="ET261" t="str">
            <v/>
          </cell>
          <cell r="EU261" t="str">
            <v/>
          </cell>
          <cell r="EV261" t="str">
            <v/>
          </cell>
          <cell r="EW261" t="str">
            <v/>
          </cell>
          <cell r="EX261" t="str">
            <v/>
          </cell>
          <cell r="EY261" t="str">
            <v/>
          </cell>
          <cell r="EZ261" t="str">
            <v/>
          </cell>
          <cell r="FA261" t="str">
            <v/>
          </cell>
          <cell r="FB261" t="str">
            <v/>
          </cell>
          <cell r="FC261" t="str">
            <v/>
          </cell>
          <cell r="FD261" t="str">
            <v/>
          </cell>
          <cell r="FE261" t="str">
            <v/>
          </cell>
          <cell r="FF261" t="str">
            <v/>
          </cell>
          <cell r="FG261" t="str">
            <v/>
          </cell>
          <cell r="FH261" t="str">
            <v/>
          </cell>
          <cell r="FI261" t="str">
            <v/>
          </cell>
          <cell r="FJ261" t="str">
            <v/>
          </cell>
          <cell r="FK261" t="str">
            <v/>
          </cell>
          <cell r="FL261" t="str">
            <v/>
          </cell>
          <cell r="FM261" t="str">
            <v/>
          </cell>
          <cell r="FN261" t="str">
            <v/>
          </cell>
          <cell r="FO261" t="str">
            <v/>
          </cell>
          <cell r="FP261" t="str">
            <v/>
          </cell>
        </row>
        <row r="262">
          <cell r="N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2583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AJ262">
            <v>0</v>
          </cell>
          <cell r="AK262">
            <v>0</v>
          </cell>
          <cell r="AL262">
            <v>999999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BE262">
            <v>0</v>
          </cell>
          <cell r="BH262">
            <v>0</v>
          </cell>
          <cell r="BI262">
            <v>0</v>
          </cell>
          <cell r="BJ262">
            <v>0</v>
          </cell>
          <cell r="BK262">
            <v>1823</v>
          </cell>
          <cell r="BL262">
            <v>0</v>
          </cell>
          <cell r="BM262">
            <v>0</v>
          </cell>
          <cell r="BN262">
            <v>0</v>
          </cell>
          <cell r="BO262">
            <v>0</v>
          </cell>
          <cell r="BP262">
            <v>0</v>
          </cell>
          <cell r="BQ262">
            <v>0</v>
          </cell>
          <cell r="CB262">
            <v>0</v>
          </cell>
          <cell r="CC262">
            <v>0</v>
          </cell>
          <cell r="CD262">
            <v>0</v>
          </cell>
          <cell r="CE262">
            <v>0</v>
          </cell>
          <cell r="CF262">
            <v>0</v>
          </cell>
          <cell r="CG262">
            <v>0</v>
          </cell>
          <cell r="CH262">
            <v>0</v>
          </cell>
          <cell r="CI262">
            <v>0</v>
          </cell>
          <cell r="CJ262">
            <v>0</v>
          </cell>
          <cell r="CK262">
            <v>0</v>
          </cell>
          <cell r="CW262">
            <v>0</v>
          </cell>
          <cell r="CY262">
            <v>4500</v>
          </cell>
          <cell r="CZ262">
            <v>0</v>
          </cell>
          <cell r="DA262">
            <v>0</v>
          </cell>
          <cell r="DB262">
            <v>0</v>
          </cell>
          <cell r="DC262">
            <v>0</v>
          </cell>
          <cell r="DD262">
            <v>0</v>
          </cell>
          <cell r="DE262">
            <v>0</v>
          </cell>
          <cell r="DF262">
            <v>0</v>
          </cell>
          <cell r="DG262">
            <v>0</v>
          </cell>
          <cell r="DH262">
            <v>0</v>
          </cell>
          <cell r="DS262">
            <v>0</v>
          </cell>
          <cell r="DT262">
            <v>105</v>
          </cell>
          <cell r="DU262">
            <v>999999</v>
          </cell>
          <cell r="DV262">
            <v>999999</v>
          </cell>
          <cell r="DW262">
            <v>999999</v>
          </cell>
          <cell r="DX262">
            <v>0</v>
          </cell>
          <cell r="DY262">
            <v>105</v>
          </cell>
          <cell r="DZ262">
            <v>999999</v>
          </cell>
          <cell r="EA262">
            <v>999999</v>
          </cell>
          <cell r="EB262">
            <v>999999</v>
          </cell>
          <cell r="EC262">
            <v>0</v>
          </cell>
          <cell r="ED262">
            <v>0</v>
          </cell>
          <cell r="EE262">
            <v>0</v>
          </cell>
          <cell r="EF262" t="str">
            <v>Arg</v>
          </cell>
          <cell r="EG262">
            <v>0</v>
          </cell>
          <cell r="EH262">
            <v>0</v>
          </cell>
          <cell r="EI262">
            <v>0</v>
          </cell>
          <cell r="EJ262">
            <v>0</v>
          </cell>
          <cell r="EK262">
            <v>0</v>
          </cell>
          <cell r="EL262">
            <v>0</v>
          </cell>
          <cell r="EM262" t="str">
            <v/>
          </cell>
          <cell r="EN262" t="str">
            <v/>
          </cell>
          <cell r="EO262" t="str">
            <v/>
          </cell>
          <cell r="EP262" t="str">
            <v/>
          </cell>
          <cell r="EQ262" t="str">
            <v/>
          </cell>
          <cell r="ER262" t="str">
            <v/>
          </cell>
          <cell r="ES262" t="str">
            <v/>
          </cell>
          <cell r="ET262" t="str">
            <v/>
          </cell>
          <cell r="EU262" t="str">
            <v/>
          </cell>
          <cell r="EV262" t="str">
            <v/>
          </cell>
          <cell r="EW262" t="str">
            <v/>
          </cell>
          <cell r="EX262" t="str">
            <v/>
          </cell>
          <cell r="EY262" t="str">
            <v/>
          </cell>
          <cell r="EZ262" t="str">
            <v/>
          </cell>
          <cell r="FA262" t="str">
            <v/>
          </cell>
          <cell r="FB262" t="str">
            <v/>
          </cell>
          <cell r="FC262" t="str">
            <v/>
          </cell>
          <cell r="FD262" t="str">
            <v/>
          </cell>
          <cell r="FE262" t="str">
            <v/>
          </cell>
          <cell r="FF262" t="str">
            <v/>
          </cell>
          <cell r="FG262" t="str">
            <v/>
          </cell>
          <cell r="FH262" t="str">
            <v/>
          </cell>
          <cell r="FI262" t="str">
            <v/>
          </cell>
          <cell r="FJ262" t="str">
            <v/>
          </cell>
          <cell r="FK262" t="str">
            <v/>
          </cell>
          <cell r="FL262" t="str">
            <v/>
          </cell>
          <cell r="FM262" t="str">
            <v/>
          </cell>
          <cell r="FN262" t="str">
            <v/>
          </cell>
          <cell r="FO262" t="str">
            <v/>
          </cell>
          <cell r="FP262" t="str">
            <v/>
          </cell>
        </row>
        <row r="263">
          <cell r="N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AJ263">
            <v>0</v>
          </cell>
          <cell r="AK263">
            <v>0</v>
          </cell>
          <cell r="AL263">
            <v>999999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BE263">
            <v>0</v>
          </cell>
          <cell r="BH263">
            <v>0</v>
          </cell>
          <cell r="BI263">
            <v>0</v>
          </cell>
          <cell r="BJ263">
            <v>0</v>
          </cell>
          <cell r="BK263">
            <v>0</v>
          </cell>
          <cell r="BL263">
            <v>0</v>
          </cell>
          <cell r="BM263">
            <v>0</v>
          </cell>
          <cell r="BN263">
            <v>0</v>
          </cell>
          <cell r="BO263">
            <v>0</v>
          </cell>
          <cell r="BP263">
            <v>0</v>
          </cell>
          <cell r="BQ263">
            <v>0</v>
          </cell>
          <cell r="CB263">
            <v>0</v>
          </cell>
          <cell r="CC263">
            <v>0</v>
          </cell>
          <cell r="CD263">
            <v>0</v>
          </cell>
          <cell r="CE263">
            <v>0</v>
          </cell>
          <cell r="CF263">
            <v>0</v>
          </cell>
          <cell r="CG263">
            <v>0</v>
          </cell>
          <cell r="CH263">
            <v>0</v>
          </cell>
          <cell r="CI263">
            <v>0</v>
          </cell>
          <cell r="CJ263">
            <v>0</v>
          </cell>
          <cell r="CK263">
            <v>0</v>
          </cell>
          <cell r="CW263">
            <v>0</v>
          </cell>
          <cell r="CY263">
            <v>4500</v>
          </cell>
          <cell r="CZ263">
            <v>0</v>
          </cell>
          <cell r="DA263">
            <v>0</v>
          </cell>
          <cell r="DB263">
            <v>0</v>
          </cell>
          <cell r="DC263">
            <v>0</v>
          </cell>
          <cell r="DD263">
            <v>0</v>
          </cell>
          <cell r="DE263">
            <v>0</v>
          </cell>
          <cell r="DF263">
            <v>0</v>
          </cell>
          <cell r="DG263">
            <v>0</v>
          </cell>
          <cell r="DH263">
            <v>0</v>
          </cell>
          <cell r="DS263">
            <v>0</v>
          </cell>
          <cell r="DT263">
            <v>104</v>
          </cell>
          <cell r="DU263">
            <v>999999</v>
          </cell>
          <cell r="DV263">
            <v>999999</v>
          </cell>
          <cell r="DW263">
            <v>999999</v>
          </cell>
          <cell r="DX263">
            <v>0</v>
          </cell>
          <cell r="DY263">
            <v>104</v>
          </cell>
          <cell r="DZ263">
            <v>999999</v>
          </cell>
          <cell r="EA263">
            <v>999999</v>
          </cell>
          <cell r="EB263">
            <v>999999</v>
          </cell>
          <cell r="EC263">
            <v>0</v>
          </cell>
          <cell r="ED263">
            <v>0</v>
          </cell>
          <cell r="EE263">
            <v>0</v>
          </cell>
          <cell r="EF263">
            <v>0</v>
          </cell>
          <cell r="EG263">
            <v>0</v>
          </cell>
          <cell r="EH263">
            <v>0</v>
          </cell>
          <cell r="EI263">
            <v>0</v>
          </cell>
          <cell r="EJ263">
            <v>0</v>
          </cell>
          <cell r="EK263">
            <v>0</v>
          </cell>
          <cell r="EL263">
            <v>0</v>
          </cell>
          <cell r="EM263" t="str">
            <v/>
          </cell>
          <cell r="EN263" t="str">
            <v/>
          </cell>
          <cell r="EO263" t="str">
            <v/>
          </cell>
          <cell r="EP263" t="str">
            <v/>
          </cell>
          <cell r="EQ263" t="str">
            <v/>
          </cell>
          <cell r="ER263" t="str">
            <v/>
          </cell>
          <cell r="ES263" t="str">
            <v/>
          </cell>
          <cell r="ET263" t="str">
            <v/>
          </cell>
          <cell r="EU263" t="str">
            <v/>
          </cell>
          <cell r="EV263" t="str">
            <v/>
          </cell>
          <cell r="EW263" t="str">
            <v/>
          </cell>
          <cell r="EX263" t="str">
            <v/>
          </cell>
          <cell r="EY263" t="str">
            <v/>
          </cell>
          <cell r="EZ263" t="str">
            <v/>
          </cell>
          <cell r="FA263" t="str">
            <v/>
          </cell>
          <cell r="FB263" t="str">
            <v/>
          </cell>
          <cell r="FC263" t="str">
            <v/>
          </cell>
          <cell r="FD263" t="str">
            <v/>
          </cell>
          <cell r="FE263" t="str">
            <v/>
          </cell>
          <cell r="FF263" t="str">
            <v/>
          </cell>
          <cell r="FG263" t="str">
            <v/>
          </cell>
          <cell r="FH263" t="str">
            <v/>
          </cell>
          <cell r="FI263" t="str">
            <v/>
          </cell>
          <cell r="FJ263" t="str">
            <v/>
          </cell>
          <cell r="FK263" t="str">
            <v/>
          </cell>
          <cell r="FL263" t="str">
            <v/>
          </cell>
          <cell r="FM263" t="str">
            <v/>
          </cell>
          <cell r="FN263" t="str">
            <v/>
          </cell>
          <cell r="FO263" t="str">
            <v/>
          </cell>
          <cell r="FP263" t="str">
            <v/>
          </cell>
        </row>
        <row r="264">
          <cell r="N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AJ264">
            <v>0</v>
          </cell>
          <cell r="AK264">
            <v>0</v>
          </cell>
          <cell r="AL264">
            <v>999999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BE264">
            <v>0</v>
          </cell>
          <cell r="BH264">
            <v>0</v>
          </cell>
          <cell r="BI264">
            <v>0</v>
          </cell>
          <cell r="BJ264">
            <v>0</v>
          </cell>
          <cell r="BK264">
            <v>0</v>
          </cell>
          <cell r="BL264">
            <v>0</v>
          </cell>
          <cell r="BM264">
            <v>0</v>
          </cell>
          <cell r="BN264">
            <v>0</v>
          </cell>
          <cell r="BO264">
            <v>0</v>
          </cell>
          <cell r="BP264">
            <v>0</v>
          </cell>
          <cell r="BQ264">
            <v>0</v>
          </cell>
          <cell r="CB264">
            <v>0</v>
          </cell>
          <cell r="CC264">
            <v>0</v>
          </cell>
          <cell r="CD264">
            <v>0</v>
          </cell>
          <cell r="CE264">
            <v>0</v>
          </cell>
          <cell r="CF264">
            <v>0</v>
          </cell>
          <cell r="CG264">
            <v>0</v>
          </cell>
          <cell r="CH264">
            <v>0</v>
          </cell>
          <cell r="CI264">
            <v>0</v>
          </cell>
          <cell r="CJ264">
            <v>0</v>
          </cell>
          <cell r="CK264">
            <v>0</v>
          </cell>
          <cell r="CW264">
            <v>0</v>
          </cell>
          <cell r="CY264">
            <v>0</v>
          </cell>
          <cell r="CZ264">
            <v>0</v>
          </cell>
          <cell r="DA264">
            <v>0</v>
          </cell>
          <cell r="DB264">
            <v>0</v>
          </cell>
          <cell r="DC264">
            <v>0</v>
          </cell>
          <cell r="DD264">
            <v>0</v>
          </cell>
          <cell r="DE264">
            <v>0</v>
          </cell>
          <cell r="DF264">
            <v>0</v>
          </cell>
          <cell r="DG264">
            <v>0</v>
          </cell>
          <cell r="DH264">
            <v>0</v>
          </cell>
          <cell r="DS264">
            <v>0</v>
          </cell>
          <cell r="DT264">
            <v>103</v>
          </cell>
          <cell r="DU264">
            <v>999999</v>
          </cell>
          <cell r="DV264">
            <v>999999</v>
          </cell>
          <cell r="DW264">
            <v>999999</v>
          </cell>
          <cell r="DX264">
            <v>0</v>
          </cell>
          <cell r="DY264">
            <v>103</v>
          </cell>
          <cell r="DZ264">
            <v>999999</v>
          </cell>
          <cell r="EA264">
            <v>999999</v>
          </cell>
          <cell r="EB264">
            <v>999999</v>
          </cell>
          <cell r="EC264">
            <v>0</v>
          </cell>
          <cell r="ED264">
            <v>0</v>
          </cell>
          <cell r="EE264">
            <v>0</v>
          </cell>
          <cell r="EF264">
            <v>0</v>
          </cell>
          <cell r="EG264">
            <v>0</v>
          </cell>
          <cell r="EH264">
            <v>0</v>
          </cell>
          <cell r="EI264">
            <v>0</v>
          </cell>
          <cell r="EJ264">
            <v>0</v>
          </cell>
          <cell r="EK264">
            <v>0</v>
          </cell>
          <cell r="EL264">
            <v>0</v>
          </cell>
          <cell r="EM264" t="str">
            <v/>
          </cell>
          <cell r="EN264" t="str">
            <v/>
          </cell>
          <cell r="EO264" t="str">
            <v/>
          </cell>
          <cell r="EP264" t="str">
            <v/>
          </cell>
          <cell r="EQ264" t="str">
            <v/>
          </cell>
          <cell r="ER264" t="str">
            <v/>
          </cell>
          <cell r="ES264" t="str">
            <v/>
          </cell>
          <cell r="ET264" t="str">
            <v/>
          </cell>
          <cell r="EU264" t="str">
            <v/>
          </cell>
          <cell r="EV264" t="str">
            <v/>
          </cell>
          <cell r="EW264" t="str">
            <v/>
          </cell>
          <cell r="EX264" t="str">
            <v/>
          </cell>
          <cell r="EY264" t="str">
            <v/>
          </cell>
          <cell r="EZ264" t="str">
            <v/>
          </cell>
          <cell r="FA264" t="str">
            <v/>
          </cell>
          <cell r="FB264" t="str">
            <v/>
          </cell>
          <cell r="FC264" t="str">
            <v/>
          </cell>
          <cell r="FD264" t="str">
            <v/>
          </cell>
          <cell r="FE264" t="str">
            <v/>
          </cell>
          <cell r="FF264" t="str">
            <v/>
          </cell>
          <cell r="FG264" t="str">
            <v/>
          </cell>
          <cell r="FH264" t="str">
            <v/>
          </cell>
          <cell r="FI264" t="str">
            <v/>
          </cell>
          <cell r="FJ264" t="str">
            <v/>
          </cell>
          <cell r="FK264" t="str">
            <v/>
          </cell>
          <cell r="FL264" t="str">
            <v/>
          </cell>
          <cell r="FM264" t="str">
            <v/>
          </cell>
          <cell r="FN264" t="str">
            <v/>
          </cell>
          <cell r="FO264" t="str">
            <v/>
          </cell>
          <cell r="FP264" t="str">
            <v/>
          </cell>
        </row>
        <row r="265">
          <cell r="N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AJ265">
            <v>0</v>
          </cell>
          <cell r="AK265">
            <v>0</v>
          </cell>
          <cell r="AL265">
            <v>999999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BE265">
            <v>48000</v>
          </cell>
          <cell r="BH265">
            <v>0</v>
          </cell>
          <cell r="BI265">
            <v>0</v>
          </cell>
          <cell r="BJ265">
            <v>0</v>
          </cell>
          <cell r="BK265">
            <v>0</v>
          </cell>
          <cell r="BL265">
            <v>0</v>
          </cell>
          <cell r="BM265">
            <v>0</v>
          </cell>
          <cell r="BN265">
            <v>0</v>
          </cell>
          <cell r="BO265">
            <v>0</v>
          </cell>
          <cell r="BP265">
            <v>0</v>
          </cell>
          <cell r="BQ265">
            <v>0</v>
          </cell>
          <cell r="CB265">
            <v>0</v>
          </cell>
          <cell r="CC265">
            <v>0</v>
          </cell>
          <cell r="CD265">
            <v>0</v>
          </cell>
          <cell r="CE265">
            <v>0</v>
          </cell>
          <cell r="CF265">
            <v>0</v>
          </cell>
          <cell r="CG265">
            <v>0</v>
          </cell>
          <cell r="CH265">
            <v>0</v>
          </cell>
          <cell r="CI265">
            <v>0</v>
          </cell>
          <cell r="CJ265">
            <v>0</v>
          </cell>
          <cell r="CK265">
            <v>0</v>
          </cell>
          <cell r="CW265">
            <v>0</v>
          </cell>
          <cell r="CY265">
            <v>0</v>
          </cell>
          <cell r="CZ265">
            <v>0</v>
          </cell>
          <cell r="DA265">
            <v>0</v>
          </cell>
          <cell r="DB265">
            <v>0</v>
          </cell>
          <cell r="DC265">
            <v>0</v>
          </cell>
          <cell r="DD265">
            <v>0</v>
          </cell>
          <cell r="DE265">
            <v>0</v>
          </cell>
          <cell r="DF265">
            <v>0</v>
          </cell>
          <cell r="DG265">
            <v>0</v>
          </cell>
          <cell r="DH265">
            <v>0</v>
          </cell>
          <cell r="DS265">
            <v>0</v>
          </cell>
          <cell r="DT265">
            <v>102</v>
          </cell>
          <cell r="DU265">
            <v>999999</v>
          </cell>
          <cell r="DV265">
            <v>999999</v>
          </cell>
          <cell r="DW265">
            <v>999999</v>
          </cell>
          <cell r="DX265">
            <v>0</v>
          </cell>
          <cell r="DY265">
            <v>102</v>
          </cell>
          <cell r="DZ265">
            <v>999999</v>
          </cell>
          <cell r="EA265">
            <v>999999</v>
          </cell>
          <cell r="EB265">
            <v>999999</v>
          </cell>
          <cell r="EC265">
            <v>0</v>
          </cell>
          <cell r="ED265">
            <v>0</v>
          </cell>
          <cell r="EE265">
            <v>0</v>
          </cell>
          <cell r="EF265">
            <v>0</v>
          </cell>
          <cell r="EG265">
            <v>0</v>
          </cell>
          <cell r="EH265">
            <v>0</v>
          </cell>
          <cell r="EI265">
            <v>0</v>
          </cell>
          <cell r="EJ265">
            <v>0</v>
          </cell>
          <cell r="EK265">
            <v>0</v>
          </cell>
          <cell r="EL265">
            <v>0</v>
          </cell>
          <cell r="EM265" t="str">
            <v/>
          </cell>
          <cell r="EN265" t="str">
            <v/>
          </cell>
          <cell r="EO265" t="str">
            <v/>
          </cell>
          <cell r="EP265" t="str">
            <v/>
          </cell>
          <cell r="EQ265" t="str">
            <v/>
          </cell>
          <cell r="ER265" t="str">
            <v/>
          </cell>
          <cell r="ES265" t="str">
            <v/>
          </cell>
          <cell r="ET265" t="str">
            <v/>
          </cell>
          <cell r="EU265" t="str">
            <v/>
          </cell>
          <cell r="EV265" t="str">
            <v/>
          </cell>
          <cell r="EW265" t="str">
            <v/>
          </cell>
          <cell r="EX265" t="str">
            <v/>
          </cell>
          <cell r="EY265" t="str">
            <v/>
          </cell>
          <cell r="EZ265" t="str">
            <v/>
          </cell>
          <cell r="FA265" t="str">
            <v/>
          </cell>
          <cell r="FB265" t="str">
            <v/>
          </cell>
          <cell r="FC265" t="str">
            <v/>
          </cell>
          <cell r="FD265" t="str">
            <v/>
          </cell>
          <cell r="FE265" t="str">
            <v/>
          </cell>
          <cell r="FF265" t="str">
            <v/>
          </cell>
          <cell r="FG265" t="str">
            <v/>
          </cell>
          <cell r="FH265" t="str">
            <v/>
          </cell>
          <cell r="FI265" t="str">
            <v/>
          </cell>
          <cell r="FJ265" t="str">
            <v/>
          </cell>
          <cell r="FK265" t="str">
            <v/>
          </cell>
          <cell r="FL265" t="str">
            <v/>
          </cell>
          <cell r="FM265" t="str">
            <v/>
          </cell>
          <cell r="FN265" t="str">
            <v/>
          </cell>
          <cell r="FO265" t="str">
            <v/>
          </cell>
          <cell r="FP265" t="str">
            <v/>
          </cell>
        </row>
        <row r="266">
          <cell r="N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AJ266">
            <v>0</v>
          </cell>
          <cell r="AK266">
            <v>0</v>
          </cell>
          <cell r="AL266">
            <v>999999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BE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0</v>
          </cell>
          <cell r="CJ266">
            <v>0</v>
          </cell>
          <cell r="CK266">
            <v>0</v>
          </cell>
          <cell r="CW266">
            <v>0</v>
          </cell>
          <cell r="CY266">
            <v>0</v>
          </cell>
          <cell r="CZ266">
            <v>0</v>
          </cell>
          <cell r="DA266">
            <v>0</v>
          </cell>
          <cell r="DB266">
            <v>0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S266">
            <v>0</v>
          </cell>
          <cell r="DT266">
            <v>101</v>
          </cell>
          <cell r="DU266">
            <v>999999</v>
          </cell>
          <cell r="DV266">
            <v>999999</v>
          </cell>
          <cell r="DW266">
            <v>999999</v>
          </cell>
          <cell r="DX266">
            <v>0</v>
          </cell>
          <cell r="DY266">
            <v>101</v>
          </cell>
          <cell r="DZ266">
            <v>999999</v>
          </cell>
          <cell r="EA266">
            <v>999999</v>
          </cell>
          <cell r="EB266">
            <v>999999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 t="str">
            <v/>
          </cell>
          <cell r="EN266" t="str">
            <v/>
          </cell>
          <cell r="EO266" t="str">
            <v/>
          </cell>
          <cell r="EP266" t="str">
            <v/>
          </cell>
          <cell r="EQ266" t="str">
            <v/>
          </cell>
          <cell r="ER266" t="str">
            <v/>
          </cell>
          <cell r="ES266" t="str">
            <v/>
          </cell>
          <cell r="ET266" t="str">
            <v/>
          </cell>
          <cell r="EU266" t="str">
            <v/>
          </cell>
          <cell r="EV266" t="str">
            <v/>
          </cell>
          <cell r="EW266" t="str">
            <v/>
          </cell>
          <cell r="EX266" t="str">
            <v/>
          </cell>
          <cell r="EY266" t="str">
            <v/>
          </cell>
          <cell r="EZ266" t="str">
            <v/>
          </cell>
          <cell r="FA266" t="str">
            <v/>
          </cell>
          <cell r="FB266" t="str">
            <v/>
          </cell>
          <cell r="FC266" t="str">
            <v/>
          </cell>
          <cell r="FD266" t="str">
            <v/>
          </cell>
          <cell r="FE266" t="str">
            <v/>
          </cell>
          <cell r="FF266" t="str">
            <v/>
          </cell>
          <cell r="FG266" t="str">
            <v/>
          </cell>
          <cell r="FH266" t="str">
            <v/>
          </cell>
          <cell r="FI266" t="str">
            <v/>
          </cell>
          <cell r="FJ266" t="str">
            <v/>
          </cell>
          <cell r="FK266" t="str">
            <v/>
          </cell>
          <cell r="FL266" t="str">
            <v/>
          </cell>
          <cell r="FM266" t="str">
            <v/>
          </cell>
          <cell r="FN266" t="str">
            <v/>
          </cell>
          <cell r="FO266" t="str">
            <v/>
          </cell>
          <cell r="FP266" t="str">
            <v/>
          </cell>
        </row>
        <row r="267">
          <cell r="N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AJ267">
            <v>0</v>
          </cell>
          <cell r="AK267">
            <v>0</v>
          </cell>
          <cell r="AL267">
            <v>999999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BE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0</v>
          </cell>
          <cell r="CJ267">
            <v>0</v>
          </cell>
          <cell r="CK267">
            <v>0</v>
          </cell>
          <cell r="CW267">
            <v>0</v>
          </cell>
          <cell r="CY267">
            <v>0</v>
          </cell>
          <cell r="CZ267">
            <v>0</v>
          </cell>
          <cell r="DA267">
            <v>0</v>
          </cell>
          <cell r="DB267">
            <v>0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S267">
            <v>0</v>
          </cell>
          <cell r="DT267">
            <v>100</v>
          </cell>
          <cell r="DU267">
            <v>999999</v>
          </cell>
          <cell r="DV267">
            <v>999999</v>
          </cell>
          <cell r="DW267">
            <v>999999</v>
          </cell>
          <cell r="DX267">
            <v>0</v>
          </cell>
          <cell r="DY267">
            <v>100</v>
          </cell>
          <cell r="DZ267">
            <v>999999</v>
          </cell>
          <cell r="EA267">
            <v>999999</v>
          </cell>
          <cell r="EB267">
            <v>999999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 t="str">
            <v/>
          </cell>
          <cell r="EN267" t="str">
            <v/>
          </cell>
          <cell r="EO267" t="str">
            <v/>
          </cell>
          <cell r="EP267" t="str">
            <v/>
          </cell>
          <cell r="EQ267" t="str">
            <v/>
          </cell>
          <cell r="ER267" t="str">
            <v/>
          </cell>
          <cell r="ES267" t="str">
            <v/>
          </cell>
          <cell r="ET267" t="str">
            <v/>
          </cell>
          <cell r="EU267" t="str">
            <v/>
          </cell>
          <cell r="EV267" t="str">
            <v/>
          </cell>
          <cell r="EW267" t="str">
            <v/>
          </cell>
          <cell r="EX267" t="str">
            <v/>
          </cell>
          <cell r="EY267" t="str">
            <v/>
          </cell>
          <cell r="EZ267" t="str">
            <v/>
          </cell>
          <cell r="FA267" t="str">
            <v/>
          </cell>
          <cell r="FB267" t="str">
            <v/>
          </cell>
          <cell r="FC267" t="str">
            <v/>
          </cell>
          <cell r="FD267" t="str">
            <v/>
          </cell>
          <cell r="FE267" t="str">
            <v/>
          </cell>
          <cell r="FF267" t="str">
            <v/>
          </cell>
          <cell r="FG267" t="str">
            <v/>
          </cell>
          <cell r="FH267" t="str">
            <v/>
          </cell>
          <cell r="FI267" t="str">
            <v/>
          </cell>
          <cell r="FJ267" t="str">
            <v/>
          </cell>
          <cell r="FK267" t="str">
            <v/>
          </cell>
          <cell r="FL267" t="str">
            <v/>
          </cell>
          <cell r="FM267" t="str">
            <v/>
          </cell>
          <cell r="FN267" t="str">
            <v/>
          </cell>
          <cell r="FO267" t="str">
            <v/>
          </cell>
          <cell r="FP267" t="str">
            <v/>
          </cell>
        </row>
        <row r="268">
          <cell r="N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AJ268">
            <v>0</v>
          </cell>
          <cell r="AK268">
            <v>0</v>
          </cell>
          <cell r="AL268">
            <v>999999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BE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0</v>
          </cell>
          <cell r="CJ268">
            <v>0</v>
          </cell>
          <cell r="CK268">
            <v>0</v>
          </cell>
          <cell r="CW268">
            <v>0</v>
          </cell>
          <cell r="CY268">
            <v>0</v>
          </cell>
          <cell r="CZ268">
            <v>0</v>
          </cell>
          <cell r="DA268">
            <v>0</v>
          </cell>
          <cell r="DB268">
            <v>0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S268">
            <v>0</v>
          </cell>
          <cell r="DT268">
            <v>99</v>
          </cell>
          <cell r="DU268">
            <v>999999</v>
          </cell>
          <cell r="DV268">
            <v>999999</v>
          </cell>
          <cell r="DW268">
            <v>999999</v>
          </cell>
          <cell r="DX268">
            <v>0</v>
          </cell>
          <cell r="DY268">
            <v>99</v>
          </cell>
          <cell r="DZ268">
            <v>999999</v>
          </cell>
          <cell r="EA268">
            <v>999999</v>
          </cell>
          <cell r="EB268">
            <v>999999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 t="str">
            <v/>
          </cell>
          <cell r="EN268" t="str">
            <v/>
          </cell>
          <cell r="EO268" t="str">
            <v/>
          </cell>
          <cell r="EP268" t="str">
            <v/>
          </cell>
          <cell r="EQ268" t="str">
            <v/>
          </cell>
          <cell r="ER268" t="str">
            <v/>
          </cell>
          <cell r="ES268" t="str">
            <v/>
          </cell>
          <cell r="ET268" t="str">
            <v/>
          </cell>
          <cell r="EU268" t="str">
            <v/>
          </cell>
          <cell r="EV268" t="str">
            <v/>
          </cell>
          <cell r="EW268" t="str">
            <v/>
          </cell>
          <cell r="EX268" t="str">
            <v/>
          </cell>
          <cell r="EY268" t="str">
            <v/>
          </cell>
          <cell r="EZ268" t="str">
            <v/>
          </cell>
          <cell r="FA268" t="str">
            <v/>
          </cell>
          <cell r="FB268" t="str">
            <v/>
          </cell>
          <cell r="FC268" t="str">
            <v/>
          </cell>
          <cell r="FD268" t="str">
            <v/>
          </cell>
          <cell r="FE268" t="str">
            <v/>
          </cell>
          <cell r="FF268" t="str">
            <v/>
          </cell>
          <cell r="FG268" t="str">
            <v/>
          </cell>
          <cell r="FH268" t="str">
            <v/>
          </cell>
          <cell r="FI268" t="str">
            <v/>
          </cell>
          <cell r="FJ268" t="str">
            <v/>
          </cell>
          <cell r="FK268" t="str">
            <v/>
          </cell>
          <cell r="FL268" t="str">
            <v/>
          </cell>
          <cell r="FM268" t="str">
            <v/>
          </cell>
          <cell r="FN268" t="str">
            <v/>
          </cell>
          <cell r="FO268" t="str">
            <v/>
          </cell>
          <cell r="FP268" t="str">
            <v/>
          </cell>
        </row>
        <row r="269">
          <cell r="N269">
            <v>0</v>
          </cell>
          <cell r="P269">
            <v>2828</v>
          </cell>
          <cell r="Q269">
            <v>1672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AJ269">
            <v>0</v>
          </cell>
          <cell r="AK269">
            <v>0</v>
          </cell>
          <cell r="AL269">
            <v>999999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BE269">
            <v>0</v>
          </cell>
          <cell r="BH269">
            <v>4500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0</v>
          </cell>
          <cell r="CJ269">
            <v>0</v>
          </cell>
          <cell r="CK269">
            <v>0</v>
          </cell>
          <cell r="CW269">
            <v>0</v>
          </cell>
          <cell r="CY269">
            <v>0</v>
          </cell>
          <cell r="CZ269">
            <v>0</v>
          </cell>
          <cell r="DA269">
            <v>0</v>
          </cell>
          <cell r="DB269">
            <v>0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S269">
            <v>0</v>
          </cell>
          <cell r="DT269">
            <v>98</v>
          </cell>
          <cell r="DU269">
            <v>999999</v>
          </cell>
          <cell r="DV269">
            <v>999999</v>
          </cell>
          <cell r="DW269">
            <v>999999</v>
          </cell>
          <cell r="DX269">
            <v>0</v>
          </cell>
          <cell r="DY269">
            <v>98</v>
          </cell>
          <cell r="DZ269">
            <v>999999</v>
          </cell>
          <cell r="EA269">
            <v>999999</v>
          </cell>
          <cell r="EB269">
            <v>999999</v>
          </cell>
          <cell r="EC269" t="str">
            <v>Arg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 t="str">
            <v/>
          </cell>
          <cell r="EN269" t="str">
            <v/>
          </cell>
          <cell r="EO269" t="str">
            <v/>
          </cell>
          <cell r="EP269" t="str">
            <v/>
          </cell>
          <cell r="EQ269" t="str">
            <v/>
          </cell>
          <cell r="ER269" t="str">
            <v/>
          </cell>
          <cell r="ES269" t="str">
            <v/>
          </cell>
          <cell r="ET269" t="str">
            <v/>
          </cell>
          <cell r="EU269" t="str">
            <v/>
          </cell>
          <cell r="EV269" t="str">
            <v/>
          </cell>
          <cell r="EW269" t="str">
            <v/>
          </cell>
          <cell r="EX269" t="str">
            <v/>
          </cell>
          <cell r="EY269" t="str">
            <v/>
          </cell>
          <cell r="EZ269" t="str">
            <v/>
          </cell>
          <cell r="FA269" t="str">
            <v/>
          </cell>
          <cell r="FB269" t="str">
            <v/>
          </cell>
          <cell r="FC269" t="str">
            <v/>
          </cell>
          <cell r="FD269" t="str">
            <v/>
          </cell>
          <cell r="FE269" t="str">
            <v/>
          </cell>
          <cell r="FF269" t="str">
            <v/>
          </cell>
          <cell r="FG269" t="str">
            <v/>
          </cell>
          <cell r="FH269" t="str">
            <v/>
          </cell>
          <cell r="FI269" t="str">
            <v/>
          </cell>
          <cell r="FJ269" t="str">
            <v/>
          </cell>
          <cell r="FK269" t="str">
            <v/>
          </cell>
          <cell r="FL269" t="str">
            <v/>
          </cell>
          <cell r="FM269" t="str">
            <v/>
          </cell>
          <cell r="FN269" t="str">
            <v/>
          </cell>
          <cell r="FO269" t="str">
            <v/>
          </cell>
          <cell r="FP269" t="str">
            <v/>
          </cell>
        </row>
        <row r="270">
          <cell r="N270">
            <v>0</v>
          </cell>
          <cell r="P270">
            <v>0</v>
          </cell>
          <cell r="Q270">
            <v>4500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AJ270">
            <v>0</v>
          </cell>
          <cell r="AK270">
            <v>0</v>
          </cell>
          <cell r="AL270">
            <v>999999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BE270">
            <v>0</v>
          </cell>
          <cell r="BH270">
            <v>3820</v>
          </cell>
          <cell r="BI270">
            <v>680</v>
          </cell>
          <cell r="BJ270">
            <v>0</v>
          </cell>
          <cell r="BK270">
            <v>0</v>
          </cell>
          <cell r="BL270">
            <v>0</v>
          </cell>
          <cell r="BM270">
            <v>0</v>
          </cell>
          <cell r="BN270">
            <v>0</v>
          </cell>
          <cell r="BO270">
            <v>0</v>
          </cell>
          <cell r="BP270">
            <v>0</v>
          </cell>
          <cell r="BQ270">
            <v>0</v>
          </cell>
          <cell r="CB270">
            <v>0</v>
          </cell>
          <cell r="CC270">
            <v>0</v>
          </cell>
          <cell r="CD270">
            <v>0</v>
          </cell>
          <cell r="CE270">
            <v>0</v>
          </cell>
          <cell r="CF270">
            <v>0</v>
          </cell>
          <cell r="CG270">
            <v>0</v>
          </cell>
          <cell r="CH270">
            <v>0</v>
          </cell>
          <cell r="CI270">
            <v>0</v>
          </cell>
          <cell r="CJ270">
            <v>0</v>
          </cell>
          <cell r="CK270">
            <v>0</v>
          </cell>
          <cell r="CW270">
            <v>0</v>
          </cell>
          <cell r="CY270">
            <v>0</v>
          </cell>
          <cell r="CZ270">
            <v>0</v>
          </cell>
          <cell r="DA270">
            <v>0</v>
          </cell>
          <cell r="DB270">
            <v>0</v>
          </cell>
          <cell r="DC270">
            <v>0</v>
          </cell>
          <cell r="DD270">
            <v>0</v>
          </cell>
          <cell r="DE270">
            <v>0</v>
          </cell>
          <cell r="DF270">
            <v>0</v>
          </cell>
          <cell r="DG270">
            <v>0</v>
          </cell>
          <cell r="DH270">
            <v>0</v>
          </cell>
          <cell r="DS270">
            <v>0</v>
          </cell>
          <cell r="DT270">
            <v>97</v>
          </cell>
          <cell r="DU270">
            <v>999999</v>
          </cell>
          <cell r="DV270">
            <v>999999</v>
          </cell>
          <cell r="DW270">
            <v>999999</v>
          </cell>
          <cell r="DX270">
            <v>0</v>
          </cell>
          <cell r="DY270">
            <v>97</v>
          </cell>
          <cell r="DZ270">
            <v>999999</v>
          </cell>
          <cell r="EA270">
            <v>999999</v>
          </cell>
          <cell r="EB270">
            <v>999999</v>
          </cell>
          <cell r="EC270" t="str">
            <v>Arg</v>
          </cell>
          <cell r="ED270" t="str">
            <v>Arg</v>
          </cell>
          <cell r="EE270">
            <v>0</v>
          </cell>
          <cell r="EF270">
            <v>0</v>
          </cell>
          <cell r="EG270">
            <v>0</v>
          </cell>
          <cell r="EH270">
            <v>0</v>
          </cell>
          <cell r="EI270">
            <v>0</v>
          </cell>
          <cell r="EJ270">
            <v>0</v>
          </cell>
          <cell r="EK270">
            <v>0</v>
          </cell>
          <cell r="EL270">
            <v>0</v>
          </cell>
          <cell r="EM270" t="str">
            <v/>
          </cell>
          <cell r="EN270" t="str">
            <v/>
          </cell>
          <cell r="EO270" t="str">
            <v/>
          </cell>
          <cell r="EP270" t="str">
            <v/>
          </cell>
          <cell r="EQ270" t="str">
            <v/>
          </cell>
          <cell r="ER270" t="str">
            <v/>
          </cell>
          <cell r="ES270" t="str">
            <v/>
          </cell>
          <cell r="ET270" t="str">
            <v/>
          </cell>
          <cell r="EU270" t="str">
            <v/>
          </cell>
          <cell r="EV270" t="str">
            <v/>
          </cell>
          <cell r="EW270" t="str">
            <v/>
          </cell>
          <cell r="EX270" t="str">
            <v/>
          </cell>
          <cell r="EY270" t="str">
            <v/>
          </cell>
          <cell r="EZ270" t="str">
            <v/>
          </cell>
          <cell r="FA270" t="str">
            <v/>
          </cell>
          <cell r="FB270" t="str">
            <v/>
          </cell>
          <cell r="FC270" t="str">
            <v/>
          </cell>
          <cell r="FD270" t="str">
            <v/>
          </cell>
          <cell r="FE270" t="str">
            <v/>
          </cell>
          <cell r="FF270" t="str">
            <v/>
          </cell>
          <cell r="FG270" t="str">
            <v/>
          </cell>
          <cell r="FH270" t="str">
            <v/>
          </cell>
          <cell r="FI270" t="str">
            <v/>
          </cell>
          <cell r="FJ270" t="str">
            <v/>
          </cell>
          <cell r="FK270" t="str">
            <v/>
          </cell>
          <cell r="FL270" t="str">
            <v/>
          </cell>
          <cell r="FM270" t="str">
            <v/>
          </cell>
          <cell r="FN270" t="str">
            <v/>
          </cell>
          <cell r="FO270" t="str">
            <v/>
          </cell>
          <cell r="FP270" t="str">
            <v/>
          </cell>
        </row>
        <row r="271">
          <cell r="N271">
            <v>0</v>
          </cell>
          <cell r="P271">
            <v>0</v>
          </cell>
          <cell r="Q271">
            <v>4500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AJ271">
            <v>0</v>
          </cell>
          <cell r="AK271">
            <v>0</v>
          </cell>
          <cell r="AL271">
            <v>999999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BE271">
            <v>0</v>
          </cell>
          <cell r="BH271">
            <v>0</v>
          </cell>
          <cell r="BI271">
            <v>4070</v>
          </cell>
          <cell r="BJ271">
            <v>430</v>
          </cell>
          <cell r="BK271">
            <v>0</v>
          </cell>
          <cell r="BL271">
            <v>0</v>
          </cell>
          <cell r="BM271">
            <v>0</v>
          </cell>
          <cell r="BN271">
            <v>0</v>
          </cell>
          <cell r="BO271">
            <v>0</v>
          </cell>
          <cell r="BP271">
            <v>0</v>
          </cell>
          <cell r="BQ271">
            <v>0</v>
          </cell>
          <cell r="CB271">
            <v>0</v>
          </cell>
          <cell r="CC271">
            <v>0</v>
          </cell>
          <cell r="CD271">
            <v>0</v>
          </cell>
          <cell r="CE271">
            <v>0</v>
          </cell>
          <cell r="CF271">
            <v>0</v>
          </cell>
          <cell r="CG271">
            <v>0</v>
          </cell>
          <cell r="CH271">
            <v>0</v>
          </cell>
          <cell r="CI271">
            <v>0</v>
          </cell>
          <cell r="CJ271">
            <v>0</v>
          </cell>
          <cell r="CK271">
            <v>0</v>
          </cell>
          <cell r="CW271">
            <v>0</v>
          </cell>
          <cell r="CY271">
            <v>0</v>
          </cell>
          <cell r="CZ271">
            <v>0</v>
          </cell>
          <cell r="DA271">
            <v>0</v>
          </cell>
          <cell r="DB271">
            <v>0</v>
          </cell>
          <cell r="DC271">
            <v>0</v>
          </cell>
          <cell r="DD271">
            <v>0</v>
          </cell>
          <cell r="DE271">
            <v>0</v>
          </cell>
          <cell r="DF271">
            <v>0</v>
          </cell>
          <cell r="DG271">
            <v>0</v>
          </cell>
          <cell r="DH271">
            <v>0</v>
          </cell>
          <cell r="DS271">
            <v>0</v>
          </cell>
          <cell r="DT271">
            <v>96</v>
          </cell>
          <cell r="DU271">
            <v>999999</v>
          </cell>
          <cell r="DV271">
            <v>999999</v>
          </cell>
          <cell r="DW271">
            <v>999999</v>
          </cell>
          <cell r="DX271">
            <v>0</v>
          </cell>
          <cell r="DY271">
            <v>96</v>
          </cell>
          <cell r="DZ271">
            <v>999999</v>
          </cell>
          <cell r="EA271">
            <v>999999</v>
          </cell>
          <cell r="EB271">
            <v>999999</v>
          </cell>
          <cell r="EC271">
            <v>0</v>
          </cell>
          <cell r="ED271" t="str">
            <v>Arg</v>
          </cell>
          <cell r="EE271" t="str">
            <v>Arg</v>
          </cell>
          <cell r="EF271">
            <v>0</v>
          </cell>
          <cell r="EG271">
            <v>0</v>
          </cell>
          <cell r="EH271">
            <v>0</v>
          </cell>
          <cell r="EI271">
            <v>0</v>
          </cell>
          <cell r="EJ271">
            <v>0</v>
          </cell>
          <cell r="EK271">
            <v>0</v>
          </cell>
          <cell r="EL271">
            <v>0</v>
          </cell>
          <cell r="EM271" t="str">
            <v/>
          </cell>
          <cell r="EN271" t="str">
            <v/>
          </cell>
          <cell r="EO271" t="str">
            <v/>
          </cell>
          <cell r="EP271" t="str">
            <v/>
          </cell>
          <cell r="EQ271" t="str">
            <v/>
          </cell>
          <cell r="ER271" t="str">
            <v/>
          </cell>
          <cell r="ES271" t="str">
            <v/>
          </cell>
          <cell r="ET271" t="str">
            <v/>
          </cell>
          <cell r="EU271" t="str">
            <v/>
          </cell>
          <cell r="EV271" t="str">
            <v/>
          </cell>
          <cell r="EW271" t="str">
            <v/>
          </cell>
          <cell r="EX271" t="str">
            <v/>
          </cell>
          <cell r="EY271" t="str">
            <v/>
          </cell>
          <cell r="EZ271" t="str">
            <v/>
          </cell>
          <cell r="FA271" t="str">
            <v/>
          </cell>
          <cell r="FB271" t="str">
            <v/>
          </cell>
          <cell r="FC271" t="str">
            <v/>
          </cell>
          <cell r="FD271" t="str">
            <v/>
          </cell>
          <cell r="FE271" t="str">
            <v/>
          </cell>
          <cell r="FF271" t="str">
            <v/>
          </cell>
          <cell r="FG271" t="str">
            <v/>
          </cell>
          <cell r="FH271" t="str">
            <v/>
          </cell>
          <cell r="FI271" t="str">
            <v/>
          </cell>
          <cell r="FJ271" t="str">
            <v/>
          </cell>
          <cell r="FK271" t="str">
            <v/>
          </cell>
          <cell r="FL271" t="str">
            <v/>
          </cell>
          <cell r="FM271" t="str">
            <v/>
          </cell>
          <cell r="FN271" t="str">
            <v/>
          </cell>
          <cell r="FO271" t="str">
            <v/>
          </cell>
          <cell r="FP271" t="str">
            <v/>
          </cell>
        </row>
        <row r="272">
          <cell r="N272">
            <v>0</v>
          </cell>
          <cell r="P272">
            <v>0</v>
          </cell>
          <cell r="Q272">
            <v>2949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AJ272">
            <v>0</v>
          </cell>
          <cell r="AK272">
            <v>0</v>
          </cell>
          <cell r="AL272">
            <v>999999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BE272">
            <v>0</v>
          </cell>
          <cell r="BH272">
            <v>0</v>
          </cell>
          <cell r="BI272">
            <v>0</v>
          </cell>
          <cell r="BJ272">
            <v>1892</v>
          </cell>
          <cell r="BK272">
            <v>0</v>
          </cell>
          <cell r="BL272">
            <v>0</v>
          </cell>
          <cell r="BM272">
            <v>0</v>
          </cell>
          <cell r="BN272">
            <v>0</v>
          </cell>
          <cell r="BO272">
            <v>0</v>
          </cell>
          <cell r="BP272">
            <v>0</v>
          </cell>
          <cell r="BQ272">
            <v>0</v>
          </cell>
          <cell r="CB272">
            <v>0</v>
          </cell>
          <cell r="CC272">
            <v>0</v>
          </cell>
          <cell r="CD272">
            <v>0</v>
          </cell>
          <cell r="CE272">
            <v>0</v>
          </cell>
          <cell r="CF272">
            <v>0</v>
          </cell>
          <cell r="CG272">
            <v>0</v>
          </cell>
          <cell r="CH272">
            <v>0</v>
          </cell>
          <cell r="CI272">
            <v>0</v>
          </cell>
          <cell r="CJ272">
            <v>0</v>
          </cell>
          <cell r="CK272">
            <v>0</v>
          </cell>
          <cell r="CW272">
            <v>0</v>
          </cell>
          <cell r="CY272">
            <v>0</v>
          </cell>
          <cell r="CZ272">
            <v>0</v>
          </cell>
          <cell r="DA272">
            <v>0</v>
          </cell>
          <cell r="DB272">
            <v>0</v>
          </cell>
          <cell r="DC272">
            <v>0</v>
          </cell>
          <cell r="DD272">
            <v>4500</v>
          </cell>
          <cell r="DE272">
            <v>0</v>
          </cell>
          <cell r="DF272">
            <v>0</v>
          </cell>
          <cell r="DG272">
            <v>0</v>
          </cell>
          <cell r="DH272">
            <v>0</v>
          </cell>
          <cell r="DS272">
            <v>0</v>
          </cell>
          <cell r="DT272">
            <v>95</v>
          </cell>
          <cell r="DU272">
            <v>999999</v>
          </cell>
          <cell r="DV272">
            <v>999999</v>
          </cell>
          <cell r="DW272">
            <v>999999</v>
          </cell>
          <cell r="DX272">
            <v>0</v>
          </cell>
          <cell r="DY272">
            <v>95</v>
          </cell>
          <cell r="DZ272">
            <v>999999</v>
          </cell>
          <cell r="EA272">
            <v>999999</v>
          </cell>
          <cell r="EB272">
            <v>999999</v>
          </cell>
          <cell r="EC272">
            <v>0</v>
          </cell>
          <cell r="ED272">
            <v>0</v>
          </cell>
          <cell r="EE272" t="str">
            <v>Arg</v>
          </cell>
          <cell r="EF272">
            <v>0</v>
          </cell>
          <cell r="EG272">
            <v>0</v>
          </cell>
          <cell r="EH272">
            <v>0</v>
          </cell>
          <cell r="EI272">
            <v>0</v>
          </cell>
          <cell r="EJ272">
            <v>0</v>
          </cell>
          <cell r="EK272">
            <v>0</v>
          </cell>
          <cell r="EL272">
            <v>0</v>
          </cell>
          <cell r="EM272" t="str">
            <v/>
          </cell>
          <cell r="EN272" t="str">
            <v/>
          </cell>
          <cell r="EO272" t="str">
            <v/>
          </cell>
          <cell r="EP272" t="str">
            <v/>
          </cell>
          <cell r="EQ272" t="str">
            <v/>
          </cell>
          <cell r="ER272" t="str">
            <v/>
          </cell>
          <cell r="ES272" t="str">
            <v/>
          </cell>
          <cell r="ET272" t="str">
            <v/>
          </cell>
          <cell r="EU272" t="str">
            <v/>
          </cell>
          <cell r="EV272" t="str">
            <v/>
          </cell>
          <cell r="EW272" t="str">
            <v/>
          </cell>
          <cell r="EX272" t="str">
            <v/>
          </cell>
          <cell r="EY272" t="str">
            <v/>
          </cell>
          <cell r="EZ272" t="str">
            <v/>
          </cell>
          <cell r="FA272" t="str">
            <v/>
          </cell>
          <cell r="FB272" t="str">
            <v/>
          </cell>
          <cell r="FC272" t="str">
            <v/>
          </cell>
          <cell r="FD272" t="str">
            <v/>
          </cell>
          <cell r="FE272" t="str">
            <v/>
          </cell>
          <cell r="FF272" t="str">
            <v/>
          </cell>
          <cell r="FG272" t="str">
            <v/>
          </cell>
          <cell r="FH272" t="str">
            <v/>
          </cell>
          <cell r="FI272" t="str">
            <v/>
          </cell>
          <cell r="FJ272" t="str">
            <v/>
          </cell>
          <cell r="FK272" t="str">
            <v/>
          </cell>
          <cell r="FL272" t="str">
            <v/>
          </cell>
          <cell r="FM272" t="str">
            <v/>
          </cell>
          <cell r="FN272" t="str">
            <v/>
          </cell>
          <cell r="FO272" t="str">
            <v/>
          </cell>
          <cell r="FP272" t="str">
            <v/>
          </cell>
        </row>
        <row r="273">
          <cell r="N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AJ273">
            <v>0</v>
          </cell>
          <cell r="AK273">
            <v>0</v>
          </cell>
          <cell r="AL273">
            <v>999999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BE273">
            <v>48000</v>
          </cell>
          <cell r="BH273">
            <v>0</v>
          </cell>
          <cell r="BI273">
            <v>0</v>
          </cell>
          <cell r="BJ273">
            <v>0</v>
          </cell>
          <cell r="BK273">
            <v>0</v>
          </cell>
          <cell r="BL273">
            <v>0</v>
          </cell>
          <cell r="BM273">
            <v>0</v>
          </cell>
          <cell r="BN273">
            <v>0</v>
          </cell>
          <cell r="BO273">
            <v>0</v>
          </cell>
          <cell r="BP273">
            <v>0</v>
          </cell>
          <cell r="BQ273">
            <v>0</v>
          </cell>
          <cell r="CB273">
            <v>0</v>
          </cell>
          <cell r="CC273">
            <v>0</v>
          </cell>
          <cell r="CD273">
            <v>0</v>
          </cell>
          <cell r="CE273">
            <v>0</v>
          </cell>
          <cell r="CF273">
            <v>0</v>
          </cell>
          <cell r="CG273">
            <v>0</v>
          </cell>
          <cell r="CH273">
            <v>0</v>
          </cell>
          <cell r="CI273">
            <v>0</v>
          </cell>
          <cell r="CJ273">
            <v>0</v>
          </cell>
          <cell r="CK273">
            <v>0</v>
          </cell>
          <cell r="CW273">
            <v>0</v>
          </cell>
          <cell r="CY273">
            <v>0</v>
          </cell>
          <cell r="CZ273">
            <v>0</v>
          </cell>
          <cell r="DA273">
            <v>0</v>
          </cell>
          <cell r="DB273">
            <v>0</v>
          </cell>
          <cell r="DC273">
            <v>0</v>
          </cell>
          <cell r="DD273">
            <v>4500</v>
          </cell>
          <cell r="DE273">
            <v>0</v>
          </cell>
          <cell r="DF273">
            <v>0</v>
          </cell>
          <cell r="DG273">
            <v>0</v>
          </cell>
          <cell r="DH273">
            <v>0</v>
          </cell>
          <cell r="DS273">
            <v>0</v>
          </cell>
          <cell r="DT273">
            <v>94</v>
          </cell>
          <cell r="DU273">
            <v>999999</v>
          </cell>
          <cell r="DV273">
            <v>999999</v>
          </cell>
          <cell r="DW273">
            <v>999999</v>
          </cell>
          <cell r="DX273">
            <v>0</v>
          </cell>
          <cell r="DY273">
            <v>94</v>
          </cell>
          <cell r="DZ273">
            <v>999999</v>
          </cell>
          <cell r="EA273">
            <v>999999</v>
          </cell>
          <cell r="EB273">
            <v>999999</v>
          </cell>
          <cell r="EC273">
            <v>0</v>
          </cell>
          <cell r="ED273">
            <v>0</v>
          </cell>
          <cell r="EE273">
            <v>0</v>
          </cell>
          <cell r="EF273">
            <v>0</v>
          </cell>
          <cell r="EG273">
            <v>0</v>
          </cell>
          <cell r="EH273">
            <v>0</v>
          </cell>
          <cell r="EI273">
            <v>0</v>
          </cell>
          <cell r="EJ273">
            <v>0</v>
          </cell>
          <cell r="EK273">
            <v>0</v>
          </cell>
          <cell r="EL273">
            <v>0</v>
          </cell>
          <cell r="EM273" t="str">
            <v/>
          </cell>
          <cell r="EN273" t="str">
            <v/>
          </cell>
          <cell r="EO273" t="str">
            <v/>
          </cell>
          <cell r="EP273" t="str">
            <v/>
          </cell>
          <cell r="EQ273" t="str">
            <v/>
          </cell>
          <cell r="ER273" t="str">
            <v/>
          </cell>
          <cell r="ES273" t="str">
            <v/>
          </cell>
          <cell r="ET273" t="str">
            <v/>
          </cell>
          <cell r="EU273" t="str">
            <v/>
          </cell>
          <cell r="EV273" t="str">
            <v/>
          </cell>
          <cell r="EW273" t="str">
            <v/>
          </cell>
          <cell r="EX273" t="str">
            <v/>
          </cell>
          <cell r="EY273" t="str">
            <v/>
          </cell>
          <cell r="EZ273" t="str">
            <v/>
          </cell>
          <cell r="FA273" t="str">
            <v/>
          </cell>
          <cell r="FB273" t="str">
            <v/>
          </cell>
          <cell r="FC273" t="str">
            <v/>
          </cell>
          <cell r="FD273" t="str">
            <v/>
          </cell>
          <cell r="FE273" t="str">
            <v/>
          </cell>
          <cell r="FF273" t="str">
            <v/>
          </cell>
          <cell r="FG273" t="str">
            <v/>
          </cell>
          <cell r="FH273" t="str">
            <v/>
          </cell>
          <cell r="FI273" t="str">
            <v/>
          </cell>
          <cell r="FJ273" t="str">
            <v/>
          </cell>
          <cell r="FK273" t="str">
            <v/>
          </cell>
          <cell r="FL273" t="str">
            <v/>
          </cell>
          <cell r="FM273" t="str">
            <v/>
          </cell>
          <cell r="FN273" t="str">
            <v/>
          </cell>
          <cell r="FO273" t="str">
            <v/>
          </cell>
          <cell r="FP273" t="str">
            <v/>
          </cell>
        </row>
        <row r="274">
          <cell r="N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AJ274">
            <v>0</v>
          </cell>
          <cell r="AK274">
            <v>0</v>
          </cell>
          <cell r="AL274">
            <v>999999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BE274">
            <v>0</v>
          </cell>
          <cell r="BH274">
            <v>0</v>
          </cell>
          <cell r="BI274">
            <v>0</v>
          </cell>
          <cell r="BJ274">
            <v>0</v>
          </cell>
          <cell r="BK274">
            <v>0</v>
          </cell>
          <cell r="BL274">
            <v>0</v>
          </cell>
          <cell r="BM274">
            <v>0</v>
          </cell>
          <cell r="BN274">
            <v>0</v>
          </cell>
          <cell r="BO274">
            <v>0</v>
          </cell>
          <cell r="BP274">
            <v>0</v>
          </cell>
          <cell r="BQ274">
            <v>0</v>
          </cell>
          <cell r="CB274">
            <v>0</v>
          </cell>
          <cell r="CC274">
            <v>0</v>
          </cell>
          <cell r="CD274">
            <v>0</v>
          </cell>
          <cell r="CE274">
            <v>0</v>
          </cell>
          <cell r="CF274">
            <v>0</v>
          </cell>
          <cell r="CG274">
            <v>0</v>
          </cell>
          <cell r="CH274">
            <v>0</v>
          </cell>
          <cell r="CI274">
            <v>0</v>
          </cell>
          <cell r="CJ274">
            <v>0</v>
          </cell>
          <cell r="CK274">
            <v>0</v>
          </cell>
          <cell r="CW274">
            <v>0</v>
          </cell>
          <cell r="CY274">
            <v>0</v>
          </cell>
          <cell r="CZ274">
            <v>0</v>
          </cell>
          <cell r="DA274">
            <v>0</v>
          </cell>
          <cell r="DB274">
            <v>0</v>
          </cell>
          <cell r="DC274">
            <v>0</v>
          </cell>
          <cell r="DD274">
            <v>4500</v>
          </cell>
          <cell r="DE274">
            <v>0</v>
          </cell>
          <cell r="DF274">
            <v>0</v>
          </cell>
          <cell r="DG274">
            <v>0</v>
          </cell>
          <cell r="DH274">
            <v>0</v>
          </cell>
          <cell r="DS274">
            <v>0</v>
          </cell>
          <cell r="DT274">
            <v>93</v>
          </cell>
          <cell r="DU274">
            <v>999999</v>
          </cell>
          <cell r="DV274">
            <v>999999</v>
          </cell>
          <cell r="DW274">
            <v>999999</v>
          </cell>
          <cell r="DX274">
            <v>0</v>
          </cell>
          <cell r="DY274">
            <v>93</v>
          </cell>
          <cell r="DZ274">
            <v>999999</v>
          </cell>
          <cell r="EA274">
            <v>999999</v>
          </cell>
          <cell r="EB274">
            <v>999999</v>
          </cell>
          <cell r="EC274">
            <v>0</v>
          </cell>
          <cell r="ED274">
            <v>0</v>
          </cell>
          <cell r="EE274">
            <v>0</v>
          </cell>
          <cell r="EF274">
            <v>0</v>
          </cell>
          <cell r="EG274">
            <v>0</v>
          </cell>
          <cell r="EH274">
            <v>0</v>
          </cell>
          <cell r="EI274">
            <v>0</v>
          </cell>
          <cell r="EJ274">
            <v>0</v>
          </cell>
          <cell r="EK274">
            <v>0</v>
          </cell>
          <cell r="EL274">
            <v>0</v>
          </cell>
          <cell r="EM274" t="str">
            <v/>
          </cell>
          <cell r="EN274" t="str">
            <v/>
          </cell>
          <cell r="EO274" t="str">
            <v/>
          </cell>
          <cell r="EP274" t="str">
            <v/>
          </cell>
          <cell r="EQ274" t="str">
            <v/>
          </cell>
          <cell r="ER274" t="str">
            <v/>
          </cell>
          <cell r="ES274" t="str">
            <v/>
          </cell>
          <cell r="ET274" t="str">
            <v/>
          </cell>
          <cell r="EU274" t="str">
            <v/>
          </cell>
          <cell r="EV274" t="str">
            <v/>
          </cell>
          <cell r="EW274" t="str">
            <v/>
          </cell>
          <cell r="EX274" t="str">
            <v/>
          </cell>
          <cell r="EY274" t="str">
            <v/>
          </cell>
          <cell r="EZ274" t="str">
            <v/>
          </cell>
          <cell r="FA274" t="str">
            <v/>
          </cell>
          <cell r="FB274" t="str">
            <v/>
          </cell>
          <cell r="FC274" t="str">
            <v/>
          </cell>
          <cell r="FD274" t="str">
            <v/>
          </cell>
          <cell r="FE274" t="str">
            <v/>
          </cell>
          <cell r="FF274" t="str">
            <v/>
          </cell>
          <cell r="FG274" t="str">
            <v/>
          </cell>
          <cell r="FH274" t="str">
            <v/>
          </cell>
          <cell r="FI274" t="str">
            <v/>
          </cell>
          <cell r="FJ274" t="str">
            <v/>
          </cell>
          <cell r="FK274" t="str">
            <v/>
          </cell>
          <cell r="FL274" t="str">
            <v/>
          </cell>
          <cell r="FM274" t="str">
            <v/>
          </cell>
          <cell r="FN274" t="str">
            <v/>
          </cell>
          <cell r="FO274" t="str">
            <v/>
          </cell>
          <cell r="FP274" t="str">
            <v/>
          </cell>
        </row>
        <row r="275">
          <cell r="N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AJ275">
            <v>0</v>
          </cell>
          <cell r="AK275">
            <v>0</v>
          </cell>
          <cell r="AL275">
            <v>999999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BE275">
            <v>0</v>
          </cell>
          <cell r="BH275">
            <v>0</v>
          </cell>
          <cell r="BI275">
            <v>0</v>
          </cell>
          <cell r="BJ275">
            <v>0</v>
          </cell>
          <cell r="BK275">
            <v>0</v>
          </cell>
          <cell r="BL275">
            <v>0</v>
          </cell>
          <cell r="BM275">
            <v>0</v>
          </cell>
          <cell r="BN275">
            <v>0</v>
          </cell>
          <cell r="BO275">
            <v>0</v>
          </cell>
          <cell r="BP275">
            <v>0</v>
          </cell>
          <cell r="BQ275">
            <v>0</v>
          </cell>
          <cell r="CB275">
            <v>0</v>
          </cell>
          <cell r="CC275">
            <v>0</v>
          </cell>
          <cell r="CD275">
            <v>0</v>
          </cell>
          <cell r="CE275">
            <v>0</v>
          </cell>
          <cell r="CF275">
            <v>0</v>
          </cell>
          <cell r="CG275">
            <v>0</v>
          </cell>
          <cell r="CH275">
            <v>0</v>
          </cell>
          <cell r="CI275">
            <v>0</v>
          </cell>
          <cell r="CJ275">
            <v>0</v>
          </cell>
          <cell r="CK275">
            <v>0</v>
          </cell>
          <cell r="CW275">
            <v>0</v>
          </cell>
          <cell r="CY275">
            <v>0</v>
          </cell>
          <cell r="CZ275">
            <v>0</v>
          </cell>
          <cell r="DA275">
            <v>0</v>
          </cell>
          <cell r="DB275">
            <v>0</v>
          </cell>
          <cell r="DC275">
            <v>0</v>
          </cell>
          <cell r="DD275">
            <v>2798</v>
          </cell>
          <cell r="DE275">
            <v>0</v>
          </cell>
          <cell r="DF275">
            <v>0</v>
          </cell>
          <cell r="DG275">
            <v>0</v>
          </cell>
          <cell r="DH275">
            <v>0</v>
          </cell>
          <cell r="DS275">
            <v>0</v>
          </cell>
          <cell r="DT275">
            <v>92</v>
          </cell>
          <cell r="DU275">
            <v>999999</v>
          </cell>
          <cell r="DV275">
            <v>999999</v>
          </cell>
          <cell r="DW275">
            <v>999999</v>
          </cell>
          <cell r="DX275">
            <v>0</v>
          </cell>
          <cell r="DY275">
            <v>92</v>
          </cell>
          <cell r="DZ275">
            <v>999999</v>
          </cell>
          <cell r="EA275">
            <v>999999</v>
          </cell>
          <cell r="EB275">
            <v>999999</v>
          </cell>
          <cell r="EC275">
            <v>0</v>
          </cell>
          <cell r="ED275">
            <v>0</v>
          </cell>
          <cell r="EE275">
            <v>0</v>
          </cell>
          <cell r="EF275">
            <v>0</v>
          </cell>
          <cell r="EG275">
            <v>0</v>
          </cell>
          <cell r="EH275">
            <v>0</v>
          </cell>
          <cell r="EI275">
            <v>0</v>
          </cell>
          <cell r="EJ275">
            <v>0</v>
          </cell>
          <cell r="EK275">
            <v>0</v>
          </cell>
          <cell r="EL275">
            <v>0</v>
          </cell>
          <cell r="EM275" t="str">
            <v/>
          </cell>
          <cell r="EN275" t="str">
            <v/>
          </cell>
          <cell r="EO275" t="str">
            <v/>
          </cell>
          <cell r="EP275" t="str">
            <v/>
          </cell>
          <cell r="EQ275" t="str">
            <v/>
          </cell>
          <cell r="ER275" t="str">
            <v/>
          </cell>
          <cell r="ES275" t="str">
            <v/>
          </cell>
          <cell r="ET275" t="str">
            <v/>
          </cell>
          <cell r="EU275" t="str">
            <v/>
          </cell>
          <cell r="EV275" t="str">
            <v/>
          </cell>
          <cell r="EW275" t="str">
            <v/>
          </cell>
          <cell r="EX275" t="str">
            <v/>
          </cell>
          <cell r="EY275" t="str">
            <v/>
          </cell>
          <cell r="EZ275" t="str">
            <v/>
          </cell>
          <cell r="FA275" t="str">
            <v/>
          </cell>
          <cell r="FB275" t="str">
            <v/>
          </cell>
          <cell r="FC275" t="str">
            <v/>
          </cell>
          <cell r="FD275" t="str">
            <v/>
          </cell>
          <cell r="FE275" t="str">
            <v/>
          </cell>
          <cell r="FF275" t="str">
            <v/>
          </cell>
          <cell r="FG275" t="str">
            <v/>
          </cell>
          <cell r="FH275" t="str">
            <v/>
          </cell>
          <cell r="FI275" t="str">
            <v/>
          </cell>
          <cell r="FJ275" t="str">
            <v/>
          </cell>
          <cell r="FK275" t="str">
            <v/>
          </cell>
          <cell r="FL275" t="str">
            <v/>
          </cell>
          <cell r="FM275" t="str">
            <v/>
          </cell>
          <cell r="FN275" t="str">
            <v/>
          </cell>
          <cell r="FO275" t="str">
            <v/>
          </cell>
          <cell r="FP275" t="str">
            <v/>
          </cell>
        </row>
        <row r="276">
          <cell r="N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AJ276">
            <v>0</v>
          </cell>
          <cell r="AK276">
            <v>0</v>
          </cell>
          <cell r="AL276">
            <v>999999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BE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  <cell r="BP276">
            <v>0</v>
          </cell>
          <cell r="BQ276">
            <v>0</v>
          </cell>
          <cell r="CB276">
            <v>0</v>
          </cell>
          <cell r="CC276">
            <v>0</v>
          </cell>
          <cell r="CD276">
            <v>0</v>
          </cell>
          <cell r="CE276">
            <v>0</v>
          </cell>
          <cell r="CF276">
            <v>0</v>
          </cell>
          <cell r="CG276">
            <v>0</v>
          </cell>
          <cell r="CH276">
            <v>0</v>
          </cell>
          <cell r="CI276">
            <v>0</v>
          </cell>
          <cell r="CJ276">
            <v>0</v>
          </cell>
          <cell r="CK276">
            <v>0</v>
          </cell>
          <cell r="CW276">
            <v>0</v>
          </cell>
          <cell r="CY276">
            <v>0</v>
          </cell>
          <cell r="CZ276">
            <v>0</v>
          </cell>
          <cell r="DA276">
            <v>0</v>
          </cell>
          <cell r="DB276">
            <v>0</v>
          </cell>
          <cell r="DC276">
            <v>0</v>
          </cell>
          <cell r="DD276">
            <v>0</v>
          </cell>
          <cell r="DE276">
            <v>0</v>
          </cell>
          <cell r="DF276">
            <v>0</v>
          </cell>
          <cell r="DG276">
            <v>0</v>
          </cell>
          <cell r="DH276">
            <v>0</v>
          </cell>
          <cell r="DS276">
            <v>0</v>
          </cell>
          <cell r="DT276">
            <v>91</v>
          </cell>
          <cell r="DU276">
            <v>999999</v>
          </cell>
          <cell r="DV276">
            <v>999999</v>
          </cell>
          <cell r="DW276">
            <v>999999</v>
          </cell>
          <cell r="DX276">
            <v>0</v>
          </cell>
          <cell r="DY276">
            <v>91</v>
          </cell>
          <cell r="DZ276">
            <v>999999</v>
          </cell>
          <cell r="EA276">
            <v>999999</v>
          </cell>
          <cell r="EB276">
            <v>999999</v>
          </cell>
          <cell r="EC276">
            <v>0</v>
          </cell>
          <cell r="ED276">
            <v>0</v>
          </cell>
          <cell r="EE276">
            <v>0</v>
          </cell>
          <cell r="EF276">
            <v>0</v>
          </cell>
          <cell r="EG276">
            <v>0</v>
          </cell>
          <cell r="EH276">
            <v>0</v>
          </cell>
          <cell r="EI276">
            <v>0</v>
          </cell>
          <cell r="EJ276">
            <v>0</v>
          </cell>
          <cell r="EK276">
            <v>0</v>
          </cell>
          <cell r="EL276">
            <v>0</v>
          </cell>
          <cell r="EM276" t="str">
            <v/>
          </cell>
          <cell r="EN276" t="str">
            <v/>
          </cell>
          <cell r="EO276" t="str">
            <v/>
          </cell>
          <cell r="EP276" t="str">
            <v/>
          </cell>
          <cell r="EQ276" t="str">
            <v/>
          </cell>
          <cell r="ER276" t="str">
            <v/>
          </cell>
          <cell r="ES276" t="str">
            <v/>
          </cell>
          <cell r="ET276" t="str">
            <v/>
          </cell>
          <cell r="EU276" t="str">
            <v/>
          </cell>
          <cell r="EV276" t="str">
            <v/>
          </cell>
          <cell r="EW276" t="str">
            <v/>
          </cell>
          <cell r="EX276" t="str">
            <v/>
          </cell>
          <cell r="EY276" t="str">
            <v/>
          </cell>
          <cell r="EZ276" t="str">
            <v/>
          </cell>
          <cell r="FA276" t="str">
            <v/>
          </cell>
          <cell r="FB276" t="str">
            <v/>
          </cell>
          <cell r="FC276" t="str">
            <v/>
          </cell>
          <cell r="FD276" t="str">
            <v/>
          </cell>
          <cell r="FE276" t="str">
            <v/>
          </cell>
          <cell r="FF276" t="str">
            <v/>
          </cell>
          <cell r="FG276" t="str">
            <v/>
          </cell>
          <cell r="FH276" t="str">
            <v/>
          </cell>
          <cell r="FI276" t="str">
            <v/>
          </cell>
          <cell r="FJ276" t="str">
            <v/>
          </cell>
          <cell r="FK276" t="str">
            <v/>
          </cell>
          <cell r="FL276" t="str">
            <v/>
          </cell>
          <cell r="FM276" t="str">
            <v/>
          </cell>
          <cell r="FN276" t="str">
            <v/>
          </cell>
          <cell r="FO276" t="str">
            <v/>
          </cell>
          <cell r="FP276" t="str">
            <v/>
          </cell>
        </row>
        <row r="277">
          <cell r="N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2828</v>
          </cell>
          <cell r="V277">
            <v>1672</v>
          </cell>
          <cell r="W277">
            <v>0</v>
          </cell>
          <cell r="X277">
            <v>0</v>
          </cell>
          <cell r="Y277">
            <v>0</v>
          </cell>
          <cell r="AJ277">
            <v>0</v>
          </cell>
          <cell r="AK277">
            <v>0</v>
          </cell>
          <cell r="AL277">
            <v>999999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BE277">
            <v>0</v>
          </cell>
          <cell r="BH277">
            <v>0</v>
          </cell>
          <cell r="BI277">
            <v>0</v>
          </cell>
          <cell r="BJ277">
            <v>0</v>
          </cell>
          <cell r="BK277">
            <v>0</v>
          </cell>
          <cell r="BL277">
            <v>0</v>
          </cell>
          <cell r="BM277">
            <v>4307</v>
          </cell>
          <cell r="BN277">
            <v>193</v>
          </cell>
          <cell r="BO277">
            <v>0</v>
          </cell>
          <cell r="BP277">
            <v>0</v>
          </cell>
          <cell r="BQ277">
            <v>0</v>
          </cell>
          <cell r="CB277">
            <v>0</v>
          </cell>
          <cell r="CC277">
            <v>0</v>
          </cell>
          <cell r="CD277">
            <v>0</v>
          </cell>
          <cell r="CE277">
            <v>0</v>
          </cell>
          <cell r="CF277">
            <v>0</v>
          </cell>
          <cell r="CG277">
            <v>0</v>
          </cell>
          <cell r="CH277">
            <v>0</v>
          </cell>
          <cell r="CI277">
            <v>0</v>
          </cell>
          <cell r="CJ277">
            <v>0</v>
          </cell>
          <cell r="CK277">
            <v>0</v>
          </cell>
          <cell r="CW277">
            <v>0</v>
          </cell>
          <cell r="CY277">
            <v>0</v>
          </cell>
          <cell r="CZ277">
            <v>0</v>
          </cell>
          <cell r="DA277">
            <v>0</v>
          </cell>
          <cell r="DB277">
            <v>0</v>
          </cell>
          <cell r="DC277">
            <v>0</v>
          </cell>
          <cell r="DD277">
            <v>0</v>
          </cell>
          <cell r="DE277">
            <v>0</v>
          </cell>
          <cell r="DF277">
            <v>0</v>
          </cell>
          <cell r="DG277">
            <v>0</v>
          </cell>
          <cell r="DH277">
            <v>0</v>
          </cell>
          <cell r="DS277">
            <v>0</v>
          </cell>
          <cell r="DT277">
            <v>90</v>
          </cell>
          <cell r="DU277">
            <v>999999</v>
          </cell>
          <cell r="DV277">
            <v>999999</v>
          </cell>
          <cell r="DW277">
            <v>999999</v>
          </cell>
          <cell r="DX277">
            <v>0</v>
          </cell>
          <cell r="DY277">
            <v>90</v>
          </cell>
          <cell r="DZ277">
            <v>999999</v>
          </cell>
          <cell r="EA277">
            <v>999999</v>
          </cell>
          <cell r="EB277">
            <v>999999</v>
          </cell>
          <cell r="EC277">
            <v>0</v>
          </cell>
          <cell r="ED277">
            <v>0</v>
          </cell>
          <cell r="EE277">
            <v>0</v>
          </cell>
          <cell r="EF277">
            <v>0</v>
          </cell>
          <cell r="EG277">
            <v>0</v>
          </cell>
          <cell r="EH277" t="str">
            <v>Arg</v>
          </cell>
          <cell r="EI277" t="str">
            <v>Arg</v>
          </cell>
          <cell r="EJ277">
            <v>0</v>
          </cell>
          <cell r="EK277">
            <v>0</v>
          </cell>
          <cell r="EL277">
            <v>0</v>
          </cell>
          <cell r="EM277" t="str">
            <v/>
          </cell>
          <cell r="EN277" t="str">
            <v/>
          </cell>
          <cell r="EO277" t="str">
            <v/>
          </cell>
          <cell r="EP277" t="str">
            <v/>
          </cell>
          <cell r="EQ277" t="str">
            <v/>
          </cell>
          <cell r="ER277" t="str">
            <v/>
          </cell>
          <cell r="ES277" t="str">
            <v/>
          </cell>
          <cell r="ET277" t="str">
            <v/>
          </cell>
          <cell r="EU277" t="str">
            <v/>
          </cell>
          <cell r="EV277" t="str">
            <v/>
          </cell>
          <cell r="EW277" t="str">
            <v/>
          </cell>
          <cell r="EX277" t="str">
            <v/>
          </cell>
          <cell r="EY277" t="str">
            <v/>
          </cell>
          <cell r="EZ277" t="str">
            <v/>
          </cell>
          <cell r="FA277" t="str">
            <v/>
          </cell>
          <cell r="FB277" t="str">
            <v/>
          </cell>
          <cell r="FC277" t="str">
            <v/>
          </cell>
          <cell r="FD277" t="str">
            <v/>
          </cell>
          <cell r="FE277" t="str">
            <v/>
          </cell>
          <cell r="FF277" t="str">
            <v/>
          </cell>
          <cell r="FG277" t="str">
            <v/>
          </cell>
          <cell r="FH277" t="str">
            <v/>
          </cell>
          <cell r="FI277" t="str">
            <v/>
          </cell>
          <cell r="FJ277" t="str">
            <v/>
          </cell>
          <cell r="FK277" t="str">
            <v/>
          </cell>
          <cell r="FL277" t="str">
            <v/>
          </cell>
          <cell r="FM277" t="str">
            <v/>
          </cell>
          <cell r="FN277" t="str">
            <v/>
          </cell>
          <cell r="FO277" t="str">
            <v/>
          </cell>
          <cell r="FP277" t="str">
            <v/>
          </cell>
        </row>
        <row r="278">
          <cell r="N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3556</v>
          </cell>
          <cell r="W278">
            <v>944</v>
          </cell>
          <cell r="X278">
            <v>0</v>
          </cell>
          <cell r="Y278">
            <v>0</v>
          </cell>
          <cell r="AJ278">
            <v>0</v>
          </cell>
          <cell r="AK278">
            <v>0</v>
          </cell>
          <cell r="AL278">
            <v>999999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BE278">
            <v>0</v>
          </cell>
          <cell r="BH278">
            <v>0</v>
          </cell>
          <cell r="BI278">
            <v>0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4500</v>
          </cell>
          <cell r="BO278">
            <v>0</v>
          </cell>
          <cell r="BP278">
            <v>0</v>
          </cell>
          <cell r="BQ278">
            <v>0</v>
          </cell>
          <cell r="CB278">
            <v>0</v>
          </cell>
          <cell r="CC278">
            <v>0</v>
          </cell>
          <cell r="CD278">
            <v>0</v>
          </cell>
          <cell r="CE278">
            <v>0</v>
          </cell>
          <cell r="CF278">
            <v>0</v>
          </cell>
          <cell r="CG278">
            <v>0</v>
          </cell>
          <cell r="CH278">
            <v>0</v>
          </cell>
          <cell r="CI278">
            <v>0</v>
          </cell>
          <cell r="CJ278">
            <v>0</v>
          </cell>
          <cell r="CK278">
            <v>0</v>
          </cell>
          <cell r="CW278">
            <v>0</v>
          </cell>
          <cell r="CY278">
            <v>0</v>
          </cell>
          <cell r="CZ278">
            <v>0</v>
          </cell>
          <cell r="DA278">
            <v>0</v>
          </cell>
          <cell r="DB278">
            <v>0</v>
          </cell>
          <cell r="DC278">
            <v>0</v>
          </cell>
          <cell r="DD278">
            <v>0</v>
          </cell>
          <cell r="DE278">
            <v>0</v>
          </cell>
          <cell r="DF278">
            <v>0</v>
          </cell>
          <cell r="DG278">
            <v>0</v>
          </cell>
          <cell r="DH278">
            <v>0</v>
          </cell>
          <cell r="DS278">
            <v>0</v>
          </cell>
          <cell r="DT278">
            <v>89</v>
          </cell>
          <cell r="DU278">
            <v>999999</v>
          </cell>
          <cell r="DV278">
            <v>999999</v>
          </cell>
          <cell r="DW278">
            <v>999999</v>
          </cell>
          <cell r="DX278">
            <v>0</v>
          </cell>
          <cell r="DY278">
            <v>89</v>
          </cell>
          <cell r="DZ278">
            <v>999999</v>
          </cell>
          <cell r="EA278">
            <v>999999</v>
          </cell>
          <cell r="EB278">
            <v>999999</v>
          </cell>
          <cell r="EC278">
            <v>0</v>
          </cell>
          <cell r="ED278">
            <v>0</v>
          </cell>
          <cell r="EE278">
            <v>0</v>
          </cell>
          <cell r="EF278">
            <v>0</v>
          </cell>
          <cell r="EG278">
            <v>0</v>
          </cell>
          <cell r="EH278">
            <v>0</v>
          </cell>
          <cell r="EI278" t="str">
            <v>Arg</v>
          </cell>
          <cell r="EJ278">
            <v>0</v>
          </cell>
          <cell r="EK278">
            <v>0</v>
          </cell>
          <cell r="EL278">
            <v>0</v>
          </cell>
          <cell r="EM278" t="str">
            <v/>
          </cell>
          <cell r="EN278" t="str">
            <v/>
          </cell>
          <cell r="EO278" t="str">
            <v/>
          </cell>
          <cell r="EP278" t="str">
            <v/>
          </cell>
          <cell r="EQ278" t="str">
            <v/>
          </cell>
          <cell r="ER278" t="str">
            <v/>
          </cell>
          <cell r="ES278" t="str">
            <v/>
          </cell>
          <cell r="ET278" t="str">
            <v/>
          </cell>
          <cell r="EU278" t="str">
            <v/>
          </cell>
          <cell r="EV278" t="str">
            <v/>
          </cell>
          <cell r="EW278" t="str">
            <v/>
          </cell>
          <cell r="EX278" t="str">
            <v/>
          </cell>
          <cell r="EY278" t="str">
            <v/>
          </cell>
          <cell r="EZ278" t="str">
            <v/>
          </cell>
          <cell r="FA278" t="str">
            <v/>
          </cell>
          <cell r="FB278" t="str">
            <v/>
          </cell>
          <cell r="FC278" t="str">
            <v/>
          </cell>
          <cell r="FD278" t="str">
            <v/>
          </cell>
          <cell r="FE278" t="str">
            <v/>
          </cell>
          <cell r="FF278" t="str">
            <v/>
          </cell>
          <cell r="FG278" t="str">
            <v/>
          </cell>
          <cell r="FH278" t="str">
            <v/>
          </cell>
          <cell r="FI278" t="str">
            <v/>
          </cell>
          <cell r="FJ278" t="str">
            <v/>
          </cell>
          <cell r="FK278" t="str">
            <v/>
          </cell>
          <cell r="FL278" t="str">
            <v/>
          </cell>
          <cell r="FM278" t="str">
            <v/>
          </cell>
          <cell r="FN278" t="str">
            <v/>
          </cell>
          <cell r="FO278" t="str">
            <v/>
          </cell>
          <cell r="FP278" t="str">
            <v/>
          </cell>
        </row>
        <row r="279">
          <cell r="N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4284</v>
          </cell>
          <cell r="X279">
            <v>0</v>
          </cell>
          <cell r="Y279">
            <v>0</v>
          </cell>
          <cell r="AJ279">
            <v>0</v>
          </cell>
          <cell r="AK279">
            <v>0</v>
          </cell>
          <cell r="AL279">
            <v>999999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BE279">
            <v>0</v>
          </cell>
          <cell r="BH279">
            <v>0</v>
          </cell>
          <cell r="BI279">
            <v>0</v>
          </cell>
          <cell r="BJ279">
            <v>0</v>
          </cell>
          <cell r="BK279">
            <v>0</v>
          </cell>
          <cell r="BL279">
            <v>0</v>
          </cell>
          <cell r="BM279">
            <v>0</v>
          </cell>
          <cell r="BN279">
            <v>57</v>
          </cell>
          <cell r="BO279">
            <v>4307</v>
          </cell>
          <cell r="BP279">
            <v>0</v>
          </cell>
          <cell r="BQ279">
            <v>0</v>
          </cell>
          <cell r="CB279">
            <v>0</v>
          </cell>
          <cell r="CC279">
            <v>0</v>
          </cell>
          <cell r="CD279">
            <v>0</v>
          </cell>
          <cell r="CE279">
            <v>0</v>
          </cell>
          <cell r="CF279">
            <v>0</v>
          </cell>
          <cell r="CG279">
            <v>0</v>
          </cell>
          <cell r="CH279">
            <v>0</v>
          </cell>
          <cell r="CI279">
            <v>0</v>
          </cell>
          <cell r="CJ279">
            <v>0</v>
          </cell>
          <cell r="CK279">
            <v>0</v>
          </cell>
          <cell r="CW279">
            <v>0</v>
          </cell>
          <cell r="CY279">
            <v>0</v>
          </cell>
          <cell r="CZ279">
            <v>0</v>
          </cell>
          <cell r="DA279">
            <v>0</v>
          </cell>
          <cell r="DB279">
            <v>0</v>
          </cell>
          <cell r="DC279">
            <v>0</v>
          </cell>
          <cell r="DD279">
            <v>0</v>
          </cell>
          <cell r="DE279">
            <v>0</v>
          </cell>
          <cell r="DF279">
            <v>0</v>
          </cell>
          <cell r="DG279">
            <v>0</v>
          </cell>
          <cell r="DH279">
            <v>0</v>
          </cell>
          <cell r="DS279">
            <v>0</v>
          </cell>
          <cell r="DT279">
            <v>88</v>
          </cell>
          <cell r="DU279">
            <v>999999</v>
          </cell>
          <cell r="DV279">
            <v>999999</v>
          </cell>
          <cell r="DW279">
            <v>999999</v>
          </cell>
          <cell r="DX279">
            <v>0</v>
          </cell>
          <cell r="DY279">
            <v>88</v>
          </cell>
          <cell r="DZ279">
            <v>999999</v>
          </cell>
          <cell r="EA279">
            <v>999999</v>
          </cell>
          <cell r="EB279">
            <v>999999</v>
          </cell>
          <cell r="EC279">
            <v>0</v>
          </cell>
          <cell r="ED279">
            <v>0</v>
          </cell>
          <cell r="EE279">
            <v>0</v>
          </cell>
          <cell r="EF279">
            <v>0</v>
          </cell>
          <cell r="EG279">
            <v>0</v>
          </cell>
          <cell r="EH279">
            <v>0</v>
          </cell>
          <cell r="EI279" t="str">
            <v>Arg</v>
          </cell>
          <cell r="EJ279" t="str">
            <v>Arg</v>
          </cell>
          <cell r="EK279">
            <v>0</v>
          </cell>
          <cell r="EL279">
            <v>0</v>
          </cell>
          <cell r="EM279" t="str">
            <v/>
          </cell>
          <cell r="EN279" t="str">
            <v/>
          </cell>
          <cell r="EO279" t="str">
            <v/>
          </cell>
          <cell r="EP279" t="str">
            <v/>
          </cell>
          <cell r="EQ279" t="str">
            <v/>
          </cell>
          <cell r="ER279" t="str">
            <v/>
          </cell>
          <cell r="ES279" t="str">
            <v/>
          </cell>
          <cell r="ET279" t="str">
            <v/>
          </cell>
          <cell r="EU279" t="str">
            <v/>
          </cell>
          <cell r="EV279" t="str">
            <v/>
          </cell>
          <cell r="EW279" t="str">
            <v/>
          </cell>
          <cell r="EX279" t="str">
            <v/>
          </cell>
          <cell r="EY279" t="str">
            <v/>
          </cell>
          <cell r="EZ279" t="str">
            <v/>
          </cell>
          <cell r="FA279" t="str">
            <v/>
          </cell>
          <cell r="FB279" t="str">
            <v/>
          </cell>
          <cell r="FC279" t="str">
            <v/>
          </cell>
          <cell r="FD279" t="str">
            <v/>
          </cell>
          <cell r="FE279" t="str">
            <v/>
          </cell>
          <cell r="FF279" t="str">
            <v/>
          </cell>
          <cell r="FG279" t="str">
            <v/>
          </cell>
          <cell r="FH279" t="str">
            <v/>
          </cell>
          <cell r="FI279" t="str">
            <v/>
          </cell>
          <cell r="FJ279" t="str">
            <v/>
          </cell>
          <cell r="FK279" t="str">
            <v/>
          </cell>
          <cell r="FL279" t="str">
            <v/>
          </cell>
          <cell r="FM279" t="str">
            <v/>
          </cell>
          <cell r="FN279" t="str">
            <v/>
          </cell>
          <cell r="FO279" t="str">
            <v/>
          </cell>
          <cell r="FP279" t="str">
            <v/>
          </cell>
        </row>
        <row r="280">
          <cell r="N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AJ280">
            <v>0</v>
          </cell>
          <cell r="AK280">
            <v>0</v>
          </cell>
          <cell r="AL280">
            <v>999999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BE280">
            <v>0</v>
          </cell>
          <cell r="BH280">
            <v>0</v>
          </cell>
          <cell r="BI280">
            <v>0</v>
          </cell>
          <cell r="BJ280">
            <v>0</v>
          </cell>
          <cell r="BK280">
            <v>0</v>
          </cell>
          <cell r="BL280">
            <v>0</v>
          </cell>
          <cell r="BM280">
            <v>0</v>
          </cell>
          <cell r="BN280">
            <v>0</v>
          </cell>
          <cell r="BO280">
            <v>4171</v>
          </cell>
          <cell r="BP280">
            <v>0</v>
          </cell>
          <cell r="BQ280">
            <v>0</v>
          </cell>
          <cell r="CB280">
            <v>0</v>
          </cell>
          <cell r="CC280">
            <v>0</v>
          </cell>
          <cell r="CD280">
            <v>0</v>
          </cell>
          <cell r="CE280">
            <v>0</v>
          </cell>
          <cell r="CF280">
            <v>0</v>
          </cell>
          <cell r="CG280">
            <v>0</v>
          </cell>
          <cell r="CH280">
            <v>0</v>
          </cell>
          <cell r="CI280">
            <v>0</v>
          </cell>
          <cell r="CJ280">
            <v>0</v>
          </cell>
          <cell r="CK280">
            <v>0</v>
          </cell>
          <cell r="CW280">
            <v>0</v>
          </cell>
          <cell r="CY280">
            <v>0</v>
          </cell>
          <cell r="CZ280">
            <v>0</v>
          </cell>
          <cell r="DA280">
            <v>0</v>
          </cell>
          <cell r="DB280">
            <v>0</v>
          </cell>
          <cell r="DC280">
            <v>0</v>
          </cell>
          <cell r="DD280">
            <v>0</v>
          </cell>
          <cell r="DE280">
            <v>0</v>
          </cell>
          <cell r="DF280">
            <v>0</v>
          </cell>
          <cell r="DG280">
            <v>0</v>
          </cell>
          <cell r="DH280">
            <v>0</v>
          </cell>
          <cell r="DS280">
            <v>0</v>
          </cell>
          <cell r="DT280">
            <v>87</v>
          </cell>
          <cell r="DU280">
            <v>999999</v>
          </cell>
          <cell r="DV280">
            <v>999999</v>
          </cell>
          <cell r="DW280">
            <v>999999</v>
          </cell>
          <cell r="DX280">
            <v>0</v>
          </cell>
          <cell r="DY280">
            <v>87</v>
          </cell>
          <cell r="DZ280">
            <v>999999</v>
          </cell>
          <cell r="EA280">
            <v>999999</v>
          </cell>
          <cell r="EB280">
            <v>999999</v>
          </cell>
          <cell r="EC280">
            <v>0</v>
          </cell>
          <cell r="ED280">
            <v>0</v>
          </cell>
          <cell r="EE280">
            <v>0</v>
          </cell>
          <cell r="EF280">
            <v>0</v>
          </cell>
          <cell r="EG280">
            <v>0</v>
          </cell>
          <cell r="EH280">
            <v>0</v>
          </cell>
          <cell r="EI280">
            <v>0</v>
          </cell>
          <cell r="EJ280" t="str">
            <v>Arg</v>
          </cell>
          <cell r="EK280">
            <v>0</v>
          </cell>
          <cell r="EL280">
            <v>0</v>
          </cell>
          <cell r="EM280" t="str">
            <v/>
          </cell>
          <cell r="EN280" t="str">
            <v/>
          </cell>
          <cell r="EO280" t="str">
            <v/>
          </cell>
          <cell r="EP280" t="str">
            <v/>
          </cell>
          <cell r="EQ280" t="str">
            <v/>
          </cell>
          <cell r="ER280" t="str">
            <v/>
          </cell>
          <cell r="ES280" t="str">
            <v/>
          </cell>
          <cell r="ET280" t="str">
            <v/>
          </cell>
          <cell r="EU280" t="str">
            <v/>
          </cell>
          <cell r="EV280" t="str">
            <v/>
          </cell>
          <cell r="EW280" t="str">
            <v/>
          </cell>
          <cell r="EX280" t="str">
            <v/>
          </cell>
          <cell r="EY280" t="str">
            <v/>
          </cell>
          <cell r="EZ280" t="str">
            <v/>
          </cell>
          <cell r="FA280" t="str">
            <v/>
          </cell>
          <cell r="FB280" t="str">
            <v/>
          </cell>
          <cell r="FC280" t="str">
            <v/>
          </cell>
          <cell r="FD280" t="str">
            <v/>
          </cell>
          <cell r="FE280" t="str">
            <v/>
          </cell>
          <cell r="FF280" t="str">
            <v/>
          </cell>
          <cell r="FG280" t="str">
            <v/>
          </cell>
          <cell r="FH280" t="str">
            <v/>
          </cell>
          <cell r="FI280" t="str">
            <v/>
          </cell>
          <cell r="FJ280" t="str">
            <v/>
          </cell>
          <cell r="FK280" t="str">
            <v/>
          </cell>
          <cell r="FL280" t="str">
            <v/>
          </cell>
          <cell r="FM280" t="str">
            <v/>
          </cell>
          <cell r="FN280" t="str">
            <v/>
          </cell>
          <cell r="FO280" t="str">
            <v/>
          </cell>
          <cell r="FP280" t="str">
            <v/>
          </cell>
        </row>
        <row r="281">
          <cell r="N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AJ281">
            <v>0</v>
          </cell>
          <cell r="AK281">
            <v>0</v>
          </cell>
          <cell r="AL281">
            <v>999999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BE281">
            <v>48000</v>
          </cell>
          <cell r="BH281">
            <v>0</v>
          </cell>
          <cell r="BI281">
            <v>0</v>
          </cell>
          <cell r="BJ281">
            <v>0</v>
          </cell>
          <cell r="BK281">
            <v>0</v>
          </cell>
          <cell r="BL281">
            <v>0</v>
          </cell>
          <cell r="BM281">
            <v>0</v>
          </cell>
          <cell r="BN281">
            <v>0</v>
          </cell>
          <cell r="BO281">
            <v>0</v>
          </cell>
          <cell r="BP281">
            <v>0</v>
          </cell>
          <cell r="BQ281">
            <v>0</v>
          </cell>
          <cell r="CB281">
            <v>0</v>
          </cell>
          <cell r="CC281">
            <v>0</v>
          </cell>
          <cell r="CD281">
            <v>0</v>
          </cell>
          <cell r="CE281">
            <v>0</v>
          </cell>
          <cell r="CF281">
            <v>0</v>
          </cell>
          <cell r="CG281">
            <v>0</v>
          </cell>
          <cell r="CH281">
            <v>0</v>
          </cell>
          <cell r="CI281">
            <v>0</v>
          </cell>
          <cell r="CJ281">
            <v>0</v>
          </cell>
          <cell r="CK281">
            <v>0</v>
          </cell>
          <cell r="CW281">
            <v>0</v>
          </cell>
          <cell r="CY281">
            <v>0</v>
          </cell>
          <cell r="CZ281">
            <v>0</v>
          </cell>
          <cell r="DA281">
            <v>0</v>
          </cell>
          <cell r="DB281">
            <v>0</v>
          </cell>
          <cell r="DC281">
            <v>0</v>
          </cell>
          <cell r="DD281">
            <v>0</v>
          </cell>
          <cell r="DE281">
            <v>0</v>
          </cell>
          <cell r="DF281">
            <v>0</v>
          </cell>
          <cell r="DG281">
            <v>0</v>
          </cell>
          <cell r="DH281">
            <v>0</v>
          </cell>
          <cell r="DS281">
            <v>0</v>
          </cell>
          <cell r="DT281">
            <v>86</v>
          </cell>
          <cell r="DU281">
            <v>999999</v>
          </cell>
          <cell r="DV281">
            <v>999999</v>
          </cell>
          <cell r="DW281">
            <v>999999</v>
          </cell>
          <cell r="DX281">
            <v>0</v>
          </cell>
          <cell r="DY281">
            <v>86</v>
          </cell>
          <cell r="DZ281">
            <v>999999</v>
          </cell>
          <cell r="EA281">
            <v>999999</v>
          </cell>
          <cell r="EB281">
            <v>999999</v>
          </cell>
          <cell r="EC281">
            <v>0</v>
          </cell>
          <cell r="ED281">
            <v>0</v>
          </cell>
          <cell r="EE281">
            <v>0</v>
          </cell>
          <cell r="EF281">
            <v>0</v>
          </cell>
          <cell r="EG281">
            <v>0</v>
          </cell>
          <cell r="EH281">
            <v>0</v>
          </cell>
          <cell r="EI281">
            <v>0</v>
          </cell>
          <cell r="EJ281">
            <v>0</v>
          </cell>
          <cell r="EK281">
            <v>0</v>
          </cell>
          <cell r="EL281">
            <v>0</v>
          </cell>
          <cell r="EM281" t="str">
            <v/>
          </cell>
          <cell r="EN281" t="str">
            <v/>
          </cell>
          <cell r="EO281" t="str">
            <v/>
          </cell>
          <cell r="EP281" t="str">
            <v/>
          </cell>
          <cell r="EQ281" t="str">
            <v/>
          </cell>
          <cell r="ER281" t="str">
            <v/>
          </cell>
          <cell r="ES281" t="str">
            <v/>
          </cell>
          <cell r="ET281" t="str">
            <v/>
          </cell>
          <cell r="EU281" t="str">
            <v/>
          </cell>
          <cell r="EV281" t="str">
            <v/>
          </cell>
          <cell r="EW281" t="str">
            <v/>
          </cell>
          <cell r="EX281" t="str">
            <v/>
          </cell>
          <cell r="EY281" t="str">
            <v/>
          </cell>
          <cell r="EZ281" t="str">
            <v/>
          </cell>
          <cell r="FA281" t="str">
            <v/>
          </cell>
          <cell r="FB281" t="str">
            <v/>
          </cell>
          <cell r="FC281" t="str">
            <v/>
          </cell>
          <cell r="FD281" t="str">
            <v/>
          </cell>
          <cell r="FE281" t="str">
            <v/>
          </cell>
          <cell r="FF281" t="str">
            <v/>
          </cell>
          <cell r="FG281" t="str">
            <v/>
          </cell>
          <cell r="FH281" t="str">
            <v/>
          </cell>
          <cell r="FI281" t="str">
            <v/>
          </cell>
          <cell r="FJ281" t="str">
            <v/>
          </cell>
          <cell r="FK281" t="str">
            <v/>
          </cell>
          <cell r="FL281" t="str">
            <v/>
          </cell>
          <cell r="FM281" t="str">
            <v/>
          </cell>
          <cell r="FN281" t="str">
            <v/>
          </cell>
          <cell r="FO281" t="str">
            <v/>
          </cell>
          <cell r="FP281" t="str">
            <v/>
          </cell>
        </row>
        <row r="282">
          <cell r="N282">
            <v>48000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AJ282">
            <v>0</v>
          </cell>
          <cell r="AK282">
            <v>0</v>
          </cell>
          <cell r="AL282">
            <v>999999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BE282">
            <v>0</v>
          </cell>
          <cell r="BH282">
            <v>0</v>
          </cell>
          <cell r="BI282">
            <v>0</v>
          </cell>
          <cell r="BJ282">
            <v>0</v>
          </cell>
          <cell r="BK282">
            <v>0</v>
          </cell>
          <cell r="BL282">
            <v>0</v>
          </cell>
          <cell r="BM282">
            <v>0</v>
          </cell>
          <cell r="BN282">
            <v>0</v>
          </cell>
          <cell r="BO282">
            <v>0</v>
          </cell>
          <cell r="BP282">
            <v>0</v>
          </cell>
          <cell r="BQ282">
            <v>0</v>
          </cell>
          <cell r="CB282">
            <v>0</v>
          </cell>
          <cell r="CC282">
            <v>0</v>
          </cell>
          <cell r="CD282">
            <v>0</v>
          </cell>
          <cell r="CE282">
            <v>0</v>
          </cell>
          <cell r="CF282">
            <v>0</v>
          </cell>
          <cell r="CG282">
            <v>0</v>
          </cell>
          <cell r="CH282">
            <v>0</v>
          </cell>
          <cell r="CI282">
            <v>0</v>
          </cell>
          <cell r="CJ282">
            <v>0</v>
          </cell>
          <cell r="CK282">
            <v>0</v>
          </cell>
          <cell r="CW282">
            <v>0</v>
          </cell>
          <cell r="CY282">
            <v>0</v>
          </cell>
          <cell r="CZ282">
            <v>0</v>
          </cell>
          <cell r="DA282">
            <v>0</v>
          </cell>
          <cell r="DB282">
            <v>0</v>
          </cell>
          <cell r="DC282">
            <v>0</v>
          </cell>
          <cell r="DD282">
            <v>0</v>
          </cell>
          <cell r="DE282">
            <v>0</v>
          </cell>
          <cell r="DF282">
            <v>0</v>
          </cell>
          <cell r="DG282">
            <v>0</v>
          </cell>
          <cell r="DH282">
            <v>0</v>
          </cell>
          <cell r="DS282">
            <v>0</v>
          </cell>
          <cell r="DT282">
            <v>85</v>
          </cell>
          <cell r="DU282">
            <v>999999</v>
          </cell>
          <cell r="DV282">
            <v>999999</v>
          </cell>
          <cell r="DW282">
            <v>999999</v>
          </cell>
          <cell r="DX282">
            <v>0</v>
          </cell>
          <cell r="DY282">
            <v>85</v>
          </cell>
          <cell r="DZ282">
            <v>999999</v>
          </cell>
          <cell r="EA282">
            <v>999999</v>
          </cell>
          <cell r="EB282">
            <v>999999</v>
          </cell>
          <cell r="EC282">
            <v>0</v>
          </cell>
          <cell r="ED282">
            <v>0</v>
          </cell>
          <cell r="EE282">
            <v>0</v>
          </cell>
          <cell r="EF282">
            <v>0</v>
          </cell>
          <cell r="EG282">
            <v>0</v>
          </cell>
          <cell r="EH282">
            <v>0</v>
          </cell>
          <cell r="EI282">
            <v>0</v>
          </cell>
          <cell r="EJ282">
            <v>0</v>
          </cell>
          <cell r="EK282">
            <v>0</v>
          </cell>
          <cell r="EL282">
            <v>0</v>
          </cell>
          <cell r="EM282" t="str">
            <v/>
          </cell>
          <cell r="EN282" t="str">
            <v/>
          </cell>
          <cell r="EO282" t="str">
            <v/>
          </cell>
          <cell r="EP282" t="str">
            <v/>
          </cell>
          <cell r="EQ282" t="str">
            <v/>
          </cell>
          <cell r="ER282" t="str">
            <v/>
          </cell>
          <cell r="ES282" t="str">
            <v/>
          </cell>
          <cell r="ET282" t="str">
            <v/>
          </cell>
          <cell r="EU282" t="str">
            <v/>
          </cell>
          <cell r="EV282" t="str">
            <v/>
          </cell>
          <cell r="EW282" t="str">
            <v/>
          </cell>
          <cell r="EX282" t="str">
            <v/>
          </cell>
          <cell r="EY282" t="str">
            <v/>
          </cell>
          <cell r="EZ282" t="str">
            <v/>
          </cell>
          <cell r="FA282" t="str">
            <v/>
          </cell>
          <cell r="FB282" t="str">
            <v/>
          </cell>
          <cell r="FC282" t="str">
            <v/>
          </cell>
          <cell r="FD282" t="str">
            <v/>
          </cell>
          <cell r="FE282" t="str">
            <v/>
          </cell>
          <cell r="FF282" t="str">
            <v/>
          </cell>
          <cell r="FG282" t="str">
            <v/>
          </cell>
          <cell r="FH282" t="str">
            <v/>
          </cell>
          <cell r="FI282" t="str">
            <v/>
          </cell>
          <cell r="FJ282" t="str">
            <v/>
          </cell>
          <cell r="FK282" t="str">
            <v/>
          </cell>
          <cell r="FL282" t="str">
            <v/>
          </cell>
          <cell r="FM282" t="str">
            <v/>
          </cell>
          <cell r="FN282" t="str">
            <v/>
          </cell>
          <cell r="FO282" t="str">
            <v/>
          </cell>
          <cell r="FP282" t="str">
            <v/>
          </cell>
        </row>
        <row r="283">
          <cell r="N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AJ283">
            <v>0</v>
          </cell>
          <cell r="AK283">
            <v>0</v>
          </cell>
          <cell r="AL283">
            <v>999999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BE283">
            <v>0</v>
          </cell>
          <cell r="BH283">
            <v>0</v>
          </cell>
          <cell r="BI283">
            <v>0</v>
          </cell>
          <cell r="BJ283">
            <v>0</v>
          </cell>
          <cell r="BK283">
            <v>0</v>
          </cell>
          <cell r="BL283">
            <v>0</v>
          </cell>
          <cell r="BM283">
            <v>0</v>
          </cell>
          <cell r="BN283">
            <v>0</v>
          </cell>
          <cell r="BO283">
            <v>0</v>
          </cell>
          <cell r="BP283">
            <v>0</v>
          </cell>
          <cell r="BQ283">
            <v>0</v>
          </cell>
          <cell r="CB283">
            <v>0</v>
          </cell>
          <cell r="CC283">
            <v>0</v>
          </cell>
          <cell r="CD283">
            <v>0</v>
          </cell>
          <cell r="CE283">
            <v>0</v>
          </cell>
          <cell r="CF283">
            <v>0</v>
          </cell>
          <cell r="CG283">
            <v>0</v>
          </cell>
          <cell r="CH283">
            <v>0</v>
          </cell>
          <cell r="CI283">
            <v>0</v>
          </cell>
          <cell r="CJ283">
            <v>0</v>
          </cell>
          <cell r="CK283">
            <v>0</v>
          </cell>
          <cell r="CW283">
            <v>0</v>
          </cell>
          <cell r="CY283">
            <v>0</v>
          </cell>
          <cell r="CZ283">
            <v>0</v>
          </cell>
          <cell r="DA283">
            <v>0</v>
          </cell>
          <cell r="DB283">
            <v>0</v>
          </cell>
          <cell r="DC283">
            <v>0</v>
          </cell>
          <cell r="DD283">
            <v>0</v>
          </cell>
          <cell r="DE283">
            <v>0</v>
          </cell>
          <cell r="DF283">
            <v>0</v>
          </cell>
          <cell r="DG283">
            <v>0</v>
          </cell>
          <cell r="DH283">
            <v>0</v>
          </cell>
          <cell r="DS283">
            <v>0</v>
          </cell>
          <cell r="DT283">
            <v>84</v>
          </cell>
          <cell r="DU283">
            <v>999999</v>
          </cell>
          <cell r="DV283">
            <v>999999</v>
          </cell>
          <cell r="DW283">
            <v>999999</v>
          </cell>
          <cell r="DX283">
            <v>0</v>
          </cell>
          <cell r="DY283">
            <v>84</v>
          </cell>
          <cell r="DZ283">
            <v>999999</v>
          </cell>
          <cell r="EA283">
            <v>999999</v>
          </cell>
          <cell r="EB283">
            <v>999999</v>
          </cell>
          <cell r="EC283">
            <v>0</v>
          </cell>
          <cell r="ED283">
            <v>0</v>
          </cell>
          <cell r="EE283">
            <v>0</v>
          </cell>
          <cell r="EF283">
            <v>0</v>
          </cell>
          <cell r="EG283">
            <v>0</v>
          </cell>
          <cell r="EH283">
            <v>0</v>
          </cell>
          <cell r="EI283">
            <v>0</v>
          </cell>
          <cell r="EJ283">
            <v>0</v>
          </cell>
          <cell r="EK283">
            <v>0</v>
          </cell>
          <cell r="EL283">
            <v>0</v>
          </cell>
          <cell r="EM283" t="str">
            <v/>
          </cell>
          <cell r="EN283" t="str">
            <v/>
          </cell>
          <cell r="EO283" t="str">
            <v/>
          </cell>
          <cell r="EP283" t="str">
            <v/>
          </cell>
          <cell r="EQ283" t="str">
            <v/>
          </cell>
          <cell r="ER283" t="str">
            <v/>
          </cell>
          <cell r="ES283" t="str">
            <v/>
          </cell>
          <cell r="ET283" t="str">
            <v/>
          </cell>
          <cell r="EU283" t="str">
            <v/>
          </cell>
          <cell r="EV283" t="str">
            <v/>
          </cell>
          <cell r="EW283" t="str">
            <v/>
          </cell>
          <cell r="EX283" t="str">
            <v/>
          </cell>
          <cell r="EY283" t="str">
            <v/>
          </cell>
          <cell r="EZ283" t="str">
            <v/>
          </cell>
          <cell r="FA283" t="str">
            <v/>
          </cell>
          <cell r="FB283" t="str">
            <v/>
          </cell>
          <cell r="FC283" t="str">
            <v/>
          </cell>
          <cell r="FD283" t="str">
            <v/>
          </cell>
          <cell r="FE283" t="str">
            <v/>
          </cell>
          <cell r="FF283" t="str">
            <v/>
          </cell>
          <cell r="FG283" t="str">
            <v/>
          </cell>
          <cell r="FH283" t="str">
            <v/>
          </cell>
          <cell r="FI283" t="str">
            <v/>
          </cell>
          <cell r="FJ283" t="str">
            <v/>
          </cell>
          <cell r="FK283" t="str">
            <v/>
          </cell>
          <cell r="FL283" t="str">
            <v/>
          </cell>
          <cell r="FM283" t="str">
            <v/>
          </cell>
          <cell r="FN283" t="str">
            <v/>
          </cell>
          <cell r="FO283" t="str">
            <v/>
          </cell>
          <cell r="FP283" t="str">
            <v/>
          </cell>
        </row>
        <row r="284">
          <cell r="N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4500</v>
          </cell>
          <cell r="Y284">
            <v>0</v>
          </cell>
          <cell r="AJ284">
            <v>0</v>
          </cell>
          <cell r="AK284">
            <v>0</v>
          </cell>
          <cell r="AL284">
            <v>999999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BE284">
            <v>0</v>
          </cell>
          <cell r="BH284">
            <v>0</v>
          </cell>
          <cell r="BI284">
            <v>0</v>
          </cell>
          <cell r="BJ284">
            <v>0</v>
          </cell>
          <cell r="BK284">
            <v>0</v>
          </cell>
          <cell r="BL284">
            <v>0</v>
          </cell>
          <cell r="BM284">
            <v>0</v>
          </cell>
          <cell r="BN284">
            <v>0</v>
          </cell>
          <cell r="BO284">
            <v>0</v>
          </cell>
          <cell r="BP284">
            <v>0</v>
          </cell>
          <cell r="BQ284">
            <v>0</v>
          </cell>
          <cell r="CB284">
            <v>0</v>
          </cell>
          <cell r="CC284">
            <v>0</v>
          </cell>
          <cell r="CD284">
            <v>0</v>
          </cell>
          <cell r="CE284">
            <v>0</v>
          </cell>
          <cell r="CF284">
            <v>0</v>
          </cell>
          <cell r="CG284">
            <v>0</v>
          </cell>
          <cell r="CH284">
            <v>0</v>
          </cell>
          <cell r="CI284">
            <v>0</v>
          </cell>
          <cell r="CJ284">
            <v>0</v>
          </cell>
          <cell r="CK284">
            <v>0</v>
          </cell>
          <cell r="CW284">
            <v>0</v>
          </cell>
          <cell r="CY284">
            <v>0</v>
          </cell>
          <cell r="CZ284">
            <v>0</v>
          </cell>
          <cell r="DA284">
            <v>0</v>
          </cell>
          <cell r="DB284">
            <v>0</v>
          </cell>
          <cell r="DC284">
            <v>0</v>
          </cell>
          <cell r="DD284">
            <v>0</v>
          </cell>
          <cell r="DE284">
            <v>0</v>
          </cell>
          <cell r="DF284">
            <v>0</v>
          </cell>
          <cell r="DG284">
            <v>0</v>
          </cell>
          <cell r="DH284">
            <v>0</v>
          </cell>
          <cell r="DS284">
            <v>0</v>
          </cell>
          <cell r="DT284">
            <v>83</v>
          </cell>
          <cell r="DU284">
            <v>999999</v>
          </cell>
          <cell r="DV284">
            <v>999999</v>
          </cell>
          <cell r="DW284">
            <v>999999</v>
          </cell>
          <cell r="DX284">
            <v>0</v>
          </cell>
          <cell r="DY284">
            <v>83</v>
          </cell>
          <cell r="DZ284">
            <v>999999</v>
          </cell>
          <cell r="EA284">
            <v>999999</v>
          </cell>
          <cell r="EB284">
            <v>999999</v>
          </cell>
          <cell r="EC284">
            <v>0</v>
          </cell>
          <cell r="ED284">
            <v>0</v>
          </cell>
          <cell r="EE284">
            <v>0</v>
          </cell>
          <cell r="EF284">
            <v>0</v>
          </cell>
          <cell r="EG284">
            <v>0</v>
          </cell>
          <cell r="EH284">
            <v>0</v>
          </cell>
          <cell r="EI284">
            <v>0</v>
          </cell>
          <cell r="EJ284">
            <v>0</v>
          </cell>
          <cell r="EK284">
            <v>0</v>
          </cell>
          <cell r="EL284">
            <v>0</v>
          </cell>
          <cell r="EM284" t="str">
            <v/>
          </cell>
          <cell r="EN284" t="str">
            <v/>
          </cell>
          <cell r="EO284" t="str">
            <v/>
          </cell>
          <cell r="EP284" t="str">
            <v/>
          </cell>
          <cell r="EQ284" t="str">
            <v/>
          </cell>
          <cell r="ER284" t="str">
            <v/>
          </cell>
          <cell r="ES284" t="str">
            <v/>
          </cell>
          <cell r="ET284" t="str">
            <v/>
          </cell>
          <cell r="EU284" t="str">
            <v/>
          </cell>
          <cell r="EV284" t="str">
            <v/>
          </cell>
          <cell r="EW284" t="str">
            <v/>
          </cell>
          <cell r="EX284" t="str">
            <v/>
          </cell>
          <cell r="EY284" t="str">
            <v/>
          </cell>
          <cell r="EZ284" t="str">
            <v/>
          </cell>
          <cell r="FA284" t="str">
            <v/>
          </cell>
          <cell r="FB284" t="str">
            <v/>
          </cell>
          <cell r="FC284" t="str">
            <v/>
          </cell>
          <cell r="FD284" t="str">
            <v/>
          </cell>
          <cell r="FE284" t="str">
            <v/>
          </cell>
          <cell r="FF284" t="str">
            <v/>
          </cell>
          <cell r="FG284" t="str">
            <v/>
          </cell>
          <cell r="FH284" t="str">
            <v/>
          </cell>
          <cell r="FI284" t="str">
            <v/>
          </cell>
          <cell r="FJ284" t="str">
            <v/>
          </cell>
          <cell r="FK284" t="str">
            <v/>
          </cell>
          <cell r="FL284" t="str">
            <v/>
          </cell>
          <cell r="FM284" t="str">
            <v/>
          </cell>
          <cell r="FN284" t="str">
            <v/>
          </cell>
          <cell r="FO284" t="str">
            <v/>
          </cell>
          <cell r="FP284" t="str">
            <v/>
          </cell>
        </row>
        <row r="285">
          <cell r="N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728</v>
          </cell>
          <cell r="Y285">
            <v>3772</v>
          </cell>
          <cell r="AJ285">
            <v>0</v>
          </cell>
          <cell r="AK285">
            <v>0</v>
          </cell>
          <cell r="AL285">
            <v>999999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BE285">
            <v>0</v>
          </cell>
          <cell r="BH285">
            <v>0</v>
          </cell>
          <cell r="BI285">
            <v>0</v>
          </cell>
          <cell r="BJ285">
            <v>0</v>
          </cell>
          <cell r="BK285">
            <v>0</v>
          </cell>
          <cell r="BL285">
            <v>0</v>
          </cell>
          <cell r="BM285">
            <v>0</v>
          </cell>
          <cell r="BN285">
            <v>0</v>
          </cell>
          <cell r="BO285">
            <v>0</v>
          </cell>
          <cell r="BP285">
            <v>4307</v>
          </cell>
          <cell r="BQ285">
            <v>193</v>
          </cell>
          <cell r="CB285">
            <v>0</v>
          </cell>
          <cell r="CC285">
            <v>0</v>
          </cell>
          <cell r="CD285">
            <v>0</v>
          </cell>
          <cell r="CE285">
            <v>0</v>
          </cell>
          <cell r="CF285">
            <v>0</v>
          </cell>
          <cell r="CG285">
            <v>0</v>
          </cell>
          <cell r="CH285">
            <v>0</v>
          </cell>
          <cell r="CI285">
            <v>0</v>
          </cell>
          <cell r="CJ285">
            <v>0</v>
          </cell>
          <cell r="CK285">
            <v>0</v>
          </cell>
          <cell r="CW285">
            <v>0</v>
          </cell>
          <cell r="CY285">
            <v>0</v>
          </cell>
          <cell r="CZ285">
            <v>0</v>
          </cell>
          <cell r="DA285">
            <v>0</v>
          </cell>
          <cell r="DB285">
            <v>0</v>
          </cell>
          <cell r="DC285">
            <v>0</v>
          </cell>
          <cell r="DD285">
            <v>0</v>
          </cell>
          <cell r="DE285">
            <v>0</v>
          </cell>
          <cell r="DF285">
            <v>0</v>
          </cell>
          <cell r="DG285">
            <v>0</v>
          </cell>
          <cell r="DH285">
            <v>0</v>
          </cell>
          <cell r="DS285">
            <v>0</v>
          </cell>
          <cell r="DT285">
            <v>82</v>
          </cell>
          <cell r="DU285">
            <v>999999</v>
          </cell>
          <cell r="DV285">
            <v>999999</v>
          </cell>
          <cell r="DW285">
            <v>999999</v>
          </cell>
          <cell r="DX285">
            <v>0</v>
          </cell>
          <cell r="DY285">
            <v>82</v>
          </cell>
          <cell r="DZ285">
            <v>999999</v>
          </cell>
          <cell r="EA285">
            <v>999999</v>
          </cell>
          <cell r="EB285">
            <v>999999</v>
          </cell>
          <cell r="EC285">
            <v>0</v>
          </cell>
          <cell r="ED285">
            <v>0</v>
          </cell>
          <cell r="EE285">
            <v>0</v>
          </cell>
          <cell r="EF285">
            <v>0</v>
          </cell>
          <cell r="EG285">
            <v>0</v>
          </cell>
          <cell r="EH285">
            <v>0</v>
          </cell>
          <cell r="EI285">
            <v>0</v>
          </cell>
          <cell r="EJ285">
            <v>0</v>
          </cell>
          <cell r="EK285" t="str">
            <v>Arg</v>
          </cell>
          <cell r="EL285" t="str">
            <v>Arg</v>
          </cell>
          <cell r="EM285" t="str">
            <v/>
          </cell>
          <cell r="EN285" t="str">
            <v/>
          </cell>
          <cell r="EO285" t="str">
            <v/>
          </cell>
          <cell r="EP285" t="str">
            <v/>
          </cell>
          <cell r="EQ285" t="str">
            <v/>
          </cell>
          <cell r="ER285" t="str">
            <v/>
          </cell>
          <cell r="ES285" t="str">
            <v/>
          </cell>
          <cell r="ET285" t="str">
            <v/>
          </cell>
          <cell r="EU285" t="str">
            <v/>
          </cell>
          <cell r="EV285" t="str">
            <v/>
          </cell>
          <cell r="EW285" t="str">
            <v/>
          </cell>
          <cell r="EX285" t="str">
            <v/>
          </cell>
          <cell r="EY285" t="str">
            <v/>
          </cell>
          <cell r="EZ285" t="str">
            <v/>
          </cell>
          <cell r="FA285" t="str">
            <v/>
          </cell>
          <cell r="FB285" t="str">
            <v/>
          </cell>
          <cell r="FC285" t="str">
            <v/>
          </cell>
          <cell r="FD285" t="str">
            <v/>
          </cell>
          <cell r="FE285" t="str">
            <v/>
          </cell>
          <cell r="FF285" t="str">
            <v/>
          </cell>
          <cell r="FG285" t="str">
            <v/>
          </cell>
          <cell r="FH285" t="str">
            <v/>
          </cell>
          <cell r="FI285" t="str">
            <v/>
          </cell>
          <cell r="FJ285" t="str">
            <v/>
          </cell>
          <cell r="FK285" t="str">
            <v/>
          </cell>
          <cell r="FL285" t="str">
            <v/>
          </cell>
          <cell r="FM285" t="str">
            <v/>
          </cell>
          <cell r="FN285" t="str">
            <v/>
          </cell>
          <cell r="FO285" t="str">
            <v/>
          </cell>
          <cell r="FP285" t="str">
            <v/>
          </cell>
        </row>
        <row r="286">
          <cell r="N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1456</v>
          </cell>
          <cell r="AJ286">
            <v>0</v>
          </cell>
          <cell r="AK286">
            <v>0</v>
          </cell>
          <cell r="AL286">
            <v>999999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BE286">
            <v>0</v>
          </cell>
          <cell r="BH286">
            <v>0</v>
          </cell>
          <cell r="BI286">
            <v>0</v>
          </cell>
          <cell r="BJ286">
            <v>0</v>
          </cell>
          <cell r="BK286">
            <v>0</v>
          </cell>
          <cell r="BL286">
            <v>0</v>
          </cell>
          <cell r="BM286">
            <v>0</v>
          </cell>
          <cell r="BN286">
            <v>0</v>
          </cell>
          <cell r="BO286">
            <v>0</v>
          </cell>
          <cell r="BP286">
            <v>0</v>
          </cell>
          <cell r="BQ286">
            <v>4114</v>
          </cell>
          <cell r="CB286">
            <v>0</v>
          </cell>
          <cell r="CC286">
            <v>0</v>
          </cell>
          <cell r="CD286">
            <v>0</v>
          </cell>
          <cell r="CE286">
            <v>0</v>
          </cell>
          <cell r="CF286">
            <v>0</v>
          </cell>
          <cell r="CG286">
            <v>0</v>
          </cell>
          <cell r="CH286">
            <v>0</v>
          </cell>
          <cell r="CI286">
            <v>0</v>
          </cell>
          <cell r="CJ286">
            <v>0</v>
          </cell>
          <cell r="CK286">
            <v>0</v>
          </cell>
          <cell r="CW286">
            <v>0</v>
          </cell>
          <cell r="CY286">
            <v>0</v>
          </cell>
          <cell r="CZ286">
            <v>0</v>
          </cell>
          <cell r="DA286">
            <v>0</v>
          </cell>
          <cell r="DB286">
            <v>0</v>
          </cell>
          <cell r="DC286">
            <v>0</v>
          </cell>
          <cell r="DD286">
            <v>0</v>
          </cell>
          <cell r="DE286">
            <v>0</v>
          </cell>
          <cell r="DF286">
            <v>0</v>
          </cell>
          <cell r="DG286">
            <v>0</v>
          </cell>
          <cell r="DH286">
            <v>0</v>
          </cell>
          <cell r="DS286">
            <v>0</v>
          </cell>
          <cell r="DT286">
            <v>81</v>
          </cell>
          <cell r="DU286">
            <v>999999</v>
          </cell>
          <cell r="DV286">
            <v>999999</v>
          </cell>
          <cell r="DW286">
            <v>999999</v>
          </cell>
          <cell r="DX286">
            <v>0</v>
          </cell>
          <cell r="DY286">
            <v>81</v>
          </cell>
          <cell r="DZ286">
            <v>999999</v>
          </cell>
          <cell r="EA286">
            <v>999999</v>
          </cell>
          <cell r="EB286">
            <v>999999</v>
          </cell>
          <cell r="EC286">
            <v>0</v>
          </cell>
          <cell r="ED286">
            <v>0</v>
          </cell>
          <cell r="EE286">
            <v>0</v>
          </cell>
          <cell r="EF286">
            <v>0</v>
          </cell>
          <cell r="EG286">
            <v>0</v>
          </cell>
          <cell r="EH286">
            <v>0</v>
          </cell>
          <cell r="EI286">
            <v>0</v>
          </cell>
          <cell r="EJ286">
            <v>0</v>
          </cell>
          <cell r="EK286">
            <v>0</v>
          </cell>
          <cell r="EL286" t="str">
            <v>Arg</v>
          </cell>
          <cell r="EM286" t="str">
            <v/>
          </cell>
          <cell r="EN286" t="str">
            <v/>
          </cell>
          <cell r="EO286" t="str">
            <v/>
          </cell>
          <cell r="EP286" t="str">
            <v/>
          </cell>
          <cell r="EQ286" t="str">
            <v/>
          </cell>
          <cell r="ER286" t="str">
            <v/>
          </cell>
          <cell r="ES286" t="str">
            <v/>
          </cell>
          <cell r="ET286" t="str">
            <v/>
          </cell>
          <cell r="EU286" t="str">
            <v/>
          </cell>
          <cell r="EV286" t="str">
            <v/>
          </cell>
          <cell r="EW286" t="str">
            <v/>
          </cell>
          <cell r="EX286" t="str">
            <v/>
          </cell>
          <cell r="EY286" t="str">
            <v/>
          </cell>
          <cell r="EZ286" t="str">
            <v/>
          </cell>
          <cell r="FA286" t="str">
            <v/>
          </cell>
          <cell r="FB286" t="str">
            <v/>
          </cell>
          <cell r="FC286" t="str">
            <v/>
          </cell>
          <cell r="FD286" t="str">
            <v/>
          </cell>
          <cell r="FE286" t="str">
            <v/>
          </cell>
          <cell r="FF286" t="str">
            <v/>
          </cell>
          <cell r="FG286" t="str">
            <v/>
          </cell>
          <cell r="FH286" t="str">
            <v/>
          </cell>
          <cell r="FI286" t="str">
            <v/>
          </cell>
          <cell r="FJ286" t="str">
            <v/>
          </cell>
          <cell r="FK286" t="str">
            <v/>
          </cell>
          <cell r="FL286" t="str">
            <v/>
          </cell>
          <cell r="FM286" t="str">
            <v/>
          </cell>
          <cell r="FN286" t="str">
            <v/>
          </cell>
          <cell r="FO286" t="str">
            <v/>
          </cell>
          <cell r="FP286" t="str">
            <v/>
          </cell>
        </row>
        <row r="287">
          <cell r="N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AJ287">
            <v>0</v>
          </cell>
          <cell r="AK287">
            <v>0</v>
          </cell>
          <cell r="AL287">
            <v>999999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BE287">
            <v>0</v>
          </cell>
          <cell r="BH287">
            <v>0</v>
          </cell>
          <cell r="BI287">
            <v>0</v>
          </cell>
          <cell r="BJ287">
            <v>0</v>
          </cell>
          <cell r="BK287">
            <v>0</v>
          </cell>
          <cell r="BL287">
            <v>0</v>
          </cell>
          <cell r="BM287">
            <v>0</v>
          </cell>
          <cell r="BN287">
            <v>0</v>
          </cell>
          <cell r="BO287">
            <v>0</v>
          </cell>
          <cell r="BP287">
            <v>0</v>
          </cell>
          <cell r="BQ287">
            <v>0</v>
          </cell>
          <cell r="CB287">
            <v>0</v>
          </cell>
          <cell r="CC287">
            <v>0</v>
          </cell>
          <cell r="CD287">
            <v>0</v>
          </cell>
          <cell r="CE287">
            <v>0</v>
          </cell>
          <cell r="CF287">
            <v>0</v>
          </cell>
          <cell r="CG287">
            <v>0</v>
          </cell>
          <cell r="CH287">
            <v>0</v>
          </cell>
          <cell r="CI287">
            <v>0</v>
          </cell>
          <cell r="CJ287">
            <v>0</v>
          </cell>
          <cell r="CK287">
            <v>0</v>
          </cell>
          <cell r="CW287">
            <v>0</v>
          </cell>
          <cell r="CY287">
            <v>0</v>
          </cell>
          <cell r="CZ287">
            <v>0</v>
          </cell>
          <cell r="DA287">
            <v>0</v>
          </cell>
          <cell r="DB287">
            <v>0</v>
          </cell>
          <cell r="DC287">
            <v>0</v>
          </cell>
          <cell r="DD287">
            <v>0</v>
          </cell>
          <cell r="DE287">
            <v>0</v>
          </cell>
          <cell r="DF287">
            <v>0</v>
          </cell>
          <cell r="DG287">
            <v>0</v>
          </cell>
          <cell r="DH287">
            <v>0</v>
          </cell>
          <cell r="DS287">
            <v>0</v>
          </cell>
          <cell r="DT287">
            <v>80</v>
          </cell>
          <cell r="DU287">
            <v>999999</v>
          </cell>
          <cell r="DV287">
            <v>999999</v>
          </cell>
          <cell r="DW287">
            <v>999999</v>
          </cell>
          <cell r="DX287">
            <v>0</v>
          </cell>
          <cell r="DY287">
            <v>80</v>
          </cell>
          <cell r="DZ287">
            <v>999999</v>
          </cell>
          <cell r="EA287">
            <v>999999</v>
          </cell>
          <cell r="EB287">
            <v>999999</v>
          </cell>
          <cell r="EC287">
            <v>0</v>
          </cell>
          <cell r="ED287">
            <v>0</v>
          </cell>
          <cell r="EE287">
            <v>0</v>
          </cell>
          <cell r="EF287">
            <v>0</v>
          </cell>
          <cell r="EG287">
            <v>0</v>
          </cell>
          <cell r="EH287">
            <v>0</v>
          </cell>
          <cell r="EI287">
            <v>0</v>
          </cell>
          <cell r="EJ287">
            <v>0</v>
          </cell>
          <cell r="EK287">
            <v>0</v>
          </cell>
          <cell r="EL287">
            <v>0</v>
          </cell>
          <cell r="EM287" t="str">
            <v/>
          </cell>
          <cell r="EN287" t="str">
            <v/>
          </cell>
          <cell r="EO287" t="str">
            <v/>
          </cell>
          <cell r="EP287" t="str">
            <v/>
          </cell>
          <cell r="EQ287" t="str">
            <v/>
          </cell>
          <cell r="ER287" t="str">
            <v/>
          </cell>
          <cell r="ES287" t="str">
            <v/>
          </cell>
          <cell r="ET287" t="str">
            <v/>
          </cell>
          <cell r="EU287" t="str">
            <v/>
          </cell>
          <cell r="EV287" t="str">
            <v/>
          </cell>
          <cell r="EW287" t="str">
            <v/>
          </cell>
          <cell r="EX287" t="str">
            <v/>
          </cell>
          <cell r="EY287" t="str">
            <v/>
          </cell>
          <cell r="EZ287" t="str">
            <v/>
          </cell>
          <cell r="FA287" t="str">
            <v/>
          </cell>
          <cell r="FB287" t="str">
            <v/>
          </cell>
          <cell r="FC287" t="str">
            <v/>
          </cell>
          <cell r="FD287" t="str">
            <v/>
          </cell>
          <cell r="FE287" t="str">
            <v/>
          </cell>
          <cell r="FF287" t="str">
            <v/>
          </cell>
          <cell r="FG287" t="str">
            <v/>
          </cell>
          <cell r="FH287" t="str">
            <v/>
          </cell>
          <cell r="FI287" t="str">
            <v/>
          </cell>
          <cell r="FJ287" t="str">
            <v/>
          </cell>
          <cell r="FK287" t="str">
            <v/>
          </cell>
          <cell r="FL287" t="str">
            <v/>
          </cell>
          <cell r="FM287" t="str">
            <v/>
          </cell>
          <cell r="FN287" t="str">
            <v/>
          </cell>
          <cell r="FO287" t="str">
            <v/>
          </cell>
          <cell r="FP287" t="str">
            <v/>
          </cell>
        </row>
        <row r="288">
          <cell r="N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AJ288">
            <v>0</v>
          </cell>
          <cell r="AK288">
            <v>0</v>
          </cell>
          <cell r="AL288">
            <v>999999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BE288">
            <v>0</v>
          </cell>
          <cell r="BH288">
            <v>0</v>
          </cell>
          <cell r="BI288">
            <v>0</v>
          </cell>
          <cell r="BJ288">
            <v>0</v>
          </cell>
          <cell r="BK288">
            <v>0</v>
          </cell>
          <cell r="BL288">
            <v>0</v>
          </cell>
          <cell r="BM288">
            <v>0</v>
          </cell>
          <cell r="BN288">
            <v>0</v>
          </cell>
          <cell r="BO288">
            <v>0</v>
          </cell>
          <cell r="BP288">
            <v>0</v>
          </cell>
          <cell r="BQ288">
            <v>0</v>
          </cell>
          <cell r="CB288">
            <v>0</v>
          </cell>
          <cell r="CC288">
            <v>0</v>
          </cell>
          <cell r="CD288">
            <v>0</v>
          </cell>
          <cell r="CE288">
            <v>0</v>
          </cell>
          <cell r="CF288">
            <v>0</v>
          </cell>
          <cell r="CG288">
            <v>0</v>
          </cell>
          <cell r="CH288">
            <v>0</v>
          </cell>
          <cell r="CI288">
            <v>0</v>
          </cell>
          <cell r="CJ288">
            <v>0</v>
          </cell>
          <cell r="CK288">
            <v>0</v>
          </cell>
          <cell r="CW288">
            <v>0</v>
          </cell>
          <cell r="CY288">
            <v>0</v>
          </cell>
          <cell r="CZ288">
            <v>0</v>
          </cell>
          <cell r="DA288">
            <v>0</v>
          </cell>
          <cell r="DB288">
            <v>0</v>
          </cell>
          <cell r="DC288">
            <v>0</v>
          </cell>
          <cell r="DD288">
            <v>0</v>
          </cell>
          <cell r="DE288">
            <v>0</v>
          </cell>
          <cell r="DF288">
            <v>0</v>
          </cell>
          <cell r="DG288">
            <v>0</v>
          </cell>
          <cell r="DH288">
            <v>0</v>
          </cell>
          <cell r="DS288">
            <v>0</v>
          </cell>
          <cell r="DT288">
            <v>79</v>
          </cell>
          <cell r="DU288">
            <v>999999</v>
          </cell>
          <cell r="DV288">
            <v>999999</v>
          </cell>
          <cell r="DW288">
            <v>999999</v>
          </cell>
          <cell r="DX288">
            <v>0</v>
          </cell>
          <cell r="DY288">
            <v>79</v>
          </cell>
          <cell r="DZ288">
            <v>999999</v>
          </cell>
          <cell r="EA288">
            <v>999999</v>
          </cell>
          <cell r="EB288">
            <v>999999</v>
          </cell>
          <cell r="EC288">
            <v>0</v>
          </cell>
          <cell r="ED288">
            <v>0</v>
          </cell>
          <cell r="EE288">
            <v>0</v>
          </cell>
          <cell r="EF288">
            <v>0</v>
          </cell>
          <cell r="EG288">
            <v>0</v>
          </cell>
          <cell r="EH288">
            <v>0</v>
          </cell>
          <cell r="EI288">
            <v>0</v>
          </cell>
          <cell r="EJ288">
            <v>0</v>
          </cell>
          <cell r="EK288">
            <v>0</v>
          </cell>
          <cell r="EL288">
            <v>0</v>
          </cell>
          <cell r="EM288" t="str">
            <v/>
          </cell>
          <cell r="EN288" t="str">
            <v/>
          </cell>
          <cell r="EO288" t="str">
            <v/>
          </cell>
          <cell r="EP288" t="str">
            <v/>
          </cell>
          <cell r="EQ288" t="str">
            <v/>
          </cell>
          <cell r="ER288" t="str">
            <v/>
          </cell>
          <cell r="ES288" t="str">
            <v/>
          </cell>
          <cell r="ET288" t="str">
            <v/>
          </cell>
          <cell r="EU288" t="str">
            <v/>
          </cell>
          <cell r="EV288" t="str">
            <v/>
          </cell>
          <cell r="EW288" t="str">
            <v/>
          </cell>
          <cell r="EX288" t="str">
            <v/>
          </cell>
          <cell r="EY288" t="str">
            <v/>
          </cell>
          <cell r="EZ288" t="str">
            <v/>
          </cell>
          <cell r="FA288" t="str">
            <v/>
          </cell>
          <cell r="FB288" t="str">
            <v/>
          </cell>
          <cell r="FC288" t="str">
            <v/>
          </cell>
          <cell r="FD288" t="str">
            <v/>
          </cell>
          <cell r="FE288" t="str">
            <v/>
          </cell>
          <cell r="FF288" t="str">
            <v/>
          </cell>
          <cell r="FG288" t="str">
            <v/>
          </cell>
          <cell r="FH288" t="str">
            <v/>
          </cell>
          <cell r="FI288" t="str">
            <v/>
          </cell>
          <cell r="FJ288" t="str">
            <v/>
          </cell>
          <cell r="FK288" t="str">
            <v/>
          </cell>
          <cell r="FL288" t="str">
            <v/>
          </cell>
          <cell r="FM288" t="str">
            <v/>
          </cell>
          <cell r="FN288" t="str">
            <v/>
          </cell>
          <cell r="FO288" t="str">
            <v/>
          </cell>
          <cell r="FP288" t="str">
            <v/>
          </cell>
        </row>
        <row r="289">
          <cell r="N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AJ289">
            <v>0</v>
          </cell>
          <cell r="AK289">
            <v>0</v>
          </cell>
          <cell r="AL289">
            <v>999999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BE289">
            <v>48000</v>
          </cell>
          <cell r="BH289">
            <v>0</v>
          </cell>
          <cell r="BI289">
            <v>0</v>
          </cell>
          <cell r="BJ289">
            <v>0</v>
          </cell>
          <cell r="BK289">
            <v>0</v>
          </cell>
          <cell r="BL289">
            <v>0</v>
          </cell>
          <cell r="BM289">
            <v>0</v>
          </cell>
          <cell r="BN289">
            <v>0</v>
          </cell>
          <cell r="BO289">
            <v>0</v>
          </cell>
          <cell r="BP289">
            <v>0</v>
          </cell>
          <cell r="BQ289">
            <v>0</v>
          </cell>
          <cell r="CB289">
            <v>0</v>
          </cell>
          <cell r="CC289">
            <v>0</v>
          </cell>
          <cell r="CD289">
            <v>0</v>
          </cell>
          <cell r="CE289">
            <v>0</v>
          </cell>
          <cell r="CF289">
            <v>0</v>
          </cell>
          <cell r="CG289">
            <v>0</v>
          </cell>
          <cell r="CH289">
            <v>0</v>
          </cell>
          <cell r="CI289">
            <v>0</v>
          </cell>
          <cell r="CJ289">
            <v>0</v>
          </cell>
          <cell r="CK289">
            <v>0</v>
          </cell>
          <cell r="CW289">
            <v>0</v>
          </cell>
          <cell r="CY289">
            <v>0</v>
          </cell>
          <cell r="CZ289">
            <v>0</v>
          </cell>
          <cell r="DA289">
            <v>0</v>
          </cell>
          <cell r="DB289">
            <v>0</v>
          </cell>
          <cell r="DC289">
            <v>0</v>
          </cell>
          <cell r="DD289">
            <v>0</v>
          </cell>
          <cell r="DE289">
            <v>0</v>
          </cell>
          <cell r="DF289">
            <v>0</v>
          </cell>
          <cell r="DG289">
            <v>0</v>
          </cell>
          <cell r="DH289">
            <v>0</v>
          </cell>
          <cell r="DS289">
            <v>0</v>
          </cell>
          <cell r="DT289">
            <v>78</v>
          </cell>
          <cell r="DU289">
            <v>999999</v>
          </cell>
          <cell r="DV289">
            <v>999999</v>
          </cell>
          <cell r="DW289">
            <v>999999</v>
          </cell>
          <cell r="DX289">
            <v>0</v>
          </cell>
          <cell r="DY289">
            <v>78</v>
          </cell>
          <cell r="DZ289">
            <v>999999</v>
          </cell>
          <cell r="EA289">
            <v>999999</v>
          </cell>
          <cell r="EB289">
            <v>999999</v>
          </cell>
          <cell r="EC289">
            <v>0</v>
          </cell>
          <cell r="ED289">
            <v>0</v>
          </cell>
          <cell r="EE289">
            <v>0</v>
          </cell>
          <cell r="EF289">
            <v>0</v>
          </cell>
          <cell r="EG289">
            <v>0</v>
          </cell>
          <cell r="EH289">
            <v>0</v>
          </cell>
          <cell r="EI289">
            <v>0</v>
          </cell>
          <cell r="EJ289">
            <v>0</v>
          </cell>
          <cell r="EK289">
            <v>0</v>
          </cell>
          <cell r="EL289">
            <v>0</v>
          </cell>
          <cell r="EM289" t="str">
            <v/>
          </cell>
          <cell r="EN289" t="str">
            <v/>
          </cell>
          <cell r="EO289" t="str">
            <v/>
          </cell>
          <cell r="EP289" t="str">
            <v/>
          </cell>
          <cell r="EQ289" t="str">
            <v/>
          </cell>
          <cell r="ER289" t="str">
            <v/>
          </cell>
          <cell r="ES289" t="str">
            <v/>
          </cell>
          <cell r="ET289" t="str">
            <v/>
          </cell>
          <cell r="EU289" t="str">
            <v/>
          </cell>
          <cell r="EV289" t="str">
            <v/>
          </cell>
          <cell r="EW289" t="str">
            <v/>
          </cell>
          <cell r="EX289" t="str">
            <v/>
          </cell>
          <cell r="EY289" t="str">
            <v/>
          </cell>
          <cell r="EZ289" t="str">
            <v/>
          </cell>
          <cell r="FA289" t="str">
            <v/>
          </cell>
          <cell r="FB289" t="str">
            <v/>
          </cell>
          <cell r="FC289" t="str">
            <v/>
          </cell>
          <cell r="FD289" t="str">
            <v/>
          </cell>
          <cell r="FE289" t="str">
            <v/>
          </cell>
          <cell r="FF289" t="str">
            <v/>
          </cell>
          <cell r="FG289" t="str">
            <v/>
          </cell>
          <cell r="FH289" t="str">
            <v/>
          </cell>
          <cell r="FI289" t="str">
            <v/>
          </cell>
          <cell r="FJ289" t="str">
            <v/>
          </cell>
          <cell r="FK289" t="str">
            <v/>
          </cell>
          <cell r="FL289" t="str">
            <v/>
          </cell>
          <cell r="FM289" t="str">
            <v/>
          </cell>
          <cell r="FN289" t="str">
            <v/>
          </cell>
          <cell r="FO289" t="str">
            <v/>
          </cell>
          <cell r="FP289" t="str">
            <v/>
          </cell>
        </row>
        <row r="290">
          <cell r="N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AJ290">
            <v>0</v>
          </cell>
          <cell r="AK290">
            <v>0</v>
          </cell>
          <cell r="AL290">
            <v>999999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BE290">
            <v>0</v>
          </cell>
          <cell r="BH290">
            <v>0</v>
          </cell>
          <cell r="BI290">
            <v>0</v>
          </cell>
          <cell r="BJ290">
            <v>0</v>
          </cell>
          <cell r="BK290">
            <v>0</v>
          </cell>
          <cell r="BL290">
            <v>0</v>
          </cell>
          <cell r="BM290">
            <v>0</v>
          </cell>
          <cell r="BN290">
            <v>0</v>
          </cell>
          <cell r="BO290">
            <v>0</v>
          </cell>
          <cell r="BP290">
            <v>0</v>
          </cell>
          <cell r="BQ290">
            <v>0</v>
          </cell>
          <cell r="CB290">
            <v>0</v>
          </cell>
          <cell r="CC290">
            <v>0</v>
          </cell>
          <cell r="CD290">
            <v>0</v>
          </cell>
          <cell r="CE290">
            <v>0</v>
          </cell>
          <cell r="CF290">
            <v>0</v>
          </cell>
          <cell r="CG290">
            <v>0</v>
          </cell>
          <cell r="CH290">
            <v>0</v>
          </cell>
          <cell r="CI290">
            <v>0</v>
          </cell>
          <cell r="CJ290">
            <v>0</v>
          </cell>
          <cell r="CK290">
            <v>0</v>
          </cell>
          <cell r="CW290">
            <v>0</v>
          </cell>
          <cell r="CY290">
            <v>0</v>
          </cell>
          <cell r="CZ290">
            <v>0</v>
          </cell>
          <cell r="DA290">
            <v>0</v>
          </cell>
          <cell r="DB290">
            <v>0</v>
          </cell>
          <cell r="DC290">
            <v>0</v>
          </cell>
          <cell r="DD290">
            <v>0</v>
          </cell>
          <cell r="DE290">
            <v>0</v>
          </cell>
          <cell r="DF290">
            <v>0</v>
          </cell>
          <cell r="DG290">
            <v>0</v>
          </cell>
          <cell r="DH290">
            <v>0</v>
          </cell>
          <cell r="DS290">
            <v>0</v>
          </cell>
          <cell r="DT290">
            <v>77</v>
          </cell>
          <cell r="DU290">
            <v>999999</v>
          </cell>
          <cell r="DV290">
            <v>999999</v>
          </cell>
          <cell r="DW290">
            <v>999999</v>
          </cell>
          <cell r="DX290">
            <v>0</v>
          </cell>
          <cell r="DY290">
            <v>77</v>
          </cell>
          <cell r="DZ290">
            <v>999999</v>
          </cell>
          <cell r="EA290">
            <v>999999</v>
          </cell>
          <cell r="EB290">
            <v>999999</v>
          </cell>
          <cell r="EC290">
            <v>0</v>
          </cell>
          <cell r="ED290">
            <v>0</v>
          </cell>
          <cell r="EE290">
            <v>0</v>
          </cell>
          <cell r="EF290">
            <v>0</v>
          </cell>
          <cell r="EG290">
            <v>0</v>
          </cell>
          <cell r="EH290">
            <v>0</v>
          </cell>
          <cell r="EI290">
            <v>0</v>
          </cell>
          <cell r="EJ290">
            <v>0</v>
          </cell>
          <cell r="EK290">
            <v>0</v>
          </cell>
          <cell r="EL290">
            <v>0</v>
          </cell>
          <cell r="EM290" t="str">
            <v/>
          </cell>
          <cell r="EN290" t="str">
            <v/>
          </cell>
          <cell r="EO290" t="str">
            <v/>
          </cell>
          <cell r="EP290" t="str">
            <v/>
          </cell>
          <cell r="EQ290" t="str">
            <v/>
          </cell>
          <cell r="ER290" t="str">
            <v/>
          </cell>
          <cell r="ES290" t="str">
            <v/>
          </cell>
          <cell r="ET290" t="str">
            <v/>
          </cell>
          <cell r="EU290" t="str">
            <v/>
          </cell>
          <cell r="EV290" t="str">
            <v/>
          </cell>
          <cell r="EW290" t="str">
            <v/>
          </cell>
          <cell r="EX290" t="str">
            <v/>
          </cell>
          <cell r="EY290" t="str">
            <v/>
          </cell>
          <cell r="EZ290" t="str">
            <v/>
          </cell>
          <cell r="FA290" t="str">
            <v/>
          </cell>
          <cell r="FB290" t="str">
            <v/>
          </cell>
          <cell r="FC290" t="str">
            <v/>
          </cell>
          <cell r="FD290" t="str">
            <v/>
          </cell>
          <cell r="FE290" t="str">
            <v/>
          </cell>
          <cell r="FF290" t="str">
            <v/>
          </cell>
          <cell r="FG290" t="str">
            <v/>
          </cell>
          <cell r="FH290" t="str">
            <v/>
          </cell>
          <cell r="FI290" t="str">
            <v/>
          </cell>
          <cell r="FJ290" t="str">
            <v/>
          </cell>
          <cell r="FK290" t="str">
            <v/>
          </cell>
          <cell r="FL290" t="str">
            <v/>
          </cell>
          <cell r="FM290" t="str">
            <v/>
          </cell>
          <cell r="FN290" t="str">
            <v/>
          </cell>
          <cell r="FO290" t="str">
            <v/>
          </cell>
          <cell r="FP290" t="str">
            <v/>
          </cell>
        </row>
        <row r="291">
          <cell r="N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AJ291">
            <v>0</v>
          </cell>
          <cell r="AK291">
            <v>0</v>
          </cell>
          <cell r="AL291">
            <v>999999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BE291">
            <v>0</v>
          </cell>
          <cell r="BH291">
            <v>0</v>
          </cell>
          <cell r="BI291">
            <v>0</v>
          </cell>
          <cell r="BJ291">
            <v>0</v>
          </cell>
          <cell r="BK291">
            <v>0</v>
          </cell>
          <cell r="BL291">
            <v>0</v>
          </cell>
          <cell r="BM291">
            <v>0</v>
          </cell>
          <cell r="BN291">
            <v>0</v>
          </cell>
          <cell r="BO291">
            <v>0</v>
          </cell>
          <cell r="BP291">
            <v>0</v>
          </cell>
          <cell r="BQ291">
            <v>0</v>
          </cell>
          <cell r="CB291">
            <v>0</v>
          </cell>
          <cell r="CC291">
            <v>0</v>
          </cell>
          <cell r="CD291">
            <v>0</v>
          </cell>
          <cell r="CE291">
            <v>0</v>
          </cell>
          <cell r="CF291">
            <v>0</v>
          </cell>
          <cell r="CG291">
            <v>0</v>
          </cell>
          <cell r="CH291">
            <v>0</v>
          </cell>
          <cell r="CI291">
            <v>0</v>
          </cell>
          <cell r="CJ291">
            <v>0</v>
          </cell>
          <cell r="CK291">
            <v>0</v>
          </cell>
          <cell r="CW291">
            <v>0</v>
          </cell>
          <cell r="CY291">
            <v>0</v>
          </cell>
          <cell r="CZ291">
            <v>0</v>
          </cell>
          <cell r="DA291">
            <v>0</v>
          </cell>
          <cell r="DB291">
            <v>0</v>
          </cell>
          <cell r="DC291">
            <v>0</v>
          </cell>
          <cell r="DD291">
            <v>0</v>
          </cell>
          <cell r="DE291">
            <v>0</v>
          </cell>
          <cell r="DF291">
            <v>0</v>
          </cell>
          <cell r="DG291">
            <v>0</v>
          </cell>
          <cell r="DH291">
            <v>0</v>
          </cell>
          <cell r="DS291">
            <v>0</v>
          </cell>
          <cell r="DT291">
            <v>76</v>
          </cell>
          <cell r="DU291">
            <v>999999</v>
          </cell>
          <cell r="DV291">
            <v>999999</v>
          </cell>
          <cell r="DW291">
            <v>999999</v>
          </cell>
          <cell r="DX291">
            <v>0</v>
          </cell>
          <cell r="DY291">
            <v>76</v>
          </cell>
          <cell r="DZ291">
            <v>999999</v>
          </cell>
          <cell r="EA291">
            <v>999999</v>
          </cell>
          <cell r="EB291">
            <v>999999</v>
          </cell>
          <cell r="EC291">
            <v>0</v>
          </cell>
          <cell r="ED291">
            <v>0</v>
          </cell>
          <cell r="EE291">
            <v>0</v>
          </cell>
          <cell r="EF291">
            <v>0</v>
          </cell>
          <cell r="EG291">
            <v>0</v>
          </cell>
          <cell r="EH291">
            <v>0</v>
          </cell>
          <cell r="EI291">
            <v>0</v>
          </cell>
          <cell r="EJ291">
            <v>0</v>
          </cell>
          <cell r="EK291">
            <v>0</v>
          </cell>
          <cell r="EL291">
            <v>0</v>
          </cell>
          <cell r="EM291" t="str">
            <v/>
          </cell>
          <cell r="EN291" t="str">
            <v/>
          </cell>
          <cell r="EO291" t="str">
            <v/>
          </cell>
          <cell r="EP291" t="str">
            <v/>
          </cell>
          <cell r="EQ291" t="str">
            <v/>
          </cell>
          <cell r="ER291" t="str">
            <v/>
          </cell>
          <cell r="ES291" t="str">
            <v/>
          </cell>
          <cell r="ET291" t="str">
            <v/>
          </cell>
          <cell r="EU291" t="str">
            <v/>
          </cell>
          <cell r="EV291" t="str">
            <v/>
          </cell>
          <cell r="EW291" t="str">
            <v/>
          </cell>
          <cell r="EX291" t="str">
            <v/>
          </cell>
          <cell r="EY291" t="str">
            <v/>
          </cell>
          <cell r="EZ291" t="str">
            <v/>
          </cell>
          <cell r="FA291" t="str">
            <v/>
          </cell>
          <cell r="FB291" t="str">
            <v/>
          </cell>
          <cell r="FC291" t="str">
            <v/>
          </cell>
          <cell r="FD291" t="str">
            <v/>
          </cell>
          <cell r="FE291" t="str">
            <v/>
          </cell>
          <cell r="FF291" t="str">
            <v/>
          </cell>
          <cell r="FG291" t="str">
            <v/>
          </cell>
          <cell r="FH291" t="str">
            <v/>
          </cell>
          <cell r="FI291" t="str">
            <v/>
          </cell>
          <cell r="FJ291" t="str">
            <v/>
          </cell>
          <cell r="FK291" t="str">
            <v/>
          </cell>
          <cell r="FL291" t="str">
            <v/>
          </cell>
          <cell r="FM291" t="str">
            <v/>
          </cell>
          <cell r="FN291" t="str">
            <v/>
          </cell>
          <cell r="FO291" t="str">
            <v/>
          </cell>
          <cell r="FP291" t="str">
            <v/>
          </cell>
        </row>
        <row r="292">
          <cell r="N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AJ292">
            <v>0</v>
          </cell>
          <cell r="AK292">
            <v>0</v>
          </cell>
          <cell r="AL292">
            <v>999999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BE292">
            <v>0</v>
          </cell>
          <cell r="BH292">
            <v>0</v>
          </cell>
          <cell r="BI292">
            <v>0</v>
          </cell>
          <cell r="BJ292">
            <v>0</v>
          </cell>
          <cell r="BK292">
            <v>0</v>
          </cell>
          <cell r="BL292">
            <v>0</v>
          </cell>
          <cell r="BM292">
            <v>0</v>
          </cell>
          <cell r="BN292">
            <v>0</v>
          </cell>
          <cell r="BO292">
            <v>0</v>
          </cell>
          <cell r="BP292">
            <v>0</v>
          </cell>
          <cell r="BQ292">
            <v>0</v>
          </cell>
          <cell r="CB292">
            <v>0</v>
          </cell>
          <cell r="CC292">
            <v>0</v>
          </cell>
          <cell r="CD292">
            <v>0</v>
          </cell>
          <cell r="CE292">
            <v>0</v>
          </cell>
          <cell r="CF292">
            <v>0</v>
          </cell>
          <cell r="CG292">
            <v>0</v>
          </cell>
          <cell r="CH292">
            <v>0</v>
          </cell>
          <cell r="CI292">
            <v>0</v>
          </cell>
          <cell r="CJ292">
            <v>0</v>
          </cell>
          <cell r="CK292">
            <v>0</v>
          </cell>
          <cell r="CW292">
            <v>0</v>
          </cell>
          <cell r="CY292">
            <v>0</v>
          </cell>
          <cell r="CZ292">
            <v>0</v>
          </cell>
          <cell r="DA292">
            <v>0</v>
          </cell>
          <cell r="DB292">
            <v>0</v>
          </cell>
          <cell r="DC292">
            <v>0</v>
          </cell>
          <cell r="DD292">
            <v>0</v>
          </cell>
          <cell r="DE292">
            <v>0</v>
          </cell>
          <cell r="DF292">
            <v>0</v>
          </cell>
          <cell r="DG292">
            <v>0</v>
          </cell>
          <cell r="DH292">
            <v>0</v>
          </cell>
          <cell r="DS292">
            <v>0</v>
          </cell>
          <cell r="DT292">
            <v>75</v>
          </cell>
          <cell r="DU292">
            <v>999999</v>
          </cell>
          <cell r="DV292">
            <v>999999</v>
          </cell>
          <cell r="DW292">
            <v>999999</v>
          </cell>
          <cell r="DX292">
            <v>0</v>
          </cell>
          <cell r="DY292">
            <v>75</v>
          </cell>
          <cell r="DZ292">
            <v>999999</v>
          </cell>
          <cell r="EA292">
            <v>999999</v>
          </cell>
          <cell r="EB292">
            <v>999999</v>
          </cell>
          <cell r="EC292">
            <v>0</v>
          </cell>
          <cell r="ED292">
            <v>0</v>
          </cell>
          <cell r="EE292">
            <v>0</v>
          </cell>
          <cell r="EF292">
            <v>0</v>
          </cell>
          <cell r="EG292">
            <v>0</v>
          </cell>
          <cell r="EH292">
            <v>0</v>
          </cell>
          <cell r="EI292">
            <v>0</v>
          </cell>
          <cell r="EJ292">
            <v>0</v>
          </cell>
          <cell r="EK292">
            <v>0</v>
          </cell>
          <cell r="EL292">
            <v>0</v>
          </cell>
          <cell r="EM292" t="str">
            <v/>
          </cell>
          <cell r="EN292" t="str">
            <v/>
          </cell>
          <cell r="EO292" t="str">
            <v/>
          </cell>
          <cell r="EP292" t="str">
            <v/>
          </cell>
          <cell r="EQ292" t="str">
            <v/>
          </cell>
          <cell r="ER292" t="str">
            <v/>
          </cell>
          <cell r="ES292" t="str">
            <v/>
          </cell>
          <cell r="ET292" t="str">
            <v/>
          </cell>
          <cell r="EU292" t="str">
            <v/>
          </cell>
          <cell r="EV292" t="str">
            <v/>
          </cell>
          <cell r="EW292" t="str">
            <v/>
          </cell>
          <cell r="EX292" t="str">
            <v/>
          </cell>
          <cell r="EY292" t="str">
            <v/>
          </cell>
          <cell r="EZ292" t="str">
            <v/>
          </cell>
          <cell r="FA292" t="str">
            <v/>
          </cell>
          <cell r="FB292" t="str">
            <v/>
          </cell>
          <cell r="FC292" t="str">
            <v/>
          </cell>
          <cell r="FD292" t="str">
            <v/>
          </cell>
          <cell r="FE292" t="str">
            <v/>
          </cell>
          <cell r="FF292" t="str">
            <v/>
          </cell>
          <cell r="FG292" t="str">
            <v/>
          </cell>
          <cell r="FH292" t="str">
            <v/>
          </cell>
          <cell r="FI292" t="str">
            <v/>
          </cell>
          <cell r="FJ292" t="str">
            <v/>
          </cell>
          <cell r="FK292" t="str">
            <v/>
          </cell>
          <cell r="FL292" t="str">
            <v/>
          </cell>
          <cell r="FM292" t="str">
            <v/>
          </cell>
          <cell r="FN292" t="str">
            <v/>
          </cell>
          <cell r="FO292" t="str">
            <v/>
          </cell>
          <cell r="FP292" t="str">
            <v/>
          </cell>
        </row>
        <row r="293">
          <cell r="N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AJ293">
            <v>0</v>
          </cell>
          <cell r="AK293">
            <v>0</v>
          </cell>
          <cell r="AL293">
            <v>999999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BE293">
            <v>0</v>
          </cell>
          <cell r="BH293">
            <v>0</v>
          </cell>
          <cell r="BI293">
            <v>0</v>
          </cell>
          <cell r="BJ293">
            <v>0</v>
          </cell>
          <cell r="BK293">
            <v>0</v>
          </cell>
          <cell r="BL293">
            <v>0</v>
          </cell>
          <cell r="BM293">
            <v>0</v>
          </cell>
          <cell r="BN293">
            <v>0</v>
          </cell>
          <cell r="BO293">
            <v>0</v>
          </cell>
          <cell r="BP293">
            <v>0</v>
          </cell>
          <cell r="BQ293">
            <v>0</v>
          </cell>
          <cell r="CB293">
            <v>0</v>
          </cell>
          <cell r="CC293">
            <v>0</v>
          </cell>
          <cell r="CD293">
            <v>0</v>
          </cell>
          <cell r="CE293">
            <v>0</v>
          </cell>
          <cell r="CF293">
            <v>0</v>
          </cell>
          <cell r="CG293">
            <v>0</v>
          </cell>
          <cell r="CH293">
            <v>0</v>
          </cell>
          <cell r="CI293">
            <v>0</v>
          </cell>
          <cell r="CJ293">
            <v>0</v>
          </cell>
          <cell r="CK293">
            <v>0</v>
          </cell>
          <cell r="CW293">
            <v>0</v>
          </cell>
          <cell r="CY293">
            <v>0</v>
          </cell>
          <cell r="CZ293">
            <v>0</v>
          </cell>
          <cell r="DA293">
            <v>0</v>
          </cell>
          <cell r="DB293">
            <v>0</v>
          </cell>
          <cell r="DC293">
            <v>0</v>
          </cell>
          <cell r="DD293">
            <v>0</v>
          </cell>
          <cell r="DE293">
            <v>0</v>
          </cell>
          <cell r="DF293">
            <v>0</v>
          </cell>
          <cell r="DG293">
            <v>0</v>
          </cell>
          <cell r="DH293">
            <v>0</v>
          </cell>
          <cell r="DS293">
            <v>0</v>
          </cell>
          <cell r="DT293">
            <v>74</v>
          </cell>
          <cell r="DU293">
            <v>999999</v>
          </cell>
          <cell r="DV293">
            <v>999999</v>
          </cell>
          <cell r="DW293">
            <v>999999</v>
          </cell>
          <cell r="DX293">
            <v>0</v>
          </cell>
          <cell r="DY293">
            <v>74</v>
          </cell>
          <cell r="DZ293">
            <v>999999</v>
          </cell>
          <cell r="EA293">
            <v>999999</v>
          </cell>
          <cell r="EB293">
            <v>999999</v>
          </cell>
          <cell r="EC293">
            <v>0</v>
          </cell>
          <cell r="ED293">
            <v>0</v>
          </cell>
          <cell r="EE293">
            <v>0</v>
          </cell>
          <cell r="EF293">
            <v>0</v>
          </cell>
          <cell r="EG293">
            <v>0</v>
          </cell>
          <cell r="EH293">
            <v>0</v>
          </cell>
          <cell r="EI293">
            <v>0</v>
          </cell>
          <cell r="EJ293">
            <v>0</v>
          </cell>
          <cell r="EK293">
            <v>0</v>
          </cell>
          <cell r="EL293">
            <v>0</v>
          </cell>
          <cell r="EM293" t="str">
            <v/>
          </cell>
          <cell r="EN293" t="str">
            <v/>
          </cell>
          <cell r="EO293" t="str">
            <v/>
          </cell>
          <cell r="EP293" t="str">
            <v/>
          </cell>
          <cell r="EQ293" t="str">
            <v/>
          </cell>
          <cell r="ER293" t="str">
            <v/>
          </cell>
          <cell r="ES293" t="str">
            <v/>
          </cell>
          <cell r="ET293" t="str">
            <v/>
          </cell>
          <cell r="EU293" t="str">
            <v/>
          </cell>
          <cell r="EV293" t="str">
            <v/>
          </cell>
          <cell r="EW293" t="str">
            <v/>
          </cell>
          <cell r="EX293" t="str">
            <v/>
          </cell>
          <cell r="EY293" t="str">
            <v/>
          </cell>
          <cell r="EZ293" t="str">
            <v/>
          </cell>
          <cell r="FA293" t="str">
            <v/>
          </cell>
          <cell r="FB293" t="str">
            <v/>
          </cell>
          <cell r="FC293" t="str">
            <v/>
          </cell>
          <cell r="FD293" t="str">
            <v/>
          </cell>
          <cell r="FE293" t="str">
            <v/>
          </cell>
          <cell r="FF293" t="str">
            <v/>
          </cell>
          <cell r="FG293" t="str">
            <v/>
          </cell>
          <cell r="FH293" t="str">
            <v/>
          </cell>
          <cell r="FI293" t="str">
            <v/>
          </cell>
          <cell r="FJ293" t="str">
            <v/>
          </cell>
          <cell r="FK293" t="str">
            <v/>
          </cell>
          <cell r="FL293" t="str">
            <v/>
          </cell>
          <cell r="FM293" t="str">
            <v/>
          </cell>
          <cell r="FN293" t="str">
            <v/>
          </cell>
          <cell r="FO293" t="str">
            <v/>
          </cell>
          <cell r="FP293" t="str">
            <v/>
          </cell>
        </row>
        <row r="294">
          <cell r="N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AJ294">
            <v>0</v>
          </cell>
          <cell r="AK294">
            <v>0</v>
          </cell>
          <cell r="AL294">
            <v>999999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BE294">
            <v>0</v>
          </cell>
          <cell r="BH294">
            <v>0</v>
          </cell>
          <cell r="BI294">
            <v>0</v>
          </cell>
          <cell r="BJ294">
            <v>0</v>
          </cell>
          <cell r="BK294">
            <v>0</v>
          </cell>
          <cell r="BL294">
            <v>0</v>
          </cell>
          <cell r="BM294">
            <v>0</v>
          </cell>
          <cell r="BN294">
            <v>0</v>
          </cell>
          <cell r="BO294">
            <v>0</v>
          </cell>
          <cell r="BP294">
            <v>0</v>
          </cell>
          <cell r="BQ294">
            <v>0</v>
          </cell>
          <cell r="CB294">
            <v>0</v>
          </cell>
          <cell r="CC294">
            <v>0</v>
          </cell>
          <cell r="CD294">
            <v>0</v>
          </cell>
          <cell r="CE294">
            <v>0</v>
          </cell>
          <cell r="CF294">
            <v>0</v>
          </cell>
          <cell r="CG294">
            <v>0</v>
          </cell>
          <cell r="CH294">
            <v>0</v>
          </cell>
          <cell r="CI294">
            <v>0</v>
          </cell>
          <cell r="CJ294">
            <v>0</v>
          </cell>
          <cell r="CK294">
            <v>0</v>
          </cell>
          <cell r="CW294">
            <v>0</v>
          </cell>
          <cell r="CY294">
            <v>0</v>
          </cell>
          <cell r="CZ294">
            <v>0</v>
          </cell>
          <cell r="DA294">
            <v>0</v>
          </cell>
          <cell r="DB294">
            <v>0</v>
          </cell>
          <cell r="DC294">
            <v>0</v>
          </cell>
          <cell r="DD294">
            <v>0</v>
          </cell>
          <cell r="DE294">
            <v>0</v>
          </cell>
          <cell r="DF294">
            <v>0</v>
          </cell>
          <cell r="DG294">
            <v>0</v>
          </cell>
          <cell r="DH294">
            <v>0</v>
          </cell>
          <cell r="DS294">
            <v>0</v>
          </cell>
          <cell r="DT294">
            <v>73</v>
          </cell>
          <cell r="DU294">
            <v>999999</v>
          </cell>
          <cell r="DV294">
            <v>999999</v>
          </cell>
          <cell r="DW294">
            <v>999999</v>
          </cell>
          <cell r="DX294">
            <v>0</v>
          </cell>
          <cell r="DY294">
            <v>73</v>
          </cell>
          <cell r="DZ294">
            <v>999999</v>
          </cell>
          <cell r="EA294">
            <v>999999</v>
          </cell>
          <cell r="EB294">
            <v>999999</v>
          </cell>
          <cell r="EC294">
            <v>0</v>
          </cell>
          <cell r="ED294">
            <v>0</v>
          </cell>
          <cell r="EE294">
            <v>0</v>
          </cell>
          <cell r="EF294">
            <v>0</v>
          </cell>
          <cell r="EG294">
            <v>0</v>
          </cell>
          <cell r="EH294">
            <v>0</v>
          </cell>
          <cell r="EI294">
            <v>0</v>
          </cell>
          <cell r="EJ294">
            <v>0</v>
          </cell>
          <cell r="EK294">
            <v>0</v>
          </cell>
          <cell r="EL294">
            <v>0</v>
          </cell>
          <cell r="EM294" t="str">
            <v/>
          </cell>
          <cell r="EN294" t="str">
            <v/>
          </cell>
          <cell r="EO294" t="str">
            <v/>
          </cell>
          <cell r="EP294" t="str">
            <v/>
          </cell>
          <cell r="EQ294" t="str">
            <v/>
          </cell>
          <cell r="ER294" t="str">
            <v/>
          </cell>
          <cell r="ES294" t="str">
            <v/>
          </cell>
          <cell r="ET294" t="str">
            <v/>
          </cell>
          <cell r="EU294" t="str">
            <v/>
          </cell>
          <cell r="EV294" t="str">
            <v/>
          </cell>
          <cell r="EW294" t="str">
            <v/>
          </cell>
          <cell r="EX294" t="str">
            <v/>
          </cell>
          <cell r="EY294" t="str">
            <v/>
          </cell>
          <cell r="EZ294" t="str">
            <v/>
          </cell>
          <cell r="FA294" t="str">
            <v/>
          </cell>
          <cell r="FB294" t="str">
            <v/>
          </cell>
          <cell r="FC294" t="str">
            <v/>
          </cell>
          <cell r="FD294" t="str">
            <v/>
          </cell>
          <cell r="FE294" t="str">
            <v/>
          </cell>
          <cell r="FF294" t="str">
            <v/>
          </cell>
          <cell r="FG294" t="str">
            <v/>
          </cell>
          <cell r="FH294" t="str">
            <v/>
          </cell>
          <cell r="FI294" t="str">
            <v/>
          </cell>
          <cell r="FJ294" t="str">
            <v/>
          </cell>
          <cell r="FK294" t="str">
            <v/>
          </cell>
          <cell r="FL294" t="str">
            <v/>
          </cell>
          <cell r="FM294" t="str">
            <v/>
          </cell>
          <cell r="FN294" t="str">
            <v/>
          </cell>
          <cell r="FO294" t="str">
            <v/>
          </cell>
          <cell r="FP294" t="str">
            <v/>
          </cell>
        </row>
        <row r="295">
          <cell r="N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AJ295">
            <v>0</v>
          </cell>
          <cell r="AK295">
            <v>0</v>
          </cell>
          <cell r="AL295">
            <v>999999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BE295">
            <v>0</v>
          </cell>
          <cell r="BH295">
            <v>0</v>
          </cell>
          <cell r="BI295">
            <v>0</v>
          </cell>
          <cell r="BJ295">
            <v>0</v>
          </cell>
          <cell r="BK295">
            <v>0</v>
          </cell>
          <cell r="BL295">
            <v>0</v>
          </cell>
          <cell r="BM295">
            <v>0</v>
          </cell>
          <cell r="BN295">
            <v>0</v>
          </cell>
          <cell r="BO295">
            <v>0</v>
          </cell>
          <cell r="BP295">
            <v>0</v>
          </cell>
          <cell r="BQ295">
            <v>0</v>
          </cell>
          <cell r="CB295">
            <v>0</v>
          </cell>
          <cell r="CC295">
            <v>0</v>
          </cell>
          <cell r="CD295">
            <v>0</v>
          </cell>
          <cell r="CE295">
            <v>0</v>
          </cell>
          <cell r="CF295">
            <v>0</v>
          </cell>
          <cell r="CG295">
            <v>0</v>
          </cell>
          <cell r="CH295">
            <v>0</v>
          </cell>
          <cell r="CI295">
            <v>0</v>
          </cell>
          <cell r="CJ295">
            <v>0</v>
          </cell>
          <cell r="CK295">
            <v>0</v>
          </cell>
          <cell r="CW295">
            <v>0</v>
          </cell>
          <cell r="CY295">
            <v>0</v>
          </cell>
          <cell r="CZ295">
            <v>0</v>
          </cell>
          <cell r="DA295">
            <v>0</v>
          </cell>
          <cell r="DB295">
            <v>0</v>
          </cell>
          <cell r="DC295">
            <v>0</v>
          </cell>
          <cell r="DD295">
            <v>0</v>
          </cell>
          <cell r="DE295">
            <v>0</v>
          </cell>
          <cell r="DF295">
            <v>0</v>
          </cell>
          <cell r="DG295">
            <v>0</v>
          </cell>
          <cell r="DH295">
            <v>0</v>
          </cell>
          <cell r="DS295">
            <v>0</v>
          </cell>
          <cell r="DT295">
            <v>72</v>
          </cell>
          <cell r="DU295">
            <v>999999</v>
          </cell>
          <cell r="DV295">
            <v>999999</v>
          </cell>
          <cell r="DW295">
            <v>999999</v>
          </cell>
          <cell r="DX295">
            <v>0</v>
          </cell>
          <cell r="DY295">
            <v>72</v>
          </cell>
          <cell r="DZ295">
            <v>999999</v>
          </cell>
          <cell r="EA295">
            <v>999999</v>
          </cell>
          <cell r="EB295">
            <v>999999</v>
          </cell>
          <cell r="EC295">
            <v>0</v>
          </cell>
          <cell r="ED295">
            <v>0</v>
          </cell>
          <cell r="EE295">
            <v>0</v>
          </cell>
          <cell r="EF295">
            <v>0</v>
          </cell>
          <cell r="EG295">
            <v>0</v>
          </cell>
          <cell r="EH295">
            <v>0</v>
          </cell>
          <cell r="EI295">
            <v>0</v>
          </cell>
          <cell r="EJ295">
            <v>0</v>
          </cell>
          <cell r="EK295">
            <v>0</v>
          </cell>
          <cell r="EL295">
            <v>0</v>
          </cell>
          <cell r="EM295" t="str">
            <v/>
          </cell>
          <cell r="EN295" t="str">
            <v/>
          </cell>
          <cell r="EO295" t="str">
            <v/>
          </cell>
          <cell r="EP295" t="str">
            <v/>
          </cell>
          <cell r="EQ295" t="str">
            <v/>
          </cell>
          <cell r="ER295" t="str">
            <v/>
          </cell>
          <cell r="ES295" t="str">
            <v/>
          </cell>
          <cell r="ET295" t="str">
            <v/>
          </cell>
          <cell r="EU295" t="str">
            <v/>
          </cell>
          <cell r="EV295" t="str">
            <v/>
          </cell>
          <cell r="EW295" t="str">
            <v/>
          </cell>
          <cell r="EX295" t="str">
            <v/>
          </cell>
          <cell r="EY295" t="str">
            <v/>
          </cell>
          <cell r="EZ295" t="str">
            <v/>
          </cell>
          <cell r="FA295" t="str">
            <v/>
          </cell>
          <cell r="FB295" t="str">
            <v/>
          </cell>
          <cell r="FC295" t="str">
            <v/>
          </cell>
          <cell r="FD295" t="str">
            <v/>
          </cell>
          <cell r="FE295" t="str">
            <v/>
          </cell>
          <cell r="FF295" t="str">
            <v/>
          </cell>
          <cell r="FG295" t="str">
            <v/>
          </cell>
          <cell r="FH295" t="str">
            <v/>
          </cell>
          <cell r="FI295" t="str">
            <v/>
          </cell>
          <cell r="FJ295" t="str">
            <v/>
          </cell>
          <cell r="FK295" t="str">
            <v/>
          </cell>
          <cell r="FL295" t="str">
            <v/>
          </cell>
          <cell r="FM295" t="str">
            <v/>
          </cell>
          <cell r="FN295" t="str">
            <v/>
          </cell>
          <cell r="FO295" t="str">
            <v/>
          </cell>
          <cell r="FP295" t="str">
            <v/>
          </cell>
        </row>
        <row r="296">
          <cell r="N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AJ296">
            <v>0</v>
          </cell>
          <cell r="AK296">
            <v>0</v>
          </cell>
          <cell r="AL296">
            <v>999999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BE296">
            <v>0</v>
          </cell>
          <cell r="BH296">
            <v>0</v>
          </cell>
          <cell r="BI296">
            <v>0</v>
          </cell>
          <cell r="BJ296">
            <v>0</v>
          </cell>
          <cell r="BK296">
            <v>0</v>
          </cell>
          <cell r="BL296">
            <v>0</v>
          </cell>
          <cell r="BM296">
            <v>0</v>
          </cell>
          <cell r="BN296">
            <v>0</v>
          </cell>
          <cell r="BO296">
            <v>0</v>
          </cell>
          <cell r="BP296">
            <v>0</v>
          </cell>
          <cell r="BQ296">
            <v>0</v>
          </cell>
          <cell r="CB296">
            <v>0</v>
          </cell>
          <cell r="CC296">
            <v>0</v>
          </cell>
          <cell r="CD296">
            <v>0</v>
          </cell>
          <cell r="CE296">
            <v>0</v>
          </cell>
          <cell r="CF296">
            <v>0</v>
          </cell>
          <cell r="CG296">
            <v>0</v>
          </cell>
          <cell r="CH296">
            <v>0</v>
          </cell>
          <cell r="CI296">
            <v>0</v>
          </cell>
          <cell r="CJ296">
            <v>0</v>
          </cell>
          <cell r="CK296">
            <v>0</v>
          </cell>
          <cell r="CW296">
            <v>0</v>
          </cell>
          <cell r="CY296">
            <v>0</v>
          </cell>
          <cell r="CZ296">
            <v>0</v>
          </cell>
          <cell r="DA296">
            <v>0</v>
          </cell>
          <cell r="DB296">
            <v>0</v>
          </cell>
          <cell r="DC296">
            <v>0</v>
          </cell>
          <cell r="DD296">
            <v>0</v>
          </cell>
          <cell r="DE296">
            <v>0</v>
          </cell>
          <cell r="DF296">
            <v>0</v>
          </cell>
          <cell r="DG296">
            <v>0</v>
          </cell>
          <cell r="DH296">
            <v>0</v>
          </cell>
          <cell r="DS296">
            <v>0</v>
          </cell>
          <cell r="DT296">
            <v>71</v>
          </cell>
          <cell r="DU296">
            <v>999999</v>
          </cell>
          <cell r="DV296">
            <v>999999</v>
          </cell>
          <cell r="DW296">
            <v>999999</v>
          </cell>
          <cell r="DX296">
            <v>0</v>
          </cell>
          <cell r="DY296">
            <v>71</v>
          </cell>
          <cell r="DZ296">
            <v>999999</v>
          </cell>
          <cell r="EA296">
            <v>999999</v>
          </cell>
          <cell r="EB296">
            <v>999999</v>
          </cell>
          <cell r="EC296">
            <v>0</v>
          </cell>
          <cell r="ED296">
            <v>0</v>
          </cell>
          <cell r="EE296">
            <v>0</v>
          </cell>
          <cell r="EF296">
            <v>0</v>
          </cell>
          <cell r="EG296">
            <v>0</v>
          </cell>
          <cell r="EH296">
            <v>0</v>
          </cell>
          <cell r="EI296">
            <v>0</v>
          </cell>
          <cell r="EJ296">
            <v>0</v>
          </cell>
          <cell r="EK296">
            <v>0</v>
          </cell>
          <cell r="EL296">
            <v>0</v>
          </cell>
          <cell r="EM296" t="str">
            <v/>
          </cell>
          <cell r="EN296" t="str">
            <v/>
          </cell>
          <cell r="EO296" t="str">
            <v/>
          </cell>
          <cell r="EP296" t="str">
            <v/>
          </cell>
          <cell r="EQ296" t="str">
            <v/>
          </cell>
          <cell r="ER296" t="str">
            <v/>
          </cell>
          <cell r="ES296" t="str">
            <v/>
          </cell>
          <cell r="ET296" t="str">
            <v/>
          </cell>
          <cell r="EU296" t="str">
            <v/>
          </cell>
          <cell r="EV296" t="str">
            <v/>
          </cell>
          <cell r="EW296" t="str">
            <v/>
          </cell>
          <cell r="EX296" t="str">
            <v/>
          </cell>
          <cell r="EY296" t="str">
            <v/>
          </cell>
          <cell r="EZ296" t="str">
            <v/>
          </cell>
          <cell r="FA296" t="str">
            <v/>
          </cell>
          <cell r="FB296" t="str">
            <v/>
          </cell>
          <cell r="FC296" t="str">
            <v/>
          </cell>
          <cell r="FD296" t="str">
            <v/>
          </cell>
          <cell r="FE296" t="str">
            <v/>
          </cell>
          <cell r="FF296" t="str">
            <v/>
          </cell>
          <cell r="FG296" t="str">
            <v/>
          </cell>
          <cell r="FH296" t="str">
            <v/>
          </cell>
          <cell r="FI296" t="str">
            <v/>
          </cell>
          <cell r="FJ296" t="str">
            <v/>
          </cell>
          <cell r="FK296" t="str">
            <v/>
          </cell>
          <cell r="FL296" t="str">
            <v/>
          </cell>
          <cell r="FM296" t="str">
            <v/>
          </cell>
          <cell r="FN296" t="str">
            <v/>
          </cell>
          <cell r="FO296" t="str">
            <v/>
          </cell>
          <cell r="FP296" t="str">
            <v/>
          </cell>
        </row>
        <row r="297">
          <cell r="N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AJ297">
            <v>0</v>
          </cell>
          <cell r="AK297">
            <v>0</v>
          </cell>
          <cell r="AL297">
            <v>999999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BE297">
            <v>48000</v>
          </cell>
          <cell r="BH297">
            <v>0</v>
          </cell>
          <cell r="BI297">
            <v>0</v>
          </cell>
          <cell r="BJ297">
            <v>0</v>
          </cell>
          <cell r="BK297">
            <v>0</v>
          </cell>
          <cell r="BL297">
            <v>0</v>
          </cell>
          <cell r="BM297">
            <v>0</v>
          </cell>
          <cell r="BN297">
            <v>0</v>
          </cell>
          <cell r="BO297">
            <v>0</v>
          </cell>
          <cell r="BP297">
            <v>0</v>
          </cell>
          <cell r="BQ297">
            <v>0</v>
          </cell>
          <cell r="CB297">
            <v>0</v>
          </cell>
          <cell r="CC297">
            <v>0</v>
          </cell>
          <cell r="CD297">
            <v>0</v>
          </cell>
          <cell r="CE297">
            <v>0</v>
          </cell>
          <cell r="CF297">
            <v>0</v>
          </cell>
          <cell r="CG297">
            <v>0</v>
          </cell>
          <cell r="CH297">
            <v>0</v>
          </cell>
          <cell r="CI297">
            <v>0</v>
          </cell>
          <cell r="CJ297">
            <v>0</v>
          </cell>
          <cell r="CK297">
            <v>0</v>
          </cell>
          <cell r="CW297">
            <v>0</v>
          </cell>
          <cell r="CY297">
            <v>0</v>
          </cell>
          <cell r="CZ297">
            <v>0</v>
          </cell>
          <cell r="DA297">
            <v>0</v>
          </cell>
          <cell r="DB297">
            <v>0</v>
          </cell>
          <cell r="DC297">
            <v>0</v>
          </cell>
          <cell r="DD297">
            <v>0</v>
          </cell>
          <cell r="DE297">
            <v>0</v>
          </cell>
          <cell r="DF297">
            <v>0</v>
          </cell>
          <cell r="DG297">
            <v>0</v>
          </cell>
          <cell r="DH297">
            <v>0</v>
          </cell>
          <cell r="DS297">
            <v>0</v>
          </cell>
          <cell r="DT297">
            <v>70</v>
          </cell>
          <cell r="DU297">
            <v>999999</v>
          </cell>
          <cell r="DV297">
            <v>999999</v>
          </cell>
          <cell r="DW297">
            <v>999999</v>
          </cell>
          <cell r="DX297">
            <v>0</v>
          </cell>
          <cell r="DY297">
            <v>70</v>
          </cell>
          <cell r="DZ297">
            <v>999999</v>
          </cell>
          <cell r="EA297">
            <v>999999</v>
          </cell>
          <cell r="EB297">
            <v>999999</v>
          </cell>
          <cell r="EC297">
            <v>0</v>
          </cell>
          <cell r="ED297">
            <v>0</v>
          </cell>
          <cell r="EE297">
            <v>0</v>
          </cell>
          <cell r="EF297">
            <v>0</v>
          </cell>
          <cell r="EG297">
            <v>0</v>
          </cell>
          <cell r="EH297">
            <v>0</v>
          </cell>
          <cell r="EI297">
            <v>0</v>
          </cell>
          <cell r="EJ297">
            <v>0</v>
          </cell>
          <cell r="EK297">
            <v>0</v>
          </cell>
          <cell r="EL297">
            <v>0</v>
          </cell>
          <cell r="EM297" t="str">
            <v/>
          </cell>
          <cell r="EN297" t="str">
            <v/>
          </cell>
          <cell r="EO297" t="str">
            <v/>
          </cell>
          <cell r="EP297" t="str">
            <v/>
          </cell>
          <cell r="EQ297" t="str">
            <v/>
          </cell>
          <cell r="ER297" t="str">
            <v/>
          </cell>
          <cell r="ES297" t="str">
            <v/>
          </cell>
          <cell r="ET297" t="str">
            <v/>
          </cell>
          <cell r="EU297" t="str">
            <v/>
          </cell>
          <cell r="EV297" t="str">
            <v/>
          </cell>
          <cell r="EW297" t="str">
            <v/>
          </cell>
          <cell r="EX297" t="str">
            <v/>
          </cell>
          <cell r="EY297" t="str">
            <v/>
          </cell>
          <cell r="EZ297" t="str">
            <v/>
          </cell>
          <cell r="FA297" t="str">
            <v/>
          </cell>
          <cell r="FB297" t="str">
            <v/>
          </cell>
          <cell r="FC297" t="str">
            <v/>
          </cell>
          <cell r="FD297" t="str">
            <v/>
          </cell>
          <cell r="FE297" t="str">
            <v/>
          </cell>
          <cell r="FF297" t="str">
            <v/>
          </cell>
          <cell r="FG297" t="str">
            <v/>
          </cell>
          <cell r="FH297" t="str">
            <v/>
          </cell>
          <cell r="FI297" t="str">
            <v/>
          </cell>
          <cell r="FJ297" t="str">
            <v/>
          </cell>
          <cell r="FK297" t="str">
            <v/>
          </cell>
          <cell r="FL297" t="str">
            <v/>
          </cell>
          <cell r="FM297" t="str">
            <v/>
          </cell>
          <cell r="FN297" t="str">
            <v/>
          </cell>
          <cell r="FO297" t="str">
            <v/>
          </cell>
          <cell r="FP297" t="str">
            <v/>
          </cell>
        </row>
        <row r="298">
          <cell r="N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AJ298">
            <v>0</v>
          </cell>
          <cell r="AK298">
            <v>0</v>
          </cell>
          <cell r="AL298">
            <v>999999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BE298">
            <v>0</v>
          </cell>
          <cell r="BH298">
            <v>0</v>
          </cell>
          <cell r="BI298">
            <v>0</v>
          </cell>
          <cell r="BJ298">
            <v>0</v>
          </cell>
          <cell r="BK298">
            <v>0</v>
          </cell>
          <cell r="BL298">
            <v>0</v>
          </cell>
          <cell r="BM298">
            <v>0</v>
          </cell>
          <cell r="BN298">
            <v>0</v>
          </cell>
          <cell r="BO298">
            <v>0</v>
          </cell>
          <cell r="BP298">
            <v>0</v>
          </cell>
          <cell r="BQ298">
            <v>0</v>
          </cell>
          <cell r="CB298">
            <v>0</v>
          </cell>
          <cell r="CC298">
            <v>0</v>
          </cell>
          <cell r="CD298">
            <v>0</v>
          </cell>
          <cell r="CE298">
            <v>0</v>
          </cell>
          <cell r="CF298">
            <v>0</v>
          </cell>
          <cell r="CG298">
            <v>0</v>
          </cell>
          <cell r="CH298">
            <v>0</v>
          </cell>
          <cell r="CI298">
            <v>0</v>
          </cell>
          <cell r="CJ298">
            <v>0</v>
          </cell>
          <cell r="CK298">
            <v>0</v>
          </cell>
          <cell r="CW298">
            <v>0</v>
          </cell>
          <cell r="CY298">
            <v>0</v>
          </cell>
          <cell r="CZ298">
            <v>0</v>
          </cell>
          <cell r="DA298">
            <v>0</v>
          </cell>
          <cell r="DB298">
            <v>0</v>
          </cell>
          <cell r="DC298">
            <v>0</v>
          </cell>
          <cell r="DD298">
            <v>0</v>
          </cell>
          <cell r="DE298">
            <v>0</v>
          </cell>
          <cell r="DF298">
            <v>0</v>
          </cell>
          <cell r="DG298">
            <v>0</v>
          </cell>
          <cell r="DH298">
            <v>0</v>
          </cell>
          <cell r="DS298">
            <v>0</v>
          </cell>
          <cell r="DT298">
            <v>69</v>
          </cell>
          <cell r="DU298">
            <v>999999</v>
          </cell>
          <cell r="DV298">
            <v>999999</v>
          </cell>
          <cell r="DW298">
            <v>999999</v>
          </cell>
          <cell r="DX298">
            <v>0</v>
          </cell>
          <cell r="DY298">
            <v>69</v>
          </cell>
          <cell r="DZ298">
            <v>999999</v>
          </cell>
          <cell r="EA298">
            <v>999999</v>
          </cell>
          <cell r="EB298">
            <v>999999</v>
          </cell>
          <cell r="EC298">
            <v>0</v>
          </cell>
          <cell r="ED298">
            <v>0</v>
          </cell>
          <cell r="EE298">
            <v>0</v>
          </cell>
          <cell r="EF298">
            <v>0</v>
          </cell>
          <cell r="EG298">
            <v>0</v>
          </cell>
          <cell r="EH298">
            <v>0</v>
          </cell>
          <cell r="EI298">
            <v>0</v>
          </cell>
          <cell r="EJ298">
            <v>0</v>
          </cell>
          <cell r="EK298">
            <v>0</v>
          </cell>
          <cell r="EL298">
            <v>0</v>
          </cell>
          <cell r="EM298" t="str">
            <v/>
          </cell>
          <cell r="EN298" t="str">
            <v/>
          </cell>
          <cell r="EO298" t="str">
            <v/>
          </cell>
          <cell r="EP298" t="str">
            <v/>
          </cell>
          <cell r="EQ298" t="str">
            <v/>
          </cell>
          <cell r="ER298" t="str">
            <v/>
          </cell>
          <cell r="ES298" t="str">
            <v/>
          </cell>
          <cell r="ET298" t="str">
            <v/>
          </cell>
          <cell r="EU298" t="str">
            <v/>
          </cell>
          <cell r="EV298" t="str">
            <v/>
          </cell>
          <cell r="EW298" t="str">
            <v/>
          </cell>
          <cell r="EX298" t="str">
            <v/>
          </cell>
          <cell r="EY298" t="str">
            <v/>
          </cell>
          <cell r="EZ298" t="str">
            <v/>
          </cell>
          <cell r="FA298" t="str">
            <v/>
          </cell>
          <cell r="FB298" t="str">
            <v/>
          </cell>
          <cell r="FC298" t="str">
            <v/>
          </cell>
          <cell r="FD298" t="str">
            <v/>
          </cell>
          <cell r="FE298" t="str">
            <v/>
          </cell>
          <cell r="FF298" t="str">
            <v/>
          </cell>
          <cell r="FG298" t="str">
            <v/>
          </cell>
          <cell r="FH298" t="str">
            <v/>
          </cell>
          <cell r="FI298" t="str">
            <v/>
          </cell>
          <cell r="FJ298" t="str">
            <v/>
          </cell>
          <cell r="FK298" t="str">
            <v/>
          </cell>
          <cell r="FL298" t="str">
            <v/>
          </cell>
          <cell r="FM298" t="str">
            <v/>
          </cell>
          <cell r="FN298" t="str">
            <v/>
          </cell>
          <cell r="FO298" t="str">
            <v/>
          </cell>
          <cell r="FP298" t="str">
            <v/>
          </cell>
        </row>
        <row r="299">
          <cell r="N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AJ299">
            <v>0</v>
          </cell>
          <cell r="AK299">
            <v>0</v>
          </cell>
          <cell r="AL299">
            <v>999999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BE299">
            <v>0</v>
          </cell>
          <cell r="BH299">
            <v>0</v>
          </cell>
          <cell r="BI299">
            <v>0</v>
          </cell>
          <cell r="BJ299">
            <v>0</v>
          </cell>
          <cell r="BK299">
            <v>0</v>
          </cell>
          <cell r="BL299">
            <v>0</v>
          </cell>
          <cell r="BM299">
            <v>0</v>
          </cell>
          <cell r="BN299">
            <v>0</v>
          </cell>
          <cell r="BO299">
            <v>0</v>
          </cell>
          <cell r="BP299">
            <v>0</v>
          </cell>
          <cell r="BQ299">
            <v>0</v>
          </cell>
          <cell r="CB299">
            <v>0</v>
          </cell>
          <cell r="CC299">
            <v>0</v>
          </cell>
          <cell r="CD299">
            <v>0</v>
          </cell>
          <cell r="CE299">
            <v>0</v>
          </cell>
          <cell r="CF299">
            <v>0</v>
          </cell>
          <cell r="CG299">
            <v>0</v>
          </cell>
          <cell r="CH299">
            <v>0</v>
          </cell>
          <cell r="CI299">
            <v>0</v>
          </cell>
          <cell r="CJ299">
            <v>0</v>
          </cell>
          <cell r="CK299">
            <v>0</v>
          </cell>
          <cell r="CW299">
            <v>0</v>
          </cell>
          <cell r="CY299">
            <v>0</v>
          </cell>
          <cell r="CZ299">
            <v>0</v>
          </cell>
          <cell r="DA299">
            <v>0</v>
          </cell>
          <cell r="DB299">
            <v>0</v>
          </cell>
          <cell r="DC299">
            <v>0</v>
          </cell>
          <cell r="DD299">
            <v>0</v>
          </cell>
          <cell r="DE299">
            <v>0</v>
          </cell>
          <cell r="DF299">
            <v>0</v>
          </cell>
          <cell r="DG299">
            <v>0</v>
          </cell>
          <cell r="DH299">
            <v>0</v>
          </cell>
          <cell r="DS299">
            <v>0</v>
          </cell>
          <cell r="DT299">
            <v>68</v>
          </cell>
          <cell r="DU299">
            <v>999999</v>
          </cell>
          <cell r="DV299">
            <v>999999</v>
          </cell>
          <cell r="DW299">
            <v>999999</v>
          </cell>
          <cell r="DX299">
            <v>0</v>
          </cell>
          <cell r="DY299">
            <v>68</v>
          </cell>
          <cell r="DZ299">
            <v>999999</v>
          </cell>
          <cell r="EA299">
            <v>999999</v>
          </cell>
          <cell r="EB299">
            <v>999999</v>
          </cell>
          <cell r="EC299">
            <v>0</v>
          </cell>
          <cell r="ED299">
            <v>0</v>
          </cell>
          <cell r="EE299">
            <v>0</v>
          </cell>
          <cell r="EF299">
            <v>0</v>
          </cell>
          <cell r="EG299">
            <v>0</v>
          </cell>
          <cell r="EH299">
            <v>0</v>
          </cell>
          <cell r="EI299">
            <v>0</v>
          </cell>
          <cell r="EJ299">
            <v>0</v>
          </cell>
          <cell r="EK299">
            <v>0</v>
          </cell>
          <cell r="EL299">
            <v>0</v>
          </cell>
          <cell r="EM299" t="str">
            <v/>
          </cell>
          <cell r="EN299" t="str">
            <v/>
          </cell>
          <cell r="EO299" t="str">
            <v/>
          </cell>
          <cell r="EP299" t="str">
            <v/>
          </cell>
          <cell r="EQ299" t="str">
            <v/>
          </cell>
          <cell r="ER299" t="str">
            <v/>
          </cell>
          <cell r="ES299" t="str">
            <v/>
          </cell>
          <cell r="ET299" t="str">
            <v/>
          </cell>
          <cell r="EU299" t="str">
            <v/>
          </cell>
          <cell r="EV299" t="str">
            <v/>
          </cell>
          <cell r="EW299" t="str">
            <v/>
          </cell>
          <cell r="EX299" t="str">
            <v/>
          </cell>
          <cell r="EY299" t="str">
            <v/>
          </cell>
          <cell r="EZ299" t="str">
            <v/>
          </cell>
          <cell r="FA299" t="str">
            <v/>
          </cell>
          <cell r="FB299" t="str">
            <v/>
          </cell>
          <cell r="FC299" t="str">
            <v/>
          </cell>
          <cell r="FD299" t="str">
            <v/>
          </cell>
          <cell r="FE299" t="str">
            <v/>
          </cell>
          <cell r="FF299" t="str">
            <v/>
          </cell>
          <cell r="FG299" t="str">
            <v/>
          </cell>
          <cell r="FH299" t="str">
            <v/>
          </cell>
          <cell r="FI299" t="str">
            <v/>
          </cell>
          <cell r="FJ299" t="str">
            <v/>
          </cell>
          <cell r="FK299" t="str">
            <v/>
          </cell>
          <cell r="FL299" t="str">
            <v/>
          </cell>
          <cell r="FM299" t="str">
            <v/>
          </cell>
          <cell r="FN299" t="str">
            <v/>
          </cell>
          <cell r="FO299" t="str">
            <v/>
          </cell>
          <cell r="FP299" t="str">
            <v/>
          </cell>
        </row>
        <row r="300">
          <cell r="N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AJ300">
            <v>0</v>
          </cell>
          <cell r="AK300">
            <v>0</v>
          </cell>
          <cell r="AL300">
            <v>999999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BE300">
            <v>0</v>
          </cell>
          <cell r="BH300">
            <v>0</v>
          </cell>
          <cell r="BI300">
            <v>0</v>
          </cell>
          <cell r="BJ300">
            <v>0</v>
          </cell>
          <cell r="BK300">
            <v>0</v>
          </cell>
          <cell r="BL300">
            <v>0</v>
          </cell>
          <cell r="BM300">
            <v>0</v>
          </cell>
          <cell r="BN300">
            <v>0</v>
          </cell>
          <cell r="BO300">
            <v>0</v>
          </cell>
          <cell r="BP300">
            <v>0</v>
          </cell>
          <cell r="BQ300">
            <v>0</v>
          </cell>
          <cell r="CB300">
            <v>0</v>
          </cell>
          <cell r="CC300">
            <v>0</v>
          </cell>
          <cell r="CD300">
            <v>0</v>
          </cell>
          <cell r="CE300">
            <v>0</v>
          </cell>
          <cell r="CF300">
            <v>0</v>
          </cell>
          <cell r="CG300">
            <v>0</v>
          </cell>
          <cell r="CH300">
            <v>0</v>
          </cell>
          <cell r="CI300">
            <v>0</v>
          </cell>
          <cell r="CJ300">
            <v>0</v>
          </cell>
          <cell r="CK300">
            <v>0</v>
          </cell>
          <cell r="CW300">
            <v>0</v>
          </cell>
          <cell r="CY300">
            <v>0</v>
          </cell>
          <cell r="CZ300">
            <v>0</v>
          </cell>
          <cell r="DA300">
            <v>0</v>
          </cell>
          <cell r="DB300">
            <v>0</v>
          </cell>
          <cell r="DC300">
            <v>0</v>
          </cell>
          <cell r="DD300">
            <v>0</v>
          </cell>
          <cell r="DE300">
            <v>0</v>
          </cell>
          <cell r="DF300">
            <v>0</v>
          </cell>
          <cell r="DG300">
            <v>0</v>
          </cell>
          <cell r="DH300">
            <v>0</v>
          </cell>
          <cell r="DS300">
            <v>0</v>
          </cell>
          <cell r="DT300">
            <v>67</v>
          </cell>
          <cell r="DU300">
            <v>999999</v>
          </cell>
          <cell r="DV300">
            <v>999999</v>
          </cell>
          <cell r="DW300">
            <v>999999</v>
          </cell>
          <cell r="DX300">
            <v>0</v>
          </cell>
          <cell r="DY300">
            <v>67</v>
          </cell>
          <cell r="DZ300">
            <v>999999</v>
          </cell>
          <cell r="EA300">
            <v>999999</v>
          </cell>
          <cell r="EB300">
            <v>999999</v>
          </cell>
          <cell r="EC300">
            <v>0</v>
          </cell>
          <cell r="ED300">
            <v>0</v>
          </cell>
          <cell r="EE300">
            <v>0</v>
          </cell>
          <cell r="EF300">
            <v>0</v>
          </cell>
          <cell r="EG300">
            <v>0</v>
          </cell>
          <cell r="EH300">
            <v>0</v>
          </cell>
          <cell r="EI300">
            <v>0</v>
          </cell>
          <cell r="EJ300">
            <v>0</v>
          </cell>
          <cell r="EK300">
            <v>0</v>
          </cell>
          <cell r="EL300">
            <v>0</v>
          </cell>
          <cell r="EM300" t="str">
            <v/>
          </cell>
          <cell r="EN300" t="str">
            <v/>
          </cell>
          <cell r="EO300" t="str">
            <v/>
          </cell>
          <cell r="EP300" t="str">
            <v/>
          </cell>
          <cell r="EQ300" t="str">
            <v/>
          </cell>
          <cell r="ER300" t="str">
            <v/>
          </cell>
          <cell r="ES300" t="str">
            <v/>
          </cell>
          <cell r="ET300" t="str">
            <v/>
          </cell>
          <cell r="EU300" t="str">
            <v/>
          </cell>
          <cell r="EV300" t="str">
            <v/>
          </cell>
          <cell r="EW300" t="str">
            <v/>
          </cell>
          <cell r="EX300" t="str">
            <v/>
          </cell>
          <cell r="EY300" t="str">
            <v/>
          </cell>
          <cell r="EZ300" t="str">
            <v/>
          </cell>
          <cell r="FA300" t="str">
            <v/>
          </cell>
          <cell r="FB300" t="str">
            <v/>
          </cell>
          <cell r="FC300" t="str">
            <v/>
          </cell>
          <cell r="FD300" t="str">
            <v/>
          </cell>
          <cell r="FE300" t="str">
            <v/>
          </cell>
          <cell r="FF300" t="str">
            <v/>
          </cell>
          <cell r="FG300" t="str">
            <v/>
          </cell>
          <cell r="FH300" t="str">
            <v/>
          </cell>
          <cell r="FI300" t="str">
            <v/>
          </cell>
          <cell r="FJ300" t="str">
            <v/>
          </cell>
          <cell r="FK300" t="str">
            <v/>
          </cell>
          <cell r="FL300" t="str">
            <v/>
          </cell>
          <cell r="FM300" t="str">
            <v/>
          </cell>
          <cell r="FN300" t="str">
            <v/>
          </cell>
          <cell r="FO300" t="str">
            <v/>
          </cell>
          <cell r="FP300" t="str">
            <v/>
          </cell>
        </row>
        <row r="301">
          <cell r="N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AJ301">
            <v>0</v>
          </cell>
          <cell r="AK301">
            <v>0</v>
          </cell>
          <cell r="AL301">
            <v>999999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BE301">
            <v>0</v>
          </cell>
          <cell r="BH301">
            <v>0</v>
          </cell>
          <cell r="BI301">
            <v>0</v>
          </cell>
          <cell r="BJ301">
            <v>0</v>
          </cell>
          <cell r="BK301">
            <v>0</v>
          </cell>
          <cell r="BL301">
            <v>0</v>
          </cell>
          <cell r="BM301">
            <v>0</v>
          </cell>
          <cell r="BN301">
            <v>0</v>
          </cell>
          <cell r="BO301">
            <v>0</v>
          </cell>
          <cell r="BP301">
            <v>0</v>
          </cell>
          <cell r="BQ301">
            <v>0</v>
          </cell>
          <cell r="CB301">
            <v>0</v>
          </cell>
          <cell r="CC301">
            <v>0</v>
          </cell>
          <cell r="CD301">
            <v>0</v>
          </cell>
          <cell r="CE301">
            <v>0</v>
          </cell>
          <cell r="CF301">
            <v>0</v>
          </cell>
          <cell r="CG301">
            <v>0</v>
          </cell>
          <cell r="CH301">
            <v>0</v>
          </cell>
          <cell r="CI301">
            <v>0</v>
          </cell>
          <cell r="CJ301">
            <v>0</v>
          </cell>
          <cell r="CK301">
            <v>0</v>
          </cell>
          <cell r="CW301">
            <v>0</v>
          </cell>
          <cell r="CY301">
            <v>0</v>
          </cell>
          <cell r="CZ301">
            <v>0</v>
          </cell>
          <cell r="DA301">
            <v>0</v>
          </cell>
          <cell r="DB301">
            <v>0</v>
          </cell>
          <cell r="DC301">
            <v>0</v>
          </cell>
          <cell r="DD301">
            <v>0</v>
          </cell>
          <cell r="DE301">
            <v>0</v>
          </cell>
          <cell r="DF301">
            <v>0</v>
          </cell>
          <cell r="DG301">
            <v>0</v>
          </cell>
          <cell r="DH301">
            <v>0</v>
          </cell>
          <cell r="DS301">
            <v>0</v>
          </cell>
          <cell r="DT301">
            <v>66</v>
          </cell>
          <cell r="DU301">
            <v>999999</v>
          </cell>
          <cell r="DV301">
            <v>999999</v>
          </cell>
          <cell r="DW301">
            <v>999999</v>
          </cell>
          <cell r="DX301">
            <v>0</v>
          </cell>
          <cell r="DY301">
            <v>66</v>
          </cell>
          <cell r="DZ301">
            <v>999999</v>
          </cell>
          <cell r="EA301">
            <v>999999</v>
          </cell>
          <cell r="EB301">
            <v>999999</v>
          </cell>
          <cell r="EC301">
            <v>0</v>
          </cell>
          <cell r="ED301">
            <v>0</v>
          </cell>
          <cell r="EE301">
            <v>0</v>
          </cell>
          <cell r="EF301">
            <v>0</v>
          </cell>
          <cell r="EG301">
            <v>0</v>
          </cell>
          <cell r="EH301">
            <v>0</v>
          </cell>
          <cell r="EI301">
            <v>0</v>
          </cell>
          <cell r="EJ301">
            <v>0</v>
          </cell>
          <cell r="EK301">
            <v>0</v>
          </cell>
          <cell r="EL301">
            <v>0</v>
          </cell>
          <cell r="EM301" t="str">
            <v/>
          </cell>
          <cell r="EN301" t="str">
            <v/>
          </cell>
          <cell r="EO301" t="str">
            <v/>
          </cell>
          <cell r="EP301" t="str">
            <v/>
          </cell>
          <cell r="EQ301" t="str">
            <v/>
          </cell>
          <cell r="ER301" t="str">
            <v/>
          </cell>
          <cell r="ES301" t="str">
            <v/>
          </cell>
          <cell r="ET301" t="str">
            <v/>
          </cell>
          <cell r="EU301" t="str">
            <v/>
          </cell>
          <cell r="EV301" t="str">
            <v/>
          </cell>
          <cell r="EW301" t="str">
            <v/>
          </cell>
          <cell r="EX301" t="str">
            <v/>
          </cell>
          <cell r="EY301" t="str">
            <v/>
          </cell>
          <cell r="EZ301" t="str">
            <v/>
          </cell>
          <cell r="FA301" t="str">
            <v/>
          </cell>
          <cell r="FB301" t="str">
            <v/>
          </cell>
          <cell r="FC301" t="str">
            <v/>
          </cell>
          <cell r="FD301" t="str">
            <v/>
          </cell>
          <cell r="FE301" t="str">
            <v/>
          </cell>
          <cell r="FF301" t="str">
            <v/>
          </cell>
          <cell r="FG301" t="str">
            <v/>
          </cell>
          <cell r="FH301" t="str">
            <v/>
          </cell>
          <cell r="FI301" t="str">
            <v/>
          </cell>
          <cell r="FJ301" t="str">
            <v/>
          </cell>
          <cell r="FK301" t="str">
            <v/>
          </cell>
          <cell r="FL301" t="str">
            <v/>
          </cell>
          <cell r="FM301" t="str">
            <v/>
          </cell>
          <cell r="FN301" t="str">
            <v/>
          </cell>
          <cell r="FO301" t="str">
            <v/>
          </cell>
          <cell r="FP301" t="str">
            <v/>
          </cell>
        </row>
        <row r="302">
          <cell r="N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AJ302">
            <v>0</v>
          </cell>
          <cell r="AK302">
            <v>0</v>
          </cell>
          <cell r="AL302">
            <v>999999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BE302">
            <v>0</v>
          </cell>
          <cell r="BH302">
            <v>0</v>
          </cell>
          <cell r="BI302">
            <v>0</v>
          </cell>
          <cell r="BJ302">
            <v>0</v>
          </cell>
          <cell r="BK302">
            <v>0</v>
          </cell>
          <cell r="BL302">
            <v>0</v>
          </cell>
          <cell r="BM302">
            <v>0</v>
          </cell>
          <cell r="BN302">
            <v>0</v>
          </cell>
          <cell r="BO302">
            <v>0</v>
          </cell>
          <cell r="BP302">
            <v>0</v>
          </cell>
          <cell r="BQ302">
            <v>0</v>
          </cell>
          <cell r="CB302">
            <v>0</v>
          </cell>
          <cell r="CC302">
            <v>0</v>
          </cell>
          <cell r="CD302">
            <v>0</v>
          </cell>
          <cell r="CE302">
            <v>0</v>
          </cell>
          <cell r="CF302">
            <v>0</v>
          </cell>
          <cell r="CG302">
            <v>0</v>
          </cell>
          <cell r="CH302">
            <v>0</v>
          </cell>
          <cell r="CI302">
            <v>0</v>
          </cell>
          <cell r="CJ302">
            <v>0</v>
          </cell>
          <cell r="CK302">
            <v>0</v>
          </cell>
          <cell r="CW302">
            <v>0</v>
          </cell>
          <cell r="CY302">
            <v>0</v>
          </cell>
          <cell r="CZ302">
            <v>0</v>
          </cell>
          <cell r="DA302">
            <v>0</v>
          </cell>
          <cell r="DB302">
            <v>0</v>
          </cell>
          <cell r="DC302">
            <v>0</v>
          </cell>
          <cell r="DD302">
            <v>0</v>
          </cell>
          <cell r="DE302">
            <v>0</v>
          </cell>
          <cell r="DF302">
            <v>0</v>
          </cell>
          <cell r="DG302">
            <v>0</v>
          </cell>
          <cell r="DH302">
            <v>0</v>
          </cell>
          <cell r="DS302">
            <v>0</v>
          </cell>
          <cell r="DT302">
            <v>65</v>
          </cell>
          <cell r="DU302">
            <v>999999</v>
          </cell>
          <cell r="DV302">
            <v>999999</v>
          </cell>
          <cell r="DW302">
            <v>999999</v>
          </cell>
          <cell r="DX302">
            <v>0</v>
          </cell>
          <cell r="DY302">
            <v>65</v>
          </cell>
          <cell r="DZ302">
            <v>999999</v>
          </cell>
          <cell r="EA302">
            <v>999999</v>
          </cell>
          <cell r="EB302">
            <v>999999</v>
          </cell>
          <cell r="EC302">
            <v>0</v>
          </cell>
          <cell r="ED302">
            <v>0</v>
          </cell>
          <cell r="EE302">
            <v>0</v>
          </cell>
          <cell r="EF302">
            <v>0</v>
          </cell>
          <cell r="EG302">
            <v>0</v>
          </cell>
          <cell r="EH302">
            <v>0</v>
          </cell>
          <cell r="EI302">
            <v>0</v>
          </cell>
          <cell r="EJ302">
            <v>0</v>
          </cell>
          <cell r="EK302">
            <v>0</v>
          </cell>
          <cell r="EL302">
            <v>0</v>
          </cell>
          <cell r="EM302" t="str">
            <v/>
          </cell>
          <cell r="EN302" t="str">
            <v/>
          </cell>
          <cell r="EO302" t="str">
            <v/>
          </cell>
          <cell r="EP302" t="str">
            <v/>
          </cell>
          <cell r="EQ302" t="str">
            <v/>
          </cell>
          <cell r="ER302" t="str">
            <v/>
          </cell>
          <cell r="ES302" t="str">
            <v/>
          </cell>
          <cell r="ET302" t="str">
            <v/>
          </cell>
          <cell r="EU302" t="str">
            <v/>
          </cell>
          <cell r="EV302" t="str">
            <v/>
          </cell>
          <cell r="EW302" t="str">
            <v/>
          </cell>
          <cell r="EX302" t="str">
            <v/>
          </cell>
          <cell r="EY302" t="str">
            <v/>
          </cell>
          <cell r="EZ302" t="str">
            <v/>
          </cell>
          <cell r="FA302" t="str">
            <v/>
          </cell>
          <cell r="FB302" t="str">
            <v/>
          </cell>
          <cell r="FC302" t="str">
            <v/>
          </cell>
          <cell r="FD302" t="str">
            <v/>
          </cell>
          <cell r="FE302" t="str">
            <v/>
          </cell>
          <cell r="FF302" t="str">
            <v/>
          </cell>
          <cell r="FG302" t="str">
            <v/>
          </cell>
          <cell r="FH302" t="str">
            <v/>
          </cell>
          <cell r="FI302" t="str">
            <v/>
          </cell>
          <cell r="FJ302" t="str">
            <v/>
          </cell>
          <cell r="FK302" t="str">
            <v/>
          </cell>
          <cell r="FL302" t="str">
            <v/>
          </cell>
          <cell r="FM302" t="str">
            <v/>
          </cell>
          <cell r="FN302" t="str">
            <v/>
          </cell>
          <cell r="FO302" t="str">
            <v/>
          </cell>
          <cell r="FP302" t="str">
            <v/>
          </cell>
        </row>
        <row r="303">
          <cell r="N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AJ303">
            <v>0</v>
          </cell>
          <cell r="AK303">
            <v>0</v>
          </cell>
          <cell r="AL303">
            <v>999999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BE303">
            <v>0</v>
          </cell>
          <cell r="BH303">
            <v>0</v>
          </cell>
          <cell r="BI303">
            <v>0</v>
          </cell>
          <cell r="BJ303">
            <v>0</v>
          </cell>
          <cell r="BK303">
            <v>0</v>
          </cell>
          <cell r="BL303">
            <v>0</v>
          </cell>
          <cell r="BM303">
            <v>0</v>
          </cell>
          <cell r="BN303">
            <v>0</v>
          </cell>
          <cell r="BO303">
            <v>0</v>
          </cell>
          <cell r="BP303">
            <v>0</v>
          </cell>
          <cell r="BQ303">
            <v>0</v>
          </cell>
          <cell r="CB303">
            <v>0</v>
          </cell>
          <cell r="CC303">
            <v>0</v>
          </cell>
          <cell r="CD303">
            <v>0</v>
          </cell>
          <cell r="CE303">
            <v>0</v>
          </cell>
          <cell r="CF303">
            <v>0</v>
          </cell>
          <cell r="CG303">
            <v>0</v>
          </cell>
          <cell r="CH303">
            <v>0</v>
          </cell>
          <cell r="CI303">
            <v>0</v>
          </cell>
          <cell r="CJ303">
            <v>0</v>
          </cell>
          <cell r="CK303">
            <v>0</v>
          </cell>
          <cell r="CW303">
            <v>0</v>
          </cell>
          <cell r="CY303">
            <v>0</v>
          </cell>
          <cell r="CZ303">
            <v>0</v>
          </cell>
          <cell r="DA303">
            <v>0</v>
          </cell>
          <cell r="DB303">
            <v>0</v>
          </cell>
          <cell r="DC303">
            <v>0</v>
          </cell>
          <cell r="DD303">
            <v>0</v>
          </cell>
          <cell r="DE303">
            <v>0</v>
          </cell>
          <cell r="DF303">
            <v>0</v>
          </cell>
          <cell r="DG303">
            <v>0</v>
          </cell>
          <cell r="DH303">
            <v>0</v>
          </cell>
          <cell r="DS303">
            <v>0</v>
          </cell>
          <cell r="DT303">
            <v>64</v>
          </cell>
          <cell r="DU303">
            <v>999999</v>
          </cell>
          <cell r="DV303">
            <v>999999</v>
          </cell>
          <cell r="DW303">
            <v>999999</v>
          </cell>
          <cell r="DX303">
            <v>0</v>
          </cell>
          <cell r="DY303">
            <v>64</v>
          </cell>
          <cell r="DZ303">
            <v>999999</v>
          </cell>
          <cell r="EA303">
            <v>999999</v>
          </cell>
          <cell r="EB303">
            <v>999999</v>
          </cell>
          <cell r="EC303">
            <v>0</v>
          </cell>
          <cell r="ED303">
            <v>0</v>
          </cell>
          <cell r="EE303">
            <v>0</v>
          </cell>
          <cell r="EF303">
            <v>0</v>
          </cell>
          <cell r="EG303">
            <v>0</v>
          </cell>
          <cell r="EH303">
            <v>0</v>
          </cell>
          <cell r="EI303">
            <v>0</v>
          </cell>
          <cell r="EJ303">
            <v>0</v>
          </cell>
          <cell r="EK303">
            <v>0</v>
          </cell>
          <cell r="EL303">
            <v>0</v>
          </cell>
          <cell r="EM303" t="str">
            <v/>
          </cell>
          <cell r="EN303" t="str">
            <v/>
          </cell>
          <cell r="EO303" t="str">
            <v/>
          </cell>
          <cell r="EP303" t="str">
            <v/>
          </cell>
          <cell r="EQ303" t="str">
            <v/>
          </cell>
          <cell r="ER303" t="str">
            <v/>
          </cell>
          <cell r="ES303" t="str">
            <v/>
          </cell>
          <cell r="ET303" t="str">
            <v/>
          </cell>
          <cell r="EU303" t="str">
            <v/>
          </cell>
          <cell r="EV303" t="str">
            <v/>
          </cell>
          <cell r="EW303" t="str">
            <v/>
          </cell>
          <cell r="EX303" t="str">
            <v/>
          </cell>
          <cell r="EY303" t="str">
            <v/>
          </cell>
          <cell r="EZ303" t="str">
            <v/>
          </cell>
          <cell r="FA303" t="str">
            <v/>
          </cell>
          <cell r="FB303" t="str">
            <v/>
          </cell>
          <cell r="FC303" t="str">
            <v/>
          </cell>
          <cell r="FD303" t="str">
            <v/>
          </cell>
          <cell r="FE303" t="str">
            <v/>
          </cell>
          <cell r="FF303" t="str">
            <v/>
          </cell>
          <cell r="FG303" t="str">
            <v/>
          </cell>
          <cell r="FH303" t="str">
            <v/>
          </cell>
          <cell r="FI303" t="str">
            <v/>
          </cell>
          <cell r="FJ303" t="str">
            <v/>
          </cell>
          <cell r="FK303" t="str">
            <v/>
          </cell>
          <cell r="FL303" t="str">
            <v/>
          </cell>
          <cell r="FM303" t="str">
            <v/>
          </cell>
          <cell r="FN303" t="str">
            <v/>
          </cell>
          <cell r="FO303" t="str">
            <v/>
          </cell>
          <cell r="FP303" t="str">
            <v/>
          </cell>
        </row>
        <row r="304">
          <cell r="N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AJ304">
            <v>0</v>
          </cell>
          <cell r="AK304">
            <v>0</v>
          </cell>
          <cell r="AL304">
            <v>999999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BE304">
            <v>0</v>
          </cell>
          <cell r="BH304">
            <v>0</v>
          </cell>
          <cell r="BI304">
            <v>0</v>
          </cell>
          <cell r="BJ304">
            <v>0</v>
          </cell>
          <cell r="BK304">
            <v>0</v>
          </cell>
          <cell r="BL304">
            <v>0</v>
          </cell>
          <cell r="BM304">
            <v>0</v>
          </cell>
          <cell r="BN304">
            <v>0</v>
          </cell>
          <cell r="BO304">
            <v>0</v>
          </cell>
          <cell r="BP304">
            <v>0</v>
          </cell>
          <cell r="BQ304">
            <v>0</v>
          </cell>
          <cell r="CB304">
            <v>0</v>
          </cell>
          <cell r="CC304">
            <v>0</v>
          </cell>
          <cell r="CD304">
            <v>0</v>
          </cell>
          <cell r="CE304">
            <v>0</v>
          </cell>
          <cell r="CF304">
            <v>0</v>
          </cell>
          <cell r="CG304">
            <v>0</v>
          </cell>
          <cell r="CH304">
            <v>0</v>
          </cell>
          <cell r="CI304">
            <v>0</v>
          </cell>
          <cell r="CJ304">
            <v>0</v>
          </cell>
          <cell r="CK304">
            <v>0</v>
          </cell>
          <cell r="CW304">
            <v>0</v>
          </cell>
          <cell r="CY304">
            <v>0</v>
          </cell>
          <cell r="CZ304">
            <v>0</v>
          </cell>
          <cell r="DA304">
            <v>0</v>
          </cell>
          <cell r="DB304">
            <v>0</v>
          </cell>
          <cell r="DC304">
            <v>0</v>
          </cell>
          <cell r="DD304">
            <v>0</v>
          </cell>
          <cell r="DE304">
            <v>0</v>
          </cell>
          <cell r="DF304">
            <v>0</v>
          </cell>
          <cell r="DG304">
            <v>0</v>
          </cell>
          <cell r="DH304">
            <v>0</v>
          </cell>
          <cell r="DS304">
            <v>0</v>
          </cell>
          <cell r="DT304">
            <v>63</v>
          </cell>
          <cell r="DU304">
            <v>999999</v>
          </cell>
          <cell r="DV304">
            <v>999999</v>
          </cell>
          <cell r="DW304">
            <v>999999</v>
          </cell>
          <cell r="DX304">
            <v>0</v>
          </cell>
          <cell r="DY304">
            <v>63</v>
          </cell>
          <cell r="DZ304">
            <v>999999</v>
          </cell>
          <cell r="EA304">
            <v>999999</v>
          </cell>
          <cell r="EB304">
            <v>999999</v>
          </cell>
          <cell r="EC304">
            <v>0</v>
          </cell>
          <cell r="ED304">
            <v>0</v>
          </cell>
          <cell r="EE304">
            <v>0</v>
          </cell>
          <cell r="EF304">
            <v>0</v>
          </cell>
          <cell r="EG304">
            <v>0</v>
          </cell>
          <cell r="EH304">
            <v>0</v>
          </cell>
          <cell r="EI304">
            <v>0</v>
          </cell>
          <cell r="EJ304">
            <v>0</v>
          </cell>
          <cell r="EK304">
            <v>0</v>
          </cell>
          <cell r="EL304">
            <v>0</v>
          </cell>
          <cell r="EM304" t="str">
            <v/>
          </cell>
          <cell r="EN304" t="str">
            <v/>
          </cell>
          <cell r="EO304" t="str">
            <v/>
          </cell>
          <cell r="EP304" t="str">
            <v/>
          </cell>
          <cell r="EQ304" t="str">
            <v/>
          </cell>
          <cell r="ER304" t="str">
            <v/>
          </cell>
          <cell r="ES304" t="str">
            <v/>
          </cell>
          <cell r="ET304" t="str">
            <v/>
          </cell>
          <cell r="EU304" t="str">
            <v/>
          </cell>
          <cell r="EV304" t="str">
            <v/>
          </cell>
          <cell r="EW304" t="str">
            <v/>
          </cell>
          <cell r="EX304" t="str">
            <v/>
          </cell>
          <cell r="EY304" t="str">
            <v/>
          </cell>
          <cell r="EZ304" t="str">
            <v/>
          </cell>
          <cell r="FA304" t="str">
            <v/>
          </cell>
          <cell r="FB304" t="str">
            <v/>
          </cell>
          <cell r="FC304" t="str">
            <v/>
          </cell>
          <cell r="FD304" t="str">
            <v/>
          </cell>
          <cell r="FE304" t="str">
            <v/>
          </cell>
          <cell r="FF304" t="str">
            <v/>
          </cell>
          <cell r="FG304" t="str">
            <v/>
          </cell>
          <cell r="FH304" t="str">
            <v/>
          </cell>
          <cell r="FI304" t="str">
            <v/>
          </cell>
          <cell r="FJ304" t="str">
            <v/>
          </cell>
          <cell r="FK304" t="str">
            <v/>
          </cell>
          <cell r="FL304" t="str">
            <v/>
          </cell>
          <cell r="FM304" t="str">
            <v/>
          </cell>
          <cell r="FN304" t="str">
            <v/>
          </cell>
          <cell r="FO304" t="str">
            <v/>
          </cell>
          <cell r="FP304" t="str">
            <v/>
          </cell>
        </row>
        <row r="305">
          <cell r="N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AJ305">
            <v>0</v>
          </cell>
          <cell r="AK305">
            <v>0</v>
          </cell>
          <cell r="AL305">
            <v>999999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BE305">
            <v>48000</v>
          </cell>
          <cell r="BH305">
            <v>0</v>
          </cell>
          <cell r="BI305">
            <v>0</v>
          </cell>
          <cell r="BJ305">
            <v>0</v>
          </cell>
          <cell r="BK305">
            <v>0</v>
          </cell>
          <cell r="BL305">
            <v>0</v>
          </cell>
          <cell r="BM305">
            <v>0</v>
          </cell>
          <cell r="BN305">
            <v>0</v>
          </cell>
          <cell r="BO305">
            <v>0</v>
          </cell>
          <cell r="BP305">
            <v>0</v>
          </cell>
          <cell r="BQ305">
            <v>0</v>
          </cell>
          <cell r="CB305">
            <v>0</v>
          </cell>
          <cell r="CC305">
            <v>0</v>
          </cell>
          <cell r="CD305">
            <v>0</v>
          </cell>
          <cell r="CE305">
            <v>0</v>
          </cell>
          <cell r="CF305">
            <v>0</v>
          </cell>
          <cell r="CG305">
            <v>0</v>
          </cell>
          <cell r="CH305">
            <v>0</v>
          </cell>
          <cell r="CI305">
            <v>0</v>
          </cell>
          <cell r="CJ305">
            <v>0</v>
          </cell>
          <cell r="CK305">
            <v>0</v>
          </cell>
          <cell r="CW305">
            <v>0</v>
          </cell>
          <cell r="CY305">
            <v>0</v>
          </cell>
          <cell r="CZ305">
            <v>0</v>
          </cell>
          <cell r="DA305">
            <v>0</v>
          </cell>
          <cell r="DB305">
            <v>0</v>
          </cell>
          <cell r="DC305">
            <v>0</v>
          </cell>
          <cell r="DD305">
            <v>0</v>
          </cell>
          <cell r="DE305">
            <v>0</v>
          </cell>
          <cell r="DF305">
            <v>0</v>
          </cell>
          <cell r="DG305">
            <v>0</v>
          </cell>
          <cell r="DH305">
            <v>0</v>
          </cell>
          <cell r="DS305">
            <v>0</v>
          </cell>
          <cell r="DT305">
            <v>62</v>
          </cell>
          <cell r="DU305">
            <v>999999</v>
          </cell>
          <cell r="DV305">
            <v>999999</v>
          </cell>
          <cell r="DW305">
            <v>999999</v>
          </cell>
          <cell r="DX305">
            <v>0</v>
          </cell>
          <cell r="DY305">
            <v>62</v>
          </cell>
          <cell r="DZ305">
            <v>999999</v>
          </cell>
          <cell r="EA305">
            <v>999999</v>
          </cell>
          <cell r="EB305">
            <v>999999</v>
          </cell>
          <cell r="EC305">
            <v>0</v>
          </cell>
          <cell r="ED305">
            <v>0</v>
          </cell>
          <cell r="EE305">
            <v>0</v>
          </cell>
          <cell r="EF305">
            <v>0</v>
          </cell>
          <cell r="EG305">
            <v>0</v>
          </cell>
          <cell r="EH305">
            <v>0</v>
          </cell>
          <cell r="EI305">
            <v>0</v>
          </cell>
          <cell r="EJ305">
            <v>0</v>
          </cell>
          <cell r="EK305">
            <v>0</v>
          </cell>
          <cell r="EL305">
            <v>0</v>
          </cell>
          <cell r="EM305" t="str">
            <v/>
          </cell>
          <cell r="EN305" t="str">
            <v/>
          </cell>
          <cell r="EO305" t="str">
            <v/>
          </cell>
          <cell r="EP305" t="str">
            <v/>
          </cell>
          <cell r="EQ305" t="str">
            <v/>
          </cell>
          <cell r="ER305" t="str">
            <v/>
          </cell>
          <cell r="ES305" t="str">
            <v/>
          </cell>
          <cell r="ET305" t="str">
            <v/>
          </cell>
          <cell r="EU305" t="str">
            <v/>
          </cell>
          <cell r="EV305" t="str">
            <v/>
          </cell>
          <cell r="EW305" t="str">
            <v/>
          </cell>
          <cell r="EX305" t="str">
            <v/>
          </cell>
          <cell r="EY305" t="str">
            <v/>
          </cell>
          <cell r="EZ305" t="str">
            <v/>
          </cell>
          <cell r="FA305" t="str">
            <v/>
          </cell>
          <cell r="FB305" t="str">
            <v/>
          </cell>
          <cell r="FC305" t="str">
            <v/>
          </cell>
          <cell r="FD305" t="str">
            <v/>
          </cell>
          <cell r="FE305" t="str">
            <v/>
          </cell>
          <cell r="FF305" t="str">
            <v/>
          </cell>
          <cell r="FG305" t="str">
            <v/>
          </cell>
          <cell r="FH305" t="str">
            <v/>
          </cell>
          <cell r="FI305" t="str">
            <v/>
          </cell>
          <cell r="FJ305" t="str">
            <v/>
          </cell>
          <cell r="FK305" t="str">
            <v/>
          </cell>
          <cell r="FL305" t="str">
            <v/>
          </cell>
          <cell r="FM305" t="str">
            <v/>
          </cell>
          <cell r="FN305" t="str">
            <v/>
          </cell>
          <cell r="FO305" t="str">
            <v/>
          </cell>
          <cell r="FP305" t="str">
            <v/>
          </cell>
        </row>
        <row r="306">
          <cell r="N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AJ306">
            <v>0</v>
          </cell>
          <cell r="AK306">
            <v>0</v>
          </cell>
          <cell r="AL306">
            <v>999999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BE306">
            <v>0</v>
          </cell>
          <cell r="BH306">
            <v>0</v>
          </cell>
          <cell r="BI306">
            <v>0</v>
          </cell>
          <cell r="BJ306">
            <v>0</v>
          </cell>
          <cell r="BK306">
            <v>0</v>
          </cell>
          <cell r="BL306">
            <v>0</v>
          </cell>
          <cell r="BM306">
            <v>0</v>
          </cell>
          <cell r="BN306">
            <v>0</v>
          </cell>
          <cell r="BO306">
            <v>0</v>
          </cell>
          <cell r="BP306">
            <v>0</v>
          </cell>
          <cell r="BQ306">
            <v>0</v>
          </cell>
          <cell r="CB306">
            <v>0</v>
          </cell>
          <cell r="CC306">
            <v>0</v>
          </cell>
          <cell r="CD306">
            <v>0</v>
          </cell>
          <cell r="CE306">
            <v>0</v>
          </cell>
          <cell r="CF306">
            <v>0</v>
          </cell>
          <cell r="CG306">
            <v>0</v>
          </cell>
          <cell r="CH306">
            <v>0</v>
          </cell>
          <cell r="CI306">
            <v>0</v>
          </cell>
          <cell r="CJ306">
            <v>0</v>
          </cell>
          <cell r="CK306">
            <v>0</v>
          </cell>
          <cell r="CW306">
            <v>0</v>
          </cell>
          <cell r="CY306">
            <v>0</v>
          </cell>
          <cell r="CZ306">
            <v>0</v>
          </cell>
          <cell r="DA306">
            <v>0</v>
          </cell>
          <cell r="DB306">
            <v>0</v>
          </cell>
          <cell r="DC306">
            <v>0</v>
          </cell>
          <cell r="DD306">
            <v>0</v>
          </cell>
          <cell r="DE306">
            <v>0</v>
          </cell>
          <cell r="DF306">
            <v>0</v>
          </cell>
          <cell r="DG306">
            <v>0</v>
          </cell>
          <cell r="DH306">
            <v>0</v>
          </cell>
          <cell r="DS306">
            <v>0</v>
          </cell>
          <cell r="DT306">
            <v>61</v>
          </cell>
          <cell r="DU306">
            <v>999999</v>
          </cell>
          <cell r="DV306">
            <v>999999</v>
          </cell>
          <cell r="DW306">
            <v>999999</v>
          </cell>
          <cell r="DX306">
            <v>0</v>
          </cell>
          <cell r="DY306">
            <v>61</v>
          </cell>
          <cell r="DZ306">
            <v>999999</v>
          </cell>
          <cell r="EA306">
            <v>999999</v>
          </cell>
          <cell r="EB306">
            <v>999999</v>
          </cell>
          <cell r="EC306">
            <v>0</v>
          </cell>
          <cell r="ED306">
            <v>0</v>
          </cell>
          <cell r="EE306">
            <v>0</v>
          </cell>
          <cell r="EF306">
            <v>0</v>
          </cell>
          <cell r="EG306">
            <v>0</v>
          </cell>
          <cell r="EH306">
            <v>0</v>
          </cell>
          <cell r="EI306">
            <v>0</v>
          </cell>
          <cell r="EJ306">
            <v>0</v>
          </cell>
          <cell r="EK306">
            <v>0</v>
          </cell>
          <cell r="EL306">
            <v>0</v>
          </cell>
          <cell r="EM306" t="str">
            <v/>
          </cell>
          <cell r="EN306" t="str">
            <v/>
          </cell>
          <cell r="EO306" t="str">
            <v/>
          </cell>
          <cell r="EP306" t="str">
            <v/>
          </cell>
          <cell r="EQ306" t="str">
            <v/>
          </cell>
          <cell r="ER306" t="str">
            <v/>
          </cell>
          <cell r="ES306" t="str">
            <v/>
          </cell>
          <cell r="ET306" t="str">
            <v/>
          </cell>
          <cell r="EU306" t="str">
            <v/>
          </cell>
          <cell r="EV306" t="str">
            <v/>
          </cell>
          <cell r="EW306" t="str">
            <v/>
          </cell>
          <cell r="EX306" t="str">
            <v/>
          </cell>
          <cell r="EY306" t="str">
            <v/>
          </cell>
          <cell r="EZ306" t="str">
            <v/>
          </cell>
          <cell r="FA306" t="str">
            <v/>
          </cell>
          <cell r="FB306" t="str">
            <v/>
          </cell>
          <cell r="FC306" t="str">
            <v/>
          </cell>
          <cell r="FD306" t="str">
            <v/>
          </cell>
          <cell r="FE306" t="str">
            <v/>
          </cell>
          <cell r="FF306" t="str">
            <v/>
          </cell>
          <cell r="FG306" t="str">
            <v/>
          </cell>
          <cell r="FH306" t="str">
            <v/>
          </cell>
          <cell r="FI306" t="str">
            <v/>
          </cell>
          <cell r="FJ306" t="str">
            <v/>
          </cell>
          <cell r="FK306" t="str">
            <v/>
          </cell>
          <cell r="FL306" t="str">
            <v/>
          </cell>
          <cell r="FM306" t="str">
            <v/>
          </cell>
          <cell r="FN306" t="str">
            <v/>
          </cell>
          <cell r="FO306" t="str">
            <v/>
          </cell>
          <cell r="FP306" t="str">
            <v/>
          </cell>
        </row>
        <row r="307">
          <cell r="N307">
            <v>48000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AJ307">
            <v>0</v>
          </cell>
          <cell r="AK307">
            <v>0</v>
          </cell>
          <cell r="AL307">
            <v>999999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BE307">
            <v>0</v>
          </cell>
          <cell r="BH307">
            <v>0</v>
          </cell>
          <cell r="BI307">
            <v>0</v>
          </cell>
          <cell r="BJ307">
            <v>0</v>
          </cell>
          <cell r="BK307">
            <v>0</v>
          </cell>
          <cell r="BL307">
            <v>0</v>
          </cell>
          <cell r="BM307">
            <v>0</v>
          </cell>
          <cell r="BN307">
            <v>0</v>
          </cell>
          <cell r="BO307">
            <v>0</v>
          </cell>
          <cell r="BP307">
            <v>0</v>
          </cell>
          <cell r="BQ307">
            <v>0</v>
          </cell>
          <cell r="CB307">
            <v>0</v>
          </cell>
          <cell r="CC307">
            <v>0</v>
          </cell>
          <cell r="CD307">
            <v>0</v>
          </cell>
          <cell r="CE307">
            <v>0</v>
          </cell>
          <cell r="CF307">
            <v>0</v>
          </cell>
          <cell r="CG307">
            <v>0</v>
          </cell>
          <cell r="CH307">
            <v>0</v>
          </cell>
          <cell r="CI307">
            <v>0</v>
          </cell>
          <cell r="CJ307">
            <v>0</v>
          </cell>
          <cell r="CK307">
            <v>0</v>
          </cell>
          <cell r="CW307">
            <v>0</v>
          </cell>
          <cell r="CY307">
            <v>0</v>
          </cell>
          <cell r="CZ307">
            <v>0</v>
          </cell>
          <cell r="DA307">
            <v>0</v>
          </cell>
          <cell r="DB307">
            <v>0</v>
          </cell>
          <cell r="DC307">
            <v>0</v>
          </cell>
          <cell r="DD307">
            <v>0</v>
          </cell>
          <cell r="DE307">
            <v>0</v>
          </cell>
          <cell r="DF307">
            <v>0</v>
          </cell>
          <cell r="DG307">
            <v>0</v>
          </cell>
          <cell r="DH307">
            <v>0</v>
          </cell>
          <cell r="DS307">
            <v>0</v>
          </cell>
          <cell r="DT307">
            <v>60</v>
          </cell>
          <cell r="DU307">
            <v>999999</v>
          </cell>
          <cell r="DV307">
            <v>999999</v>
          </cell>
          <cell r="DW307">
            <v>999999</v>
          </cell>
          <cell r="DX307">
            <v>0</v>
          </cell>
          <cell r="DY307">
            <v>60</v>
          </cell>
          <cell r="DZ307">
            <v>999999</v>
          </cell>
          <cell r="EA307">
            <v>999999</v>
          </cell>
          <cell r="EB307">
            <v>999999</v>
          </cell>
          <cell r="EC307">
            <v>0</v>
          </cell>
          <cell r="ED307">
            <v>0</v>
          </cell>
          <cell r="EE307">
            <v>0</v>
          </cell>
          <cell r="EF307">
            <v>0</v>
          </cell>
          <cell r="EG307">
            <v>0</v>
          </cell>
          <cell r="EH307">
            <v>0</v>
          </cell>
          <cell r="EI307">
            <v>0</v>
          </cell>
          <cell r="EJ307">
            <v>0</v>
          </cell>
          <cell r="EK307">
            <v>0</v>
          </cell>
          <cell r="EL307">
            <v>0</v>
          </cell>
          <cell r="EM307" t="str">
            <v/>
          </cell>
          <cell r="EN307" t="str">
            <v/>
          </cell>
          <cell r="EO307" t="str">
            <v/>
          </cell>
          <cell r="EP307" t="str">
            <v/>
          </cell>
          <cell r="EQ307" t="str">
            <v/>
          </cell>
          <cell r="ER307" t="str">
            <v/>
          </cell>
          <cell r="ES307" t="str">
            <v/>
          </cell>
          <cell r="ET307" t="str">
            <v/>
          </cell>
          <cell r="EU307" t="str">
            <v/>
          </cell>
          <cell r="EV307" t="str">
            <v/>
          </cell>
          <cell r="EW307" t="str">
            <v/>
          </cell>
          <cell r="EX307" t="str">
            <v/>
          </cell>
          <cell r="EY307" t="str">
            <v/>
          </cell>
          <cell r="EZ307" t="str">
            <v/>
          </cell>
          <cell r="FA307" t="str">
            <v/>
          </cell>
          <cell r="FB307" t="str">
            <v/>
          </cell>
          <cell r="FC307" t="str">
            <v/>
          </cell>
          <cell r="FD307" t="str">
            <v/>
          </cell>
          <cell r="FE307" t="str">
            <v/>
          </cell>
          <cell r="FF307" t="str">
            <v/>
          </cell>
          <cell r="FG307" t="str">
            <v/>
          </cell>
          <cell r="FH307" t="str">
            <v/>
          </cell>
          <cell r="FI307" t="str">
            <v/>
          </cell>
          <cell r="FJ307" t="str">
            <v/>
          </cell>
          <cell r="FK307" t="str">
            <v/>
          </cell>
          <cell r="FL307" t="str">
            <v/>
          </cell>
          <cell r="FM307" t="str">
            <v/>
          </cell>
          <cell r="FN307" t="str">
            <v/>
          </cell>
          <cell r="FO307" t="str">
            <v/>
          </cell>
          <cell r="FP307" t="str">
            <v/>
          </cell>
        </row>
        <row r="308">
          <cell r="N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AJ308">
            <v>0</v>
          </cell>
          <cell r="AK308">
            <v>0</v>
          </cell>
          <cell r="AL308">
            <v>999999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BE308">
            <v>0</v>
          </cell>
          <cell r="BH308">
            <v>0</v>
          </cell>
          <cell r="BI308">
            <v>0</v>
          </cell>
          <cell r="BJ308">
            <v>0</v>
          </cell>
          <cell r="BK308">
            <v>0</v>
          </cell>
          <cell r="BL308">
            <v>0</v>
          </cell>
          <cell r="BM308">
            <v>0</v>
          </cell>
          <cell r="BN308">
            <v>0</v>
          </cell>
          <cell r="BO308">
            <v>0</v>
          </cell>
          <cell r="BP308">
            <v>0</v>
          </cell>
          <cell r="BQ308">
            <v>0</v>
          </cell>
          <cell r="CB308">
            <v>0</v>
          </cell>
          <cell r="CC308">
            <v>0</v>
          </cell>
          <cell r="CD308">
            <v>0</v>
          </cell>
          <cell r="CE308">
            <v>0</v>
          </cell>
          <cell r="CF308">
            <v>0</v>
          </cell>
          <cell r="CG308">
            <v>0</v>
          </cell>
          <cell r="CH308">
            <v>0</v>
          </cell>
          <cell r="CI308">
            <v>0</v>
          </cell>
          <cell r="CJ308">
            <v>0</v>
          </cell>
          <cell r="CK308">
            <v>0</v>
          </cell>
          <cell r="CW308">
            <v>0</v>
          </cell>
          <cell r="CY308">
            <v>0</v>
          </cell>
          <cell r="CZ308">
            <v>0</v>
          </cell>
          <cell r="DA308">
            <v>0</v>
          </cell>
          <cell r="DB308">
            <v>0</v>
          </cell>
          <cell r="DC308">
            <v>0</v>
          </cell>
          <cell r="DD308">
            <v>0</v>
          </cell>
          <cell r="DE308">
            <v>0</v>
          </cell>
          <cell r="DF308">
            <v>0</v>
          </cell>
          <cell r="DG308">
            <v>0</v>
          </cell>
          <cell r="DH308">
            <v>0</v>
          </cell>
          <cell r="DS308">
            <v>0</v>
          </cell>
          <cell r="DT308">
            <v>59</v>
          </cell>
          <cell r="DU308">
            <v>999999</v>
          </cell>
          <cell r="DV308">
            <v>999999</v>
          </cell>
          <cell r="DW308">
            <v>999999</v>
          </cell>
          <cell r="DX308">
            <v>0</v>
          </cell>
          <cell r="DY308">
            <v>59</v>
          </cell>
          <cell r="DZ308">
            <v>999999</v>
          </cell>
          <cell r="EA308">
            <v>999999</v>
          </cell>
          <cell r="EB308">
            <v>999999</v>
          </cell>
          <cell r="EC308">
            <v>0</v>
          </cell>
          <cell r="ED308">
            <v>0</v>
          </cell>
          <cell r="EE308">
            <v>0</v>
          </cell>
          <cell r="EF308">
            <v>0</v>
          </cell>
          <cell r="EG308">
            <v>0</v>
          </cell>
          <cell r="EH308">
            <v>0</v>
          </cell>
          <cell r="EI308">
            <v>0</v>
          </cell>
          <cell r="EJ308">
            <v>0</v>
          </cell>
          <cell r="EK308">
            <v>0</v>
          </cell>
          <cell r="EL308">
            <v>0</v>
          </cell>
          <cell r="EM308" t="str">
            <v/>
          </cell>
          <cell r="EN308" t="str">
            <v/>
          </cell>
          <cell r="EO308" t="str">
            <v/>
          </cell>
          <cell r="EP308" t="str">
            <v/>
          </cell>
          <cell r="EQ308" t="str">
            <v/>
          </cell>
          <cell r="ER308" t="str">
            <v/>
          </cell>
          <cell r="ES308" t="str">
            <v/>
          </cell>
          <cell r="ET308" t="str">
            <v/>
          </cell>
          <cell r="EU308" t="str">
            <v/>
          </cell>
          <cell r="EV308" t="str">
            <v/>
          </cell>
          <cell r="EW308" t="str">
            <v/>
          </cell>
          <cell r="EX308" t="str">
            <v/>
          </cell>
          <cell r="EY308" t="str">
            <v/>
          </cell>
          <cell r="EZ308" t="str">
            <v/>
          </cell>
          <cell r="FA308" t="str">
            <v/>
          </cell>
          <cell r="FB308" t="str">
            <v/>
          </cell>
          <cell r="FC308" t="str">
            <v/>
          </cell>
          <cell r="FD308" t="str">
            <v/>
          </cell>
          <cell r="FE308" t="str">
            <v/>
          </cell>
          <cell r="FF308" t="str">
            <v/>
          </cell>
          <cell r="FG308" t="str">
            <v/>
          </cell>
          <cell r="FH308" t="str">
            <v/>
          </cell>
          <cell r="FI308" t="str">
            <v/>
          </cell>
          <cell r="FJ308" t="str">
            <v/>
          </cell>
          <cell r="FK308" t="str">
            <v/>
          </cell>
          <cell r="FL308" t="str">
            <v/>
          </cell>
          <cell r="FM308" t="str">
            <v/>
          </cell>
          <cell r="FN308" t="str">
            <v/>
          </cell>
          <cell r="FO308" t="str">
            <v/>
          </cell>
          <cell r="FP308" t="str">
            <v/>
          </cell>
        </row>
        <row r="309">
          <cell r="N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AJ309">
            <v>0</v>
          </cell>
          <cell r="AK309">
            <v>0</v>
          </cell>
          <cell r="AL309">
            <v>999999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BE309">
            <v>0</v>
          </cell>
          <cell r="BH309">
            <v>0</v>
          </cell>
          <cell r="BI309">
            <v>0</v>
          </cell>
          <cell r="BJ309">
            <v>0</v>
          </cell>
          <cell r="BK309">
            <v>0</v>
          </cell>
          <cell r="BL309">
            <v>0</v>
          </cell>
          <cell r="BM309">
            <v>0</v>
          </cell>
          <cell r="BN309">
            <v>0</v>
          </cell>
          <cell r="BO309">
            <v>0</v>
          </cell>
          <cell r="BP309">
            <v>0</v>
          </cell>
          <cell r="BQ309">
            <v>0</v>
          </cell>
          <cell r="CB309">
            <v>0</v>
          </cell>
          <cell r="CC309">
            <v>0</v>
          </cell>
          <cell r="CD309">
            <v>0</v>
          </cell>
          <cell r="CE309">
            <v>0</v>
          </cell>
          <cell r="CF309">
            <v>0</v>
          </cell>
          <cell r="CG309">
            <v>0</v>
          </cell>
          <cell r="CH309">
            <v>0</v>
          </cell>
          <cell r="CI309">
            <v>0</v>
          </cell>
          <cell r="CJ309">
            <v>0</v>
          </cell>
          <cell r="CK309">
            <v>0</v>
          </cell>
          <cell r="CW309">
            <v>0</v>
          </cell>
          <cell r="CY309">
            <v>0</v>
          </cell>
          <cell r="CZ309">
            <v>0</v>
          </cell>
          <cell r="DA309">
            <v>0</v>
          </cell>
          <cell r="DB309">
            <v>0</v>
          </cell>
          <cell r="DC309">
            <v>0</v>
          </cell>
          <cell r="DD309">
            <v>0</v>
          </cell>
          <cell r="DE309">
            <v>0</v>
          </cell>
          <cell r="DF309">
            <v>0</v>
          </cell>
          <cell r="DG309">
            <v>0</v>
          </cell>
          <cell r="DH309">
            <v>0</v>
          </cell>
          <cell r="DS309">
            <v>0</v>
          </cell>
          <cell r="DT309">
            <v>58</v>
          </cell>
          <cell r="DU309">
            <v>999999</v>
          </cell>
          <cell r="DV309">
            <v>999999</v>
          </cell>
          <cell r="DW309">
            <v>999999</v>
          </cell>
          <cell r="DX309">
            <v>0</v>
          </cell>
          <cell r="DY309">
            <v>58</v>
          </cell>
          <cell r="DZ309">
            <v>999999</v>
          </cell>
          <cell r="EA309">
            <v>999999</v>
          </cell>
          <cell r="EB309">
            <v>999999</v>
          </cell>
          <cell r="EC309">
            <v>0</v>
          </cell>
          <cell r="ED309">
            <v>0</v>
          </cell>
          <cell r="EE309">
            <v>0</v>
          </cell>
          <cell r="EF309">
            <v>0</v>
          </cell>
          <cell r="EG309">
            <v>0</v>
          </cell>
          <cell r="EH309">
            <v>0</v>
          </cell>
          <cell r="EI309">
            <v>0</v>
          </cell>
          <cell r="EJ309">
            <v>0</v>
          </cell>
          <cell r="EK309">
            <v>0</v>
          </cell>
          <cell r="EL309">
            <v>0</v>
          </cell>
          <cell r="EM309" t="str">
            <v/>
          </cell>
          <cell r="EN309" t="str">
            <v/>
          </cell>
          <cell r="EO309" t="str">
            <v/>
          </cell>
          <cell r="EP309" t="str">
            <v/>
          </cell>
          <cell r="EQ309" t="str">
            <v/>
          </cell>
          <cell r="ER309" t="str">
            <v/>
          </cell>
          <cell r="ES309" t="str">
            <v/>
          </cell>
          <cell r="ET309" t="str">
            <v/>
          </cell>
          <cell r="EU309" t="str">
            <v/>
          </cell>
          <cell r="EV309" t="str">
            <v/>
          </cell>
          <cell r="EW309" t="str">
            <v/>
          </cell>
          <cell r="EX309" t="str">
            <v/>
          </cell>
          <cell r="EY309" t="str">
            <v/>
          </cell>
          <cell r="EZ309" t="str">
            <v/>
          </cell>
          <cell r="FA309" t="str">
            <v/>
          </cell>
          <cell r="FB309" t="str">
            <v/>
          </cell>
          <cell r="FC309" t="str">
            <v/>
          </cell>
          <cell r="FD309" t="str">
            <v/>
          </cell>
          <cell r="FE309" t="str">
            <v/>
          </cell>
          <cell r="FF309" t="str">
            <v/>
          </cell>
          <cell r="FG309" t="str">
            <v/>
          </cell>
          <cell r="FH309" t="str">
            <v/>
          </cell>
          <cell r="FI309" t="str">
            <v/>
          </cell>
          <cell r="FJ309" t="str">
            <v/>
          </cell>
          <cell r="FK309" t="str">
            <v/>
          </cell>
          <cell r="FL309" t="str">
            <v/>
          </cell>
          <cell r="FM309" t="str">
            <v/>
          </cell>
          <cell r="FN309" t="str">
            <v/>
          </cell>
          <cell r="FO309" t="str">
            <v/>
          </cell>
          <cell r="FP309" t="str">
            <v/>
          </cell>
        </row>
        <row r="310">
          <cell r="N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AJ310">
            <v>0</v>
          </cell>
          <cell r="AK310">
            <v>0</v>
          </cell>
          <cell r="AL310">
            <v>999999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BE310">
            <v>0</v>
          </cell>
          <cell r="BH310">
            <v>0</v>
          </cell>
          <cell r="BI310">
            <v>0</v>
          </cell>
          <cell r="BJ310">
            <v>0</v>
          </cell>
          <cell r="BK310">
            <v>0</v>
          </cell>
          <cell r="BL310">
            <v>0</v>
          </cell>
          <cell r="BM310">
            <v>0</v>
          </cell>
          <cell r="BN310">
            <v>0</v>
          </cell>
          <cell r="BO310">
            <v>0</v>
          </cell>
          <cell r="BP310">
            <v>0</v>
          </cell>
          <cell r="BQ310">
            <v>0</v>
          </cell>
          <cell r="CB310">
            <v>0</v>
          </cell>
          <cell r="CC310">
            <v>0</v>
          </cell>
          <cell r="CD310">
            <v>0</v>
          </cell>
          <cell r="CE310">
            <v>0</v>
          </cell>
          <cell r="CF310">
            <v>0</v>
          </cell>
          <cell r="CG310">
            <v>0</v>
          </cell>
          <cell r="CH310">
            <v>0</v>
          </cell>
          <cell r="CI310">
            <v>0</v>
          </cell>
          <cell r="CJ310">
            <v>0</v>
          </cell>
          <cell r="CK310">
            <v>0</v>
          </cell>
          <cell r="CW310">
            <v>0</v>
          </cell>
          <cell r="CY310">
            <v>0</v>
          </cell>
          <cell r="CZ310">
            <v>0</v>
          </cell>
          <cell r="DA310">
            <v>0</v>
          </cell>
          <cell r="DB310">
            <v>0</v>
          </cell>
          <cell r="DC310">
            <v>0</v>
          </cell>
          <cell r="DD310">
            <v>0</v>
          </cell>
          <cell r="DE310">
            <v>0</v>
          </cell>
          <cell r="DF310">
            <v>0</v>
          </cell>
          <cell r="DG310">
            <v>0</v>
          </cell>
          <cell r="DH310">
            <v>0</v>
          </cell>
          <cell r="DS310">
            <v>0</v>
          </cell>
          <cell r="DT310">
            <v>57</v>
          </cell>
          <cell r="DU310">
            <v>999999</v>
          </cell>
          <cell r="DV310">
            <v>999999</v>
          </cell>
          <cell r="DW310">
            <v>999999</v>
          </cell>
          <cell r="DX310">
            <v>0</v>
          </cell>
          <cell r="DY310">
            <v>57</v>
          </cell>
          <cell r="DZ310">
            <v>999999</v>
          </cell>
          <cell r="EA310">
            <v>999999</v>
          </cell>
          <cell r="EB310">
            <v>999999</v>
          </cell>
          <cell r="EC310">
            <v>0</v>
          </cell>
          <cell r="ED310">
            <v>0</v>
          </cell>
          <cell r="EE310">
            <v>0</v>
          </cell>
          <cell r="EF310">
            <v>0</v>
          </cell>
          <cell r="EG310">
            <v>0</v>
          </cell>
          <cell r="EH310">
            <v>0</v>
          </cell>
          <cell r="EI310">
            <v>0</v>
          </cell>
          <cell r="EJ310">
            <v>0</v>
          </cell>
          <cell r="EK310">
            <v>0</v>
          </cell>
          <cell r="EL310">
            <v>0</v>
          </cell>
          <cell r="EM310" t="str">
            <v/>
          </cell>
          <cell r="EN310" t="str">
            <v/>
          </cell>
          <cell r="EO310" t="str">
            <v/>
          </cell>
          <cell r="EP310" t="str">
            <v/>
          </cell>
          <cell r="EQ310" t="str">
            <v/>
          </cell>
          <cell r="ER310" t="str">
            <v/>
          </cell>
          <cell r="ES310" t="str">
            <v/>
          </cell>
          <cell r="ET310" t="str">
            <v/>
          </cell>
          <cell r="EU310" t="str">
            <v/>
          </cell>
          <cell r="EV310" t="str">
            <v/>
          </cell>
          <cell r="EW310" t="str">
            <v/>
          </cell>
          <cell r="EX310" t="str">
            <v/>
          </cell>
          <cell r="EY310" t="str">
            <v/>
          </cell>
          <cell r="EZ310" t="str">
            <v/>
          </cell>
          <cell r="FA310" t="str">
            <v/>
          </cell>
          <cell r="FB310" t="str">
            <v/>
          </cell>
          <cell r="FC310" t="str">
            <v/>
          </cell>
          <cell r="FD310" t="str">
            <v/>
          </cell>
          <cell r="FE310" t="str">
            <v/>
          </cell>
          <cell r="FF310" t="str">
            <v/>
          </cell>
          <cell r="FG310" t="str">
            <v/>
          </cell>
          <cell r="FH310" t="str">
            <v/>
          </cell>
          <cell r="FI310" t="str">
            <v/>
          </cell>
          <cell r="FJ310" t="str">
            <v/>
          </cell>
          <cell r="FK310" t="str">
            <v/>
          </cell>
          <cell r="FL310" t="str">
            <v/>
          </cell>
          <cell r="FM310" t="str">
            <v/>
          </cell>
          <cell r="FN310" t="str">
            <v/>
          </cell>
          <cell r="FO310" t="str">
            <v/>
          </cell>
          <cell r="FP310" t="str">
            <v/>
          </cell>
        </row>
        <row r="311">
          <cell r="N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AJ311">
            <v>0</v>
          </cell>
          <cell r="AK311">
            <v>0</v>
          </cell>
          <cell r="AL311">
            <v>999999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BE311">
            <v>0</v>
          </cell>
          <cell r="BH311">
            <v>0</v>
          </cell>
          <cell r="BI311">
            <v>0</v>
          </cell>
          <cell r="BJ311">
            <v>0</v>
          </cell>
          <cell r="BK311">
            <v>0</v>
          </cell>
          <cell r="BL311">
            <v>0</v>
          </cell>
          <cell r="BM311">
            <v>0</v>
          </cell>
          <cell r="BN311">
            <v>0</v>
          </cell>
          <cell r="BO311">
            <v>0</v>
          </cell>
          <cell r="BP311">
            <v>0</v>
          </cell>
          <cell r="BQ311">
            <v>0</v>
          </cell>
          <cell r="CB311">
            <v>0</v>
          </cell>
          <cell r="CC311">
            <v>0</v>
          </cell>
          <cell r="CD311">
            <v>0</v>
          </cell>
          <cell r="CE311">
            <v>0</v>
          </cell>
          <cell r="CF311">
            <v>0</v>
          </cell>
          <cell r="CG311">
            <v>0</v>
          </cell>
          <cell r="CH311">
            <v>0</v>
          </cell>
          <cell r="CI311">
            <v>0</v>
          </cell>
          <cell r="CJ311">
            <v>0</v>
          </cell>
          <cell r="CK311">
            <v>0</v>
          </cell>
          <cell r="CW311">
            <v>0</v>
          </cell>
          <cell r="CY311">
            <v>0</v>
          </cell>
          <cell r="CZ311">
            <v>0</v>
          </cell>
          <cell r="DA311">
            <v>0</v>
          </cell>
          <cell r="DB311">
            <v>0</v>
          </cell>
          <cell r="DC311">
            <v>0</v>
          </cell>
          <cell r="DD311">
            <v>0</v>
          </cell>
          <cell r="DE311">
            <v>0</v>
          </cell>
          <cell r="DF311">
            <v>0</v>
          </cell>
          <cell r="DG311">
            <v>0</v>
          </cell>
          <cell r="DH311">
            <v>0</v>
          </cell>
          <cell r="DS311">
            <v>0</v>
          </cell>
          <cell r="DT311">
            <v>56</v>
          </cell>
          <cell r="DU311">
            <v>999999</v>
          </cell>
          <cell r="DV311">
            <v>999999</v>
          </cell>
          <cell r="DW311">
            <v>999999</v>
          </cell>
          <cell r="DX311">
            <v>0</v>
          </cell>
          <cell r="DY311">
            <v>56</v>
          </cell>
          <cell r="DZ311">
            <v>999999</v>
          </cell>
          <cell r="EA311">
            <v>999999</v>
          </cell>
          <cell r="EB311">
            <v>999999</v>
          </cell>
          <cell r="EC311">
            <v>0</v>
          </cell>
          <cell r="ED311">
            <v>0</v>
          </cell>
          <cell r="EE311">
            <v>0</v>
          </cell>
          <cell r="EF311">
            <v>0</v>
          </cell>
          <cell r="EG311">
            <v>0</v>
          </cell>
          <cell r="EH311">
            <v>0</v>
          </cell>
          <cell r="EI311">
            <v>0</v>
          </cell>
          <cell r="EJ311">
            <v>0</v>
          </cell>
          <cell r="EK311">
            <v>0</v>
          </cell>
          <cell r="EL311">
            <v>0</v>
          </cell>
          <cell r="EM311" t="str">
            <v/>
          </cell>
          <cell r="EN311" t="str">
            <v/>
          </cell>
          <cell r="EO311" t="str">
            <v/>
          </cell>
          <cell r="EP311" t="str">
            <v/>
          </cell>
          <cell r="EQ311" t="str">
            <v/>
          </cell>
          <cell r="ER311" t="str">
            <v/>
          </cell>
          <cell r="ES311" t="str">
            <v/>
          </cell>
          <cell r="ET311" t="str">
            <v/>
          </cell>
          <cell r="EU311" t="str">
            <v/>
          </cell>
          <cell r="EV311" t="str">
            <v/>
          </cell>
          <cell r="EW311" t="str">
            <v/>
          </cell>
          <cell r="EX311" t="str">
            <v/>
          </cell>
          <cell r="EY311" t="str">
            <v/>
          </cell>
          <cell r="EZ311" t="str">
            <v/>
          </cell>
          <cell r="FA311" t="str">
            <v/>
          </cell>
          <cell r="FB311" t="str">
            <v/>
          </cell>
          <cell r="FC311" t="str">
            <v/>
          </cell>
          <cell r="FD311" t="str">
            <v/>
          </cell>
          <cell r="FE311" t="str">
            <v/>
          </cell>
          <cell r="FF311" t="str">
            <v/>
          </cell>
          <cell r="FG311" t="str">
            <v/>
          </cell>
          <cell r="FH311" t="str">
            <v/>
          </cell>
          <cell r="FI311" t="str">
            <v/>
          </cell>
          <cell r="FJ311" t="str">
            <v/>
          </cell>
          <cell r="FK311" t="str">
            <v/>
          </cell>
          <cell r="FL311" t="str">
            <v/>
          </cell>
          <cell r="FM311" t="str">
            <v/>
          </cell>
          <cell r="FN311" t="str">
            <v/>
          </cell>
          <cell r="FO311" t="str">
            <v/>
          </cell>
          <cell r="FP311" t="str">
            <v/>
          </cell>
        </row>
        <row r="312">
          <cell r="N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AJ312">
            <v>0</v>
          </cell>
          <cell r="AK312">
            <v>0</v>
          </cell>
          <cell r="AL312">
            <v>999999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BE312">
            <v>0</v>
          </cell>
          <cell r="BH312">
            <v>0</v>
          </cell>
          <cell r="BI312">
            <v>0</v>
          </cell>
          <cell r="BJ312">
            <v>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  <cell r="BP312">
            <v>0</v>
          </cell>
          <cell r="BQ312">
            <v>0</v>
          </cell>
          <cell r="CB312">
            <v>0</v>
          </cell>
          <cell r="CC312">
            <v>0</v>
          </cell>
          <cell r="CD312">
            <v>0</v>
          </cell>
          <cell r="CE312">
            <v>0</v>
          </cell>
          <cell r="CF312">
            <v>0</v>
          </cell>
          <cell r="CG312">
            <v>0</v>
          </cell>
          <cell r="CH312">
            <v>0</v>
          </cell>
          <cell r="CI312">
            <v>0</v>
          </cell>
          <cell r="CJ312">
            <v>0</v>
          </cell>
          <cell r="CK312">
            <v>0</v>
          </cell>
          <cell r="CW312">
            <v>0</v>
          </cell>
          <cell r="CY312">
            <v>0</v>
          </cell>
          <cell r="CZ312">
            <v>0</v>
          </cell>
          <cell r="DA312">
            <v>0</v>
          </cell>
          <cell r="DB312">
            <v>0</v>
          </cell>
          <cell r="DC312">
            <v>0</v>
          </cell>
          <cell r="DD312">
            <v>0</v>
          </cell>
          <cell r="DE312">
            <v>0</v>
          </cell>
          <cell r="DF312">
            <v>0</v>
          </cell>
          <cell r="DG312">
            <v>0</v>
          </cell>
          <cell r="DH312">
            <v>0</v>
          </cell>
          <cell r="DS312">
            <v>0</v>
          </cell>
          <cell r="DT312">
            <v>55</v>
          </cell>
          <cell r="DU312">
            <v>999999</v>
          </cell>
          <cell r="DV312">
            <v>999999</v>
          </cell>
          <cell r="DW312">
            <v>999999</v>
          </cell>
          <cell r="DX312">
            <v>0</v>
          </cell>
          <cell r="DY312">
            <v>55</v>
          </cell>
          <cell r="DZ312">
            <v>999999</v>
          </cell>
          <cell r="EA312">
            <v>999999</v>
          </cell>
          <cell r="EB312">
            <v>999999</v>
          </cell>
          <cell r="EC312">
            <v>0</v>
          </cell>
          <cell r="ED312">
            <v>0</v>
          </cell>
          <cell r="EE312">
            <v>0</v>
          </cell>
          <cell r="EF312">
            <v>0</v>
          </cell>
          <cell r="EG312">
            <v>0</v>
          </cell>
          <cell r="EH312">
            <v>0</v>
          </cell>
          <cell r="EI312">
            <v>0</v>
          </cell>
          <cell r="EJ312">
            <v>0</v>
          </cell>
          <cell r="EK312">
            <v>0</v>
          </cell>
          <cell r="EL312">
            <v>0</v>
          </cell>
          <cell r="EM312" t="str">
            <v/>
          </cell>
          <cell r="EN312" t="str">
            <v/>
          </cell>
          <cell r="EO312" t="str">
            <v/>
          </cell>
          <cell r="EP312" t="str">
            <v/>
          </cell>
          <cell r="EQ312" t="str">
            <v/>
          </cell>
          <cell r="ER312" t="str">
            <v/>
          </cell>
          <cell r="ES312" t="str">
            <v/>
          </cell>
          <cell r="ET312" t="str">
            <v/>
          </cell>
          <cell r="EU312" t="str">
            <v/>
          </cell>
          <cell r="EV312" t="str">
            <v/>
          </cell>
          <cell r="EW312" t="str">
            <v/>
          </cell>
          <cell r="EX312" t="str">
            <v/>
          </cell>
          <cell r="EY312" t="str">
            <v/>
          </cell>
          <cell r="EZ312" t="str">
            <v/>
          </cell>
          <cell r="FA312" t="str">
            <v/>
          </cell>
          <cell r="FB312" t="str">
            <v/>
          </cell>
          <cell r="FC312" t="str">
            <v/>
          </cell>
          <cell r="FD312" t="str">
            <v/>
          </cell>
          <cell r="FE312" t="str">
            <v/>
          </cell>
          <cell r="FF312" t="str">
            <v/>
          </cell>
          <cell r="FG312" t="str">
            <v/>
          </cell>
          <cell r="FH312" t="str">
            <v/>
          </cell>
          <cell r="FI312" t="str">
            <v/>
          </cell>
          <cell r="FJ312" t="str">
            <v/>
          </cell>
          <cell r="FK312" t="str">
            <v/>
          </cell>
          <cell r="FL312" t="str">
            <v/>
          </cell>
          <cell r="FM312" t="str">
            <v/>
          </cell>
          <cell r="FN312" t="str">
            <v/>
          </cell>
          <cell r="FO312" t="str">
            <v/>
          </cell>
          <cell r="FP312" t="str">
            <v/>
          </cell>
        </row>
        <row r="313">
          <cell r="N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AJ313">
            <v>0</v>
          </cell>
          <cell r="AK313">
            <v>0</v>
          </cell>
          <cell r="AL313">
            <v>999999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BE313">
            <v>48000</v>
          </cell>
          <cell r="BH313">
            <v>0</v>
          </cell>
          <cell r="BI313">
            <v>0</v>
          </cell>
          <cell r="BJ313">
            <v>0</v>
          </cell>
          <cell r="BK313">
            <v>0</v>
          </cell>
          <cell r="BL313">
            <v>0</v>
          </cell>
          <cell r="BM313">
            <v>0</v>
          </cell>
          <cell r="BN313">
            <v>0</v>
          </cell>
          <cell r="BO313">
            <v>0</v>
          </cell>
          <cell r="BP313">
            <v>0</v>
          </cell>
          <cell r="BQ313">
            <v>0</v>
          </cell>
          <cell r="CB313">
            <v>0</v>
          </cell>
          <cell r="CC313">
            <v>0</v>
          </cell>
          <cell r="CD313">
            <v>0</v>
          </cell>
          <cell r="CE313">
            <v>0</v>
          </cell>
          <cell r="CF313">
            <v>0</v>
          </cell>
          <cell r="CG313">
            <v>0</v>
          </cell>
          <cell r="CH313">
            <v>0</v>
          </cell>
          <cell r="CI313">
            <v>0</v>
          </cell>
          <cell r="CJ313">
            <v>0</v>
          </cell>
          <cell r="CK313">
            <v>0</v>
          </cell>
          <cell r="CW313">
            <v>0</v>
          </cell>
          <cell r="CY313">
            <v>0</v>
          </cell>
          <cell r="CZ313">
            <v>0</v>
          </cell>
          <cell r="DA313">
            <v>0</v>
          </cell>
          <cell r="DB313">
            <v>0</v>
          </cell>
          <cell r="DC313">
            <v>0</v>
          </cell>
          <cell r="DD313">
            <v>0</v>
          </cell>
          <cell r="DE313">
            <v>0</v>
          </cell>
          <cell r="DF313">
            <v>0</v>
          </cell>
          <cell r="DG313">
            <v>0</v>
          </cell>
          <cell r="DH313">
            <v>0</v>
          </cell>
          <cell r="DS313">
            <v>0</v>
          </cell>
          <cell r="DT313">
            <v>54</v>
          </cell>
          <cell r="DU313">
            <v>999999</v>
          </cell>
          <cell r="DV313">
            <v>999999</v>
          </cell>
          <cell r="DW313">
            <v>999999</v>
          </cell>
          <cell r="DX313">
            <v>0</v>
          </cell>
          <cell r="DY313">
            <v>54</v>
          </cell>
          <cell r="DZ313">
            <v>999999</v>
          </cell>
          <cell r="EA313">
            <v>999999</v>
          </cell>
          <cell r="EB313">
            <v>999999</v>
          </cell>
          <cell r="EC313">
            <v>0</v>
          </cell>
          <cell r="ED313">
            <v>0</v>
          </cell>
          <cell r="EE313">
            <v>0</v>
          </cell>
          <cell r="EF313">
            <v>0</v>
          </cell>
          <cell r="EG313">
            <v>0</v>
          </cell>
          <cell r="EH313">
            <v>0</v>
          </cell>
          <cell r="EI313">
            <v>0</v>
          </cell>
          <cell r="EJ313">
            <v>0</v>
          </cell>
          <cell r="EK313">
            <v>0</v>
          </cell>
          <cell r="EL313">
            <v>0</v>
          </cell>
          <cell r="EM313" t="str">
            <v/>
          </cell>
          <cell r="EN313" t="str">
            <v/>
          </cell>
          <cell r="EO313" t="str">
            <v/>
          </cell>
          <cell r="EP313" t="str">
            <v/>
          </cell>
          <cell r="EQ313" t="str">
            <v/>
          </cell>
          <cell r="ER313" t="str">
            <v/>
          </cell>
          <cell r="ES313" t="str">
            <v/>
          </cell>
          <cell r="ET313" t="str">
            <v/>
          </cell>
          <cell r="EU313" t="str">
            <v/>
          </cell>
          <cell r="EV313" t="str">
            <v/>
          </cell>
          <cell r="EW313" t="str">
            <v/>
          </cell>
          <cell r="EX313" t="str">
            <v/>
          </cell>
          <cell r="EY313" t="str">
            <v/>
          </cell>
          <cell r="EZ313" t="str">
            <v/>
          </cell>
          <cell r="FA313" t="str">
            <v/>
          </cell>
          <cell r="FB313" t="str">
            <v/>
          </cell>
          <cell r="FC313" t="str">
            <v/>
          </cell>
          <cell r="FD313" t="str">
            <v/>
          </cell>
          <cell r="FE313" t="str">
            <v/>
          </cell>
          <cell r="FF313" t="str">
            <v/>
          </cell>
          <cell r="FG313" t="str">
            <v/>
          </cell>
          <cell r="FH313" t="str">
            <v/>
          </cell>
          <cell r="FI313" t="str">
            <v/>
          </cell>
          <cell r="FJ313" t="str">
            <v/>
          </cell>
          <cell r="FK313" t="str">
            <v/>
          </cell>
          <cell r="FL313" t="str">
            <v/>
          </cell>
          <cell r="FM313" t="str">
            <v/>
          </cell>
          <cell r="FN313" t="str">
            <v/>
          </cell>
          <cell r="FO313" t="str">
            <v/>
          </cell>
          <cell r="FP313" t="str">
            <v/>
          </cell>
        </row>
        <row r="314">
          <cell r="N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AJ314">
            <v>0</v>
          </cell>
          <cell r="AK314">
            <v>0</v>
          </cell>
          <cell r="AL314">
            <v>999999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BE314">
            <v>0</v>
          </cell>
          <cell r="BH314">
            <v>0</v>
          </cell>
          <cell r="BI314">
            <v>0</v>
          </cell>
          <cell r="BJ314">
            <v>0</v>
          </cell>
          <cell r="BK314">
            <v>0</v>
          </cell>
          <cell r="BL314">
            <v>0</v>
          </cell>
          <cell r="BM314">
            <v>0</v>
          </cell>
          <cell r="BN314">
            <v>0</v>
          </cell>
          <cell r="BO314">
            <v>0</v>
          </cell>
          <cell r="BP314">
            <v>0</v>
          </cell>
          <cell r="BQ314">
            <v>0</v>
          </cell>
          <cell r="CB314">
            <v>0</v>
          </cell>
          <cell r="CC314">
            <v>0</v>
          </cell>
          <cell r="CD314">
            <v>0</v>
          </cell>
          <cell r="CE314">
            <v>0</v>
          </cell>
          <cell r="CF314">
            <v>0</v>
          </cell>
          <cell r="CG314">
            <v>0</v>
          </cell>
          <cell r="CH314">
            <v>0</v>
          </cell>
          <cell r="CI314">
            <v>0</v>
          </cell>
          <cell r="CJ314">
            <v>0</v>
          </cell>
          <cell r="CK314">
            <v>0</v>
          </cell>
          <cell r="CW314">
            <v>0</v>
          </cell>
          <cell r="CY314">
            <v>0</v>
          </cell>
          <cell r="CZ314">
            <v>0</v>
          </cell>
          <cell r="DA314">
            <v>0</v>
          </cell>
          <cell r="DB314">
            <v>0</v>
          </cell>
          <cell r="DC314">
            <v>0</v>
          </cell>
          <cell r="DD314">
            <v>0</v>
          </cell>
          <cell r="DE314">
            <v>0</v>
          </cell>
          <cell r="DF314">
            <v>0</v>
          </cell>
          <cell r="DG314">
            <v>0</v>
          </cell>
          <cell r="DH314">
            <v>0</v>
          </cell>
          <cell r="DS314">
            <v>0</v>
          </cell>
          <cell r="DT314">
            <v>53</v>
          </cell>
          <cell r="DU314">
            <v>999999</v>
          </cell>
          <cell r="DV314">
            <v>999999</v>
          </cell>
          <cell r="DW314">
            <v>999999</v>
          </cell>
          <cell r="DX314">
            <v>0</v>
          </cell>
          <cell r="DY314">
            <v>53</v>
          </cell>
          <cell r="DZ314">
            <v>999999</v>
          </cell>
          <cell r="EA314">
            <v>999999</v>
          </cell>
          <cell r="EB314">
            <v>999999</v>
          </cell>
          <cell r="EC314">
            <v>0</v>
          </cell>
          <cell r="ED314">
            <v>0</v>
          </cell>
          <cell r="EE314">
            <v>0</v>
          </cell>
          <cell r="EF314">
            <v>0</v>
          </cell>
          <cell r="EG314">
            <v>0</v>
          </cell>
          <cell r="EH314">
            <v>0</v>
          </cell>
          <cell r="EI314">
            <v>0</v>
          </cell>
          <cell r="EJ314">
            <v>0</v>
          </cell>
          <cell r="EK314">
            <v>0</v>
          </cell>
          <cell r="EL314">
            <v>0</v>
          </cell>
          <cell r="EM314" t="str">
            <v/>
          </cell>
          <cell r="EN314" t="str">
            <v/>
          </cell>
          <cell r="EO314" t="str">
            <v/>
          </cell>
          <cell r="EP314" t="str">
            <v/>
          </cell>
          <cell r="EQ314" t="str">
            <v/>
          </cell>
          <cell r="ER314" t="str">
            <v/>
          </cell>
          <cell r="ES314" t="str">
            <v/>
          </cell>
          <cell r="ET314" t="str">
            <v/>
          </cell>
          <cell r="EU314" t="str">
            <v/>
          </cell>
          <cell r="EV314" t="str">
            <v/>
          </cell>
          <cell r="EW314" t="str">
            <v/>
          </cell>
          <cell r="EX314" t="str">
            <v/>
          </cell>
          <cell r="EY314" t="str">
            <v/>
          </cell>
          <cell r="EZ314" t="str">
            <v/>
          </cell>
          <cell r="FA314" t="str">
            <v/>
          </cell>
          <cell r="FB314" t="str">
            <v/>
          </cell>
          <cell r="FC314" t="str">
            <v/>
          </cell>
          <cell r="FD314" t="str">
            <v/>
          </cell>
          <cell r="FE314" t="str">
            <v/>
          </cell>
          <cell r="FF314" t="str">
            <v/>
          </cell>
          <cell r="FG314" t="str">
            <v/>
          </cell>
          <cell r="FH314" t="str">
            <v/>
          </cell>
          <cell r="FI314" t="str">
            <v/>
          </cell>
          <cell r="FJ314" t="str">
            <v/>
          </cell>
          <cell r="FK314" t="str">
            <v/>
          </cell>
          <cell r="FL314" t="str">
            <v/>
          </cell>
          <cell r="FM314" t="str">
            <v/>
          </cell>
          <cell r="FN314" t="str">
            <v/>
          </cell>
          <cell r="FO314" t="str">
            <v/>
          </cell>
          <cell r="FP314" t="str">
            <v/>
          </cell>
        </row>
        <row r="315">
          <cell r="N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AJ315">
            <v>0</v>
          </cell>
          <cell r="AK315">
            <v>0</v>
          </cell>
          <cell r="AL315">
            <v>999999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BE315">
            <v>0</v>
          </cell>
          <cell r="BH315">
            <v>0</v>
          </cell>
          <cell r="BI315">
            <v>0</v>
          </cell>
          <cell r="BJ315">
            <v>0</v>
          </cell>
          <cell r="BK315">
            <v>0</v>
          </cell>
          <cell r="BL315">
            <v>0</v>
          </cell>
          <cell r="BM315">
            <v>0</v>
          </cell>
          <cell r="BN315">
            <v>0</v>
          </cell>
          <cell r="BO315">
            <v>0</v>
          </cell>
          <cell r="BP315">
            <v>0</v>
          </cell>
          <cell r="BQ315">
            <v>0</v>
          </cell>
          <cell r="CB315">
            <v>0</v>
          </cell>
          <cell r="CC315">
            <v>0</v>
          </cell>
          <cell r="CD315">
            <v>0</v>
          </cell>
          <cell r="CE315">
            <v>0</v>
          </cell>
          <cell r="CF315">
            <v>0</v>
          </cell>
          <cell r="CG315">
            <v>0</v>
          </cell>
          <cell r="CH315">
            <v>0</v>
          </cell>
          <cell r="CI315">
            <v>0</v>
          </cell>
          <cell r="CJ315">
            <v>0</v>
          </cell>
          <cell r="CK315">
            <v>0</v>
          </cell>
          <cell r="CW315">
            <v>0</v>
          </cell>
          <cell r="CY315">
            <v>0</v>
          </cell>
          <cell r="CZ315">
            <v>0</v>
          </cell>
          <cell r="DA315">
            <v>0</v>
          </cell>
          <cell r="DB315">
            <v>0</v>
          </cell>
          <cell r="DC315">
            <v>0</v>
          </cell>
          <cell r="DD315">
            <v>0</v>
          </cell>
          <cell r="DE315">
            <v>0</v>
          </cell>
          <cell r="DF315">
            <v>0</v>
          </cell>
          <cell r="DG315">
            <v>0</v>
          </cell>
          <cell r="DH315">
            <v>0</v>
          </cell>
          <cell r="DS315">
            <v>0</v>
          </cell>
          <cell r="DT315">
            <v>52</v>
          </cell>
          <cell r="DU315">
            <v>999999</v>
          </cell>
          <cell r="DV315">
            <v>999999</v>
          </cell>
          <cell r="DW315">
            <v>999999</v>
          </cell>
          <cell r="DX315">
            <v>0</v>
          </cell>
          <cell r="DY315">
            <v>52</v>
          </cell>
          <cell r="DZ315">
            <v>999999</v>
          </cell>
          <cell r="EA315">
            <v>999999</v>
          </cell>
          <cell r="EB315">
            <v>999999</v>
          </cell>
          <cell r="EC315">
            <v>0</v>
          </cell>
          <cell r="ED315">
            <v>0</v>
          </cell>
          <cell r="EE315">
            <v>0</v>
          </cell>
          <cell r="EF315">
            <v>0</v>
          </cell>
          <cell r="EG315">
            <v>0</v>
          </cell>
          <cell r="EH315">
            <v>0</v>
          </cell>
          <cell r="EI315">
            <v>0</v>
          </cell>
          <cell r="EJ315">
            <v>0</v>
          </cell>
          <cell r="EK315">
            <v>0</v>
          </cell>
          <cell r="EL315">
            <v>0</v>
          </cell>
          <cell r="EM315" t="str">
            <v/>
          </cell>
          <cell r="EN315" t="str">
            <v/>
          </cell>
          <cell r="EO315" t="str">
            <v/>
          </cell>
          <cell r="EP315" t="str">
            <v/>
          </cell>
          <cell r="EQ315" t="str">
            <v/>
          </cell>
          <cell r="ER315" t="str">
            <v/>
          </cell>
          <cell r="ES315" t="str">
            <v/>
          </cell>
          <cell r="ET315" t="str">
            <v/>
          </cell>
          <cell r="EU315" t="str">
            <v/>
          </cell>
          <cell r="EV315" t="str">
            <v/>
          </cell>
          <cell r="EW315" t="str">
            <v/>
          </cell>
          <cell r="EX315" t="str">
            <v/>
          </cell>
          <cell r="EY315" t="str">
            <v/>
          </cell>
          <cell r="EZ315" t="str">
            <v/>
          </cell>
          <cell r="FA315" t="str">
            <v/>
          </cell>
          <cell r="FB315" t="str">
            <v/>
          </cell>
          <cell r="FC315" t="str">
            <v/>
          </cell>
          <cell r="FD315" t="str">
            <v/>
          </cell>
          <cell r="FE315" t="str">
            <v/>
          </cell>
          <cell r="FF315" t="str">
            <v/>
          </cell>
          <cell r="FG315" t="str">
            <v/>
          </cell>
          <cell r="FH315" t="str">
            <v/>
          </cell>
          <cell r="FI315" t="str">
            <v/>
          </cell>
          <cell r="FJ315" t="str">
            <v/>
          </cell>
          <cell r="FK315" t="str">
            <v/>
          </cell>
          <cell r="FL315" t="str">
            <v/>
          </cell>
          <cell r="FM315" t="str">
            <v/>
          </cell>
          <cell r="FN315" t="str">
            <v/>
          </cell>
          <cell r="FO315" t="str">
            <v/>
          </cell>
          <cell r="FP315" t="str">
            <v/>
          </cell>
        </row>
        <row r="316">
          <cell r="N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AJ316">
            <v>0</v>
          </cell>
          <cell r="AK316">
            <v>0</v>
          </cell>
          <cell r="AL316">
            <v>999999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BE316">
            <v>0</v>
          </cell>
          <cell r="BH316">
            <v>0</v>
          </cell>
          <cell r="BI316">
            <v>0</v>
          </cell>
          <cell r="BJ316">
            <v>0</v>
          </cell>
          <cell r="BK316">
            <v>0</v>
          </cell>
          <cell r="BL316">
            <v>0</v>
          </cell>
          <cell r="BM316">
            <v>0</v>
          </cell>
          <cell r="BN316">
            <v>0</v>
          </cell>
          <cell r="BO316">
            <v>0</v>
          </cell>
          <cell r="BP316">
            <v>0</v>
          </cell>
          <cell r="BQ316">
            <v>0</v>
          </cell>
          <cell r="CB316">
            <v>0</v>
          </cell>
          <cell r="CC316">
            <v>0</v>
          </cell>
          <cell r="CD316">
            <v>0</v>
          </cell>
          <cell r="CE316">
            <v>0</v>
          </cell>
          <cell r="CF316">
            <v>0</v>
          </cell>
          <cell r="CG316">
            <v>0</v>
          </cell>
          <cell r="CH316">
            <v>0</v>
          </cell>
          <cell r="CI316">
            <v>0</v>
          </cell>
          <cell r="CJ316">
            <v>0</v>
          </cell>
          <cell r="CK316">
            <v>0</v>
          </cell>
          <cell r="CW316">
            <v>0</v>
          </cell>
          <cell r="CY316">
            <v>0</v>
          </cell>
          <cell r="CZ316">
            <v>0</v>
          </cell>
          <cell r="DA316">
            <v>0</v>
          </cell>
          <cell r="DB316">
            <v>0</v>
          </cell>
          <cell r="DC316">
            <v>0</v>
          </cell>
          <cell r="DD316">
            <v>0</v>
          </cell>
          <cell r="DE316">
            <v>0</v>
          </cell>
          <cell r="DF316">
            <v>0</v>
          </cell>
          <cell r="DG316">
            <v>0</v>
          </cell>
          <cell r="DH316">
            <v>0</v>
          </cell>
          <cell r="DS316">
            <v>0</v>
          </cell>
          <cell r="DT316">
            <v>51</v>
          </cell>
          <cell r="DU316">
            <v>999999</v>
          </cell>
          <cell r="DV316">
            <v>999999</v>
          </cell>
          <cell r="DW316">
            <v>999999</v>
          </cell>
          <cell r="DX316">
            <v>0</v>
          </cell>
          <cell r="DY316">
            <v>51</v>
          </cell>
          <cell r="DZ316">
            <v>999999</v>
          </cell>
          <cell r="EA316">
            <v>999999</v>
          </cell>
          <cell r="EB316">
            <v>999999</v>
          </cell>
          <cell r="EC316">
            <v>0</v>
          </cell>
          <cell r="ED316">
            <v>0</v>
          </cell>
          <cell r="EE316">
            <v>0</v>
          </cell>
          <cell r="EF316">
            <v>0</v>
          </cell>
          <cell r="EG316">
            <v>0</v>
          </cell>
          <cell r="EH316">
            <v>0</v>
          </cell>
          <cell r="EI316">
            <v>0</v>
          </cell>
          <cell r="EJ316">
            <v>0</v>
          </cell>
          <cell r="EK316">
            <v>0</v>
          </cell>
          <cell r="EL316">
            <v>0</v>
          </cell>
          <cell r="EM316" t="str">
            <v/>
          </cell>
          <cell r="EN316" t="str">
            <v/>
          </cell>
          <cell r="EO316" t="str">
            <v/>
          </cell>
          <cell r="EP316" t="str">
            <v/>
          </cell>
          <cell r="EQ316" t="str">
            <v/>
          </cell>
          <cell r="ER316" t="str">
            <v/>
          </cell>
          <cell r="ES316" t="str">
            <v/>
          </cell>
          <cell r="ET316" t="str">
            <v/>
          </cell>
          <cell r="EU316" t="str">
            <v/>
          </cell>
          <cell r="EV316" t="str">
            <v/>
          </cell>
          <cell r="EW316" t="str">
            <v/>
          </cell>
          <cell r="EX316" t="str">
            <v/>
          </cell>
          <cell r="EY316" t="str">
            <v/>
          </cell>
          <cell r="EZ316" t="str">
            <v/>
          </cell>
          <cell r="FA316" t="str">
            <v/>
          </cell>
          <cell r="FB316" t="str">
            <v/>
          </cell>
          <cell r="FC316" t="str">
            <v/>
          </cell>
          <cell r="FD316" t="str">
            <v/>
          </cell>
          <cell r="FE316" t="str">
            <v/>
          </cell>
          <cell r="FF316" t="str">
            <v/>
          </cell>
          <cell r="FG316" t="str">
            <v/>
          </cell>
          <cell r="FH316" t="str">
            <v/>
          </cell>
          <cell r="FI316" t="str">
            <v/>
          </cell>
          <cell r="FJ316" t="str">
            <v/>
          </cell>
          <cell r="FK316" t="str">
            <v/>
          </cell>
          <cell r="FL316" t="str">
            <v/>
          </cell>
          <cell r="FM316" t="str">
            <v/>
          </cell>
          <cell r="FN316" t="str">
            <v/>
          </cell>
          <cell r="FO316" t="str">
            <v/>
          </cell>
          <cell r="FP316" t="str">
            <v/>
          </cell>
        </row>
        <row r="317">
          <cell r="N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AJ317">
            <v>0</v>
          </cell>
          <cell r="AK317">
            <v>0</v>
          </cell>
          <cell r="AL317">
            <v>999999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BE317">
            <v>0</v>
          </cell>
          <cell r="BH317">
            <v>0</v>
          </cell>
          <cell r="BI317">
            <v>0</v>
          </cell>
          <cell r="BJ317">
            <v>0</v>
          </cell>
          <cell r="BK317">
            <v>0</v>
          </cell>
          <cell r="BL317">
            <v>0</v>
          </cell>
          <cell r="BM317">
            <v>0</v>
          </cell>
          <cell r="BN317">
            <v>0</v>
          </cell>
          <cell r="BO317">
            <v>0</v>
          </cell>
          <cell r="BP317">
            <v>0</v>
          </cell>
          <cell r="BQ317">
            <v>0</v>
          </cell>
          <cell r="CB317">
            <v>0</v>
          </cell>
          <cell r="CC317">
            <v>0</v>
          </cell>
          <cell r="CD317">
            <v>0</v>
          </cell>
          <cell r="CE317">
            <v>0</v>
          </cell>
          <cell r="CF317">
            <v>0</v>
          </cell>
          <cell r="CG317">
            <v>0</v>
          </cell>
          <cell r="CH317">
            <v>0</v>
          </cell>
          <cell r="CI317">
            <v>0</v>
          </cell>
          <cell r="CJ317">
            <v>0</v>
          </cell>
          <cell r="CK317">
            <v>0</v>
          </cell>
          <cell r="CW317">
            <v>0</v>
          </cell>
          <cell r="CY317">
            <v>0</v>
          </cell>
          <cell r="CZ317">
            <v>0</v>
          </cell>
          <cell r="DA317">
            <v>0</v>
          </cell>
          <cell r="DB317">
            <v>0</v>
          </cell>
          <cell r="DC317">
            <v>0</v>
          </cell>
          <cell r="DD317">
            <v>0</v>
          </cell>
          <cell r="DE317">
            <v>0</v>
          </cell>
          <cell r="DF317">
            <v>0</v>
          </cell>
          <cell r="DG317">
            <v>0</v>
          </cell>
          <cell r="DH317">
            <v>0</v>
          </cell>
          <cell r="DS317">
            <v>0</v>
          </cell>
          <cell r="DT317">
            <v>50</v>
          </cell>
          <cell r="DU317">
            <v>999999</v>
          </cell>
          <cell r="DV317">
            <v>999999</v>
          </cell>
          <cell r="DW317">
            <v>999999</v>
          </cell>
          <cell r="DX317">
            <v>0</v>
          </cell>
          <cell r="DY317">
            <v>50</v>
          </cell>
          <cell r="DZ317">
            <v>999999</v>
          </cell>
          <cell r="EA317">
            <v>999999</v>
          </cell>
          <cell r="EB317">
            <v>999999</v>
          </cell>
          <cell r="EC317">
            <v>0</v>
          </cell>
          <cell r="ED317">
            <v>0</v>
          </cell>
          <cell r="EE317">
            <v>0</v>
          </cell>
          <cell r="EF317">
            <v>0</v>
          </cell>
          <cell r="EG317">
            <v>0</v>
          </cell>
          <cell r="EH317">
            <v>0</v>
          </cell>
          <cell r="EI317">
            <v>0</v>
          </cell>
          <cell r="EJ317">
            <v>0</v>
          </cell>
          <cell r="EK317">
            <v>0</v>
          </cell>
          <cell r="EL317">
            <v>0</v>
          </cell>
          <cell r="EM317" t="str">
            <v/>
          </cell>
          <cell r="EN317" t="str">
            <v/>
          </cell>
          <cell r="EO317" t="str">
            <v/>
          </cell>
          <cell r="EP317" t="str">
            <v/>
          </cell>
          <cell r="EQ317" t="str">
            <v/>
          </cell>
          <cell r="ER317" t="str">
            <v/>
          </cell>
          <cell r="ES317" t="str">
            <v/>
          </cell>
          <cell r="ET317" t="str">
            <v/>
          </cell>
          <cell r="EU317" t="str">
            <v/>
          </cell>
          <cell r="EV317" t="str">
            <v/>
          </cell>
          <cell r="EW317" t="str">
            <v/>
          </cell>
          <cell r="EX317" t="str">
            <v/>
          </cell>
          <cell r="EY317" t="str">
            <v/>
          </cell>
          <cell r="EZ317" t="str">
            <v/>
          </cell>
          <cell r="FA317" t="str">
            <v/>
          </cell>
          <cell r="FB317" t="str">
            <v/>
          </cell>
          <cell r="FC317" t="str">
            <v/>
          </cell>
          <cell r="FD317" t="str">
            <v/>
          </cell>
          <cell r="FE317" t="str">
            <v/>
          </cell>
          <cell r="FF317" t="str">
            <v/>
          </cell>
          <cell r="FG317" t="str">
            <v/>
          </cell>
          <cell r="FH317" t="str">
            <v/>
          </cell>
          <cell r="FI317" t="str">
            <v/>
          </cell>
          <cell r="FJ317" t="str">
            <v/>
          </cell>
          <cell r="FK317" t="str">
            <v/>
          </cell>
          <cell r="FL317" t="str">
            <v/>
          </cell>
          <cell r="FM317" t="str">
            <v/>
          </cell>
          <cell r="FN317" t="str">
            <v/>
          </cell>
          <cell r="FO317" t="str">
            <v/>
          </cell>
          <cell r="FP317" t="str">
            <v/>
          </cell>
        </row>
        <row r="318">
          <cell r="N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AJ318">
            <v>0</v>
          </cell>
          <cell r="AK318">
            <v>0</v>
          </cell>
          <cell r="AL318">
            <v>999999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BE318">
            <v>0</v>
          </cell>
          <cell r="BH318">
            <v>0</v>
          </cell>
          <cell r="BI318">
            <v>0</v>
          </cell>
          <cell r="BJ318">
            <v>0</v>
          </cell>
          <cell r="BK318">
            <v>0</v>
          </cell>
          <cell r="BL318">
            <v>0</v>
          </cell>
          <cell r="BM318">
            <v>0</v>
          </cell>
          <cell r="BN318">
            <v>0</v>
          </cell>
          <cell r="BO318">
            <v>0</v>
          </cell>
          <cell r="BP318">
            <v>0</v>
          </cell>
          <cell r="BQ318">
            <v>0</v>
          </cell>
          <cell r="CB318">
            <v>0</v>
          </cell>
          <cell r="CC318">
            <v>0</v>
          </cell>
          <cell r="CD318">
            <v>0</v>
          </cell>
          <cell r="CE318">
            <v>0</v>
          </cell>
          <cell r="CF318">
            <v>0</v>
          </cell>
          <cell r="CG318">
            <v>0</v>
          </cell>
          <cell r="CH318">
            <v>0</v>
          </cell>
          <cell r="CI318">
            <v>0</v>
          </cell>
          <cell r="CJ318">
            <v>0</v>
          </cell>
          <cell r="CK318">
            <v>0</v>
          </cell>
          <cell r="CW318">
            <v>0</v>
          </cell>
          <cell r="CY318">
            <v>0</v>
          </cell>
          <cell r="CZ318">
            <v>0</v>
          </cell>
          <cell r="DA318">
            <v>0</v>
          </cell>
          <cell r="DB318">
            <v>0</v>
          </cell>
          <cell r="DC318">
            <v>0</v>
          </cell>
          <cell r="DD318">
            <v>0</v>
          </cell>
          <cell r="DE318">
            <v>0</v>
          </cell>
          <cell r="DF318">
            <v>0</v>
          </cell>
          <cell r="DG318">
            <v>0</v>
          </cell>
          <cell r="DH318">
            <v>0</v>
          </cell>
          <cell r="DS318">
            <v>0</v>
          </cell>
          <cell r="DT318">
            <v>49</v>
          </cell>
          <cell r="DU318">
            <v>999999</v>
          </cell>
          <cell r="DV318">
            <v>999999</v>
          </cell>
          <cell r="DW318">
            <v>999999</v>
          </cell>
          <cell r="DX318">
            <v>0</v>
          </cell>
          <cell r="DY318">
            <v>49</v>
          </cell>
          <cell r="DZ318">
            <v>999999</v>
          </cell>
          <cell r="EA318">
            <v>999999</v>
          </cell>
          <cell r="EB318">
            <v>999999</v>
          </cell>
          <cell r="EC318">
            <v>0</v>
          </cell>
          <cell r="ED318">
            <v>0</v>
          </cell>
          <cell r="EE318">
            <v>0</v>
          </cell>
          <cell r="EF318">
            <v>0</v>
          </cell>
          <cell r="EG318">
            <v>0</v>
          </cell>
          <cell r="EH318">
            <v>0</v>
          </cell>
          <cell r="EI318">
            <v>0</v>
          </cell>
          <cell r="EJ318">
            <v>0</v>
          </cell>
          <cell r="EK318">
            <v>0</v>
          </cell>
          <cell r="EL318">
            <v>0</v>
          </cell>
          <cell r="EM318" t="str">
            <v/>
          </cell>
          <cell r="EN318" t="str">
            <v/>
          </cell>
          <cell r="EO318" t="str">
            <v/>
          </cell>
          <cell r="EP318" t="str">
            <v/>
          </cell>
          <cell r="EQ318" t="str">
            <v/>
          </cell>
          <cell r="ER318" t="str">
            <v/>
          </cell>
          <cell r="ES318" t="str">
            <v/>
          </cell>
          <cell r="ET318" t="str">
            <v/>
          </cell>
          <cell r="EU318" t="str">
            <v/>
          </cell>
          <cell r="EV318" t="str">
            <v/>
          </cell>
          <cell r="EW318" t="str">
            <v/>
          </cell>
          <cell r="EX318" t="str">
            <v/>
          </cell>
          <cell r="EY318" t="str">
            <v/>
          </cell>
          <cell r="EZ318" t="str">
            <v/>
          </cell>
          <cell r="FA318" t="str">
            <v/>
          </cell>
          <cell r="FB318" t="str">
            <v/>
          </cell>
          <cell r="FC318" t="str">
            <v/>
          </cell>
          <cell r="FD318" t="str">
            <v/>
          </cell>
          <cell r="FE318" t="str">
            <v/>
          </cell>
          <cell r="FF318" t="str">
            <v/>
          </cell>
          <cell r="FG318" t="str">
            <v/>
          </cell>
          <cell r="FH318" t="str">
            <v/>
          </cell>
          <cell r="FI318" t="str">
            <v/>
          </cell>
          <cell r="FJ318" t="str">
            <v/>
          </cell>
          <cell r="FK318" t="str">
            <v/>
          </cell>
          <cell r="FL318" t="str">
            <v/>
          </cell>
          <cell r="FM318" t="str">
            <v/>
          </cell>
          <cell r="FN318" t="str">
            <v/>
          </cell>
          <cell r="FO318" t="str">
            <v/>
          </cell>
          <cell r="FP318" t="str">
            <v/>
          </cell>
        </row>
        <row r="319">
          <cell r="N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AJ319">
            <v>0</v>
          </cell>
          <cell r="AK319">
            <v>0</v>
          </cell>
          <cell r="AL319">
            <v>999999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BE319">
            <v>0</v>
          </cell>
          <cell r="BH319">
            <v>0</v>
          </cell>
          <cell r="BI319">
            <v>0</v>
          </cell>
          <cell r="BJ319">
            <v>0</v>
          </cell>
          <cell r="BK319">
            <v>0</v>
          </cell>
          <cell r="BL319">
            <v>0</v>
          </cell>
          <cell r="BM319">
            <v>0</v>
          </cell>
          <cell r="BN319">
            <v>0</v>
          </cell>
          <cell r="BO319">
            <v>0</v>
          </cell>
          <cell r="BP319">
            <v>0</v>
          </cell>
          <cell r="BQ319">
            <v>0</v>
          </cell>
          <cell r="CB319">
            <v>0</v>
          </cell>
          <cell r="CC319">
            <v>0</v>
          </cell>
          <cell r="CD319">
            <v>0</v>
          </cell>
          <cell r="CE319">
            <v>0</v>
          </cell>
          <cell r="CF319">
            <v>0</v>
          </cell>
          <cell r="CG319">
            <v>0</v>
          </cell>
          <cell r="CH319">
            <v>0</v>
          </cell>
          <cell r="CI319">
            <v>0</v>
          </cell>
          <cell r="CJ319">
            <v>0</v>
          </cell>
          <cell r="CK319">
            <v>0</v>
          </cell>
          <cell r="CW319">
            <v>0</v>
          </cell>
          <cell r="CY319">
            <v>0</v>
          </cell>
          <cell r="CZ319">
            <v>0</v>
          </cell>
          <cell r="DA319">
            <v>0</v>
          </cell>
          <cell r="DB319">
            <v>0</v>
          </cell>
          <cell r="DC319">
            <v>0</v>
          </cell>
          <cell r="DD319">
            <v>0</v>
          </cell>
          <cell r="DE319">
            <v>0</v>
          </cell>
          <cell r="DF319">
            <v>0</v>
          </cell>
          <cell r="DG319">
            <v>0</v>
          </cell>
          <cell r="DH319">
            <v>0</v>
          </cell>
          <cell r="DS319">
            <v>0</v>
          </cell>
          <cell r="DT319">
            <v>48</v>
          </cell>
          <cell r="DU319">
            <v>999999</v>
          </cell>
          <cell r="DV319">
            <v>999999</v>
          </cell>
          <cell r="DW319">
            <v>999999</v>
          </cell>
          <cell r="DX319">
            <v>0</v>
          </cell>
          <cell r="DY319">
            <v>48</v>
          </cell>
          <cell r="DZ319">
            <v>999999</v>
          </cell>
          <cell r="EA319">
            <v>999999</v>
          </cell>
          <cell r="EB319">
            <v>999999</v>
          </cell>
          <cell r="EC319">
            <v>0</v>
          </cell>
          <cell r="ED319">
            <v>0</v>
          </cell>
          <cell r="EE319">
            <v>0</v>
          </cell>
          <cell r="EF319">
            <v>0</v>
          </cell>
          <cell r="EG319">
            <v>0</v>
          </cell>
          <cell r="EH319">
            <v>0</v>
          </cell>
          <cell r="EI319">
            <v>0</v>
          </cell>
          <cell r="EJ319">
            <v>0</v>
          </cell>
          <cell r="EK319">
            <v>0</v>
          </cell>
          <cell r="EL319">
            <v>0</v>
          </cell>
          <cell r="EM319" t="str">
            <v/>
          </cell>
          <cell r="EN319" t="str">
            <v/>
          </cell>
          <cell r="EO319" t="str">
            <v/>
          </cell>
          <cell r="EP319" t="str">
            <v/>
          </cell>
          <cell r="EQ319" t="str">
            <v/>
          </cell>
          <cell r="ER319" t="str">
            <v/>
          </cell>
          <cell r="ES319" t="str">
            <v/>
          </cell>
          <cell r="ET319" t="str">
            <v/>
          </cell>
          <cell r="EU319" t="str">
            <v/>
          </cell>
          <cell r="EV319" t="str">
            <v/>
          </cell>
          <cell r="EW319" t="str">
            <v/>
          </cell>
          <cell r="EX319" t="str">
            <v/>
          </cell>
          <cell r="EY319" t="str">
            <v/>
          </cell>
          <cell r="EZ319" t="str">
            <v/>
          </cell>
          <cell r="FA319" t="str">
            <v/>
          </cell>
          <cell r="FB319" t="str">
            <v/>
          </cell>
          <cell r="FC319" t="str">
            <v/>
          </cell>
          <cell r="FD319" t="str">
            <v/>
          </cell>
          <cell r="FE319" t="str">
            <v/>
          </cell>
          <cell r="FF319" t="str">
            <v/>
          </cell>
          <cell r="FG319" t="str">
            <v/>
          </cell>
          <cell r="FH319" t="str">
            <v/>
          </cell>
          <cell r="FI319" t="str">
            <v/>
          </cell>
          <cell r="FJ319" t="str">
            <v/>
          </cell>
          <cell r="FK319" t="str">
            <v/>
          </cell>
          <cell r="FL319" t="str">
            <v/>
          </cell>
          <cell r="FM319" t="str">
            <v/>
          </cell>
          <cell r="FN319" t="str">
            <v/>
          </cell>
          <cell r="FO319" t="str">
            <v/>
          </cell>
          <cell r="FP319" t="str">
            <v/>
          </cell>
        </row>
        <row r="320">
          <cell r="N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AJ320">
            <v>0</v>
          </cell>
          <cell r="AK320">
            <v>0</v>
          </cell>
          <cell r="AL320">
            <v>999999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BE320">
            <v>0</v>
          </cell>
          <cell r="BH320">
            <v>0</v>
          </cell>
          <cell r="BI320">
            <v>0</v>
          </cell>
          <cell r="BJ320">
            <v>0</v>
          </cell>
          <cell r="BK320">
            <v>0</v>
          </cell>
          <cell r="BL320">
            <v>0</v>
          </cell>
          <cell r="BM320">
            <v>0</v>
          </cell>
          <cell r="BN320">
            <v>0</v>
          </cell>
          <cell r="BO320">
            <v>0</v>
          </cell>
          <cell r="BP320">
            <v>0</v>
          </cell>
          <cell r="BQ320">
            <v>0</v>
          </cell>
          <cell r="CB320">
            <v>0</v>
          </cell>
          <cell r="CC320">
            <v>0</v>
          </cell>
          <cell r="CD320">
            <v>0</v>
          </cell>
          <cell r="CE320">
            <v>0</v>
          </cell>
          <cell r="CF320">
            <v>0</v>
          </cell>
          <cell r="CG320">
            <v>0</v>
          </cell>
          <cell r="CH320">
            <v>0</v>
          </cell>
          <cell r="CI320">
            <v>0</v>
          </cell>
          <cell r="CJ320">
            <v>0</v>
          </cell>
          <cell r="CK320">
            <v>0</v>
          </cell>
          <cell r="CW320">
            <v>0</v>
          </cell>
          <cell r="CY320">
            <v>0</v>
          </cell>
          <cell r="CZ320">
            <v>0</v>
          </cell>
          <cell r="DA320">
            <v>0</v>
          </cell>
          <cell r="DB320">
            <v>0</v>
          </cell>
          <cell r="DC320">
            <v>0</v>
          </cell>
          <cell r="DD320">
            <v>0</v>
          </cell>
          <cell r="DE320">
            <v>0</v>
          </cell>
          <cell r="DF320">
            <v>0</v>
          </cell>
          <cell r="DG320">
            <v>0</v>
          </cell>
          <cell r="DH320">
            <v>0</v>
          </cell>
          <cell r="DS320">
            <v>0</v>
          </cell>
          <cell r="DT320">
            <v>47</v>
          </cell>
          <cell r="DU320">
            <v>999999</v>
          </cell>
          <cell r="DV320">
            <v>999999</v>
          </cell>
          <cell r="DW320">
            <v>999999</v>
          </cell>
          <cell r="DX320">
            <v>0</v>
          </cell>
          <cell r="DY320">
            <v>47</v>
          </cell>
          <cell r="DZ320">
            <v>999999</v>
          </cell>
          <cell r="EA320">
            <v>999999</v>
          </cell>
          <cell r="EB320">
            <v>999999</v>
          </cell>
          <cell r="EC320">
            <v>0</v>
          </cell>
          <cell r="ED320">
            <v>0</v>
          </cell>
          <cell r="EE320">
            <v>0</v>
          </cell>
          <cell r="EF320">
            <v>0</v>
          </cell>
          <cell r="EG320">
            <v>0</v>
          </cell>
          <cell r="EH320">
            <v>0</v>
          </cell>
          <cell r="EI320">
            <v>0</v>
          </cell>
          <cell r="EJ320">
            <v>0</v>
          </cell>
          <cell r="EK320">
            <v>0</v>
          </cell>
          <cell r="EL320">
            <v>0</v>
          </cell>
          <cell r="EM320" t="str">
            <v/>
          </cell>
          <cell r="EN320" t="str">
            <v/>
          </cell>
          <cell r="EO320" t="str">
            <v/>
          </cell>
          <cell r="EP320" t="str">
            <v/>
          </cell>
          <cell r="EQ320" t="str">
            <v/>
          </cell>
          <cell r="ER320" t="str">
            <v/>
          </cell>
          <cell r="ES320" t="str">
            <v/>
          </cell>
          <cell r="ET320" t="str">
            <v/>
          </cell>
          <cell r="EU320" t="str">
            <v/>
          </cell>
          <cell r="EV320" t="str">
            <v/>
          </cell>
          <cell r="EW320" t="str">
            <v/>
          </cell>
          <cell r="EX320" t="str">
            <v/>
          </cell>
          <cell r="EY320" t="str">
            <v/>
          </cell>
          <cell r="EZ320" t="str">
            <v/>
          </cell>
          <cell r="FA320" t="str">
            <v/>
          </cell>
          <cell r="FB320" t="str">
            <v/>
          </cell>
          <cell r="FC320" t="str">
            <v/>
          </cell>
          <cell r="FD320" t="str">
            <v/>
          </cell>
          <cell r="FE320" t="str">
            <v/>
          </cell>
          <cell r="FF320" t="str">
            <v/>
          </cell>
          <cell r="FG320" t="str">
            <v/>
          </cell>
          <cell r="FH320" t="str">
            <v/>
          </cell>
          <cell r="FI320" t="str">
            <v/>
          </cell>
          <cell r="FJ320" t="str">
            <v/>
          </cell>
          <cell r="FK320" t="str">
            <v/>
          </cell>
          <cell r="FL320" t="str">
            <v/>
          </cell>
          <cell r="FM320" t="str">
            <v/>
          </cell>
          <cell r="FN320" t="str">
            <v/>
          </cell>
          <cell r="FO320" t="str">
            <v/>
          </cell>
          <cell r="FP320" t="str">
            <v/>
          </cell>
        </row>
        <row r="321">
          <cell r="N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AJ321">
            <v>0</v>
          </cell>
          <cell r="AK321">
            <v>0</v>
          </cell>
          <cell r="AL321">
            <v>999999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BE321">
            <v>48000</v>
          </cell>
          <cell r="BH321">
            <v>0</v>
          </cell>
          <cell r="BI321">
            <v>0</v>
          </cell>
          <cell r="BJ321">
            <v>0</v>
          </cell>
          <cell r="BK321">
            <v>0</v>
          </cell>
          <cell r="BL321">
            <v>0</v>
          </cell>
          <cell r="BM321">
            <v>0</v>
          </cell>
          <cell r="BN321">
            <v>0</v>
          </cell>
          <cell r="BO321">
            <v>0</v>
          </cell>
          <cell r="BP321">
            <v>0</v>
          </cell>
          <cell r="BQ321">
            <v>0</v>
          </cell>
          <cell r="CB321">
            <v>0</v>
          </cell>
          <cell r="CC321">
            <v>0</v>
          </cell>
          <cell r="CD321">
            <v>0</v>
          </cell>
          <cell r="CE321">
            <v>0</v>
          </cell>
          <cell r="CF321">
            <v>0</v>
          </cell>
          <cell r="CG321">
            <v>0</v>
          </cell>
          <cell r="CH321">
            <v>0</v>
          </cell>
          <cell r="CI321">
            <v>0</v>
          </cell>
          <cell r="CJ321">
            <v>0</v>
          </cell>
          <cell r="CK321">
            <v>0</v>
          </cell>
          <cell r="CW321">
            <v>0</v>
          </cell>
          <cell r="CY321">
            <v>0</v>
          </cell>
          <cell r="CZ321">
            <v>0</v>
          </cell>
          <cell r="DA321">
            <v>0</v>
          </cell>
          <cell r="DB321">
            <v>0</v>
          </cell>
          <cell r="DC321">
            <v>0</v>
          </cell>
          <cell r="DD321">
            <v>0</v>
          </cell>
          <cell r="DE321">
            <v>0</v>
          </cell>
          <cell r="DF321">
            <v>0</v>
          </cell>
          <cell r="DG321">
            <v>0</v>
          </cell>
          <cell r="DH321">
            <v>0</v>
          </cell>
          <cell r="DS321">
            <v>0</v>
          </cell>
          <cell r="DT321">
            <v>46</v>
          </cell>
          <cell r="DU321">
            <v>999999</v>
          </cell>
          <cell r="DV321">
            <v>999999</v>
          </cell>
          <cell r="DW321">
            <v>999999</v>
          </cell>
          <cell r="DX321">
            <v>0</v>
          </cell>
          <cell r="DY321">
            <v>46</v>
          </cell>
          <cell r="DZ321">
            <v>999999</v>
          </cell>
          <cell r="EA321">
            <v>999999</v>
          </cell>
          <cell r="EB321">
            <v>999999</v>
          </cell>
          <cell r="EC321">
            <v>0</v>
          </cell>
          <cell r="ED321">
            <v>0</v>
          </cell>
          <cell r="EE321">
            <v>0</v>
          </cell>
          <cell r="EF321">
            <v>0</v>
          </cell>
          <cell r="EG321">
            <v>0</v>
          </cell>
          <cell r="EH321">
            <v>0</v>
          </cell>
          <cell r="EI321">
            <v>0</v>
          </cell>
          <cell r="EJ321">
            <v>0</v>
          </cell>
          <cell r="EK321">
            <v>0</v>
          </cell>
          <cell r="EL321">
            <v>0</v>
          </cell>
          <cell r="EM321" t="str">
            <v/>
          </cell>
          <cell r="EN321" t="str">
            <v/>
          </cell>
          <cell r="EO321" t="str">
            <v/>
          </cell>
          <cell r="EP321" t="str">
            <v/>
          </cell>
          <cell r="EQ321" t="str">
            <v/>
          </cell>
          <cell r="ER321" t="str">
            <v/>
          </cell>
          <cell r="ES321" t="str">
            <v/>
          </cell>
          <cell r="ET321" t="str">
            <v/>
          </cell>
          <cell r="EU321" t="str">
            <v/>
          </cell>
          <cell r="EV321" t="str">
            <v/>
          </cell>
          <cell r="EW321" t="str">
            <v/>
          </cell>
          <cell r="EX321" t="str">
            <v/>
          </cell>
          <cell r="EY321" t="str">
            <v/>
          </cell>
          <cell r="EZ321" t="str">
            <v/>
          </cell>
          <cell r="FA321" t="str">
            <v/>
          </cell>
          <cell r="FB321" t="str">
            <v/>
          </cell>
          <cell r="FC321" t="str">
            <v/>
          </cell>
          <cell r="FD321" t="str">
            <v/>
          </cell>
          <cell r="FE321" t="str">
            <v/>
          </cell>
          <cell r="FF321" t="str">
            <v/>
          </cell>
          <cell r="FG321" t="str">
            <v/>
          </cell>
          <cell r="FH321" t="str">
            <v/>
          </cell>
          <cell r="FI321" t="str">
            <v/>
          </cell>
          <cell r="FJ321" t="str">
            <v/>
          </cell>
          <cell r="FK321" t="str">
            <v/>
          </cell>
          <cell r="FL321" t="str">
            <v/>
          </cell>
          <cell r="FM321" t="str">
            <v/>
          </cell>
          <cell r="FN321" t="str">
            <v/>
          </cell>
          <cell r="FO321" t="str">
            <v/>
          </cell>
          <cell r="FP321" t="str">
            <v/>
          </cell>
        </row>
        <row r="322">
          <cell r="N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AJ322">
            <v>0</v>
          </cell>
          <cell r="AK322">
            <v>0</v>
          </cell>
          <cell r="AL322">
            <v>999999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BE322">
            <v>0</v>
          </cell>
          <cell r="BH322">
            <v>0</v>
          </cell>
          <cell r="BI322">
            <v>0</v>
          </cell>
          <cell r="BJ322">
            <v>0</v>
          </cell>
          <cell r="BK322">
            <v>0</v>
          </cell>
          <cell r="BL322">
            <v>0</v>
          </cell>
          <cell r="BM322">
            <v>0</v>
          </cell>
          <cell r="BN322">
            <v>0</v>
          </cell>
          <cell r="BO322">
            <v>0</v>
          </cell>
          <cell r="BP322">
            <v>0</v>
          </cell>
          <cell r="BQ322">
            <v>0</v>
          </cell>
          <cell r="CB322">
            <v>0</v>
          </cell>
          <cell r="CC322">
            <v>0</v>
          </cell>
          <cell r="CD322">
            <v>0</v>
          </cell>
          <cell r="CE322">
            <v>0</v>
          </cell>
          <cell r="CF322">
            <v>0</v>
          </cell>
          <cell r="CG322">
            <v>0</v>
          </cell>
          <cell r="CH322">
            <v>0</v>
          </cell>
          <cell r="CI322">
            <v>0</v>
          </cell>
          <cell r="CJ322">
            <v>0</v>
          </cell>
          <cell r="CK322">
            <v>0</v>
          </cell>
          <cell r="CW322">
            <v>0</v>
          </cell>
          <cell r="CY322">
            <v>0</v>
          </cell>
          <cell r="CZ322">
            <v>0</v>
          </cell>
          <cell r="DA322">
            <v>0</v>
          </cell>
          <cell r="DB322">
            <v>0</v>
          </cell>
          <cell r="DC322">
            <v>0</v>
          </cell>
          <cell r="DD322">
            <v>0</v>
          </cell>
          <cell r="DE322">
            <v>0</v>
          </cell>
          <cell r="DF322">
            <v>0</v>
          </cell>
          <cell r="DG322">
            <v>0</v>
          </cell>
          <cell r="DH322">
            <v>0</v>
          </cell>
          <cell r="DS322">
            <v>0</v>
          </cell>
          <cell r="DT322">
            <v>45</v>
          </cell>
          <cell r="DU322">
            <v>999999</v>
          </cell>
          <cell r="DV322">
            <v>999999</v>
          </cell>
          <cell r="DW322">
            <v>999999</v>
          </cell>
          <cell r="DX322">
            <v>0</v>
          </cell>
          <cell r="DY322">
            <v>45</v>
          </cell>
          <cell r="DZ322">
            <v>999999</v>
          </cell>
          <cell r="EA322">
            <v>999999</v>
          </cell>
          <cell r="EB322">
            <v>999999</v>
          </cell>
          <cell r="EC322">
            <v>0</v>
          </cell>
          <cell r="ED322">
            <v>0</v>
          </cell>
          <cell r="EE322">
            <v>0</v>
          </cell>
          <cell r="EF322">
            <v>0</v>
          </cell>
          <cell r="EG322">
            <v>0</v>
          </cell>
          <cell r="EH322">
            <v>0</v>
          </cell>
          <cell r="EI322">
            <v>0</v>
          </cell>
          <cell r="EJ322">
            <v>0</v>
          </cell>
          <cell r="EK322">
            <v>0</v>
          </cell>
          <cell r="EL322">
            <v>0</v>
          </cell>
          <cell r="EM322" t="str">
            <v/>
          </cell>
          <cell r="EN322" t="str">
            <v/>
          </cell>
          <cell r="EO322" t="str">
            <v/>
          </cell>
          <cell r="EP322" t="str">
            <v/>
          </cell>
          <cell r="EQ322" t="str">
            <v/>
          </cell>
          <cell r="ER322" t="str">
            <v/>
          </cell>
          <cell r="ES322" t="str">
            <v/>
          </cell>
          <cell r="ET322" t="str">
            <v/>
          </cell>
          <cell r="EU322" t="str">
            <v/>
          </cell>
          <cell r="EV322" t="str">
            <v/>
          </cell>
          <cell r="EW322" t="str">
            <v/>
          </cell>
          <cell r="EX322" t="str">
            <v/>
          </cell>
          <cell r="EY322" t="str">
            <v/>
          </cell>
          <cell r="EZ322" t="str">
            <v/>
          </cell>
          <cell r="FA322" t="str">
            <v/>
          </cell>
          <cell r="FB322" t="str">
            <v/>
          </cell>
          <cell r="FC322" t="str">
            <v/>
          </cell>
          <cell r="FD322" t="str">
            <v/>
          </cell>
          <cell r="FE322" t="str">
            <v/>
          </cell>
          <cell r="FF322" t="str">
            <v/>
          </cell>
          <cell r="FG322" t="str">
            <v/>
          </cell>
          <cell r="FH322" t="str">
            <v/>
          </cell>
          <cell r="FI322" t="str">
            <v/>
          </cell>
          <cell r="FJ322" t="str">
            <v/>
          </cell>
          <cell r="FK322" t="str">
            <v/>
          </cell>
          <cell r="FL322" t="str">
            <v/>
          </cell>
          <cell r="FM322" t="str">
            <v/>
          </cell>
          <cell r="FN322" t="str">
            <v/>
          </cell>
          <cell r="FO322" t="str">
            <v/>
          </cell>
          <cell r="FP322" t="str">
            <v/>
          </cell>
        </row>
        <row r="323">
          <cell r="N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AJ323">
            <v>0</v>
          </cell>
          <cell r="AK323">
            <v>0</v>
          </cell>
          <cell r="AL323">
            <v>999999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BE323">
            <v>0</v>
          </cell>
          <cell r="BH323">
            <v>0</v>
          </cell>
          <cell r="BI323">
            <v>0</v>
          </cell>
          <cell r="BJ323">
            <v>0</v>
          </cell>
          <cell r="BK323">
            <v>0</v>
          </cell>
          <cell r="BL323">
            <v>0</v>
          </cell>
          <cell r="BM323">
            <v>0</v>
          </cell>
          <cell r="BN323">
            <v>0</v>
          </cell>
          <cell r="BO323">
            <v>0</v>
          </cell>
          <cell r="BP323">
            <v>0</v>
          </cell>
          <cell r="BQ323">
            <v>0</v>
          </cell>
          <cell r="CB323">
            <v>0</v>
          </cell>
          <cell r="CC323">
            <v>0</v>
          </cell>
          <cell r="CD323">
            <v>0</v>
          </cell>
          <cell r="CE323">
            <v>0</v>
          </cell>
          <cell r="CF323">
            <v>0</v>
          </cell>
          <cell r="CG323">
            <v>0</v>
          </cell>
          <cell r="CH323">
            <v>0</v>
          </cell>
          <cell r="CI323">
            <v>0</v>
          </cell>
          <cell r="CJ323">
            <v>0</v>
          </cell>
          <cell r="CK323">
            <v>0</v>
          </cell>
          <cell r="CW323">
            <v>0</v>
          </cell>
          <cell r="CY323">
            <v>0</v>
          </cell>
          <cell r="CZ323">
            <v>0</v>
          </cell>
          <cell r="DA323">
            <v>0</v>
          </cell>
          <cell r="DB323">
            <v>0</v>
          </cell>
          <cell r="DC323">
            <v>0</v>
          </cell>
          <cell r="DD323">
            <v>0</v>
          </cell>
          <cell r="DE323">
            <v>0</v>
          </cell>
          <cell r="DF323">
            <v>0</v>
          </cell>
          <cell r="DG323">
            <v>0</v>
          </cell>
          <cell r="DH323">
            <v>0</v>
          </cell>
          <cell r="DS323">
            <v>0</v>
          </cell>
          <cell r="DT323">
            <v>44</v>
          </cell>
          <cell r="DU323">
            <v>999999</v>
          </cell>
          <cell r="DV323">
            <v>999999</v>
          </cell>
          <cell r="DW323">
            <v>999999</v>
          </cell>
          <cell r="DX323">
            <v>0</v>
          </cell>
          <cell r="DY323">
            <v>44</v>
          </cell>
          <cell r="DZ323">
            <v>999999</v>
          </cell>
          <cell r="EA323">
            <v>999999</v>
          </cell>
          <cell r="EB323">
            <v>999999</v>
          </cell>
          <cell r="EC323">
            <v>0</v>
          </cell>
          <cell r="ED323">
            <v>0</v>
          </cell>
          <cell r="EE323">
            <v>0</v>
          </cell>
          <cell r="EF323">
            <v>0</v>
          </cell>
          <cell r="EG323">
            <v>0</v>
          </cell>
          <cell r="EH323">
            <v>0</v>
          </cell>
          <cell r="EI323">
            <v>0</v>
          </cell>
          <cell r="EJ323">
            <v>0</v>
          </cell>
          <cell r="EK323">
            <v>0</v>
          </cell>
          <cell r="EL323">
            <v>0</v>
          </cell>
          <cell r="EM323" t="str">
            <v/>
          </cell>
          <cell r="EN323" t="str">
            <v/>
          </cell>
          <cell r="EO323" t="str">
            <v/>
          </cell>
          <cell r="EP323" t="str">
            <v/>
          </cell>
          <cell r="EQ323" t="str">
            <v/>
          </cell>
          <cell r="ER323" t="str">
            <v/>
          </cell>
          <cell r="ES323" t="str">
            <v/>
          </cell>
          <cell r="ET323" t="str">
            <v/>
          </cell>
          <cell r="EU323" t="str">
            <v/>
          </cell>
          <cell r="EV323" t="str">
            <v/>
          </cell>
          <cell r="EW323" t="str">
            <v/>
          </cell>
          <cell r="EX323" t="str">
            <v/>
          </cell>
          <cell r="EY323" t="str">
            <v/>
          </cell>
          <cell r="EZ323" t="str">
            <v/>
          </cell>
          <cell r="FA323" t="str">
            <v/>
          </cell>
          <cell r="FB323" t="str">
            <v/>
          </cell>
          <cell r="FC323" t="str">
            <v/>
          </cell>
          <cell r="FD323" t="str">
            <v/>
          </cell>
          <cell r="FE323" t="str">
            <v/>
          </cell>
          <cell r="FF323" t="str">
            <v/>
          </cell>
          <cell r="FG323" t="str">
            <v/>
          </cell>
          <cell r="FH323" t="str">
            <v/>
          </cell>
          <cell r="FI323" t="str">
            <v/>
          </cell>
          <cell r="FJ323" t="str">
            <v/>
          </cell>
          <cell r="FK323" t="str">
            <v/>
          </cell>
          <cell r="FL323" t="str">
            <v/>
          </cell>
          <cell r="FM323" t="str">
            <v/>
          </cell>
          <cell r="FN323" t="str">
            <v/>
          </cell>
          <cell r="FO323" t="str">
            <v/>
          </cell>
          <cell r="FP323" t="str">
            <v/>
          </cell>
        </row>
        <row r="324">
          <cell r="N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AJ324">
            <v>0</v>
          </cell>
          <cell r="AK324">
            <v>0</v>
          </cell>
          <cell r="AL324">
            <v>999999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BE324">
            <v>0</v>
          </cell>
          <cell r="BH324">
            <v>0</v>
          </cell>
          <cell r="BI324">
            <v>0</v>
          </cell>
          <cell r="BJ324">
            <v>0</v>
          </cell>
          <cell r="BK324">
            <v>0</v>
          </cell>
          <cell r="BL324">
            <v>0</v>
          </cell>
          <cell r="BM324">
            <v>0</v>
          </cell>
          <cell r="BN324">
            <v>0</v>
          </cell>
          <cell r="BO324">
            <v>0</v>
          </cell>
          <cell r="BP324">
            <v>0</v>
          </cell>
          <cell r="BQ324">
            <v>0</v>
          </cell>
          <cell r="CB324">
            <v>0</v>
          </cell>
          <cell r="CC324">
            <v>0</v>
          </cell>
          <cell r="CD324">
            <v>0</v>
          </cell>
          <cell r="CE324">
            <v>0</v>
          </cell>
          <cell r="CF324">
            <v>0</v>
          </cell>
          <cell r="CG324">
            <v>0</v>
          </cell>
          <cell r="CH324">
            <v>0</v>
          </cell>
          <cell r="CI324">
            <v>0</v>
          </cell>
          <cell r="CJ324">
            <v>0</v>
          </cell>
          <cell r="CK324">
            <v>0</v>
          </cell>
          <cell r="CW324">
            <v>0</v>
          </cell>
          <cell r="CY324">
            <v>0</v>
          </cell>
          <cell r="CZ324">
            <v>0</v>
          </cell>
          <cell r="DA324">
            <v>0</v>
          </cell>
          <cell r="DB324">
            <v>0</v>
          </cell>
          <cell r="DC324">
            <v>0</v>
          </cell>
          <cell r="DD324">
            <v>0</v>
          </cell>
          <cell r="DE324">
            <v>0</v>
          </cell>
          <cell r="DF324">
            <v>0</v>
          </cell>
          <cell r="DG324">
            <v>0</v>
          </cell>
          <cell r="DH324">
            <v>0</v>
          </cell>
          <cell r="DS324">
            <v>0</v>
          </cell>
          <cell r="DT324">
            <v>43</v>
          </cell>
          <cell r="DU324">
            <v>999999</v>
          </cell>
          <cell r="DV324">
            <v>999999</v>
          </cell>
          <cell r="DW324">
            <v>999999</v>
          </cell>
          <cell r="DX324">
            <v>0</v>
          </cell>
          <cell r="DY324">
            <v>43</v>
          </cell>
          <cell r="DZ324">
            <v>999999</v>
          </cell>
          <cell r="EA324">
            <v>999999</v>
          </cell>
          <cell r="EB324">
            <v>999999</v>
          </cell>
          <cell r="EC324">
            <v>0</v>
          </cell>
          <cell r="ED324">
            <v>0</v>
          </cell>
          <cell r="EE324">
            <v>0</v>
          </cell>
          <cell r="EF324">
            <v>0</v>
          </cell>
          <cell r="EG324">
            <v>0</v>
          </cell>
          <cell r="EH324">
            <v>0</v>
          </cell>
          <cell r="EI324">
            <v>0</v>
          </cell>
          <cell r="EJ324">
            <v>0</v>
          </cell>
          <cell r="EK324">
            <v>0</v>
          </cell>
          <cell r="EL324">
            <v>0</v>
          </cell>
          <cell r="EM324" t="str">
            <v/>
          </cell>
          <cell r="EN324" t="str">
            <v/>
          </cell>
          <cell r="EO324" t="str">
            <v/>
          </cell>
          <cell r="EP324" t="str">
            <v/>
          </cell>
          <cell r="EQ324" t="str">
            <v/>
          </cell>
          <cell r="ER324" t="str">
            <v/>
          </cell>
          <cell r="ES324" t="str">
            <v/>
          </cell>
          <cell r="ET324" t="str">
            <v/>
          </cell>
          <cell r="EU324" t="str">
            <v/>
          </cell>
          <cell r="EV324" t="str">
            <v/>
          </cell>
          <cell r="EW324" t="str">
            <v/>
          </cell>
          <cell r="EX324" t="str">
            <v/>
          </cell>
          <cell r="EY324" t="str">
            <v/>
          </cell>
          <cell r="EZ324" t="str">
            <v/>
          </cell>
          <cell r="FA324" t="str">
            <v/>
          </cell>
          <cell r="FB324" t="str">
            <v/>
          </cell>
          <cell r="FC324" t="str">
            <v/>
          </cell>
          <cell r="FD324" t="str">
            <v/>
          </cell>
          <cell r="FE324" t="str">
            <v/>
          </cell>
          <cell r="FF324" t="str">
            <v/>
          </cell>
          <cell r="FG324" t="str">
            <v/>
          </cell>
          <cell r="FH324" t="str">
            <v/>
          </cell>
          <cell r="FI324" t="str">
            <v/>
          </cell>
          <cell r="FJ324" t="str">
            <v/>
          </cell>
          <cell r="FK324" t="str">
            <v/>
          </cell>
          <cell r="FL324" t="str">
            <v/>
          </cell>
          <cell r="FM324" t="str">
            <v/>
          </cell>
          <cell r="FN324" t="str">
            <v/>
          </cell>
          <cell r="FO324" t="str">
            <v/>
          </cell>
          <cell r="FP324" t="str">
            <v/>
          </cell>
        </row>
        <row r="325">
          <cell r="N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AJ325">
            <v>0</v>
          </cell>
          <cell r="AK325">
            <v>0</v>
          </cell>
          <cell r="AL325">
            <v>999999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BE325">
            <v>0</v>
          </cell>
          <cell r="BH325">
            <v>0</v>
          </cell>
          <cell r="BI325">
            <v>0</v>
          </cell>
          <cell r="BJ325">
            <v>0</v>
          </cell>
          <cell r="BK325">
            <v>0</v>
          </cell>
          <cell r="BL325">
            <v>0</v>
          </cell>
          <cell r="BM325">
            <v>0</v>
          </cell>
          <cell r="BN325">
            <v>0</v>
          </cell>
          <cell r="BO325">
            <v>0</v>
          </cell>
          <cell r="BP325">
            <v>0</v>
          </cell>
          <cell r="BQ325">
            <v>0</v>
          </cell>
          <cell r="CB325">
            <v>0</v>
          </cell>
          <cell r="CC325">
            <v>0</v>
          </cell>
          <cell r="CD325">
            <v>0</v>
          </cell>
          <cell r="CE325">
            <v>0</v>
          </cell>
          <cell r="CF325">
            <v>0</v>
          </cell>
          <cell r="CG325">
            <v>0</v>
          </cell>
          <cell r="CH325">
            <v>0</v>
          </cell>
          <cell r="CI325">
            <v>0</v>
          </cell>
          <cell r="CJ325">
            <v>0</v>
          </cell>
          <cell r="CK325">
            <v>0</v>
          </cell>
          <cell r="CW325">
            <v>0</v>
          </cell>
          <cell r="CY325">
            <v>0</v>
          </cell>
          <cell r="CZ325">
            <v>0</v>
          </cell>
          <cell r="DA325">
            <v>0</v>
          </cell>
          <cell r="DB325">
            <v>0</v>
          </cell>
          <cell r="DC325">
            <v>0</v>
          </cell>
          <cell r="DD325">
            <v>0</v>
          </cell>
          <cell r="DE325">
            <v>0</v>
          </cell>
          <cell r="DF325">
            <v>0</v>
          </cell>
          <cell r="DG325">
            <v>0</v>
          </cell>
          <cell r="DH325">
            <v>0</v>
          </cell>
          <cell r="DS325">
            <v>0</v>
          </cell>
          <cell r="DT325">
            <v>42</v>
          </cell>
          <cell r="DU325">
            <v>999999</v>
          </cell>
          <cell r="DV325">
            <v>999999</v>
          </cell>
          <cell r="DW325">
            <v>999999</v>
          </cell>
          <cell r="DX325">
            <v>0</v>
          </cell>
          <cell r="DY325">
            <v>42</v>
          </cell>
          <cell r="DZ325">
            <v>999999</v>
          </cell>
          <cell r="EA325">
            <v>999999</v>
          </cell>
          <cell r="EB325">
            <v>999999</v>
          </cell>
          <cell r="EC325">
            <v>0</v>
          </cell>
          <cell r="ED325">
            <v>0</v>
          </cell>
          <cell r="EE325">
            <v>0</v>
          </cell>
          <cell r="EF325">
            <v>0</v>
          </cell>
          <cell r="EG325">
            <v>0</v>
          </cell>
          <cell r="EH325">
            <v>0</v>
          </cell>
          <cell r="EI325">
            <v>0</v>
          </cell>
          <cell r="EJ325">
            <v>0</v>
          </cell>
          <cell r="EK325">
            <v>0</v>
          </cell>
          <cell r="EL325">
            <v>0</v>
          </cell>
          <cell r="EM325" t="str">
            <v/>
          </cell>
          <cell r="EN325" t="str">
            <v/>
          </cell>
          <cell r="EO325" t="str">
            <v/>
          </cell>
          <cell r="EP325" t="str">
            <v/>
          </cell>
          <cell r="EQ325" t="str">
            <v/>
          </cell>
          <cell r="ER325" t="str">
            <v/>
          </cell>
          <cell r="ES325" t="str">
            <v/>
          </cell>
          <cell r="ET325" t="str">
            <v/>
          </cell>
          <cell r="EU325" t="str">
            <v/>
          </cell>
          <cell r="EV325" t="str">
            <v/>
          </cell>
          <cell r="EW325" t="str">
            <v/>
          </cell>
          <cell r="EX325" t="str">
            <v/>
          </cell>
          <cell r="EY325" t="str">
            <v/>
          </cell>
          <cell r="EZ325" t="str">
            <v/>
          </cell>
          <cell r="FA325" t="str">
            <v/>
          </cell>
          <cell r="FB325" t="str">
            <v/>
          </cell>
          <cell r="FC325" t="str">
            <v/>
          </cell>
          <cell r="FD325" t="str">
            <v/>
          </cell>
          <cell r="FE325" t="str">
            <v/>
          </cell>
          <cell r="FF325" t="str">
            <v/>
          </cell>
          <cell r="FG325" t="str">
            <v/>
          </cell>
          <cell r="FH325" t="str">
            <v/>
          </cell>
          <cell r="FI325" t="str">
            <v/>
          </cell>
          <cell r="FJ325" t="str">
            <v/>
          </cell>
          <cell r="FK325" t="str">
            <v/>
          </cell>
          <cell r="FL325" t="str">
            <v/>
          </cell>
          <cell r="FM325" t="str">
            <v/>
          </cell>
          <cell r="FN325" t="str">
            <v/>
          </cell>
          <cell r="FO325" t="str">
            <v/>
          </cell>
          <cell r="FP325" t="str">
            <v/>
          </cell>
        </row>
        <row r="326">
          <cell r="N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AJ326">
            <v>0</v>
          </cell>
          <cell r="AK326">
            <v>0</v>
          </cell>
          <cell r="AL326">
            <v>999999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BE326">
            <v>0</v>
          </cell>
          <cell r="BH326">
            <v>0</v>
          </cell>
          <cell r="BI326">
            <v>0</v>
          </cell>
          <cell r="BJ326">
            <v>0</v>
          </cell>
          <cell r="BK326">
            <v>0</v>
          </cell>
          <cell r="BL326">
            <v>0</v>
          </cell>
          <cell r="BM326">
            <v>0</v>
          </cell>
          <cell r="BN326">
            <v>0</v>
          </cell>
          <cell r="BO326">
            <v>0</v>
          </cell>
          <cell r="BP326">
            <v>0</v>
          </cell>
          <cell r="BQ326">
            <v>0</v>
          </cell>
          <cell r="CB326">
            <v>0</v>
          </cell>
          <cell r="CC326">
            <v>0</v>
          </cell>
          <cell r="CD326">
            <v>0</v>
          </cell>
          <cell r="CE326">
            <v>0</v>
          </cell>
          <cell r="CF326">
            <v>0</v>
          </cell>
          <cell r="CG326">
            <v>0</v>
          </cell>
          <cell r="CH326">
            <v>0</v>
          </cell>
          <cell r="CI326">
            <v>0</v>
          </cell>
          <cell r="CJ326">
            <v>0</v>
          </cell>
          <cell r="CK326">
            <v>0</v>
          </cell>
          <cell r="CW326">
            <v>0</v>
          </cell>
          <cell r="CY326">
            <v>0</v>
          </cell>
          <cell r="CZ326">
            <v>0</v>
          </cell>
          <cell r="DA326">
            <v>0</v>
          </cell>
          <cell r="DB326">
            <v>0</v>
          </cell>
          <cell r="DC326">
            <v>0</v>
          </cell>
          <cell r="DD326">
            <v>0</v>
          </cell>
          <cell r="DE326">
            <v>0</v>
          </cell>
          <cell r="DF326">
            <v>0</v>
          </cell>
          <cell r="DG326">
            <v>0</v>
          </cell>
          <cell r="DH326">
            <v>0</v>
          </cell>
          <cell r="DS326">
            <v>0</v>
          </cell>
          <cell r="DT326">
            <v>41</v>
          </cell>
          <cell r="DU326">
            <v>999999</v>
          </cell>
          <cell r="DV326">
            <v>999999</v>
          </cell>
          <cell r="DW326">
            <v>999999</v>
          </cell>
          <cell r="DX326">
            <v>0</v>
          </cell>
          <cell r="DY326">
            <v>41</v>
          </cell>
          <cell r="DZ326">
            <v>999999</v>
          </cell>
          <cell r="EA326">
            <v>999999</v>
          </cell>
          <cell r="EB326">
            <v>999999</v>
          </cell>
          <cell r="EC326">
            <v>0</v>
          </cell>
          <cell r="ED326">
            <v>0</v>
          </cell>
          <cell r="EE326">
            <v>0</v>
          </cell>
          <cell r="EF326">
            <v>0</v>
          </cell>
          <cell r="EG326">
            <v>0</v>
          </cell>
          <cell r="EH326">
            <v>0</v>
          </cell>
          <cell r="EI326">
            <v>0</v>
          </cell>
          <cell r="EJ326">
            <v>0</v>
          </cell>
          <cell r="EK326">
            <v>0</v>
          </cell>
          <cell r="EL326">
            <v>0</v>
          </cell>
          <cell r="EM326" t="str">
            <v/>
          </cell>
          <cell r="EN326" t="str">
            <v/>
          </cell>
          <cell r="EO326" t="str">
            <v/>
          </cell>
          <cell r="EP326" t="str">
            <v/>
          </cell>
          <cell r="EQ326" t="str">
            <v/>
          </cell>
          <cell r="ER326" t="str">
            <v/>
          </cell>
          <cell r="ES326" t="str">
            <v/>
          </cell>
          <cell r="ET326" t="str">
            <v/>
          </cell>
          <cell r="EU326" t="str">
            <v/>
          </cell>
          <cell r="EV326" t="str">
            <v/>
          </cell>
          <cell r="EW326" t="str">
            <v/>
          </cell>
          <cell r="EX326" t="str">
            <v/>
          </cell>
          <cell r="EY326" t="str">
            <v/>
          </cell>
          <cell r="EZ326" t="str">
            <v/>
          </cell>
          <cell r="FA326" t="str">
            <v/>
          </cell>
          <cell r="FB326" t="str">
            <v/>
          </cell>
          <cell r="FC326" t="str">
            <v/>
          </cell>
          <cell r="FD326" t="str">
            <v/>
          </cell>
          <cell r="FE326" t="str">
            <v/>
          </cell>
          <cell r="FF326" t="str">
            <v/>
          </cell>
          <cell r="FG326" t="str">
            <v/>
          </cell>
          <cell r="FH326" t="str">
            <v/>
          </cell>
          <cell r="FI326" t="str">
            <v/>
          </cell>
          <cell r="FJ326" t="str">
            <v/>
          </cell>
          <cell r="FK326" t="str">
            <v/>
          </cell>
          <cell r="FL326" t="str">
            <v/>
          </cell>
          <cell r="FM326" t="str">
            <v/>
          </cell>
          <cell r="FN326" t="str">
            <v/>
          </cell>
          <cell r="FO326" t="str">
            <v/>
          </cell>
          <cell r="FP326" t="str">
            <v/>
          </cell>
        </row>
        <row r="327">
          <cell r="N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AJ327">
            <v>0</v>
          </cell>
          <cell r="AK327">
            <v>0</v>
          </cell>
          <cell r="AL327">
            <v>999999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BE327">
            <v>0</v>
          </cell>
          <cell r="BH327">
            <v>0</v>
          </cell>
          <cell r="BI327">
            <v>0</v>
          </cell>
          <cell r="BJ327">
            <v>0</v>
          </cell>
          <cell r="BK327">
            <v>0</v>
          </cell>
          <cell r="BL327">
            <v>0</v>
          </cell>
          <cell r="BM327">
            <v>0</v>
          </cell>
          <cell r="BN327">
            <v>0</v>
          </cell>
          <cell r="BO327">
            <v>0</v>
          </cell>
          <cell r="BP327">
            <v>0</v>
          </cell>
          <cell r="BQ327">
            <v>0</v>
          </cell>
          <cell r="CB327">
            <v>0</v>
          </cell>
          <cell r="CC327">
            <v>0</v>
          </cell>
          <cell r="CD327">
            <v>0</v>
          </cell>
          <cell r="CE327">
            <v>0</v>
          </cell>
          <cell r="CF327">
            <v>0</v>
          </cell>
          <cell r="CG327">
            <v>0</v>
          </cell>
          <cell r="CH327">
            <v>0</v>
          </cell>
          <cell r="CI327">
            <v>0</v>
          </cell>
          <cell r="CJ327">
            <v>0</v>
          </cell>
          <cell r="CK327">
            <v>0</v>
          </cell>
          <cell r="CW327">
            <v>0</v>
          </cell>
          <cell r="CY327">
            <v>0</v>
          </cell>
          <cell r="CZ327">
            <v>0</v>
          </cell>
          <cell r="DA327">
            <v>0</v>
          </cell>
          <cell r="DB327">
            <v>0</v>
          </cell>
          <cell r="DC327">
            <v>0</v>
          </cell>
          <cell r="DD327">
            <v>0</v>
          </cell>
          <cell r="DE327">
            <v>0</v>
          </cell>
          <cell r="DF327">
            <v>0</v>
          </cell>
          <cell r="DG327">
            <v>0</v>
          </cell>
          <cell r="DH327">
            <v>0</v>
          </cell>
          <cell r="DS327">
            <v>0</v>
          </cell>
          <cell r="DT327">
            <v>40</v>
          </cell>
          <cell r="DU327">
            <v>999999</v>
          </cell>
          <cell r="DV327">
            <v>999999</v>
          </cell>
          <cell r="DW327">
            <v>999999</v>
          </cell>
          <cell r="DX327">
            <v>0</v>
          </cell>
          <cell r="DY327">
            <v>40</v>
          </cell>
          <cell r="DZ327">
            <v>999999</v>
          </cell>
          <cell r="EA327">
            <v>999999</v>
          </cell>
          <cell r="EB327">
            <v>999999</v>
          </cell>
          <cell r="EC327">
            <v>0</v>
          </cell>
          <cell r="ED327">
            <v>0</v>
          </cell>
          <cell r="EE327">
            <v>0</v>
          </cell>
          <cell r="EF327">
            <v>0</v>
          </cell>
          <cell r="EG327">
            <v>0</v>
          </cell>
          <cell r="EH327">
            <v>0</v>
          </cell>
          <cell r="EI327">
            <v>0</v>
          </cell>
          <cell r="EJ327">
            <v>0</v>
          </cell>
          <cell r="EK327">
            <v>0</v>
          </cell>
          <cell r="EL327">
            <v>0</v>
          </cell>
          <cell r="EM327" t="str">
            <v/>
          </cell>
          <cell r="EN327" t="str">
            <v/>
          </cell>
          <cell r="EO327" t="str">
            <v/>
          </cell>
          <cell r="EP327" t="str">
            <v/>
          </cell>
          <cell r="EQ327" t="str">
            <v/>
          </cell>
          <cell r="ER327" t="str">
            <v/>
          </cell>
          <cell r="ES327" t="str">
            <v/>
          </cell>
          <cell r="ET327" t="str">
            <v/>
          </cell>
          <cell r="EU327" t="str">
            <v/>
          </cell>
          <cell r="EV327" t="str">
            <v/>
          </cell>
          <cell r="EW327" t="str">
            <v/>
          </cell>
          <cell r="EX327" t="str">
            <v/>
          </cell>
          <cell r="EY327" t="str">
            <v/>
          </cell>
          <cell r="EZ327" t="str">
            <v/>
          </cell>
          <cell r="FA327" t="str">
            <v/>
          </cell>
          <cell r="FB327" t="str">
            <v/>
          </cell>
          <cell r="FC327" t="str">
            <v/>
          </cell>
          <cell r="FD327" t="str">
            <v/>
          </cell>
          <cell r="FE327" t="str">
            <v/>
          </cell>
          <cell r="FF327" t="str">
            <v/>
          </cell>
          <cell r="FG327" t="str">
            <v/>
          </cell>
          <cell r="FH327" t="str">
            <v/>
          </cell>
          <cell r="FI327" t="str">
            <v/>
          </cell>
          <cell r="FJ327" t="str">
            <v/>
          </cell>
          <cell r="FK327" t="str">
            <v/>
          </cell>
          <cell r="FL327" t="str">
            <v/>
          </cell>
          <cell r="FM327" t="str">
            <v/>
          </cell>
          <cell r="FN327" t="str">
            <v/>
          </cell>
          <cell r="FO327" t="str">
            <v/>
          </cell>
          <cell r="FP327" t="str">
            <v/>
          </cell>
        </row>
        <row r="328">
          <cell r="N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AJ328">
            <v>0</v>
          </cell>
          <cell r="AK328">
            <v>0</v>
          </cell>
          <cell r="AL328">
            <v>999999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BE328">
            <v>0</v>
          </cell>
          <cell r="BH328">
            <v>0</v>
          </cell>
          <cell r="BI328">
            <v>0</v>
          </cell>
          <cell r="BJ328">
            <v>0</v>
          </cell>
          <cell r="BK328">
            <v>0</v>
          </cell>
          <cell r="BL328">
            <v>0</v>
          </cell>
          <cell r="BM328">
            <v>0</v>
          </cell>
          <cell r="BN328">
            <v>0</v>
          </cell>
          <cell r="BO328">
            <v>0</v>
          </cell>
          <cell r="BP328">
            <v>0</v>
          </cell>
          <cell r="BQ328">
            <v>0</v>
          </cell>
          <cell r="CB328">
            <v>0</v>
          </cell>
          <cell r="CC328">
            <v>0</v>
          </cell>
          <cell r="CD328">
            <v>0</v>
          </cell>
          <cell r="CE328">
            <v>0</v>
          </cell>
          <cell r="CF328">
            <v>0</v>
          </cell>
          <cell r="CG328">
            <v>0</v>
          </cell>
          <cell r="CH328">
            <v>0</v>
          </cell>
          <cell r="CI328">
            <v>0</v>
          </cell>
          <cell r="CJ328">
            <v>0</v>
          </cell>
          <cell r="CK328">
            <v>0</v>
          </cell>
          <cell r="CW328">
            <v>0</v>
          </cell>
          <cell r="CY328">
            <v>0</v>
          </cell>
          <cell r="CZ328">
            <v>0</v>
          </cell>
          <cell r="DA328">
            <v>0</v>
          </cell>
          <cell r="DB328">
            <v>0</v>
          </cell>
          <cell r="DC328">
            <v>0</v>
          </cell>
          <cell r="DD328">
            <v>0</v>
          </cell>
          <cell r="DE328">
            <v>0</v>
          </cell>
          <cell r="DF328">
            <v>0</v>
          </cell>
          <cell r="DG328">
            <v>0</v>
          </cell>
          <cell r="DH328">
            <v>0</v>
          </cell>
          <cell r="DS328">
            <v>0</v>
          </cell>
          <cell r="DT328">
            <v>39</v>
          </cell>
          <cell r="DU328">
            <v>999999</v>
          </cell>
          <cell r="DV328">
            <v>999999</v>
          </cell>
          <cell r="DW328">
            <v>999999</v>
          </cell>
          <cell r="DX328">
            <v>0</v>
          </cell>
          <cell r="DY328">
            <v>39</v>
          </cell>
          <cell r="DZ328">
            <v>999999</v>
          </cell>
          <cell r="EA328">
            <v>999999</v>
          </cell>
          <cell r="EB328">
            <v>999999</v>
          </cell>
          <cell r="EC328">
            <v>0</v>
          </cell>
          <cell r="ED328">
            <v>0</v>
          </cell>
          <cell r="EE328">
            <v>0</v>
          </cell>
          <cell r="EF328">
            <v>0</v>
          </cell>
          <cell r="EG328">
            <v>0</v>
          </cell>
          <cell r="EH328">
            <v>0</v>
          </cell>
          <cell r="EI328">
            <v>0</v>
          </cell>
          <cell r="EJ328">
            <v>0</v>
          </cell>
          <cell r="EK328">
            <v>0</v>
          </cell>
          <cell r="EL328">
            <v>0</v>
          </cell>
          <cell r="EM328" t="str">
            <v/>
          </cell>
          <cell r="EN328" t="str">
            <v/>
          </cell>
          <cell r="EO328" t="str">
            <v/>
          </cell>
          <cell r="EP328" t="str">
            <v/>
          </cell>
          <cell r="EQ328" t="str">
            <v/>
          </cell>
          <cell r="ER328" t="str">
            <v/>
          </cell>
          <cell r="ES328" t="str">
            <v/>
          </cell>
          <cell r="ET328" t="str">
            <v/>
          </cell>
          <cell r="EU328" t="str">
            <v/>
          </cell>
          <cell r="EV328" t="str">
            <v/>
          </cell>
          <cell r="EW328" t="str">
            <v/>
          </cell>
          <cell r="EX328" t="str">
            <v/>
          </cell>
          <cell r="EY328" t="str">
            <v/>
          </cell>
          <cell r="EZ328" t="str">
            <v/>
          </cell>
          <cell r="FA328" t="str">
            <v/>
          </cell>
          <cell r="FB328" t="str">
            <v/>
          </cell>
          <cell r="FC328" t="str">
            <v/>
          </cell>
          <cell r="FD328" t="str">
            <v/>
          </cell>
          <cell r="FE328" t="str">
            <v/>
          </cell>
          <cell r="FF328" t="str">
            <v/>
          </cell>
          <cell r="FG328" t="str">
            <v/>
          </cell>
          <cell r="FH328" t="str">
            <v/>
          </cell>
          <cell r="FI328" t="str">
            <v/>
          </cell>
          <cell r="FJ328" t="str">
            <v/>
          </cell>
          <cell r="FK328" t="str">
            <v/>
          </cell>
          <cell r="FL328" t="str">
            <v/>
          </cell>
          <cell r="FM328" t="str">
            <v/>
          </cell>
          <cell r="FN328" t="str">
            <v/>
          </cell>
          <cell r="FO328" t="str">
            <v/>
          </cell>
          <cell r="FP328" t="str">
            <v/>
          </cell>
        </row>
        <row r="329">
          <cell r="N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AJ329">
            <v>0</v>
          </cell>
          <cell r="AK329">
            <v>0</v>
          </cell>
          <cell r="AL329">
            <v>999999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BE329">
            <v>48000</v>
          </cell>
          <cell r="BH329">
            <v>0</v>
          </cell>
          <cell r="BI329">
            <v>0</v>
          </cell>
          <cell r="BJ329">
            <v>0</v>
          </cell>
          <cell r="BK329">
            <v>0</v>
          </cell>
          <cell r="BL329">
            <v>0</v>
          </cell>
          <cell r="BM329">
            <v>0</v>
          </cell>
          <cell r="BN329">
            <v>0</v>
          </cell>
          <cell r="BO329">
            <v>0</v>
          </cell>
          <cell r="BP329">
            <v>0</v>
          </cell>
          <cell r="BQ329">
            <v>0</v>
          </cell>
          <cell r="CB329">
            <v>0</v>
          </cell>
          <cell r="CC329">
            <v>0</v>
          </cell>
          <cell r="CD329">
            <v>0</v>
          </cell>
          <cell r="CE329">
            <v>0</v>
          </cell>
          <cell r="CF329">
            <v>0</v>
          </cell>
          <cell r="CG329">
            <v>0</v>
          </cell>
          <cell r="CH329">
            <v>0</v>
          </cell>
          <cell r="CI329">
            <v>0</v>
          </cell>
          <cell r="CJ329">
            <v>0</v>
          </cell>
          <cell r="CK329">
            <v>0</v>
          </cell>
          <cell r="CW329">
            <v>0</v>
          </cell>
          <cell r="CY329">
            <v>0</v>
          </cell>
          <cell r="CZ329">
            <v>0</v>
          </cell>
          <cell r="DA329">
            <v>0</v>
          </cell>
          <cell r="DB329">
            <v>0</v>
          </cell>
          <cell r="DC329">
            <v>0</v>
          </cell>
          <cell r="DD329">
            <v>0</v>
          </cell>
          <cell r="DE329">
            <v>0</v>
          </cell>
          <cell r="DF329">
            <v>0</v>
          </cell>
          <cell r="DG329">
            <v>0</v>
          </cell>
          <cell r="DH329">
            <v>0</v>
          </cell>
          <cell r="DS329">
            <v>0</v>
          </cell>
          <cell r="DT329">
            <v>38</v>
          </cell>
          <cell r="DU329">
            <v>999999</v>
          </cell>
          <cell r="DV329">
            <v>999999</v>
          </cell>
          <cell r="DW329">
            <v>999999</v>
          </cell>
          <cell r="DX329">
            <v>0</v>
          </cell>
          <cell r="DY329">
            <v>38</v>
          </cell>
          <cell r="DZ329">
            <v>999999</v>
          </cell>
          <cell r="EA329">
            <v>999999</v>
          </cell>
          <cell r="EB329">
            <v>999999</v>
          </cell>
          <cell r="EC329">
            <v>0</v>
          </cell>
          <cell r="ED329">
            <v>0</v>
          </cell>
          <cell r="EE329">
            <v>0</v>
          </cell>
          <cell r="EF329">
            <v>0</v>
          </cell>
          <cell r="EG329">
            <v>0</v>
          </cell>
          <cell r="EH329">
            <v>0</v>
          </cell>
          <cell r="EI329">
            <v>0</v>
          </cell>
          <cell r="EJ329">
            <v>0</v>
          </cell>
          <cell r="EK329">
            <v>0</v>
          </cell>
          <cell r="EL329">
            <v>0</v>
          </cell>
          <cell r="EM329" t="str">
            <v/>
          </cell>
          <cell r="EN329" t="str">
            <v/>
          </cell>
          <cell r="EO329" t="str">
            <v/>
          </cell>
          <cell r="EP329" t="str">
            <v/>
          </cell>
          <cell r="EQ329" t="str">
            <v/>
          </cell>
          <cell r="ER329" t="str">
            <v/>
          </cell>
          <cell r="ES329" t="str">
            <v/>
          </cell>
          <cell r="ET329" t="str">
            <v/>
          </cell>
          <cell r="EU329" t="str">
            <v/>
          </cell>
          <cell r="EV329" t="str">
            <v/>
          </cell>
          <cell r="EW329" t="str">
            <v/>
          </cell>
          <cell r="EX329" t="str">
            <v/>
          </cell>
          <cell r="EY329" t="str">
            <v/>
          </cell>
          <cell r="EZ329" t="str">
            <v/>
          </cell>
          <cell r="FA329" t="str">
            <v/>
          </cell>
          <cell r="FB329" t="str">
            <v/>
          </cell>
          <cell r="FC329" t="str">
            <v/>
          </cell>
          <cell r="FD329" t="str">
            <v/>
          </cell>
          <cell r="FE329" t="str">
            <v/>
          </cell>
          <cell r="FF329" t="str">
            <v/>
          </cell>
          <cell r="FG329" t="str">
            <v/>
          </cell>
          <cell r="FH329" t="str">
            <v/>
          </cell>
          <cell r="FI329" t="str">
            <v/>
          </cell>
          <cell r="FJ329" t="str">
            <v/>
          </cell>
          <cell r="FK329" t="str">
            <v/>
          </cell>
          <cell r="FL329" t="str">
            <v/>
          </cell>
          <cell r="FM329" t="str">
            <v/>
          </cell>
          <cell r="FN329" t="str">
            <v/>
          </cell>
          <cell r="FO329" t="str">
            <v/>
          </cell>
          <cell r="FP329" t="str">
            <v/>
          </cell>
        </row>
        <row r="330">
          <cell r="N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AJ330">
            <v>0</v>
          </cell>
          <cell r="AK330">
            <v>0</v>
          </cell>
          <cell r="AL330">
            <v>999999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BE330">
            <v>0</v>
          </cell>
          <cell r="BH330">
            <v>0</v>
          </cell>
          <cell r="BI330">
            <v>0</v>
          </cell>
          <cell r="BJ330">
            <v>0</v>
          </cell>
          <cell r="BK330">
            <v>0</v>
          </cell>
          <cell r="BL330">
            <v>0</v>
          </cell>
          <cell r="BM330">
            <v>0</v>
          </cell>
          <cell r="BN330">
            <v>0</v>
          </cell>
          <cell r="BO330">
            <v>0</v>
          </cell>
          <cell r="BP330">
            <v>0</v>
          </cell>
          <cell r="BQ330">
            <v>0</v>
          </cell>
          <cell r="CB330">
            <v>0</v>
          </cell>
          <cell r="CC330">
            <v>0</v>
          </cell>
          <cell r="CD330">
            <v>0</v>
          </cell>
          <cell r="CE330">
            <v>0</v>
          </cell>
          <cell r="CF330">
            <v>0</v>
          </cell>
          <cell r="CG330">
            <v>0</v>
          </cell>
          <cell r="CH330">
            <v>0</v>
          </cell>
          <cell r="CI330">
            <v>0</v>
          </cell>
          <cell r="CJ330">
            <v>0</v>
          </cell>
          <cell r="CK330">
            <v>0</v>
          </cell>
          <cell r="CW330">
            <v>0</v>
          </cell>
          <cell r="CY330">
            <v>0</v>
          </cell>
          <cell r="CZ330">
            <v>0</v>
          </cell>
          <cell r="DA330">
            <v>0</v>
          </cell>
          <cell r="DB330">
            <v>0</v>
          </cell>
          <cell r="DC330">
            <v>0</v>
          </cell>
          <cell r="DD330">
            <v>0</v>
          </cell>
          <cell r="DE330">
            <v>0</v>
          </cell>
          <cell r="DF330">
            <v>0</v>
          </cell>
          <cell r="DG330">
            <v>0</v>
          </cell>
          <cell r="DH330">
            <v>0</v>
          </cell>
          <cell r="DS330">
            <v>0</v>
          </cell>
          <cell r="DT330">
            <v>37</v>
          </cell>
          <cell r="DU330">
            <v>999999</v>
          </cell>
          <cell r="DV330">
            <v>999999</v>
          </cell>
          <cell r="DW330">
            <v>999999</v>
          </cell>
          <cell r="DX330">
            <v>0</v>
          </cell>
          <cell r="DY330">
            <v>37</v>
          </cell>
          <cell r="DZ330">
            <v>999999</v>
          </cell>
          <cell r="EA330">
            <v>999999</v>
          </cell>
          <cell r="EB330">
            <v>999999</v>
          </cell>
          <cell r="EC330">
            <v>0</v>
          </cell>
          <cell r="ED330">
            <v>0</v>
          </cell>
          <cell r="EE330">
            <v>0</v>
          </cell>
          <cell r="EF330">
            <v>0</v>
          </cell>
          <cell r="EG330">
            <v>0</v>
          </cell>
          <cell r="EH330">
            <v>0</v>
          </cell>
          <cell r="EI330">
            <v>0</v>
          </cell>
          <cell r="EJ330">
            <v>0</v>
          </cell>
          <cell r="EK330">
            <v>0</v>
          </cell>
          <cell r="EL330">
            <v>0</v>
          </cell>
          <cell r="EM330" t="str">
            <v/>
          </cell>
          <cell r="EN330" t="str">
            <v/>
          </cell>
          <cell r="EO330" t="str">
            <v/>
          </cell>
          <cell r="EP330" t="str">
            <v/>
          </cell>
          <cell r="EQ330" t="str">
            <v/>
          </cell>
          <cell r="ER330" t="str">
            <v/>
          </cell>
          <cell r="ES330" t="str">
            <v/>
          </cell>
          <cell r="ET330" t="str">
            <v/>
          </cell>
          <cell r="EU330" t="str">
            <v/>
          </cell>
          <cell r="EV330" t="str">
            <v/>
          </cell>
          <cell r="EW330" t="str">
            <v/>
          </cell>
          <cell r="EX330" t="str">
            <v/>
          </cell>
          <cell r="EY330" t="str">
            <v/>
          </cell>
          <cell r="EZ330" t="str">
            <v/>
          </cell>
          <cell r="FA330" t="str">
            <v/>
          </cell>
          <cell r="FB330" t="str">
            <v/>
          </cell>
          <cell r="FC330" t="str">
            <v/>
          </cell>
          <cell r="FD330" t="str">
            <v/>
          </cell>
          <cell r="FE330" t="str">
            <v/>
          </cell>
          <cell r="FF330" t="str">
            <v/>
          </cell>
          <cell r="FG330" t="str">
            <v/>
          </cell>
          <cell r="FH330" t="str">
            <v/>
          </cell>
          <cell r="FI330" t="str">
            <v/>
          </cell>
          <cell r="FJ330" t="str">
            <v/>
          </cell>
          <cell r="FK330" t="str">
            <v/>
          </cell>
          <cell r="FL330" t="str">
            <v/>
          </cell>
          <cell r="FM330" t="str">
            <v/>
          </cell>
          <cell r="FN330" t="str">
            <v/>
          </cell>
          <cell r="FO330" t="str">
            <v/>
          </cell>
          <cell r="FP330" t="str">
            <v/>
          </cell>
        </row>
        <row r="331">
          <cell r="N331">
            <v>48000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AJ331">
            <v>0</v>
          </cell>
          <cell r="AK331">
            <v>0</v>
          </cell>
          <cell r="AL331">
            <v>999999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BE331">
            <v>0</v>
          </cell>
          <cell r="BH331">
            <v>0</v>
          </cell>
          <cell r="BI331">
            <v>0</v>
          </cell>
          <cell r="BJ331">
            <v>0</v>
          </cell>
          <cell r="BK331">
            <v>0</v>
          </cell>
          <cell r="BL331">
            <v>0</v>
          </cell>
          <cell r="BM331">
            <v>0</v>
          </cell>
          <cell r="BN331">
            <v>0</v>
          </cell>
          <cell r="BO331">
            <v>0</v>
          </cell>
          <cell r="BP331">
            <v>0</v>
          </cell>
          <cell r="BQ331">
            <v>0</v>
          </cell>
          <cell r="CB331">
            <v>0</v>
          </cell>
          <cell r="CC331">
            <v>0</v>
          </cell>
          <cell r="CD331">
            <v>0</v>
          </cell>
          <cell r="CE331">
            <v>0</v>
          </cell>
          <cell r="CF331">
            <v>0</v>
          </cell>
          <cell r="CG331">
            <v>0</v>
          </cell>
          <cell r="CH331">
            <v>0</v>
          </cell>
          <cell r="CI331">
            <v>0</v>
          </cell>
          <cell r="CJ331">
            <v>0</v>
          </cell>
          <cell r="CK331">
            <v>0</v>
          </cell>
          <cell r="CW331">
            <v>0</v>
          </cell>
          <cell r="CY331">
            <v>0</v>
          </cell>
          <cell r="CZ331">
            <v>0</v>
          </cell>
          <cell r="DA331">
            <v>0</v>
          </cell>
          <cell r="DB331">
            <v>0</v>
          </cell>
          <cell r="DC331">
            <v>0</v>
          </cell>
          <cell r="DD331">
            <v>0</v>
          </cell>
          <cell r="DE331">
            <v>0</v>
          </cell>
          <cell r="DF331">
            <v>0</v>
          </cell>
          <cell r="DG331">
            <v>0</v>
          </cell>
          <cell r="DH331">
            <v>0</v>
          </cell>
          <cell r="DS331">
            <v>0</v>
          </cell>
          <cell r="DT331">
            <v>36</v>
          </cell>
          <cell r="DU331">
            <v>999999</v>
          </cell>
          <cell r="DV331">
            <v>999999</v>
          </cell>
          <cell r="DW331">
            <v>999999</v>
          </cell>
          <cell r="DX331">
            <v>0</v>
          </cell>
          <cell r="DY331">
            <v>36</v>
          </cell>
          <cell r="DZ331">
            <v>999999</v>
          </cell>
          <cell r="EA331">
            <v>999999</v>
          </cell>
          <cell r="EB331">
            <v>999999</v>
          </cell>
          <cell r="EC331">
            <v>0</v>
          </cell>
          <cell r="ED331">
            <v>0</v>
          </cell>
          <cell r="EE331">
            <v>0</v>
          </cell>
          <cell r="EF331">
            <v>0</v>
          </cell>
          <cell r="EG331">
            <v>0</v>
          </cell>
          <cell r="EH331">
            <v>0</v>
          </cell>
          <cell r="EI331">
            <v>0</v>
          </cell>
          <cell r="EJ331">
            <v>0</v>
          </cell>
          <cell r="EK331">
            <v>0</v>
          </cell>
          <cell r="EL331">
            <v>0</v>
          </cell>
          <cell r="EM331" t="str">
            <v/>
          </cell>
          <cell r="EN331" t="str">
            <v/>
          </cell>
          <cell r="EO331" t="str">
            <v/>
          </cell>
          <cell r="EP331" t="str">
            <v/>
          </cell>
          <cell r="EQ331" t="str">
            <v/>
          </cell>
          <cell r="ER331" t="str">
            <v/>
          </cell>
          <cell r="ES331" t="str">
            <v/>
          </cell>
          <cell r="ET331" t="str">
            <v/>
          </cell>
          <cell r="EU331" t="str">
            <v/>
          </cell>
          <cell r="EV331" t="str">
            <v/>
          </cell>
          <cell r="EW331" t="str">
            <v/>
          </cell>
          <cell r="EX331" t="str">
            <v/>
          </cell>
          <cell r="EY331" t="str">
            <v/>
          </cell>
          <cell r="EZ331" t="str">
            <v/>
          </cell>
          <cell r="FA331" t="str">
            <v/>
          </cell>
          <cell r="FB331" t="str">
            <v/>
          </cell>
          <cell r="FC331" t="str">
            <v/>
          </cell>
          <cell r="FD331" t="str">
            <v/>
          </cell>
          <cell r="FE331" t="str">
            <v/>
          </cell>
          <cell r="FF331" t="str">
            <v/>
          </cell>
          <cell r="FG331" t="str">
            <v/>
          </cell>
          <cell r="FH331" t="str">
            <v/>
          </cell>
          <cell r="FI331" t="str">
            <v/>
          </cell>
          <cell r="FJ331" t="str">
            <v/>
          </cell>
          <cell r="FK331" t="str">
            <v/>
          </cell>
          <cell r="FL331" t="str">
            <v/>
          </cell>
          <cell r="FM331" t="str">
            <v/>
          </cell>
          <cell r="FN331" t="str">
            <v/>
          </cell>
          <cell r="FO331" t="str">
            <v/>
          </cell>
          <cell r="FP331" t="str">
            <v/>
          </cell>
        </row>
        <row r="332">
          <cell r="N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AJ332">
            <v>0</v>
          </cell>
          <cell r="AK332">
            <v>0</v>
          </cell>
          <cell r="AL332">
            <v>999999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BE332">
            <v>0</v>
          </cell>
          <cell r="BH332">
            <v>0</v>
          </cell>
          <cell r="BI332">
            <v>0</v>
          </cell>
          <cell r="BJ332">
            <v>0</v>
          </cell>
          <cell r="BK332">
            <v>0</v>
          </cell>
          <cell r="BL332">
            <v>0</v>
          </cell>
          <cell r="BM332">
            <v>0</v>
          </cell>
          <cell r="BN332">
            <v>0</v>
          </cell>
          <cell r="BO332">
            <v>0</v>
          </cell>
          <cell r="BP332">
            <v>0</v>
          </cell>
          <cell r="BQ332">
            <v>0</v>
          </cell>
          <cell r="CB332">
            <v>0</v>
          </cell>
          <cell r="CC332">
            <v>0</v>
          </cell>
          <cell r="CD332">
            <v>0</v>
          </cell>
          <cell r="CE332">
            <v>0</v>
          </cell>
          <cell r="CF332">
            <v>0</v>
          </cell>
          <cell r="CG332">
            <v>0</v>
          </cell>
          <cell r="CH332">
            <v>0</v>
          </cell>
          <cell r="CI332">
            <v>0</v>
          </cell>
          <cell r="CJ332">
            <v>0</v>
          </cell>
          <cell r="CK332">
            <v>0</v>
          </cell>
          <cell r="CW332">
            <v>0</v>
          </cell>
          <cell r="CY332">
            <v>0</v>
          </cell>
          <cell r="CZ332">
            <v>0</v>
          </cell>
          <cell r="DA332">
            <v>0</v>
          </cell>
          <cell r="DB332">
            <v>0</v>
          </cell>
          <cell r="DC332">
            <v>0</v>
          </cell>
          <cell r="DD332">
            <v>0</v>
          </cell>
          <cell r="DE332">
            <v>0</v>
          </cell>
          <cell r="DF332">
            <v>0</v>
          </cell>
          <cell r="DG332">
            <v>0</v>
          </cell>
          <cell r="DH332">
            <v>0</v>
          </cell>
          <cell r="DS332">
            <v>0</v>
          </cell>
          <cell r="DT332">
            <v>35</v>
          </cell>
          <cell r="DU332">
            <v>999999</v>
          </cell>
          <cell r="DV332">
            <v>999999</v>
          </cell>
          <cell r="DW332">
            <v>999999</v>
          </cell>
          <cell r="DX332">
            <v>0</v>
          </cell>
          <cell r="DY332">
            <v>35</v>
          </cell>
          <cell r="DZ332">
            <v>999999</v>
          </cell>
          <cell r="EA332">
            <v>999999</v>
          </cell>
          <cell r="EB332">
            <v>999999</v>
          </cell>
          <cell r="EC332">
            <v>0</v>
          </cell>
          <cell r="ED332">
            <v>0</v>
          </cell>
          <cell r="EE332">
            <v>0</v>
          </cell>
          <cell r="EF332">
            <v>0</v>
          </cell>
          <cell r="EG332">
            <v>0</v>
          </cell>
          <cell r="EH332">
            <v>0</v>
          </cell>
          <cell r="EI332">
            <v>0</v>
          </cell>
          <cell r="EJ332">
            <v>0</v>
          </cell>
          <cell r="EK332">
            <v>0</v>
          </cell>
          <cell r="EL332">
            <v>0</v>
          </cell>
          <cell r="EM332" t="str">
            <v/>
          </cell>
          <cell r="EN332" t="str">
            <v/>
          </cell>
          <cell r="EO332" t="str">
            <v/>
          </cell>
          <cell r="EP332" t="str">
            <v/>
          </cell>
          <cell r="EQ332" t="str">
            <v/>
          </cell>
          <cell r="ER332" t="str">
            <v/>
          </cell>
          <cell r="ES332" t="str">
            <v/>
          </cell>
          <cell r="ET332" t="str">
            <v/>
          </cell>
          <cell r="EU332" t="str">
            <v/>
          </cell>
          <cell r="EV332" t="str">
            <v/>
          </cell>
          <cell r="EW332" t="str">
            <v/>
          </cell>
          <cell r="EX332" t="str">
            <v/>
          </cell>
          <cell r="EY332" t="str">
            <v/>
          </cell>
          <cell r="EZ332" t="str">
            <v/>
          </cell>
          <cell r="FA332" t="str">
            <v/>
          </cell>
          <cell r="FB332" t="str">
            <v/>
          </cell>
          <cell r="FC332" t="str">
            <v/>
          </cell>
          <cell r="FD332" t="str">
            <v/>
          </cell>
          <cell r="FE332" t="str">
            <v/>
          </cell>
          <cell r="FF332" t="str">
            <v/>
          </cell>
          <cell r="FG332" t="str">
            <v/>
          </cell>
          <cell r="FH332" t="str">
            <v/>
          </cell>
          <cell r="FI332" t="str">
            <v/>
          </cell>
          <cell r="FJ332" t="str">
            <v/>
          </cell>
          <cell r="FK332" t="str">
            <v/>
          </cell>
          <cell r="FL332" t="str">
            <v/>
          </cell>
          <cell r="FM332" t="str">
            <v/>
          </cell>
          <cell r="FN332" t="str">
            <v/>
          </cell>
          <cell r="FO332" t="str">
            <v/>
          </cell>
          <cell r="FP332" t="str">
            <v/>
          </cell>
        </row>
        <row r="333">
          <cell r="N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AJ333">
            <v>0</v>
          </cell>
          <cell r="AK333">
            <v>0</v>
          </cell>
          <cell r="AL333">
            <v>999999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BE333">
            <v>0</v>
          </cell>
          <cell r="BH333">
            <v>0</v>
          </cell>
          <cell r="BI333">
            <v>0</v>
          </cell>
          <cell r="BJ333">
            <v>0</v>
          </cell>
          <cell r="BK333">
            <v>0</v>
          </cell>
          <cell r="BL333">
            <v>0</v>
          </cell>
          <cell r="BM333">
            <v>0</v>
          </cell>
          <cell r="BN333">
            <v>0</v>
          </cell>
          <cell r="BO333">
            <v>0</v>
          </cell>
          <cell r="BP333">
            <v>0</v>
          </cell>
          <cell r="BQ333">
            <v>0</v>
          </cell>
          <cell r="CB333">
            <v>0</v>
          </cell>
          <cell r="CC333">
            <v>0</v>
          </cell>
          <cell r="CD333">
            <v>0</v>
          </cell>
          <cell r="CE333">
            <v>0</v>
          </cell>
          <cell r="CF333">
            <v>0</v>
          </cell>
          <cell r="CG333">
            <v>0</v>
          </cell>
          <cell r="CH333">
            <v>0</v>
          </cell>
          <cell r="CI333">
            <v>0</v>
          </cell>
          <cell r="CJ333">
            <v>0</v>
          </cell>
          <cell r="CK333">
            <v>0</v>
          </cell>
          <cell r="CW333">
            <v>0</v>
          </cell>
          <cell r="CY333">
            <v>0</v>
          </cell>
          <cell r="CZ333">
            <v>0</v>
          </cell>
          <cell r="DA333">
            <v>0</v>
          </cell>
          <cell r="DB333">
            <v>0</v>
          </cell>
          <cell r="DC333">
            <v>0</v>
          </cell>
          <cell r="DD333">
            <v>0</v>
          </cell>
          <cell r="DE333">
            <v>0</v>
          </cell>
          <cell r="DF333">
            <v>0</v>
          </cell>
          <cell r="DG333">
            <v>0</v>
          </cell>
          <cell r="DH333">
            <v>0</v>
          </cell>
          <cell r="DS333">
            <v>0</v>
          </cell>
          <cell r="DT333">
            <v>34</v>
          </cell>
          <cell r="DU333">
            <v>999999</v>
          </cell>
          <cell r="DV333">
            <v>999999</v>
          </cell>
          <cell r="DW333">
            <v>999999</v>
          </cell>
          <cell r="DX333">
            <v>0</v>
          </cell>
          <cell r="DY333">
            <v>34</v>
          </cell>
          <cell r="DZ333">
            <v>999999</v>
          </cell>
          <cell r="EA333">
            <v>999999</v>
          </cell>
          <cell r="EB333">
            <v>999999</v>
          </cell>
          <cell r="EC333">
            <v>0</v>
          </cell>
          <cell r="ED333">
            <v>0</v>
          </cell>
          <cell r="EE333">
            <v>0</v>
          </cell>
          <cell r="EF333">
            <v>0</v>
          </cell>
          <cell r="EG333">
            <v>0</v>
          </cell>
          <cell r="EH333">
            <v>0</v>
          </cell>
          <cell r="EI333">
            <v>0</v>
          </cell>
          <cell r="EJ333">
            <v>0</v>
          </cell>
          <cell r="EK333">
            <v>0</v>
          </cell>
          <cell r="EL333">
            <v>0</v>
          </cell>
          <cell r="EM333" t="str">
            <v/>
          </cell>
          <cell r="EN333" t="str">
            <v/>
          </cell>
          <cell r="EO333" t="str">
            <v/>
          </cell>
          <cell r="EP333" t="str">
            <v/>
          </cell>
          <cell r="EQ333" t="str">
            <v/>
          </cell>
          <cell r="ER333" t="str">
            <v/>
          </cell>
          <cell r="ES333" t="str">
            <v/>
          </cell>
          <cell r="ET333" t="str">
            <v/>
          </cell>
          <cell r="EU333" t="str">
            <v/>
          </cell>
          <cell r="EV333" t="str">
            <v/>
          </cell>
          <cell r="EW333" t="str">
            <v/>
          </cell>
          <cell r="EX333" t="str">
            <v/>
          </cell>
          <cell r="EY333" t="str">
            <v/>
          </cell>
          <cell r="EZ333" t="str">
            <v/>
          </cell>
          <cell r="FA333" t="str">
            <v/>
          </cell>
          <cell r="FB333" t="str">
            <v/>
          </cell>
          <cell r="FC333" t="str">
            <v/>
          </cell>
          <cell r="FD333" t="str">
            <v/>
          </cell>
          <cell r="FE333" t="str">
            <v/>
          </cell>
          <cell r="FF333" t="str">
            <v/>
          </cell>
          <cell r="FG333" t="str">
            <v/>
          </cell>
          <cell r="FH333" t="str">
            <v/>
          </cell>
          <cell r="FI333" t="str">
            <v/>
          </cell>
          <cell r="FJ333" t="str">
            <v/>
          </cell>
          <cell r="FK333" t="str">
            <v/>
          </cell>
          <cell r="FL333" t="str">
            <v/>
          </cell>
          <cell r="FM333" t="str">
            <v/>
          </cell>
          <cell r="FN333" t="str">
            <v/>
          </cell>
          <cell r="FO333" t="str">
            <v/>
          </cell>
          <cell r="FP333" t="str">
            <v/>
          </cell>
        </row>
        <row r="334">
          <cell r="N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AJ334">
            <v>0</v>
          </cell>
          <cell r="AK334">
            <v>0</v>
          </cell>
          <cell r="AL334">
            <v>999999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BE334">
            <v>0</v>
          </cell>
          <cell r="BH334">
            <v>0</v>
          </cell>
          <cell r="BI334">
            <v>0</v>
          </cell>
          <cell r="BJ334">
            <v>0</v>
          </cell>
          <cell r="BK334">
            <v>0</v>
          </cell>
          <cell r="BL334">
            <v>0</v>
          </cell>
          <cell r="BM334">
            <v>0</v>
          </cell>
          <cell r="BN334">
            <v>0</v>
          </cell>
          <cell r="BO334">
            <v>0</v>
          </cell>
          <cell r="BP334">
            <v>0</v>
          </cell>
          <cell r="BQ334">
            <v>0</v>
          </cell>
          <cell r="CB334">
            <v>0</v>
          </cell>
          <cell r="CC334">
            <v>0</v>
          </cell>
          <cell r="CD334">
            <v>0</v>
          </cell>
          <cell r="CE334">
            <v>0</v>
          </cell>
          <cell r="CF334">
            <v>0</v>
          </cell>
          <cell r="CG334">
            <v>0</v>
          </cell>
          <cell r="CH334">
            <v>0</v>
          </cell>
          <cell r="CI334">
            <v>0</v>
          </cell>
          <cell r="CJ334">
            <v>0</v>
          </cell>
          <cell r="CK334">
            <v>0</v>
          </cell>
          <cell r="CW334">
            <v>0</v>
          </cell>
          <cell r="CY334">
            <v>0</v>
          </cell>
          <cell r="CZ334">
            <v>0</v>
          </cell>
          <cell r="DA334">
            <v>0</v>
          </cell>
          <cell r="DB334">
            <v>0</v>
          </cell>
          <cell r="DC334">
            <v>0</v>
          </cell>
          <cell r="DD334">
            <v>0</v>
          </cell>
          <cell r="DE334">
            <v>0</v>
          </cell>
          <cell r="DF334">
            <v>0</v>
          </cell>
          <cell r="DG334">
            <v>0</v>
          </cell>
          <cell r="DH334">
            <v>0</v>
          </cell>
          <cell r="DS334">
            <v>0</v>
          </cell>
          <cell r="DT334">
            <v>33</v>
          </cell>
          <cell r="DU334">
            <v>999999</v>
          </cell>
          <cell r="DV334">
            <v>999999</v>
          </cell>
          <cell r="DW334">
            <v>999999</v>
          </cell>
          <cell r="DX334">
            <v>0</v>
          </cell>
          <cell r="DY334">
            <v>33</v>
          </cell>
          <cell r="DZ334">
            <v>999999</v>
          </cell>
          <cell r="EA334">
            <v>999999</v>
          </cell>
          <cell r="EB334">
            <v>999999</v>
          </cell>
          <cell r="EC334">
            <v>0</v>
          </cell>
          <cell r="ED334">
            <v>0</v>
          </cell>
          <cell r="EE334">
            <v>0</v>
          </cell>
          <cell r="EF334">
            <v>0</v>
          </cell>
          <cell r="EG334">
            <v>0</v>
          </cell>
          <cell r="EH334">
            <v>0</v>
          </cell>
          <cell r="EI334">
            <v>0</v>
          </cell>
          <cell r="EJ334">
            <v>0</v>
          </cell>
          <cell r="EK334">
            <v>0</v>
          </cell>
          <cell r="EL334">
            <v>0</v>
          </cell>
          <cell r="EM334" t="str">
            <v/>
          </cell>
          <cell r="EN334" t="str">
            <v/>
          </cell>
          <cell r="EO334" t="str">
            <v/>
          </cell>
          <cell r="EP334" t="str">
            <v/>
          </cell>
          <cell r="EQ334" t="str">
            <v/>
          </cell>
          <cell r="ER334" t="str">
            <v/>
          </cell>
          <cell r="ES334" t="str">
            <v/>
          </cell>
          <cell r="ET334" t="str">
            <v/>
          </cell>
          <cell r="EU334" t="str">
            <v/>
          </cell>
          <cell r="EV334" t="str">
            <v/>
          </cell>
          <cell r="EW334" t="str">
            <v/>
          </cell>
          <cell r="EX334" t="str">
            <v/>
          </cell>
          <cell r="EY334" t="str">
            <v/>
          </cell>
          <cell r="EZ334" t="str">
            <v/>
          </cell>
          <cell r="FA334" t="str">
            <v/>
          </cell>
          <cell r="FB334" t="str">
            <v/>
          </cell>
          <cell r="FC334" t="str">
            <v/>
          </cell>
          <cell r="FD334" t="str">
            <v/>
          </cell>
          <cell r="FE334" t="str">
            <v/>
          </cell>
          <cell r="FF334" t="str">
            <v/>
          </cell>
          <cell r="FG334" t="str">
            <v/>
          </cell>
          <cell r="FH334" t="str">
            <v/>
          </cell>
          <cell r="FI334" t="str">
            <v/>
          </cell>
          <cell r="FJ334" t="str">
            <v/>
          </cell>
          <cell r="FK334" t="str">
            <v/>
          </cell>
          <cell r="FL334" t="str">
            <v/>
          </cell>
          <cell r="FM334" t="str">
            <v/>
          </cell>
          <cell r="FN334" t="str">
            <v/>
          </cell>
          <cell r="FO334" t="str">
            <v/>
          </cell>
          <cell r="FP334" t="str">
            <v/>
          </cell>
        </row>
        <row r="335">
          <cell r="N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AJ335">
            <v>0</v>
          </cell>
          <cell r="AK335">
            <v>0</v>
          </cell>
          <cell r="AL335">
            <v>999999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BE335">
            <v>0</v>
          </cell>
          <cell r="BH335">
            <v>0</v>
          </cell>
          <cell r="BI335">
            <v>0</v>
          </cell>
          <cell r="BJ335">
            <v>0</v>
          </cell>
          <cell r="BK335">
            <v>0</v>
          </cell>
          <cell r="BL335">
            <v>0</v>
          </cell>
          <cell r="BM335">
            <v>0</v>
          </cell>
          <cell r="BN335">
            <v>0</v>
          </cell>
          <cell r="BO335">
            <v>0</v>
          </cell>
          <cell r="BP335">
            <v>0</v>
          </cell>
          <cell r="BQ335">
            <v>0</v>
          </cell>
          <cell r="CB335">
            <v>0</v>
          </cell>
          <cell r="CC335">
            <v>0</v>
          </cell>
          <cell r="CD335">
            <v>0</v>
          </cell>
          <cell r="CE335">
            <v>0</v>
          </cell>
          <cell r="CF335">
            <v>0</v>
          </cell>
          <cell r="CG335">
            <v>0</v>
          </cell>
          <cell r="CH335">
            <v>0</v>
          </cell>
          <cell r="CI335">
            <v>0</v>
          </cell>
          <cell r="CJ335">
            <v>0</v>
          </cell>
          <cell r="CK335">
            <v>0</v>
          </cell>
          <cell r="CW335">
            <v>0</v>
          </cell>
          <cell r="CY335">
            <v>0</v>
          </cell>
          <cell r="CZ335">
            <v>0</v>
          </cell>
          <cell r="DA335">
            <v>0</v>
          </cell>
          <cell r="DB335">
            <v>0</v>
          </cell>
          <cell r="DC335">
            <v>0</v>
          </cell>
          <cell r="DD335">
            <v>0</v>
          </cell>
          <cell r="DE335">
            <v>0</v>
          </cell>
          <cell r="DF335">
            <v>0</v>
          </cell>
          <cell r="DG335">
            <v>0</v>
          </cell>
          <cell r="DH335">
            <v>0</v>
          </cell>
          <cell r="DS335">
            <v>0</v>
          </cell>
          <cell r="DT335">
            <v>32</v>
          </cell>
          <cell r="DU335">
            <v>999999</v>
          </cell>
          <cell r="DV335">
            <v>999999</v>
          </cell>
          <cell r="DW335">
            <v>999999</v>
          </cell>
          <cell r="DX335">
            <v>0</v>
          </cell>
          <cell r="DY335">
            <v>32</v>
          </cell>
          <cell r="DZ335">
            <v>999999</v>
          </cell>
          <cell r="EA335">
            <v>999999</v>
          </cell>
          <cell r="EB335">
            <v>999999</v>
          </cell>
          <cell r="EC335">
            <v>0</v>
          </cell>
          <cell r="ED335">
            <v>0</v>
          </cell>
          <cell r="EE335">
            <v>0</v>
          </cell>
          <cell r="EF335">
            <v>0</v>
          </cell>
          <cell r="EG335">
            <v>0</v>
          </cell>
          <cell r="EH335">
            <v>0</v>
          </cell>
          <cell r="EI335">
            <v>0</v>
          </cell>
          <cell r="EJ335">
            <v>0</v>
          </cell>
          <cell r="EK335">
            <v>0</v>
          </cell>
          <cell r="EL335">
            <v>0</v>
          </cell>
          <cell r="EM335" t="str">
            <v/>
          </cell>
          <cell r="EN335" t="str">
            <v/>
          </cell>
          <cell r="EO335" t="str">
            <v/>
          </cell>
          <cell r="EP335" t="str">
            <v/>
          </cell>
          <cell r="EQ335" t="str">
            <v/>
          </cell>
          <cell r="ER335" t="str">
            <v/>
          </cell>
          <cell r="ES335" t="str">
            <v/>
          </cell>
          <cell r="ET335" t="str">
            <v/>
          </cell>
          <cell r="EU335" t="str">
            <v/>
          </cell>
          <cell r="EV335" t="str">
            <v/>
          </cell>
          <cell r="EW335" t="str">
            <v/>
          </cell>
          <cell r="EX335" t="str">
            <v/>
          </cell>
          <cell r="EY335" t="str">
            <v/>
          </cell>
          <cell r="EZ335" t="str">
            <v/>
          </cell>
          <cell r="FA335" t="str">
            <v/>
          </cell>
          <cell r="FB335" t="str">
            <v/>
          </cell>
          <cell r="FC335" t="str">
            <v/>
          </cell>
          <cell r="FD335" t="str">
            <v/>
          </cell>
          <cell r="FE335" t="str">
            <v/>
          </cell>
          <cell r="FF335" t="str">
            <v/>
          </cell>
          <cell r="FG335" t="str">
            <v/>
          </cell>
          <cell r="FH335" t="str">
            <v/>
          </cell>
          <cell r="FI335" t="str">
            <v/>
          </cell>
          <cell r="FJ335" t="str">
            <v/>
          </cell>
          <cell r="FK335" t="str">
            <v/>
          </cell>
          <cell r="FL335" t="str">
            <v/>
          </cell>
          <cell r="FM335" t="str">
            <v/>
          </cell>
          <cell r="FN335" t="str">
            <v/>
          </cell>
          <cell r="FO335" t="str">
            <v/>
          </cell>
          <cell r="FP335" t="str">
            <v/>
          </cell>
        </row>
        <row r="336">
          <cell r="N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AJ336">
            <v>0</v>
          </cell>
          <cell r="AK336">
            <v>0</v>
          </cell>
          <cell r="AL336">
            <v>999999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BE336">
            <v>0</v>
          </cell>
          <cell r="BH336">
            <v>0</v>
          </cell>
          <cell r="BI336">
            <v>0</v>
          </cell>
          <cell r="BJ336">
            <v>0</v>
          </cell>
          <cell r="BK336">
            <v>0</v>
          </cell>
          <cell r="BL336">
            <v>0</v>
          </cell>
          <cell r="BM336">
            <v>0</v>
          </cell>
          <cell r="BN336">
            <v>0</v>
          </cell>
          <cell r="BO336">
            <v>0</v>
          </cell>
          <cell r="BP336">
            <v>0</v>
          </cell>
          <cell r="BQ336">
            <v>0</v>
          </cell>
          <cell r="CB336">
            <v>0</v>
          </cell>
          <cell r="CC336">
            <v>0</v>
          </cell>
          <cell r="CD336">
            <v>0</v>
          </cell>
          <cell r="CE336">
            <v>0</v>
          </cell>
          <cell r="CF336">
            <v>0</v>
          </cell>
          <cell r="CG336">
            <v>0</v>
          </cell>
          <cell r="CH336">
            <v>0</v>
          </cell>
          <cell r="CI336">
            <v>0</v>
          </cell>
          <cell r="CJ336">
            <v>0</v>
          </cell>
          <cell r="CK336">
            <v>0</v>
          </cell>
          <cell r="CW336">
            <v>0</v>
          </cell>
          <cell r="CY336">
            <v>0</v>
          </cell>
          <cell r="CZ336">
            <v>0</v>
          </cell>
          <cell r="DA336">
            <v>0</v>
          </cell>
          <cell r="DB336">
            <v>0</v>
          </cell>
          <cell r="DC336">
            <v>0</v>
          </cell>
          <cell r="DD336">
            <v>0</v>
          </cell>
          <cell r="DE336">
            <v>0</v>
          </cell>
          <cell r="DF336">
            <v>0</v>
          </cell>
          <cell r="DG336">
            <v>0</v>
          </cell>
          <cell r="DH336">
            <v>0</v>
          </cell>
          <cell r="DS336">
            <v>0</v>
          </cell>
          <cell r="DT336">
            <v>31</v>
          </cell>
          <cell r="DU336">
            <v>999999</v>
          </cell>
          <cell r="DV336">
            <v>999999</v>
          </cell>
          <cell r="DW336">
            <v>999999</v>
          </cell>
          <cell r="DX336">
            <v>0</v>
          </cell>
          <cell r="DY336">
            <v>31</v>
          </cell>
          <cell r="DZ336">
            <v>999999</v>
          </cell>
          <cell r="EA336">
            <v>999999</v>
          </cell>
          <cell r="EB336">
            <v>999999</v>
          </cell>
          <cell r="EC336">
            <v>0</v>
          </cell>
          <cell r="ED336">
            <v>0</v>
          </cell>
          <cell r="EE336">
            <v>0</v>
          </cell>
          <cell r="EF336">
            <v>0</v>
          </cell>
          <cell r="EG336">
            <v>0</v>
          </cell>
          <cell r="EH336">
            <v>0</v>
          </cell>
          <cell r="EI336">
            <v>0</v>
          </cell>
          <cell r="EJ336">
            <v>0</v>
          </cell>
          <cell r="EK336">
            <v>0</v>
          </cell>
          <cell r="EL336">
            <v>0</v>
          </cell>
          <cell r="EM336" t="str">
            <v/>
          </cell>
          <cell r="EN336" t="str">
            <v/>
          </cell>
          <cell r="EO336" t="str">
            <v/>
          </cell>
          <cell r="EP336" t="str">
            <v/>
          </cell>
          <cell r="EQ336" t="str">
            <v/>
          </cell>
          <cell r="ER336" t="str">
            <v/>
          </cell>
          <cell r="ES336" t="str">
            <v/>
          </cell>
          <cell r="ET336" t="str">
            <v/>
          </cell>
          <cell r="EU336" t="str">
            <v/>
          </cell>
          <cell r="EV336" t="str">
            <v/>
          </cell>
          <cell r="EW336" t="str">
            <v/>
          </cell>
          <cell r="EX336" t="str">
            <v/>
          </cell>
          <cell r="EY336" t="str">
            <v/>
          </cell>
          <cell r="EZ336" t="str">
            <v/>
          </cell>
          <cell r="FA336" t="str">
            <v/>
          </cell>
          <cell r="FB336" t="str">
            <v/>
          </cell>
          <cell r="FC336" t="str">
            <v/>
          </cell>
          <cell r="FD336" t="str">
            <v/>
          </cell>
          <cell r="FE336" t="str">
            <v/>
          </cell>
          <cell r="FF336" t="str">
            <v/>
          </cell>
          <cell r="FG336" t="str">
            <v/>
          </cell>
          <cell r="FH336" t="str">
            <v/>
          </cell>
          <cell r="FI336" t="str">
            <v/>
          </cell>
          <cell r="FJ336" t="str">
            <v/>
          </cell>
          <cell r="FK336" t="str">
            <v/>
          </cell>
          <cell r="FL336" t="str">
            <v/>
          </cell>
          <cell r="FM336" t="str">
            <v/>
          </cell>
          <cell r="FN336" t="str">
            <v/>
          </cell>
          <cell r="FO336" t="str">
            <v/>
          </cell>
          <cell r="FP336" t="str">
            <v/>
          </cell>
        </row>
        <row r="337">
          <cell r="N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AJ337">
            <v>0</v>
          </cell>
          <cell r="AK337">
            <v>0</v>
          </cell>
          <cell r="AL337">
            <v>999999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BE337">
            <v>48000</v>
          </cell>
          <cell r="BH337">
            <v>0</v>
          </cell>
          <cell r="BI337">
            <v>0</v>
          </cell>
          <cell r="BJ337">
            <v>0</v>
          </cell>
          <cell r="BK337">
            <v>0</v>
          </cell>
          <cell r="BL337">
            <v>0</v>
          </cell>
          <cell r="BM337">
            <v>0</v>
          </cell>
          <cell r="BN337">
            <v>0</v>
          </cell>
          <cell r="BO337">
            <v>0</v>
          </cell>
          <cell r="BP337">
            <v>0</v>
          </cell>
          <cell r="BQ337">
            <v>0</v>
          </cell>
          <cell r="CB337">
            <v>0</v>
          </cell>
          <cell r="CC337">
            <v>0</v>
          </cell>
          <cell r="CD337">
            <v>0</v>
          </cell>
          <cell r="CE337">
            <v>0</v>
          </cell>
          <cell r="CF337">
            <v>0</v>
          </cell>
          <cell r="CG337">
            <v>0</v>
          </cell>
          <cell r="CH337">
            <v>0</v>
          </cell>
          <cell r="CI337">
            <v>0</v>
          </cell>
          <cell r="CJ337">
            <v>0</v>
          </cell>
          <cell r="CK337">
            <v>0</v>
          </cell>
          <cell r="CW337">
            <v>0</v>
          </cell>
          <cell r="CY337">
            <v>0</v>
          </cell>
          <cell r="CZ337">
            <v>0</v>
          </cell>
          <cell r="DA337">
            <v>0</v>
          </cell>
          <cell r="DB337">
            <v>0</v>
          </cell>
          <cell r="DC337">
            <v>0</v>
          </cell>
          <cell r="DD337">
            <v>0</v>
          </cell>
          <cell r="DE337">
            <v>0</v>
          </cell>
          <cell r="DF337">
            <v>0</v>
          </cell>
          <cell r="DG337">
            <v>0</v>
          </cell>
          <cell r="DH337">
            <v>0</v>
          </cell>
          <cell r="DS337">
            <v>0</v>
          </cell>
          <cell r="DT337">
            <v>30</v>
          </cell>
          <cell r="DU337">
            <v>999999</v>
          </cell>
          <cell r="DV337">
            <v>999999</v>
          </cell>
          <cell r="DW337">
            <v>999999</v>
          </cell>
          <cell r="DX337">
            <v>0</v>
          </cell>
          <cell r="DY337">
            <v>30</v>
          </cell>
          <cell r="DZ337">
            <v>999999</v>
          </cell>
          <cell r="EA337">
            <v>999999</v>
          </cell>
          <cell r="EB337">
            <v>999999</v>
          </cell>
          <cell r="EC337">
            <v>0</v>
          </cell>
          <cell r="ED337">
            <v>0</v>
          </cell>
          <cell r="EE337">
            <v>0</v>
          </cell>
          <cell r="EF337">
            <v>0</v>
          </cell>
          <cell r="EG337">
            <v>0</v>
          </cell>
          <cell r="EH337">
            <v>0</v>
          </cell>
          <cell r="EI337">
            <v>0</v>
          </cell>
          <cell r="EJ337">
            <v>0</v>
          </cell>
          <cell r="EK337">
            <v>0</v>
          </cell>
          <cell r="EL337">
            <v>0</v>
          </cell>
          <cell r="EM337" t="str">
            <v/>
          </cell>
          <cell r="EN337" t="str">
            <v/>
          </cell>
          <cell r="EO337" t="str">
            <v/>
          </cell>
          <cell r="EP337" t="str">
            <v/>
          </cell>
          <cell r="EQ337" t="str">
            <v/>
          </cell>
          <cell r="ER337" t="str">
            <v/>
          </cell>
          <cell r="ES337" t="str">
            <v/>
          </cell>
          <cell r="ET337" t="str">
            <v/>
          </cell>
          <cell r="EU337" t="str">
            <v/>
          </cell>
          <cell r="EV337" t="str">
            <v/>
          </cell>
          <cell r="EW337" t="str">
            <v/>
          </cell>
          <cell r="EX337" t="str">
            <v/>
          </cell>
          <cell r="EY337" t="str">
            <v/>
          </cell>
          <cell r="EZ337" t="str">
            <v/>
          </cell>
          <cell r="FA337" t="str">
            <v/>
          </cell>
          <cell r="FB337" t="str">
            <v/>
          </cell>
          <cell r="FC337" t="str">
            <v/>
          </cell>
          <cell r="FD337" t="str">
            <v/>
          </cell>
          <cell r="FE337" t="str">
            <v/>
          </cell>
          <cell r="FF337" t="str">
            <v/>
          </cell>
          <cell r="FG337" t="str">
            <v/>
          </cell>
          <cell r="FH337" t="str">
            <v/>
          </cell>
          <cell r="FI337" t="str">
            <v/>
          </cell>
          <cell r="FJ337" t="str">
            <v/>
          </cell>
          <cell r="FK337" t="str">
            <v/>
          </cell>
          <cell r="FL337" t="str">
            <v/>
          </cell>
          <cell r="FM337" t="str">
            <v/>
          </cell>
          <cell r="FN337" t="str">
            <v/>
          </cell>
          <cell r="FO337" t="str">
            <v/>
          </cell>
          <cell r="FP337" t="str">
            <v/>
          </cell>
        </row>
        <row r="338">
          <cell r="N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AJ338">
            <v>0</v>
          </cell>
          <cell r="AK338">
            <v>0</v>
          </cell>
          <cell r="AL338">
            <v>999999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BE338">
            <v>0</v>
          </cell>
          <cell r="BH338">
            <v>0</v>
          </cell>
          <cell r="BI338">
            <v>0</v>
          </cell>
          <cell r="BJ338">
            <v>0</v>
          </cell>
          <cell r="BK338">
            <v>0</v>
          </cell>
          <cell r="BL338">
            <v>0</v>
          </cell>
          <cell r="BM338">
            <v>0</v>
          </cell>
          <cell r="BN338">
            <v>0</v>
          </cell>
          <cell r="BO338">
            <v>0</v>
          </cell>
          <cell r="BP338">
            <v>0</v>
          </cell>
          <cell r="BQ338">
            <v>0</v>
          </cell>
          <cell r="CB338">
            <v>0</v>
          </cell>
          <cell r="CC338">
            <v>0</v>
          </cell>
          <cell r="CD338">
            <v>0</v>
          </cell>
          <cell r="CE338">
            <v>0</v>
          </cell>
          <cell r="CF338">
            <v>0</v>
          </cell>
          <cell r="CG338">
            <v>0</v>
          </cell>
          <cell r="CH338">
            <v>0</v>
          </cell>
          <cell r="CI338">
            <v>0</v>
          </cell>
          <cell r="CJ338">
            <v>0</v>
          </cell>
          <cell r="CK338">
            <v>0</v>
          </cell>
          <cell r="CW338">
            <v>0</v>
          </cell>
          <cell r="CY338">
            <v>0</v>
          </cell>
          <cell r="CZ338">
            <v>0</v>
          </cell>
          <cell r="DA338">
            <v>0</v>
          </cell>
          <cell r="DB338">
            <v>0</v>
          </cell>
          <cell r="DC338">
            <v>0</v>
          </cell>
          <cell r="DD338">
            <v>0</v>
          </cell>
          <cell r="DE338">
            <v>0</v>
          </cell>
          <cell r="DF338">
            <v>0</v>
          </cell>
          <cell r="DG338">
            <v>0</v>
          </cell>
          <cell r="DH338">
            <v>0</v>
          </cell>
          <cell r="DS338">
            <v>0</v>
          </cell>
          <cell r="DT338">
            <v>29</v>
          </cell>
          <cell r="DU338">
            <v>999999</v>
          </cell>
          <cell r="DV338">
            <v>999999</v>
          </cell>
          <cell r="DW338">
            <v>999999</v>
          </cell>
          <cell r="DX338">
            <v>0</v>
          </cell>
          <cell r="DY338">
            <v>29</v>
          </cell>
          <cell r="DZ338">
            <v>999999</v>
          </cell>
          <cell r="EA338">
            <v>999999</v>
          </cell>
          <cell r="EB338">
            <v>999999</v>
          </cell>
          <cell r="EC338">
            <v>0</v>
          </cell>
          <cell r="ED338">
            <v>0</v>
          </cell>
          <cell r="EE338">
            <v>0</v>
          </cell>
          <cell r="EF338">
            <v>0</v>
          </cell>
          <cell r="EG338">
            <v>0</v>
          </cell>
          <cell r="EH338">
            <v>0</v>
          </cell>
          <cell r="EI338">
            <v>0</v>
          </cell>
          <cell r="EJ338">
            <v>0</v>
          </cell>
          <cell r="EK338">
            <v>0</v>
          </cell>
          <cell r="EL338">
            <v>0</v>
          </cell>
          <cell r="EM338" t="str">
            <v/>
          </cell>
          <cell r="EN338" t="str">
            <v/>
          </cell>
          <cell r="EO338" t="str">
            <v/>
          </cell>
          <cell r="EP338" t="str">
            <v/>
          </cell>
          <cell r="EQ338" t="str">
            <v/>
          </cell>
          <cell r="ER338" t="str">
            <v/>
          </cell>
          <cell r="ES338" t="str">
            <v/>
          </cell>
          <cell r="ET338" t="str">
            <v/>
          </cell>
          <cell r="EU338" t="str">
            <v/>
          </cell>
          <cell r="EV338" t="str">
            <v/>
          </cell>
          <cell r="EW338" t="str">
            <v/>
          </cell>
          <cell r="EX338" t="str">
            <v/>
          </cell>
          <cell r="EY338" t="str">
            <v/>
          </cell>
          <cell r="EZ338" t="str">
            <v/>
          </cell>
          <cell r="FA338" t="str">
            <v/>
          </cell>
          <cell r="FB338" t="str">
            <v/>
          </cell>
          <cell r="FC338" t="str">
            <v/>
          </cell>
          <cell r="FD338" t="str">
            <v/>
          </cell>
          <cell r="FE338" t="str">
            <v/>
          </cell>
          <cell r="FF338" t="str">
            <v/>
          </cell>
          <cell r="FG338" t="str">
            <v/>
          </cell>
          <cell r="FH338" t="str">
            <v/>
          </cell>
          <cell r="FI338" t="str">
            <v/>
          </cell>
          <cell r="FJ338" t="str">
            <v/>
          </cell>
          <cell r="FK338" t="str">
            <v/>
          </cell>
          <cell r="FL338" t="str">
            <v/>
          </cell>
          <cell r="FM338" t="str">
            <v/>
          </cell>
          <cell r="FN338" t="str">
            <v/>
          </cell>
          <cell r="FO338" t="str">
            <v/>
          </cell>
          <cell r="FP338" t="str">
            <v/>
          </cell>
        </row>
        <row r="339">
          <cell r="N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AJ339">
            <v>0</v>
          </cell>
          <cell r="AK339">
            <v>0</v>
          </cell>
          <cell r="AL339">
            <v>999999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BE339">
            <v>0</v>
          </cell>
          <cell r="BH339">
            <v>0</v>
          </cell>
          <cell r="BI339">
            <v>0</v>
          </cell>
          <cell r="BJ339">
            <v>0</v>
          </cell>
          <cell r="BK339">
            <v>0</v>
          </cell>
          <cell r="BL339">
            <v>0</v>
          </cell>
          <cell r="BM339">
            <v>0</v>
          </cell>
          <cell r="BN339">
            <v>0</v>
          </cell>
          <cell r="BO339">
            <v>0</v>
          </cell>
          <cell r="BP339">
            <v>0</v>
          </cell>
          <cell r="BQ339">
            <v>0</v>
          </cell>
          <cell r="CB339">
            <v>0</v>
          </cell>
          <cell r="CC339">
            <v>0</v>
          </cell>
          <cell r="CD339">
            <v>0</v>
          </cell>
          <cell r="CE339">
            <v>0</v>
          </cell>
          <cell r="CF339">
            <v>0</v>
          </cell>
          <cell r="CG339">
            <v>0</v>
          </cell>
          <cell r="CH339">
            <v>0</v>
          </cell>
          <cell r="CI339">
            <v>0</v>
          </cell>
          <cell r="CJ339">
            <v>0</v>
          </cell>
          <cell r="CK339">
            <v>0</v>
          </cell>
          <cell r="CW339">
            <v>0</v>
          </cell>
          <cell r="CY339">
            <v>0</v>
          </cell>
          <cell r="CZ339">
            <v>0</v>
          </cell>
          <cell r="DA339">
            <v>0</v>
          </cell>
          <cell r="DB339">
            <v>0</v>
          </cell>
          <cell r="DC339">
            <v>0</v>
          </cell>
          <cell r="DD339">
            <v>0</v>
          </cell>
          <cell r="DE339">
            <v>0</v>
          </cell>
          <cell r="DF339">
            <v>0</v>
          </cell>
          <cell r="DG339">
            <v>0</v>
          </cell>
          <cell r="DH339">
            <v>0</v>
          </cell>
          <cell r="DS339">
            <v>0</v>
          </cell>
          <cell r="DT339">
            <v>28</v>
          </cell>
          <cell r="DU339">
            <v>999999</v>
          </cell>
          <cell r="DV339">
            <v>999999</v>
          </cell>
          <cell r="DW339">
            <v>999999</v>
          </cell>
          <cell r="DX339">
            <v>0</v>
          </cell>
          <cell r="DY339">
            <v>28</v>
          </cell>
          <cell r="DZ339">
            <v>999999</v>
          </cell>
          <cell r="EA339">
            <v>999999</v>
          </cell>
          <cell r="EB339">
            <v>999999</v>
          </cell>
          <cell r="EC339">
            <v>0</v>
          </cell>
          <cell r="ED339">
            <v>0</v>
          </cell>
          <cell r="EE339">
            <v>0</v>
          </cell>
          <cell r="EF339">
            <v>0</v>
          </cell>
          <cell r="EG339">
            <v>0</v>
          </cell>
          <cell r="EH339">
            <v>0</v>
          </cell>
          <cell r="EI339">
            <v>0</v>
          </cell>
          <cell r="EJ339">
            <v>0</v>
          </cell>
          <cell r="EK339">
            <v>0</v>
          </cell>
          <cell r="EL339">
            <v>0</v>
          </cell>
          <cell r="EM339" t="str">
            <v/>
          </cell>
          <cell r="EN339" t="str">
            <v/>
          </cell>
          <cell r="EO339" t="str">
            <v/>
          </cell>
          <cell r="EP339" t="str">
            <v/>
          </cell>
          <cell r="EQ339" t="str">
            <v/>
          </cell>
          <cell r="ER339" t="str">
            <v/>
          </cell>
          <cell r="ES339" t="str">
            <v/>
          </cell>
          <cell r="ET339" t="str">
            <v/>
          </cell>
          <cell r="EU339" t="str">
            <v/>
          </cell>
          <cell r="EV339" t="str">
            <v/>
          </cell>
          <cell r="EW339" t="str">
            <v/>
          </cell>
          <cell r="EX339" t="str">
            <v/>
          </cell>
          <cell r="EY339" t="str">
            <v/>
          </cell>
          <cell r="EZ339" t="str">
            <v/>
          </cell>
          <cell r="FA339" t="str">
            <v/>
          </cell>
          <cell r="FB339" t="str">
            <v/>
          </cell>
          <cell r="FC339" t="str">
            <v/>
          </cell>
          <cell r="FD339" t="str">
            <v/>
          </cell>
          <cell r="FE339" t="str">
            <v/>
          </cell>
          <cell r="FF339" t="str">
            <v/>
          </cell>
          <cell r="FG339" t="str">
            <v/>
          </cell>
          <cell r="FH339" t="str">
            <v/>
          </cell>
          <cell r="FI339" t="str">
            <v/>
          </cell>
          <cell r="FJ339" t="str">
            <v/>
          </cell>
          <cell r="FK339" t="str">
            <v/>
          </cell>
          <cell r="FL339" t="str">
            <v/>
          </cell>
          <cell r="FM339" t="str">
            <v/>
          </cell>
          <cell r="FN339" t="str">
            <v/>
          </cell>
          <cell r="FO339" t="str">
            <v/>
          </cell>
          <cell r="FP339" t="str">
            <v/>
          </cell>
        </row>
        <row r="340">
          <cell r="N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AJ340">
            <v>0</v>
          </cell>
          <cell r="AK340">
            <v>0</v>
          </cell>
          <cell r="AL340">
            <v>999999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BE340">
            <v>0</v>
          </cell>
          <cell r="BH340">
            <v>0</v>
          </cell>
          <cell r="BI340">
            <v>0</v>
          </cell>
          <cell r="BJ340">
            <v>0</v>
          </cell>
          <cell r="BK340">
            <v>0</v>
          </cell>
          <cell r="BL340">
            <v>0</v>
          </cell>
          <cell r="BM340">
            <v>0</v>
          </cell>
          <cell r="BN340">
            <v>0</v>
          </cell>
          <cell r="BO340">
            <v>0</v>
          </cell>
          <cell r="BP340">
            <v>0</v>
          </cell>
          <cell r="BQ340">
            <v>0</v>
          </cell>
          <cell r="CB340">
            <v>0</v>
          </cell>
          <cell r="CC340">
            <v>0</v>
          </cell>
          <cell r="CD340">
            <v>0</v>
          </cell>
          <cell r="CE340">
            <v>0</v>
          </cell>
          <cell r="CF340">
            <v>0</v>
          </cell>
          <cell r="CG340">
            <v>0</v>
          </cell>
          <cell r="CH340">
            <v>0</v>
          </cell>
          <cell r="CI340">
            <v>0</v>
          </cell>
          <cell r="CJ340">
            <v>0</v>
          </cell>
          <cell r="CK340">
            <v>0</v>
          </cell>
          <cell r="CW340">
            <v>0</v>
          </cell>
          <cell r="CY340">
            <v>0</v>
          </cell>
          <cell r="CZ340">
            <v>0</v>
          </cell>
          <cell r="DA340">
            <v>0</v>
          </cell>
          <cell r="DB340">
            <v>0</v>
          </cell>
          <cell r="DC340">
            <v>0</v>
          </cell>
          <cell r="DD340">
            <v>0</v>
          </cell>
          <cell r="DE340">
            <v>0</v>
          </cell>
          <cell r="DF340">
            <v>0</v>
          </cell>
          <cell r="DG340">
            <v>0</v>
          </cell>
          <cell r="DH340">
            <v>0</v>
          </cell>
          <cell r="DS340">
            <v>0</v>
          </cell>
          <cell r="DT340">
            <v>27</v>
          </cell>
          <cell r="DU340">
            <v>999999</v>
          </cell>
          <cell r="DV340">
            <v>999999</v>
          </cell>
          <cell r="DW340">
            <v>999999</v>
          </cell>
          <cell r="DX340">
            <v>0</v>
          </cell>
          <cell r="DY340">
            <v>27</v>
          </cell>
          <cell r="DZ340">
            <v>999999</v>
          </cell>
          <cell r="EA340">
            <v>999999</v>
          </cell>
          <cell r="EB340">
            <v>999999</v>
          </cell>
          <cell r="EC340">
            <v>0</v>
          </cell>
          <cell r="ED340">
            <v>0</v>
          </cell>
          <cell r="EE340">
            <v>0</v>
          </cell>
          <cell r="EF340">
            <v>0</v>
          </cell>
          <cell r="EG340">
            <v>0</v>
          </cell>
          <cell r="EH340">
            <v>0</v>
          </cell>
          <cell r="EI340">
            <v>0</v>
          </cell>
          <cell r="EJ340">
            <v>0</v>
          </cell>
          <cell r="EK340">
            <v>0</v>
          </cell>
          <cell r="EL340">
            <v>0</v>
          </cell>
          <cell r="EM340" t="str">
            <v/>
          </cell>
          <cell r="EN340" t="str">
            <v/>
          </cell>
          <cell r="EO340" t="str">
            <v/>
          </cell>
          <cell r="EP340" t="str">
            <v/>
          </cell>
          <cell r="EQ340" t="str">
            <v/>
          </cell>
          <cell r="ER340" t="str">
            <v/>
          </cell>
          <cell r="ES340" t="str">
            <v/>
          </cell>
          <cell r="ET340" t="str">
            <v/>
          </cell>
          <cell r="EU340" t="str">
            <v/>
          </cell>
          <cell r="EV340" t="str">
            <v/>
          </cell>
          <cell r="EW340" t="str">
            <v/>
          </cell>
          <cell r="EX340" t="str">
            <v/>
          </cell>
          <cell r="EY340" t="str">
            <v/>
          </cell>
          <cell r="EZ340" t="str">
            <v/>
          </cell>
          <cell r="FA340" t="str">
            <v/>
          </cell>
          <cell r="FB340" t="str">
            <v/>
          </cell>
          <cell r="FC340" t="str">
            <v/>
          </cell>
          <cell r="FD340" t="str">
            <v/>
          </cell>
          <cell r="FE340" t="str">
            <v/>
          </cell>
          <cell r="FF340" t="str">
            <v/>
          </cell>
          <cell r="FG340" t="str">
            <v/>
          </cell>
          <cell r="FH340" t="str">
            <v/>
          </cell>
          <cell r="FI340" t="str">
            <v/>
          </cell>
          <cell r="FJ340" t="str">
            <v/>
          </cell>
          <cell r="FK340" t="str">
            <v/>
          </cell>
          <cell r="FL340" t="str">
            <v/>
          </cell>
          <cell r="FM340" t="str">
            <v/>
          </cell>
          <cell r="FN340" t="str">
            <v/>
          </cell>
          <cell r="FO340" t="str">
            <v/>
          </cell>
          <cell r="FP340" t="str">
            <v/>
          </cell>
        </row>
        <row r="341">
          <cell r="N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AJ341">
            <v>0</v>
          </cell>
          <cell r="AK341">
            <v>0</v>
          </cell>
          <cell r="AL341">
            <v>999999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BE341">
            <v>0</v>
          </cell>
          <cell r="BH341">
            <v>0</v>
          </cell>
          <cell r="BI341">
            <v>0</v>
          </cell>
          <cell r="BJ341">
            <v>0</v>
          </cell>
          <cell r="BK341">
            <v>0</v>
          </cell>
          <cell r="BL341">
            <v>0</v>
          </cell>
          <cell r="BM341">
            <v>0</v>
          </cell>
          <cell r="BN341">
            <v>0</v>
          </cell>
          <cell r="BO341">
            <v>0</v>
          </cell>
          <cell r="BP341">
            <v>0</v>
          </cell>
          <cell r="BQ341">
            <v>0</v>
          </cell>
          <cell r="CB341">
            <v>0</v>
          </cell>
          <cell r="CC341">
            <v>0</v>
          </cell>
          <cell r="CD341">
            <v>0</v>
          </cell>
          <cell r="CE341">
            <v>0</v>
          </cell>
          <cell r="CF341">
            <v>0</v>
          </cell>
          <cell r="CG341">
            <v>0</v>
          </cell>
          <cell r="CH341">
            <v>0</v>
          </cell>
          <cell r="CI341">
            <v>0</v>
          </cell>
          <cell r="CJ341">
            <v>0</v>
          </cell>
          <cell r="CK341">
            <v>0</v>
          </cell>
          <cell r="CW341">
            <v>0</v>
          </cell>
          <cell r="CY341">
            <v>0</v>
          </cell>
          <cell r="CZ341">
            <v>0</v>
          </cell>
          <cell r="DA341">
            <v>0</v>
          </cell>
          <cell r="DB341">
            <v>0</v>
          </cell>
          <cell r="DC341">
            <v>0</v>
          </cell>
          <cell r="DD341">
            <v>0</v>
          </cell>
          <cell r="DE341">
            <v>0</v>
          </cell>
          <cell r="DF341">
            <v>0</v>
          </cell>
          <cell r="DG341">
            <v>0</v>
          </cell>
          <cell r="DH341">
            <v>0</v>
          </cell>
          <cell r="DS341">
            <v>0</v>
          </cell>
          <cell r="DT341">
            <v>26</v>
          </cell>
          <cell r="DU341">
            <v>999999</v>
          </cell>
          <cell r="DV341">
            <v>999999</v>
          </cell>
          <cell r="DW341">
            <v>999999</v>
          </cell>
          <cell r="DX341">
            <v>0</v>
          </cell>
          <cell r="DY341">
            <v>26</v>
          </cell>
          <cell r="DZ341">
            <v>999999</v>
          </cell>
          <cell r="EA341">
            <v>999999</v>
          </cell>
          <cell r="EB341">
            <v>999999</v>
          </cell>
          <cell r="EC341">
            <v>0</v>
          </cell>
          <cell r="ED341">
            <v>0</v>
          </cell>
          <cell r="EE341">
            <v>0</v>
          </cell>
          <cell r="EF341">
            <v>0</v>
          </cell>
          <cell r="EG341">
            <v>0</v>
          </cell>
          <cell r="EH341">
            <v>0</v>
          </cell>
          <cell r="EI341">
            <v>0</v>
          </cell>
          <cell r="EJ341">
            <v>0</v>
          </cell>
          <cell r="EK341">
            <v>0</v>
          </cell>
          <cell r="EL341">
            <v>0</v>
          </cell>
          <cell r="EM341" t="str">
            <v/>
          </cell>
          <cell r="EN341" t="str">
            <v/>
          </cell>
          <cell r="EO341" t="str">
            <v/>
          </cell>
          <cell r="EP341" t="str">
            <v/>
          </cell>
          <cell r="EQ341" t="str">
            <v/>
          </cell>
          <cell r="ER341" t="str">
            <v/>
          </cell>
          <cell r="ES341" t="str">
            <v/>
          </cell>
          <cell r="ET341" t="str">
            <v/>
          </cell>
          <cell r="EU341" t="str">
            <v/>
          </cell>
          <cell r="EV341" t="str">
            <v/>
          </cell>
          <cell r="EW341" t="str">
            <v/>
          </cell>
          <cell r="EX341" t="str">
            <v/>
          </cell>
          <cell r="EY341" t="str">
            <v/>
          </cell>
          <cell r="EZ341" t="str">
            <v/>
          </cell>
          <cell r="FA341" t="str">
            <v/>
          </cell>
          <cell r="FB341" t="str">
            <v/>
          </cell>
          <cell r="FC341" t="str">
            <v/>
          </cell>
          <cell r="FD341" t="str">
            <v/>
          </cell>
          <cell r="FE341" t="str">
            <v/>
          </cell>
          <cell r="FF341" t="str">
            <v/>
          </cell>
          <cell r="FG341" t="str">
            <v/>
          </cell>
          <cell r="FH341" t="str">
            <v/>
          </cell>
          <cell r="FI341" t="str">
            <v/>
          </cell>
          <cell r="FJ341" t="str">
            <v/>
          </cell>
          <cell r="FK341" t="str">
            <v/>
          </cell>
          <cell r="FL341" t="str">
            <v/>
          </cell>
          <cell r="FM341" t="str">
            <v/>
          </cell>
          <cell r="FN341" t="str">
            <v/>
          </cell>
          <cell r="FO341" t="str">
            <v/>
          </cell>
          <cell r="FP341" t="str">
            <v/>
          </cell>
        </row>
        <row r="342">
          <cell r="N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AJ342">
            <v>0</v>
          </cell>
          <cell r="AK342">
            <v>0</v>
          </cell>
          <cell r="AL342">
            <v>999999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BE342">
            <v>0</v>
          </cell>
          <cell r="BH342">
            <v>0</v>
          </cell>
          <cell r="BI342">
            <v>0</v>
          </cell>
          <cell r="BJ342">
            <v>0</v>
          </cell>
          <cell r="BK342">
            <v>0</v>
          </cell>
          <cell r="BL342">
            <v>0</v>
          </cell>
          <cell r="BM342">
            <v>0</v>
          </cell>
          <cell r="BN342">
            <v>0</v>
          </cell>
          <cell r="BO342">
            <v>0</v>
          </cell>
          <cell r="BP342">
            <v>0</v>
          </cell>
          <cell r="BQ342">
            <v>0</v>
          </cell>
          <cell r="CB342">
            <v>0</v>
          </cell>
          <cell r="CC342">
            <v>0</v>
          </cell>
          <cell r="CD342">
            <v>0</v>
          </cell>
          <cell r="CE342">
            <v>0</v>
          </cell>
          <cell r="CF342">
            <v>0</v>
          </cell>
          <cell r="CG342">
            <v>0</v>
          </cell>
          <cell r="CH342">
            <v>0</v>
          </cell>
          <cell r="CI342">
            <v>0</v>
          </cell>
          <cell r="CJ342">
            <v>0</v>
          </cell>
          <cell r="CK342">
            <v>0</v>
          </cell>
          <cell r="CW342">
            <v>0</v>
          </cell>
          <cell r="CY342">
            <v>0</v>
          </cell>
          <cell r="CZ342">
            <v>0</v>
          </cell>
          <cell r="DA342">
            <v>0</v>
          </cell>
          <cell r="DB342">
            <v>0</v>
          </cell>
          <cell r="DC342">
            <v>0</v>
          </cell>
          <cell r="DD342">
            <v>0</v>
          </cell>
          <cell r="DE342">
            <v>0</v>
          </cell>
          <cell r="DF342">
            <v>0</v>
          </cell>
          <cell r="DG342">
            <v>0</v>
          </cell>
          <cell r="DH342">
            <v>0</v>
          </cell>
          <cell r="DS342">
            <v>0</v>
          </cell>
          <cell r="DT342">
            <v>25</v>
          </cell>
          <cell r="DU342">
            <v>999999</v>
          </cell>
          <cell r="DV342">
            <v>999999</v>
          </cell>
          <cell r="DW342">
            <v>999999</v>
          </cell>
          <cell r="DX342">
            <v>0</v>
          </cell>
          <cell r="DY342">
            <v>25</v>
          </cell>
          <cell r="DZ342">
            <v>999999</v>
          </cell>
          <cell r="EA342">
            <v>999999</v>
          </cell>
          <cell r="EB342">
            <v>999999</v>
          </cell>
          <cell r="EC342">
            <v>0</v>
          </cell>
          <cell r="ED342">
            <v>0</v>
          </cell>
          <cell r="EE342">
            <v>0</v>
          </cell>
          <cell r="EF342">
            <v>0</v>
          </cell>
          <cell r="EG342">
            <v>0</v>
          </cell>
          <cell r="EH342">
            <v>0</v>
          </cell>
          <cell r="EI342">
            <v>0</v>
          </cell>
          <cell r="EJ342">
            <v>0</v>
          </cell>
          <cell r="EK342">
            <v>0</v>
          </cell>
          <cell r="EL342">
            <v>0</v>
          </cell>
          <cell r="EM342" t="str">
            <v/>
          </cell>
          <cell r="EN342" t="str">
            <v/>
          </cell>
          <cell r="EO342" t="str">
            <v/>
          </cell>
          <cell r="EP342" t="str">
            <v/>
          </cell>
          <cell r="EQ342" t="str">
            <v/>
          </cell>
          <cell r="ER342" t="str">
            <v/>
          </cell>
          <cell r="ES342" t="str">
            <v/>
          </cell>
          <cell r="ET342" t="str">
            <v/>
          </cell>
          <cell r="EU342" t="str">
            <v/>
          </cell>
          <cell r="EV342" t="str">
            <v/>
          </cell>
          <cell r="EW342" t="str">
            <v/>
          </cell>
          <cell r="EX342" t="str">
            <v/>
          </cell>
          <cell r="EY342" t="str">
            <v/>
          </cell>
          <cell r="EZ342" t="str">
            <v/>
          </cell>
          <cell r="FA342" t="str">
            <v/>
          </cell>
          <cell r="FB342" t="str">
            <v/>
          </cell>
          <cell r="FC342" t="str">
            <v/>
          </cell>
          <cell r="FD342" t="str">
            <v/>
          </cell>
          <cell r="FE342" t="str">
            <v/>
          </cell>
          <cell r="FF342" t="str">
            <v/>
          </cell>
          <cell r="FG342" t="str">
            <v/>
          </cell>
          <cell r="FH342" t="str">
            <v/>
          </cell>
          <cell r="FI342" t="str">
            <v/>
          </cell>
          <cell r="FJ342" t="str">
            <v/>
          </cell>
          <cell r="FK342" t="str">
            <v/>
          </cell>
          <cell r="FL342" t="str">
            <v/>
          </cell>
          <cell r="FM342" t="str">
            <v/>
          </cell>
          <cell r="FN342" t="str">
            <v/>
          </cell>
          <cell r="FO342" t="str">
            <v/>
          </cell>
          <cell r="FP342" t="str">
            <v/>
          </cell>
        </row>
        <row r="343">
          <cell r="N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AJ343">
            <v>0</v>
          </cell>
          <cell r="AK343">
            <v>0</v>
          </cell>
          <cell r="AL343">
            <v>999999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BE343">
            <v>0</v>
          </cell>
          <cell r="BH343">
            <v>0</v>
          </cell>
          <cell r="BI343">
            <v>0</v>
          </cell>
          <cell r="BJ343">
            <v>0</v>
          </cell>
          <cell r="BK343">
            <v>0</v>
          </cell>
          <cell r="BL343">
            <v>0</v>
          </cell>
          <cell r="BM343">
            <v>0</v>
          </cell>
          <cell r="BN343">
            <v>0</v>
          </cell>
          <cell r="BO343">
            <v>0</v>
          </cell>
          <cell r="BP343">
            <v>0</v>
          </cell>
          <cell r="BQ343">
            <v>0</v>
          </cell>
          <cell r="CB343">
            <v>0</v>
          </cell>
          <cell r="CC343">
            <v>0</v>
          </cell>
          <cell r="CD343">
            <v>0</v>
          </cell>
          <cell r="CE343">
            <v>0</v>
          </cell>
          <cell r="CF343">
            <v>0</v>
          </cell>
          <cell r="CG343">
            <v>0</v>
          </cell>
          <cell r="CH343">
            <v>0</v>
          </cell>
          <cell r="CI343">
            <v>0</v>
          </cell>
          <cell r="CJ343">
            <v>0</v>
          </cell>
          <cell r="CK343">
            <v>0</v>
          </cell>
          <cell r="CW343">
            <v>0</v>
          </cell>
          <cell r="CY343">
            <v>0</v>
          </cell>
          <cell r="CZ343">
            <v>0</v>
          </cell>
          <cell r="DA343">
            <v>0</v>
          </cell>
          <cell r="DB343">
            <v>0</v>
          </cell>
          <cell r="DC343">
            <v>0</v>
          </cell>
          <cell r="DD343">
            <v>0</v>
          </cell>
          <cell r="DE343">
            <v>0</v>
          </cell>
          <cell r="DF343">
            <v>0</v>
          </cell>
          <cell r="DG343">
            <v>0</v>
          </cell>
          <cell r="DH343">
            <v>0</v>
          </cell>
          <cell r="DS343">
            <v>0</v>
          </cell>
          <cell r="DT343">
            <v>24</v>
          </cell>
          <cell r="DU343">
            <v>999999</v>
          </cell>
          <cell r="DV343">
            <v>999999</v>
          </cell>
          <cell r="DW343">
            <v>999999</v>
          </cell>
          <cell r="DX343">
            <v>0</v>
          </cell>
          <cell r="DY343">
            <v>24</v>
          </cell>
          <cell r="DZ343">
            <v>999999</v>
          </cell>
          <cell r="EA343">
            <v>999999</v>
          </cell>
          <cell r="EB343">
            <v>999999</v>
          </cell>
          <cell r="EC343">
            <v>0</v>
          </cell>
          <cell r="ED343">
            <v>0</v>
          </cell>
          <cell r="EE343">
            <v>0</v>
          </cell>
          <cell r="EF343">
            <v>0</v>
          </cell>
          <cell r="EG343">
            <v>0</v>
          </cell>
          <cell r="EH343">
            <v>0</v>
          </cell>
          <cell r="EI343">
            <v>0</v>
          </cell>
          <cell r="EJ343">
            <v>0</v>
          </cell>
          <cell r="EK343">
            <v>0</v>
          </cell>
          <cell r="EL343">
            <v>0</v>
          </cell>
          <cell r="EM343" t="str">
            <v/>
          </cell>
          <cell r="EN343" t="str">
            <v/>
          </cell>
          <cell r="EO343" t="str">
            <v/>
          </cell>
          <cell r="EP343" t="str">
            <v/>
          </cell>
          <cell r="EQ343" t="str">
            <v/>
          </cell>
          <cell r="ER343" t="str">
            <v/>
          </cell>
          <cell r="ES343" t="str">
            <v/>
          </cell>
          <cell r="ET343" t="str">
            <v/>
          </cell>
          <cell r="EU343" t="str">
            <v/>
          </cell>
          <cell r="EV343" t="str">
            <v/>
          </cell>
          <cell r="EW343" t="str">
            <v/>
          </cell>
          <cell r="EX343" t="str">
            <v/>
          </cell>
          <cell r="EY343" t="str">
            <v/>
          </cell>
          <cell r="EZ343" t="str">
            <v/>
          </cell>
          <cell r="FA343" t="str">
            <v/>
          </cell>
          <cell r="FB343" t="str">
            <v/>
          </cell>
          <cell r="FC343" t="str">
            <v/>
          </cell>
          <cell r="FD343" t="str">
            <v/>
          </cell>
          <cell r="FE343" t="str">
            <v/>
          </cell>
          <cell r="FF343" t="str">
            <v/>
          </cell>
          <cell r="FG343" t="str">
            <v/>
          </cell>
          <cell r="FH343" t="str">
            <v/>
          </cell>
          <cell r="FI343" t="str">
            <v/>
          </cell>
          <cell r="FJ343" t="str">
            <v/>
          </cell>
          <cell r="FK343" t="str">
            <v/>
          </cell>
          <cell r="FL343" t="str">
            <v/>
          </cell>
          <cell r="FM343" t="str">
            <v/>
          </cell>
          <cell r="FN343" t="str">
            <v/>
          </cell>
          <cell r="FO343" t="str">
            <v/>
          </cell>
          <cell r="FP343" t="str">
            <v/>
          </cell>
        </row>
        <row r="344">
          <cell r="N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AJ344">
            <v>0</v>
          </cell>
          <cell r="AK344">
            <v>0</v>
          </cell>
          <cell r="AL344">
            <v>999999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BE344">
            <v>0</v>
          </cell>
          <cell r="BH344">
            <v>0</v>
          </cell>
          <cell r="BI344">
            <v>0</v>
          </cell>
          <cell r="BJ344">
            <v>0</v>
          </cell>
          <cell r="BK344">
            <v>0</v>
          </cell>
          <cell r="BL344">
            <v>0</v>
          </cell>
          <cell r="BM344">
            <v>0</v>
          </cell>
          <cell r="BN344">
            <v>0</v>
          </cell>
          <cell r="BO344">
            <v>0</v>
          </cell>
          <cell r="BP344">
            <v>0</v>
          </cell>
          <cell r="BQ344">
            <v>0</v>
          </cell>
          <cell r="CB344">
            <v>0</v>
          </cell>
          <cell r="CC344">
            <v>0</v>
          </cell>
          <cell r="CD344">
            <v>0</v>
          </cell>
          <cell r="CE344">
            <v>0</v>
          </cell>
          <cell r="CF344">
            <v>0</v>
          </cell>
          <cell r="CG344">
            <v>0</v>
          </cell>
          <cell r="CH344">
            <v>0</v>
          </cell>
          <cell r="CI344">
            <v>0</v>
          </cell>
          <cell r="CJ344">
            <v>0</v>
          </cell>
          <cell r="CK344">
            <v>0</v>
          </cell>
          <cell r="CW344">
            <v>0</v>
          </cell>
          <cell r="CY344">
            <v>0</v>
          </cell>
          <cell r="CZ344">
            <v>0</v>
          </cell>
          <cell r="DA344">
            <v>0</v>
          </cell>
          <cell r="DB344">
            <v>0</v>
          </cell>
          <cell r="DC344">
            <v>0</v>
          </cell>
          <cell r="DD344">
            <v>0</v>
          </cell>
          <cell r="DE344">
            <v>0</v>
          </cell>
          <cell r="DF344">
            <v>0</v>
          </cell>
          <cell r="DG344">
            <v>0</v>
          </cell>
          <cell r="DH344">
            <v>0</v>
          </cell>
          <cell r="DS344">
            <v>0</v>
          </cell>
          <cell r="DT344">
            <v>23</v>
          </cell>
          <cell r="DU344">
            <v>999999</v>
          </cell>
          <cell r="DV344">
            <v>999999</v>
          </cell>
          <cell r="DW344">
            <v>999999</v>
          </cell>
          <cell r="DX344">
            <v>0</v>
          </cell>
          <cell r="DY344">
            <v>23</v>
          </cell>
          <cell r="DZ344">
            <v>999999</v>
          </cell>
          <cell r="EA344">
            <v>999999</v>
          </cell>
          <cell r="EB344">
            <v>999999</v>
          </cell>
          <cell r="EC344">
            <v>0</v>
          </cell>
          <cell r="ED344">
            <v>0</v>
          </cell>
          <cell r="EE344">
            <v>0</v>
          </cell>
          <cell r="EF344">
            <v>0</v>
          </cell>
          <cell r="EG344">
            <v>0</v>
          </cell>
          <cell r="EH344">
            <v>0</v>
          </cell>
          <cell r="EI344">
            <v>0</v>
          </cell>
          <cell r="EJ344">
            <v>0</v>
          </cell>
          <cell r="EK344">
            <v>0</v>
          </cell>
          <cell r="EL344">
            <v>0</v>
          </cell>
          <cell r="EM344" t="str">
            <v/>
          </cell>
          <cell r="EN344" t="str">
            <v/>
          </cell>
          <cell r="EO344" t="str">
            <v/>
          </cell>
          <cell r="EP344" t="str">
            <v/>
          </cell>
          <cell r="EQ344" t="str">
            <v/>
          </cell>
          <cell r="ER344" t="str">
            <v/>
          </cell>
          <cell r="ES344" t="str">
            <v/>
          </cell>
          <cell r="ET344" t="str">
            <v/>
          </cell>
          <cell r="EU344" t="str">
            <v/>
          </cell>
          <cell r="EV344" t="str">
            <v/>
          </cell>
          <cell r="EW344" t="str">
            <v/>
          </cell>
          <cell r="EX344" t="str">
            <v/>
          </cell>
          <cell r="EY344" t="str">
            <v/>
          </cell>
          <cell r="EZ344" t="str">
            <v/>
          </cell>
          <cell r="FA344" t="str">
            <v/>
          </cell>
          <cell r="FB344" t="str">
            <v/>
          </cell>
          <cell r="FC344" t="str">
            <v/>
          </cell>
          <cell r="FD344" t="str">
            <v/>
          </cell>
          <cell r="FE344" t="str">
            <v/>
          </cell>
          <cell r="FF344" t="str">
            <v/>
          </cell>
          <cell r="FG344" t="str">
            <v/>
          </cell>
          <cell r="FH344" t="str">
            <v/>
          </cell>
          <cell r="FI344" t="str">
            <v/>
          </cell>
          <cell r="FJ344" t="str">
            <v/>
          </cell>
          <cell r="FK344" t="str">
            <v/>
          </cell>
          <cell r="FL344" t="str">
            <v/>
          </cell>
          <cell r="FM344" t="str">
            <v/>
          </cell>
          <cell r="FN344" t="str">
            <v/>
          </cell>
          <cell r="FO344" t="str">
            <v/>
          </cell>
          <cell r="FP344" t="str">
            <v/>
          </cell>
        </row>
        <row r="345">
          <cell r="N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AJ345">
            <v>0</v>
          </cell>
          <cell r="AK345">
            <v>0</v>
          </cell>
          <cell r="AL345">
            <v>999999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BE345">
            <v>48000</v>
          </cell>
          <cell r="BH345">
            <v>0</v>
          </cell>
          <cell r="BI345">
            <v>0</v>
          </cell>
          <cell r="BJ345">
            <v>0</v>
          </cell>
          <cell r="BK345">
            <v>0</v>
          </cell>
          <cell r="BL345">
            <v>0</v>
          </cell>
          <cell r="BM345">
            <v>0</v>
          </cell>
          <cell r="BN345">
            <v>0</v>
          </cell>
          <cell r="BO345">
            <v>0</v>
          </cell>
          <cell r="BP345">
            <v>0</v>
          </cell>
          <cell r="BQ345">
            <v>0</v>
          </cell>
          <cell r="CB345">
            <v>0</v>
          </cell>
          <cell r="CC345">
            <v>0</v>
          </cell>
          <cell r="CD345">
            <v>0</v>
          </cell>
          <cell r="CE345">
            <v>0</v>
          </cell>
          <cell r="CF345">
            <v>0</v>
          </cell>
          <cell r="CG345">
            <v>0</v>
          </cell>
          <cell r="CH345">
            <v>0</v>
          </cell>
          <cell r="CI345">
            <v>0</v>
          </cell>
          <cell r="CJ345">
            <v>0</v>
          </cell>
          <cell r="CK345">
            <v>0</v>
          </cell>
          <cell r="CW345">
            <v>0</v>
          </cell>
          <cell r="CY345">
            <v>0</v>
          </cell>
          <cell r="CZ345">
            <v>0</v>
          </cell>
          <cell r="DA345">
            <v>0</v>
          </cell>
          <cell r="DB345">
            <v>0</v>
          </cell>
          <cell r="DC345">
            <v>0</v>
          </cell>
          <cell r="DD345">
            <v>0</v>
          </cell>
          <cell r="DE345">
            <v>0</v>
          </cell>
          <cell r="DF345">
            <v>0</v>
          </cell>
          <cell r="DG345">
            <v>0</v>
          </cell>
          <cell r="DH345">
            <v>0</v>
          </cell>
          <cell r="DS345">
            <v>0</v>
          </cell>
          <cell r="DT345">
            <v>22</v>
          </cell>
          <cell r="DU345">
            <v>999999</v>
          </cell>
          <cell r="DV345">
            <v>999999</v>
          </cell>
          <cell r="DW345">
            <v>999999</v>
          </cell>
          <cell r="DX345">
            <v>0</v>
          </cell>
          <cell r="DY345">
            <v>22</v>
          </cell>
          <cell r="DZ345">
            <v>999999</v>
          </cell>
          <cell r="EA345">
            <v>999999</v>
          </cell>
          <cell r="EB345">
            <v>999999</v>
          </cell>
          <cell r="EC345">
            <v>0</v>
          </cell>
          <cell r="ED345">
            <v>0</v>
          </cell>
          <cell r="EE345">
            <v>0</v>
          </cell>
          <cell r="EF345">
            <v>0</v>
          </cell>
          <cell r="EG345">
            <v>0</v>
          </cell>
          <cell r="EH345">
            <v>0</v>
          </cell>
          <cell r="EI345">
            <v>0</v>
          </cell>
          <cell r="EJ345">
            <v>0</v>
          </cell>
          <cell r="EK345">
            <v>0</v>
          </cell>
          <cell r="EL345">
            <v>0</v>
          </cell>
          <cell r="EM345" t="str">
            <v/>
          </cell>
          <cell r="EN345" t="str">
            <v/>
          </cell>
          <cell r="EO345" t="str">
            <v/>
          </cell>
          <cell r="EP345" t="str">
            <v/>
          </cell>
          <cell r="EQ345" t="str">
            <v/>
          </cell>
          <cell r="ER345" t="str">
            <v/>
          </cell>
          <cell r="ES345" t="str">
            <v/>
          </cell>
          <cell r="ET345" t="str">
            <v/>
          </cell>
          <cell r="EU345" t="str">
            <v/>
          </cell>
          <cell r="EV345" t="str">
            <v/>
          </cell>
          <cell r="EW345" t="str">
            <v/>
          </cell>
          <cell r="EX345" t="str">
            <v/>
          </cell>
          <cell r="EY345" t="str">
            <v/>
          </cell>
          <cell r="EZ345" t="str">
            <v/>
          </cell>
          <cell r="FA345" t="str">
            <v/>
          </cell>
          <cell r="FB345" t="str">
            <v/>
          </cell>
          <cell r="FC345" t="str">
            <v/>
          </cell>
          <cell r="FD345" t="str">
            <v/>
          </cell>
          <cell r="FE345" t="str">
            <v/>
          </cell>
          <cell r="FF345" t="str">
            <v/>
          </cell>
          <cell r="FG345" t="str">
            <v/>
          </cell>
          <cell r="FH345" t="str">
            <v/>
          </cell>
          <cell r="FI345" t="str">
            <v/>
          </cell>
          <cell r="FJ345" t="str">
            <v/>
          </cell>
          <cell r="FK345" t="str">
            <v/>
          </cell>
          <cell r="FL345" t="str">
            <v/>
          </cell>
          <cell r="FM345" t="str">
            <v/>
          </cell>
          <cell r="FN345" t="str">
            <v/>
          </cell>
          <cell r="FO345" t="str">
            <v/>
          </cell>
          <cell r="FP345" t="str">
            <v/>
          </cell>
        </row>
        <row r="346">
          <cell r="N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AJ346">
            <v>0</v>
          </cell>
          <cell r="AK346">
            <v>0</v>
          </cell>
          <cell r="AL346">
            <v>999999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BE346">
            <v>0</v>
          </cell>
          <cell r="BH346">
            <v>0</v>
          </cell>
          <cell r="BI346">
            <v>0</v>
          </cell>
          <cell r="BJ346">
            <v>0</v>
          </cell>
          <cell r="BK346">
            <v>0</v>
          </cell>
          <cell r="BL346">
            <v>0</v>
          </cell>
          <cell r="BM346">
            <v>0</v>
          </cell>
          <cell r="BN346">
            <v>0</v>
          </cell>
          <cell r="BO346">
            <v>0</v>
          </cell>
          <cell r="BP346">
            <v>0</v>
          </cell>
          <cell r="BQ346">
            <v>0</v>
          </cell>
          <cell r="CB346">
            <v>0</v>
          </cell>
          <cell r="CC346">
            <v>0</v>
          </cell>
          <cell r="CD346">
            <v>0</v>
          </cell>
          <cell r="CE346">
            <v>0</v>
          </cell>
          <cell r="CF346">
            <v>0</v>
          </cell>
          <cell r="CG346">
            <v>0</v>
          </cell>
          <cell r="CH346">
            <v>0</v>
          </cell>
          <cell r="CI346">
            <v>0</v>
          </cell>
          <cell r="CJ346">
            <v>0</v>
          </cell>
          <cell r="CK346">
            <v>0</v>
          </cell>
          <cell r="CW346">
            <v>0</v>
          </cell>
          <cell r="CY346">
            <v>0</v>
          </cell>
          <cell r="CZ346">
            <v>0</v>
          </cell>
          <cell r="DA346">
            <v>0</v>
          </cell>
          <cell r="DB346">
            <v>0</v>
          </cell>
          <cell r="DC346">
            <v>0</v>
          </cell>
          <cell r="DD346">
            <v>0</v>
          </cell>
          <cell r="DE346">
            <v>0</v>
          </cell>
          <cell r="DF346">
            <v>0</v>
          </cell>
          <cell r="DG346">
            <v>0</v>
          </cell>
          <cell r="DH346">
            <v>0</v>
          </cell>
          <cell r="DS346">
            <v>0</v>
          </cell>
          <cell r="DT346">
            <v>21</v>
          </cell>
          <cell r="DU346">
            <v>999999</v>
          </cell>
          <cell r="DV346">
            <v>999999</v>
          </cell>
          <cell r="DW346">
            <v>999999</v>
          </cell>
          <cell r="DX346">
            <v>0</v>
          </cell>
          <cell r="DY346">
            <v>21</v>
          </cell>
          <cell r="DZ346">
            <v>999999</v>
          </cell>
          <cell r="EA346">
            <v>999999</v>
          </cell>
          <cell r="EB346">
            <v>999999</v>
          </cell>
          <cell r="EC346">
            <v>0</v>
          </cell>
          <cell r="ED346">
            <v>0</v>
          </cell>
          <cell r="EE346">
            <v>0</v>
          </cell>
          <cell r="EF346">
            <v>0</v>
          </cell>
          <cell r="EG346">
            <v>0</v>
          </cell>
          <cell r="EH346">
            <v>0</v>
          </cell>
          <cell r="EI346">
            <v>0</v>
          </cell>
          <cell r="EJ346">
            <v>0</v>
          </cell>
          <cell r="EK346">
            <v>0</v>
          </cell>
          <cell r="EL346">
            <v>0</v>
          </cell>
          <cell r="EM346" t="str">
            <v/>
          </cell>
          <cell r="EN346" t="str">
            <v/>
          </cell>
          <cell r="EO346" t="str">
            <v/>
          </cell>
          <cell r="EP346" t="str">
            <v/>
          </cell>
          <cell r="EQ346" t="str">
            <v/>
          </cell>
          <cell r="ER346" t="str">
            <v/>
          </cell>
          <cell r="ES346" t="str">
            <v/>
          </cell>
          <cell r="ET346" t="str">
            <v/>
          </cell>
          <cell r="EU346" t="str">
            <v/>
          </cell>
          <cell r="EV346" t="str">
            <v/>
          </cell>
          <cell r="EW346" t="str">
            <v/>
          </cell>
          <cell r="EX346" t="str">
            <v/>
          </cell>
          <cell r="EY346" t="str">
            <v/>
          </cell>
          <cell r="EZ346" t="str">
            <v/>
          </cell>
          <cell r="FA346" t="str">
            <v/>
          </cell>
          <cell r="FB346" t="str">
            <v/>
          </cell>
          <cell r="FC346" t="str">
            <v/>
          </cell>
          <cell r="FD346" t="str">
            <v/>
          </cell>
          <cell r="FE346" t="str">
            <v/>
          </cell>
          <cell r="FF346" t="str">
            <v/>
          </cell>
          <cell r="FG346" t="str">
            <v/>
          </cell>
          <cell r="FH346" t="str">
            <v/>
          </cell>
          <cell r="FI346" t="str">
            <v/>
          </cell>
          <cell r="FJ346" t="str">
            <v/>
          </cell>
          <cell r="FK346" t="str">
            <v/>
          </cell>
          <cell r="FL346" t="str">
            <v/>
          </cell>
          <cell r="FM346" t="str">
            <v/>
          </cell>
          <cell r="FN346" t="str">
            <v/>
          </cell>
          <cell r="FO346" t="str">
            <v/>
          </cell>
          <cell r="FP346" t="str">
            <v/>
          </cell>
        </row>
        <row r="347">
          <cell r="N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AJ347">
            <v>0</v>
          </cell>
          <cell r="AK347">
            <v>0</v>
          </cell>
          <cell r="AL347">
            <v>999999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BE347">
            <v>0</v>
          </cell>
          <cell r="BH347">
            <v>0</v>
          </cell>
          <cell r="BI347">
            <v>0</v>
          </cell>
          <cell r="BJ347">
            <v>0</v>
          </cell>
          <cell r="BK347">
            <v>0</v>
          </cell>
          <cell r="BL347">
            <v>0</v>
          </cell>
          <cell r="BM347">
            <v>0</v>
          </cell>
          <cell r="BN347">
            <v>0</v>
          </cell>
          <cell r="BO347">
            <v>0</v>
          </cell>
          <cell r="BP347">
            <v>0</v>
          </cell>
          <cell r="BQ347">
            <v>0</v>
          </cell>
          <cell r="CB347">
            <v>0</v>
          </cell>
          <cell r="CC347">
            <v>0</v>
          </cell>
          <cell r="CD347">
            <v>0</v>
          </cell>
          <cell r="CE347">
            <v>0</v>
          </cell>
          <cell r="CF347">
            <v>0</v>
          </cell>
          <cell r="CG347">
            <v>0</v>
          </cell>
          <cell r="CH347">
            <v>0</v>
          </cell>
          <cell r="CI347">
            <v>0</v>
          </cell>
          <cell r="CJ347">
            <v>0</v>
          </cell>
          <cell r="CK347">
            <v>0</v>
          </cell>
          <cell r="CW347">
            <v>0</v>
          </cell>
          <cell r="CY347">
            <v>0</v>
          </cell>
          <cell r="CZ347">
            <v>0</v>
          </cell>
          <cell r="DA347">
            <v>0</v>
          </cell>
          <cell r="DB347">
            <v>0</v>
          </cell>
          <cell r="DC347">
            <v>0</v>
          </cell>
          <cell r="DD347">
            <v>0</v>
          </cell>
          <cell r="DE347">
            <v>0</v>
          </cell>
          <cell r="DF347">
            <v>0</v>
          </cell>
          <cell r="DG347">
            <v>0</v>
          </cell>
          <cell r="DH347">
            <v>0</v>
          </cell>
          <cell r="DS347">
            <v>0</v>
          </cell>
          <cell r="DT347">
            <v>20</v>
          </cell>
          <cell r="DU347">
            <v>999999</v>
          </cell>
          <cell r="DV347">
            <v>999999</v>
          </cell>
          <cell r="DW347">
            <v>999999</v>
          </cell>
          <cell r="DX347">
            <v>0</v>
          </cell>
          <cell r="DY347">
            <v>20</v>
          </cell>
          <cell r="DZ347">
            <v>999999</v>
          </cell>
          <cell r="EA347">
            <v>999999</v>
          </cell>
          <cell r="EB347">
            <v>999999</v>
          </cell>
          <cell r="EC347">
            <v>0</v>
          </cell>
          <cell r="ED347">
            <v>0</v>
          </cell>
          <cell r="EE347">
            <v>0</v>
          </cell>
          <cell r="EF347">
            <v>0</v>
          </cell>
          <cell r="EG347">
            <v>0</v>
          </cell>
          <cell r="EH347">
            <v>0</v>
          </cell>
          <cell r="EI347">
            <v>0</v>
          </cell>
          <cell r="EJ347">
            <v>0</v>
          </cell>
          <cell r="EK347">
            <v>0</v>
          </cell>
          <cell r="EL347">
            <v>0</v>
          </cell>
          <cell r="EM347" t="str">
            <v/>
          </cell>
          <cell r="EN347" t="str">
            <v/>
          </cell>
          <cell r="EO347" t="str">
            <v/>
          </cell>
          <cell r="EP347" t="str">
            <v/>
          </cell>
          <cell r="EQ347" t="str">
            <v/>
          </cell>
          <cell r="ER347" t="str">
            <v/>
          </cell>
          <cell r="ES347" t="str">
            <v/>
          </cell>
          <cell r="ET347" t="str">
            <v/>
          </cell>
          <cell r="EU347" t="str">
            <v/>
          </cell>
          <cell r="EV347" t="str">
            <v/>
          </cell>
          <cell r="EW347" t="str">
            <v/>
          </cell>
          <cell r="EX347" t="str">
            <v/>
          </cell>
          <cell r="EY347" t="str">
            <v/>
          </cell>
          <cell r="EZ347" t="str">
            <v/>
          </cell>
          <cell r="FA347" t="str">
            <v/>
          </cell>
          <cell r="FB347" t="str">
            <v/>
          </cell>
          <cell r="FC347" t="str">
            <v/>
          </cell>
          <cell r="FD347" t="str">
            <v/>
          </cell>
          <cell r="FE347" t="str">
            <v/>
          </cell>
          <cell r="FF347" t="str">
            <v/>
          </cell>
          <cell r="FG347" t="str">
            <v/>
          </cell>
          <cell r="FH347" t="str">
            <v/>
          </cell>
          <cell r="FI347" t="str">
            <v/>
          </cell>
          <cell r="FJ347" t="str">
            <v/>
          </cell>
          <cell r="FK347" t="str">
            <v/>
          </cell>
          <cell r="FL347" t="str">
            <v/>
          </cell>
          <cell r="FM347" t="str">
            <v/>
          </cell>
          <cell r="FN347" t="str">
            <v/>
          </cell>
          <cell r="FO347" t="str">
            <v/>
          </cell>
          <cell r="FP347" t="str">
            <v/>
          </cell>
        </row>
        <row r="348">
          <cell r="N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AJ348">
            <v>0</v>
          </cell>
          <cell r="AK348">
            <v>0</v>
          </cell>
          <cell r="AL348">
            <v>999999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BE348">
            <v>0</v>
          </cell>
          <cell r="BH348">
            <v>0</v>
          </cell>
          <cell r="BI348">
            <v>0</v>
          </cell>
          <cell r="BJ348">
            <v>0</v>
          </cell>
          <cell r="BK348">
            <v>0</v>
          </cell>
          <cell r="BL348">
            <v>0</v>
          </cell>
          <cell r="BM348">
            <v>0</v>
          </cell>
          <cell r="BN348">
            <v>0</v>
          </cell>
          <cell r="BO348">
            <v>0</v>
          </cell>
          <cell r="BP348">
            <v>0</v>
          </cell>
          <cell r="BQ348">
            <v>0</v>
          </cell>
          <cell r="CB348">
            <v>0</v>
          </cell>
          <cell r="CC348">
            <v>0</v>
          </cell>
          <cell r="CD348">
            <v>0</v>
          </cell>
          <cell r="CE348">
            <v>0</v>
          </cell>
          <cell r="CF348">
            <v>0</v>
          </cell>
          <cell r="CG348">
            <v>0</v>
          </cell>
          <cell r="CH348">
            <v>0</v>
          </cell>
          <cell r="CI348">
            <v>0</v>
          </cell>
          <cell r="CJ348">
            <v>0</v>
          </cell>
          <cell r="CK348">
            <v>0</v>
          </cell>
          <cell r="CW348">
            <v>0</v>
          </cell>
          <cell r="CY348">
            <v>0</v>
          </cell>
          <cell r="CZ348">
            <v>0</v>
          </cell>
          <cell r="DA348">
            <v>0</v>
          </cell>
          <cell r="DB348">
            <v>0</v>
          </cell>
          <cell r="DC348">
            <v>0</v>
          </cell>
          <cell r="DD348">
            <v>0</v>
          </cell>
          <cell r="DE348">
            <v>0</v>
          </cell>
          <cell r="DF348">
            <v>0</v>
          </cell>
          <cell r="DG348">
            <v>0</v>
          </cell>
          <cell r="DH348">
            <v>0</v>
          </cell>
          <cell r="DS348">
            <v>0</v>
          </cell>
          <cell r="DT348">
            <v>19</v>
          </cell>
          <cell r="DU348">
            <v>999999</v>
          </cell>
          <cell r="DV348">
            <v>999999</v>
          </cell>
          <cell r="DW348">
            <v>999999</v>
          </cell>
          <cell r="DX348">
            <v>0</v>
          </cell>
          <cell r="DY348">
            <v>19</v>
          </cell>
          <cell r="DZ348">
            <v>999999</v>
          </cell>
          <cell r="EA348">
            <v>999999</v>
          </cell>
          <cell r="EB348">
            <v>999999</v>
          </cell>
          <cell r="EC348">
            <v>0</v>
          </cell>
          <cell r="ED348">
            <v>0</v>
          </cell>
          <cell r="EE348">
            <v>0</v>
          </cell>
          <cell r="EF348">
            <v>0</v>
          </cell>
          <cell r="EG348">
            <v>0</v>
          </cell>
          <cell r="EH348">
            <v>0</v>
          </cell>
          <cell r="EI348">
            <v>0</v>
          </cell>
          <cell r="EJ348">
            <v>0</v>
          </cell>
          <cell r="EK348">
            <v>0</v>
          </cell>
          <cell r="EL348">
            <v>0</v>
          </cell>
          <cell r="EM348" t="str">
            <v/>
          </cell>
          <cell r="EN348" t="str">
            <v/>
          </cell>
          <cell r="EO348" t="str">
            <v/>
          </cell>
          <cell r="EP348" t="str">
            <v/>
          </cell>
          <cell r="EQ348" t="str">
            <v/>
          </cell>
          <cell r="ER348" t="str">
            <v/>
          </cell>
          <cell r="ES348" t="str">
            <v/>
          </cell>
          <cell r="ET348" t="str">
            <v/>
          </cell>
          <cell r="EU348" t="str">
            <v/>
          </cell>
          <cell r="EV348" t="str">
            <v/>
          </cell>
          <cell r="EW348" t="str">
            <v/>
          </cell>
          <cell r="EX348" t="str">
            <v/>
          </cell>
          <cell r="EY348" t="str">
            <v/>
          </cell>
          <cell r="EZ348" t="str">
            <v/>
          </cell>
          <cell r="FA348" t="str">
            <v/>
          </cell>
          <cell r="FB348" t="str">
            <v/>
          </cell>
          <cell r="FC348" t="str">
            <v/>
          </cell>
          <cell r="FD348" t="str">
            <v/>
          </cell>
          <cell r="FE348" t="str">
            <v/>
          </cell>
          <cell r="FF348" t="str">
            <v/>
          </cell>
          <cell r="FG348" t="str">
            <v/>
          </cell>
          <cell r="FH348" t="str">
            <v/>
          </cell>
          <cell r="FI348" t="str">
            <v/>
          </cell>
          <cell r="FJ348" t="str">
            <v/>
          </cell>
          <cell r="FK348" t="str">
            <v/>
          </cell>
          <cell r="FL348" t="str">
            <v/>
          </cell>
          <cell r="FM348" t="str">
            <v/>
          </cell>
          <cell r="FN348" t="str">
            <v/>
          </cell>
          <cell r="FO348" t="str">
            <v/>
          </cell>
          <cell r="FP348" t="str">
            <v/>
          </cell>
        </row>
        <row r="349">
          <cell r="N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AJ349">
            <v>0</v>
          </cell>
          <cell r="AK349">
            <v>0</v>
          </cell>
          <cell r="AL349">
            <v>999999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BE349">
            <v>0</v>
          </cell>
          <cell r="BH349">
            <v>0</v>
          </cell>
          <cell r="BI349">
            <v>0</v>
          </cell>
          <cell r="BJ349">
            <v>0</v>
          </cell>
          <cell r="BK349">
            <v>0</v>
          </cell>
          <cell r="BL349">
            <v>0</v>
          </cell>
          <cell r="BM349">
            <v>0</v>
          </cell>
          <cell r="BN349">
            <v>0</v>
          </cell>
          <cell r="BO349">
            <v>0</v>
          </cell>
          <cell r="BP349">
            <v>0</v>
          </cell>
          <cell r="BQ349">
            <v>0</v>
          </cell>
          <cell r="CB349">
            <v>0</v>
          </cell>
          <cell r="CC349">
            <v>0</v>
          </cell>
          <cell r="CD349">
            <v>0</v>
          </cell>
          <cell r="CE349">
            <v>0</v>
          </cell>
          <cell r="CF349">
            <v>0</v>
          </cell>
          <cell r="CG349">
            <v>0</v>
          </cell>
          <cell r="CH349">
            <v>0</v>
          </cell>
          <cell r="CI349">
            <v>0</v>
          </cell>
          <cell r="CJ349">
            <v>0</v>
          </cell>
          <cell r="CK349">
            <v>0</v>
          </cell>
          <cell r="CW349">
            <v>0</v>
          </cell>
          <cell r="CY349">
            <v>0</v>
          </cell>
          <cell r="CZ349">
            <v>0</v>
          </cell>
          <cell r="DA349">
            <v>0</v>
          </cell>
          <cell r="DB349">
            <v>0</v>
          </cell>
          <cell r="DC349">
            <v>0</v>
          </cell>
          <cell r="DD349">
            <v>0</v>
          </cell>
          <cell r="DE349">
            <v>0</v>
          </cell>
          <cell r="DF349">
            <v>0</v>
          </cell>
          <cell r="DG349">
            <v>0</v>
          </cell>
          <cell r="DH349">
            <v>0</v>
          </cell>
          <cell r="DS349">
            <v>0</v>
          </cell>
          <cell r="DT349">
            <v>18</v>
          </cell>
          <cell r="DU349">
            <v>999999</v>
          </cell>
          <cell r="DV349">
            <v>999999</v>
          </cell>
          <cell r="DW349">
            <v>999999</v>
          </cell>
          <cell r="DX349">
            <v>0</v>
          </cell>
          <cell r="DY349">
            <v>18</v>
          </cell>
          <cell r="DZ349">
            <v>999999</v>
          </cell>
          <cell r="EA349">
            <v>999999</v>
          </cell>
          <cell r="EB349">
            <v>999999</v>
          </cell>
          <cell r="EC349">
            <v>0</v>
          </cell>
          <cell r="ED349">
            <v>0</v>
          </cell>
          <cell r="EE349">
            <v>0</v>
          </cell>
          <cell r="EF349">
            <v>0</v>
          </cell>
          <cell r="EG349">
            <v>0</v>
          </cell>
          <cell r="EH349">
            <v>0</v>
          </cell>
          <cell r="EI349">
            <v>0</v>
          </cell>
          <cell r="EJ349">
            <v>0</v>
          </cell>
          <cell r="EK349">
            <v>0</v>
          </cell>
          <cell r="EL349">
            <v>0</v>
          </cell>
          <cell r="EM349" t="str">
            <v/>
          </cell>
          <cell r="EN349" t="str">
            <v/>
          </cell>
          <cell r="EO349" t="str">
            <v/>
          </cell>
          <cell r="EP349" t="str">
            <v/>
          </cell>
          <cell r="EQ349" t="str">
            <v/>
          </cell>
          <cell r="ER349" t="str">
            <v/>
          </cell>
          <cell r="ES349" t="str">
            <v/>
          </cell>
          <cell r="ET349" t="str">
            <v/>
          </cell>
          <cell r="EU349" t="str">
            <v/>
          </cell>
          <cell r="EV349" t="str">
            <v/>
          </cell>
          <cell r="EW349" t="str">
            <v/>
          </cell>
          <cell r="EX349" t="str">
            <v/>
          </cell>
          <cell r="EY349" t="str">
            <v/>
          </cell>
          <cell r="EZ349" t="str">
            <v/>
          </cell>
          <cell r="FA349" t="str">
            <v/>
          </cell>
          <cell r="FB349" t="str">
            <v/>
          </cell>
          <cell r="FC349" t="str">
            <v/>
          </cell>
          <cell r="FD349" t="str">
            <v/>
          </cell>
          <cell r="FE349" t="str">
            <v/>
          </cell>
          <cell r="FF349" t="str">
            <v/>
          </cell>
          <cell r="FG349" t="str">
            <v/>
          </cell>
          <cell r="FH349" t="str">
            <v/>
          </cell>
          <cell r="FI349" t="str">
            <v/>
          </cell>
          <cell r="FJ349" t="str">
            <v/>
          </cell>
          <cell r="FK349" t="str">
            <v/>
          </cell>
          <cell r="FL349" t="str">
            <v/>
          </cell>
          <cell r="FM349" t="str">
            <v/>
          </cell>
          <cell r="FN349" t="str">
            <v/>
          </cell>
          <cell r="FO349" t="str">
            <v/>
          </cell>
          <cell r="FP349" t="str">
            <v/>
          </cell>
        </row>
        <row r="350">
          <cell r="N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AJ350">
            <v>0</v>
          </cell>
          <cell r="AK350">
            <v>0</v>
          </cell>
          <cell r="AL350">
            <v>999999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BE350">
            <v>0</v>
          </cell>
          <cell r="BH350">
            <v>0</v>
          </cell>
          <cell r="BI350">
            <v>0</v>
          </cell>
          <cell r="BJ350">
            <v>0</v>
          </cell>
          <cell r="BK350">
            <v>0</v>
          </cell>
          <cell r="BL350">
            <v>0</v>
          </cell>
          <cell r="BM350">
            <v>0</v>
          </cell>
          <cell r="BN350">
            <v>0</v>
          </cell>
          <cell r="BO350">
            <v>0</v>
          </cell>
          <cell r="BP350">
            <v>0</v>
          </cell>
          <cell r="BQ350">
            <v>0</v>
          </cell>
          <cell r="CB350">
            <v>0</v>
          </cell>
          <cell r="CC350">
            <v>0</v>
          </cell>
          <cell r="CD350">
            <v>0</v>
          </cell>
          <cell r="CE350">
            <v>0</v>
          </cell>
          <cell r="CF350">
            <v>0</v>
          </cell>
          <cell r="CG350">
            <v>0</v>
          </cell>
          <cell r="CH350">
            <v>0</v>
          </cell>
          <cell r="CI350">
            <v>0</v>
          </cell>
          <cell r="CJ350">
            <v>0</v>
          </cell>
          <cell r="CK350">
            <v>0</v>
          </cell>
          <cell r="CW350">
            <v>0</v>
          </cell>
          <cell r="CY350">
            <v>0</v>
          </cell>
          <cell r="CZ350">
            <v>0</v>
          </cell>
          <cell r="DA350">
            <v>0</v>
          </cell>
          <cell r="DB350">
            <v>0</v>
          </cell>
          <cell r="DC350">
            <v>0</v>
          </cell>
          <cell r="DD350">
            <v>0</v>
          </cell>
          <cell r="DE350">
            <v>0</v>
          </cell>
          <cell r="DF350">
            <v>0</v>
          </cell>
          <cell r="DG350">
            <v>0</v>
          </cell>
          <cell r="DH350">
            <v>0</v>
          </cell>
          <cell r="DS350">
            <v>0</v>
          </cell>
          <cell r="DT350">
            <v>17</v>
          </cell>
          <cell r="DU350">
            <v>999999</v>
          </cell>
          <cell r="DV350">
            <v>999999</v>
          </cell>
          <cell r="DW350">
            <v>999999</v>
          </cell>
          <cell r="DX350">
            <v>0</v>
          </cell>
          <cell r="DY350">
            <v>17</v>
          </cell>
          <cell r="DZ350">
            <v>999999</v>
          </cell>
          <cell r="EA350">
            <v>999999</v>
          </cell>
          <cell r="EB350">
            <v>999999</v>
          </cell>
          <cell r="EC350">
            <v>0</v>
          </cell>
          <cell r="ED350">
            <v>0</v>
          </cell>
          <cell r="EE350">
            <v>0</v>
          </cell>
          <cell r="EF350">
            <v>0</v>
          </cell>
          <cell r="EG350">
            <v>0</v>
          </cell>
          <cell r="EH350">
            <v>0</v>
          </cell>
          <cell r="EI350">
            <v>0</v>
          </cell>
          <cell r="EJ350">
            <v>0</v>
          </cell>
          <cell r="EK350">
            <v>0</v>
          </cell>
          <cell r="EL350">
            <v>0</v>
          </cell>
          <cell r="EM350" t="str">
            <v/>
          </cell>
          <cell r="EN350" t="str">
            <v/>
          </cell>
          <cell r="EO350" t="str">
            <v/>
          </cell>
          <cell r="EP350" t="str">
            <v/>
          </cell>
          <cell r="EQ350" t="str">
            <v/>
          </cell>
          <cell r="ER350" t="str">
            <v/>
          </cell>
          <cell r="ES350" t="str">
            <v/>
          </cell>
          <cell r="ET350" t="str">
            <v/>
          </cell>
          <cell r="EU350" t="str">
            <v/>
          </cell>
          <cell r="EV350" t="str">
            <v/>
          </cell>
          <cell r="EW350" t="str">
            <v/>
          </cell>
          <cell r="EX350" t="str">
            <v/>
          </cell>
          <cell r="EY350" t="str">
            <v/>
          </cell>
          <cell r="EZ350" t="str">
            <v/>
          </cell>
          <cell r="FA350" t="str">
            <v/>
          </cell>
          <cell r="FB350" t="str">
            <v/>
          </cell>
          <cell r="FC350" t="str">
            <v/>
          </cell>
          <cell r="FD350" t="str">
            <v/>
          </cell>
          <cell r="FE350" t="str">
            <v/>
          </cell>
          <cell r="FF350" t="str">
            <v/>
          </cell>
          <cell r="FG350" t="str">
            <v/>
          </cell>
          <cell r="FH350" t="str">
            <v/>
          </cell>
          <cell r="FI350" t="str">
            <v/>
          </cell>
          <cell r="FJ350" t="str">
            <v/>
          </cell>
          <cell r="FK350" t="str">
            <v/>
          </cell>
          <cell r="FL350" t="str">
            <v/>
          </cell>
          <cell r="FM350" t="str">
            <v/>
          </cell>
          <cell r="FN350" t="str">
            <v/>
          </cell>
          <cell r="FO350" t="str">
            <v/>
          </cell>
          <cell r="FP350" t="str">
            <v/>
          </cell>
        </row>
        <row r="351">
          <cell r="N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AJ351">
            <v>0</v>
          </cell>
          <cell r="AK351">
            <v>0</v>
          </cell>
          <cell r="AL351">
            <v>999999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BE351">
            <v>0</v>
          </cell>
          <cell r="BH351">
            <v>0</v>
          </cell>
          <cell r="BI351">
            <v>0</v>
          </cell>
          <cell r="BJ351">
            <v>0</v>
          </cell>
          <cell r="BK351">
            <v>0</v>
          </cell>
          <cell r="BL351">
            <v>0</v>
          </cell>
          <cell r="BM351">
            <v>0</v>
          </cell>
          <cell r="BN351">
            <v>0</v>
          </cell>
          <cell r="BO351">
            <v>0</v>
          </cell>
          <cell r="BP351">
            <v>0</v>
          </cell>
          <cell r="BQ351">
            <v>0</v>
          </cell>
          <cell r="CB351">
            <v>0</v>
          </cell>
          <cell r="CC351">
            <v>0</v>
          </cell>
          <cell r="CD351">
            <v>0</v>
          </cell>
          <cell r="CE351">
            <v>0</v>
          </cell>
          <cell r="CF351">
            <v>0</v>
          </cell>
          <cell r="CG351">
            <v>0</v>
          </cell>
          <cell r="CH351">
            <v>0</v>
          </cell>
          <cell r="CI351">
            <v>0</v>
          </cell>
          <cell r="CJ351">
            <v>0</v>
          </cell>
          <cell r="CK351">
            <v>0</v>
          </cell>
          <cell r="CW351">
            <v>0</v>
          </cell>
          <cell r="CY351">
            <v>0</v>
          </cell>
          <cell r="CZ351">
            <v>0</v>
          </cell>
          <cell r="DA351">
            <v>0</v>
          </cell>
          <cell r="DB351">
            <v>0</v>
          </cell>
          <cell r="DC351">
            <v>0</v>
          </cell>
          <cell r="DD351">
            <v>0</v>
          </cell>
          <cell r="DE351">
            <v>0</v>
          </cell>
          <cell r="DF351">
            <v>0</v>
          </cell>
          <cell r="DG351">
            <v>0</v>
          </cell>
          <cell r="DH351">
            <v>0</v>
          </cell>
          <cell r="DS351">
            <v>0</v>
          </cell>
          <cell r="DT351">
            <v>16</v>
          </cell>
          <cell r="DU351">
            <v>999999</v>
          </cell>
          <cell r="DV351">
            <v>999999</v>
          </cell>
          <cell r="DW351">
            <v>999999</v>
          </cell>
          <cell r="DX351">
            <v>0</v>
          </cell>
          <cell r="DY351">
            <v>16</v>
          </cell>
          <cell r="DZ351">
            <v>999999</v>
          </cell>
          <cell r="EA351">
            <v>999999</v>
          </cell>
          <cell r="EB351">
            <v>999999</v>
          </cell>
          <cell r="EC351">
            <v>0</v>
          </cell>
          <cell r="ED351">
            <v>0</v>
          </cell>
          <cell r="EE351">
            <v>0</v>
          </cell>
          <cell r="EF351">
            <v>0</v>
          </cell>
          <cell r="EG351">
            <v>0</v>
          </cell>
          <cell r="EH351">
            <v>0</v>
          </cell>
          <cell r="EI351">
            <v>0</v>
          </cell>
          <cell r="EJ351">
            <v>0</v>
          </cell>
          <cell r="EK351">
            <v>0</v>
          </cell>
          <cell r="EL351">
            <v>0</v>
          </cell>
          <cell r="EM351" t="str">
            <v/>
          </cell>
          <cell r="EN351" t="str">
            <v/>
          </cell>
          <cell r="EO351" t="str">
            <v/>
          </cell>
          <cell r="EP351" t="str">
            <v/>
          </cell>
          <cell r="EQ351" t="str">
            <v/>
          </cell>
          <cell r="ER351" t="str">
            <v/>
          </cell>
          <cell r="ES351" t="str">
            <v/>
          </cell>
          <cell r="ET351" t="str">
            <v/>
          </cell>
          <cell r="EU351" t="str">
            <v/>
          </cell>
          <cell r="EV351" t="str">
            <v/>
          </cell>
          <cell r="EW351" t="str">
            <v/>
          </cell>
          <cell r="EX351" t="str">
            <v/>
          </cell>
          <cell r="EY351" t="str">
            <v/>
          </cell>
          <cell r="EZ351" t="str">
            <v/>
          </cell>
          <cell r="FA351" t="str">
            <v/>
          </cell>
          <cell r="FB351" t="str">
            <v/>
          </cell>
          <cell r="FC351" t="str">
            <v/>
          </cell>
          <cell r="FD351" t="str">
            <v/>
          </cell>
          <cell r="FE351" t="str">
            <v/>
          </cell>
          <cell r="FF351" t="str">
            <v/>
          </cell>
          <cell r="FG351" t="str">
            <v/>
          </cell>
          <cell r="FH351" t="str">
            <v/>
          </cell>
          <cell r="FI351" t="str">
            <v/>
          </cell>
          <cell r="FJ351" t="str">
            <v/>
          </cell>
          <cell r="FK351" t="str">
            <v/>
          </cell>
          <cell r="FL351" t="str">
            <v/>
          </cell>
          <cell r="FM351" t="str">
            <v/>
          </cell>
          <cell r="FN351" t="str">
            <v/>
          </cell>
          <cell r="FO351" t="str">
            <v/>
          </cell>
          <cell r="FP351" t="str">
            <v/>
          </cell>
        </row>
        <row r="352">
          <cell r="N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AJ352">
            <v>0</v>
          </cell>
          <cell r="AK352">
            <v>0</v>
          </cell>
          <cell r="AL352">
            <v>999999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BE352">
            <v>0</v>
          </cell>
          <cell r="BH352">
            <v>0</v>
          </cell>
          <cell r="BI352">
            <v>0</v>
          </cell>
          <cell r="BJ352">
            <v>0</v>
          </cell>
          <cell r="BK352">
            <v>0</v>
          </cell>
          <cell r="BL352">
            <v>0</v>
          </cell>
          <cell r="BM352">
            <v>0</v>
          </cell>
          <cell r="BN352">
            <v>0</v>
          </cell>
          <cell r="BO352">
            <v>0</v>
          </cell>
          <cell r="BP352">
            <v>0</v>
          </cell>
          <cell r="BQ352">
            <v>0</v>
          </cell>
          <cell r="CB352">
            <v>0</v>
          </cell>
          <cell r="CC352">
            <v>0</v>
          </cell>
          <cell r="CD352">
            <v>0</v>
          </cell>
          <cell r="CE352">
            <v>0</v>
          </cell>
          <cell r="CF352">
            <v>0</v>
          </cell>
          <cell r="CG352">
            <v>0</v>
          </cell>
          <cell r="CH352">
            <v>0</v>
          </cell>
          <cell r="CI352">
            <v>0</v>
          </cell>
          <cell r="CJ352">
            <v>0</v>
          </cell>
          <cell r="CK352">
            <v>0</v>
          </cell>
          <cell r="CW352">
            <v>0</v>
          </cell>
          <cell r="CY352">
            <v>0</v>
          </cell>
          <cell r="CZ352">
            <v>0</v>
          </cell>
          <cell r="DA352">
            <v>0</v>
          </cell>
          <cell r="DB352">
            <v>0</v>
          </cell>
          <cell r="DC352">
            <v>0</v>
          </cell>
          <cell r="DD352">
            <v>0</v>
          </cell>
          <cell r="DE352">
            <v>0</v>
          </cell>
          <cell r="DF352">
            <v>0</v>
          </cell>
          <cell r="DG352">
            <v>0</v>
          </cell>
          <cell r="DH352">
            <v>0</v>
          </cell>
          <cell r="DS352">
            <v>0</v>
          </cell>
          <cell r="DT352">
            <v>15</v>
          </cell>
          <cell r="DU352">
            <v>999999</v>
          </cell>
          <cell r="DV352">
            <v>999999</v>
          </cell>
          <cell r="DW352">
            <v>999999</v>
          </cell>
          <cell r="DX352">
            <v>0</v>
          </cell>
          <cell r="DY352">
            <v>15</v>
          </cell>
          <cell r="DZ352">
            <v>999999</v>
          </cell>
          <cell r="EA352">
            <v>999999</v>
          </cell>
          <cell r="EB352">
            <v>999999</v>
          </cell>
          <cell r="EC352">
            <v>0</v>
          </cell>
          <cell r="ED352">
            <v>0</v>
          </cell>
          <cell r="EE352">
            <v>0</v>
          </cell>
          <cell r="EF352">
            <v>0</v>
          </cell>
          <cell r="EG352">
            <v>0</v>
          </cell>
          <cell r="EH352">
            <v>0</v>
          </cell>
          <cell r="EI352">
            <v>0</v>
          </cell>
          <cell r="EJ352">
            <v>0</v>
          </cell>
          <cell r="EK352">
            <v>0</v>
          </cell>
          <cell r="EL352">
            <v>0</v>
          </cell>
          <cell r="EM352" t="str">
            <v/>
          </cell>
          <cell r="EN352" t="str">
            <v/>
          </cell>
          <cell r="EO352" t="str">
            <v/>
          </cell>
          <cell r="EP352" t="str">
            <v/>
          </cell>
          <cell r="EQ352" t="str">
            <v/>
          </cell>
          <cell r="ER352" t="str">
            <v/>
          </cell>
          <cell r="ES352" t="str">
            <v/>
          </cell>
          <cell r="ET352" t="str">
            <v/>
          </cell>
          <cell r="EU352" t="str">
            <v/>
          </cell>
          <cell r="EV352" t="str">
            <v/>
          </cell>
          <cell r="EW352" t="str">
            <v/>
          </cell>
          <cell r="EX352" t="str">
            <v/>
          </cell>
          <cell r="EY352" t="str">
            <v/>
          </cell>
          <cell r="EZ352" t="str">
            <v/>
          </cell>
          <cell r="FA352" t="str">
            <v/>
          </cell>
          <cell r="FB352" t="str">
            <v/>
          </cell>
          <cell r="FC352" t="str">
            <v/>
          </cell>
          <cell r="FD352" t="str">
            <v/>
          </cell>
          <cell r="FE352" t="str">
            <v/>
          </cell>
          <cell r="FF352" t="str">
            <v/>
          </cell>
          <cell r="FG352" t="str">
            <v/>
          </cell>
          <cell r="FH352" t="str">
            <v/>
          </cell>
          <cell r="FI352" t="str">
            <v/>
          </cell>
          <cell r="FJ352" t="str">
            <v/>
          </cell>
          <cell r="FK352" t="str">
            <v/>
          </cell>
          <cell r="FL352" t="str">
            <v/>
          </cell>
          <cell r="FM352" t="str">
            <v/>
          </cell>
          <cell r="FN352" t="str">
            <v/>
          </cell>
          <cell r="FO352" t="str">
            <v/>
          </cell>
          <cell r="FP352" t="str">
            <v/>
          </cell>
        </row>
        <row r="353">
          <cell r="N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AJ353">
            <v>0</v>
          </cell>
          <cell r="AK353">
            <v>0</v>
          </cell>
          <cell r="AL353">
            <v>999999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BE353">
            <v>48000</v>
          </cell>
          <cell r="BH353">
            <v>0</v>
          </cell>
          <cell r="BI353">
            <v>0</v>
          </cell>
          <cell r="BJ353">
            <v>0</v>
          </cell>
          <cell r="BK353">
            <v>0</v>
          </cell>
          <cell r="BL353">
            <v>0</v>
          </cell>
          <cell r="BM353">
            <v>0</v>
          </cell>
          <cell r="BN353">
            <v>0</v>
          </cell>
          <cell r="BO353">
            <v>0</v>
          </cell>
          <cell r="BP353">
            <v>0</v>
          </cell>
          <cell r="BQ353">
            <v>0</v>
          </cell>
          <cell r="CB353">
            <v>0</v>
          </cell>
          <cell r="CC353">
            <v>0</v>
          </cell>
          <cell r="CD353">
            <v>0</v>
          </cell>
          <cell r="CE353">
            <v>0</v>
          </cell>
          <cell r="CF353">
            <v>0</v>
          </cell>
          <cell r="CG353">
            <v>0</v>
          </cell>
          <cell r="CH353">
            <v>0</v>
          </cell>
          <cell r="CI353">
            <v>0</v>
          </cell>
          <cell r="CJ353">
            <v>0</v>
          </cell>
          <cell r="CK353">
            <v>0</v>
          </cell>
          <cell r="CW353">
            <v>0</v>
          </cell>
          <cell r="CY353">
            <v>0</v>
          </cell>
          <cell r="CZ353">
            <v>0</v>
          </cell>
          <cell r="DA353">
            <v>0</v>
          </cell>
          <cell r="DB353">
            <v>0</v>
          </cell>
          <cell r="DC353">
            <v>0</v>
          </cell>
          <cell r="DD353">
            <v>0</v>
          </cell>
          <cell r="DE353">
            <v>0</v>
          </cell>
          <cell r="DF353">
            <v>0</v>
          </cell>
          <cell r="DG353">
            <v>0</v>
          </cell>
          <cell r="DH353">
            <v>0</v>
          </cell>
          <cell r="DS353">
            <v>0</v>
          </cell>
          <cell r="DT353">
            <v>14</v>
          </cell>
          <cell r="DU353">
            <v>999999</v>
          </cell>
          <cell r="DV353">
            <v>999999</v>
          </cell>
          <cell r="DW353">
            <v>999999</v>
          </cell>
          <cell r="DX353">
            <v>0</v>
          </cell>
          <cell r="DY353">
            <v>14</v>
          </cell>
          <cell r="DZ353">
            <v>999999</v>
          </cell>
          <cell r="EA353">
            <v>999999</v>
          </cell>
          <cell r="EB353">
            <v>999999</v>
          </cell>
          <cell r="EC353">
            <v>0</v>
          </cell>
          <cell r="ED353">
            <v>0</v>
          </cell>
          <cell r="EE353">
            <v>0</v>
          </cell>
          <cell r="EF353">
            <v>0</v>
          </cell>
          <cell r="EG353">
            <v>0</v>
          </cell>
          <cell r="EH353">
            <v>0</v>
          </cell>
          <cell r="EI353">
            <v>0</v>
          </cell>
          <cell r="EJ353">
            <v>0</v>
          </cell>
          <cell r="EK353">
            <v>0</v>
          </cell>
          <cell r="EL353">
            <v>0</v>
          </cell>
          <cell r="EM353" t="str">
            <v/>
          </cell>
          <cell r="EN353" t="str">
            <v/>
          </cell>
          <cell r="EO353" t="str">
            <v/>
          </cell>
          <cell r="EP353" t="str">
            <v/>
          </cell>
          <cell r="EQ353" t="str">
            <v/>
          </cell>
          <cell r="ER353" t="str">
            <v/>
          </cell>
          <cell r="ES353" t="str">
            <v/>
          </cell>
          <cell r="ET353" t="str">
            <v/>
          </cell>
          <cell r="EU353" t="str">
            <v/>
          </cell>
          <cell r="EV353" t="str">
            <v/>
          </cell>
          <cell r="EW353" t="str">
            <v/>
          </cell>
          <cell r="EX353" t="str">
            <v/>
          </cell>
          <cell r="EY353" t="str">
            <v/>
          </cell>
          <cell r="EZ353" t="str">
            <v/>
          </cell>
          <cell r="FA353" t="str">
            <v/>
          </cell>
          <cell r="FB353" t="str">
            <v/>
          </cell>
          <cell r="FC353" t="str">
            <v/>
          </cell>
          <cell r="FD353" t="str">
            <v/>
          </cell>
          <cell r="FE353" t="str">
            <v/>
          </cell>
          <cell r="FF353" t="str">
            <v/>
          </cell>
          <cell r="FG353" t="str">
            <v/>
          </cell>
          <cell r="FH353" t="str">
            <v/>
          </cell>
          <cell r="FI353" t="str">
            <v/>
          </cell>
          <cell r="FJ353" t="str">
            <v/>
          </cell>
          <cell r="FK353" t="str">
            <v/>
          </cell>
          <cell r="FL353" t="str">
            <v/>
          </cell>
          <cell r="FM353" t="str">
            <v/>
          </cell>
          <cell r="FN353" t="str">
            <v/>
          </cell>
          <cell r="FO353" t="str">
            <v/>
          </cell>
          <cell r="FP353" t="str">
            <v/>
          </cell>
        </row>
        <row r="354">
          <cell r="N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AJ354">
            <v>0</v>
          </cell>
          <cell r="AK354">
            <v>0</v>
          </cell>
          <cell r="AL354">
            <v>999999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BE354">
            <v>0</v>
          </cell>
          <cell r="BH354">
            <v>0</v>
          </cell>
          <cell r="BI354">
            <v>0</v>
          </cell>
          <cell r="BJ354">
            <v>0</v>
          </cell>
          <cell r="BK354">
            <v>0</v>
          </cell>
          <cell r="BL354">
            <v>0</v>
          </cell>
          <cell r="BM354">
            <v>0</v>
          </cell>
          <cell r="BN354">
            <v>0</v>
          </cell>
          <cell r="BO354">
            <v>0</v>
          </cell>
          <cell r="BP354">
            <v>0</v>
          </cell>
          <cell r="BQ354">
            <v>0</v>
          </cell>
          <cell r="CB354">
            <v>0</v>
          </cell>
          <cell r="CC354">
            <v>0</v>
          </cell>
          <cell r="CD354">
            <v>0</v>
          </cell>
          <cell r="CE354">
            <v>0</v>
          </cell>
          <cell r="CF354">
            <v>0</v>
          </cell>
          <cell r="CG354">
            <v>0</v>
          </cell>
          <cell r="CH354">
            <v>0</v>
          </cell>
          <cell r="CI354">
            <v>0</v>
          </cell>
          <cell r="CJ354">
            <v>0</v>
          </cell>
          <cell r="CK354">
            <v>0</v>
          </cell>
          <cell r="CW354">
            <v>0</v>
          </cell>
          <cell r="CY354">
            <v>0</v>
          </cell>
          <cell r="CZ354">
            <v>0</v>
          </cell>
          <cell r="DA354">
            <v>0</v>
          </cell>
          <cell r="DB354">
            <v>0</v>
          </cell>
          <cell r="DC354">
            <v>0</v>
          </cell>
          <cell r="DD354">
            <v>0</v>
          </cell>
          <cell r="DE354">
            <v>0</v>
          </cell>
          <cell r="DF354">
            <v>0</v>
          </cell>
          <cell r="DG354">
            <v>0</v>
          </cell>
          <cell r="DH354">
            <v>0</v>
          </cell>
          <cell r="DS354">
            <v>0</v>
          </cell>
          <cell r="DT354">
            <v>13</v>
          </cell>
          <cell r="DU354">
            <v>999999</v>
          </cell>
          <cell r="DV354">
            <v>999999</v>
          </cell>
          <cell r="DW354">
            <v>999999</v>
          </cell>
          <cell r="DX354">
            <v>0</v>
          </cell>
          <cell r="DY354">
            <v>13</v>
          </cell>
          <cell r="DZ354">
            <v>999999</v>
          </cell>
          <cell r="EA354">
            <v>999999</v>
          </cell>
          <cell r="EB354">
            <v>999999</v>
          </cell>
          <cell r="EC354">
            <v>0</v>
          </cell>
          <cell r="ED354">
            <v>0</v>
          </cell>
          <cell r="EE354">
            <v>0</v>
          </cell>
          <cell r="EF354">
            <v>0</v>
          </cell>
          <cell r="EG354">
            <v>0</v>
          </cell>
          <cell r="EH354">
            <v>0</v>
          </cell>
          <cell r="EI354">
            <v>0</v>
          </cell>
          <cell r="EJ354">
            <v>0</v>
          </cell>
          <cell r="EK354">
            <v>0</v>
          </cell>
          <cell r="EL354">
            <v>0</v>
          </cell>
          <cell r="EM354" t="str">
            <v/>
          </cell>
          <cell r="EN354" t="str">
            <v/>
          </cell>
          <cell r="EO354" t="str">
            <v/>
          </cell>
          <cell r="EP354" t="str">
            <v/>
          </cell>
          <cell r="EQ354" t="str">
            <v/>
          </cell>
          <cell r="ER354" t="str">
            <v/>
          </cell>
          <cell r="ES354" t="str">
            <v/>
          </cell>
          <cell r="ET354" t="str">
            <v/>
          </cell>
          <cell r="EU354" t="str">
            <v/>
          </cell>
          <cell r="EV354" t="str">
            <v/>
          </cell>
          <cell r="EW354" t="str">
            <v/>
          </cell>
          <cell r="EX354" t="str">
            <v/>
          </cell>
          <cell r="EY354" t="str">
            <v/>
          </cell>
          <cell r="EZ354" t="str">
            <v/>
          </cell>
          <cell r="FA354" t="str">
            <v/>
          </cell>
          <cell r="FB354" t="str">
            <v/>
          </cell>
          <cell r="FC354" t="str">
            <v/>
          </cell>
          <cell r="FD354" t="str">
            <v/>
          </cell>
          <cell r="FE354" t="str">
            <v/>
          </cell>
          <cell r="FF354" t="str">
            <v/>
          </cell>
          <cell r="FG354" t="str">
            <v/>
          </cell>
          <cell r="FH354" t="str">
            <v/>
          </cell>
          <cell r="FI354" t="str">
            <v/>
          </cell>
          <cell r="FJ354" t="str">
            <v/>
          </cell>
          <cell r="FK354" t="str">
            <v/>
          </cell>
          <cell r="FL354" t="str">
            <v/>
          </cell>
          <cell r="FM354" t="str">
            <v/>
          </cell>
          <cell r="FN354" t="str">
            <v/>
          </cell>
          <cell r="FO354" t="str">
            <v/>
          </cell>
          <cell r="FP354" t="str">
            <v/>
          </cell>
        </row>
        <row r="355">
          <cell r="N355">
            <v>48000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AJ355">
            <v>0</v>
          </cell>
          <cell r="AK355">
            <v>0</v>
          </cell>
          <cell r="AL355">
            <v>999999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BE355">
            <v>0</v>
          </cell>
          <cell r="BH355">
            <v>0</v>
          </cell>
          <cell r="BI355">
            <v>0</v>
          </cell>
          <cell r="BJ355">
            <v>0</v>
          </cell>
          <cell r="BK355">
            <v>0</v>
          </cell>
          <cell r="BL355">
            <v>0</v>
          </cell>
          <cell r="BM355">
            <v>0</v>
          </cell>
          <cell r="BN355">
            <v>0</v>
          </cell>
          <cell r="BO355">
            <v>0</v>
          </cell>
          <cell r="BP355">
            <v>0</v>
          </cell>
          <cell r="BQ355">
            <v>0</v>
          </cell>
          <cell r="CB355">
            <v>0</v>
          </cell>
          <cell r="CC355">
            <v>0</v>
          </cell>
          <cell r="CD355">
            <v>0</v>
          </cell>
          <cell r="CE355">
            <v>0</v>
          </cell>
          <cell r="CF355">
            <v>0</v>
          </cell>
          <cell r="CG355">
            <v>0</v>
          </cell>
          <cell r="CH355">
            <v>0</v>
          </cell>
          <cell r="CI355">
            <v>0</v>
          </cell>
          <cell r="CJ355">
            <v>0</v>
          </cell>
          <cell r="CK355">
            <v>0</v>
          </cell>
          <cell r="CW355">
            <v>0</v>
          </cell>
          <cell r="CY355">
            <v>0</v>
          </cell>
          <cell r="CZ355">
            <v>0</v>
          </cell>
          <cell r="DA355">
            <v>0</v>
          </cell>
          <cell r="DB355">
            <v>0</v>
          </cell>
          <cell r="DC355">
            <v>0</v>
          </cell>
          <cell r="DD355">
            <v>0</v>
          </cell>
          <cell r="DE355">
            <v>0</v>
          </cell>
          <cell r="DF355">
            <v>0</v>
          </cell>
          <cell r="DG355">
            <v>0</v>
          </cell>
          <cell r="DH355">
            <v>0</v>
          </cell>
          <cell r="DS355">
            <v>0</v>
          </cell>
          <cell r="DT355">
            <v>12</v>
          </cell>
          <cell r="DU355">
            <v>999999</v>
          </cell>
          <cell r="DV355">
            <v>999999</v>
          </cell>
          <cell r="DW355">
            <v>999999</v>
          </cell>
          <cell r="DX355">
            <v>0</v>
          </cell>
          <cell r="DY355">
            <v>12</v>
          </cell>
          <cell r="DZ355">
            <v>999999</v>
          </cell>
          <cell r="EA355">
            <v>999999</v>
          </cell>
          <cell r="EB355">
            <v>999999</v>
          </cell>
          <cell r="EC355">
            <v>0</v>
          </cell>
          <cell r="ED355">
            <v>0</v>
          </cell>
          <cell r="EE355">
            <v>0</v>
          </cell>
          <cell r="EF355">
            <v>0</v>
          </cell>
          <cell r="EG355">
            <v>0</v>
          </cell>
          <cell r="EH355">
            <v>0</v>
          </cell>
          <cell r="EI355">
            <v>0</v>
          </cell>
          <cell r="EJ355">
            <v>0</v>
          </cell>
          <cell r="EK355">
            <v>0</v>
          </cell>
          <cell r="EL355">
            <v>0</v>
          </cell>
          <cell r="EM355" t="str">
            <v/>
          </cell>
          <cell r="EN355" t="str">
            <v/>
          </cell>
          <cell r="EO355" t="str">
            <v/>
          </cell>
          <cell r="EP355" t="str">
            <v/>
          </cell>
          <cell r="EQ355" t="str">
            <v/>
          </cell>
          <cell r="ER355" t="str">
            <v/>
          </cell>
          <cell r="ES355" t="str">
            <v/>
          </cell>
          <cell r="ET355" t="str">
            <v/>
          </cell>
          <cell r="EU355" t="str">
            <v/>
          </cell>
          <cell r="EV355" t="str">
            <v/>
          </cell>
          <cell r="EW355" t="str">
            <v/>
          </cell>
          <cell r="EX355" t="str">
            <v/>
          </cell>
          <cell r="EY355" t="str">
            <v/>
          </cell>
          <cell r="EZ355" t="str">
            <v/>
          </cell>
          <cell r="FA355" t="str">
            <v/>
          </cell>
          <cell r="FB355" t="str">
            <v/>
          </cell>
          <cell r="FC355" t="str">
            <v/>
          </cell>
          <cell r="FD355" t="str">
            <v/>
          </cell>
          <cell r="FE355" t="str">
            <v/>
          </cell>
          <cell r="FF355" t="str">
            <v/>
          </cell>
          <cell r="FG355" t="str">
            <v/>
          </cell>
          <cell r="FH355" t="str">
            <v/>
          </cell>
          <cell r="FI355" t="str">
            <v/>
          </cell>
          <cell r="FJ355" t="str">
            <v/>
          </cell>
          <cell r="FK355" t="str">
            <v/>
          </cell>
          <cell r="FL355" t="str">
            <v/>
          </cell>
          <cell r="FM355" t="str">
            <v/>
          </cell>
          <cell r="FN355" t="str">
            <v/>
          </cell>
          <cell r="FO355" t="str">
            <v/>
          </cell>
          <cell r="FP355" t="str">
            <v/>
          </cell>
        </row>
        <row r="356">
          <cell r="N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AJ356">
            <v>0</v>
          </cell>
          <cell r="AK356">
            <v>0</v>
          </cell>
          <cell r="AL356">
            <v>999999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BE356">
            <v>0</v>
          </cell>
          <cell r="BH356">
            <v>0</v>
          </cell>
          <cell r="BI356">
            <v>0</v>
          </cell>
          <cell r="BJ356">
            <v>0</v>
          </cell>
          <cell r="BK356">
            <v>0</v>
          </cell>
          <cell r="BL356">
            <v>0</v>
          </cell>
          <cell r="BM356">
            <v>0</v>
          </cell>
          <cell r="BN356">
            <v>0</v>
          </cell>
          <cell r="BO356">
            <v>0</v>
          </cell>
          <cell r="BP356">
            <v>0</v>
          </cell>
          <cell r="BQ356">
            <v>0</v>
          </cell>
          <cell r="CB356">
            <v>0</v>
          </cell>
          <cell r="CC356">
            <v>0</v>
          </cell>
          <cell r="CD356">
            <v>0</v>
          </cell>
          <cell r="CE356">
            <v>0</v>
          </cell>
          <cell r="CF356">
            <v>0</v>
          </cell>
          <cell r="CG356">
            <v>0</v>
          </cell>
          <cell r="CH356">
            <v>0</v>
          </cell>
          <cell r="CI356">
            <v>0</v>
          </cell>
          <cell r="CJ356">
            <v>0</v>
          </cell>
          <cell r="CK356">
            <v>0</v>
          </cell>
          <cell r="CW356">
            <v>0</v>
          </cell>
          <cell r="CY356">
            <v>0</v>
          </cell>
          <cell r="CZ356">
            <v>0</v>
          </cell>
          <cell r="DA356">
            <v>0</v>
          </cell>
          <cell r="DB356">
            <v>0</v>
          </cell>
          <cell r="DC356">
            <v>0</v>
          </cell>
          <cell r="DD356">
            <v>0</v>
          </cell>
          <cell r="DE356">
            <v>0</v>
          </cell>
          <cell r="DF356">
            <v>0</v>
          </cell>
          <cell r="DG356">
            <v>0</v>
          </cell>
          <cell r="DH356">
            <v>0</v>
          </cell>
          <cell r="DS356">
            <v>0</v>
          </cell>
          <cell r="DT356">
            <v>11</v>
          </cell>
          <cell r="DU356">
            <v>999999</v>
          </cell>
          <cell r="DV356">
            <v>999999</v>
          </cell>
          <cell r="DW356">
            <v>999999</v>
          </cell>
          <cell r="DX356">
            <v>0</v>
          </cell>
          <cell r="DY356">
            <v>11</v>
          </cell>
          <cell r="DZ356">
            <v>999999</v>
          </cell>
          <cell r="EA356">
            <v>999999</v>
          </cell>
          <cell r="EB356">
            <v>999999</v>
          </cell>
          <cell r="EC356">
            <v>0</v>
          </cell>
          <cell r="ED356">
            <v>0</v>
          </cell>
          <cell r="EE356">
            <v>0</v>
          </cell>
          <cell r="EF356">
            <v>0</v>
          </cell>
          <cell r="EG356">
            <v>0</v>
          </cell>
          <cell r="EH356">
            <v>0</v>
          </cell>
          <cell r="EI356">
            <v>0</v>
          </cell>
          <cell r="EJ356">
            <v>0</v>
          </cell>
          <cell r="EK356">
            <v>0</v>
          </cell>
          <cell r="EL356">
            <v>0</v>
          </cell>
          <cell r="EM356" t="str">
            <v/>
          </cell>
          <cell r="EN356" t="str">
            <v/>
          </cell>
          <cell r="EO356" t="str">
            <v/>
          </cell>
          <cell r="EP356" t="str">
            <v/>
          </cell>
          <cell r="EQ356" t="str">
            <v/>
          </cell>
          <cell r="ER356" t="str">
            <v/>
          </cell>
          <cell r="ES356" t="str">
            <v/>
          </cell>
          <cell r="ET356" t="str">
            <v/>
          </cell>
          <cell r="EU356" t="str">
            <v/>
          </cell>
          <cell r="EV356" t="str">
            <v/>
          </cell>
          <cell r="EW356" t="str">
            <v/>
          </cell>
          <cell r="EX356" t="str">
            <v/>
          </cell>
          <cell r="EY356" t="str">
            <v/>
          </cell>
          <cell r="EZ356" t="str">
            <v/>
          </cell>
          <cell r="FA356" t="str">
            <v/>
          </cell>
          <cell r="FB356" t="str">
            <v/>
          </cell>
          <cell r="FC356" t="str">
            <v/>
          </cell>
          <cell r="FD356" t="str">
            <v/>
          </cell>
          <cell r="FE356" t="str">
            <v/>
          </cell>
          <cell r="FF356" t="str">
            <v/>
          </cell>
          <cell r="FG356" t="str">
            <v/>
          </cell>
          <cell r="FH356" t="str">
            <v/>
          </cell>
          <cell r="FI356" t="str">
            <v/>
          </cell>
          <cell r="FJ356" t="str">
            <v/>
          </cell>
          <cell r="FK356" t="str">
            <v/>
          </cell>
          <cell r="FL356" t="str">
            <v/>
          </cell>
          <cell r="FM356" t="str">
            <v/>
          </cell>
          <cell r="FN356" t="str">
            <v/>
          </cell>
          <cell r="FO356" t="str">
            <v/>
          </cell>
          <cell r="FP356" t="str">
            <v/>
          </cell>
        </row>
        <row r="357">
          <cell r="N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AJ357">
            <v>0</v>
          </cell>
          <cell r="AK357">
            <v>0</v>
          </cell>
          <cell r="AL357">
            <v>999999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BE357">
            <v>0</v>
          </cell>
          <cell r="BH357">
            <v>0</v>
          </cell>
          <cell r="BI357">
            <v>0</v>
          </cell>
          <cell r="BJ357">
            <v>0</v>
          </cell>
          <cell r="BK357">
            <v>0</v>
          </cell>
          <cell r="BL357">
            <v>0</v>
          </cell>
          <cell r="BM357">
            <v>0</v>
          </cell>
          <cell r="BN357">
            <v>0</v>
          </cell>
          <cell r="BO357">
            <v>0</v>
          </cell>
          <cell r="BP357">
            <v>0</v>
          </cell>
          <cell r="BQ357">
            <v>0</v>
          </cell>
          <cell r="CB357">
            <v>0</v>
          </cell>
          <cell r="CC357">
            <v>0</v>
          </cell>
          <cell r="CD357">
            <v>0</v>
          </cell>
          <cell r="CE357">
            <v>0</v>
          </cell>
          <cell r="CF357">
            <v>0</v>
          </cell>
          <cell r="CG357">
            <v>0</v>
          </cell>
          <cell r="CH357">
            <v>0</v>
          </cell>
          <cell r="CI357">
            <v>0</v>
          </cell>
          <cell r="CJ357">
            <v>0</v>
          </cell>
          <cell r="CK357">
            <v>0</v>
          </cell>
          <cell r="CW357">
            <v>0</v>
          </cell>
          <cell r="CY357">
            <v>0</v>
          </cell>
          <cell r="CZ357">
            <v>0</v>
          </cell>
          <cell r="DA357">
            <v>0</v>
          </cell>
          <cell r="DB357">
            <v>0</v>
          </cell>
          <cell r="DC357">
            <v>0</v>
          </cell>
          <cell r="DD357">
            <v>0</v>
          </cell>
          <cell r="DE357">
            <v>0</v>
          </cell>
          <cell r="DF357">
            <v>0</v>
          </cell>
          <cell r="DG357">
            <v>0</v>
          </cell>
          <cell r="DH357">
            <v>0</v>
          </cell>
          <cell r="DS357">
            <v>0</v>
          </cell>
          <cell r="DT357">
            <v>10</v>
          </cell>
          <cell r="DU357">
            <v>999999</v>
          </cell>
          <cell r="DV357">
            <v>999999</v>
          </cell>
          <cell r="DW357">
            <v>999999</v>
          </cell>
          <cell r="DX357">
            <v>0</v>
          </cell>
          <cell r="DY357">
            <v>10</v>
          </cell>
          <cell r="DZ357">
            <v>999999</v>
          </cell>
          <cell r="EA357">
            <v>999999</v>
          </cell>
          <cell r="EB357">
            <v>999999</v>
          </cell>
          <cell r="EC357">
            <v>0</v>
          </cell>
          <cell r="ED357">
            <v>0</v>
          </cell>
          <cell r="EE357">
            <v>0</v>
          </cell>
          <cell r="EF357">
            <v>0</v>
          </cell>
          <cell r="EG357">
            <v>0</v>
          </cell>
          <cell r="EH357">
            <v>0</v>
          </cell>
          <cell r="EI357">
            <v>0</v>
          </cell>
          <cell r="EJ357">
            <v>0</v>
          </cell>
          <cell r="EK357">
            <v>0</v>
          </cell>
          <cell r="EL357">
            <v>0</v>
          </cell>
          <cell r="EM357" t="str">
            <v/>
          </cell>
          <cell r="EN357" t="str">
            <v/>
          </cell>
          <cell r="EO357" t="str">
            <v/>
          </cell>
          <cell r="EP357" t="str">
            <v/>
          </cell>
          <cell r="EQ357" t="str">
            <v/>
          </cell>
          <cell r="ER357" t="str">
            <v/>
          </cell>
          <cell r="ES357" t="str">
            <v/>
          </cell>
          <cell r="ET357" t="str">
            <v/>
          </cell>
          <cell r="EU357" t="str">
            <v/>
          </cell>
          <cell r="EV357" t="str">
            <v/>
          </cell>
          <cell r="EW357" t="str">
            <v/>
          </cell>
          <cell r="EX357" t="str">
            <v/>
          </cell>
          <cell r="EY357" t="str">
            <v/>
          </cell>
          <cell r="EZ357" t="str">
            <v/>
          </cell>
          <cell r="FA357" t="str">
            <v/>
          </cell>
          <cell r="FB357" t="str">
            <v/>
          </cell>
          <cell r="FC357" t="str">
            <v/>
          </cell>
          <cell r="FD357" t="str">
            <v/>
          </cell>
          <cell r="FE357" t="str">
            <v/>
          </cell>
          <cell r="FF357" t="str">
            <v/>
          </cell>
          <cell r="FG357" t="str">
            <v/>
          </cell>
          <cell r="FH357" t="str">
            <v/>
          </cell>
          <cell r="FI357" t="str">
            <v/>
          </cell>
          <cell r="FJ357" t="str">
            <v/>
          </cell>
          <cell r="FK357" t="str">
            <v/>
          </cell>
          <cell r="FL357" t="str">
            <v/>
          </cell>
          <cell r="FM357" t="str">
            <v/>
          </cell>
          <cell r="FN357" t="str">
            <v/>
          </cell>
          <cell r="FO357" t="str">
            <v/>
          </cell>
          <cell r="FP357" t="str">
            <v/>
          </cell>
        </row>
        <row r="358">
          <cell r="N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AJ358">
            <v>0</v>
          </cell>
          <cell r="AK358">
            <v>0</v>
          </cell>
          <cell r="AL358">
            <v>999999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BE358">
            <v>0</v>
          </cell>
          <cell r="BH358">
            <v>0</v>
          </cell>
          <cell r="BI358">
            <v>0</v>
          </cell>
          <cell r="BJ358">
            <v>0</v>
          </cell>
          <cell r="BK358">
            <v>0</v>
          </cell>
          <cell r="BL358">
            <v>0</v>
          </cell>
          <cell r="BM358">
            <v>0</v>
          </cell>
          <cell r="BN358">
            <v>0</v>
          </cell>
          <cell r="BO358">
            <v>0</v>
          </cell>
          <cell r="BP358">
            <v>0</v>
          </cell>
          <cell r="BQ358">
            <v>0</v>
          </cell>
          <cell r="CB358">
            <v>0</v>
          </cell>
          <cell r="CC358">
            <v>0</v>
          </cell>
          <cell r="CD358">
            <v>0</v>
          </cell>
          <cell r="CE358">
            <v>0</v>
          </cell>
          <cell r="CF358">
            <v>0</v>
          </cell>
          <cell r="CG358">
            <v>0</v>
          </cell>
          <cell r="CH358">
            <v>0</v>
          </cell>
          <cell r="CI358">
            <v>0</v>
          </cell>
          <cell r="CJ358">
            <v>0</v>
          </cell>
          <cell r="CK358">
            <v>0</v>
          </cell>
          <cell r="CW358">
            <v>0</v>
          </cell>
          <cell r="CY358">
            <v>0</v>
          </cell>
          <cell r="CZ358">
            <v>0</v>
          </cell>
          <cell r="DA358">
            <v>0</v>
          </cell>
          <cell r="DB358">
            <v>0</v>
          </cell>
          <cell r="DC358">
            <v>0</v>
          </cell>
          <cell r="DD358">
            <v>0</v>
          </cell>
          <cell r="DE358">
            <v>0</v>
          </cell>
          <cell r="DF358">
            <v>0</v>
          </cell>
          <cell r="DG358">
            <v>0</v>
          </cell>
          <cell r="DH358">
            <v>0</v>
          </cell>
          <cell r="DS358">
            <v>0</v>
          </cell>
          <cell r="DT358">
            <v>9</v>
          </cell>
          <cell r="DU358">
            <v>999999</v>
          </cell>
          <cell r="DV358">
            <v>999999</v>
          </cell>
          <cell r="DW358">
            <v>999999</v>
          </cell>
          <cell r="DX358">
            <v>0</v>
          </cell>
          <cell r="DY358">
            <v>9</v>
          </cell>
          <cell r="DZ358">
            <v>999999</v>
          </cell>
          <cell r="EA358">
            <v>999999</v>
          </cell>
          <cell r="EB358">
            <v>999999</v>
          </cell>
          <cell r="EC358">
            <v>0</v>
          </cell>
          <cell r="ED358">
            <v>0</v>
          </cell>
          <cell r="EE358">
            <v>0</v>
          </cell>
          <cell r="EF358">
            <v>0</v>
          </cell>
          <cell r="EG358">
            <v>0</v>
          </cell>
          <cell r="EH358">
            <v>0</v>
          </cell>
          <cell r="EI358">
            <v>0</v>
          </cell>
          <cell r="EJ358">
            <v>0</v>
          </cell>
          <cell r="EK358">
            <v>0</v>
          </cell>
          <cell r="EL358">
            <v>0</v>
          </cell>
          <cell r="EM358" t="str">
            <v/>
          </cell>
          <cell r="EN358" t="str">
            <v/>
          </cell>
          <cell r="EO358" t="str">
            <v/>
          </cell>
          <cell r="EP358" t="str">
            <v/>
          </cell>
          <cell r="EQ358" t="str">
            <v/>
          </cell>
          <cell r="ER358" t="str">
            <v/>
          </cell>
          <cell r="ES358" t="str">
            <v/>
          </cell>
          <cell r="ET358" t="str">
            <v/>
          </cell>
          <cell r="EU358" t="str">
            <v/>
          </cell>
          <cell r="EV358" t="str">
            <v/>
          </cell>
          <cell r="EW358" t="str">
            <v/>
          </cell>
          <cell r="EX358" t="str">
            <v/>
          </cell>
          <cell r="EY358" t="str">
            <v/>
          </cell>
          <cell r="EZ358" t="str">
            <v/>
          </cell>
          <cell r="FA358" t="str">
            <v/>
          </cell>
          <cell r="FB358" t="str">
            <v/>
          </cell>
          <cell r="FC358" t="str">
            <v/>
          </cell>
          <cell r="FD358" t="str">
            <v/>
          </cell>
          <cell r="FE358" t="str">
            <v/>
          </cell>
          <cell r="FF358" t="str">
            <v/>
          </cell>
          <cell r="FG358" t="str">
            <v/>
          </cell>
          <cell r="FH358" t="str">
            <v/>
          </cell>
          <cell r="FI358" t="str">
            <v/>
          </cell>
          <cell r="FJ358" t="str">
            <v/>
          </cell>
          <cell r="FK358" t="str">
            <v/>
          </cell>
          <cell r="FL358" t="str">
            <v/>
          </cell>
          <cell r="FM358" t="str">
            <v/>
          </cell>
          <cell r="FN358" t="str">
            <v/>
          </cell>
          <cell r="FO358" t="str">
            <v/>
          </cell>
          <cell r="FP358" t="str">
            <v/>
          </cell>
        </row>
        <row r="359">
          <cell r="N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AJ359">
            <v>0</v>
          </cell>
          <cell r="AK359">
            <v>0</v>
          </cell>
          <cell r="AL359">
            <v>999999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BE359">
            <v>0</v>
          </cell>
          <cell r="BH359">
            <v>0</v>
          </cell>
          <cell r="BI359">
            <v>0</v>
          </cell>
          <cell r="BJ359">
            <v>0</v>
          </cell>
          <cell r="BK359">
            <v>0</v>
          </cell>
          <cell r="BL359">
            <v>0</v>
          </cell>
          <cell r="BM359">
            <v>0</v>
          </cell>
          <cell r="BN359">
            <v>0</v>
          </cell>
          <cell r="BO359">
            <v>0</v>
          </cell>
          <cell r="BP359">
            <v>0</v>
          </cell>
          <cell r="BQ359">
            <v>0</v>
          </cell>
          <cell r="CB359">
            <v>0</v>
          </cell>
          <cell r="CC359">
            <v>0</v>
          </cell>
          <cell r="CD359">
            <v>0</v>
          </cell>
          <cell r="CE359">
            <v>0</v>
          </cell>
          <cell r="CF359">
            <v>0</v>
          </cell>
          <cell r="CG359">
            <v>0</v>
          </cell>
          <cell r="CH359">
            <v>0</v>
          </cell>
          <cell r="CI359">
            <v>0</v>
          </cell>
          <cell r="CJ359">
            <v>0</v>
          </cell>
          <cell r="CK359">
            <v>0</v>
          </cell>
          <cell r="CW359">
            <v>0</v>
          </cell>
          <cell r="CY359">
            <v>0</v>
          </cell>
          <cell r="CZ359">
            <v>0</v>
          </cell>
          <cell r="DA359">
            <v>0</v>
          </cell>
          <cell r="DB359">
            <v>0</v>
          </cell>
          <cell r="DC359">
            <v>0</v>
          </cell>
          <cell r="DD359">
            <v>0</v>
          </cell>
          <cell r="DE359">
            <v>0</v>
          </cell>
          <cell r="DF359">
            <v>0</v>
          </cell>
          <cell r="DG359">
            <v>0</v>
          </cell>
          <cell r="DH359">
            <v>0</v>
          </cell>
          <cell r="DS359">
            <v>0</v>
          </cell>
          <cell r="DT359">
            <v>8</v>
          </cell>
          <cell r="DU359">
            <v>999999</v>
          </cell>
          <cell r="DV359">
            <v>999999</v>
          </cell>
          <cell r="DW359">
            <v>999999</v>
          </cell>
          <cell r="DX359">
            <v>0</v>
          </cell>
          <cell r="DY359">
            <v>8</v>
          </cell>
          <cell r="DZ359">
            <v>999999</v>
          </cell>
          <cell r="EA359">
            <v>999999</v>
          </cell>
          <cell r="EB359">
            <v>999999</v>
          </cell>
          <cell r="EC359">
            <v>0</v>
          </cell>
          <cell r="ED359">
            <v>0</v>
          </cell>
          <cell r="EE359">
            <v>0</v>
          </cell>
          <cell r="EF359">
            <v>0</v>
          </cell>
          <cell r="EG359">
            <v>0</v>
          </cell>
          <cell r="EH359">
            <v>0</v>
          </cell>
          <cell r="EI359">
            <v>0</v>
          </cell>
          <cell r="EJ359">
            <v>0</v>
          </cell>
          <cell r="EK359">
            <v>0</v>
          </cell>
          <cell r="EL359">
            <v>0</v>
          </cell>
          <cell r="EM359" t="str">
            <v/>
          </cell>
          <cell r="EN359" t="str">
            <v/>
          </cell>
          <cell r="EO359" t="str">
            <v/>
          </cell>
          <cell r="EP359" t="str">
            <v/>
          </cell>
          <cell r="EQ359" t="str">
            <v/>
          </cell>
          <cell r="ER359" t="str">
            <v/>
          </cell>
          <cell r="ES359" t="str">
            <v/>
          </cell>
          <cell r="ET359" t="str">
            <v/>
          </cell>
          <cell r="EU359" t="str">
            <v/>
          </cell>
          <cell r="EV359" t="str">
            <v/>
          </cell>
          <cell r="EW359" t="str">
            <v/>
          </cell>
          <cell r="EX359" t="str">
            <v/>
          </cell>
          <cell r="EY359" t="str">
            <v/>
          </cell>
          <cell r="EZ359" t="str">
            <v/>
          </cell>
          <cell r="FA359" t="str">
            <v/>
          </cell>
          <cell r="FB359" t="str">
            <v/>
          </cell>
          <cell r="FC359" t="str">
            <v/>
          </cell>
          <cell r="FD359" t="str">
            <v/>
          </cell>
          <cell r="FE359" t="str">
            <v/>
          </cell>
          <cell r="FF359" t="str">
            <v/>
          </cell>
          <cell r="FG359" t="str">
            <v/>
          </cell>
          <cell r="FH359" t="str">
            <v/>
          </cell>
          <cell r="FI359" t="str">
            <v/>
          </cell>
          <cell r="FJ359" t="str">
            <v/>
          </cell>
          <cell r="FK359" t="str">
            <v/>
          </cell>
          <cell r="FL359" t="str">
            <v/>
          </cell>
          <cell r="FM359" t="str">
            <v/>
          </cell>
          <cell r="FN359" t="str">
            <v/>
          </cell>
          <cell r="FO359" t="str">
            <v/>
          </cell>
          <cell r="FP359" t="str">
            <v/>
          </cell>
        </row>
        <row r="360">
          <cell r="N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AJ360">
            <v>0</v>
          </cell>
          <cell r="AK360">
            <v>0</v>
          </cell>
          <cell r="AL360">
            <v>999999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BE360">
            <v>0</v>
          </cell>
          <cell r="BH360">
            <v>0</v>
          </cell>
          <cell r="BI360">
            <v>0</v>
          </cell>
          <cell r="BJ360">
            <v>0</v>
          </cell>
          <cell r="BK360">
            <v>0</v>
          </cell>
          <cell r="BL360">
            <v>0</v>
          </cell>
          <cell r="BM360">
            <v>0</v>
          </cell>
          <cell r="BN360">
            <v>0</v>
          </cell>
          <cell r="BO360">
            <v>0</v>
          </cell>
          <cell r="BP360">
            <v>0</v>
          </cell>
          <cell r="BQ360">
            <v>0</v>
          </cell>
          <cell r="CB360">
            <v>0</v>
          </cell>
          <cell r="CC360">
            <v>0</v>
          </cell>
          <cell r="CD360">
            <v>0</v>
          </cell>
          <cell r="CE360">
            <v>0</v>
          </cell>
          <cell r="CF360">
            <v>0</v>
          </cell>
          <cell r="CG360">
            <v>0</v>
          </cell>
          <cell r="CH360">
            <v>0</v>
          </cell>
          <cell r="CI360">
            <v>0</v>
          </cell>
          <cell r="CJ360">
            <v>0</v>
          </cell>
          <cell r="CK360">
            <v>0</v>
          </cell>
          <cell r="CW360">
            <v>0</v>
          </cell>
          <cell r="CY360">
            <v>0</v>
          </cell>
          <cell r="CZ360">
            <v>0</v>
          </cell>
          <cell r="DA360">
            <v>0</v>
          </cell>
          <cell r="DB360">
            <v>0</v>
          </cell>
          <cell r="DC360">
            <v>0</v>
          </cell>
          <cell r="DD360">
            <v>0</v>
          </cell>
          <cell r="DE360">
            <v>0</v>
          </cell>
          <cell r="DF360">
            <v>0</v>
          </cell>
          <cell r="DG360">
            <v>0</v>
          </cell>
          <cell r="DH360">
            <v>0</v>
          </cell>
          <cell r="DS360">
            <v>0</v>
          </cell>
          <cell r="DT360">
            <v>7</v>
          </cell>
          <cell r="DU360">
            <v>999999</v>
          </cell>
          <cell r="DV360">
            <v>999999</v>
          </cell>
          <cell r="DW360">
            <v>999999</v>
          </cell>
          <cell r="DX360">
            <v>0</v>
          </cell>
          <cell r="DY360">
            <v>7</v>
          </cell>
          <cell r="DZ360">
            <v>999999</v>
          </cell>
          <cell r="EA360">
            <v>999999</v>
          </cell>
          <cell r="EB360">
            <v>999999</v>
          </cell>
          <cell r="EC360">
            <v>0</v>
          </cell>
          <cell r="ED360">
            <v>0</v>
          </cell>
          <cell r="EE360">
            <v>0</v>
          </cell>
          <cell r="EF360">
            <v>0</v>
          </cell>
          <cell r="EG360">
            <v>0</v>
          </cell>
          <cell r="EH360">
            <v>0</v>
          </cell>
          <cell r="EI360">
            <v>0</v>
          </cell>
          <cell r="EJ360">
            <v>0</v>
          </cell>
          <cell r="EK360">
            <v>0</v>
          </cell>
          <cell r="EL360">
            <v>0</v>
          </cell>
          <cell r="EM360" t="str">
            <v/>
          </cell>
          <cell r="EN360" t="str">
            <v/>
          </cell>
          <cell r="EO360" t="str">
            <v/>
          </cell>
          <cell r="EP360" t="str">
            <v/>
          </cell>
          <cell r="EQ360" t="str">
            <v/>
          </cell>
          <cell r="ER360" t="str">
            <v/>
          </cell>
          <cell r="ES360" t="str">
            <v/>
          </cell>
          <cell r="ET360" t="str">
            <v/>
          </cell>
          <cell r="EU360" t="str">
            <v/>
          </cell>
          <cell r="EV360" t="str">
            <v/>
          </cell>
          <cell r="EW360" t="str">
            <v/>
          </cell>
          <cell r="EX360" t="str">
            <v/>
          </cell>
          <cell r="EY360" t="str">
            <v/>
          </cell>
          <cell r="EZ360" t="str">
            <v/>
          </cell>
          <cell r="FA360" t="str">
            <v/>
          </cell>
          <cell r="FB360" t="str">
            <v/>
          </cell>
          <cell r="FC360" t="str">
            <v/>
          </cell>
          <cell r="FD360" t="str">
            <v/>
          </cell>
          <cell r="FE360" t="str">
            <v/>
          </cell>
          <cell r="FF360" t="str">
            <v/>
          </cell>
          <cell r="FG360" t="str">
            <v/>
          </cell>
          <cell r="FH360" t="str">
            <v/>
          </cell>
          <cell r="FI360" t="str">
            <v/>
          </cell>
          <cell r="FJ360" t="str">
            <v/>
          </cell>
          <cell r="FK360" t="str">
            <v/>
          </cell>
          <cell r="FL360" t="str">
            <v/>
          </cell>
          <cell r="FM360" t="str">
            <v/>
          </cell>
          <cell r="FN360" t="str">
            <v/>
          </cell>
          <cell r="FO360" t="str">
            <v/>
          </cell>
          <cell r="FP360" t="str">
            <v/>
          </cell>
        </row>
        <row r="361">
          <cell r="N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AJ361">
            <v>0</v>
          </cell>
          <cell r="AK361">
            <v>0</v>
          </cell>
          <cell r="AL361">
            <v>999999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BE361">
            <v>48000</v>
          </cell>
          <cell r="BH361">
            <v>0</v>
          </cell>
          <cell r="BI361">
            <v>0</v>
          </cell>
          <cell r="BJ361">
            <v>0</v>
          </cell>
          <cell r="BK361">
            <v>0</v>
          </cell>
          <cell r="BL361">
            <v>0</v>
          </cell>
          <cell r="BM361">
            <v>0</v>
          </cell>
          <cell r="BN361">
            <v>0</v>
          </cell>
          <cell r="BO361">
            <v>0</v>
          </cell>
          <cell r="BP361">
            <v>0</v>
          </cell>
          <cell r="BQ361">
            <v>0</v>
          </cell>
          <cell r="CB361">
            <v>0</v>
          </cell>
          <cell r="CC361">
            <v>0</v>
          </cell>
          <cell r="CD361">
            <v>0</v>
          </cell>
          <cell r="CE361">
            <v>0</v>
          </cell>
          <cell r="CF361">
            <v>0</v>
          </cell>
          <cell r="CG361">
            <v>0</v>
          </cell>
          <cell r="CH361">
            <v>0</v>
          </cell>
          <cell r="CI361">
            <v>0</v>
          </cell>
          <cell r="CJ361">
            <v>0</v>
          </cell>
          <cell r="CK361">
            <v>0</v>
          </cell>
          <cell r="CW361">
            <v>0</v>
          </cell>
          <cell r="CY361">
            <v>0</v>
          </cell>
          <cell r="CZ361">
            <v>0</v>
          </cell>
          <cell r="DA361">
            <v>0</v>
          </cell>
          <cell r="DB361">
            <v>0</v>
          </cell>
          <cell r="DC361">
            <v>0</v>
          </cell>
          <cell r="DD361">
            <v>0</v>
          </cell>
          <cell r="DE361">
            <v>0</v>
          </cell>
          <cell r="DF361">
            <v>0</v>
          </cell>
          <cell r="DG361">
            <v>0</v>
          </cell>
          <cell r="DH361">
            <v>0</v>
          </cell>
          <cell r="DS361">
            <v>0</v>
          </cell>
          <cell r="DT361">
            <v>6</v>
          </cell>
          <cell r="DU361">
            <v>999999</v>
          </cell>
          <cell r="DV361">
            <v>999999</v>
          </cell>
          <cell r="DW361">
            <v>999999</v>
          </cell>
          <cell r="DX361">
            <v>0</v>
          </cell>
          <cell r="DY361">
            <v>6</v>
          </cell>
          <cell r="DZ361">
            <v>999999</v>
          </cell>
          <cell r="EA361">
            <v>999999</v>
          </cell>
          <cell r="EB361">
            <v>999999</v>
          </cell>
          <cell r="EC361">
            <v>0</v>
          </cell>
          <cell r="ED361">
            <v>0</v>
          </cell>
          <cell r="EE361">
            <v>0</v>
          </cell>
          <cell r="EF361">
            <v>0</v>
          </cell>
          <cell r="EG361">
            <v>0</v>
          </cell>
          <cell r="EH361">
            <v>0</v>
          </cell>
          <cell r="EI361">
            <v>0</v>
          </cell>
          <cell r="EJ361">
            <v>0</v>
          </cell>
          <cell r="EK361">
            <v>0</v>
          </cell>
          <cell r="EL361">
            <v>0</v>
          </cell>
          <cell r="EM361" t="str">
            <v/>
          </cell>
          <cell r="EN361" t="str">
            <v/>
          </cell>
          <cell r="EO361" t="str">
            <v/>
          </cell>
          <cell r="EP361" t="str">
            <v/>
          </cell>
          <cell r="EQ361" t="str">
            <v/>
          </cell>
          <cell r="ER361" t="str">
            <v/>
          </cell>
          <cell r="ES361" t="str">
            <v/>
          </cell>
          <cell r="ET361" t="str">
            <v/>
          </cell>
          <cell r="EU361" t="str">
            <v/>
          </cell>
          <cell r="EV361" t="str">
            <v/>
          </cell>
          <cell r="EW361" t="str">
            <v/>
          </cell>
          <cell r="EX361" t="str">
            <v/>
          </cell>
          <cell r="EY361" t="str">
            <v/>
          </cell>
          <cell r="EZ361" t="str">
            <v/>
          </cell>
          <cell r="FA361" t="str">
            <v/>
          </cell>
          <cell r="FB361" t="str">
            <v/>
          </cell>
          <cell r="FC361" t="str">
            <v/>
          </cell>
          <cell r="FD361" t="str">
            <v/>
          </cell>
          <cell r="FE361" t="str">
            <v/>
          </cell>
          <cell r="FF361" t="str">
            <v/>
          </cell>
          <cell r="FG361" t="str">
            <v/>
          </cell>
          <cell r="FH361" t="str">
            <v/>
          </cell>
          <cell r="FI361" t="str">
            <v/>
          </cell>
          <cell r="FJ361" t="str">
            <v/>
          </cell>
          <cell r="FK361" t="str">
            <v/>
          </cell>
          <cell r="FL361" t="str">
            <v/>
          </cell>
          <cell r="FM361" t="str">
            <v/>
          </cell>
          <cell r="FN361" t="str">
            <v/>
          </cell>
          <cell r="FO361" t="str">
            <v/>
          </cell>
          <cell r="FP361" t="str">
            <v/>
          </cell>
        </row>
        <row r="362">
          <cell r="N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AJ362">
            <v>0</v>
          </cell>
          <cell r="AK362">
            <v>0</v>
          </cell>
          <cell r="AL362">
            <v>999999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BE362">
            <v>0</v>
          </cell>
          <cell r="BH362">
            <v>0</v>
          </cell>
          <cell r="BI362">
            <v>0</v>
          </cell>
          <cell r="BJ362">
            <v>0</v>
          </cell>
          <cell r="BK362">
            <v>0</v>
          </cell>
          <cell r="BL362">
            <v>0</v>
          </cell>
          <cell r="BM362">
            <v>0</v>
          </cell>
          <cell r="BN362">
            <v>0</v>
          </cell>
          <cell r="BO362">
            <v>0</v>
          </cell>
          <cell r="BP362">
            <v>0</v>
          </cell>
          <cell r="BQ362">
            <v>0</v>
          </cell>
          <cell r="CB362">
            <v>0</v>
          </cell>
          <cell r="CC362">
            <v>0</v>
          </cell>
          <cell r="CD362">
            <v>0</v>
          </cell>
          <cell r="CE362">
            <v>0</v>
          </cell>
          <cell r="CF362">
            <v>0</v>
          </cell>
          <cell r="CG362">
            <v>0</v>
          </cell>
          <cell r="CH362">
            <v>0</v>
          </cell>
          <cell r="CI362">
            <v>0</v>
          </cell>
          <cell r="CJ362">
            <v>0</v>
          </cell>
          <cell r="CK362">
            <v>0</v>
          </cell>
          <cell r="CW362">
            <v>0</v>
          </cell>
          <cell r="CY362">
            <v>0</v>
          </cell>
          <cell r="CZ362">
            <v>0</v>
          </cell>
          <cell r="DA362">
            <v>0</v>
          </cell>
          <cell r="DB362">
            <v>0</v>
          </cell>
          <cell r="DC362">
            <v>0</v>
          </cell>
          <cell r="DD362">
            <v>0</v>
          </cell>
          <cell r="DE362">
            <v>0</v>
          </cell>
          <cell r="DF362">
            <v>0</v>
          </cell>
          <cell r="DG362">
            <v>0</v>
          </cell>
          <cell r="DH362">
            <v>0</v>
          </cell>
          <cell r="DS362">
            <v>0</v>
          </cell>
          <cell r="DT362">
            <v>5</v>
          </cell>
          <cell r="DU362">
            <v>999999</v>
          </cell>
          <cell r="DV362">
            <v>999999</v>
          </cell>
          <cell r="DW362">
            <v>999999</v>
          </cell>
          <cell r="DX362">
            <v>0</v>
          </cell>
          <cell r="DY362">
            <v>5</v>
          </cell>
          <cell r="DZ362">
            <v>999999</v>
          </cell>
          <cell r="EA362">
            <v>999999</v>
          </cell>
          <cell r="EB362">
            <v>999999</v>
          </cell>
          <cell r="EC362">
            <v>0</v>
          </cell>
          <cell r="ED362">
            <v>0</v>
          </cell>
          <cell r="EE362">
            <v>0</v>
          </cell>
          <cell r="EF362">
            <v>0</v>
          </cell>
          <cell r="EG362">
            <v>0</v>
          </cell>
          <cell r="EH362">
            <v>0</v>
          </cell>
          <cell r="EI362">
            <v>0</v>
          </cell>
          <cell r="EJ362">
            <v>0</v>
          </cell>
          <cell r="EK362">
            <v>0</v>
          </cell>
          <cell r="EL362">
            <v>0</v>
          </cell>
          <cell r="EM362" t="str">
            <v/>
          </cell>
          <cell r="EN362" t="str">
            <v/>
          </cell>
          <cell r="EO362" t="str">
            <v/>
          </cell>
          <cell r="EP362" t="str">
            <v/>
          </cell>
          <cell r="EQ362" t="str">
            <v/>
          </cell>
          <cell r="ER362" t="str">
            <v/>
          </cell>
          <cell r="ES362" t="str">
            <v/>
          </cell>
          <cell r="ET362" t="str">
            <v/>
          </cell>
          <cell r="EU362" t="str">
            <v/>
          </cell>
          <cell r="EV362" t="str">
            <v/>
          </cell>
          <cell r="EW362" t="str">
            <v/>
          </cell>
          <cell r="EX362" t="str">
            <v/>
          </cell>
          <cell r="EY362" t="str">
            <v/>
          </cell>
          <cell r="EZ362" t="str">
            <v/>
          </cell>
          <cell r="FA362" t="str">
            <v/>
          </cell>
          <cell r="FB362" t="str">
            <v/>
          </cell>
          <cell r="FC362" t="str">
            <v/>
          </cell>
          <cell r="FD362" t="str">
            <v/>
          </cell>
          <cell r="FE362" t="str">
            <v/>
          </cell>
          <cell r="FF362" t="str">
            <v/>
          </cell>
          <cell r="FG362" t="str">
            <v/>
          </cell>
          <cell r="FH362" t="str">
            <v/>
          </cell>
          <cell r="FI362" t="str">
            <v/>
          </cell>
          <cell r="FJ362" t="str">
            <v/>
          </cell>
          <cell r="FK362" t="str">
            <v/>
          </cell>
          <cell r="FL362" t="str">
            <v/>
          </cell>
          <cell r="FM362" t="str">
            <v/>
          </cell>
          <cell r="FN362" t="str">
            <v/>
          </cell>
          <cell r="FO362" t="str">
            <v/>
          </cell>
          <cell r="FP362" t="str">
            <v/>
          </cell>
        </row>
        <row r="363">
          <cell r="N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AJ363">
            <v>0</v>
          </cell>
          <cell r="AK363">
            <v>0</v>
          </cell>
          <cell r="AL363">
            <v>999999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BE363">
            <v>0</v>
          </cell>
          <cell r="BH363">
            <v>0</v>
          </cell>
          <cell r="BI363">
            <v>0</v>
          </cell>
          <cell r="BJ363">
            <v>0</v>
          </cell>
          <cell r="BK363">
            <v>0</v>
          </cell>
          <cell r="BL363">
            <v>0</v>
          </cell>
          <cell r="BM363">
            <v>0</v>
          </cell>
          <cell r="BN363">
            <v>0</v>
          </cell>
          <cell r="BO363">
            <v>0</v>
          </cell>
          <cell r="BP363">
            <v>0</v>
          </cell>
          <cell r="BQ363">
            <v>0</v>
          </cell>
          <cell r="CB363">
            <v>0</v>
          </cell>
          <cell r="CC363">
            <v>0</v>
          </cell>
          <cell r="CD363">
            <v>0</v>
          </cell>
          <cell r="CE363">
            <v>0</v>
          </cell>
          <cell r="CF363">
            <v>0</v>
          </cell>
          <cell r="CG363">
            <v>0</v>
          </cell>
          <cell r="CH363">
            <v>0</v>
          </cell>
          <cell r="CI363">
            <v>0</v>
          </cell>
          <cell r="CJ363">
            <v>0</v>
          </cell>
          <cell r="CK363">
            <v>0</v>
          </cell>
          <cell r="CW363">
            <v>0</v>
          </cell>
          <cell r="CY363">
            <v>0</v>
          </cell>
          <cell r="CZ363">
            <v>0</v>
          </cell>
          <cell r="DA363">
            <v>0</v>
          </cell>
          <cell r="DB363">
            <v>0</v>
          </cell>
          <cell r="DC363">
            <v>0</v>
          </cell>
          <cell r="DD363">
            <v>0</v>
          </cell>
          <cell r="DE363">
            <v>0</v>
          </cell>
          <cell r="DF363">
            <v>0</v>
          </cell>
          <cell r="DG363">
            <v>0</v>
          </cell>
          <cell r="DH363">
            <v>0</v>
          </cell>
          <cell r="DS363">
            <v>0</v>
          </cell>
          <cell r="DT363">
            <v>4</v>
          </cell>
          <cell r="DU363">
            <v>999999</v>
          </cell>
          <cell r="DV363">
            <v>999999</v>
          </cell>
          <cell r="DW363">
            <v>999999</v>
          </cell>
          <cell r="DX363">
            <v>0</v>
          </cell>
          <cell r="DY363">
            <v>4</v>
          </cell>
          <cell r="DZ363">
            <v>999999</v>
          </cell>
          <cell r="EA363">
            <v>999999</v>
          </cell>
          <cell r="EB363">
            <v>999999</v>
          </cell>
          <cell r="EC363">
            <v>0</v>
          </cell>
          <cell r="ED363">
            <v>0</v>
          </cell>
          <cell r="EE363">
            <v>0</v>
          </cell>
          <cell r="EF363">
            <v>0</v>
          </cell>
          <cell r="EG363">
            <v>0</v>
          </cell>
          <cell r="EH363">
            <v>0</v>
          </cell>
          <cell r="EI363">
            <v>0</v>
          </cell>
          <cell r="EJ363">
            <v>0</v>
          </cell>
          <cell r="EK363">
            <v>0</v>
          </cell>
          <cell r="EL363">
            <v>0</v>
          </cell>
          <cell r="EM363" t="str">
            <v/>
          </cell>
          <cell r="EN363" t="str">
            <v/>
          </cell>
          <cell r="EO363" t="str">
            <v/>
          </cell>
          <cell r="EP363" t="str">
            <v/>
          </cell>
          <cell r="EQ363" t="str">
            <v/>
          </cell>
          <cell r="ER363" t="str">
            <v/>
          </cell>
          <cell r="ES363" t="str">
            <v/>
          </cell>
          <cell r="ET363" t="str">
            <v/>
          </cell>
          <cell r="EU363" t="str">
            <v/>
          </cell>
          <cell r="EV363" t="str">
            <v/>
          </cell>
          <cell r="EW363" t="str">
            <v/>
          </cell>
          <cell r="EX363" t="str">
            <v/>
          </cell>
          <cell r="EY363" t="str">
            <v/>
          </cell>
          <cell r="EZ363" t="str">
            <v/>
          </cell>
          <cell r="FA363" t="str">
            <v/>
          </cell>
          <cell r="FB363" t="str">
            <v/>
          </cell>
          <cell r="FC363" t="str">
            <v/>
          </cell>
          <cell r="FD363" t="str">
            <v/>
          </cell>
          <cell r="FE363" t="str">
            <v/>
          </cell>
          <cell r="FF363" t="str">
            <v/>
          </cell>
          <cell r="FG363" t="str">
            <v/>
          </cell>
          <cell r="FH363" t="str">
            <v/>
          </cell>
          <cell r="FI363" t="str">
            <v/>
          </cell>
          <cell r="FJ363" t="str">
            <v/>
          </cell>
          <cell r="FK363" t="str">
            <v/>
          </cell>
          <cell r="FL363" t="str">
            <v/>
          </cell>
          <cell r="FM363" t="str">
            <v/>
          </cell>
          <cell r="FN363" t="str">
            <v/>
          </cell>
          <cell r="FO363" t="str">
            <v/>
          </cell>
          <cell r="FP363" t="str">
            <v/>
          </cell>
        </row>
        <row r="364">
          <cell r="N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AJ364">
            <v>0</v>
          </cell>
          <cell r="AK364">
            <v>0</v>
          </cell>
          <cell r="AL364">
            <v>999999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BE364">
            <v>0</v>
          </cell>
          <cell r="BH364">
            <v>0</v>
          </cell>
          <cell r="BI364">
            <v>0</v>
          </cell>
          <cell r="BJ364">
            <v>0</v>
          </cell>
          <cell r="BK364">
            <v>0</v>
          </cell>
          <cell r="BL364">
            <v>0</v>
          </cell>
          <cell r="BM364">
            <v>0</v>
          </cell>
          <cell r="BN364">
            <v>0</v>
          </cell>
          <cell r="BO364">
            <v>0</v>
          </cell>
          <cell r="BP364">
            <v>0</v>
          </cell>
          <cell r="BQ364">
            <v>0</v>
          </cell>
          <cell r="CB364">
            <v>0</v>
          </cell>
          <cell r="CC364">
            <v>0</v>
          </cell>
          <cell r="CD364">
            <v>0</v>
          </cell>
          <cell r="CE364">
            <v>0</v>
          </cell>
          <cell r="CF364">
            <v>0</v>
          </cell>
          <cell r="CG364">
            <v>0</v>
          </cell>
          <cell r="CH364">
            <v>0</v>
          </cell>
          <cell r="CI364">
            <v>0</v>
          </cell>
          <cell r="CJ364">
            <v>0</v>
          </cell>
          <cell r="CK364">
            <v>0</v>
          </cell>
          <cell r="CW364">
            <v>0</v>
          </cell>
          <cell r="CY364">
            <v>0</v>
          </cell>
          <cell r="CZ364">
            <v>0</v>
          </cell>
          <cell r="DA364">
            <v>0</v>
          </cell>
          <cell r="DB364">
            <v>0</v>
          </cell>
          <cell r="DC364">
            <v>0</v>
          </cell>
          <cell r="DD364">
            <v>0</v>
          </cell>
          <cell r="DE364">
            <v>0</v>
          </cell>
          <cell r="DF364">
            <v>0</v>
          </cell>
          <cell r="DG364">
            <v>0</v>
          </cell>
          <cell r="DH364">
            <v>0</v>
          </cell>
          <cell r="DS364">
            <v>0</v>
          </cell>
          <cell r="DT364">
            <v>3</v>
          </cell>
          <cell r="DU364">
            <v>999999</v>
          </cell>
          <cell r="DV364">
            <v>999999</v>
          </cell>
          <cell r="DW364">
            <v>999999</v>
          </cell>
          <cell r="DX364">
            <v>0</v>
          </cell>
          <cell r="DY364">
            <v>3</v>
          </cell>
          <cell r="DZ364">
            <v>999999</v>
          </cell>
          <cell r="EA364">
            <v>999999</v>
          </cell>
          <cell r="EB364">
            <v>999999</v>
          </cell>
          <cell r="EC364">
            <v>0</v>
          </cell>
          <cell r="ED364">
            <v>0</v>
          </cell>
          <cell r="EE364">
            <v>0</v>
          </cell>
          <cell r="EF364">
            <v>0</v>
          </cell>
          <cell r="EG364">
            <v>0</v>
          </cell>
          <cell r="EH364">
            <v>0</v>
          </cell>
          <cell r="EI364">
            <v>0</v>
          </cell>
          <cell r="EJ364">
            <v>0</v>
          </cell>
          <cell r="EK364">
            <v>0</v>
          </cell>
          <cell r="EL364">
            <v>0</v>
          </cell>
          <cell r="EM364" t="str">
            <v/>
          </cell>
          <cell r="EN364" t="str">
            <v/>
          </cell>
          <cell r="EO364" t="str">
            <v/>
          </cell>
          <cell r="EP364" t="str">
            <v/>
          </cell>
          <cell r="EQ364" t="str">
            <v/>
          </cell>
          <cell r="ER364" t="str">
            <v/>
          </cell>
          <cell r="ES364" t="str">
            <v/>
          </cell>
          <cell r="ET364" t="str">
            <v/>
          </cell>
          <cell r="EU364" t="str">
            <v/>
          </cell>
          <cell r="EV364" t="str">
            <v/>
          </cell>
          <cell r="EW364" t="str">
            <v/>
          </cell>
          <cell r="EX364" t="str">
            <v/>
          </cell>
          <cell r="EY364" t="str">
            <v/>
          </cell>
          <cell r="EZ364" t="str">
            <v/>
          </cell>
          <cell r="FA364" t="str">
            <v/>
          </cell>
          <cell r="FB364" t="str">
            <v/>
          </cell>
          <cell r="FC364" t="str">
            <v/>
          </cell>
          <cell r="FD364" t="str">
            <v/>
          </cell>
          <cell r="FE364" t="str">
            <v/>
          </cell>
          <cell r="FF364" t="str">
            <v/>
          </cell>
          <cell r="FG364" t="str">
            <v/>
          </cell>
          <cell r="FH364" t="str">
            <v/>
          </cell>
          <cell r="FI364" t="str">
            <v/>
          </cell>
          <cell r="FJ364" t="str">
            <v/>
          </cell>
          <cell r="FK364" t="str">
            <v/>
          </cell>
          <cell r="FL364" t="str">
            <v/>
          </cell>
          <cell r="FM364" t="str">
            <v/>
          </cell>
          <cell r="FN364" t="str">
            <v/>
          </cell>
          <cell r="FO364" t="str">
            <v/>
          </cell>
          <cell r="FP364" t="str">
            <v/>
          </cell>
        </row>
        <row r="365">
          <cell r="N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AJ365">
            <v>0</v>
          </cell>
          <cell r="AK365">
            <v>0</v>
          </cell>
          <cell r="AL365">
            <v>999999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BE365">
            <v>0</v>
          </cell>
          <cell r="BH365">
            <v>0</v>
          </cell>
          <cell r="BI365">
            <v>0</v>
          </cell>
          <cell r="BJ365">
            <v>0</v>
          </cell>
          <cell r="BK365">
            <v>0</v>
          </cell>
          <cell r="BL365">
            <v>0</v>
          </cell>
          <cell r="BM365">
            <v>0</v>
          </cell>
          <cell r="BN365">
            <v>0</v>
          </cell>
          <cell r="BO365">
            <v>0</v>
          </cell>
          <cell r="BP365">
            <v>0</v>
          </cell>
          <cell r="BQ365">
            <v>0</v>
          </cell>
          <cell r="CB365">
            <v>0</v>
          </cell>
          <cell r="CC365">
            <v>0</v>
          </cell>
          <cell r="CD365">
            <v>0</v>
          </cell>
          <cell r="CE365">
            <v>0</v>
          </cell>
          <cell r="CF365">
            <v>0</v>
          </cell>
          <cell r="CG365">
            <v>0</v>
          </cell>
          <cell r="CH365">
            <v>0</v>
          </cell>
          <cell r="CI365">
            <v>0</v>
          </cell>
          <cell r="CJ365">
            <v>0</v>
          </cell>
          <cell r="CK365">
            <v>0</v>
          </cell>
          <cell r="CW365">
            <v>0</v>
          </cell>
          <cell r="CY365">
            <v>0</v>
          </cell>
          <cell r="CZ365">
            <v>0</v>
          </cell>
          <cell r="DA365">
            <v>0</v>
          </cell>
          <cell r="DB365">
            <v>0</v>
          </cell>
          <cell r="DC365">
            <v>0</v>
          </cell>
          <cell r="DD365">
            <v>0</v>
          </cell>
          <cell r="DE365">
            <v>0</v>
          </cell>
          <cell r="DF365">
            <v>0</v>
          </cell>
          <cell r="DG365">
            <v>0</v>
          </cell>
          <cell r="DH365">
            <v>0</v>
          </cell>
          <cell r="DS365">
            <v>0</v>
          </cell>
          <cell r="DT365">
            <v>2</v>
          </cell>
          <cell r="DU365">
            <v>999999</v>
          </cell>
          <cell r="DV365">
            <v>999999</v>
          </cell>
          <cell r="DW365">
            <v>999999</v>
          </cell>
          <cell r="DX365">
            <v>0</v>
          </cell>
          <cell r="DY365">
            <v>2</v>
          </cell>
          <cell r="DZ365">
            <v>999999</v>
          </cell>
          <cell r="EA365">
            <v>999999</v>
          </cell>
          <cell r="EB365">
            <v>999999</v>
          </cell>
          <cell r="EC365">
            <v>0</v>
          </cell>
          <cell r="ED365">
            <v>0</v>
          </cell>
          <cell r="EE365">
            <v>0</v>
          </cell>
          <cell r="EF365">
            <v>0</v>
          </cell>
          <cell r="EG365">
            <v>0</v>
          </cell>
          <cell r="EH365">
            <v>0</v>
          </cell>
          <cell r="EI365">
            <v>0</v>
          </cell>
          <cell r="EJ365">
            <v>0</v>
          </cell>
          <cell r="EK365">
            <v>0</v>
          </cell>
          <cell r="EL365">
            <v>0</v>
          </cell>
          <cell r="EM365" t="str">
            <v/>
          </cell>
          <cell r="EN365" t="str">
            <v/>
          </cell>
          <cell r="EO365" t="str">
            <v/>
          </cell>
          <cell r="EP365" t="str">
            <v/>
          </cell>
          <cell r="EQ365" t="str">
            <v/>
          </cell>
          <cell r="ER365" t="str">
            <v/>
          </cell>
          <cell r="ES365" t="str">
            <v/>
          </cell>
          <cell r="ET365" t="str">
            <v/>
          </cell>
          <cell r="EU365" t="str">
            <v/>
          </cell>
          <cell r="EV365" t="str">
            <v/>
          </cell>
          <cell r="EW365" t="str">
            <v/>
          </cell>
          <cell r="EX365" t="str">
            <v/>
          </cell>
          <cell r="EY365" t="str">
            <v/>
          </cell>
          <cell r="EZ365" t="str">
            <v/>
          </cell>
          <cell r="FA365" t="str">
            <v/>
          </cell>
          <cell r="FB365" t="str">
            <v/>
          </cell>
          <cell r="FC365" t="str">
            <v/>
          </cell>
          <cell r="FD365" t="str">
            <v/>
          </cell>
          <cell r="FE365" t="str">
            <v/>
          </cell>
          <cell r="FF365" t="str">
            <v/>
          </cell>
          <cell r="FG365" t="str">
            <v/>
          </cell>
          <cell r="FH365" t="str">
            <v/>
          </cell>
          <cell r="FI365" t="str">
            <v/>
          </cell>
          <cell r="FJ365" t="str">
            <v/>
          </cell>
          <cell r="FK365" t="str">
            <v/>
          </cell>
          <cell r="FL365" t="str">
            <v/>
          </cell>
          <cell r="FM365" t="str">
            <v/>
          </cell>
          <cell r="FN365" t="str">
            <v/>
          </cell>
          <cell r="FO365" t="str">
            <v/>
          </cell>
          <cell r="FP365" t="str">
            <v/>
          </cell>
        </row>
        <row r="366">
          <cell r="N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AJ366">
            <v>0</v>
          </cell>
          <cell r="AK366">
            <v>0</v>
          </cell>
          <cell r="AL366">
            <v>999999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BE366">
            <v>0</v>
          </cell>
          <cell r="BH366">
            <v>0</v>
          </cell>
          <cell r="BI366">
            <v>0</v>
          </cell>
          <cell r="BJ366">
            <v>0</v>
          </cell>
          <cell r="BK366">
            <v>0</v>
          </cell>
          <cell r="BL366">
            <v>0</v>
          </cell>
          <cell r="BM366">
            <v>0</v>
          </cell>
          <cell r="BN366">
            <v>0</v>
          </cell>
          <cell r="BO366">
            <v>0</v>
          </cell>
          <cell r="BP366">
            <v>0</v>
          </cell>
          <cell r="BQ366">
            <v>0</v>
          </cell>
          <cell r="CB366">
            <v>0</v>
          </cell>
          <cell r="CC366">
            <v>0</v>
          </cell>
          <cell r="CD366">
            <v>0</v>
          </cell>
          <cell r="CE366">
            <v>0</v>
          </cell>
          <cell r="CF366">
            <v>0</v>
          </cell>
          <cell r="CG366">
            <v>0</v>
          </cell>
          <cell r="CH366">
            <v>0</v>
          </cell>
          <cell r="CI366">
            <v>0</v>
          </cell>
          <cell r="CJ366">
            <v>0</v>
          </cell>
          <cell r="CK366">
            <v>0</v>
          </cell>
          <cell r="CW366">
            <v>0</v>
          </cell>
          <cell r="CY366">
            <v>0</v>
          </cell>
          <cell r="CZ366">
            <v>0</v>
          </cell>
          <cell r="DA366">
            <v>0</v>
          </cell>
          <cell r="DB366">
            <v>0</v>
          </cell>
          <cell r="DC366">
            <v>0</v>
          </cell>
          <cell r="DD366">
            <v>0</v>
          </cell>
          <cell r="DE366">
            <v>0</v>
          </cell>
          <cell r="DF366">
            <v>0</v>
          </cell>
          <cell r="DG366">
            <v>0</v>
          </cell>
          <cell r="DH366">
            <v>0</v>
          </cell>
          <cell r="DS366">
            <v>0</v>
          </cell>
          <cell r="DT366">
            <v>1</v>
          </cell>
          <cell r="DU366">
            <v>999999</v>
          </cell>
          <cell r="DV366">
            <v>999999</v>
          </cell>
          <cell r="DW366">
            <v>999999</v>
          </cell>
          <cell r="DX366">
            <v>0</v>
          </cell>
          <cell r="DY366">
            <v>1</v>
          </cell>
          <cell r="DZ366">
            <v>999999</v>
          </cell>
          <cell r="EA366">
            <v>999999</v>
          </cell>
          <cell r="EB366">
            <v>999999</v>
          </cell>
          <cell r="EC366">
            <v>0</v>
          </cell>
          <cell r="ED366">
            <v>0</v>
          </cell>
          <cell r="EE366">
            <v>0</v>
          </cell>
          <cell r="EF366">
            <v>0</v>
          </cell>
          <cell r="EG366">
            <v>0</v>
          </cell>
          <cell r="EH366">
            <v>0</v>
          </cell>
          <cell r="EI366">
            <v>0</v>
          </cell>
          <cell r="EJ366">
            <v>0</v>
          </cell>
          <cell r="EK366">
            <v>0</v>
          </cell>
          <cell r="EL366">
            <v>0</v>
          </cell>
          <cell r="EM366" t="str">
            <v/>
          </cell>
          <cell r="EN366" t="str">
            <v/>
          </cell>
          <cell r="EO366" t="str">
            <v/>
          </cell>
          <cell r="EP366" t="str">
            <v/>
          </cell>
          <cell r="EQ366" t="str">
            <v/>
          </cell>
          <cell r="ER366" t="str">
            <v/>
          </cell>
          <cell r="ES366" t="str">
            <v/>
          </cell>
          <cell r="ET366" t="str">
            <v/>
          </cell>
          <cell r="EU366" t="str">
            <v/>
          </cell>
          <cell r="EV366" t="str">
            <v/>
          </cell>
          <cell r="EW366" t="str">
            <v/>
          </cell>
          <cell r="EX366" t="str">
            <v/>
          </cell>
          <cell r="EY366" t="str">
            <v/>
          </cell>
          <cell r="EZ366" t="str">
            <v/>
          </cell>
          <cell r="FA366" t="str">
            <v/>
          </cell>
          <cell r="FB366" t="str">
            <v/>
          </cell>
          <cell r="FC366" t="str">
            <v/>
          </cell>
          <cell r="FD366" t="str">
            <v/>
          </cell>
          <cell r="FE366" t="str">
            <v/>
          </cell>
          <cell r="FF366" t="str">
            <v/>
          </cell>
          <cell r="FG366" t="str">
            <v/>
          </cell>
          <cell r="FH366" t="str">
            <v/>
          </cell>
          <cell r="FI366" t="str">
            <v/>
          </cell>
          <cell r="FJ366" t="str">
            <v/>
          </cell>
          <cell r="FK366" t="str">
            <v/>
          </cell>
          <cell r="FL366" t="str">
            <v/>
          </cell>
          <cell r="FM366" t="str">
            <v/>
          </cell>
          <cell r="FN366" t="str">
            <v/>
          </cell>
          <cell r="FO366" t="str">
            <v/>
          </cell>
          <cell r="FP366" t="str">
            <v/>
          </cell>
        </row>
        <row r="367">
          <cell r="N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AJ367">
            <v>0</v>
          </cell>
          <cell r="AK367">
            <v>0</v>
          </cell>
          <cell r="AL367">
            <v>999999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BE367">
            <v>0</v>
          </cell>
          <cell r="BH367">
            <v>0</v>
          </cell>
          <cell r="BI367">
            <v>0</v>
          </cell>
          <cell r="BJ367">
            <v>0</v>
          </cell>
          <cell r="BK367">
            <v>0</v>
          </cell>
          <cell r="BL367">
            <v>0</v>
          </cell>
          <cell r="BM367">
            <v>0</v>
          </cell>
          <cell r="BN367">
            <v>0</v>
          </cell>
          <cell r="BO367">
            <v>0</v>
          </cell>
          <cell r="BP367">
            <v>0</v>
          </cell>
          <cell r="BQ367">
            <v>0</v>
          </cell>
          <cell r="CB367">
            <v>0</v>
          </cell>
          <cell r="CC367">
            <v>0</v>
          </cell>
          <cell r="CD367">
            <v>0</v>
          </cell>
          <cell r="CE367">
            <v>0</v>
          </cell>
          <cell r="CF367">
            <v>0</v>
          </cell>
          <cell r="CG367">
            <v>0</v>
          </cell>
          <cell r="CH367">
            <v>0</v>
          </cell>
          <cell r="CI367">
            <v>0</v>
          </cell>
          <cell r="CJ367">
            <v>0</v>
          </cell>
          <cell r="CK367">
            <v>0</v>
          </cell>
          <cell r="CW367">
            <v>0</v>
          </cell>
          <cell r="CY367">
            <v>0</v>
          </cell>
          <cell r="CZ367">
            <v>0</v>
          </cell>
          <cell r="DA367">
            <v>0</v>
          </cell>
          <cell r="DB367">
            <v>0</v>
          </cell>
          <cell r="DC367">
            <v>0</v>
          </cell>
          <cell r="DD367">
            <v>0</v>
          </cell>
          <cell r="DE367">
            <v>0</v>
          </cell>
          <cell r="DF367">
            <v>0</v>
          </cell>
          <cell r="DG367">
            <v>0</v>
          </cell>
          <cell r="DH367">
            <v>0</v>
          </cell>
          <cell r="DS367">
            <v>0</v>
          </cell>
          <cell r="DT367">
            <v>0</v>
          </cell>
          <cell r="DU367">
            <v>999999</v>
          </cell>
          <cell r="DV367">
            <v>999999</v>
          </cell>
          <cell r="DW367">
            <v>999999</v>
          </cell>
          <cell r="DX367">
            <v>0</v>
          </cell>
          <cell r="DY367">
            <v>0</v>
          </cell>
          <cell r="DZ367">
            <v>999999</v>
          </cell>
          <cell r="EA367">
            <v>999999</v>
          </cell>
          <cell r="EB367">
            <v>999999</v>
          </cell>
          <cell r="EC367">
            <v>0</v>
          </cell>
          <cell r="ED367">
            <v>0</v>
          </cell>
          <cell r="EE367">
            <v>0</v>
          </cell>
          <cell r="EF367">
            <v>0</v>
          </cell>
          <cell r="EG367">
            <v>0</v>
          </cell>
          <cell r="EH367">
            <v>0</v>
          </cell>
          <cell r="EI367">
            <v>0</v>
          </cell>
          <cell r="EJ367">
            <v>0</v>
          </cell>
          <cell r="EK367">
            <v>0</v>
          </cell>
          <cell r="EL367">
            <v>0</v>
          </cell>
          <cell r="EM367" t="str">
            <v/>
          </cell>
          <cell r="EN367" t="str">
            <v/>
          </cell>
          <cell r="EO367" t="str">
            <v/>
          </cell>
          <cell r="EP367" t="str">
            <v/>
          </cell>
          <cell r="EQ367" t="str">
            <v/>
          </cell>
          <cell r="ER367" t="str">
            <v/>
          </cell>
          <cell r="ES367" t="str">
            <v/>
          </cell>
          <cell r="ET367" t="str">
            <v/>
          </cell>
          <cell r="EU367" t="str">
            <v/>
          </cell>
          <cell r="EV367" t="str">
            <v/>
          </cell>
          <cell r="EW367" t="str">
            <v/>
          </cell>
          <cell r="EX367" t="str">
            <v/>
          </cell>
          <cell r="EY367" t="str">
            <v/>
          </cell>
          <cell r="EZ367" t="str">
            <v/>
          </cell>
          <cell r="FA367" t="str">
            <v/>
          </cell>
          <cell r="FB367" t="str">
            <v/>
          </cell>
          <cell r="FC367" t="str">
            <v/>
          </cell>
          <cell r="FD367" t="str">
            <v/>
          </cell>
          <cell r="FE367" t="str">
            <v/>
          </cell>
          <cell r="FF367" t="str">
            <v/>
          </cell>
          <cell r="FG367" t="str">
            <v/>
          </cell>
          <cell r="FH367" t="str">
            <v/>
          </cell>
          <cell r="FI367" t="str">
            <v/>
          </cell>
          <cell r="FJ367" t="str">
            <v/>
          </cell>
          <cell r="FK367" t="str">
            <v/>
          </cell>
          <cell r="FL367" t="str">
            <v/>
          </cell>
          <cell r="FM367" t="str">
            <v/>
          </cell>
          <cell r="FN367" t="str">
            <v/>
          </cell>
          <cell r="FO367" t="str">
            <v/>
          </cell>
          <cell r="FP367" t="str">
            <v/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Jan (rev)"/>
      <sheetName val="Feb"/>
      <sheetName val="Mar"/>
      <sheetName val="Apr"/>
      <sheetName val="May"/>
      <sheetName val="June"/>
      <sheetName val="July"/>
      <sheetName val="Aug"/>
      <sheetName val="Sept"/>
      <sheetName val="Oct"/>
      <sheetName val="Nov"/>
      <sheetName val="Dec"/>
      <sheetName val="Sheet2"/>
      <sheetName val="Sheet3"/>
    </sheetNames>
    <sheetDataSet>
      <sheetData sheetId="0"/>
      <sheetData sheetId="1">
        <row r="40">
          <cell r="BC40">
            <v>9709.8626602564109</v>
          </cell>
          <cell r="BD40">
            <v>7493.0102564102563</v>
          </cell>
          <cell r="BE40">
            <v>0</v>
          </cell>
          <cell r="BF40">
            <v>6149.4390224358967</v>
          </cell>
          <cell r="BG40">
            <v>3065.0320512820513</v>
          </cell>
          <cell r="BO40">
            <v>15593.053445512822</v>
          </cell>
          <cell r="BP40">
            <v>24563.117948717947</v>
          </cell>
          <cell r="BQ40">
            <v>7167.5000000000009</v>
          </cell>
          <cell r="BR40">
            <v>14950.399118589743</v>
          </cell>
          <cell r="BS40">
            <v>21592.724358974356</v>
          </cell>
          <cell r="CA40">
            <v>4326.9230769230771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</row>
      </sheetData>
      <sheetData sheetId="2">
        <row r="40">
          <cell r="BC40">
            <v>3687.0811498397434</v>
          </cell>
          <cell r="BD40">
            <v>14035.620512820513</v>
          </cell>
          <cell r="BE40">
            <v>0</v>
          </cell>
          <cell r="BF40">
            <v>7362.5275641025637</v>
          </cell>
          <cell r="BG40">
            <v>3644.8923076923074</v>
          </cell>
          <cell r="BO40">
            <v>22710.747776442309</v>
          </cell>
          <cell r="BP40">
            <v>14079.302564102563</v>
          </cell>
          <cell r="BQ40">
            <v>7911.0256410256407</v>
          </cell>
          <cell r="BR40">
            <v>13867.899919871794</v>
          </cell>
          <cell r="BS40">
            <v>21272.697435897433</v>
          </cell>
          <cell r="CA40">
            <v>2651.5384615384614</v>
          </cell>
          <cell r="CB40">
            <v>0</v>
          </cell>
          <cell r="CD40">
            <v>0</v>
          </cell>
          <cell r="CE40">
            <v>0</v>
          </cell>
        </row>
      </sheetData>
      <sheetData sheetId="3">
        <row r="40">
          <cell r="BC40">
            <v>4082.0604917234668</v>
          </cell>
          <cell r="BD40">
            <v>16653.492307692308</v>
          </cell>
          <cell r="BE40">
            <v>0</v>
          </cell>
          <cell r="BF40">
            <v>7597.5506296656913</v>
          </cell>
          <cell r="BG40">
            <v>3769.4803959753331</v>
          </cell>
          <cell r="BO40">
            <v>23398.223506978258</v>
          </cell>
          <cell r="BP40">
            <v>16974.123076923075</v>
          </cell>
          <cell r="BQ40">
            <v>9695.4397435897426</v>
          </cell>
          <cell r="BR40">
            <v>14624.017043167802</v>
          </cell>
          <cell r="BS40">
            <v>23941.125624797147</v>
          </cell>
          <cell r="CA40">
            <v>4292.3076923076924</v>
          </cell>
          <cell r="CB40">
            <v>923.07692307692309</v>
          </cell>
          <cell r="CC40">
            <v>0</v>
          </cell>
          <cell r="CD40">
            <v>0</v>
          </cell>
          <cell r="CE40">
            <v>0</v>
          </cell>
        </row>
      </sheetData>
      <sheetData sheetId="4">
        <row r="40">
          <cell r="BC40">
            <v>4108.829338942307</v>
          </cell>
          <cell r="BD40">
            <v>16333.01282051282</v>
          </cell>
          <cell r="BE40">
            <v>0</v>
          </cell>
          <cell r="BF40">
            <v>6400.8640424679479</v>
          </cell>
          <cell r="BG40">
            <v>3269.2307692307691</v>
          </cell>
          <cell r="BO40">
            <v>23718.483721955126</v>
          </cell>
          <cell r="BP40">
            <v>24493.910256410254</v>
          </cell>
          <cell r="BQ40">
            <v>10399.038461538461</v>
          </cell>
          <cell r="BR40">
            <v>14175.669050480768</v>
          </cell>
          <cell r="BS40">
            <v>23864.423076923078</v>
          </cell>
          <cell r="CA40">
            <v>5192.3076923076915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</row>
      </sheetData>
      <sheetData sheetId="5">
        <row r="40">
          <cell r="BC40">
            <v>4026.8820793269224</v>
          </cell>
          <cell r="BD40">
            <v>16844.871794871793</v>
          </cell>
          <cell r="BE40">
            <v>0</v>
          </cell>
          <cell r="BF40">
            <v>7195.9036818910254</v>
          </cell>
          <cell r="BG40">
            <v>4087.1923076923076</v>
          </cell>
          <cell r="BO40">
            <v>26530.719122596154</v>
          </cell>
          <cell r="BP40">
            <v>14841.025641025641</v>
          </cell>
          <cell r="BQ40">
            <v>11347.115384615385</v>
          </cell>
          <cell r="BR40">
            <v>13862.905372596153</v>
          </cell>
          <cell r="BS40">
            <v>25976.846153846156</v>
          </cell>
          <cell r="CA40">
            <v>3807.6923076923076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</row>
      </sheetData>
      <sheetData sheetId="6">
        <row r="40">
          <cell r="BC40">
            <v>3746.0458173076922</v>
          </cell>
          <cell r="BD40">
            <v>17496.153846153848</v>
          </cell>
          <cell r="BE40">
            <v>0</v>
          </cell>
          <cell r="BF40">
            <v>7571.8788942307674</v>
          </cell>
          <cell r="BG40">
            <v>4705.4487179487187</v>
          </cell>
          <cell r="BO40">
            <v>24234.483349358972</v>
          </cell>
          <cell r="BP40">
            <v>17234.615384615387</v>
          </cell>
          <cell r="BQ40">
            <v>10171.48717948718</v>
          </cell>
          <cell r="BR40">
            <v>14300.156041666665</v>
          </cell>
          <cell r="BS40">
            <v>24914.089743589739</v>
          </cell>
          <cell r="CA40">
            <v>4326.9230769230771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</row>
      </sheetData>
      <sheetData sheetId="7">
        <row r="40">
          <cell r="BC40">
            <v>4260.7112980769225</v>
          </cell>
          <cell r="BD40">
            <v>19112.820512820508</v>
          </cell>
          <cell r="BE40">
            <v>0</v>
          </cell>
          <cell r="BF40">
            <v>7598.4254006410256</v>
          </cell>
          <cell r="BG40">
            <v>4352.1666666666661</v>
          </cell>
          <cell r="BO40">
            <v>27227.194150641026</v>
          </cell>
          <cell r="BP40">
            <v>20579.487179487176</v>
          </cell>
          <cell r="BQ40">
            <v>10397.333333333336</v>
          </cell>
          <cell r="BR40">
            <v>14156.233253205128</v>
          </cell>
          <cell r="BS40">
            <v>22482.294871794868</v>
          </cell>
          <cell r="CA40">
            <v>4061.5384615384614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</row>
      </sheetData>
      <sheetData sheetId="8">
        <row r="40">
          <cell r="BC40">
            <v>3746.1593749999997</v>
          </cell>
          <cell r="BD40">
            <v>17136.851282051277</v>
          </cell>
          <cell r="BE40">
            <v>0</v>
          </cell>
          <cell r="BF40">
            <v>7833.9350160256417</v>
          </cell>
          <cell r="BG40">
            <v>4394.5512820512813</v>
          </cell>
          <cell r="BO40">
            <v>26572.656330128204</v>
          </cell>
          <cell r="BP40">
            <v>16377.558974358974</v>
          </cell>
          <cell r="BQ40">
            <v>10501.660256410258</v>
          </cell>
          <cell r="BR40">
            <v>14864.890304487179</v>
          </cell>
          <cell r="BS40">
            <v>22786.480769230766</v>
          </cell>
          <cell r="CA40">
            <v>4061.5384615384614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</row>
      </sheetData>
      <sheetData sheetId="9">
        <row r="40">
          <cell r="BC40">
            <v>3541.363942307692</v>
          </cell>
          <cell r="BD40">
            <v>14741.820512820512</v>
          </cell>
          <cell r="BE40">
            <v>0</v>
          </cell>
          <cell r="BF40">
            <v>6546.6822916666661</v>
          </cell>
          <cell r="BG40">
            <v>3235.4807692307695</v>
          </cell>
          <cell r="BO40">
            <v>27078.177483974356</v>
          </cell>
          <cell r="BP40">
            <v>17812.923076923078</v>
          </cell>
          <cell r="BQ40">
            <v>8708.1410256410254</v>
          </cell>
          <cell r="BR40">
            <v>16153.86738782051</v>
          </cell>
          <cell r="BS40">
            <v>23712.788461538461</v>
          </cell>
          <cell r="CA40">
            <v>4326.9230769230771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</row>
      </sheetData>
      <sheetData sheetId="10">
        <row r="40">
          <cell r="BC40">
            <v>3512.6184294871796</v>
          </cell>
          <cell r="BD40">
            <v>14882.097435897433</v>
          </cell>
          <cell r="BE40">
            <v>0</v>
          </cell>
          <cell r="BF40">
            <v>6502.1088942307688</v>
          </cell>
          <cell r="BG40">
            <v>3199.9551282051284</v>
          </cell>
          <cell r="BO40">
            <v>26860.656650641027</v>
          </cell>
          <cell r="BP40">
            <v>17906.441025641026</v>
          </cell>
          <cell r="BQ40">
            <v>8127.7358974358976</v>
          </cell>
          <cell r="BR40">
            <v>15999.254887820511</v>
          </cell>
          <cell r="BS40">
            <v>23747.001282051282</v>
          </cell>
          <cell r="CA40">
            <v>4326.9230769230771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</row>
      </sheetData>
      <sheetData sheetId="11">
        <row r="40">
          <cell r="BC40">
            <v>3357.886378205128</v>
          </cell>
          <cell r="BD40">
            <v>16500.343589743585</v>
          </cell>
          <cell r="BE40">
            <v>0</v>
          </cell>
          <cell r="BF40">
            <v>6609.9124198717946</v>
          </cell>
          <cell r="BG40">
            <v>3162.7820512820513</v>
          </cell>
          <cell r="BO40">
            <v>25474.924278846156</v>
          </cell>
          <cell r="BP40">
            <v>18985.271794871795</v>
          </cell>
          <cell r="BQ40">
            <v>8089.2743589743586</v>
          </cell>
          <cell r="BR40">
            <v>16081.650080128205</v>
          </cell>
          <cell r="BS40">
            <v>24450.930769230767</v>
          </cell>
          <cell r="CA40">
            <v>4326.9230769230771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</row>
      </sheetData>
      <sheetData sheetId="12">
        <row r="40">
          <cell r="BC40">
            <v>2950.4780448717947</v>
          </cell>
          <cell r="BD40">
            <v>16313.066666666664</v>
          </cell>
          <cell r="BE40">
            <v>0</v>
          </cell>
          <cell r="BF40">
            <v>6815.9153044871782</v>
          </cell>
          <cell r="BG40">
            <v>3173.4935897435894</v>
          </cell>
          <cell r="BO40">
            <v>26925.457932692309</v>
          </cell>
          <cell r="BP40">
            <v>18860.420512820514</v>
          </cell>
          <cell r="BQ40">
            <v>7787.2270512820487</v>
          </cell>
          <cell r="BR40">
            <v>16727.551041666666</v>
          </cell>
          <cell r="BS40">
            <v>25031.240897435895</v>
          </cell>
          <cell r="CA40">
            <v>4326.9230769230771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</row>
      </sheetData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XFD368"/>
  <sheetViews>
    <sheetView tabSelected="1" zoomScaleNormal="100" workbookViewId="0">
      <pane xSplit="1" ySplit="2" topLeftCell="DI258" activePane="bottomRight" state="frozen"/>
      <selection pane="topRight" activeCell="B1" sqref="B1"/>
      <selection pane="bottomLeft" activeCell="A3" sqref="A3"/>
      <selection pane="bottomRight" activeCell="DR265" sqref="DR265"/>
    </sheetView>
  </sheetViews>
  <sheetFormatPr defaultRowHeight="15" x14ac:dyDescent="0.25"/>
  <cols>
    <col min="1" max="1" width="23.7109375" customWidth="1"/>
    <col min="2" max="2" width="0" hidden="1" customWidth="1"/>
    <col min="3" max="3" width="12.7109375" hidden="1" customWidth="1"/>
    <col min="4" max="4" width="12.85546875" hidden="1" customWidth="1"/>
    <col min="6" max="6" width="14.85546875" customWidth="1"/>
    <col min="7" max="7" width="12.85546875" customWidth="1"/>
    <col min="9" max="9" width="11.85546875" customWidth="1"/>
    <col min="10" max="10" width="16.5703125" customWidth="1"/>
    <col min="11" max="11" width="12.140625" style="30" customWidth="1"/>
    <col min="134" max="134" width="10.28515625" customWidth="1"/>
    <col min="139" max="139" width="10.140625" customWidth="1"/>
  </cols>
  <sheetData>
    <row r="1" spans="1:201 16384:16384" x14ac:dyDescent="0.25">
      <c r="A1" s="52"/>
      <c r="B1" s="47" t="s">
        <v>3</v>
      </c>
      <c r="C1" s="47"/>
      <c r="D1" s="47"/>
      <c r="E1" s="48" t="s">
        <v>15</v>
      </c>
      <c r="F1" s="48"/>
      <c r="G1" s="48"/>
      <c r="H1" s="49" t="s">
        <v>16</v>
      </c>
      <c r="I1" s="49"/>
      <c r="J1" s="49"/>
      <c r="K1" s="49"/>
      <c r="L1" s="47" t="s">
        <v>17</v>
      </c>
      <c r="M1" s="47"/>
      <c r="N1" s="47"/>
      <c r="O1" s="47"/>
      <c r="P1" s="47"/>
      <c r="Q1" s="47"/>
      <c r="R1" s="47"/>
      <c r="S1" s="47"/>
      <c r="T1" s="47"/>
      <c r="U1" s="47"/>
      <c r="V1" s="46" t="s">
        <v>18</v>
      </c>
      <c r="W1" s="46"/>
      <c r="X1" s="46"/>
      <c r="Y1" s="46"/>
      <c r="Z1" s="46"/>
      <c r="AA1" s="46"/>
      <c r="AB1" s="46"/>
      <c r="AC1" s="46"/>
      <c r="AD1" s="46"/>
      <c r="AE1" s="46"/>
      <c r="AF1" s="55" t="s">
        <v>19</v>
      </c>
      <c r="AG1" s="55"/>
      <c r="AH1" s="55"/>
      <c r="AI1" s="55"/>
      <c r="AJ1" s="55"/>
      <c r="AK1" s="55"/>
      <c r="AL1" s="55"/>
      <c r="AM1" s="55"/>
      <c r="AN1" s="55"/>
      <c r="AO1" s="55"/>
      <c r="AP1" s="55" t="s">
        <v>26</v>
      </c>
      <c r="AQ1" s="55"/>
      <c r="AR1" s="55"/>
      <c r="AS1" s="55"/>
      <c r="AT1" s="55"/>
      <c r="AU1" s="55"/>
      <c r="AV1" s="55"/>
      <c r="AW1" s="55"/>
      <c r="AX1" s="55"/>
      <c r="AY1" s="55"/>
      <c r="AZ1" s="47" t="s">
        <v>20</v>
      </c>
      <c r="BA1" s="47"/>
      <c r="BB1" s="47"/>
      <c r="BC1" s="47"/>
      <c r="BD1" s="47"/>
      <c r="BE1" s="47"/>
      <c r="BF1" s="47"/>
      <c r="BG1" s="47"/>
      <c r="BH1" s="47"/>
      <c r="BI1" s="47"/>
      <c r="BJ1" s="46" t="s">
        <v>21</v>
      </c>
      <c r="BK1" s="46"/>
      <c r="BL1" s="46"/>
      <c r="BM1" s="46"/>
      <c r="BN1" s="46"/>
      <c r="BO1" s="46"/>
      <c r="BP1" s="46"/>
      <c r="BQ1" s="46"/>
      <c r="BR1" s="46"/>
      <c r="BS1" s="46"/>
      <c r="BT1" s="55" t="s">
        <v>22</v>
      </c>
      <c r="BU1" s="55"/>
      <c r="BV1" s="55"/>
      <c r="BW1" s="55"/>
      <c r="BX1" s="55"/>
      <c r="BY1" s="55"/>
      <c r="BZ1" s="55"/>
      <c r="CA1" s="55"/>
      <c r="CB1" s="55"/>
      <c r="CC1" s="55"/>
      <c r="CD1" s="55" t="s">
        <v>27</v>
      </c>
      <c r="CE1" s="55"/>
      <c r="CF1" s="55"/>
      <c r="CG1" s="55"/>
      <c r="CH1" s="55"/>
      <c r="CI1" s="55"/>
      <c r="CJ1" s="55"/>
      <c r="CK1" s="55"/>
      <c r="CL1" s="55"/>
      <c r="CM1" s="55"/>
      <c r="CN1" s="47" t="s">
        <v>23</v>
      </c>
      <c r="CO1" s="47"/>
      <c r="CP1" s="47"/>
      <c r="CQ1" s="47"/>
      <c r="CR1" s="47"/>
      <c r="CS1" s="47"/>
      <c r="CT1" s="47"/>
      <c r="CU1" s="47"/>
      <c r="CV1" s="47"/>
      <c r="CW1" s="47"/>
      <c r="CX1" s="46" t="s">
        <v>24</v>
      </c>
      <c r="CY1" s="46"/>
      <c r="CZ1" s="46"/>
      <c r="DA1" s="46"/>
      <c r="DB1" s="46"/>
      <c r="DC1" s="46"/>
      <c r="DD1" s="46"/>
      <c r="DE1" s="46"/>
      <c r="DF1" s="46"/>
      <c r="DG1" s="46"/>
      <c r="DH1" s="55" t="s">
        <v>25</v>
      </c>
      <c r="DI1" s="55"/>
      <c r="DJ1" s="55"/>
      <c r="DK1" s="55"/>
      <c r="DL1" s="55"/>
      <c r="DM1" s="55"/>
      <c r="DN1" s="55"/>
      <c r="DO1" s="55"/>
      <c r="DP1" s="55"/>
      <c r="DQ1" s="55"/>
      <c r="DR1" s="55" t="s">
        <v>28</v>
      </c>
      <c r="DS1" s="55"/>
      <c r="DT1" s="55"/>
      <c r="DU1" s="55"/>
      <c r="DV1" s="55"/>
      <c r="DW1" s="55"/>
      <c r="DX1" s="55"/>
      <c r="DY1" s="55"/>
      <c r="DZ1" s="55"/>
      <c r="EA1" s="55"/>
      <c r="EB1" s="53" t="s">
        <v>40</v>
      </c>
      <c r="EC1" s="54"/>
      <c r="ED1" s="54"/>
      <c r="EE1" s="54"/>
      <c r="EF1" s="54"/>
      <c r="EG1" s="54"/>
      <c r="EH1" s="54"/>
      <c r="EI1" s="54"/>
      <c r="EJ1" s="54"/>
      <c r="EK1" s="54"/>
      <c r="EL1" s="46" t="s">
        <v>44</v>
      </c>
      <c r="EM1" s="46"/>
      <c r="EN1" s="46"/>
      <c r="EO1" s="46"/>
      <c r="EP1" s="46"/>
      <c r="EQ1" s="46"/>
      <c r="ER1" s="46"/>
      <c r="ES1" s="46"/>
      <c r="ET1" s="46"/>
      <c r="EU1" s="46"/>
      <c r="EV1" s="46" t="s">
        <v>45</v>
      </c>
      <c r="EW1" s="46"/>
      <c r="EX1" s="46"/>
      <c r="EY1" s="46"/>
      <c r="EZ1" s="46"/>
      <c r="FA1" s="46"/>
      <c r="FB1" s="46"/>
      <c r="FC1" s="46"/>
      <c r="FD1" s="46"/>
      <c r="FE1" s="46"/>
      <c r="FF1" s="46" t="s">
        <v>46</v>
      </c>
      <c r="FG1" s="46"/>
      <c r="FH1" s="46"/>
      <c r="FI1" s="46"/>
      <c r="FJ1" s="46"/>
      <c r="FK1" s="46"/>
      <c r="FL1" s="46"/>
      <c r="FM1" s="46"/>
      <c r="FN1" s="46"/>
      <c r="FO1" s="46"/>
      <c r="FP1" s="50" t="s">
        <v>48</v>
      </c>
      <c r="FQ1" s="51"/>
      <c r="FR1" s="51"/>
      <c r="FS1" s="51"/>
      <c r="FT1" s="51"/>
      <c r="FU1" s="51"/>
      <c r="FV1" s="51"/>
      <c r="FW1" s="51"/>
      <c r="FX1" s="51"/>
      <c r="FY1" s="51"/>
      <c r="FZ1" s="51" t="s">
        <v>49</v>
      </c>
      <c r="GA1" s="51"/>
      <c r="GB1" s="51"/>
      <c r="GC1" s="51"/>
      <c r="GD1" s="51"/>
      <c r="GE1" s="51"/>
      <c r="GF1" s="51"/>
      <c r="GG1" s="51"/>
      <c r="GH1" s="51"/>
      <c r="GI1" s="51"/>
      <c r="GJ1" s="51" t="s">
        <v>50</v>
      </c>
      <c r="GK1" s="51"/>
      <c r="GL1" s="51"/>
      <c r="GM1" s="51"/>
      <c r="GN1" s="51"/>
      <c r="GO1" s="51"/>
      <c r="GP1" s="51"/>
      <c r="GQ1" s="51"/>
      <c r="GR1" s="51"/>
      <c r="GS1" s="51"/>
    </row>
    <row r="2" spans="1:201 16384:16384" ht="19.5" customHeight="1" x14ac:dyDescent="0.25">
      <c r="A2" s="52"/>
      <c r="B2" s="7" t="s">
        <v>0</v>
      </c>
      <c r="C2" s="7" t="s">
        <v>1</v>
      </c>
      <c r="D2" s="7" t="s">
        <v>2</v>
      </c>
      <c r="E2" s="8" t="s">
        <v>0</v>
      </c>
      <c r="F2" s="8" t="s">
        <v>1</v>
      </c>
      <c r="G2" s="8" t="s">
        <v>2</v>
      </c>
      <c r="H2" s="9" t="s">
        <v>0</v>
      </c>
      <c r="I2" s="9" t="s">
        <v>1</v>
      </c>
      <c r="J2" s="9" t="s">
        <v>39</v>
      </c>
      <c r="K2" s="29" t="s">
        <v>2</v>
      </c>
      <c r="L2" s="10" t="s">
        <v>4</v>
      </c>
      <c r="M2" s="10" t="s">
        <v>7</v>
      </c>
      <c r="N2" s="10" t="s">
        <v>8</v>
      </c>
      <c r="O2" s="10" t="s">
        <v>6</v>
      </c>
      <c r="P2" s="10" t="s">
        <v>5</v>
      </c>
      <c r="Q2" s="10" t="s">
        <v>10</v>
      </c>
      <c r="R2" s="10" t="s">
        <v>11</v>
      </c>
      <c r="S2" s="10" t="s">
        <v>12</v>
      </c>
      <c r="T2" s="10" t="s">
        <v>13</v>
      </c>
      <c r="U2" s="10" t="s">
        <v>14</v>
      </c>
      <c r="V2" s="11" t="s">
        <v>4</v>
      </c>
      <c r="W2" s="11" t="s">
        <v>7</v>
      </c>
      <c r="X2" s="11" t="s">
        <v>8</v>
      </c>
      <c r="Y2" s="11" t="s">
        <v>6</v>
      </c>
      <c r="Z2" s="11" t="s">
        <v>5</v>
      </c>
      <c r="AA2" s="11" t="s">
        <v>10</v>
      </c>
      <c r="AB2" s="11" t="s">
        <v>11</v>
      </c>
      <c r="AC2" s="11" t="s">
        <v>12</v>
      </c>
      <c r="AD2" s="11" t="s">
        <v>13</v>
      </c>
      <c r="AE2" s="11" t="s">
        <v>14</v>
      </c>
      <c r="AF2" s="12" t="s">
        <v>4</v>
      </c>
      <c r="AG2" s="12" t="s">
        <v>7</v>
      </c>
      <c r="AH2" s="12" t="s">
        <v>8</v>
      </c>
      <c r="AI2" s="12" t="s">
        <v>6</v>
      </c>
      <c r="AJ2" s="12" t="s">
        <v>5</v>
      </c>
      <c r="AK2" s="12" t="s">
        <v>10</v>
      </c>
      <c r="AL2" s="12" t="s">
        <v>11</v>
      </c>
      <c r="AM2" s="12" t="s">
        <v>12</v>
      </c>
      <c r="AN2" s="12" t="s">
        <v>13</v>
      </c>
      <c r="AO2" s="12" t="s">
        <v>14</v>
      </c>
      <c r="AP2" s="12" t="s">
        <v>4</v>
      </c>
      <c r="AQ2" s="12" t="s">
        <v>7</v>
      </c>
      <c r="AR2" s="12" t="s">
        <v>8</v>
      </c>
      <c r="AS2" s="12" t="s">
        <v>6</v>
      </c>
      <c r="AT2" s="12" t="s">
        <v>5</v>
      </c>
      <c r="AU2" s="12" t="s">
        <v>10</v>
      </c>
      <c r="AV2" s="12" t="s">
        <v>11</v>
      </c>
      <c r="AW2" s="12" t="s">
        <v>12</v>
      </c>
      <c r="AX2" s="12" t="s">
        <v>13</v>
      </c>
      <c r="AY2" s="12" t="s">
        <v>14</v>
      </c>
      <c r="AZ2" s="10" t="s">
        <v>4</v>
      </c>
      <c r="BA2" s="10" t="s">
        <v>7</v>
      </c>
      <c r="BB2" s="10" t="s">
        <v>8</v>
      </c>
      <c r="BC2" s="10" t="s">
        <v>6</v>
      </c>
      <c r="BD2" s="10" t="s">
        <v>5</v>
      </c>
      <c r="BE2" s="10" t="s">
        <v>10</v>
      </c>
      <c r="BF2" s="10" t="s">
        <v>11</v>
      </c>
      <c r="BG2" s="10" t="s">
        <v>12</v>
      </c>
      <c r="BH2" s="10" t="s">
        <v>13</v>
      </c>
      <c r="BI2" s="10" t="s">
        <v>14</v>
      </c>
      <c r="BJ2" s="11" t="s">
        <v>4</v>
      </c>
      <c r="BK2" s="11" t="s">
        <v>7</v>
      </c>
      <c r="BL2" s="11" t="s">
        <v>8</v>
      </c>
      <c r="BM2" s="11" t="s">
        <v>6</v>
      </c>
      <c r="BN2" s="11" t="s">
        <v>5</v>
      </c>
      <c r="BO2" s="11" t="s">
        <v>10</v>
      </c>
      <c r="BP2" s="11" t="s">
        <v>11</v>
      </c>
      <c r="BQ2" s="11" t="s">
        <v>12</v>
      </c>
      <c r="BR2" s="11" t="s">
        <v>13</v>
      </c>
      <c r="BS2" s="11" t="s">
        <v>14</v>
      </c>
      <c r="BT2" s="12" t="s">
        <v>4</v>
      </c>
      <c r="BU2" s="12" t="s">
        <v>7</v>
      </c>
      <c r="BV2" s="12" t="s">
        <v>8</v>
      </c>
      <c r="BW2" s="12" t="s">
        <v>6</v>
      </c>
      <c r="BX2" s="12" t="s">
        <v>5</v>
      </c>
      <c r="BY2" s="12" t="s">
        <v>10</v>
      </c>
      <c r="BZ2" s="12" t="s">
        <v>11</v>
      </c>
      <c r="CA2" s="12" t="s">
        <v>12</v>
      </c>
      <c r="CB2" s="12" t="s">
        <v>13</v>
      </c>
      <c r="CC2" s="12" t="s">
        <v>14</v>
      </c>
      <c r="CD2" s="12" t="s">
        <v>4</v>
      </c>
      <c r="CE2" s="12" t="s">
        <v>7</v>
      </c>
      <c r="CF2" s="12" t="s">
        <v>8</v>
      </c>
      <c r="CG2" s="12" t="s">
        <v>6</v>
      </c>
      <c r="CH2" s="12" t="s">
        <v>5</v>
      </c>
      <c r="CI2" s="12" t="s">
        <v>10</v>
      </c>
      <c r="CJ2" s="12" t="s">
        <v>11</v>
      </c>
      <c r="CK2" s="12" t="s">
        <v>12</v>
      </c>
      <c r="CL2" s="12" t="s">
        <v>13</v>
      </c>
      <c r="CM2" s="12" t="s">
        <v>14</v>
      </c>
      <c r="CN2" s="10" t="s">
        <v>4</v>
      </c>
      <c r="CO2" s="10" t="s">
        <v>7</v>
      </c>
      <c r="CP2" s="10" t="s">
        <v>8</v>
      </c>
      <c r="CQ2" s="10" t="s">
        <v>6</v>
      </c>
      <c r="CR2" s="10" t="s">
        <v>5</v>
      </c>
      <c r="CS2" s="10" t="s">
        <v>10</v>
      </c>
      <c r="CT2" s="10" t="s">
        <v>11</v>
      </c>
      <c r="CU2" s="10" t="s">
        <v>12</v>
      </c>
      <c r="CV2" s="10" t="s">
        <v>13</v>
      </c>
      <c r="CW2" s="10" t="s">
        <v>14</v>
      </c>
      <c r="CX2" s="11" t="s">
        <v>4</v>
      </c>
      <c r="CY2" s="11" t="s">
        <v>7</v>
      </c>
      <c r="CZ2" s="11" t="s">
        <v>8</v>
      </c>
      <c r="DA2" s="11" t="s">
        <v>6</v>
      </c>
      <c r="DB2" s="11" t="s">
        <v>5</v>
      </c>
      <c r="DC2" s="11" t="s">
        <v>10</v>
      </c>
      <c r="DD2" s="11" t="s">
        <v>11</v>
      </c>
      <c r="DE2" s="11" t="s">
        <v>12</v>
      </c>
      <c r="DF2" s="11" t="s">
        <v>13</v>
      </c>
      <c r="DG2" s="11" t="s">
        <v>14</v>
      </c>
      <c r="DH2" s="12" t="s">
        <v>4</v>
      </c>
      <c r="DI2" s="12" t="s">
        <v>7</v>
      </c>
      <c r="DJ2" s="12" t="s">
        <v>8</v>
      </c>
      <c r="DK2" s="12" t="s">
        <v>6</v>
      </c>
      <c r="DL2" s="12" t="s">
        <v>5</v>
      </c>
      <c r="DM2" s="12" t="s">
        <v>10</v>
      </c>
      <c r="DN2" s="12" t="s">
        <v>11</v>
      </c>
      <c r="DO2" s="12" t="s">
        <v>12</v>
      </c>
      <c r="DP2" s="12" t="s">
        <v>13</v>
      </c>
      <c r="DQ2" s="12" t="s">
        <v>14</v>
      </c>
      <c r="DR2" s="12" t="s">
        <v>4</v>
      </c>
      <c r="DS2" s="12" t="s">
        <v>7</v>
      </c>
      <c r="DT2" s="12" t="s">
        <v>8</v>
      </c>
      <c r="DU2" s="12" t="s">
        <v>6</v>
      </c>
      <c r="DV2" s="12" t="s">
        <v>5</v>
      </c>
      <c r="DW2" s="12" t="s">
        <v>10</v>
      </c>
      <c r="DX2" s="12" t="s">
        <v>11</v>
      </c>
      <c r="DY2" s="12" t="s">
        <v>12</v>
      </c>
      <c r="DZ2" s="12" t="s">
        <v>13</v>
      </c>
      <c r="EA2" s="12" t="s">
        <v>14</v>
      </c>
      <c r="EB2" s="28" t="s">
        <v>4</v>
      </c>
      <c r="EC2" s="28" t="s">
        <v>7</v>
      </c>
      <c r="ED2" s="28" t="s">
        <v>8</v>
      </c>
      <c r="EE2" s="28" t="s">
        <v>6</v>
      </c>
      <c r="EF2" s="28" t="s">
        <v>5</v>
      </c>
      <c r="EG2" s="28" t="s">
        <v>10</v>
      </c>
      <c r="EH2" s="28" t="s">
        <v>11</v>
      </c>
      <c r="EI2" s="28" t="s">
        <v>12</v>
      </c>
      <c r="EJ2" s="28" t="s">
        <v>13</v>
      </c>
      <c r="EK2" s="28" t="s">
        <v>14</v>
      </c>
      <c r="EL2" s="11" t="s">
        <v>4</v>
      </c>
      <c r="EM2" s="11" t="s">
        <v>7</v>
      </c>
      <c r="EN2" s="11" t="s">
        <v>8</v>
      </c>
      <c r="EO2" s="11" t="s">
        <v>6</v>
      </c>
      <c r="EP2" s="11" t="s">
        <v>5</v>
      </c>
      <c r="EQ2" s="11" t="s">
        <v>10</v>
      </c>
      <c r="ER2" s="11" t="s">
        <v>11</v>
      </c>
      <c r="ES2" s="11" t="s">
        <v>12</v>
      </c>
      <c r="ET2" s="11" t="s">
        <v>13</v>
      </c>
      <c r="EU2" s="11" t="s">
        <v>14</v>
      </c>
      <c r="EV2" s="11" t="s">
        <v>4</v>
      </c>
      <c r="EW2" s="11" t="s">
        <v>7</v>
      </c>
      <c r="EX2" s="11" t="s">
        <v>8</v>
      </c>
      <c r="EY2" s="11" t="s">
        <v>6</v>
      </c>
      <c r="EZ2" s="11" t="s">
        <v>5</v>
      </c>
      <c r="FA2" s="11" t="s">
        <v>10</v>
      </c>
      <c r="FB2" s="11" t="s">
        <v>11</v>
      </c>
      <c r="FC2" s="11" t="s">
        <v>12</v>
      </c>
      <c r="FD2" s="11" t="s">
        <v>13</v>
      </c>
      <c r="FE2" s="11" t="s">
        <v>14</v>
      </c>
      <c r="FF2" s="11" t="s">
        <v>4</v>
      </c>
      <c r="FG2" s="11" t="s">
        <v>7</v>
      </c>
      <c r="FH2" s="11" t="s">
        <v>8</v>
      </c>
      <c r="FI2" s="11" t="s">
        <v>6</v>
      </c>
      <c r="FJ2" s="11" t="s">
        <v>5</v>
      </c>
      <c r="FK2" s="11" t="s">
        <v>10</v>
      </c>
      <c r="FL2" s="11" t="s">
        <v>11</v>
      </c>
      <c r="FM2" s="11" t="s">
        <v>12</v>
      </c>
      <c r="FN2" s="11" t="s">
        <v>13</v>
      </c>
      <c r="FO2" s="11" t="s">
        <v>14</v>
      </c>
      <c r="FP2" s="11" t="s">
        <v>4</v>
      </c>
      <c r="FQ2" s="11" t="s">
        <v>7</v>
      </c>
      <c r="FR2" s="11" t="s">
        <v>8</v>
      </c>
      <c r="FS2" s="11" t="s">
        <v>6</v>
      </c>
      <c r="FT2" s="11" t="s">
        <v>5</v>
      </c>
      <c r="FU2" s="11" t="s">
        <v>10</v>
      </c>
      <c r="FV2" s="11" t="s">
        <v>11</v>
      </c>
      <c r="FW2" s="11" t="s">
        <v>12</v>
      </c>
      <c r="FX2" s="11" t="s">
        <v>13</v>
      </c>
      <c r="FY2" s="11" t="s">
        <v>14</v>
      </c>
      <c r="FZ2" s="38" t="s">
        <v>4</v>
      </c>
      <c r="GA2" s="38" t="s">
        <v>7</v>
      </c>
      <c r="GB2" s="38" t="s">
        <v>8</v>
      </c>
      <c r="GC2" s="38" t="s">
        <v>6</v>
      </c>
      <c r="GD2" s="38" t="s">
        <v>5</v>
      </c>
      <c r="GE2" s="38" t="s">
        <v>10</v>
      </c>
      <c r="GF2" s="38" t="s">
        <v>11</v>
      </c>
      <c r="GG2" s="38" t="s">
        <v>12</v>
      </c>
      <c r="GH2" s="38" t="s">
        <v>13</v>
      </c>
      <c r="GI2" s="38" t="s">
        <v>14</v>
      </c>
      <c r="GJ2" s="38" t="s">
        <v>4</v>
      </c>
      <c r="GK2" s="38" t="s">
        <v>7</v>
      </c>
      <c r="GL2" s="38" t="s">
        <v>8</v>
      </c>
      <c r="GM2" s="38" t="s">
        <v>6</v>
      </c>
      <c r="GN2" s="38" t="s">
        <v>5</v>
      </c>
      <c r="GO2" s="38" t="s">
        <v>10</v>
      </c>
      <c r="GP2" s="38" t="s">
        <v>11</v>
      </c>
      <c r="GQ2" s="38" t="s">
        <v>12</v>
      </c>
      <c r="GR2" s="38" t="s">
        <v>13</v>
      </c>
      <c r="GS2" s="38" t="s">
        <v>14</v>
      </c>
      <c r="XFD2" t="s">
        <v>38</v>
      </c>
    </row>
    <row r="3" spans="1:201 16384:16384" s="6" customFormat="1" x14ac:dyDescent="0.25">
      <c r="A3" s="13"/>
      <c r="B3" s="14"/>
      <c r="C3" s="14"/>
      <c r="D3" s="14"/>
      <c r="E3" s="14">
        <f>[1]Sheet2!N2</f>
        <v>48000</v>
      </c>
      <c r="F3" s="14">
        <f>[1]Sheet2!BE2</f>
        <v>0</v>
      </c>
      <c r="G3" s="14">
        <f>[1]Sheet2!CW2</f>
        <v>0</v>
      </c>
      <c r="I3" s="14"/>
      <c r="J3" s="14"/>
      <c r="K3" s="22"/>
      <c r="L3" s="14"/>
      <c r="M3" s="14"/>
      <c r="N3" s="14"/>
      <c r="O3" s="14"/>
      <c r="P3" s="14"/>
      <c r="Q3" s="14"/>
      <c r="R3" s="14"/>
      <c r="S3" s="14"/>
      <c r="T3" s="14"/>
      <c r="U3" s="14"/>
      <c r="V3" s="22">
        <f>EL3</f>
        <v>7000</v>
      </c>
      <c r="W3" s="22">
        <f t="shared" ref="W3:AE3" si="0">EM3</f>
        <v>5000</v>
      </c>
      <c r="X3" s="22">
        <f t="shared" si="0"/>
        <v>0</v>
      </c>
      <c r="Y3" s="22">
        <f t="shared" si="0"/>
        <v>9000</v>
      </c>
      <c r="Z3" s="22">
        <f t="shared" si="0"/>
        <v>5000</v>
      </c>
      <c r="AA3" s="22">
        <f t="shared" si="0"/>
        <v>8000</v>
      </c>
      <c r="AB3" s="22">
        <f t="shared" si="0"/>
        <v>300</v>
      </c>
      <c r="AC3" s="22">
        <f t="shared" si="0"/>
        <v>5000</v>
      </c>
      <c r="AD3" s="22">
        <f t="shared" si="0"/>
        <v>5000</v>
      </c>
      <c r="AE3" s="22">
        <f t="shared" si="0"/>
        <v>5000</v>
      </c>
      <c r="AF3" s="14">
        <f>IF([1]Sheet2!AJ2=999999,"NA",[1]Sheet2!AJ2)</f>
        <v>22</v>
      </c>
      <c r="AG3" s="14">
        <f>IF([1]Sheet2!AK2=999999,"NA",[1]Sheet2!AK2)</f>
        <v>20</v>
      </c>
      <c r="AH3" s="14" t="str">
        <f>IF([1]Sheet2!AL2=999999,"NA",[1]Sheet2!AL2)</f>
        <v>NA</v>
      </c>
      <c r="AI3" s="14">
        <f>IF([1]Sheet2!AM2=999999,"NA",[1]Sheet2!AM2)</f>
        <v>77</v>
      </c>
      <c r="AJ3" s="14">
        <f>IF([1]Sheet2!AN2=999999,"NA",[1]Sheet2!AN2)</f>
        <v>25</v>
      </c>
      <c r="AK3" s="14">
        <f>IF([1]Sheet2!AO2=999999,"NA",[1]Sheet2!AO2)</f>
        <v>25</v>
      </c>
      <c r="AL3" s="14">
        <f>IF([1]Sheet2!AP2=999999,"NA",[1]Sheet2!AP2)</f>
        <v>1</v>
      </c>
      <c r="AM3" s="14">
        <f>IF([1]Sheet2!AQ2=999999,"NA",[1]Sheet2!AQ2)</f>
        <v>25</v>
      </c>
      <c r="AN3" s="14">
        <f>IF([1]Sheet2!AR2=999999,"NA",[1]Sheet2!AR2)</f>
        <v>23</v>
      </c>
      <c r="AO3" s="14">
        <f>IF([1]Sheet2!AS2=999999,"NA",[1]Sheet2!AS2)</f>
        <v>23</v>
      </c>
      <c r="AP3" s="14">
        <f>[1]Sheet2!P2</f>
        <v>0</v>
      </c>
      <c r="AQ3" s="14">
        <f>[1]Sheet2!Q2</f>
        <v>0</v>
      </c>
      <c r="AR3" s="14">
        <f>[1]Sheet2!R2</f>
        <v>0</v>
      </c>
      <c r="AS3" s="14">
        <f>[1]Sheet2!S2</f>
        <v>0</v>
      </c>
      <c r="AT3" s="14">
        <f>[1]Sheet2!T2</f>
        <v>0</v>
      </c>
      <c r="AU3" s="14">
        <f>[1]Sheet2!U2</f>
        <v>0</v>
      </c>
      <c r="AV3" s="14">
        <f>[1]Sheet2!V2</f>
        <v>0</v>
      </c>
      <c r="AW3" s="14">
        <f>[1]Sheet2!W2</f>
        <v>0</v>
      </c>
      <c r="AX3" s="14">
        <f>[1]Sheet2!X2</f>
        <v>0</v>
      </c>
      <c r="AY3" s="14">
        <f>[1]Sheet2!Y2</f>
        <v>0</v>
      </c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>
        <f>EV3</f>
        <v>10000</v>
      </c>
      <c r="BK3" s="14">
        <f t="shared" ref="BK3:BS3" si="1">EW3</f>
        <v>10000</v>
      </c>
      <c r="BL3" s="14">
        <f t="shared" si="1"/>
        <v>10000</v>
      </c>
      <c r="BM3" s="14">
        <f t="shared" si="1"/>
        <v>10000</v>
      </c>
      <c r="BN3" s="14">
        <f t="shared" si="1"/>
        <v>10000</v>
      </c>
      <c r="BO3" s="14">
        <f t="shared" si="1"/>
        <v>10000</v>
      </c>
      <c r="BP3" s="14">
        <f t="shared" si="1"/>
        <v>16000</v>
      </c>
      <c r="BQ3" s="14">
        <f t="shared" si="1"/>
        <v>10000</v>
      </c>
      <c r="BR3" s="14">
        <f t="shared" si="1"/>
        <v>10000</v>
      </c>
      <c r="BS3" s="14">
        <f t="shared" si="1"/>
        <v>10000</v>
      </c>
      <c r="BT3" s="14">
        <f>IF([1]Sheet2!CB2=999999,"NA",[1]Sheet2!CB2)</f>
        <v>19</v>
      </c>
      <c r="BU3" s="14">
        <f>IF([1]Sheet2!CC2=999999,"NA",[1]Sheet2!CC2)</f>
        <v>12</v>
      </c>
      <c r="BV3" s="14">
        <f>IF([1]Sheet2!CD2=999999,"NA",[1]Sheet2!CD2)</f>
        <v>41</v>
      </c>
      <c r="BW3" s="14">
        <f>IF([1]Sheet2!CE2=999999,"NA",[1]Sheet2!CE2)</f>
        <v>14</v>
      </c>
      <c r="BX3" s="14">
        <f>IF([1]Sheet2!CF2=999999,"NA",[1]Sheet2!CF2)</f>
        <v>20</v>
      </c>
      <c r="BY3" s="14">
        <f>IF([1]Sheet2!CG2=999999,"NA",[1]Sheet2!CG2)</f>
        <v>22</v>
      </c>
      <c r="BZ3" s="14">
        <f>IF([1]Sheet2!CH2=999999,"NA",[1]Sheet2!CH2)</f>
        <v>20</v>
      </c>
      <c r="CA3" s="14">
        <f>IF([1]Sheet2!CI2=999999,"NA",[1]Sheet2!CI2)</f>
        <v>22</v>
      </c>
      <c r="CB3" s="14">
        <f>IF([1]Sheet2!CJ2=999999,"NA",[1]Sheet2!CJ2)</f>
        <v>25</v>
      </c>
      <c r="CC3" s="14">
        <f>IF([1]Sheet2!CK2=999999,"NA",[1]Sheet2!CK2)</f>
        <v>23</v>
      </c>
      <c r="CD3" s="14">
        <f>[1]Sheet2!BH2</f>
        <v>0</v>
      </c>
      <c r="CE3" s="14">
        <f>[1]Sheet2!BI2</f>
        <v>0</v>
      </c>
      <c r="CF3" s="14">
        <f>[1]Sheet2!BJ2</f>
        <v>0</v>
      </c>
      <c r="CG3" s="14">
        <f>[1]Sheet2!BK2</f>
        <v>0</v>
      </c>
      <c r="CH3" s="14">
        <f>[1]Sheet2!BL2</f>
        <v>0</v>
      </c>
      <c r="CI3" s="14">
        <f>[1]Sheet2!BM2</f>
        <v>0</v>
      </c>
      <c r="CJ3" s="14">
        <f>[1]Sheet2!BN2</f>
        <v>0</v>
      </c>
      <c r="CK3" s="14">
        <f>[1]Sheet2!BO2</f>
        <v>0</v>
      </c>
      <c r="CL3" s="14">
        <f>[1]Sheet2!BP2</f>
        <v>0</v>
      </c>
      <c r="CM3" s="14">
        <f>[1]Sheet2!BQ2</f>
        <v>0</v>
      </c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>
        <f>FF3</f>
        <v>5000</v>
      </c>
      <c r="CY3" s="14">
        <f t="shared" ref="CY3:DG3" si="2">FG3</f>
        <v>1000</v>
      </c>
      <c r="CZ3" s="14">
        <f t="shared" si="2"/>
        <v>0</v>
      </c>
      <c r="DA3" s="14">
        <f t="shared" si="2"/>
        <v>0</v>
      </c>
      <c r="DB3" s="14">
        <f t="shared" si="2"/>
        <v>0</v>
      </c>
      <c r="DC3" s="14">
        <f t="shared" si="2"/>
        <v>5000</v>
      </c>
      <c r="DD3" s="14">
        <f t="shared" si="2"/>
        <v>1000</v>
      </c>
      <c r="DE3" s="14">
        <f t="shared" si="2"/>
        <v>0</v>
      </c>
      <c r="DF3" s="14">
        <f t="shared" si="2"/>
        <v>0</v>
      </c>
      <c r="DG3" s="14">
        <f t="shared" si="2"/>
        <v>0</v>
      </c>
      <c r="DH3" s="14">
        <f>IF([1]Sheet2!DS2=999999,"NA",[1]Sheet2!DS2)</f>
        <v>38</v>
      </c>
      <c r="DI3" s="14">
        <f>IF([1]Sheet2!DT2=999999,"NA",[1]Sheet2!DT2)</f>
        <v>365</v>
      </c>
      <c r="DJ3" s="14" t="str">
        <f>IF([1]Sheet2!DU2=999999,"NA",[1]Sheet2!DU2)</f>
        <v>NA</v>
      </c>
      <c r="DK3" s="14" t="str">
        <f>IF([1]Sheet2!DV2=999999,"NA",[1]Sheet2!DV2)</f>
        <v>NA</v>
      </c>
      <c r="DL3" s="14" t="str">
        <f>IF([1]Sheet2!DW2=999999,"NA",[1]Sheet2!DW2)</f>
        <v>NA</v>
      </c>
      <c r="DM3" s="14">
        <f>IF([1]Sheet2!DX2=999999,"NA",[1]Sheet2!DX2)</f>
        <v>41</v>
      </c>
      <c r="DN3" s="14">
        <f>IF([1]Sheet2!DY2=999999,"NA",[1]Sheet2!DY2)</f>
        <v>365</v>
      </c>
      <c r="DO3" s="14" t="str">
        <f>IF([1]Sheet2!DZ2=999999,"NA",[1]Sheet2!DZ2)</f>
        <v>NA</v>
      </c>
      <c r="DP3" s="14" t="str">
        <f>IF([1]Sheet2!EA2=999999,"NA",[1]Sheet2!EA2)</f>
        <v>NA</v>
      </c>
      <c r="DQ3" s="14" t="str">
        <f>IF([1]Sheet2!EB2=999999,"NA",[1]Sheet2!EB2)</f>
        <v>NA</v>
      </c>
      <c r="DR3" s="14">
        <f>[1]Sheet2!CY2</f>
        <v>0</v>
      </c>
      <c r="DS3" s="14">
        <f>[1]Sheet2!CZ2</f>
        <v>0</v>
      </c>
      <c r="DT3" s="14">
        <f>[1]Sheet2!DA2</f>
        <v>0</v>
      </c>
      <c r="DU3" s="14">
        <f>[1]Sheet2!DB2</f>
        <v>0</v>
      </c>
      <c r="DV3" s="14">
        <f>[1]Sheet2!DC2</f>
        <v>0</v>
      </c>
      <c r="DW3" s="14">
        <f>[1]Sheet2!DD2</f>
        <v>0</v>
      </c>
      <c r="DX3" s="14">
        <f>[1]Sheet2!DE2</f>
        <v>0</v>
      </c>
      <c r="DY3" s="14">
        <f>[1]Sheet2!DF2</f>
        <v>0</v>
      </c>
      <c r="DZ3" s="14">
        <f>[1]Sheet2!DG2</f>
        <v>0</v>
      </c>
      <c r="EA3" s="14">
        <f>[1]Sheet2!DH2</f>
        <v>0</v>
      </c>
      <c r="EB3" s="6">
        <f>[1]Sheet2!EC2</f>
        <v>0</v>
      </c>
      <c r="EC3" s="6">
        <f>[1]Sheet2!ED2</f>
        <v>0</v>
      </c>
      <c r="ED3" s="6">
        <f>[1]Sheet2!EE2</f>
        <v>0</v>
      </c>
      <c r="EE3" s="6">
        <f>[1]Sheet2!EF2</f>
        <v>0</v>
      </c>
      <c r="EF3" s="6">
        <f>[1]Sheet2!EG2</f>
        <v>0</v>
      </c>
      <c r="EG3" s="6">
        <f>[1]Sheet2!EH2</f>
        <v>0</v>
      </c>
      <c r="EH3" s="6">
        <f>[1]Sheet2!EI2</f>
        <v>0</v>
      </c>
      <c r="EI3" s="6">
        <f>[1]Sheet2!EJ2</f>
        <v>0</v>
      </c>
      <c r="EJ3" s="6">
        <f>[1]Sheet2!EK2</f>
        <v>0</v>
      </c>
      <c r="EK3" s="6">
        <f>[1]Sheet2!EL2</f>
        <v>0</v>
      </c>
      <c r="EL3" s="6">
        <f>[1]Sheet2!EM2</f>
        <v>7000</v>
      </c>
      <c r="EM3" s="6">
        <f>[1]Sheet2!EN2</f>
        <v>5000</v>
      </c>
      <c r="EN3" s="6">
        <f>[1]Sheet2!EO2</f>
        <v>0</v>
      </c>
      <c r="EO3" s="6">
        <f>[1]Sheet2!EP2</f>
        <v>9000</v>
      </c>
      <c r="EP3" s="6">
        <f>[1]Sheet2!EQ2</f>
        <v>5000</v>
      </c>
      <c r="EQ3" s="6">
        <f>[1]Sheet2!ER2</f>
        <v>8000</v>
      </c>
      <c r="ER3" s="6">
        <f>[1]Sheet2!ES2</f>
        <v>300</v>
      </c>
      <c r="ES3" s="6">
        <f>[1]Sheet2!ET2</f>
        <v>5000</v>
      </c>
      <c r="ET3" s="6">
        <f>[1]Sheet2!EU2</f>
        <v>5000</v>
      </c>
      <c r="EU3" s="6">
        <f>[1]Sheet2!EV2</f>
        <v>5000</v>
      </c>
      <c r="EV3" s="6">
        <f>[1]Sheet2!EW2</f>
        <v>10000</v>
      </c>
      <c r="EW3" s="6">
        <f>[1]Sheet2!EX2</f>
        <v>10000</v>
      </c>
      <c r="EX3" s="6">
        <f>[1]Sheet2!EY2</f>
        <v>10000</v>
      </c>
      <c r="EY3" s="6">
        <f>[1]Sheet2!EZ2</f>
        <v>10000</v>
      </c>
      <c r="EZ3" s="6">
        <f>[1]Sheet2!FA2</f>
        <v>10000</v>
      </c>
      <c r="FA3" s="6">
        <f>[1]Sheet2!FB2</f>
        <v>10000</v>
      </c>
      <c r="FB3" s="6">
        <f>[1]Sheet2!FC2</f>
        <v>16000</v>
      </c>
      <c r="FC3" s="6">
        <f>[1]Sheet2!FD2</f>
        <v>10000</v>
      </c>
      <c r="FD3" s="6">
        <f>[1]Sheet2!FE2</f>
        <v>10000</v>
      </c>
      <c r="FE3" s="6">
        <f>[1]Sheet2!FF2</f>
        <v>10000</v>
      </c>
      <c r="FF3" s="6">
        <f>[1]Sheet2!FG2</f>
        <v>5000</v>
      </c>
      <c r="FG3" s="6">
        <f>[1]Sheet2!FH2</f>
        <v>1000</v>
      </c>
      <c r="FH3" s="6">
        <f>[1]Sheet2!FI2</f>
        <v>0</v>
      </c>
      <c r="FI3" s="6">
        <f>[1]Sheet2!FJ2</f>
        <v>0</v>
      </c>
      <c r="FJ3" s="6">
        <f>[1]Sheet2!FK2</f>
        <v>0</v>
      </c>
      <c r="FK3" s="6">
        <f>[1]Sheet2!FL2</f>
        <v>5000</v>
      </c>
      <c r="FL3" s="6">
        <f>[1]Sheet2!FM2</f>
        <v>1000</v>
      </c>
      <c r="FM3" s="6">
        <f>[1]Sheet2!FN2</f>
        <v>0</v>
      </c>
      <c r="FN3" s="6">
        <f>[1]Sheet2!FO2</f>
        <v>0</v>
      </c>
      <c r="FO3" s="6">
        <f>[1]Sheet2!FP2</f>
        <v>0</v>
      </c>
      <c r="XFD3" t="s">
        <v>41</v>
      </c>
    </row>
    <row r="4" spans="1:201 16384:16384" x14ac:dyDescent="0.25">
      <c r="A4" s="15">
        <v>43466</v>
      </c>
      <c r="B4" s="1"/>
      <c r="C4" s="1"/>
      <c r="D4" s="1"/>
      <c r="E4" s="14">
        <f>[1]Sheet2!N3</f>
        <v>0</v>
      </c>
      <c r="F4" s="14">
        <f>[1]Sheet2!BE3</f>
        <v>48000</v>
      </c>
      <c r="G4" s="14">
        <f>[1]Sheet2!CW3</f>
        <v>0</v>
      </c>
      <c r="H4" s="37"/>
      <c r="I4" s="1">
        <v>48000</v>
      </c>
      <c r="J4" s="1" t="s">
        <v>38</v>
      </c>
      <c r="K4" s="16"/>
      <c r="L4" s="16">
        <f>Demand_CWRS!B$3/31</f>
        <v>313.22137613730359</v>
      </c>
      <c r="M4" s="16">
        <f>Demand_CWRS!C$3/31</f>
        <v>241.71000827129859</v>
      </c>
      <c r="N4" s="16">
        <f>Demand_CWRS!D$3/31</f>
        <v>0</v>
      </c>
      <c r="O4" s="16">
        <f>Demand_CWRS!E$3/31</f>
        <v>98.872001654259719</v>
      </c>
      <c r="P4" s="16">
        <f>Demand_CWRS!F$3/31</f>
        <v>198.36900072373859</v>
      </c>
      <c r="Q4" s="16">
        <f>Demand_CWRS!G$3/31</f>
        <v>309.67741935483872</v>
      </c>
      <c r="R4" s="16">
        <f>Demand_CWRS!H$3/31</f>
        <v>241.71000827129859</v>
      </c>
      <c r="S4" s="16">
        <f>Demand_CWRS!I$3/31</f>
        <v>200</v>
      </c>
      <c r="T4" s="16">
        <f>Demand_CWRS!J$3/31</f>
        <v>209.67741935483872</v>
      </c>
      <c r="U4" s="16">
        <f>Demand_CWRS!K$3/31</f>
        <v>216.12903225806451</v>
      </c>
      <c r="V4" s="16">
        <f>IF(EL4="",V3-L4+AP4,EL4)</f>
        <v>6686.7786238626968</v>
      </c>
      <c r="W4" s="16">
        <f>IF(EM4="",W3-M4+AQ4,EM4)</f>
        <v>4758.2899917287014</v>
      </c>
      <c r="X4" s="16">
        <f t="shared" ref="X4:AE4" si="3">IF(EN4="",X3-N4+AR4,EN4)</f>
        <v>0</v>
      </c>
      <c r="Y4" s="16">
        <f t="shared" si="3"/>
        <v>8901.1279983457407</v>
      </c>
      <c r="Z4" s="16">
        <f t="shared" si="3"/>
        <v>4801.6309992762617</v>
      </c>
      <c r="AA4" s="16">
        <f t="shared" si="3"/>
        <v>7690.322580645161</v>
      </c>
      <c r="AB4" s="16">
        <f t="shared" si="3"/>
        <v>58.289991728701409</v>
      </c>
      <c r="AC4" s="16">
        <f t="shared" si="3"/>
        <v>4800</v>
      </c>
      <c r="AD4" s="16">
        <f t="shared" si="3"/>
        <v>4790.322580645161</v>
      </c>
      <c r="AE4" s="16">
        <f t="shared" si="3"/>
        <v>4783.8709677419356</v>
      </c>
      <c r="AF4" s="14">
        <f>IF([1]Sheet2!AJ3=999999,"NA",[1]Sheet2!AJ3)</f>
        <v>21</v>
      </c>
      <c r="AG4" s="14">
        <f>IF([1]Sheet2!AK3=999999,"NA",[1]Sheet2!AK3)</f>
        <v>19</v>
      </c>
      <c r="AH4" s="14" t="str">
        <f>IF([1]Sheet2!AL3=999999,"NA",[1]Sheet2!AL3)</f>
        <v>NA</v>
      </c>
      <c r="AI4" s="14">
        <f>IF([1]Sheet2!AM3=999999,"NA",[1]Sheet2!AM3)</f>
        <v>76</v>
      </c>
      <c r="AJ4" s="14">
        <f>IF([1]Sheet2!AN3=999999,"NA",[1]Sheet2!AN3)</f>
        <v>24</v>
      </c>
      <c r="AK4" s="14">
        <f>IF([1]Sheet2!AO3=999999,"NA",[1]Sheet2!AO3)</f>
        <v>24</v>
      </c>
      <c r="AL4" s="14">
        <f>IF([1]Sheet2!AP3=999999,"NA",[1]Sheet2!AP3)</f>
        <v>0</v>
      </c>
      <c r="AM4" s="14">
        <f>IF([1]Sheet2!AQ3=999999,"NA",[1]Sheet2!AQ3)</f>
        <v>24</v>
      </c>
      <c r="AN4" s="14">
        <f>IF([1]Sheet2!AR3=999999,"NA",[1]Sheet2!AR3)</f>
        <v>22</v>
      </c>
      <c r="AO4" s="14">
        <f>IF([1]Sheet2!AS3=999999,"NA",[1]Sheet2!AS3)</f>
        <v>22</v>
      </c>
      <c r="AP4" s="25">
        <f>[1]Sheet2!P3</f>
        <v>0</v>
      </c>
      <c r="AQ4" s="25">
        <f>[1]Sheet2!Q3</f>
        <v>0</v>
      </c>
      <c r="AR4" s="14">
        <f>[1]Sheet2!R3</f>
        <v>0</v>
      </c>
      <c r="AS4" s="14">
        <f>[1]Sheet2!S3</f>
        <v>0</v>
      </c>
      <c r="AT4" s="14">
        <f>[1]Sheet2!T3</f>
        <v>0</v>
      </c>
      <c r="AU4" s="14">
        <f>[1]Sheet2!U3</f>
        <v>0</v>
      </c>
      <c r="AV4" s="14">
        <f>[1]Sheet2!V3</f>
        <v>0</v>
      </c>
      <c r="AW4" s="14">
        <f>[1]Sheet2!W3</f>
        <v>0</v>
      </c>
      <c r="AX4" s="14">
        <f>[1]Sheet2!X3</f>
        <v>0</v>
      </c>
      <c r="AY4" s="14">
        <f>[1]Sheet2!Y3</f>
        <v>0</v>
      </c>
      <c r="AZ4" s="16">
        <f>Demand_LP!B$3/31</f>
        <v>503.00172404880072</v>
      </c>
      <c r="BA4" s="16">
        <f>Demand_LP!C$3/31</f>
        <v>792.35864350703059</v>
      </c>
      <c r="BB4" s="16">
        <f>Demand_LP!D$3/31</f>
        <v>231.20967741935488</v>
      </c>
      <c r="BC4" s="16">
        <f>Demand_LP!E$3/31</f>
        <v>696.53949545078569</v>
      </c>
      <c r="BD4" s="16">
        <f>Demand_LP!F$3/31</f>
        <v>482.27093930934655</v>
      </c>
      <c r="BE4" s="16">
        <f>Demand_LP!G$3/31</f>
        <v>451.61290322580646</v>
      </c>
      <c r="BF4" s="16">
        <f>Demand_LP!H$3/31</f>
        <v>774.19354838709683</v>
      </c>
      <c r="BG4" s="16">
        <f>Demand_LP!I$3/31</f>
        <v>451.61290322580646</v>
      </c>
      <c r="BH4" s="16">
        <f>Demand_LP!J$3/31</f>
        <v>387.09677419354841</v>
      </c>
      <c r="BI4" s="16">
        <f>Demand_LP!K$3/31</f>
        <v>419.35483870967744</v>
      </c>
      <c r="BJ4" s="16">
        <f>IF(EV4="",BJ3-AZ4+CD4,EV4)</f>
        <v>9496.9982759511986</v>
      </c>
      <c r="BK4" s="16">
        <f t="shared" ref="BK4:BS4" si="4">IF(EW4="",BK3-BA4+CE4,EW4)</f>
        <v>9207.6413564929699</v>
      </c>
      <c r="BL4" s="16">
        <f t="shared" si="4"/>
        <v>9768.7903225806458</v>
      </c>
      <c r="BM4" s="16">
        <f t="shared" si="4"/>
        <v>9303.4605045492135</v>
      </c>
      <c r="BN4" s="16">
        <f t="shared" si="4"/>
        <v>9517.7290606906536</v>
      </c>
      <c r="BO4" s="16">
        <f t="shared" si="4"/>
        <v>9548.3870967741932</v>
      </c>
      <c r="BP4" s="16">
        <f t="shared" si="4"/>
        <v>15225.806451612903</v>
      </c>
      <c r="BQ4" s="16">
        <f t="shared" si="4"/>
        <v>9548.3870967741932</v>
      </c>
      <c r="BR4" s="16">
        <f t="shared" si="4"/>
        <v>9612.9032258064508</v>
      </c>
      <c r="BS4" s="16">
        <f t="shared" si="4"/>
        <v>9580.645161290322</v>
      </c>
      <c r="BT4" s="14">
        <f>IF([1]Sheet2!CB3=999999,"NA",[1]Sheet2!CB3)</f>
        <v>18</v>
      </c>
      <c r="BU4" s="14">
        <f>IF([1]Sheet2!CC3=999999,"NA",[1]Sheet2!CC3)</f>
        <v>11</v>
      </c>
      <c r="BV4" s="14">
        <f>IF([1]Sheet2!CD3=999999,"NA",[1]Sheet2!CD3)</f>
        <v>40</v>
      </c>
      <c r="BW4" s="14">
        <f>IF([1]Sheet2!CE3=999999,"NA",[1]Sheet2!CE3)</f>
        <v>13</v>
      </c>
      <c r="BX4" s="14">
        <f>IF([1]Sheet2!CF3=999999,"NA",[1]Sheet2!CF3)</f>
        <v>19</v>
      </c>
      <c r="BY4" s="14">
        <f>IF([1]Sheet2!CG3=999999,"NA",[1]Sheet2!CG3)</f>
        <v>21</v>
      </c>
      <c r="BZ4" s="14">
        <f>IF([1]Sheet2!CH3=999999,"NA",[1]Sheet2!CH3)</f>
        <v>19</v>
      </c>
      <c r="CA4" s="14">
        <f>IF([1]Sheet2!CI3=999999,"NA",[1]Sheet2!CI3)</f>
        <v>21</v>
      </c>
      <c r="CB4" s="14">
        <f>IF([1]Sheet2!CJ3=999999,"NA",[1]Sheet2!CJ3)</f>
        <v>24</v>
      </c>
      <c r="CC4" s="14">
        <f>IF([1]Sheet2!CK3=999999,"NA",[1]Sheet2!CK3)</f>
        <v>22</v>
      </c>
      <c r="CD4" s="20">
        <f>[1]Sheet2!BH3</f>
        <v>0</v>
      </c>
      <c r="CE4" s="20">
        <f>[1]Sheet2!BI3</f>
        <v>0</v>
      </c>
      <c r="CF4" s="20">
        <f>[1]Sheet2!BJ3</f>
        <v>0</v>
      </c>
      <c r="CG4" s="14">
        <f>[1]Sheet2!BK3</f>
        <v>0</v>
      </c>
      <c r="CH4" s="14">
        <f>[1]Sheet2!BL3</f>
        <v>0</v>
      </c>
      <c r="CI4" s="14">
        <f>[1]Sheet2!BM3</f>
        <v>0</v>
      </c>
      <c r="CJ4" s="14">
        <f>[1]Sheet2!BN3</f>
        <v>0</v>
      </c>
      <c r="CK4" s="14">
        <f>[1]Sheet2!BO3</f>
        <v>0</v>
      </c>
      <c r="CL4" s="14">
        <f>[1]Sheet2!BP3</f>
        <v>0</v>
      </c>
      <c r="CM4" s="14">
        <f>[1]Sheet2!BQ3</f>
        <v>0</v>
      </c>
      <c r="CN4" s="16">
        <f>Demand_SW!B$3/31</f>
        <v>139.57816377171216</v>
      </c>
      <c r="CO4" s="16">
        <f>Demand_SW!C$3/31</f>
        <v>0</v>
      </c>
      <c r="CP4" s="16">
        <f>Demand_SW!D$3/31</f>
        <v>0</v>
      </c>
      <c r="CQ4" s="16">
        <f>Demand_SW!E$3/31</f>
        <v>0</v>
      </c>
      <c r="CR4" s="16">
        <f>Demand_SW!F$3/31</f>
        <v>0</v>
      </c>
      <c r="CS4" s="16">
        <f>Demand_SW!G$3/31</f>
        <v>132.25806451612902</v>
      </c>
      <c r="CT4" s="16">
        <f>Demand_SW!H$3/31</f>
        <v>0</v>
      </c>
      <c r="CU4" s="16">
        <f>Demand_SW!I$3/31</f>
        <v>0</v>
      </c>
      <c r="CV4" s="16">
        <f>Demand_SW!J$3/31</f>
        <v>0</v>
      </c>
      <c r="CW4" s="16">
        <f>Demand_SW!K$3/31</f>
        <v>0</v>
      </c>
      <c r="CX4" s="16">
        <f>IF(FF4="",CX3-CN4+DR4,FF4)</f>
        <v>4860.4218362282882</v>
      </c>
      <c r="CY4" s="16">
        <f t="shared" ref="CY4:DG4" si="5">IF(FG4="",CY3-CO4+DS4,FG4)</f>
        <v>1000</v>
      </c>
      <c r="CZ4" s="16">
        <f t="shared" si="5"/>
        <v>0</v>
      </c>
      <c r="DA4" s="16">
        <f t="shared" si="5"/>
        <v>0</v>
      </c>
      <c r="DB4" s="16">
        <f t="shared" si="5"/>
        <v>0</v>
      </c>
      <c r="DC4" s="16">
        <f t="shared" si="5"/>
        <v>4867.7419354838712</v>
      </c>
      <c r="DD4" s="16">
        <f t="shared" si="5"/>
        <v>1000</v>
      </c>
      <c r="DE4" s="16">
        <f t="shared" si="5"/>
        <v>0</v>
      </c>
      <c r="DF4" s="16">
        <f t="shared" si="5"/>
        <v>0</v>
      </c>
      <c r="DG4" s="16">
        <f t="shared" si="5"/>
        <v>0</v>
      </c>
      <c r="DH4" s="14">
        <f>IF([1]Sheet2!DS3=999999,"NA",[1]Sheet2!DS3)</f>
        <v>37</v>
      </c>
      <c r="DI4" s="14">
        <f>IF([1]Sheet2!DT3=999999,"NA",[1]Sheet2!DT3)</f>
        <v>364</v>
      </c>
      <c r="DJ4" s="14" t="str">
        <f>IF([1]Sheet2!DU3=999999,"NA",[1]Sheet2!DU3)</f>
        <v>NA</v>
      </c>
      <c r="DK4" s="14" t="str">
        <f>IF([1]Sheet2!DV3=999999,"NA",[1]Sheet2!DV3)</f>
        <v>NA</v>
      </c>
      <c r="DL4" s="14" t="str">
        <f>IF([1]Sheet2!DW3=999999,"NA",[1]Sheet2!DW3)</f>
        <v>NA</v>
      </c>
      <c r="DM4" s="14">
        <f>IF([1]Sheet2!DX3=999999,"NA",[1]Sheet2!DX3)</f>
        <v>40</v>
      </c>
      <c r="DN4" s="14">
        <f>IF([1]Sheet2!DY3=999999,"NA",[1]Sheet2!DY3)</f>
        <v>364</v>
      </c>
      <c r="DO4" s="14" t="str">
        <f>IF([1]Sheet2!DZ3=999999,"NA",[1]Sheet2!DZ3)</f>
        <v>NA</v>
      </c>
      <c r="DP4" s="14" t="str">
        <f>IF([1]Sheet2!EA3=999999,"NA",[1]Sheet2!EA3)</f>
        <v>NA</v>
      </c>
      <c r="DQ4" s="14" t="str">
        <f>IF([1]Sheet2!EB3=999999,"NA",[1]Sheet2!EB3)</f>
        <v>NA</v>
      </c>
      <c r="DR4" s="14">
        <f>[1]Sheet2!CY3</f>
        <v>0</v>
      </c>
      <c r="DS4" s="14">
        <f>[1]Sheet2!CZ3</f>
        <v>0</v>
      </c>
      <c r="DT4" s="14">
        <f>[1]Sheet2!DA3</f>
        <v>0</v>
      </c>
      <c r="DU4" s="14">
        <f>[1]Sheet2!DB3</f>
        <v>0</v>
      </c>
      <c r="DV4" s="14">
        <f>[1]Sheet2!DC3</f>
        <v>0</v>
      </c>
      <c r="DW4" s="14">
        <f>[1]Sheet2!DD3</f>
        <v>0</v>
      </c>
      <c r="DX4" s="14">
        <f>[1]Sheet2!DE3</f>
        <v>0</v>
      </c>
      <c r="DY4" s="14">
        <f>[1]Sheet2!DF3</f>
        <v>0</v>
      </c>
      <c r="DZ4" s="14">
        <f>[1]Sheet2!DG3</f>
        <v>0</v>
      </c>
      <c r="EA4" s="14">
        <f>[1]Sheet2!DH3</f>
        <v>0</v>
      </c>
      <c r="EB4" s="6">
        <f>[1]Sheet2!EC3</f>
        <v>0</v>
      </c>
      <c r="EC4" s="6">
        <f>[1]Sheet2!ED3</f>
        <v>0</v>
      </c>
      <c r="ED4" s="6">
        <f>[1]Sheet2!EE3</f>
        <v>0</v>
      </c>
      <c r="EE4" s="6">
        <f>[1]Sheet2!EF3</f>
        <v>0</v>
      </c>
      <c r="EF4" s="6">
        <f>[1]Sheet2!EG3</f>
        <v>0</v>
      </c>
      <c r="EG4" s="6">
        <f>[1]Sheet2!EH3</f>
        <v>0</v>
      </c>
      <c r="EH4" s="6">
        <f>[1]Sheet2!EI3</f>
        <v>0</v>
      </c>
      <c r="EI4" s="6">
        <f>[1]Sheet2!EJ3</f>
        <v>0</v>
      </c>
      <c r="EJ4" s="6">
        <f>[1]Sheet2!EK3</f>
        <v>0</v>
      </c>
      <c r="EK4" s="6">
        <f>[1]Sheet2!EL3</f>
        <v>0</v>
      </c>
      <c r="EL4" s="6" t="str">
        <f>[1]Sheet2!EM3</f>
        <v/>
      </c>
      <c r="EM4" s="6" t="str">
        <f>[1]Sheet2!EN3</f>
        <v/>
      </c>
      <c r="EN4" s="6" t="str">
        <f>[1]Sheet2!EO3</f>
        <v/>
      </c>
      <c r="EO4" s="6" t="str">
        <f>[1]Sheet2!EP3</f>
        <v/>
      </c>
      <c r="EP4" s="6" t="str">
        <f>[1]Sheet2!EQ3</f>
        <v/>
      </c>
      <c r="EQ4" s="6" t="str">
        <f>[1]Sheet2!ER3</f>
        <v/>
      </c>
      <c r="ER4" s="6" t="str">
        <f>[1]Sheet2!ES3</f>
        <v/>
      </c>
      <c r="ES4" s="6" t="str">
        <f>[1]Sheet2!ET3</f>
        <v/>
      </c>
      <c r="ET4" s="6" t="str">
        <f>[1]Sheet2!EU3</f>
        <v/>
      </c>
      <c r="EU4" s="6" t="str">
        <f>[1]Sheet2!EV3</f>
        <v/>
      </c>
      <c r="EV4" s="6" t="str">
        <f>[1]Sheet2!EW3</f>
        <v/>
      </c>
      <c r="EW4" s="6" t="str">
        <f>[1]Sheet2!EX3</f>
        <v/>
      </c>
      <c r="EX4" s="6" t="str">
        <f>[1]Sheet2!EY3</f>
        <v/>
      </c>
      <c r="EY4" s="6" t="str">
        <f>[1]Sheet2!EZ3</f>
        <v/>
      </c>
      <c r="EZ4" s="6" t="str">
        <f>[1]Sheet2!FA3</f>
        <v/>
      </c>
      <c r="FA4" s="6" t="str">
        <f>[1]Sheet2!FB3</f>
        <v/>
      </c>
      <c r="FB4" s="6" t="str">
        <f>[1]Sheet2!FC3</f>
        <v/>
      </c>
      <c r="FC4" s="6" t="str">
        <f>[1]Sheet2!FD3</f>
        <v/>
      </c>
      <c r="FD4" s="6" t="str">
        <f>[1]Sheet2!FE3</f>
        <v/>
      </c>
      <c r="FE4" s="6" t="str">
        <f>[1]Sheet2!FF3</f>
        <v/>
      </c>
      <c r="FF4" s="6" t="str">
        <f>[1]Sheet2!FG3</f>
        <v/>
      </c>
      <c r="FG4" s="6" t="str">
        <f>[1]Sheet2!FH3</f>
        <v/>
      </c>
      <c r="FH4" s="6" t="str">
        <f>[1]Sheet2!FI3</f>
        <v/>
      </c>
      <c r="FI4" s="6" t="str">
        <f>[1]Sheet2!FJ3</f>
        <v/>
      </c>
      <c r="FJ4" s="6" t="str">
        <f>[1]Sheet2!FK3</f>
        <v/>
      </c>
      <c r="FK4" s="6" t="str">
        <f>[1]Sheet2!FL3</f>
        <v/>
      </c>
      <c r="FL4" s="6" t="str">
        <f>[1]Sheet2!FM3</f>
        <v/>
      </c>
      <c r="FM4" s="6" t="str">
        <f>[1]Sheet2!FN3</f>
        <v/>
      </c>
      <c r="FN4" s="6" t="str">
        <f>[1]Sheet2!FO3</f>
        <v/>
      </c>
      <c r="FO4" s="6" t="str">
        <f>[1]Sheet2!FP3</f>
        <v/>
      </c>
      <c r="XFD4" s="6" t="s">
        <v>42</v>
      </c>
    </row>
    <row r="5" spans="1:201 16384:16384" x14ac:dyDescent="0.25">
      <c r="A5" s="15">
        <v>43467</v>
      </c>
      <c r="B5" s="1"/>
      <c r="C5" s="1"/>
      <c r="D5" s="1"/>
      <c r="E5" s="14">
        <f>[1]Sheet2!N4</f>
        <v>0</v>
      </c>
      <c r="F5" s="14">
        <f>[1]Sheet2!BE4</f>
        <v>0</v>
      </c>
      <c r="G5" s="14">
        <f>[1]Sheet2!CW4</f>
        <v>0</v>
      </c>
      <c r="H5" s="1"/>
      <c r="I5" s="1"/>
      <c r="J5" s="1"/>
      <c r="K5" s="16"/>
      <c r="L5" s="16">
        <f>Demand_CWRS!B$3/31</f>
        <v>313.22137613730359</v>
      </c>
      <c r="M5" s="16">
        <f>Demand_CWRS!C$3/31</f>
        <v>241.71000827129859</v>
      </c>
      <c r="N5" s="16">
        <f>Demand_CWRS!D$3/31</f>
        <v>0</v>
      </c>
      <c r="O5" s="16">
        <f>Demand_CWRS!E$3/31</f>
        <v>98.872001654259719</v>
      </c>
      <c r="P5" s="16">
        <f>Demand_CWRS!F$3/31</f>
        <v>198.36900072373859</v>
      </c>
      <c r="Q5" s="16">
        <f>Demand_CWRS!G$3/31</f>
        <v>309.67741935483872</v>
      </c>
      <c r="R5" s="16">
        <f>Demand_CWRS!H$3/31</f>
        <v>241.71000827129859</v>
      </c>
      <c r="S5" s="16">
        <f>Demand_CWRS!I$3/31</f>
        <v>200</v>
      </c>
      <c r="T5" s="16">
        <f>Demand_CWRS!J$3/31</f>
        <v>209.67741935483872</v>
      </c>
      <c r="U5" s="16">
        <f>Demand_CWRS!K$3/31</f>
        <v>216.12903225806451</v>
      </c>
      <c r="V5" s="16">
        <f t="shared" ref="V5:V68" si="6">IF(EL5="",V4-L5+AP5,EL5)</f>
        <v>6373.5572477253936</v>
      </c>
      <c r="W5" s="16">
        <f t="shared" ref="W5:W68" si="7">IF(EM5="",W4-M5+AQ5,EM5)</f>
        <v>4516.5799834574027</v>
      </c>
      <c r="X5" s="16">
        <f t="shared" ref="X5:X68" si="8">IF(EN5="",X4-N5+AR5,EN5)</f>
        <v>0</v>
      </c>
      <c r="Y5" s="16">
        <f t="shared" ref="Y5:Y68" si="9">IF(EO5="",Y4-O5+AS5,EO5)</f>
        <v>8802.2559966914814</v>
      </c>
      <c r="Z5" s="16">
        <f t="shared" ref="Z5:Z68" si="10">IF(EP5="",Z4-P5+AT5,EP5)</f>
        <v>4603.2619985525234</v>
      </c>
      <c r="AA5" s="16">
        <f t="shared" ref="AA5:AA68" si="11">IF(EQ5="",AA4-Q5+AU5,EQ5)</f>
        <v>7380.645161290322</v>
      </c>
      <c r="AB5" s="16">
        <f t="shared" ref="AB5:AB68" si="12">IF(ER5="",AB4-R5+AV5,ER5)</f>
        <v>-183.42001654259718</v>
      </c>
      <c r="AC5" s="16">
        <f t="shared" ref="AC5:AC68" si="13">IF(ES5="",AC4-S5+AW5,ES5)</f>
        <v>4600</v>
      </c>
      <c r="AD5" s="16">
        <f t="shared" ref="AD5:AD68" si="14">IF(ET5="",AD4-T5+AX5,ET5)</f>
        <v>4580.645161290322</v>
      </c>
      <c r="AE5" s="16">
        <f t="shared" ref="AE5:AE68" si="15">IF(EU5="",AE4-U5+AY5,EU5)</f>
        <v>4567.7419354838712</v>
      </c>
      <c r="AF5" s="14">
        <f>IF([1]Sheet2!AJ4=999999,"NA",[1]Sheet2!AJ4)</f>
        <v>20</v>
      </c>
      <c r="AG5" s="14">
        <f>IF([1]Sheet2!AK4=999999,"NA",[1]Sheet2!AK4)</f>
        <v>18</v>
      </c>
      <c r="AH5" s="14" t="str">
        <f>IF([1]Sheet2!AL4=999999,"NA",[1]Sheet2!AL4)</f>
        <v>NA</v>
      </c>
      <c r="AI5" s="14">
        <f>IF([1]Sheet2!AM4=999999,"NA",[1]Sheet2!AM4)</f>
        <v>75</v>
      </c>
      <c r="AJ5" s="14">
        <f>IF([1]Sheet2!AN4=999999,"NA",[1]Sheet2!AN4)</f>
        <v>23</v>
      </c>
      <c r="AK5" s="14">
        <f>IF([1]Sheet2!AO4=999999,"NA",[1]Sheet2!AO4)</f>
        <v>23</v>
      </c>
      <c r="AL5" s="14">
        <f>IF([1]Sheet2!AP4=999999,"NA",[1]Sheet2!AP4)</f>
        <v>0</v>
      </c>
      <c r="AM5" s="14">
        <f>IF([1]Sheet2!AQ4=999999,"NA",[1]Sheet2!AQ4)</f>
        <v>23</v>
      </c>
      <c r="AN5" s="14">
        <f>IF([1]Sheet2!AR4=999999,"NA",[1]Sheet2!AR4)</f>
        <v>21</v>
      </c>
      <c r="AO5" s="14">
        <f>IF([1]Sheet2!AS4=999999,"NA",[1]Sheet2!AS4)</f>
        <v>21</v>
      </c>
      <c r="AP5" s="14">
        <f>[1]Sheet2!P4</f>
        <v>0</v>
      </c>
      <c r="AQ5" s="14">
        <f>[1]Sheet2!Q4</f>
        <v>0</v>
      </c>
      <c r="AR5" s="14">
        <f>[1]Sheet2!R4</f>
        <v>0</v>
      </c>
      <c r="AS5" s="14">
        <f>[1]Sheet2!S4</f>
        <v>0</v>
      </c>
      <c r="AT5" s="14">
        <f>[1]Sheet2!T4</f>
        <v>0</v>
      </c>
      <c r="AU5" s="14">
        <f>[1]Sheet2!U4</f>
        <v>0</v>
      </c>
      <c r="AV5" s="14">
        <f>[1]Sheet2!V4</f>
        <v>0</v>
      </c>
      <c r="AW5" s="14">
        <f>[1]Sheet2!W4</f>
        <v>0</v>
      </c>
      <c r="AX5" s="14">
        <f>[1]Sheet2!X4</f>
        <v>0</v>
      </c>
      <c r="AY5" s="14">
        <f>[1]Sheet2!Y4</f>
        <v>0</v>
      </c>
      <c r="AZ5" s="16">
        <f>Demand_LP!B$3/31</f>
        <v>503.00172404880072</v>
      </c>
      <c r="BA5" s="16">
        <f>Demand_LP!C$3/31</f>
        <v>792.35864350703059</v>
      </c>
      <c r="BB5" s="16">
        <f>Demand_LP!D$3/31</f>
        <v>231.20967741935488</v>
      </c>
      <c r="BC5" s="16">
        <f>Demand_LP!E$3/31</f>
        <v>696.53949545078569</v>
      </c>
      <c r="BD5" s="16">
        <f>Demand_LP!F$3/31</f>
        <v>482.27093930934655</v>
      </c>
      <c r="BE5" s="16">
        <f>Demand_LP!G$3/31</f>
        <v>451.61290322580646</v>
      </c>
      <c r="BF5" s="16">
        <f>Demand_LP!H$3/31</f>
        <v>774.19354838709683</v>
      </c>
      <c r="BG5" s="16">
        <f>Demand_LP!I$3/31</f>
        <v>451.61290322580646</v>
      </c>
      <c r="BH5" s="16">
        <f>Demand_LP!J$3/31</f>
        <v>387.09677419354841</v>
      </c>
      <c r="BI5" s="16">
        <f>Demand_LP!K$3/31</f>
        <v>419.35483870967744</v>
      </c>
      <c r="BJ5" s="16">
        <f t="shared" ref="BJ5:BJ68" si="16">IF(EV5="",BJ4-AZ5+CD5,EV5)</f>
        <v>8993.9965519023972</v>
      </c>
      <c r="BK5" s="16">
        <f t="shared" ref="BK5:BK68" si="17">IF(EW5="",BK4-BA5+CE5,EW5)</f>
        <v>8415.2827129859397</v>
      </c>
      <c r="BL5" s="16">
        <f t="shared" ref="BL5:BL68" si="18">IF(EX5="",BL4-BB5+CF5,EX5)</f>
        <v>9537.5806451612916</v>
      </c>
      <c r="BM5" s="16">
        <f t="shared" ref="BM5:BM68" si="19">IF(EY5="",BM4-BC5+CG5,EY5)</f>
        <v>8606.921009098427</v>
      </c>
      <c r="BN5" s="16">
        <f t="shared" ref="BN5:BN68" si="20">IF(EZ5="",BN4-BD5+CH5,EZ5)</f>
        <v>9035.4581213813071</v>
      </c>
      <c r="BO5" s="16">
        <f t="shared" ref="BO5:BO68" si="21">IF(FA5="",BO4-BE5+CI5,FA5)</f>
        <v>9096.7741935483864</v>
      </c>
      <c r="BP5" s="16">
        <f t="shared" ref="BP5:BP68" si="22">IF(FB5="",BP4-BF5+CJ5,FB5)</f>
        <v>14451.612903225807</v>
      </c>
      <c r="BQ5" s="16">
        <f t="shared" ref="BQ5:BQ68" si="23">IF(FC5="",BQ4-BG5+CK5,FC5)</f>
        <v>9096.7741935483864</v>
      </c>
      <c r="BR5" s="16">
        <f t="shared" ref="BR5:BR68" si="24">IF(FD5="",BR4-BH5+CL5,FD5)</f>
        <v>9225.8064516129016</v>
      </c>
      <c r="BS5" s="16">
        <f t="shared" ref="BS5:BS68" si="25">IF(FE5="",BS4-BI5+CM5,FE5)</f>
        <v>9161.290322580644</v>
      </c>
      <c r="BT5" s="14">
        <f>IF([1]Sheet2!CB4=999999,"NA",[1]Sheet2!CB4)</f>
        <v>17</v>
      </c>
      <c r="BU5" s="14">
        <f>IF([1]Sheet2!CC4=999999,"NA",[1]Sheet2!CC4)</f>
        <v>10</v>
      </c>
      <c r="BV5" s="14">
        <f>IF([1]Sheet2!CD4=999999,"NA",[1]Sheet2!CD4)</f>
        <v>39</v>
      </c>
      <c r="BW5" s="14">
        <f>IF([1]Sheet2!CE4=999999,"NA",[1]Sheet2!CE4)</f>
        <v>12</v>
      </c>
      <c r="BX5" s="14">
        <f>IF([1]Sheet2!CF4=999999,"NA",[1]Sheet2!CF4)</f>
        <v>18</v>
      </c>
      <c r="BY5" s="14">
        <f>IF([1]Sheet2!CG4=999999,"NA",[1]Sheet2!CG4)</f>
        <v>20</v>
      </c>
      <c r="BZ5" s="14">
        <f>IF([1]Sheet2!CH4=999999,"NA",[1]Sheet2!CH4)</f>
        <v>18</v>
      </c>
      <c r="CA5" s="14">
        <f>IF([1]Sheet2!CI4=999999,"NA",[1]Sheet2!CI4)</f>
        <v>20</v>
      </c>
      <c r="CB5" s="14">
        <f>IF([1]Sheet2!CJ4=999999,"NA",[1]Sheet2!CJ4)</f>
        <v>23</v>
      </c>
      <c r="CC5" s="14">
        <f>IF([1]Sheet2!CK4=999999,"NA",[1]Sheet2!CK4)</f>
        <v>21</v>
      </c>
      <c r="CD5" s="14">
        <f>[1]Sheet2!BH4</f>
        <v>0</v>
      </c>
      <c r="CE5" s="14">
        <f>[1]Sheet2!BI4</f>
        <v>0</v>
      </c>
      <c r="CF5" s="14">
        <f>[1]Sheet2!BJ4</f>
        <v>0</v>
      </c>
      <c r="CG5" s="14">
        <f>[1]Sheet2!BK4</f>
        <v>0</v>
      </c>
      <c r="CH5" s="14">
        <f>[1]Sheet2!BL4</f>
        <v>0</v>
      </c>
      <c r="CI5" s="14">
        <f>[1]Sheet2!BM4</f>
        <v>0</v>
      </c>
      <c r="CJ5" s="14">
        <f>[1]Sheet2!BN4</f>
        <v>0</v>
      </c>
      <c r="CK5" s="14">
        <f>[1]Sheet2!BO4</f>
        <v>0</v>
      </c>
      <c r="CL5" s="14">
        <f>[1]Sheet2!BP4</f>
        <v>0</v>
      </c>
      <c r="CM5" s="14">
        <f>[1]Sheet2!BQ4</f>
        <v>0</v>
      </c>
      <c r="CN5" s="16">
        <f>Demand_SW!B$3/31</f>
        <v>139.57816377171216</v>
      </c>
      <c r="CO5" s="16">
        <f>Demand_SW!C$3/31</f>
        <v>0</v>
      </c>
      <c r="CP5" s="16">
        <f>Demand_SW!D$3/31</f>
        <v>0</v>
      </c>
      <c r="CQ5" s="16">
        <f>Demand_SW!E$3/31</f>
        <v>0</v>
      </c>
      <c r="CR5" s="16">
        <f>Demand_SW!F$3/31</f>
        <v>0</v>
      </c>
      <c r="CS5" s="16">
        <f>Demand_SW!G$3/31</f>
        <v>132.25806451612902</v>
      </c>
      <c r="CT5" s="16">
        <f>Demand_SW!H$3/31</f>
        <v>0</v>
      </c>
      <c r="CU5" s="16">
        <f>Demand_SW!I$3/31</f>
        <v>0</v>
      </c>
      <c r="CV5" s="16">
        <f>Demand_SW!J$3/31</f>
        <v>0</v>
      </c>
      <c r="CW5" s="16">
        <f>Demand_SW!K$3/31</f>
        <v>0</v>
      </c>
      <c r="CX5" s="16">
        <f t="shared" ref="CX5:CX68" si="26">IF(FF5="",CX4-CN5+DR5,FF5)</f>
        <v>4720.8436724565763</v>
      </c>
      <c r="CY5" s="16">
        <f t="shared" ref="CY5:CY68" si="27">IF(FG5="",CY4-CO5+DS5,FG5)</f>
        <v>1000</v>
      </c>
      <c r="CZ5" s="16">
        <f t="shared" ref="CZ5:CZ68" si="28">IF(FH5="",CZ4-CP5+DT5,FH5)</f>
        <v>0</v>
      </c>
      <c r="DA5" s="16">
        <f t="shared" ref="DA5:DA68" si="29">IF(FI5="",DA4-CQ5+DU5,FI5)</f>
        <v>0</v>
      </c>
      <c r="DB5" s="16">
        <f t="shared" ref="DB5:DB68" si="30">IF(FJ5="",DB4-CR5+DV5,FJ5)</f>
        <v>0</v>
      </c>
      <c r="DC5" s="16">
        <f t="shared" ref="DC5:DC68" si="31">IF(FK5="",DC4-CS5+DW5,FK5)</f>
        <v>4735.4838709677424</v>
      </c>
      <c r="DD5" s="16">
        <f t="shared" ref="DD5:DD68" si="32">IF(FL5="",DD4-CT5+DX5,FL5)</f>
        <v>1000</v>
      </c>
      <c r="DE5" s="16">
        <f t="shared" ref="DE5:DE68" si="33">IF(FM5="",DE4-CU5+DY5,FM5)</f>
        <v>0</v>
      </c>
      <c r="DF5" s="16">
        <f t="shared" ref="DF5:DF68" si="34">IF(FN5="",DF4-CV5+DZ5,FN5)</f>
        <v>0</v>
      </c>
      <c r="DG5" s="16">
        <f t="shared" ref="DG5:DG68" si="35">IF(FO5="",DG4-CW5+EA5,FO5)</f>
        <v>0</v>
      </c>
      <c r="DH5" s="14">
        <f>IF([1]Sheet2!DS4=999999,"NA",[1]Sheet2!DS4)</f>
        <v>36</v>
      </c>
      <c r="DI5" s="14">
        <f>IF([1]Sheet2!DT4=999999,"NA",[1]Sheet2!DT4)</f>
        <v>363</v>
      </c>
      <c r="DJ5" s="14" t="str">
        <f>IF([1]Sheet2!DU4=999999,"NA",[1]Sheet2!DU4)</f>
        <v>NA</v>
      </c>
      <c r="DK5" s="14" t="str">
        <f>IF([1]Sheet2!DV4=999999,"NA",[1]Sheet2!DV4)</f>
        <v>NA</v>
      </c>
      <c r="DL5" s="14" t="str">
        <f>IF([1]Sheet2!DW4=999999,"NA",[1]Sheet2!DW4)</f>
        <v>NA</v>
      </c>
      <c r="DM5" s="14">
        <f>IF([1]Sheet2!DX4=999999,"NA",[1]Sheet2!DX4)</f>
        <v>39</v>
      </c>
      <c r="DN5" s="14">
        <f>IF([1]Sheet2!DY4=999999,"NA",[1]Sheet2!DY4)</f>
        <v>363</v>
      </c>
      <c r="DO5" s="14" t="str">
        <f>IF([1]Sheet2!DZ4=999999,"NA",[1]Sheet2!DZ4)</f>
        <v>NA</v>
      </c>
      <c r="DP5" s="14" t="str">
        <f>IF([1]Sheet2!EA4=999999,"NA",[1]Sheet2!EA4)</f>
        <v>NA</v>
      </c>
      <c r="DQ5" s="14" t="str">
        <f>IF([1]Sheet2!EB4=999999,"NA",[1]Sheet2!EB4)</f>
        <v>NA</v>
      </c>
      <c r="DR5" s="14">
        <f>[1]Sheet2!CY4</f>
        <v>0</v>
      </c>
      <c r="DS5" s="14">
        <f>[1]Sheet2!CZ4</f>
        <v>0</v>
      </c>
      <c r="DT5" s="14">
        <f>[1]Sheet2!DA4</f>
        <v>0</v>
      </c>
      <c r="DU5" s="14">
        <f>[1]Sheet2!DB4</f>
        <v>0</v>
      </c>
      <c r="DV5" s="14">
        <f>[1]Sheet2!DC4</f>
        <v>0</v>
      </c>
      <c r="DW5" s="14">
        <f>[1]Sheet2!DD4</f>
        <v>0</v>
      </c>
      <c r="DX5" s="14">
        <f>[1]Sheet2!DE4</f>
        <v>0</v>
      </c>
      <c r="DY5" s="14">
        <f>[1]Sheet2!DF4</f>
        <v>0</v>
      </c>
      <c r="DZ5" s="14">
        <f>[1]Sheet2!DG4</f>
        <v>0</v>
      </c>
      <c r="EA5" s="14">
        <f>[1]Sheet2!DH4</f>
        <v>0</v>
      </c>
      <c r="EB5" s="6">
        <f>[1]Sheet2!EC4</f>
        <v>0</v>
      </c>
      <c r="EC5" s="6">
        <f>[1]Sheet2!ED4</f>
        <v>0</v>
      </c>
      <c r="ED5" s="6">
        <f>[1]Sheet2!EE4</f>
        <v>0</v>
      </c>
      <c r="EE5" s="6">
        <f>[1]Sheet2!EF4</f>
        <v>0</v>
      </c>
      <c r="EF5" s="6">
        <f>[1]Sheet2!EG4</f>
        <v>0</v>
      </c>
      <c r="EG5" s="6">
        <f>[1]Sheet2!EH4</f>
        <v>0</v>
      </c>
      <c r="EH5" s="6">
        <f>[1]Sheet2!EI4</f>
        <v>0</v>
      </c>
      <c r="EI5" s="6">
        <f>[1]Sheet2!EJ4</f>
        <v>0</v>
      </c>
      <c r="EJ5" s="6">
        <f>[1]Sheet2!EK4</f>
        <v>0</v>
      </c>
      <c r="EK5" s="6">
        <f>[1]Sheet2!EL4</f>
        <v>0</v>
      </c>
      <c r="EL5" s="6" t="str">
        <f>[1]Sheet2!EM4</f>
        <v/>
      </c>
      <c r="EM5" s="6" t="str">
        <f>[1]Sheet2!EN4</f>
        <v/>
      </c>
      <c r="EN5" s="6" t="str">
        <f>[1]Sheet2!EO4</f>
        <v/>
      </c>
      <c r="EO5" s="6" t="str">
        <f>[1]Sheet2!EP4</f>
        <v/>
      </c>
      <c r="EP5" s="6" t="str">
        <f>[1]Sheet2!EQ4</f>
        <v/>
      </c>
      <c r="EQ5" s="6" t="str">
        <f>[1]Sheet2!ER4</f>
        <v/>
      </c>
      <c r="ER5" s="6" t="str">
        <f>[1]Sheet2!ES4</f>
        <v/>
      </c>
      <c r="ES5" s="6" t="str">
        <f>[1]Sheet2!ET4</f>
        <v/>
      </c>
      <c r="ET5" s="6" t="str">
        <f>[1]Sheet2!EU4</f>
        <v/>
      </c>
      <c r="EU5" s="6" t="str">
        <f>[1]Sheet2!EV4</f>
        <v/>
      </c>
      <c r="EV5" s="6" t="str">
        <f>[1]Sheet2!EW4</f>
        <v/>
      </c>
      <c r="EW5" s="6" t="str">
        <f>[1]Sheet2!EX4</f>
        <v/>
      </c>
      <c r="EX5" s="6" t="str">
        <f>[1]Sheet2!EY4</f>
        <v/>
      </c>
      <c r="EY5" s="6" t="str">
        <f>[1]Sheet2!EZ4</f>
        <v/>
      </c>
      <c r="EZ5" s="6" t="str">
        <f>[1]Sheet2!FA4</f>
        <v/>
      </c>
      <c r="FA5" s="6" t="str">
        <f>[1]Sheet2!FB4</f>
        <v/>
      </c>
      <c r="FB5" s="6" t="str">
        <f>[1]Sheet2!FC4</f>
        <v/>
      </c>
      <c r="FC5" s="6" t="str">
        <f>[1]Sheet2!FD4</f>
        <v/>
      </c>
      <c r="FD5" s="6" t="str">
        <f>[1]Sheet2!FE4</f>
        <v/>
      </c>
      <c r="FE5" s="6" t="str">
        <f>[1]Sheet2!FF4</f>
        <v/>
      </c>
      <c r="FF5" s="6" t="str">
        <f>[1]Sheet2!FG4</f>
        <v/>
      </c>
      <c r="FG5" s="6" t="str">
        <f>[1]Sheet2!FH4</f>
        <v/>
      </c>
      <c r="FH5" s="6" t="str">
        <f>[1]Sheet2!FI4</f>
        <v/>
      </c>
      <c r="FI5" s="6" t="str">
        <f>[1]Sheet2!FJ4</f>
        <v/>
      </c>
      <c r="FJ5" s="6" t="str">
        <f>[1]Sheet2!FK4</f>
        <v/>
      </c>
      <c r="FK5" s="6" t="str">
        <f>[1]Sheet2!FL4</f>
        <v/>
      </c>
      <c r="FL5" s="6" t="str">
        <f>[1]Sheet2!FM4</f>
        <v/>
      </c>
      <c r="FM5" s="6" t="str">
        <f>[1]Sheet2!FN4</f>
        <v/>
      </c>
      <c r="FN5" s="6" t="str">
        <f>[1]Sheet2!FO4</f>
        <v/>
      </c>
      <c r="FO5" s="6" t="str">
        <f>[1]Sheet2!FP4</f>
        <v/>
      </c>
      <c r="XFD5" s="6" t="s">
        <v>43</v>
      </c>
    </row>
    <row r="6" spans="1:201 16384:16384" x14ac:dyDescent="0.25">
      <c r="A6" s="15">
        <v>43468</v>
      </c>
      <c r="B6" s="1"/>
      <c r="C6" s="1"/>
      <c r="D6" s="1"/>
      <c r="E6" s="14">
        <f>[1]Sheet2!N5</f>
        <v>0</v>
      </c>
      <c r="F6" s="14">
        <f>[1]Sheet2!BE5</f>
        <v>0</v>
      </c>
      <c r="G6" s="14">
        <f>[1]Sheet2!CW5</f>
        <v>0</v>
      </c>
      <c r="H6" s="1"/>
      <c r="I6" s="1"/>
      <c r="J6" s="1"/>
      <c r="K6" s="16"/>
      <c r="L6" s="16">
        <f>Demand_CWRS!B$3/31</f>
        <v>313.22137613730359</v>
      </c>
      <c r="M6" s="16">
        <f>Demand_CWRS!C$3/31</f>
        <v>241.71000827129859</v>
      </c>
      <c r="N6" s="16">
        <f>Demand_CWRS!D$3/31</f>
        <v>0</v>
      </c>
      <c r="O6" s="16">
        <f>Demand_CWRS!E$3/31</f>
        <v>98.872001654259719</v>
      </c>
      <c r="P6" s="16">
        <f>Demand_CWRS!F$3/31</f>
        <v>198.36900072373859</v>
      </c>
      <c r="Q6" s="16">
        <f>Demand_CWRS!G$3/31</f>
        <v>309.67741935483872</v>
      </c>
      <c r="R6" s="16">
        <f>Demand_CWRS!H$3/31</f>
        <v>241.71000827129859</v>
      </c>
      <c r="S6" s="16">
        <f>Demand_CWRS!I$3/31</f>
        <v>200</v>
      </c>
      <c r="T6" s="16">
        <f>Demand_CWRS!J$3/31</f>
        <v>209.67741935483872</v>
      </c>
      <c r="U6" s="16">
        <f>Demand_CWRS!K$3/31</f>
        <v>216.12903225806451</v>
      </c>
      <c r="V6" s="16">
        <f t="shared" si="6"/>
        <v>6060.3358715880904</v>
      </c>
      <c r="W6" s="16">
        <f t="shared" si="7"/>
        <v>4274.8699751861041</v>
      </c>
      <c r="X6" s="16">
        <f t="shared" si="8"/>
        <v>0</v>
      </c>
      <c r="Y6" s="16">
        <f t="shared" si="9"/>
        <v>8703.3839950372221</v>
      </c>
      <c r="Z6" s="16">
        <f t="shared" si="10"/>
        <v>4404.8929978287852</v>
      </c>
      <c r="AA6" s="16">
        <f t="shared" si="11"/>
        <v>7070.967741935483</v>
      </c>
      <c r="AB6" s="16">
        <f t="shared" si="12"/>
        <v>-425.13002481389577</v>
      </c>
      <c r="AC6" s="16">
        <f t="shared" si="13"/>
        <v>4400</v>
      </c>
      <c r="AD6" s="16">
        <f t="shared" si="14"/>
        <v>4370.967741935483</v>
      </c>
      <c r="AE6" s="16">
        <f t="shared" si="15"/>
        <v>4351.6129032258068</v>
      </c>
      <c r="AF6" s="14">
        <f>IF([1]Sheet2!AJ5=999999,"NA",[1]Sheet2!AJ5)</f>
        <v>19</v>
      </c>
      <c r="AG6" s="14">
        <f>IF([1]Sheet2!AK5=999999,"NA",[1]Sheet2!AK5)</f>
        <v>17</v>
      </c>
      <c r="AH6" s="14" t="str">
        <f>IF([1]Sheet2!AL5=999999,"NA",[1]Sheet2!AL5)</f>
        <v>NA</v>
      </c>
      <c r="AI6" s="14">
        <f>IF([1]Sheet2!AM5=999999,"NA",[1]Sheet2!AM5)</f>
        <v>74</v>
      </c>
      <c r="AJ6" s="14">
        <f>IF([1]Sheet2!AN5=999999,"NA",[1]Sheet2!AN5)</f>
        <v>22</v>
      </c>
      <c r="AK6" s="14">
        <f>IF([1]Sheet2!AO5=999999,"NA",[1]Sheet2!AO5)</f>
        <v>22</v>
      </c>
      <c r="AL6" s="14">
        <f>IF([1]Sheet2!AP5=999999,"NA",[1]Sheet2!AP5)</f>
        <v>0</v>
      </c>
      <c r="AM6" s="14">
        <f>IF([1]Sheet2!AQ5=999999,"NA",[1]Sheet2!AQ5)</f>
        <v>22</v>
      </c>
      <c r="AN6" s="14">
        <f>IF([1]Sheet2!AR5=999999,"NA",[1]Sheet2!AR5)</f>
        <v>20</v>
      </c>
      <c r="AO6" s="14">
        <f>IF([1]Sheet2!AS5=999999,"NA",[1]Sheet2!AS5)</f>
        <v>20</v>
      </c>
      <c r="AP6" s="14">
        <f>[1]Sheet2!P5</f>
        <v>0</v>
      </c>
      <c r="AQ6" s="14">
        <f>[1]Sheet2!Q5</f>
        <v>0</v>
      </c>
      <c r="AR6" s="14">
        <f>[1]Sheet2!R5</f>
        <v>0</v>
      </c>
      <c r="AS6" s="14">
        <f>[1]Sheet2!S5</f>
        <v>0</v>
      </c>
      <c r="AT6" s="14">
        <f>[1]Sheet2!T5</f>
        <v>0</v>
      </c>
      <c r="AU6" s="14">
        <f>[1]Sheet2!U5</f>
        <v>0</v>
      </c>
      <c r="AV6" s="14">
        <f>[1]Sheet2!V5</f>
        <v>0</v>
      </c>
      <c r="AW6" s="14">
        <f>[1]Sheet2!W5</f>
        <v>0</v>
      </c>
      <c r="AX6" s="14">
        <f>[1]Sheet2!X5</f>
        <v>0</v>
      </c>
      <c r="AY6" s="14">
        <f>[1]Sheet2!Y5</f>
        <v>0</v>
      </c>
      <c r="AZ6" s="16">
        <f>Demand_LP!B$3/31</f>
        <v>503.00172404880072</v>
      </c>
      <c r="BA6" s="16">
        <f>Demand_LP!C$3/31</f>
        <v>792.35864350703059</v>
      </c>
      <c r="BB6" s="16">
        <f>Demand_LP!D$3/31</f>
        <v>231.20967741935488</v>
      </c>
      <c r="BC6" s="16">
        <f>Demand_LP!E$3/31</f>
        <v>696.53949545078569</v>
      </c>
      <c r="BD6" s="16">
        <f>Demand_LP!F$3/31</f>
        <v>482.27093930934655</v>
      </c>
      <c r="BE6" s="16">
        <f>Demand_LP!G$3/31</f>
        <v>451.61290322580646</v>
      </c>
      <c r="BF6" s="16">
        <f>Demand_LP!H$3/31</f>
        <v>774.19354838709683</v>
      </c>
      <c r="BG6" s="16">
        <f>Demand_LP!I$3/31</f>
        <v>451.61290322580646</v>
      </c>
      <c r="BH6" s="16">
        <f>Demand_LP!J$3/31</f>
        <v>387.09677419354841</v>
      </c>
      <c r="BI6" s="16">
        <f>Demand_LP!K$3/31</f>
        <v>419.35483870967744</v>
      </c>
      <c r="BJ6" s="16">
        <f t="shared" si="16"/>
        <v>8490.9948278535958</v>
      </c>
      <c r="BK6" s="16">
        <f t="shared" si="17"/>
        <v>7622.9240694789096</v>
      </c>
      <c r="BL6" s="16">
        <f t="shared" si="18"/>
        <v>9306.3709677419374</v>
      </c>
      <c r="BM6" s="16">
        <f t="shared" si="19"/>
        <v>7910.3815136476414</v>
      </c>
      <c r="BN6" s="16">
        <f t="shared" si="20"/>
        <v>8553.1871820719607</v>
      </c>
      <c r="BO6" s="16">
        <f t="shared" si="21"/>
        <v>8645.1612903225796</v>
      </c>
      <c r="BP6" s="16">
        <f t="shared" si="22"/>
        <v>13677.41935483871</v>
      </c>
      <c r="BQ6" s="16">
        <f t="shared" si="23"/>
        <v>8645.1612903225796</v>
      </c>
      <c r="BR6" s="16">
        <f t="shared" si="24"/>
        <v>8838.7096774193524</v>
      </c>
      <c r="BS6" s="16">
        <f t="shared" si="25"/>
        <v>8741.935483870966</v>
      </c>
      <c r="BT6" s="14">
        <f>IF([1]Sheet2!CB5=999999,"NA",[1]Sheet2!CB5)</f>
        <v>16</v>
      </c>
      <c r="BU6" s="14">
        <f>IF([1]Sheet2!CC5=999999,"NA",[1]Sheet2!CC5)</f>
        <v>9</v>
      </c>
      <c r="BV6" s="14">
        <f>IF([1]Sheet2!CD5=999999,"NA",[1]Sheet2!CD5)</f>
        <v>38</v>
      </c>
      <c r="BW6" s="14">
        <f>IF([1]Sheet2!CE5=999999,"NA",[1]Sheet2!CE5)</f>
        <v>11</v>
      </c>
      <c r="BX6" s="14">
        <f>IF([1]Sheet2!CF5=999999,"NA",[1]Sheet2!CF5)</f>
        <v>17</v>
      </c>
      <c r="BY6" s="14">
        <f>IF([1]Sheet2!CG5=999999,"NA",[1]Sheet2!CG5)</f>
        <v>19</v>
      </c>
      <c r="BZ6" s="14">
        <f>IF([1]Sheet2!CH5=999999,"NA",[1]Sheet2!CH5)</f>
        <v>17</v>
      </c>
      <c r="CA6" s="14">
        <f>IF([1]Sheet2!CI5=999999,"NA",[1]Sheet2!CI5)</f>
        <v>19</v>
      </c>
      <c r="CB6" s="14">
        <f>IF([1]Sheet2!CJ5=999999,"NA",[1]Sheet2!CJ5)</f>
        <v>22</v>
      </c>
      <c r="CC6" s="14">
        <f>IF([1]Sheet2!CK5=999999,"NA",[1]Sheet2!CK5)</f>
        <v>20</v>
      </c>
      <c r="CD6" s="14">
        <f>[1]Sheet2!BH5</f>
        <v>0</v>
      </c>
      <c r="CE6" s="14">
        <f>[1]Sheet2!BI5</f>
        <v>0</v>
      </c>
      <c r="CF6" s="14">
        <f>[1]Sheet2!BJ5</f>
        <v>0</v>
      </c>
      <c r="CG6" s="14">
        <f>[1]Sheet2!BK5</f>
        <v>0</v>
      </c>
      <c r="CH6" s="14">
        <f>[1]Sheet2!BL5</f>
        <v>0</v>
      </c>
      <c r="CI6" s="14">
        <f>[1]Sheet2!BM5</f>
        <v>0</v>
      </c>
      <c r="CJ6" s="14">
        <f>[1]Sheet2!BN5</f>
        <v>0</v>
      </c>
      <c r="CK6" s="14">
        <f>[1]Sheet2!BO5</f>
        <v>0</v>
      </c>
      <c r="CL6" s="14">
        <f>[1]Sheet2!BP5</f>
        <v>0</v>
      </c>
      <c r="CM6" s="14">
        <f>[1]Sheet2!BQ5</f>
        <v>0</v>
      </c>
      <c r="CN6" s="16">
        <f>Demand_SW!B$3/31</f>
        <v>139.57816377171216</v>
      </c>
      <c r="CO6" s="16">
        <f>Demand_SW!C$3/31</f>
        <v>0</v>
      </c>
      <c r="CP6" s="16">
        <f>Demand_SW!D$3/31</f>
        <v>0</v>
      </c>
      <c r="CQ6" s="16">
        <f>Demand_SW!E$3/31</f>
        <v>0</v>
      </c>
      <c r="CR6" s="16">
        <f>Demand_SW!F$3/31</f>
        <v>0</v>
      </c>
      <c r="CS6" s="16">
        <f>Demand_SW!G$3/31</f>
        <v>132.25806451612902</v>
      </c>
      <c r="CT6" s="16">
        <f>Demand_SW!H$3/31</f>
        <v>0</v>
      </c>
      <c r="CU6" s="16">
        <f>Demand_SW!I$3/31</f>
        <v>0</v>
      </c>
      <c r="CV6" s="16">
        <f>Demand_SW!J$3/31</f>
        <v>0</v>
      </c>
      <c r="CW6" s="16">
        <f>Demand_SW!K$3/31</f>
        <v>0</v>
      </c>
      <c r="CX6" s="16">
        <f t="shared" si="26"/>
        <v>4581.2655086848645</v>
      </c>
      <c r="CY6" s="16">
        <f t="shared" si="27"/>
        <v>1000</v>
      </c>
      <c r="CZ6" s="16">
        <f t="shared" si="28"/>
        <v>0</v>
      </c>
      <c r="DA6" s="16">
        <f t="shared" si="29"/>
        <v>0</v>
      </c>
      <c r="DB6" s="16">
        <f t="shared" si="30"/>
        <v>0</v>
      </c>
      <c r="DC6" s="16">
        <f t="shared" si="31"/>
        <v>4603.2258064516136</v>
      </c>
      <c r="DD6" s="16">
        <f t="shared" si="32"/>
        <v>1000</v>
      </c>
      <c r="DE6" s="16">
        <f t="shared" si="33"/>
        <v>0</v>
      </c>
      <c r="DF6" s="16">
        <f t="shared" si="34"/>
        <v>0</v>
      </c>
      <c r="DG6" s="16">
        <f t="shared" si="35"/>
        <v>0</v>
      </c>
      <c r="DH6" s="14">
        <f>IF([1]Sheet2!DS5=999999,"NA",[1]Sheet2!DS5)</f>
        <v>35</v>
      </c>
      <c r="DI6" s="14">
        <f>IF([1]Sheet2!DT5=999999,"NA",[1]Sheet2!DT5)</f>
        <v>362</v>
      </c>
      <c r="DJ6" s="14" t="str">
        <f>IF([1]Sheet2!DU5=999999,"NA",[1]Sheet2!DU5)</f>
        <v>NA</v>
      </c>
      <c r="DK6" s="14" t="str">
        <f>IF([1]Sheet2!DV5=999999,"NA",[1]Sheet2!DV5)</f>
        <v>NA</v>
      </c>
      <c r="DL6" s="14" t="str">
        <f>IF([1]Sheet2!DW5=999999,"NA",[1]Sheet2!DW5)</f>
        <v>NA</v>
      </c>
      <c r="DM6" s="14">
        <f>IF([1]Sheet2!DX5=999999,"NA",[1]Sheet2!DX5)</f>
        <v>38</v>
      </c>
      <c r="DN6" s="14">
        <f>IF([1]Sheet2!DY5=999999,"NA",[1]Sheet2!DY5)</f>
        <v>362</v>
      </c>
      <c r="DO6" s="14" t="str">
        <f>IF([1]Sheet2!DZ5=999999,"NA",[1]Sheet2!DZ5)</f>
        <v>NA</v>
      </c>
      <c r="DP6" s="14" t="str">
        <f>IF([1]Sheet2!EA5=999999,"NA",[1]Sheet2!EA5)</f>
        <v>NA</v>
      </c>
      <c r="DQ6" s="14" t="str">
        <f>IF([1]Sheet2!EB5=999999,"NA",[1]Sheet2!EB5)</f>
        <v>NA</v>
      </c>
      <c r="DR6" s="14">
        <f>[1]Sheet2!CY5</f>
        <v>0</v>
      </c>
      <c r="DS6" s="14">
        <f>[1]Sheet2!CZ5</f>
        <v>0</v>
      </c>
      <c r="DT6" s="14">
        <f>[1]Sheet2!DA5</f>
        <v>0</v>
      </c>
      <c r="DU6" s="14">
        <f>[1]Sheet2!DB5</f>
        <v>0</v>
      </c>
      <c r="DV6" s="14">
        <f>[1]Sheet2!DC5</f>
        <v>0</v>
      </c>
      <c r="DW6" s="14">
        <f>[1]Sheet2!DD5</f>
        <v>0</v>
      </c>
      <c r="DX6" s="14">
        <f>[1]Sheet2!DE5</f>
        <v>0</v>
      </c>
      <c r="DY6" s="14">
        <f>[1]Sheet2!DF5</f>
        <v>0</v>
      </c>
      <c r="DZ6" s="14">
        <f>[1]Sheet2!DG5</f>
        <v>0</v>
      </c>
      <c r="EA6" s="14">
        <f>[1]Sheet2!DH5</f>
        <v>0</v>
      </c>
      <c r="EB6" s="6">
        <f>[1]Sheet2!EC5</f>
        <v>0</v>
      </c>
      <c r="EC6" s="6">
        <f>[1]Sheet2!ED5</f>
        <v>0</v>
      </c>
      <c r="ED6" s="6">
        <f>[1]Sheet2!EE5</f>
        <v>0</v>
      </c>
      <c r="EE6" s="6">
        <f>[1]Sheet2!EF5</f>
        <v>0</v>
      </c>
      <c r="EF6" s="6">
        <f>[1]Sheet2!EG5</f>
        <v>0</v>
      </c>
      <c r="EG6" s="6">
        <f>[1]Sheet2!EH5</f>
        <v>0</v>
      </c>
      <c r="EH6" s="6">
        <f>[1]Sheet2!EI5</f>
        <v>0</v>
      </c>
      <c r="EI6" s="6">
        <f>[1]Sheet2!EJ5</f>
        <v>0</v>
      </c>
      <c r="EJ6" s="6">
        <f>[1]Sheet2!EK5</f>
        <v>0</v>
      </c>
      <c r="EK6" s="6">
        <f>[1]Sheet2!EL5</f>
        <v>0</v>
      </c>
      <c r="EL6" s="6" t="str">
        <f>[1]Sheet2!EM5</f>
        <v/>
      </c>
      <c r="EM6" s="6" t="str">
        <f>[1]Sheet2!EN5</f>
        <v/>
      </c>
      <c r="EN6" s="6" t="str">
        <f>[1]Sheet2!EO5</f>
        <v/>
      </c>
      <c r="EO6" s="6" t="str">
        <f>[1]Sheet2!EP5</f>
        <v/>
      </c>
      <c r="EP6" s="6" t="str">
        <f>[1]Sheet2!EQ5</f>
        <v/>
      </c>
      <c r="EQ6" s="6" t="str">
        <f>[1]Sheet2!ER5</f>
        <v/>
      </c>
      <c r="ER6" s="6" t="str">
        <f>[1]Sheet2!ES5</f>
        <v/>
      </c>
      <c r="ES6" s="6" t="str">
        <f>[1]Sheet2!ET5</f>
        <v/>
      </c>
      <c r="ET6" s="6" t="str">
        <f>[1]Sheet2!EU5</f>
        <v/>
      </c>
      <c r="EU6" s="6" t="str">
        <f>[1]Sheet2!EV5</f>
        <v/>
      </c>
      <c r="EV6" s="6" t="str">
        <f>[1]Sheet2!EW5</f>
        <v/>
      </c>
      <c r="EW6" s="6" t="str">
        <f>[1]Sheet2!EX5</f>
        <v/>
      </c>
      <c r="EX6" s="6" t="str">
        <f>[1]Sheet2!EY5</f>
        <v/>
      </c>
      <c r="EY6" s="6" t="str">
        <f>[1]Sheet2!EZ5</f>
        <v/>
      </c>
      <c r="EZ6" s="6" t="str">
        <f>[1]Sheet2!FA5</f>
        <v/>
      </c>
      <c r="FA6" s="6" t="str">
        <f>[1]Sheet2!FB5</f>
        <v/>
      </c>
      <c r="FB6" s="6" t="str">
        <f>[1]Sheet2!FC5</f>
        <v/>
      </c>
      <c r="FC6" s="6" t="str">
        <f>[1]Sheet2!FD5</f>
        <v/>
      </c>
      <c r="FD6" s="6" t="str">
        <f>[1]Sheet2!FE5</f>
        <v/>
      </c>
      <c r="FE6" s="6" t="str">
        <f>[1]Sheet2!FF5</f>
        <v/>
      </c>
      <c r="FF6" s="6" t="str">
        <f>[1]Sheet2!FG5</f>
        <v/>
      </c>
      <c r="FG6" s="6" t="str">
        <f>[1]Sheet2!FH5</f>
        <v/>
      </c>
      <c r="FH6" s="6" t="str">
        <f>[1]Sheet2!FI5</f>
        <v/>
      </c>
      <c r="FI6" s="6" t="str">
        <f>[1]Sheet2!FJ5</f>
        <v/>
      </c>
      <c r="FJ6" s="6" t="str">
        <f>[1]Sheet2!FK5</f>
        <v/>
      </c>
      <c r="FK6" s="6" t="str">
        <f>[1]Sheet2!FL5</f>
        <v/>
      </c>
      <c r="FL6" s="6" t="str">
        <f>[1]Sheet2!FM5</f>
        <v/>
      </c>
      <c r="FM6" s="6" t="str">
        <f>[1]Sheet2!FN5</f>
        <v/>
      </c>
      <c r="FN6" s="6" t="str">
        <f>[1]Sheet2!FO5</f>
        <v/>
      </c>
      <c r="FO6" s="6" t="str">
        <f>[1]Sheet2!FP5</f>
        <v/>
      </c>
    </row>
    <row r="7" spans="1:201 16384:16384" x14ac:dyDescent="0.25">
      <c r="A7" s="15">
        <v>43469</v>
      </c>
      <c r="B7" s="1"/>
      <c r="C7" s="1"/>
      <c r="D7" s="1"/>
      <c r="E7" s="14">
        <f>[1]Sheet2!N6</f>
        <v>0</v>
      </c>
      <c r="F7" s="14">
        <f>[1]Sheet2!BE6</f>
        <v>0</v>
      </c>
      <c r="G7" s="14">
        <f>[1]Sheet2!CW6</f>
        <v>0</v>
      </c>
      <c r="H7" s="1"/>
      <c r="I7" s="1"/>
      <c r="J7" s="21"/>
      <c r="L7" s="16">
        <f>Demand_CWRS!B$3/31</f>
        <v>313.22137613730359</v>
      </c>
      <c r="M7" s="16">
        <f>Demand_CWRS!C$3/31</f>
        <v>241.71000827129859</v>
      </c>
      <c r="N7" s="16">
        <f>Demand_CWRS!D$3/31</f>
        <v>0</v>
      </c>
      <c r="O7" s="16">
        <f>Demand_CWRS!E$3/31</f>
        <v>98.872001654259719</v>
      </c>
      <c r="P7" s="16">
        <f>Demand_CWRS!F$3/31</f>
        <v>198.36900072373859</v>
      </c>
      <c r="Q7" s="16">
        <f>Demand_CWRS!G$3/31</f>
        <v>309.67741935483872</v>
      </c>
      <c r="R7" s="16">
        <f>Demand_CWRS!H$3/31</f>
        <v>241.71000827129859</v>
      </c>
      <c r="S7" s="16">
        <f>Demand_CWRS!I$3/31</f>
        <v>200</v>
      </c>
      <c r="T7" s="16">
        <f>Demand_CWRS!J$3/31</f>
        <v>209.67741935483872</v>
      </c>
      <c r="U7" s="16">
        <f>Demand_CWRS!K$3/31</f>
        <v>216.12903225806451</v>
      </c>
      <c r="V7" s="16">
        <f t="shared" si="6"/>
        <v>5747.1144954507872</v>
      </c>
      <c r="W7" s="16">
        <f t="shared" si="7"/>
        <v>4033.1599669148054</v>
      </c>
      <c r="X7" s="16">
        <f t="shared" si="8"/>
        <v>0</v>
      </c>
      <c r="Y7" s="16">
        <f t="shared" si="9"/>
        <v>8604.5119933829628</v>
      </c>
      <c r="Z7" s="16">
        <f t="shared" si="10"/>
        <v>4206.5239971050469</v>
      </c>
      <c r="AA7" s="16">
        <f t="shared" si="11"/>
        <v>6761.290322580644</v>
      </c>
      <c r="AB7" s="16">
        <f t="shared" si="12"/>
        <v>-666.84003308519436</v>
      </c>
      <c r="AC7" s="16">
        <f t="shared" si="13"/>
        <v>4200</v>
      </c>
      <c r="AD7" s="16">
        <f t="shared" si="14"/>
        <v>4161.290322580644</v>
      </c>
      <c r="AE7" s="16">
        <f t="shared" si="15"/>
        <v>4135.4838709677424</v>
      </c>
      <c r="AF7" s="14">
        <f>IF([1]Sheet2!AJ6=999999,"NA",[1]Sheet2!AJ6)</f>
        <v>18</v>
      </c>
      <c r="AG7" s="14">
        <f>IF([1]Sheet2!AK6=999999,"NA",[1]Sheet2!AK6)</f>
        <v>16</v>
      </c>
      <c r="AH7" s="14" t="str">
        <f>IF([1]Sheet2!AL6=999999,"NA",[1]Sheet2!AL6)</f>
        <v>NA</v>
      </c>
      <c r="AI7" s="14">
        <f>IF([1]Sheet2!AM6=999999,"NA",[1]Sheet2!AM6)</f>
        <v>73</v>
      </c>
      <c r="AJ7" s="14">
        <f>IF([1]Sheet2!AN6=999999,"NA",[1]Sheet2!AN6)</f>
        <v>21</v>
      </c>
      <c r="AK7" s="14">
        <f>IF([1]Sheet2!AO6=999999,"NA",[1]Sheet2!AO6)</f>
        <v>21</v>
      </c>
      <c r="AL7" s="14">
        <f>IF([1]Sheet2!AP6=999999,"NA",[1]Sheet2!AP6)</f>
        <v>0</v>
      </c>
      <c r="AM7" s="14">
        <f>IF([1]Sheet2!AQ6=999999,"NA",[1]Sheet2!AQ6)</f>
        <v>21</v>
      </c>
      <c r="AN7" s="14">
        <f>IF([1]Sheet2!AR6=999999,"NA",[1]Sheet2!AR6)</f>
        <v>19</v>
      </c>
      <c r="AO7" s="14">
        <f>IF([1]Sheet2!AS6=999999,"NA",[1]Sheet2!AS6)</f>
        <v>19</v>
      </c>
      <c r="AP7" s="14">
        <f>[1]Sheet2!P6</f>
        <v>0</v>
      </c>
      <c r="AQ7" s="14">
        <f>[1]Sheet2!Q6</f>
        <v>0</v>
      </c>
      <c r="AR7" s="14">
        <f>[1]Sheet2!R6</f>
        <v>0</v>
      </c>
      <c r="AS7" s="14">
        <f>[1]Sheet2!S6</f>
        <v>0</v>
      </c>
      <c r="AT7" s="25">
        <f>[1]Sheet2!T6</f>
        <v>0</v>
      </c>
      <c r="AU7" s="14">
        <f>[1]Sheet2!U6</f>
        <v>0</v>
      </c>
      <c r="AV7" s="14">
        <f>[1]Sheet2!V6</f>
        <v>0</v>
      </c>
      <c r="AW7" s="14">
        <f>[1]Sheet2!W6</f>
        <v>0</v>
      </c>
      <c r="AX7" s="14">
        <f>[1]Sheet2!X6</f>
        <v>0</v>
      </c>
      <c r="AY7" s="14">
        <f>[1]Sheet2!Y6</f>
        <v>0</v>
      </c>
      <c r="AZ7" s="16">
        <f>Demand_LP!B$3/31</f>
        <v>503.00172404880072</v>
      </c>
      <c r="BA7" s="16">
        <f>Demand_LP!C$3/31</f>
        <v>792.35864350703059</v>
      </c>
      <c r="BB7" s="16">
        <f>Demand_LP!D$3/31</f>
        <v>231.20967741935488</v>
      </c>
      <c r="BC7" s="16">
        <f>Demand_LP!E$3/31</f>
        <v>696.53949545078569</v>
      </c>
      <c r="BD7" s="16">
        <f>Demand_LP!F$3/31</f>
        <v>482.27093930934655</v>
      </c>
      <c r="BE7" s="16">
        <f>Demand_LP!G$3/31</f>
        <v>451.61290322580646</v>
      </c>
      <c r="BF7" s="16">
        <f>Demand_LP!H$3/31</f>
        <v>774.19354838709683</v>
      </c>
      <c r="BG7" s="16">
        <f>Demand_LP!I$3/31</f>
        <v>451.61290322580646</v>
      </c>
      <c r="BH7" s="16">
        <f>Demand_LP!J$3/31</f>
        <v>387.09677419354841</v>
      </c>
      <c r="BI7" s="16">
        <f>Demand_LP!K$3/31</f>
        <v>419.35483870967744</v>
      </c>
      <c r="BJ7" s="16">
        <f t="shared" si="16"/>
        <v>7987.9931038047953</v>
      </c>
      <c r="BK7" s="16">
        <f t="shared" si="17"/>
        <v>6830.5654259718794</v>
      </c>
      <c r="BL7" s="16">
        <f t="shared" si="18"/>
        <v>9075.1612903225832</v>
      </c>
      <c r="BM7" s="16">
        <f t="shared" si="19"/>
        <v>7213.8420181968559</v>
      </c>
      <c r="BN7" s="16">
        <f t="shared" si="20"/>
        <v>8070.9162427626143</v>
      </c>
      <c r="BO7" s="16">
        <f t="shared" si="21"/>
        <v>8193.5483870967728</v>
      </c>
      <c r="BP7" s="16">
        <f t="shared" si="22"/>
        <v>12903.225806451614</v>
      </c>
      <c r="BQ7" s="16">
        <f t="shared" si="23"/>
        <v>8193.5483870967728</v>
      </c>
      <c r="BR7" s="16">
        <f t="shared" si="24"/>
        <v>8451.6129032258032</v>
      </c>
      <c r="BS7" s="16">
        <f t="shared" si="25"/>
        <v>8322.580645161288</v>
      </c>
      <c r="BT7" s="14">
        <f>IF([1]Sheet2!CB6=999999,"NA",[1]Sheet2!CB6)</f>
        <v>15</v>
      </c>
      <c r="BU7" s="14">
        <f>IF([1]Sheet2!CC6=999999,"NA",[1]Sheet2!CC6)</f>
        <v>8</v>
      </c>
      <c r="BV7" s="14">
        <f>IF([1]Sheet2!CD6=999999,"NA",[1]Sheet2!CD6)</f>
        <v>37</v>
      </c>
      <c r="BW7" s="14">
        <f>IF([1]Sheet2!CE6=999999,"NA",[1]Sheet2!CE6)</f>
        <v>10</v>
      </c>
      <c r="BX7" s="14">
        <f>IF([1]Sheet2!CF6=999999,"NA",[1]Sheet2!CF6)</f>
        <v>16</v>
      </c>
      <c r="BY7" s="14">
        <f>IF([1]Sheet2!CG6=999999,"NA",[1]Sheet2!CG6)</f>
        <v>18</v>
      </c>
      <c r="BZ7" s="14">
        <f>IF([1]Sheet2!CH6=999999,"NA",[1]Sheet2!CH6)</f>
        <v>16</v>
      </c>
      <c r="CA7" s="14">
        <f>IF([1]Sheet2!CI6=999999,"NA",[1]Sheet2!CI6)</f>
        <v>18</v>
      </c>
      <c r="CB7" s="14">
        <f>IF([1]Sheet2!CJ6=999999,"NA",[1]Sheet2!CJ6)</f>
        <v>21</v>
      </c>
      <c r="CC7" s="14">
        <f>IF([1]Sheet2!CK6=999999,"NA",[1]Sheet2!CK6)</f>
        <v>19</v>
      </c>
      <c r="CD7" s="14">
        <f>[1]Sheet2!BH6</f>
        <v>0</v>
      </c>
      <c r="CE7" s="14">
        <f>[1]Sheet2!BI6</f>
        <v>0</v>
      </c>
      <c r="CF7" s="14">
        <f>[1]Sheet2!BJ6</f>
        <v>0</v>
      </c>
      <c r="CG7" s="14">
        <f>[1]Sheet2!BK6</f>
        <v>0</v>
      </c>
      <c r="CH7" s="14">
        <f>[1]Sheet2!BL6</f>
        <v>0</v>
      </c>
      <c r="CI7" s="14">
        <f>[1]Sheet2!BM6</f>
        <v>0</v>
      </c>
      <c r="CJ7" s="14">
        <f>[1]Sheet2!BN6</f>
        <v>0</v>
      </c>
      <c r="CK7" s="14">
        <f>[1]Sheet2!BO6</f>
        <v>0</v>
      </c>
      <c r="CL7" s="14">
        <f>[1]Sheet2!BP6</f>
        <v>0</v>
      </c>
      <c r="CM7" s="14">
        <f>[1]Sheet2!BQ6</f>
        <v>0</v>
      </c>
      <c r="CN7" s="16">
        <f>Demand_SW!B$3/31</f>
        <v>139.57816377171216</v>
      </c>
      <c r="CO7" s="16">
        <f>Demand_SW!C$3/31</f>
        <v>0</v>
      </c>
      <c r="CP7" s="16">
        <f>Demand_SW!D$3/31</f>
        <v>0</v>
      </c>
      <c r="CQ7" s="16">
        <f>Demand_SW!E$3/31</f>
        <v>0</v>
      </c>
      <c r="CR7" s="16">
        <f>Demand_SW!F$3/31</f>
        <v>0</v>
      </c>
      <c r="CS7" s="16">
        <f>Demand_SW!G$3/31</f>
        <v>132.25806451612902</v>
      </c>
      <c r="CT7" s="16">
        <f>Demand_SW!H$3/31</f>
        <v>0</v>
      </c>
      <c r="CU7" s="16">
        <f>Demand_SW!I$3/31</f>
        <v>0</v>
      </c>
      <c r="CV7" s="16">
        <f>Demand_SW!J$3/31</f>
        <v>0</v>
      </c>
      <c r="CW7" s="16">
        <f>Demand_SW!K$3/31</f>
        <v>0</v>
      </c>
      <c r="CX7" s="16">
        <f t="shared" si="26"/>
        <v>4441.6873449131526</v>
      </c>
      <c r="CY7" s="16">
        <f t="shared" si="27"/>
        <v>1000</v>
      </c>
      <c r="CZ7" s="16">
        <f t="shared" si="28"/>
        <v>0</v>
      </c>
      <c r="DA7" s="16">
        <f t="shared" si="29"/>
        <v>0</v>
      </c>
      <c r="DB7" s="16">
        <f t="shared" si="30"/>
        <v>0</v>
      </c>
      <c r="DC7" s="16">
        <f t="shared" si="31"/>
        <v>4470.9677419354848</v>
      </c>
      <c r="DD7" s="16">
        <f t="shared" si="32"/>
        <v>1000</v>
      </c>
      <c r="DE7" s="16">
        <f t="shared" si="33"/>
        <v>0</v>
      </c>
      <c r="DF7" s="16">
        <f t="shared" si="34"/>
        <v>0</v>
      </c>
      <c r="DG7" s="16">
        <f t="shared" si="35"/>
        <v>0</v>
      </c>
      <c r="DH7" s="14">
        <f>IF([1]Sheet2!DS6=999999,"NA",[1]Sheet2!DS6)</f>
        <v>34</v>
      </c>
      <c r="DI7" s="14">
        <f>IF([1]Sheet2!DT6=999999,"NA",[1]Sheet2!DT6)</f>
        <v>361</v>
      </c>
      <c r="DJ7" s="14" t="str">
        <f>IF([1]Sheet2!DU6=999999,"NA",[1]Sheet2!DU6)</f>
        <v>NA</v>
      </c>
      <c r="DK7" s="14" t="str">
        <f>IF([1]Sheet2!DV6=999999,"NA",[1]Sheet2!DV6)</f>
        <v>NA</v>
      </c>
      <c r="DL7" s="14" t="str">
        <f>IF([1]Sheet2!DW6=999999,"NA",[1]Sheet2!DW6)</f>
        <v>NA</v>
      </c>
      <c r="DM7" s="14">
        <f>IF([1]Sheet2!DX6=999999,"NA",[1]Sheet2!DX6)</f>
        <v>37</v>
      </c>
      <c r="DN7" s="14">
        <f>IF([1]Sheet2!DY6=999999,"NA",[1]Sheet2!DY6)</f>
        <v>361</v>
      </c>
      <c r="DO7" s="14" t="str">
        <f>IF([1]Sheet2!DZ6=999999,"NA",[1]Sheet2!DZ6)</f>
        <v>NA</v>
      </c>
      <c r="DP7" s="14" t="str">
        <f>IF([1]Sheet2!EA6=999999,"NA",[1]Sheet2!EA6)</f>
        <v>NA</v>
      </c>
      <c r="DQ7" s="14" t="str">
        <f>IF([1]Sheet2!EB6=999999,"NA",[1]Sheet2!EB6)</f>
        <v>NA</v>
      </c>
      <c r="DR7" s="14">
        <f>[1]Sheet2!CY6</f>
        <v>0</v>
      </c>
      <c r="DS7" s="14">
        <f>[1]Sheet2!CZ6</f>
        <v>0</v>
      </c>
      <c r="DT7" s="14">
        <f>[1]Sheet2!DA6</f>
        <v>0</v>
      </c>
      <c r="DU7" s="14">
        <f>[1]Sheet2!DB6</f>
        <v>0</v>
      </c>
      <c r="DV7" s="14">
        <f>[1]Sheet2!DC6</f>
        <v>0</v>
      </c>
      <c r="DW7" s="14">
        <f>[1]Sheet2!DD6</f>
        <v>0</v>
      </c>
      <c r="DX7" s="14">
        <f>[1]Sheet2!DE6</f>
        <v>0</v>
      </c>
      <c r="DY7" s="14">
        <f>[1]Sheet2!DF6</f>
        <v>0</v>
      </c>
      <c r="DZ7" s="14">
        <f>[1]Sheet2!DG6</f>
        <v>0</v>
      </c>
      <c r="EA7" s="14">
        <f>[1]Sheet2!DH6</f>
        <v>0</v>
      </c>
      <c r="EB7" s="6">
        <f>[1]Sheet2!EC6</f>
        <v>0</v>
      </c>
      <c r="EC7" s="6">
        <f>[1]Sheet2!ED6</f>
        <v>0</v>
      </c>
      <c r="ED7" s="6">
        <f>[1]Sheet2!EE6</f>
        <v>0</v>
      </c>
      <c r="EE7" s="6">
        <f>[1]Sheet2!EF6</f>
        <v>0</v>
      </c>
      <c r="EF7" s="6">
        <f>[1]Sheet2!EG6</f>
        <v>0</v>
      </c>
      <c r="EG7" s="6">
        <f>[1]Sheet2!EH6</f>
        <v>0</v>
      </c>
      <c r="EH7" s="6">
        <f>[1]Sheet2!EI6</f>
        <v>0</v>
      </c>
      <c r="EI7" s="6">
        <f>[1]Sheet2!EJ6</f>
        <v>0</v>
      </c>
      <c r="EJ7" s="6">
        <f>[1]Sheet2!EK6</f>
        <v>0</v>
      </c>
      <c r="EK7" s="6">
        <f>[1]Sheet2!EL6</f>
        <v>0</v>
      </c>
      <c r="EL7" s="6" t="str">
        <f>[1]Sheet2!EM6</f>
        <v/>
      </c>
      <c r="EM7" s="6" t="str">
        <f>[1]Sheet2!EN6</f>
        <v/>
      </c>
      <c r="EN7" s="6" t="str">
        <f>[1]Sheet2!EO6</f>
        <v/>
      </c>
      <c r="EO7" s="6" t="str">
        <f>[1]Sheet2!EP6</f>
        <v/>
      </c>
      <c r="EP7" s="6" t="str">
        <f>[1]Sheet2!EQ6</f>
        <v/>
      </c>
      <c r="EQ7" s="6" t="str">
        <f>[1]Sheet2!ER6</f>
        <v/>
      </c>
      <c r="ER7" s="6" t="str">
        <f>[1]Sheet2!ES6</f>
        <v/>
      </c>
      <c r="ES7" s="6" t="str">
        <f>[1]Sheet2!ET6</f>
        <v/>
      </c>
      <c r="ET7" s="6" t="str">
        <f>[1]Sheet2!EU6</f>
        <v/>
      </c>
      <c r="EU7" s="6" t="str">
        <f>[1]Sheet2!EV6</f>
        <v/>
      </c>
      <c r="EV7" s="6" t="str">
        <f>[1]Sheet2!EW6</f>
        <v/>
      </c>
      <c r="EW7" s="6" t="str">
        <f>[1]Sheet2!EX6</f>
        <v/>
      </c>
      <c r="EX7" s="6" t="str">
        <f>[1]Sheet2!EY6</f>
        <v/>
      </c>
      <c r="EY7" s="6" t="str">
        <f>[1]Sheet2!EZ6</f>
        <v/>
      </c>
      <c r="EZ7" s="6" t="str">
        <f>[1]Sheet2!FA6</f>
        <v/>
      </c>
      <c r="FA7" s="6" t="str">
        <f>[1]Sheet2!FB6</f>
        <v/>
      </c>
      <c r="FB7" s="6" t="str">
        <f>[1]Sheet2!FC6</f>
        <v/>
      </c>
      <c r="FC7" s="6" t="str">
        <f>[1]Sheet2!FD6</f>
        <v/>
      </c>
      <c r="FD7" s="6" t="str">
        <f>[1]Sheet2!FE6</f>
        <v/>
      </c>
      <c r="FE7" s="6" t="str">
        <f>[1]Sheet2!FF6</f>
        <v/>
      </c>
      <c r="FF7" s="6" t="str">
        <f>[1]Sheet2!FG6</f>
        <v/>
      </c>
      <c r="FG7" s="6" t="str">
        <f>[1]Sheet2!FH6</f>
        <v/>
      </c>
      <c r="FH7" s="6" t="str">
        <f>[1]Sheet2!FI6</f>
        <v/>
      </c>
      <c r="FI7" s="6" t="str">
        <f>[1]Sheet2!FJ6</f>
        <v/>
      </c>
      <c r="FJ7" s="6" t="str">
        <f>[1]Sheet2!FK6</f>
        <v/>
      </c>
      <c r="FK7" s="6" t="str">
        <f>[1]Sheet2!FL6</f>
        <v/>
      </c>
      <c r="FL7" s="6" t="str">
        <f>[1]Sheet2!FM6</f>
        <v/>
      </c>
      <c r="FM7" s="6" t="str">
        <f>[1]Sheet2!FN6</f>
        <v/>
      </c>
      <c r="FN7" s="6" t="str">
        <f>[1]Sheet2!FO6</f>
        <v/>
      </c>
      <c r="FO7" s="6" t="str">
        <f>[1]Sheet2!FP6</f>
        <v/>
      </c>
    </row>
    <row r="8" spans="1:201 16384:16384" s="27" customFormat="1" x14ac:dyDescent="0.25">
      <c r="A8" s="23">
        <v>43470</v>
      </c>
      <c r="B8" s="24"/>
      <c r="C8" s="24"/>
      <c r="D8" s="24"/>
      <c r="E8" s="25">
        <f>[1]Sheet2!N7</f>
        <v>0</v>
      </c>
      <c r="F8" s="25">
        <f>[1]Sheet2!BE7</f>
        <v>0</v>
      </c>
      <c r="G8" s="25">
        <f>[1]Sheet2!CW7</f>
        <v>0</v>
      </c>
      <c r="H8" s="24"/>
      <c r="I8" s="24"/>
      <c r="J8" s="24"/>
      <c r="K8" s="26"/>
      <c r="L8" s="26">
        <f>Demand_CWRS!B$3/31</f>
        <v>313.22137613730359</v>
      </c>
      <c r="M8" s="26">
        <f>Demand_CWRS!C$3/31</f>
        <v>241.71000827129859</v>
      </c>
      <c r="N8" s="26">
        <f>Demand_CWRS!D$3/31</f>
        <v>0</v>
      </c>
      <c r="O8" s="26">
        <f>Demand_CWRS!E$3/31</f>
        <v>98.872001654259719</v>
      </c>
      <c r="P8" s="26">
        <f>Demand_CWRS!F$3/31</f>
        <v>198.36900072373859</v>
      </c>
      <c r="Q8" s="26">
        <f>Demand_CWRS!G$3/31</f>
        <v>309.67741935483872</v>
      </c>
      <c r="R8" s="26">
        <f>Demand_CWRS!H$3/31</f>
        <v>241.71000827129859</v>
      </c>
      <c r="S8" s="26">
        <f>Demand_CWRS!I$3/31</f>
        <v>200</v>
      </c>
      <c r="T8" s="26">
        <f>Demand_CWRS!J$3/31</f>
        <v>209.67741935483872</v>
      </c>
      <c r="U8" s="26">
        <f>Demand_CWRS!K$3/31</f>
        <v>216.12903225806451</v>
      </c>
      <c r="V8" s="16">
        <f t="shared" si="6"/>
        <v>5433.893119313484</v>
      </c>
      <c r="W8" s="16">
        <f t="shared" si="7"/>
        <v>3791.4499586435068</v>
      </c>
      <c r="X8" s="16">
        <f t="shared" si="8"/>
        <v>0</v>
      </c>
      <c r="Y8" s="16">
        <f t="shared" si="9"/>
        <v>8505.6399917287035</v>
      </c>
      <c r="Z8" s="16">
        <f t="shared" si="10"/>
        <v>4008.1549963813081</v>
      </c>
      <c r="AA8" s="16">
        <f t="shared" si="11"/>
        <v>6451.612903225805</v>
      </c>
      <c r="AB8" s="16">
        <f t="shared" si="12"/>
        <v>-908.55004135649301</v>
      </c>
      <c r="AC8" s="16">
        <f t="shared" si="13"/>
        <v>4000</v>
      </c>
      <c r="AD8" s="16">
        <f t="shared" si="14"/>
        <v>3951.6129032258054</v>
      </c>
      <c r="AE8" s="16">
        <f t="shared" si="15"/>
        <v>3919.354838709678</v>
      </c>
      <c r="AF8" s="25">
        <f>IF([1]Sheet2!AJ7=999999,"NA",[1]Sheet2!AJ7)</f>
        <v>17</v>
      </c>
      <c r="AG8" s="25">
        <f>IF([1]Sheet2!AK7=999999,"NA",[1]Sheet2!AK7)</f>
        <v>15</v>
      </c>
      <c r="AH8" s="25" t="str">
        <f>IF([1]Sheet2!AL7=999999,"NA",[1]Sheet2!AL7)</f>
        <v>NA</v>
      </c>
      <c r="AI8" s="25">
        <f>IF([1]Sheet2!AM7=999999,"NA",[1]Sheet2!AM7)</f>
        <v>72</v>
      </c>
      <c r="AJ8" s="25">
        <f>IF([1]Sheet2!AN7=999999,"NA",[1]Sheet2!AN7)</f>
        <v>20</v>
      </c>
      <c r="AK8" s="25">
        <f>IF([1]Sheet2!AO7=999999,"NA",[1]Sheet2!AO7)</f>
        <v>20</v>
      </c>
      <c r="AL8" s="25">
        <f>IF([1]Sheet2!AP7=999999,"NA",[1]Sheet2!AP7)</f>
        <v>0</v>
      </c>
      <c r="AM8" s="25">
        <f>IF([1]Sheet2!AQ7=999999,"NA",[1]Sheet2!AQ7)</f>
        <v>20</v>
      </c>
      <c r="AN8" s="25">
        <f>IF([1]Sheet2!AR7=999999,"NA",[1]Sheet2!AR7)</f>
        <v>18</v>
      </c>
      <c r="AO8" s="25">
        <f>IF([1]Sheet2!AS7=999999,"NA",[1]Sheet2!AS7)</f>
        <v>18</v>
      </c>
      <c r="AP8" s="25">
        <f>[1]Sheet2!P7</f>
        <v>0</v>
      </c>
      <c r="AQ8" s="25">
        <f>[1]Sheet2!Q7</f>
        <v>0</v>
      </c>
      <c r="AR8" s="25">
        <f>[1]Sheet2!R7</f>
        <v>0</v>
      </c>
      <c r="AS8" s="25">
        <f>[1]Sheet2!S7</f>
        <v>0</v>
      </c>
      <c r="AT8" s="20">
        <f>[1]Sheet2!T7</f>
        <v>0</v>
      </c>
      <c r="AU8" s="25">
        <f>[1]Sheet2!U7</f>
        <v>0</v>
      </c>
      <c r="AV8" s="25">
        <f>[1]Sheet2!V7</f>
        <v>0</v>
      </c>
      <c r="AW8" s="25">
        <f>[1]Sheet2!W7</f>
        <v>0</v>
      </c>
      <c r="AX8" s="25">
        <f>[1]Sheet2!X7</f>
        <v>0</v>
      </c>
      <c r="AY8" s="25">
        <f>[1]Sheet2!Y7</f>
        <v>0</v>
      </c>
      <c r="AZ8" s="26">
        <f>Demand_LP!B$3/31</f>
        <v>503.00172404880072</v>
      </c>
      <c r="BA8" s="26">
        <f>Demand_LP!C$3/31</f>
        <v>792.35864350703059</v>
      </c>
      <c r="BB8" s="26">
        <f>Demand_LP!D$3/31</f>
        <v>231.20967741935488</v>
      </c>
      <c r="BC8" s="26">
        <f>Demand_LP!E$3/31</f>
        <v>696.53949545078569</v>
      </c>
      <c r="BD8" s="26">
        <f>Demand_LP!F$3/31</f>
        <v>482.27093930934655</v>
      </c>
      <c r="BE8" s="26">
        <f>Demand_LP!G$3/31</f>
        <v>451.61290322580646</v>
      </c>
      <c r="BF8" s="26">
        <f>Demand_LP!H$3/31</f>
        <v>774.19354838709683</v>
      </c>
      <c r="BG8" s="26">
        <f>Demand_LP!I$3/31</f>
        <v>451.61290322580646</v>
      </c>
      <c r="BH8" s="26">
        <f>Demand_LP!J$3/31</f>
        <v>387.09677419354841</v>
      </c>
      <c r="BI8" s="26">
        <f>Demand_LP!K$3/31</f>
        <v>419.35483870967744</v>
      </c>
      <c r="BJ8" s="16">
        <f t="shared" si="16"/>
        <v>7484.9913797559948</v>
      </c>
      <c r="BK8" s="16">
        <f t="shared" si="17"/>
        <v>6038.2067824648493</v>
      </c>
      <c r="BL8" s="16">
        <f t="shared" si="18"/>
        <v>8843.951612903229</v>
      </c>
      <c r="BM8" s="16">
        <f t="shared" si="19"/>
        <v>6517.3025227460703</v>
      </c>
      <c r="BN8" s="16">
        <f t="shared" si="20"/>
        <v>7588.6453034532678</v>
      </c>
      <c r="BO8" s="16">
        <f t="shared" si="21"/>
        <v>7741.935483870966</v>
      </c>
      <c r="BP8" s="16">
        <f t="shared" si="22"/>
        <v>12129.032258064517</v>
      </c>
      <c r="BQ8" s="16">
        <f t="shared" si="23"/>
        <v>7741.935483870966</v>
      </c>
      <c r="BR8" s="16">
        <f t="shared" si="24"/>
        <v>8064.5161290322549</v>
      </c>
      <c r="BS8" s="16">
        <f t="shared" si="25"/>
        <v>7903.2258064516109</v>
      </c>
      <c r="BT8" s="25">
        <f>IF([1]Sheet2!CB7=999999,"NA",[1]Sheet2!CB7)</f>
        <v>14</v>
      </c>
      <c r="BU8" s="25">
        <f>IF([1]Sheet2!CC7=999999,"NA",[1]Sheet2!CC7)</f>
        <v>7</v>
      </c>
      <c r="BV8" s="25">
        <f>IF([1]Sheet2!CD7=999999,"NA",[1]Sheet2!CD7)</f>
        <v>36</v>
      </c>
      <c r="BW8" s="25">
        <f>IF([1]Sheet2!CE7=999999,"NA",[1]Sheet2!CE7)</f>
        <v>9</v>
      </c>
      <c r="BX8" s="25">
        <f>IF([1]Sheet2!CF7=999999,"NA",[1]Sheet2!CF7)</f>
        <v>15</v>
      </c>
      <c r="BY8" s="25">
        <f>IF([1]Sheet2!CG7=999999,"NA",[1]Sheet2!CG7)</f>
        <v>17</v>
      </c>
      <c r="BZ8" s="25">
        <f>IF([1]Sheet2!CH7=999999,"NA",[1]Sheet2!CH7)</f>
        <v>15</v>
      </c>
      <c r="CA8" s="25">
        <f>IF([1]Sheet2!CI7=999999,"NA",[1]Sheet2!CI7)</f>
        <v>17</v>
      </c>
      <c r="CB8" s="25">
        <f>IF([1]Sheet2!CJ7=999999,"NA",[1]Sheet2!CJ7)</f>
        <v>20</v>
      </c>
      <c r="CC8" s="25">
        <f>IF([1]Sheet2!CK7=999999,"NA",[1]Sheet2!CK7)</f>
        <v>18</v>
      </c>
      <c r="CD8" s="25">
        <f>[1]Sheet2!BH7</f>
        <v>0</v>
      </c>
      <c r="CE8" s="25">
        <f>[1]Sheet2!BI7</f>
        <v>0</v>
      </c>
      <c r="CF8" s="25">
        <f>[1]Sheet2!BJ7</f>
        <v>0</v>
      </c>
      <c r="CG8" s="25">
        <f>[1]Sheet2!BK7</f>
        <v>0</v>
      </c>
      <c r="CH8" s="25">
        <f>[1]Sheet2!BL7</f>
        <v>0</v>
      </c>
      <c r="CI8" s="25">
        <f>[1]Sheet2!BM7</f>
        <v>0</v>
      </c>
      <c r="CJ8" s="25">
        <f>[1]Sheet2!BN7</f>
        <v>0</v>
      </c>
      <c r="CK8" s="25">
        <f>[1]Sheet2!BO7</f>
        <v>0</v>
      </c>
      <c r="CL8" s="25">
        <f>[1]Sheet2!BP7</f>
        <v>0</v>
      </c>
      <c r="CM8" s="25">
        <f>[1]Sheet2!BQ7</f>
        <v>0</v>
      </c>
      <c r="CN8" s="26">
        <f>Demand_SW!B$3/31</f>
        <v>139.57816377171216</v>
      </c>
      <c r="CO8" s="26">
        <f>Demand_SW!C$3/31</f>
        <v>0</v>
      </c>
      <c r="CP8" s="26">
        <f>Demand_SW!D$3/31</f>
        <v>0</v>
      </c>
      <c r="CQ8" s="26">
        <f>Demand_SW!E$3/31</f>
        <v>0</v>
      </c>
      <c r="CR8" s="26">
        <f>Demand_SW!F$3/31</f>
        <v>0</v>
      </c>
      <c r="CS8" s="26">
        <f>Demand_SW!G$3/31</f>
        <v>132.25806451612902</v>
      </c>
      <c r="CT8" s="26">
        <f>Demand_SW!H$3/31</f>
        <v>0</v>
      </c>
      <c r="CU8" s="26">
        <f>Demand_SW!I$3/31</f>
        <v>0</v>
      </c>
      <c r="CV8" s="26">
        <f>Demand_SW!J$3/31</f>
        <v>0</v>
      </c>
      <c r="CW8" s="26">
        <f>Demand_SW!K$3/31</f>
        <v>0</v>
      </c>
      <c r="CX8" s="16">
        <f t="shared" si="26"/>
        <v>4302.1091811414408</v>
      </c>
      <c r="CY8" s="16">
        <f t="shared" si="27"/>
        <v>1000</v>
      </c>
      <c r="CZ8" s="16">
        <f t="shared" si="28"/>
        <v>0</v>
      </c>
      <c r="DA8" s="16">
        <f t="shared" si="29"/>
        <v>0</v>
      </c>
      <c r="DB8" s="16">
        <f t="shared" si="30"/>
        <v>0</v>
      </c>
      <c r="DC8" s="16">
        <f t="shared" si="31"/>
        <v>4338.709677419356</v>
      </c>
      <c r="DD8" s="16">
        <f t="shared" si="32"/>
        <v>1000</v>
      </c>
      <c r="DE8" s="16">
        <f t="shared" si="33"/>
        <v>0</v>
      </c>
      <c r="DF8" s="16">
        <f t="shared" si="34"/>
        <v>0</v>
      </c>
      <c r="DG8" s="16">
        <f t="shared" si="35"/>
        <v>0</v>
      </c>
      <c r="DH8" s="25">
        <f>IF([1]Sheet2!DS7=999999,"NA",[1]Sheet2!DS7)</f>
        <v>33</v>
      </c>
      <c r="DI8" s="25">
        <f>IF([1]Sheet2!DT7=999999,"NA",[1]Sheet2!DT7)</f>
        <v>360</v>
      </c>
      <c r="DJ8" s="25" t="str">
        <f>IF([1]Sheet2!DU7=999999,"NA",[1]Sheet2!DU7)</f>
        <v>NA</v>
      </c>
      <c r="DK8" s="25" t="str">
        <f>IF([1]Sheet2!DV7=999999,"NA",[1]Sheet2!DV7)</f>
        <v>NA</v>
      </c>
      <c r="DL8" s="25" t="str">
        <f>IF([1]Sheet2!DW7=999999,"NA",[1]Sheet2!DW7)</f>
        <v>NA</v>
      </c>
      <c r="DM8" s="25">
        <f>IF([1]Sheet2!DX7=999999,"NA",[1]Sheet2!DX7)</f>
        <v>36</v>
      </c>
      <c r="DN8" s="25">
        <f>IF([1]Sheet2!DY7=999999,"NA",[1]Sheet2!DY7)</f>
        <v>360</v>
      </c>
      <c r="DO8" s="25" t="str">
        <f>IF([1]Sheet2!DZ7=999999,"NA",[1]Sheet2!DZ7)</f>
        <v>NA</v>
      </c>
      <c r="DP8" s="25" t="str">
        <f>IF([1]Sheet2!EA7=999999,"NA",[1]Sheet2!EA7)</f>
        <v>NA</v>
      </c>
      <c r="DQ8" s="25" t="str">
        <f>IF([1]Sheet2!EB7=999999,"NA",[1]Sheet2!EB7)</f>
        <v>NA</v>
      </c>
      <c r="DR8" s="25">
        <f>[1]Sheet2!CY7</f>
        <v>0</v>
      </c>
      <c r="DS8" s="25">
        <f>[1]Sheet2!CZ7</f>
        <v>0</v>
      </c>
      <c r="DT8" s="25">
        <f>[1]Sheet2!DA7</f>
        <v>0</v>
      </c>
      <c r="DU8" s="25">
        <f>[1]Sheet2!DB7</f>
        <v>0</v>
      </c>
      <c r="DV8" s="25">
        <f>[1]Sheet2!DC7</f>
        <v>0</v>
      </c>
      <c r="DW8" s="25">
        <f>[1]Sheet2!DD7</f>
        <v>0</v>
      </c>
      <c r="DX8" s="25">
        <f>[1]Sheet2!DE7</f>
        <v>0</v>
      </c>
      <c r="DY8" s="25">
        <f>[1]Sheet2!DF7</f>
        <v>0</v>
      </c>
      <c r="DZ8" s="25">
        <f>[1]Sheet2!DG7</f>
        <v>0</v>
      </c>
      <c r="EA8" s="25">
        <f>[1]Sheet2!DH7</f>
        <v>0</v>
      </c>
      <c r="EB8" s="27">
        <f>[1]Sheet2!EC7</f>
        <v>0</v>
      </c>
      <c r="EC8" s="27">
        <f>[1]Sheet2!ED7</f>
        <v>0</v>
      </c>
      <c r="ED8" s="27">
        <f>[1]Sheet2!EE7</f>
        <v>0</v>
      </c>
      <c r="EE8" s="27">
        <f>[1]Sheet2!EF7</f>
        <v>0</v>
      </c>
      <c r="EF8" s="27">
        <f>[1]Sheet2!EG7</f>
        <v>0</v>
      </c>
      <c r="EG8" s="27">
        <f>[1]Sheet2!EH7</f>
        <v>0</v>
      </c>
      <c r="EH8" s="27">
        <f>[1]Sheet2!EI7</f>
        <v>0</v>
      </c>
      <c r="EI8" s="27">
        <f>[1]Sheet2!EJ7</f>
        <v>0</v>
      </c>
      <c r="EJ8" s="27">
        <f>[1]Sheet2!EK7</f>
        <v>0</v>
      </c>
      <c r="EK8" s="27">
        <f>[1]Sheet2!EL7</f>
        <v>0</v>
      </c>
      <c r="EL8" s="6" t="str">
        <f>[1]Sheet2!EM7</f>
        <v/>
      </c>
      <c r="EM8" s="6" t="str">
        <f>[1]Sheet2!EN7</f>
        <v/>
      </c>
      <c r="EN8" s="6" t="str">
        <f>[1]Sheet2!EO7</f>
        <v/>
      </c>
      <c r="EO8" s="6" t="str">
        <f>[1]Sheet2!EP7</f>
        <v/>
      </c>
      <c r="EP8" s="6" t="str">
        <f>[1]Sheet2!EQ7</f>
        <v/>
      </c>
      <c r="EQ8" s="6" t="str">
        <f>[1]Sheet2!ER7</f>
        <v/>
      </c>
      <c r="ER8" s="6" t="str">
        <f>[1]Sheet2!ES7</f>
        <v/>
      </c>
      <c r="ES8" s="6" t="str">
        <f>[1]Sheet2!ET7</f>
        <v/>
      </c>
      <c r="ET8" s="6" t="str">
        <f>[1]Sheet2!EU7</f>
        <v/>
      </c>
      <c r="EU8" s="6" t="str">
        <f>[1]Sheet2!EV7</f>
        <v/>
      </c>
      <c r="EV8" s="6" t="str">
        <f>[1]Sheet2!EW7</f>
        <v/>
      </c>
      <c r="EW8" s="6" t="str">
        <f>[1]Sheet2!EX7</f>
        <v/>
      </c>
      <c r="EX8" s="6" t="str">
        <f>[1]Sheet2!EY7</f>
        <v/>
      </c>
      <c r="EY8" s="6" t="str">
        <f>[1]Sheet2!EZ7</f>
        <v/>
      </c>
      <c r="EZ8" s="6" t="str">
        <f>[1]Sheet2!FA7</f>
        <v/>
      </c>
      <c r="FA8" s="6" t="str">
        <f>[1]Sheet2!FB7</f>
        <v/>
      </c>
      <c r="FB8" s="6" t="str">
        <f>[1]Sheet2!FC7</f>
        <v/>
      </c>
      <c r="FC8" s="6" t="str">
        <f>[1]Sheet2!FD7</f>
        <v/>
      </c>
      <c r="FD8" s="6" t="str">
        <f>[1]Sheet2!FE7</f>
        <v/>
      </c>
      <c r="FE8" s="6" t="str">
        <f>[1]Sheet2!FF7</f>
        <v/>
      </c>
      <c r="FF8" s="6" t="str">
        <f>[1]Sheet2!FG7</f>
        <v/>
      </c>
      <c r="FG8" s="6" t="str">
        <f>[1]Sheet2!FH7</f>
        <v/>
      </c>
      <c r="FH8" s="6" t="str">
        <f>[1]Sheet2!FI7</f>
        <v/>
      </c>
      <c r="FI8" s="6" t="str">
        <f>[1]Sheet2!FJ7</f>
        <v/>
      </c>
      <c r="FJ8" s="6" t="str">
        <f>[1]Sheet2!FK7</f>
        <v/>
      </c>
      <c r="FK8" s="6" t="str">
        <f>[1]Sheet2!FL7</f>
        <v/>
      </c>
      <c r="FL8" s="6" t="str">
        <f>[1]Sheet2!FM7</f>
        <v/>
      </c>
      <c r="FM8" s="6" t="str">
        <f>[1]Sheet2!FN7</f>
        <v/>
      </c>
      <c r="FN8" s="6" t="str">
        <f>[1]Sheet2!FO7</f>
        <v/>
      </c>
      <c r="FO8" s="6" t="str">
        <f>[1]Sheet2!FP7</f>
        <v/>
      </c>
    </row>
    <row r="9" spans="1:201 16384:16384" x14ac:dyDescent="0.25">
      <c r="A9" s="15">
        <v>43471</v>
      </c>
      <c r="B9" s="1"/>
      <c r="C9" s="1"/>
      <c r="D9" s="1"/>
      <c r="E9" s="14">
        <f>[1]Sheet2!N8</f>
        <v>0</v>
      </c>
      <c r="F9" s="14">
        <f>[1]Sheet2!BE8</f>
        <v>0</v>
      </c>
      <c r="G9" s="14">
        <f>[1]Sheet2!CW8</f>
        <v>0</v>
      </c>
      <c r="H9" s="1"/>
      <c r="I9" s="1"/>
      <c r="J9" s="1"/>
      <c r="K9" s="16"/>
      <c r="L9" s="16">
        <f>Demand_CWRS!B$3/31</f>
        <v>313.22137613730359</v>
      </c>
      <c r="M9" s="16">
        <f>Demand_CWRS!C$3/31</f>
        <v>241.71000827129859</v>
      </c>
      <c r="N9" s="16">
        <f>Demand_CWRS!D$3/31</f>
        <v>0</v>
      </c>
      <c r="O9" s="16">
        <f>Demand_CWRS!E$3/31</f>
        <v>98.872001654259719</v>
      </c>
      <c r="P9" s="16">
        <f>Demand_CWRS!F$3/31</f>
        <v>198.36900072373859</v>
      </c>
      <c r="Q9" s="16">
        <f>Demand_CWRS!G$3/31</f>
        <v>309.67741935483872</v>
      </c>
      <c r="R9" s="16">
        <f>Demand_CWRS!H$3/31</f>
        <v>241.71000827129859</v>
      </c>
      <c r="S9" s="16">
        <f>Demand_CWRS!I$3/31</f>
        <v>200</v>
      </c>
      <c r="T9" s="16">
        <f>Demand_CWRS!J$3/31</f>
        <v>209.67741935483872</v>
      </c>
      <c r="U9" s="16">
        <f>Demand_CWRS!K$3/31</f>
        <v>216.12903225806451</v>
      </c>
      <c r="V9" s="16">
        <f t="shared" si="6"/>
        <v>5120.6717431761808</v>
      </c>
      <c r="W9" s="16">
        <f t="shared" si="7"/>
        <v>3549.7399503722081</v>
      </c>
      <c r="X9" s="16">
        <f t="shared" si="8"/>
        <v>0</v>
      </c>
      <c r="Y9" s="16">
        <f t="shared" si="9"/>
        <v>8406.7679900744442</v>
      </c>
      <c r="Z9" s="16">
        <f t="shared" si="10"/>
        <v>3809.7859956575694</v>
      </c>
      <c r="AA9" s="16">
        <f t="shared" si="11"/>
        <v>6141.935483870966</v>
      </c>
      <c r="AB9" s="16">
        <f t="shared" si="12"/>
        <v>-1150.2600496277917</v>
      </c>
      <c r="AC9" s="16">
        <f t="shared" si="13"/>
        <v>3800</v>
      </c>
      <c r="AD9" s="16">
        <f t="shared" si="14"/>
        <v>3741.9354838709669</v>
      </c>
      <c r="AE9" s="16">
        <f t="shared" si="15"/>
        <v>3703.2258064516136</v>
      </c>
      <c r="AF9" s="14">
        <f>IF([1]Sheet2!AJ8=999999,"NA",[1]Sheet2!AJ8)</f>
        <v>16</v>
      </c>
      <c r="AG9" s="14">
        <f>IF([1]Sheet2!AK8=999999,"NA",[1]Sheet2!AK8)</f>
        <v>14</v>
      </c>
      <c r="AH9" s="14" t="str">
        <f>IF([1]Sheet2!AL8=999999,"NA",[1]Sheet2!AL8)</f>
        <v>NA</v>
      </c>
      <c r="AI9" s="14">
        <f>IF([1]Sheet2!AM8=999999,"NA",[1]Sheet2!AM8)</f>
        <v>71</v>
      </c>
      <c r="AJ9" s="14">
        <f>IF([1]Sheet2!AN8=999999,"NA",[1]Sheet2!AN8)</f>
        <v>19</v>
      </c>
      <c r="AK9" s="14">
        <f>IF([1]Sheet2!AO8=999999,"NA",[1]Sheet2!AO8)</f>
        <v>19</v>
      </c>
      <c r="AL9" s="14">
        <f>IF([1]Sheet2!AP8=999999,"NA",[1]Sheet2!AP8)</f>
        <v>0</v>
      </c>
      <c r="AM9" s="14">
        <f>IF([1]Sheet2!AQ8=999999,"NA",[1]Sheet2!AQ8)</f>
        <v>19</v>
      </c>
      <c r="AN9" s="14">
        <f>IF([1]Sheet2!AR8=999999,"NA",[1]Sheet2!AR8)</f>
        <v>17</v>
      </c>
      <c r="AO9" s="14">
        <f>IF([1]Sheet2!AS8=999999,"NA",[1]Sheet2!AS8)</f>
        <v>17</v>
      </c>
      <c r="AP9" s="14">
        <f>[1]Sheet2!P8</f>
        <v>0</v>
      </c>
      <c r="AQ9" s="14">
        <f>[1]Sheet2!Q8</f>
        <v>0</v>
      </c>
      <c r="AR9" s="14">
        <f>[1]Sheet2!R8</f>
        <v>0</v>
      </c>
      <c r="AS9" s="14">
        <f>[1]Sheet2!S8</f>
        <v>0</v>
      </c>
      <c r="AT9" s="20">
        <f>[1]Sheet2!T8</f>
        <v>0</v>
      </c>
      <c r="AU9" s="14">
        <f>[1]Sheet2!U8</f>
        <v>0</v>
      </c>
      <c r="AV9" s="14">
        <f>[1]Sheet2!V8</f>
        <v>0</v>
      </c>
      <c r="AW9" s="14">
        <f>[1]Sheet2!W8</f>
        <v>0</v>
      </c>
      <c r="AX9" s="14">
        <f>[1]Sheet2!X8</f>
        <v>0</v>
      </c>
      <c r="AY9" s="14">
        <f>[1]Sheet2!Y8</f>
        <v>0</v>
      </c>
      <c r="AZ9" s="16">
        <f>Demand_LP!B$3/31</f>
        <v>503.00172404880072</v>
      </c>
      <c r="BA9" s="16">
        <f>Demand_LP!C$3/31</f>
        <v>792.35864350703059</v>
      </c>
      <c r="BB9" s="16">
        <f>Demand_LP!D$3/31</f>
        <v>231.20967741935488</v>
      </c>
      <c r="BC9" s="16">
        <f>Demand_LP!E$3/31</f>
        <v>696.53949545078569</v>
      </c>
      <c r="BD9" s="16">
        <f>Demand_LP!F$3/31</f>
        <v>482.27093930934655</v>
      </c>
      <c r="BE9" s="16">
        <f>Demand_LP!G$3/31</f>
        <v>451.61290322580646</v>
      </c>
      <c r="BF9" s="16">
        <f>Demand_LP!H$3/31</f>
        <v>774.19354838709683</v>
      </c>
      <c r="BG9" s="16">
        <f>Demand_LP!I$3/31</f>
        <v>451.61290322580646</v>
      </c>
      <c r="BH9" s="16">
        <f>Demand_LP!J$3/31</f>
        <v>387.09677419354841</v>
      </c>
      <c r="BI9" s="16">
        <f>Demand_LP!K$3/31</f>
        <v>419.35483870967744</v>
      </c>
      <c r="BJ9" s="16">
        <f t="shared" si="16"/>
        <v>6981.9896557071943</v>
      </c>
      <c r="BK9" s="16">
        <f t="shared" si="17"/>
        <v>5245.8481389578192</v>
      </c>
      <c r="BL9" s="16">
        <f t="shared" si="18"/>
        <v>8612.7419354838748</v>
      </c>
      <c r="BM9" s="16">
        <f t="shared" si="19"/>
        <v>5820.7630272952847</v>
      </c>
      <c r="BN9" s="16">
        <f t="shared" si="20"/>
        <v>7106.3743641439214</v>
      </c>
      <c r="BO9" s="16">
        <f t="shared" si="21"/>
        <v>7290.3225806451592</v>
      </c>
      <c r="BP9" s="16">
        <f t="shared" si="22"/>
        <v>11354.83870967742</v>
      </c>
      <c r="BQ9" s="16">
        <f t="shared" si="23"/>
        <v>7290.3225806451592</v>
      </c>
      <c r="BR9" s="16">
        <f t="shared" si="24"/>
        <v>7677.4193548387066</v>
      </c>
      <c r="BS9" s="16">
        <f t="shared" si="25"/>
        <v>7483.8709677419338</v>
      </c>
      <c r="BT9" s="14">
        <f>IF([1]Sheet2!CB8=999999,"NA",[1]Sheet2!CB8)</f>
        <v>13</v>
      </c>
      <c r="BU9" s="14">
        <f>IF([1]Sheet2!CC8=999999,"NA",[1]Sheet2!CC8)</f>
        <v>6</v>
      </c>
      <c r="BV9" s="14">
        <f>IF([1]Sheet2!CD8=999999,"NA",[1]Sheet2!CD8)</f>
        <v>35</v>
      </c>
      <c r="BW9" s="14">
        <f>IF([1]Sheet2!CE8=999999,"NA",[1]Sheet2!CE8)</f>
        <v>8</v>
      </c>
      <c r="BX9" s="14">
        <f>IF([1]Sheet2!CF8=999999,"NA",[1]Sheet2!CF8)</f>
        <v>14</v>
      </c>
      <c r="BY9" s="14">
        <f>IF([1]Sheet2!CG8=999999,"NA",[1]Sheet2!CG8)</f>
        <v>16</v>
      </c>
      <c r="BZ9" s="14">
        <f>IF([1]Sheet2!CH8=999999,"NA",[1]Sheet2!CH8)</f>
        <v>14</v>
      </c>
      <c r="CA9" s="14">
        <f>IF([1]Sheet2!CI8=999999,"NA",[1]Sheet2!CI8)</f>
        <v>16</v>
      </c>
      <c r="CB9" s="14">
        <f>IF([1]Sheet2!CJ8=999999,"NA",[1]Sheet2!CJ8)</f>
        <v>19</v>
      </c>
      <c r="CC9" s="14">
        <f>IF([1]Sheet2!CK8=999999,"NA",[1]Sheet2!CK8)</f>
        <v>17</v>
      </c>
      <c r="CD9" s="14">
        <f>[1]Sheet2!BH8</f>
        <v>0</v>
      </c>
      <c r="CE9" s="14">
        <f>[1]Sheet2!BI8</f>
        <v>0</v>
      </c>
      <c r="CF9" s="14">
        <f>[1]Sheet2!BJ8</f>
        <v>0</v>
      </c>
      <c r="CG9" s="14">
        <f>[1]Sheet2!BK8</f>
        <v>0</v>
      </c>
      <c r="CH9" s="14">
        <f>[1]Sheet2!BL8</f>
        <v>0</v>
      </c>
      <c r="CI9" s="14">
        <f>[1]Sheet2!BM8</f>
        <v>0</v>
      </c>
      <c r="CJ9" s="14">
        <f>[1]Sheet2!BN8</f>
        <v>0</v>
      </c>
      <c r="CK9" s="14">
        <f>[1]Sheet2!BO8</f>
        <v>0</v>
      </c>
      <c r="CL9" s="14">
        <f>[1]Sheet2!BP8</f>
        <v>0</v>
      </c>
      <c r="CM9" s="14">
        <f>[1]Sheet2!BQ8</f>
        <v>0</v>
      </c>
      <c r="CN9" s="16">
        <f>Demand_SW!B$3/31</f>
        <v>139.57816377171216</v>
      </c>
      <c r="CO9" s="16">
        <f>Demand_SW!C$3/31</f>
        <v>0</v>
      </c>
      <c r="CP9" s="16">
        <f>Demand_SW!D$3/31</f>
        <v>0</v>
      </c>
      <c r="CQ9" s="16">
        <f>Demand_SW!E$3/31</f>
        <v>0</v>
      </c>
      <c r="CR9" s="16">
        <f>Demand_SW!F$3/31</f>
        <v>0</v>
      </c>
      <c r="CS9" s="16">
        <f>Demand_SW!G$3/31</f>
        <v>132.25806451612902</v>
      </c>
      <c r="CT9" s="16">
        <f>Demand_SW!H$3/31</f>
        <v>0</v>
      </c>
      <c r="CU9" s="16">
        <f>Demand_SW!I$3/31</f>
        <v>0</v>
      </c>
      <c r="CV9" s="16">
        <f>Demand_SW!J$3/31</f>
        <v>0</v>
      </c>
      <c r="CW9" s="16">
        <f>Demand_SW!K$3/31</f>
        <v>0</v>
      </c>
      <c r="CX9" s="16">
        <f t="shared" si="26"/>
        <v>4162.5310173697289</v>
      </c>
      <c r="CY9" s="16">
        <f t="shared" si="27"/>
        <v>1000</v>
      </c>
      <c r="CZ9" s="16">
        <f t="shared" si="28"/>
        <v>0</v>
      </c>
      <c r="DA9" s="16">
        <f t="shared" si="29"/>
        <v>0</v>
      </c>
      <c r="DB9" s="16">
        <f t="shared" si="30"/>
        <v>0</v>
      </c>
      <c r="DC9" s="16">
        <f t="shared" si="31"/>
        <v>4206.4516129032272</v>
      </c>
      <c r="DD9" s="16">
        <f t="shared" si="32"/>
        <v>1000</v>
      </c>
      <c r="DE9" s="16">
        <f t="shared" si="33"/>
        <v>0</v>
      </c>
      <c r="DF9" s="16">
        <f t="shared" si="34"/>
        <v>0</v>
      </c>
      <c r="DG9" s="16">
        <f t="shared" si="35"/>
        <v>0</v>
      </c>
      <c r="DH9" s="14">
        <f>IF([1]Sheet2!DS8=999999,"NA",[1]Sheet2!DS8)</f>
        <v>32</v>
      </c>
      <c r="DI9" s="14">
        <f>IF([1]Sheet2!DT8=999999,"NA",[1]Sheet2!DT8)</f>
        <v>359</v>
      </c>
      <c r="DJ9" s="14" t="str">
        <f>IF([1]Sheet2!DU8=999999,"NA",[1]Sheet2!DU8)</f>
        <v>NA</v>
      </c>
      <c r="DK9" s="14" t="str">
        <f>IF([1]Sheet2!DV8=999999,"NA",[1]Sheet2!DV8)</f>
        <v>NA</v>
      </c>
      <c r="DL9" s="14" t="str">
        <f>IF([1]Sheet2!DW8=999999,"NA",[1]Sheet2!DW8)</f>
        <v>NA</v>
      </c>
      <c r="DM9" s="14">
        <f>IF([1]Sheet2!DX8=999999,"NA",[1]Sheet2!DX8)</f>
        <v>35</v>
      </c>
      <c r="DN9" s="14">
        <f>IF([1]Sheet2!DY8=999999,"NA",[1]Sheet2!DY8)</f>
        <v>359</v>
      </c>
      <c r="DO9" s="14" t="str">
        <f>IF([1]Sheet2!DZ8=999999,"NA",[1]Sheet2!DZ8)</f>
        <v>NA</v>
      </c>
      <c r="DP9" s="14" t="str">
        <f>IF([1]Sheet2!EA8=999999,"NA",[1]Sheet2!EA8)</f>
        <v>NA</v>
      </c>
      <c r="DQ9" s="14" t="str">
        <f>IF([1]Sheet2!EB8=999999,"NA",[1]Sheet2!EB8)</f>
        <v>NA</v>
      </c>
      <c r="DR9" s="14">
        <f>[1]Sheet2!CY8</f>
        <v>0</v>
      </c>
      <c r="DS9" s="14">
        <f>[1]Sheet2!CZ8</f>
        <v>0</v>
      </c>
      <c r="DT9" s="14">
        <f>[1]Sheet2!DA8</f>
        <v>0</v>
      </c>
      <c r="DU9" s="14">
        <f>[1]Sheet2!DB8</f>
        <v>0</v>
      </c>
      <c r="DV9" s="14">
        <f>[1]Sheet2!DC8</f>
        <v>0</v>
      </c>
      <c r="DW9" s="14">
        <f>[1]Sheet2!DD8</f>
        <v>0</v>
      </c>
      <c r="DX9" s="14">
        <f>[1]Sheet2!DE8</f>
        <v>0</v>
      </c>
      <c r="DY9" s="14">
        <f>[1]Sheet2!DF8</f>
        <v>0</v>
      </c>
      <c r="DZ9" s="14">
        <f>[1]Sheet2!DG8</f>
        <v>0</v>
      </c>
      <c r="EA9" s="14">
        <f>[1]Sheet2!DH8</f>
        <v>0</v>
      </c>
      <c r="EB9" s="6">
        <f>[1]Sheet2!EC8</f>
        <v>0</v>
      </c>
      <c r="EC9" s="6">
        <f>[1]Sheet2!ED8</f>
        <v>0</v>
      </c>
      <c r="ED9" s="6">
        <f>[1]Sheet2!EE8</f>
        <v>0</v>
      </c>
      <c r="EE9" s="6">
        <f>[1]Sheet2!EF8</f>
        <v>0</v>
      </c>
      <c r="EF9" s="6">
        <f>[1]Sheet2!EG8</f>
        <v>0</v>
      </c>
      <c r="EG9" s="6">
        <f>[1]Sheet2!EH8</f>
        <v>0</v>
      </c>
      <c r="EH9" s="6">
        <f>[1]Sheet2!EI8</f>
        <v>0</v>
      </c>
      <c r="EI9" s="6">
        <f>[1]Sheet2!EJ8</f>
        <v>0</v>
      </c>
      <c r="EJ9" s="6">
        <f>[1]Sheet2!EK8</f>
        <v>0</v>
      </c>
      <c r="EK9" s="6">
        <f>[1]Sheet2!EL8</f>
        <v>0</v>
      </c>
      <c r="EL9" s="6" t="str">
        <f>[1]Sheet2!EM8</f>
        <v/>
      </c>
      <c r="EM9" s="6" t="str">
        <f>[1]Sheet2!EN8</f>
        <v/>
      </c>
      <c r="EN9" s="6" t="str">
        <f>[1]Sheet2!EO8</f>
        <v/>
      </c>
      <c r="EO9" s="6" t="str">
        <f>[1]Sheet2!EP8</f>
        <v/>
      </c>
      <c r="EP9" s="6" t="str">
        <f>[1]Sheet2!EQ8</f>
        <v/>
      </c>
      <c r="EQ9" s="6" t="str">
        <f>[1]Sheet2!ER8</f>
        <v/>
      </c>
      <c r="ER9" s="6" t="str">
        <f>[1]Sheet2!ES8</f>
        <v/>
      </c>
      <c r="ES9" s="6" t="str">
        <f>[1]Sheet2!ET8</f>
        <v/>
      </c>
      <c r="ET9" s="6" t="str">
        <f>[1]Sheet2!EU8</f>
        <v/>
      </c>
      <c r="EU9" s="6" t="str">
        <f>[1]Sheet2!EV8</f>
        <v/>
      </c>
      <c r="EV9" s="6" t="str">
        <f>[1]Sheet2!EW8</f>
        <v/>
      </c>
      <c r="EW9" s="6" t="str">
        <f>[1]Sheet2!EX8</f>
        <v/>
      </c>
      <c r="EX9" s="6" t="str">
        <f>[1]Sheet2!EY8</f>
        <v/>
      </c>
      <c r="EY9" s="6" t="str">
        <f>[1]Sheet2!EZ8</f>
        <v/>
      </c>
      <c r="EZ9" s="6" t="str">
        <f>[1]Sheet2!FA8</f>
        <v/>
      </c>
      <c r="FA9" s="6" t="str">
        <f>[1]Sheet2!FB8</f>
        <v/>
      </c>
      <c r="FB9" s="6" t="str">
        <f>[1]Sheet2!FC8</f>
        <v/>
      </c>
      <c r="FC9" s="6" t="str">
        <f>[1]Sheet2!FD8</f>
        <v/>
      </c>
      <c r="FD9" s="6" t="str">
        <f>[1]Sheet2!FE8</f>
        <v/>
      </c>
      <c r="FE9" s="6" t="str">
        <f>[1]Sheet2!FF8</f>
        <v/>
      </c>
      <c r="FF9" s="6" t="str">
        <f>[1]Sheet2!FG8</f>
        <v/>
      </c>
      <c r="FG9" s="6" t="str">
        <f>[1]Sheet2!FH8</f>
        <v/>
      </c>
      <c r="FH9" s="6" t="str">
        <f>[1]Sheet2!FI8</f>
        <v/>
      </c>
      <c r="FI9" s="6" t="str">
        <f>[1]Sheet2!FJ8</f>
        <v/>
      </c>
      <c r="FJ9" s="6" t="str">
        <f>[1]Sheet2!FK8</f>
        <v/>
      </c>
      <c r="FK9" s="6" t="str">
        <f>[1]Sheet2!FL8</f>
        <v/>
      </c>
      <c r="FL9" s="6" t="str">
        <f>[1]Sheet2!FM8</f>
        <v/>
      </c>
      <c r="FM9" s="6" t="str">
        <f>[1]Sheet2!FN8</f>
        <v/>
      </c>
      <c r="FN9" s="6" t="str">
        <f>[1]Sheet2!FO8</f>
        <v/>
      </c>
      <c r="FO9" s="6" t="str">
        <f>[1]Sheet2!FP8</f>
        <v/>
      </c>
    </row>
    <row r="10" spans="1:201 16384:16384" x14ac:dyDescent="0.25">
      <c r="A10" s="15">
        <v>43472</v>
      </c>
      <c r="B10" s="1"/>
      <c r="C10" s="1"/>
      <c r="D10" s="1"/>
      <c r="E10" s="14">
        <f>[1]Sheet2!N9</f>
        <v>0</v>
      </c>
      <c r="F10" s="14">
        <f>[1]Sheet2!BE9</f>
        <v>0</v>
      </c>
      <c r="G10" s="14">
        <f>[1]Sheet2!CW9</f>
        <v>0</v>
      </c>
      <c r="H10" s="1"/>
      <c r="I10" s="1"/>
      <c r="J10" s="1"/>
      <c r="K10" s="16"/>
      <c r="L10" s="16">
        <f>Demand_CWRS!B$3/31</f>
        <v>313.22137613730359</v>
      </c>
      <c r="M10" s="16">
        <f>Demand_CWRS!C$3/31</f>
        <v>241.71000827129859</v>
      </c>
      <c r="N10" s="16">
        <f>Demand_CWRS!D$3/31</f>
        <v>0</v>
      </c>
      <c r="O10" s="16">
        <f>Demand_CWRS!E$3/31</f>
        <v>98.872001654259719</v>
      </c>
      <c r="P10" s="16">
        <f>Demand_CWRS!F$3/31</f>
        <v>198.36900072373859</v>
      </c>
      <c r="Q10" s="16">
        <f>Demand_CWRS!G$3/31</f>
        <v>309.67741935483872</v>
      </c>
      <c r="R10" s="16">
        <f>Demand_CWRS!H$3/31</f>
        <v>241.71000827129859</v>
      </c>
      <c r="S10" s="16">
        <f>Demand_CWRS!I$3/31</f>
        <v>200</v>
      </c>
      <c r="T10" s="16">
        <f>Demand_CWRS!J$3/31</f>
        <v>209.67741935483872</v>
      </c>
      <c r="U10" s="16">
        <f>Demand_CWRS!K$3/31</f>
        <v>216.12903225806451</v>
      </c>
      <c r="V10" s="16">
        <f t="shared" si="6"/>
        <v>4807.4503670388776</v>
      </c>
      <c r="W10" s="16">
        <f t="shared" si="7"/>
        <v>3308.0299421009095</v>
      </c>
      <c r="X10" s="16">
        <f t="shared" si="8"/>
        <v>0</v>
      </c>
      <c r="Y10" s="16">
        <f t="shared" si="9"/>
        <v>8307.8959884201849</v>
      </c>
      <c r="Z10" s="16">
        <f t="shared" si="10"/>
        <v>3611.4169949338307</v>
      </c>
      <c r="AA10" s="16">
        <f t="shared" si="11"/>
        <v>5832.258064516127</v>
      </c>
      <c r="AB10" s="16">
        <f t="shared" si="12"/>
        <v>-1391.9700578990903</v>
      </c>
      <c r="AC10" s="16">
        <f t="shared" si="13"/>
        <v>3600</v>
      </c>
      <c r="AD10" s="16">
        <f t="shared" si="14"/>
        <v>3532.2580645161283</v>
      </c>
      <c r="AE10" s="16">
        <f t="shared" si="15"/>
        <v>3487.0967741935492</v>
      </c>
      <c r="AF10" s="14">
        <f>IF([1]Sheet2!AJ9=999999,"NA",[1]Sheet2!AJ9)</f>
        <v>15</v>
      </c>
      <c r="AG10" s="14">
        <f>IF([1]Sheet2!AK9=999999,"NA",[1]Sheet2!AK9)</f>
        <v>13</v>
      </c>
      <c r="AH10" s="14" t="str">
        <f>IF([1]Sheet2!AL9=999999,"NA",[1]Sheet2!AL9)</f>
        <v>NA</v>
      </c>
      <c r="AI10" s="14">
        <f>IF([1]Sheet2!AM9=999999,"NA",[1]Sheet2!AM9)</f>
        <v>70</v>
      </c>
      <c r="AJ10" s="14">
        <f>IF([1]Sheet2!AN9=999999,"NA",[1]Sheet2!AN9)</f>
        <v>18</v>
      </c>
      <c r="AK10" s="14">
        <f>IF([1]Sheet2!AO9=999999,"NA",[1]Sheet2!AO9)</f>
        <v>18</v>
      </c>
      <c r="AL10" s="14">
        <f>IF([1]Sheet2!AP9=999999,"NA",[1]Sheet2!AP9)</f>
        <v>0</v>
      </c>
      <c r="AM10" s="14">
        <f>IF([1]Sheet2!AQ9=999999,"NA",[1]Sheet2!AQ9)</f>
        <v>18</v>
      </c>
      <c r="AN10" s="14">
        <f>IF([1]Sheet2!AR9=999999,"NA",[1]Sheet2!AR9)</f>
        <v>16</v>
      </c>
      <c r="AO10" s="14">
        <f>IF([1]Sheet2!AS9=999999,"NA",[1]Sheet2!AS9)</f>
        <v>16</v>
      </c>
      <c r="AP10" s="14">
        <f>[1]Sheet2!P9</f>
        <v>0</v>
      </c>
      <c r="AQ10" s="14">
        <f>[1]Sheet2!Q9</f>
        <v>0</v>
      </c>
      <c r="AR10" s="14">
        <f>[1]Sheet2!R9</f>
        <v>0</v>
      </c>
      <c r="AS10" s="25">
        <f>[1]Sheet2!S9</f>
        <v>0</v>
      </c>
      <c r="AT10" s="14">
        <f>[1]Sheet2!T9</f>
        <v>0</v>
      </c>
      <c r="AU10" s="14">
        <f>[1]Sheet2!U9</f>
        <v>0</v>
      </c>
      <c r="AV10" s="14">
        <f>[1]Sheet2!V9</f>
        <v>0</v>
      </c>
      <c r="AW10" s="14">
        <f>[1]Sheet2!W9</f>
        <v>0</v>
      </c>
      <c r="AX10" s="14">
        <f>[1]Sheet2!X9</f>
        <v>0</v>
      </c>
      <c r="AY10" s="14">
        <f>[1]Sheet2!Y9</f>
        <v>0</v>
      </c>
      <c r="AZ10" s="16">
        <f>Demand_LP!B$3/31</f>
        <v>503.00172404880072</v>
      </c>
      <c r="BA10" s="16">
        <f>Demand_LP!C$3/31</f>
        <v>792.35864350703059</v>
      </c>
      <c r="BB10" s="16">
        <f>Demand_LP!D$3/31</f>
        <v>231.20967741935488</v>
      </c>
      <c r="BC10" s="16">
        <f>Demand_LP!E$3/31</f>
        <v>696.53949545078569</v>
      </c>
      <c r="BD10" s="16">
        <f>Demand_LP!F$3/31</f>
        <v>482.27093930934655</v>
      </c>
      <c r="BE10" s="16">
        <f>Demand_LP!G$3/31</f>
        <v>451.61290322580646</v>
      </c>
      <c r="BF10" s="16">
        <f>Demand_LP!H$3/31</f>
        <v>774.19354838709683</v>
      </c>
      <c r="BG10" s="16">
        <f>Demand_LP!I$3/31</f>
        <v>451.61290322580646</v>
      </c>
      <c r="BH10" s="16">
        <f>Demand_LP!J$3/31</f>
        <v>387.09677419354841</v>
      </c>
      <c r="BI10" s="16">
        <f>Demand_LP!K$3/31</f>
        <v>419.35483870967744</v>
      </c>
      <c r="BJ10" s="16">
        <f t="shared" si="16"/>
        <v>6478.9879316583938</v>
      </c>
      <c r="BK10" s="16">
        <f t="shared" si="17"/>
        <v>4453.489495450789</v>
      </c>
      <c r="BL10" s="16">
        <f t="shared" si="18"/>
        <v>8381.5322580645206</v>
      </c>
      <c r="BM10" s="16">
        <f t="shared" si="19"/>
        <v>5124.2235318444991</v>
      </c>
      <c r="BN10" s="16">
        <f t="shared" si="20"/>
        <v>6624.103424834575</v>
      </c>
      <c r="BO10" s="16">
        <f t="shared" si="21"/>
        <v>6838.7096774193524</v>
      </c>
      <c r="BP10" s="16">
        <f t="shared" si="22"/>
        <v>10580.645161290324</v>
      </c>
      <c r="BQ10" s="16">
        <f t="shared" si="23"/>
        <v>6838.7096774193524</v>
      </c>
      <c r="BR10" s="16">
        <f t="shared" si="24"/>
        <v>7290.3225806451583</v>
      </c>
      <c r="BS10" s="16">
        <f t="shared" si="25"/>
        <v>7064.5161290322567</v>
      </c>
      <c r="BT10" s="14">
        <f>IF([1]Sheet2!CB9=999999,"NA",[1]Sheet2!CB9)</f>
        <v>12</v>
      </c>
      <c r="BU10" s="14">
        <f>IF([1]Sheet2!CC9=999999,"NA",[1]Sheet2!CC9)</f>
        <v>5</v>
      </c>
      <c r="BV10" s="14">
        <f>IF([1]Sheet2!CD9=999999,"NA",[1]Sheet2!CD9)</f>
        <v>34</v>
      </c>
      <c r="BW10" s="14">
        <f>IF([1]Sheet2!CE9=999999,"NA",[1]Sheet2!CE9)</f>
        <v>7</v>
      </c>
      <c r="BX10" s="14">
        <f>IF([1]Sheet2!CF9=999999,"NA",[1]Sheet2!CF9)</f>
        <v>13</v>
      </c>
      <c r="BY10" s="14">
        <f>IF([1]Sheet2!CG9=999999,"NA",[1]Sheet2!CG9)</f>
        <v>15</v>
      </c>
      <c r="BZ10" s="14">
        <f>IF([1]Sheet2!CH9=999999,"NA",[1]Sheet2!CH9)</f>
        <v>13</v>
      </c>
      <c r="CA10" s="14">
        <f>IF([1]Sheet2!CI9=999999,"NA",[1]Sheet2!CI9)</f>
        <v>15</v>
      </c>
      <c r="CB10" s="14">
        <f>IF([1]Sheet2!CJ9=999999,"NA",[1]Sheet2!CJ9)</f>
        <v>18</v>
      </c>
      <c r="CC10" s="14">
        <f>IF([1]Sheet2!CK9=999999,"NA",[1]Sheet2!CK9)</f>
        <v>16</v>
      </c>
      <c r="CD10" s="14">
        <f>[1]Sheet2!BH9</f>
        <v>0</v>
      </c>
      <c r="CE10" s="14">
        <f>[1]Sheet2!BI9</f>
        <v>0</v>
      </c>
      <c r="CF10" s="14">
        <f>[1]Sheet2!BJ9</f>
        <v>0</v>
      </c>
      <c r="CG10" s="20">
        <f>[1]Sheet2!BK9</f>
        <v>0</v>
      </c>
      <c r="CH10" s="14">
        <f>[1]Sheet2!BL9</f>
        <v>0</v>
      </c>
      <c r="CI10" s="14">
        <f>[1]Sheet2!BM9</f>
        <v>0</v>
      </c>
      <c r="CJ10" s="14">
        <f>[1]Sheet2!BN9</f>
        <v>0</v>
      </c>
      <c r="CK10" s="14">
        <f>[1]Sheet2!BO9</f>
        <v>0</v>
      </c>
      <c r="CL10" s="14">
        <f>[1]Sheet2!BP9</f>
        <v>0</v>
      </c>
      <c r="CM10" s="14">
        <f>[1]Sheet2!BQ9</f>
        <v>0</v>
      </c>
      <c r="CN10" s="16">
        <f>Demand_SW!B$3/31</f>
        <v>139.57816377171216</v>
      </c>
      <c r="CO10" s="16">
        <f>Demand_SW!C$3/31</f>
        <v>0</v>
      </c>
      <c r="CP10" s="16">
        <f>Demand_SW!D$3/31</f>
        <v>0</v>
      </c>
      <c r="CQ10" s="16">
        <f>Demand_SW!E$3/31</f>
        <v>0</v>
      </c>
      <c r="CR10" s="16">
        <f>Demand_SW!F$3/31</f>
        <v>0</v>
      </c>
      <c r="CS10" s="16">
        <f>Demand_SW!G$3/31</f>
        <v>132.25806451612902</v>
      </c>
      <c r="CT10" s="16">
        <f>Demand_SW!H$3/31</f>
        <v>0</v>
      </c>
      <c r="CU10" s="16">
        <f>Demand_SW!I$3/31</f>
        <v>0</v>
      </c>
      <c r="CV10" s="16">
        <f>Demand_SW!J$3/31</f>
        <v>0</v>
      </c>
      <c r="CW10" s="16">
        <f>Demand_SW!K$3/31</f>
        <v>0</v>
      </c>
      <c r="CX10" s="16">
        <f t="shared" si="26"/>
        <v>4022.9528535980166</v>
      </c>
      <c r="CY10" s="16">
        <f t="shared" si="27"/>
        <v>1000</v>
      </c>
      <c r="CZ10" s="16">
        <f t="shared" si="28"/>
        <v>0</v>
      </c>
      <c r="DA10" s="16">
        <f t="shared" si="29"/>
        <v>0</v>
      </c>
      <c r="DB10" s="16">
        <f t="shared" si="30"/>
        <v>0</v>
      </c>
      <c r="DC10" s="16">
        <f t="shared" si="31"/>
        <v>4074.1935483870984</v>
      </c>
      <c r="DD10" s="16">
        <f t="shared" si="32"/>
        <v>1000</v>
      </c>
      <c r="DE10" s="16">
        <f t="shared" si="33"/>
        <v>0</v>
      </c>
      <c r="DF10" s="16">
        <f t="shared" si="34"/>
        <v>0</v>
      </c>
      <c r="DG10" s="16">
        <f t="shared" si="35"/>
        <v>0</v>
      </c>
      <c r="DH10" s="14">
        <f>IF([1]Sheet2!DS9=999999,"NA",[1]Sheet2!DS9)</f>
        <v>31</v>
      </c>
      <c r="DI10" s="14">
        <f>IF([1]Sheet2!DT9=999999,"NA",[1]Sheet2!DT9)</f>
        <v>358</v>
      </c>
      <c r="DJ10" s="14" t="str">
        <f>IF([1]Sheet2!DU9=999999,"NA",[1]Sheet2!DU9)</f>
        <v>NA</v>
      </c>
      <c r="DK10" s="14" t="str">
        <f>IF([1]Sheet2!DV9=999999,"NA",[1]Sheet2!DV9)</f>
        <v>NA</v>
      </c>
      <c r="DL10" s="14" t="str">
        <f>IF([1]Sheet2!DW9=999999,"NA",[1]Sheet2!DW9)</f>
        <v>NA</v>
      </c>
      <c r="DM10" s="14">
        <f>IF([1]Sheet2!DX9=999999,"NA",[1]Sheet2!DX9)</f>
        <v>34</v>
      </c>
      <c r="DN10" s="14">
        <f>IF([1]Sheet2!DY9=999999,"NA",[1]Sheet2!DY9)</f>
        <v>358</v>
      </c>
      <c r="DO10" s="14" t="str">
        <f>IF([1]Sheet2!DZ9=999999,"NA",[1]Sheet2!DZ9)</f>
        <v>NA</v>
      </c>
      <c r="DP10" s="14" t="str">
        <f>IF([1]Sheet2!EA9=999999,"NA",[1]Sheet2!EA9)</f>
        <v>NA</v>
      </c>
      <c r="DQ10" s="14" t="str">
        <f>IF([1]Sheet2!EB9=999999,"NA",[1]Sheet2!EB9)</f>
        <v>NA</v>
      </c>
      <c r="DR10" s="14">
        <f>[1]Sheet2!CY9</f>
        <v>0</v>
      </c>
      <c r="DS10" s="14">
        <f>[1]Sheet2!CZ9</f>
        <v>0</v>
      </c>
      <c r="DT10" s="14">
        <f>[1]Sheet2!DA9</f>
        <v>0</v>
      </c>
      <c r="DU10" s="14">
        <f>[1]Sheet2!DB9</f>
        <v>0</v>
      </c>
      <c r="DV10" s="14">
        <f>[1]Sheet2!DC9</f>
        <v>0</v>
      </c>
      <c r="DW10" s="14">
        <f>[1]Sheet2!DD9</f>
        <v>0</v>
      </c>
      <c r="DX10" s="14">
        <f>[1]Sheet2!DE9</f>
        <v>0</v>
      </c>
      <c r="DY10" s="14">
        <f>[1]Sheet2!DF9</f>
        <v>0</v>
      </c>
      <c r="DZ10" s="14">
        <f>[1]Sheet2!DG9</f>
        <v>0</v>
      </c>
      <c r="EA10" s="14">
        <f>[1]Sheet2!DH9</f>
        <v>0</v>
      </c>
      <c r="EB10" s="6">
        <f>[1]Sheet2!EC9</f>
        <v>0</v>
      </c>
      <c r="EC10" s="6">
        <f>[1]Sheet2!ED9</f>
        <v>0</v>
      </c>
      <c r="ED10" s="6">
        <f>[1]Sheet2!EE9</f>
        <v>0</v>
      </c>
      <c r="EE10" s="6">
        <f>[1]Sheet2!EF9</f>
        <v>0</v>
      </c>
      <c r="EF10" s="6">
        <f>[1]Sheet2!EG9</f>
        <v>0</v>
      </c>
      <c r="EG10" s="6">
        <f>[1]Sheet2!EH9</f>
        <v>0</v>
      </c>
      <c r="EH10" s="6">
        <f>[1]Sheet2!EI9</f>
        <v>0</v>
      </c>
      <c r="EI10" s="6">
        <f>[1]Sheet2!EJ9</f>
        <v>0</v>
      </c>
      <c r="EJ10" s="6">
        <f>[1]Sheet2!EK9</f>
        <v>0</v>
      </c>
      <c r="EK10" s="6">
        <f>[1]Sheet2!EL9</f>
        <v>0</v>
      </c>
      <c r="EL10" s="6" t="str">
        <f>[1]Sheet2!EM9</f>
        <v/>
      </c>
      <c r="EM10" s="6" t="str">
        <f>[1]Sheet2!EN9</f>
        <v/>
      </c>
      <c r="EN10" s="6" t="str">
        <f>[1]Sheet2!EO9</f>
        <v/>
      </c>
      <c r="EO10" s="6" t="str">
        <f>[1]Sheet2!EP9</f>
        <v/>
      </c>
      <c r="EP10" s="6" t="str">
        <f>[1]Sheet2!EQ9</f>
        <v/>
      </c>
      <c r="EQ10" s="6" t="str">
        <f>[1]Sheet2!ER9</f>
        <v/>
      </c>
      <c r="ER10" s="6" t="str">
        <f>[1]Sheet2!ES9</f>
        <v/>
      </c>
      <c r="ES10" s="6" t="str">
        <f>[1]Sheet2!ET9</f>
        <v/>
      </c>
      <c r="ET10" s="6" t="str">
        <f>[1]Sheet2!EU9</f>
        <v/>
      </c>
      <c r="EU10" s="6" t="str">
        <f>[1]Sheet2!EV9</f>
        <v/>
      </c>
      <c r="EV10" s="6" t="str">
        <f>[1]Sheet2!EW9</f>
        <v/>
      </c>
      <c r="EW10" s="6" t="str">
        <f>[1]Sheet2!EX9</f>
        <v/>
      </c>
      <c r="EX10" s="6" t="str">
        <f>[1]Sheet2!EY9</f>
        <v/>
      </c>
      <c r="EY10" s="6" t="str">
        <f>[1]Sheet2!EZ9</f>
        <v/>
      </c>
      <c r="EZ10" s="6" t="str">
        <f>[1]Sheet2!FA9</f>
        <v/>
      </c>
      <c r="FA10" s="6" t="str">
        <f>[1]Sheet2!FB9</f>
        <v/>
      </c>
      <c r="FB10" s="6" t="str">
        <f>[1]Sheet2!FC9</f>
        <v/>
      </c>
      <c r="FC10" s="6" t="str">
        <f>[1]Sheet2!FD9</f>
        <v/>
      </c>
      <c r="FD10" s="6" t="str">
        <f>[1]Sheet2!FE9</f>
        <v/>
      </c>
      <c r="FE10" s="6" t="str">
        <f>[1]Sheet2!FF9</f>
        <v/>
      </c>
      <c r="FF10" s="6" t="str">
        <f>[1]Sheet2!FG9</f>
        <v/>
      </c>
      <c r="FG10" s="6" t="str">
        <f>[1]Sheet2!FH9</f>
        <v/>
      </c>
      <c r="FH10" s="6" t="str">
        <f>[1]Sheet2!FI9</f>
        <v/>
      </c>
      <c r="FI10" s="6" t="str">
        <f>[1]Sheet2!FJ9</f>
        <v/>
      </c>
      <c r="FJ10" s="6" t="str">
        <f>[1]Sheet2!FK9</f>
        <v/>
      </c>
      <c r="FK10" s="6" t="str">
        <f>[1]Sheet2!FL9</f>
        <v/>
      </c>
      <c r="FL10" s="6" t="str">
        <f>[1]Sheet2!FM9</f>
        <v/>
      </c>
      <c r="FM10" s="6" t="str">
        <f>[1]Sheet2!FN9</f>
        <v/>
      </c>
      <c r="FN10" s="6" t="str">
        <f>[1]Sheet2!FO9</f>
        <v/>
      </c>
      <c r="FO10" s="6" t="str">
        <f>[1]Sheet2!FP9</f>
        <v/>
      </c>
    </row>
    <row r="11" spans="1:201 16384:16384" x14ac:dyDescent="0.25">
      <c r="A11" s="15">
        <v>43473</v>
      </c>
      <c r="B11" s="1"/>
      <c r="C11" s="1"/>
      <c r="D11" s="1"/>
      <c r="E11" s="14">
        <f>[1]Sheet2!N10</f>
        <v>0</v>
      </c>
      <c r="F11" s="14">
        <f>[1]Sheet2!BE10</f>
        <v>0</v>
      </c>
      <c r="G11" s="14">
        <f>[1]Sheet2!CW10</f>
        <v>0</v>
      </c>
      <c r="H11" s="1"/>
      <c r="I11" s="1"/>
      <c r="J11" s="1"/>
      <c r="K11" s="16"/>
      <c r="L11" s="16">
        <f>Demand_CWRS!B$3/31</f>
        <v>313.22137613730359</v>
      </c>
      <c r="M11" s="16">
        <f>Demand_CWRS!C$3/31</f>
        <v>241.71000827129859</v>
      </c>
      <c r="N11" s="16">
        <f>Demand_CWRS!D$3/31</f>
        <v>0</v>
      </c>
      <c r="O11" s="16">
        <f>Demand_CWRS!E$3/31</f>
        <v>98.872001654259719</v>
      </c>
      <c r="P11" s="16">
        <f>Demand_CWRS!F$3/31</f>
        <v>198.36900072373859</v>
      </c>
      <c r="Q11" s="16">
        <f>Demand_CWRS!G$3/31</f>
        <v>309.67741935483872</v>
      </c>
      <c r="R11" s="16">
        <f>Demand_CWRS!H$3/31</f>
        <v>241.71000827129859</v>
      </c>
      <c r="S11" s="16">
        <f>Demand_CWRS!I$3/31</f>
        <v>200</v>
      </c>
      <c r="T11" s="16">
        <f>Demand_CWRS!J$3/31</f>
        <v>209.67741935483872</v>
      </c>
      <c r="U11" s="16">
        <f>Demand_CWRS!K$3/31</f>
        <v>216.12903225806451</v>
      </c>
      <c r="V11" s="16">
        <f t="shared" si="6"/>
        <v>4494.2289909015744</v>
      </c>
      <c r="W11" s="16">
        <f t="shared" si="7"/>
        <v>3066.3199338296108</v>
      </c>
      <c r="X11" s="16">
        <f t="shared" si="8"/>
        <v>0</v>
      </c>
      <c r="Y11" s="16">
        <f t="shared" si="9"/>
        <v>8209.0239867659257</v>
      </c>
      <c r="Z11" s="16">
        <f t="shared" si="10"/>
        <v>3413.0479942100919</v>
      </c>
      <c r="AA11" s="16">
        <f t="shared" si="11"/>
        <v>5522.580645161288</v>
      </c>
      <c r="AB11" s="16">
        <f t="shared" si="12"/>
        <v>-1633.680066170389</v>
      </c>
      <c r="AC11" s="16">
        <f t="shared" si="13"/>
        <v>3400</v>
      </c>
      <c r="AD11" s="16">
        <f t="shared" si="14"/>
        <v>3322.5806451612898</v>
      </c>
      <c r="AE11" s="16">
        <f t="shared" si="15"/>
        <v>3270.9677419354848</v>
      </c>
      <c r="AF11" s="14">
        <f>IF([1]Sheet2!AJ10=999999,"NA",[1]Sheet2!AJ10)</f>
        <v>14</v>
      </c>
      <c r="AG11" s="14">
        <f>IF([1]Sheet2!AK10=999999,"NA",[1]Sheet2!AK10)</f>
        <v>12</v>
      </c>
      <c r="AH11" s="14" t="str">
        <f>IF([1]Sheet2!AL10=999999,"NA",[1]Sheet2!AL10)</f>
        <v>NA</v>
      </c>
      <c r="AI11" s="14">
        <f>IF([1]Sheet2!AM10=999999,"NA",[1]Sheet2!AM10)</f>
        <v>69</v>
      </c>
      <c r="AJ11" s="14">
        <f>IF([1]Sheet2!AN10=999999,"NA",[1]Sheet2!AN10)</f>
        <v>17</v>
      </c>
      <c r="AK11" s="14">
        <f>IF([1]Sheet2!AO10=999999,"NA",[1]Sheet2!AO10)</f>
        <v>17</v>
      </c>
      <c r="AL11" s="14">
        <f>IF([1]Sheet2!AP10=999999,"NA",[1]Sheet2!AP10)</f>
        <v>0</v>
      </c>
      <c r="AM11" s="14">
        <f>IF([1]Sheet2!AQ10=999999,"NA",[1]Sheet2!AQ10)</f>
        <v>17</v>
      </c>
      <c r="AN11" s="14">
        <f>IF([1]Sheet2!AR10=999999,"NA",[1]Sheet2!AR10)</f>
        <v>15</v>
      </c>
      <c r="AO11" s="14">
        <f>IF([1]Sheet2!AS10=999999,"NA",[1]Sheet2!AS10)</f>
        <v>15</v>
      </c>
      <c r="AP11" s="14">
        <f>[1]Sheet2!P10</f>
        <v>0</v>
      </c>
      <c r="AQ11" s="14">
        <f>[1]Sheet2!Q10</f>
        <v>0</v>
      </c>
      <c r="AR11" s="14">
        <f>[1]Sheet2!R10</f>
        <v>0</v>
      </c>
      <c r="AS11" s="14">
        <f>[1]Sheet2!S10</f>
        <v>0</v>
      </c>
      <c r="AT11" s="14">
        <f>[1]Sheet2!T10</f>
        <v>0</v>
      </c>
      <c r="AU11" s="14">
        <f>[1]Sheet2!U10</f>
        <v>0</v>
      </c>
      <c r="AV11" s="14">
        <f>[1]Sheet2!V10</f>
        <v>0</v>
      </c>
      <c r="AW11" s="14">
        <f>[1]Sheet2!W10</f>
        <v>0</v>
      </c>
      <c r="AX11" s="14">
        <f>[1]Sheet2!X10</f>
        <v>0</v>
      </c>
      <c r="AY11" s="14">
        <f>[1]Sheet2!Y10</f>
        <v>0</v>
      </c>
      <c r="AZ11" s="16">
        <f>Demand_LP!B$3/31</f>
        <v>503.00172404880072</v>
      </c>
      <c r="BA11" s="16">
        <f>Demand_LP!C$3/31</f>
        <v>792.35864350703059</v>
      </c>
      <c r="BB11" s="16">
        <f>Demand_LP!D$3/31</f>
        <v>231.20967741935488</v>
      </c>
      <c r="BC11" s="16">
        <f>Demand_LP!E$3/31</f>
        <v>696.53949545078569</v>
      </c>
      <c r="BD11" s="16">
        <f>Demand_LP!F$3/31</f>
        <v>482.27093930934655</v>
      </c>
      <c r="BE11" s="16">
        <f>Demand_LP!G$3/31</f>
        <v>451.61290322580646</v>
      </c>
      <c r="BF11" s="16">
        <f>Demand_LP!H$3/31</f>
        <v>774.19354838709683</v>
      </c>
      <c r="BG11" s="16">
        <f>Demand_LP!I$3/31</f>
        <v>451.61290322580646</v>
      </c>
      <c r="BH11" s="16">
        <f>Demand_LP!J$3/31</f>
        <v>387.09677419354841</v>
      </c>
      <c r="BI11" s="16">
        <f>Demand_LP!K$3/31</f>
        <v>419.35483870967744</v>
      </c>
      <c r="BJ11" s="16">
        <f t="shared" si="16"/>
        <v>5975.9862076095933</v>
      </c>
      <c r="BK11" s="16">
        <f t="shared" si="17"/>
        <v>3661.1308519437584</v>
      </c>
      <c r="BL11" s="16">
        <f t="shared" si="18"/>
        <v>8150.3225806451655</v>
      </c>
      <c r="BM11" s="16">
        <f t="shared" si="19"/>
        <v>4427.6840363937135</v>
      </c>
      <c r="BN11" s="16">
        <f t="shared" si="20"/>
        <v>6141.8324855252285</v>
      </c>
      <c r="BO11" s="16">
        <f t="shared" si="21"/>
        <v>6387.0967741935456</v>
      </c>
      <c r="BP11" s="16">
        <f t="shared" si="22"/>
        <v>9806.4516129032272</v>
      </c>
      <c r="BQ11" s="16">
        <f t="shared" si="23"/>
        <v>6387.0967741935456</v>
      </c>
      <c r="BR11" s="16">
        <f t="shared" si="24"/>
        <v>6903.22580645161</v>
      </c>
      <c r="BS11" s="16">
        <f t="shared" si="25"/>
        <v>6645.1612903225796</v>
      </c>
      <c r="BT11" s="14">
        <f>IF([1]Sheet2!CB10=999999,"NA",[1]Sheet2!CB10)</f>
        <v>11</v>
      </c>
      <c r="BU11" s="14">
        <f>IF([1]Sheet2!CC10=999999,"NA",[1]Sheet2!CC10)</f>
        <v>4</v>
      </c>
      <c r="BV11" s="14">
        <f>IF([1]Sheet2!CD10=999999,"NA",[1]Sheet2!CD10)</f>
        <v>33</v>
      </c>
      <c r="BW11" s="14">
        <f>IF([1]Sheet2!CE10=999999,"NA",[1]Sheet2!CE10)</f>
        <v>6</v>
      </c>
      <c r="BX11" s="14">
        <f>IF([1]Sheet2!CF10=999999,"NA",[1]Sheet2!CF10)</f>
        <v>12</v>
      </c>
      <c r="BY11" s="14">
        <f>IF([1]Sheet2!CG10=999999,"NA",[1]Sheet2!CG10)</f>
        <v>14</v>
      </c>
      <c r="BZ11" s="14">
        <f>IF([1]Sheet2!CH10=999999,"NA",[1]Sheet2!CH10)</f>
        <v>12</v>
      </c>
      <c r="CA11" s="14">
        <f>IF([1]Sheet2!CI10=999999,"NA",[1]Sheet2!CI10)</f>
        <v>14</v>
      </c>
      <c r="CB11" s="14">
        <f>IF([1]Sheet2!CJ10=999999,"NA",[1]Sheet2!CJ10)</f>
        <v>17</v>
      </c>
      <c r="CC11" s="14">
        <f>IF([1]Sheet2!CK10=999999,"NA",[1]Sheet2!CK10)</f>
        <v>15</v>
      </c>
      <c r="CD11" s="14">
        <f>[1]Sheet2!BH10</f>
        <v>0</v>
      </c>
      <c r="CE11" s="14">
        <f>[1]Sheet2!BI10</f>
        <v>0</v>
      </c>
      <c r="CF11" s="14">
        <f>[1]Sheet2!BJ10</f>
        <v>0</v>
      </c>
      <c r="CG11" s="14">
        <f>[1]Sheet2!BK10</f>
        <v>0</v>
      </c>
      <c r="CH11" s="14">
        <f>[1]Sheet2!BL10</f>
        <v>0</v>
      </c>
      <c r="CI11" s="14">
        <f>[1]Sheet2!BM10</f>
        <v>0</v>
      </c>
      <c r="CJ11" s="14">
        <f>[1]Sheet2!BN10</f>
        <v>0</v>
      </c>
      <c r="CK11" s="14">
        <f>[1]Sheet2!BO10</f>
        <v>0</v>
      </c>
      <c r="CL11" s="14">
        <f>[1]Sheet2!BP10</f>
        <v>0</v>
      </c>
      <c r="CM11" s="14">
        <f>[1]Sheet2!BQ10</f>
        <v>0</v>
      </c>
      <c r="CN11" s="16">
        <f>Demand_SW!B$3/31</f>
        <v>139.57816377171216</v>
      </c>
      <c r="CO11" s="16">
        <f>Demand_SW!C$3/31</f>
        <v>0</v>
      </c>
      <c r="CP11" s="16">
        <f>Demand_SW!D$3/31</f>
        <v>0</v>
      </c>
      <c r="CQ11" s="16">
        <f>Demand_SW!E$3/31</f>
        <v>0</v>
      </c>
      <c r="CR11" s="16">
        <f>Demand_SW!F$3/31</f>
        <v>0</v>
      </c>
      <c r="CS11" s="16">
        <f>Demand_SW!G$3/31</f>
        <v>132.25806451612902</v>
      </c>
      <c r="CT11" s="16">
        <f>Demand_SW!H$3/31</f>
        <v>0</v>
      </c>
      <c r="CU11" s="16">
        <f>Demand_SW!I$3/31</f>
        <v>0</v>
      </c>
      <c r="CV11" s="16">
        <f>Demand_SW!J$3/31</f>
        <v>0</v>
      </c>
      <c r="CW11" s="16">
        <f>Demand_SW!K$3/31</f>
        <v>0</v>
      </c>
      <c r="CX11" s="16">
        <f t="shared" si="26"/>
        <v>3883.3746898263043</v>
      </c>
      <c r="CY11" s="16">
        <f t="shared" si="27"/>
        <v>1000</v>
      </c>
      <c r="CZ11" s="16">
        <f t="shared" si="28"/>
        <v>0</v>
      </c>
      <c r="DA11" s="16">
        <f t="shared" si="29"/>
        <v>0</v>
      </c>
      <c r="DB11" s="16">
        <f t="shared" si="30"/>
        <v>0</v>
      </c>
      <c r="DC11" s="16">
        <f t="shared" si="31"/>
        <v>3941.9354838709696</v>
      </c>
      <c r="DD11" s="16">
        <f t="shared" si="32"/>
        <v>1000</v>
      </c>
      <c r="DE11" s="16">
        <f t="shared" si="33"/>
        <v>0</v>
      </c>
      <c r="DF11" s="16">
        <f t="shared" si="34"/>
        <v>0</v>
      </c>
      <c r="DG11" s="16">
        <f t="shared" si="35"/>
        <v>0</v>
      </c>
      <c r="DH11" s="14">
        <f>IF([1]Sheet2!DS10=999999,"NA",[1]Sheet2!DS10)</f>
        <v>30</v>
      </c>
      <c r="DI11" s="14">
        <f>IF([1]Sheet2!DT10=999999,"NA",[1]Sheet2!DT10)</f>
        <v>357</v>
      </c>
      <c r="DJ11" s="14" t="str">
        <f>IF([1]Sheet2!DU10=999999,"NA",[1]Sheet2!DU10)</f>
        <v>NA</v>
      </c>
      <c r="DK11" s="14" t="str">
        <f>IF([1]Sheet2!DV10=999999,"NA",[1]Sheet2!DV10)</f>
        <v>NA</v>
      </c>
      <c r="DL11" s="14" t="str">
        <f>IF([1]Sheet2!DW10=999999,"NA",[1]Sheet2!DW10)</f>
        <v>NA</v>
      </c>
      <c r="DM11" s="14">
        <f>IF([1]Sheet2!DX10=999999,"NA",[1]Sheet2!DX10)</f>
        <v>33</v>
      </c>
      <c r="DN11" s="14">
        <f>IF([1]Sheet2!DY10=999999,"NA",[1]Sheet2!DY10)</f>
        <v>357</v>
      </c>
      <c r="DO11" s="14" t="str">
        <f>IF([1]Sheet2!DZ10=999999,"NA",[1]Sheet2!DZ10)</f>
        <v>NA</v>
      </c>
      <c r="DP11" s="14" t="str">
        <f>IF([1]Sheet2!EA10=999999,"NA",[1]Sheet2!EA10)</f>
        <v>NA</v>
      </c>
      <c r="DQ11" s="14" t="str">
        <f>IF([1]Sheet2!EB10=999999,"NA",[1]Sheet2!EB10)</f>
        <v>NA</v>
      </c>
      <c r="DR11" s="14">
        <f>[1]Sheet2!CY10</f>
        <v>0</v>
      </c>
      <c r="DS11" s="14">
        <f>[1]Sheet2!CZ10</f>
        <v>0</v>
      </c>
      <c r="DT11" s="14">
        <f>[1]Sheet2!DA10</f>
        <v>0</v>
      </c>
      <c r="DU11" s="14">
        <f>[1]Sheet2!DB10</f>
        <v>0</v>
      </c>
      <c r="DV11" s="14">
        <f>[1]Sheet2!DC10</f>
        <v>0</v>
      </c>
      <c r="DW11" s="14">
        <f>[1]Sheet2!DD10</f>
        <v>0</v>
      </c>
      <c r="DX11" s="14">
        <f>[1]Sheet2!DE10</f>
        <v>0</v>
      </c>
      <c r="DY11" s="14">
        <f>[1]Sheet2!DF10</f>
        <v>0</v>
      </c>
      <c r="DZ11" s="14">
        <f>[1]Sheet2!DG10</f>
        <v>0</v>
      </c>
      <c r="EA11" s="14">
        <f>[1]Sheet2!DH10</f>
        <v>0</v>
      </c>
      <c r="EB11" s="6">
        <f>[1]Sheet2!EC10</f>
        <v>0</v>
      </c>
      <c r="EC11" s="6">
        <f>[1]Sheet2!ED10</f>
        <v>0</v>
      </c>
      <c r="ED11" s="6">
        <f>[1]Sheet2!EE10</f>
        <v>0</v>
      </c>
      <c r="EE11" s="6">
        <f>[1]Sheet2!EF10</f>
        <v>0</v>
      </c>
      <c r="EF11" s="6">
        <f>[1]Sheet2!EG10</f>
        <v>0</v>
      </c>
      <c r="EG11" s="6">
        <f>[1]Sheet2!EH10</f>
        <v>0</v>
      </c>
      <c r="EH11" s="6">
        <f>[1]Sheet2!EI10</f>
        <v>0</v>
      </c>
      <c r="EI11" s="6">
        <f>[1]Sheet2!EJ10</f>
        <v>0</v>
      </c>
      <c r="EJ11" s="6">
        <f>[1]Sheet2!EK10</f>
        <v>0</v>
      </c>
      <c r="EK11" s="6">
        <f>[1]Sheet2!EL10</f>
        <v>0</v>
      </c>
      <c r="EL11" s="6" t="str">
        <f>[1]Sheet2!EM10</f>
        <v/>
      </c>
      <c r="EM11" s="6" t="str">
        <f>[1]Sheet2!EN10</f>
        <v/>
      </c>
      <c r="EN11" s="6" t="str">
        <f>[1]Sheet2!EO10</f>
        <v/>
      </c>
      <c r="EO11" s="6" t="str">
        <f>[1]Sheet2!EP10</f>
        <v/>
      </c>
      <c r="EP11" s="6" t="str">
        <f>[1]Sheet2!EQ10</f>
        <v/>
      </c>
      <c r="EQ11" s="6" t="str">
        <f>[1]Sheet2!ER10</f>
        <v/>
      </c>
      <c r="ER11" s="6" t="str">
        <f>[1]Sheet2!ES10</f>
        <v/>
      </c>
      <c r="ES11" s="6" t="str">
        <f>[1]Sheet2!ET10</f>
        <v/>
      </c>
      <c r="ET11" s="6" t="str">
        <f>[1]Sheet2!EU10</f>
        <v/>
      </c>
      <c r="EU11" s="6" t="str">
        <f>[1]Sheet2!EV10</f>
        <v/>
      </c>
      <c r="EV11" s="6" t="str">
        <f>[1]Sheet2!EW10</f>
        <v/>
      </c>
      <c r="EW11" s="6" t="str">
        <f>[1]Sheet2!EX10</f>
        <v/>
      </c>
      <c r="EX11" s="6" t="str">
        <f>[1]Sheet2!EY10</f>
        <v/>
      </c>
      <c r="EY11" s="6" t="str">
        <f>[1]Sheet2!EZ10</f>
        <v/>
      </c>
      <c r="EZ11" s="6" t="str">
        <f>[1]Sheet2!FA10</f>
        <v/>
      </c>
      <c r="FA11" s="6" t="str">
        <f>[1]Sheet2!FB10</f>
        <v/>
      </c>
      <c r="FB11" s="6" t="str">
        <f>[1]Sheet2!FC10</f>
        <v/>
      </c>
      <c r="FC11" s="6" t="str">
        <f>[1]Sheet2!FD10</f>
        <v/>
      </c>
      <c r="FD11" s="6" t="str">
        <f>[1]Sheet2!FE10</f>
        <v/>
      </c>
      <c r="FE11" s="6" t="str">
        <f>[1]Sheet2!FF10</f>
        <v/>
      </c>
      <c r="FF11" s="6" t="str">
        <f>[1]Sheet2!FG10</f>
        <v/>
      </c>
      <c r="FG11" s="6" t="str">
        <f>[1]Sheet2!FH10</f>
        <v/>
      </c>
      <c r="FH11" s="6" t="str">
        <f>[1]Sheet2!FI10</f>
        <v/>
      </c>
      <c r="FI11" s="6" t="str">
        <f>[1]Sheet2!FJ10</f>
        <v/>
      </c>
      <c r="FJ11" s="6" t="str">
        <f>[1]Sheet2!FK10</f>
        <v/>
      </c>
      <c r="FK11" s="6" t="str">
        <f>[1]Sheet2!FL10</f>
        <v/>
      </c>
      <c r="FL11" s="6" t="str">
        <f>[1]Sheet2!FM10</f>
        <v/>
      </c>
      <c r="FM11" s="6" t="str">
        <f>[1]Sheet2!FN10</f>
        <v/>
      </c>
      <c r="FN11" s="6" t="str">
        <f>[1]Sheet2!FO10</f>
        <v/>
      </c>
      <c r="FO11" s="6" t="str">
        <f>[1]Sheet2!FP10</f>
        <v/>
      </c>
    </row>
    <row r="12" spans="1:201 16384:16384" x14ac:dyDescent="0.25">
      <c r="A12" s="15">
        <v>43474</v>
      </c>
      <c r="B12" s="1"/>
      <c r="C12" s="1"/>
      <c r="D12" s="1"/>
      <c r="E12" s="14">
        <f>[1]Sheet2!N11</f>
        <v>0</v>
      </c>
      <c r="F12" s="14">
        <f>[1]Sheet2!BE11</f>
        <v>0</v>
      </c>
      <c r="G12" s="14">
        <f>[1]Sheet2!CW11</f>
        <v>0</v>
      </c>
      <c r="H12" s="1"/>
      <c r="I12" s="1"/>
      <c r="J12" s="1"/>
      <c r="K12" s="16"/>
      <c r="L12" s="16">
        <f>Demand_CWRS!B$3/31</f>
        <v>313.22137613730359</v>
      </c>
      <c r="M12" s="16">
        <f>Demand_CWRS!C$3/31</f>
        <v>241.71000827129859</v>
      </c>
      <c r="N12" s="16">
        <f>Demand_CWRS!D$3/31</f>
        <v>0</v>
      </c>
      <c r="O12" s="16">
        <f>Demand_CWRS!E$3/31</f>
        <v>98.872001654259719</v>
      </c>
      <c r="P12" s="16">
        <f>Demand_CWRS!F$3/31</f>
        <v>198.36900072373859</v>
      </c>
      <c r="Q12" s="16">
        <f>Demand_CWRS!G$3/31</f>
        <v>309.67741935483872</v>
      </c>
      <c r="R12" s="16">
        <f>Demand_CWRS!H$3/31</f>
        <v>241.71000827129859</v>
      </c>
      <c r="S12" s="16">
        <f>Demand_CWRS!I$3/31</f>
        <v>200</v>
      </c>
      <c r="T12" s="16">
        <f>Demand_CWRS!J$3/31</f>
        <v>209.67741935483872</v>
      </c>
      <c r="U12" s="16">
        <f>Demand_CWRS!K$3/31</f>
        <v>216.12903225806451</v>
      </c>
      <c r="V12" s="16">
        <f t="shared" si="6"/>
        <v>4181.0076147642712</v>
      </c>
      <c r="W12" s="16">
        <f t="shared" si="7"/>
        <v>2824.6099255583122</v>
      </c>
      <c r="X12" s="16">
        <f t="shared" si="8"/>
        <v>0</v>
      </c>
      <c r="Y12" s="16">
        <f t="shared" si="9"/>
        <v>8110.1519851116664</v>
      </c>
      <c r="Z12" s="16">
        <f t="shared" si="10"/>
        <v>3214.6789934863532</v>
      </c>
      <c r="AA12" s="16">
        <f t="shared" si="11"/>
        <v>5212.903225806449</v>
      </c>
      <c r="AB12" s="16">
        <f t="shared" si="12"/>
        <v>-1875.3900744416876</v>
      </c>
      <c r="AC12" s="16">
        <f t="shared" si="13"/>
        <v>3200</v>
      </c>
      <c r="AD12" s="16">
        <f t="shared" si="14"/>
        <v>3112.9032258064512</v>
      </c>
      <c r="AE12" s="16">
        <f t="shared" si="15"/>
        <v>3054.8387096774204</v>
      </c>
      <c r="AF12" s="14">
        <f>IF([1]Sheet2!AJ11=999999,"NA",[1]Sheet2!AJ11)</f>
        <v>13</v>
      </c>
      <c r="AG12" s="14">
        <f>IF([1]Sheet2!AK11=999999,"NA",[1]Sheet2!AK11)</f>
        <v>11</v>
      </c>
      <c r="AH12" s="14" t="str">
        <f>IF([1]Sheet2!AL11=999999,"NA",[1]Sheet2!AL11)</f>
        <v>NA</v>
      </c>
      <c r="AI12" s="14">
        <f>IF([1]Sheet2!AM11=999999,"NA",[1]Sheet2!AM11)</f>
        <v>68</v>
      </c>
      <c r="AJ12" s="14">
        <f>IF([1]Sheet2!AN11=999999,"NA",[1]Sheet2!AN11)</f>
        <v>16</v>
      </c>
      <c r="AK12" s="14">
        <f>IF([1]Sheet2!AO11=999999,"NA",[1]Sheet2!AO11)</f>
        <v>16</v>
      </c>
      <c r="AL12" s="14">
        <f>IF([1]Sheet2!AP11=999999,"NA",[1]Sheet2!AP11)</f>
        <v>0</v>
      </c>
      <c r="AM12" s="14">
        <f>IF([1]Sheet2!AQ11=999999,"NA",[1]Sheet2!AQ11)</f>
        <v>16</v>
      </c>
      <c r="AN12" s="14">
        <f>IF([1]Sheet2!AR11=999999,"NA",[1]Sheet2!AR11)</f>
        <v>14</v>
      </c>
      <c r="AO12" s="14">
        <f>IF([1]Sheet2!AS11=999999,"NA",[1]Sheet2!AS11)</f>
        <v>14</v>
      </c>
      <c r="AP12" s="14">
        <f>[1]Sheet2!P11</f>
        <v>0</v>
      </c>
      <c r="AQ12" s="14">
        <f>[1]Sheet2!Q11</f>
        <v>0</v>
      </c>
      <c r="AR12" s="14">
        <f>[1]Sheet2!R11</f>
        <v>0</v>
      </c>
      <c r="AS12" s="25">
        <f>[1]Sheet2!S11</f>
        <v>0</v>
      </c>
      <c r="AT12" s="14">
        <f>[1]Sheet2!T11</f>
        <v>0</v>
      </c>
      <c r="AU12" s="14">
        <f>[1]Sheet2!U11</f>
        <v>0</v>
      </c>
      <c r="AV12" s="14">
        <f>[1]Sheet2!V11</f>
        <v>0</v>
      </c>
      <c r="AW12" s="14">
        <f>[1]Sheet2!W11</f>
        <v>0</v>
      </c>
      <c r="AX12" s="14">
        <f>[1]Sheet2!X11</f>
        <v>0</v>
      </c>
      <c r="AY12" s="14">
        <f>[1]Sheet2!Y11</f>
        <v>0</v>
      </c>
      <c r="AZ12" s="16">
        <f>Demand_LP!B$3/31</f>
        <v>503.00172404880072</v>
      </c>
      <c r="BA12" s="16">
        <f>Demand_LP!C$3/31</f>
        <v>792.35864350703059</v>
      </c>
      <c r="BB12" s="16">
        <f>Demand_LP!D$3/31</f>
        <v>231.20967741935488</v>
      </c>
      <c r="BC12" s="16">
        <f>Demand_LP!E$3/31</f>
        <v>696.53949545078569</v>
      </c>
      <c r="BD12" s="16">
        <f>Demand_LP!F$3/31</f>
        <v>482.27093930934655</v>
      </c>
      <c r="BE12" s="16">
        <f>Demand_LP!G$3/31</f>
        <v>451.61290322580646</v>
      </c>
      <c r="BF12" s="16">
        <f>Demand_LP!H$3/31</f>
        <v>774.19354838709683</v>
      </c>
      <c r="BG12" s="16">
        <f>Demand_LP!I$3/31</f>
        <v>451.61290322580646</v>
      </c>
      <c r="BH12" s="16">
        <f>Demand_LP!J$3/31</f>
        <v>387.09677419354841</v>
      </c>
      <c r="BI12" s="16">
        <f>Demand_LP!K$3/31</f>
        <v>419.35483870967744</v>
      </c>
      <c r="BJ12" s="16">
        <f t="shared" si="16"/>
        <v>5472.9844835607928</v>
      </c>
      <c r="BK12" s="16">
        <f t="shared" si="17"/>
        <v>2868.7722084367279</v>
      </c>
      <c r="BL12" s="16">
        <f t="shared" si="18"/>
        <v>7919.1129032258104</v>
      </c>
      <c r="BM12" s="16">
        <f t="shared" si="19"/>
        <v>3731.144540942928</v>
      </c>
      <c r="BN12" s="16">
        <f t="shared" si="20"/>
        <v>5659.5615462158821</v>
      </c>
      <c r="BO12" s="16">
        <f t="shared" si="21"/>
        <v>5935.4838709677388</v>
      </c>
      <c r="BP12" s="16">
        <f t="shared" si="22"/>
        <v>9032.2580645161306</v>
      </c>
      <c r="BQ12" s="16">
        <f t="shared" si="23"/>
        <v>5935.4838709677388</v>
      </c>
      <c r="BR12" s="16">
        <f t="shared" si="24"/>
        <v>6516.1290322580617</v>
      </c>
      <c r="BS12" s="16">
        <f t="shared" si="25"/>
        <v>6225.8064516129025</v>
      </c>
      <c r="BT12" s="14">
        <f>IF([1]Sheet2!CB11=999999,"NA",[1]Sheet2!CB11)</f>
        <v>10</v>
      </c>
      <c r="BU12" s="14">
        <f>IF([1]Sheet2!CC11=999999,"NA",[1]Sheet2!CC11)</f>
        <v>3</v>
      </c>
      <c r="BV12" s="14">
        <f>IF([1]Sheet2!CD11=999999,"NA",[1]Sheet2!CD11)</f>
        <v>32</v>
      </c>
      <c r="BW12" s="14">
        <f>IF([1]Sheet2!CE11=999999,"NA",[1]Sheet2!CE11)</f>
        <v>5</v>
      </c>
      <c r="BX12" s="14">
        <f>IF([1]Sheet2!CF11=999999,"NA",[1]Sheet2!CF11)</f>
        <v>11</v>
      </c>
      <c r="BY12" s="14">
        <f>IF([1]Sheet2!CG11=999999,"NA",[1]Sheet2!CG11)</f>
        <v>13</v>
      </c>
      <c r="BZ12" s="14">
        <f>IF([1]Sheet2!CH11=999999,"NA",[1]Sheet2!CH11)</f>
        <v>11</v>
      </c>
      <c r="CA12" s="14">
        <f>IF([1]Sheet2!CI11=999999,"NA",[1]Sheet2!CI11)</f>
        <v>13</v>
      </c>
      <c r="CB12" s="14">
        <f>IF([1]Sheet2!CJ11=999999,"NA",[1]Sheet2!CJ11)</f>
        <v>16</v>
      </c>
      <c r="CC12" s="14">
        <f>IF([1]Sheet2!CK11=999999,"NA",[1]Sheet2!CK11)</f>
        <v>14</v>
      </c>
      <c r="CD12" s="14">
        <f>[1]Sheet2!BH11</f>
        <v>0</v>
      </c>
      <c r="CE12" s="14">
        <f>[1]Sheet2!BI11</f>
        <v>0</v>
      </c>
      <c r="CF12" s="14">
        <f>[1]Sheet2!BJ11</f>
        <v>0</v>
      </c>
      <c r="CG12" s="14">
        <f>[1]Sheet2!BK11</f>
        <v>0</v>
      </c>
      <c r="CH12" s="14">
        <f>[1]Sheet2!BL11</f>
        <v>0</v>
      </c>
      <c r="CI12" s="14">
        <f>[1]Sheet2!BM11</f>
        <v>0</v>
      </c>
      <c r="CJ12" s="14">
        <f>[1]Sheet2!BN11</f>
        <v>0</v>
      </c>
      <c r="CK12" s="14">
        <f>[1]Sheet2!BO11</f>
        <v>0</v>
      </c>
      <c r="CL12" s="14">
        <f>[1]Sheet2!BP11</f>
        <v>0</v>
      </c>
      <c r="CM12" s="14">
        <f>[1]Sheet2!BQ11</f>
        <v>0</v>
      </c>
      <c r="CN12" s="16">
        <f>Demand_SW!B$3/31</f>
        <v>139.57816377171216</v>
      </c>
      <c r="CO12" s="16">
        <f>Demand_SW!C$3/31</f>
        <v>0</v>
      </c>
      <c r="CP12" s="16">
        <f>Demand_SW!D$3/31</f>
        <v>0</v>
      </c>
      <c r="CQ12" s="16">
        <f>Demand_SW!E$3/31</f>
        <v>0</v>
      </c>
      <c r="CR12" s="16">
        <f>Demand_SW!F$3/31</f>
        <v>0</v>
      </c>
      <c r="CS12" s="16">
        <f>Demand_SW!G$3/31</f>
        <v>132.25806451612902</v>
      </c>
      <c r="CT12" s="16">
        <f>Demand_SW!H$3/31</f>
        <v>0</v>
      </c>
      <c r="CU12" s="16">
        <f>Demand_SW!I$3/31</f>
        <v>0</v>
      </c>
      <c r="CV12" s="16">
        <f>Demand_SW!J$3/31</f>
        <v>0</v>
      </c>
      <c r="CW12" s="16">
        <f>Demand_SW!K$3/31</f>
        <v>0</v>
      </c>
      <c r="CX12" s="16">
        <f t="shared" si="26"/>
        <v>3743.7965260545921</v>
      </c>
      <c r="CY12" s="16">
        <f t="shared" si="27"/>
        <v>1000</v>
      </c>
      <c r="CZ12" s="16">
        <f t="shared" si="28"/>
        <v>0</v>
      </c>
      <c r="DA12" s="16">
        <f t="shared" si="29"/>
        <v>0</v>
      </c>
      <c r="DB12" s="16">
        <f t="shared" si="30"/>
        <v>0</v>
      </c>
      <c r="DC12" s="16">
        <f t="shared" si="31"/>
        <v>3809.6774193548408</v>
      </c>
      <c r="DD12" s="16">
        <f t="shared" si="32"/>
        <v>1000</v>
      </c>
      <c r="DE12" s="16">
        <f t="shared" si="33"/>
        <v>0</v>
      </c>
      <c r="DF12" s="16">
        <f t="shared" si="34"/>
        <v>0</v>
      </c>
      <c r="DG12" s="16">
        <f t="shared" si="35"/>
        <v>0</v>
      </c>
      <c r="DH12" s="14">
        <f>IF([1]Sheet2!DS11=999999,"NA",[1]Sheet2!DS11)</f>
        <v>29</v>
      </c>
      <c r="DI12" s="14">
        <f>IF([1]Sheet2!DT11=999999,"NA",[1]Sheet2!DT11)</f>
        <v>356</v>
      </c>
      <c r="DJ12" s="14" t="str">
        <f>IF([1]Sheet2!DU11=999999,"NA",[1]Sheet2!DU11)</f>
        <v>NA</v>
      </c>
      <c r="DK12" s="14" t="str">
        <f>IF([1]Sheet2!DV11=999999,"NA",[1]Sheet2!DV11)</f>
        <v>NA</v>
      </c>
      <c r="DL12" s="14" t="str">
        <f>IF([1]Sheet2!DW11=999999,"NA",[1]Sheet2!DW11)</f>
        <v>NA</v>
      </c>
      <c r="DM12" s="14">
        <f>IF([1]Sheet2!DX11=999999,"NA",[1]Sheet2!DX11)</f>
        <v>32</v>
      </c>
      <c r="DN12" s="14">
        <f>IF([1]Sheet2!DY11=999999,"NA",[1]Sheet2!DY11)</f>
        <v>356</v>
      </c>
      <c r="DO12" s="14" t="str">
        <f>IF([1]Sheet2!DZ11=999999,"NA",[1]Sheet2!DZ11)</f>
        <v>NA</v>
      </c>
      <c r="DP12" s="14" t="str">
        <f>IF([1]Sheet2!EA11=999999,"NA",[1]Sheet2!EA11)</f>
        <v>NA</v>
      </c>
      <c r="DQ12" s="14" t="str">
        <f>IF([1]Sheet2!EB11=999999,"NA",[1]Sheet2!EB11)</f>
        <v>NA</v>
      </c>
      <c r="DR12" s="14">
        <f>[1]Sheet2!CY11</f>
        <v>0</v>
      </c>
      <c r="DS12" s="14">
        <f>[1]Sheet2!CZ11</f>
        <v>0</v>
      </c>
      <c r="DT12" s="14">
        <f>[1]Sheet2!DA11</f>
        <v>0</v>
      </c>
      <c r="DU12" s="14">
        <f>[1]Sheet2!DB11</f>
        <v>0</v>
      </c>
      <c r="DV12" s="14">
        <f>[1]Sheet2!DC11</f>
        <v>0</v>
      </c>
      <c r="DW12" s="14">
        <f>[1]Sheet2!DD11</f>
        <v>0</v>
      </c>
      <c r="DX12" s="14">
        <f>[1]Sheet2!DE11</f>
        <v>0</v>
      </c>
      <c r="DY12" s="14">
        <f>[1]Sheet2!DF11</f>
        <v>0</v>
      </c>
      <c r="DZ12" s="14">
        <f>[1]Sheet2!DG11</f>
        <v>0</v>
      </c>
      <c r="EA12" s="14">
        <f>[1]Sheet2!DH11</f>
        <v>0</v>
      </c>
      <c r="EB12" s="6">
        <f>[1]Sheet2!EC11</f>
        <v>0</v>
      </c>
      <c r="EC12" s="6">
        <f>[1]Sheet2!ED11</f>
        <v>0</v>
      </c>
      <c r="ED12" s="6">
        <f>[1]Sheet2!EE11</f>
        <v>0</v>
      </c>
      <c r="EE12" s="6">
        <f>[1]Sheet2!EF11</f>
        <v>0</v>
      </c>
      <c r="EF12" s="6">
        <f>[1]Sheet2!EG11</f>
        <v>0</v>
      </c>
      <c r="EG12" s="6">
        <f>[1]Sheet2!EH11</f>
        <v>0</v>
      </c>
      <c r="EH12" s="6">
        <f>[1]Sheet2!EI11</f>
        <v>0</v>
      </c>
      <c r="EI12" s="6">
        <f>[1]Sheet2!EJ11</f>
        <v>0</v>
      </c>
      <c r="EJ12" s="6">
        <f>[1]Sheet2!EK11</f>
        <v>0</v>
      </c>
      <c r="EK12" s="6">
        <f>[1]Sheet2!EL11</f>
        <v>0</v>
      </c>
      <c r="EL12" s="6" t="str">
        <f>[1]Sheet2!EM11</f>
        <v/>
      </c>
      <c r="EM12" s="6" t="str">
        <f>[1]Sheet2!EN11</f>
        <v/>
      </c>
      <c r="EN12" s="6" t="str">
        <f>[1]Sheet2!EO11</f>
        <v/>
      </c>
      <c r="EO12" s="6" t="str">
        <f>[1]Sheet2!EP11</f>
        <v/>
      </c>
      <c r="EP12" s="6" t="str">
        <f>[1]Sheet2!EQ11</f>
        <v/>
      </c>
      <c r="EQ12" s="6" t="str">
        <f>[1]Sheet2!ER11</f>
        <v/>
      </c>
      <c r="ER12" s="6" t="str">
        <f>[1]Sheet2!ES11</f>
        <v/>
      </c>
      <c r="ES12" s="6" t="str">
        <f>[1]Sheet2!ET11</f>
        <v/>
      </c>
      <c r="ET12" s="6" t="str">
        <f>[1]Sheet2!EU11</f>
        <v/>
      </c>
      <c r="EU12" s="6" t="str">
        <f>[1]Sheet2!EV11</f>
        <v/>
      </c>
      <c r="EV12" s="6" t="str">
        <f>[1]Sheet2!EW11</f>
        <v/>
      </c>
      <c r="EW12" s="6" t="str">
        <f>[1]Sheet2!EX11</f>
        <v/>
      </c>
      <c r="EX12" s="6" t="str">
        <f>[1]Sheet2!EY11</f>
        <v/>
      </c>
      <c r="EY12" s="6" t="str">
        <f>[1]Sheet2!EZ11</f>
        <v/>
      </c>
      <c r="EZ12" s="6" t="str">
        <f>[1]Sheet2!FA11</f>
        <v/>
      </c>
      <c r="FA12" s="6" t="str">
        <f>[1]Sheet2!FB11</f>
        <v/>
      </c>
      <c r="FB12" s="6" t="str">
        <f>[1]Sheet2!FC11</f>
        <v/>
      </c>
      <c r="FC12" s="6" t="str">
        <f>[1]Sheet2!FD11</f>
        <v/>
      </c>
      <c r="FD12" s="6" t="str">
        <f>[1]Sheet2!FE11</f>
        <v/>
      </c>
      <c r="FE12" s="6" t="str">
        <f>[1]Sheet2!FF11</f>
        <v/>
      </c>
      <c r="FF12" s="6" t="str">
        <f>[1]Sheet2!FG11</f>
        <v/>
      </c>
      <c r="FG12" s="6" t="str">
        <f>[1]Sheet2!FH11</f>
        <v/>
      </c>
      <c r="FH12" s="6" t="str">
        <f>[1]Sheet2!FI11</f>
        <v/>
      </c>
      <c r="FI12" s="6" t="str">
        <f>[1]Sheet2!FJ11</f>
        <v/>
      </c>
      <c r="FJ12" s="6" t="str">
        <f>[1]Sheet2!FK11</f>
        <v/>
      </c>
      <c r="FK12" s="6" t="str">
        <f>[1]Sheet2!FL11</f>
        <v/>
      </c>
      <c r="FL12" s="6" t="str">
        <f>[1]Sheet2!FM11</f>
        <v/>
      </c>
      <c r="FM12" s="6" t="str">
        <f>[1]Sheet2!FN11</f>
        <v/>
      </c>
      <c r="FN12" s="6" t="str">
        <f>[1]Sheet2!FO11</f>
        <v/>
      </c>
      <c r="FO12" s="6" t="str">
        <f>[1]Sheet2!FP11</f>
        <v/>
      </c>
    </row>
    <row r="13" spans="1:201 16384:16384" x14ac:dyDescent="0.25">
      <c r="A13" s="15">
        <v>43475</v>
      </c>
      <c r="B13" s="1"/>
      <c r="C13" s="1"/>
      <c r="D13" s="1"/>
      <c r="E13" s="14">
        <f>[1]Sheet2!N12</f>
        <v>0</v>
      </c>
      <c r="F13" s="14">
        <f>[1]Sheet2!BE12</f>
        <v>48000</v>
      </c>
      <c r="G13" s="14">
        <f>[1]Sheet2!CW12</f>
        <v>0</v>
      </c>
      <c r="H13" s="1"/>
      <c r="I13" s="1"/>
      <c r="J13" s="1"/>
      <c r="K13" s="16"/>
      <c r="L13" s="16">
        <f>Demand_CWRS!B$3/31</f>
        <v>313.22137613730359</v>
      </c>
      <c r="M13" s="16">
        <f>Demand_CWRS!C$3/31</f>
        <v>241.71000827129859</v>
      </c>
      <c r="N13" s="16">
        <f>Demand_CWRS!D$3/31</f>
        <v>0</v>
      </c>
      <c r="O13" s="16">
        <f>Demand_CWRS!E$3/31</f>
        <v>98.872001654259719</v>
      </c>
      <c r="P13" s="16">
        <f>Demand_CWRS!F$3/31</f>
        <v>198.36900072373859</v>
      </c>
      <c r="Q13" s="16">
        <f>Demand_CWRS!G$3/31</f>
        <v>309.67741935483872</v>
      </c>
      <c r="R13" s="16">
        <f>Demand_CWRS!H$3/31</f>
        <v>241.71000827129859</v>
      </c>
      <c r="S13" s="16">
        <f>Demand_CWRS!I$3/31</f>
        <v>200</v>
      </c>
      <c r="T13" s="16">
        <f>Demand_CWRS!J$3/31</f>
        <v>209.67741935483872</v>
      </c>
      <c r="U13" s="16">
        <f>Demand_CWRS!K$3/31</f>
        <v>216.12903225806451</v>
      </c>
      <c r="V13" s="16">
        <f t="shared" si="6"/>
        <v>3867.7862386269676</v>
      </c>
      <c r="W13" s="16">
        <f t="shared" si="7"/>
        <v>2582.8999172870135</v>
      </c>
      <c r="X13" s="16">
        <f t="shared" si="8"/>
        <v>0</v>
      </c>
      <c r="Y13" s="16">
        <f t="shared" si="9"/>
        <v>8011.2799834574071</v>
      </c>
      <c r="Z13" s="16">
        <f t="shared" si="10"/>
        <v>3016.3099927626145</v>
      </c>
      <c r="AA13" s="16">
        <f t="shared" si="11"/>
        <v>4903.22580645161</v>
      </c>
      <c r="AB13" s="16">
        <f t="shared" si="12"/>
        <v>-2117.100082712986</v>
      </c>
      <c r="AC13" s="16">
        <f t="shared" si="13"/>
        <v>3000</v>
      </c>
      <c r="AD13" s="16">
        <f t="shared" si="14"/>
        <v>2903.2258064516127</v>
      </c>
      <c r="AE13" s="16">
        <f t="shared" si="15"/>
        <v>2838.709677419356</v>
      </c>
      <c r="AF13" s="14">
        <f>IF([1]Sheet2!AJ12=999999,"NA",[1]Sheet2!AJ12)</f>
        <v>12</v>
      </c>
      <c r="AG13" s="14">
        <f>IF([1]Sheet2!AK12=999999,"NA",[1]Sheet2!AK12)</f>
        <v>10</v>
      </c>
      <c r="AH13" s="14" t="str">
        <f>IF([1]Sheet2!AL12=999999,"NA",[1]Sheet2!AL12)</f>
        <v>NA</v>
      </c>
      <c r="AI13" s="14">
        <f>IF([1]Sheet2!AM12=999999,"NA",[1]Sheet2!AM12)</f>
        <v>67</v>
      </c>
      <c r="AJ13" s="14">
        <f>IF([1]Sheet2!AN12=999999,"NA",[1]Sheet2!AN12)</f>
        <v>15</v>
      </c>
      <c r="AK13" s="14">
        <f>IF([1]Sheet2!AO12=999999,"NA",[1]Sheet2!AO12)</f>
        <v>15</v>
      </c>
      <c r="AL13" s="14">
        <f>IF([1]Sheet2!AP12=999999,"NA",[1]Sheet2!AP12)</f>
        <v>0</v>
      </c>
      <c r="AM13" s="14">
        <f>IF([1]Sheet2!AQ12=999999,"NA",[1]Sheet2!AQ12)</f>
        <v>15</v>
      </c>
      <c r="AN13" s="14">
        <f>IF([1]Sheet2!AR12=999999,"NA",[1]Sheet2!AR12)</f>
        <v>13</v>
      </c>
      <c r="AO13" s="14">
        <f>IF([1]Sheet2!AS12=999999,"NA",[1]Sheet2!AS12)</f>
        <v>13</v>
      </c>
      <c r="AP13" s="14">
        <f>[1]Sheet2!P12</f>
        <v>0</v>
      </c>
      <c r="AQ13" s="14">
        <f>[1]Sheet2!Q12</f>
        <v>0</v>
      </c>
      <c r="AR13" s="14">
        <f>[1]Sheet2!R12</f>
        <v>0</v>
      </c>
      <c r="AS13" s="44">
        <f>[1]Sheet2!S12</f>
        <v>0</v>
      </c>
      <c r="AT13" s="14">
        <f>[1]Sheet2!T12</f>
        <v>0</v>
      </c>
      <c r="AU13" s="14">
        <f>[1]Sheet2!U12</f>
        <v>0</v>
      </c>
      <c r="AV13" s="14">
        <f>[1]Sheet2!V12</f>
        <v>0</v>
      </c>
      <c r="AW13" s="14">
        <f>[1]Sheet2!W12</f>
        <v>0</v>
      </c>
      <c r="AX13" s="14">
        <f>[1]Sheet2!X12</f>
        <v>0</v>
      </c>
      <c r="AY13" s="14">
        <f>[1]Sheet2!Y12</f>
        <v>0</v>
      </c>
      <c r="AZ13" s="16">
        <f>Demand_LP!B$3/31</f>
        <v>503.00172404880072</v>
      </c>
      <c r="BA13" s="16">
        <f>Demand_LP!C$3/31</f>
        <v>792.35864350703059</v>
      </c>
      <c r="BB13" s="16">
        <f>Demand_LP!D$3/31</f>
        <v>231.20967741935488</v>
      </c>
      <c r="BC13" s="16">
        <f>Demand_LP!E$3/31</f>
        <v>696.53949545078569</v>
      </c>
      <c r="BD13" s="16">
        <f>Demand_LP!F$3/31</f>
        <v>482.27093930934655</v>
      </c>
      <c r="BE13" s="16">
        <f>Demand_LP!G$3/31</f>
        <v>451.61290322580646</v>
      </c>
      <c r="BF13" s="16">
        <f>Demand_LP!H$3/31</f>
        <v>774.19354838709683</v>
      </c>
      <c r="BG13" s="16">
        <f>Demand_LP!I$3/31</f>
        <v>451.61290322580646</v>
      </c>
      <c r="BH13" s="16">
        <f>Demand_LP!J$3/31</f>
        <v>387.09677419354841</v>
      </c>
      <c r="BI13" s="16">
        <f>Demand_LP!K$3/31</f>
        <v>419.35483870967744</v>
      </c>
      <c r="BJ13" s="16">
        <f t="shared" si="16"/>
        <v>4969.9827595119923</v>
      </c>
      <c r="BK13" s="16">
        <f t="shared" si="17"/>
        <v>2076.4135649296973</v>
      </c>
      <c r="BL13" s="16">
        <f t="shared" si="18"/>
        <v>7687.9032258064553</v>
      </c>
      <c r="BM13" s="16">
        <f t="shared" si="19"/>
        <v>3034.6050454921424</v>
      </c>
      <c r="BN13" s="16">
        <f t="shared" si="20"/>
        <v>5177.2906069065357</v>
      </c>
      <c r="BO13" s="16">
        <f t="shared" si="21"/>
        <v>5483.870967741932</v>
      </c>
      <c r="BP13" s="16">
        <f t="shared" si="22"/>
        <v>8258.064516129034</v>
      </c>
      <c r="BQ13" s="16">
        <f t="shared" si="23"/>
        <v>5483.870967741932</v>
      </c>
      <c r="BR13" s="16">
        <f t="shared" si="24"/>
        <v>6129.0322580645134</v>
      </c>
      <c r="BS13" s="16">
        <f t="shared" si="25"/>
        <v>5806.4516129032254</v>
      </c>
      <c r="BT13" s="14">
        <f>IF([1]Sheet2!CB12=999999,"NA",[1]Sheet2!CB12)</f>
        <v>9</v>
      </c>
      <c r="BU13" s="14">
        <f>IF([1]Sheet2!CC12=999999,"NA",[1]Sheet2!CC12)</f>
        <v>2</v>
      </c>
      <c r="BV13" s="14">
        <f>IF([1]Sheet2!CD12=999999,"NA",[1]Sheet2!CD12)</f>
        <v>31</v>
      </c>
      <c r="BW13" s="14">
        <f>IF([1]Sheet2!CE12=999999,"NA",[1]Sheet2!CE12)</f>
        <v>4</v>
      </c>
      <c r="BX13" s="14">
        <f>IF([1]Sheet2!CF12=999999,"NA",[1]Sheet2!CF12)</f>
        <v>10</v>
      </c>
      <c r="BY13" s="14">
        <f>IF([1]Sheet2!CG12=999999,"NA",[1]Sheet2!CG12)</f>
        <v>12</v>
      </c>
      <c r="BZ13" s="14">
        <f>IF([1]Sheet2!CH12=999999,"NA",[1]Sheet2!CH12)</f>
        <v>10</v>
      </c>
      <c r="CA13" s="14">
        <f>IF([1]Sheet2!CI12=999999,"NA",[1]Sheet2!CI12)</f>
        <v>12</v>
      </c>
      <c r="CB13" s="14">
        <f>IF([1]Sheet2!CJ12=999999,"NA",[1]Sheet2!CJ12)</f>
        <v>15</v>
      </c>
      <c r="CC13" s="14">
        <f>IF([1]Sheet2!CK12=999999,"NA",[1]Sheet2!CK12)</f>
        <v>13</v>
      </c>
      <c r="CD13" s="14">
        <f>[1]Sheet2!BH12</f>
        <v>0</v>
      </c>
      <c r="CE13" s="14">
        <f>[1]Sheet2!BI12</f>
        <v>0</v>
      </c>
      <c r="CF13" s="14">
        <f>[1]Sheet2!BJ12</f>
        <v>0</v>
      </c>
      <c r="CG13" s="14">
        <f>[1]Sheet2!BK12</f>
        <v>0</v>
      </c>
      <c r="CH13" s="14">
        <f>[1]Sheet2!BL12</f>
        <v>0</v>
      </c>
      <c r="CI13" s="14">
        <f>[1]Sheet2!BM12</f>
        <v>0</v>
      </c>
      <c r="CJ13" s="14">
        <f>[1]Sheet2!BN12</f>
        <v>0</v>
      </c>
      <c r="CK13" s="14">
        <f>[1]Sheet2!BO12</f>
        <v>0</v>
      </c>
      <c r="CL13" s="14">
        <f>[1]Sheet2!BP12</f>
        <v>0</v>
      </c>
      <c r="CM13" s="14">
        <f>[1]Sheet2!BQ12</f>
        <v>0</v>
      </c>
      <c r="CN13" s="16">
        <f>Demand_SW!B$3/31</f>
        <v>139.57816377171216</v>
      </c>
      <c r="CO13" s="16">
        <f>Demand_SW!C$3/31</f>
        <v>0</v>
      </c>
      <c r="CP13" s="16">
        <f>Demand_SW!D$3/31</f>
        <v>0</v>
      </c>
      <c r="CQ13" s="16">
        <f>Demand_SW!E$3/31</f>
        <v>0</v>
      </c>
      <c r="CR13" s="16">
        <f>Demand_SW!F$3/31</f>
        <v>0</v>
      </c>
      <c r="CS13" s="16">
        <f>Demand_SW!G$3/31</f>
        <v>132.25806451612902</v>
      </c>
      <c r="CT13" s="16">
        <f>Demand_SW!H$3/31</f>
        <v>0</v>
      </c>
      <c r="CU13" s="16">
        <f>Demand_SW!I$3/31</f>
        <v>0</v>
      </c>
      <c r="CV13" s="16">
        <f>Demand_SW!J$3/31</f>
        <v>0</v>
      </c>
      <c r="CW13" s="16">
        <f>Demand_SW!K$3/31</f>
        <v>0</v>
      </c>
      <c r="CX13" s="16">
        <f t="shared" si="26"/>
        <v>3604.2183622828798</v>
      </c>
      <c r="CY13" s="16">
        <f t="shared" si="27"/>
        <v>1000</v>
      </c>
      <c r="CZ13" s="16">
        <f t="shared" si="28"/>
        <v>0</v>
      </c>
      <c r="DA13" s="16">
        <f t="shared" si="29"/>
        <v>0</v>
      </c>
      <c r="DB13" s="16">
        <f t="shared" si="30"/>
        <v>0</v>
      </c>
      <c r="DC13" s="16">
        <f t="shared" si="31"/>
        <v>3677.419354838712</v>
      </c>
      <c r="DD13" s="16">
        <f t="shared" si="32"/>
        <v>1000</v>
      </c>
      <c r="DE13" s="16">
        <f t="shared" si="33"/>
        <v>0</v>
      </c>
      <c r="DF13" s="16">
        <f t="shared" si="34"/>
        <v>0</v>
      </c>
      <c r="DG13" s="16">
        <f t="shared" si="35"/>
        <v>0</v>
      </c>
      <c r="DH13" s="14">
        <f>IF([1]Sheet2!DS12=999999,"NA",[1]Sheet2!DS12)</f>
        <v>28</v>
      </c>
      <c r="DI13" s="14">
        <f>IF([1]Sheet2!DT12=999999,"NA",[1]Sheet2!DT12)</f>
        <v>355</v>
      </c>
      <c r="DJ13" s="14" t="str">
        <f>IF([1]Sheet2!DU12=999999,"NA",[1]Sheet2!DU12)</f>
        <v>NA</v>
      </c>
      <c r="DK13" s="14" t="str">
        <f>IF([1]Sheet2!DV12=999999,"NA",[1]Sheet2!DV12)</f>
        <v>NA</v>
      </c>
      <c r="DL13" s="14" t="str">
        <f>IF([1]Sheet2!DW12=999999,"NA",[1]Sheet2!DW12)</f>
        <v>NA</v>
      </c>
      <c r="DM13" s="14">
        <f>IF([1]Sheet2!DX12=999999,"NA",[1]Sheet2!DX12)</f>
        <v>31</v>
      </c>
      <c r="DN13" s="14">
        <f>IF([1]Sheet2!DY12=999999,"NA",[1]Sheet2!DY12)</f>
        <v>355</v>
      </c>
      <c r="DO13" s="14" t="str">
        <f>IF([1]Sheet2!DZ12=999999,"NA",[1]Sheet2!DZ12)</f>
        <v>NA</v>
      </c>
      <c r="DP13" s="14" t="str">
        <f>IF([1]Sheet2!EA12=999999,"NA",[1]Sheet2!EA12)</f>
        <v>NA</v>
      </c>
      <c r="DQ13" s="14" t="str">
        <f>IF([1]Sheet2!EB12=999999,"NA",[1]Sheet2!EB12)</f>
        <v>NA</v>
      </c>
      <c r="DR13" s="14">
        <f>[1]Sheet2!CY12</f>
        <v>0</v>
      </c>
      <c r="DS13" s="14">
        <f>[1]Sheet2!CZ12</f>
        <v>0</v>
      </c>
      <c r="DT13" s="14">
        <f>[1]Sheet2!DA12</f>
        <v>0</v>
      </c>
      <c r="DU13" s="14">
        <f>[1]Sheet2!DB12</f>
        <v>0</v>
      </c>
      <c r="DV13" s="14">
        <f>[1]Sheet2!DC12</f>
        <v>0</v>
      </c>
      <c r="DW13" s="14">
        <f>[1]Sheet2!DD12</f>
        <v>0</v>
      </c>
      <c r="DX13" s="14">
        <f>[1]Sheet2!DE12</f>
        <v>0</v>
      </c>
      <c r="DY13" s="14">
        <f>[1]Sheet2!DF12</f>
        <v>0</v>
      </c>
      <c r="DZ13" s="14">
        <f>[1]Sheet2!DG12</f>
        <v>0</v>
      </c>
      <c r="EA13" s="14">
        <f>[1]Sheet2!DH12</f>
        <v>0</v>
      </c>
      <c r="EB13" s="6">
        <f>[1]Sheet2!EC12</f>
        <v>0</v>
      </c>
      <c r="EC13" s="6">
        <f>[1]Sheet2!ED12</f>
        <v>0</v>
      </c>
      <c r="ED13" s="6">
        <f>[1]Sheet2!EE12</f>
        <v>0</v>
      </c>
      <c r="EE13" s="6">
        <f>[1]Sheet2!EF12</f>
        <v>0</v>
      </c>
      <c r="EF13" s="6">
        <f>[1]Sheet2!EG12</f>
        <v>0</v>
      </c>
      <c r="EG13" s="6">
        <f>[1]Sheet2!EH12</f>
        <v>0</v>
      </c>
      <c r="EH13" s="6">
        <f>[1]Sheet2!EI12</f>
        <v>0</v>
      </c>
      <c r="EI13" s="6">
        <f>[1]Sheet2!EJ12</f>
        <v>0</v>
      </c>
      <c r="EJ13" s="6">
        <f>[1]Sheet2!EK12</f>
        <v>0</v>
      </c>
      <c r="EK13" s="6">
        <f>[1]Sheet2!EL12</f>
        <v>0</v>
      </c>
      <c r="EL13" s="6" t="str">
        <f>[1]Sheet2!EM12</f>
        <v/>
      </c>
      <c r="EM13" s="6" t="str">
        <f>[1]Sheet2!EN12</f>
        <v/>
      </c>
      <c r="EN13" s="6" t="str">
        <f>[1]Sheet2!EO12</f>
        <v/>
      </c>
      <c r="EO13" s="6" t="str">
        <f>[1]Sheet2!EP12</f>
        <v/>
      </c>
      <c r="EP13" s="6" t="str">
        <f>[1]Sheet2!EQ12</f>
        <v/>
      </c>
      <c r="EQ13" s="6" t="str">
        <f>[1]Sheet2!ER12</f>
        <v/>
      </c>
      <c r="ER13" s="6" t="str">
        <f>[1]Sheet2!ES12</f>
        <v/>
      </c>
      <c r="ES13" s="6" t="str">
        <f>[1]Sheet2!ET12</f>
        <v/>
      </c>
      <c r="ET13" s="6" t="str">
        <f>[1]Sheet2!EU12</f>
        <v/>
      </c>
      <c r="EU13" s="6" t="str">
        <f>[1]Sheet2!EV12</f>
        <v/>
      </c>
      <c r="EV13" s="6" t="str">
        <f>[1]Sheet2!EW12</f>
        <v/>
      </c>
      <c r="EW13" s="6" t="str">
        <f>[1]Sheet2!EX12</f>
        <v/>
      </c>
      <c r="EX13" s="6" t="str">
        <f>[1]Sheet2!EY12</f>
        <v/>
      </c>
      <c r="EY13" s="6" t="str">
        <f>[1]Sheet2!EZ12</f>
        <v/>
      </c>
      <c r="EZ13" s="6" t="str">
        <f>[1]Sheet2!FA12</f>
        <v/>
      </c>
      <c r="FA13" s="6" t="str">
        <f>[1]Sheet2!FB12</f>
        <v/>
      </c>
      <c r="FB13" s="6" t="str">
        <f>[1]Sheet2!FC12</f>
        <v/>
      </c>
      <c r="FC13" s="6" t="str">
        <f>[1]Sheet2!FD12</f>
        <v/>
      </c>
      <c r="FD13" s="6" t="str">
        <f>[1]Sheet2!FE12</f>
        <v/>
      </c>
      <c r="FE13" s="6" t="str">
        <f>[1]Sheet2!FF12</f>
        <v/>
      </c>
      <c r="FF13" s="6" t="str">
        <f>[1]Sheet2!FG12</f>
        <v/>
      </c>
      <c r="FG13" s="6" t="str">
        <f>[1]Sheet2!FH12</f>
        <v/>
      </c>
      <c r="FH13" s="6" t="str">
        <f>[1]Sheet2!FI12</f>
        <v/>
      </c>
      <c r="FI13" s="6" t="str">
        <f>[1]Sheet2!FJ12</f>
        <v/>
      </c>
      <c r="FJ13" s="6" t="str">
        <f>[1]Sheet2!FK12</f>
        <v/>
      </c>
      <c r="FK13" s="6" t="str">
        <f>[1]Sheet2!FL12</f>
        <v/>
      </c>
      <c r="FL13" s="6" t="str">
        <f>[1]Sheet2!FM12</f>
        <v/>
      </c>
      <c r="FM13" s="6" t="str">
        <f>[1]Sheet2!FN12</f>
        <v/>
      </c>
      <c r="FN13" s="6" t="str">
        <f>[1]Sheet2!FO12</f>
        <v/>
      </c>
      <c r="FO13" s="6" t="str">
        <f>[1]Sheet2!FP12</f>
        <v/>
      </c>
    </row>
    <row r="14" spans="1:201 16384:16384" x14ac:dyDescent="0.25">
      <c r="A14" s="15">
        <v>43476</v>
      </c>
      <c r="B14" s="1"/>
      <c r="C14" s="1"/>
      <c r="D14" s="1"/>
      <c r="E14" s="14">
        <f>[1]Sheet2!N13</f>
        <v>0</v>
      </c>
      <c r="F14" s="14">
        <f>[1]Sheet2!BE13</f>
        <v>0</v>
      </c>
      <c r="G14" s="14">
        <f>[1]Sheet2!CW13</f>
        <v>0</v>
      </c>
      <c r="H14" s="1"/>
      <c r="I14" s="1"/>
      <c r="J14" s="1"/>
      <c r="K14" s="16"/>
      <c r="L14" s="16">
        <f>Demand_CWRS!B$3/31</f>
        <v>313.22137613730359</v>
      </c>
      <c r="M14" s="16">
        <f>Demand_CWRS!C$3/31</f>
        <v>241.71000827129859</v>
      </c>
      <c r="N14" s="16">
        <f>Demand_CWRS!D$3/31</f>
        <v>0</v>
      </c>
      <c r="O14" s="16">
        <f>Demand_CWRS!E$3/31</f>
        <v>98.872001654259719</v>
      </c>
      <c r="P14" s="16">
        <f>Demand_CWRS!F$3/31</f>
        <v>198.36900072373859</v>
      </c>
      <c r="Q14" s="16">
        <f>Demand_CWRS!G$3/31</f>
        <v>309.67741935483872</v>
      </c>
      <c r="R14" s="16">
        <f>Demand_CWRS!H$3/31</f>
        <v>241.71000827129859</v>
      </c>
      <c r="S14" s="16">
        <f>Demand_CWRS!I$3/31</f>
        <v>200</v>
      </c>
      <c r="T14" s="16">
        <f>Demand_CWRS!J$3/31</f>
        <v>209.67741935483872</v>
      </c>
      <c r="U14" s="16">
        <f>Demand_CWRS!K$3/31</f>
        <v>216.12903225806451</v>
      </c>
      <c r="V14" s="16">
        <f t="shared" si="6"/>
        <v>3554.5648624896639</v>
      </c>
      <c r="W14" s="16">
        <f t="shared" si="7"/>
        <v>2341.1899090157149</v>
      </c>
      <c r="X14" s="16">
        <f t="shared" si="8"/>
        <v>0</v>
      </c>
      <c r="Y14" s="16">
        <f t="shared" si="9"/>
        <v>7912.4079818031478</v>
      </c>
      <c r="Z14" s="16">
        <f t="shared" si="10"/>
        <v>2817.9409920388757</v>
      </c>
      <c r="AA14" s="16">
        <f t="shared" si="11"/>
        <v>4593.548387096771</v>
      </c>
      <c r="AB14" s="16">
        <f t="shared" si="12"/>
        <v>-2358.8100909842847</v>
      </c>
      <c r="AC14" s="16">
        <f t="shared" si="13"/>
        <v>2800</v>
      </c>
      <c r="AD14" s="16">
        <f t="shared" si="14"/>
        <v>2693.5483870967741</v>
      </c>
      <c r="AE14" s="16">
        <f t="shared" si="15"/>
        <v>2622.5806451612916</v>
      </c>
      <c r="AF14" s="14">
        <f>IF([1]Sheet2!AJ13=999999,"NA",[1]Sheet2!AJ13)</f>
        <v>11</v>
      </c>
      <c r="AG14" s="14">
        <f>IF([1]Sheet2!AK13=999999,"NA",[1]Sheet2!AK13)</f>
        <v>9</v>
      </c>
      <c r="AH14" s="14" t="str">
        <f>IF([1]Sheet2!AL13=999999,"NA",[1]Sheet2!AL13)</f>
        <v>NA</v>
      </c>
      <c r="AI14" s="14">
        <f>IF([1]Sheet2!AM13=999999,"NA",[1]Sheet2!AM13)</f>
        <v>66</v>
      </c>
      <c r="AJ14" s="14">
        <f>IF([1]Sheet2!AN13=999999,"NA",[1]Sheet2!AN13)</f>
        <v>14</v>
      </c>
      <c r="AK14" s="14">
        <f>IF([1]Sheet2!AO13=999999,"NA",[1]Sheet2!AO13)</f>
        <v>14</v>
      </c>
      <c r="AL14" s="14">
        <f>IF([1]Sheet2!AP13=999999,"NA",[1]Sheet2!AP13)</f>
        <v>0</v>
      </c>
      <c r="AM14" s="14">
        <f>IF([1]Sheet2!AQ13=999999,"NA",[1]Sheet2!AQ13)</f>
        <v>14</v>
      </c>
      <c r="AN14" s="14">
        <f>IF([1]Sheet2!AR13=999999,"NA",[1]Sheet2!AR13)</f>
        <v>12</v>
      </c>
      <c r="AO14" s="14">
        <f>IF([1]Sheet2!AS13=999999,"NA",[1]Sheet2!AS13)</f>
        <v>12</v>
      </c>
      <c r="AP14" s="14">
        <f>[1]Sheet2!P13</f>
        <v>0</v>
      </c>
      <c r="AQ14" s="14">
        <f>[1]Sheet2!Q13</f>
        <v>0</v>
      </c>
      <c r="AR14" s="14">
        <f>[1]Sheet2!R13</f>
        <v>0</v>
      </c>
      <c r="AS14" s="14">
        <f>[1]Sheet2!S13</f>
        <v>0</v>
      </c>
      <c r="AT14" s="14">
        <f>[1]Sheet2!T13</f>
        <v>0</v>
      </c>
      <c r="AU14" s="14">
        <f>[1]Sheet2!U13</f>
        <v>0</v>
      </c>
      <c r="AV14" s="14">
        <f>[1]Sheet2!V13</f>
        <v>0</v>
      </c>
      <c r="AW14" s="14">
        <f>[1]Sheet2!W13</f>
        <v>0</v>
      </c>
      <c r="AX14" s="14">
        <f>[1]Sheet2!X13</f>
        <v>0</v>
      </c>
      <c r="AY14" s="14">
        <f>[1]Sheet2!Y13</f>
        <v>0</v>
      </c>
      <c r="AZ14" s="16">
        <f>Demand_LP!B$3/31</f>
        <v>503.00172404880072</v>
      </c>
      <c r="BA14" s="16">
        <f>Demand_LP!C$3/31</f>
        <v>792.35864350703059</v>
      </c>
      <c r="BB14" s="16">
        <f>Demand_LP!D$3/31</f>
        <v>231.20967741935488</v>
      </c>
      <c r="BC14" s="16">
        <f>Demand_LP!E$3/31</f>
        <v>696.53949545078569</v>
      </c>
      <c r="BD14" s="16">
        <f>Demand_LP!F$3/31</f>
        <v>482.27093930934655</v>
      </c>
      <c r="BE14" s="16">
        <f>Demand_LP!G$3/31</f>
        <v>451.61290322580646</v>
      </c>
      <c r="BF14" s="16">
        <f>Demand_LP!H$3/31</f>
        <v>774.19354838709683</v>
      </c>
      <c r="BG14" s="16">
        <f>Demand_LP!I$3/31</f>
        <v>451.61290322580646</v>
      </c>
      <c r="BH14" s="16">
        <f>Demand_LP!J$3/31</f>
        <v>387.09677419354841</v>
      </c>
      <c r="BI14" s="16">
        <f>Demand_LP!K$3/31</f>
        <v>419.35483870967744</v>
      </c>
      <c r="BJ14" s="16">
        <f t="shared" si="16"/>
        <v>4466.9810354631918</v>
      </c>
      <c r="BK14" s="16">
        <f t="shared" si="17"/>
        <v>1284.0549214226667</v>
      </c>
      <c r="BL14" s="16">
        <f t="shared" si="18"/>
        <v>7456.6935483871002</v>
      </c>
      <c r="BM14" s="16">
        <f t="shared" si="19"/>
        <v>2338.0655500413568</v>
      </c>
      <c r="BN14" s="16">
        <f t="shared" si="20"/>
        <v>4695.0196675971893</v>
      </c>
      <c r="BO14" s="16">
        <f t="shared" si="21"/>
        <v>5032.2580645161252</v>
      </c>
      <c r="BP14" s="16">
        <f t="shared" si="22"/>
        <v>7483.8709677419374</v>
      </c>
      <c r="BQ14" s="16">
        <f t="shared" si="23"/>
        <v>5032.2580645161252</v>
      </c>
      <c r="BR14" s="16">
        <f t="shared" si="24"/>
        <v>5741.9354838709651</v>
      </c>
      <c r="BS14" s="16">
        <f t="shared" si="25"/>
        <v>5387.0967741935483</v>
      </c>
      <c r="BT14" s="14">
        <f>IF([1]Sheet2!CB13=999999,"NA",[1]Sheet2!CB13)</f>
        <v>8</v>
      </c>
      <c r="BU14" s="14">
        <f>IF([1]Sheet2!CC13=999999,"NA",[1]Sheet2!CC13)</f>
        <v>1</v>
      </c>
      <c r="BV14" s="14">
        <f>IF([1]Sheet2!CD13=999999,"NA",[1]Sheet2!CD13)</f>
        <v>30</v>
      </c>
      <c r="BW14" s="14">
        <f>IF([1]Sheet2!CE13=999999,"NA",[1]Sheet2!CE13)</f>
        <v>3</v>
      </c>
      <c r="BX14" s="14">
        <f>IF([1]Sheet2!CF13=999999,"NA",[1]Sheet2!CF13)</f>
        <v>9</v>
      </c>
      <c r="BY14" s="14">
        <f>IF([1]Sheet2!CG13=999999,"NA",[1]Sheet2!CG13)</f>
        <v>11</v>
      </c>
      <c r="BZ14" s="14">
        <f>IF([1]Sheet2!CH13=999999,"NA",[1]Sheet2!CH13)</f>
        <v>9</v>
      </c>
      <c r="CA14" s="14">
        <f>IF([1]Sheet2!CI13=999999,"NA",[1]Sheet2!CI13)</f>
        <v>11</v>
      </c>
      <c r="CB14" s="14">
        <f>IF([1]Sheet2!CJ13=999999,"NA",[1]Sheet2!CJ13)</f>
        <v>14</v>
      </c>
      <c r="CC14" s="14">
        <f>IF([1]Sheet2!CK13=999999,"NA",[1]Sheet2!CK13)</f>
        <v>12</v>
      </c>
      <c r="CD14" s="14">
        <f>[1]Sheet2!BH13</f>
        <v>0</v>
      </c>
      <c r="CE14" s="14">
        <f>[1]Sheet2!BI13</f>
        <v>0</v>
      </c>
      <c r="CF14" s="14">
        <f>[1]Sheet2!BJ13</f>
        <v>0</v>
      </c>
      <c r="CG14" s="14">
        <f>[1]Sheet2!BK13</f>
        <v>0</v>
      </c>
      <c r="CH14" s="14">
        <f>[1]Sheet2!BL13</f>
        <v>0</v>
      </c>
      <c r="CI14" s="14">
        <f>[1]Sheet2!BM13</f>
        <v>0</v>
      </c>
      <c r="CJ14" s="14">
        <f>[1]Sheet2!BN13</f>
        <v>0</v>
      </c>
      <c r="CK14" s="14">
        <f>[1]Sheet2!BO13</f>
        <v>0</v>
      </c>
      <c r="CL14" s="14">
        <f>[1]Sheet2!BP13</f>
        <v>0</v>
      </c>
      <c r="CM14" s="14">
        <f>[1]Sheet2!BQ13</f>
        <v>0</v>
      </c>
      <c r="CN14" s="16">
        <f>Demand_SW!B$3/31</f>
        <v>139.57816377171216</v>
      </c>
      <c r="CO14" s="16">
        <f>Demand_SW!C$3/31</f>
        <v>0</v>
      </c>
      <c r="CP14" s="16">
        <f>Demand_SW!D$3/31</f>
        <v>0</v>
      </c>
      <c r="CQ14" s="16">
        <f>Demand_SW!E$3/31</f>
        <v>0</v>
      </c>
      <c r="CR14" s="16">
        <f>Demand_SW!F$3/31</f>
        <v>0</v>
      </c>
      <c r="CS14" s="16">
        <f>Demand_SW!G$3/31</f>
        <v>132.25806451612902</v>
      </c>
      <c r="CT14" s="16">
        <f>Demand_SW!H$3/31</f>
        <v>0</v>
      </c>
      <c r="CU14" s="16">
        <f>Demand_SW!I$3/31</f>
        <v>0</v>
      </c>
      <c r="CV14" s="16">
        <f>Demand_SW!J$3/31</f>
        <v>0</v>
      </c>
      <c r="CW14" s="16">
        <f>Demand_SW!K$3/31</f>
        <v>0</v>
      </c>
      <c r="CX14" s="16">
        <f t="shared" si="26"/>
        <v>3464.6401985111675</v>
      </c>
      <c r="CY14" s="16">
        <f t="shared" si="27"/>
        <v>1000</v>
      </c>
      <c r="CZ14" s="16">
        <f t="shared" si="28"/>
        <v>0</v>
      </c>
      <c r="DA14" s="16">
        <f t="shared" si="29"/>
        <v>0</v>
      </c>
      <c r="DB14" s="16">
        <f t="shared" si="30"/>
        <v>0</v>
      </c>
      <c r="DC14" s="16">
        <f t="shared" si="31"/>
        <v>3545.1612903225832</v>
      </c>
      <c r="DD14" s="16">
        <f t="shared" si="32"/>
        <v>1000</v>
      </c>
      <c r="DE14" s="16">
        <f t="shared" si="33"/>
        <v>0</v>
      </c>
      <c r="DF14" s="16">
        <f t="shared" si="34"/>
        <v>0</v>
      </c>
      <c r="DG14" s="16">
        <f t="shared" si="35"/>
        <v>0</v>
      </c>
      <c r="DH14" s="14">
        <f>IF([1]Sheet2!DS13=999999,"NA",[1]Sheet2!DS13)</f>
        <v>27</v>
      </c>
      <c r="DI14" s="14">
        <f>IF([1]Sheet2!DT13=999999,"NA",[1]Sheet2!DT13)</f>
        <v>354</v>
      </c>
      <c r="DJ14" s="14" t="str">
        <f>IF([1]Sheet2!DU13=999999,"NA",[1]Sheet2!DU13)</f>
        <v>NA</v>
      </c>
      <c r="DK14" s="14" t="str">
        <f>IF([1]Sheet2!DV13=999999,"NA",[1]Sheet2!DV13)</f>
        <v>NA</v>
      </c>
      <c r="DL14" s="14" t="str">
        <f>IF([1]Sheet2!DW13=999999,"NA",[1]Sheet2!DW13)</f>
        <v>NA</v>
      </c>
      <c r="DM14" s="14">
        <f>IF([1]Sheet2!DX13=999999,"NA",[1]Sheet2!DX13)</f>
        <v>30</v>
      </c>
      <c r="DN14" s="14">
        <f>IF([1]Sheet2!DY13=999999,"NA",[1]Sheet2!DY13)</f>
        <v>354</v>
      </c>
      <c r="DO14" s="14" t="str">
        <f>IF([1]Sheet2!DZ13=999999,"NA",[1]Sheet2!DZ13)</f>
        <v>NA</v>
      </c>
      <c r="DP14" s="14" t="str">
        <f>IF([1]Sheet2!EA13=999999,"NA",[1]Sheet2!EA13)</f>
        <v>NA</v>
      </c>
      <c r="DQ14" s="14" t="str">
        <f>IF([1]Sheet2!EB13=999999,"NA",[1]Sheet2!EB13)</f>
        <v>NA</v>
      </c>
      <c r="DR14" s="14">
        <f>[1]Sheet2!CY13</f>
        <v>0</v>
      </c>
      <c r="DS14" s="14">
        <f>[1]Sheet2!CZ13</f>
        <v>0</v>
      </c>
      <c r="DT14" s="14">
        <f>[1]Sheet2!DA13</f>
        <v>0</v>
      </c>
      <c r="DU14" s="14">
        <f>[1]Sheet2!DB13</f>
        <v>0</v>
      </c>
      <c r="DV14" s="14">
        <f>[1]Sheet2!DC13</f>
        <v>0</v>
      </c>
      <c r="DW14" s="14">
        <f>[1]Sheet2!DD13</f>
        <v>0</v>
      </c>
      <c r="DX14" s="14">
        <f>[1]Sheet2!DE13</f>
        <v>0</v>
      </c>
      <c r="DY14" s="14">
        <f>[1]Sheet2!DF13</f>
        <v>0</v>
      </c>
      <c r="DZ14" s="14">
        <f>[1]Sheet2!DG13</f>
        <v>0</v>
      </c>
      <c r="EA14" s="14">
        <f>[1]Sheet2!DH13</f>
        <v>0</v>
      </c>
      <c r="EB14" s="6">
        <f>[1]Sheet2!EC13</f>
        <v>0</v>
      </c>
      <c r="EC14" s="6">
        <f>[1]Sheet2!ED13</f>
        <v>0</v>
      </c>
      <c r="ED14" s="6">
        <f>[1]Sheet2!EE13</f>
        <v>0</v>
      </c>
      <c r="EE14" s="6">
        <f>[1]Sheet2!EF13</f>
        <v>0</v>
      </c>
      <c r="EF14" s="6">
        <f>[1]Sheet2!EG13</f>
        <v>0</v>
      </c>
      <c r="EG14" s="6">
        <f>[1]Sheet2!EH13</f>
        <v>0</v>
      </c>
      <c r="EH14" s="6">
        <f>[1]Sheet2!EI13</f>
        <v>0</v>
      </c>
      <c r="EI14" s="6">
        <f>[1]Sheet2!EJ13</f>
        <v>0</v>
      </c>
      <c r="EJ14" s="6">
        <f>[1]Sheet2!EK13</f>
        <v>0</v>
      </c>
      <c r="EK14" s="6">
        <f>[1]Sheet2!EL13</f>
        <v>0</v>
      </c>
      <c r="EL14" s="6" t="str">
        <f>[1]Sheet2!EM13</f>
        <v/>
      </c>
      <c r="EM14" s="6" t="str">
        <f>[1]Sheet2!EN13</f>
        <v/>
      </c>
      <c r="EN14" s="6" t="str">
        <f>[1]Sheet2!EO13</f>
        <v/>
      </c>
      <c r="EO14" s="6" t="str">
        <f>[1]Sheet2!EP13</f>
        <v/>
      </c>
      <c r="EP14" s="6" t="str">
        <f>[1]Sheet2!EQ13</f>
        <v/>
      </c>
      <c r="EQ14" s="6" t="str">
        <f>[1]Sheet2!ER13</f>
        <v/>
      </c>
      <c r="ER14" s="6" t="str">
        <f>[1]Sheet2!ES13</f>
        <v/>
      </c>
      <c r="ES14" s="6" t="str">
        <f>[1]Sheet2!ET13</f>
        <v/>
      </c>
      <c r="ET14" s="6" t="str">
        <f>[1]Sheet2!EU13</f>
        <v/>
      </c>
      <c r="EU14" s="6" t="str">
        <f>[1]Sheet2!EV13</f>
        <v/>
      </c>
      <c r="EV14" s="6" t="str">
        <f>[1]Sheet2!EW13</f>
        <v/>
      </c>
      <c r="EW14" s="6" t="str">
        <f>[1]Sheet2!EX13</f>
        <v/>
      </c>
      <c r="EX14" s="6" t="str">
        <f>[1]Sheet2!EY13</f>
        <v/>
      </c>
      <c r="EY14" s="6" t="str">
        <f>[1]Sheet2!EZ13</f>
        <v/>
      </c>
      <c r="EZ14" s="6" t="str">
        <f>[1]Sheet2!FA13</f>
        <v/>
      </c>
      <c r="FA14" s="6" t="str">
        <f>[1]Sheet2!FB13</f>
        <v/>
      </c>
      <c r="FB14" s="6" t="str">
        <f>[1]Sheet2!FC13</f>
        <v/>
      </c>
      <c r="FC14" s="6" t="str">
        <f>[1]Sheet2!FD13</f>
        <v/>
      </c>
      <c r="FD14" s="6" t="str">
        <f>[1]Sheet2!FE13</f>
        <v/>
      </c>
      <c r="FE14" s="6" t="str">
        <f>[1]Sheet2!FF13</f>
        <v/>
      </c>
      <c r="FF14" s="6" t="str">
        <f>[1]Sheet2!FG13</f>
        <v/>
      </c>
      <c r="FG14" s="6" t="str">
        <f>[1]Sheet2!FH13</f>
        <v/>
      </c>
      <c r="FH14" s="6" t="str">
        <f>[1]Sheet2!FI13</f>
        <v/>
      </c>
      <c r="FI14" s="6" t="str">
        <f>[1]Sheet2!FJ13</f>
        <v/>
      </c>
      <c r="FJ14" s="6" t="str">
        <f>[1]Sheet2!FK13</f>
        <v/>
      </c>
      <c r="FK14" s="6" t="str">
        <f>[1]Sheet2!FL13</f>
        <v/>
      </c>
      <c r="FL14" s="6" t="str">
        <f>[1]Sheet2!FM13</f>
        <v/>
      </c>
      <c r="FM14" s="6" t="str">
        <f>[1]Sheet2!FN13</f>
        <v/>
      </c>
      <c r="FN14" s="6" t="str">
        <f>[1]Sheet2!FO13</f>
        <v/>
      </c>
      <c r="FO14" s="6" t="str">
        <f>[1]Sheet2!FP13</f>
        <v/>
      </c>
    </row>
    <row r="15" spans="1:201 16384:16384" x14ac:dyDescent="0.25">
      <c r="A15" s="15">
        <v>43477</v>
      </c>
      <c r="B15" s="1"/>
      <c r="C15" s="1"/>
      <c r="D15" s="1"/>
      <c r="E15" s="14">
        <f>[1]Sheet2!N14</f>
        <v>0</v>
      </c>
      <c r="F15" s="14">
        <f>[1]Sheet2!BE14</f>
        <v>0</v>
      </c>
      <c r="G15" s="14">
        <f>[1]Sheet2!CW14</f>
        <v>0</v>
      </c>
      <c r="H15" s="1"/>
      <c r="I15" s="1"/>
      <c r="J15" s="1"/>
      <c r="K15" s="16"/>
      <c r="L15" s="16">
        <f>Demand_CWRS!B$3/31</f>
        <v>313.22137613730359</v>
      </c>
      <c r="M15" s="16">
        <f>Demand_CWRS!C$3/31</f>
        <v>241.71000827129859</v>
      </c>
      <c r="N15" s="16">
        <f>Demand_CWRS!D$3/31</f>
        <v>0</v>
      </c>
      <c r="O15" s="16">
        <f>Demand_CWRS!E$3/31</f>
        <v>98.872001654259719</v>
      </c>
      <c r="P15" s="16">
        <f>Demand_CWRS!F$3/31</f>
        <v>198.36900072373859</v>
      </c>
      <c r="Q15" s="16">
        <f>Demand_CWRS!G$3/31</f>
        <v>309.67741935483872</v>
      </c>
      <c r="R15" s="16">
        <f>Demand_CWRS!H$3/31</f>
        <v>241.71000827129859</v>
      </c>
      <c r="S15" s="16">
        <f>Demand_CWRS!I$3/31</f>
        <v>200</v>
      </c>
      <c r="T15" s="16">
        <f>Demand_CWRS!J$3/31</f>
        <v>209.67741935483872</v>
      </c>
      <c r="U15" s="16">
        <f>Demand_CWRS!K$3/31</f>
        <v>216.12903225806451</v>
      </c>
      <c r="V15" s="16">
        <f t="shared" si="6"/>
        <v>3241.3434863523603</v>
      </c>
      <c r="W15" s="16">
        <f t="shared" si="7"/>
        <v>2099.4799007444162</v>
      </c>
      <c r="X15" s="16">
        <f t="shared" si="8"/>
        <v>0</v>
      </c>
      <c r="Y15" s="16">
        <f t="shared" si="9"/>
        <v>7813.5359801488885</v>
      </c>
      <c r="Z15" s="16">
        <f t="shared" si="10"/>
        <v>2619.571991315137</v>
      </c>
      <c r="AA15" s="16">
        <f t="shared" si="11"/>
        <v>4283.870967741932</v>
      </c>
      <c r="AB15" s="16">
        <f t="shared" si="12"/>
        <v>-2600.5200992555833</v>
      </c>
      <c r="AC15" s="16">
        <f t="shared" si="13"/>
        <v>2600</v>
      </c>
      <c r="AD15" s="16">
        <f t="shared" si="14"/>
        <v>2483.8709677419356</v>
      </c>
      <c r="AE15" s="16">
        <f t="shared" si="15"/>
        <v>2406.4516129032272</v>
      </c>
      <c r="AF15" s="14">
        <f>IF([1]Sheet2!AJ14=999999,"NA",[1]Sheet2!AJ14)</f>
        <v>10</v>
      </c>
      <c r="AG15" s="14">
        <f>IF([1]Sheet2!AK14=999999,"NA",[1]Sheet2!AK14)</f>
        <v>8</v>
      </c>
      <c r="AH15" s="14" t="str">
        <f>IF([1]Sheet2!AL14=999999,"NA",[1]Sheet2!AL14)</f>
        <v>NA</v>
      </c>
      <c r="AI15" s="14">
        <f>IF([1]Sheet2!AM14=999999,"NA",[1]Sheet2!AM14)</f>
        <v>65</v>
      </c>
      <c r="AJ15" s="14">
        <f>IF([1]Sheet2!AN14=999999,"NA",[1]Sheet2!AN14)</f>
        <v>13</v>
      </c>
      <c r="AK15" s="14">
        <f>IF([1]Sheet2!AO14=999999,"NA",[1]Sheet2!AO14)</f>
        <v>13</v>
      </c>
      <c r="AL15" s="14">
        <f>IF([1]Sheet2!AP14=999999,"NA",[1]Sheet2!AP14)</f>
        <v>0</v>
      </c>
      <c r="AM15" s="14">
        <f>IF([1]Sheet2!AQ14=999999,"NA",[1]Sheet2!AQ14)</f>
        <v>13</v>
      </c>
      <c r="AN15" s="14">
        <f>IF([1]Sheet2!AR14=999999,"NA",[1]Sheet2!AR14)</f>
        <v>11</v>
      </c>
      <c r="AO15" s="14">
        <f>IF([1]Sheet2!AS14=999999,"NA",[1]Sheet2!AS14)</f>
        <v>11</v>
      </c>
      <c r="AP15" s="14">
        <f>[1]Sheet2!P14</f>
        <v>0</v>
      </c>
      <c r="AQ15" s="14">
        <f>[1]Sheet2!Q14</f>
        <v>0</v>
      </c>
      <c r="AR15" s="14">
        <f>[1]Sheet2!R14</f>
        <v>0</v>
      </c>
      <c r="AS15" s="14">
        <v>0</v>
      </c>
      <c r="AT15" s="25">
        <f>[1]Sheet2!T14</f>
        <v>0</v>
      </c>
      <c r="AU15" s="14">
        <f>[1]Sheet2!U14</f>
        <v>0</v>
      </c>
      <c r="AV15" s="14">
        <f>[1]Sheet2!V14</f>
        <v>0</v>
      </c>
      <c r="AW15" s="14">
        <f>[1]Sheet2!W14</f>
        <v>0</v>
      </c>
      <c r="AX15" s="14">
        <f>[1]Sheet2!X14</f>
        <v>0</v>
      </c>
      <c r="AY15" s="14">
        <f>[1]Sheet2!Y14</f>
        <v>0</v>
      </c>
      <c r="AZ15" s="16">
        <f>Demand_LP!B$3/31</f>
        <v>503.00172404880072</v>
      </c>
      <c r="BA15" s="16">
        <f>Demand_LP!C$3/31</f>
        <v>792.35864350703059</v>
      </c>
      <c r="BB15" s="16">
        <f>Demand_LP!D$3/31</f>
        <v>231.20967741935488</v>
      </c>
      <c r="BC15" s="16">
        <f>Demand_LP!E$3/31</f>
        <v>696.53949545078569</v>
      </c>
      <c r="BD15" s="16">
        <f>Demand_LP!F$3/31</f>
        <v>482.27093930934655</v>
      </c>
      <c r="BE15" s="16">
        <f>Demand_LP!G$3/31</f>
        <v>451.61290322580646</v>
      </c>
      <c r="BF15" s="16">
        <f>Demand_LP!H$3/31</f>
        <v>774.19354838709683</v>
      </c>
      <c r="BG15" s="16">
        <f>Demand_LP!I$3/31</f>
        <v>451.61290322580646</v>
      </c>
      <c r="BH15" s="16">
        <f>Demand_LP!J$3/31</f>
        <v>387.09677419354841</v>
      </c>
      <c r="BI15" s="16">
        <f>Demand_LP!K$3/31</f>
        <v>419.35483870967744</v>
      </c>
      <c r="BJ15" s="16">
        <f t="shared" si="16"/>
        <v>3963.9793114143913</v>
      </c>
      <c r="BK15" s="16">
        <f t="shared" si="17"/>
        <v>491.69627791563607</v>
      </c>
      <c r="BL15" s="16">
        <f t="shared" si="18"/>
        <v>7225.4838709677451</v>
      </c>
      <c r="BM15" s="16">
        <f t="shared" si="19"/>
        <v>1641.5260545905712</v>
      </c>
      <c r="BN15" s="16">
        <f t="shared" si="20"/>
        <v>4212.7487282878428</v>
      </c>
      <c r="BO15" s="16">
        <f t="shared" si="21"/>
        <v>4580.6451612903184</v>
      </c>
      <c r="BP15" s="16">
        <f t="shared" si="22"/>
        <v>6709.6774193548408</v>
      </c>
      <c r="BQ15" s="16">
        <f t="shared" si="23"/>
        <v>4580.6451612903184</v>
      </c>
      <c r="BR15" s="16">
        <f t="shared" si="24"/>
        <v>5354.8387096774168</v>
      </c>
      <c r="BS15" s="16">
        <f t="shared" si="25"/>
        <v>4967.7419354838712</v>
      </c>
      <c r="BT15" s="14">
        <f>IF([1]Sheet2!CB14=999999,"NA",[1]Sheet2!CB14)</f>
        <v>7</v>
      </c>
      <c r="BU15" s="14">
        <f>IF([1]Sheet2!CC14=999999,"NA",[1]Sheet2!CC14)</f>
        <v>0</v>
      </c>
      <c r="BV15" s="14">
        <f>IF([1]Sheet2!CD14=999999,"NA",[1]Sheet2!CD14)</f>
        <v>29</v>
      </c>
      <c r="BW15" s="14">
        <f>IF([1]Sheet2!CE14=999999,"NA",[1]Sheet2!CE14)</f>
        <v>2</v>
      </c>
      <c r="BX15" s="14">
        <f>IF([1]Sheet2!CF14=999999,"NA",[1]Sheet2!CF14)</f>
        <v>8</v>
      </c>
      <c r="BY15" s="14">
        <f>IF([1]Sheet2!CG14=999999,"NA",[1]Sheet2!CG14)</f>
        <v>10</v>
      </c>
      <c r="BZ15" s="14">
        <f>IF([1]Sheet2!CH14=999999,"NA",[1]Sheet2!CH14)</f>
        <v>8</v>
      </c>
      <c r="CA15" s="14">
        <f>IF([1]Sheet2!CI14=999999,"NA",[1]Sheet2!CI14)</f>
        <v>10</v>
      </c>
      <c r="CB15" s="14">
        <f>IF([1]Sheet2!CJ14=999999,"NA",[1]Sheet2!CJ14)</f>
        <v>13</v>
      </c>
      <c r="CC15" s="14">
        <f>IF([1]Sheet2!CK14=999999,"NA",[1]Sheet2!CK14)</f>
        <v>11</v>
      </c>
      <c r="CD15" s="14">
        <f>[1]Sheet2!BH14</f>
        <v>0</v>
      </c>
      <c r="CE15" s="14">
        <f>[1]Sheet2!BI14</f>
        <v>0</v>
      </c>
      <c r="CF15" s="14">
        <f>[1]Sheet2!BJ14</f>
        <v>0</v>
      </c>
      <c r="CG15" s="14">
        <f>[1]Sheet2!BK14</f>
        <v>0</v>
      </c>
      <c r="CH15" s="20">
        <f>[1]Sheet2!BL14</f>
        <v>0</v>
      </c>
      <c r="CI15" s="14">
        <f>[1]Sheet2!BM14</f>
        <v>0</v>
      </c>
      <c r="CJ15" s="14">
        <f>[1]Sheet2!BN14</f>
        <v>0</v>
      </c>
      <c r="CK15" s="14">
        <f>[1]Sheet2!BO14</f>
        <v>0</v>
      </c>
      <c r="CL15" s="14">
        <f>[1]Sheet2!BP14</f>
        <v>0</v>
      </c>
      <c r="CM15" s="14">
        <f>[1]Sheet2!BQ14</f>
        <v>0</v>
      </c>
      <c r="CN15" s="16">
        <f>Demand_SW!B$3/31</f>
        <v>139.57816377171216</v>
      </c>
      <c r="CO15" s="16">
        <f>Demand_SW!C$3/31</f>
        <v>0</v>
      </c>
      <c r="CP15" s="16">
        <f>Demand_SW!D$3/31</f>
        <v>0</v>
      </c>
      <c r="CQ15" s="16">
        <f>Demand_SW!E$3/31</f>
        <v>0</v>
      </c>
      <c r="CR15" s="16">
        <f>Demand_SW!F$3/31</f>
        <v>0</v>
      </c>
      <c r="CS15" s="16">
        <f>Demand_SW!G$3/31</f>
        <v>132.25806451612902</v>
      </c>
      <c r="CT15" s="16">
        <f>Demand_SW!H$3/31</f>
        <v>0</v>
      </c>
      <c r="CU15" s="16">
        <f>Demand_SW!I$3/31</f>
        <v>0</v>
      </c>
      <c r="CV15" s="16">
        <f>Demand_SW!J$3/31</f>
        <v>0</v>
      </c>
      <c r="CW15" s="16">
        <f>Demand_SW!K$3/31</f>
        <v>0</v>
      </c>
      <c r="CX15" s="16">
        <f t="shared" si="26"/>
        <v>3325.0620347394552</v>
      </c>
      <c r="CY15" s="16">
        <f t="shared" si="27"/>
        <v>1000</v>
      </c>
      <c r="CZ15" s="16">
        <f t="shared" si="28"/>
        <v>0</v>
      </c>
      <c r="DA15" s="16">
        <f t="shared" si="29"/>
        <v>0</v>
      </c>
      <c r="DB15" s="16">
        <f t="shared" si="30"/>
        <v>0</v>
      </c>
      <c r="DC15" s="16">
        <f t="shared" si="31"/>
        <v>3412.9032258064544</v>
      </c>
      <c r="DD15" s="16">
        <f t="shared" si="32"/>
        <v>1000</v>
      </c>
      <c r="DE15" s="16">
        <f t="shared" si="33"/>
        <v>0</v>
      </c>
      <c r="DF15" s="16">
        <f t="shared" si="34"/>
        <v>0</v>
      </c>
      <c r="DG15" s="16">
        <f t="shared" si="35"/>
        <v>0</v>
      </c>
      <c r="DH15" s="14">
        <f>IF([1]Sheet2!DS14=999999,"NA",[1]Sheet2!DS14)</f>
        <v>26</v>
      </c>
      <c r="DI15" s="14">
        <f>IF([1]Sheet2!DT14=999999,"NA",[1]Sheet2!DT14)</f>
        <v>353</v>
      </c>
      <c r="DJ15" s="14" t="str">
        <f>IF([1]Sheet2!DU14=999999,"NA",[1]Sheet2!DU14)</f>
        <v>NA</v>
      </c>
      <c r="DK15" s="14" t="str">
        <f>IF([1]Sheet2!DV14=999999,"NA",[1]Sheet2!DV14)</f>
        <v>NA</v>
      </c>
      <c r="DL15" s="14" t="str">
        <f>IF([1]Sheet2!DW14=999999,"NA",[1]Sheet2!DW14)</f>
        <v>NA</v>
      </c>
      <c r="DM15" s="14">
        <f>IF([1]Sheet2!DX14=999999,"NA",[1]Sheet2!DX14)</f>
        <v>29</v>
      </c>
      <c r="DN15" s="14">
        <f>IF([1]Sheet2!DY14=999999,"NA",[1]Sheet2!DY14)</f>
        <v>353</v>
      </c>
      <c r="DO15" s="14" t="str">
        <f>IF([1]Sheet2!DZ14=999999,"NA",[1]Sheet2!DZ14)</f>
        <v>NA</v>
      </c>
      <c r="DP15" s="14" t="str">
        <f>IF([1]Sheet2!EA14=999999,"NA",[1]Sheet2!EA14)</f>
        <v>NA</v>
      </c>
      <c r="DQ15" s="14" t="str">
        <f>IF([1]Sheet2!EB14=999999,"NA",[1]Sheet2!EB14)</f>
        <v>NA</v>
      </c>
      <c r="DR15" s="14">
        <f>[1]Sheet2!CY14</f>
        <v>0</v>
      </c>
      <c r="DS15" s="14">
        <f>[1]Sheet2!CZ14</f>
        <v>0</v>
      </c>
      <c r="DT15" s="14">
        <f>[1]Sheet2!DA14</f>
        <v>0</v>
      </c>
      <c r="DU15" s="14">
        <f>[1]Sheet2!DB14</f>
        <v>0</v>
      </c>
      <c r="DV15" s="14">
        <f>[1]Sheet2!DC14</f>
        <v>0</v>
      </c>
      <c r="DW15" s="14">
        <f>[1]Sheet2!DD14</f>
        <v>0</v>
      </c>
      <c r="DX15" s="14">
        <f>[1]Sheet2!DE14</f>
        <v>0</v>
      </c>
      <c r="DY15" s="14">
        <f>[1]Sheet2!DF14</f>
        <v>0</v>
      </c>
      <c r="DZ15" s="14">
        <f>[1]Sheet2!DG14</f>
        <v>0</v>
      </c>
      <c r="EA15" s="14">
        <f>[1]Sheet2!DH14</f>
        <v>0</v>
      </c>
      <c r="EB15" s="6">
        <f>[1]Sheet2!EC14</f>
        <v>0</v>
      </c>
      <c r="EC15" s="6">
        <f>[1]Sheet2!ED14</f>
        <v>0</v>
      </c>
      <c r="ED15" s="6">
        <f>[1]Sheet2!EE14</f>
        <v>0</v>
      </c>
      <c r="EE15" s="6">
        <f>[1]Sheet2!EF14</f>
        <v>0</v>
      </c>
      <c r="EF15" s="6">
        <f>[1]Sheet2!EG14</f>
        <v>0</v>
      </c>
      <c r="EG15" s="6">
        <f>[1]Sheet2!EH14</f>
        <v>0</v>
      </c>
      <c r="EH15" s="6">
        <f>[1]Sheet2!EI14</f>
        <v>0</v>
      </c>
      <c r="EI15" s="6">
        <f>[1]Sheet2!EJ14</f>
        <v>0</v>
      </c>
      <c r="EJ15" s="6">
        <f>[1]Sheet2!EK14</f>
        <v>0</v>
      </c>
      <c r="EK15" s="6">
        <f>[1]Sheet2!EL14</f>
        <v>0</v>
      </c>
      <c r="EL15" s="6" t="str">
        <f>[1]Sheet2!EM14</f>
        <v/>
      </c>
      <c r="EM15" s="6" t="str">
        <f>[1]Sheet2!EN14</f>
        <v/>
      </c>
      <c r="EN15" s="6" t="str">
        <f>[1]Sheet2!EO14</f>
        <v/>
      </c>
      <c r="EO15" s="6" t="str">
        <f>[1]Sheet2!EP14</f>
        <v/>
      </c>
      <c r="EP15" s="6" t="str">
        <f>[1]Sheet2!EQ14</f>
        <v/>
      </c>
      <c r="EQ15" s="6" t="str">
        <f>[1]Sheet2!ER14</f>
        <v/>
      </c>
      <c r="ER15" s="6" t="str">
        <f>[1]Sheet2!ES14</f>
        <v/>
      </c>
      <c r="ES15" s="6" t="str">
        <f>[1]Sheet2!ET14</f>
        <v/>
      </c>
      <c r="ET15" s="6" t="str">
        <f>[1]Sheet2!EU14</f>
        <v/>
      </c>
      <c r="EU15" s="6" t="str">
        <f>[1]Sheet2!EV14</f>
        <v/>
      </c>
      <c r="EV15" s="6" t="str">
        <f>[1]Sheet2!EW14</f>
        <v/>
      </c>
      <c r="EW15" s="6" t="str">
        <f>[1]Sheet2!EX14</f>
        <v/>
      </c>
      <c r="EX15" s="6" t="str">
        <f>[1]Sheet2!EY14</f>
        <v/>
      </c>
      <c r="EY15" s="6" t="str">
        <f>[1]Sheet2!EZ14</f>
        <v/>
      </c>
      <c r="EZ15" s="6" t="str">
        <f>[1]Sheet2!FA14</f>
        <v/>
      </c>
      <c r="FA15" s="6" t="str">
        <f>[1]Sheet2!FB14</f>
        <v/>
      </c>
      <c r="FB15" s="6" t="str">
        <f>[1]Sheet2!FC14</f>
        <v/>
      </c>
      <c r="FC15" s="6" t="str">
        <f>[1]Sheet2!FD14</f>
        <v/>
      </c>
      <c r="FD15" s="6" t="str">
        <f>[1]Sheet2!FE14</f>
        <v/>
      </c>
      <c r="FE15" s="6" t="str">
        <f>[1]Sheet2!FF14</f>
        <v/>
      </c>
      <c r="FF15" s="6" t="str">
        <f>[1]Sheet2!FG14</f>
        <v/>
      </c>
      <c r="FG15" s="6" t="str">
        <f>[1]Sheet2!FH14</f>
        <v/>
      </c>
      <c r="FH15" s="6" t="str">
        <f>[1]Sheet2!FI14</f>
        <v/>
      </c>
      <c r="FI15" s="6" t="str">
        <f>[1]Sheet2!FJ14</f>
        <v/>
      </c>
      <c r="FJ15" s="6" t="str">
        <f>[1]Sheet2!FK14</f>
        <v/>
      </c>
      <c r="FK15" s="6" t="str">
        <f>[1]Sheet2!FL14</f>
        <v/>
      </c>
      <c r="FL15" s="6" t="str">
        <f>[1]Sheet2!FM14</f>
        <v/>
      </c>
      <c r="FM15" s="6" t="str">
        <f>[1]Sheet2!FN14</f>
        <v/>
      </c>
      <c r="FN15" s="6" t="str">
        <f>[1]Sheet2!FO14</f>
        <v/>
      </c>
      <c r="FO15" s="6" t="str">
        <f>[1]Sheet2!FP14</f>
        <v/>
      </c>
    </row>
    <row r="16" spans="1:201 16384:16384" x14ac:dyDescent="0.25">
      <c r="A16" s="15">
        <v>43478</v>
      </c>
      <c r="B16" s="1"/>
      <c r="C16" s="1"/>
      <c r="D16" s="1"/>
      <c r="E16" s="14">
        <f>[1]Sheet2!N15</f>
        <v>0</v>
      </c>
      <c r="F16" s="14">
        <f>[1]Sheet2!BE15</f>
        <v>0</v>
      </c>
      <c r="G16" s="14">
        <f>[1]Sheet2!CW15</f>
        <v>0</v>
      </c>
      <c r="H16" s="1"/>
      <c r="I16" s="1"/>
      <c r="J16" s="1"/>
      <c r="K16" s="16"/>
      <c r="L16" s="16">
        <f>Demand_CWRS!B$3/31</f>
        <v>313.22137613730359</v>
      </c>
      <c r="M16" s="16">
        <f>Demand_CWRS!C$3/31</f>
        <v>241.71000827129859</v>
      </c>
      <c r="N16" s="16">
        <f>Demand_CWRS!D$3/31</f>
        <v>0</v>
      </c>
      <c r="O16" s="16">
        <f>Demand_CWRS!E$3/31</f>
        <v>98.872001654259719</v>
      </c>
      <c r="P16" s="16">
        <f>Demand_CWRS!F$3/31</f>
        <v>198.36900072373859</v>
      </c>
      <c r="Q16" s="16">
        <f>Demand_CWRS!G$3/31</f>
        <v>309.67741935483872</v>
      </c>
      <c r="R16" s="16">
        <f>Demand_CWRS!H$3/31</f>
        <v>241.71000827129859</v>
      </c>
      <c r="S16" s="16">
        <f>Demand_CWRS!I$3/31</f>
        <v>200</v>
      </c>
      <c r="T16" s="16">
        <f>Demand_CWRS!J$3/31</f>
        <v>209.67741935483872</v>
      </c>
      <c r="U16" s="16">
        <f>Demand_CWRS!K$3/31</f>
        <v>216.12903225806451</v>
      </c>
      <c r="V16" s="16">
        <f t="shared" si="6"/>
        <v>2928.1221102150566</v>
      </c>
      <c r="W16" s="16">
        <f t="shared" si="7"/>
        <v>1857.7698924731176</v>
      </c>
      <c r="X16" s="16">
        <f t="shared" si="8"/>
        <v>0</v>
      </c>
      <c r="Y16" s="16">
        <f t="shared" si="9"/>
        <v>7714.6639784946292</v>
      </c>
      <c r="Z16" s="16">
        <f t="shared" si="10"/>
        <v>2421.2029905913982</v>
      </c>
      <c r="AA16" s="16">
        <f t="shared" si="11"/>
        <v>3974.1935483870934</v>
      </c>
      <c r="AB16" s="16">
        <f t="shared" si="12"/>
        <v>-2842.230107526882</v>
      </c>
      <c r="AC16" s="16">
        <f t="shared" si="13"/>
        <v>2400</v>
      </c>
      <c r="AD16" s="16">
        <f t="shared" si="14"/>
        <v>2274.1935483870971</v>
      </c>
      <c r="AE16" s="16">
        <f t="shared" si="15"/>
        <v>2190.3225806451628</v>
      </c>
      <c r="AF16" s="14">
        <f>IF([1]Sheet2!AJ15=999999,"NA",[1]Sheet2!AJ15)</f>
        <v>9</v>
      </c>
      <c r="AG16" s="14">
        <f>IF([1]Sheet2!AK15=999999,"NA",[1]Sheet2!AK15)</f>
        <v>7</v>
      </c>
      <c r="AH16" s="14" t="str">
        <f>IF([1]Sheet2!AL15=999999,"NA",[1]Sheet2!AL15)</f>
        <v>NA</v>
      </c>
      <c r="AI16" s="14">
        <f>IF([1]Sheet2!AM15=999999,"NA",[1]Sheet2!AM15)</f>
        <v>64</v>
      </c>
      <c r="AJ16" s="14">
        <f>IF([1]Sheet2!AN15=999999,"NA",[1]Sheet2!AN15)</f>
        <v>12</v>
      </c>
      <c r="AK16" s="14">
        <f>IF([1]Sheet2!AO15=999999,"NA",[1]Sheet2!AO15)</f>
        <v>12</v>
      </c>
      <c r="AL16" s="14">
        <f>IF([1]Sheet2!AP15=999999,"NA",[1]Sheet2!AP15)</f>
        <v>0</v>
      </c>
      <c r="AM16" s="14">
        <f>IF([1]Sheet2!AQ15=999999,"NA",[1]Sheet2!AQ15)</f>
        <v>12</v>
      </c>
      <c r="AN16" s="14">
        <f>IF([1]Sheet2!AR15=999999,"NA",[1]Sheet2!AR15)</f>
        <v>10</v>
      </c>
      <c r="AO16" s="14">
        <f>IF([1]Sheet2!AS15=999999,"NA",[1]Sheet2!AS15)</f>
        <v>10</v>
      </c>
      <c r="AP16" s="14">
        <f>[1]Sheet2!P15</f>
        <v>0</v>
      </c>
      <c r="AQ16" s="14">
        <f>[1]Sheet2!Q15</f>
        <v>0</v>
      </c>
      <c r="AR16" s="14">
        <f>[1]Sheet2!R15</f>
        <v>0</v>
      </c>
      <c r="AS16" s="14">
        <f>[1]Sheet2!S15</f>
        <v>0</v>
      </c>
      <c r="AT16" s="14">
        <f>[1]Sheet2!T15</f>
        <v>0</v>
      </c>
      <c r="AU16" s="14">
        <f>[1]Sheet2!U15</f>
        <v>0</v>
      </c>
      <c r="AV16" s="14">
        <f>[1]Sheet2!V15</f>
        <v>0</v>
      </c>
      <c r="AW16" s="14">
        <f>[1]Sheet2!W15</f>
        <v>0</v>
      </c>
      <c r="AX16" s="14">
        <f>[1]Sheet2!X15</f>
        <v>0</v>
      </c>
      <c r="AY16" s="14">
        <f>[1]Sheet2!Y15</f>
        <v>0</v>
      </c>
      <c r="AZ16" s="16">
        <f>Demand_LP!B$3/31</f>
        <v>503.00172404880072</v>
      </c>
      <c r="BA16" s="16">
        <f>Demand_LP!C$3/31</f>
        <v>792.35864350703059</v>
      </c>
      <c r="BB16" s="16">
        <f>Demand_LP!D$3/31</f>
        <v>231.20967741935488</v>
      </c>
      <c r="BC16" s="16">
        <f>Demand_LP!E$3/31</f>
        <v>696.53949545078569</v>
      </c>
      <c r="BD16" s="16">
        <f>Demand_LP!F$3/31</f>
        <v>482.27093930934655</v>
      </c>
      <c r="BE16" s="16">
        <f>Demand_LP!G$3/31</f>
        <v>451.61290322580646</v>
      </c>
      <c r="BF16" s="16">
        <f>Demand_LP!H$3/31</f>
        <v>774.19354838709683</v>
      </c>
      <c r="BG16" s="16">
        <f>Demand_LP!I$3/31</f>
        <v>451.61290322580646</v>
      </c>
      <c r="BH16" s="16">
        <f>Demand_LP!J$3/31</f>
        <v>387.09677419354841</v>
      </c>
      <c r="BI16" s="16">
        <f>Demand_LP!K$3/31</f>
        <v>419.35483870967744</v>
      </c>
      <c r="BJ16" s="16">
        <f t="shared" si="16"/>
        <v>3460.9775873655908</v>
      </c>
      <c r="BK16" s="16">
        <f t="shared" si="17"/>
        <v>-300.66236559139452</v>
      </c>
      <c r="BL16" s="16">
        <f t="shared" si="18"/>
        <v>6994.27419354839</v>
      </c>
      <c r="BM16" s="16">
        <f t="shared" si="19"/>
        <v>944.98655913978553</v>
      </c>
      <c r="BN16" s="16">
        <f t="shared" si="20"/>
        <v>3730.4777889784964</v>
      </c>
      <c r="BO16" s="16">
        <f t="shared" si="21"/>
        <v>4129.0322580645116</v>
      </c>
      <c r="BP16" s="16">
        <f t="shared" si="22"/>
        <v>5935.4838709677442</v>
      </c>
      <c r="BQ16" s="16">
        <f t="shared" si="23"/>
        <v>4129.0322580645116</v>
      </c>
      <c r="BR16" s="16">
        <f t="shared" si="24"/>
        <v>4967.7419354838685</v>
      </c>
      <c r="BS16" s="16">
        <f t="shared" si="25"/>
        <v>4548.3870967741941</v>
      </c>
      <c r="BT16" s="14">
        <f>IF([1]Sheet2!CB15=999999,"NA",[1]Sheet2!CB15)</f>
        <v>6</v>
      </c>
      <c r="BU16" s="14">
        <f>IF([1]Sheet2!CC15=999999,"NA",[1]Sheet2!CC15)</f>
        <v>0</v>
      </c>
      <c r="BV16" s="14">
        <f>IF([1]Sheet2!CD15=999999,"NA",[1]Sheet2!CD15)</f>
        <v>28</v>
      </c>
      <c r="BW16" s="14">
        <f>IF([1]Sheet2!CE15=999999,"NA",[1]Sheet2!CE15)</f>
        <v>1</v>
      </c>
      <c r="BX16" s="14">
        <f>IF([1]Sheet2!CF15=999999,"NA",[1]Sheet2!CF15)</f>
        <v>7</v>
      </c>
      <c r="BY16" s="14">
        <f>IF([1]Sheet2!CG15=999999,"NA",[1]Sheet2!CG15)</f>
        <v>9</v>
      </c>
      <c r="BZ16" s="14">
        <f>IF([1]Sheet2!CH15=999999,"NA",[1]Sheet2!CH15)</f>
        <v>7</v>
      </c>
      <c r="CA16" s="14">
        <f>IF([1]Sheet2!CI15=999999,"NA",[1]Sheet2!CI15)</f>
        <v>9</v>
      </c>
      <c r="CB16" s="14">
        <f>IF([1]Sheet2!CJ15=999999,"NA",[1]Sheet2!CJ15)</f>
        <v>12</v>
      </c>
      <c r="CC16" s="14">
        <f>IF([1]Sheet2!CK15=999999,"NA",[1]Sheet2!CK15)</f>
        <v>10</v>
      </c>
      <c r="CD16" s="14">
        <f>[1]Sheet2!BH15</f>
        <v>0</v>
      </c>
      <c r="CE16" s="14">
        <f>[1]Sheet2!BI15</f>
        <v>0</v>
      </c>
      <c r="CF16" s="14">
        <f>[1]Sheet2!BJ15</f>
        <v>0</v>
      </c>
      <c r="CG16" s="14">
        <f>[1]Sheet2!BK15</f>
        <v>0</v>
      </c>
      <c r="CH16" s="14">
        <f>[1]Sheet2!BL15</f>
        <v>0</v>
      </c>
      <c r="CI16" s="14">
        <f>[1]Sheet2!BM15</f>
        <v>0</v>
      </c>
      <c r="CJ16" s="14">
        <f>[1]Sheet2!BN15</f>
        <v>0</v>
      </c>
      <c r="CK16" s="14">
        <f>[1]Sheet2!BO15</f>
        <v>0</v>
      </c>
      <c r="CL16" s="14">
        <f>[1]Sheet2!BP15</f>
        <v>0</v>
      </c>
      <c r="CM16" s="14">
        <f>[1]Sheet2!BQ15</f>
        <v>0</v>
      </c>
      <c r="CN16" s="16">
        <f>Demand_SW!B$3/31</f>
        <v>139.57816377171216</v>
      </c>
      <c r="CO16" s="16">
        <f>Demand_SW!C$3/31</f>
        <v>0</v>
      </c>
      <c r="CP16" s="16">
        <f>Demand_SW!D$3/31</f>
        <v>0</v>
      </c>
      <c r="CQ16" s="16">
        <f>Demand_SW!E$3/31</f>
        <v>0</v>
      </c>
      <c r="CR16" s="16">
        <f>Demand_SW!F$3/31</f>
        <v>0</v>
      </c>
      <c r="CS16" s="16">
        <f>Demand_SW!G$3/31</f>
        <v>132.25806451612902</v>
      </c>
      <c r="CT16" s="16">
        <f>Demand_SW!H$3/31</f>
        <v>0</v>
      </c>
      <c r="CU16" s="16">
        <f>Demand_SW!I$3/31</f>
        <v>0</v>
      </c>
      <c r="CV16" s="16">
        <f>Demand_SW!J$3/31</f>
        <v>0</v>
      </c>
      <c r="CW16" s="16">
        <f>Demand_SW!K$3/31</f>
        <v>0</v>
      </c>
      <c r="CX16" s="16">
        <f t="shared" si="26"/>
        <v>3185.4838709677429</v>
      </c>
      <c r="CY16" s="16">
        <f t="shared" si="27"/>
        <v>1000</v>
      </c>
      <c r="CZ16" s="16">
        <f t="shared" si="28"/>
        <v>0</v>
      </c>
      <c r="DA16" s="16">
        <f t="shared" si="29"/>
        <v>0</v>
      </c>
      <c r="DB16" s="16">
        <f t="shared" si="30"/>
        <v>0</v>
      </c>
      <c r="DC16" s="16">
        <f t="shared" si="31"/>
        <v>3280.6451612903256</v>
      </c>
      <c r="DD16" s="16">
        <f t="shared" si="32"/>
        <v>1000</v>
      </c>
      <c r="DE16" s="16">
        <f t="shared" si="33"/>
        <v>0</v>
      </c>
      <c r="DF16" s="16">
        <f t="shared" si="34"/>
        <v>0</v>
      </c>
      <c r="DG16" s="16">
        <f t="shared" si="35"/>
        <v>0</v>
      </c>
      <c r="DH16" s="14">
        <f>IF([1]Sheet2!DS15=999999,"NA",[1]Sheet2!DS15)</f>
        <v>25</v>
      </c>
      <c r="DI16" s="14">
        <f>IF([1]Sheet2!DT15=999999,"NA",[1]Sheet2!DT15)</f>
        <v>352</v>
      </c>
      <c r="DJ16" s="14" t="str">
        <f>IF([1]Sheet2!DU15=999999,"NA",[1]Sheet2!DU15)</f>
        <v>NA</v>
      </c>
      <c r="DK16" s="14" t="str">
        <f>IF([1]Sheet2!DV15=999999,"NA",[1]Sheet2!DV15)</f>
        <v>NA</v>
      </c>
      <c r="DL16" s="14" t="str">
        <f>IF([1]Sheet2!DW15=999999,"NA",[1]Sheet2!DW15)</f>
        <v>NA</v>
      </c>
      <c r="DM16" s="14">
        <f>IF([1]Sheet2!DX15=999999,"NA",[1]Sheet2!DX15)</f>
        <v>28</v>
      </c>
      <c r="DN16" s="14">
        <f>IF([1]Sheet2!DY15=999999,"NA",[1]Sheet2!DY15)</f>
        <v>352</v>
      </c>
      <c r="DO16" s="14" t="str">
        <f>IF([1]Sheet2!DZ15=999999,"NA",[1]Sheet2!DZ15)</f>
        <v>NA</v>
      </c>
      <c r="DP16" s="14" t="str">
        <f>IF([1]Sheet2!EA15=999999,"NA",[1]Sheet2!EA15)</f>
        <v>NA</v>
      </c>
      <c r="DQ16" s="14" t="str">
        <f>IF([1]Sheet2!EB15=999999,"NA",[1]Sheet2!EB15)</f>
        <v>NA</v>
      </c>
      <c r="DR16" s="14">
        <f>[1]Sheet2!CY15</f>
        <v>0</v>
      </c>
      <c r="DS16" s="14">
        <f>[1]Sheet2!CZ15</f>
        <v>0</v>
      </c>
      <c r="DT16" s="14">
        <f>[1]Sheet2!DA15</f>
        <v>0</v>
      </c>
      <c r="DU16" s="14">
        <f>[1]Sheet2!DB15</f>
        <v>0</v>
      </c>
      <c r="DV16" s="14">
        <f>[1]Sheet2!DC15</f>
        <v>0</v>
      </c>
      <c r="DW16" s="14">
        <f>[1]Sheet2!DD15</f>
        <v>0</v>
      </c>
      <c r="DX16" s="14">
        <f>[1]Sheet2!DE15</f>
        <v>0</v>
      </c>
      <c r="DY16" s="14">
        <f>[1]Sheet2!DF15</f>
        <v>0</v>
      </c>
      <c r="DZ16" s="14">
        <f>[1]Sheet2!DG15</f>
        <v>0</v>
      </c>
      <c r="EA16" s="14">
        <f>[1]Sheet2!DH15</f>
        <v>0</v>
      </c>
      <c r="EB16" s="6">
        <f>[1]Sheet2!EC15</f>
        <v>0</v>
      </c>
      <c r="EC16" s="6">
        <f>[1]Sheet2!ED15</f>
        <v>0</v>
      </c>
      <c r="ED16" s="6">
        <f>[1]Sheet2!EE15</f>
        <v>0</v>
      </c>
      <c r="EE16" s="6">
        <f>[1]Sheet2!EF15</f>
        <v>0</v>
      </c>
      <c r="EF16" s="6">
        <f>[1]Sheet2!EG15</f>
        <v>0</v>
      </c>
      <c r="EG16" s="6">
        <f>[1]Sheet2!EH15</f>
        <v>0</v>
      </c>
      <c r="EH16" s="6">
        <f>[1]Sheet2!EI15</f>
        <v>0</v>
      </c>
      <c r="EI16" s="6">
        <f>[1]Sheet2!EJ15</f>
        <v>0</v>
      </c>
      <c r="EJ16" s="6">
        <f>[1]Sheet2!EK15</f>
        <v>0</v>
      </c>
      <c r="EK16" s="6">
        <f>[1]Sheet2!EL15</f>
        <v>0</v>
      </c>
      <c r="EL16" s="6" t="str">
        <f>[1]Sheet2!EM15</f>
        <v/>
      </c>
      <c r="EM16" s="6" t="str">
        <f>[1]Sheet2!EN15</f>
        <v/>
      </c>
      <c r="EN16" s="6" t="str">
        <f>[1]Sheet2!EO15</f>
        <v/>
      </c>
      <c r="EO16" s="6" t="str">
        <f>[1]Sheet2!EP15</f>
        <v/>
      </c>
      <c r="EP16" s="6" t="str">
        <f>[1]Sheet2!EQ15</f>
        <v/>
      </c>
      <c r="EQ16" s="6" t="str">
        <f>[1]Sheet2!ER15</f>
        <v/>
      </c>
      <c r="ER16" s="6" t="str">
        <f>[1]Sheet2!ES15</f>
        <v/>
      </c>
      <c r="ES16" s="6" t="str">
        <f>[1]Sheet2!ET15</f>
        <v/>
      </c>
      <c r="ET16" s="6" t="str">
        <f>[1]Sheet2!EU15</f>
        <v/>
      </c>
      <c r="EU16" s="6" t="str">
        <f>[1]Sheet2!EV15</f>
        <v/>
      </c>
      <c r="EV16" s="6" t="str">
        <f>[1]Sheet2!EW15</f>
        <v/>
      </c>
      <c r="EW16" s="6" t="str">
        <f>[1]Sheet2!EX15</f>
        <v/>
      </c>
      <c r="EX16" s="6" t="str">
        <f>[1]Sheet2!EY15</f>
        <v/>
      </c>
      <c r="EY16" s="6" t="str">
        <f>[1]Sheet2!EZ15</f>
        <v/>
      </c>
      <c r="EZ16" s="6" t="str">
        <f>[1]Sheet2!FA15</f>
        <v/>
      </c>
      <c r="FA16" s="6" t="str">
        <f>[1]Sheet2!FB15</f>
        <v/>
      </c>
      <c r="FB16" s="6" t="str">
        <f>[1]Sheet2!FC15</f>
        <v/>
      </c>
      <c r="FC16" s="6" t="str">
        <f>[1]Sheet2!FD15</f>
        <v/>
      </c>
      <c r="FD16" s="6" t="str">
        <f>[1]Sheet2!FE15</f>
        <v/>
      </c>
      <c r="FE16" s="6" t="str">
        <f>[1]Sheet2!FF15</f>
        <v/>
      </c>
      <c r="FF16" s="6" t="str">
        <f>[1]Sheet2!FG15</f>
        <v/>
      </c>
      <c r="FG16" s="6" t="str">
        <f>[1]Sheet2!FH15</f>
        <v/>
      </c>
      <c r="FH16" s="6" t="str">
        <f>[1]Sheet2!FI15</f>
        <v/>
      </c>
      <c r="FI16" s="6" t="str">
        <f>[1]Sheet2!FJ15</f>
        <v/>
      </c>
      <c r="FJ16" s="6" t="str">
        <f>[1]Sheet2!FK15</f>
        <v/>
      </c>
      <c r="FK16" s="6" t="str">
        <f>[1]Sheet2!FL15</f>
        <v/>
      </c>
      <c r="FL16" s="6" t="str">
        <f>[1]Sheet2!FM15</f>
        <v/>
      </c>
      <c r="FM16" s="6" t="str">
        <f>[1]Sheet2!FN15</f>
        <v/>
      </c>
      <c r="FN16" s="6" t="str">
        <f>[1]Sheet2!FO15</f>
        <v/>
      </c>
      <c r="FO16" s="6" t="str">
        <f>[1]Sheet2!FP15</f>
        <v/>
      </c>
    </row>
    <row r="17" spans="1:171" x14ac:dyDescent="0.25">
      <c r="A17" s="15">
        <v>43479</v>
      </c>
      <c r="B17" s="1"/>
      <c r="C17" s="1"/>
      <c r="D17" s="1"/>
      <c r="E17" s="14">
        <f>[1]Sheet2!N16</f>
        <v>0</v>
      </c>
      <c r="F17" s="14">
        <f>[1]Sheet2!BE16</f>
        <v>0</v>
      </c>
      <c r="G17" s="14">
        <f>[1]Sheet2!CW16</f>
        <v>0</v>
      </c>
      <c r="H17" s="1"/>
      <c r="I17" s="1"/>
      <c r="J17" s="1"/>
      <c r="K17" s="16"/>
      <c r="L17" s="16">
        <f>Demand_CWRS!B$3/31</f>
        <v>313.22137613730359</v>
      </c>
      <c r="M17" s="16">
        <f>Demand_CWRS!C$3/31</f>
        <v>241.71000827129859</v>
      </c>
      <c r="N17" s="16">
        <f>Demand_CWRS!D$3/31</f>
        <v>0</v>
      </c>
      <c r="O17" s="16">
        <f>Demand_CWRS!E$3/31</f>
        <v>98.872001654259719</v>
      </c>
      <c r="P17" s="16">
        <f>Demand_CWRS!F$3/31</f>
        <v>198.36900072373859</v>
      </c>
      <c r="Q17" s="16">
        <f>Demand_CWRS!G$3/31</f>
        <v>309.67741935483872</v>
      </c>
      <c r="R17" s="16">
        <f>Demand_CWRS!H$3/31</f>
        <v>241.71000827129859</v>
      </c>
      <c r="S17" s="16">
        <f>Demand_CWRS!I$3/31</f>
        <v>200</v>
      </c>
      <c r="T17" s="16">
        <f>Demand_CWRS!J$3/31</f>
        <v>209.67741935483872</v>
      </c>
      <c r="U17" s="16">
        <f>Demand_CWRS!K$3/31</f>
        <v>216.12903225806451</v>
      </c>
      <c r="V17" s="16">
        <f t="shared" si="6"/>
        <v>2614.900734077753</v>
      </c>
      <c r="W17" s="16">
        <f t="shared" si="7"/>
        <v>1616.0598842018189</v>
      </c>
      <c r="X17" s="16">
        <f t="shared" si="8"/>
        <v>0</v>
      </c>
      <c r="Y17" s="16">
        <f t="shared" si="9"/>
        <v>7615.7919768403699</v>
      </c>
      <c r="Z17" s="16">
        <f t="shared" si="10"/>
        <v>2222.8339898676595</v>
      </c>
      <c r="AA17" s="16">
        <f t="shared" si="11"/>
        <v>3664.5161290322549</v>
      </c>
      <c r="AB17" s="16">
        <f t="shared" si="12"/>
        <v>-3083.9401157981806</v>
      </c>
      <c r="AC17" s="16">
        <f t="shared" si="13"/>
        <v>2200</v>
      </c>
      <c r="AD17" s="16">
        <f t="shared" si="14"/>
        <v>2064.5161290322585</v>
      </c>
      <c r="AE17" s="16">
        <f t="shared" si="15"/>
        <v>1974.1935483870984</v>
      </c>
      <c r="AF17" s="14">
        <f>IF([1]Sheet2!AJ16=999999,"NA",[1]Sheet2!AJ16)</f>
        <v>8</v>
      </c>
      <c r="AG17" s="14">
        <f>IF([1]Sheet2!AK16=999999,"NA",[1]Sheet2!AK16)</f>
        <v>6</v>
      </c>
      <c r="AH17" s="14" t="str">
        <f>IF([1]Sheet2!AL16=999999,"NA",[1]Sheet2!AL16)</f>
        <v>NA</v>
      </c>
      <c r="AI17" s="14">
        <f>IF([1]Sheet2!AM16=999999,"NA",[1]Sheet2!AM16)</f>
        <v>63</v>
      </c>
      <c r="AJ17" s="14">
        <f>IF([1]Sheet2!AN16=999999,"NA",[1]Sheet2!AN16)</f>
        <v>11</v>
      </c>
      <c r="AK17" s="14">
        <f>IF([1]Sheet2!AO16=999999,"NA",[1]Sheet2!AO16)</f>
        <v>11</v>
      </c>
      <c r="AL17" s="14">
        <f>IF([1]Sheet2!AP16=999999,"NA",[1]Sheet2!AP16)</f>
        <v>0</v>
      </c>
      <c r="AM17" s="14">
        <f>IF([1]Sheet2!AQ16=999999,"NA",[1]Sheet2!AQ16)</f>
        <v>11</v>
      </c>
      <c r="AN17" s="14">
        <f>IF([1]Sheet2!AR16=999999,"NA",[1]Sheet2!AR16)</f>
        <v>9</v>
      </c>
      <c r="AO17" s="14">
        <f>IF([1]Sheet2!AS16=999999,"NA",[1]Sheet2!AS16)</f>
        <v>9</v>
      </c>
      <c r="AP17" s="14">
        <f>[1]Sheet2!P16</f>
        <v>0</v>
      </c>
      <c r="AQ17" s="14">
        <f>[1]Sheet2!Q16</f>
        <v>0</v>
      </c>
      <c r="AR17" s="14">
        <f>[1]Sheet2!R16</f>
        <v>0</v>
      </c>
      <c r="AS17" s="14">
        <f>[1]Sheet2!S16</f>
        <v>0</v>
      </c>
      <c r="AT17" s="14">
        <f>[1]Sheet2!T16</f>
        <v>0</v>
      </c>
      <c r="AU17" s="14">
        <f>[1]Sheet2!U16</f>
        <v>0</v>
      </c>
      <c r="AV17" s="14">
        <f>[1]Sheet2!V16</f>
        <v>0</v>
      </c>
      <c r="AW17" s="14">
        <f>[1]Sheet2!W16</f>
        <v>0</v>
      </c>
      <c r="AX17" s="14">
        <f>[1]Sheet2!X16</f>
        <v>0</v>
      </c>
      <c r="AY17" s="14">
        <f>[1]Sheet2!Y16</f>
        <v>0</v>
      </c>
      <c r="AZ17" s="16">
        <f>Demand_LP!B$3/31</f>
        <v>503.00172404880072</v>
      </c>
      <c r="BA17" s="16">
        <f>Demand_LP!C$3/31</f>
        <v>792.35864350703059</v>
      </c>
      <c r="BB17" s="16">
        <f>Demand_LP!D$3/31</f>
        <v>231.20967741935488</v>
      </c>
      <c r="BC17" s="16">
        <f>Demand_LP!E$3/31</f>
        <v>696.53949545078569</v>
      </c>
      <c r="BD17" s="16">
        <f>Demand_LP!F$3/31</f>
        <v>482.27093930934655</v>
      </c>
      <c r="BE17" s="16">
        <f>Demand_LP!G$3/31</f>
        <v>451.61290322580646</v>
      </c>
      <c r="BF17" s="16">
        <f>Demand_LP!H$3/31</f>
        <v>774.19354838709683</v>
      </c>
      <c r="BG17" s="16">
        <f>Demand_LP!I$3/31</f>
        <v>451.61290322580646</v>
      </c>
      <c r="BH17" s="16">
        <f>Demand_LP!J$3/31</f>
        <v>387.09677419354841</v>
      </c>
      <c r="BI17" s="16">
        <f>Demand_LP!K$3/31</f>
        <v>419.35483870967744</v>
      </c>
      <c r="BJ17" s="16">
        <f t="shared" si="16"/>
        <v>2957.9758633167903</v>
      </c>
      <c r="BK17" s="16">
        <f t="shared" si="17"/>
        <v>-1093.0210090984251</v>
      </c>
      <c r="BL17" s="16">
        <f t="shared" si="18"/>
        <v>6763.0645161290349</v>
      </c>
      <c r="BM17" s="16">
        <f t="shared" si="19"/>
        <v>248.44706368899983</v>
      </c>
      <c r="BN17" s="16">
        <f t="shared" si="20"/>
        <v>3248.20684966915</v>
      </c>
      <c r="BO17" s="16">
        <f t="shared" si="21"/>
        <v>3677.4193548387052</v>
      </c>
      <c r="BP17" s="16">
        <f t="shared" si="22"/>
        <v>5161.2903225806476</v>
      </c>
      <c r="BQ17" s="16">
        <f t="shared" si="23"/>
        <v>3677.4193548387052</v>
      </c>
      <c r="BR17" s="16">
        <f t="shared" si="24"/>
        <v>4580.6451612903202</v>
      </c>
      <c r="BS17" s="16">
        <f t="shared" si="25"/>
        <v>4129.032258064517</v>
      </c>
      <c r="BT17" s="14">
        <f>IF([1]Sheet2!CB16=999999,"NA",[1]Sheet2!CB16)</f>
        <v>5</v>
      </c>
      <c r="BU17" s="14">
        <f>IF([1]Sheet2!CC16=999999,"NA",[1]Sheet2!CC16)</f>
        <v>0</v>
      </c>
      <c r="BV17" s="14">
        <f>IF([1]Sheet2!CD16=999999,"NA",[1]Sheet2!CD16)</f>
        <v>27</v>
      </c>
      <c r="BW17" s="14">
        <f>IF([1]Sheet2!CE16=999999,"NA",[1]Sheet2!CE16)</f>
        <v>0</v>
      </c>
      <c r="BX17" s="14">
        <f>IF([1]Sheet2!CF16=999999,"NA",[1]Sheet2!CF16)</f>
        <v>6</v>
      </c>
      <c r="BY17" s="14">
        <f>IF([1]Sheet2!CG16=999999,"NA",[1]Sheet2!CG16)</f>
        <v>8</v>
      </c>
      <c r="BZ17" s="14">
        <f>IF([1]Sheet2!CH16=999999,"NA",[1]Sheet2!CH16)</f>
        <v>6</v>
      </c>
      <c r="CA17" s="14">
        <f>IF([1]Sheet2!CI16=999999,"NA",[1]Sheet2!CI16)</f>
        <v>8</v>
      </c>
      <c r="CB17" s="14">
        <f>IF([1]Sheet2!CJ16=999999,"NA",[1]Sheet2!CJ16)</f>
        <v>11</v>
      </c>
      <c r="CC17" s="14">
        <f>IF([1]Sheet2!CK16=999999,"NA",[1]Sheet2!CK16)</f>
        <v>9</v>
      </c>
      <c r="CD17" s="14">
        <f>[1]Sheet2!BH16</f>
        <v>0</v>
      </c>
      <c r="CE17" s="14">
        <f>[1]Sheet2!BI16</f>
        <v>0</v>
      </c>
      <c r="CF17" s="14">
        <f>[1]Sheet2!BJ16</f>
        <v>0</v>
      </c>
      <c r="CG17" s="14">
        <f>[1]Sheet2!BK16</f>
        <v>0</v>
      </c>
      <c r="CH17" s="14">
        <f>[1]Sheet2!BL16</f>
        <v>0</v>
      </c>
      <c r="CI17" s="14">
        <f>[1]Sheet2!BM16</f>
        <v>0</v>
      </c>
      <c r="CJ17" s="14">
        <f>[1]Sheet2!BN16</f>
        <v>0</v>
      </c>
      <c r="CK17" s="14">
        <f>[1]Sheet2!BO16</f>
        <v>0</v>
      </c>
      <c r="CL17" s="14">
        <f>[1]Sheet2!BP16</f>
        <v>0</v>
      </c>
      <c r="CM17" s="14">
        <f>[1]Sheet2!BQ16</f>
        <v>0</v>
      </c>
      <c r="CN17" s="16">
        <f>Demand_SW!B$3/31</f>
        <v>139.57816377171216</v>
      </c>
      <c r="CO17" s="16">
        <f>Demand_SW!C$3/31</f>
        <v>0</v>
      </c>
      <c r="CP17" s="16">
        <f>Demand_SW!D$3/31</f>
        <v>0</v>
      </c>
      <c r="CQ17" s="16">
        <f>Demand_SW!E$3/31</f>
        <v>0</v>
      </c>
      <c r="CR17" s="16">
        <f>Demand_SW!F$3/31</f>
        <v>0</v>
      </c>
      <c r="CS17" s="16">
        <f>Demand_SW!G$3/31</f>
        <v>132.25806451612902</v>
      </c>
      <c r="CT17" s="16">
        <f>Demand_SW!H$3/31</f>
        <v>0</v>
      </c>
      <c r="CU17" s="16">
        <f>Demand_SW!I$3/31</f>
        <v>0</v>
      </c>
      <c r="CV17" s="16">
        <f>Demand_SW!J$3/31</f>
        <v>0</v>
      </c>
      <c r="CW17" s="16">
        <f>Demand_SW!K$3/31</f>
        <v>0</v>
      </c>
      <c r="CX17" s="16">
        <f t="shared" si="26"/>
        <v>3045.9057071960306</v>
      </c>
      <c r="CY17" s="16">
        <f t="shared" si="27"/>
        <v>1000</v>
      </c>
      <c r="CZ17" s="16">
        <f t="shared" si="28"/>
        <v>0</v>
      </c>
      <c r="DA17" s="16">
        <f t="shared" si="29"/>
        <v>0</v>
      </c>
      <c r="DB17" s="16">
        <f t="shared" si="30"/>
        <v>0</v>
      </c>
      <c r="DC17" s="16">
        <f t="shared" si="31"/>
        <v>3148.3870967741968</v>
      </c>
      <c r="DD17" s="16">
        <f t="shared" si="32"/>
        <v>1000</v>
      </c>
      <c r="DE17" s="16">
        <f t="shared" si="33"/>
        <v>0</v>
      </c>
      <c r="DF17" s="16">
        <f t="shared" si="34"/>
        <v>0</v>
      </c>
      <c r="DG17" s="16">
        <f t="shared" si="35"/>
        <v>0</v>
      </c>
      <c r="DH17" s="14">
        <f>IF([1]Sheet2!DS16=999999,"NA",[1]Sheet2!DS16)</f>
        <v>24</v>
      </c>
      <c r="DI17" s="14">
        <f>IF([1]Sheet2!DT16=999999,"NA",[1]Sheet2!DT16)</f>
        <v>351</v>
      </c>
      <c r="DJ17" s="14" t="str">
        <f>IF([1]Sheet2!DU16=999999,"NA",[1]Sheet2!DU16)</f>
        <v>NA</v>
      </c>
      <c r="DK17" s="14" t="str">
        <f>IF([1]Sheet2!DV16=999999,"NA",[1]Sheet2!DV16)</f>
        <v>NA</v>
      </c>
      <c r="DL17" s="14" t="str">
        <f>IF([1]Sheet2!DW16=999999,"NA",[1]Sheet2!DW16)</f>
        <v>NA</v>
      </c>
      <c r="DM17" s="14">
        <f>IF([1]Sheet2!DX16=999999,"NA",[1]Sheet2!DX16)</f>
        <v>27</v>
      </c>
      <c r="DN17" s="14">
        <f>IF([1]Sheet2!DY16=999999,"NA",[1]Sheet2!DY16)</f>
        <v>351</v>
      </c>
      <c r="DO17" s="14" t="str">
        <f>IF([1]Sheet2!DZ16=999999,"NA",[1]Sheet2!DZ16)</f>
        <v>NA</v>
      </c>
      <c r="DP17" s="14" t="str">
        <f>IF([1]Sheet2!EA16=999999,"NA",[1]Sheet2!EA16)</f>
        <v>NA</v>
      </c>
      <c r="DQ17" s="14" t="str">
        <f>IF([1]Sheet2!EB16=999999,"NA",[1]Sheet2!EB16)</f>
        <v>NA</v>
      </c>
      <c r="DR17" s="14">
        <f>[1]Sheet2!CY16</f>
        <v>0</v>
      </c>
      <c r="DS17" s="14">
        <f>[1]Sheet2!CZ16</f>
        <v>0</v>
      </c>
      <c r="DT17" s="14">
        <f>[1]Sheet2!DA16</f>
        <v>0</v>
      </c>
      <c r="DU17" s="14">
        <f>[1]Sheet2!DB16</f>
        <v>0</v>
      </c>
      <c r="DV17" s="14">
        <f>[1]Sheet2!DC16</f>
        <v>0</v>
      </c>
      <c r="DW17" s="14">
        <f>[1]Sheet2!DD16</f>
        <v>0</v>
      </c>
      <c r="DX17" s="14">
        <f>[1]Sheet2!DE16</f>
        <v>0</v>
      </c>
      <c r="DY17" s="14">
        <f>[1]Sheet2!DF16</f>
        <v>0</v>
      </c>
      <c r="DZ17" s="14">
        <f>[1]Sheet2!DG16</f>
        <v>0</v>
      </c>
      <c r="EA17" s="14">
        <f>[1]Sheet2!DH16</f>
        <v>0</v>
      </c>
      <c r="EB17" s="6">
        <f>[1]Sheet2!EC16</f>
        <v>0</v>
      </c>
      <c r="EC17" s="6">
        <f>[1]Sheet2!ED16</f>
        <v>0</v>
      </c>
      <c r="ED17" s="6">
        <f>[1]Sheet2!EE16</f>
        <v>0</v>
      </c>
      <c r="EE17" s="6">
        <f>[1]Sheet2!EF16</f>
        <v>0</v>
      </c>
      <c r="EF17" s="6">
        <f>[1]Sheet2!EG16</f>
        <v>0</v>
      </c>
      <c r="EG17" s="6">
        <f>[1]Sheet2!EH16</f>
        <v>0</v>
      </c>
      <c r="EH17" s="6">
        <f>[1]Sheet2!EI16</f>
        <v>0</v>
      </c>
      <c r="EI17" s="6">
        <f>[1]Sheet2!EJ16</f>
        <v>0</v>
      </c>
      <c r="EJ17" s="6">
        <f>[1]Sheet2!EK16</f>
        <v>0</v>
      </c>
      <c r="EK17" s="6">
        <f>[1]Sheet2!EL16</f>
        <v>0</v>
      </c>
      <c r="EL17" s="6" t="str">
        <f>[1]Sheet2!EM16</f>
        <v/>
      </c>
      <c r="EM17" s="6" t="str">
        <f>[1]Sheet2!EN16</f>
        <v/>
      </c>
      <c r="EN17" s="6" t="str">
        <f>[1]Sheet2!EO16</f>
        <v/>
      </c>
      <c r="EO17" s="6" t="str">
        <f>[1]Sheet2!EP16</f>
        <v/>
      </c>
      <c r="EP17" s="6" t="str">
        <f>[1]Sheet2!EQ16</f>
        <v/>
      </c>
      <c r="EQ17" s="6" t="str">
        <f>[1]Sheet2!ER16</f>
        <v/>
      </c>
      <c r="ER17" s="6" t="str">
        <f>[1]Sheet2!ES16</f>
        <v/>
      </c>
      <c r="ES17" s="6" t="str">
        <f>[1]Sheet2!ET16</f>
        <v/>
      </c>
      <c r="ET17" s="6" t="str">
        <f>[1]Sheet2!EU16</f>
        <v/>
      </c>
      <c r="EU17" s="6" t="str">
        <f>[1]Sheet2!EV16</f>
        <v/>
      </c>
      <c r="EV17" s="6" t="str">
        <f>[1]Sheet2!EW16</f>
        <v/>
      </c>
      <c r="EW17" s="6" t="str">
        <f>[1]Sheet2!EX16</f>
        <v/>
      </c>
      <c r="EX17" s="6" t="str">
        <f>[1]Sheet2!EY16</f>
        <v/>
      </c>
      <c r="EY17" s="6" t="str">
        <f>[1]Sheet2!EZ16</f>
        <v/>
      </c>
      <c r="EZ17" s="6" t="str">
        <f>[1]Sheet2!FA16</f>
        <v/>
      </c>
      <c r="FA17" s="6" t="str">
        <f>[1]Sheet2!FB16</f>
        <v/>
      </c>
      <c r="FB17" s="6" t="str">
        <f>[1]Sheet2!FC16</f>
        <v/>
      </c>
      <c r="FC17" s="6" t="str">
        <f>[1]Sheet2!FD16</f>
        <v/>
      </c>
      <c r="FD17" s="6" t="str">
        <f>[1]Sheet2!FE16</f>
        <v/>
      </c>
      <c r="FE17" s="6" t="str">
        <f>[1]Sheet2!FF16</f>
        <v/>
      </c>
      <c r="FF17" s="6" t="str">
        <f>[1]Sheet2!FG16</f>
        <v/>
      </c>
      <c r="FG17" s="6" t="str">
        <f>[1]Sheet2!FH16</f>
        <v/>
      </c>
      <c r="FH17" s="6" t="str">
        <f>[1]Sheet2!FI16</f>
        <v/>
      </c>
      <c r="FI17" s="6" t="str">
        <f>[1]Sheet2!FJ16</f>
        <v/>
      </c>
      <c r="FJ17" s="6" t="str">
        <f>[1]Sheet2!FK16</f>
        <v/>
      </c>
      <c r="FK17" s="6" t="str">
        <f>[1]Sheet2!FL16</f>
        <v/>
      </c>
      <c r="FL17" s="6" t="str">
        <f>[1]Sheet2!FM16</f>
        <v/>
      </c>
      <c r="FM17" s="6" t="str">
        <f>[1]Sheet2!FN16</f>
        <v/>
      </c>
      <c r="FN17" s="6" t="str">
        <f>[1]Sheet2!FO16</f>
        <v/>
      </c>
      <c r="FO17" s="6" t="str">
        <f>[1]Sheet2!FP16</f>
        <v/>
      </c>
    </row>
    <row r="18" spans="1:171" x14ac:dyDescent="0.25">
      <c r="A18" s="15">
        <v>43480</v>
      </c>
      <c r="B18" s="1"/>
      <c r="C18" s="1"/>
      <c r="D18" s="1"/>
      <c r="E18" s="14">
        <f>[1]Sheet2!N17</f>
        <v>0</v>
      </c>
      <c r="F18" s="14">
        <f>[1]Sheet2!BE17</f>
        <v>0</v>
      </c>
      <c r="G18" s="14">
        <f>[1]Sheet2!CW17</f>
        <v>0</v>
      </c>
      <c r="H18" s="1"/>
      <c r="I18" s="1"/>
      <c r="J18" s="1"/>
      <c r="K18" s="16"/>
      <c r="L18" s="16">
        <f>Demand_CWRS!B$3/31</f>
        <v>313.22137613730359</v>
      </c>
      <c r="M18" s="16">
        <f>Demand_CWRS!C$3/31</f>
        <v>241.71000827129859</v>
      </c>
      <c r="N18" s="16">
        <f>Demand_CWRS!D$3/31</f>
        <v>0</v>
      </c>
      <c r="O18" s="16">
        <f>Demand_CWRS!E$3/31</f>
        <v>98.872001654259719</v>
      </c>
      <c r="P18" s="16">
        <f>Demand_CWRS!F$3/31</f>
        <v>198.36900072373859</v>
      </c>
      <c r="Q18" s="16">
        <f>Demand_CWRS!G$3/31</f>
        <v>309.67741935483872</v>
      </c>
      <c r="R18" s="16">
        <f>Demand_CWRS!H$3/31</f>
        <v>241.71000827129859</v>
      </c>
      <c r="S18" s="16">
        <f>Demand_CWRS!I$3/31</f>
        <v>200</v>
      </c>
      <c r="T18" s="16">
        <f>Demand_CWRS!J$3/31</f>
        <v>209.67741935483872</v>
      </c>
      <c r="U18" s="16">
        <f>Demand_CWRS!K$3/31</f>
        <v>216.12903225806451</v>
      </c>
      <c r="V18" s="16">
        <f t="shared" si="6"/>
        <v>2301.6793579404493</v>
      </c>
      <c r="W18" s="16">
        <f t="shared" si="7"/>
        <v>1374.3498759305203</v>
      </c>
      <c r="X18" s="16">
        <f t="shared" si="8"/>
        <v>0</v>
      </c>
      <c r="Y18" s="16">
        <f t="shared" si="9"/>
        <v>7516.9199751861106</v>
      </c>
      <c r="Z18" s="16">
        <f t="shared" si="10"/>
        <v>2024.464989143921</v>
      </c>
      <c r="AA18" s="16">
        <f t="shared" si="11"/>
        <v>3354.8387096774163</v>
      </c>
      <c r="AB18" s="16">
        <f t="shared" si="12"/>
        <v>-3325.6501240694793</v>
      </c>
      <c r="AC18" s="16">
        <f t="shared" si="13"/>
        <v>2000</v>
      </c>
      <c r="AD18" s="16">
        <f t="shared" si="14"/>
        <v>1854.8387096774197</v>
      </c>
      <c r="AE18" s="16">
        <f t="shared" si="15"/>
        <v>1758.064516129034</v>
      </c>
      <c r="AF18" s="14">
        <f>IF([1]Sheet2!AJ17=999999,"NA",[1]Sheet2!AJ17)</f>
        <v>7</v>
      </c>
      <c r="AG18" s="14">
        <f>IF([1]Sheet2!AK17=999999,"NA",[1]Sheet2!AK17)</f>
        <v>5</v>
      </c>
      <c r="AH18" s="14" t="str">
        <f>IF([1]Sheet2!AL17=999999,"NA",[1]Sheet2!AL17)</f>
        <v>NA</v>
      </c>
      <c r="AI18" s="14">
        <f>IF([1]Sheet2!AM17=999999,"NA",[1]Sheet2!AM17)</f>
        <v>62</v>
      </c>
      <c r="AJ18" s="14">
        <f>IF([1]Sheet2!AN17=999999,"NA",[1]Sheet2!AN17)</f>
        <v>10</v>
      </c>
      <c r="AK18" s="14">
        <f>IF([1]Sheet2!AO17=999999,"NA",[1]Sheet2!AO17)</f>
        <v>10</v>
      </c>
      <c r="AL18" s="14">
        <f>IF([1]Sheet2!AP17=999999,"NA",[1]Sheet2!AP17)</f>
        <v>0</v>
      </c>
      <c r="AM18" s="14">
        <f>IF([1]Sheet2!AQ17=999999,"NA",[1]Sheet2!AQ17)</f>
        <v>10</v>
      </c>
      <c r="AN18" s="14">
        <f>IF([1]Sheet2!AR17=999999,"NA",[1]Sheet2!AR17)</f>
        <v>8</v>
      </c>
      <c r="AO18" s="14">
        <f>IF([1]Sheet2!AS17=999999,"NA",[1]Sheet2!AS17)</f>
        <v>8</v>
      </c>
      <c r="AP18" s="14">
        <f>[1]Sheet2!P17</f>
        <v>0</v>
      </c>
      <c r="AQ18" s="14">
        <f>[1]Sheet2!Q17</f>
        <v>0</v>
      </c>
      <c r="AR18" s="14">
        <f>[1]Sheet2!R17</f>
        <v>0</v>
      </c>
      <c r="AS18" s="14">
        <f>[1]Sheet2!S17</f>
        <v>0</v>
      </c>
      <c r="AT18" s="14">
        <f>[1]Sheet2!T17</f>
        <v>0</v>
      </c>
      <c r="AU18" s="14">
        <f>[1]Sheet2!U17</f>
        <v>0</v>
      </c>
      <c r="AV18" s="14">
        <f>[1]Sheet2!V17</f>
        <v>0</v>
      </c>
      <c r="AW18" s="14">
        <f>[1]Sheet2!W17</f>
        <v>0</v>
      </c>
      <c r="AX18" s="14">
        <f>[1]Sheet2!X17</f>
        <v>0</v>
      </c>
      <c r="AY18" s="14">
        <f>[1]Sheet2!Y17</f>
        <v>0</v>
      </c>
      <c r="AZ18" s="16">
        <f>Demand_LP!B$3/31</f>
        <v>503.00172404880072</v>
      </c>
      <c r="BA18" s="16">
        <f>Demand_LP!C$3/31</f>
        <v>792.35864350703059</v>
      </c>
      <c r="BB18" s="16">
        <f>Demand_LP!D$3/31</f>
        <v>231.20967741935488</v>
      </c>
      <c r="BC18" s="16">
        <f>Demand_LP!E$3/31</f>
        <v>696.53949545078569</v>
      </c>
      <c r="BD18" s="16">
        <f>Demand_LP!F$3/31</f>
        <v>482.27093930934655</v>
      </c>
      <c r="BE18" s="16">
        <f>Demand_LP!G$3/31</f>
        <v>451.61290322580646</v>
      </c>
      <c r="BF18" s="16">
        <f>Demand_LP!H$3/31</f>
        <v>774.19354838709683</v>
      </c>
      <c r="BG18" s="16">
        <f>Demand_LP!I$3/31</f>
        <v>451.61290322580646</v>
      </c>
      <c r="BH18" s="16">
        <f>Demand_LP!J$3/31</f>
        <v>387.09677419354841</v>
      </c>
      <c r="BI18" s="16">
        <f>Demand_LP!K$3/31</f>
        <v>419.35483870967744</v>
      </c>
      <c r="BJ18" s="16">
        <f t="shared" si="16"/>
        <v>2454.9741392679898</v>
      </c>
      <c r="BK18" s="16">
        <f t="shared" si="17"/>
        <v>-1885.3796526054557</v>
      </c>
      <c r="BL18" s="16">
        <f t="shared" si="18"/>
        <v>6531.8548387096798</v>
      </c>
      <c r="BM18" s="16">
        <f t="shared" si="19"/>
        <v>-448.09243176178586</v>
      </c>
      <c r="BN18" s="16">
        <f t="shared" si="20"/>
        <v>2765.9359103598035</v>
      </c>
      <c r="BO18" s="16">
        <f t="shared" si="21"/>
        <v>3225.8064516128989</v>
      </c>
      <c r="BP18" s="16">
        <f t="shared" si="22"/>
        <v>4387.096774193551</v>
      </c>
      <c r="BQ18" s="16">
        <f t="shared" si="23"/>
        <v>3225.8064516128989</v>
      </c>
      <c r="BR18" s="16">
        <f t="shared" si="24"/>
        <v>4193.5483870967719</v>
      </c>
      <c r="BS18" s="16">
        <f t="shared" si="25"/>
        <v>3709.6774193548395</v>
      </c>
      <c r="BT18" s="14">
        <f>IF([1]Sheet2!CB17=999999,"NA",[1]Sheet2!CB17)</f>
        <v>4</v>
      </c>
      <c r="BU18" s="14">
        <f>IF([1]Sheet2!CC17=999999,"NA",[1]Sheet2!CC17)</f>
        <v>0</v>
      </c>
      <c r="BV18" s="14">
        <f>IF([1]Sheet2!CD17=999999,"NA",[1]Sheet2!CD17)</f>
        <v>26</v>
      </c>
      <c r="BW18" s="14">
        <f>IF([1]Sheet2!CE17=999999,"NA",[1]Sheet2!CE17)</f>
        <v>0</v>
      </c>
      <c r="BX18" s="14">
        <f>IF([1]Sheet2!CF17=999999,"NA",[1]Sheet2!CF17)</f>
        <v>5</v>
      </c>
      <c r="BY18" s="14">
        <f>IF([1]Sheet2!CG17=999999,"NA",[1]Sheet2!CG17)</f>
        <v>7</v>
      </c>
      <c r="BZ18" s="14">
        <f>IF([1]Sheet2!CH17=999999,"NA",[1]Sheet2!CH17)</f>
        <v>5</v>
      </c>
      <c r="CA18" s="14">
        <f>IF([1]Sheet2!CI17=999999,"NA",[1]Sheet2!CI17)</f>
        <v>7</v>
      </c>
      <c r="CB18" s="14">
        <f>IF([1]Sheet2!CJ17=999999,"NA",[1]Sheet2!CJ17)</f>
        <v>10</v>
      </c>
      <c r="CC18" s="14">
        <f>IF([1]Sheet2!CK17=999999,"NA",[1]Sheet2!CK17)</f>
        <v>8</v>
      </c>
      <c r="CD18" s="14">
        <f>[1]Sheet2!BH17</f>
        <v>0</v>
      </c>
      <c r="CE18" s="14">
        <f>[1]Sheet2!BI17</f>
        <v>0</v>
      </c>
      <c r="CF18" s="14">
        <f>[1]Sheet2!BJ17</f>
        <v>0</v>
      </c>
      <c r="CG18" s="14">
        <f>[1]Sheet2!BK17</f>
        <v>0</v>
      </c>
      <c r="CH18" s="14">
        <f>[1]Sheet2!BL17</f>
        <v>0</v>
      </c>
      <c r="CI18" s="14">
        <f>[1]Sheet2!BM17</f>
        <v>0</v>
      </c>
      <c r="CJ18" s="14">
        <f>[1]Sheet2!BN17</f>
        <v>0</v>
      </c>
      <c r="CK18" s="14">
        <f>[1]Sheet2!BO17</f>
        <v>0</v>
      </c>
      <c r="CL18" s="14">
        <f>[1]Sheet2!BP17</f>
        <v>0</v>
      </c>
      <c r="CM18" s="14">
        <f>[1]Sheet2!BQ17</f>
        <v>0</v>
      </c>
      <c r="CN18" s="16">
        <f>Demand_SW!B$3/31</f>
        <v>139.57816377171216</v>
      </c>
      <c r="CO18" s="16">
        <f>Demand_SW!C$3/31</f>
        <v>0</v>
      </c>
      <c r="CP18" s="16">
        <f>Demand_SW!D$3/31</f>
        <v>0</v>
      </c>
      <c r="CQ18" s="16">
        <f>Demand_SW!E$3/31</f>
        <v>0</v>
      </c>
      <c r="CR18" s="16">
        <f>Demand_SW!F$3/31</f>
        <v>0</v>
      </c>
      <c r="CS18" s="16">
        <f>Demand_SW!G$3/31</f>
        <v>132.25806451612902</v>
      </c>
      <c r="CT18" s="16">
        <f>Demand_SW!H$3/31</f>
        <v>0</v>
      </c>
      <c r="CU18" s="16">
        <f>Demand_SW!I$3/31</f>
        <v>0</v>
      </c>
      <c r="CV18" s="16">
        <f>Demand_SW!J$3/31</f>
        <v>0</v>
      </c>
      <c r="CW18" s="16">
        <f>Demand_SW!K$3/31</f>
        <v>0</v>
      </c>
      <c r="CX18" s="16">
        <f t="shared" si="26"/>
        <v>2906.3275434243183</v>
      </c>
      <c r="CY18" s="16">
        <f t="shared" si="27"/>
        <v>1000</v>
      </c>
      <c r="CZ18" s="16">
        <f t="shared" si="28"/>
        <v>0</v>
      </c>
      <c r="DA18" s="16">
        <f t="shared" si="29"/>
        <v>0</v>
      </c>
      <c r="DB18" s="16">
        <f t="shared" si="30"/>
        <v>0</v>
      </c>
      <c r="DC18" s="16">
        <f t="shared" si="31"/>
        <v>3016.129032258068</v>
      </c>
      <c r="DD18" s="16">
        <f t="shared" si="32"/>
        <v>1000</v>
      </c>
      <c r="DE18" s="16">
        <f t="shared" si="33"/>
        <v>0</v>
      </c>
      <c r="DF18" s="16">
        <f t="shared" si="34"/>
        <v>0</v>
      </c>
      <c r="DG18" s="16">
        <f t="shared" si="35"/>
        <v>0</v>
      </c>
      <c r="DH18" s="14">
        <f>IF([1]Sheet2!DS17=999999,"NA",[1]Sheet2!DS17)</f>
        <v>23</v>
      </c>
      <c r="DI18" s="14">
        <f>IF([1]Sheet2!DT17=999999,"NA",[1]Sheet2!DT17)</f>
        <v>350</v>
      </c>
      <c r="DJ18" s="14" t="str">
        <f>IF([1]Sheet2!DU17=999999,"NA",[1]Sheet2!DU17)</f>
        <v>NA</v>
      </c>
      <c r="DK18" s="14" t="str">
        <f>IF([1]Sheet2!DV17=999999,"NA",[1]Sheet2!DV17)</f>
        <v>NA</v>
      </c>
      <c r="DL18" s="14" t="str">
        <f>IF([1]Sheet2!DW17=999999,"NA",[1]Sheet2!DW17)</f>
        <v>NA</v>
      </c>
      <c r="DM18" s="14">
        <f>IF([1]Sheet2!DX17=999999,"NA",[1]Sheet2!DX17)</f>
        <v>26</v>
      </c>
      <c r="DN18" s="14">
        <f>IF([1]Sheet2!DY17=999999,"NA",[1]Sheet2!DY17)</f>
        <v>350</v>
      </c>
      <c r="DO18" s="14" t="str">
        <f>IF([1]Sheet2!DZ17=999999,"NA",[1]Sheet2!DZ17)</f>
        <v>NA</v>
      </c>
      <c r="DP18" s="14" t="str">
        <f>IF([1]Sheet2!EA17=999999,"NA",[1]Sheet2!EA17)</f>
        <v>NA</v>
      </c>
      <c r="DQ18" s="14" t="str">
        <f>IF([1]Sheet2!EB17=999999,"NA",[1]Sheet2!EB17)</f>
        <v>NA</v>
      </c>
      <c r="DR18" s="14">
        <f>[1]Sheet2!CY17</f>
        <v>0</v>
      </c>
      <c r="DS18" s="14">
        <f>[1]Sheet2!CZ17</f>
        <v>0</v>
      </c>
      <c r="DT18" s="14">
        <f>[1]Sheet2!DA17</f>
        <v>0</v>
      </c>
      <c r="DU18" s="14">
        <f>[1]Sheet2!DB17</f>
        <v>0</v>
      </c>
      <c r="DV18" s="14">
        <f>[1]Sheet2!DC17</f>
        <v>0</v>
      </c>
      <c r="DW18" s="14">
        <f>[1]Sheet2!DD17</f>
        <v>0</v>
      </c>
      <c r="DX18" s="14">
        <f>[1]Sheet2!DE17</f>
        <v>0</v>
      </c>
      <c r="DY18" s="14">
        <f>[1]Sheet2!DF17</f>
        <v>0</v>
      </c>
      <c r="DZ18" s="14">
        <f>[1]Sheet2!DG17</f>
        <v>0</v>
      </c>
      <c r="EA18" s="14">
        <f>[1]Sheet2!DH17</f>
        <v>0</v>
      </c>
      <c r="EB18" s="6">
        <f>[1]Sheet2!EC17</f>
        <v>0</v>
      </c>
      <c r="EC18" s="6">
        <f>[1]Sheet2!ED17</f>
        <v>0</v>
      </c>
      <c r="ED18" s="6">
        <f>[1]Sheet2!EE17</f>
        <v>0</v>
      </c>
      <c r="EE18" s="6">
        <f>[1]Sheet2!EF17</f>
        <v>0</v>
      </c>
      <c r="EF18" s="6">
        <f>[1]Sheet2!EG17</f>
        <v>0</v>
      </c>
      <c r="EG18" s="6">
        <f>[1]Sheet2!EH17</f>
        <v>0</v>
      </c>
      <c r="EH18" s="6">
        <f>[1]Sheet2!EI17</f>
        <v>0</v>
      </c>
      <c r="EI18" s="6">
        <f>[1]Sheet2!EJ17</f>
        <v>0</v>
      </c>
      <c r="EJ18" s="6">
        <f>[1]Sheet2!EK17</f>
        <v>0</v>
      </c>
      <c r="EK18" s="6">
        <f>[1]Sheet2!EL17</f>
        <v>0</v>
      </c>
      <c r="EL18" s="6" t="str">
        <f>[1]Sheet2!EM17</f>
        <v/>
      </c>
      <c r="EM18" s="6" t="str">
        <f>[1]Sheet2!EN17</f>
        <v/>
      </c>
      <c r="EN18" s="6" t="str">
        <f>[1]Sheet2!EO17</f>
        <v/>
      </c>
      <c r="EO18" s="6" t="str">
        <f>[1]Sheet2!EP17</f>
        <v/>
      </c>
      <c r="EP18" s="6" t="str">
        <f>[1]Sheet2!EQ17</f>
        <v/>
      </c>
      <c r="EQ18" s="6" t="str">
        <f>[1]Sheet2!ER17</f>
        <v/>
      </c>
      <c r="ER18" s="6" t="str">
        <f>[1]Sheet2!ES17</f>
        <v/>
      </c>
      <c r="ES18" s="6" t="str">
        <f>[1]Sheet2!ET17</f>
        <v/>
      </c>
      <c r="ET18" s="6" t="str">
        <f>[1]Sheet2!EU17</f>
        <v/>
      </c>
      <c r="EU18" s="6" t="str">
        <f>[1]Sheet2!EV17</f>
        <v/>
      </c>
      <c r="EV18" s="6" t="str">
        <f>[1]Sheet2!EW17</f>
        <v/>
      </c>
      <c r="EW18" s="6" t="str">
        <f>[1]Sheet2!EX17</f>
        <v/>
      </c>
      <c r="EX18" s="6" t="str">
        <f>[1]Sheet2!EY17</f>
        <v/>
      </c>
      <c r="EY18" s="6" t="str">
        <f>[1]Sheet2!EZ17</f>
        <v/>
      </c>
      <c r="EZ18" s="6" t="str">
        <f>[1]Sheet2!FA17</f>
        <v/>
      </c>
      <c r="FA18" s="6" t="str">
        <f>[1]Sheet2!FB17</f>
        <v/>
      </c>
      <c r="FB18" s="6" t="str">
        <f>[1]Sheet2!FC17</f>
        <v/>
      </c>
      <c r="FC18" s="6" t="str">
        <f>[1]Sheet2!FD17</f>
        <v/>
      </c>
      <c r="FD18" s="6" t="str">
        <f>[1]Sheet2!FE17</f>
        <v/>
      </c>
      <c r="FE18" s="6" t="str">
        <f>[1]Sheet2!FF17</f>
        <v/>
      </c>
      <c r="FF18" s="6" t="str">
        <f>[1]Sheet2!FG17</f>
        <v/>
      </c>
      <c r="FG18" s="6" t="str">
        <f>[1]Sheet2!FH17</f>
        <v/>
      </c>
      <c r="FH18" s="6" t="str">
        <f>[1]Sheet2!FI17</f>
        <v/>
      </c>
      <c r="FI18" s="6" t="str">
        <f>[1]Sheet2!FJ17</f>
        <v/>
      </c>
      <c r="FJ18" s="6" t="str">
        <f>[1]Sheet2!FK17</f>
        <v/>
      </c>
      <c r="FK18" s="6" t="str">
        <f>[1]Sheet2!FL17</f>
        <v/>
      </c>
      <c r="FL18" s="6" t="str">
        <f>[1]Sheet2!FM17</f>
        <v/>
      </c>
      <c r="FM18" s="6" t="str">
        <f>[1]Sheet2!FN17</f>
        <v/>
      </c>
      <c r="FN18" s="6" t="str">
        <f>[1]Sheet2!FO17</f>
        <v/>
      </c>
      <c r="FO18" s="6" t="str">
        <f>[1]Sheet2!FP17</f>
        <v/>
      </c>
    </row>
    <row r="19" spans="1:171" x14ac:dyDescent="0.25">
      <c r="A19" s="15">
        <v>43481</v>
      </c>
      <c r="B19" s="1"/>
      <c r="C19" s="1"/>
      <c r="D19" s="1"/>
      <c r="E19" s="14">
        <f>[1]Sheet2!N18</f>
        <v>0</v>
      </c>
      <c r="F19" s="14">
        <f>[1]Sheet2!BE18</f>
        <v>0</v>
      </c>
      <c r="G19" s="14">
        <f>[1]Sheet2!CW18</f>
        <v>0</v>
      </c>
      <c r="H19" s="1"/>
      <c r="I19" s="1"/>
      <c r="J19" s="1"/>
      <c r="K19" s="16"/>
      <c r="L19" s="16">
        <f>Demand_CWRS!B$3/31</f>
        <v>313.22137613730359</v>
      </c>
      <c r="M19" s="16">
        <f>Demand_CWRS!C$3/31</f>
        <v>241.71000827129859</v>
      </c>
      <c r="N19" s="16">
        <f>Demand_CWRS!D$3/31</f>
        <v>0</v>
      </c>
      <c r="O19" s="16">
        <f>Demand_CWRS!E$3/31</f>
        <v>98.872001654259719</v>
      </c>
      <c r="P19" s="16">
        <f>Demand_CWRS!F$3/31</f>
        <v>198.36900072373859</v>
      </c>
      <c r="Q19" s="16">
        <f>Demand_CWRS!G$3/31</f>
        <v>309.67741935483872</v>
      </c>
      <c r="R19" s="16">
        <f>Demand_CWRS!H$3/31</f>
        <v>241.71000827129859</v>
      </c>
      <c r="S19" s="16">
        <f>Demand_CWRS!I$3/31</f>
        <v>200</v>
      </c>
      <c r="T19" s="16">
        <f>Demand_CWRS!J$3/31</f>
        <v>209.67741935483872</v>
      </c>
      <c r="U19" s="16">
        <f>Demand_CWRS!K$3/31</f>
        <v>216.12903225806451</v>
      </c>
      <c r="V19" s="16">
        <f t="shared" si="6"/>
        <v>1988.4579818031457</v>
      </c>
      <c r="W19" s="16">
        <f t="shared" si="7"/>
        <v>1132.6398676592216</v>
      </c>
      <c r="X19" s="16">
        <f t="shared" si="8"/>
        <v>0</v>
      </c>
      <c r="Y19" s="16">
        <f t="shared" si="9"/>
        <v>7418.0479735318513</v>
      </c>
      <c r="Z19" s="16">
        <f t="shared" si="10"/>
        <v>1826.0959884201825</v>
      </c>
      <c r="AA19" s="16">
        <f t="shared" si="11"/>
        <v>3045.1612903225778</v>
      </c>
      <c r="AB19" s="16">
        <f t="shared" si="12"/>
        <v>-3567.3601323407779</v>
      </c>
      <c r="AC19" s="16">
        <f t="shared" si="13"/>
        <v>1800</v>
      </c>
      <c r="AD19" s="16">
        <f t="shared" si="14"/>
        <v>1645.161290322581</v>
      </c>
      <c r="AE19" s="16">
        <f t="shared" si="15"/>
        <v>1541.9354838709696</v>
      </c>
      <c r="AF19" s="14">
        <f>IF([1]Sheet2!AJ18=999999,"NA",[1]Sheet2!AJ18)</f>
        <v>6</v>
      </c>
      <c r="AG19" s="14">
        <f>IF([1]Sheet2!AK18=999999,"NA",[1]Sheet2!AK18)</f>
        <v>4</v>
      </c>
      <c r="AH19" s="14" t="str">
        <f>IF([1]Sheet2!AL18=999999,"NA",[1]Sheet2!AL18)</f>
        <v>NA</v>
      </c>
      <c r="AI19" s="14">
        <f>IF([1]Sheet2!AM18=999999,"NA",[1]Sheet2!AM18)</f>
        <v>61</v>
      </c>
      <c r="AJ19" s="14">
        <f>IF([1]Sheet2!AN18=999999,"NA",[1]Sheet2!AN18)</f>
        <v>9</v>
      </c>
      <c r="AK19" s="14">
        <f>IF([1]Sheet2!AO18=999999,"NA",[1]Sheet2!AO18)</f>
        <v>9</v>
      </c>
      <c r="AL19" s="14">
        <f>IF([1]Sheet2!AP18=999999,"NA",[1]Sheet2!AP18)</f>
        <v>0</v>
      </c>
      <c r="AM19" s="14">
        <f>IF([1]Sheet2!AQ18=999999,"NA",[1]Sheet2!AQ18)</f>
        <v>9</v>
      </c>
      <c r="AN19" s="14">
        <f>IF([1]Sheet2!AR18=999999,"NA",[1]Sheet2!AR18)</f>
        <v>7</v>
      </c>
      <c r="AO19" s="14">
        <f>IF([1]Sheet2!AS18=999999,"NA",[1]Sheet2!AS18)</f>
        <v>7</v>
      </c>
      <c r="AP19" s="25">
        <f>[1]Sheet2!P18</f>
        <v>0</v>
      </c>
      <c r="AQ19" s="14">
        <f>[1]Sheet2!Q18</f>
        <v>0</v>
      </c>
      <c r="AR19" s="14">
        <f>[1]Sheet2!R18</f>
        <v>0</v>
      </c>
      <c r="AS19" s="14">
        <f>[1]Sheet2!S18</f>
        <v>0</v>
      </c>
      <c r="AT19" s="14">
        <f>[1]Sheet2!T18</f>
        <v>0</v>
      </c>
      <c r="AU19" s="25">
        <f>[1]Sheet2!U18</f>
        <v>0</v>
      </c>
      <c r="AV19" s="25">
        <f>[1]Sheet2!V18</f>
        <v>0</v>
      </c>
      <c r="AW19" s="25">
        <f>[1]Sheet2!W18</f>
        <v>0</v>
      </c>
      <c r="AX19" s="14">
        <f>[1]Sheet2!X18</f>
        <v>0</v>
      </c>
      <c r="AY19" s="14">
        <f>[1]Sheet2!Y18</f>
        <v>0</v>
      </c>
      <c r="AZ19" s="16">
        <f>Demand_LP!B$3/31</f>
        <v>503.00172404880072</v>
      </c>
      <c r="BA19" s="16">
        <f>Demand_LP!C$3/31</f>
        <v>792.35864350703059</v>
      </c>
      <c r="BB19" s="16">
        <f>Demand_LP!D$3/31</f>
        <v>231.20967741935488</v>
      </c>
      <c r="BC19" s="16">
        <f>Demand_LP!E$3/31</f>
        <v>696.53949545078569</v>
      </c>
      <c r="BD19" s="16">
        <f>Demand_LP!F$3/31</f>
        <v>482.27093930934655</v>
      </c>
      <c r="BE19" s="16">
        <f>Demand_LP!G$3/31</f>
        <v>451.61290322580646</v>
      </c>
      <c r="BF19" s="16">
        <f>Demand_LP!H$3/31</f>
        <v>774.19354838709683</v>
      </c>
      <c r="BG19" s="16">
        <f>Demand_LP!I$3/31</f>
        <v>451.61290322580646</v>
      </c>
      <c r="BH19" s="16">
        <f>Demand_LP!J$3/31</f>
        <v>387.09677419354841</v>
      </c>
      <c r="BI19" s="16">
        <f>Demand_LP!K$3/31</f>
        <v>419.35483870967744</v>
      </c>
      <c r="BJ19" s="16">
        <f t="shared" si="16"/>
        <v>1951.9724152191891</v>
      </c>
      <c r="BK19" s="16">
        <f t="shared" si="17"/>
        <v>-2677.7382961124863</v>
      </c>
      <c r="BL19" s="16">
        <f t="shared" si="18"/>
        <v>6300.6451612903247</v>
      </c>
      <c r="BM19" s="16">
        <f t="shared" si="19"/>
        <v>-1144.6319272125716</v>
      </c>
      <c r="BN19" s="16">
        <f t="shared" si="20"/>
        <v>2283.6649710504571</v>
      </c>
      <c r="BO19" s="16">
        <f t="shared" si="21"/>
        <v>2774.1935483870925</v>
      </c>
      <c r="BP19" s="16">
        <f t="shared" si="22"/>
        <v>3612.9032258064544</v>
      </c>
      <c r="BQ19" s="16">
        <f t="shared" si="23"/>
        <v>2774.1935483870925</v>
      </c>
      <c r="BR19" s="16">
        <f t="shared" si="24"/>
        <v>3806.4516129032236</v>
      </c>
      <c r="BS19" s="16">
        <f t="shared" si="25"/>
        <v>3290.3225806451619</v>
      </c>
      <c r="BT19" s="14">
        <f>IF([1]Sheet2!CB18=999999,"NA",[1]Sheet2!CB18)</f>
        <v>3</v>
      </c>
      <c r="BU19" s="14">
        <f>IF([1]Sheet2!CC18=999999,"NA",[1]Sheet2!CC18)</f>
        <v>0</v>
      </c>
      <c r="BV19" s="14">
        <f>IF([1]Sheet2!CD18=999999,"NA",[1]Sheet2!CD18)</f>
        <v>25</v>
      </c>
      <c r="BW19" s="14">
        <f>IF([1]Sheet2!CE18=999999,"NA",[1]Sheet2!CE18)</f>
        <v>0</v>
      </c>
      <c r="BX19" s="14">
        <f>IF([1]Sheet2!CF18=999999,"NA",[1]Sheet2!CF18)</f>
        <v>4</v>
      </c>
      <c r="BY19" s="14">
        <f>IF([1]Sheet2!CG18=999999,"NA",[1]Sheet2!CG18)</f>
        <v>6</v>
      </c>
      <c r="BZ19" s="14">
        <f>IF([1]Sheet2!CH18=999999,"NA",[1]Sheet2!CH18)</f>
        <v>4</v>
      </c>
      <c r="CA19" s="14">
        <f>IF([1]Sheet2!CI18=999999,"NA",[1]Sheet2!CI18)</f>
        <v>6</v>
      </c>
      <c r="CB19" s="14">
        <f>IF([1]Sheet2!CJ18=999999,"NA",[1]Sheet2!CJ18)</f>
        <v>9</v>
      </c>
      <c r="CC19" s="14">
        <f>IF([1]Sheet2!CK18=999999,"NA",[1]Sheet2!CK18)</f>
        <v>7</v>
      </c>
      <c r="CD19" s="14">
        <f>[1]Sheet2!BH18</f>
        <v>0</v>
      </c>
      <c r="CE19" s="14">
        <f>[1]Sheet2!BI18</f>
        <v>0</v>
      </c>
      <c r="CF19" s="14">
        <f>[1]Sheet2!BJ18</f>
        <v>0</v>
      </c>
      <c r="CG19" s="14">
        <f>[1]Sheet2!BK18</f>
        <v>0</v>
      </c>
      <c r="CH19" s="14">
        <f>[1]Sheet2!BL18</f>
        <v>0</v>
      </c>
      <c r="CI19" s="20">
        <f>[1]Sheet2!BM18</f>
        <v>0</v>
      </c>
      <c r="CJ19" s="20">
        <f>[1]Sheet2!BN18</f>
        <v>0</v>
      </c>
      <c r="CK19" s="20">
        <f>[1]Sheet2!BO18</f>
        <v>0</v>
      </c>
      <c r="CL19" s="14">
        <f>[1]Sheet2!BP18</f>
        <v>0</v>
      </c>
      <c r="CM19" s="14">
        <f>[1]Sheet2!BQ18</f>
        <v>0</v>
      </c>
      <c r="CN19" s="16">
        <f>Demand_SW!B$3/31</f>
        <v>139.57816377171216</v>
      </c>
      <c r="CO19" s="16">
        <f>Demand_SW!C$3/31</f>
        <v>0</v>
      </c>
      <c r="CP19" s="16">
        <f>Demand_SW!D$3/31</f>
        <v>0</v>
      </c>
      <c r="CQ19" s="16">
        <f>Demand_SW!E$3/31</f>
        <v>0</v>
      </c>
      <c r="CR19" s="16">
        <f>Demand_SW!F$3/31</f>
        <v>0</v>
      </c>
      <c r="CS19" s="16">
        <f>Demand_SW!G$3/31</f>
        <v>132.25806451612902</v>
      </c>
      <c r="CT19" s="16">
        <f>Demand_SW!H$3/31</f>
        <v>0</v>
      </c>
      <c r="CU19" s="16">
        <f>Demand_SW!I$3/31</f>
        <v>0</v>
      </c>
      <c r="CV19" s="16">
        <f>Demand_SW!J$3/31</f>
        <v>0</v>
      </c>
      <c r="CW19" s="16">
        <f>Demand_SW!K$3/31</f>
        <v>0</v>
      </c>
      <c r="CX19" s="16">
        <f t="shared" si="26"/>
        <v>2766.749379652606</v>
      </c>
      <c r="CY19" s="16">
        <f t="shared" si="27"/>
        <v>1000</v>
      </c>
      <c r="CZ19" s="16">
        <f t="shared" si="28"/>
        <v>0</v>
      </c>
      <c r="DA19" s="16">
        <f t="shared" si="29"/>
        <v>0</v>
      </c>
      <c r="DB19" s="16">
        <f t="shared" si="30"/>
        <v>0</v>
      </c>
      <c r="DC19" s="16">
        <f t="shared" si="31"/>
        <v>2883.8709677419392</v>
      </c>
      <c r="DD19" s="16">
        <f t="shared" si="32"/>
        <v>1000</v>
      </c>
      <c r="DE19" s="16">
        <f t="shared" si="33"/>
        <v>0</v>
      </c>
      <c r="DF19" s="16">
        <f t="shared" si="34"/>
        <v>0</v>
      </c>
      <c r="DG19" s="16">
        <f t="shared" si="35"/>
        <v>0</v>
      </c>
      <c r="DH19" s="14">
        <f>IF([1]Sheet2!DS18=999999,"NA",[1]Sheet2!DS18)</f>
        <v>22</v>
      </c>
      <c r="DI19" s="14">
        <f>IF([1]Sheet2!DT18=999999,"NA",[1]Sheet2!DT18)</f>
        <v>349</v>
      </c>
      <c r="DJ19" s="14" t="str">
        <f>IF([1]Sheet2!DU18=999999,"NA",[1]Sheet2!DU18)</f>
        <v>NA</v>
      </c>
      <c r="DK19" s="14" t="str">
        <f>IF([1]Sheet2!DV18=999999,"NA",[1]Sheet2!DV18)</f>
        <v>NA</v>
      </c>
      <c r="DL19" s="14" t="str">
        <f>IF([1]Sheet2!DW18=999999,"NA",[1]Sheet2!DW18)</f>
        <v>NA</v>
      </c>
      <c r="DM19" s="14">
        <f>IF([1]Sheet2!DX18=999999,"NA",[1]Sheet2!DX18)</f>
        <v>25</v>
      </c>
      <c r="DN19" s="14">
        <f>IF([1]Sheet2!DY18=999999,"NA",[1]Sheet2!DY18)</f>
        <v>349</v>
      </c>
      <c r="DO19" s="14" t="str">
        <f>IF([1]Sheet2!DZ18=999999,"NA",[1]Sheet2!DZ18)</f>
        <v>NA</v>
      </c>
      <c r="DP19" s="14" t="str">
        <f>IF([1]Sheet2!EA18=999999,"NA",[1]Sheet2!EA18)</f>
        <v>NA</v>
      </c>
      <c r="DQ19" s="14" t="str">
        <f>IF([1]Sheet2!EB18=999999,"NA",[1]Sheet2!EB18)</f>
        <v>NA</v>
      </c>
      <c r="DR19" s="14">
        <f>[1]Sheet2!CY18</f>
        <v>0</v>
      </c>
      <c r="DS19" s="14">
        <f>[1]Sheet2!CZ18</f>
        <v>0</v>
      </c>
      <c r="DT19" s="14">
        <f>[1]Sheet2!DA18</f>
        <v>0</v>
      </c>
      <c r="DU19" s="14">
        <f>[1]Sheet2!DB18</f>
        <v>0</v>
      </c>
      <c r="DV19" s="14">
        <f>[1]Sheet2!DC18</f>
        <v>0</v>
      </c>
      <c r="DW19" s="14">
        <f>[1]Sheet2!DD18</f>
        <v>0</v>
      </c>
      <c r="DX19" s="14">
        <f>[1]Sheet2!DE18</f>
        <v>0</v>
      </c>
      <c r="DY19" s="14">
        <f>[1]Sheet2!DF18</f>
        <v>0</v>
      </c>
      <c r="DZ19" s="14">
        <f>[1]Sheet2!DG18</f>
        <v>0</v>
      </c>
      <c r="EA19" s="14">
        <f>[1]Sheet2!DH18</f>
        <v>0</v>
      </c>
      <c r="EB19" s="6">
        <f>[1]Sheet2!EC18</f>
        <v>0</v>
      </c>
      <c r="EC19" s="6">
        <f>[1]Sheet2!ED18</f>
        <v>0</v>
      </c>
      <c r="ED19" s="6">
        <f>[1]Sheet2!EE18</f>
        <v>0</v>
      </c>
      <c r="EE19" s="6">
        <f>[1]Sheet2!EF18</f>
        <v>0</v>
      </c>
      <c r="EF19" s="6">
        <f>[1]Sheet2!EG18</f>
        <v>0</v>
      </c>
      <c r="EG19" s="6">
        <f>[1]Sheet2!EH18</f>
        <v>0</v>
      </c>
      <c r="EH19" s="6">
        <f>[1]Sheet2!EI18</f>
        <v>0</v>
      </c>
      <c r="EI19" s="6">
        <f>[1]Sheet2!EJ18</f>
        <v>0</v>
      </c>
      <c r="EJ19" s="6">
        <f>[1]Sheet2!EK18</f>
        <v>0</v>
      </c>
      <c r="EK19" s="6">
        <f>[1]Sheet2!EL18</f>
        <v>0</v>
      </c>
      <c r="EL19" s="6" t="str">
        <f>[1]Sheet2!EM18</f>
        <v/>
      </c>
      <c r="EM19" s="6" t="str">
        <f>[1]Sheet2!EN18</f>
        <v/>
      </c>
      <c r="EN19" s="6" t="str">
        <f>[1]Sheet2!EO18</f>
        <v/>
      </c>
      <c r="EO19" s="6" t="str">
        <f>[1]Sheet2!EP18</f>
        <v/>
      </c>
      <c r="EP19" s="6" t="str">
        <f>[1]Sheet2!EQ18</f>
        <v/>
      </c>
      <c r="EQ19" s="6" t="str">
        <f>[1]Sheet2!ER18</f>
        <v/>
      </c>
      <c r="ER19" s="6" t="str">
        <f>[1]Sheet2!ES18</f>
        <v/>
      </c>
      <c r="ES19" s="6" t="str">
        <f>[1]Sheet2!ET18</f>
        <v/>
      </c>
      <c r="ET19" s="6" t="str">
        <f>[1]Sheet2!EU18</f>
        <v/>
      </c>
      <c r="EU19" s="6" t="str">
        <f>[1]Sheet2!EV18</f>
        <v/>
      </c>
      <c r="EV19" s="6" t="str">
        <f>[1]Sheet2!EW18</f>
        <v/>
      </c>
      <c r="EW19" s="6" t="str">
        <f>[1]Sheet2!EX18</f>
        <v/>
      </c>
      <c r="EX19" s="6" t="str">
        <f>[1]Sheet2!EY18</f>
        <v/>
      </c>
      <c r="EY19" s="6" t="str">
        <f>[1]Sheet2!EZ18</f>
        <v/>
      </c>
      <c r="EZ19" s="6" t="str">
        <f>[1]Sheet2!FA18</f>
        <v/>
      </c>
      <c r="FA19" s="6" t="str">
        <f>[1]Sheet2!FB18</f>
        <v/>
      </c>
      <c r="FB19" s="6" t="str">
        <f>[1]Sheet2!FC18</f>
        <v/>
      </c>
      <c r="FC19" s="6" t="str">
        <f>[1]Sheet2!FD18</f>
        <v/>
      </c>
      <c r="FD19" s="6" t="str">
        <f>[1]Sheet2!FE18</f>
        <v/>
      </c>
      <c r="FE19" s="6" t="str">
        <f>[1]Sheet2!FF18</f>
        <v/>
      </c>
      <c r="FF19" s="6" t="str">
        <f>[1]Sheet2!FG18</f>
        <v/>
      </c>
      <c r="FG19" s="6" t="str">
        <f>[1]Sheet2!FH18</f>
        <v/>
      </c>
      <c r="FH19" s="6" t="str">
        <f>[1]Sheet2!FI18</f>
        <v/>
      </c>
      <c r="FI19" s="6" t="str">
        <f>[1]Sheet2!FJ18</f>
        <v/>
      </c>
      <c r="FJ19" s="6" t="str">
        <f>[1]Sheet2!FK18</f>
        <v/>
      </c>
      <c r="FK19" s="6" t="str">
        <f>[1]Sheet2!FL18</f>
        <v/>
      </c>
      <c r="FL19" s="6" t="str">
        <f>[1]Sheet2!FM18</f>
        <v/>
      </c>
      <c r="FM19" s="6" t="str">
        <f>[1]Sheet2!FN18</f>
        <v/>
      </c>
      <c r="FN19" s="6" t="str">
        <f>[1]Sheet2!FO18</f>
        <v/>
      </c>
      <c r="FO19" s="6" t="str">
        <f>[1]Sheet2!FP18</f>
        <v/>
      </c>
    </row>
    <row r="20" spans="1:171" x14ac:dyDescent="0.25">
      <c r="A20" s="15">
        <v>43482</v>
      </c>
      <c r="B20" s="1"/>
      <c r="C20" s="1"/>
      <c r="D20" s="1"/>
      <c r="E20" s="14">
        <f>[1]Sheet2!N19</f>
        <v>0</v>
      </c>
      <c r="F20" s="14">
        <f>[1]Sheet2!BE19</f>
        <v>0</v>
      </c>
      <c r="G20" s="14">
        <f>[1]Sheet2!CW19</f>
        <v>0</v>
      </c>
      <c r="H20" s="1"/>
      <c r="I20" s="1"/>
      <c r="J20" s="1"/>
      <c r="K20" s="16"/>
      <c r="L20" s="16">
        <f>Demand_CWRS!B$3/31</f>
        <v>313.22137613730359</v>
      </c>
      <c r="M20" s="16">
        <f>Demand_CWRS!C$3/31</f>
        <v>241.71000827129859</v>
      </c>
      <c r="N20" s="16">
        <f>Demand_CWRS!D$3/31</f>
        <v>0</v>
      </c>
      <c r="O20" s="16">
        <f>Demand_CWRS!E$3/31</f>
        <v>98.872001654259719</v>
      </c>
      <c r="P20" s="16">
        <f>Demand_CWRS!F$3/31</f>
        <v>198.36900072373859</v>
      </c>
      <c r="Q20" s="16">
        <f>Demand_CWRS!G$3/31</f>
        <v>309.67741935483872</v>
      </c>
      <c r="R20" s="16">
        <f>Demand_CWRS!H$3/31</f>
        <v>241.71000827129859</v>
      </c>
      <c r="S20" s="16">
        <f>Demand_CWRS!I$3/31</f>
        <v>200</v>
      </c>
      <c r="T20" s="16">
        <f>Demand_CWRS!J$3/31</f>
        <v>209.67741935483872</v>
      </c>
      <c r="U20" s="16">
        <f>Demand_CWRS!K$3/31</f>
        <v>216.12903225806451</v>
      </c>
      <c r="V20" s="16">
        <f t="shared" si="6"/>
        <v>1675.236605665842</v>
      </c>
      <c r="W20" s="16">
        <f t="shared" si="7"/>
        <v>890.92985938792299</v>
      </c>
      <c r="X20" s="16">
        <f t="shared" si="8"/>
        <v>0</v>
      </c>
      <c r="Y20" s="16">
        <f t="shared" si="9"/>
        <v>7319.175971877592</v>
      </c>
      <c r="Z20" s="16">
        <f t="shared" si="10"/>
        <v>1627.726987696444</v>
      </c>
      <c r="AA20" s="16">
        <f t="shared" si="11"/>
        <v>2735.4838709677392</v>
      </c>
      <c r="AB20" s="16">
        <f t="shared" si="12"/>
        <v>-3809.0701406120766</v>
      </c>
      <c r="AC20" s="16">
        <f t="shared" si="13"/>
        <v>1600</v>
      </c>
      <c r="AD20" s="16">
        <f t="shared" si="14"/>
        <v>1435.4838709677422</v>
      </c>
      <c r="AE20" s="16">
        <f t="shared" si="15"/>
        <v>1325.8064516129052</v>
      </c>
      <c r="AF20" s="14">
        <f>IF([1]Sheet2!AJ19=999999,"NA",[1]Sheet2!AJ19)</f>
        <v>5</v>
      </c>
      <c r="AG20" s="14">
        <f>IF([1]Sheet2!AK19=999999,"NA",[1]Sheet2!AK19)</f>
        <v>3</v>
      </c>
      <c r="AH20" s="14" t="str">
        <f>IF([1]Sheet2!AL19=999999,"NA",[1]Sheet2!AL19)</f>
        <v>NA</v>
      </c>
      <c r="AI20" s="14">
        <f>IF([1]Sheet2!AM19=999999,"NA",[1]Sheet2!AM19)</f>
        <v>60</v>
      </c>
      <c r="AJ20" s="14">
        <f>IF([1]Sheet2!AN19=999999,"NA",[1]Sheet2!AN19)</f>
        <v>8</v>
      </c>
      <c r="AK20" s="14">
        <f>IF([1]Sheet2!AO19=999999,"NA",[1]Sheet2!AO19)</f>
        <v>8</v>
      </c>
      <c r="AL20" s="14">
        <f>IF([1]Sheet2!AP19=999999,"NA",[1]Sheet2!AP19)</f>
        <v>0</v>
      </c>
      <c r="AM20" s="14">
        <f>IF([1]Sheet2!AQ19=999999,"NA",[1]Sheet2!AQ19)</f>
        <v>8</v>
      </c>
      <c r="AN20" s="14">
        <f>IF([1]Sheet2!AR19=999999,"NA",[1]Sheet2!AR19)</f>
        <v>6</v>
      </c>
      <c r="AO20" s="14">
        <f>IF([1]Sheet2!AS19=999999,"NA",[1]Sheet2!AS19)</f>
        <v>6</v>
      </c>
      <c r="AP20" s="20">
        <f>[1]Sheet2!P19</f>
        <v>0</v>
      </c>
      <c r="AQ20" s="25">
        <f>[1]Sheet2!Q19</f>
        <v>0</v>
      </c>
      <c r="AR20" s="14">
        <f>[1]Sheet2!R19</f>
        <v>0</v>
      </c>
      <c r="AS20" s="14">
        <f>[1]Sheet2!S19</f>
        <v>0</v>
      </c>
      <c r="AT20" s="14">
        <f>[1]Sheet2!T19</f>
        <v>0</v>
      </c>
      <c r="AU20" s="14">
        <f>[1]Sheet2!U19</f>
        <v>0</v>
      </c>
      <c r="AV20" s="14">
        <f>[1]Sheet2!V19</f>
        <v>0</v>
      </c>
      <c r="AW20" s="14">
        <f>[1]Sheet2!W19</f>
        <v>0</v>
      </c>
      <c r="AX20" s="14">
        <f>[1]Sheet2!X19</f>
        <v>0</v>
      </c>
      <c r="AY20" s="14">
        <f>[1]Sheet2!Y19</f>
        <v>0</v>
      </c>
      <c r="AZ20" s="16">
        <f>Demand_LP!B$3/31</f>
        <v>503.00172404880072</v>
      </c>
      <c r="BA20" s="16">
        <f>Demand_LP!C$3/31</f>
        <v>792.35864350703059</v>
      </c>
      <c r="BB20" s="16">
        <f>Demand_LP!D$3/31</f>
        <v>231.20967741935488</v>
      </c>
      <c r="BC20" s="16">
        <f>Demand_LP!E$3/31</f>
        <v>696.53949545078569</v>
      </c>
      <c r="BD20" s="16">
        <f>Demand_LP!F$3/31</f>
        <v>482.27093930934655</v>
      </c>
      <c r="BE20" s="16">
        <f>Demand_LP!G$3/31</f>
        <v>451.61290322580646</v>
      </c>
      <c r="BF20" s="16">
        <f>Demand_LP!H$3/31</f>
        <v>774.19354838709683</v>
      </c>
      <c r="BG20" s="16">
        <f>Demand_LP!I$3/31</f>
        <v>451.61290322580646</v>
      </c>
      <c r="BH20" s="16">
        <f>Demand_LP!J$3/31</f>
        <v>387.09677419354841</v>
      </c>
      <c r="BI20" s="16">
        <f>Demand_LP!K$3/31</f>
        <v>419.35483870967744</v>
      </c>
      <c r="BJ20" s="16">
        <f t="shared" si="16"/>
        <v>1448.9706911703884</v>
      </c>
      <c r="BK20" s="16">
        <f t="shared" si="17"/>
        <v>-3470.0969396195169</v>
      </c>
      <c r="BL20" s="16">
        <f t="shared" si="18"/>
        <v>6069.4354838709696</v>
      </c>
      <c r="BM20" s="16">
        <f t="shared" si="19"/>
        <v>-1841.1714226633571</v>
      </c>
      <c r="BN20" s="16">
        <f t="shared" si="20"/>
        <v>1801.3940317411107</v>
      </c>
      <c r="BO20" s="16">
        <f t="shared" si="21"/>
        <v>2322.5806451612862</v>
      </c>
      <c r="BP20" s="16">
        <f t="shared" si="22"/>
        <v>2838.7096774193578</v>
      </c>
      <c r="BQ20" s="16">
        <f t="shared" si="23"/>
        <v>2322.5806451612862</v>
      </c>
      <c r="BR20" s="16">
        <f t="shared" si="24"/>
        <v>3419.3548387096753</v>
      </c>
      <c r="BS20" s="16">
        <f t="shared" si="25"/>
        <v>2870.9677419354844</v>
      </c>
      <c r="BT20" s="14">
        <f>IF([1]Sheet2!CB19=999999,"NA",[1]Sheet2!CB19)</f>
        <v>2</v>
      </c>
      <c r="BU20" s="14">
        <f>IF([1]Sheet2!CC19=999999,"NA",[1]Sheet2!CC19)</f>
        <v>0</v>
      </c>
      <c r="BV20" s="14">
        <f>IF([1]Sheet2!CD19=999999,"NA",[1]Sheet2!CD19)</f>
        <v>24</v>
      </c>
      <c r="BW20" s="14">
        <f>IF([1]Sheet2!CE19=999999,"NA",[1]Sheet2!CE19)</f>
        <v>0</v>
      </c>
      <c r="BX20" s="14">
        <f>IF([1]Sheet2!CF19=999999,"NA",[1]Sheet2!CF19)</f>
        <v>3</v>
      </c>
      <c r="BY20" s="14">
        <f>IF([1]Sheet2!CG19=999999,"NA",[1]Sheet2!CG19)</f>
        <v>5</v>
      </c>
      <c r="BZ20" s="14">
        <f>IF([1]Sheet2!CH19=999999,"NA",[1]Sheet2!CH19)</f>
        <v>3</v>
      </c>
      <c r="CA20" s="14">
        <f>IF([1]Sheet2!CI19=999999,"NA",[1]Sheet2!CI19)</f>
        <v>5</v>
      </c>
      <c r="CB20" s="14">
        <f>IF([1]Sheet2!CJ19=999999,"NA",[1]Sheet2!CJ19)</f>
        <v>8</v>
      </c>
      <c r="CC20" s="14">
        <f>IF([1]Sheet2!CK19=999999,"NA",[1]Sheet2!CK19)</f>
        <v>6</v>
      </c>
      <c r="CD20" s="14">
        <f>[1]Sheet2!BH19</f>
        <v>0</v>
      </c>
      <c r="CE20" s="14">
        <f>[1]Sheet2!BI19</f>
        <v>0</v>
      </c>
      <c r="CF20" s="14">
        <f>[1]Sheet2!BJ19</f>
        <v>0</v>
      </c>
      <c r="CG20" s="14">
        <f>[1]Sheet2!BK19</f>
        <v>0</v>
      </c>
      <c r="CH20" s="14">
        <f>[1]Sheet2!BL19</f>
        <v>0</v>
      </c>
      <c r="CI20" s="14">
        <f>[1]Sheet2!BM19</f>
        <v>0</v>
      </c>
      <c r="CJ20" s="14">
        <f>[1]Sheet2!BN19</f>
        <v>0</v>
      </c>
      <c r="CK20" s="14">
        <f>[1]Sheet2!BO19</f>
        <v>0</v>
      </c>
      <c r="CL20" s="14">
        <f>[1]Sheet2!BP19</f>
        <v>0</v>
      </c>
      <c r="CM20" s="14">
        <f>[1]Sheet2!BQ19</f>
        <v>0</v>
      </c>
      <c r="CN20" s="16">
        <f>Demand_SW!B$3/31</f>
        <v>139.57816377171216</v>
      </c>
      <c r="CO20" s="16">
        <f>Demand_SW!C$3/31</f>
        <v>0</v>
      </c>
      <c r="CP20" s="16">
        <f>Demand_SW!D$3/31</f>
        <v>0</v>
      </c>
      <c r="CQ20" s="16">
        <f>Demand_SW!E$3/31</f>
        <v>0</v>
      </c>
      <c r="CR20" s="16">
        <f>Demand_SW!F$3/31</f>
        <v>0</v>
      </c>
      <c r="CS20" s="16">
        <f>Demand_SW!G$3/31</f>
        <v>132.25806451612902</v>
      </c>
      <c r="CT20" s="16">
        <f>Demand_SW!H$3/31</f>
        <v>0</v>
      </c>
      <c r="CU20" s="16">
        <f>Demand_SW!I$3/31</f>
        <v>0</v>
      </c>
      <c r="CV20" s="16">
        <f>Demand_SW!J$3/31</f>
        <v>0</v>
      </c>
      <c r="CW20" s="16">
        <f>Demand_SW!K$3/31</f>
        <v>0</v>
      </c>
      <c r="CX20" s="16">
        <f t="shared" si="26"/>
        <v>2627.1712158808937</v>
      </c>
      <c r="CY20" s="16">
        <f t="shared" si="27"/>
        <v>1000</v>
      </c>
      <c r="CZ20" s="16">
        <f t="shared" si="28"/>
        <v>0</v>
      </c>
      <c r="DA20" s="16">
        <f t="shared" si="29"/>
        <v>0</v>
      </c>
      <c r="DB20" s="16">
        <f t="shared" si="30"/>
        <v>0</v>
      </c>
      <c r="DC20" s="16">
        <f t="shared" si="31"/>
        <v>2751.6129032258104</v>
      </c>
      <c r="DD20" s="16">
        <f t="shared" si="32"/>
        <v>1000</v>
      </c>
      <c r="DE20" s="16">
        <f t="shared" si="33"/>
        <v>0</v>
      </c>
      <c r="DF20" s="16">
        <f t="shared" si="34"/>
        <v>0</v>
      </c>
      <c r="DG20" s="16">
        <f t="shared" si="35"/>
        <v>0</v>
      </c>
      <c r="DH20" s="14">
        <f>IF([1]Sheet2!DS19=999999,"NA",[1]Sheet2!DS19)</f>
        <v>21</v>
      </c>
      <c r="DI20" s="14">
        <f>IF([1]Sheet2!DT19=999999,"NA",[1]Sheet2!DT19)</f>
        <v>348</v>
      </c>
      <c r="DJ20" s="14" t="str">
        <f>IF([1]Sheet2!DU19=999999,"NA",[1]Sheet2!DU19)</f>
        <v>NA</v>
      </c>
      <c r="DK20" s="14" t="str">
        <f>IF([1]Sheet2!DV19=999999,"NA",[1]Sheet2!DV19)</f>
        <v>NA</v>
      </c>
      <c r="DL20" s="14" t="str">
        <f>IF([1]Sheet2!DW19=999999,"NA",[1]Sheet2!DW19)</f>
        <v>NA</v>
      </c>
      <c r="DM20" s="14">
        <f>IF([1]Sheet2!DX19=999999,"NA",[1]Sheet2!DX19)</f>
        <v>24</v>
      </c>
      <c r="DN20" s="14">
        <f>IF([1]Sheet2!DY19=999999,"NA",[1]Sheet2!DY19)</f>
        <v>348</v>
      </c>
      <c r="DO20" s="14" t="str">
        <f>IF([1]Sheet2!DZ19=999999,"NA",[1]Sheet2!DZ19)</f>
        <v>NA</v>
      </c>
      <c r="DP20" s="14" t="str">
        <f>IF([1]Sheet2!EA19=999999,"NA",[1]Sheet2!EA19)</f>
        <v>NA</v>
      </c>
      <c r="DQ20" s="14" t="str">
        <f>IF([1]Sheet2!EB19=999999,"NA",[1]Sheet2!EB19)</f>
        <v>NA</v>
      </c>
      <c r="DR20" s="14">
        <f>[1]Sheet2!CY19</f>
        <v>0</v>
      </c>
      <c r="DS20" s="14">
        <f>[1]Sheet2!CZ19</f>
        <v>0</v>
      </c>
      <c r="DT20" s="14">
        <f>[1]Sheet2!DA19</f>
        <v>0</v>
      </c>
      <c r="DU20" s="14">
        <f>[1]Sheet2!DB19</f>
        <v>0</v>
      </c>
      <c r="DV20" s="14">
        <f>[1]Sheet2!DC19</f>
        <v>0</v>
      </c>
      <c r="DW20" s="14">
        <f>[1]Sheet2!DD19</f>
        <v>0</v>
      </c>
      <c r="DX20" s="14">
        <f>[1]Sheet2!DE19</f>
        <v>0</v>
      </c>
      <c r="DY20" s="14">
        <f>[1]Sheet2!DF19</f>
        <v>0</v>
      </c>
      <c r="DZ20" s="14">
        <f>[1]Sheet2!DG19</f>
        <v>0</v>
      </c>
      <c r="EA20" s="14">
        <f>[1]Sheet2!DH19</f>
        <v>0</v>
      </c>
      <c r="EB20" s="6">
        <f>[1]Sheet2!EC19</f>
        <v>0</v>
      </c>
      <c r="EC20" s="6">
        <f>[1]Sheet2!ED19</f>
        <v>0</v>
      </c>
      <c r="ED20" s="6">
        <f>[1]Sheet2!EE19</f>
        <v>0</v>
      </c>
      <c r="EE20" s="6">
        <f>[1]Sheet2!EF19</f>
        <v>0</v>
      </c>
      <c r="EF20" s="6">
        <f>[1]Sheet2!EG19</f>
        <v>0</v>
      </c>
      <c r="EG20" s="6">
        <f>[1]Sheet2!EH19</f>
        <v>0</v>
      </c>
      <c r="EH20" s="6">
        <f>[1]Sheet2!EI19</f>
        <v>0</v>
      </c>
      <c r="EI20" s="6">
        <f>[1]Sheet2!EJ19</f>
        <v>0</v>
      </c>
      <c r="EJ20" s="6">
        <f>[1]Sheet2!EK19</f>
        <v>0</v>
      </c>
      <c r="EK20" s="6">
        <f>[1]Sheet2!EL19</f>
        <v>0</v>
      </c>
      <c r="EL20" s="6" t="str">
        <f>[1]Sheet2!EM19</f>
        <v/>
      </c>
      <c r="EM20" s="6" t="str">
        <f>[1]Sheet2!EN19</f>
        <v/>
      </c>
      <c r="EN20" s="6" t="str">
        <f>[1]Sheet2!EO19</f>
        <v/>
      </c>
      <c r="EO20" s="6" t="str">
        <f>[1]Sheet2!EP19</f>
        <v/>
      </c>
      <c r="EP20" s="6" t="str">
        <f>[1]Sheet2!EQ19</f>
        <v/>
      </c>
      <c r="EQ20" s="6" t="str">
        <f>[1]Sheet2!ER19</f>
        <v/>
      </c>
      <c r="ER20" s="6" t="str">
        <f>[1]Sheet2!ES19</f>
        <v/>
      </c>
      <c r="ES20" s="6" t="str">
        <f>[1]Sheet2!ET19</f>
        <v/>
      </c>
      <c r="ET20" s="6" t="str">
        <f>[1]Sheet2!EU19</f>
        <v/>
      </c>
      <c r="EU20" s="6" t="str">
        <f>[1]Sheet2!EV19</f>
        <v/>
      </c>
      <c r="EV20" s="6" t="str">
        <f>[1]Sheet2!EW19</f>
        <v/>
      </c>
      <c r="EW20" s="6" t="str">
        <f>[1]Sheet2!EX19</f>
        <v/>
      </c>
      <c r="EX20" s="6" t="str">
        <f>[1]Sheet2!EY19</f>
        <v/>
      </c>
      <c r="EY20" s="6" t="str">
        <f>[1]Sheet2!EZ19</f>
        <v/>
      </c>
      <c r="EZ20" s="6" t="str">
        <f>[1]Sheet2!FA19</f>
        <v/>
      </c>
      <c r="FA20" s="6" t="str">
        <f>[1]Sheet2!FB19</f>
        <v/>
      </c>
      <c r="FB20" s="6" t="str">
        <f>[1]Sheet2!FC19</f>
        <v/>
      </c>
      <c r="FC20" s="6" t="str">
        <f>[1]Sheet2!FD19</f>
        <v/>
      </c>
      <c r="FD20" s="6" t="str">
        <f>[1]Sheet2!FE19</f>
        <v/>
      </c>
      <c r="FE20" s="6" t="str">
        <f>[1]Sheet2!FF19</f>
        <v/>
      </c>
      <c r="FF20" s="6" t="str">
        <f>[1]Sheet2!FG19</f>
        <v/>
      </c>
      <c r="FG20" s="6" t="str">
        <f>[1]Sheet2!FH19</f>
        <v/>
      </c>
      <c r="FH20" s="6" t="str">
        <f>[1]Sheet2!FI19</f>
        <v/>
      </c>
      <c r="FI20" s="6" t="str">
        <f>[1]Sheet2!FJ19</f>
        <v/>
      </c>
      <c r="FJ20" s="6" t="str">
        <f>[1]Sheet2!FK19</f>
        <v/>
      </c>
      <c r="FK20" s="6" t="str">
        <f>[1]Sheet2!FL19</f>
        <v/>
      </c>
      <c r="FL20" s="6" t="str">
        <f>[1]Sheet2!FM19</f>
        <v/>
      </c>
      <c r="FM20" s="6" t="str">
        <f>[1]Sheet2!FN19</f>
        <v/>
      </c>
      <c r="FN20" s="6" t="str">
        <f>[1]Sheet2!FO19</f>
        <v/>
      </c>
      <c r="FO20" s="6" t="str">
        <f>[1]Sheet2!FP19</f>
        <v/>
      </c>
    </row>
    <row r="21" spans="1:171" x14ac:dyDescent="0.25">
      <c r="A21" s="15">
        <v>43483</v>
      </c>
      <c r="B21" s="1"/>
      <c r="C21" s="1"/>
      <c r="D21" s="1"/>
      <c r="E21" s="14">
        <f>[1]Sheet2!N20</f>
        <v>0</v>
      </c>
      <c r="F21" s="14">
        <f>[1]Sheet2!BE20</f>
        <v>0</v>
      </c>
      <c r="G21" s="14">
        <f>[1]Sheet2!CW20</f>
        <v>0</v>
      </c>
      <c r="H21" s="1"/>
      <c r="I21" s="1"/>
      <c r="J21" s="1"/>
      <c r="K21" s="16"/>
      <c r="L21" s="16">
        <f>Demand_CWRS!B$3/31</f>
        <v>313.22137613730359</v>
      </c>
      <c r="M21" s="16">
        <f>Demand_CWRS!C$3/31</f>
        <v>241.71000827129859</v>
      </c>
      <c r="N21" s="16">
        <f>Demand_CWRS!D$3/31</f>
        <v>0</v>
      </c>
      <c r="O21" s="16">
        <f>Demand_CWRS!E$3/31</f>
        <v>98.872001654259719</v>
      </c>
      <c r="P21" s="16">
        <f>Demand_CWRS!F$3/31</f>
        <v>198.36900072373859</v>
      </c>
      <c r="Q21" s="16">
        <f>Demand_CWRS!G$3/31</f>
        <v>309.67741935483872</v>
      </c>
      <c r="R21" s="16">
        <f>Demand_CWRS!H$3/31</f>
        <v>241.71000827129859</v>
      </c>
      <c r="S21" s="16">
        <f>Demand_CWRS!I$3/31</f>
        <v>200</v>
      </c>
      <c r="T21" s="16">
        <f>Demand_CWRS!J$3/31</f>
        <v>209.67741935483872</v>
      </c>
      <c r="U21" s="16">
        <f>Demand_CWRS!K$3/31</f>
        <v>216.12903225806451</v>
      </c>
      <c r="V21" s="16">
        <f t="shared" si="6"/>
        <v>1362.0152295285384</v>
      </c>
      <c r="W21" s="16">
        <f t="shared" si="7"/>
        <v>649.21985111662434</v>
      </c>
      <c r="X21" s="16">
        <f t="shared" si="8"/>
        <v>0</v>
      </c>
      <c r="Y21" s="16">
        <f t="shared" si="9"/>
        <v>7220.3039702233327</v>
      </c>
      <c r="Z21" s="16">
        <f t="shared" si="10"/>
        <v>1429.3579869727055</v>
      </c>
      <c r="AA21" s="16">
        <f t="shared" si="11"/>
        <v>2425.8064516129007</v>
      </c>
      <c r="AB21" s="16">
        <f t="shared" si="12"/>
        <v>-4050.7801488833752</v>
      </c>
      <c r="AC21" s="16">
        <f t="shared" si="13"/>
        <v>1400</v>
      </c>
      <c r="AD21" s="16">
        <f t="shared" si="14"/>
        <v>1225.8064516129034</v>
      </c>
      <c r="AE21" s="16">
        <f t="shared" si="15"/>
        <v>1109.6774193548408</v>
      </c>
      <c r="AF21" s="14">
        <f>IF([1]Sheet2!AJ20=999999,"NA",[1]Sheet2!AJ20)</f>
        <v>4</v>
      </c>
      <c r="AG21" s="14">
        <f>IF([1]Sheet2!AK20=999999,"NA",[1]Sheet2!AK20)</f>
        <v>2</v>
      </c>
      <c r="AH21" s="14" t="str">
        <f>IF([1]Sheet2!AL20=999999,"NA",[1]Sheet2!AL20)</f>
        <v>NA</v>
      </c>
      <c r="AI21" s="14">
        <f>IF([1]Sheet2!AM20=999999,"NA",[1]Sheet2!AM20)</f>
        <v>59</v>
      </c>
      <c r="AJ21" s="14">
        <f>IF([1]Sheet2!AN20=999999,"NA",[1]Sheet2!AN20)</f>
        <v>7</v>
      </c>
      <c r="AK21" s="14">
        <f>IF([1]Sheet2!AO20=999999,"NA",[1]Sheet2!AO20)</f>
        <v>7</v>
      </c>
      <c r="AL21" s="14">
        <f>IF([1]Sheet2!AP20=999999,"NA",[1]Sheet2!AP20)</f>
        <v>0</v>
      </c>
      <c r="AM21" s="14">
        <f>IF([1]Sheet2!AQ20=999999,"NA",[1]Sheet2!AQ20)</f>
        <v>7</v>
      </c>
      <c r="AN21" s="14">
        <f>IF([1]Sheet2!AR20=999999,"NA",[1]Sheet2!AR20)</f>
        <v>5</v>
      </c>
      <c r="AO21" s="14">
        <f>IF([1]Sheet2!AS20=999999,"NA",[1]Sheet2!AS20)</f>
        <v>5</v>
      </c>
      <c r="AP21" s="20">
        <f>[1]Sheet2!P20</f>
        <v>0</v>
      </c>
      <c r="AQ21" s="20">
        <f>[1]Sheet2!Q20</f>
        <v>0</v>
      </c>
      <c r="AR21" s="14">
        <f>[1]Sheet2!R20</f>
        <v>0</v>
      </c>
      <c r="AS21" s="14">
        <f>[1]Sheet2!S20</f>
        <v>0</v>
      </c>
      <c r="AT21" s="14">
        <f>[1]Sheet2!T20</f>
        <v>0</v>
      </c>
      <c r="AU21" s="14">
        <f>[1]Sheet2!U20</f>
        <v>0</v>
      </c>
      <c r="AV21" s="14">
        <f>[1]Sheet2!V20</f>
        <v>0</v>
      </c>
      <c r="AW21" s="14">
        <f>[1]Sheet2!W20</f>
        <v>0</v>
      </c>
      <c r="AX21" s="14">
        <f>[1]Sheet2!X20</f>
        <v>0</v>
      </c>
      <c r="AY21" s="14">
        <f>[1]Sheet2!Y20</f>
        <v>0</v>
      </c>
      <c r="AZ21" s="16">
        <f>Demand_LP!B$3/31</f>
        <v>503.00172404880072</v>
      </c>
      <c r="BA21" s="16">
        <f>Demand_LP!C$3/31</f>
        <v>792.35864350703059</v>
      </c>
      <c r="BB21" s="16">
        <f>Demand_LP!D$3/31</f>
        <v>231.20967741935488</v>
      </c>
      <c r="BC21" s="16">
        <f>Demand_LP!E$3/31</f>
        <v>696.53949545078569</v>
      </c>
      <c r="BD21" s="16">
        <f>Demand_LP!F$3/31</f>
        <v>482.27093930934655</v>
      </c>
      <c r="BE21" s="16">
        <f>Demand_LP!G$3/31</f>
        <v>451.61290322580646</v>
      </c>
      <c r="BF21" s="16">
        <f>Demand_LP!H$3/31</f>
        <v>774.19354838709683</v>
      </c>
      <c r="BG21" s="16">
        <f>Demand_LP!I$3/31</f>
        <v>451.61290322580646</v>
      </c>
      <c r="BH21" s="16">
        <f>Demand_LP!J$3/31</f>
        <v>387.09677419354841</v>
      </c>
      <c r="BI21" s="16">
        <f>Demand_LP!K$3/31</f>
        <v>419.35483870967744</v>
      </c>
      <c r="BJ21" s="16">
        <f t="shared" si="16"/>
        <v>945.96896712158764</v>
      </c>
      <c r="BK21" s="16">
        <f t="shared" si="17"/>
        <v>-4262.4555831265479</v>
      </c>
      <c r="BL21" s="16">
        <f t="shared" si="18"/>
        <v>5838.2258064516145</v>
      </c>
      <c r="BM21" s="16">
        <f t="shared" si="19"/>
        <v>-2537.7109181141427</v>
      </c>
      <c r="BN21" s="16">
        <f t="shared" si="20"/>
        <v>1319.1230924317642</v>
      </c>
      <c r="BO21" s="16">
        <f t="shared" si="21"/>
        <v>1870.9677419354798</v>
      </c>
      <c r="BP21" s="16">
        <f t="shared" si="22"/>
        <v>2064.5161290322612</v>
      </c>
      <c r="BQ21" s="16">
        <f t="shared" si="23"/>
        <v>1870.9677419354798</v>
      </c>
      <c r="BR21" s="16">
        <f t="shared" si="24"/>
        <v>3032.258064516127</v>
      </c>
      <c r="BS21" s="16">
        <f t="shared" si="25"/>
        <v>2451.6129032258068</v>
      </c>
      <c r="BT21" s="14">
        <f>IF([1]Sheet2!CB20=999999,"NA",[1]Sheet2!CB20)</f>
        <v>1</v>
      </c>
      <c r="BU21" s="14">
        <f>IF([1]Sheet2!CC20=999999,"NA",[1]Sheet2!CC20)</f>
        <v>0</v>
      </c>
      <c r="BV21" s="14">
        <f>IF([1]Sheet2!CD20=999999,"NA",[1]Sheet2!CD20)</f>
        <v>23</v>
      </c>
      <c r="BW21" s="14">
        <f>IF([1]Sheet2!CE20=999999,"NA",[1]Sheet2!CE20)</f>
        <v>0</v>
      </c>
      <c r="BX21" s="14">
        <f>IF([1]Sheet2!CF20=999999,"NA",[1]Sheet2!CF20)</f>
        <v>2</v>
      </c>
      <c r="BY21" s="14">
        <f>IF([1]Sheet2!CG20=999999,"NA",[1]Sheet2!CG20)</f>
        <v>4</v>
      </c>
      <c r="BZ21" s="14">
        <f>IF([1]Sheet2!CH20=999999,"NA",[1]Sheet2!CH20)</f>
        <v>2</v>
      </c>
      <c r="CA21" s="14">
        <f>IF([1]Sheet2!CI20=999999,"NA",[1]Sheet2!CI20)</f>
        <v>4</v>
      </c>
      <c r="CB21" s="14">
        <f>IF([1]Sheet2!CJ20=999999,"NA",[1]Sheet2!CJ20)</f>
        <v>7</v>
      </c>
      <c r="CC21" s="14">
        <f>IF([1]Sheet2!CK20=999999,"NA",[1]Sheet2!CK20)</f>
        <v>5</v>
      </c>
      <c r="CD21" s="14">
        <f>[1]Sheet2!BH20</f>
        <v>0</v>
      </c>
      <c r="CE21" s="14">
        <f>[1]Sheet2!BI20</f>
        <v>0</v>
      </c>
      <c r="CF21" s="14">
        <f>[1]Sheet2!BJ20</f>
        <v>0</v>
      </c>
      <c r="CG21" s="14">
        <f>[1]Sheet2!BK20</f>
        <v>0</v>
      </c>
      <c r="CH21" s="14">
        <f>[1]Sheet2!BL20</f>
        <v>0</v>
      </c>
      <c r="CI21" s="14">
        <f>[1]Sheet2!BM20</f>
        <v>0</v>
      </c>
      <c r="CJ21" s="14">
        <f>[1]Sheet2!BN20</f>
        <v>0</v>
      </c>
      <c r="CK21" s="14">
        <f>[1]Sheet2!BO20</f>
        <v>0</v>
      </c>
      <c r="CL21" s="14">
        <f>[1]Sheet2!BP20</f>
        <v>0</v>
      </c>
      <c r="CM21" s="14">
        <f>[1]Sheet2!BQ20</f>
        <v>0</v>
      </c>
      <c r="CN21" s="16">
        <f>Demand_SW!B$3/31</f>
        <v>139.57816377171216</v>
      </c>
      <c r="CO21" s="16">
        <f>Demand_SW!C$3/31</f>
        <v>0</v>
      </c>
      <c r="CP21" s="16">
        <f>Demand_SW!D$3/31</f>
        <v>0</v>
      </c>
      <c r="CQ21" s="16">
        <f>Demand_SW!E$3/31</f>
        <v>0</v>
      </c>
      <c r="CR21" s="16">
        <f>Demand_SW!F$3/31</f>
        <v>0</v>
      </c>
      <c r="CS21" s="16">
        <f>Demand_SW!G$3/31</f>
        <v>132.25806451612902</v>
      </c>
      <c r="CT21" s="16">
        <f>Demand_SW!H$3/31</f>
        <v>0</v>
      </c>
      <c r="CU21" s="16">
        <f>Demand_SW!I$3/31</f>
        <v>0</v>
      </c>
      <c r="CV21" s="16">
        <f>Demand_SW!J$3/31</f>
        <v>0</v>
      </c>
      <c r="CW21" s="16">
        <f>Demand_SW!K$3/31</f>
        <v>0</v>
      </c>
      <c r="CX21" s="16">
        <f t="shared" si="26"/>
        <v>2487.5930521091814</v>
      </c>
      <c r="CY21" s="16">
        <f t="shared" si="27"/>
        <v>1000</v>
      </c>
      <c r="CZ21" s="16">
        <f t="shared" si="28"/>
        <v>0</v>
      </c>
      <c r="DA21" s="16">
        <f t="shared" si="29"/>
        <v>0</v>
      </c>
      <c r="DB21" s="16">
        <f t="shared" si="30"/>
        <v>0</v>
      </c>
      <c r="DC21" s="16">
        <f t="shared" si="31"/>
        <v>2619.3548387096816</v>
      </c>
      <c r="DD21" s="16">
        <f t="shared" si="32"/>
        <v>1000</v>
      </c>
      <c r="DE21" s="16">
        <f t="shared" si="33"/>
        <v>0</v>
      </c>
      <c r="DF21" s="16">
        <f t="shared" si="34"/>
        <v>0</v>
      </c>
      <c r="DG21" s="16">
        <f t="shared" si="35"/>
        <v>0</v>
      </c>
      <c r="DH21" s="14">
        <f>IF([1]Sheet2!DS20=999999,"NA",[1]Sheet2!DS20)</f>
        <v>20</v>
      </c>
      <c r="DI21" s="14">
        <f>IF([1]Sheet2!DT20=999999,"NA",[1]Sheet2!DT20)</f>
        <v>347</v>
      </c>
      <c r="DJ21" s="14" t="str">
        <f>IF([1]Sheet2!DU20=999999,"NA",[1]Sheet2!DU20)</f>
        <v>NA</v>
      </c>
      <c r="DK21" s="14" t="str">
        <f>IF([1]Sheet2!DV20=999999,"NA",[1]Sheet2!DV20)</f>
        <v>NA</v>
      </c>
      <c r="DL21" s="14" t="str">
        <f>IF([1]Sheet2!DW20=999999,"NA",[1]Sheet2!DW20)</f>
        <v>NA</v>
      </c>
      <c r="DM21" s="14">
        <f>IF([1]Sheet2!DX20=999999,"NA",[1]Sheet2!DX20)</f>
        <v>23</v>
      </c>
      <c r="DN21" s="14">
        <f>IF([1]Sheet2!DY20=999999,"NA",[1]Sheet2!DY20)</f>
        <v>347</v>
      </c>
      <c r="DO21" s="14" t="str">
        <f>IF([1]Sheet2!DZ20=999999,"NA",[1]Sheet2!DZ20)</f>
        <v>NA</v>
      </c>
      <c r="DP21" s="14" t="str">
        <f>IF([1]Sheet2!EA20=999999,"NA",[1]Sheet2!EA20)</f>
        <v>NA</v>
      </c>
      <c r="DQ21" s="14" t="str">
        <f>IF([1]Sheet2!EB20=999999,"NA",[1]Sheet2!EB20)</f>
        <v>NA</v>
      </c>
      <c r="DR21" s="14">
        <f>[1]Sheet2!CY20</f>
        <v>0</v>
      </c>
      <c r="DS21" s="14">
        <f>[1]Sheet2!CZ20</f>
        <v>0</v>
      </c>
      <c r="DT21" s="14">
        <f>[1]Sheet2!DA20</f>
        <v>0</v>
      </c>
      <c r="DU21" s="14">
        <f>[1]Sheet2!DB20</f>
        <v>0</v>
      </c>
      <c r="DV21" s="14">
        <f>[1]Sheet2!DC20</f>
        <v>0</v>
      </c>
      <c r="DW21" s="14">
        <f>[1]Sheet2!DD20</f>
        <v>0</v>
      </c>
      <c r="DX21" s="14">
        <f>[1]Sheet2!DE20</f>
        <v>0</v>
      </c>
      <c r="DY21" s="14">
        <f>[1]Sheet2!DF20</f>
        <v>0</v>
      </c>
      <c r="DZ21" s="14">
        <f>[1]Sheet2!DG20</f>
        <v>0</v>
      </c>
      <c r="EA21" s="14">
        <f>[1]Sheet2!DH20</f>
        <v>0</v>
      </c>
      <c r="EB21" s="6">
        <f>[1]Sheet2!EC20</f>
        <v>0</v>
      </c>
      <c r="EC21" s="6">
        <f>[1]Sheet2!ED20</f>
        <v>0</v>
      </c>
      <c r="ED21" s="6">
        <f>[1]Sheet2!EE20</f>
        <v>0</v>
      </c>
      <c r="EE21" s="6">
        <f>[1]Sheet2!EF20</f>
        <v>0</v>
      </c>
      <c r="EF21" s="6">
        <f>[1]Sheet2!EG20</f>
        <v>0</v>
      </c>
      <c r="EG21" s="6">
        <f>[1]Sheet2!EH20</f>
        <v>0</v>
      </c>
      <c r="EH21" s="6">
        <f>[1]Sheet2!EI20</f>
        <v>0</v>
      </c>
      <c r="EI21" s="6">
        <f>[1]Sheet2!EJ20</f>
        <v>0</v>
      </c>
      <c r="EJ21" s="6">
        <f>[1]Sheet2!EK20</f>
        <v>0</v>
      </c>
      <c r="EK21" s="6">
        <f>[1]Sheet2!EL20</f>
        <v>0</v>
      </c>
      <c r="EL21" s="6" t="str">
        <f>[1]Sheet2!EM20</f>
        <v/>
      </c>
      <c r="EM21" s="6" t="str">
        <f>[1]Sheet2!EN20</f>
        <v/>
      </c>
      <c r="EN21" s="6" t="str">
        <f>[1]Sheet2!EO20</f>
        <v/>
      </c>
      <c r="EO21" s="6" t="str">
        <f>[1]Sheet2!EP20</f>
        <v/>
      </c>
      <c r="EP21" s="6" t="str">
        <f>[1]Sheet2!EQ20</f>
        <v/>
      </c>
      <c r="EQ21" s="6" t="str">
        <f>[1]Sheet2!ER20</f>
        <v/>
      </c>
      <c r="ER21" s="6" t="str">
        <f>[1]Sheet2!ES20</f>
        <v/>
      </c>
      <c r="ES21" s="6" t="str">
        <f>[1]Sheet2!ET20</f>
        <v/>
      </c>
      <c r="ET21" s="6" t="str">
        <f>[1]Sheet2!EU20</f>
        <v/>
      </c>
      <c r="EU21" s="6" t="str">
        <f>[1]Sheet2!EV20</f>
        <v/>
      </c>
      <c r="EV21" s="6" t="str">
        <f>[1]Sheet2!EW20</f>
        <v/>
      </c>
      <c r="EW21" s="6" t="str">
        <f>[1]Sheet2!EX20</f>
        <v/>
      </c>
      <c r="EX21" s="6" t="str">
        <f>[1]Sheet2!EY20</f>
        <v/>
      </c>
      <c r="EY21" s="6" t="str">
        <f>[1]Sheet2!EZ20</f>
        <v/>
      </c>
      <c r="EZ21" s="6" t="str">
        <f>[1]Sheet2!FA20</f>
        <v/>
      </c>
      <c r="FA21" s="6" t="str">
        <f>[1]Sheet2!FB20</f>
        <v/>
      </c>
      <c r="FB21" s="6" t="str">
        <f>[1]Sheet2!FC20</f>
        <v/>
      </c>
      <c r="FC21" s="6" t="str">
        <f>[1]Sheet2!FD20</f>
        <v/>
      </c>
      <c r="FD21" s="6" t="str">
        <f>[1]Sheet2!FE20</f>
        <v/>
      </c>
      <c r="FE21" s="6" t="str">
        <f>[1]Sheet2!FF20</f>
        <v/>
      </c>
      <c r="FF21" s="6" t="str">
        <f>[1]Sheet2!FG20</f>
        <v/>
      </c>
      <c r="FG21" s="6" t="str">
        <f>[1]Sheet2!FH20</f>
        <v/>
      </c>
      <c r="FH21" s="6" t="str">
        <f>[1]Sheet2!FI20</f>
        <v/>
      </c>
      <c r="FI21" s="6" t="str">
        <f>[1]Sheet2!FJ20</f>
        <v/>
      </c>
      <c r="FJ21" s="6" t="str">
        <f>[1]Sheet2!FK20</f>
        <v/>
      </c>
      <c r="FK21" s="6" t="str">
        <f>[1]Sheet2!FL20</f>
        <v/>
      </c>
      <c r="FL21" s="6" t="str">
        <f>[1]Sheet2!FM20</f>
        <v/>
      </c>
      <c r="FM21" s="6" t="str">
        <f>[1]Sheet2!FN20</f>
        <v/>
      </c>
      <c r="FN21" s="6" t="str">
        <f>[1]Sheet2!FO20</f>
        <v/>
      </c>
      <c r="FO21" s="6" t="str">
        <f>[1]Sheet2!FP20</f>
        <v/>
      </c>
    </row>
    <row r="22" spans="1:171" x14ac:dyDescent="0.25">
      <c r="A22" s="15">
        <v>43484</v>
      </c>
      <c r="B22" s="1"/>
      <c r="C22" s="1"/>
      <c r="D22" s="1"/>
      <c r="E22" s="14">
        <f>[1]Sheet2!N21</f>
        <v>0</v>
      </c>
      <c r="F22" s="14">
        <f>[1]Sheet2!BE21</f>
        <v>48000</v>
      </c>
      <c r="G22" s="14">
        <f>[1]Sheet2!CW21</f>
        <v>0</v>
      </c>
      <c r="H22" s="1"/>
      <c r="I22" s="1"/>
      <c r="J22" s="1"/>
      <c r="K22" s="16"/>
      <c r="L22" s="16">
        <f>Demand_CWRS!B$3/31</f>
        <v>313.22137613730359</v>
      </c>
      <c r="M22" s="16">
        <f>Demand_CWRS!C$3/31</f>
        <v>241.71000827129859</v>
      </c>
      <c r="N22" s="16">
        <f>Demand_CWRS!D$3/31</f>
        <v>0</v>
      </c>
      <c r="O22" s="16">
        <f>Demand_CWRS!E$3/31</f>
        <v>98.872001654259719</v>
      </c>
      <c r="P22" s="16">
        <f>Demand_CWRS!F$3/31</f>
        <v>198.36900072373859</v>
      </c>
      <c r="Q22" s="16">
        <f>Demand_CWRS!G$3/31</f>
        <v>309.67741935483872</v>
      </c>
      <c r="R22" s="16">
        <f>Demand_CWRS!H$3/31</f>
        <v>241.71000827129859</v>
      </c>
      <c r="S22" s="16">
        <f>Demand_CWRS!I$3/31</f>
        <v>200</v>
      </c>
      <c r="T22" s="16">
        <f>Demand_CWRS!J$3/31</f>
        <v>209.67741935483872</v>
      </c>
      <c r="U22" s="16">
        <f>Demand_CWRS!K$3/31</f>
        <v>216.12903225806451</v>
      </c>
      <c r="V22" s="16">
        <f t="shared" si="6"/>
        <v>1048.7938533912347</v>
      </c>
      <c r="W22" s="16">
        <f t="shared" si="7"/>
        <v>407.50984284532575</v>
      </c>
      <c r="X22" s="16">
        <f t="shared" si="8"/>
        <v>0</v>
      </c>
      <c r="Y22" s="16">
        <f t="shared" si="9"/>
        <v>7121.4319685690734</v>
      </c>
      <c r="Z22" s="16">
        <f t="shared" si="10"/>
        <v>1230.988986248967</v>
      </c>
      <c r="AA22" s="16">
        <f t="shared" si="11"/>
        <v>2116.1290322580621</v>
      </c>
      <c r="AB22" s="16">
        <f t="shared" si="12"/>
        <v>-4292.4901571546734</v>
      </c>
      <c r="AC22" s="16">
        <f t="shared" si="13"/>
        <v>1200</v>
      </c>
      <c r="AD22" s="16">
        <f t="shared" si="14"/>
        <v>1016.1290322580646</v>
      </c>
      <c r="AE22" s="16">
        <f t="shared" si="15"/>
        <v>893.54838709677631</v>
      </c>
      <c r="AF22" s="14">
        <f>IF([1]Sheet2!AJ21=999999,"NA",[1]Sheet2!AJ21)</f>
        <v>3</v>
      </c>
      <c r="AG22" s="14">
        <f>IF([1]Sheet2!AK21=999999,"NA",[1]Sheet2!AK21)</f>
        <v>1</v>
      </c>
      <c r="AH22" s="14" t="str">
        <f>IF([1]Sheet2!AL21=999999,"NA",[1]Sheet2!AL21)</f>
        <v>NA</v>
      </c>
      <c r="AI22" s="14">
        <f>IF([1]Sheet2!AM21=999999,"NA",[1]Sheet2!AM21)</f>
        <v>58</v>
      </c>
      <c r="AJ22" s="14">
        <f>IF([1]Sheet2!AN21=999999,"NA",[1]Sheet2!AN21)</f>
        <v>6</v>
      </c>
      <c r="AK22" s="14">
        <f>IF([1]Sheet2!AO21=999999,"NA",[1]Sheet2!AO21)</f>
        <v>6</v>
      </c>
      <c r="AL22" s="14">
        <f>IF([1]Sheet2!AP21=999999,"NA",[1]Sheet2!AP21)</f>
        <v>0</v>
      </c>
      <c r="AM22" s="14">
        <f>IF([1]Sheet2!AQ21=999999,"NA",[1]Sheet2!AQ21)</f>
        <v>6</v>
      </c>
      <c r="AN22" s="14">
        <f>IF([1]Sheet2!AR21=999999,"NA",[1]Sheet2!AR21)</f>
        <v>4</v>
      </c>
      <c r="AO22" s="14">
        <f>IF([1]Sheet2!AS21=999999,"NA",[1]Sheet2!AS21)</f>
        <v>4</v>
      </c>
      <c r="AP22" s="14">
        <f>[1]Sheet2!P21</f>
        <v>0</v>
      </c>
      <c r="AQ22" s="20">
        <f>[1]Sheet2!Q21</f>
        <v>0</v>
      </c>
      <c r="AR22" s="14">
        <f>[1]Sheet2!R21</f>
        <v>0</v>
      </c>
      <c r="AS22" s="14">
        <f>[1]Sheet2!S21</f>
        <v>0</v>
      </c>
      <c r="AT22" s="14">
        <f>[1]Sheet2!T21</f>
        <v>0</v>
      </c>
      <c r="AU22" s="14">
        <f>[1]Sheet2!U21</f>
        <v>0</v>
      </c>
      <c r="AV22" s="14">
        <f>[1]Sheet2!V21</f>
        <v>0</v>
      </c>
      <c r="AW22" s="14">
        <f>[1]Sheet2!W21</f>
        <v>0</v>
      </c>
      <c r="AX22" s="14">
        <f>[1]Sheet2!X21</f>
        <v>0</v>
      </c>
      <c r="AY22" s="14">
        <f>[1]Sheet2!Y21</f>
        <v>0</v>
      </c>
      <c r="AZ22" s="16">
        <f>Demand_LP!B$3/31</f>
        <v>503.00172404880072</v>
      </c>
      <c r="BA22" s="16">
        <f>Demand_LP!C$3/31</f>
        <v>792.35864350703059</v>
      </c>
      <c r="BB22" s="16">
        <f>Demand_LP!D$3/31</f>
        <v>231.20967741935488</v>
      </c>
      <c r="BC22" s="16">
        <f>Demand_LP!E$3/31</f>
        <v>696.53949545078569</v>
      </c>
      <c r="BD22" s="16">
        <f>Demand_LP!F$3/31</f>
        <v>482.27093930934655</v>
      </c>
      <c r="BE22" s="16">
        <f>Demand_LP!G$3/31</f>
        <v>451.61290322580646</v>
      </c>
      <c r="BF22" s="16">
        <f>Demand_LP!H$3/31</f>
        <v>774.19354838709683</v>
      </c>
      <c r="BG22" s="16">
        <f>Demand_LP!I$3/31</f>
        <v>451.61290322580646</v>
      </c>
      <c r="BH22" s="16">
        <f>Demand_LP!J$3/31</f>
        <v>387.09677419354841</v>
      </c>
      <c r="BI22" s="16">
        <f>Demand_LP!K$3/31</f>
        <v>419.35483870967744</v>
      </c>
      <c r="BJ22" s="16">
        <f t="shared" si="16"/>
        <v>442.96724307278691</v>
      </c>
      <c r="BK22" s="16">
        <f t="shared" si="17"/>
        <v>-5054.8142266335781</v>
      </c>
      <c r="BL22" s="16">
        <f t="shared" si="18"/>
        <v>5607.0161290322594</v>
      </c>
      <c r="BM22" s="16">
        <f t="shared" si="19"/>
        <v>-3234.2504135649283</v>
      </c>
      <c r="BN22" s="16">
        <f t="shared" si="20"/>
        <v>836.85215312241769</v>
      </c>
      <c r="BO22" s="16">
        <f t="shared" si="21"/>
        <v>1419.3548387096735</v>
      </c>
      <c r="BP22" s="16">
        <f t="shared" si="22"/>
        <v>1290.3225806451644</v>
      </c>
      <c r="BQ22" s="16">
        <f t="shared" si="23"/>
        <v>1419.3548387096735</v>
      </c>
      <c r="BR22" s="16">
        <f t="shared" si="24"/>
        <v>2645.1612903225787</v>
      </c>
      <c r="BS22" s="16">
        <f t="shared" si="25"/>
        <v>2032.2580645161293</v>
      </c>
      <c r="BT22" s="14">
        <f>IF([1]Sheet2!CB21=999999,"NA",[1]Sheet2!CB21)</f>
        <v>0</v>
      </c>
      <c r="BU22" s="14">
        <f>IF([1]Sheet2!CC21=999999,"NA",[1]Sheet2!CC21)</f>
        <v>0</v>
      </c>
      <c r="BV22" s="14">
        <f>IF([1]Sheet2!CD21=999999,"NA",[1]Sheet2!CD21)</f>
        <v>22</v>
      </c>
      <c r="BW22" s="14">
        <f>IF([1]Sheet2!CE21=999999,"NA",[1]Sheet2!CE21)</f>
        <v>0</v>
      </c>
      <c r="BX22" s="14">
        <f>IF([1]Sheet2!CF21=999999,"NA",[1]Sheet2!CF21)</f>
        <v>1</v>
      </c>
      <c r="BY22" s="14">
        <f>IF([1]Sheet2!CG21=999999,"NA",[1]Sheet2!CG21)</f>
        <v>3</v>
      </c>
      <c r="BZ22" s="14">
        <f>IF([1]Sheet2!CH21=999999,"NA",[1]Sheet2!CH21)</f>
        <v>1</v>
      </c>
      <c r="CA22" s="14">
        <f>IF([1]Sheet2!CI21=999999,"NA",[1]Sheet2!CI21)</f>
        <v>3</v>
      </c>
      <c r="CB22" s="14">
        <f>IF([1]Sheet2!CJ21=999999,"NA",[1]Sheet2!CJ21)</f>
        <v>6</v>
      </c>
      <c r="CC22" s="14">
        <f>IF([1]Sheet2!CK21=999999,"NA",[1]Sheet2!CK21)</f>
        <v>4</v>
      </c>
      <c r="CD22" s="14">
        <f>[1]Sheet2!BH21</f>
        <v>0</v>
      </c>
      <c r="CE22" s="14">
        <f>[1]Sheet2!BI21</f>
        <v>0</v>
      </c>
      <c r="CF22" s="14">
        <f>[1]Sheet2!BJ21</f>
        <v>0</v>
      </c>
      <c r="CG22" s="14">
        <f>[1]Sheet2!BK21</f>
        <v>0</v>
      </c>
      <c r="CH22" s="14">
        <f>[1]Sheet2!BL21</f>
        <v>0</v>
      </c>
      <c r="CI22" s="14">
        <f>[1]Sheet2!BM21</f>
        <v>0</v>
      </c>
      <c r="CJ22" s="14">
        <f>[1]Sheet2!BN21</f>
        <v>0</v>
      </c>
      <c r="CK22" s="14">
        <f>[1]Sheet2!BO21</f>
        <v>0</v>
      </c>
      <c r="CL22" s="14">
        <f>[1]Sheet2!BP21</f>
        <v>0</v>
      </c>
      <c r="CM22" s="14">
        <f>[1]Sheet2!BQ21</f>
        <v>0</v>
      </c>
      <c r="CN22" s="16">
        <f>Demand_SW!B$3/31</f>
        <v>139.57816377171216</v>
      </c>
      <c r="CO22" s="16">
        <f>Demand_SW!C$3/31</f>
        <v>0</v>
      </c>
      <c r="CP22" s="16">
        <f>Demand_SW!D$3/31</f>
        <v>0</v>
      </c>
      <c r="CQ22" s="16">
        <f>Demand_SW!E$3/31</f>
        <v>0</v>
      </c>
      <c r="CR22" s="16">
        <f>Demand_SW!F$3/31</f>
        <v>0</v>
      </c>
      <c r="CS22" s="16">
        <f>Demand_SW!G$3/31</f>
        <v>132.25806451612902</v>
      </c>
      <c r="CT22" s="16">
        <f>Demand_SW!H$3/31</f>
        <v>0</v>
      </c>
      <c r="CU22" s="16">
        <f>Demand_SW!I$3/31</f>
        <v>0</v>
      </c>
      <c r="CV22" s="16">
        <f>Demand_SW!J$3/31</f>
        <v>0</v>
      </c>
      <c r="CW22" s="16">
        <f>Demand_SW!K$3/31</f>
        <v>0</v>
      </c>
      <c r="CX22" s="16">
        <f t="shared" si="26"/>
        <v>2348.0148883374691</v>
      </c>
      <c r="CY22" s="16">
        <f t="shared" si="27"/>
        <v>1000</v>
      </c>
      <c r="CZ22" s="16">
        <f t="shared" si="28"/>
        <v>0</v>
      </c>
      <c r="DA22" s="16">
        <f t="shared" si="29"/>
        <v>0</v>
      </c>
      <c r="DB22" s="16">
        <f t="shared" si="30"/>
        <v>0</v>
      </c>
      <c r="DC22" s="16">
        <f t="shared" si="31"/>
        <v>2487.0967741935528</v>
      </c>
      <c r="DD22" s="16">
        <f t="shared" si="32"/>
        <v>1000</v>
      </c>
      <c r="DE22" s="16">
        <f t="shared" si="33"/>
        <v>0</v>
      </c>
      <c r="DF22" s="16">
        <f t="shared" si="34"/>
        <v>0</v>
      </c>
      <c r="DG22" s="16">
        <f t="shared" si="35"/>
        <v>0</v>
      </c>
      <c r="DH22" s="14">
        <f>IF([1]Sheet2!DS21=999999,"NA",[1]Sheet2!DS21)</f>
        <v>19</v>
      </c>
      <c r="DI22" s="14">
        <f>IF([1]Sheet2!DT21=999999,"NA",[1]Sheet2!DT21)</f>
        <v>346</v>
      </c>
      <c r="DJ22" s="14" t="str">
        <f>IF([1]Sheet2!DU21=999999,"NA",[1]Sheet2!DU21)</f>
        <v>NA</v>
      </c>
      <c r="DK22" s="14" t="str">
        <f>IF([1]Sheet2!DV21=999999,"NA",[1]Sheet2!DV21)</f>
        <v>NA</v>
      </c>
      <c r="DL22" s="14" t="str">
        <f>IF([1]Sheet2!DW21=999999,"NA",[1]Sheet2!DW21)</f>
        <v>NA</v>
      </c>
      <c r="DM22" s="14">
        <f>IF([1]Sheet2!DX21=999999,"NA",[1]Sheet2!DX21)</f>
        <v>22</v>
      </c>
      <c r="DN22" s="14">
        <f>IF([1]Sheet2!DY21=999999,"NA",[1]Sheet2!DY21)</f>
        <v>346</v>
      </c>
      <c r="DO22" s="14" t="str">
        <f>IF([1]Sheet2!DZ21=999999,"NA",[1]Sheet2!DZ21)</f>
        <v>NA</v>
      </c>
      <c r="DP22" s="14" t="str">
        <f>IF([1]Sheet2!EA21=999999,"NA",[1]Sheet2!EA21)</f>
        <v>NA</v>
      </c>
      <c r="DQ22" s="14" t="str">
        <f>IF([1]Sheet2!EB21=999999,"NA",[1]Sheet2!EB21)</f>
        <v>NA</v>
      </c>
      <c r="DR22" s="14">
        <f>[1]Sheet2!CY21</f>
        <v>0</v>
      </c>
      <c r="DS22" s="14">
        <f>[1]Sheet2!CZ21</f>
        <v>0</v>
      </c>
      <c r="DT22" s="14">
        <f>[1]Sheet2!DA21</f>
        <v>0</v>
      </c>
      <c r="DU22" s="14">
        <f>[1]Sheet2!DB21</f>
        <v>0</v>
      </c>
      <c r="DV22" s="14">
        <f>[1]Sheet2!DC21</f>
        <v>0</v>
      </c>
      <c r="DW22" s="14">
        <f>[1]Sheet2!DD21</f>
        <v>0</v>
      </c>
      <c r="DX22" s="14">
        <f>[1]Sheet2!DE21</f>
        <v>0</v>
      </c>
      <c r="DY22" s="14">
        <f>[1]Sheet2!DF21</f>
        <v>0</v>
      </c>
      <c r="DZ22" s="14">
        <f>[1]Sheet2!DG21</f>
        <v>0</v>
      </c>
      <c r="EA22" s="14">
        <f>[1]Sheet2!DH21</f>
        <v>0</v>
      </c>
      <c r="EB22" s="6">
        <f>[1]Sheet2!EC21</f>
        <v>0</v>
      </c>
      <c r="EC22" s="6">
        <f>[1]Sheet2!ED21</f>
        <v>0</v>
      </c>
      <c r="ED22" s="6">
        <f>[1]Sheet2!EE21</f>
        <v>0</v>
      </c>
      <c r="EE22" s="6">
        <f>[1]Sheet2!EF21</f>
        <v>0</v>
      </c>
      <c r="EF22" s="6">
        <f>[1]Sheet2!EG21</f>
        <v>0</v>
      </c>
      <c r="EG22" s="6">
        <f>[1]Sheet2!EH21</f>
        <v>0</v>
      </c>
      <c r="EH22" s="6">
        <f>[1]Sheet2!EI21</f>
        <v>0</v>
      </c>
      <c r="EI22" s="6">
        <f>[1]Sheet2!EJ21</f>
        <v>0</v>
      </c>
      <c r="EJ22" s="6">
        <f>[1]Sheet2!EK21</f>
        <v>0</v>
      </c>
      <c r="EK22" s="6">
        <f>[1]Sheet2!EL21</f>
        <v>0</v>
      </c>
      <c r="EL22" s="6" t="str">
        <f>[1]Sheet2!EM21</f>
        <v/>
      </c>
      <c r="EM22" s="6" t="str">
        <f>[1]Sheet2!EN21</f>
        <v/>
      </c>
      <c r="EN22" s="6" t="str">
        <f>[1]Sheet2!EO21</f>
        <v/>
      </c>
      <c r="EO22" s="6" t="str">
        <f>[1]Sheet2!EP21</f>
        <v/>
      </c>
      <c r="EP22" s="6" t="str">
        <f>[1]Sheet2!EQ21</f>
        <v/>
      </c>
      <c r="EQ22" s="6" t="str">
        <f>[1]Sheet2!ER21</f>
        <v/>
      </c>
      <c r="ER22" s="6" t="str">
        <f>[1]Sheet2!ES21</f>
        <v/>
      </c>
      <c r="ES22" s="6" t="str">
        <f>[1]Sheet2!ET21</f>
        <v/>
      </c>
      <c r="ET22" s="6" t="str">
        <f>[1]Sheet2!EU21</f>
        <v/>
      </c>
      <c r="EU22" s="6" t="str">
        <f>[1]Sheet2!EV21</f>
        <v/>
      </c>
      <c r="EV22" s="6" t="str">
        <f>[1]Sheet2!EW21</f>
        <v/>
      </c>
      <c r="EW22" s="6" t="str">
        <f>[1]Sheet2!EX21</f>
        <v/>
      </c>
      <c r="EX22" s="6" t="str">
        <f>[1]Sheet2!EY21</f>
        <v/>
      </c>
      <c r="EY22" s="6" t="str">
        <f>[1]Sheet2!EZ21</f>
        <v/>
      </c>
      <c r="EZ22" s="6" t="str">
        <f>[1]Sheet2!FA21</f>
        <v/>
      </c>
      <c r="FA22" s="6" t="str">
        <f>[1]Sheet2!FB21</f>
        <v/>
      </c>
      <c r="FB22" s="6" t="str">
        <f>[1]Sheet2!FC21</f>
        <v/>
      </c>
      <c r="FC22" s="6" t="str">
        <f>[1]Sheet2!FD21</f>
        <v/>
      </c>
      <c r="FD22" s="6" t="str">
        <f>[1]Sheet2!FE21</f>
        <v/>
      </c>
      <c r="FE22" s="6" t="str">
        <f>[1]Sheet2!FF21</f>
        <v/>
      </c>
      <c r="FF22" s="6" t="str">
        <f>[1]Sheet2!FG21</f>
        <v/>
      </c>
      <c r="FG22" s="6" t="str">
        <f>[1]Sheet2!FH21</f>
        <v/>
      </c>
      <c r="FH22" s="6" t="str">
        <f>[1]Sheet2!FI21</f>
        <v/>
      </c>
      <c r="FI22" s="6" t="str">
        <f>[1]Sheet2!FJ21</f>
        <v/>
      </c>
      <c r="FJ22" s="6" t="str">
        <f>[1]Sheet2!FK21</f>
        <v/>
      </c>
      <c r="FK22" s="6" t="str">
        <f>[1]Sheet2!FL21</f>
        <v/>
      </c>
      <c r="FL22" s="6" t="str">
        <f>[1]Sheet2!FM21</f>
        <v/>
      </c>
      <c r="FM22" s="6" t="str">
        <f>[1]Sheet2!FN21</f>
        <v/>
      </c>
      <c r="FN22" s="6" t="str">
        <f>[1]Sheet2!FO21</f>
        <v/>
      </c>
      <c r="FO22" s="6" t="str">
        <f>[1]Sheet2!FP21</f>
        <v/>
      </c>
    </row>
    <row r="23" spans="1:171" x14ac:dyDescent="0.25">
      <c r="A23" s="15">
        <v>43485</v>
      </c>
      <c r="B23" s="1"/>
      <c r="C23" s="1"/>
      <c r="D23" s="1"/>
      <c r="E23" s="14">
        <f>[1]Sheet2!N22</f>
        <v>0</v>
      </c>
      <c r="F23" s="14">
        <f>[1]Sheet2!BE22</f>
        <v>0</v>
      </c>
      <c r="G23" s="14">
        <f>[1]Sheet2!CW22</f>
        <v>0</v>
      </c>
      <c r="H23" s="1"/>
      <c r="I23" s="1"/>
      <c r="J23" s="1"/>
      <c r="K23" s="16"/>
      <c r="L23" s="16">
        <f>Demand_CWRS!B$3/31</f>
        <v>313.22137613730359</v>
      </c>
      <c r="M23" s="16">
        <f>Demand_CWRS!C$3/31</f>
        <v>241.71000827129859</v>
      </c>
      <c r="N23" s="16">
        <f>Demand_CWRS!D$3/31</f>
        <v>0</v>
      </c>
      <c r="O23" s="16">
        <f>Demand_CWRS!E$3/31</f>
        <v>98.872001654259719</v>
      </c>
      <c r="P23" s="16">
        <f>Demand_CWRS!F$3/31</f>
        <v>198.36900072373859</v>
      </c>
      <c r="Q23" s="16">
        <f>Demand_CWRS!G$3/31</f>
        <v>309.67741935483872</v>
      </c>
      <c r="R23" s="16">
        <f>Demand_CWRS!H$3/31</f>
        <v>241.71000827129859</v>
      </c>
      <c r="S23" s="16">
        <f>Demand_CWRS!I$3/31</f>
        <v>200</v>
      </c>
      <c r="T23" s="16">
        <f>Demand_CWRS!J$3/31</f>
        <v>209.67741935483872</v>
      </c>
      <c r="U23" s="16">
        <f>Demand_CWRS!K$3/31</f>
        <v>216.12903225806451</v>
      </c>
      <c r="V23" s="16">
        <f t="shared" si="6"/>
        <v>735.57247725393108</v>
      </c>
      <c r="W23" s="16">
        <f t="shared" si="7"/>
        <v>165.79983457402716</v>
      </c>
      <c r="X23" s="16">
        <f t="shared" si="8"/>
        <v>0</v>
      </c>
      <c r="Y23" s="16">
        <f t="shared" si="9"/>
        <v>7022.5599669148141</v>
      </c>
      <c r="Z23" s="16">
        <f t="shared" si="10"/>
        <v>1032.6199855252285</v>
      </c>
      <c r="AA23" s="16">
        <f t="shared" si="11"/>
        <v>1806.4516129032233</v>
      </c>
      <c r="AB23" s="16">
        <f t="shared" si="12"/>
        <v>-4534.200165425972</v>
      </c>
      <c r="AC23" s="16">
        <f t="shared" si="13"/>
        <v>1000</v>
      </c>
      <c r="AD23" s="16">
        <f t="shared" si="14"/>
        <v>806.45161290322585</v>
      </c>
      <c r="AE23" s="16">
        <f t="shared" si="15"/>
        <v>677.4193548387118</v>
      </c>
      <c r="AF23" s="14">
        <f>IF([1]Sheet2!AJ22=999999,"NA",[1]Sheet2!AJ22)</f>
        <v>2</v>
      </c>
      <c r="AG23" s="14">
        <f>IF([1]Sheet2!AK22=999999,"NA",[1]Sheet2!AK22)</f>
        <v>0</v>
      </c>
      <c r="AH23" s="14" t="str">
        <f>IF([1]Sheet2!AL22=999999,"NA",[1]Sheet2!AL22)</f>
        <v>NA</v>
      </c>
      <c r="AI23" s="14">
        <f>IF([1]Sheet2!AM22=999999,"NA",[1]Sheet2!AM22)</f>
        <v>57</v>
      </c>
      <c r="AJ23" s="14">
        <f>IF([1]Sheet2!AN22=999999,"NA",[1]Sheet2!AN22)</f>
        <v>5</v>
      </c>
      <c r="AK23" s="14">
        <f>IF([1]Sheet2!AO22=999999,"NA",[1]Sheet2!AO22)</f>
        <v>5</v>
      </c>
      <c r="AL23" s="14">
        <f>IF([1]Sheet2!AP22=999999,"NA",[1]Sheet2!AP22)</f>
        <v>0</v>
      </c>
      <c r="AM23" s="14">
        <f>IF([1]Sheet2!AQ22=999999,"NA",[1]Sheet2!AQ22)</f>
        <v>5</v>
      </c>
      <c r="AN23" s="14">
        <f>IF([1]Sheet2!AR22=999999,"NA",[1]Sheet2!AR22)</f>
        <v>3</v>
      </c>
      <c r="AO23" s="14">
        <f>IF([1]Sheet2!AS22=999999,"NA",[1]Sheet2!AS22)</f>
        <v>3</v>
      </c>
      <c r="AP23" s="14">
        <f>[1]Sheet2!P22</f>
        <v>0</v>
      </c>
      <c r="AQ23" s="20">
        <f>[1]Sheet2!Q22</f>
        <v>0</v>
      </c>
      <c r="AR23" s="14">
        <f>[1]Sheet2!R22</f>
        <v>0</v>
      </c>
      <c r="AS23" s="14">
        <f>[1]Sheet2!S22</f>
        <v>0</v>
      </c>
      <c r="AT23" s="14">
        <f>[1]Sheet2!T22</f>
        <v>0</v>
      </c>
      <c r="AU23" s="14">
        <f>[1]Sheet2!U22</f>
        <v>0</v>
      </c>
      <c r="AV23" s="14">
        <f>[1]Sheet2!V22</f>
        <v>0</v>
      </c>
      <c r="AW23" s="14">
        <f>[1]Sheet2!W22</f>
        <v>0</v>
      </c>
      <c r="AX23" s="25">
        <f>[1]Sheet2!X22</f>
        <v>0</v>
      </c>
      <c r="AY23" s="25">
        <f>[1]Sheet2!Y22</f>
        <v>0</v>
      </c>
      <c r="AZ23" s="16">
        <f>Demand_LP!B$3/31</f>
        <v>503.00172404880072</v>
      </c>
      <c r="BA23" s="16">
        <f>Demand_LP!C$3/31</f>
        <v>792.35864350703059</v>
      </c>
      <c r="BB23" s="16">
        <f>Demand_LP!D$3/31</f>
        <v>231.20967741935488</v>
      </c>
      <c r="BC23" s="16">
        <f>Demand_LP!E$3/31</f>
        <v>696.53949545078569</v>
      </c>
      <c r="BD23" s="16">
        <f>Demand_LP!F$3/31</f>
        <v>482.27093930934655</v>
      </c>
      <c r="BE23" s="16">
        <f>Demand_LP!G$3/31</f>
        <v>451.61290322580646</v>
      </c>
      <c r="BF23" s="16">
        <f>Demand_LP!H$3/31</f>
        <v>774.19354838709683</v>
      </c>
      <c r="BG23" s="16">
        <f>Demand_LP!I$3/31</f>
        <v>451.61290322580646</v>
      </c>
      <c r="BH23" s="16">
        <f>Demand_LP!J$3/31</f>
        <v>387.09677419354841</v>
      </c>
      <c r="BI23" s="16">
        <f>Demand_LP!K$3/31</f>
        <v>419.35483870967744</v>
      </c>
      <c r="BJ23" s="16">
        <f t="shared" si="16"/>
        <v>-60.034480976013811</v>
      </c>
      <c r="BK23" s="16">
        <f t="shared" si="17"/>
        <v>-5847.1728701406082</v>
      </c>
      <c r="BL23" s="16">
        <f t="shared" si="18"/>
        <v>5375.8064516129043</v>
      </c>
      <c r="BM23" s="16">
        <f t="shared" si="19"/>
        <v>-3930.7899090157139</v>
      </c>
      <c r="BN23" s="16">
        <f t="shared" si="20"/>
        <v>354.58121381307114</v>
      </c>
      <c r="BO23" s="16">
        <f t="shared" si="21"/>
        <v>967.741935483867</v>
      </c>
      <c r="BP23" s="16">
        <f t="shared" si="22"/>
        <v>516.12903225806758</v>
      </c>
      <c r="BQ23" s="16">
        <f t="shared" si="23"/>
        <v>967.741935483867</v>
      </c>
      <c r="BR23" s="16">
        <f t="shared" si="24"/>
        <v>2258.0645161290304</v>
      </c>
      <c r="BS23" s="16">
        <f t="shared" si="25"/>
        <v>1612.9032258064517</v>
      </c>
      <c r="BT23" s="14">
        <f>IF([1]Sheet2!CB22=999999,"NA",[1]Sheet2!CB22)</f>
        <v>0</v>
      </c>
      <c r="BU23" s="14">
        <f>IF([1]Sheet2!CC22=999999,"NA",[1]Sheet2!CC22)</f>
        <v>0</v>
      </c>
      <c r="BV23" s="14">
        <f>IF([1]Sheet2!CD22=999999,"NA",[1]Sheet2!CD22)</f>
        <v>21</v>
      </c>
      <c r="BW23" s="14">
        <f>IF([1]Sheet2!CE22=999999,"NA",[1]Sheet2!CE22)</f>
        <v>0</v>
      </c>
      <c r="BX23" s="14">
        <f>IF([1]Sheet2!CF22=999999,"NA",[1]Sheet2!CF22)</f>
        <v>0</v>
      </c>
      <c r="BY23" s="14">
        <f>IF([1]Sheet2!CG22=999999,"NA",[1]Sheet2!CG22)</f>
        <v>2</v>
      </c>
      <c r="BZ23" s="14">
        <f>IF([1]Sheet2!CH22=999999,"NA",[1]Sheet2!CH22)</f>
        <v>0</v>
      </c>
      <c r="CA23" s="14">
        <f>IF([1]Sheet2!CI22=999999,"NA",[1]Sheet2!CI22)</f>
        <v>2</v>
      </c>
      <c r="CB23" s="14">
        <f>IF([1]Sheet2!CJ22=999999,"NA",[1]Sheet2!CJ22)</f>
        <v>5</v>
      </c>
      <c r="CC23" s="14">
        <f>IF([1]Sheet2!CK22=999999,"NA",[1]Sheet2!CK22)</f>
        <v>3</v>
      </c>
      <c r="CD23" s="14">
        <f>[1]Sheet2!BH22</f>
        <v>0</v>
      </c>
      <c r="CE23" s="14">
        <f>[1]Sheet2!BI22</f>
        <v>0</v>
      </c>
      <c r="CF23" s="14">
        <f>[1]Sheet2!BJ22</f>
        <v>0</v>
      </c>
      <c r="CG23" s="14">
        <f>[1]Sheet2!BK22</f>
        <v>0</v>
      </c>
      <c r="CH23" s="14">
        <f>[1]Sheet2!BL22</f>
        <v>0</v>
      </c>
      <c r="CI23" s="14">
        <f>[1]Sheet2!BM22</f>
        <v>0</v>
      </c>
      <c r="CJ23" s="14">
        <f>[1]Sheet2!BN22</f>
        <v>0</v>
      </c>
      <c r="CK23" s="14">
        <f>[1]Sheet2!BO22</f>
        <v>0</v>
      </c>
      <c r="CL23" s="20">
        <f>[1]Sheet2!BP22</f>
        <v>0</v>
      </c>
      <c r="CM23" s="20">
        <f>[1]Sheet2!BQ22</f>
        <v>0</v>
      </c>
      <c r="CN23" s="16">
        <f>Demand_SW!B$3/31</f>
        <v>139.57816377171216</v>
      </c>
      <c r="CO23" s="16">
        <f>Demand_SW!C$3/31</f>
        <v>0</v>
      </c>
      <c r="CP23" s="16">
        <f>Demand_SW!D$3/31</f>
        <v>0</v>
      </c>
      <c r="CQ23" s="16">
        <f>Demand_SW!E$3/31</f>
        <v>0</v>
      </c>
      <c r="CR23" s="16">
        <f>Demand_SW!F$3/31</f>
        <v>0</v>
      </c>
      <c r="CS23" s="16">
        <f>Demand_SW!G$3/31</f>
        <v>132.25806451612902</v>
      </c>
      <c r="CT23" s="16">
        <f>Demand_SW!H$3/31</f>
        <v>0</v>
      </c>
      <c r="CU23" s="16">
        <f>Demand_SW!I$3/31</f>
        <v>0</v>
      </c>
      <c r="CV23" s="16">
        <f>Demand_SW!J$3/31</f>
        <v>0</v>
      </c>
      <c r="CW23" s="16">
        <f>Demand_SW!K$3/31</f>
        <v>0</v>
      </c>
      <c r="CX23" s="16">
        <f t="shared" si="26"/>
        <v>2208.4367245657568</v>
      </c>
      <c r="CY23" s="16">
        <f t="shared" si="27"/>
        <v>1000</v>
      </c>
      <c r="CZ23" s="16">
        <f t="shared" si="28"/>
        <v>0</v>
      </c>
      <c r="DA23" s="16">
        <f t="shared" si="29"/>
        <v>0</v>
      </c>
      <c r="DB23" s="16">
        <f t="shared" si="30"/>
        <v>0</v>
      </c>
      <c r="DC23" s="16">
        <f t="shared" si="31"/>
        <v>2354.838709677424</v>
      </c>
      <c r="DD23" s="16">
        <f t="shared" si="32"/>
        <v>1000</v>
      </c>
      <c r="DE23" s="16">
        <f t="shared" si="33"/>
        <v>0</v>
      </c>
      <c r="DF23" s="16">
        <f t="shared" si="34"/>
        <v>0</v>
      </c>
      <c r="DG23" s="16">
        <f t="shared" si="35"/>
        <v>0</v>
      </c>
      <c r="DH23" s="14">
        <f>IF([1]Sheet2!DS22=999999,"NA",[1]Sheet2!DS22)</f>
        <v>18</v>
      </c>
      <c r="DI23" s="14">
        <f>IF([1]Sheet2!DT22=999999,"NA",[1]Sheet2!DT22)</f>
        <v>345</v>
      </c>
      <c r="DJ23" s="14" t="str">
        <f>IF([1]Sheet2!DU22=999999,"NA",[1]Sheet2!DU22)</f>
        <v>NA</v>
      </c>
      <c r="DK23" s="14" t="str">
        <f>IF([1]Sheet2!DV22=999999,"NA",[1]Sheet2!DV22)</f>
        <v>NA</v>
      </c>
      <c r="DL23" s="14" t="str">
        <f>IF([1]Sheet2!DW22=999999,"NA",[1]Sheet2!DW22)</f>
        <v>NA</v>
      </c>
      <c r="DM23" s="14">
        <f>IF([1]Sheet2!DX22=999999,"NA",[1]Sheet2!DX22)</f>
        <v>21</v>
      </c>
      <c r="DN23" s="14">
        <f>IF([1]Sheet2!DY22=999999,"NA",[1]Sheet2!DY22)</f>
        <v>345</v>
      </c>
      <c r="DO23" s="14" t="str">
        <f>IF([1]Sheet2!DZ22=999999,"NA",[1]Sheet2!DZ22)</f>
        <v>NA</v>
      </c>
      <c r="DP23" s="14" t="str">
        <f>IF([1]Sheet2!EA22=999999,"NA",[1]Sheet2!EA22)</f>
        <v>NA</v>
      </c>
      <c r="DQ23" s="14" t="str">
        <f>IF([1]Sheet2!EB22=999999,"NA",[1]Sheet2!EB22)</f>
        <v>NA</v>
      </c>
      <c r="DR23" s="14">
        <f>[1]Sheet2!CY22</f>
        <v>0</v>
      </c>
      <c r="DS23" s="14">
        <f>[1]Sheet2!CZ22</f>
        <v>0</v>
      </c>
      <c r="DT23" s="14">
        <f>[1]Sheet2!DA22</f>
        <v>0</v>
      </c>
      <c r="DU23" s="14">
        <f>[1]Sheet2!DB22</f>
        <v>0</v>
      </c>
      <c r="DV23" s="14">
        <f>[1]Sheet2!DC22</f>
        <v>0</v>
      </c>
      <c r="DW23" s="14">
        <f>[1]Sheet2!DD22</f>
        <v>0</v>
      </c>
      <c r="DX23" s="14">
        <f>[1]Sheet2!DE22</f>
        <v>0</v>
      </c>
      <c r="DY23" s="14">
        <f>[1]Sheet2!DF22</f>
        <v>0</v>
      </c>
      <c r="DZ23" s="14">
        <f>[1]Sheet2!DG22</f>
        <v>0</v>
      </c>
      <c r="EA23" s="14">
        <f>[1]Sheet2!DH22</f>
        <v>0</v>
      </c>
      <c r="EB23" s="6">
        <f>[1]Sheet2!EC22</f>
        <v>0</v>
      </c>
      <c r="EC23" s="6">
        <f>[1]Sheet2!ED22</f>
        <v>0</v>
      </c>
      <c r="ED23" s="6">
        <f>[1]Sheet2!EE22</f>
        <v>0</v>
      </c>
      <c r="EE23" s="6">
        <f>[1]Sheet2!EF22</f>
        <v>0</v>
      </c>
      <c r="EF23" s="6">
        <f>[1]Sheet2!EG22</f>
        <v>0</v>
      </c>
      <c r="EG23" s="6">
        <f>[1]Sheet2!EH22</f>
        <v>0</v>
      </c>
      <c r="EH23" s="6">
        <f>[1]Sheet2!EI22</f>
        <v>0</v>
      </c>
      <c r="EI23" s="6">
        <f>[1]Sheet2!EJ22</f>
        <v>0</v>
      </c>
      <c r="EJ23" s="6">
        <f>[1]Sheet2!EK22</f>
        <v>0</v>
      </c>
      <c r="EK23" s="6">
        <f>[1]Sheet2!EL22</f>
        <v>0</v>
      </c>
      <c r="EL23" s="6" t="str">
        <f>[1]Sheet2!EM22</f>
        <v/>
      </c>
      <c r="EM23" s="6" t="str">
        <f>[1]Sheet2!EN22</f>
        <v/>
      </c>
      <c r="EN23" s="6" t="str">
        <f>[1]Sheet2!EO22</f>
        <v/>
      </c>
      <c r="EO23" s="6" t="str">
        <f>[1]Sheet2!EP22</f>
        <v/>
      </c>
      <c r="EP23" s="6" t="str">
        <f>[1]Sheet2!EQ22</f>
        <v/>
      </c>
      <c r="EQ23" s="6" t="str">
        <f>[1]Sheet2!ER22</f>
        <v/>
      </c>
      <c r="ER23" s="6" t="str">
        <f>[1]Sheet2!ES22</f>
        <v/>
      </c>
      <c r="ES23" s="6" t="str">
        <f>[1]Sheet2!ET22</f>
        <v/>
      </c>
      <c r="ET23" s="6" t="str">
        <f>[1]Sheet2!EU22</f>
        <v/>
      </c>
      <c r="EU23" s="6" t="str">
        <f>[1]Sheet2!EV22</f>
        <v/>
      </c>
      <c r="EV23" s="6" t="str">
        <f>[1]Sheet2!EW22</f>
        <v/>
      </c>
      <c r="EW23" s="6" t="str">
        <f>[1]Sheet2!EX22</f>
        <v/>
      </c>
      <c r="EX23" s="6" t="str">
        <f>[1]Sheet2!EY22</f>
        <v/>
      </c>
      <c r="EY23" s="6" t="str">
        <f>[1]Sheet2!EZ22</f>
        <v/>
      </c>
      <c r="EZ23" s="6" t="str">
        <f>[1]Sheet2!FA22</f>
        <v/>
      </c>
      <c r="FA23" s="6" t="str">
        <f>[1]Sheet2!FB22</f>
        <v/>
      </c>
      <c r="FB23" s="6" t="str">
        <f>[1]Sheet2!FC22</f>
        <v/>
      </c>
      <c r="FC23" s="6" t="str">
        <f>[1]Sheet2!FD22</f>
        <v/>
      </c>
      <c r="FD23" s="6" t="str">
        <f>[1]Sheet2!FE22</f>
        <v/>
      </c>
      <c r="FE23" s="6" t="str">
        <f>[1]Sheet2!FF22</f>
        <v/>
      </c>
      <c r="FF23" s="6" t="str">
        <f>[1]Sheet2!FG22</f>
        <v/>
      </c>
      <c r="FG23" s="6" t="str">
        <f>[1]Sheet2!FH22</f>
        <v/>
      </c>
      <c r="FH23" s="6" t="str">
        <f>[1]Sheet2!FI22</f>
        <v/>
      </c>
      <c r="FI23" s="6" t="str">
        <f>[1]Sheet2!FJ22</f>
        <v/>
      </c>
      <c r="FJ23" s="6" t="str">
        <f>[1]Sheet2!FK22</f>
        <v/>
      </c>
      <c r="FK23" s="6" t="str">
        <f>[1]Sheet2!FL22</f>
        <v/>
      </c>
      <c r="FL23" s="6" t="str">
        <f>[1]Sheet2!FM22</f>
        <v/>
      </c>
      <c r="FM23" s="6" t="str">
        <f>[1]Sheet2!FN22</f>
        <v/>
      </c>
      <c r="FN23" s="6" t="str">
        <f>[1]Sheet2!FO22</f>
        <v/>
      </c>
      <c r="FO23" s="6" t="str">
        <f>[1]Sheet2!FP22</f>
        <v/>
      </c>
    </row>
    <row r="24" spans="1:171" x14ac:dyDescent="0.25">
      <c r="A24" s="15">
        <v>43486</v>
      </c>
      <c r="B24" s="1"/>
      <c r="C24" s="1"/>
      <c r="D24" s="1"/>
      <c r="E24" s="14">
        <f>[1]Sheet2!N23</f>
        <v>0</v>
      </c>
      <c r="F24" s="14">
        <f>[1]Sheet2!BE23</f>
        <v>0</v>
      </c>
      <c r="G24" s="14">
        <f>[1]Sheet2!CW23</f>
        <v>0</v>
      </c>
      <c r="H24" s="1"/>
      <c r="I24" s="1"/>
      <c r="J24" s="1"/>
      <c r="K24" s="16"/>
      <c r="L24" s="16">
        <f>Demand_CWRS!B$3/31</f>
        <v>313.22137613730359</v>
      </c>
      <c r="M24" s="16">
        <f>Demand_CWRS!C$3/31</f>
        <v>241.71000827129859</v>
      </c>
      <c r="N24" s="16">
        <f>Demand_CWRS!D$3/31</f>
        <v>0</v>
      </c>
      <c r="O24" s="16">
        <f>Demand_CWRS!E$3/31</f>
        <v>98.872001654259719</v>
      </c>
      <c r="P24" s="16">
        <f>Demand_CWRS!F$3/31</f>
        <v>198.36900072373859</v>
      </c>
      <c r="Q24" s="16">
        <f>Demand_CWRS!G$3/31</f>
        <v>309.67741935483872</v>
      </c>
      <c r="R24" s="16">
        <f>Demand_CWRS!H$3/31</f>
        <v>241.71000827129859</v>
      </c>
      <c r="S24" s="16">
        <f>Demand_CWRS!I$3/31</f>
        <v>200</v>
      </c>
      <c r="T24" s="16">
        <f>Demand_CWRS!J$3/31</f>
        <v>209.67741935483872</v>
      </c>
      <c r="U24" s="16">
        <f>Demand_CWRS!K$3/31</f>
        <v>216.12903225806451</v>
      </c>
      <c r="V24" s="16">
        <f t="shared" si="6"/>
        <v>422.35110111662749</v>
      </c>
      <c r="W24" s="16">
        <f t="shared" si="7"/>
        <v>-75.910173697271432</v>
      </c>
      <c r="X24" s="16">
        <f t="shared" si="8"/>
        <v>0</v>
      </c>
      <c r="Y24" s="16">
        <f t="shared" si="9"/>
        <v>6923.6879652605548</v>
      </c>
      <c r="Z24" s="16">
        <f t="shared" si="10"/>
        <v>834.25098480148984</v>
      </c>
      <c r="AA24" s="16">
        <f t="shared" si="11"/>
        <v>1496.7741935483846</v>
      </c>
      <c r="AB24" s="16">
        <f t="shared" si="12"/>
        <v>-4775.9101736972707</v>
      </c>
      <c r="AC24" s="16">
        <f t="shared" si="13"/>
        <v>800</v>
      </c>
      <c r="AD24" s="16">
        <f t="shared" si="14"/>
        <v>596.77419354838707</v>
      </c>
      <c r="AE24" s="16">
        <f t="shared" si="15"/>
        <v>461.29032258064728</v>
      </c>
      <c r="AF24" s="14">
        <f>IF([1]Sheet2!AJ23=999999,"NA",[1]Sheet2!AJ23)</f>
        <v>1</v>
      </c>
      <c r="AG24" s="14">
        <f>IF([1]Sheet2!AK23=999999,"NA",[1]Sheet2!AK23)</f>
        <v>0</v>
      </c>
      <c r="AH24" s="14" t="str">
        <f>IF([1]Sheet2!AL23=999999,"NA",[1]Sheet2!AL23)</f>
        <v>NA</v>
      </c>
      <c r="AI24" s="14">
        <f>IF([1]Sheet2!AM23=999999,"NA",[1]Sheet2!AM23)</f>
        <v>56</v>
      </c>
      <c r="AJ24" s="14">
        <f>IF([1]Sheet2!AN23=999999,"NA",[1]Sheet2!AN23)</f>
        <v>4</v>
      </c>
      <c r="AK24" s="14">
        <f>IF([1]Sheet2!AO23=999999,"NA",[1]Sheet2!AO23)</f>
        <v>4</v>
      </c>
      <c r="AL24" s="14">
        <f>IF([1]Sheet2!AP23=999999,"NA",[1]Sheet2!AP23)</f>
        <v>0</v>
      </c>
      <c r="AM24" s="14">
        <f>IF([1]Sheet2!AQ23=999999,"NA",[1]Sheet2!AQ23)</f>
        <v>4</v>
      </c>
      <c r="AN24" s="14">
        <f>IF([1]Sheet2!AR23=999999,"NA",[1]Sheet2!AR23)</f>
        <v>2</v>
      </c>
      <c r="AO24" s="14">
        <f>IF([1]Sheet2!AS23=999999,"NA",[1]Sheet2!AS23)</f>
        <v>2</v>
      </c>
      <c r="AP24" s="14">
        <f>[1]Sheet2!P23</f>
        <v>0</v>
      </c>
      <c r="AQ24" s="14">
        <f>[1]Sheet2!Q23</f>
        <v>0</v>
      </c>
      <c r="AR24" s="14">
        <f>[1]Sheet2!R23</f>
        <v>0</v>
      </c>
      <c r="AS24" s="14">
        <f>[1]Sheet2!S23</f>
        <v>0</v>
      </c>
      <c r="AT24" s="14">
        <f>[1]Sheet2!T23</f>
        <v>0</v>
      </c>
      <c r="AU24" s="14">
        <f>[1]Sheet2!U23</f>
        <v>0</v>
      </c>
      <c r="AV24" s="14">
        <f>[1]Sheet2!V23</f>
        <v>0</v>
      </c>
      <c r="AW24" s="14">
        <f>[1]Sheet2!W23</f>
        <v>0</v>
      </c>
      <c r="AX24" s="14">
        <f>[1]Sheet2!X23</f>
        <v>0</v>
      </c>
      <c r="AY24" s="14">
        <f>[1]Sheet2!Y23</f>
        <v>0</v>
      </c>
      <c r="AZ24" s="16">
        <f>Demand_LP!B$3/31</f>
        <v>503.00172404880072</v>
      </c>
      <c r="BA24" s="16">
        <f>Demand_LP!C$3/31</f>
        <v>792.35864350703059</v>
      </c>
      <c r="BB24" s="16">
        <f>Demand_LP!D$3/31</f>
        <v>231.20967741935488</v>
      </c>
      <c r="BC24" s="16">
        <f>Demand_LP!E$3/31</f>
        <v>696.53949545078569</v>
      </c>
      <c r="BD24" s="16">
        <f>Demand_LP!F$3/31</f>
        <v>482.27093930934655</v>
      </c>
      <c r="BE24" s="16">
        <f>Demand_LP!G$3/31</f>
        <v>451.61290322580646</v>
      </c>
      <c r="BF24" s="16">
        <f>Demand_LP!H$3/31</f>
        <v>774.19354838709683</v>
      </c>
      <c r="BG24" s="16">
        <f>Demand_LP!I$3/31</f>
        <v>451.61290322580646</v>
      </c>
      <c r="BH24" s="16">
        <f>Demand_LP!J$3/31</f>
        <v>387.09677419354841</v>
      </c>
      <c r="BI24" s="16">
        <f>Demand_LP!K$3/31</f>
        <v>419.35483870967744</v>
      </c>
      <c r="BJ24" s="16">
        <f t="shared" si="16"/>
        <v>-563.03620502481454</v>
      </c>
      <c r="BK24" s="16">
        <f t="shared" si="17"/>
        <v>-6639.5315136476383</v>
      </c>
      <c r="BL24" s="16">
        <f t="shared" si="18"/>
        <v>5144.5967741935492</v>
      </c>
      <c r="BM24" s="16">
        <f t="shared" si="19"/>
        <v>-4627.3294044664999</v>
      </c>
      <c r="BN24" s="16">
        <f t="shared" si="20"/>
        <v>-127.6897254962754</v>
      </c>
      <c r="BO24" s="16">
        <f t="shared" si="21"/>
        <v>516.12903225806053</v>
      </c>
      <c r="BP24" s="16">
        <f t="shared" si="22"/>
        <v>-258.06451612902924</v>
      </c>
      <c r="BQ24" s="16">
        <f t="shared" si="23"/>
        <v>516.12903225806053</v>
      </c>
      <c r="BR24" s="16">
        <f t="shared" si="24"/>
        <v>1870.9677419354821</v>
      </c>
      <c r="BS24" s="16">
        <f t="shared" si="25"/>
        <v>1193.5483870967741</v>
      </c>
      <c r="BT24" s="14">
        <f>IF([1]Sheet2!CB23=999999,"NA",[1]Sheet2!CB23)</f>
        <v>0</v>
      </c>
      <c r="BU24" s="14">
        <f>IF([1]Sheet2!CC23=999999,"NA",[1]Sheet2!CC23)</f>
        <v>0</v>
      </c>
      <c r="BV24" s="14">
        <f>IF([1]Sheet2!CD23=999999,"NA",[1]Sheet2!CD23)</f>
        <v>20</v>
      </c>
      <c r="BW24" s="14">
        <f>IF([1]Sheet2!CE23=999999,"NA",[1]Sheet2!CE23)</f>
        <v>0</v>
      </c>
      <c r="BX24" s="14">
        <f>IF([1]Sheet2!CF23=999999,"NA",[1]Sheet2!CF23)</f>
        <v>0</v>
      </c>
      <c r="BY24" s="14">
        <f>IF([1]Sheet2!CG23=999999,"NA",[1]Sheet2!CG23)</f>
        <v>1</v>
      </c>
      <c r="BZ24" s="14">
        <f>IF([1]Sheet2!CH23=999999,"NA",[1]Sheet2!CH23)</f>
        <v>0</v>
      </c>
      <c r="CA24" s="14">
        <f>IF([1]Sheet2!CI23=999999,"NA",[1]Sheet2!CI23)</f>
        <v>1</v>
      </c>
      <c r="CB24" s="14">
        <f>IF([1]Sheet2!CJ23=999999,"NA",[1]Sheet2!CJ23)</f>
        <v>4</v>
      </c>
      <c r="CC24" s="14">
        <f>IF([1]Sheet2!CK23=999999,"NA",[1]Sheet2!CK23)</f>
        <v>2</v>
      </c>
      <c r="CD24" s="14">
        <f>[1]Sheet2!BH23</f>
        <v>0</v>
      </c>
      <c r="CE24" s="14">
        <f>[1]Sheet2!BI23</f>
        <v>0</v>
      </c>
      <c r="CF24" s="14">
        <f>[1]Sheet2!BJ23</f>
        <v>0</v>
      </c>
      <c r="CG24" s="14">
        <f>[1]Sheet2!BK23</f>
        <v>0</v>
      </c>
      <c r="CH24" s="14">
        <f>[1]Sheet2!BL23</f>
        <v>0</v>
      </c>
      <c r="CI24" s="14">
        <f>[1]Sheet2!BM23</f>
        <v>0</v>
      </c>
      <c r="CJ24" s="14">
        <f>[1]Sheet2!BN23</f>
        <v>0</v>
      </c>
      <c r="CK24" s="14">
        <f>[1]Sheet2!BO23</f>
        <v>0</v>
      </c>
      <c r="CL24" s="14">
        <f>[1]Sheet2!BP23</f>
        <v>0</v>
      </c>
      <c r="CM24" s="14">
        <f>[1]Sheet2!BQ23</f>
        <v>0</v>
      </c>
      <c r="CN24" s="16">
        <f>Demand_SW!B$3/31</f>
        <v>139.57816377171216</v>
      </c>
      <c r="CO24" s="16">
        <f>Demand_SW!C$3/31</f>
        <v>0</v>
      </c>
      <c r="CP24" s="16">
        <f>Demand_SW!D$3/31</f>
        <v>0</v>
      </c>
      <c r="CQ24" s="16">
        <f>Demand_SW!E$3/31</f>
        <v>0</v>
      </c>
      <c r="CR24" s="16">
        <f>Demand_SW!F$3/31</f>
        <v>0</v>
      </c>
      <c r="CS24" s="16">
        <f>Demand_SW!G$3/31</f>
        <v>132.25806451612902</v>
      </c>
      <c r="CT24" s="16">
        <f>Demand_SW!H$3/31</f>
        <v>0</v>
      </c>
      <c r="CU24" s="16">
        <f>Demand_SW!I$3/31</f>
        <v>0</v>
      </c>
      <c r="CV24" s="16">
        <f>Demand_SW!J$3/31</f>
        <v>0</v>
      </c>
      <c r="CW24" s="16">
        <f>Demand_SW!K$3/31</f>
        <v>0</v>
      </c>
      <c r="CX24" s="16">
        <f t="shared" si="26"/>
        <v>2068.8585607940445</v>
      </c>
      <c r="CY24" s="16">
        <f t="shared" si="27"/>
        <v>1000</v>
      </c>
      <c r="CZ24" s="16">
        <f t="shared" si="28"/>
        <v>0</v>
      </c>
      <c r="DA24" s="16">
        <f t="shared" si="29"/>
        <v>0</v>
      </c>
      <c r="DB24" s="16">
        <f t="shared" si="30"/>
        <v>0</v>
      </c>
      <c r="DC24" s="16">
        <f t="shared" si="31"/>
        <v>2222.5806451612953</v>
      </c>
      <c r="DD24" s="16">
        <f t="shared" si="32"/>
        <v>1000</v>
      </c>
      <c r="DE24" s="16">
        <f t="shared" si="33"/>
        <v>0</v>
      </c>
      <c r="DF24" s="16">
        <f t="shared" si="34"/>
        <v>0</v>
      </c>
      <c r="DG24" s="16">
        <f t="shared" si="35"/>
        <v>0</v>
      </c>
      <c r="DH24" s="14">
        <f>IF([1]Sheet2!DS23=999999,"NA",[1]Sheet2!DS23)</f>
        <v>17</v>
      </c>
      <c r="DI24" s="14">
        <f>IF([1]Sheet2!DT23=999999,"NA",[1]Sheet2!DT23)</f>
        <v>344</v>
      </c>
      <c r="DJ24" s="14" t="str">
        <f>IF([1]Sheet2!DU23=999999,"NA",[1]Sheet2!DU23)</f>
        <v>NA</v>
      </c>
      <c r="DK24" s="14" t="str">
        <f>IF([1]Sheet2!DV23=999999,"NA",[1]Sheet2!DV23)</f>
        <v>NA</v>
      </c>
      <c r="DL24" s="14" t="str">
        <f>IF([1]Sheet2!DW23=999999,"NA",[1]Sheet2!DW23)</f>
        <v>NA</v>
      </c>
      <c r="DM24" s="14">
        <f>IF([1]Sheet2!DX23=999999,"NA",[1]Sheet2!DX23)</f>
        <v>20</v>
      </c>
      <c r="DN24" s="14">
        <f>IF([1]Sheet2!DY23=999999,"NA",[1]Sheet2!DY23)</f>
        <v>344</v>
      </c>
      <c r="DO24" s="14" t="str">
        <f>IF([1]Sheet2!DZ23=999999,"NA",[1]Sheet2!DZ23)</f>
        <v>NA</v>
      </c>
      <c r="DP24" s="14" t="str">
        <f>IF([1]Sheet2!EA23=999999,"NA",[1]Sheet2!EA23)</f>
        <v>NA</v>
      </c>
      <c r="DQ24" s="14" t="str">
        <f>IF([1]Sheet2!EB23=999999,"NA",[1]Sheet2!EB23)</f>
        <v>NA</v>
      </c>
      <c r="DR24" s="14">
        <f>[1]Sheet2!CY23</f>
        <v>0</v>
      </c>
      <c r="DS24" s="14">
        <f>[1]Sheet2!CZ23</f>
        <v>0</v>
      </c>
      <c r="DT24" s="14">
        <f>[1]Sheet2!DA23</f>
        <v>0</v>
      </c>
      <c r="DU24" s="14">
        <f>[1]Sheet2!DB23</f>
        <v>0</v>
      </c>
      <c r="DV24" s="14">
        <f>[1]Sheet2!DC23</f>
        <v>0</v>
      </c>
      <c r="DW24" s="14">
        <f>[1]Sheet2!DD23</f>
        <v>0</v>
      </c>
      <c r="DX24" s="14">
        <f>[1]Sheet2!DE23</f>
        <v>0</v>
      </c>
      <c r="DY24" s="14">
        <f>[1]Sheet2!DF23</f>
        <v>0</v>
      </c>
      <c r="DZ24" s="14">
        <f>[1]Sheet2!DG23</f>
        <v>0</v>
      </c>
      <c r="EA24" s="14">
        <f>[1]Sheet2!DH23</f>
        <v>0</v>
      </c>
      <c r="EB24" s="6">
        <f>[1]Sheet2!EC23</f>
        <v>0</v>
      </c>
      <c r="EC24" s="6">
        <f>[1]Sheet2!ED23</f>
        <v>0</v>
      </c>
      <c r="ED24" s="6">
        <f>[1]Sheet2!EE23</f>
        <v>0</v>
      </c>
      <c r="EE24" s="6">
        <f>[1]Sheet2!EF23</f>
        <v>0</v>
      </c>
      <c r="EF24" s="6">
        <f>[1]Sheet2!EG23</f>
        <v>0</v>
      </c>
      <c r="EG24" s="6">
        <f>[1]Sheet2!EH23</f>
        <v>0</v>
      </c>
      <c r="EH24" s="6">
        <f>[1]Sheet2!EI23</f>
        <v>0</v>
      </c>
      <c r="EI24" s="6">
        <f>[1]Sheet2!EJ23</f>
        <v>0</v>
      </c>
      <c r="EJ24" s="6">
        <f>[1]Sheet2!EK23</f>
        <v>0</v>
      </c>
      <c r="EK24" s="6">
        <f>[1]Sheet2!EL23</f>
        <v>0</v>
      </c>
      <c r="EL24" s="6" t="str">
        <f>[1]Sheet2!EM23</f>
        <v/>
      </c>
      <c r="EM24" s="6" t="str">
        <f>[1]Sheet2!EN23</f>
        <v/>
      </c>
      <c r="EN24" s="6" t="str">
        <f>[1]Sheet2!EO23</f>
        <v/>
      </c>
      <c r="EO24" s="6" t="str">
        <f>[1]Sheet2!EP23</f>
        <v/>
      </c>
      <c r="EP24" s="6" t="str">
        <f>[1]Sheet2!EQ23</f>
        <v/>
      </c>
      <c r="EQ24" s="6" t="str">
        <f>[1]Sheet2!ER23</f>
        <v/>
      </c>
      <c r="ER24" s="6" t="str">
        <f>[1]Sheet2!ES23</f>
        <v/>
      </c>
      <c r="ES24" s="6" t="str">
        <f>[1]Sheet2!ET23</f>
        <v/>
      </c>
      <c r="ET24" s="6" t="str">
        <f>[1]Sheet2!EU23</f>
        <v/>
      </c>
      <c r="EU24" s="6" t="str">
        <f>[1]Sheet2!EV23</f>
        <v/>
      </c>
      <c r="EV24" s="6" t="str">
        <f>[1]Sheet2!EW23</f>
        <v/>
      </c>
      <c r="EW24" s="6" t="str">
        <f>[1]Sheet2!EX23</f>
        <v/>
      </c>
      <c r="EX24" s="6" t="str">
        <f>[1]Sheet2!EY23</f>
        <v/>
      </c>
      <c r="EY24" s="6" t="str">
        <f>[1]Sheet2!EZ23</f>
        <v/>
      </c>
      <c r="EZ24" s="6" t="str">
        <f>[1]Sheet2!FA23</f>
        <v/>
      </c>
      <c r="FA24" s="6" t="str">
        <f>[1]Sheet2!FB23</f>
        <v/>
      </c>
      <c r="FB24" s="6" t="str">
        <f>[1]Sheet2!FC23</f>
        <v/>
      </c>
      <c r="FC24" s="6" t="str">
        <f>[1]Sheet2!FD23</f>
        <v/>
      </c>
      <c r="FD24" s="6" t="str">
        <f>[1]Sheet2!FE23</f>
        <v/>
      </c>
      <c r="FE24" s="6" t="str">
        <f>[1]Sheet2!FF23</f>
        <v/>
      </c>
      <c r="FF24" s="6" t="str">
        <f>[1]Sheet2!FG23</f>
        <v/>
      </c>
      <c r="FG24" s="6" t="str">
        <f>[1]Sheet2!FH23</f>
        <v/>
      </c>
      <c r="FH24" s="6" t="str">
        <f>[1]Sheet2!FI23</f>
        <v/>
      </c>
      <c r="FI24" s="6" t="str">
        <f>[1]Sheet2!FJ23</f>
        <v/>
      </c>
      <c r="FJ24" s="6" t="str">
        <f>[1]Sheet2!FK23</f>
        <v/>
      </c>
      <c r="FK24" s="6" t="str">
        <f>[1]Sheet2!FL23</f>
        <v/>
      </c>
      <c r="FL24" s="6" t="str">
        <f>[1]Sheet2!FM23</f>
        <v/>
      </c>
      <c r="FM24" s="6" t="str">
        <f>[1]Sheet2!FN23</f>
        <v/>
      </c>
      <c r="FN24" s="6" t="str">
        <f>[1]Sheet2!FO23</f>
        <v/>
      </c>
      <c r="FO24" s="6" t="str">
        <f>[1]Sheet2!FP23</f>
        <v/>
      </c>
    </row>
    <row r="25" spans="1:171" x14ac:dyDescent="0.25">
      <c r="A25" s="15">
        <v>43487</v>
      </c>
      <c r="B25" s="1"/>
      <c r="C25" s="1"/>
      <c r="D25" s="1"/>
      <c r="E25" s="14">
        <f>[1]Sheet2!N24</f>
        <v>0</v>
      </c>
      <c r="F25" s="14">
        <f>[1]Sheet2!BE24</f>
        <v>0</v>
      </c>
      <c r="G25" s="14">
        <f>[1]Sheet2!CW24</f>
        <v>0</v>
      </c>
      <c r="H25" s="1"/>
      <c r="I25" s="1"/>
      <c r="J25" s="1"/>
      <c r="K25" s="16"/>
      <c r="L25" s="16">
        <f>Demand_CWRS!B$3/31</f>
        <v>313.22137613730359</v>
      </c>
      <c r="M25" s="16">
        <f>Demand_CWRS!C$3/31</f>
        <v>241.71000827129859</v>
      </c>
      <c r="N25" s="16">
        <f>Demand_CWRS!D$3/31</f>
        <v>0</v>
      </c>
      <c r="O25" s="16">
        <f>Demand_CWRS!E$3/31</f>
        <v>98.872001654259719</v>
      </c>
      <c r="P25" s="16">
        <f>Demand_CWRS!F$3/31</f>
        <v>198.36900072373859</v>
      </c>
      <c r="Q25" s="16">
        <f>Demand_CWRS!G$3/31</f>
        <v>309.67741935483872</v>
      </c>
      <c r="R25" s="16">
        <f>Demand_CWRS!H$3/31</f>
        <v>241.71000827129859</v>
      </c>
      <c r="S25" s="16">
        <f>Demand_CWRS!I$3/31</f>
        <v>200</v>
      </c>
      <c r="T25" s="16">
        <f>Demand_CWRS!J$3/31</f>
        <v>209.67741935483872</v>
      </c>
      <c r="U25" s="16">
        <f>Demand_CWRS!K$3/31</f>
        <v>216.12903225806451</v>
      </c>
      <c r="V25" s="16">
        <f t="shared" si="6"/>
        <v>109.1297249793239</v>
      </c>
      <c r="W25" s="16">
        <f t="shared" si="7"/>
        <v>-317.62018196857002</v>
      </c>
      <c r="X25" s="16">
        <f t="shared" si="8"/>
        <v>0</v>
      </c>
      <c r="Y25" s="16">
        <f t="shared" si="9"/>
        <v>6824.8159636062956</v>
      </c>
      <c r="Z25" s="16">
        <f t="shared" si="10"/>
        <v>635.88198407775121</v>
      </c>
      <c r="AA25" s="16">
        <f t="shared" si="11"/>
        <v>1187.0967741935458</v>
      </c>
      <c r="AB25" s="16">
        <f t="shared" si="12"/>
        <v>-5017.6201819685693</v>
      </c>
      <c r="AC25" s="16">
        <f t="shared" si="13"/>
        <v>600</v>
      </c>
      <c r="AD25" s="16">
        <f t="shared" si="14"/>
        <v>387.09677419354836</v>
      </c>
      <c r="AE25" s="16">
        <f t="shared" si="15"/>
        <v>245.16129032258277</v>
      </c>
      <c r="AF25" s="14">
        <f>IF([1]Sheet2!AJ24=999999,"NA",[1]Sheet2!AJ24)</f>
        <v>0</v>
      </c>
      <c r="AG25" s="14">
        <f>IF([1]Sheet2!AK24=999999,"NA",[1]Sheet2!AK24)</f>
        <v>0</v>
      </c>
      <c r="AH25" s="14" t="str">
        <f>IF([1]Sheet2!AL24=999999,"NA",[1]Sheet2!AL24)</f>
        <v>NA</v>
      </c>
      <c r="AI25" s="14">
        <f>IF([1]Sheet2!AM24=999999,"NA",[1]Sheet2!AM24)</f>
        <v>55</v>
      </c>
      <c r="AJ25" s="14">
        <f>IF([1]Sheet2!AN24=999999,"NA",[1]Sheet2!AN24)</f>
        <v>3</v>
      </c>
      <c r="AK25" s="14">
        <f>IF([1]Sheet2!AO24=999999,"NA",[1]Sheet2!AO24)</f>
        <v>3</v>
      </c>
      <c r="AL25" s="14">
        <f>IF([1]Sheet2!AP24=999999,"NA",[1]Sheet2!AP24)</f>
        <v>0</v>
      </c>
      <c r="AM25" s="14">
        <f>IF([1]Sheet2!AQ24=999999,"NA",[1]Sheet2!AQ24)</f>
        <v>3</v>
      </c>
      <c r="AN25" s="14">
        <f>IF([1]Sheet2!AR24=999999,"NA",[1]Sheet2!AR24)</f>
        <v>1</v>
      </c>
      <c r="AO25" s="14">
        <f>IF([1]Sheet2!AS24=999999,"NA",[1]Sheet2!AS24)</f>
        <v>1</v>
      </c>
      <c r="AP25" s="14">
        <f>[1]Sheet2!P24</f>
        <v>0</v>
      </c>
      <c r="AQ25" s="14">
        <f>[1]Sheet2!Q24</f>
        <v>0</v>
      </c>
      <c r="AR25" s="14">
        <f>[1]Sheet2!R24</f>
        <v>0</v>
      </c>
      <c r="AS25" s="14">
        <f>[1]Sheet2!S24</f>
        <v>0</v>
      </c>
      <c r="AT25" s="14">
        <f>[1]Sheet2!T24</f>
        <v>0</v>
      </c>
      <c r="AU25" s="14">
        <f>[1]Sheet2!U24</f>
        <v>0</v>
      </c>
      <c r="AV25" s="14">
        <f>[1]Sheet2!V24</f>
        <v>0</v>
      </c>
      <c r="AW25" s="14">
        <f>[1]Sheet2!W24</f>
        <v>0</v>
      </c>
      <c r="AX25" s="14">
        <f>[1]Sheet2!X24</f>
        <v>0</v>
      </c>
      <c r="AY25" s="14">
        <f>[1]Sheet2!Y24</f>
        <v>0</v>
      </c>
      <c r="AZ25" s="16">
        <f>Demand_LP!B$3/31</f>
        <v>503.00172404880072</v>
      </c>
      <c r="BA25" s="16">
        <f>Demand_LP!C$3/31</f>
        <v>792.35864350703059</v>
      </c>
      <c r="BB25" s="16">
        <f>Demand_LP!D$3/31</f>
        <v>231.20967741935488</v>
      </c>
      <c r="BC25" s="16">
        <f>Demand_LP!E$3/31</f>
        <v>696.53949545078569</v>
      </c>
      <c r="BD25" s="16">
        <f>Demand_LP!F$3/31</f>
        <v>482.27093930934655</v>
      </c>
      <c r="BE25" s="16">
        <f>Demand_LP!G$3/31</f>
        <v>451.61290322580646</v>
      </c>
      <c r="BF25" s="16">
        <f>Demand_LP!H$3/31</f>
        <v>774.19354838709683</v>
      </c>
      <c r="BG25" s="16">
        <f>Demand_LP!I$3/31</f>
        <v>451.61290322580646</v>
      </c>
      <c r="BH25" s="16">
        <f>Demand_LP!J$3/31</f>
        <v>387.09677419354841</v>
      </c>
      <c r="BI25" s="16">
        <f>Demand_LP!K$3/31</f>
        <v>419.35483870967744</v>
      </c>
      <c r="BJ25" s="16">
        <f t="shared" si="16"/>
        <v>-1066.0379290736153</v>
      </c>
      <c r="BK25" s="16">
        <f t="shared" si="17"/>
        <v>-7431.8901571546685</v>
      </c>
      <c r="BL25" s="16">
        <f t="shared" si="18"/>
        <v>4913.3870967741941</v>
      </c>
      <c r="BM25" s="16">
        <f t="shared" si="19"/>
        <v>-5323.8688999172855</v>
      </c>
      <c r="BN25" s="16">
        <f t="shared" si="20"/>
        <v>-609.96066480562195</v>
      </c>
      <c r="BO25" s="16">
        <f t="shared" si="21"/>
        <v>64.516129032254071</v>
      </c>
      <c r="BP25" s="16">
        <f t="shared" si="22"/>
        <v>-1032.2580645161261</v>
      </c>
      <c r="BQ25" s="16">
        <f t="shared" si="23"/>
        <v>64.516129032254071</v>
      </c>
      <c r="BR25" s="16">
        <f t="shared" si="24"/>
        <v>1483.8709677419338</v>
      </c>
      <c r="BS25" s="16">
        <f t="shared" si="25"/>
        <v>774.19354838709671</v>
      </c>
      <c r="BT25" s="14">
        <f>IF([1]Sheet2!CB24=999999,"NA",[1]Sheet2!CB24)</f>
        <v>0</v>
      </c>
      <c r="BU25" s="14">
        <f>IF([1]Sheet2!CC24=999999,"NA",[1]Sheet2!CC24)</f>
        <v>0</v>
      </c>
      <c r="BV25" s="14">
        <f>IF([1]Sheet2!CD24=999999,"NA",[1]Sheet2!CD24)</f>
        <v>19</v>
      </c>
      <c r="BW25" s="14">
        <f>IF([1]Sheet2!CE24=999999,"NA",[1]Sheet2!CE24)</f>
        <v>0</v>
      </c>
      <c r="BX25" s="14">
        <f>IF([1]Sheet2!CF24=999999,"NA",[1]Sheet2!CF24)</f>
        <v>0</v>
      </c>
      <c r="BY25" s="14">
        <f>IF([1]Sheet2!CG24=999999,"NA",[1]Sheet2!CG24)</f>
        <v>0</v>
      </c>
      <c r="BZ25" s="14">
        <f>IF([1]Sheet2!CH24=999999,"NA",[1]Sheet2!CH24)</f>
        <v>0</v>
      </c>
      <c r="CA25" s="14">
        <f>IF([1]Sheet2!CI24=999999,"NA",[1]Sheet2!CI24)</f>
        <v>0</v>
      </c>
      <c r="CB25" s="14">
        <f>IF([1]Sheet2!CJ24=999999,"NA",[1]Sheet2!CJ24)</f>
        <v>3</v>
      </c>
      <c r="CC25" s="14">
        <f>IF([1]Sheet2!CK24=999999,"NA",[1]Sheet2!CK24)</f>
        <v>1</v>
      </c>
      <c r="CD25" s="14">
        <f>[1]Sheet2!BH24</f>
        <v>0</v>
      </c>
      <c r="CE25" s="14">
        <f>[1]Sheet2!BI24</f>
        <v>0</v>
      </c>
      <c r="CF25" s="14">
        <f>[1]Sheet2!BJ24</f>
        <v>0</v>
      </c>
      <c r="CG25" s="14">
        <f>[1]Sheet2!BK24</f>
        <v>0</v>
      </c>
      <c r="CH25" s="14">
        <f>[1]Sheet2!BL24</f>
        <v>0</v>
      </c>
      <c r="CI25" s="14">
        <f>[1]Sheet2!BM24</f>
        <v>0</v>
      </c>
      <c r="CJ25" s="14">
        <f>[1]Sheet2!BN24</f>
        <v>0</v>
      </c>
      <c r="CK25" s="14">
        <f>[1]Sheet2!BO24</f>
        <v>0</v>
      </c>
      <c r="CL25" s="14">
        <f>[1]Sheet2!BP24</f>
        <v>0</v>
      </c>
      <c r="CM25" s="14">
        <f>[1]Sheet2!BQ24</f>
        <v>0</v>
      </c>
      <c r="CN25" s="16">
        <f>Demand_SW!B$3/31</f>
        <v>139.57816377171216</v>
      </c>
      <c r="CO25" s="16">
        <f>Demand_SW!C$3/31</f>
        <v>0</v>
      </c>
      <c r="CP25" s="16">
        <f>Demand_SW!D$3/31</f>
        <v>0</v>
      </c>
      <c r="CQ25" s="16">
        <f>Demand_SW!E$3/31</f>
        <v>0</v>
      </c>
      <c r="CR25" s="16">
        <f>Demand_SW!F$3/31</f>
        <v>0</v>
      </c>
      <c r="CS25" s="16">
        <f>Demand_SW!G$3/31</f>
        <v>132.25806451612902</v>
      </c>
      <c r="CT25" s="16">
        <f>Demand_SW!H$3/31</f>
        <v>0</v>
      </c>
      <c r="CU25" s="16">
        <f>Demand_SW!I$3/31</f>
        <v>0</v>
      </c>
      <c r="CV25" s="16">
        <f>Demand_SW!J$3/31</f>
        <v>0</v>
      </c>
      <c r="CW25" s="16">
        <f>Demand_SW!K$3/31</f>
        <v>0</v>
      </c>
      <c r="CX25" s="16">
        <f t="shared" si="26"/>
        <v>1929.2803970223324</v>
      </c>
      <c r="CY25" s="16">
        <f t="shared" si="27"/>
        <v>1000</v>
      </c>
      <c r="CZ25" s="16">
        <f t="shared" si="28"/>
        <v>0</v>
      </c>
      <c r="DA25" s="16">
        <f t="shared" si="29"/>
        <v>0</v>
      </c>
      <c r="DB25" s="16">
        <f t="shared" si="30"/>
        <v>0</v>
      </c>
      <c r="DC25" s="16">
        <f t="shared" si="31"/>
        <v>2090.3225806451665</v>
      </c>
      <c r="DD25" s="16">
        <f t="shared" si="32"/>
        <v>1000</v>
      </c>
      <c r="DE25" s="16">
        <f t="shared" si="33"/>
        <v>0</v>
      </c>
      <c r="DF25" s="16">
        <f t="shared" si="34"/>
        <v>0</v>
      </c>
      <c r="DG25" s="16">
        <f t="shared" si="35"/>
        <v>0</v>
      </c>
      <c r="DH25" s="14">
        <f>IF([1]Sheet2!DS24=999999,"NA",[1]Sheet2!DS24)</f>
        <v>16</v>
      </c>
      <c r="DI25" s="14">
        <f>IF([1]Sheet2!DT24=999999,"NA",[1]Sheet2!DT24)</f>
        <v>343</v>
      </c>
      <c r="DJ25" s="14" t="str">
        <f>IF([1]Sheet2!DU24=999999,"NA",[1]Sheet2!DU24)</f>
        <v>NA</v>
      </c>
      <c r="DK25" s="14" t="str">
        <f>IF([1]Sheet2!DV24=999999,"NA",[1]Sheet2!DV24)</f>
        <v>NA</v>
      </c>
      <c r="DL25" s="14" t="str">
        <f>IF([1]Sheet2!DW24=999999,"NA",[1]Sheet2!DW24)</f>
        <v>NA</v>
      </c>
      <c r="DM25" s="14">
        <f>IF([1]Sheet2!DX24=999999,"NA",[1]Sheet2!DX24)</f>
        <v>19</v>
      </c>
      <c r="DN25" s="14">
        <f>IF([1]Sheet2!DY24=999999,"NA",[1]Sheet2!DY24)</f>
        <v>343</v>
      </c>
      <c r="DO25" s="14" t="str">
        <f>IF([1]Sheet2!DZ24=999999,"NA",[1]Sheet2!DZ24)</f>
        <v>NA</v>
      </c>
      <c r="DP25" s="14" t="str">
        <f>IF([1]Sheet2!EA24=999999,"NA",[1]Sheet2!EA24)</f>
        <v>NA</v>
      </c>
      <c r="DQ25" s="14" t="str">
        <f>IF([1]Sheet2!EB24=999999,"NA",[1]Sheet2!EB24)</f>
        <v>NA</v>
      </c>
      <c r="DR25" s="14">
        <f>[1]Sheet2!CY24</f>
        <v>0</v>
      </c>
      <c r="DS25" s="14">
        <f>[1]Sheet2!CZ24</f>
        <v>0</v>
      </c>
      <c r="DT25" s="14">
        <f>[1]Sheet2!DA24</f>
        <v>0</v>
      </c>
      <c r="DU25" s="14">
        <f>[1]Sheet2!DB24</f>
        <v>0</v>
      </c>
      <c r="DV25" s="14">
        <f>[1]Sheet2!DC24</f>
        <v>0</v>
      </c>
      <c r="DW25" s="14">
        <f>[1]Sheet2!DD24</f>
        <v>0</v>
      </c>
      <c r="DX25" s="14">
        <f>[1]Sheet2!DE24</f>
        <v>0</v>
      </c>
      <c r="DY25" s="14">
        <f>[1]Sheet2!DF24</f>
        <v>0</v>
      </c>
      <c r="DZ25" s="14">
        <f>[1]Sheet2!DG24</f>
        <v>0</v>
      </c>
      <c r="EA25" s="14">
        <f>[1]Sheet2!DH24</f>
        <v>0</v>
      </c>
      <c r="EB25" s="6">
        <f>[1]Sheet2!EC24</f>
        <v>0</v>
      </c>
      <c r="EC25" s="6">
        <f>[1]Sheet2!ED24</f>
        <v>0</v>
      </c>
      <c r="ED25" s="6">
        <f>[1]Sheet2!EE24</f>
        <v>0</v>
      </c>
      <c r="EE25" s="6">
        <f>[1]Sheet2!EF24</f>
        <v>0</v>
      </c>
      <c r="EF25" s="6">
        <f>[1]Sheet2!EG24</f>
        <v>0</v>
      </c>
      <c r="EG25" s="6">
        <f>[1]Sheet2!EH24</f>
        <v>0</v>
      </c>
      <c r="EH25" s="6">
        <f>[1]Sheet2!EI24</f>
        <v>0</v>
      </c>
      <c r="EI25" s="6">
        <f>[1]Sheet2!EJ24</f>
        <v>0</v>
      </c>
      <c r="EJ25" s="6">
        <f>[1]Sheet2!EK24</f>
        <v>0</v>
      </c>
      <c r="EK25" s="6">
        <f>[1]Sheet2!EL24</f>
        <v>0</v>
      </c>
      <c r="EL25" s="6" t="str">
        <f>[1]Sheet2!EM24</f>
        <v/>
      </c>
      <c r="EM25" s="6" t="str">
        <f>[1]Sheet2!EN24</f>
        <v/>
      </c>
      <c r="EN25" s="6" t="str">
        <f>[1]Sheet2!EO24</f>
        <v/>
      </c>
      <c r="EO25" s="6" t="str">
        <f>[1]Sheet2!EP24</f>
        <v/>
      </c>
      <c r="EP25" s="6" t="str">
        <f>[1]Sheet2!EQ24</f>
        <v/>
      </c>
      <c r="EQ25" s="6" t="str">
        <f>[1]Sheet2!ER24</f>
        <v/>
      </c>
      <c r="ER25" s="6" t="str">
        <f>[1]Sheet2!ES24</f>
        <v/>
      </c>
      <c r="ES25" s="6" t="str">
        <f>[1]Sheet2!ET24</f>
        <v/>
      </c>
      <c r="ET25" s="6" t="str">
        <f>[1]Sheet2!EU24</f>
        <v/>
      </c>
      <c r="EU25" s="6" t="str">
        <f>[1]Sheet2!EV24</f>
        <v/>
      </c>
      <c r="EV25" s="6" t="str">
        <f>[1]Sheet2!EW24</f>
        <v/>
      </c>
      <c r="EW25" s="6" t="str">
        <f>[1]Sheet2!EX24</f>
        <v/>
      </c>
      <c r="EX25" s="6" t="str">
        <f>[1]Sheet2!EY24</f>
        <v/>
      </c>
      <c r="EY25" s="6" t="str">
        <f>[1]Sheet2!EZ24</f>
        <v/>
      </c>
      <c r="EZ25" s="6" t="str">
        <f>[1]Sheet2!FA24</f>
        <v/>
      </c>
      <c r="FA25" s="6" t="str">
        <f>[1]Sheet2!FB24</f>
        <v/>
      </c>
      <c r="FB25" s="6" t="str">
        <f>[1]Sheet2!FC24</f>
        <v/>
      </c>
      <c r="FC25" s="6" t="str">
        <f>[1]Sheet2!FD24</f>
        <v/>
      </c>
      <c r="FD25" s="6" t="str">
        <f>[1]Sheet2!FE24</f>
        <v/>
      </c>
      <c r="FE25" s="6" t="str">
        <f>[1]Sheet2!FF24</f>
        <v/>
      </c>
      <c r="FF25" s="6" t="str">
        <f>[1]Sheet2!FG24</f>
        <v/>
      </c>
      <c r="FG25" s="6" t="str">
        <f>[1]Sheet2!FH24</f>
        <v/>
      </c>
      <c r="FH25" s="6" t="str">
        <f>[1]Sheet2!FI24</f>
        <v/>
      </c>
      <c r="FI25" s="6" t="str">
        <f>[1]Sheet2!FJ24</f>
        <v/>
      </c>
      <c r="FJ25" s="6" t="str">
        <f>[1]Sheet2!FK24</f>
        <v/>
      </c>
      <c r="FK25" s="6" t="str">
        <f>[1]Sheet2!FL24</f>
        <v/>
      </c>
      <c r="FL25" s="6" t="str">
        <f>[1]Sheet2!FM24</f>
        <v/>
      </c>
      <c r="FM25" s="6" t="str">
        <f>[1]Sheet2!FN24</f>
        <v/>
      </c>
      <c r="FN25" s="6" t="str">
        <f>[1]Sheet2!FO24</f>
        <v/>
      </c>
      <c r="FO25" s="6" t="str">
        <f>[1]Sheet2!FP24</f>
        <v/>
      </c>
    </row>
    <row r="26" spans="1:171" x14ac:dyDescent="0.25">
      <c r="A26" s="15">
        <v>43488</v>
      </c>
      <c r="B26" s="1"/>
      <c r="C26" s="1"/>
      <c r="D26" s="1"/>
      <c r="E26" s="14">
        <f>[1]Sheet2!N25</f>
        <v>0</v>
      </c>
      <c r="F26" s="14">
        <f>[1]Sheet2!BE25</f>
        <v>0</v>
      </c>
      <c r="G26" s="14">
        <f>[1]Sheet2!CW25</f>
        <v>0</v>
      </c>
      <c r="H26" s="1"/>
      <c r="I26" s="1"/>
      <c r="J26" s="1"/>
      <c r="K26" s="16"/>
      <c r="L26" s="16">
        <f>Demand_CWRS!B$3/31</f>
        <v>313.22137613730359</v>
      </c>
      <c r="M26" s="16">
        <f>Demand_CWRS!C$3/31</f>
        <v>241.71000827129859</v>
      </c>
      <c r="N26" s="16">
        <f>Demand_CWRS!D$3/31</f>
        <v>0</v>
      </c>
      <c r="O26" s="16">
        <f>Demand_CWRS!E$3/31</f>
        <v>98.872001654259719</v>
      </c>
      <c r="P26" s="16">
        <f>Demand_CWRS!F$3/31</f>
        <v>198.36900072373859</v>
      </c>
      <c r="Q26" s="16">
        <f>Demand_CWRS!G$3/31</f>
        <v>309.67741935483872</v>
      </c>
      <c r="R26" s="16">
        <f>Demand_CWRS!H$3/31</f>
        <v>241.71000827129859</v>
      </c>
      <c r="S26" s="16">
        <f>Demand_CWRS!I$3/31</f>
        <v>200</v>
      </c>
      <c r="T26" s="16">
        <f>Demand_CWRS!J$3/31</f>
        <v>209.67741935483872</v>
      </c>
      <c r="U26" s="16">
        <f>Demand_CWRS!K$3/31</f>
        <v>216.12903225806451</v>
      </c>
      <c r="V26" s="16">
        <f t="shared" si="6"/>
        <v>-204.0916511579797</v>
      </c>
      <c r="W26" s="16">
        <f t="shared" si="7"/>
        <v>-559.33019023986867</v>
      </c>
      <c r="X26" s="16">
        <f t="shared" si="8"/>
        <v>0</v>
      </c>
      <c r="Y26" s="16">
        <f t="shared" si="9"/>
        <v>6725.9439619520363</v>
      </c>
      <c r="Z26" s="16">
        <f t="shared" si="10"/>
        <v>437.51298335401259</v>
      </c>
      <c r="AA26" s="16">
        <f t="shared" si="11"/>
        <v>877.41935483870702</v>
      </c>
      <c r="AB26" s="16">
        <f t="shared" si="12"/>
        <v>-5259.330190239868</v>
      </c>
      <c r="AC26" s="16">
        <f t="shared" si="13"/>
        <v>400</v>
      </c>
      <c r="AD26" s="16">
        <f t="shared" si="14"/>
        <v>177.41935483870964</v>
      </c>
      <c r="AE26" s="16">
        <f t="shared" si="15"/>
        <v>29.03225806451826</v>
      </c>
      <c r="AF26" s="14">
        <f>IF([1]Sheet2!AJ25=999999,"NA",[1]Sheet2!AJ25)</f>
        <v>0</v>
      </c>
      <c r="AG26" s="14">
        <f>IF([1]Sheet2!AK25=999999,"NA",[1]Sheet2!AK25)</f>
        <v>0</v>
      </c>
      <c r="AH26" s="14" t="str">
        <f>IF([1]Sheet2!AL25=999999,"NA",[1]Sheet2!AL25)</f>
        <v>NA</v>
      </c>
      <c r="AI26" s="14">
        <f>IF([1]Sheet2!AM25=999999,"NA",[1]Sheet2!AM25)</f>
        <v>54</v>
      </c>
      <c r="AJ26" s="14">
        <f>IF([1]Sheet2!AN25=999999,"NA",[1]Sheet2!AN25)</f>
        <v>2</v>
      </c>
      <c r="AK26" s="14">
        <f>IF([1]Sheet2!AO25=999999,"NA",[1]Sheet2!AO25)</f>
        <v>2</v>
      </c>
      <c r="AL26" s="14">
        <f>IF([1]Sheet2!AP25=999999,"NA",[1]Sheet2!AP25)</f>
        <v>0</v>
      </c>
      <c r="AM26" s="14">
        <f>IF([1]Sheet2!AQ25=999999,"NA",[1]Sheet2!AQ25)</f>
        <v>2</v>
      </c>
      <c r="AN26" s="14">
        <f>IF([1]Sheet2!AR25=999999,"NA",[1]Sheet2!AR25)</f>
        <v>0</v>
      </c>
      <c r="AO26" s="14">
        <f>IF([1]Sheet2!AS25=999999,"NA",[1]Sheet2!AS25)</f>
        <v>0</v>
      </c>
      <c r="AP26" s="14">
        <f>[1]Sheet2!P25</f>
        <v>0</v>
      </c>
      <c r="AQ26" s="14">
        <f>[1]Sheet2!Q25</f>
        <v>0</v>
      </c>
      <c r="AR26" s="14">
        <f>[1]Sheet2!R25</f>
        <v>0</v>
      </c>
      <c r="AS26" s="14">
        <f>[1]Sheet2!S25</f>
        <v>0</v>
      </c>
      <c r="AT26" s="14">
        <f>[1]Sheet2!T25</f>
        <v>0</v>
      </c>
      <c r="AU26" s="14">
        <f>[1]Sheet2!U25</f>
        <v>0</v>
      </c>
      <c r="AV26" s="14">
        <f>[1]Sheet2!V25</f>
        <v>0</v>
      </c>
      <c r="AW26" s="14">
        <f>[1]Sheet2!W25</f>
        <v>0</v>
      </c>
      <c r="AX26" s="14">
        <f>[1]Sheet2!X25</f>
        <v>0</v>
      </c>
      <c r="AY26" s="14">
        <f>[1]Sheet2!Y25</f>
        <v>0</v>
      </c>
      <c r="AZ26" s="16">
        <f>Demand_LP!B$3/31</f>
        <v>503.00172404880072</v>
      </c>
      <c r="BA26" s="16">
        <f>Demand_LP!C$3/31</f>
        <v>792.35864350703059</v>
      </c>
      <c r="BB26" s="16">
        <f>Demand_LP!D$3/31</f>
        <v>231.20967741935488</v>
      </c>
      <c r="BC26" s="16">
        <f>Demand_LP!E$3/31</f>
        <v>696.53949545078569</v>
      </c>
      <c r="BD26" s="16">
        <f>Demand_LP!F$3/31</f>
        <v>482.27093930934655</v>
      </c>
      <c r="BE26" s="16">
        <f>Demand_LP!G$3/31</f>
        <v>451.61290322580646</v>
      </c>
      <c r="BF26" s="16">
        <f>Demand_LP!H$3/31</f>
        <v>774.19354838709683</v>
      </c>
      <c r="BG26" s="16">
        <f>Demand_LP!I$3/31</f>
        <v>451.61290322580646</v>
      </c>
      <c r="BH26" s="16">
        <f>Demand_LP!J$3/31</f>
        <v>387.09677419354841</v>
      </c>
      <c r="BI26" s="16">
        <f>Demand_LP!K$3/31</f>
        <v>419.35483870967744</v>
      </c>
      <c r="BJ26" s="16">
        <f t="shared" si="16"/>
        <v>-1569.039653122416</v>
      </c>
      <c r="BK26" s="16">
        <f t="shared" si="17"/>
        <v>-8224.2488006616986</v>
      </c>
      <c r="BL26" s="16">
        <f t="shared" si="18"/>
        <v>4682.177419354839</v>
      </c>
      <c r="BM26" s="16">
        <f t="shared" si="19"/>
        <v>-6020.4083953680711</v>
      </c>
      <c r="BN26" s="16">
        <f t="shared" si="20"/>
        <v>-1092.2316041149684</v>
      </c>
      <c r="BO26" s="16">
        <f t="shared" si="21"/>
        <v>-387.09677419355239</v>
      </c>
      <c r="BP26" s="16">
        <f t="shared" si="22"/>
        <v>-1806.4516129032229</v>
      </c>
      <c r="BQ26" s="16">
        <f t="shared" si="23"/>
        <v>-387.09677419355239</v>
      </c>
      <c r="BR26" s="16">
        <f t="shared" si="24"/>
        <v>1096.7741935483855</v>
      </c>
      <c r="BS26" s="16">
        <f t="shared" si="25"/>
        <v>354.83870967741927</v>
      </c>
      <c r="BT26" s="14">
        <f>IF([1]Sheet2!CB25=999999,"NA",[1]Sheet2!CB25)</f>
        <v>0</v>
      </c>
      <c r="BU26" s="14">
        <f>IF([1]Sheet2!CC25=999999,"NA",[1]Sheet2!CC25)</f>
        <v>0</v>
      </c>
      <c r="BV26" s="14">
        <f>IF([1]Sheet2!CD25=999999,"NA",[1]Sheet2!CD25)</f>
        <v>18</v>
      </c>
      <c r="BW26" s="14">
        <f>IF([1]Sheet2!CE25=999999,"NA",[1]Sheet2!CE25)</f>
        <v>0</v>
      </c>
      <c r="BX26" s="14">
        <f>IF([1]Sheet2!CF25=999999,"NA",[1]Sheet2!CF25)</f>
        <v>0</v>
      </c>
      <c r="BY26" s="14">
        <f>IF([1]Sheet2!CG25=999999,"NA",[1]Sheet2!CG25)</f>
        <v>0</v>
      </c>
      <c r="BZ26" s="14">
        <f>IF([1]Sheet2!CH25=999999,"NA",[1]Sheet2!CH25)</f>
        <v>0</v>
      </c>
      <c r="CA26" s="14">
        <f>IF([1]Sheet2!CI25=999999,"NA",[1]Sheet2!CI25)</f>
        <v>0</v>
      </c>
      <c r="CB26" s="14">
        <f>IF([1]Sheet2!CJ25=999999,"NA",[1]Sheet2!CJ25)</f>
        <v>2</v>
      </c>
      <c r="CC26" s="14">
        <f>IF([1]Sheet2!CK25=999999,"NA",[1]Sheet2!CK25)</f>
        <v>0</v>
      </c>
      <c r="CD26" s="14">
        <f>[1]Sheet2!BH25</f>
        <v>0</v>
      </c>
      <c r="CE26" s="14">
        <f>[1]Sheet2!BI25</f>
        <v>0</v>
      </c>
      <c r="CF26" s="14">
        <f>[1]Sheet2!BJ25</f>
        <v>0</v>
      </c>
      <c r="CG26" s="14">
        <f>[1]Sheet2!BK25</f>
        <v>0</v>
      </c>
      <c r="CH26" s="14">
        <f>[1]Sheet2!BL25</f>
        <v>0</v>
      </c>
      <c r="CI26" s="14">
        <f>[1]Sheet2!BM25</f>
        <v>0</v>
      </c>
      <c r="CJ26" s="14">
        <f>[1]Sheet2!BN25</f>
        <v>0</v>
      </c>
      <c r="CK26" s="14">
        <f>[1]Sheet2!BO25</f>
        <v>0</v>
      </c>
      <c r="CL26" s="14">
        <f>[1]Sheet2!BP25</f>
        <v>0</v>
      </c>
      <c r="CM26" s="14">
        <f>[1]Sheet2!BQ25</f>
        <v>0</v>
      </c>
      <c r="CN26" s="16">
        <f>Demand_SW!B$3/31</f>
        <v>139.57816377171216</v>
      </c>
      <c r="CO26" s="16">
        <f>Demand_SW!C$3/31</f>
        <v>0</v>
      </c>
      <c r="CP26" s="16">
        <f>Demand_SW!D$3/31</f>
        <v>0</v>
      </c>
      <c r="CQ26" s="16">
        <f>Demand_SW!E$3/31</f>
        <v>0</v>
      </c>
      <c r="CR26" s="16">
        <f>Demand_SW!F$3/31</f>
        <v>0</v>
      </c>
      <c r="CS26" s="16">
        <f>Demand_SW!G$3/31</f>
        <v>132.25806451612902</v>
      </c>
      <c r="CT26" s="16">
        <f>Demand_SW!H$3/31</f>
        <v>0</v>
      </c>
      <c r="CU26" s="16">
        <f>Demand_SW!I$3/31</f>
        <v>0</v>
      </c>
      <c r="CV26" s="16">
        <f>Demand_SW!J$3/31</f>
        <v>0</v>
      </c>
      <c r="CW26" s="16">
        <f>Demand_SW!K$3/31</f>
        <v>0</v>
      </c>
      <c r="CX26" s="16">
        <f t="shared" si="26"/>
        <v>1789.7022332506203</v>
      </c>
      <c r="CY26" s="16">
        <f t="shared" si="27"/>
        <v>1000</v>
      </c>
      <c r="CZ26" s="16">
        <f t="shared" si="28"/>
        <v>0</v>
      </c>
      <c r="DA26" s="16">
        <f t="shared" si="29"/>
        <v>0</v>
      </c>
      <c r="DB26" s="16">
        <f t="shared" si="30"/>
        <v>0</v>
      </c>
      <c r="DC26" s="16">
        <f t="shared" si="31"/>
        <v>1958.0645161290374</v>
      </c>
      <c r="DD26" s="16">
        <f t="shared" si="32"/>
        <v>1000</v>
      </c>
      <c r="DE26" s="16">
        <f t="shared" si="33"/>
        <v>0</v>
      </c>
      <c r="DF26" s="16">
        <f t="shared" si="34"/>
        <v>0</v>
      </c>
      <c r="DG26" s="16">
        <f t="shared" si="35"/>
        <v>0</v>
      </c>
      <c r="DH26" s="14">
        <f>IF([1]Sheet2!DS25=999999,"NA",[1]Sheet2!DS25)</f>
        <v>15</v>
      </c>
      <c r="DI26" s="14">
        <f>IF([1]Sheet2!DT25=999999,"NA",[1]Sheet2!DT25)</f>
        <v>342</v>
      </c>
      <c r="DJ26" s="14" t="str">
        <f>IF([1]Sheet2!DU25=999999,"NA",[1]Sheet2!DU25)</f>
        <v>NA</v>
      </c>
      <c r="DK26" s="14" t="str">
        <f>IF([1]Sheet2!DV25=999999,"NA",[1]Sheet2!DV25)</f>
        <v>NA</v>
      </c>
      <c r="DL26" s="14" t="str">
        <f>IF([1]Sheet2!DW25=999999,"NA",[1]Sheet2!DW25)</f>
        <v>NA</v>
      </c>
      <c r="DM26" s="14">
        <f>IF([1]Sheet2!DX25=999999,"NA",[1]Sheet2!DX25)</f>
        <v>18</v>
      </c>
      <c r="DN26" s="14">
        <f>IF([1]Sheet2!DY25=999999,"NA",[1]Sheet2!DY25)</f>
        <v>342</v>
      </c>
      <c r="DO26" s="14" t="str">
        <f>IF([1]Sheet2!DZ25=999999,"NA",[1]Sheet2!DZ25)</f>
        <v>NA</v>
      </c>
      <c r="DP26" s="14" t="str">
        <f>IF([1]Sheet2!EA25=999999,"NA",[1]Sheet2!EA25)</f>
        <v>NA</v>
      </c>
      <c r="DQ26" s="14" t="str">
        <f>IF([1]Sheet2!EB25=999999,"NA",[1]Sheet2!EB25)</f>
        <v>NA</v>
      </c>
      <c r="DR26" s="14">
        <f>[1]Sheet2!CY25</f>
        <v>0</v>
      </c>
      <c r="DS26" s="14">
        <f>[1]Sheet2!CZ25</f>
        <v>0</v>
      </c>
      <c r="DT26" s="14">
        <f>[1]Sheet2!DA25</f>
        <v>0</v>
      </c>
      <c r="DU26" s="14">
        <f>[1]Sheet2!DB25</f>
        <v>0</v>
      </c>
      <c r="DV26" s="14">
        <f>[1]Sheet2!DC25</f>
        <v>0</v>
      </c>
      <c r="DW26" s="14">
        <f>[1]Sheet2!DD25</f>
        <v>0</v>
      </c>
      <c r="DX26" s="14">
        <f>[1]Sheet2!DE25</f>
        <v>0</v>
      </c>
      <c r="DY26" s="14">
        <f>[1]Sheet2!DF25</f>
        <v>0</v>
      </c>
      <c r="DZ26" s="14">
        <f>[1]Sheet2!DG25</f>
        <v>0</v>
      </c>
      <c r="EA26" s="14">
        <f>[1]Sheet2!DH25</f>
        <v>0</v>
      </c>
      <c r="EB26" s="6">
        <f>[1]Sheet2!EC25</f>
        <v>0</v>
      </c>
      <c r="EC26" s="6">
        <f>[1]Sheet2!ED25</f>
        <v>0</v>
      </c>
      <c r="ED26" s="6">
        <f>[1]Sheet2!EE25</f>
        <v>0</v>
      </c>
      <c r="EE26" s="6">
        <f>[1]Sheet2!EF25</f>
        <v>0</v>
      </c>
      <c r="EF26" s="6">
        <f>[1]Sheet2!EG25</f>
        <v>0</v>
      </c>
      <c r="EG26" s="6">
        <f>[1]Sheet2!EH25</f>
        <v>0</v>
      </c>
      <c r="EH26" s="6">
        <f>[1]Sheet2!EI25</f>
        <v>0</v>
      </c>
      <c r="EI26" s="6">
        <f>[1]Sheet2!EJ25</f>
        <v>0</v>
      </c>
      <c r="EJ26" s="6">
        <f>[1]Sheet2!EK25</f>
        <v>0</v>
      </c>
      <c r="EK26" s="6">
        <f>[1]Sheet2!EL25</f>
        <v>0</v>
      </c>
      <c r="EL26" s="6" t="str">
        <f>[1]Sheet2!EM25</f>
        <v/>
      </c>
      <c r="EM26" s="6" t="str">
        <f>[1]Sheet2!EN25</f>
        <v/>
      </c>
      <c r="EN26" s="6" t="str">
        <f>[1]Sheet2!EO25</f>
        <v/>
      </c>
      <c r="EO26" s="6" t="str">
        <f>[1]Sheet2!EP25</f>
        <v/>
      </c>
      <c r="EP26" s="6" t="str">
        <f>[1]Sheet2!EQ25</f>
        <v/>
      </c>
      <c r="EQ26" s="6" t="str">
        <f>[1]Sheet2!ER25</f>
        <v/>
      </c>
      <c r="ER26" s="6" t="str">
        <f>[1]Sheet2!ES25</f>
        <v/>
      </c>
      <c r="ES26" s="6" t="str">
        <f>[1]Sheet2!ET25</f>
        <v/>
      </c>
      <c r="ET26" s="6" t="str">
        <f>[1]Sheet2!EU25</f>
        <v/>
      </c>
      <c r="EU26" s="6" t="str">
        <f>[1]Sheet2!EV25</f>
        <v/>
      </c>
      <c r="EV26" s="6" t="str">
        <f>[1]Sheet2!EW25</f>
        <v/>
      </c>
      <c r="EW26" s="6" t="str">
        <f>[1]Sheet2!EX25</f>
        <v/>
      </c>
      <c r="EX26" s="6" t="str">
        <f>[1]Sheet2!EY25</f>
        <v/>
      </c>
      <c r="EY26" s="6" t="str">
        <f>[1]Sheet2!EZ25</f>
        <v/>
      </c>
      <c r="EZ26" s="6" t="str">
        <f>[1]Sheet2!FA25</f>
        <v/>
      </c>
      <c r="FA26" s="6" t="str">
        <f>[1]Sheet2!FB25</f>
        <v/>
      </c>
      <c r="FB26" s="6" t="str">
        <f>[1]Sheet2!FC25</f>
        <v/>
      </c>
      <c r="FC26" s="6" t="str">
        <f>[1]Sheet2!FD25</f>
        <v/>
      </c>
      <c r="FD26" s="6" t="str">
        <f>[1]Sheet2!FE25</f>
        <v/>
      </c>
      <c r="FE26" s="6" t="str">
        <f>[1]Sheet2!FF25</f>
        <v/>
      </c>
      <c r="FF26" s="6" t="str">
        <f>[1]Sheet2!FG25</f>
        <v/>
      </c>
      <c r="FG26" s="6" t="str">
        <f>[1]Sheet2!FH25</f>
        <v/>
      </c>
      <c r="FH26" s="6" t="str">
        <f>[1]Sheet2!FI25</f>
        <v/>
      </c>
      <c r="FI26" s="6" t="str">
        <f>[1]Sheet2!FJ25</f>
        <v/>
      </c>
      <c r="FJ26" s="6" t="str">
        <f>[1]Sheet2!FK25</f>
        <v/>
      </c>
      <c r="FK26" s="6" t="str">
        <f>[1]Sheet2!FL25</f>
        <v/>
      </c>
      <c r="FL26" s="6" t="str">
        <f>[1]Sheet2!FM25</f>
        <v/>
      </c>
      <c r="FM26" s="6" t="str">
        <f>[1]Sheet2!FN25</f>
        <v/>
      </c>
      <c r="FN26" s="6" t="str">
        <f>[1]Sheet2!FO25</f>
        <v/>
      </c>
      <c r="FO26" s="6" t="str">
        <f>[1]Sheet2!FP25</f>
        <v/>
      </c>
    </row>
    <row r="27" spans="1:171" x14ac:dyDescent="0.25">
      <c r="A27" s="15">
        <v>43489</v>
      </c>
      <c r="B27" s="1"/>
      <c r="C27" s="1"/>
      <c r="D27" s="1"/>
      <c r="E27" s="14">
        <f>[1]Sheet2!N26</f>
        <v>48000</v>
      </c>
      <c r="F27" s="14">
        <f>[1]Sheet2!BE26</f>
        <v>0</v>
      </c>
      <c r="G27" s="14">
        <f>[1]Sheet2!CW26</f>
        <v>48000</v>
      </c>
      <c r="H27" s="1"/>
      <c r="I27" s="1"/>
      <c r="J27" s="1"/>
      <c r="K27" s="16"/>
      <c r="L27" s="16">
        <f>Demand_CWRS!B$3/31</f>
        <v>313.22137613730359</v>
      </c>
      <c r="M27" s="16">
        <f>Demand_CWRS!C$3/31</f>
        <v>241.71000827129859</v>
      </c>
      <c r="N27" s="16">
        <f>Demand_CWRS!D$3/31</f>
        <v>0</v>
      </c>
      <c r="O27" s="16">
        <f>Demand_CWRS!E$3/31</f>
        <v>98.872001654259719</v>
      </c>
      <c r="P27" s="16">
        <f>Demand_CWRS!F$3/31</f>
        <v>198.36900072373859</v>
      </c>
      <c r="Q27" s="16">
        <f>Demand_CWRS!G$3/31</f>
        <v>309.67741935483872</v>
      </c>
      <c r="R27" s="16">
        <f>Demand_CWRS!H$3/31</f>
        <v>241.71000827129859</v>
      </c>
      <c r="S27" s="16">
        <f>Demand_CWRS!I$3/31</f>
        <v>200</v>
      </c>
      <c r="T27" s="16">
        <f>Demand_CWRS!J$3/31</f>
        <v>209.67741935483872</v>
      </c>
      <c r="U27" s="16">
        <f>Demand_CWRS!K$3/31</f>
        <v>216.12903225806451</v>
      </c>
      <c r="V27" s="16">
        <f t="shared" si="6"/>
        <v>-517.31302729528329</v>
      </c>
      <c r="W27" s="16">
        <f t="shared" si="7"/>
        <v>-801.04019851116732</v>
      </c>
      <c r="X27" s="16">
        <f t="shared" si="8"/>
        <v>0</v>
      </c>
      <c r="Y27" s="16">
        <f t="shared" si="9"/>
        <v>6627.071960297777</v>
      </c>
      <c r="Z27" s="16">
        <f t="shared" si="10"/>
        <v>239.143982630274</v>
      </c>
      <c r="AA27" s="16">
        <f t="shared" si="11"/>
        <v>567.74193548386825</v>
      </c>
      <c r="AB27" s="16">
        <f t="shared" si="12"/>
        <v>-5501.0401985111666</v>
      </c>
      <c r="AC27" s="16">
        <f t="shared" si="13"/>
        <v>200</v>
      </c>
      <c r="AD27" s="16">
        <f t="shared" si="14"/>
        <v>-32.258064516129082</v>
      </c>
      <c r="AE27" s="16">
        <f t="shared" si="15"/>
        <v>-187.09677419354625</v>
      </c>
      <c r="AF27" s="14">
        <f>IF([1]Sheet2!AJ26=999999,"NA",[1]Sheet2!AJ26)</f>
        <v>0</v>
      </c>
      <c r="AG27" s="14">
        <f>IF([1]Sheet2!AK26=999999,"NA",[1]Sheet2!AK26)</f>
        <v>0</v>
      </c>
      <c r="AH27" s="14" t="str">
        <f>IF([1]Sheet2!AL26=999999,"NA",[1]Sheet2!AL26)</f>
        <v>NA</v>
      </c>
      <c r="AI27" s="14">
        <f>IF([1]Sheet2!AM26=999999,"NA",[1]Sheet2!AM26)</f>
        <v>53</v>
      </c>
      <c r="AJ27" s="14">
        <f>IF([1]Sheet2!AN26=999999,"NA",[1]Sheet2!AN26)</f>
        <v>1</v>
      </c>
      <c r="AK27" s="14">
        <f>IF([1]Sheet2!AO26=999999,"NA",[1]Sheet2!AO26)</f>
        <v>1</v>
      </c>
      <c r="AL27" s="14">
        <f>IF([1]Sheet2!AP26=999999,"NA",[1]Sheet2!AP26)</f>
        <v>0</v>
      </c>
      <c r="AM27" s="14">
        <f>IF([1]Sheet2!AQ26=999999,"NA",[1]Sheet2!AQ26)</f>
        <v>1</v>
      </c>
      <c r="AN27" s="14">
        <f>IF([1]Sheet2!AR26=999999,"NA",[1]Sheet2!AR26)</f>
        <v>0</v>
      </c>
      <c r="AO27" s="14">
        <f>IF([1]Sheet2!AS26=999999,"NA",[1]Sheet2!AS26)</f>
        <v>0</v>
      </c>
      <c r="AP27" s="14">
        <f>[1]Sheet2!P26</f>
        <v>0</v>
      </c>
      <c r="AQ27" s="14">
        <f>[1]Sheet2!Q26</f>
        <v>0</v>
      </c>
      <c r="AR27" s="14">
        <f>[1]Sheet2!R26</f>
        <v>0</v>
      </c>
      <c r="AS27" s="14">
        <f>[1]Sheet2!S26</f>
        <v>0</v>
      </c>
      <c r="AT27" s="14">
        <f>[1]Sheet2!T26</f>
        <v>0</v>
      </c>
      <c r="AU27" s="25">
        <f>[1]Sheet2!U26</f>
        <v>0</v>
      </c>
      <c r="AV27" s="14">
        <f>[1]Sheet2!V26</f>
        <v>0</v>
      </c>
      <c r="AW27" s="14">
        <f>[1]Sheet2!W26</f>
        <v>0</v>
      </c>
      <c r="AX27" s="14">
        <f>[1]Sheet2!X26</f>
        <v>0</v>
      </c>
      <c r="AY27" s="14">
        <f>[1]Sheet2!Y26</f>
        <v>0</v>
      </c>
      <c r="AZ27" s="16">
        <f>Demand_LP!B$3/31</f>
        <v>503.00172404880072</v>
      </c>
      <c r="BA27" s="16">
        <f>Demand_LP!C$3/31</f>
        <v>792.35864350703059</v>
      </c>
      <c r="BB27" s="16">
        <f>Demand_LP!D$3/31</f>
        <v>231.20967741935488</v>
      </c>
      <c r="BC27" s="16">
        <f>Demand_LP!E$3/31</f>
        <v>696.53949545078569</v>
      </c>
      <c r="BD27" s="16">
        <f>Demand_LP!F$3/31</f>
        <v>482.27093930934655</v>
      </c>
      <c r="BE27" s="16">
        <f>Demand_LP!G$3/31</f>
        <v>451.61290322580646</v>
      </c>
      <c r="BF27" s="16">
        <f>Demand_LP!H$3/31</f>
        <v>774.19354838709683</v>
      </c>
      <c r="BG27" s="16">
        <f>Demand_LP!I$3/31</f>
        <v>451.61290322580646</v>
      </c>
      <c r="BH27" s="16">
        <f>Demand_LP!J$3/31</f>
        <v>387.09677419354841</v>
      </c>
      <c r="BI27" s="16">
        <f>Demand_LP!K$3/31</f>
        <v>419.35483870967744</v>
      </c>
      <c r="BJ27" s="16">
        <f t="shared" si="16"/>
        <v>-2072.0413771712165</v>
      </c>
      <c r="BK27" s="16">
        <f t="shared" si="17"/>
        <v>-9016.6074441687288</v>
      </c>
      <c r="BL27" s="16">
        <f t="shared" si="18"/>
        <v>4450.9677419354839</v>
      </c>
      <c r="BM27" s="16">
        <f t="shared" si="19"/>
        <v>-6716.9478908188566</v>
      </c>
      <c r="BN27" s="16">
        <f t="shared" si="20"/>
        <v>-1574.5025434243148</v>
      </c>
      <c r="BO27" s="16">
        <f t="shared" si="21"/>
        <v>-838.70967741935885</v>
      </c>
      <c r="BP27" s="16">
        <f t="shared" si="22"/>
        <v>-2580.6451612903197</v>
      </c>
      <c r="BQ27" s="16">
        <f t="shared" si="23"/>
        <v>-838.70967741935885</v>
      </c>
      <c r="BR27" s="16">
        <f t="shared" si="24"/>
        <v>709.67741935483707</v>
      </c>
      <c r="BS27" s="16">
        <f t="shared" si="25"/>
        <v>-64.516129032258164</v>
      </c>
      <c r="BT27" s="14">
        <f>IF([1]Sheet2!CB26=999999,"NA",[1]Sheet2!CB26)</f>
        <v>0</v>
      </c>
      <c r="BU27" s="14">
        <f>IF([1]Sheet2!CC26=999999,"NA",[1]Sheet2!CC26)</f>
        <v>0</v>
      </c>
      <c r="BV27" s="14">
        <f>IF([1]Sheet2!CD26=999999,"NA",[1]Sheet2!CD26)</f>
        <v>17</v>
      </c>
      <c r="BW27" s="14">
        <f>IF([1]Sheet2!CE26=999999,"NA",[1]Sheet2!CE26)</f>
        <v>0</v>
      </c>
      <c r="BX27" s="14">
        <f>IF([1]Sheet2!CF26=999999,"NA",[1]Sheet2!CF26)</f>
        <v>0</v>
      </c>
      <c r="BY27" s="14">
        <f>IF([1]Sheet2!CG26=999999,"NA",[1]Sheet2!CG26)</f>
        <v>0</v>
      </c>
      <c r="BZ27" s="14">
        <f>IF([1]Sheet2!CH26=999999,"NA",[1]Sheet2!CH26)</f>
        <v>0</v>
      </c>
      <c r="CA27" s="14">
        <f>IF([1]Sheet2!CI26=999999,"NA",[1]Sheet2!CI26)</f>
        <v>0</v>
      </c>
      <c r="CB27" s="14">
        <f>IF([1]Sheet2!CJ26=999999,"NA",[1]Sheet2!CJ26)</f>
        <v>1</v>
      </c>
      <c r="CC27" s="14">
        <f>IF([1]Sheet2!CK26=999999,"NA",[1]Sheet2!CK26)</f>
        <v>0</v>
      </c>
      <c r="CD27" s="14">
        <f>[1]Sheet2!BH26</f>
        <v>0</v>
      </c>
      <c r="CE27" s="14">
        <f>[1]Sheet2!BI26</f>
        <v>0</v>
      </c>
      <c r="CF27" s="14">
        <f>[1]Sheet2!BJ26</f>
        <v>0</v>
      </c>
      <c r="CG27" s="14">
        <f>[1]Sheet2!BK26</f>
        <v>0</v>
      </c>
      <c r="CH27" s="14">
        <f>[1]Sheet2!BL26</f>
        <v>0</v>
      </c>
      <c r="CI27" s="14">
        <f>[1]Sheet2!BM26</f>
        <v>0</v>
      </c>
      <c r="CJ27" s="14">
        <f>[1]Sheet2!BN26</f>
        <v>0</v>
      </c>
      <c r="CK27" s="14">
        <f>[1]Sheet2!BO26</f>
        <v>0</v>
      </c>
      <c r="CL27" s="14">
        <f>[1]Sheet2!BP26</f>
        <v>0</v>
      </c>
      <c r="CM27" s="14">
        <f>[1]Sheet2!BQ26</f>
        <v>0</v>
      </c>
      <c r="CN27" s="16">
        <f>Demand_SW!B$3/31</f>
        <v>139.57816377171216</v>
      </c>
      <c r="CO27" s="16">
        <f>Demand_SW!C$3/31</f>
        <v>0</v>
      </c>
      <c r="CP27" s="16">
        <f>Demand_SW!D$3/31</f>
        <v>0</v>
      </c>
      <c r="CQ27" s="16">
        <f>Demand_SW!E$3/31</f>
        <v>0</v>
      </c>
      <c r="CR27" s="16">
        <f>Demand_SW!F$3/31</f>
        <v>0</v>
      </c>
      <c r="CS27" s="16">
        <f>Demand_SW!G$3/31</f>
        <v>132.25806451612902</v>
      </c>
      <c r="CT27" s="16">
        <f>Demand_SW!H$3/31</f>
        <v>0</v>
      </c>
      <c r="CU27" s="16">
        <f>Demand_SW!I$3/31</f>
        <v>0</v>
      </c>
      <c r="CV27" s="16">
        <f>Demand_SW!J$3/31</f>
        <v>0</v>
      </c>
      <c r="CW27" s="16">
        <f>Demand_SW!K$3/31</f>
        <v>0</v>
      </c>
      <c r="CX27" s="16">
        <f t="shared" si="26"/>
        <v>1650.1240694789083</v>
      </c>
      <c r="CY27" s="16">
        <f t="shared" si="27"/>
        <v>1000</v>
      </c>
      <c r="CZ27" s="16">
        <f t="shared" si="28"/>
        <v>0</v>
      </c>
      <c r="DA27" s="16">
        <f t="shared" si="29"/>
        <v>0</v>
      </c>
      <c r="DB27" s="16">
        <f t="shared" si="30"/>
        <v>0</v>
      </c>
      <c r="DC27" s="16">
        <f t="shared" si="31"/>
        <v>1825.8064516129084</v>
      </c>
      <c r="DD27" s="16">
        <f t="shared" si="32"/>
        <v>1000</v>
      </c>
      <c r="DE27" s="16">
        <f t="shared" si="33"/>
        <v>0</v>
      </c>
      <c r="DF27" s="16">
        <f t="shared" si="34"/>
        <v>0</v>
      </c>
      <c r="DG27" s="16">
        <f t="shared" si="35"/>
        <v>0</v>
      </c>
      <c r="DH27" s="14">
        <f>IF([1]Sheet2!DS26=999999,"NA",[1]Sheet2!DS26)</f>
        <v>14</v>
      </c>
      <c r="DI27" s="14">
        <f>IF([1]Sheet2!DT26=999999,"NA",[1]Sheet2!DT26)</f>
        <v>341</v>
      </c>
      <c r="DJ27" s="14" t="str">
        <f>IF([1]Sheet2!DU26=999999,"NA",[1]Sheet2!DU26)</f>
        <v>NA</v>
      </c>
      <c r="DK27" s="14" t="str">
        <f>IF([1]Sheet2!DV26=999999,"NA",[1]Sheet2!DV26)</f>
        <v>NA</v>
      </c>
      <c r="DL27" s="14" t="str">
        <f>IF([1]Sheet2!DW26=999999,"NA",[1]Sheet2!DW26)</f>
        <v>NA</v>
      </c>
      <c r="DM27" s="14">
        <f>IF([1]Sheet2!DX26=999999,"NA",[1]Sheet2!DX26)</f>
        <v>17</v>
      </c>
      <c r="DN27" s="14">
        <f>IF([1]Sheet2!DY26=999999,"NA",[1]Sheet2!DY26)</f>
        <v>341</v>
      </c>
      <c r="DO27" s="14" t="str">
        <f>IF([1]Sheet2!DZ26=999999,"NA",[1]Sheet2!DZ26)</f>
        <v>NA</v>
      </c>
      <c r="DP27" s="14" t="str">
        <f>IF([1]Sheet2!EA26=999999,"NA",[1]Sheet2!EA26)</f>
        <v>NA</v>
      </c>
      <c r="DQ27" s="14" t="str">
        <f>IF([1]Sheet2!EB26=999999,"NA",[1]Sheet2!EB26)</f>
        <v>NA</v>
      </c>
      <c r="DR27" s="14">
        <f>[1]Sheet2!CY26</f>
        <v>0</v>
      </c>
      <c r="DS27" s="14">
        <f>[1]Sheet2!CZ26</f>
        <v>0</v>
      </c>
      <c r="DT27" s="14">
        <f>[1]Sheet2!DA26</f>
        <v>0</v>
      </c>
      <c r="DU27" s="14">
        <f>[1]Sheet2!DB26</f>
        <v>0</v>
      </c>
      <c r="DV27" s="14">
        <f>[1]Sheet2!DC26</f>
        <v>0</v>
      </c>
      <c r="DW27" s="14">
        <f>[1]Sheet2!DD26</f>
        <v>0</v>
      </c>
      <c r="DX27" s="14">
        <f>[1]Sheet2!DE26</f>
        <v>0</v>
      </c>
      <c r="DY27" s="14">
        <f>[1]Sheet2!DF26</f>
        <v>0</v>
      </c>
      <c r="DZ27" s="14">
        <f>[1]Sheet2!DG26</f>
        <v>0</v>
      </c>
      <c r="EA27" s="14">
        <f>[1]Sheet2!DH26</f>
        <v>0</v>
      </c>
      <c r="EB27" s="6">
        <f>[1]Sheet2!EC26</f>
        <v>0</v>
      </c>
      <c r="EC27" s="6">
        <f>[1]Sheet2!ED26</f>
        <v>0</v>
      </c>
      <c r="ED27" s="6">
        <f>[1]Sheet2!EE26</f>
        <v>0</v>
      </c>
      <c r="EE27" s="6">
        <f>[1]Sheet2!EF26</f>
        <v>0</v>
      </c>
      <c r="EF27" s="6">
        <f>[1]Sheet2!EG26</f>
        <v>0</v>
      </c>
      <c r="EG27" s="6">
        <f>[1]Sheet2!EH26</f>
        <v>0</v>
      </c>
      <c r="EH27" s="6">
        <f>[1]Sheet2!EI26</f>
        <v>0</v>
      </c>
      <c r="EI27" s="6">
        <f>[1]Sheet2!EJ26</f>
        <v>0</v>
      </c>
      <c r="EJ27" s="6">
        <f>[1]Sheet2!EK26</f>
        <v>0</v>
      </c>
      <c r="EK27" s="6">
        <f>[1]Sheet2!EL26</f>
        <v>0</v>
      </c>
      <c r="EL27" s="6" t="str">
        <f>[1]Sheet2!EM26</f>
        <v/>
      </c>
      <c r="EM27" s="6" t="str">
        <f>[1]Sheet2!EN26</f>
        <v/>
      </c>
      <c r="EN27" s="6" t="str">
        <f>[1]Sheet2!EO26</f>
        <v/>
      </c>
      <c r="EO27" s="6" t="str">
        <f>[1]Sheet2!EP26</f>
        <v/>
      </c>
      <c r="EP27" s="6" t="str">
        <f>[1]Sheet2!EQ26</f>
        <v/>
      </c>
      <c r="EQ27" s="6" t="str">
        <f>[1]Sheet2!ER26</f>
        <v/>
      </c>
      <c r="ER27" s="6" t="str">
        <f>[1]Sheet2!ES26</f>
        <v/>
      </c>
      <c r="ES27" s="6" t="str">
        <f>[1]Sheet2!ET26</f>
        <v/>
      </c>
      <c r="ET27" s="6" t="str">
        <f>[1]Sheet2!EU26</f>
        <v/>
      </c>
      <c r="EU27" s="6" t="str">
        <f>[1]Sheet2!EV26</f>
        <v/>
      </c>
      <c r="EV27" s="6" t="str">
        <f>[1]Sheet2!EW26</f>
        <v/>
      </c>
      <c r="EW27" s="6" t="str">
        <f>[1]Sheet2!EX26</f>
        <v/>
      </c>
      <c r="EX27" s="6" t="str">
        <f>[1]Sheet2!EY26</f>
        <v/>
      </c>
      <c r="EY27" s="6" t="str">
        <f>[1]Sheet2!EZ26</f>
        <v/>
      </c>
      <c r="EZ27" s="6" t="str">
        <f>[1]Sheet2!FA26</f>
        <v/>
      </c>
      <c r="FA27" s="6" t="str">
        <f>[1]Sheet2!FB26</f>
        <v/>
      </c>
      <c r="FB27" s="6" t="str">
        <f>[1]Sheet2!FC26</f>
        <v/>
      </c>
      <c r="FC27" s="6" t="str">
        <f>[1]Sheet2!FD26</f>
        <v/>
      </c>
      <c r="FD27" s="6" t="str">
        <f>[1]Sheet2!FE26</f>
        <v/>
      </c>
      <c r="FE27" s="6" t="str">
        <f>[1]Sheet2!FF26</f>
        <v/>
      </c>
      <c r="FF27" s="6" t="str">
        <f>[1]Sheet2!FG26</f>
        <v/>
      </c>
      <c r="FG27" s="6" t="str">
        <f>[1]Sheet2!FH26</f>
        <v/>
      </c>
      <c r="FH27" s="6" t="str">
        <f>[1]Sheet2!FI26</f>
        <v/>
      </c>
      <c r="FI27" s="6" t="str">
        <f>[1]Sheet2!FJ26</f>
        <v/>
      </c>
      <c r="FJ27" s="6" t="str">
        <f>[1]Sheet2!FK26</f>
        <v/>
      </c>
      <c r="FK27" s="6" t="str">
        <f>[1]Sheet2!FL26</f>
        <v/>
      </c>
      <c r="FL27" s="6" t="str">
        <f>[1]Sheet2!FM26</f>
        <v/>
      </c>
      <c r="FM27" s="6" t="str">
        <f>[1]Sheet2!FN26</f>
        <v/>
      </c>
      <c r="FN27" s="6" t="str">
        <f>[1]Sheet2!FO26</f>
        <v/>
      </c>
      <c r="FO27" s="6" t="str">
        <f>[1]Sheet2!FP26</f>
        <v/>
      </c>
    </row>
    <row r="28" spans="1:171" x14ac:dyDescent="0.25">
      <c r="A28" s="15">
        <v>43490</v>
      </c>
      <c r="B28" s="1"/>
      <c r="C28" s="1"/>
      <c r="D28" s="1"/>
      <c r="E28" s="14">
        <f>[1]Sheet2!N27</f>
        <v>0</v>
      </c>
      <c r="F28" s="14">
        <f>[1]Sheet2!BE27</f>
        <v>0</v>
      </c>
      <c r="G28" s="14">
        <f>[1]Sheet2!CW27</f>
        <v>0</v>
      </c>
      <c r="H28" s="1"/>
      <c r="I28" s="1"/>
      <c r="J28" s="1"/>
      <c r="K28" s="16"/>
      <c r="L28" s="16">
        <f>Demand_CWRS!B$3/31</f>
        <v>313.22137613730359</v>
      </c>
      <c r="M28" s="16">
        <f>Demand_CWRS!C$3/31</f>
        <v>241.71000827129859</v>
      </c>
      <c r="N28" s="16">
        <f>Demand_CWRS!D$3/31</f>
        <v>0</v>
      </c>
      <c r="O28" s="16">
        <f>Demand_CWRS!E$3/31</f>
        <v>98.872001654259719</v>
      </c>
      <c r="P28" s="16">
        <f>Demand_CWRS!F$3/31</f>
        <v>198.36900072373859</v>
      </c>
      <c r="Q28" s="16">
        <f>Demand_CWRS!G$3/31</f>
        <v>309.67741935483872</v>
      </c>
      <c r="R28" s="16">
        <f>Demand_CWRS!H$3/31</f>
        <v>241.71000827129859</v>
      </c>
      <c r="S28" s="16">
        <f>Demand_CWRS!I$3/31</f>
        <v>200</v>
      </c>
      <c r="T28" s="16">
        <f>Demand_CWRS!J$3/31</f>
        <v>209.67741935483872</v>
      </c>
      <c r="U28" s="16">
        <f>Demand_CWRS!K$3/31</f>
        <v>216.12903225806451</v>
      </c>
      <c r="V28" s="16">
        <f t="shared" si="6"/>
        <v>-830.53440343258694</v>
      </c>
      <c r="W28" s="16">
        <f t="shared" si="7"/>
        <v>-1042.750206782466</v>
      </c>
      <c r="X28" s="16">
        <f t="shared" si="8"/>
        <v>0</v>
      </c>
      <c r="Y28" s="16">
        <f t="shared" si="9"/>
        <v>6528.1999586435177</v>
      </c>
      <c r="Z28" s="16">
        <f t="shared" si="10"/>
        <v>40.774981906535402</v>
      </c>
      <c r="AA28" s="16">
        <f t="shared" si="11"/>
        <v>258.06451612902953</v>
      </c>
      <c r="AB28" s="16">
        <f t="shared" si="12"/>
        <v>-5742.7502067824653</v>
      </c>
      <c r="AC28" s="16">
        <f t="shared" si="13"/>
        <v>0</v>
      </c>
      <c r="AD28" s="16">
        <f t="shared" si="14"/>
        <v>-241.9354838709678</v>
      </c>
      <c r="AE28" s="16">
        <f t="shared" si="15"/>
        <v>-403.22580645161077</v>
      </c>
      <c r="AF28" s="14">
        <f>IF([1]Sheet2!AJ27=999999,"NA",[1]Sheet2!AJ27)</f>
        <v>0</v>
      </c>
      <c r="AG28" s="14">
        <f>IF([1]Sheet2!AK27=999999,"NA",[1]Sheet2!AK27)</f>
        <v>0</v>
      </c>
      <c r="AH28" s="14" t="str">
        <f>IF([1]Sheet2!AL27=999999,"NA",[1]Sheet2!AL27)</f>
        <v>NA</v>
      </c>
      <c r="AI28" s="14">
        <f>IF([1]Sheet2!AM27=999999,"NA",[1]Sheet2!AM27)</f>
        <v>52</v>
      </c>
      <c r="AJ28" s="14">
        <f>IF([1]Sheet2!AN27=999999,"NA",[1]Sheet2!AN27)</f>
        <v>0</v>
      </c>
      <c r="AK28" s="14">
        <f>IF([1]Sheet2!AO27=999999,"NA",[1]Sheet2!AO27)</f>
        <v>0</v>
      </c>
      <c r="AL28" s="14">
        <f>IF([1]Sheet2!AP27=999999,"NA",[1]Sheet2!AP27)</f>
        <v>0</v>
      </c>
      <c r="AM28" s="14">
        <f>IF([1]Sheet2!AQ27=999999,"NA",[1]Sheet2!AQ27)</f>
        <v>0</v>
      </c>
      <c r="AN28" s="14">
        <f>IF([1]Sheet2!AR27=999999,"NA",[1]Sheet2!AR27)</f>
        <v>0</v>
      </c>
      <c r="AO28" s="14">
        <f>IF([1]Sheet2!AS27=999999,"NA",[1]Sheet2!AS27)</f>
        <v>0</v>
      </c>
      <c r="AP28" s="14">
        <f>[1]Sheet2!P27</f>
        <v>0</v>
      </c>
      <c r="AQ28" s="14">
        <f>[1]Sheet2!Q27</f>
        <v>0</v>
      </c>
      <c r="AR28" s="14">
        <f>[1]Sheet2!R27</f>
        <v>0</v>
      </c>
      <c r="AS28" s="14">
        <f>[1]Sheet2!S27</f>
        <v>0</v>
      </c>
      <c r="AT28" s="14">
        <f>[1]Sheet2!T27</f>
        <v>0</v>
      </c>
      <c r="AU28" s="20">
        <f>[1]Sheet2!U27</f>
        <v>0</v>
      </c>
      <c r="AV28" s="25">
        <f>[1]Sheet2!V27</f>
        <v>0</v>
      </c>
      <c r="AW28" s="14">
        <f>[1]Sheet2!W27</f>
        <v>0</v>
      </c>
      <c r="AX28" s="14">
        <f>[1]Sheet2!X27</f>
        <v>0</v>
      </c>
      <c r="AY28" s="14">
        <f>[1]Sheet2!Y27</f>
        <v>0</v>
      </c>
      <c r="AZ28" s="16">
        <f>Demand_LP!B$3/31</f>
        <v>503.00172404880072</v>
      </c>
      <c r="BA28" s="16">
        <f>Demand_LP!C$3/31</f>
        <v>792.35864350703059</v>
      </c>
      <c r="BB28" s="16">
        <f>Demand_LP!D$3/31</f>
        <v>231.20967741935488</v>
      </c>
      <c r="BC28" s="16">
        <f>Demand_LP!E$3/31</f>
        <v>696.53949545078569</v>
      </c>
      <c r="BD28" s="16">
        <f>Demand_LP!F$3/31</f>
        <v>482.27093930934655</v>
      </c>
      <c r="BE28" s="16">
        <f>Demand_LP!G$3/31</f>
        <v>451.61290322580646</v>
      </c>
      <c r="BF28" s="16">
        <f>Demand_LP!H$3/31</f>
        <v>774.19354838709683</v>
      </c>
      <c r="BG28" s="16">
        <f>Demand_LP!I$3/31</f>
        <v>451.61290322580646</v>
      </c>
      <c r="BH28" s="16">
        <f>Demand_LP!J$3/31</f>
        <v>387.09677419354841</v>
      </c>
      <c r="BI28" s="16">
        <f>Demand_LP!K$3/31</f>
        <v>419.35483870967744</v>
      </c>
      <c r="BJ28" s="16">
        <f t="shared" si="16"/>
        <v>-2575.043101220017</v>
      </c>
      <c r="BK28" s="16">
        <f t="shared" si="17"/>
        <v>-9808.9660876757589</v>
      </c>
      <c r="BL28" s="16">
        <f t="shared" si="18"/>
        <v>4219.7580645161288</v>
      </c>
      <c r="BM28" s="16">
        <f t="shared" si="19"/>
        <v>-7413.4873862696422</v>
      </c>
      <c r="BN28" s="16">
        <f t="shared" si="20"/>
        <v>-2056.7734827336612</v>
      </c>
      <c r="BO28" s="16">
        <f t="shared" si="21"/>
        <v>-1290.3225806451653</v>
      </c>
      <c r="BP28" s="16">
        <f t="shared" si="22"/>
        <v>-3354.8387096774168</v>
      </c>
      <c r="BQ28" s="16">
        <f t="shared" si="23"/>
        <v>-1290.3225806451653</v>
      </c>
      <c r="BR28" s="16">
        <f t="shared" si="24"/>
        <v>322.58064516128866</v>
      </c>
      <c r="BS28" s="16">
        <f t="shared" si="25"/>
        <v>-483.8709677419356</v>
      </c>
      <c r="BT28" s="14">
        <f>IF([1]Sheet2!CB27=999999,"NA",[1]Sheet2!CB27)</f>
        <v>0</v>
      </c>
      <c r="BU28" s="14">
        <f>IF([1]Sheet2!CC27=999999,"NA",[1]Sheet2!CC27)</f>
        <v>0</v>
      </c>
      <c r="BV28" s="14">
        <f>IF([1]Sheet2!CD27=999999,"NA",[1]Sheet2!CD27)</f>
        <v>16</v>
      </c>
      <c r="BW28" s="14">
        <f>IF([1]Sheet2!CE27=999999,"NA",[1]Sheet2!CE27)</f>
        <v>0</v>
      </c>
      <c r="BX28" s="14">
        <f>IF([1]Sheet2!CF27=999999,"NA",[1]Sheet2!CF27)</f>
        <v>0</v>
      </c>
      <c r="BY28" s="14">
        <f>IF([1]Sheet2!CG27=999999,"NA",[1]Sheet2!CG27)</f>
        <v>0</v>
      </c>
      <c r="BZ28" s="14">
        <f>IF([1]Sheet2!CH27=999999,"NA",[1]Sheet2!CH27)</f>
        <v>0</v>
      </c>
      <c r="CA28" s="14">
        <f>IF([1]Sheet2!CI27=999999,"NA",[1]Sheet2!CI27)</f>
        <v>0</v>
      </c>
      <c r="CB28" s="14">
        <f>IF([1]Sheet2!CJ27=999999,"NA",[1]Sheet2!CJ27)</f>
        <v>0</v>
      </c>
      <c r="CC28" s="14">
        <f>IF([1]Sheet2!CK27=999999,"NA",[1]Sheet2!CK27)</f>
        <v>0</v>
      </c>
      <c r="CD28" s="14">
        <f>[1]Sheet2!BH27</f>
        <v>0</v>
      </c>
      <c r="CE28" s="14">
        <f>[1]Sheet2!BI27</f>
        <v>0</v>
      </c>
      <c r="CF28" s="14">
        <f>[1]Sheet2!BJ27</f>
        <v>0</v>
      </c>
      <c r="CG28" s="14">
        <f>[1]Sheet2!BK27</f>
        <v>0</v>
      </c>
      <c r="CH28" s="14">
        <f>[1]Sheet2!BL27</f>
        <v>0</v>
      </c>
      <c r="CI28" s="14">
        <f>[1]Sheet2!BM27</f>
        <v>0</v>
      </c>
      <c r="CJ28" s="14">
        <f>[1]Sheet2!BN27</f>
        <v>0</v>
      </c>
      <c r="CK28" s="14">
        <f>[1]Sheet2!BO27</f>
        <v>0</v>
      </c>
      <c r="CL28" s="14">
        <f>[1]Sheet2!BP27</f>
        <v>0</v>
      </c>
      <c r="CM28" s="14">
        <f>[1]Sheet2!BQ27</f>
        <v>0</v>
      </c>
      <c r="CN28" s="16">
        <f>Demand_SW!B$3/31</f>
        <v>139.57816377171216</v>
      </c>
      <c r="CO28" s="16">
        <f>Demand_SW!C$3/31</f>
        <v>0</v>
      </c>
      <c r="CP28" s="16">
        <f>Demand_SW!D$3/31</f>
        <v>0</v>
      </c>
      <c r="CQ28" s="16">
        <f>Demand_SW!E$3/31</f>
        <v>0</v>
      </c>
      <c r="CR28" s="16">
        <f>Demand_SW!F$3/31</f>
        <v>0</v>
      </c>
      <c r="CS28" s="16">
        <f>Demand_SW!G$3/31</f>
        <v>132.25806451612902</v>
      </c>
      <c r="CT28" s="16">
        <f>Demand_SW!H$3/31</f>
        <v>0</v>
      </c>
      <c r="CU28" s="16">
        <f>Demand_SW!I$3/31</f>
        <v>0</v>
      </c>
      <c r="CV28" s="16">
        <f>Demand_SW!J$3/31</f>
        <v>0</v>
      </c>
      <c r="CW28" s="16">
        <f>Demand_SW!K$3/31</f>
        <v>0</v>
      </c>
      <c r="CX28" s="16">
        <f t="shared" si="26"/>
        <v>1510.5459057071962</v>
      </c>
      <c r="CY28" s="16">
        <f t="shared" si="27"/>
        <v>1000</v>
      </c>
      <c r="CZ28" s="16">
        <f t="shared" si="28"/>
        <v>0</v>
      </c>
      <c r="DA28" s="16">
        <f t="shared" si="29"/>
        <v>0</v>
      </c>
      <c r="DB28" s="16">
        <f t="shared" si="30"/>
        <v>0</v>
      </c>
      <c r="DC28" s="16">
        <f t="shared" si="31"/>
        <v>1693.5483870967794</v>
      </c>
      <c r="DD28" s="16">
        <f t="shared" si="32"/>
        <v>1000</v>
      </c>
      <c r="DE28" s="16">
        <f t="shared" si="33"/>
        <v>0</v>
      </c>
      <c r="DF28" s="16">
        <f t="shared" si="34"/>
        <v>0</v>
      </c>
      <c r="DG28" s="16">
        <f t="shared" si="35"/>
        <v>0</v>
      </c>
      <c r="DH28" s="14">
        <f>IF([1]Sheet2!DS27=999999,"NA",[1]Sheet2!DS27)</f>
        <v>13</v>
      </c>
      <c r="DI28" s="14">
        <f>IF([1]Sheet2!DT27=999999,"NA",[1]Sheet2!DT27)</f>
        <v>340</v>
      </c>
      <c r="DJ28" s="14" t="str">
        <f>IF([1]Sheet2!DU27=999999,"NA",[1]Sheet2!DU27)</f>
        <v>NA</v>
      </c>
      <c r="DK28" s="14" t="str">
        <f>IF([1]Sheet2!DV27=999999,"NA",[1]Sheet2!DV27)</f>
        <v>NA</v>
      </c>
      <c r="DL28" s="14" t="str">
        <f>IF([1]Sheet2!DW27=999999,"NA",[1]Sheet2!DW27)</f>
        <v>NA</v>
      </c>
      <c r="DM28" s="14">
        <f>IF([1]Sheet2!DX27=999999,"NA",[1]Sheet2!DX27)</f>
        <v>16</v>
      </c>
      <c r="DN28" s="14">
        <f>IF([1]Sheet2!DY27=999999,"NA",[1]Sheet2!DY27)</f>
        <v>340</v>
      </c>
      <c r="DO28" s="14" t="str">
        <f>IF([1]Sheet2!DZ27=999999,"NA",[1]Sheet2!DZ27)</f>
        <v>NA</v>
      </c>
      <c r="DP28" s="14" t="str">
        <f>IF([1]Sheet2!EA27=999999,"NA",[1]Sheet2!EA27)</f>
        <v>NA</v>
      </c>
      <c r="DQ28" s="14" t="str">
        <f>IF([1]Sheet2!EB27=999999,"NA",[1]Sheet2!EB27)</f>
        <v>NA</v>
      </c>
      <c r="DR28" s="14">
        <f>[1]Sheet2!CY27</f>
        <v>0</v>
      </c>
      <c r="DS28" s="14">
        <f>[1]Sheet2!CZ27</f>
        <v>0</v>
      </c>
      <c r="DT28" s="14">
        <f>[1]Sheet2!DA27</f>
        <v>0</v>
      </c>
      <c r="DU28" s="14">
        <f>[1]Sheet2!DB27</f>
        <v>0</v>
      </c>
      <c r="DV28" s="14">
        <f>[1]Sheet2!DC27</f>
        <v>0</v>
      </c>
      <c r="DW28" s="14">
        <f>[1]Sheet2!DD27</f>
        <v>0</v>
      </c>
      <c r="DX28" s="14">
        <f>[1]Sheet2!DE27</f>
        <v>0</v>
      </c>
      <c r="DY28" s="14">
        <f>[1]Sheet2!DF27</f>
        <v>0</v>
      </c>
      <c r="DZ28" s="14">
        <f>[1]Sheet2!DG27</f>
        <v>0</v>
      </c>
      <c r="EA28" s="14">
        <f>[1]Sheet2!DH27</f>
        <v>0</v>
      </c>
      <c r="EB28" s="6">
        <f>[1]Sheet2!EC27</f>
        <v>0</v>
      </c>
      <c r="EC28" s="6">
        <f>[1]Sheet2!ED27</f>
        <v>0</v>
      </c>
      <c r="ED28" s="6">
        <f>[1]Sheet2!EE27</f>
        <v>0</v>
      </c>
      <c r="EE28" s="6">
        <f>[1]Sheet2!EF27</f>
        <v>0</v>
      </c>
      <c r="EF28" s="6">
        <f>[1]Sheet2!EG27</f>
        <v>0</v>
      </c>
      <c r="EG28" s="6">
        <f>[1]Sheet2!EH27</f>
        <v>0</v>
      </c>
      <c r="EH28" s="6">
        <f>[1]Sheet2!EI27</f>
        <v>0</v>
      </c>
      <c r="EI28" s="6">
        <f>[1]Sheet2!EJ27</f>
        <v>0</v>
      </c>
      <c r="EJ28" s="6">
        <f>[1]Sheet2!EK27</f>
        <v>0</v>
      </c>
      <c r="EK28" s="6">
        <f>[1]Sheet2!EL27</f>
        <v>0</v>
      </c>
      <c r="EL28" s="6" t="str">
        <f>[1]Sheet2!EM27</f>
        <v/>
      </c>
      <c r="EM28" s="6" t="str">
        <f>[1]Sheet2!EN27</f>
        <v/>
      </c>
      <c r="EN28" s="6" t="str">
        <f>[1]Sheet2!EO27</f>
        <v/>
      </c>
      <c r="EO28" s="6" t="str">
        <f>[1]Sheet2!EP27</f>
        <v/>
      </c>
      <c r="EP28" s="6" t="str">
        <f>[1]Sheet2!EQ27</f>
        <v/>
      </c>
      <c r="EQ28" s="6" t="str">
        <f>[1]Sheet2!ER27</f>
        <v/>
      </c>
      <c r="ER28" s="6" t="str">
        <f>[1]Sheet2!ES27</f>
        <v/>
      </c>
      <c r="ES28" s="6" t="str">
        <f>[1]Sheet2!ET27</f>
        <v/>
      </c>
      <c r="ET28" s="6" t="str">
        <f>[1]Sheet2!EU27</f>
        <v/>
      </c>
      <c r="EU28" s="6" t="str">
        <f>[1]Sheet2!EV27</f>
        <v/>
      </c>
      <c r="EV28" s="6" t="str">
        <f>[1]Sheet2!EW27</f>
        <v/>
      </c>
      <c r="EW28" s="6" t="str">
        <f>[1]Sheet2!EX27</f>
        <v/>
      </c>
      <c r="EX28" s="6" t="str">
        <f>[1]Sheet2!EY27</f>
        <v/>
      </c>
      <c r="EY28" s="6" t="str">
        <f>[1]Sheet2!EZ27</f>
        <v/>
      </c>
      <c r="EZ28" s="6" t="str">
        <f>[1]Sheet2!FA27</f>
        <v/>
      </c>
      <c r="FA28" s="6" t="str">
        <f>[1]Sheet2!FB27</f>
        <v/>
      </c>
      <c r="FB28" s="6" t="str">
        <f>[1]Sheet2!FC27</f>
        <v/>
      </c>
      <c r="FC28" s="6" t="str">
        <f>[1]Sheet2!FD27</f>
        <v/>
      </c>
      <c r="FD28" s="6" t="str">
        <f>[1]Sheet2!FE27</f>
        <v/>
      </c>
      <c r="FE28" s="6" t="str">
        <f>[1]Sheet2!FF27</f>
        <v/>
      </c>
      <c r="FF28" s="6" t="str">
        <f>[1]Sheet2!FG27</f>
        <v/>
      </c>
      <c r="FG28" s="6" t="str">
        <f>[1]Sheet2!FH27</f>
        <v/>
      </c>
      <c r="FH28" s="6" t="str">
        <f>[1]Sheet2!FI27</f>
        <v/>
      </c>
      <c r="FI28" s="6" t="str">
        <f>[1]Sheet2!FJ27</f>
        <v/>
      </c>
      <c r="FJ28" s="6" t="str">
        <f>[1]Sheet2!FK27</f>
        <v/>
      </c>
      <c r="FK28" s="6" t="str">
        <f>[1]Sheet2!FL27</f>
        <v/>
      </c>
      <c r="FL28" s="6" t="str">
        <f>[1]Sheet2!FM27</f>
        <v/>
      </c>
      <c r="FM28" s="6" t="str">
        <f>[1]Sheet2!FN27</f>
        <v/>
      </c>
      <c r="FN28" s="6" t="str">
        <f>[1]Sheet2!FO27</f>
        <v/>
      </c>
      <c r="FO28" s="6" t="str">
        <f>[1]Sheet2!FP27</f>
        <v/>
      </c>
    </row>
    <row r="29" spans="1:171" x14ac:dyDescent="0.25">
      <c r="A29" s="15">
        <v>43491</v>
      </c>
      <c r="B29" s="1"/>
      <c r="C29" s="1"/>
      <c r="D29" s="1"/>
      <c r="E29" s="14">
        <f>[1]Sheet2!N28</f>
        <v>0</v>
      </c>
      <c r="F29" s="14">
        <f>[1]Sheet2!BE28</f>
        <v>0</v>
      </c>
      <c r="G29" s="14">
        <f>[1]Sheet2!CW28</f>
        <v>0</v>
      </c>
      <c r="H29" s="1"/>
      <c r="I29" s="1"/>
      <c r="J29" s="1"/>
      <c r="K29" s="16"/>
      <c r="L29" s="16">
        <f>Demand_CWRS!B$3/31</f>
        <v>313.22137613730359</v>
      </c>
      <c r="M29" s="16">
        <f>Demand_CWRS!C$3/31</f>
        <v>241.71000827129859</v>
      </c>
      <c r="N29" s="16">
        <f>Demand_CWRS!D$3/31</f>
        <v>0</v>
      </c>
      <c r="O29" s="16">
        <f>Demand_CWRS!E$3/31</f>
        <v>98.872001654259719</v>
      </c>
      <c r="P29" s="16">
        <f>Demand_CWRS!F$3/31</f>
        <v>198.36900072373859</v>
      </c>
      <c r="Q29" s="16">
        <f>Demand_CWRS!G$3/31</f>
        <v>309.67741935483872</v>
      </c>
      <c r="R29" s="16">
        <f>Demand_CWRS!H$3/31</f>
        <v>241.71000827129859</v>
      </c>
      <c r="S29" s="16">
        <f>Demand_CWRS!I$3/31</f>
        <v>200</v>
      </c>
      <c r="T29" s="16">
        <f>Demand_CWRS!J$3/31</f>
        <v>209.67741935483872</v>
      </c>
      <c r="U29" s="16">
        <f>Demand_CWRS!K$3/31</f>
        <v>216.12903225806451</v>
      </c>
      <c r="V29" s="16">
        <f t="shared" si="6"/>
        <v>-1143.7557795698906</v>
      </c>
      <c r="W29" s="16">
        <f t="shared" si="7"/>
        <v>-1284.4602150537646</v>
      </c>
      <c r="X29" s="16">
        <f t="shared" si="8"/>
        <v>0</v>
      </c>
      <c r="Y29" s="16">
        <f t="shared" si="9"/>
        <v>6429.3279569892584</v>
      </c>
      <c r="Z29" s="16">
        <f t="shared" si="10"/>
        <v>-157.59401881720319</v>
      </c>
      <c r="AA29" s="16">
        <f t="shared" si="11"/>
        <v>-51.612903225809191</v>
      </c>
      <c r="AB29" s="16">
        <f t="shared" si="12"/>
        <v>-5984.4602150537639</v>
      </c>
      <c r="AC29" s="16">
        <f t="shared" si="13"/>
        <v>-200</v>
      </c>
      <c r="AD29" s="16">
        <f t="shared" si="14"/>
        <v>-451.61290322580652</v>
      </c>
      <c r="AE29" s="16">
        <f t="shared" si="15"/>
        <v>-619.35483870967528</v>
      </c>
      <c r="AF29" s="14">
        <f>IF([1]Sheet2!AJ28=999999,"NA",[1]Sheet2!AJ28)</f>
        <v>0</v>
      </c>
      <c r="AG29" s="14">
        <f>IF([1]Sheet2!AK28=999999,"NA",[1]Sheet2!AK28)</f>
        <v>0</v>
      </c>
      <c r="AH29" s="14" t="str">
        <f>IF([1]Sheet2!AL28=999999,"NA",[1]Sheet2!AL28)</f>
        <v>NA</v>
      </c>
      <c r="AI29" s="14">
        <f>IF([1]Sheet2!AM28=999999,"NA",[1]Sheet2!AM28)</f>
        <v>51</v>
      </c>
      <c r="AJ29" s="14">
        <f>IF([1]Sheet2!AN28=999999,"NA",[1]Sheet2!AN28)</f>
        <v>0</v>
      </c>
      <c r="AK29" s="14">
        <f>IF([1]Sheet2!AO28=999999,"NA",[1]Sheet2!AO28)</f>
        <v>0</v>
      </c>
      <c r="AL29" s="14">
        <f>IF([1]Sheet2!AP28=999999,"NA",[1]Sheet2!AP28)</f>
        <v>0</v>
      </c>
      <c r="AM29" s="14">
        <f>IF([1]Sheet2!AQ28=999999,"NA",[1]Sheet2!AQ28)</f>
        <v>0</v>
      </c>
      <c r="AN29" s="14">
        <f>IF([1]Sheet2!AR28=999999,"NA",[1]Sheet2!AR28)</f>
        <v>0</v>
      </c>
      <c r="AO29" s="14">
        <f>IF([1]Sheet2!AS28=999999,"NA",[1]Sheet2!AS28)</f>
        <v>0</v>
      </c>
      <c r="AP29" s="14">
        <f>[1]Sheet2!P28</f>
        <v>0</v>
      </c>
      <c r="AQ29" s="14">
        <f>[1]Sheet2!Q28</f>
        <v>0</v>
      </c>
      <c r="AR29" s="14">
        <f>[1]Sheet2!R28</f>
        <v>0</v>
      </c>
      <c r="AS29" s="14">
        <f>[1]Sheet2!S28</f>
        <v>0</v>
      </c>
      <c r="AT29" s="14">
        <f>[1]Sheet2!T28</f>
        <v>0</v>
      </c>
      <c r="AU29" s="20">
        <f>[1]Sheet2!U28</f>
        <v>0</v>
      </c>
      <c r="AV29" s="20">
        <f>[1]Sheet2!V28</f>
        <v>0</v>
      </c>
      <c r="AW29" s="25">
        <f>[1]Sheet2!W28</f>
        <v>0</v>
      </c>
      <c r="AX29" s="14">
        <f>[1]Sheet2!X28</f>
        <v>0</v>
      </c>
      <c r="AY29" s="14">
        <f>[1]Sheet2!Y28</f>
        <v>0</v>
      </c>
      <c r="AZ29" s="16">
        <f>Demand_LP!B$3/31</f>
        <v>503.00172404880072</v>
      </c>
      <c r="BA29" s="16">
        <f>Demand_LP!C$3/31</f>
        <v>792.35864350703059</v>
      </c>
      <c r="BB29" s="16">
        <f>Demand_LP!D$3/31</f>
        <v>231.20967741935488</v>
      </c>
      <c r="BC29" s="16">
        <f>Demand_LP!E$3/31</f>
        <v>696.53949545078569</v>
      </c>
      <c r="BD29" s="16">
        <f>Demand_LP!F$3/31</f>
        <v>482.27093930934655</v>
      </c>
      <c r="BE29" s="16">
        <f>Demand_LP!G$3/31</f>
        <v>451.61290322580646</v>
      </c>
      <c r="BF29" s="16">
        <f>Demand_LP!H$3/31</f>
        <v>774.19354838709683</v>
      </c>
      <c r="BG29" s="16">
        <f>Demand_LP!I$3/31</f>
        <v>451.61290322580646</v>
      </c>
      <c r="BH29" s="16">
        <f>Demand_LP!J$3/31</f>
        <v>387.09677419354841</v>
      </c>
      <c r="BI29" s="16">
        <f>Demand_LP!K$3/31</f>
        <v>419.35483870967744</v>
      </c>
      <c r="BJ29" s="16">
        <f t="shared" si="16"/>
        <v>-3078.0448252688175</v>
      </c>
      <c r="BK29" s="16">
        <f t="shared" si="17"/>
        <v>-10601.324731182789</v>
      </c>
      <c r="BL29" s="16">
        <f t="shared" si="18"/>
        <v>3988.5483870967737</v>
      </c>
      <c r="BM29" s="16">
        <f t="shared" si="19"/>
        <v>-8110.0268817204278</v>
      </c>
      <c r="BN29" s="16">
        <f t="shared" si="20"/>
        <v>-2539.0444220430077</v>
      </c>
      <c r="BO29" s="16">
        <f t="shared" si="21"/>
        <v>-1741.9354838709719</v>
      </c>
      <c r="BP29" s="16">
        <f t="shared" si="22"/>
        <v>-4129.0322580645134</v>
      </c>
      <c r="BQ29" s="16">
        <f t="shared" si="23"/>
        <v>-1741.9354838709719</v>
      </c>
      <c r="BR29" s="16">
        <f t="shared" si="24"/>
        <v>-64.516129032259755</v>
      </c>
      <c r="BS29" s="16">
        <f t="shared" si="25"/>
        <v>-903.22580645161304</v>
      </c>
      <c r="BT29" s="14">
        <f>IF([1]Sheet2!CB28=999999,"NA",[1]Sheet2!CB28)</f>
        <v>0</v>
      </c>
      <c r="BU29" s="14">
        <f>IF([1]Sheet2!CC28=999999,"NA",[1]Sheet2!CC28)</f>
        <v>0</v>
      </c>
      <c r="BV29" s="14">
        <f>IF([1]Sheet2!CD28=999999,"NA",[1]Sheet2!CD28)</f>
        <v>15</v>
      </c>
      <c r="BW29" s="14">
        <f>IF([1]Sheet2!CE28=999999,"NA",[1]Sheet2!CE28)</f>
        <v>0</v>
      </c>
      <c r="BX29" s="14">
        <f>IF([1]Sheet2!CF28=999999,"NA",[1]Sheet2!CF28)</f>
        <v>0</v>
      </c>
      <c r="BY29" s="14">
        <f>IF([1]Sheet2!CG28=999999,"NA",[1]Sheet2!CG28)</f>
        <v>0</v>
      </c>
      <c r="BZ29" s="14">
        <f>IF([1]Sheet2!CH28=999999,"NA",[1]Sheet2!CH28)</f>
        <v>0</v>
      </c>
      <c r="CA29" s="14">
        <f>IF([1]Sheet2!CI28=999999,"NA",[1]Sheet2!CI28)</f>
        <v>0</v>
      </c>
      <c r="CB29" s="14">
        <f>IF([1]Sheet2!CJ28=999999,"NA",[1]Sheet2!CJ28)</f>
        <v>0</v>
      </c>
      <c r="CC29" s="14">
        <f>IF([1]Sheet2!CK28=999999,"NA",[1]Sheet2!CK28)</f>
        <v>0</v>
      </c>
      <c r="CD29" s="14">
        <f>[1]Sheet2!BH28</f>
        <v>0</v>
      </c>
      <c r="CE29" s="14">
        <f>[1]Sheet2!BI28</f>
        <v>0</v>
      </c>
      <c r="CF29" s="14">
        <f>[1]Sheet2!BJ28</f>
        <v>0</v>
      </c>
      <c r="CG29" s="14">
        <f>[1]Sheet2!BK28</f>
        <v>0</v>
      </c>
      <c r="CH29" s="14">
        <f>[1]Sheet2!BL28</f>
        <v>0</v>
      </c>
      <c r="CI29" s="14">
        <f>[1]Sheet2!BM28</f>
        <v>0</v>
      </c>
      <c r="CJ29" s="14">
        <f>[1]Sheet2!BN28</f>
        <v>0</v>
      </c>
      <c r="CK29" s="14">
        <f>[1]Sheet2!BO28</f>
        <v>0</v>
      </c>
      <c r="CL29" s="14">
        <f>[1]Sheet2!BP28</f>
        <v>0</v>
      </c>
      <c r="CM29" s="14">
        <f>[1]Sheet2!BQ28</f>
        <v>0</v>
      </c>
      <c r="CN29" s="16">
        <f>Demand_SW!B$3/31</f>
        <v>139.57816377171216</v>
      </c>
      <c r="CO29" s="16">
        <f>Demand_SW!C$3/31</f>
        <v>0</v>
      </c>
      <c r="CP29" s="16">
        <f>Demand_SW!D$3/31</f>
        <v>0</v>
      </c>
      <c r="CQ29" s="16">
        <f>Demand_SW!E$3/31</f>
        <v>0</v>
      </c>
      <c r="CR29" s="16">
        <f>Demand_SW!F$3/31</f>
        <v>0</v>
      </c>
      <c r="CS29" s="16">
        <f>Demand_SW!G$3/31</f>
        <v>132.25806451612902</v>
      </c>
      <c r="CT29" s="16">
        <f>Demand_SW!H$3/31</f>
        <v>0</v>
      </c>
      <c r="CU29" s="16">
        <f>Demand_SW!I$3/31</f>
        <v>0</v>
      </c>
      <c r="CV29" s="16">
        <f>Demand_SW!J$3/31</f>
        <v>0</v>
      </c>
      <c r="CW29" s="16">
        <f>Demand_SW!K$3/31</f>
        <v>0</v>
      </c>
      <c r="CX29" s="16">
        <f t="shared" si="26"/>
        <v>1370.9677419354841</v>
      </c>
      <c r="CY29" s="16">
        <f t="shared" si="27"/>
        <v>1000</v>
      </c>
      <c r="CZ29" s="16">
        <f t="shared" si="28"/>
        <v>0</v>
      </c>
      <c r="DA29" s="16">
        <f t="shared" si="29"/>
        <v>0</v>
      </c>
      <c r="DB29" s="16">
        <f t="shared" si="30"/>
        <v>0</v>
      </c>
      <c r="DC29" s="16">
        <f t="shared" si="31"/>
        <v>1561.2903225806504</v>
      </c>
      <c r="DD29" s="16">
        <f t="shared" si="32"/>
        <v>1000</v>
      </c>
      <c r="DE29" s="16">
        <f t="shared" si="33"/>
        <v>0</v>
      </c>
      <c r="DF29" s="16">
        <f t="shared" si="34"/>
        <v>0</v>
      </c>
      <c r="DG29" s="16">
        <f t="shared" si="35"/>
        <v>0</v>
      </c>
      <c r="DH29" s="14">
        <f>IF([1]Sheet2!DS28=999999,"NA",[1]Sheet2!DS28)</f>
        <v>12</v>
      </c>
      <c r="DI29" s="14">
        <f>IF([1]Sheet2!DT28=999999,"NA",[1]Sheet2!DT28)</f>
        <v>339</v>
      </c>
      <c r="DJ29" s="14" t="str">
        <f>IF([1]Sheet2!DU28=999999,"NA",[1]Sheet2!DU28)</f>
        <v>NA</v>
      </c>
      <c r="DK29" s="14" t="str">
        <f>IF([1]Sheet2!DV28=999999,"NA",[1]Sheet2!DV28)</f>
        <v>NA</v>
      </c>
      <c r="DL29" s="14" t="str">
        <f>IF([1]Sheet2!DW28=999999,"NA",[1]Sheet2!DW28)</f>
        <v>NA</v>
      </c>
      <c r="DM29" s="14">
        <f>IF([1]Sheet2!DX28=999999,"NA",[1]Sheet2!DX28)</f>
        <v>15</v>
      </c>
      <c r="DN29" s="14">
        <f>IF([1]Sheet2!DY28=999999,"NA",[1]Sheet2!DY28)</f>
        <v>339</v>
      </c>
      <c r="DO29" s="14" t="str">
        <f>IF([1]Sheet2!DZ28=999999,"NA",[1]Sheet2!DZ28)</f>
        <v>NA</v>
      </c>
      <c r="DP29" s="14" t="str">
        <f>IF([1]Sheet2!EA28=999999,"NA",[1]Sheet2!EA28)</f>
        <v>NA</v>
      </c>
      <c r="DQ29" s="14" t="str">
        <f>IF([1]Sheet2!EB28=999999,"NA",[1]Sheet2!EB28)</f>
        <v>NA</v>
      </c>
      <c r="DR29" s="14">
        <f>[1]Sheet2!CY28</f>
        <v>0</v>
      </c>
      <c r="DS29" s="14">
        <f>[1]Sheet2!CZ28</f>
        <v>0</v>
      </c>
      <c r="DT29" s="14">
        <f>[1]Sheet2!DA28</f>
        <v>0</v>
      </c>
      <c r="DU29" s="14">
        <f>[1]Sheet2!DB28</f>
        <v>0</v>
      </c>
      <c r="DV29" s="14">
        <f>[1]Sheet2!DC28</f>
        <v>0</v>
      </c>
      <c r="DW29" s="14">
        <f>[1]Sheet2!DD28</f>
        <v>0</v>
      </c>
      <c r="DX29" s="14">
        <f>[1]Sheet2!DE28</f>
        <v>0</v>
      </c>
      <c r="DY29" s="14">
        <f>[1]Sheet2!DF28</f>
        <v>0</v>
      </c>
      <c r="DZ29" s="14">
        <f>[1]Sheet2!DG28</f>
        <v>0</v>
      </c>
      <c r="EA29" s="14">
        <f>[1]Sheet2!DH28</f>
        <v>0</v>
      </c>
      <c r="EB29" s="6">
        <f>[1]Sheet2!EC28</f>
        <v>0</v>
      </c>
      <c r="EC29" s="6">
        <f>[1]Sheet2!ED28</f>
        <v>0</v>
      </c>
      <c r="ED29" s="6">
        <f>[1]Sheet2!EE28</f>
        <v>0</v>
      </c>
      <c r="EE29" s="6">
        <f>[1]Sheet2!EF28</f>
        <v>0</v>
      </c>
      <c r="EF29" s="6">
        <f>[1]Sheet2!EG28</f>
        <v>0</v>
      </c>
      <c r="EG29" s="6">
        <f>[1]Sheet2!EH28</f>
        <v>0</v>
      </c>
      <c r="EH29" s="6">
        <f>[1]Sheet2!EI28</f>
        <v>0</v>
      </c>
      <c r="EI29" s="6">
        <f>[1]Sheet2!EJ28</f>
        <v>0</v>
      </c>
      <c r="EJ29" s="6">
        <f>[1]Sheet2!EK28</f>
        <v>0</v>
      </c>
      <c r="EK29" s="6">
        <f>[1]Sheet2!EL28</f>
        <v>0</v>
      </c>
      <c r="EL29" s="6" t="str">
        <f>[1]Sheet2!EM28</f>
        <v/>
      </c>
      <c r="EM29" s="6" t="str">
        <f>[1]Sheet2!EN28</f>
        <v/>
      </c>
      <c r="EN29" s="6" t="str">
        <f>[1]Sheet2!EO28</f>
        <v/>
      </c>
      <c r="EO29" s="6" t="str">
        <f>[1]Sheet2!EP28</f>
        <v/>
      </c>
      <c r="EP29" s="6" t="str">
        <f>[1]Sheet2!EQ28</f>
        <v/>
      </c>
      <c r="EQ29" s="6" t="str">
        <f>[1]Sheet2!ER28</f>
        <v/>
      </c>
      <c r="ER29" s="6" t="str">
        <f>[1]Sheet2!ES28</f>
        <v/>
      </c>
      <c r="ES29" s="6" t="str">
        <f>[1]Sheet2!ET28</f>
        <v/>
      </c>
      <c r="ET29" s="6" t="str">
        <f>[1]Sheet2!EU28</f>
        <v/>
      </c>
      <c r="EU29" s="6" t="str">
        <f>[1]Sheet2!EV28</f>
        <v/>
      </c>
      <c r="EV29" s="6" t="str">
        <f>[1]Sheet2!EW28</f>
        <v/>
      </c>
      <c r="EW29" s="6" t="str">
        <f>[1]Sheet2!EX28</f>
        <v/>
      </c>
      <c r="EX29" s="6" t="str">
        <f>[1]Sheet2!EY28</f>
        <v/>
      </c>
      <c r="EY29" s="6" t="str">
        <f>[1]Sheet2!EZ28</f>
        <v/>
      </c>
      <c r="EZ29" s="6" t="str">
        <f>[1]Sheet2!FA28</f>
        <v/>
      </c>
      <c r="FA29" s="6" t="str">
        <f>[1]Sheet2!FB28</f>
        <v/>
      </c>
      <c r="FB29" s="6" t="str">
        <f>[1]Sheet2!FC28</f>
        <v/>
      </c>
      <c r="FC29" s="6" t="str">
        <f>[1]Sheet2!FD28</f>
        <v/>
      </c>
      <c r="FD29" s="6" t="str">
        <f>[1]Sheet2!FE28</f>
        <v/>
      </c>
      <c r="FE29" s="6" t="str">
        <f>[1]Sheet2!FF28</f>
        <v/>
      </c>
      <c r="FF29" s="6" t="str">
        <f>[1]Sheet2!FG28</f>
        <v/>
      </c>
      <c r="FG29" s="6" t="str">
        <f>[1]Sheet2!FH28</f>
        <v/>
      </c>
      <c r="FH29" s="6" t="str">
        <f>[1]Sheet2!FI28</f>
        <v/>
      </c>
      <c r="FI29" s="6" t="str">
        <f>[1]Sheet2!FJ28</f>
        <v/>
      </c>
      <c r="FJ29" s="6" t="str">
        <f>[1]Sheet2!FK28</f>
        <v/>
      </c>
      <c r="FK29" s="6" t="str">
        <f>[1]Sheet2!FL28</f>
        <v/>
      </c>
      <c r="FL29" s="6" t="str">
        <f>[1]Sheet2!FM28</f>
        <v/>
      </c>
      <c r="FM29" s="6" t="str">
        <f>[1]Sheet2!FN28</f>
        <v/>
      </c>
      <c r="FN29" s="6" t="str">
        <f>[1]Sheet2!FO28</f>
        <v/>
      </c>
      <c r="FO29" s="6" t="str">
        <f>[1]Sheet2!FP28</f>
        <v/>
      </c>
    </row>
    <row r="30" spans="1:171" x14ac:dyDescent="0.25">
      <c r="A30" s="15">
        <v>43492</v>
      </c>
      <c r="B30" s="1"/>
      <c r="C30" s="1"/>
      <c r="D30" s="1"/>
      <c r="E30" s="14">
        <f>[1]Sheet2!N29</f>
        <v>0</v>
      </c>
      <c r="F30" s="14">
        <f>[1]Sheet2!BE29</f>
        <v>0</v>
      </c>
      <c r="G30" s="14">
        <f>[1]Sheet2!CW29</f>
        <v>0</v>
      </c>
      <c r="H30" s="1"/>
      <c r="I30" s="1"/>
      <c r="J30" s="1"/>
      <c r="K30" s="16"/>
      <c r="L30" s="16">
        <f>Demand_CWRS!B$3/31</f>
        <v>313.22137613730359</v>
      </c>
      <c r="M30" s="16">
        <f>Demand_CWRS!C$3/31</f>
        <v>241.71000827129859</v>
      </c>
      <c r="N30" s="16">
        <f>Demand_CWRS!D$3/31</f>
        <v>0</v>
      </c>
      <c r="O30" s="16">
        <f>Demand_CWRS!E$3/31</f>
        <v>98.872001654259719</v>
      </c>
      <c r="P30" s="16">
        <f>Demand_CWRS!F$3/31</f>
        <v>198.36900072373859</v>
      </c>
      <c r="Q30" s="16">
        <f>Demand_CWRS!G$3/31</f>
        <v>309.67741935483872</v>
      </c>
      <c r="R30" s="16">
        <f>Demand_CWRS!H$3/31</f>
        <v>241.71000827129859</v>
      </c>
      <c r="S30" s="16">
        <f>Demand_CWRS!I$3/31</f>
        <v>200</v>
      </c>
      <c r="T30" s="16">
        <f>Demand_CWRS!J$3/31</f>
        <v>209.67741935483872</v>
      </c>
      <c r="U30" s="16">
        <f>Demand_CWRS!K$3/31</f>
        <v>216.12903225806451</v>
      </c>
      <c r="V30" s="16">
        <f t="shared" si="6"/>
        <v>-1456.9771557071942</v>
      </c>
      <c r="W30" s="16">
        <f t="shared" si="7"/>
        <v>-1526.1702233250633</v>
      </c>
      <c r="X30" s="16">
        <f t="shared" si="8"/>
        <v>0</v>
      </c>
      <c r="Y30" s="16">
        <f t="shared" si="9"/>
        <v>6330.4559553349991</v>
      </c>
      <c r="Z30" s="16">
        <f t="shared" si="10"/>
        <v>-355.96301954094179</v>
      </c>
      <c r="AA30" s="16">
        <f t="shared" si="11"/>
        <v>-361.29032258064791</v>
      </c>
      <c r="AB30" s="16">
        <f t="shared" si="12"/>
        <v>-6226.1702233250626</v>
      </c>
      <c r="AC30" s="16">
        <f t="shared" si="13"/>
        <v>-400</v>
      </c>
      <c r="AD30" s="16">
        <f t="shared" si="14"/>
        <v>-661.29032258064524</v>
      </c>
      <c r="AE30" s="16">
        <f t="shared" si="15"/>
        <v>-835.48387096773979</v>
      </c>
      <c r="AF30" s="14">
        <f>IF([1]Sheet2!AJ29=999999,"NA",[1]Sheet2!AJ29)</f>
        <v>0</v>
      </c>
      <c r="AG30" s="14">
        <f>IF([1]Sheet2!AK29=999999,"NA",[1]Sheet2!AK29)</f>
        <v>0</v>
      </c>
      <c r="AH30" s="14" t="str">
        <f>IF([1]Sheet2!AL29=999999,"NA",[1]Sheet2!AL29)</f>
        <v>NA</v>
      </c>
      <c r="AI30" s="14">
        <f>IF([1]Sheet2!AM29=999999,"NA",[1]Sheet2!AM29)</f>
        <v>50</v>
      </c>
      <c r="AJ30" s="14">
        <f>IF([1]Sheet2!AN29=999999,"NA",[1]Sheet2!AN29)</f>
        <v>0</v>
      </c>
      <c r="AK30" s="14">
        <f>IF([1]Sheet2!AO29=999999,"NA",[1]Sheet2!AO29)</f>
        <v>0</v>
      </c>
      <c r="AL30" s="14">
        <f>IF([1]Sheet2!AP29=999999,"NA",[1]Sheet2!AP29)</f>
        <v>0</v>
      </c>
      <c r="AM30" s="14">
        <f>IF([1]Sheet2!AQ29=999999,"NA",[1]Sheet2!AQ29)</f>
        <v>0</v>
      </c>
      <c r="AN30" s="14">
        <f>IF([1]Sheet2!AR29=999999,"NA",[1]Sheet2!AR29)</f>
        <v>0</v>
      </c>
      <c r="AO30" s="14">
        <f>IF([1]Sheet2!AS29=999999,"NA",[1]Sheet2!AS29)</f>
        <v>0</v>
      </c>
      <c r="AP30" s="14">
        <f>[1]Sheet2!P29</f>
        <v>0</v>
      </c>
      <c r="AQ30" s="14">
        <f>[1]Sheet2!Q29</f>
        <v>0</v>
      </c>
      <c r="AR30" s="14">
        <f>[1]Sheet2!R29</f>
        <v>0</v>
      </c>
      <c r="AS30" s="14">
        <f>[1]Sheet2!S29</f>
        <v>0</v>
      </c>
      <c r="AT30" s="14">
        <f>[1]Sheet2!T29</f>
        <v>0</v>
      </c>
      <c r="AU30" s="14">
        <f>[1]Sheet2!U29</f>
        <v>0</v>
      </c>
      <c r="AV30" s="20">
        <f>[1]Sheet2!V29</f>
        <v>0</v>
      </c>
      <c r="AW30" s="20">
        <f>[1]Sheet2!W29</f>
        <v>0</v>
      </c>
      <c r="AX30" s="14">
        <f>[1]Sheet2!X29</f>
        <v>0</v>
      </c>
      <c r="AY30" s="14">
        <f>[1]Sheet2!Y29</f>
        <v>0</v>
      </c>
      <c r="AZ30" s="16">
        <f>Demand_LP!B$3/31</f>
        <v>503.00172404880072</v>
      </c>
      <c r="BA30" s="16">
        <f>Demand_LP!C$3/31</f>
        <v>792.35864350703059</v>
      </c>
      <c r="BB30" s="16">
        <f>Demand_LP!D$3/31</f>
        <v>231.20967741935488</v>
      </c>
      <c r="BC30" s="16">
        <f>Demand_LP!E$3/31</f>
        <v>696.53949545078569</v>
      </c>
      <c r="BD30" s="16">
        <f>Demand_LP!F$3/31</f>
        <v>482.27093930934655</v>
      </c>
      <c r="BE30" s="16">
        <f>Demand_LP!G$3/31</f>
        <v>451.61290322580646</v>
      </c>
      <c r="BF30" s="16">
        <f>Demand_LP!H$3/31</f>
        <v>774.19354838709683</v>
      </c>
      <c r="BG30" s="16">
        <f>Demand_LP!I$3/31</f>
        <v>451.61290322580646</v>
      </c>
      <c r="BH30" s="16">
        <f>Demand_LP!J$3/31</f>
        <v>387.09677419354841</v>
      </c>
      <c r="BI30" s="16">
        <f>Demand_LP!K$3/31</f>
        <v>419.35483870967744</v>
      </c>
      <c r="BJ30" s="16">
        <f t="shared" si="16"/>
        <v>-3581.046549317618</v>
      </c>
      <c r="BK30" s="16">
        <f t="shared" si="17"/>
        <v>-11393.683374689819</v>
      </c>
      <c r="BL30" s="16">
        <f t="shared" si="18"/>
        <v>3757.3387096774186</v>
      </c>
      <c r="BM30" s="16">
        <f t="shared" si="19"/>
        <v>-8806.5663771712134</v>
      </c>
      <c r="BN30" s="16">
        <f t="shared" si="20"/>
        <v>-3021.3153613523541</v>
      </c>
      <c r="BO30" s="16">
        <f t="shared" si="21"/>
        <v>-2193.5483870967782</v>
      </c>
      <c r="BP30" s="16">
        <f t="shared" si="22"/>
        <v>-4903.22580645161</v>
      </c>
      <c r="BQ30" s="16">
        <f t="shared" si="23"/>
        <v>-2193.5483870967782</v>
      </c>
      <c r="BR30" s="16">
        <f t="shared" si="24"/>
        <v>-451.61290322580817</v>
      </c>
      <c r="BS30" s="16">
        <f t="shared" si="25"/>
        <v>-1322.5806451612905</v>
      </c>
      <c r="BT30" s="14">
        <f>IF([1]Sheet2!CB29=999999,"NA",[1]Sheet2!CB29)</f>
        <v>0</v>
      </c>
      <c r="BU30" s="14">
        <f>IF([1]Sheet2!CC29=999999,"NA",[1]Sheet2!CC29)</f>
        <v>0</v>
      </c>
      <c r="BV30" s="14">
        <f>IF([1]Sheet2!CD29=999999,"NA",[1]Sheet2!CD29)</f>
        <v>14</v>
      </c>
      <c r="BW30" s="14">
        <f>IF([1]Sheet2!CE29=999999,"NA",[1]Sheet2!CE29)</f>
        <v>0</v>
      </c>
      <c r="BX30" s="14">
        <f>IF([1]Sheet2!CF29=999999,"NA",[1]Sheet2!CF29)</f>
        <v>0</v>
      </c>
      <c r="BY30" s="14">
        <f>IF([1]Sheet2!CG29=999999,"NA",[1]Sheet2!CG29)</f>
        <v>0</v>
      </c>
      <c r="BZ30" s="14">
        <f>IF([1]Sheet2!CH29=999999,"NA",[1]Sheet2!CH29)</f>
        <v>0</v>
      </c>
      <c r="CA30" s="14">
        <f>IF([1]Sheet2!CI29=999999,"NA",[1]Sheet2!CI29)</f>
        <v>0</v>
      </c>
      <c r="CB30" s="14">
        <f>IF([1]Sheet2!CJ29=999999,"NA",[1]Sheet2!CJ29)</f>
        <v>0</v>
      </c>
      <c r="CC30" s="14">
        <f>IF([1]Sheet2!CK29=999999,"NA",[1]Sheet2!CK29)</f>
        <v>0</v>
      </c>
      <c r="CD30" s="14">
        <f>[1]Sheet2!BH29</f>
        <v>0</v>
      </c>
      <c r="CE30" s="14">
        <f>[1]Sheet2!BI29</f>
        <v>0</v>
      </c>
      <c r="CF30" s="14">
        <f>[1]Sheet2!BJ29</f>
        <v>0</v>
      </c>
      <c r="CG30" s="14">
        <f>[1]Sheet2!BK29</f>
        <v>0</v>
      </c>
      <c r="CH30" s="14">
        <f>[1]Sheet2!BL29</f>
        <v>0</v>
      </c>
      <c r="CI30" s="14">
        <f>[1]Sheet2!BM29</f>
        <v>0</v>
      </c>
      <c r="CJ30" s="14">
        <f>[1]Sheet2!BN29</f>
        <v>0</v>
      </c>
      <c r="CK30" s="14">
        <f>[1]Sheet2!BO29</f>
        <v>0</v>
      </c>
      <c r="CL30" s="14">
        <f>[1]Sheet2!BP29</f>
        <v>0</v>
      </c>
      <c r="CM30" s="14">
        <f>[1]Sheet2!BQ29</f>
        <v>0</v>
      </c>
      <c r="CN30" s="16">
        <f>Demand_SW!B$3/31</f>
        <v>139.57816377171216</v>
      </c>
      <c r="CO30" s="16">
        <f>Demand_SW!C$3/31</f>
        <v>0</v>
      </c>
      <c r="CP30" s="16">
        <f>Demand_SW!D$3/31</f>
        <v>0</v>
      </c>
      <c r="CQ30" s="16">
        <f>Demand_SW!E$3/31</f>
        <v>0</v>
      </c>
      <c r="CR30" s="16">
        <f>Demand_SW!F$3/31</f>
        <v>0</v>
      </c>
      <c r="CS30" s="16">
        <f>Demand_SW!G$3/31</f>
        <v>132.25806451612902</v>
      </c>
      <c r="CT30" s="16">
        <f>Demand_SW!H$3/31</f>
        <v>0</v>
      </c>
      <c r="CU30" s="16">
        <f>Demand_SW!I$3/31</f>
        <v>0</v>
      </c>
      <c r="CV30" s="16">
        <f>Demand_SW!J$3/31</f>
        <v>0</v>
      </c>
      <c r="CW30" s="16">
        <f>Demand_SW!K$3/31</f>
        <v>0</v>
      </c>
      <c r="CX30" s="16">
        <f t="shared" si="26"/>
        <v>1231.3895781637721</v>
      </c>
      <c r="CY30" s="16">
        <f t="shared" si="27"/>
        <v>1000</v>
      </c>
      <c r="CZ30" s="16">
        <f t="shared" si="28"/>
        <v>0</v>
      </c>
      <c r="DA30" s="16">
        <f t="shared" si="29"/>
        <v>0</v>
      </c>
      <c r="DB30" s="16">
        <f t="shared" si="30"/>
        <v>0</v>
      </c>
      <c r="DC30" s="16">
        <f t="shared" si="31"/>
        <v>1429.0322580645213</v>
      </c>
      <c r="DD30" s="16">
        <f t="shared" si="32"/>
        <v>1000</v>
      </c>
      <c r="DE30" s="16">
        <f t="shared" si="33"/>
        <v>0</v>
      </c>
      <c r="DF30" s="16">
        <f t="shared" si="34"/>
        <v>0</v>
      </c>
      <c r="DG30" s="16">
        <f t="shared" si="35"/>
        <v>0</v>
      </c>
      <c r="DH30" s="14">
        <f>IF([1]Sheet2!DS29=999999,"NA",[1]Sheet2!DS29)</f>
        <v>11</v>
      </c>
      <c r="DI30" s="14">
        <f>IF([1]Sheet2!DT29=999999,"NA",[1]Sheet2!DT29)</f>
        <v>338</v>
      </c>
      <c r="DJ30" s="14" t="str">
        <f>IF([1]Sheet2!DU29=999999,"NA",[1]Sheet2!DU29)</f>
        <v>NA</v>
      </c>
      <c r="DK30" s="14" t="str">
        <f>IF([1]Sheet2!DV29=999999,"NA",[1]Sheet2!DV29)</f>
        <v>NA</v>
      </c>
      <c r="DL30" s="14" t="str">
        <f>IF([1]Sheet2!DW29=999999,"NA",[1]Sheet2!DW29)</f>
        <v>NA</v>
      </c>
      <c r="DM30" s="14">
        <f>IF([1]Sheet2!DX29=999999,"NA",[1]Sheet2!DX29)</f>
        <v>14</v>
      </c>
      <c r="DN30" s="14">
        <f>IF([1]Sheet2!DY29=999999,"NA",[1]Sheet2!DY29)</f>
        <v>338</v>
      </c>
      <c r="DO30" s="14" t="str">
        <f>IF([1]Sheet2!DZ29=999999,"NA",[1]Sheet2!DZ29)</f>
        <v>NA</v>
      </c>
      <c r="DP30" s="14" t="str">
        <f>IF([1]Sheet2!EA29=999999,"NA",[1]Sheet2!EA29)</f>
        <v>NA</v>
      </c>
      <c r="DQ30" s="14" t="str">
        <f>IF([1]Sheet2!EB29=999999,"NA",[1]Sheet2!EB29)</f>
        <v>NA</v>
      </c>
      <c r="DR30" s="14">
        <f>[1]Sheet2!CY29</f>
        <v>0</v>
      </c>
      <c r="DS30" s="14">
        <f>[1]Sheet2!CZ29</f>
        <v>0</v>
      </c>
      <c r="DT30" s="14">
        <f>[1]Sheet2!DA29</f>
        <v>0</v>
      </c>
      <c r="DU30" s="14">
        <f>[1]Sheet2!DB29</f>
        <v>0</v>
      </c>
      <c r="DV30" s="14">
        <f>[1]Sheet2!DC29</f>
        <v>0</v>
      </c>
      <c r="DW30" s="14">
        <f>[1]Sheet2!DD29</f>
        <v>0</v>
      </c>
      <c r="DX30" s="14">
        <f>[1]Sheet2!DE29</f>
        <v>0</v>
      </c>
      <c r="DY30" s="14">
        <f>[1]Sheet2!DF29</f>
        <v>0</v>
      </c>
      <c r="DZ30" s="14">
        <f>[1]Sheet2!DG29</f>
        <v>0</v>
      </c>
      <c r="EA30" s="14">
        <f>[1]Sheet2!DH29</f>
        <v>0</v>
      </c>
      <c r="EB30" s="6">
        <f>[1]Sheet2!EC29</f>
        <v>0</v>
      </c>
      <c r="EC30" s="6">
        <f>[1]Sheet2!ED29</f>
        <v>0</v>
      </c>
      <c r="ED30" s="6">
        <f>[1]Sheet2!EE29</f>
        <v>0</v>
      </c>
      <c r="EE30" s="6">
        <f>[1]Sheet2!EF29</f>
        <v>0</v>
      </c>
      <c r="EF30" s="6">
        <f>[1]Sheet2!EG29</f>
        <v>0</v>
      </c>
      <c r="EG30" s="6">
        <f>[1]Sheet2!EH29</f>
        <v>0</v>
      </c>
      <c r="EH30" s="6">
        <f>[1]Sheet2!EI29</f>
        <v>0</v>
      </c>
      <c r="EI30" s="6">
        <f>[1]Sheet2!EJ29</f>
        <v>0</v>
      </c>
      <c r="EJ30" s="6">
        <f>[1]Sheet2!EK29</f>
        <v>0</v>
      </c>
      <c r="EK30" s="6">
        <f>[1]Sheet2!EL29</f>
        <v>0</v>
      </c>
      <c r="EL30" s="6" t="str">
        <f>[1]Sheet2!EM29</f>
        <v/>
      </c>
      <c r="EM30" s="6" t="str">
        <f>[1]Sheet2!EN29</f>
        <v/>
      </c>
      <c r="EN30" s="6" t="str">
        <f>[1]Sheet2!EO29</f>
        <v/>
      </c>
      <c r="EO30" s="6" t="str">
        <f>[1]Sheet2!EP29</f>
        <v/>
      </c>
      <c r="EP30" s="6" t="str">
        <f>[1]Sheet2!EQ29</f>
        <v/>
      </c>
      <c r="EQ30" s="6" t="str">
        <f>[1]Sheet2!ER29</f>
        <v/>
      </c>
      <c r="ER30" s="6" t="str">
        <f>[1]Sheet2!ES29</f>
        <v/>
      </c>
      <c r="ES30" s="6" t="str">
        <f>[1]Sheet2!ET29</f>
        <v/>
      </c>
      <c r="ET30" s="6" t="str">
        <f>[1]Sheet2!EU29</f>
        <v/>
      </c>
      <c r="EU30" s="6" t="str">
        <f>[1]Sheet2!EV29</f>
        <v/>
      </c>
      <c r="EV30" s="6" t="str">
        <f>[1]Sheet2!EW29</f>
        <v/>
      </c>
      <c r="EW30" s="6" t="str">
        <f>[1]Sheet2!EX29</f>
        <v/>
      </c>
      <c r="EX30" s="6" t="str">
        <f>[1]Sheet2!EY29</f>
        <v/>
      </c>
      <c r="EY30" s="6" t="str">
        <f>[1]Sheet2!EZ29</f>
        <v/>
      </c>
      <c r="EZ30" s="6" t="str">
        <f>[1]Sheet2!FA29</f>
        <v/>
      </c>
      <c r="FA30" s="6" t="str">
        <f>[1]Sheet2!FB29</f>
        <v/>
      </c>
      <c r="FB30" s="6" t="str">
        <f>[1]Sheet2!FC29</f>
        <v/>
      </c>
      <c r="FC30" s="6" t="str">
        <f>[1]Sheet2!FD29</f>
        <v/>
      </c>
      <c r="FD30" s="6" t="str">
        <f>[1]Sheet2!FE29</f>
        <v/>
      </c>
      <c r="FE30" s="6" t="str">
        <f>[1]Sheet2!FF29</f>
        <v/>
      </c>
      <c r="FF30" s="6" t="str">
        <f>[1]Sheet2!FG29</f>
        <v/>
      </c>
      <c r="FG30" s="6" t="str">
        <f>[1]Sheet2!FH29</f>
        <v/>
      </c>
      <c r="FH30" s="6" t="str">
        <f>[1]Sheet2!FI29</f>
        <v/>
      </c>
      <c r="FI30" s="6" t="str">
        <f>[1]Sheet2!FJ29</f>
        <v/>
      </c>
      <c r="FJ30" s="6" t="str">
        <f>[1]Sheet2!FK29</f>
        <v/>
      </c>
      <c r="FK30" s="6" t="str">
        <f>[1]Sheet2!FL29</f>
        <v/>
      </c>
      <c r="FL30" s="6" t="str">
        <f>[1]Sheet2!FM29</f>
        <v/>
      </c>
      <c r="FM30" s="6" t="str">
        <f>[1]Sheet2!FN29</f>
        <v/>
      </c>
      <c r="FN30" s="6" t="str">
        <f>[1]Sheet2!FO29</f>
        <v/>
      </c>
      <c r="FO30" s="6" t="str">
        <f>[1]Sheet2!FP29</f>
        <v/>
      </c>
    </row>
    <row r="31" spans="1:171" x14ac:dyDescent="0.25">
      <c r="A31" s="15">
        <v>43493</v>
      </c>
      <c r="B31" s="1"/>
      <c r="C31" s="1"/>
      <c r="D31" s="1"/>
      <c r="E31" s="14">
        <f>[1]Sheet2!N30</f>
        <v>0</v>
      </c>
      <c r="F31" s="14">
        <f>[1]Sheet2!BE30</f>
        <v>48000</v>
      </c>
      <c r="G31" s="14">
        <f>[1]Sheet2!CW30</f>
        <v>0</v>
      </c>
      <c r="H31" s="1"/>
      <c r="I31" s="1"/>
      <c r="J31" s="1"/>
      <c r="K31" s="16"/>
      <c r="L31" s="16">
        <f>Demand_CWRS!B$3/31</f>
        <v>313.22137613730359</v>
      </c>
      <c r="M31" s="16">
        <f>Demand_CWRS!C$3/31</f>
        <v>241.71000827129859</v>
      </c>
      <c r="N31" s="16">
        <f>Demand_CWRS!D$3/31</f>
        <v>0</v>
      </c>
      <c r="O31" s="16">
        <f>Demand_CWRS!E$3/31</f>
        <v>98.872001654259719</v>
      </c>
      <c r="P31" s="16">
        <f>Demand_CWRS!F$3/31</f>
        <v>198.36900072373859</v>
      </c>
      <c r="Q31" s="16">
        <f>Demand_CWRS!G$3/31</f>
        <v>309.67741935483872</v>
      </c>
      <c r="R31" s="16">
        <f>Demand_CWRS!H$3/31</f>
        <v>241.71000827129859</v>
      </c>
      <c r="S31" s="16">
        <f>Demand_CWRS!I$3/31</f>
        <v>200</v>
      </c>
      <c r="T31" s="16">
        <f>Demand_CWRS!J$3/31</f>
        <v>209.67741935483872</v>
      </c>
      <c r="U31" s="16">
        <f>Demand_CWRS!K$3/31</f>
        <v>216.12903225806451</v>
      </c>
      <c r="V31" s="16">
        <f t="shared" si="6"/>
        <v>-1770.1985318444979</v>
      </c>
      <c r="W31" s="16">
        <f t="shared" si="7"/>
        <v>-1767.8802315963619</v>
      </c>
      <c r="X31" s="16">
        <f t="shared" si="8"/>
        <v>0</v>
      </c>
      <c r="Y31" s="16">
        <f t="shared" si="9"/>
        <v>6231.5839536807398</v>
      </c>
      <c r="Z31" s="16">
        <f t="shared" si="10"/>
        <v>-554.33202026468041</v>
      </c>
      <c r="AA31" s="16">
        <f t="shared" si="11"/>
        <v>-670.96774193548663</v>
      </c>
      <c r="AB31" s="16">
        <f t="shared" si="12"/>
        <v>-6467.8802315963612</v>
      </c>
      <c r="AC31" s="16">
        <f t="shared" si="13"/>
        <v>-600</v>
      </c>
      <c r="AD31" s="16">
        <f t="shared" si="14"/>
        <v>-870.9677419354839</v>
      </c>
      <c r="AE31" s="16">
        <f t="shared" si="15"/>
        <v>-1051.6129032258043</v>
      </c>
      <c r="AF31" s="14">
        <f>IF([1]Sheet2!AJ30=999999,"NA",[1]Sheet2!AJ30)</f>
        <v>0</v>
      </c>
      <c r="AG31" s="14">
        <f>IF([1]Sheet2!AK30=999999,"NA",[1]Sheet2!AK30)</f>
        <v>0</v>
      </c>
      <c r="AH31" s="14" t="str">
        <f>IF([1]Sheet2!AL30=999999,"NA",[1]Sheet2!AL30)</f>
        <v>NA</v>
      </c>
      <c r="AI31" s="14">
        <f>IF([1]Sheet2!AM30=999999,"NA",[1]Sheet2!AM30)</f>
        <v>49</v>
      </c>
      <c r="AJ31" s="14">
        <f>IF([1]Sheet2!AN30=999999,"NA",[1]Sheet2!AN30)</f>
        <v>0</v>
      </c>
      <c r="AK31" s="14">
        <f>IF([1]Sheet2!AO30=999999,"NA",[1]Sheet2!AO30)</f>
        <v>0</v>
      </c>
      <c r="AL31" s="14">
        <f>IF([1]Sheet2!AP30=999999,"NA",[1]Sheet2!AP30)</f>
        <v>0</v>
      </c>
      <c r="AM31" s="14">
        <f>IF([1]Sheet2!AQ30=999999,"NA",[1]Sheet2!AQ30)</f>
        <v>0</v>
      </c>
      <c r="AN31" s="14">
        <f>IF([1]Sheet2!AR30=999999,"NA",[1]Sheet2!AR30)</f>
        <v>0</v>
      </c>
      <c r="AO31" s="14">
        <f>IF([1]Sheet2!AS30=999999,"NA",[1]Sheet2!AS30)</f>
        <v>0</v>
      </c>
      <c r="AP31" s="14">
        <f>[1]Sheet2!P30</f>
        <v>0</v>
      </c>
      <c r="AQ31" s="14">
        <f>[1]Sheet2!Q30</f>
        <v>0</v>
      </c>
      <c r="AR31" s="14">
        <f>[1]Sheet2!R30</f>
        <v>0</v>
      </c>
      <c r="AS31" s="14">
        <f>[1]Sheet2!S30</f>
        <v>0</v>
      </c>
      <c r="AT31" s="14">
        <f>[1]Sheet2!T30</f>
        <v>0</v>
      </c>
      <c r="AU31" s="14">
        <f>[1]Sheet2!U30</f>
        <v>0</v>
      </c>
      <c r="AV31" s="14">
        <f>[1]Sheet2!V30</f>
        <v>0</v>
      </c>
      <c r="AW31" s="20">
        <f>[1]Sheet2!W30</f>
        <v>0</v>
      </c>
      <c r="AX31" s="14">
        <f>[1]Sheet2!X30</f>
        <v>0</v>
      </c>
      <c r="AY31" s="14">
        <f>[1]Sheet2!Y30</f>
        <v>0</v>
      </c>
      <c r="AZ31" s="16">
        <f>Demand_LP!B$3/31</f>
        <v>503.00172404880072</v>
      </c>
      <c r="BA31" s="16">
        <f>Demand_LP!C$3/31</f>
        <v>792.35864350703059</v>
      </c>
      <c r="BB31" s="16">
        <f>Demand_LP!D$3/31</f>
        <v>231.20967741935488</v>
      </c>
      <c r="BC31" s="16">
        <f>Demand_LP!E$3/31</f>
        <v>696.53949545078569</v>
      </c>
      <c r="BD31" s="16">
        <f>Demand_LP!F$3/31</f>
        <v>482.27093930934655</v>
      </c>
      <c r="BE31" s="16">
        <f>Demand_LP!G$3/31</f>
        <v>451.61290322580646</v>
      </c>
      <c r="BF31" s="16">
        <f>Demand_LP!H$3/31</f>
        <v>774.19354838709683</v>
      </c>
      <c r="BG31" s="16">
        <f>Demand_LP!I$3/31</f>
        <v>451.61290322580646</v>
      </c>
      <c r="BH31" s="16">
        <f>Demand_LP!J$3/31</f>
        <v>387.09677419354841</v>
      </c>
      <c r="BI31" s="16">
        <f>Demand_LP!K$3/31</f>
        <v>419.35483870967744</v>
      </c>
      <c r="BJ31" s="16">
        <f t="shared" si="16"/>
        <v>-4084.0482733664185</v>
      </c>
      <c r="BK31" s="16">
        <f t="shared" si="17"/>
        <v>-12186.042018196849</v>
      </c>
      <c r="BL31" s="16">
        <f t="shared" si="18"/>
        <v>3526.1290322580635</v>
      </c>
      <c r="BM31" s="16">
        <f t="shared" si="19"/>
        <v>-9503.1058726219999</v>
      </c>
      <c r="BN31" s="16">
        <f t="shared" si="20"/>
        <v>-3503.5863006617005</v>
      </c>
      <c r="BO31" s="16">
        <f t="shared" si="21"/>
        <v>-2645.1612903225846</v>
      </c>
      <c r="BP31" s="16">
        <f t="shared" si="22"/>
        <v>-5677.4193548387066</v>
      </c>
      <c r="BQ31" s="16">
        <f t="shared" si="23"/>
        <v>-2645.1612903225846</v>
      </c>
      <c r="BR31" s="16">
        <f t="shared" si="24"/>
        <v>-838.70967741935658</v>
      </c>
      <c r="BS31" s="16">
        <f t="shared" si="25"/>
        <v>-1741.9354838709678</v>
      </c>
      <c r="BT31" s="14">
        <f>IF([1]Sheet2!CB30=999999,"NA",[1]Sheet2!CB30)</f>
        <v>0</v>
      </c>
      <c r="BU31" s="14">
        <f>IF([1]Sheet2!CC30=999999,"NA",[1]Sheet2!CC30)</f>
        <v>0</v>
      </c>
      <c r="BV31" s="14">
        <f>IF([1]Sheet2!CD30=999999,"NA",[1]Sheet2!CD30)</f>
        <v>13</v>
      </c>
      <c r="BW31" s="14">
        <f>IF([1]Sheet2!CE30=999999,"NA",[1]Sheet2!CE30)</f>
        <v>0</v>
      </c>
      <c r="BX31" s="14">
        <f>IF([1]Sheet2!CF30=999999,"NA",[1]Sheet2!CF30)</f>
        <v>0</v>
      </c>
      <c r="BY31" s="14">
        <f>IF([1]Sheet2!CG30=999999,"NA",[1]Sheet2!CG30)</f>
        <v>0</v>
      </c>
      <c r="BZ31" s="14">
        <f>IF([1]Sheet2!CH30=999999,"NA",[1]Sheet2!CH30)</f>
        <v>0</v>
      </c>
      <c r="CA31" s="14">
        <f>IF([1]Sheet2!CI30=999999,"NA",[1]Sheet2!CI30)</f>
        <v>0</v>
      </c>
      <c r="CB31" s="14">
        <f>IF([1]Sheet2!CJ30=999999,"NA",[1]Sheet2!CJ30)</f>
        <v>0</v>
      </c>
      <c r="CC31" s="14">
        <f>IF([1]Sheet2!CK30=999999,"NA",[1]Sheet2!CK30)</f>
        <v>0</v>
      </c>
      <c r="CD31" s="14">
        <f>[1]Sheet2!BH30</f>
        <v>0</v>
      </c>
      <c r="CE31" s="14">
        <f>[1]Sheet2!BI30</f>
        <v>0</v>
      </c>
      <c r="CF31" s="14">
        <f>[1]Sheet2!BJ30</f>
        <v>0</v>
      </c>
      <c r="CG31" s="14">
        <f>[1]Sheet2!BK30</f>
        <v>0</v>
      </c>
      <c r="CH31" s="14">
        <f>[1]Sheet2!BL30</f>
        <v>0</v>
      </c>
      <c r="CI31" s="14">
        <f>[1]Sheet2!BM30</f>
        <v>0</v>
      </c>
      <c r="CJ31" s="14">
        <f>[1]Sheet2!BN30</f>
        <v>0</v>
      </c>
      <c r="CK31" s="14">
        <f>[1]Sheet2!BO30</f>
        <v>0</v>
      </c>
      <c r="CL31" s="14">
        <f>[1]Sheet2!BP30</f>
        <v>0</v>
      </c>
      <c r="CM31" s="14">
        <f>[1]Sheet2!BQ30</f>
        <v>0</v>
      </c>
      <c r="CN31" s="16">
        <f>Demand_SW!B$3/31</f>
        <v>139.57816377171216</v>
      </c>
      <c r="CO31" s="16">
        <f>Demand_SW!C$3/31</f>
        <v>0</v>
      </c>
      <c r="CP31" s="16">
        <f>Demand_SW!D$3/31</f>
        <v>0</v>
      </c>
      <c r="CQ31" s="16">
        <f>Demand_SW!E$3/31</f>
        <v>0</v>
      </c>
      <c r="CR31" s="16">
        <f>Demand_SW!F$3/31</f>
        <v>0</v>
      </c>
      <c r="CS31" s="16">
        <f>Demand_SW!G$3/31</f>
        <v>132.25806451612902</v>
      </c>
      <c r="CT31" s="16">
        <f>Demand_SW!H$3/31</f>
        <v>0</v>
      </c>
      <c r="CU31" s="16">
        <f>Demand_SW!I$3/31</f>
        <v>0</v>
      </c>
      <c r="CV31" s="16">
        <f>Demand_SW!J$3/31</f>
        <v>0</v>
      </c>
      <c r="CW31" s="16">
        <f>Demand_SW!K$3/31</f>
        <v>0</v>
      </c>
      <c r="CX31" s="16">
        <f t="shared" si="26"/>
        <v>1091.81141439206</v>
      </c>
      <c r="CY31" s="16">
        <f t="shared" si="27"/>
        <v>1000</v>
      </c>
      <c r="CZ31" s="16">
        <f t="shared" si="28"/>
        <v>0</v>
      </c>
      <c r="DA31" s="16">
        <f t="shared" si="29"/>
        <v>0</v>
      </c>
      <c r="DB31" s="16">
        <f t="shared" si="30"/>
        <v>0</v>
      </c>
      <c r="DC31" s="16">
        <f t="shared" si="31"/>
        <v>1296.7741935483923</v>
      </c>
      <c r="DD31" s="16">
        <f t="shared" si="32"/>
        <v>1000</v>
      </c>
      <c r="DE31" s="16">
        <f t="shared" si="33"/>
        <v>0</v>
      </c>
      <c r="DF31" s="16">
        <f t="shared" si="34"/>
        <v>0</v>
      </c>
      <c r="DG31" s="16">
        <f t="shared" si="35"/>
        <v>0</v>
      </c>
      <c r="DH31" s="14">
        <f>IF([1]Sheet2!DS30=999999,"NA",[1]Sheet2!DS30)</f>
        <v>10</v>
      </c>
      <c r="DI31" s="14">
        <f>IF([1]Sheet2!DT30=999999,"NA",[1]Sheet2!DT30)</f>
        <v>337</v>
      </c>
      <c r="DJ31" s="14" t="str">
        <f>IF([1]Sheet2!DU30=999999,"NA",[1]Sheet2!DU30)</f>
        <v>NA</v>
      </c>
      <c r="DK31" s="14" t="str">
        <f>IF([1]Sheet2!DV30=999999,"NA",[1]Sheet2!DV30)</f>
        <v>NA</v>
      </c>
      <c r="DL31" s="14" t="str">
        <f>IF([1]Sheet2!DW30=999999,"NA",[1]Sheet2!DW30)</f>
        <v>NA</v>
      </c>
      <c r="DM31" s="14">
        <f>IF([1]Sheet2!DX30=999999,"NA",[1]Sheet2!DX30)</f>
        <v>13</v>
      </c>
      <c r="DN31" s="14">
        <f>IF([1]Sheet2!DY30=999999,"NA",[1]Sheet2!DY30)</f>
        <v>337</v>
      </c>
      <c r="DO31" s="14" t="str">
        <f>IF([1]Sheet2!DZ30=999999,"NA",[1]Sheet2!DZ30)</f>
        <v>NA</v>
      </c>
      <c r="DP31" s="14" t="str">
        <f>IF([1]Sheet2!EA30=999999,"NA",[1]Sheet2!EA30)</f>
        <v>NA</v>
      </c>
      <c r="DQ31" s="14" t="str">
        <f>IF([1]Sheet2!EB30=999999,"NA",[1]Sheet2!EB30)</f>
        <v>NA</v>
      </c>
      <c r="DR31" s="14">
        <f>[1]Sheet2!CY30</f>
        <v>0</v>
      </c>
      <c r="DS31" s="14">
        <f>[1]Sheet2!CZ30</f>
        <v>0</v>
      </c>
      <c r="DT31" s="14">
        <f>[1]Sheet2!DA30</f>
        <v>0</v>
      </c>
      <c r="DU31" s="14">
        <f>[1]Sheet2!DB30</f>
        <v>0</v>
      </c>
      <c r="DV31" s="14">
        <f>[1]Sheet2!DC30</f>
        <v>0</v>
      </c>
      <c r="DW31" s="14">
        <f>[1]Sheet2!DD30</f>
        <v>0</v>
      </c>
      <c r="DX31" s="14">
        <f>[1]Sheet2!DE30</f>
        <v>0</v>
      </c>
      <c r="DY31" s="14">
        <f>[1]Sheet2!DF30</f>
        <v>0</v>
      </c>
      <c r="DZ31" s="14">
        <f>[1]Sheet2!DG30</f>
        <v>0</v>
      </c>
      <c r="EA31" s="14">
        <f>[1]Sheet2!DH30</f>
        <v>0</v>
      </c>
      <c r="EB31" s="6">
        <f>[1]Sheet2!EC30</f>
        <v>0</v>
      </c>
      <c r="EC31" s="6">
        <f>[1]Sheet2!ED30</f>
        <v>0</v>
      </c>
      <c r="ED31" s="6">
        <f>[1]Sheet2!EE30</f>
        <v>0</v>
      </c>
      <c r="EE31" s="6">
        <f>[1]Sheet2!EF30</f>
        <v>0</v>
      </c>
      <c r="EF31" s="6">
        <f>[1]Sheet2!EG30</f>
        <v>0</v>
      </c>
      <c r="EG31" s="6">
        <f>[1]Sheet2!EH30</f>
        <v>0</v>
      </c>
      <c r="EH31" s="6">
        <f>[1]Sheet2!EI30</f>
        <v>0</v>
      </c>
      <c r="EI31" s="6">
        <f>[1]Sheet2!EJ30</f>
        <v>0</v>
      </c>
      <c r="EJ31" s="6">
        <f>[1]Sheet2!EK30</f>
        <v>0</v>
      </c>
      <c r="EK31" s="6">
        <f>[1]Sheet2!EL30</f>
        <v>0</v>
      </c>
      <c r="EL31" s="6" t="str">
        <f>[1]Sheet2!EM30</f>
        <v/>
      </c>
      <c r="EM31" s="6" t="str">
        <f>[1]Sheet2!EN30</f>
        <v/>
      </c>
      <c r="EN31" s="6" t="str">
        <f>[1]Sheet2!EO30</f>
        <v/>
      </c>
      <c r="EO31" s="6" t="str">
        <f>[1]Sheet2!EP30</f>
        <v/>
      </c>
      <c r="EP31" s="6" t="str">
        <f>[1]Sheet2!EQ30</f>
        <v/>
      </c>
      <c r="EQ31" s="6" t="str">
        <f>[1]Sheet2!ER30</f>
        <v/>
      </c>
      <c r="ER31" s="6" t="str">
        <f>[1]Sheet2!ES30</f>
        <v/>
      </c>
      <c r="ES31" s="6" t="str">
        <f>[1]Sheet2!ET30</f>
        <v/>
      </c>
      <c r="ET31" s="6" t="str">
        <f>[1]Sheet2!EU30</f>
        <v/>
      </c>
      <c r="EU31" s="6" t="str">
        <f>[1]Sheet2!EV30</f>
        <v/>
      </c>
      <c r="EV31" s="6" t="str">
        <f>[1]Sheet2!EW30</f>
        <v/>
      </c>
      <c r="EW31" s="6" t="str">
        <f>[1]Sheet2!EX30</f>
        <v/>
      </c>
      <c r="EX31" s="6" t="str">
        <f>[1]Sheet2!EY30</f>
        <v/>
      </c>
      <c r="EY31" s="6" t="str">
        <f>[1]Sheet2!EZ30</f>
        <v/>
      </c>
      <c r="EZ31" s="6" t="str">
        <f>[1]Sheet2!FA30</f>
        <v/>
      </c>
      <c r="FA31" s="6" t="str">
        <f>[1]Sheet2!FB30</f>
        <v/>
      </c>
      <c r="FB31" s="6" t="str">
        <f>[1]Sheet2!FC30</f>
        <v/>
      </c>
      <c r="FC31" s="6" t="str">
        <f>[1]Sheet2!FD30</f>
        <v/>
      </c>
      <c r="FD31" s="6" t="str">
        <f>[1]Sheet2!FE30</f>
        <v/>
      </c>
      <c r="FE31" s="6" t="str">
        <f>[1]Sheet2!FF30</f>
        <v/>
      </c>
      <c r="FF31" s="6" t="str">
        <f>[1]Sheet2!FG30</f>
        <v/>
      </c>
      <c r="FG31" s="6" t="str">
        <f>[1]Sheet2!FH30</f>
        <v/>
      </c>
      <c r="FH31" s="6" t="str">
        <f>[1]Sheet2!FI30</f>
        <v/>
      </c>
      <c r="FI31" s="6" t="str">
        <f>[1]Sheet2!FJ30</f>
        <v/>
      </c>
      <c r="FJ31" s="6" t="str">
        <f>[1]Sheet2!FK30</f>
        <v/>
      </c>
      <c r="FK31" s="6" t="str">
        <f>[1]Sheet2!FL30</f>
        <v/>
      </c>
      <c r="FL31" s="6" t="str">
        <f>[1]Sheet2!FM30</f>
        <v/>
      </c>
      <c r="FM31" s="6" t="str">
        <f>[1]Sheet2!FN30</f>
        <v/>
      </c>
      <c r="FN31" s="6" t="str">
        <f>[1]Sheet2!FO30</f>
        <v/>
      </c>
      <c r="FO31" s="6" t="str">
        <f>[1]Sheet2!FP30</f>
        <v/>
      </c>
    </row>
    <row r="32" spans="1:171" x14ac:dyDescent="0.25">
      <c r="A32" s="15">
        <v>43494</v>
      </c>
      <c r="B32" s="1"/>
      <c r="C32" s="1"/>
      <c r="D32" s="1"/>
      <c r="E32" s="14">
        <f>[1]Sheet2!N31</f>
        <v>0</v>
      </c>
      <c r="F32" s="14">
        <f>[1]Sheet2!BE31</f>
        <v>0</v>
      </c>
      <c r="G32" s="14">
        <f>[1]Sheet2!CW31</f>
        <v>0</v>
      </c>
      <c r="H32" s="1"/>
      <c r="I32" s="1"/>
      <c r="J32" s="1"/>
      <c r="K32" s="16"/>
      <c r="L32" s="16">
        <f>Demand_CWRS!B$3/31</f>
        <v>313.22137613730359</v>
      </c>
      <c r="M32" s="16">
        <f>Demand_CWRS!C$3/31</f>
        <v>241.71000827129859</v>
      </c>
      <c r="N32" s="16">
        <f>Demand_CWRS!D$3/31</f>
        <v>0</v>
      </c>
      <c r="O32" s="16">
        <f>Demand_CWRS!E$3/31</f>
        <v>98.872001654259719</v>
      </c>
      <c r="P32" s="16">
        <f>Demand_CWRS!F$3/31</f>
        <v>198.36900072373859</v>
      </c>
      <c r="Q32" s="16">
        <f>Demand_CWRS!G$3/31</f>
        <v>309.67741935483872</v>
      </c>
      <c r="R32" s="16">
        <f>Demand_CWRS!H$3/31</f>
        <v>241.71000827129859</v>
      </c>
      <c r="S32" s="16">
        <f>Demand_CWRS!I$3/31</f>
        <v>200</v>
      </c>
      <c r="T32" s="16">
        <f>Demand_CWRS!J$3/31</f>
        <v>209.67741935483872</v>
      </c>
      <c r="U32" s="16">
        <f>Demand_CWRS!K$3/31</f>
        <v>216.12903225806451</v>
      </c>
      <c r="V32" s="16">
        <f t="shared" si="6"/>
        <v>-2083.4199079818013</v>
      </c>
      <c r="W32" s="16">
        <f t="shared" si="7"/>
        <v>-2009.5902398676606</v>
      </c>
      <c r="X32" s="16">
        <f t="shared" si="8"/>
        <v>0</v>
      </c>
      <c r="Y32" s="16">
        <f t="shared" si="9"/>
        <v>6132.7119520264805</v>
      </c>
      <c r="Z32" s="16">
        <f t="shared" si="10"/>
        <v>-752.70102098841903</v>
      </c>
      <c r="AA32" s="16">
        <f t="shared" si="11"/>
        <v>-980.6451612903254</v>
      </c>
      <c r="AB32" s="16">
        <f t="shared" si="12"/>
        <v>-6709.5902398676599</v>
      </c>
      <c r="AC32" s="16">
        <f t="shared" si="13"/>
        <v>-800</v>
      </c>
      <c r="AD32" s="16">
        <f t="shared" si="14"/>
        <v>-1080.6451612903227</v>
      </c>
      <c r="AE32" s="16">
        <f t="shared" si="15"/>
        <v>-1267.7419354838689</v>
      </c>
      <c r="AF32" s="14">
        <f>IF([1]Sheet2!AJ31=999999,"NA",[1]Sheet2!AJ31)</f>
        <v>0</v>
      </c>
      <c r="AG32" s="14">
        <f>IF([1]Sheet2!AK31=999999,"NA",[1]Sheet2!AK31)</f>
        <v>0</v>
      </c>
      <c r="AH32" s="14" t="str">
        <f>IF([1]Sheet2!AL31=999999,"NA",[1]Sheet2!AL31)</f>
        <v>NA</v>
      </c>
      <c r="AI32" s="14">
        <f>IF([1]Sheet2!AM31=999999,"NA",[1]Sheet2!AM31)</f>
        <v>48</v>
      </c>
      <c r="AJ32" s="14">
        <f>IF([1]Sheet2!AN31=999999,"NA",[1]Sheet2!AN31)</f>
        <v>0</v>
      </c>
      <c r="AK32" s="14">
        <f>IF([1]Sheet2!AO31=999999,"NA",[1]Sheet2!AO31)</f>
        <v>0</v>
      </c>
      <c r="AL32" s="14">
        <f>IF([1]Sheet2!AP31=999999,"NA",[1]Sheet2!AP31)</f>
        <v>0</v>
      </c>
      <c r="AM32" s="14">
        <f>IF([1]Sheet2!AQ31=999999,"NA",[1]Sheet2!AQ31)</f>
        <v>0</v>
      </c>
      <c r="AN32" s="14">
        <f>IF([1]Sheet2!AR31=999999,"NA",[1]Sheet2!AR31)</f>
        <v>0</v>
      </c>
      <c r="AO32" s="14">
        <f>IF([1]Sheet2!AS31=999999,"NA",[1]Sheet2!AS31)</f>
        <v>0</v>
      </c>
      <c r="AP32" s="14">
        <f>[1]Sheet2!P31</f>
        <v>0</v>
      </c>
      <c r="AQ32" s="14">
        <f>[1]Sheet2!Q31</f>
        <v>0</v>
      </c>
      <c r="AR32" s="14">
        <f>[1]Sheet2!R31</f>
        <v>0</v>
      </c>
      <c r="AS32" s="14">
        <f>[1]Sheet2!S31</f>
        <v>0</v>
      </c>
      <c r="AT32" s="14">
        <f>[1]Sheet2!T31</f>
        <v>0</v>
      </c>
      <c r="AU32" s="14">
        <f>[1]Sheet2!U31</f>
        <v>0</v>
      </c>
      <c r="AV32" s="14">
        <f>[1]Sheet2!V31</f>
        <v>0</v>
      </c>
      <c r="AW32" s="14">
        <f>[1]Sheet2!W31</f>
        <v>0</v>
      </c>
      <c r="AX32" s="14">
        <f>[1]Sheet2!X31</f>
        <v>0</v>
      </c>
      <c r="AY32" s="14">
        <f>[1]Sheet2!Y31</f>
        <v>0</v>
      </c>
      <c r="AZ32" s="16">
        <f>Demand_LP!B$3/31</f>
        <v>503.00172404880072</v>
      </c>
      <c r="BA32" s="16">
        <f>Demand_LP!C$3/31</f>
        <v>792.35864350703059</v>
      </c>
      <c r="BB32" s="16">
        <f>Demand_LP!D$3/31</f>
        <v>231.20967741935488</v>
      </c>
      <c r="BC32" s="16">
        <f>Demand_LP!E$3/31</f>
        <v>696.53949545078569</v>
      </c>
      <c r="BD32" s="16">
        <f>Demand_LP!F$3/31</f>
        <v>482.27093930934655</v>
      </c>
      <c r="BE32" s="16">
        <f>Demand_LP!G$3/31</f>
        <v>451.61290322580646</v>
      </c>
      <c r="BF32" s="16">
        <f>Demand_LP!H$3/31</f>
        <v>774.19354838709683</v>
      </c>
      <c r="BG32" s="16">
        <f>Demand_LP!I$3/31</f>
        <v>451.61290322580646</v>
      </c>
      <c r="BH32" s="16">
        <f>Demand_LP!J$3/31</f>
        <v>387.09677419354841</v>
      </c>
      <c r="BI32" s="16">
        <f>Demand_LP!K$3/31</f>
        <v>419.35483870967744</v>
      </c>
      <c r="BJ32" s="16">
        <f t="shared" si="16"/>
        <v>-4587.049997415219</v>
      </c>
      <c r="BK32" s="16">
        <f t="shared" si="17"/>
        <v>-12978.400661703879</v>
      </c>
      <c r="BL32" s="16">
        <f t="shared" si="18"/>
        <v>3294.9193548387084</v>
      </c>
      <c r="BM32" s="16">
        <f t="shared" si="19"/>
        <v>-10199.645368072786</v>
      </c>
      <c r="BN32" s="16">
        <f t="shared" si="20"/>
        <v>-3985.857239971047</v>
      </c>
      <c r="BO32" s="16">
        <f t="shared" si="21"/>
        <v>-3096.7741935483909</v>
      </c>
      <c r="BP32" s="16">
        <f t="shared" si="22"/>
        <v>-6451.6129032258032</v>
      </c>
      <c r="BQ32" s="16">
        <f t="shared" si="23"/>
        <v>-3096.7741935483909</v>
      </c>
      <c r="BR32" s="16">
        <f t="shared" si="24"/>
        <v>-1225.806451612905</v>
      </c>
      <c r="BS32" s="16">
        <f t="shared" si="25"/>
        <v>-2161.2903225806454</v>
      </c>
      <c r="BT32" s="14">
        <f>IF([1]Sheet2!CB31=999999,"NA",[1]Sheet2!CB31)</f>
        <v>0</v>
      </c>
      <c r="BU32" s="14">
        <f>IF([1]Sheet2!CC31=999999,"NA",[1]Sheet2!CC31)</f>
        <v>0</v>
      </c>
      <c r="BV32" s="14">
        <f>IF([1]Sheet2!CD31=999999,"NA",[1]Sheet2!CD31)</f>
        <v>12</v>
      </c>
      <c r="BW32" s="14">
        <f>IF([1]Sheet2!CE31=999999,"NA",[1]Sheet2!CE31)</f>
        <v>0</v>
      </c>
      <c r="BX32" s="14">
        <f>IF([1]Sheet2!CF31=999999,"NA",[1]Sheet2!CF31)</f>
        <v>0</v>
      </c>
      <c r="BY32" s="14">
        <f>IF([1]Sheet2!CG31=999999,"NA",[1]Sheet2!CG31)</f>
        <v>0</v>
      </c>
      <c r="BZ32" s="14">
        <f>IF([1]Sheet2!CH31=999999,"NA",[1]Sheet2!CH31)</f>
        <v>0</v>
      </c>
      <c r="CA32" s="14">
        <f>IF([1]Sheet2!CI31=999999,"NA",[1]Sheet2!CI31)</f>
        <v>0</v>
      </c>
      <c r="CB32" s="14">
        <f>IF([1]Sheet2!CJ31=999999,"NA",[1]Sheet2!CJ31)</f>
        <v>0</v>
      </c>
      <c r="CC32" s="14">
        <f>IF([1]Sheet2!CK31=999999,"NA",[1]Sheet2!CK31)</f>
        <v>0</v>
      </c>
      <c r="CD32" s="14">
        <f>[1]Sheet2!BH31</f>
        <v>0</v>
      </c>
      <c r="CE32" s="14">
        <f>[1]Sheet2!BI31</f>
        <v>0</v>
      </c>
      <c r="CF32" s="14">
        <f>[1]Sheet2!BJ31</f>
        <v>0</v>
      </c>
      <c r="CG32" s="14">
        <f>[1]Sheet2!BK31</f>
        <v>0</v>
      </c>
      <c r="CH32" s="14">
        <f>[1]Sheet2!BL31</f>
        <v>0</v>
      </c>
      <c r="CI32" s="14">
        <f>[1]Sheet2!BM31</f>
        <v>0</v>
      </c>
      <c r="CJ32" s="14">
        <f>[1]Sheet2!BN31</f>
        <v>0</v>
      </c>
      <c r="CK32" s="14">
        <f>[1]Sheet2!BO31</f>
        <v>0</v>
      </c>
      <c r="CL32" s="14">
        <f>[1]Sheet2!BP31</f>
        <v>0</v>
      </c>
      <c r="CM32" s="14">
        <f>[1]Sheet2!BQ31</f>
        <v>0</v>
      </c>
      <c r="CN32" s="16">
        <f>Demand_SW!B$3/31</f>
        <v>139.57816377171216</v>
      </c>
      <c r="CO32" s="16">
        <f>Demand_SW!C$3/31</f>
        <v>0</v>
      </c>
      <c r="CP32" s="16">
        <f>Demand_SW!D$3/31</f>
        <v>0</v>
      </c>
      <c r="CQ32" s="16">
        <f>Demand_SW!E$3/31</f>
        <v>0</v>
      </c>
      <c r="CR32" s="16">
        <f>Demand_SW!F$3/31</f>
        <v>0</v>
      </c>
      <c r="CS32" s="16">
        <f>Demand_SW!G$3/31</f>
        <v>132.25806451612902</v>
      </c>
      <c r="CT32" s="16">
        <f>Demand_SW!H$3/31</f>
        <v>0</v>
      </c>
      <c r="CU32" s="16">
        <f>Demand_SW!I$3/31</f>
        <v>0</v>
      </c>
      <c r="CV32" s="16">
        <f>Demand_SW!J$3/31</f>
        <v>0</v>
      </c>
      <c r="CW32" s="16">
        <f>Demand_SW!K$3/31</f>
        <v>0</v>
      </c>
      <c r="CX32" s="16">
        <f t="shared" si="26"/>
        <v>952.2332506203478</v>
      </c>
      <c r="CY32" s="16">
        <f t="shared" si="27"/>
        <v>1000</v>
      </c>
      <c r="CZ32" s="16">
        <f t="shared" si="28"/>
        <v>0</v>
      </c>
      <c r="DA32" s="16">
        <f t="shared" si="29"/>
        <v>0</v>
      </c>
      <c r="DB32" s="16">
        <f t="shared" si="30"/>
        <v>0</v>
      </c>
      <c r="DC32" s="16">
        <f t="shared" si="31"/>
        <v>1164.5161290322633</v>
      </c>
      <c r="DD32" s="16">
        <f t="shared" si="32"/>
        <v>1000</v>
      </c>
      <c r="DE32" s="16">
        <f t="shared" si="33"/>
        <v>0</v>
      </c>
      <c r="DF32" s="16">
        <f t="shared" si="34"/>
        <v>0</v>
      </c>
      <c r="DG32" s="16">
        <f t="shared" si="35"/>
        <v>0</v>
      </c>
      <c r="DH32" s="14">
        <f>IF([1]Sheet2!DS31=999999,"NA",[1]Sheet2!DS31)</f>
        <v>9</v>
      </c>
      <c r="DI32" s="14">
        <f>IF([1]Sheet2!DT31=999999,"NA",[1]Sheet2!DT31)</f>
        <v>336</v>
      </c>
      <c r="DJ32" s="14" t="str">
        <f>IF([1]Sheet2!DU31=999999,"NA",[1]Sheet2!DU31)</f>
        <v>NA</v>
      </c>
      <c r="DK32" s="14" t="str">
        <f>IF([1]Sheet2!DV31=999999,"NA",[1]Sheet2!DV31)</f>
        <v>NA</v>
      </c>
      <c r="DL32" s="14" t="str">
        <f>IF([1]Sheet2!DW31=999999,"NA",[1]Sheet2!DW31)</f>
        <v>NA</v>
      </c>
      <c r="DM32" s="14">
        <f>IF([1]Sheet2!DX31=999999,"NA",[1]Sheet2!DX31)</f>
        <v>12</v>
      </c>
      <c r="DN32" s="14">
        <f>IF([1]Sheet2!DY31=999999,"NA",[1]Sheet2!DY31)</f>
        <v>336</v>
      </c>
      <c r="DO32" s="14" t="str">
        <f>IF([1]Sheet2!DZ31=999999,"NA",[1]Sheet2!DZ31)</f>
        <v>NA</v>
      </c>
      <c r="DP32" s="14" t="str">
        <f>IF([1]Sheet2!EA31=999999,"NA",[1]Sheet2!EA31)</f>
        <v>NA</v>
      </c>
      <c r="DQ32" s="14" t="str">
        <f>IF([1]Sheet2!EB31=999999,"NA",[1]Sheet2!EB31)</f>
        <v>NA</v>
      </c>
      <c r="DR32" s="14">
        <f>[1]Sheet2!CY31</f>
        <v>0</v>
      </c>
      <c r="DS32" s="14">
        <f>[1]Sheet2!CZ31</f>
        <v>0</v>
      </c>
      <c r="DT32" s="14">
        <f>[1]Sheet2!DA31</f>
        <v>0</v>
      </c>
      <c r="DU32" s="14">
        <f>[1]Sheet2!DB31</f>
        <v>0</v>
      </c>
      <c r="DV32" s="14">
        <f>[1]Sheet2!DC31</f>
        <v>0</v>
      </c>
      <c r="DW32" s="14">
        <f>[1]Sheet2!DD31</f>
        <v>0</v>
      </c>
      <c r="DX32" s="14">
        <f>[1]Sheet2!DE31</f>
        <v>0</v>
      </c>
      <c r="DY32" s="14">
        <f>[1]Sheet2!DF31</f>
        <v>0</v>
      </c>
      <c r="DZ32" s="14">
        <f>[1]Sheet2!DG31</f>
        <v>0</v>
      </c>
      <c r="EA32" s="14">
        <f>[1]Sheet2!DH31</f>
        <v>0</v>
      </c>
      <c r="EB32" s="6">
        <f>[1]Sheet2!EC31</f>
        <v>0</v>
      </c>
      <c r="EC32" s="6">
        <f>[1]Sheet2!ED31</f>
        <v>0</v>
      </c>
      <c r="ED32" s="6">
        <f>[1]Sheet2!EE31</f>
        <v>0</v>
      </c>
      <c r="EE32" s="6">
        <f>[1]Sheet2!EF31</f>
        <v>0</v>
      </c>
      <c r="EF32" s="6">
        <f>[1]Sheet2!EG31</f>
        <v>0</v>
      </c>
      <c r="EG32" s="6">
        <f>[1]Sheet2!EH31</f>
        <v>0</v>
      </c>
      <c r="EH32" s="6">
        <f>[1]Sheet2!EI31</f>
        <v>0</v>
      </c>
      <c r="EI32" s="6">
        <f>[1]Sheet2!EJ31</f>
        <v>0</v>
      </c>
      <c r="EJ32" s="6">
        <f>[1]Sheet2!EK31</f>
        <v>0</v>
      </c>
      <c r="EK32" s="6">
        <f>[1]Sheet2!EL31</f>
        <v>0</v>
      </c>
      <c r="EL32" s="6" t="str">
        <f>[1]Sheet2!EM31</f>
        <v/>
      </c>
      <c r="EM32" s="6" t="str">
        <f>[1]Sheet2!EN31</f>
        <v/>
      </c>
      <c r="EN32" s="6" t="str">
        <f>[1]Sheet2!EO31</f>
        <v/>
      </c>
      <c r="EO32" s="6" t="str">
        <f>[1]Sheet2!EP31</f>
        <v/>
      </c>
      <c r="EP32" s="6" t="str">
        <f>[1]Sheet2!EQ31</f>
        <v/>
      </c>
      <c r="EQ32" s="6" t="str">
        <f>[1]Sheet2!ER31</f>
        <v/>
      </c>
      <c r="ER32" s="6" t="str">
        <f>[1]Sheet2!ES31</f>
        <v/>
      </c>
      <c r="ES32" s="6" t="str">
        <f>[1]Sheet2!ET31</f>
        <v/>
      </c>
      <c r="ET32" s="6" t="str">
        <f>[1]Sheet2!EU31</f>
        <v/>
      </c>
      <c r="EU32" s="6" t="str">
        <f>[1]Sheet2!EV31</f>
        <v/>
      </c>
      <c r="EV32" s="6" t="str">
        <f>[1]Sheet2!EW31</f>
        <v/>
      </c>
      <c r="EW32" s="6" t="str">
        <f>[1]Sheet2!EX31</f>
        <v/>
      </c>
      <c r="EX32" s="6" t="str">
        <f>[1]Sheet2!EY31</f>
        <v/>
      </c>
      <c r="EY32" s="6" t="str">
        <f>[1]Sheet2!EZ31</f>
        <v/>
      </c>
      <c r="EZ32" s="6" t="str">
        <f>[1]Sheet2!FA31</f>
        <v/>
      </c>
      <c r="FA32" s="6" t="str">
        <f>[1]Sheet2!FB31</f>
        <v/>
      </c>
      <c r="FB32" s="6" t="str">
        <f>[1]Sheet2!FC31</f>
        <v/>
      </c>
      <c r="FC32" s="6" t="str">
        <f>[1]Sheet2!FD31</f>
        <v/>
      </c>
      <c r="FD32" s="6" t="str">
        <f>[1]Sheet2!FE31</f>
        <v/>
      </c>
      <c r="FE32" s="6" t="str">
        <f>[1]Sheet2!FF31</f>
        <v/>
      </c>
      <c r="FF32" s="6" t="str">
        <f>[1]Sheet2!FG31</f>
        <v/>
      </c>
      <c r="FG32" s="6" t="str">
        <f>[1]Sheet2!FH31</f>
        <v/>
      </c>
      <c r="FH32" s="6" t="str">
        <f>[1]Sheet2!FI31</f>
        <v/>
      </c>
      <c r="FI32" s="6" t="str">
        <f>[1]Sheet2!FJ31</f>
        <v/>
      </c>
      <c r="FJ32" s="6" t="str">
        <f>[1]Sheet2!FK31</f>
        <v/>
      </c>
      <c r="FK32" s="6" t="str">
        <f>[1]Sheet2!FL31</f>
        <v/>
      </c>
      <c r="FL32" s="6" t="str">
        <f>[1]Sheet2!FM31</f>
        <v/>
      </c>
      <c r="FM32" s="6" t="str">
        <f>[1]Sheet2!FN31</f>
        <v/>
      </c>
      <c r="FN32" s="6" t="str">
        <f>[1]Sheet2!FO31</f>
        <v/>
      </c>
      <c r="FO32" s="6" t="str">
        <f>[1]Sheet2!FP31</f>
        <v/>
      </c>
    </row>
    <row r="33" spans="1:171" x14ac:dyDescent="0.25">
      <c r="A33" s="15">
        <v>43495</v>
      </c>
      <c r="B33" s="1"/>
      <c r="C33" s="1"/>
      <c r="D33" s="1"/>
      <c r="E33" s="14">
        <f>[1]Sheet2!N32</f>
        <v>0</v>
      </c>
      <c r="F33" s="14">
        <f>[1]Sheet2!BE32</f>
        <v>0</v>
      </c>
      <c r="G33" s="14">
        <f>[1]Sheet2!CW32</f>
        <v>0</v>
      </c>
      <c r="H33" s="1"/>
      <c r="I33" s="1"/>
      <c r="J33" s="1"/>
      <c r="K33" s="16"/>
      <c r="L33" s="16">
        <f>Demand_CWRS!B$3/31</f>
        <v>313.22137613730359</v>
      </c>
      <c r="M33" s="16">
        <f>Demand_CWRS!C$3/31</f>
        <v>241.71000827129859</v>
      </c>
      <c r="N33" s="16">
        <f>Demand_CWRS!D$3/31</f>
        <v>0</v>
      </c>
      <c r="O33" s="16">
        <f>Demand_CWRS!E$3/31</f>
        <v>98.872001654259719</v>
      </c>
      <c r="P33" s="16">
        <f>Demand_CWRS!F$3/31</f>
        <v>198.36900072373859</v>
      </c>
      <c r="Q33" s="16">
        <f>Demand_CWRS!G$3/31</f>
        <v>309.67741935483872</v>
      </c>
      <c r="R33" s="16">
        <f>Demand_CWRS!H$3/31</f>
        <v>241.71000827129859</v>
      </c>
      <c r="S33" s="16">
        <f>Demand_CWRS!I$3/31</f>
        <v>200</v>
      </c>
      <c r="T33" s="16">
        <f>Demand_CWRS!J$3/31</f>
        <v>209.67741935483872</v>
      </c>
      <c r="U33" s="16">
        <f>Demand_CWRS!K$3/31</f>
        <v>216.12903225806451</v>
      </c>
      <c r="V33" s="16">
        <f t="shared" si="6"/>
        <v>-2396.641284119105</v>
      </c>
      <c r="W33" s="16">
        <f t="shared" si="7"/>
        <v>-2251.300248138959</v>
      </c>
      <c r="X33" s="16">
        <f t="shared" si="8"/>
        <v>0</v>
      </c>
      <c r="Y33" s="16">
        <f t="shared" si="9"/>
        <v>6033.8399503722212</v>
      </c>
      <c r="Z33" s="16">
        <f t="shared" si="10"/>
        <v>-951.07002171215765</v>
      </c>
      <c r="AA33" s="16">
        <f t="shared" si="11"/>
        <v>-1290.3225806451642</v>
      </c>
      <c r="AB33" s="16">
        <f t="shared" si="12"/>
        <v>-6951.3002481389585</v>
      </c>
      <c r="AC33" s="16">
        <f t="shared" si="13"/>
        <v>-1000</v>
      </c>
      <c r="AD33" s="16">
        <f t="shared" si="14"/>
        <v>-1290.3225806451615</v>
      </c>
      <c r="AE33" s="16">
        <f t="shared" si="15"/>
        <v>-1483.8709677419333</v>
      </c>
      <c r="AF33" s="14">
        <f>IF([1]Sheet2!AJ32=999999,"NA",[1]Sheet2!AJ32)</f>
        <v>0</v>
      </c>
      <c r="AG33" s="14">
        <f>IF([1]Sheet2!AK32=999999,"NA",[1]Sheet2!AK32)</f>
        <v>0</v>
      </c>
      <c r="AH33" s="14" t="str">
        <f>IF([1]Sheet2!AL32=999999,"NA",[1]Sheet2!AL32)</f>
        <v>NA</v>
      </c>
      <c r="AI33" s="14">
        <f>IF([1]Sheet2!AM32=999999,"NA",[1]Sheet2!AM32)</f>
        <v>47</v>
      </c>
      <c r="AJ33" s="14">
        <f>IF([1]Sheet2!AN32=999999,"NA",[1]Sheet2!AN32)</f>
        <v>0</v>
      </c>
      <c r="AK33" s="14">
        <f>IF([1]Sheet2!AO32=999999,"NA",[1]Sheet2!AO32)</f>
        <v>0</v>
      </c>
      <c r="AL33" s="14">
        <f>IF([1]Sheet2!AP32=999999,"NA",[1]Sheet2!AP32)</f>
        <v>0</v>
      </c>
      <c r="AM33" s="14">
        <f>IF([1]Sheet2!AQ32=999999,"NA",[1]Sheet2!AQ32)</f>
        <v>0</v>
      </c>
      <c r="AN33" s="14">
        <f>IF([1]Sheet2!AR32=999999,"NA",[1]Sheet2!AR32)</f>
        <v>0</v>
      </c>
      <c r="AO33" s="14">
        <f>IF([1]Sheet2!AS32=999999,"NA",[1]Sheet2!AS32)</f>
        <v>0</v>
      </c>
      <c r="AP33" s="14">
        <f>[1]Sheet2!P32</f>
        <v>0</v>
      </c>
      <c r="AQ33" s="14">
        <f>[1]Sheet2!Q32</f>
        <v>0</v>
      </c>
      <c r="AR33" s="14">
        <f>[1]Sheet2!R32</f>
        <v>0</v>
      </c>
      <c r="AS33" s="14">
        <f>[1]Sheet2!S32</f>
        <v>0</v>
      </c>
      <c r="AT33" s="14">
        <f>[1]Sheet2!T32</f>
        <v>0</v>
      </c>
      <c r="AU33" s="14">
        <f>[1]Sheet2!U32</f>
        <v>0</v>
      </c>
      <c r="AV33" s="14">
        <f>[1]Sheet2!V32</f>
        <v>0</v>
      </c>
      <c r="AW33" s="14">
        <f>[1]Sheet2!W32</f>
        <v>0</v>
      </c>
      <c r="AX33" s="14">
        <f>[1]Sheet2!X32</f>
        <v>0</v>
      </c>
      <c r="AY33" s="14">
        <f>[1]Sheet2!Y32</f>
        <v>0</v>
      </c>
      <c r="AZ33" s="16">
        <f>Demand_LP!B$3/31</f>
        <v>503.00172404880072</v>
      </c>
      <c r="BA33" s="16">
        <f>Demand_LP!C$3/31</f>
        <v>792.35864350703059</v>
      </c>
      <c r="BB33" s="16">
        <f>Demand_LP!D$3/31</f>
        <v>231.20967741935488</v>
      </c>
      <c r="BC33" s="16">
        <f>Demand_LP!E$3/31</f>
        <v>696.53949545078569</v>
      </c>
      <c r="BD33" s="16">
        <f>Demand_LP!F$3/31</f>
        <v>482.27093930934655</v>
      </c>
      <c r="BE33" s="16">
        <f>Demand_LP!G$3/31</f>
        <v>451.61290322580646</v>
      </c>
      <c r="BF33" s="16">
        <f>Demand_LP!H$3/31</f>
        <v>774.19354838709683</v>
      </c>
      <c r="BG33" s="16">
        <f>Demand_LP!I$3/31</f>
        <v>451.61290322580646</v>
      </c>
      <c r="BH33" s="16">
        <f>Demand_LP!J$3/31</f>
        <v>387.09677419354841</v>
      </c>
      <c r="BI33" s="16">
        <f>Demand_LP!K$3/31</f>
        <v>419.35483870967744</v>
      </c>
      <c r="BJ33" s="16">
        <f t="shared" si="16"/>
        <v>-5090.0517214640195</v>
      </c>
      <c r="BK33" s="16">
        <f t="shared" si="17"/>
        <v>-13770.75930521091</v>
      </c>
      <c r="BL33" s="16">
        <f t="shared" si="18"/>
        <v>3063.7096774193533</v>
      </c>
      <c r="BM33" s="16">
        <f t="shared" si="19"/>
        <v>-10896.184863523573</v>
      </c>
      <c r="BN33" s="16">
        <f t="shared" si="20"/>
        <v>-4468.1281792803939</v>
      </c>
      <c r="BO33" s="16">
        <f t="shared" si="21"/>
        <v>-3548.3870967741973</v>
      </c>
      <c r="BP33" s="16">
        <f t="shared" si="22"/>
        <v>-7225.8064516128998</v>
      </c>
      <c r="BQ33" s="16">
        <f t="shared" si="23"/>
        <v>-3548.3870967741973</v>
      </c>
      <c r="BR33" s="16">
        <f t="shared" si="24"/>
        <v>-1612.9032258064535</v>
      </c>
      <c r="BS33" s="16">
        <f t="shared" si="25"/>
        <v>-2580.6451612903229</v>
      </c>
      <c r="BT33" s="14">
        <f>IF([1]Sheet2!CB32=999999,"NA",[1]Sheet2!CB32)</f>
        <v>0</v>
      </c>
      <c r="BU33" s="14">
        <f>IF([1]Sheet2!CC32=999999,"NA",[1]Sheet2!CC32)</f>
        <v>0</v>
      </c>
      <c r="BV33" s="14">
        <f>IF([1]Sheet2!CD32=999999,"NA",[1]Sheet2!CD32)</f>
        <v>11</v>
      </c>
      <c r="BW33" s="14">
        <f>IF([1]Sheet2!CE32=999999,"NA",[1]Sheet2!CE32)</f>
        <v>0</v>
      </c>
      <c r="BX33" s="14">
        <f>IF([1]Sheet2!CF32=999999,"NA",[1]Sheet2!CF32)</f>
        <v>0</v>
      </c>
      <c r="BY33" s="14">
        <f>IF([1]Sheet2!CG32=999999,"NA",[1]Sheet2!CG32)</f>
        <v>0</v>
      </c>
      <c r="BZ33" s="14">
        <f>IF([1]Sheet2!CH32=999999,"NA",[1]Sheet2!CH32)</f>
        <v>0</v>
      </c>
      <c r="CA33" s="14">
        <f>IF([1]Sheet2!CI32=999999,"NA",[1]Sheet2!CI32)</f>
        <v>0</v>
      </c>
      <c r="CB33" s="14">
        <f>IF([1]Sheet2!CJ32=999999,"NA",[1]Sheet2!CJ32)</f>
        <v>0</v>
      </c>
      <c r="CC33" s="14">
        <f>IF([1]Sheet2!CK32=999999,"NA",[1]Sheet2!CK32)</f>
        <v>0</v>
      </c>
      <c r="CD33" s="14">
        <f>[1]Sheet2!BH32</f>
        <v>0</v>
      </c>
      <c r="CE33" s="14">
        <f>[1]Sheet2!BI32</f>
        <v>0</v>
      </c>
      <c r="CF33" s="14">
        <f>[1]Sheet2!BJ32</f>
        <v>0</v>
      </c>
      <c r="CG33" s="14">
        <f>[1]Sheet2!BK32</f>
        <v>0</v>
      </c>
      <c r="CH33" s="14">
        <f>[1]Sheet2!BL32</f>
        <v>0</v>
      </c>
      <c r="CI33" s="14">
        <f>[1]Sheet2!BM32</f>
        <v>0</v>
      </c>
      <c r="CJ33" s="14">
        <f>[1]Sheet2!BN32</f>
        <v>0</v>
      </c>
      <c r="CK33" s="14">
        <f>[1]Sheet2!BO32</f>
        <v>0</v>
      </c>
      <c r="CL33" s="14">
        <f>[1]Sheet2!BP32</f>
        <v>0</v>
      </c>
      <c r="CM33" s="14">
        <f>[1]Sheet2!BQ32</f>
        <v>0</v>
      </c>
      <c r="CN33" s="16">
        <f>Demand_SW!B$3/31</f>
        <v>139.57816377171216</v>
      </c>
      <c r="CO33" s="16">
        <f>Demand_SW!C$3/31</f>
        <v>0</v>
      </c>
      <c r="CP33" s="16">
        <f>Demand_SW!D$3/31</f>
        <v>0</v>
      </c>
      <c r="CQ33" s="16">
        <f>Demand_SW!E$3/31</f>
        <v>0</v>
      </c>
      <c r="CR33" s="16">
        <f>Demand_SW!F$3/31</f>
        <v>0</v>
      </c>
      <c r="CS33" s="16">
        <f>Demand_SW!G$3/31</f>
        <v>132.25806451612902</v>
      </c>
      <c r="CT33" s="16">
        <f>Demand_SW!H$3/31</f>
        <v>0</v>
      </c>
      <c r="CU33" s="16">
        <f>Demand_SW!I$3/31</f>
        <v>0</v>
      </c>
      <c r="CV33" s="16">
        <f>Demand_SW!J$3/31</f>
        <v>0</v>
      </c>
      <c r="CW33" s="16">
        <f>Demand_SW!K$3/31</f>
        <v>0</v>
      </c>
      <c r="CX33" s="16">
        <f t="shared" si="26"/>
        <v>812.65508684863562</v>
      </c>
      <c r="CY33" s="16">
        <f t="shared" si="27"/>
        <v>1000</v>
      </c>
      <c r="CZ33" s="16">
        <f t="shared" si="28"/>
        <v>0</v>
      </c>
      <c r="DA33" s="16">
        <f t="shared" si="29"/>
        <v>0</v>
      </c>
      <c r="DB33" s="16">
        <f t="shared" si="30"/>
        <v>0</v>
      </c>
      <c r="DC33" s="16">
        <f t="shared" si="31"/>
        <v>1032.2580645161343</v>
      </c>
      <c r="DD33" s="16">
        <f t="shared" si="32"/>
        <v>1000</v>
      </c>
      <c r="DE33" s="16">
        <f t="shared" si="33"/>
        <v>0</v>
      </c>
      <c r="DF33" s="16">
        <f t="shared" si="34"/>
        <v>0</v>
      </c>
      <c r="DG33" s="16">
        <f t="shared" si="35"/>
        <v>0</v>
      </c>
      <c r="DH33" s="14">
        <f>IF([1]Sheet2!DS32=999999,"NA",[1]Sheet2!DS32)</f>
        <v>8</v>
      </c>
      <c r="DI33" s="14">
        <f>IF([1]Sheet2!DT32=999999,"NA",[1]Sheet2!DT32)</f>
        <v>335</v>
      </c>
      <c r="DJ33" s="14" t="str">
        <f>IF([1]Sheet2!DU32=999999,"NA",[1]Sheet2!DU32)</f>
        <v>NA</v>
      </c>
      <c r="DK33" s="14" t="str">
        <f>IF([1]Sheet2!DV32=999999,"NA",[1]Sheet2!DV32)</f>
        <v>NA</v>
      </c>
      <c r="DL33" s="14" t="str">
        <f>IF([1]Sheet2!DW32=999999,"NA",[1]Sheet2!DW32)</f>
        <v>NA</v>
      </c>
      <c r="DM33" s="14">
        <f>IF([1]Sheet2!DX32=999999,"NA",[1]Sheet2!DX32)</f>
        <v>11</v>
      </c>
      <c r="DN33" s="14">
        <f>IF([1]Sheet2!DY32=999999,"NA",[1]Sheet2!DY32)</f>
        <v>335</v>
      </c>
      <c r="DO33" s="14" t="str">
        <f>IF([1]Sheet2!DZ32=999999,"NA",[1]Sheet2!DZ32)</f>
        <v>NA</v>
      </c>
      <c r="DP33" s="14" t="str">
        <f>IF([1]Sheet2!EA32=999999,"NA",[1]Sheet2!EA32)</f>
        <v>NA</v>
      </c>
      <c r="DQ33" s="14" t="str">
        <f>IF([1]Sheet2!EB32=999999,"NA",[1]Sheet2!EB32)</f>
        <v>NA</v>
      </c>
      <c r="DR33" s="14">
        <f>[1]Sheet2!CY32</f>
        <v>0</v>
      </c>
      <c r="DS33" s="14">
        <f>[1]Sheet2!CZ32</f>
        <v>0</v>
      </c>
      <c r="DT33" s="14">
        <f>[1]Sheet2!DA32</f>
        <v>0</v>
      </c>
      <c r="DU33" s="14">
        <f>[1]Sheet2!DB32</f>
        <v>0</v>
      </c>
      <c r="DV33" s="14">
        <f>[1]Sheet2!DC32</f>
        <v>0</v>
      </c>
      <c r="DW33" s="14">
        <f>[1]Sheet2!DD32</f>
        <v>0</v>
      </c>
      <c r="DX33" s="14">
        <f>[1]Sheet2!DE32</f>
        <v>0</v>
      </c>
      <c r="DY33" s="14">
        <f>[1]Sheet2!DF32</f>
        <v>0</v>
      </c>
      <c r="DZ33" s="14">
        <f>[1]Sheet2!DG32</f>
        <v>0</v>
      </c>
      <c r="EA33" s="14">
        <f>[1]Sheet2!DH32</f>
        <v>0</v>
      </c>
      <c r="EB33" s="6">
        <f>[1]Sheet2!EC32</f>
        <v>0</v>
      </c>
      <c r="EC33" s="6">
        <f>[1]Sheet2!ED32</f>
        <v>0</v>
      </c>
      <c r="ED33" s="6">
        <f>[1]Sheet2!EE32</f>
        <v>0</v>
      </c>
      <c r="EE33" s="6">
        <f>[1]Sheet2!EF32</f>
        <v>0</v>
      </c>
      <c r="EF33" s="6">
        <f>[1]Sheet2!EG32</f>
        <v>0</v>
      </c>
      <c r="EG33" s="6">
        <f>[1]Sheet2!EH32</f>
        <v>0</v>
      </c>
      <c r="EH33" s="6">
        <f>[1]Sheet2!EI32</f>
        <v>0</v>
      </c>
      <c r="EI33" s="6">
        <f>[1]Sheet2!EJ32</f>
        <v>0</v>
      </c>
      <c r="EJ33" s="6">
        <f>[1]Sheet2!EK32</f>
        <v>0</v>
      </c>
      <c r="EK33" s="6">
        <f>[1]Sheet2!EL32</f>
        <v>0</v>
      </c>
      <c r="EL33" s="6" t="str">
        <f>[1]Sheet2!EM32</f>
        <v/>
      </c>
      <c r="EM33" s="6" t="str">
        <f>[1]Sheet2!EN32</f>
        <v/>
      </c>
      <c r="EN33" s="6" t="str">
        <f>[1]Sheet2!EO32</f>
        <v/>
      </c>
      <c r="EO33" s="6" t="str">
        <f>[1]Sheet2!EP32</f>
        <v/>
      </c>
      <c r="EP33" s="6" t="str">
        <f>[1]Sheet2!EQ32</f>
        <v/>
      </c>
      <c r="EQ33" s="6" t="str">
        <f>[1]Sheet2!ER32</f>
        <v/>
      </c>
      <c r="ER33" s="6" t="str">
        <f>[1]Sheet2!ES32</f>
        <v/>
      </c>
      <c r="ES33" s="6" t="str">
        <f>[1]Sheet2!ET32</f>
        <v/>
      </c>
      <c r="ET33" s="6" t="str">
        <f>[1]Sheet2!EU32</f>
        <v/>
      </c>
      <c r="EU33" s="6" t="str">
        <f>[1]Sheet2!EV32</f>
        <v/>
      </c>
      <c r="EV33" s="6" t="str">
        <f>[1]Sheet2!EW32</f>
        <v/>
      </c>
      <c r="EW33" s="6" t="str">
        <f>[1]Sheet2!EX32</f>
        <v/>
      </c>
      <c r="EX33" s="6" t="str">
        <f>[1]Sheet2!EY32</f>
        <v/>
      </c>
      <c r="EY33" s="6" t="str">
        <f>[1]Sheet2!EZ32</f>
        <v/>
      </c>
      <c r="EZ33" s="6" t="str">
        <f>[1]Sheet2!FA32</f>
        <v/>
      </c>
      <c r="FA33" s="6" t="str">
        <f>[1]Sheet2!FB32</f>
        <v/>
      </c>
      <c r="FB33" s="6" t="str">
        <f>[1]Sheet2!FC32</f>
        <v/>
      </c>
      <c r="FC33" s="6" t="str">
        <f>[1]Sheet2!FD32</f>
        <v/>
      </c>
      <c r="FD33" s="6" t="str">
        <f>[1]Sheet2!FE32</f>
        <v/>
      </c>
      <c r="FE33" s="6" t="str">
        <f>[1]Sheet2!FF32</f>
        <v/>
      </c>
      <c r="FF33" s="6" t="str">
        <f>[1]Sheet2!FG32</f>
        <v/>
      </c>
      <c r="FG33" s="6" t="str">
        <f>[1]Sheet2!FH32</f>
        <v/>
      </c>
      <c r="FH33" s="6" t="str">
        <f>[1]Sheet2!FI32</f>
        <v/>
      </c>
      <c r="FI33" s="6" t="str">
        <f>[1]Sheet2!FJ32</f>
        <v/>
      </c>
      <c r="FJ33" s="6" t="str">
        <f>[1]Sheet2!FK32</f>
        <v/>
      </c>
      <c r="FK33" s="6" t="str">
        <f>[1]Sheet2!FL32</f>
        <v/>
      </c>
      <c r="FL33" s="6" t="str">
        <f>[1]Sheet2!FM32</f>
        <v/>
      </c>
      <c r="FM33" s="6" t="str">
        <f>[1]Sheet2!FN32</f>
        <v/>
      </c>
      <c r="FN33" s="6" t="str">
        <f>[1]Sheet2!FO32</f>
        <v/>
      </c>
      <c r="FO33" s="6" t="str">
        <f>[1]Sheet2!FP32</f>
        <v/>
      </c>
    </row>
    <row r="34" spans="1:171" x14ac:dyDescent="0.25">
      <c r="A34" s="15">
        <v>43496</v>
      </c>
      <c r="B34" s="1"/>
      <c r="C34" s="1"/>
      <c r="D34" s="1"/>
      <c r="E34" s="14">
        <f>[1]Sheet2!N33</f>
        <v>0</v>
      </c>
      <c r="F34" s="14">
        <f>[1]Sheet2!BE33</f>
        <v>0</v>
      </c>
      <c r="G34" s="14">
        <f>[1]Sheet2!CW33</f>
        <v>0</v>
      </c>
      <c r="H34" s="1"/>
      <c r="I34" s="1"/>
      <c r="J34" s="1"/>
      <c r="K34" s="16"/>
      <c r="L34" s="16">
        <f>Demand_CWRS!B$3/31</f>
        <v>313.22137613730359</v>
      </c>
      <c r="M34" s="16">
        <f>Demand_CWRS!C$3/31</f>
        <v>241.71000827129859</v>
      </c>
      <c r="N34" s="16">
        <f>Demand_CWRS!D$3/31</f>
        <v>0</v>
      </c>
      <c r="O34" s="16">
        <f>Demand_CWRS!E$3/31</f>
        <v>98.872001654259719</v>
      </c>
      <c r="P34" s="16">
        <f>Demand_CWRS!F$3/31</f>
        <v>198.36900072373859</v>
      </c>
      <c r="Q34" s="16">
        <f>Demand_CWRS!G$3/31</f>
        <v>309.67741935483872</v>
      </c>
      <c r="R34" s="16">
        <f>Demand_CWRS!H$3/31</f>
        <v>241.71000827129859</v>
      </c>
      <c r="S34" s="16">
        <f>Demand_CWRS!I$3/31</f>
        <v>200</v>
      </c>
      <c r="T34" s="16">
        <f>Demand_CWRS!J$3/31</f>
        <v>209.67741935483872</v>
      </c>
      <c r="U34" s="16">
        <f>Demand_CWRS!K$3/31</f>
        <v>216.12903225806451</v>
      </c>
      <c r="V34" s="16">
        <f t="shared" si="6"/>
        <v>-2709.8626602564086</v>
      </c>
      <c r="W34" s="16">
        <f t="shared" si="7"/>
        <v>-2493.0102564102576</v>
      </c>
      <c r="X34" s="16">
        <f t="shared" si="8"/>
        <v>0</v>
      </c>
      <c r="Y34" s="16">
        <f t="shared" si="9"/>
        <v>5934.9679487179619</v>
      </c>
      <c r="Z34" s="16">
        <f t="shared" si="10"/>
        <v>-1149.4390224358963</v>
      </c>
      <c r="AA34" s="16">
        <f t="shared" si="11"/>
        <v>-1600.000000000003</v>
      </c>
      <c r="AB34" s="16">
        <f t="shared" si="12"/>
        <v>-7193.0102564102572</v>
      </c>
      <c r="AC34" s="16">
        <f t="shared" si="13"/>
        <v>-1200</v>
      </c>
      <c r="AD34" s="16">
        <f t="shared" si="14"/>
        <v>-1500.0000000000002</v>
      </c>
      <c r="AE34" s="16">
        <f t="shared" si="15"/>
        <v>-1699.9999999999977</v>
      </c>
      <c r="AF34" s="14">
        <f>IF([1]Sheet2!AJ33=999999,"NA",[1]Sheet2!AJ33)</f>
        <v>0</v>
      </c>
      <c r="AG34" s="14">
        <f>IF([1]Sheet2!AK33=999999,"NA",[1]Sheet2!AK33)</f>
        <v>0</v>
      </c>
      <c r="AH34" s="14" t="str">
        <f>IF([1]Sheet2!AL33=999999,"NA",[1]Sheet2!AL33)</f>
        <v>NA</v>
      </c>
      <c r="AI34" s="14">
        <f>IF([1]Sheet2!AM33=999999,"NA",[1]Sheet2!AM33)</f>
        <v>46</v>
      </c>
      <c r="AJ34" s="14">
        <f>IF([1]Sheet2!AN33=999999,"NA",[1]Sheet2!AN33)</f>
        <v>0</v>
      </c>
      <c r="AK34" s="14">
        <f>IF([1]Sheet2!AO33=999999,"NA",[1]Sheet2!AO33)</f>
        <v>0</v>
      </c>
      <c r="AL34" s="14">
        <f>IF([1]Sheet2!AP33=999999,"NA",[1]Sheet2!AP33)</f>
        <v>0</v>
      </c>
      <c r="AM34" s="14">
        <f>IF([1]Sheet2!AQ33=999999,"NA",[1]Sheet2!AQ33)</f>
        <v>0</v>
      </c>
      <c r="AN34" s="14">
        <f>IF([1]Sheet2!AR33=999999,"NA",[1]Sheet2!AR33)</f>
        <v>0</v>
      </c>
      <c r="AO34" s="14">
        <f>IF([1]Sheet2!AS33=999999,"NA",[1]Sheet2!AS33)</f>
        <v>0</v>
      </c>
      <c r="AP34" s="14">
        <f>[1]Sheet2!P33</f>
        <v>0</v>
      </c>
      <c r="AQ34" s="14">
        <f>[1]Sheet2!Q33</f>
        <v>0</v>
      </c>
      <c r="AR34" s="14">
        <f>[1]Sheet2!R33</f>
        <v>0</v>
      </c>
      <c r="AS34" s="14">
        <f>[1]Sheet2!S33</f>
        <v>0</v>
      </c>
      <c r="AT34" s="14">
        <f>[1]Sheet2!T33</f>
        <v>0</v>
      </c>
      <c r="AU34" s="14">
        <f>[1]Sheet2!U33</f>
        <v>0</v>
      </c>
      <c r="AV34" s="14">
        <f>[1]Sheet2!V33</f>
        <v>0</v>
      </c>
      <c r="AW34" s="14">
        <f>[1]Sheet2!W33</f>
        <v>0</v>
      </c>
      <c r="AX34" s="14">
        <f>[1]Sheet2!X33</f>
        <v>0</v>
      </c>
      <c r="AY34" s="14">
        <f>[1]Sheet2!Y33</f>
        <v>0</v>
      </c>
      <c r="AZ34" s="16">
        <f>Demand_LP!B$3/31</f>
        <v>503.00172404880072</v>
      </c>
      <c r="BA34" s="16">
        <f>Demand_LP!C$3/31</f>
        <v>792.35864350703059</v>
      </c>
      <c r="BB34" s="16">
        <f>Demand_LP!D$3/31</f>
        <v>231.20967741935488</v>
      </c>
      <c r="BC34" s="16">
        <f>Demand_LP!E$3/31</f>
        <v>696.53949545078569</v>
      </c>
      <c r="BD34" s="16">
        <f>Demand_LP!F$3/31</f>
        <v>482.27093930934655</v>
      </c>
      <c r="BE34" s="16">
        <f>Demand_LP!G$3/31</f>
        <v>451.61290322580646</v>
      </c>
      <c r="BF34" s="16">
        <f>Demand_LP!H$3/31</f>
        <v>774.19354838709683</v>
      </c>
      <c r="BG34" s="16">
        <f>Demand_LP!I$3/31</f>
        <v>451.61290322580646</v>
      </c>
      <c r="BH34" s="16">
        <f>Demand_LP!J$3/31</f>
        <v>387.09677419354841</v>
      </c>
      <c r="BI34" s="16">
        <f>Demand_LP!K$3/31</f>
        <v>419.35483870967744</v>
      </c>
      <c r="BJ34" s="16">
        <f t="shared" si="16"/>
        <v>-5593.05344551282</v>
      </c>
      <c r="BK34" s="16">
        <f t="shared" si="17"/>
        <v>-14563.11794871794</v>
      </c>
      <c r="BL34" s="16">
        <f t="shared" si="18"/>
        <v>2832.4999999999982</v>
      </c>
      <c r="BM34" s="16">
        <f t="shared" si="19"/>
        <v>-11592.724358974359</v>
      </c>
      <c r="BN34" s="16">
        <f t="shared" si="20"/>
        <v>-4950.3991185897403</v>
      </c>
      <c r="BO34" s="16">
        <f t="shared" si="21"/>
        <v>-4000.0000000000036</v>
      </c>
      <c r="BP34" s="16">
        <f t="shared" si="22"/>
        <v>-7999.9999999999964</v>
      </c>
      <c r="BQ34" s="16">
        <f t="shared" si="23"/>
        <v>-4000.0000000000036</v>
      </c>
      <c r="BR34" s="16">
        <f t="shared" si="24"/>
        <v>-2000.0000000000018</v>
      </c>
      <c r="BS34" s="16">
        <f t="shared" si="25"/>
        <v>-3000.0000000000005</v>
      </c>
      <c r="BT34" s="14">
        <f>IF([1]Sheet2!CB33=999999,"NA",[1]Sheet2!CB33)</f>
        <v>0</v>
      </c>
      <c r="BU34" s="14">
        <f>IF([1]Sheet2!CC33=999999,"NA",[1]Sheet2!CC33)</f>
        <v>0</v>
      </c>
      <c r="BV34" s="14">
        <f>IF([1]Sheet2!CD33=999999,"NA",[1]Sheet2!CD33)</f>
        <v>10</v>
      </c>
      <c r="BW34" s="14">
        <f>IF([1]Sheet2!CE33=999999,"NA",[1]Sheet2!CE33)</f>
        <v>0</v>
      </c>
      <c r="BX34" s="14">
        <f>IF([1]Sheet2!CF33=999999,"NA",[1]Sheet2!CF33)</f>
        <v>0</v>
      </c>
      <c r="BY34" s="14">
        <f>IF([1]Sheet2!CG33=999999,"NA",[1]Sheet2!CG33)</f>
        <v>0</v>
      </c>
      <c r="BZ34" s="14">
        <f>IF([1]Sheet2!CH33=999999,"NA",[1]Sheet2!CH33)</f>
        <v>0</v>
      </c>
      <c r="CA34" s="14">
        <f>IF([1]Sheet2!CI33=999999,"NA",[1]Sheet2!CI33)</f>
        <v>0</v>
      </c>
      <c r="CB34" s="14">
        <f>IF([1]Sheet2!CJ33=999999,"NA",[1]Sheet2!CJ33)</f>
        <v>0</v>
      </c>
      <c r="CC34" s="14">
        <f>IF([1]Sheet2!CK33=999999,"NA",[1]Sheet2!CK33)</f>
        <v>0</v>
      </c>
      <c r="CD34" s="14">
        <f>[1]Sheet2!BH33</f>
        <v>0</v>
      </c>
      <c r="CE34" s="14">
        <f>[1]Sheet2!BI33</f>
        <v>0</v>
      </c>
      <c r="CF34" s="14">
        <f>[1]Sheet2!BJ33</f>
        <v>0</v>
      </c>
      <c r="CG34" s="14">
        <f>[1]Sheet2!BK33</f>
        <v>0</v>
      </c>
      <c r="CH34" s="14">
        <f>[1]Sheet2!BL33</f>
        <v>0</v>
      </c>
      <c r="CI34" s="14">
        <f>[1]Sheet2!BM33</f>
        <v>0</v>
      </c>
      <c r="CJ34" s="14">
        <f>[1]Sheet2!BN33</f>
        <v>0</v>
      </c>
      <c r="CK34" s="14">
        <f>[1]Sheet2!BO33</f>
        <v>0</v>
      </c>
      <c r="CL34" s="14">
        <f>[1]Sheet2!BP33</f>
        <v>0</v>
      </c>
      <c r="CM34" s="14">
        <f>[1]Sheet2!BQ33</f>
        <v>0</v>
      </c>
      <c r="CN34" s="16">
        <f>Demand_SW!B$3/31</f>
        <v>139.57816377171216</v>
      </c>
      <c r="CO34" s="16">
        <f>Demand_SW!C$3/31</f>
        <v>0</v>
      </c>
      <c r="CP34" s="16">
        <f>Demand_SW!D$3/31</f>
        <v>0</v>
      </c>
      <c r="CQ34" s="16">
        <f>Demand_SW!E$3/31</f>
        <v>0</v>
      </c>
      <c r="CR34" s="16">
        <f>Demand_SW!F$3/31</f>
        <v>0</v>
      </c>
      <c r="CS34" s="16">
        <f>Demand_SW!G$3/31</f>
        <v>132.25806451612902</v>
      </c>
      <c r="CT34" s="16">
        <f>Demand_SW!H$3/31</f>
        <v>0</v>
      </c>
      <c r="CU34" s="16">
        <f>Demand_SW!I$3/31</f>
        <v>0</v>
      </c>
      <c r="CV34" s="16">
        <f>Demand_SW!J$3/31</f>
        <v>0</v>
      </c>
      <c r="CW34" s="16">
        <f>Demand_SW!K$3/31</f>
        <v>0</v>
      </c>
      <c r="CX34" s="16">
        <f t="shared" si="26"/>
        <v>673.07692307692344</v>
      </c>
      <c r="CY34" s="16">
        <f t="shared" si="27"/>
        <v>1000</v>
      </c>
      <c r="CZ34" s="16">
        <f t="shared" si="28"/>
        <v>0</v>
      </c>
      <c r="DA34" s="16">
        <f t="shared" si="29"/>
        <v>0</v>
      </c>
      <c r="DB34" s="16">
        <f t="shared" si="30"/>
        <v>0</v>
      </c>
      <c r="DC34" s="16">
        <f t="shared" si="31"/>
        <v>900.00000000000523</v>
      </c>
      <c r="DD34" s="16">
        <f t="shared" si="32"/>
        <v>1000</v>
      </c>
      <c r="DE34" s="16">
        <f t="shared" si="33"/>
        <v>0</v>
      </c>
      <c r="DF34" s="16">
        <f t="shared" si="34"/>
        <v>0</v>
      </c>
      <c r="DG34" s="16">
        <f t="shared" si="35"/>
        <v>0</v>
      </c>
      <c r="DH34" s="14">
        <f>IF([1]Sheet2!DS33=999999,"NA",[1]Sheet2!DS33)</f>
        <v>7</v>
      </c>
      <c r="DI34" s="14">
        <f>IF([1]Sheet2!DT33=999999,"NA",[1]Sheet2!DT33)</f>
        <v>334</v>
      </c>
      <c r="DJ34" s="14" t="str">
        <f>IF([1]Sheet2!DU33=999999,"NA",[1]Sheet2!DU33)</f>
        <v>NA</v>
      </c>
      <c r="DK34" s="14" t="str">
        <f>IF([1]Sheet2!DV33=999999,"NA",[1]Sheet2!DV33)</f>
        <v>NA</v>
      </c>
      <c r="DL34" s="14" t="str">
        <f>IF([1]Sheet2!DW33=999999,"NA",[1]Sheet2!DW33)</f>
        <v>NA</v>
      </c>
      <c r="DM34" s="14">
        <f>IF([1]Sheet2!DX33=999999,"NA",[1]Sheet2!DX33)</f>
        <v>10</v>
      </c>
      <c r="DN34" s="14">
        <f>IF([1]Sheet2!DY33=999999,"NA",[1]Sheet2!DY33)</f>
        <v>334</v>
      </c>
      <c r="DO34" s="14" t="str">
        <f>IF([1]Sheet2!DZ33=999999,"NA",[1]Sheet2!DZ33)</f>
        <v>NA</v>
      </c>
      <c r="DP34" s="14" t="str">
        <f>IF([1]Sheet2!EA33=999999,"NA",[1]Sheet2!EA33)</f>
        <v>NA</v>
      </c>
      <c r="DQ34" s="14" t="str">
        <f>IF([1]Sheet2!EB33=999999,"NA",[1]Sheet2!EB33)</f>
        <v>NA</v>
      </c>
      <c r="DR34" s="14">
        <f>[1]Sheet2!CY33</f>
        <v>0</v>
      </c>
      <c r="DS34" s="14">
        <f>[1]Sheet2!CZ33</f>
        <v>0</v>
      </c>
      <c r="DT34" s="14">
        <f>[1]Sheet2!DA33</f>
        <v>0</v>
      </c>
      <c r="DU34" s="14">
        <f>[1]Sheet2!DB33</f>
        <v>0</v>
      </c>
      <c r="DV34" s="14">
        <f>[1]Sheet2!DC33</f>
        <v>0</v>
      </c>
      <c r="DW34" s="14">
        <f>[1]Sheet2!DD33</f>
        <v>0</v>
      </c>
      <c r="DX34" s="14">
        <f>[1]Sheet2!DE33</f>
        <v>0</v>
      </c>
      <c r="DY34" s="14">
        <f>[1]Sheet2!DF33</f>
        <v>0</v>
      </c>
      <c r="DZ34" s="14">
        <f>[1]Sheet2!DG33</f>
        <v>0</v>
      </c>
      <c r="EA34" s="14">
        <f>[1]Sheet2!DH33</f>
        <v>0</v>
      </c>
      <c r="EB34" s="6">
        <f>[1]Sheet2!EC33</f>
        <v>0</v>
      </c>
      <c r="EC34" s="6">
        <f>[1]Sheet2!ED33</f>
        <v>0</v>
      </c>
      <c r="ED34" s="6">
        <f>[1]Sheet2!EE33</f>
        <v>0</v>
      </c>
      <c r="EE34" s="6">
        <f>[1]Sheet2!EF33</f>
        <v>0</v>
      </c>
      <c r="EF34" s="6">
        <f>[1]Sheet2!EG33</f>
        <v>0</v>
      </c>
      <c r="EG34" s="6">
        <f>[1]Sheet2!EH33</f>
        <v>0</v>
      </c>
      <c r="EH34" s="6">
        <f>[1]Sheet2!EI33</f>
        <v>0</v>
      </c>
      <c r="EI34" s="6">
        <f>[1]Sheet2!EJ33</f>
        <v>0</v>
      </c>
      <c r="EJ34" s="6">
        <f>[1]Sheet2!EK33</f>
        <v>0</v>
      </c>
      <c r="EK34" s="6">
        <f>[1]Sheet2!EL33</f>
        <v>0</v>
      </c>
      <c r="EL34" s="6" t="str">
        <f>[1]Sheet2!EM33</f>
        <v/>
      </c>
      <c r="EM34" s="6" t="str">
        <f>[1]Sheet2!EN33</f>
        <v/>
      </c>
      <c r="EN34" s="6" t="str">
        <f>[1]Sheet2!EO33</f>
        <v/>
      </c>
      <c r="EO34" s="6" t="str">
        <f>[1]Sheet2!EP33</f>
        <v/>
      </c>
      <c r="EP34" s="6" t="str">
        <f>[1]Sheet2!EQ33</f>
        <v/>
      </c>
      <c r="EQ34" s="6" t="str">
        <f>[1]Sheet2!ER33</f>
        <v/>
      </c>
      <c r="ER34" s="6" t="str">
        <f>[1]Sheet2!ES33</f>
        <v/>
      </c>
      <c r="ES34" s="6" t="str">
        <f>[1]Sheet2!ET33</f>
        <v/>
      </c>
      <c r="ET34" s="6" t="str">
        <f>[1]Sheet2!EU33</f>
        <v/>
      </c>
      <c r="EU34" s="6" t="str">
        <f>[1]Sheet2!EV33</f>
        <v/>
      </c>
      <c r="EV34" s="6" t="str">
        <f>[1]Sheet2!EW33</f>
        <v/>
      </c>
      <c r="EW34" s="6" t="str">
        <f>[1]Sheet2!EX33</f>
        <v/>
      </c>
      <c r="EX34" s="6" t="str">
        <f>[1]Sheet2!EY33</f>
        <v/>
      </c>
      <c r="EY34" s="6" t="str">
        <f>[1]Sheet2!EZ33</f>
        <v/>
      </c>
      <c r="EZ34" s="6" t="str">
        <f>[1]Sheet2!FA33</f>
        <v/>
      </c>
      <c r="FA34" s="6" t="str">
        <f>[1]Sheet2!FB33</f>
        <v/>
      </c>
      <c r="FB34" s="6" t="str">
        <f>[1]Sheet2!FC33</f>
        <v/>
      </c>
      <c r="FC34" s="6" t="str">
        <f>[1]Sheet2!FD33</f>
        <v/>
      </c>
      <c r="FD34" s="6" t="str">
        <f>[1]Sheet2!FE33</f>
        <v/>
      </c>
      <c r="FE34" s="6" t="str">
        <f>[1]Sheet2!FF33</f>
        <v/>
      </c>
      <c r="FF34" s="6" t="str">
        <f>[1]Sheet2!FG33</f>
        <v/>
      </c>
      <c r="FG34" s="6" t="str">
        <f>[1]Sheet2!FH33</f>
        <v/>
      </c>
      <c r="FH34" s="6" t="str">
        <f>[1]Sheet2!FI33</f>
        <v/>
      </c>
      <c r="FI34" s="6" t="str">
        <f>[1]Sheet2!FJ33</f>
        <v/>
      </c>
      <c r="FJ34" s="6" t="str">
        <f>[1]Sheet2!FK33</f>
        <v/>
      </c>
      <c r="FK34" s="6" t="str">
        <f>[1]Sheet2!FL33</f>
        <v/>
      </c>
      <c r="FL34" s="6" t="str">
        <f>[1]Sheet2!FM33</f>
        <v/>
      </c>
      <c r="FM34" s="6" t="str">
        <f>[1]Sheet2!FN33</f>
        <v/>
      </c>
      <c r="FN34" s="6" t="str">
        <f>[1]Sheet2!FO33</f>
        <v/>
      </c>
      <c r="FO34" s="6" t="str">
        <f>[1]Sheet2!FP33</f>
        <v/>
      </c>
    </row>
    <row r="35" spans="1:171" x14ac:dyDescent="0.25">
      <c r="A35" s="15">
        <v>43497</v>
      </c>
      <c r="B35" s="1"/>
      <c r="C35" s="1"/>
      <c r="D35" s="1"/>
      <c r="E35" s="14">
        <f>[1]Sheet2!N34</f>
        <v>0</v>
      </c>
      <c r="F35" s="14">
        <f>[1]Sheet2!BE34</f>
        <v>0</v>
      </c>
      <c r="G35" s="14">
        <f>[1]Sheet2!CW34</f>
        <v>0</v>
      </c>
      <c r="H35" s="1"/>
      <c r="I35" s="1"/>
      <c r="J35" s="1"/>
      <c r="K35" s="16"/>
      <c r="L35" s="16">
        <f>Demand_CWRS!B$4/28</f>
        <v>131.68146963713369</v>
      </c>
      <c r="M35" s="16">
        <f>Demand_CWRS!C$4/28</f>
        <v>501.27216117216119</v>
      </c>
      <c r="N35" s="16">
        <f>Demand_CWRS!D$4/28</f>
        <v>0</v>
      </c>
      <c r="O35" s="16">
        <f>Demand_CWRS!E$4/28</f>
        <v>130.17472527472526</v>
      </c>
      <c r="P35" s="16">
        <f>Demand_CWRS!F$4/28</f>
        <v>262.94741300366297</v>
      </c>
      <c r="Q35" s="16">
        <f>Demand_CWRS!G$4/28</f>
        <v>127.85714285714286</v>
      </c>
      <c r="R35" s="16">
        <f>Demand_CWRS!H$4/28</f>
        <v>207.14285714285714</v>
      </c>
      <c r="S35" s="16">
        <f>Demand_CWRS!I$4/28</f>
        <v>214.28571428571428</v>
      </c>
      <c r="T35" s="16">
        <f>Demand_CWRS!J$4/28</f>
        <v>207.14285714285714</v>
      </c>
      <c r="U35" s="16">
        <f>Demand_CWRS!K$4/28</f>
        <v>221.42857142857142</v>
      </c>
      <c r="V35" s="16">
        <f t="shared" si="6"/>
        <v>-2841.5441298935425</v>
      </c>
      <c r="W35" s="16">
        <f t="shared" si="7"/>
        <v>-2994.2824175824189</v>
      </c>
      <c r="X35" s="16">
        <f t="shared" si="8"/>
        <v>0</v>
      </c>
      <c r="Y35" s="16">
        <f t="shared" si="9"/>
        <v>5804.7932234432365</v>
      </c>
      <c r="Z35" s="16">
        <f t="shared" si="10"/>
        <v>-1412.3864354395591</v>
      </c>
      <c r="AA35" s="16">
        <f t="shared" si="11"/>
        <v>-1727.8571428571458</v>
      </c>
      <c r="AB35" s="16">
        <f t="shared" si="12"/>
        <v>-7400.1531135531141</v>
      </c>
      <c r="AC35" s="16">
        <f t="shared" si="13"/>
        <v>-1414.2857142857142</v>
      </c>
      <c r="AD35" s="16">
        <f t="shared" si="14"/>
        <v>-1707.1428571428573</v>
      </c>
      <c r="AE35" s="16">
        <f t="shared" si="15"/>
        <v>-1921.4285714285691</v>
      </c>
      <c r="AF35" s="14">
        <f>IF([1]Sheet2!AJ34=999999,"NA",[1]Sheet2!AJ34)</f>
        <v>0</v>
      </c>
      <c r="AG35" s="14">
        <f>IF([1]Sheet2!AK34=999999,"NA",[1]Sheet2!AK34)</f>
        <v>0</v>
      </c>
      <c r="AH35" s="14" t="str">
        <f>IF([1]Sheet2!AL34=999999,"NA",[1]Sheet2!AL34)</f>
        <v>NA</v>
      </c>
      <c r="AI35" s="14">
        <f>IF([1]Sheet2!AM34=999999,"NA",[1]Sheet2!AM34)</f>
        <v>45</v>
      </c>
      <c r="AJ35" s="14">
        <f>IF([1]Sheet2!AN34=999999,"NA",[1]Sheet2!AN34)</f>
        <v>0</v>
      </c>
      <c r="AK35" s="14">
        <f>IF([1]Sheet2!AO34=999999,"NA",[1]Sheet2!AO34)</f>
        <v>0</v>
      </c>
      <c r="AL35" s="14">
        <f>IF([1]Sheet2!AP34=999999,"NA",[1]Sheet2!AP34)</f>
        <v>0</v>
      </c>
      <c r="AM35" s="14">
        <f>IF([1]Sheet2!AQ34=999999,"NA",[1]Sheet2!AQ34)</f>
        <v>0</v>
      </c>
      <c r="AN35" s="14">
        <f>IF([1]Sheet2!AR34=999999,"NA",[1]Sheet2!AR34)</f>
        <v>0</v>
      </c>
      <c r="AO35" s="14">
        <f>IF([1]Sheet2!AS34=999999,"NA",[1]Sheet2!AS34)</f>
        <v>0</v>
      </c>
      <c r="AP35" s="14">
        <f>[1]Sheet2!P34</f>
        <v>0</v>
      </c>
      <c r="AQ35" s="14">
        <f>[1]Sheet2!Q34</f>
        <v>0</v>
      </c>
      <c r="AR35" s="14">
        <f>[1]Sheet2!R34</f>
        <v>0</v>
      </c>
      <c r="AS35" s="14">
        <f>[1]Sheet2!S34</f>
        <v>0</v>
      </c>
      <c r="AT35" s="14">
        <f>[1]Sheet2!T34</f>
        <v>0</v>
      </c>
      <c r="AU35" s="14">
        <f>[1]Sheet2!U34</f>
        <v>0</v>
      </c>
      <c r="AV35" s="14">
        <f>[1]Sheet2!V34</f>
        <v>0</v>
      </c>
      <c r="AW35" s="14">
        <f>[1]Sheet2!W34</f>
        <v>0</v>
      </c>
      <c r="AX35" s="25">
        <f>[1]Sheet2!X34</f>
        <v>0</v>
      </c>
      <c r="AY35" s="14">
        <f>[1]Sheet2!Y34</f>
        <v>0</v>
      </c>
      <c r="AZ35" s="16">
        <f>Demand_LP!B$4/28</f>
        <v>811.09813487293957</v>
      </c>
      <c r="BA35" s="16">
        <f>Demand_LP!C$4/28</f>
        <v>502.83223443223443</v>
      </c>
      <c r="BB35" s="16">
        <f>Demand_LP!D$4/28</f>
        <v>282.53663003663002</v>
      </c>
      <c r="BC35" s="16">
        <f>Demand_LP!E$4/28</f>
        <v>759.73919413919407</v>
      </c>
      <c r="BD35" s="16">
        <f>Demand_LP!F$4/28</f>
        <v>495.28213999542123</v>
      </c>
      <c r="BE35" s="16">
        <f>Demand_LP!G$4/28</f>
        <v>496.42857142857144</v>
      </c>
      <c r="BF35" s="16">
        <f>Demand_LP!H$4/28</f>
        <v>535.71428571428567</v>
      </c>
      <c r="BG35" s="16">
        <f>Demand_LP!I$4/28</f>
        <v>496.42857142857144</v>
      </c>
      <c r="BH35" s="16">
        <f>Demand_LP!J$4/28</f>
        <v>482.14285714285717</v>
      </c>
      <c r="BI35" s="16">
        <f>Demand_LP!K$4/28</f>
        <v>471.42857142857144</v>
      </c>
      <c r="BJ35" s="16">
        <f t="shared" si="16"/>
        <v>-6404.1515803857592</v>
      </c>
      <c r="BK35" s="16">
        <f t="shared" si="17"/>
        <v>-15065.950183150175</v>
      </c>
      <c r="BL35" s="16">
        <f t="shared" si="18"/>
        <v>2549.9633699633682</v>
      </c>
      <c r="BM35" s="16">
        <f t="shared" si="19"/>
        <v>-12352.463553113554</v>
      </c>
      <c r="BN35" s="16">
        <f t="shared" si="20"/>
        <v>-5445.6812585851612</v>
      </c>
      <c r="BO35" s="16">
        <f t="shared" si="21"/>
        <v>-4496.4285714285752</v>
      </c>
      <c r="BP35" s="16">
        <f t="shared" si="22"/>
        <v>-8535.7142857142826</v>
      </c>
      <c r="BQ35" s="16">
        <f t="shared" si="23"/>
        <v>-4496.4285714285752</v>
      </c>
      <c r="BR35" s="16">
        <f t="shared" si="24"/>
        <v>-2482.1428571428592</v>
      </c>
      <c r="BS35" s="16">
        <f t="shared" si="25"/>
        <v>-3471.428571428572</v>
      </c>
      <c r="BT35" s="14">
        <f>IF([1]Sheet2!CB34=999999,"NA",[1]Sheet2!CB34)</f>
        <v>0</v>
      </c>
      <c r="BU35" s="14">
        <f>IF([1]Sheet2!CC34=999999,"NA",[1]Sheet2!CC34)</f>
        <v>0</v>
      </c>
      <c r="BV35" s="14">
        <f>IF([1]Sheet2!CD34=999999,"NA",[1]Sheet2!CD34)</f>
        <v>9</v>
      </c>
      <c r="BW35" s="14">
        <f>IF([1]Sheet2!CE34=999999,"NA",[1]Sheet2!CE34)</f>
        <v>0</v>
      </c>
      <c r="BX35" s="14">
        <f>IF([1]Sheet2!CF34=999999,"NA",[1]Sheet2!CF34)</f>
        <v>0</v>
      </c>
      <c r="BY35" s="14">
        <f>IF([1]Sheet2!CG34=999999,"NA",[1]Sheet2!CG34)</f>
        <v>0</v>
      </c>
      <c r="BZ35" s="14">
        <f>IF([1]Sheet2!CH34=999999,"NA",[1]Sheet2!CH34)</f>
        <v>0</v>
      </c>
      <c r="CA35" s="14">
        <f>IF([1]Sheet2!CI34=999999,"NA",[1]Sheet2!CI34)</f>
        <v>0</v>
      </c>
      <c r="CB35" s="14">
        <f>IF([1]Sheet2!CJ34=999999,"NA",[1]Sheet2!CJ34)</f>
        <v>0</v>
      </c>
      <c r="CC35" s="14">
        <f>IF([1]Sheet2!CK34=999999,"NA",[1]Sheet2!CK34)</f>
        <v>0</v>
      </c>
      <c r="CD35" s="14">
        <f>[1]Sheet2!BH34</f>
        <v>0</v>
      </c>
      <c r="CE35" s="14">
        <f>[1]Sheet2!BI34</f>
        <v>0</v>
      </c>
      <c r="CF35" s="14">
        <f>[1]Sheet2!BJ34</f>
        <v>0</v>
      </c>
      <c r="CG35" s="14">
        <f>[1]Sheet2!BK34</f>
        <v>0</v>
      </c>
      <c r="CH35" s="14">
        <f>[1]Sheet2!BL34</f>
        <v>0</v>
      </c>
      <c r="CI35" s="14">
        <f>[1]Sheet2!BM34</f>
        <v>0</v>
      </c>
      <c r="CJ35" s="14">
        <f>[1]Sheet2!BN34</f>
        <v>0</v>
      </c>
      <c r="CK35" s="14">
        <f>[1]Sheet2!BO34</f>
        <v>0</v>
      </c>
      <c r="CL35" s="14">
        <f>[1]Sheet2!BP34</f>
        <v>0</v>
      </c>
      <c r="CM35" s="14">
        <f>[1]Sheet2!BQ34</f>
        <v>0</v>
      </c>
      <c r="CN35" s="16">
        <f>Demand_SW!B$4/28</f>
        <v>94.69780219780219</v>
      </c>
      <c r="CO35" s="16">
        <f>Demand_SW!C$4/28</f>
        <v>0</v>
      </c>
      <c r="CP35" s="16">
        <f>Demand_SW!D$4/28</f>
        <v>0</v>
      </c>
      <c r="CQ35" s="16">
        <f>Demand_SW!E$4/28</f>
        <v>0</v>
      </c>
      <c r="CR35" s="16">
        <f>Demand_SW!F$4/28</f>
        <v>0</v>
      </c>
      <c r="CS35" s="16">
        <f>Demand_SW!G$4/28</f>
        <v>85.714285714285708</v>
      </c>
      <c r="CT35" s="16">
        <f>Demand_SW!H$4/28</f>
        <v>0</v>
      </c>
      <c r="CU35" s="16">
        <f>Demand_SW!I$4/28</f>
        <v>0</v>
      </c>
      <c r="CV35" s="16">
        <f>Demand_SW!J$4/28</f>
        <v>0</v>
      </c>
      <c r="CW35" s="16">
        <f>Demand_SW!K$4/28</f>
        <v>0</v>
      </c>
      <c r="CX35" s="16">
        <f t="shared" si="26"/>
        <v>578.37912087912127</v>
      </c>
      <c r="CY35" s="16">
        <f t="shared" si="27"/>
        <v>1000</v>
      </c>
      <c r="CZ35" s="16">
        <f t="shared" si="28"/>
        <v>0</v>
      </c>
      <c r="DA35" s="16">
        <f t="shared" si="29"/>
        <v>0</v>
      </c>
      <c r="DB35" s="16">
        <f t="shared" si="30"/>
        <v>0</v>
      </c>
      <c r="DC35" s="16">
        <f t="shared" si="31"/>
        <v>814.28571428571956</v>
      </c>
      <c r="DD35" s="16">
        <f t="shared" si="32"/>
        <v>1000</v>
      </c>
      <c r="DE35" s="16">
        <f t="shared" si="33"/>
        <v>0</v>
      </c>
      <c r="DF35" s="16">
        <f t="shared" si="34"/>
        <v>0</v>
      </c>
      <c r="DG35" s="16">
        <f t="shared" si="35"/>
        <v>0</v>
      </c>
      <c r="DH35" s="14">
        <f>IF([1]Sheet2!DS34=999999,"NA",[1]Sheet2!DS34)</f>
        <v>6</v>
      </c>
      <c r="DI35" s="14">
        <f>IF([1]Sheet2!DT34=999999,"NA",[1]Sheet2!DT34)</f>
        <v>333</v>
      </c>
      <c r="DJ35" s="14" t="str">
        <f>IF([1]Sheet2!DU34=999999,"NA",[1]Sheet2!DU34)</f>
        <v>NA</v>
      </c>
      <c r="DK35" s="14" t="str">
        <f>IF([1]Sheet2!DV34=999999,"NA",[1]Sheet2!DV34)</f>
        <v>NA</v>
      </c>
      <c r="DL35" s="14" t="str">
        <f>IF([1]Sheet2!DW34=999999,"NA",[1]Sheet2!DW34)</f>
        <v>NA</v>
      </c>
      <c r="DM35" s="14">
        <f>IF([1]Sheet2!DX34=999999,"NA",[1]Sheet2!DX34)</f>
        <v>9</v>
      </c>
      <c r="DN35" s="14">
        <f>IF([1]Sheet2!DY34=999999,"NA",[1]Sheet2!DY34)</f>
        <v>333</v>
      </c>
      <c r="DO35" s="14" t="str">
        <f>IF([1]Sheet2!DZ34=999999,"NA",[1]Sheet2!DZ34)</f>
        <v>NA</v>
      </c>
      <c r="DP35" s="14" t="str">
        <f>IF([1]Sheet2!EA34=999999,"NA",[1]Sheet2!EA34)</f>
        <v>NA</v>
      </c>
      <c r="DQ35" s="14" t="str">
        <f>IF([1]Sheet2!EB34=999999,"NA",[1]Sheet2!EB34)</f>
        <v>NA</v>
      </c>
      <c r="DR35" s="14">
        <f>[1]Sheet2!CY34</f>
        <v>0</v>
      </c>
      <c r="DS35" s="14">
        <f>[1]Sheet2!CZ34</f>
        <v>0</v>
      </c>
      <c r="DT35" s="14">
        <f>[1]Sheet2!DA34</f>
        <v>0</v>
      </c>
      <c r="DU35" s="14">
        <f>[1]Sheet2!DB34</f>
        <v>0</v>
      </c>
      <c r="DV35" s="14">
        <f>[1]Sheet2!DC34</f>
        <v>0</v>
      </c>
      <c r="DW35" s="14">
        <f>[1]Sheet2!DD34</f>
        <v>0</v>
      </c>
      <c r="DX35" s="14">
        <f>[1]Sheet2!DE34</f>
        <v>0</v>
      </c>
      <c r="DY35" s="14">
        <f>[1]Sheet2!DF34</f>
        <v>0</v>
      </c>
      <c r="DZ35" s="14">
        <f>[1]Sheet2!DG34</f>
        <v>0</v>
      </c>
      <c r="EA35" s="14">
        <f>[1]Sheet2!DH34</f>
        <v>0</v>
      </c>
      <c r="EB35" s="6">
        <f>[1]Sheet2!EC34</f>
        <v>0</v>
      </c>
      <c r="EC35" s="6">
        <f>[1]Sheet2!ED34</f>
        <v>0</v>
      </c>
      <c r="ED35" s="6">
        <f>[1]Sheet2!EE34</f>
        <v>0</v>
      </c>
      <c r="EE35" s="6">
        <f>[1]Sheet2!EF34</f>
        <v>0</v>
      </c>
      <c r="EF35" s="6">
        <f>[1]Sheet2!EG34</f>
        <v>0</v>
      </c>
      <c r="EG35" s="6">
        <f>[1]Sheet2!EH34</f>
        <v>0</v>
      </c>
      <c r="EH35" s="6">
        <f>[1]Sheet2!EI34</f>
        <v>0</v>
      </c>
      <c r="EI35" s="6">
        <f>[1]Sheet2!EJ34</f>
        <v>0</v>
      </c>
      <c r="EJ35" s="6">
        <f>[1]Sheet2!EK34</f>
        <v>0</v>
      </c>
      <c r="EK35" s="6">
        <f>[1]Sheet2!EL34</f>
        <v>0</v>
      </c>
      <c r="EL35" s="6" t="str">
        <f>[1]Sheet2!EM34</f>
        <v/>
      </c>
      <c r="EM35" s="6" t="str">
        <f>[1]Sheet2!EN34</f>
        <v/>
      </c>
      <c r="EN35" s="6" t="str">
        <f>[1]Sheet2!EO34</f>
        <v/>
      </c>
      <c r="EO35" s="6" t="str">
        <f>[1]Sheet2!EP34</f>
        <v/>
      </c>
      <c r="EP35" s="6" t="str">
        <f>[1]Sheet2!EQ34</f>
        <v/>
      </c>
      <c r="EQ35" s="6" t="str">
        <f>[1]Sheet2!ER34</f>
        <v/>
      </c>
      <c r="ER35" s="6" t="str">
        <f>[1]Sheet2!ES34</f>
        <v/>
      </c>
      <c r="ES35" s="6" t="str">
        <f>[1]Sheet2!ET34</f>
        <v/>
      </c>
      <c r="ET35" s="6" t="str">
        <f>[1]Sheet2!EU34</f>
        <v/>
      </c>
      <c r="EU35" s="6" t="str">
        <f>[1]Sheet2!EV34</f>
        <v/>
      </c>
      <c r="EV35" s="6" t="str">
        <f>[1]Sheet2!EW34</f>
        <v/>
      </c>
      <c r="EW35" s="6" t="str">
        <f>[1]Sheet2!EX34</f>
        <v/>
      </c>
      <c r="EX35" s="6" t="str">
        <f>[1]Sheet2!EY34</f>
        <v/>
      </c>
      <c r="EY35" s="6" t="str">
        <f>[1]Sheet2!EZ34</f>
        <v/>
      </c>
      <c r="EZ35" s="6" t="str">
        <f>[1]Sheet2!FA34</f>
        <v/>
      </c>
      <c r="FA35" s="6" t="str">
        <f>[1]Sheet2!FB34</f>
        <v/>
      </c>
      <c r="FB35" s="6" t="str">
        <f>[1]Sheet2!FC34</f>
        <v/>
      </c>
      <c r="FC35" s="6" t="str">
        <f>[1]Sheet2!FD34</f>
        <v/>
      </c>
      <c r="FD35" s="6" t="str">
        <f>[1]Sheet2!FE34</f>
        <v/>
      </c>
      <c r="FE35" s="6" t="str">
        <f>[1]Sheet2!FF34</f>
        <v/>
      </c>
      <c r="FF35" s="6" t="str">
        <f>[1]Sheet2!FG34</f>
        <v/>
      </c>
      <c r="FG35" s="6" t="str">
        <f>[1]Sheet2!FH34</f>
        <v/>
      </c>
      <c r="FH35" s="6" t="str">
        <f>[1]Sheet2!FI34</f>
        <v/>
      </c>
      <c r="FI35" s="6" t="str">
        <f>[1]Sheet2!FJ34</f>
        <v/>
      </c>
      <c r="FJ35" s="6" t="str">
        <f>[1]Sheet2!FK34</f>
        <v/>
      </c>
      <c r="FK35" s="6" t="str">
        <f>[1]Sheet2!FL34</f>
        <v/>
      </c>
      <c r="FL35" s="6" t="str">
        <f>[1]Sheet2!FM34</f>
        <v/>
      </c>
      <c r="FM35" s="6" t="str">
        <f>[1]Sheet2!FN34</f>
        <v/>
      </c>
      <c r="FN35" s="6" t="str">
        <f>[1]Sheet2!FO34</f>
        <v/>
      </c>
      <c r="FO35" s="6" t="str">
        <f>[1]Sheet2!FP34</f>
        <v/>
      </c>
    </row>
    <row r="36" spans="1:171" x14ac:dyDescent="0.25">
      <c r="A36" s="15">
        <v>43498</v>
      </c>
      <c r="B36" s="1"/>
      <c r="C36" s="1"/>
      <c r="D36" s="1"/>
      <c r="E36" s="14">
        <f>[1]Sheet2!N35</f>
        <v>0</v>
      </c>
      <c r="F36" s="14">
        <f>[1]Sheet2!BE35</f>
        <v>0</v>
      </c>
      <c r="G36" s="14">
        <f>[1]Sheet2!CW35</f>
        <v>0</v>
      </c>
      <c r="H36" s="1"/>
      <c r="I36" s="1"/>
      <c r="J36" s="1"/>
      <c r="K36" s="16"/>
      <c r="L36" s="16">
        <f>Demand_CWRS!B$4/28</f>
        <v>131.68146963713369</v>
      </c>
      <c r="M36" s="16">
        <f>Demand_CWRS!C$4/28</f>
        <v>501.27216117216119</v>
      </c>
      <c r="N36" s="16">
        <f>Demand_CWRS!D$4/28</f>
        <v>0</v>
      </c>
      <c r="O36" s="16">
        <f>Demand_CWRS!E$4/28</f>
        <v>130.17472527472526</v>
      </c>
      <c r="P36" s="16">
        <f>Demand_CWRS!F$4/28</f>
        <v>262.94741300366297</v>
      </c>
      <c r="Q36" s="16">
        <f>Demand_CWRS!G$4/28</f>
        <v>127.85714285714286</v>
      </c>
      <c r="R36" s="16">
        <f>Demand_CWRS!H$4/28</f>
        <v>207.14285714285714</v>
      </c>
      <c r="S36" s="16">
        <f>Demand_CWRS!I$4/28</f>
        <v>214.28571428571428</v>
      </c>
      <c r="T36" s="16">
        <f>Demand_CWRS!J$4/28</f>
        <v>207.14285714285714</v>
      </c>
      <c r="U36" s="16">
        <f>Demand_CWRS!K$4/28</f>
        <v>221.42857142857142</v>
      </c>
      <c r="V36" s="16">
        <f t="shared" si="6"/>
        <v>-2973.2255995306764</v>
      </c>
      <c r="W36" s="16">
        <f t="shared" si="7"/>
        <v>-3495.5545787545802</v>
      </c>
      <c r="X36" s="16">
        <f t="shared" si="8"/>
        <v>0</v>
      </c>
      <c r="Y36" s="16">
        <f t="shared" si="9"/>
        <v>5674.618498168511</v>
      </c>
      <c r="Z36" s="16">
        <f t="shared" si="10"/>
        <v>-1675.333848443222</v>
      </c>
      <c r="AA36" s="16">
        <f t="shared" si="11"/>
        <v>-1855.7142857142887</v>
      </c>
      <c r="AB36" s="16">
        <f t="shared" si="12"/>
        <v>-7607.2959706959709</v>
      </c>
      <c r="AC36" s="16">
        <f t="shared" si="13"/>
        <v>-1628.5714285714284</v>
      </c>
      <c r="AD36" s="16">
        <f t="shared" si="14"/>
        <v>-1914.2857142857144</v>
      </c>
      <c r="AE36" s="16">
        <f t="shared" si="15"/>
        <v>-2142.8571428571404</v>
      </c>
      <c r="AF36" s="14">
        <f>IF([1]Sheet2!AJ35=999999,"NA",[1]Sheet2!AJ35)</f>
        <v>0</v>
      </c>
      <c r="AG36" s="14">
        <f>IF([1]Sheet2!AK35=999999,"NA",[1]Sheet2!AK35)</f>
        <v>0</v>
      </c>
      <c r="AH36" s="14" t="str">
        <f>IF([1]Sheet2!AL35=999999,"NA",[1]Sheet2!AL35)</f>
        <v>NA</v>
      </c>
      <c r="AI36" s="14">
        <f>IF([1]Sheet2!AM35=999999,"NA",[1]Sheet2!AM35)</f>
        <v>44</v>
      </c>
      <c r="AJ36" s="14">
        <f>IF([1]Sheet2!AN35=999999,"NA",[1]Sheet2!AN35)</f>
        <v>0</v>
      </c>
      <c r="AK36" s="14">
        <f>IF([1]Sheet2!AO35=999999,"NA",[1]Sheet2!AO35)</f>
        <v>0</v>
      </c>
      <c r="AL36" s="14">
        <f>IF([1]Sheet2!AP35=999999,"NA",[1]Sheet2!AP35)</f>
        <v>0</v>
      </c>
      <c r="AM36" s="14">
        <f>IF([1]Sheet2!AQ35=999999,"NA",[1]Sheet2!AQ35)</f>
        <v>0</v>
      </c>
      <c r="AN36" s="14">
        <f>IF([1]Sheet2!AR35=999999,"NA",[1]Sheet2!AR35)</f>
        <v>0</v>
      </c>
      <c r="AO36" s="14">
        <f>IF([1]Sheet2!AS35=999999,"NA",[1]Sheet2!AS35)</f>
        <v>0</v>
      </c>
      <c r="AP36" s="14">
        <f>[1]Sheet2!P35</f>
        <v>0</v>
      </c>
      <c r="AQ36" s="14">
        <f>[1]Sheet2!Q35</f>
        <v>0</v>
      </c>
      <c r="AR36" s="14">
        <f>[1]Sheet2!R35</f>
        <v>0</v>
      </c>
      <c r="AS36" s="14">
        <f>[1]Sheet2!S35</f>
        <v>0</v>
      </c>
      <c r="AT36" s="14">
        <f>[1]Sheet2!T35</f>
        <v>0</v>
      </c>
      <c r="AU36" s="14">
        <f>[1]Sheet2!U35</f>
        <v>0</v>
      </c>
      <c r="AV36" s="14">
        <f>[1]Sheet2!V35</f>
        <v>0</v>
      </c>
      <c r="AW36" s="14">
        <f>[1]Sheet2!W35</f>
        <v>0</v>
      </c>
      <c r="AX36" s="20">
        <f>[1]Sheet2!X35</f>
        <v>0</v>
      </c>
      <c r="AY36" s="25">
        <f>[1]Sheet2!Y35</f>
        <v>0</v>
      </c>
      <c r="AZ36" s="16">
        <f>Demand_LP!B$4/28</f>
        <v>811.09813487293957</v>
      </c>
      <c r="BA36" s="16">
        <f>Demand_LP!C$4/28</f>
        <v>502.83223443223443</v>
      </c>
      <c r="BB36" s="16">
        <f>Demand_LP!D$4/28</f>
        <v>282.53663003663002</v>
      </c>
      <c r="BC36" s="16">
        <f>Demand_LP!E$4/28</f>
        <v>759.73919413919407</v>
      </c>
      <c r="BD36" s="16">
        <f>Demand_LP!F$4/28</f>
        <v>495.28213999542123</v>
      </c>
      <c r="BE36" s="16">
        <f>Demand_LP!G$4/28</f>
        <v>496.42857142857144</v>
      </c>
      <c r="BF36" s="16">
        <f>Demand_LP!H$4/28</f>
        <v>535.71428571428567</v>
      </c>
      <c r="BG36" s="16">
        <f>Demand_LP!I$4/28</f>
        <v>496.42857142857144</v>
      </c>
      <c r="BH36" s="16">
        <f>Demand_LP!J$4/28</f>
        <v>482.14285714285717</v>
      </c>
      <c r="BI36" s="16">
        <f>Demand_LP!K$4/28</f>
        <v>471.42857142857144</v>
      </c>
      <c r="BJ36" s="16">
        <f t="shared" si="16"/>
        <v>-7215.2497152586984</v>
      </c>
      <c r="BK36" s="16">
        <f t="shared" si="17"/>
        <v>-15568.78241758241</v>
      </c>
      <c r="BL36" s="16">
        <f t="shared" si="18"/>
        <v>2267.4267399267383</v>
      </c>
      <c r="BM36" s="16">
        <f t="shared" si="19"/>
        <v>-13112.202747252748</v>
      </c>
      <c r="BN36" s="16">
        <f t="shared" si="20"/>
        <v>-5940.9633985805822</v>
      </c>
      <c r="BO36" s="16">
        <f t="shared" si="21"/>
        <v>-4992.8571428571468</v>
      </c>
      <c r="BP36" s="16">
        <f t="shared" si="22"/>
        <v>-9071.4285714285688</v>
      </c>
      <c r="BQ36" s="16">
        <f t="shared" si="23"/>
        <v>-4992.8571428571468</v>
      </c>
      <c r="BR36" s="16">
        <f t="shared" si="24"/>
        <v>-2964.2857142857165</v>
      </c>
      <c r="BS36" s="16">
        <f t="shared" si="25"/>
        <v>-3942.8571428571436</v>
      </c>
      <c r="BT36" s="14">
        <f>IF([1]Sheet2!CB35=999999,"NA",[1]Sheet2!CB35)</f>
        <v>0</v>
      </c>
      <c r="BU36" s="14">
        <f>IF([1]Sheet2!CC35=999999,"NA",[1]Sheet2!CC35)</f>
        <v>0</v>
      </c>
      <c r="BV36" s="14">
        <f>IF([1]Sheet2!CD35=999999,"NA",[1]Sheet2!CD35)</f>
        <v>8</v>
      </c>
      <c r="BW36" s="14">
        <f>IF([1]Sheet2!CE35=999999,"NA",[1]Sheet2!CE35)</f>
        <v>0</v>
      </c>
      <c r="BX36" s="14">
        <f>IF([1]Sheet2!CF35=999999,"NA",[1]Sheet2!CF35)</f>
        <v>0</v>
      </c>
      <c r="BY36" s="14">
        <f>IF([1]Sheet2!CG35=999999,"NA",[1]Sheet2!CG35)</f>
        <v>0</v>
      </c>
      <c r="BZ36" s="14">
        <f>IF([1]Sheet2!CH35=999999,"NA",[1]Sheet2!CH35)</f>
        <v>0</v>
      </c>
      <c r="CA36" s="14">
        <f>IF([1]Sheet2!CI35=999999,"NA",[1]Sheet2!CI35)</f>
        <v>0</v>
      </c>
      <c r="CB36" s="14">
        <f>IF([1]Sheet2!CJ35=999999,"NA",[1]Sheet2!CJ35)</f>
        <v>0</v>
      </c>
      <c r="CC36" s="14">
        <f>IF([1]Sheet2!CK35=999999,"NA",[1]Sheet2!CK35)</f>
        <v>0</v>
      </c>
      <c r="CD36" s="14">
        <f>[1]Sheet2!BH35</f>
        <v>0</v>
      </c>
      <c r="CE36" s="14">
        <f>[1]Sheet2!BI35</f>
        <v>0</v>
      </c>
      <c r="CF36" s="14">
        <f>[1]Sheet2!BJ35</f>
        <v>0</v>
      </c>
      <c r="CG36" s="14">
        <f>[1]Sheet2!BK35</f>
        <v>0</v>
      </c>
      <c r="CH36" s="14">
        <f>[1]Sheet2!BL35</f>
        <v>0</v>
      </c>
      <c r="CI36" s="14">
        <f>[1]Sheet2!BM35</f>
        <v>0</v>
      </c>
      <c r="CJ36" s="14">
        <f>[1]Sheet2!BN35</f>
        <v>0</v>
      </c>
      <c r="CK36" s="14">
        <f>[1]Sheet2!BO35</f>
        <v>0</v>
      </c>
      <c r="CL36" s="14">
        <f>[1]Sheet2!BP35</f>
        <v>0</v>
      </c>
      <c r="CM36" s="14">
        <f>[1]Sheet2!BQ35</f>
        <v>0</v>
      </c>
      <c r="CN36" s="16">
        <f>Demand_SW!B$4/28</f>
        <v>94.69780219780219</v>
      </c>
      <c r="CO36" s="16">
        <f>Demand_SW!C$4/28</f>
        <v>0</v>
      </c>
      <c r="CP36" s="16">
        <f>Demand_SW!D$4/28</f>
        <v>0</v>
      </c>
      <c r="CQ36" s="16">
        <f>Demand_SW!E$4/28</f>
        <v>0</v>
      </c>
      <c r="CR36" s="16">
        <f>Demand_SW!F$4/28</f>
        <v>0</v>
      </c>
      <c r="CS36" s="16">
        <f>Demand_SW!G$4/28</f>
        <v>85.714285714285708</v>
      </c>
      <c r="CT36" s="16">
        <f>Demand_SW!H$4/28</f>
        <v>0</v>
      </c>
      <c r="CU36" s="16">
        <f>Demand_SW!I$4/28</f>
        <v>0</v>
      </c>
      <c r="CV36" s="16">
        <f>Demand_SW!J$4/28</f>
        <v>0</v>
      </c>
      <c r="CW36" s="16">
        <f>Demand_SW!K$4/28</f>
        <v>0</v>
      </c>
      <c r="CX36" s="16">
        <f t="shared" si="26"/>
        <v>483.68131868131911</v>
      </c>
      <c r="CY36" s="16">
        <f t="shared" si="27"/>
        <v>1000</v>
      </c>
      <c r="CZ36" s="16">
        <f t="shared" si="28"/>
        <v>0</v>
      </c>
      <c r="DA36" s="16">
        <f t="shared" si="29"/>
        <v>0</v>
      </c>
      <c r="DB36" s="16">
        <f t="shared" si="30"/>
        <v>0</v>
      </c>
      <c r="DC36" s="16">
        <f t="shared" si="31"/>
        <v>728.5714285714339</v>
      </c>
      <c r="DD36" s="16">
        <f t="shared" si="32"/>
        <v>1000</v>
      </c>
      <c r="DE36" s="16">
        <f t="shared" si="33"/>
        <v>0</v>
      </c>
      <c r="DF36" s="16">
        <f t="shared" si="34"/>
        <v>0</v>
      </c>
      <c r="DG36" s="16">
        <f t="shared" si="35"/>
        <v>0</v>
      </c>
      <c r="DH36" s="14">
        <f>IF([1]Sheet2!DS35=999999,"NA",[1]Sheet2!DS35)</f>
        <v>5</v>
      </c>
      <c r="DI36" s="14">
        <f>IF([1]Sheet2!DT35=999999,"NA",[1]Sheet2!DT35)</f>
        <v>332</v>
      </c>
      <c r="DJ36" s="14" t="str">
        <f>IF([1]Sheet2!DU35=999999,"NA",[1]Sheet2!DU35)</f>
        <v>NA</v>
      </c>
      <c r="DK36" s="14" t="str">
        <f>IF([1]Sheet2!DV35=999999,"NA",[1]Sheet2!DV35)</f>
        <v>NA</v>
      </c>
      <c r="DL36" s="14" t="str">
        <f>IF([1]Sheet2!DW35=999999,"NA",[1]Sheet2!DW35)</f>
        <v>NA</v>
      </c>
      <c r="DM36" s="14">
        <f>IF([1]Sheet2!DX35=999999,"NA",[1]Sheet2!DX35)</f>
        <v>8</v>
      </c>
      <c r="DN36" s="14">
        <f>IF([1]Sheet2!DY35=999999,"NA",[1]Sheet2!DY35)</f>
        <v>332</v>
      </c>
      <c r="DO36" s="14" t="str">
        <f>IF([1]Sheet2!DZ35=999999,"NA",[1]Sheet2!DZ35)</f>
        <v>NA</v>
      </c>
      <c r="DP36" s="14" t="str">
        <f>IF([1]Sheet2!EA35=999999,"NA",[1]Sheet2!EA35)</f>
        <v>NA</v>
      </c>
      <c r="DQ36" s="14" t="str">
        <f>IF([1]Sheet2!EB35=999999,"NA",[1]Sheet2!EB35)</f>
        <v>NA</v>
      </c>
      <c r="DR36" s="14">
        <f>[1]Sheet2!CY35</f>
        <v>0</v>
      </c>
      <c r="DS36" s="14">
        <f>[1]Sheet2!CZ35</f>
        <v>0</v>
      </c>
      <c r="DT36" s="14">
        <f>[1]Sheet2!DA35</f>
        <v>0</v>
      </c>
      <c r="DU36" s="14">
        <f>[1]Sheet2!DB35</f>
        <v>0</v>
      </c>
      <c r="DV36" s="14">
        <f>[1]Sheet2!DC35</f>
        <v>0</v>
      </c>
      <c r="DW36" s="14">
        <f>[1]Sheet2!DD35</f>
        <v>0</v>
      </c>
      <c r="DX36" s="14">
        <f>[1]Sheet2!DE35</f>
        <v>0</v>
      </c>
      <c r="DY36" s="14">
        <f>[1]Sheet2!DF35</f>
        <v>0</v>
      </c>
      <c r="DZ36" s="14">
        <f>[1]Sheet2!DG35</f>
        <v>0</v>
      </c>
      <c r="EA36" s="14">
        <f>[1]Sheet2!DH35</f>
        <v>0</v>
      </c>
      <c r="EB36" s="6">
        <f>[1]Sheet2!EC35</f>
        <v>0</v>
      </c>
      <c r="EC36" s="6">
        <f>[1]Sheet2!ED35</f>
        <v>0</v>
      </c>
      <c r="ED36" s="6">
        <f>[1]Sheet2!EE35</f>
        <v>0</v>
      </c>
      <c r="EE36" s="6">
        <f>[1]Sheet2!EF35</f>
        <v>0</v>
      </c>
      <c r="EF36" s="6">
        <f>[1]Sheet2!EG35</f>
        <v>0</v>
      </c>
      <c r="EG36" s="6">
        <f>[1]Sheet2!EH35</f>
        <v>0</v>
      </c>
      <c r="EH36" s="6">
        <f>[1]Sheet2!EI35</f>
        <v>0</v>
      </c>
      <c r="EI36" s="6">
        <f>[1]Sheet2!EJ35</f>
        <v>0</v>
      </c>
      <c r="EJ36" s="6">
        <f>[1]Sheet2!EK35</f>
        <v>0</v>
      </c>
      <c r="EK36" s="6">
        <f>[1]Sheet2!EL35</f>
        <v>0</v>
      </c>
      <c r="EL36" s="6" t="str">
        <f>[1]Sheet2!EM35</f>
        <v/>
      </c>
      <c r="EM36" s="6" t="str">
        <f>[1]Sheet2!EN35</f>
        <v/>
      </c>
      <c r="EN36" s="6" t="str">
        <f>[1]Sheet2!EO35</f>
        <v/>
      </c>
      <c r="EO36" s="6" t="str">
        <f>[1]Sheet2!EP35</f>
        <v/>
      </c>
      <c r="EP36" s="6" t="str">
        <f>[1]Sheet2!EQ35</f>
        <v/>
      </c>
      <c r="EQ36" s="6" t="str">
        <f>[1]Sheet2!ER35</f>
        <v/>
      </c>
      <c r="ER36" s="6" t="str">
        <f>[1]Sheet2!ES35</f>
        <v/>
      </c>
      <c r="ES36" s="6" t="str">
        <f>[1]Sheet2!ET35</f>
        <v/>
      </c>
      <c r="ET36" s="6" t="str">
        <f>[1]Sheet2!EU35</f>
        <v/>
      </c>
      <c r="EU36" s="6" t="str">
        <f>[1]Sheet2!EV35</f>
        <v/>
      </c>
      <c r="EV36" s="6" t="str">
        <f>[1]Sheet2!EW35</f>
        <v/>
      </c>
      <c r="EW36" s="6" t="str">
        <f>[1]Sheet2!EX35</f>
        <v/>
      </c>
      <c r="EX36" s="6" t="str">
        <f>[1]Sheet2!EY35</f>
        <v/>
      </c>
      <c r="EY36" s="6" t="str">
        <f>[1]Sheet2!EZ35</f>
        <v/>
      </c>
      <c r="EZ36" s="6" t="str">
        <f>[1]Sheet2!FA35</f>
        <v/>
      </c>
      <c r="FA36" s="6" t="str">
        <f>[1]Sheet2!FB35</f>
        <v/>
      </c>
      <c r="FB36" s="6" t="str">
        <f>[1]Sheet2!FC35</f>
        <v/>
      </c>
      <c r="FC36" s="6" t="str">
        <f>[1]Sheet2!FD35</f>
        <v/>
      </c>
      <c r="FD36" s="6" t="str">
        <f>[1]Sheet2!FE35</f>
        <v/>
      </c>
      <c r="FE36" s="6" t="str">
        <f>[1]Sheet2!FF35</f>
        <v/>
      </c>
      <c r="FF36" s="6" t="str">
        <f>[1]Sheet2!FG35</f>
        <v/>
      </c>
      <c r="FG36" s="6" t="str">
        <f>[1]Sheet2!FH35</f>
        <v/>
      </c>
      <c r="FH36" s="6" t="str">
        <f>[1]Sheet2!FI35</f>
        <v/>
      </c>
      <c r="FI36" s="6" t="str">
        <f>[1]Sheet2!FJ35</f>
        <v/>
      </c>
      <c r="FJ36" s="6" t="str">
        <f>[1]Sheet2!FK35</f>
        <v/>
      </c>
      <c r="FK36" s="6" t="str">
        <f>[1]Sheet2!FL35</f>
        <v/>
      </c>
      <c r="FL36" s="6" t="str">
        <f>[1]Sheet2!FM35</f>
        <v/>
      </c>
      <c r="FM36" s="6" t="str">
        <f>[1]Sheet2!FN35</f>
        <v/>
      </c>
      <c r="FN36" s="6" t="str">
        <f>[1]Sheet2!FO35</f>
        <v/>
      </c>
      <c r="FO36" s="6" t="str">
        <f>[1]Sheet2!FP35</f>
        <v/>
      </c>
    </row>
    <row r="37" spans="1:171" x14ac:dyDescent="0.25">
      <c r="A37" s="15">
        <v>43499</v>
      </c>
      <c r="B37" s="1"/>
      <c r="C37" s="1"/>
      <c r="D37" s="1"/>
      <c r="E37" s="14">
        <f>[1]Sheet2!N36</f>
        <v>0</v>
      </c>
      <c r="F37" s="14">
        <f>[1]Sheet2!BE36</f>
        <v>0</v>
      </c>
      <c r="G37" s="14">
        <f>[1]Sheet2!CW36</f>
        <v>0</v>
      </c>
      <c r="H37" s="1"/>
      <c r="I37" s="1"/>
      <c r="J37" s="1"/>
      <c r="K37" s="16"/>
      <c r="L37" s="16">
        <f>Demand_CWRS!B$4/28</f>
        <v>131.68146963713369</v>
      </c>
      <c r="M37" s="16">
        <f>Demand_CWRS!C$4/28</f>
        <v>501.27216117216119</v>
      </c>
      <c r="N37" s="16">
        <f>Demand_CWRS!D$4/28</f>
        <v>0</v>
      </c>
      <c r="O37" s="16">
        <f>Demand_CWRS!E$4/28</f>
        <v>130.17472527472526</v>
      </c>
      <c r="P37" s="16">
        <f>Demand_CWRS!F$4/28</f>
        <v>262.94741300366297</v>
      </c>
      <c r="Q37" s="16">
        <f>Demand_CWRS!G$4/28</f>
        <v>127.85714285714286</v>
      </c>
      <c r="R37" s="16">
        <f>Demand_CWRS!H$4/28</f>
        <v>207.14285714285714</v>
      </c>
      <c r="S37" s="16">
        <f>Demand_CWRS!I$4/28</f>
        <v>214.28571428571428</v>
      </c>
      <c r="T37" s="16">
        <f>Demand_CWRS!J$4/28</f>
        <v>207.14285714285714</v>
      </c>
      <c r="U37" s="16">
        <f>Demand_CWRS!K$4/28</f>
        <v>221.42857142857142</v>
      </c>
      <c r="V37" s="16">
        <f t="shared" si="6"/>
        <v>-3104.9070691678103</v>
      </c>
      <c r="W37" s="16">
        <f t="shared" si="7"/>
        <v>-3996.8267399267415</v>
      </c>
      <c r="X37" s="16">
        <f t="shared" si="8"/>
        <v>0</v>
      </c>
      <c r="Y37" s="16">
        <f t="shared" si="9"/>
        <v>5544.4437728937855</v>
      </c>
      <c r="Z37" s="16">
        <f t="shared" si="10"/>
        <v>-1938.2812614468849</v>
      </c>
      <c r="AA37" s="16">
        <f t="shared" si="11"/>
        <v>-1983.5714285714316</v>
      </c>
      <c r="AB37" s="16">
        <f t="shared" si="12"/>
        <v>-7814.4388278388278</v>
      </c>
      <c r="AC37" s="16">
        <f t="shared" si="13"/>
        <v>-1842.8571428571427</v>
      </c>
      <c r="AD37" s="16">
        <f t="shared" si="14"/>
        <v>-2121.4285714285716</v>
      </c>
      <c r="AE37" s="16">
        <f t="shared" si="15"/>
        <v>-2364.2857142857119</v>
      </c>
      <c r="AF37" s="14">
        <f>IF([1]Sheet2!AJ36=999999,"NA",[1]Sheet2!AJ36)</f>
        <v>0</v>
      </c>
      <c r="AG37" s="14">
        <f>IF([1]Sheet2!AK36=999999,"NA",[1]Sheet2!AK36)</f>
        <v>0</v>
      </c>
      <c r="AH37" s="14" t="str">
        <f>IF([1]Sheet2!AL36=999999,"NA",[1]Sheet2!AL36)</f>
        <v>NA</v>
      </c>
      <c r="AI37" s="14">
        <f>IF([1]Sheet2!AM36=999999,"NA",[1]Sheet2!AM36)</f>
        <v>43</v>
      </c>
      <c r="AJ37" s="14">
        <f>IF([1]Sheet2!AN36=999999,"NA",[1]Sheet2!AN36)</f>
        <v>0</v>
      </c>
      <c r="AK37" s="14">
        <f>IF([1]Sheet2!AO36=999999,"NA",[1]Sheet2!AO36)</f>
        <v>0</v>
      </c>
      <c r="AL37" s="14">
        <f>IF([1]Sheet2!AP36=999999,"NA",[1]Sheet2!AP36)</f>
        <v>0</v>
      </c>
      <c r="AM37" s="14">
        <f>IF([1]Sheet2!AQ36=999999,"NA",[1]Sheet2!AQ36)</f>
        <v>0</v>
      </c>
      <c r="AN37" s="14">
        <f>IF([1]Sheet2!AR36=999999,"NA",[1]Sheet2!AR36)</f>
        <v>0</v>
      </c>
      <c r="AO37" s="14">
        <f>IF([1]Sheet2!AS36=999999,"NA",[1]Sheet2!AS36)</f>
        <v>0</v>
      </c>
      <c r="AP37" s="14">
        <f>[1]Sheet2!P36</f>
        <v>0</v>
      </c>
      <c r="AQ37" s="14">
        <f>[1]Sheet2!Q36</f>
        <v>0</v>
      </c>
      <c r="AR37" s="14">
        <f>[1]Sheet2!R36</f>
        <v>0</v>
      </c>
      <c r="AS37" s="14">
        <f>[1]Sheet2!S36</f>
        <v>0</v>
      </c>
      <c r="AT37" s="14">
        <f>[1]Sheet2!T36</f>
        <v>0</v>
      </c>
      <c r="AU37" s="14">
        <f>[1]Sheet2!U36</f>
        <v>0</v>
      </c>
      <c r="AV37" s="14">
        <f>[1]Sheet2!V36</f>
        <v>0</v>
      </c>
      <c r="AW37" s="14">
        <f>[1]Sheet2!W36</f>
        <v>0</v>
      </c>
      <c r="AX37" s="20">
        <f>[1]Sheet2!X36</f>
        <v>0</v>
      </c>
      <c r="AY37" s="20">
        <f>[1]Sheet2!Y36</f>
        <v>0</v>
      </c>
      <c r="AZ37" s="16">
        <f>Demand_LP!B$4/28</f>
        <v>811.09813487293957</v>
      </c>
      <c r="BA37" s="16">
        <f>Demand_LP!C$4/28</f>
        <v>502.83223443223443</v>
      </c>
      <c r="BB37" s="16">
        <f>Demand_LP!D$4/28</f>
        <v>282.53663003663002</v>
      </c>
      <c r="BC37" s="16">
        <f>Demand_LP!E$4/28</f>
        <v>759.73919413919407</v>
      </c>
      <c r="BD37" s="16">
        <f>Demand_LP!F$4/28</f>
        <v>495.28213999542123</v>
      </c>
      <c r="BE37" s="16">
        <f>Demand_LP!G$4/28</f>
        <v>496.42857142857144</v>
      </c>
      <c r="BF37" s="16">
        <f>Demand_LP!H$4/28</f>
        <v>535.71428571428567</v>
      </c>
      <c r="BG37" s="16">
        <f>Demand_LP!I$4/28</f>
        <v>496.42857142857144</v>
      </c>
      <c r="BH37" s="16">
        <f>Demand_LP!J$4/28</f>
        <v>482.14285714285717</v>
      </c>
      <c r="BI37" s="16">
        <f>Demand_LP!K$4/28</f>
        <v>471.42857142857144</v>
      </c>
      <c r="BJ37" s="16">
        <f t="shared" si="16"/>
        <v>-8026.3478501316376</v>
      </c>
      <c r="BK37" s="16">
        <f t="shared" si="17"/>
        <v>-16071.614652014645</v>
      </c>
      <c r="BL37" s="16">
        <f t="shared" si="18"/>
        <v>1984.8901098901083</v>
      </c>
      <c r="BM37" s="16">
        <f t="shared" si="19"/>
        <v>-13871.941941391942</v>
      </c>
      <c r="BN37" s="16">
        <f t="shared" si="20"/>
        <v>-6436.2455385760031</v>
      </c>
      <c r="BO37" s="16">
        <f t="shared" si="21"/>
        <v>-5489.2857142857183</v>
      </c>
      <c r="BP37" s="16">
        <f t="shared" si="22"/>
        <v>-9607.1428571428551</v>
      </c>
      <c r="BQ37" s="16">
        <f t="shared" si="23"/>
        <v>-5489.2857142857183</v>
      </c>
      <c r="BR37" s="16">
        <f t="shared" si="24"/>
        <v>-3446.4285714285738</v>
      </c>
      <c r="BS37" s="16">
        <f t="shared" si="25"/>
        <v>-4414.2857142857147</v>
      </c>
      <c r="BT37" s="14">
        <f>IF([1]Sheet2!CB36=999999,"NA",[1]Sheet2!CB36)</f>
        <v>0</v>
      </c>
      <c r="BU37" s="14">
        <f>IF([1]Sheet2!CC36=999999,"NA",[1]Sheet2!CC36)</f>
        <v>0</v>
      </c>
      <c r="BV37" s="14">
        <f>IF([1]Sheet2!CD36=999999,"NA",[1]Sheet2!CD36)</f>
        <v>7</v>
      </c>
      <c r="BW37" s="14">
        <f>IF([1]Sheet2!CE36=999999,"NA",[1]Sheet2!CE36)</f>
        <v>0</v>
      </c>
      <c r="BX37" s="14">
        <f>IF([1]Sheet2!CF36=999999,"NA",[1]Sheet2!CF36)</f>
        <v>0</v>
      </c>
      <c r="BY37" s="14">
        <f>IF([1]Sheet2!CG36=999999,"NA",[1]Sheet2!CG36)</f>
        <v>0</v>
      </c>
      <c r="BZ37" s="14">
        <f>IF([1]Sheet2!CH36=999999,"NA",[1]Sheet2!CH36)</f>
        <v>0</v>
      </c>
      <c r="CA37" s="14">
        <f>IF([1]Sheet2!CI36=999999,"NA",[1]Sheet2!CI36)</f>
        <v>0</v>
      </c>
      <c r="CB37" s="14">
        <f>IF([1]Sheet2!CJ36=999999,"NA",[1]Sheet2!CJ36)</f>
        <v>0</v>
      </c>
      <c r="CC37" s="14">
        <f>IF([1]Sheet2!CK36=999999,"NA",[1]Sheet2!CK36)</f>
        <v>0</v>
      </c>
      <c r="CD37" s="14">
        <f>[1]Sheet2!BH36</f>
        <v>0</v>
      </c>
      <c r="CE37" s="14">
        <f>[1]Sheet2!BI36</f>
        <v>0</v>
      </c>
      <c r="CF37" s="14">
        <f>[1]Sheet2!BJ36</f>
        <v>0</v>
      </c>
      <c r="CG37" s="14">
        <f>[1]Sheet2!BK36</f>
        <v>0</v>
      </c>
      <c r="CH37" s="14">
        <f>[1]Sheet2!BL36</f>
        <v>0</v>
      </c>
      <c r="CI37" s="14">
        <f>[1]Sheet2!BM36</f>
        <v>0</v>
      </c>
      <c r="CJ37" s="14">
        <f>[1]Sheet2!BN36</f>
        <v>0</v>
      </c>
      <c r="CK37" s="14">
        <f>[1]Sheet2!BO36</f>
        <v>0</v>
      </c>
      <c r="CL37" s="14">
        <f>[1]Sheet2!BP36</f>
        <v>0</v>
      </c>
      <c r="CM37" s="14">
        <f>[1]Sheet2!BQ36</f>
        <v>0</v>
      </c>
      <c r="CN37" s="16">
        <f>Demand_SW!B$4/28</f>
        <v>94.69780219780219</v>
      </c>
      <c r="CO37" s="16">
        <f>Demand_SW!C$4/28</f>
        <v>0</v>
      </c>
      <c r="CP37" s="16">
        <f>Demand_SW!D$4/28</f>
        <v>0</v>
      </c>
      <c r="CQ37" s="16">
        <f>Demand_SW!E$4/28</f>
        <v>0</v>
      </c>
      <c r="CR37" s="16">
        <f>Demand_SW!F$4/28</f>
        <v>0</v>
      </c>
      <c r="CS37" s="16">
        <f>Demand_SW!G$4/28</f>
        <v>85.714285714285708</v>
      </c>
      <c r="CT37" s="16">
        <f>Demand_SW!H$4/28</f>
        <v>0</v>
      </c>
      <c r="CU37" s="16">
        <f>Demand_SW!I$4/28</f>
        <v>0</v>
      </c>
      <c r="CV37" s="16">
        <f>Demand_SW!J$4/28</f>
        <v>0</v>
      </c>
      <c r="CW37" s="16">
        <f>Demand_SW!K$4/28</f>
        <v>0</v>
      </c>
      <c r="CX37" s="16">
        <f t="shared" si="26"/>
        <v>388.98351648351695</v>
      </c>
      <c r="CY37" s="16">
        <f t="shared" si="27"/>
        <v>1000</v>
      </c>
      <c r="CZ37" s="16">
        <f t="shared" si="28"/>
        <v>0</v>
      </c>
      <c r="DA37" s="16">
        <f t="shared" si="29"/>
        <v>0</v>
      </c>
      <c r="DB37" s="16">
        <f t="shared" si="30"/>
        <v>0</v>
      </c>
      <c r="DC37" s="16">
        <f t="shared" si="31"/>
        <v>642.85714285714823</v>
      </c>
      <c r="DD37" s="16">
        <f t="shared" si="32"/>
        <v>1000</v>
      </c>
      <c r="DE37" s="16">
        <f t="shared" si="33"/>
        <v>0</v>
      </c>
      <c r="DF37" s="16">
        <f t="shared" si="34"/>
        <v>0</v>
      </c>
      <c r="DG37" s="16">
        <f t="shared" si="35"/>
        <v>0</v>
      </c>
      <c r="DH37" s="14">
        <f>IF([1]Sheet2!DS36=999999,"NA",[1]Sheet2!DS36)</f>
        <v>4</v>
      </c>
      <c r="DI37" s="14">
        <f>IF([1]Sheet2!DT36=999999,"NA",[1]Sheet2!DT36)</f>
        <v>331</v>
      </c>
      <c r="DJ37" s="14" t="str">
        <f>IF([1]Sheet2!DU36=999999,"NA",[1]Sheet2!DU36)</f>
        <v>NA</v>
      </c>
      <c r="DK37" s="14" t="str">
        <f>IF([1]Sheet2!DV36=999999,"NA",[1]Sheet2!DV36)</f>
        <v>NA</v>
      </c>
      <c r="DL37" s="14" t="str">
        <f>IF([1]Sheet2!DW36=999999,"NA",[1]Sheet2!DW36)</f>
        <v>NA</v>
      </c>
      <c r="DM37" s="14">
        <f>IF([1]Sheet2!DX36=999999,"NA",[1]Sheet2!DX36)</f>
        <v>7</v>
      </c>
      <c r="DN37" s="14">
        <f>IF([1]Sheet2!DY36=999999,"NA",[1]Sheet2!DY36)</f>
        <v>331</v>
      </c>
      <c r="DO37" s="14" t="str">
        <f>IF([1]Sheet2!DZ36=999999,"NA",[1]Sheet2!DZ36)</f>
        <v>NA</v>
      </c>
      <c r="DP37" s="14" t="str">
        <f>IF([1]Sheet2!EA36=999999,"NA",[1]Sheet2!EA36)</f>
        <v>NA</v>
      </c>
      <c r="DQ37" s="14" t="str">
        <f>IF([1]Sheet2!EB36=999999,"NA",[1]Sheet2!EB36)</f>
        <v>NA</v>
      </c>
      <c r="DR37" s="14">
        <f>[1]Sheet2!CY36</f>
        <v>0</v>
      </c>
      <c r="DS37" s="14">
        <f>[1]Sheet2!CZ36</f>
        <v>0</v>
      </c>
      <c r="DT37" s="14">
        <f>[1]Sheet2!DA36</f>
        <v>0</v>
      </c>
      <c r="DU37" s="14">
        <f>[1]Sheet2!DB36</f>
        <v>0</v>
      </c>
      <c r="DV37" s="14">
        <f>[1]Sheet2!DC36</f>
        <v>0</v>
      </c>
      <c r="DW37" s="14">
        <f>[1]Sheet2!DD36</f>
        <v>0</v>
      </c>
      <c r="DX37" s="14">
        <f>[1]Sheet2!DE36</f>
        <v>0</v>
      </c>
      <c r="DY37" s="14">
        <f>[1]Sheet2!DF36</f>
        <v>0</v>
      </c>
      <c r="DZ37" s="14">
        <f>[1]Sheet2!DG36</f>
        <v>0</v>
      </c>
      <c r="EA37" s="14">
        <f>[1]Sheet2!DH36</f>
        <v>0</v>
      </c>
      <c r="EB37" s="6">
        <f>[1]Sheet2!EC36</f>
        <v>0</v>
      </c>
      <c r="EC37" s="6">
        <f>[1]Sheet2!ED36</f>
        <v>0</v>
      </c>
      <c r="ED37" s="6">
        <f>[1]Sheet2!EE36</f>
        <v>0</v>
      </c>
      <c r="EE37" s="6">
        <f>[1]Sheet2!EF36</f>
        <v>0</v>
      </c>
      <c r="EF37" s="6">
        <f>[1]Sheet2!EG36</f>
        <v>0</v>
      </c>
      <c r="EG37" s="6">
        <f>[1]Sheet2!EH36</f>
        <v>0</v>
      </c>
      <c r="EH37" s="6">
        <f>[1]Sheet2!EI36</f>
        <v>0</v>
      </c>
      <c r="EI37" s="6">
        <f>[1]Sheet2!EJ36</f>
        <v>0</v>
      </c>
      <c r="EJ37" s="6">
        <f>[1]Sheet2!EK36</f>
        <v>0</v>
      </c>
      <c r="EK37" s="6">
        <f>[1]Sheet2!EL36</f>
        <v>0</v>
      </c>
      <c r="EL37" s="6" t="str">
        <f>[1]Sheet2!EM36</f>
        <v/>
      </c>
      <c r="EM37" s="6" t="str">
        <f>[1]Sheet2!EN36</f>
        <v/>
      </c>
      <c r="EN37" s="6" t="str">
        <f>[1]Sheet2!EO36</f>
        <v/>
      </c>
      <c r="EO37" s="6" t="str">
        <f>[1]Sheet2!EP36</f>
        <v/>
      </c>
      <c r="EP37" s="6" t="str">
        <f>[1]Sheet2!EQ36</f>
        <v/>
      </c>
      <c r="EQ37" s="6" t="str">
        <f>[1]Sheet2!ER36</f>
        <v/>
      </c>
      <c r="ER37" s="6" t="str">
        <f>[1]Sheet2!ES36</f>
        <v/>
      </c>
      <c r="ES37" s="6" t="str">
        <f>[1]Sheet2!ET36</f>
        <v/>
      </c>
      <c r="ET37" s="6" t="str">
        <f>[1]Sheet2!EU36</f>
        <v/>
      </c>
      <c r="EU37" s="6" t="str">
        <f>[1]Sheet2!EV36</f>
        <v/>
      </c>
      <c r="EV37" s="6" t="str">
        <f>[1]Sheet2!EW36</f>
        <v/>
      </c>
      <c r="EW37" s="6" t="str">
        <f>[1]Sheet2!EX36</f>
        <v/>
      </c>
      <c r="EX37" s="6" t="str">
        <f>[1]Sheet2!EY36</f>
        <v/>
      </c>
      <c r="EY37" s="6" t="str">
        <f>[1]Sheet2!EZ36</f>
        <v/>
      </c>
      <c r="EZ37" s="6" t="str">
        <f>[1]Sheet2!FA36</f>
        <v/>
      </c>
      <c r="FA37" s="6" t="str">
        <f>[1]Sheet2!FB36</f>
        <v/>
      </c>
      <c r="FB37" s="6" t="str">
        <f>[1]Sheet2!FC36</f>
        <v/>
      </c>
      <c r="FC37" s="6" t="str">
        <f>[1]Sheet2!FD36</f>
        <v/>
      </c>
      <c r="FD37" s="6" t="str">
        <f>[1]Sheet2!FE36</f>
        <v/>
      </c>
      <c r="FE37" s="6" t="str">
        <f>[1]Sheet2!FF36</f>
        <v/>
      </c>
      <c r="FF37" s="6" t="str">
        <f>[1]Sheet2!FG36</f>
        <v/>
      </c>
      <c r="FG37" s="6" t="str">
        <f>[1]Sheet2!FH36</f>
        <v/>
      </c>
      <c r="FH37" s="6" t="str">
        <f>[1]Sheet2!FI36</f>
        <v/>
      </c>
      <c r="FI37" s="6" t="str">
        <f>[1]Sheet2!FJ36</f>
        <v/>
      </c>
      <c r="FJ37" s="6" t="str">
        <f>[1]Sheet2!FK36</f>
        <v/>
      </c>
      <c r="FK37" s="6" t="str">
        <f>[1]Sheet2!FL36</f>
        <v/>
      </c>
      <c r="FL37" s="6" t="str">
        <f>[1]Sheet2!FM36</f>
        <v/>
      </c>
      <c r="FM37" s="6" t="str">
        <f>[1]Sheet2!FN36</f>
        <v/>
      </c>
      <c r="FN37" s="6" t="str">
        <f>[1]Sheet2!FO36</f>
        <v/>
      </c>
      <c r="FO37" s="6" t="str">
        <f>[1]Sheet2!FP36</f>
        <v/>
      </c>
    </row>
    <row r="38" spans="1:171" x14ac:dyDescent="0.25">
      <c r="A38" s="15">
        <v>43500</v>
      </c>
      <c r="B38" s="1"/>
      <c r="C38" s="1"/>
      <c r="D38" s="1"/>
      <c r="E38" s="14">
        <f>[1]Sheet2!N37</f>
        <v>0</v>
      </c>
      <c r="F38" s="14">
        <f>[1]Sheet2!BE37</f>
        <v>0</v>
      </c>
      <c r="G38" s="14">
        <f>[1]Sheet2!CW37</f>
        <v>0</v>
      </c>
      <c r="H38" s="1"/>
      <c r="I38" s="1"/>
      <c r="J38" s="1"/>
      <c r="K38" s="16"/>
      <c r="L38" s="16">
        <f>Demand_CWRS!B$4/28</f>
        <v>131.68146963713369</v>
      </c>
      <c r="M38" s="16">
        <f>Demand_CWRS!C$4/28</f>
        <v>501.27216117216119</v>
      </c>
      <c r="N38" s="16">
        <f>Demand_CWRS!D$4/28</f>
        <v>0</v>
      </c>
      <c r="O38" s="16">
        <f>Demand_CWRS!E$4/28</f>
        <v>130.17472527472526</v>
      </c>
      <c r="P38" s="16">
        <f>Demand_CWRS!F$4/28</f>
        <v>262.94741300366297</v>
      </c>
      <c r="Q38" s="16">
        <f>Demand_CWRS!G$4/28</f>
        <v>127.85714285714286</v>
      </c>
      <c r="R38" s="16">
        <f>Demand_CWRS!H$4/28</f>
        <v>207.14285714285714</v>
      </c>
      <c r="S38" s="16">
        <f>Demand_CWRS!I$4/28</f>
        <v>214.28571428571428</v>
      </c>
      <c r="T38" s="16">
        <f>Demand_CWRS!J$4/28</f>
        <v>207.14285714285714</v>
      </c>
      <c r="U38" s="16">
        <f>Demand_CWRS!K$4/28</f>
        <v>221.42857142857142</v>
      </c>
      <c r="V38" s="16">
        <f t="shared" si="6"/>
        <v>-3236.5885388049442</v>
      </c>
      <c r="W38" s="16">
        <f t="shared" si="7"/>
        <v>-4498.0989010989024</v>
      </c>
      <c r="X38" s="16">
        <f t="shared" si="8"/>
        <v>0</v>
      </c>
      <c r="Y38" s="16">
        <f t="shared" si="9"/>
        <v>5414.2690476190601</v>
      </c>
      <c r="Z38" s="16">
        <f t="shared" si="10"/>
        <v>-2201.2286744505477</v>
      </c>
      <c r="AA38" s="16">
        <f t="shared" si="11"/>
        <v>-2111.4285714285743</v>
      </c>
      <c r="AB38" s="16">
        <f t="shared" si="12"/>
        <v>-8021.5816849816847</v>
      </c>
      <c r="AC38" s="16">
        <f t="shared" si="13"/>
        <v>-2057.1428571428569</v>
      </c>
      <c r="AD38" s="16">
        <f t="shared" si="14"/>
        <v>-2328.5714285714289</v>
      </c>
      <c r="AE38" s="16">
        <f t="shared" si="15"/>
        <v>-2585.7142857142835</v>
      </c>
      <c r="AF38" s="14">
        <f>IF([1]Sheet2!AJ37=999999,"NA",[1]Sheet2!AJ37)</f>
        <v>0</v>
      </c>
      <c r="AG38" s="14">
        <f>IF([1]Sheet2!AK37=999999,"NA",[1]Sheet2!AK37)</f>
        <v>0</v>
      </c>
      <c r="AH38" s="14" t="str">
        <f>IF([1]Sheet2!AL37=999999,"NA",[1]Sheet2!AL37)</f>
        <v>NA</v>
      </c>
      <c r="AI38" s="14">
        <f>IF([1]Sheet2!AM37=999999,"NA",[1]Sheet2!AM37)</f>
        <v>42</v>
      </c>
      <c r="AJ38" s="14">
        <f>IF([1]Sheet2!AN37=999999,"NA",[1]Sheet2!AN37)</f>
        <v>0</v>
      </c>
      <c r="AK38" s="14">
        <f>IF([1]Sheet2!AO37=999999,"NA",[1]Sheet2!AO37)</f>
        <v>0</v>
      </c>
      <c r="AL38" s="14">
        <f>IF([1]Sheet2!AP37=999999,"NA",[1]Sheet2!AP37)</f>
        <v>0</v>
      </c>
      <c r="AM38" s="14">
        <f>IF([1]Sheet2!AQ37=999999,"NA",[1]Sheet2!AQ37)</f>
        <v>0</v>
      </c>
      <c r="AN38" s="14">
        <f>IF([1]Sheet2!AR37=999999,"NA",[1]Sheet2!AR37)</f>
        <v>0</v>
      </c>
      <c r="AO38" s="14">
        <f>IF([1]Sheet2!AS37=999999,"NA",[1]Sheet2!AS37)</f>
        <v>0</v>
      </c>
      <c r="AP38" s="14">
        <f>[1]Sheet2!P37</f>
        <v>0</v>
      </c>
      <c r="AQ38" s="14">
        <f>[1]Sheet2!Q37</f>
        <v>0</v>
      </c>
      <c r="AR38" s="14">
        <f>[1]Sheet2!R37</f>
        <v>0</v>
      </c>
      <c r="AS38" s="14">
        <f>[1]Sheet2!S37</f>
        <v>0</v>
      </c>
      <c r="AT38" s="14">
        <f>[1]Sheet2!T37</f>
        <v>0</v>
      </c>
      <c r="AU38" s="14">
        <f>[1]Sheet2!U37</f>
        <v>0</v>
      </c>
      <c r="AV38" s="14">
        <f>[1]Sheet2!V37</f>
        <v>0</v>
      </c>
      <c r="AW38" s="14">
        <f>[1]Sheet2!W37</f>
        <v>0</v>
      </c>
      <c r="AX38" s="14">
        <f>[1]Sheet2!X37</f>
        <v>0</v>
      </c>
      <c r="AY38" s="20">
        <f>[1]Sheet2!Y37</f>
        <v>0</v>
      </c>
      <c r="AZ38" s="16">
        <f>Demand_LP!B$4/28</f>
        <v>811.09813487293957</v>
      </c>
      <c r="BA38" s="16">
        <f>Demand_LP!C$4/28</f>
        <v>502.83223443223443</v>
      </c>
      <c r="BB38" s="16">
        <f>Demand_LP!D$4/28</f>
        <v>282.53663003663002</v>
      </c>
      <c r="BC38" s="16">
        <f>Demand_LP!E$4/28</f>
        <v>759.73919413919407</v>
      </c>
      <c r="BD38" s="16">
        <f>Demand_LP!F$4/28</f>
        <v>495.28213999542123</v>
      </c>
      <c r="BE38" s="16">
        <f>Demand_LP!G$4/28</f>
        <v>496.42857142857144</v>
      </c>
      <c r="BF38" s="16">
        <f>Demand_LP!H$4/28</f>
        <v>535.71428571428567</v>
      </c>
      <c r="BG38" s="16">
        <f>Demand_LP!I$4/28</f>
        <v>496.42857142857144</v>
      </c>
      <c r="BH38" s="16">
        <f>Demand_LP!J$4/28</f>
        <v>482.14285714285717</v>
      </c>
      <c r="BI38" s="16">
        <f>Demand_LP!K$4/28</f>
        <v>471.42857142857144</v>
      </c>
      <c r="BJ38" s="16">
        <f t="shared" si="16"/>
        <v>-8837.4459850045769</v>
      </c>
      <c r="BK38" s="16">
        <f t="shared" si="17"/>
        <v>-16574.44688644688</v>
      </c>
      <c r="BL38" s="16">
        <f t="shared" si="18"/>
        <v>1702.3534798534783</v>
      </c>
      <c r="BM38" s="16">
        <f t="shared" si="19"/>
        <v>-14631.681135531137</v>
      </c>
      <c r="BN38" s="16">
        <f t="shared" si="20"/>
        <v>-6931.5276785714241</v>
      </c>
      <c r="BO38" s="16">
        <f t="shared" si="21"/>
        <v>-5985.7142857142899</v>
      </c>
      <c r="BP38" s="16">
        <f t="shared" si="22"/>
        <v>-10142.857142857141</v>
      </c>
      <c r="BQ38" s="16">
        <f t="shared" si="23"/>
        <v>-5985.7142857142899</v>
      </c>
      <c r="BR38" s="16">
        <f t="shared" si="24"/>
        <v>-3928.5714285714312</v>
      </c>
      <c r="BS38" s="16">
        <f t="shared" si="25"/>
        <v>-4885.7142857142862</v>
      </c>
      <c r="BT38" s="14">
        <f>IF([1]Sheet2!CB37=999999,"NA",[1]Sheet2!CB37)</f>
        <v>0</v>
      </c>
      <c r="BU38" s="14">
        <f>IF([1]Sheet2!CC37=999999,"NA",[1]Sheet2!CC37)</f>
        <v>0</v>
      </c>
      <c r="BV38" s="14">
        <f>IF([1]Sheet2!CD37=999999,"NA",[1]Sheet2!CD37)</f>
        <v>6</v>
      </c>
      <c r="BW38" s="14">
        <f>IF([1]Sheet2!CE37=999999,"NA",[1]Sheet2!CE37)</f>
        <v>0</v>
      </c>
      <c r="BX38" s="14">
        <f>IF([1]Sheet2!CF37=999999,"NA",[1]Sheet2!CF37)</f>
        <v>0</v>
      </c>
      <c r="BY38" s="14">
        <f>IF([1]Sheet2!CG37=999999,"NA",[1]Sheet2!CG37)</f>
        <v>0</v>
      </c>
      <c r="BZ38" s="14">
        <f>IF([1]Sheet2!CH37=999999,"NA",[1]Sheet2!CH37)</f>
        <v>0</v>
      </c>
      <c r="CA38" s="14">
        <f>IF([1]Sheet2!CI37=999999,"NA",[1]Sheet2!CI37)</f>
        <v>0</v>
      </c>
      <c r="CB38" s="14">
        <f>IF([1]Sheet2!CJ37=999999,"NA",[1]Sheet2!CJ37)</f>
        <v>0</v>
      </c>
      <c r="CC38" s="14">
        <f>IF([1]Sheet2!CK37=999999,"NA",[1]Sheet2!CK37)</f>
        <v>0</v>
      </c>
      <c r="CD38" s="14">
        <f>[1]Sheet2!BH37</f>
        <v>0</v>
      </c>
      <c r="CE38" s="14">
        <f>[1]Sheet2!BI37</f>
        <v>0</v>
      </c>
      <c r="CF38" s="14">
        <f>[1]Sheet2!BJ37</f>
        <v>0</v>
      </c>
      <c r="CG38" s="14">
        <f>[1]Sheet2!BK37</f>
        <v>0</v>
      </c>
      <c r="CH38" s="14">
        <f>[1]Sheet2!BL37</f>
        <v>0</v>
      </c>
      <c r="CI38" s="14">
        <f>[1]Sheet2!BM37</f>
        <v>0</v>
      </c>
      <c r="CJ38" s="14">
        <f>[1]Sheet2!BN37</f>
        <v>0</v>
      </c>
      <c r="CK38" s="14">
        <f>[1]Sheet2!BO37</f>
        <v>0</v>
      </c>
      <c r="CL38" s="14">
        <f>[1]Sheet2!BP37</f>
        <v>0</v>
      </c>
      <c r="CM38" s="14">
        <f>[1]Sheet2!BQ37</f>
        <v>0</v>
      </c>
      <c r="CN38" s="16">
        <f>Demand_SW!B$4/28</f>
        <v>94.69780219780219</v>
      </c>
      <c r="CO38" s="16">
        <f>Demand_SW!C$4/28</f>
        <v>0</v>
      </c>
      <c r="CP38" s="16">
        <f>Demand_SW!D$4/28</f>
        <v>0</v>
      </c>
      <c r="CQ38" s="16">
        <f>Demand_SW!E$4/28</f>
        <v>0</v>
      </c>
      <c r="CR38" s="16">
        <f>Demand_SW!F$4/28</f>
        <v>0</v>
      </c>
      <c r="CS38" s="16">
        <f>Demand_SW!G$4/28</f>
        <v>85.714285714285708</v>
      </c>
      <c r="CT38" s="16">
        <f>Demand_SW!H$4/28</f>
        <v>0</v>
      </c>
      <c r="CU38" s="16">
        <f>Demand_SW!I$4/28</f>
        <v>0</v>
      </c>
      <c r="CV38" s="16">
        <f>Demand_SW!J$4/28</f>
        <v>0</v>
      </c>
      <c r="CW38" s="16">
        <f>Demand_SW!K$4/28</f>
        <v>0</v>
      </c>
      <c r="CX38" s="16">
        <f t="shared" si="26"/>
        <v>294.28571428571479</v>
      </c>
      <c r="CY38" s="16">
        <f t="shared" si="27"/>
        <v>1000</v>
      </c>
      <c r="CZ38" s="16">
        <f t="shared" si="28"/>
        <v>0</v>
      </c>
      <c r="DA38" s="16">
        <f t="shared" si="29"/>
        <v>0</v>
      </c>
      <c r="DB38" s="16">
        <f t="shared" si="30"/>
        <v>0</v>
      </c>
      <c r="DC38" s="16">
        <f t="shared" si="31"/>
        <v>557.14285714286257</v>
      </c>
      <c r="DD38" s="16">
        <f t="shared" si="32"/>
        <v>1000</v>
      </c>
      <c r="DE38" s="16">
        <f t="shared" si="33"/>
        <v>0</v>
      </c>
      <c r="DF38" s="16">
        <f t="shared" si="34"/>
        <v>0</v>
      </c>
      <c r="DG38" s="16">
        <f t="shared" si="35"/>
        <v>0</v>
      </c>
      <c r="DH38" s="14">
        <f>IF([1]Sheet2!DS37=999999,"NA",[1]Sheet2!DS37)</f>
        <v>3</v>
      </c>
      <c r="DI38" s="14">
        <f>IF([1]Sheet2!DT37=999999,"NA",[1]Sheet2!DT37)</f>
        <v>330</v>
      </c>
      <c r="DJ38" s="14" t="str">
        <f>IF([1]Sheet2!DU37=999999,"NA",[1]Sheet2!DU37)</f>
        <v>NA</v>
      </c>
      <c r="DK38" s="14" t="str">
        <f>IF([1]Sheet2!DV37=999999,"NA",[1]Sheet2!DV37)</f>
        <v>NA</v>
      </c>
      <c r="DL38" s="14" t="str">
        <f>IF([1]Sheet2!DW37=999999,"NA",[1]Sheet2!DW37)</f>
        <v>NA</v>
      </c>
      <c r="DM38" s="14">
        <f>IF([1]Sheet2!DX37=999999,"NA",[1]Sheet2!DX37)</f>
        <v>6</v>
      </c>
      <c r="DN38" s="14">
        <f>IF([1]Sheet2!DY37=999999,"NA",[1]Sheet2!DY37)</f>
        <v>330</v>
      </c>
      <c r="DO38" s="14" t="str">
        <f>IF([1]Sheet2!DZ37=999999,"NA",[1]Sheet2!DZ37)</f>
        <v>NA</v>
      </c>
      <c r="DP38" s="14" t="str">
        <f>IF([1]Sheet2!EA37=999999,"NA",[1]Sheet2!EA37)</f>
        <v>NA</v>
      </c>
      <c r="DQ38" s="14" t="str">
        <f>IF([1]Sheet2!EB37=999999,"NA",[1]Sheet2!EB37)</f>
        <v>NA</v>
      </c>
      <c r="DR38" s="14">
        <f>[1]Sheet2!CY37</f>
        <v>0</v>
      </c>
      <c r="DS38" s="14">
        <f>[1]Sheet2!CZ37</f>
        <v>0</v>
      </c>
      <c r="DT38" s="14">
        <f>[1]Sheet2!DA37</f>
        <v>0</v>
      </c>
      <c r="DU38" s="14">
        <f>[1]Sheet2!DB37</f>
        <v>0</v>
      </c>
      <c r="DV38" s="14">
        <f>[1]Sheet2!DC37</f>
        <v>0</v>
      </c>
      <c r="DW38" s="14">
        <f>[1]Sheet2!DD37</f>
        <v>0</v>
      </c>
      <c r="DX38" s="14">
        <f>[1]Sheet2!DE37</f>
        <v>0</v>
      </c>
      <c r="DY38" s="14">
        <f>[1]Sheet2!DF37</f>
        <v>0</v>
      </c>
      <c r="DZ38" s="14">
        <f>[1]Sheet2!DG37</f>
        <v>0</v>
      </c>
      <c r="EA38" s="14">
        <f>[1]Sheet2!DH37</f>
        <v>0</v>
      </c>
      <c r="EB38" s="6">
        <f>[1]Sheet2!EC37</f>
        <v>0</v>
      </c>
      <c r="EC38" s="6">
        <f>[1]Sheet2!ED37</f>
        <v>0</v>
      </c>
      <c r="ED38" s="6">
        <f>[1]Sheet2!EE37</f>
        <v>0</v>
      </c>
      <c r="EE38" s="6">
        <f>[1]Sheet2!EF37</f>
        <v>0</v>
      </c>
      <c r="EF38" s="6">
        <f>[1]Sheet2!EG37</f>
        <v>0</v>
      </c>
      <c r="EG38" s="6">
        <f>[1]Sheet2!EH37</f>
        <v>0</v>
      </c>
      <c r="EH38" s="6">
        <f>[1]Sheet2!EI37</f>
        <v>0</v>
      </c>
      <c r="EI38" s="6">
        <f>[1]Sheet2!EJ37</f>
        <v>0</v>
      </c>
      <c r="EJ38" s="6">
        <f>[1]Sheet2!EK37</f>
        <v>0</v>
      </c>
      <c r="EK38" s="6">
        <f>[1]Sheet2!EL37</f>
        <v>0</v>
      </c>
      <c r="EL38" s="6" t="str">
        <f>[1]Sheet2!EM37</f>
        <v/>
      </c>
      <c r="EM38" s="6" t="str">
        <f>[1]Sheet2!EN37</f>
        <v/>
      </c>
      <c r="EN38" s="6" t="str">
        <f>[1]Sheet2!EO37</f>
        <v/>
      </c>
      <c r="EO38" s="6" t="str">
        <f>[1]Sheet2!EP37</f>
        <v/>
      </c>
      <c r="EP38" s="6" t="str">
        <f>[1]Sheet2!EQ37</f>
        <v/>
      </c>
      <c r="EQ38" s="6" t="str">
        <f>[1]Sheet2!ER37</f>
        <v/>
      </c>
      <c r="ER38" s="6" t="str">
        <f>[1]Sheet2!ES37</f>
        <v/>
      </c>
      <c r="ES38" s="6" t="str">
        <f>[1]Sheet2!ET37</f>
        <v/>
      </c>
      <c r="ET38" s="6" t="str">
        <f>[1]Sheet2!EU37</f>
        <v/>
      </c>
      <c r="EU38" s="6" t="str">
        <f>[1]Sheet2!EV37</f>
        <v/>
      </c>
      <c r="EV38" s="6" t="str">
        <f>[1]Sheet2!EW37</f>
        <v/>
      </c>
      <c r="EW38" s="6" t="str">
        <f>[1]Sheet2!EX37</f>
        <v/>
      </c>
      <c r="EX38" s="6" t="str">
        <f>[1]Sheet2!EY37</f>
        <v/>
      </c>
      <c r="EY38" s="6" t="str">
        <f>[1]Sheet2!EZ37</f>
        <v/>
      </c>
      <c r="EZ38" s="6" t="str">
        <f>[1]Sheet2!FA37</f>
        <v/>
      </c>
      <c r="FA38" s="6" t="str">
        <f>[1]Sheet2!FB37</f>
        <v/>
      </c>
      <c r="FB38" s="6" t="str">
        <f>[1]Sheet2!FC37</f>
        <v/>
      </c>
      <c r="FC38" s="6" t="str">
        <f>[1]Sheet2!FD37</f>
        <v/>
      </c>
      <c r="FD38" s="6" t="str">
        <f>[1]Sheet2!FE37</f>
        <v/>
      </c>
      <c r="FE38" s="6" t="str">
        <f>[1]Sheet2!FF37</f>
        <v/>
      </c>
      <c r="FF38" s="6" t="str">
        <f>[1]Sheet2!FG37</f>
        <v/>
      </c>
      <c r="FG38" s="6" t="str">
        <f>[1]Sheet2!FH37</f>
        <v/>
      </c>
      <c r="FH38" s="6" t="str">
        <f>[1]Sheet2!FI37</f>
        <v/>
      </c>
      <c r="FI38" s="6" t="str">
        <f>[1]Sheet2!FJ37</f>
        <v/>
      </c>
      <c r="FJ38" s="6" t="str">
        <f>[1]Sheet2!FK37</f>
        <v/>
      </c>
      <c r="FK38" s="6" t="str">
        <f>[1]Sheet2!FL37</f>
        <v/>
      </c>
      <c r="FL38" s="6" t="str">
        <f>[1]Sheet2!FM37</f>
        <v/>
      </c>
      <c r="FM38" s="6" t="str">
        <f>[1]Sheet2!FN37</f>
        <v/>
      </c>
      <c r="FN38" s="6" t="str">
        <f>[1]Sheet2!FO37</f>
        <v/>
      </c>
      <c r="FO38" s="6" t="str">
        <f>[1]Sheet2!FP37</f>
        <v/>
      </c>
    </row>
    <row r="39" spans="1:171" x14ac:dyDescent="0.25">
      <c r="A39" s="15">
        <v>43501</v>
      </c>
      <c r="B39" s="1"/>
      <c r="C39" s="1"/>
      <c r="D39" s="1"/>
      <c r="E39" s="14">
        <f>[1]Sheet2!N38</f>
        <v>0</v>
      </c>
      <c r="F39" s="14">
        <f>[1]Sheet2!BE38</f>
        <v>0</v>
      </c>
      <c r="G39" s="14">
        <f>[1]Sheet2!CW38</f>
        <v>0</v>
      </c>
      <c r="H39" s="1"/>
      <c r="I39" s="1"/>
      <c r="J39" s="1"/>
      <c r="K39" s="16"/>
      <c r="L39" s="16">
        <f>Demand_CWRS!B$4/28</f>
        <v>131.68146963713369</v>
      </c>
      <c r="M39" s="16">
        <f>Demand_CWRS!C$4/28</f>
        <v>501.27216117216119</v>
      </c>
      <c r="N39" s="16">
        <f>Demand_CWRS!D$4/28</f>
        <v>0</v>
      </c>
      <c r="O39" s="16">
        <f>Demand_CWRS!E$4/28</f>
        <v>130.17472527472526</v>
      </c>
      <c r="P39" s="16">
        <f>Demand_CWRS!F$4/28</f>
        <v>262.94741300366297</v>
      </c>
      <c r="Q39" s="16">
        <f>Demand_CWRS!G$4/28</f>
        <v>127.85714285714286</v>
      </c>
      <c r="R39" s="16">
        <f>Demand_CWRS!H$4/28</f>
        <v>207.14285714285714</v>
      </c>
      <c r="S39" s="16">
        <f>Demand_CWRS!I$4/28</f>
        <v>214.28571428571428</v>
      </c>
      <c r="T39" s="16">
        <f>Demand_CWRS!J$4/28</f>
        <v>207.14285714285714</v>
      </c>
      <c r="U39" s="16">
        <f>Demand_CWRS!K$4/28</f>
        <v>221.42857142857142</v>
      </c>
      <c r="V39" s="16">
        <f t="shared" si="6"/>
        <v>-3368.2700084420781</v>
      </c>
      <c r="W39" s="16">
        <f t="shared" si="7"/>
        <v>-4999.3710622710632</v>
      </c>
      <c r="X39" s="16">
        <f t="shared" si="8"/>
        <v>0</v>
      </c>
      <c r="Y39" s="16">
        <f t="shared" si="9"/>
        <v>5284.0943223443346</v>
      </c>
      <c r="Z39" s="16">
        <f t="shared" si="10"/>
        <v>-2464.1760874542106</v>
      </c>
      <c r="AA39" s="16">
        <f t="shared" si="11"/>
        <v>-2239.2857142857169</v>
      </c>
      <c r="AB39" s="16">
        <f t="shared" si="12"/>
        <v>-8228.7245421245425</v>
      </c>
      <c r="AC39" s="16">
        <f t="shared" si="13"/>
        <v>-2271.4285714285711</v>
      </c>
      <c r="AD39" s="16">
        <f t="shared" si="14"/>
        <v>-2535.7142857142862</v>
      </c>
      <c r="AE39" s="16">
        <f t="shared" si="15"/>
        <v>-2807.1428571428551</v>
      </c>
      <c r="AF39" s="14">
        <f>IF([1]Sheet2!AJ38=999999,"NA",[1]Sheet2!AJ38)</f>
        <v>0</v>
      </c>
      <c r="AG39" s="14">
        <f>IF([1]Sheet2!AK38=999999,"NA",[1]Sheet2!AK38)</f>
        <v>0</v>
      </c>
      <c r="AH39" s="14" t="str">
        <f>IF([1]Sheet2!AL38=999999,"NA",[1]Sheet2!AL38)</f>
        <v>NA</v>
      </c>
      <c r="AI39" s="14">
        <f>IF([1]Sheet2!AM38=999999,"NA",[1]Sheet2!AM38)</f>
        <v>41</v>
      </c>
      <c r="AJ39" s="14">
        <f>IF([1]Sheet2!AN38=999999,"NA",[1]Sheet2!AN38)</f>
        <v>0</v>
      </c>
      <c r="AK39" s="14">
        <f>IF([1]Sheet2!AO38=999999,"NA",[1]Sheet2!AO38)</f>
        <v>0</v>
      </c>
      <c r="AL39" s="14">
        <f>IF([1]Sheet2!AP38=999999,"NA",[1]Sheet2!AP38)</f>
        <v>0</v>
      </c>
      <c r="AM39" s="14">
        <f>IF([1]Sheet2!AQ38=999999,"NA",[1]Sheet2!AQ38)</f>
        <v>0</v>
      </c>
      <c r="AN39" s="14">
        <f>IF([1]Sheet2!AR38=999999,"NA",[1]Sheet2!AR38)</f>
        <v>0</v>
      </c>
      <c r="AO39" s="14">
        <f>IF([1]Sheet2!AS38=999999,"NA",[1]Sheet2!AS38)</f>
        <v>0</v>
      </c>
      <c r="AP39" s="14">
        <f>[1]Sheet2!P38</f>
        <v>0</v>
      </c>
      <c r="AQ39" s="14">
        <f>[1]Sheet2!Q38</f>
        <v>0</v>
      </c>
      <c r="AR39" s="14">
        <f>[1]Sheet2!R38</f>
        <v>0</v>
      </c>
      <c r="AS39" s="14">
        <f>[1]Sheet2!S38</f>
        <v>0</v>
      </c>
      <c r="AT39" s="14">
        <f>[1]Sheet2!T38</f>
        <v>0</v>
      </c>
      <c r="AU39" s="14">
        <f>[1]Sheet2!U38</f>
        <v>0</v>
      </c>
      <c r="AV39" s="14">
        <f>[1]Sheet2!V38</f>
        <v>0</v>
      </c>
      <c r="AW39" s="14">
        <f>[1]Sheet2!W38</f>
        <v>0</v>
      </c>
      <c r="AX39" s="14">
        <f>[1]Sheet2!X38</f>
        <v>0</v>
      </c>
      <c r="AY39" s="14">
        <f>[1]Sheet2!Y38</f>
        <v>0</v>
      </c>
      <c r="AZ39" s="16">
        <f>Demand_LP!B$4/28</f>
        <v>811.09813487293957</v>
      </c>
      <c r="BA39" s="16">
        <f>Demand_LP!C$4/28</f>
        <v>502.83223443223443</v>
      </c>
      <c r="BB39" s="16">
        <f>Demand_LP!D$4/28</f>
        <v>282.53663003663002</v>
      </c>
      <c r="BC39" s="16">
        <f>Demand_LP!E$4/28</f>
        <v>759.73919413919407</v>
      </c>
      <c r="BD39" s="16">
        <f>Demand_LP!F$4/28</f>
        <v>495.28213999542123</v>
      </c>
      <c r="BE39" s="16">
        <f>Demand_LP!G$4/28</f>
        <v>496.42857142857144</v>
      </c>
      <c r="BF39" s="16">
        <f>Demand_LP!H$4/28</f>
        <v>535.71428571428567</v>
      </c>
      <c r="BG39" s="16">
        <f>Demand_LP!I$4/28</f>
        <v>496.42857142857144</v>
      </c>
      <c r="BH39" s="16">
        <f>Demand_LP!J$4/28</f>
        <v>482.14285714285717</v>
      </c>
      <c r="BI39" s="16">
        <f>Demand_LP!K$4/28</f>
        <v>471.42857142857144</v>
      </c>
      <c r="BJ39" s="16">
        <f t="shared" si="16"/>
        <v>-9648.544119877517</v>
      </c>
      <c r="BK39" s="16">
        <f t="shared" si="17"/>
        <v>-17077.279120879113</v>
      </c>
      <c r="BL39" s="16">
        <f t="shared" si="18"/>
        <v>1419.8168498168484</v>
      </c>
      <c r="BM39" s="16">
        <f t="shared" si="19"/>
        <v>-15391.420329670331</v>
      </c>
      <c r="BN39" s="16">
        <f t="shared" si="20"/>
        <v>-7426.809818566845</v>
      </c>
      <c r="BO39" s="16">
        <f t="shared" si="21"/>
        <v>-6482.1428571428614</v>
      </c>
      <c r="BP39" s="16">
        <f t="shared" si="22"/>
        <v>-10678.571428571428</v>
      </c>
      <c r="BQ39" s="16">
        <f t="shared" si="23"/>
        <v>-6482.1428571428614</v>
      </c>
      <c r="BR39" s="16">
        <f t="shared" si="24"/>
        <v>-4410.7142857142881</v>
      </c>
      <c r="BS39" s="16">
        <f t="shared" si="25"/>
        <v>-5357.1428571428578</v>
      </c>
      <c r="BT39" s="14">
        <f>IF([1]Sheet2!CB38=999999,"NA",[1]Sheet2!CB38)</f>
        <v>0</v>
      </c>
      <c r="BU39" s="14">
        <f>IF([1]Sheet2!CC38=999999,"NA",[1]Sheet2!CC38)</f>
        <v>0</v>
      </c>
      <c r="BV39" s="14">
        <f>IF([1]Sheet2!CD38=999999,"NA",[1]Sheet2!CD38)</f>
        <v>5</v>
      </c>
      <c r="BW39" s="14">
        <f>IF([1]Sheet2!CE38=999999,"NA",[1]Sheet2!CE38)</f>
        <v>0</v>
      </c>
      <c r="BX39" s="14">
        <f>IF([1]Sheet2!CF38=999999,"NA",[1]Sheet2!CF38)</f>
        <v>0</v>
      </c>
      <c r="BY39" s="14">
        <f>IF([1]Sheet2!CG38=999999,"NA",[1]Sheet2!CG38)</f>
        <v>0</v>
      </c>
      <c r="BZ39" s="14">
        <f>IF([1]Sheet2!CH38=999999,"NA",[1]Sheet2!CH38)</f>
        <v>0</v>
      </c>
      <c r="CA39" s="14">
        <f>IF([1]Sheet2!CI38=999999,"NA",[1]Sheet2!CI38)</f>
        <v>0</v>
      </c>
      <c r="CB39" s="14">
        <f>IF([1]Sheet2!CJ38=999999,"NA",[1]Sheet2!CJ38)</f>
        <v>0</v>
      </c>
      <c r="CC39" s="14">
        <f>IF([1]Sheet2!CK38=999999,"NA",[1]Sheet2!CK38)</f>
        <v>0</v>
      </c>
      <c r="CD39" s="14">
        <f>[1]Sheet2!BH38</f>
        <v>0</v>
      </c>
      <c r="CE39" s="14">
        <f>[1]Sheet2!BI38</f>
        <v>0</v>
      </c>
      <c r="CF39" s="14">
        <f>[1]Sheet2!BJ38</f>
        <v>0</v>
      </c>
      <c r="CG39" s="14">
        <f>[1]Sheet2!BK38</f>
        <v>0</v>
      </c>
      <c r="CH39" s="14">
        <f>[1]Sheet2!BL38</f>
        <v>0</v>
      </c>
      <c r="CI39" s="14">
        <f>[1]Sheet2!BM38</f>
        <v>0</v>
      </c>
      <c r="CJ39" s="14">
        <f>[1]Sheet2!BN38</f>
        <v>0</v>
      </c>
      <c r="CK39" s="14">
        <f>[1]Sheet2!BO38</f>
        <v>0</v>
      </c>
      <c r="CL39" s="14">
        <f>[1]Sheet2!BP38</f>
        <v>0</v>
      </c>
      <c r="CM39" s="14">
        <f>[1]Sheet2!BQ38</f>
        <v>0</v>
      </c>
      <c r="CN39" s="16">
        <f>Demand_SW!B$4/28</f>
        <v>94.69780219780219</v>
      </c>
      <c r="CO39" s="16">
        <f>Demand_SW!C$4/28</f>
        <v>0</v>
      </c>
      <c r="CP39" s="16">
        <f>Demand_SW!D$4/28</f>
        <v>0</v>
      </c>
      <c r="CQ39" s="16">
        <f>Demand_SW!E$4/28</f>
        <v>0</v>
      </c>
      <c r="CR39" s="16">
        <f>Demand_SW!F$4/28</f>
        <v>0</v>
      </c>
      <c r="CS39" s="16">
        <f>Demand_SW!G$4/28</f>
        <v>85.714285714285708</v>
      </c>
      <c r="CT39" s="16">
        <f>Demand_SW!H$4/28</f>
        <v>0</v>
      </c>
      <c r="CU39" s="16">
        <f>Demand_SW!I$4/28</f>
        <v>0</v>
      </c>
      <c r="CV39" s="16">
        <f>Demand_SW!J$4/28</f>
        <v>0</v>
      </c>
      <c r="CW39" s="16">
        <f>Demand_SW!K$4/28</f>
        <v>0</v>
      </c>
      <c r="CX39" s="16">
        <f t="shared" si="26"/>
        <v>199.5879120879126</v>
      </c>
      <c r="CY39" s="16">
        <f t="shared" si="27"/>
        <v>1000</v>
      </c>
      <c r="CZ39" s="16">
        <f t="shared" si="28"/>
        <v>0</v>
      </c>
      <c r="DA39" s="16">
        <f t="shared" si="29"/>
        <v>0</v>
      </c>
      <c r="DB39" s="16">
        <f t="shared" si="30"/>
        <v>0</v>
      </c>
      <c r="DC39" s="16">
        <f t="shared" si="31"/>
        <v>471.42857142857684</v>
      </c>
      <c r="DD39" s="16">
        <f t="shared" si="32"/>
        <v>1000</v>
      </c>
      <c r="DE39" s="16">
        <f t="shared" si="33"/>
        <v>0</v>
      </c>
      <c r="DF39" s="16">
        <f t="shared" si="34"/>
        <v>0</v>
      </c>
      <c r="DG39" s="16">
        <f t="shared" si="35"/>
        <v>0</v>
      </c>
      <c r="DH39" s="14">
        <f>IF([1]Sheet2!DS38=999999,"NA",[1]Sheet2!DS38)</f>
        <v>2</v>
      </c>
      <c r="DI39" s="14">
        <f>IF([1]Sheet2!DT38=999999,"NA",[1]Sheet2!DT38)</f>
        <v>329</v>
      </c>
      <c r="DJ39" s="14" t="str">
        <f>IF([1]Sheet2!DU38=999999,"NA",[1]Sheet2!DU38)</f>
        <v>NA</v>
      </c>
      <c r="DK39" s="14" t="str">
        <f>IF([1]Sheet2!DV38=999999,"NA",[1]Sheet2!DV38)</f>
        <v>NA</v>
      </c>
      <c r="DL39" s="14" t="str">
        <f>IF([1]Sheet2!DW38=999999,"NA",[1]Sheet2!DW38)</f>
        <v>NA</v>
      </c>
      <c r="DM39" s="14">
        <f>IF([1]Sheet2!DX38=999999,"NA",[1]Sheet2!DX38)</f>
        <v>5</v>
      </c>
      <c r="DN39" s="14">
        <f>IF([1]Sheet2!DY38=999999,"NA",[1]Sheet2!DY38)</f>
        <v>329</v>
      </c>
      <c r="DO39" s="14" t="str">
        <f>IF([1]Sheet2!DZ38=999999,"NA",[1]Sheet2!DZ38)</f>
        <v>NA</v>
      </c>
      <c r="DP39" s="14" t="str">
        <f>IF([1]Sheet2!EA38=999999,"NA",[1]Sheet2!EA38)</f>
        <v>NA</v>
      </c>
      <c r="DQ39" s="14" t="str">
        <f>IF([1]Sheet2!EB38=999999,"NA",[1]Sheet2!EB38)</f>
        <v>NA</v>
      </c>
      <c r="DR39" s="14">
        <f>[1]Sheet2!CY38</f>
        <v>0</v>
      </c>
      <c r="DS39" s="14">
        <f>[1]Sheet2!CZ38</f>
        <v>0</v>
      </c>
      <c r="DT39" s="14">
        <f>[1]Sheet2!DA38</f>
        <v>0</v>
      </c>
      <c r="DU39" s="14">
        <f>[1]Sheet2!DB38</f>
        <v>0</v>
      </c>
      <c r="DV39" s="14">
        <f>[1]Sheet2!DC38</f>
        <v>0</v>
      </c>
      <c r="DW39" s="14">
        <f>[1]Sheet2!DD38</f>
        <v>0</v>
      </c>
      <c r="DX39" s="14">
        <f>[1]Sheet2!DE38</f>
        <v>0</v>
      </c>
      <c r="DY39" s="14">
        <f>[1]Sheet2!DF38</f>
        <v>0</v>
      </c>
      <c r="DZ39" s="14">
        <f>[1]Sheet2!DG38</f>
        <v>0</v>
      </c>
      <c r="EA39" s="14">
        <f>[1]Sheet2!DH38</f>
        <v>0</v>
      </c>
      <c r="EB39" s="6">
        <f>[1]Sheet2!EC38</f>
        <v>0</v>
      </c>
      <c r="EC39" s="6">
        <f>[1]Sheet2!ED38</f>
        <v>0</v>
      </c>
      <c r="ED39" s="6">
        <f>[1]Sheet2!EE38</f>
        <v>0</v>
      </c>
      <c r="EE39" s="6">
        <f>[1]Sheet2!EF38</f>
        <v>0</v>
      </c>
      <c r="EF39" s="6">
        <f>[1]Sheet2!EG38</f>
        <v>0</v>
      </c>
      <c r="EG39" s="6">
        <f>[1]Sheet2!EH38</f>
        <v>0</v>
      </c>
      <c r="EH39" s="6">
        <f>[1]Sheet2!EI38</f>
        <v>0</v>
      </c>
      <c r="EI39" s="6">
        <f>[1]Sheet2!EJ38</f>
        <v>0</v>
      </c>
      <c r="EJ39" s="6">
        <f>[1]Sheet2!EK38</f>
        <v>0</v>
      </c>
      <c r="EK39" s="6">
        <f>[1]Sheet2!EL38</f>
        <v>0</v>
      </c>
      <c r="EL39" s="6" t="str">
        <f>[1]Sheet2!EM38</f>
        <v/>
      </c>
      <c r="EM39" s="6" t="str">
        <f>[1]Sheet2!EN38</f>
        <v/>
      </c>
      <c r="EN39" s="6" t="str">
        <f>[1]Sheet2!EO38</f>
        <v/>
      </c>
      <c r="EO39" s="6" t="str">
        <f>[1]Sheet2!EP38</f>
        <v/>
      </c>
      <c r="EP39" s="6" t="str">
        <f>[1]Sheet2!EQ38</f>
        <v/>
      </c>
      <c r="EQ39" s="6" t="str">
        <f>[1]Sheet2!ER38</f>
        <v/>
      </c>
      <c r="ER39" s="6" t="str">
        <f>[1]Sheet2!ES38</f>
        <v/>
      </c>
      <c r="ES39" s="6" t="str">
        <f>[1]Sheet2!ET38</f>
        <v/>
      </c>
      <c r="ET39" s="6" t="str">
        <f>[1]Sheet2!EU38</f>
        <v/>
      </c>
      <c r="EU39" s="6" t="str">
        <f>[1]Sheet2!EV38</f>
        <v/>
      </c>
      <c r="EV39" s="6" t="str">
        <f>[1]Sheet2!EW38</f>
        <v/>
      </c>
      <c r="EW39" s="6" t="str">
        <f>[1]Sheet2!EX38</f>
        <v/>
      </c>
      <c r="EX39" s="6" t="str">
        <f>[1]Sheet2!EY38</f>
        <v/>
      </c>
      <c r="EY39" s="6" t="str">
        <f>[1]Sheet2!EZ38</f>
        <v/>
      </c>
      <c r="EZ39" s="6" t="str">
        <f>[1]Sheet2!FA38</f>
        <v/>
      </c>
      <c r="FA39" s="6" t="str">
        <f>[1]Sheet2!FB38</f>
        <v/>
      </c>
      <c r="FB39" s="6" t="str">
        <f>[1]Sheet2!FC38</f>
        <v/>
      </c>
      <c r="FC39" s="6" t="str">
        <f>[1]Sheet2!FD38</f>
        <v/>
      </c>
      <c r="FD39" s="6" t="str">
        <f>[1]Sheet2!FE38</f>
        <v/>
      </c>
      <c r="FE39" s="6" t="str">
        <f>[1]Sheet2!FF38</f>
        <v/>
      </c>
      <c r="FF39" s="6" t="str">
        <f>[1]Sheet2!FG38</f>
        <v/>
      </c>
      <c r="FG39" s="6" t="str">
        <f>[1]Sheet2!FH38</f>
        <v/>
      </c>
      <c r="FH39" s="6" t="str">
        <f>[1]Sheet2!FI38</f>
        <v/>
      </c>
      <c r="FI39" s="6" t="str">
        <f>[1]Sheet2!FJ38</f>
        <v/>
      </c>
      <c r="FJ39" s="6" t="str">
        <f>[1]Sheet2!FK38</f>
        <v/>
      </c>
      <c r="FK39" s="6" t="str">
        <f>[1]Sheet2!FL38</f>
        <v/>
      </c>
      <c r="FL39" s="6" t="str">
        <f>[1]Sheet2!FM38</f>
        <v/>
      </c>
      <c r="FM39" s="6" t="str">
        <f>[1]Sheet2!FN38</f>
        <v/>
      </c>
      <c r="FN39" s="6" t="str">
        <f>[1]Sheet2!FO38</f>
        <v/>
      </c>
      <c r="FO39" s="6" t="str">
        <f>[1]Sheet2!FP38</f>
        <v/>
      </c>
    </row>
    <row r="40" spans="1:171" x14ac:dyDescent="0.25">
      <c r="A40" s="15">
        <v>43502</v>
      </c>
      <c r="B40" s="1"/>
      <c r="C40" s="1"/>
      <c r="D40" s="1"/>
      <c r="E40" s="14">
        <f>[1]Sheet2!N39</f>
        <v>0</v>
      </c>
      <c r="F40" s="14">
        <f>[1]Sheet2!BE39</f>
        <v>48000</v>
      </c>
      <c r="G40" s="14">
        <f>[1]Sheet2!CW39</f>
        <v>0</v>
      </c>
      <c r="H40" s="1"/>
      <c r="I40" s="1"/>
      <c r="J40" s="1"/>
      <c r="K40" s="16"/>
      <c r="L40" s="16">
        <f>Demand_CWRS!B$4/28</f>
        <v>131.68146963713369</v>
      </c>
      <c r="M40" s="16">
        <f>Demand_CWRS!C$4/28</f>
        <v>501.27216117216119</v>
      </c>
      <c r="N40" s="16">
        <f>Demand_CWRS!D$4/28</f>
        <v>0</v>
      </c>
      <c r="O40" s="16">
        <f>Demand_CWRS!E$4/28</f>
        <v>130.17472527472526</v>
      </c>
      <c r="P40" s="16">
        <f>Demand_CWRS!F$4/28</f>
        <v>262.94741300366297</v>
      </c>
      <c r="Q40" s="16">
        <f>Demand_CWRS!G$4/28</f>
        <v>127.85714285714286</v>
      </c>
      <c r="R40" s="16">
        <f>Demand_CWRS!H$4/28</f>
        <v>207.14285714285714</v>
      </c>
      <c r="S40" s="16">
        <f>Demand_CWRS!I$4/28</f>
        <v>214.28571428571428</v>
      </c>
      <c r="T40" s="16">
        <f>Demand_CWRS!J$4/28</f>
        <v>207.14285714285714</v>
      </c>
      <c r="U40" s="16">
        <f>Demand_CWRS!K$4/28</f>
        <v>221.42857142857142</v>
      </c>
      <c r="V40" s="16">
        <f t="shared" si="6"/>
        <v>-3499.9514780792119</v>
      </c>
      <c r="W40" s="16">
        <f t="shared" si="7"/>
        <v>-5500.6432234432241</v>
      </c>
      <c r="X40" s="16">
        <f t="shared" si="8"/>
        <v>0</v>
      </c>
      <c r="Y40" s="16">
        <f t="shared" si="9"/>
        <v>5153.9195970696092</v>
      </c>
      <c r="Z40" s="16">
        <f t="shared" si="10"/>
        <v>-2727.1235004578734</v>
      </c>
      <c r="AA40" s="16">
        <f t="shared" si="11"/>
        <v>-2367.1428571428596</v>
      </c>
      <c r="AB40" s="16">
        <f t="shared" si="12"/>
        <v>-8435.8673992673994</v>
      </c>
      <c r="AC40" s="16">
        <f t="shared" si="13"/>
        <v>-2485.7142857142853</v>
      </c>
      <c r="AD40" s="16">
        <f t="shared" si="14"/>
        <v>-2742.8571428571436</v>
      </c>
      <c r="AE40" s="16">
        <f t="shared" si="15"/>
        <v>-3028.5714285714266</v>
      </c>
      <c r="AF40" s="14">
        <f>IF([1]Sheet2!AJ39=999999,"NA",[1]Sheet2!AJ39)</f>
        <v>0</v>
      </c>
      <c r="AG40" s="14">
        <f>IF([1]Sheet2!AK39=999999,"NA",[1]Sheet2!AK39)</f>
        <v>0</v>
      </c>
      <c r="AH40" s="14" t="str">
        <f>IF([1]Sheet2!AL39=999999,"NA",[1]Sheet2!AL39)</f>
        <v>NA</v>
      </c>
      <c r="AI40" s="14">
        <f>IF([1]Sheet2!AM39=999999,"NA",[1]Sheet2!AM39)</f>
        <v>40</v>
      </c>
      <c r="AJ40" s="14">
        <f>IF([1]Sheet2!AN39=999999,"NA",[1]Sheet2!AN39)</f>
        <v>0</v>
      </c>
      <c r="AK40" s="14">
        <f>IF([1]Sheet2!AO39=999999,"NA",[1]Sheet2!AO39)</f>
        <v>0</v>
      </c>
      <c r="AL40" s="14">
        <f>IF([1]Sheet2!AP39=999999,"NA",[1]Sheet2!AP39)</f>
        <v>0</v>
      </c>
      <c r="AM40" s="14">
        <f>IF([1]Sheet2!AQ39=999999,"NA",[1]Sheet2!AQ39)</f>
        <v>0</v>
      </c>
      <c r="AN40" s="14">
        <f>IF([1]Sheet2!AR39=999999,"NA",[1]Sheet2!AR39)</f>
        <v>0</v>
      </c>
      <c r="AO40" s="14">
        <f>IF([1]Sheet2!AS39=999999,"NA",[1]Sheet2!AS39)</f>
        <v>0</v>
      </c>
      <c r="AP40" s="14">
        <f>[1]Sheet2!P39</f>
        <v>0</v>
      </c>
      <c r="AQ40" s="14">
        <f>[1]Sheet2!Q39</f>
        <v>0</v>
      </c>
      <c r="AR40" s="14">
        <f>[1]Sheet2!R39</f>
        <v>0</v>
      </c>
      <c r="AS40" s="14">
        <f>[1]Sheet2!S39</f>
        <v>0</v>
      </c>
      <c r="AT40" s="14">
        <f>[1]Sheet2!T39</f>
        <v>0</v>
      </c>
      <c r="AU40" s="14">
        <f>[1]Sheet2!U39</f>
        <v>0</v>
      </c>
      <c r="AV40" s="14">
        <f>[1]Sheet2!V39</f>
        <v>0</v>
      </c>
      <c r="AW40" s="14">
        <f>[1]Sheet2!W39</f>
        <v>0</v>
      </c>
      <c r="AX40" s="14">
        <f>[1]Sheet2!X39</f>
        <v>0</v>
      </c>
      <c r="AY40" s="14">
        <f>[1]Sheet2!Y39</f>
        <v>0</v>
      </c>
      <c r="AZ40" s="16">
        <f>Demand_LP!B$4/28</f>
        <v>811.09813487293957</v>
      </c>
      <c r="BA40" s="16">
        <f>Demand_LP!C$4/28</f>
        <v>502.83223443223443</v>
      </c>
      <c r="BB40" s="16">
        <f>Demand_LP!D$4/28</f>
        <v>282.53663003663002</v>
      </c>
      <c r="BC40" s="16">
        <f>Demand_LP!E$4/28</f>
        <v>759.73919413919407</v>
      </c>
      <c r="BD40" s="16">
        <f>Demand_LP!F$4/28</f>
        <v>495.28213999542123</v>
      </c>
      <c r="BE40" s="16">
        <f>Demand_LP!G$4/28</f>
        <v>496.42857142857144</v>
      </c>
      <c r="BF40" s="16">
        <f>Demand_LP!H$4/28</f>
        <v>535.71428571428567</v>
      </c>
      <c r="BG40" s="16">
        <f>Demand_LP!I$4/28</f>
        <v>496.42857142857144</v>
      </c>
      <c r="BH40" s="16">
        <f>Demand_LP!J$4/28</f>
        <v>482.14285714285717</v>
      </c>
      <c r="BI40" s="16">
        <f>Demand_LP!K$4/28</f>
        <v>471.42857142857144</v>
      </c>
      <c r="BJ40" s="16">
        <f t="shared" si="16"/>
        <v>-10459.642254750457</v>
      </c>
      <c r="BK40" s="16">
        <f t="shared" si="17"/>
        <v>-17580.111355311346</v>
      </c>
      <c r="BL40" s="16">
        <f t="shared" si="18"/>
        <v>1137.2802197802184</v>
      </c>
      <c r="BM40" s="16">
        <f t="shared" si="19"/>
        <v>-16151.159523809525</v>
      </c>
      <c r="BN40" s="16">
        <f t="shared" si="20"/>
        <v>-7922.091958562266</v>
      </c>
      <c r="BO40" s="16">
        <f t="shared" si="21"/>
        <v>-6978.571428571433</v>
      </c>
      <c r="BP40" s="16">
        <f t="shared" si="22"/>
        <v>-11214.285714285714</v>
      </c>
      <c r="BQ40" s="16">
        <f t="shared" si="23"/>
        <v>-6978.571428571433</v>
      </c>
      <c r="BR40" s="16">
        <f t="shared" si="24"/>
        <v>-4892.8571428571449</v>
      </c>
      <c r="BS40" s="16">
        <f t="shared" si="25"/>
        <v>-5828.5714285714294</v>
      </c>
      <c r="BT40" s="14">
        <f>IF([1]Sheet2!CB39=999999,"NA",[1]Sheet2!CB39)</f>
        <v>0</v>
      </c>
      <c r="BU40" s="14">
        <f>IF([1]Sheet2!CC39=999999,"NA",[1]Sheet2!CC39)</f>
        <v>0</v>
      </c>
      <c r="BV40" s="14">
        <f>IF([1]Sheet2!CD39=999999,"NA",[1]Sheet2!CD39)</f>
        <v>4</v>
      </c>
      <c r="BW40" s="14">
        <f>IF([1]Sheet2!CE39=999999,"NA",[1]Sheet2!CE39)</f>
        <v>0</v>
      </c>
      <c r="BX40" s="14">
        <f>IF([1]Sheet2!CF39=999999,"NA",[1]Sheet2!CF39)</f>
        <v>0</v>
      </c>
      <c r="BY40" s="14">
        <f>IF([1]Sheet2!CG39=999999,"NA",[1]Sheet2!CG39)</f>
        <v>0</v>
      </c>
      <c r="BZ40" s="14">
        <f>IF([1]Sheet2!CH39=999999,"NA",[1]Sheet2!CH39)</f>
        <v>0</v>
      </c>
      <c r="CA40" s="14">
        <f>IF([1]Sheet2!CI39=999999,"NA",[1]Sheet2!CI39)</f>
        <v>0</v>
      </c>
      <c r="CB40" s="14">
        <f>IF([1]Sheet2!CJ39=999999,"NA",[1]Sheet2!CJ39)</f>
        <v>0</v>
      </c>
      <c r="CC40" s="14">
        <f>IF([1]Sheet2!CK39=999999,"NA",[1]Sheet2!CK39)</f>
        <v>0</v>
      </c>
      <c r="CD40" s="14">
        <f>[1]Sheet2!BH39</f>
        <v>0</v>
      </c>
      <c r="CE40" s="14">
        <f>[1]Sheet2!BI39</f>
        <v>0</v>
      </c>
      <c r="CF40" s="14">
        <f>[1]Sheet2!BJ39</f>
        <v>0</v>
      </c>
      <c r="CG40" s="14">
        <f>[1]Sheet2!BK39</f>
        <v>0</v>
      </c>
      <c r="CH40" s="14">
        <f>[1]Sheet2!BL39</f>
        <v>0</v>
      </c>
      <c r="CI40" s="14">
        <f>[1]Sheet2!BM39</f>
        <v>0</v>
      </c>
      <c r="CJ40" s="14">
        <f>[1]Sheet2!BN39</f>
        <v>0</v>
      </c>
      <c r="CK40" s="14">
        <f>[1]Sheet2!BO39</f>
        <v>0</v>
      </c>
      <c r="CL40" s="14">
        <f>[1]Sheet2!BP39</f>
        <v>0</v>
      </c>
      <c r="CM40" s="14">
        <f>[1]Sheet2!BQ39</f>
        <v>0</v>
      </c>
      <c r="CN40" s="16">
        <f>Demand_SW!B$4/28</f>
        <v>94.69780219780219</v>
      </c>
      <c r="CO40" s="16">
        <f>Demand_SW!C$4/28</f>
        <v>0</v>
      </c>
      <c r="CP40" s="16">
        <f>Demand_SW!D$4/28</f>
        <v>0</v>
      </c>
      <c r="CQ40" s="16">
        <f>Demand_SW!E$4/28</f>
        <v>0</v>
      </c>
      <c r="CR40" s="16">
        <f>Demand_SW!F$4/28</f>
        <v>0</v>
      </c>
      <c r="CS40" s="16">
        <f>Demand_SW!G$4/28</f>
        <v>85.714285714285708</v>
      </c>
      <c r="CT40" s="16">
        <f>Demand_SW!H$4/28</f>
        <v>0</v>
      </c>
      <c r="CU40" s="16">
        <f>Demand_SW!I$4/28</f>
        <v>0</v>
      </c>
      <c r="CV40" s="16">
        <f>Demand_SW!J$4/28</f>
        <v>0</v>
      </c>
      <c r="CW40" s="16">
        <f>Demand_SW!K$4/28</f>
        <v>0</v>
      </c>
      <c r="CX40" s="16">
        <f t="shared" si="26"/>
        <v>104.89010989011041</v>
      </c>
      <c r="CY40" s="16">
        <f t="shared" si="27"/>
        <v>1000</v>
      </c>
      <c r="CZ40" s="16">
        <f t="shared" si="28"/>
        <v>0</v>
      </c>
      <c r="DA40" s="16">
        <f t="shared" si="29"/>
        <v>0</v>
      </c>
      <c r="DB40" s="16">
        <f t="shared" si="30"/>
        <v>0</v>
      </c>
      <c r="DC40" s="16">
        <f t="shared" si="31"/>
        <v>385.71428571429112</v>
      </c>
      <c r="DD40" s="16">
        <f t="shared" si="32"/>
        <v>1000</v>
      </c>
      <c r="DE40" s="16">
        <f t="shared" si="33"/>
        <v>0</v>
      </c>
      <c r="DF40" s="16">
        <f t="shared" si="34"/>
        <v>0</v>
      </c>
      <c r="DG40" s="16">
        <f t="shared" si="35"/>
        <v>0</v>
      </c>
      <c r="DH40" s="14">
        <f>IF([1]Sheet2!DS39=999999,"NA",[1]Sheet2!DS39)</f>
        <v>1</v>
      </c>
      <c r="DI40" s="14">
        <f>IF([1]Sheet2!DT39=999999,"NA",[1]Sheet2!DT39)</f>
        <v>328</v>
      </c>
      <c r="DJ40" s="14" t="str">
        <f>IF([1]Sheet2!DU39=999999,"NA",[1]Sheet2!DU39)</f>
        <v>NA</v>
      </c>
      <c r="DK40" s="14" t="str">
        <f>IF([1]Sheet2!DV39=999999,"NA",[1]Sheet2!DV39)</f>
        <v>NA</v>
      </c>
      <c r="DL40" s="14" t="str">
        <f>IF([1]Sheet2!DW39=999999,"NA",[1]Sheet2!DW39)</f>
        <v>NA</v>
      </c>
      <c r="DM40" s="14">
        <f>IF([1]Sheet2!DX39=999999,"NA",[1]Sheet2!DX39)</f>
        <v>4</v>
      </c>
      <c r="DN40" s="14">
        <f>IF([1]Sheet2!DY39=999999,"NA",[1]Sheet2!DY39)</f>
        <v>328</v>
      </c>
      <c r="DO40" s="14" t="str">
        <f>IF([1]Sheet2!DZ39=999999,"NA",[1]Sheet2!DZ39)</f>
        <v>NA</v>
      </c>
      <c r="DP40" s="14" t="str">
        <f>IF([1]Sheet2!EA39=999999,"NA",[1]Sheet2!EA39)</f>
        <v>NA</v>
      </c>
      <c r="DQ40" s="14" t="str">
        <f>IF([1]Sheet2!EB39=999999,"NA",[1]Sheet2!EB39)</f>
        <v>NA</v>
      </c>
      <c r="DR40" s="14">
        <f>[1]Sheet2!CY39</f>
        <v>0</v>
      </c>
      <c r="DS40" s="14">
        <f>[1]Sheet2!CZ39</f>
        <v>0</v>
      </c>
      <c r="DT40" s="14">
        <f>[1]Sheet2!DA39</f>
        <v>0</v>
      </c>
      <c r="DU40" s="14">
        <f>[1]Sheet2!DB39</f>
        <v>0</v>
      </c>
      <c r="DV40" s="14">
        <f>[1]Sheet2!DC39</f>
        <v>0</v>
      </c>
      <c r="DW40" s="14">
        <f>[1]Sheet2!DD39</f>
        <v>0</v>
      </c>
      <c r="DX40" s="14">
        <f>[1]Sheet2!DE39</f>
        <v>0</v>
      </c>
      <c r="DY40" s="14">
        <f>[1]Sheet2!DF39</f>
        <v>0</v>
      </c>
      <c r="DZ40" s="14">
        <f>[1]Sheet2!DG39</f>
        <v>0</v>
      </c>
      <c r="EA40" s="14">
        <f>[1]Sheet2!DH39</f>
        <v>0</v>
      </c>
      <c r="EB40" s="6">
        <f>[1]Sheet2!EC39</f>
        <v>0</v>
      </c>
      <c r="EC40" s="6">
        <f>[1]Sheet2!ED39</f>
        <v>0</v>
      </c>
      <c r="ED40" s="6">
        <f>[1]Sheet2!EE39</f>
        <v>0</v>
      </c>
      <c r="EE40" s="6">
        <f>[1]Sheet2!EF39</f>
        <v>0</v>
      </c>
      <c r="EF40" s="6">
        <f>[1]Sheet2!EG39</f>
        <v>0</v>
      </c>
      <c r="EG40" s="6">
        <f>[1]Sheet2!EH39</f>
        <v>0</v>
      </c>
      <c r="EH40" s="6">
        <f>[1]Sheet2!EI39</f>
        <v>0</v>
      </c>
      <c r="EI40" s="6">
        <f>[1]Sheet2!EJ39</f>
        <v>0</v>
      </c>
      <c r="EJ40" s="6">
        <f>[1]Sheet2!EK39</f>
        <v>0</v>
      </c>
      <c r="EK40" s="6">
        <f>[1]Sheet2!EL39</f>
        <v>0</v>
      </c>
      <c r="EL40" s="6" t="str">
        <f>[1]Sheet2!EM39</f>
        <v/>
      </c>
      <c r="EM40" s="6" t="str">
        <f>[1]Sheet2!EN39</f>
        <v/>
      </c>
      <c r="EN40" s="6" t="str">
        <f>[1]Sheet2!EO39</f>
        <v/>
      </c>
      <c r="EO40" s="6" t="str">
        <f>[1]Sheet2!EP39</f>
        <v/>
      </c>
      <c r="EP40" s="6" t="str">
        <f>[1]Sheet2!EQ39</f>
        <v/>
      </c>
      <c r="EQ40" s="6" t="str">
        <f>[1]Sheet2!ER39</f>
        <v/>
      </c>
      <c r="ER40" s="6" t="str">
        <f>[1]Sheet2!ES39</f>
        <v/>
      </c>
      <c r="ES40" s="6" t="str">
        <f>[1]Sheet2!ET39</f>
        <v/>
      </c>
      <c r="ET40" s="6" t="str">
        <f>[1]Sheet2!EU39</f>
        <v/>
      </c>
      <c r="EU40" s="6" t="str">
        <f>[1]Sheet2!EV39</f>
        <v/>
      </c>
      <c r="EV40" s="6" t="str">
        <f>[1]Sheet2!EW39</f>
        <v/>
      </c>
      <c r="EW40" s="6" t="str">
        <f>[1]Sheet2!EX39</f>
        <v/>
      </c>
      <c r="EX40" s="6" t="str">
        <f>[1]Sheet2!EY39</f>
        <v/>
      </c>
      <c r="EY40" s="6" t="str">
        <f>[1]Sheet2!EZ39</f>
        <v/>
      </c>
      <c r="EZ40" s="6" t="str">
        <f>[1]Sheet2!FA39</f>
        <v/>
      </c>
      <c r="FA40" s="6" t="str">
        <f>[1]Sheet2!FB39</f>
        <v/>
      </c>
      <c r="FB40" s="6" t="str">
        <f>[1]Sheet2!FC39</f>
        <v/>
      </c>
      <c r="FC40" s="6" t="str">
        <f>[1]Sheet2!FD39</f>
        <v/>
      </c>
      <c r="FD40" s="6" t="str">
        <f>[1]Sheet2!FE39</f>
        <v/>
      </c>
      <c r="FE40" s="6" t="str">
        <f>[1]Sheet2!FF39</f>
        <v/>
      </c>
      <c r="FF40" s="6" t="str">
        <f>[1]Sheet2!FG39</f>
        <v/>
      </c>
      <c r="FG40" s="6" t="str">
        <f>[1]Sheet2!FH39</f>
        <v/>
      </c>
      <c r="FH40" s="6" t="str">
        <f>[1]Sheet2!FI39</f>
        <v/>
      </c>
      <c r="FI40" s="6" t="str">
        <f>[1]Sheet2!FJ39</f>
        <v/>
      </c>
      <c r="FJ40" s="6" t="str">
        <f>[1]Sheet2!FK39</f>
        <v/>
      </c>
      <c r="FK40" s="6" t="str">
        <f>[1]Sheet2!FL39</f>
        <v/>
      </c>
      <c r="FL40" s="6" t="str">
        <f>[1]Sheet2!FM39</f>
        <v/>
      </c>
      <c r="FM40" s="6" t="str">
        <f>[1]Sheet2!FN39</f>
        <v/>
      </c>
      <c r="FN40" s="6" t="str">
        <f>[1]Sheet2!FO39</f>
        <v/>
      </c>
      <c r="FO40" s="6" t="str">
        <f>[1]Sheet2!FP39</f>
        <v/>
      </c>
    </row>
    <row r="41" spans="1:171" x14ac:dyDescent="0.25">
      <c r="A41" s="15">
        <v>43503</v>
      </c>
      <c r="B41" s="1"/>
      <c r="C41" s="1"/>
      <c r="D41" s="1"/>
      <c r="E41" s="14">
        <f>[1]Sheet2!N40</f>
        <v>0</v>
      </c>
      <c r="F41" s="14">
        <f>[1]Sheet2!BE40</f>
        <v>0</v>
      </c>
      <c r="G41" s="14">
        <f>[1]Sheet2!CW40</f>
        <v>0</v>
      </c>
      <c r="H41" s="1"/>
      <c r="I41" s="1"/>
      <c r="J41" s="1"/>
      <c r="K41" s="16"/>
      <c r="L41" s="16">
        <f>Demand_CWRS!B$4/28</f>
        <v>131.68146963713369</v>
      </c>
      <c r="M41" s="16">
        <f>Demand_CWRS!C$4/28</f>
        <v>501.27216117216119</v>
      </c>
      <c r="N41" s="16">
        <f>Demand_CWRS!D$4/28</f>
        <v>0</v>
      </c>
      <c r="O41" s="16">
        <f>Demand_CWRS!E$4/28</f>
        <v>130.17472527472526</v>
      </c>
      <c r="P41" s="16">
        <f>Demand_CWRS!F$4/28</f>
        <v>262.94741300366297</v>
      </c>
      <c r="Q41" s="16">
        <f>Demand_CWRS!G$4/28</f>
        <v>127.85714285714286</v>
      </c>
      <c r="R41" s="16">
        <f>Demand_CWRS!H$4/28</f>
        <v>207.14285714285714</v>
      </c>
      <c r="S41" s="16">
        <f>Demand_CWRS!I$4/28</f>
        <v>214.28571428571428</v>
      </c>
      <c r="T41" s="16">
        <f>Demand_CWRS!J$4/28</f>
        <v>207.14285714285714</v>
      </c>
      <c r="U41" s="16">
        <f>Demand_CWRS!K$4/28</f>
        <v>221.42857142857142</v>
      </c>
      <c r="V41" s="16">
        <f t="shared" si="6"/>
        <v>-3631.6329477163458</v>
      </c>
      <c r="W41" s="16">
        <f t="shared" si="7"/>
        <v>-6001.9153846153849</v>
      </c>
      <c r="X41" s="16">
        <f t="shared" si="8"/>
        <v>0</v>
      </c>
      <c r="Y41" s="16">
        <f t="shared" si="9"/>
        <v>5023.7448717948837</v>
      </c>
      <c r="Z41" s="16">
        <f t="shared" si="10"/>
        <v>-2990.0709134615363</v>
      </c>
      <c r="AA41" s="16">
        <f t="shared" si="11"/>
        <v>-2495.0000000000023</v>
      </c>
      <c r="AB41" s="16">
        <f t="shared" si="12"/>
        <v>-8643.0102564102563</v>
      </c>
      <c r="AC41" s="16">
        <f t="shared" si="13"/>
        <v>-2699.9999999999995</v>
      </c>
      <c r="AD41" s="16">
        <f t="shared" si="14"/>
        <v>-2950.0000000000009</v>
      </c>
      <c r="AE41" s="16">
        <f t="shared" si="15"/>
        <v>-3249.9999999999982</v>
      </c>
      <c r="AF41" s="14">
        <f>IF([1]Sheet2!AJ40=999999,"NA",[1]Sheet2!AJ40)</f>
        <v>0</v>
      </c>
      <c r="AG41" s="14">
        <f>IF([1]Sheet2!AK40=999999,"NA",[1]Sheet2!AK40)</f>
        <v>0</v>
      </c>
      <c r="AH41" s="14" t="str">
        <f>IF([1]Sheet2!AL40=999999,"NA",[1]Sheet2!AL40)</f>
        <v>NA</v>
      </c>
      <c r="AI41" s="14">
        <f>IF([1]Sheet2!AM40=999999,"NA",[1]Sheet2!AM40)</f>
        <v>39</v>
      </c>
      <c r="AJ41" s="14">
        <f>IF([1]Sheet2!AN40=999999,"NA",[1]Sheet2!AN40)</f>
        <v>0</v>
      </c>
      <c r="AK41" s="14">
        <f>IF([1]Sheet2!AO40=999999,"NA",[1]Sheet2!AO40)</f>
        <v>0</v>
      </c>
      <c r="AL41" s="14">
        <f>IF([1]Sheet2!AP40=999999,"NA",[1]Sheet2!AP40)</f>
        <v>0</v>
      </c>
      <c r="AM41" s="14">
        <f>IF([1]Sheet2!AQ40=999999,"NA",[1]Sheet2!AQ40)</f>
        <v>0</v>
      </c>
      <c r="AN41" s="14">
        <f>IF([1]Sheet2!AR40=999999,"NA",[1]Sheet2!AR40)</f>
        <v>0</v>
      </c>
      <c r="AO41" s="14">
        <f>IF([1]Sheet2!AS40=999999,"NA",[1]Sheet2!AS40)</f>
        <v>0</v>
      </c>
      <c r="AP41" s="14">
        <f>[1]Sheet2!P40</f>
        <v>0</v>
      </c>
      <c r="AQ41" s="14">
        <f>[1]Sheet2!Q40</f>
        <v>0</v>
      </c>
      <c r="AR41" s="14">
        <f>[1]Sheet2!R40</f>
        <v>0</v>
      </c>
      <c r="AS41" s="14">
        <f>[1]Sheet2!S40</f>
        <v>0</v>
      </c>
      <c r="AT41" s="14">
        <f>[1]Sheet2!T40</f>
        <v>0</v>
      </c>
      <c r="AU41" s="14">
        <f>[1]Sheet2!U40</f>
        <v>0</v>
      </c>
      <c r="AV41" s="14">
        <f>[1]Sheet2!V40</f>
        <v>0</v>
      </c>
      <c r="AW41" s="14">
        <f>[1]Sheet2!W40</f>
        <v>0</v>
      </c>
      <c r="AX41" s="14">
        <f>[1]Sheet2!X40</f>
        <v>0</v>
      </c>
      <c r="AY41" s="14">
        <f>[1]Sheet2!Y40</f>
        <v>0</v>
      </c>
      <c r="AZ41" s="16">
        <f>Demand_LP!B$4/28</f>
        <v>811.09813487293957</v>
      </c>
      <c r="BA41" s="16">
        <f>Demand_LP!C$4/28</f>
        <v>502.83223443223443</v>
      </c>
      <c r="BB41" s="16">
        <f>Demand_LP!D$4/28</f>
        <v>282.53663003663002</v>
      </c>
      <c r="BC41" s="16">
        <f>Demand_LP!E$4/28</f>
        <v>759.73919413919407</v>
      </c>
      <c r="BD41" s="16">
        <f>Demand_LP!F$4/28</f>
        <v>495.28213999542123</v>
      </c>
      <c r="BE41" s="16">
        <f>Demand_LP!G$4/28</f>
        <v>496.42857142857144</v>
      </c>
      <c r="BF41" s="16">
        <f>Demand_LP!H$4/28</f>
        <v>535.71428571428567</v>
      </c>
      <c r="BG41" s="16">
        <f>Demand_LP!I$4/28</f>
        <v>496.42857142857144</v>
      </c>
      <c r="BH41" s="16">
        <f>Demand_LP!J$4/28</f>
        <v>482.14285714285717</v>
      </c>
      <c r="BI41" s="16">
        <f>Demand_LP!K$4/28</f>
        <v>471.42857142857144</v>
      </c>
      <c r="BJ41" s="16">
        <f t="shared" si="16"/>
        <v>-11270.740389623397</v>
      </c>
      <c r="BK41" s="16">
        <f t="shared" si="17"/>
        <v>-18082.94358974358</v>
      </c>
      <c r="BL41" s="16">
        <f t="shared" si="18"/>
        <v>854.74358974358847</v>
      </c>
      <c r="BM41" s="16">
        <f t="shared" si="19"/>
        <v>-16910.898717948719</v>
      </c>
      <c r="BN41" s="16">
        <f t="shared" si="20"/>
        <v>-8417.3740985576878</v>
      </c>
      <c r="BO41" s="16">
        <f t="shared" si="21"/>
        <v>-7475.0000000000045</v>
      </c>
      <c r="BP41" s="16">
        <f t="shared" si="22"/>
        <v>-11750</v>
      </c>
      <c r="BQ41" s="16">
        <f t="shared" si="23"/>
        <v>-7475.0000000000045</v>
      </c>
      <c r="BR41" s="16">
        <f t="shared" si="24"/>
        <v>-5375.0000000000018</v>
      </c>
      <c r="BS41" s="16">
        <f t="shared" si="25"/>
        <v>-6300.0000000000009</v>
      </c>
      <c r="BT41" s="14">
        <f>IF([1]Sheet2!CB40=999999,"NA",[1]Sheet2!CB40)</f>
        <v>0</v>
      </c>
      <c r="BU41" s="14">
        <f>IF([1]Sheet2!CC40=999999,"NA",[1]Sheet2!CC40)</f>
        <v>0</v>
      </c>
      <c r="BV41" s="14">
        <f>IF([1]Sheet2!CD40=999999,"NA",[1]Sheet2!CD40)</f>
        <v>3</v>
      </c>
      <c r="BW41" s="14">
        <f>IF([1]Sheet2!CE40=999999,"NA",[1]Sheet2!CE40)</f>
        <v>0</v>
      </c>
      <c r="BX41" s="14">
        <f>IF([1]Sheet2!CF40=999999,"NA",[1]Sheet2!CF40)</f>
        <v>0</v>
      </c>
      <c r="BY41" s="14">
        <f>IF([1]Sheet2!CG40=999999,"NA",[1]Sheet2!CG40)</f>
        <v>0</v>
      </c>
      <c r="BZ41" s="14">
        <f>IF([1]Sheet2!CH40=999999,"NA",[1]Sheet2!CH40)</f>
        <v>0</v>
      </c>
      <c r="CA41" s="14">
        <f>IF([1]Sheet2!CI40=999999,"NA",[1]Sheet2!CI40)</f>
        <v>0</v>
      </c>
      <c r="CB41" s="14">
        <f>IF([1]Sheet2!CJ40=999999,"NA",[1]Sheet2!CJ40)</f>
        <v>0</v>
      </c>
      <c r="CC41" s="14">
        <f>IF([1]Sheet2!CK40=999999,"NA",[1]Sheet2!CK40)</f>
        <v>0</v>
      </c>
      <c r="CD41" s="14">
        <f>[1]Sheet2!BH40</f>
        <v>0</v>
      </c>
      <c r="CE41" s="14">
        <f>[1]Sheet2!BI40</f>
        <v>0</v>
      </c>
      <c r="CF41" s="14">
        <f>[1]Sheet2!BJ40</f>
        <v>0</v>
      </c>
      <c r="CG41" s="14">
        <f>[1]Sheet2!BK40</f>
        <v>0</v>
      </c>
      <c r="CH41" s="14">
        <f>[1]Sheet2!BL40</f>
        <v>0</v>
      </c>
      <c r="CI41" s="14">
        <f>[1]Sheet2!BM40</f>
        <v>0</v>
      </c>
      <c r="CJ41" s="14">
        <f>[1]Sheet2!BN40</f>
        <v>0</v>
      </c>
      <c r="CK41" s="14">
        <f>[1]Sheet2!BO40</f>
        <v>0</v>
      </c>
      <c r="CL41" s="14">
        <f>[1]Sheet2!BP40</f>
        <v>0</v>
      </c>
      <c r="CM41" s="14">
        <f>[1]Sheet2!BQ40</f>
        <v>0</v>
      </c>
      <c r="CN41" s="16">
        <f>Demand_SW!B$4/28</f>
        <v>94.69780219780219</v>
      </c>
      <c r="CO41" s="16">
        <f>Demand_SW!C$4/28</f>
        <v>0</v>
      </c>
      <c r="CP41" s="16">
        <f>Demand_SW!D$4/28</f>
        <v>0</v>
      </c>
      <c r="CQ41" s="16">
        <f>Demand_SW!E$4/28</f>
        <v>0</v>
      </c>
      <c r="CR41" s="16">
        <f>Demand_SW!F$4/28</f>
        <v>0</v>
      </c>
      <c r="CS41" s="16">
        <f>Demand_SW!G$4/28</f>
        <v>85.714285714285708</v>
      </c>
      <c r="CT41" s="16">
        <f>Demand_SW!H$4/28</f>
        <v>0</v>
      </c>
      <c r="CU41" s="16">
        <f>Demand_SW!I$4/28</f>
        <v>0</v>
      </c>
      <c r="CV41" s="16">
        <f>Demand_SW!J$4/28</f>
        <v>0</v>
      </c>
      <c r="CW41" s="16">
        <f>Demand_SW!K$4/28</f>
        <v>0</v>
      </c>
      <c r="CX41" s="16">
        <f t="shared" si="26"/>
        <v>10.192307692308219</v>
      </c>
      <c r="CY41" s="16">
        <f t="shared" si="27"/>
        <v>1000</v>
      </c>
      <c r="CZ41" s="16">
        <f t="shared" si="28"/>
        <v>0</v>
      </c>
      <c r="DA41" s="16">
        <f t="shared" si="29"/>
        <v>0</v>
      </c>
      <c r="DB41" s="16">
        <f t="shared" si="30"/>
        <v>0</v>
      </c>
      <c r="DC41" s="16">
        <f t="shared" si="31"/>
        <v>300.0000000000054</v>
      </c>
      <c r="DD41" s="16">
        <f t="shared" si="32"/>
        <v>1000</v>
      </c>
      <c r="DE41" s="16">
        <f t="shared" si="33"/>
        <v>0</v>
      </c>
      <c r="DF41" s="16">
        <f t="shared" si="34"/>
        <v>0</v>
      </c>
      <c r="DG41" s="16">
        <f t="shared" si="35"/>
        <v>0</v>
      </c>
      <c r="DH41" s="14">
        <f>IF([1]Sheet2!DS40=999999,"NA",[1]Sheet2!DS40)</f>
        <v>0</v>
      </c>
      <c r="DI41" s="14">
        <f>IF([1]Sheet2!DT40=999999,"NA",[1]Sheet2!DT40)</f>
        <v>327</v>
      </c>
      <c r="DJ41" s="14" t="str">
        <f>IF([1]Sheet2!DU40=999999,"NA",[1]Sheet2!DU40)</f>
        <v>NA</v>
      </c>
      <c r="DK41" s="14" t="str">
        <f>IF([1]Sheet2!DV40=999999,"NA",[1]Sheet2!DV40)</f>
        <v>NA</v>
      </c>
      <c r="DL41" s="14" t="str">
        <f>IF([1]Sheet2!DW40=999999,"NA",[1]Sheet2!DW40)</f>
        <v>NA</v>
      </c>
      <c r="DM41" s="14">
        <f>IF([1]Sheet2!DX40=999999,"NA",[1]Sheet2!DX40)</f>
        <v>3</v>
      </c>
      <c r="DN41" s="14">
        <f>IF([1]Sheet2!DY40=999999,"NA",[1]Sheet2!DY40)</f>
        <v>327</v>
      </c>
      <c r="DO41" s="14" t="str">
        <f>IF([1]Sheet2!DZ40=999999,"NA",[1]Sheet2!DZ40)</f>
        <v>NA</v>
      </c>
      <c r="DP41" s="14" t="str">
        <f>IF([1]Sheet2!EA40=999999,"NA",[1]Sheet2!EA40)</f>
        <v>NA</v>
      </c>
      <c r="DQ41" s="14" t="str">
        <f>IF([1]Sheet2!EB40=999999,"NA",[1]Sheet2!EB40)</f>
        <v>NA</v>
      </c>
      <c r="DR41" s="14">
        <f>[1]Sheet2!CY40</f>
        <v>0</v>
      </c>
      <c r="DS41" s="14">
        <f>[1]Sheet2!CZ40</f>
        <v>0</v>
      </c>
      <c r="DT41" s="14">
        <f>[1]Sheet2!DA40</f>
        <v>0</v>
      </c>
      <c r="DU41" s="14">
        <f>[1]Sheet2!DB40</f>
        <v>0</v>
      </c>
      <c r="DV41" s="14">
        <f>[1]Sheet2!DC40</f>
        <v>0</v>
      </c>
      <c r="DW41" s="14">
        <f>[1]Sheet2!DD40</f>
        <v>0</v>
      </c>
      <c r="DX41" s="14">
        <f>[1]Sheet2!DE40</f>
        <v>0</v>
      </c>
      <c r="DY41" s="14">
        <f>[1]Sheet2!DF40</f>
        <v>0</v>
      </c>
      <c r="DZ41" s="14">
        <f>[1]Sheet2!DG40</f>
        <v>0</v>
      </c>
      <c r="EA41" s="14">
        <f>[1]Sheet2!DH40</f>
        <v>0</v>
      </c>
      <c r="EB41" s="6">
        <f>[1]Sheet2!EC40</f>
        <v>0</v>
      </c>
      <c r="EC41" s="6">
        <f>[1]Sheet2!ED40</f>
        <v>0</v>
      </c>
      <c r="ED41" s="6">
        <f>[1]Sheet2!EE40</f>
        <v>0</v>
      </c>
      <c r="EE41" s="6">
        <f>[1]Sheet2!EF40</f>
        <v>0</v>
      </c>
      <c r="EF41" s="6">
        <f>[1]Sheet2!EG40</f>
        <v>0</v>
      </c>
      <c r="EG41" s="6">
        <f>[1]Sheet2!EH40</f>
        <v>0</v>
      </c>
      <c r="EH41" s="6">
        <f>[1]Sheet2!EI40</f>
        <v>0</v>
      </c>
      <c r="EI41" s="6">
        <f>[1]Sheet2!EJ40</f>
        <v>0</v>
      </c>
      <c r="EJ41" s="6">
        <f>[1]Sheet2!EK40</f>
        <v>0</v>
      </c>
      <c r="EK41" s="6">
        <f>[1]Sheet2!EL40</f>
        <v>0</v>
      </c>
      <c r="EL41" s="6" t="str">
        <f>[1]Sheet2!EM40</f>
        <v/>
      </c>
      <c r="EM41" s="6" t="str">
        <f>[1]Sheet2!EN40</f>
        <v/>
      </c>
      <c r="EN41" s="6" t="str">
        <f>[1]Sheet2!EO40</f>
        <v/>
      </c>
      <c r="EO41" s="6" t="str">
        <f>[1]Sheet2!EP40</f>
        <v/>
      </c>
      <c r="EP41" s="6" t="str">
        <f>[1]Sheet2!EQ40</f>
        <v/>
      </c>
      <c r="EQ41" s="6" t="str">
        <f>[1]Sheet2!ER40</f>
        <v/>
      </c>
      <c r="ER41" s="6" t="str">
        <f>[1]Sheet2!ES40</f>
        <v/>
      </c>
      <c r="ES41" s="6" t="str">
        <f>[1]Sheet2!ET40</f>
        <v/>
      </c>
      <c r="ET41" s="6" t="str">
        <f>[1]Sheet2!EU40</f>
        <v/>
      </c>
      <c r="EU41" s="6" t="str">
        <f>[1]Sheet2!EV40</f>
        <v/>
      </c>
      <c r="EV41" s="6" t="str">
        <f>[1]Sheet2!EW40</f>
        <v/>
      </c>
      <c r="EW41" s="6" t="str">
        <f>[1]Sheet2!EX40</f>
        <v/>
      </c>
      <c r="EX41" s="6" t="str">
        <f>[1]Sheet2!EY40</f>
        <v/>
      </c>
      <c r="EY41" s="6" t="str">
        <f>[1]Sheet2!EZ40</f>
        <v/>
      </c>
      <c r="EZ41" s="6" t="str">
        <f>[1]Sheet2!FA40</f>
        <v/>
      </c>
      <c r="FA41" s="6" t="str">
        <f>[1]Sheet2!FB40</f>
        <v/>
      </c>
      <c r="FB41" s="6" t="str">
        <f>[1]Sheet2!FC40</f>
        <v/>
      </c>
      <c r="FC41" s="6" t="str">
        <f>[1]Sheet2!FD40</f>
        <v/>
      </c>
      <c r="FD41" s="6" t="str">
        <f>[1]Sheet2!FE40</f>
        <v/>
      </c>
      <c r="FE41" s="6" t="str">
        <f>[1]Sheet2!FF40</f>
        <v/>
      </c>
      <c r="FF41" s="6" t="str">
        <f>[1]Sheet2!FG40</f>
        <v/>
      </c>
      <c r="FG41" s="6" t="str">
        <f>[1]Sheet2!FH40</f>
        <v/>
      </c>
      <c r="FH41" s="6" t="str">
        <f>[1]Sheet2!FI40</f>
        <v/>
      </c>
      <c r="FI41" s="6" t="str">
        <f>[1]Sheet2!FJ40</f>
        <v/>
      </c>
      <c r="FJ41" s="6" t="str">
        <f>[1]Sheet2!FK40</f>
        <v/>
      </c>
      <c r="FK41" s="6" t="str">
        <f>[1]Sheet2!FL40</f>
        <v/>
      </c>
      <c r="FL41" s="6" t="str">
        <f>[1]Sheet2!FM40</f>
        <v/>
      </c>
      <c r="FM41" s="6" t="str">
        <f>[1]Sheet2!FN40</f>
        <v/>
      </c>
      <c r="FN41" s="6" t="str">
        <f>[1]Sheet2!FO40</f>
        <v/>
      </c>
      <c r="FO41" s="6" t="str">
        <f>[1]Sheet2!FP40</f>
        <v/>
      </c>
    </row>
    <row r="42" spans="1:171" x14ac:dyDescent="0.25">
      <c r="A42" s="15">
        <v>43504</v>
      </c>
      <c r="B42" s="1"/>
      <c r="C42" s="1"/>
      <c r="D42" s="1"/>
      <c r="E42" s="14">
        <f>[1]Sheet2!N41</f>
        <v>0</v>
      </c>
      <c r="F42" s="14">
        <f>[1]Sheet2!BE41</f>
        <v>0</v>
      </c>
      <c r="G42" s="14">
        <f>[1]Sheet2!CW41</f>
        <v>0</v>
      </c>
      <c r="H42" s="1"/>
      <c r="I42" s="1"/>
      <c r="J42" s="1"/>
      <c r="K42" s="16"/>
      <c r="L42" s="16">
        <f>Demand_CWRS!B$4/28</f>
        <v>131.68146963713369</v>
      </c>
      <c r="M42" s="16">
        <f>Demand_CWRS!C$4/28</f>
        <v>501.27216117216119</v>
      </c>
      <c r="N42" s="16">
        <f>Demand_CWRS!D$4/28</f>
        <v>0</v>
      </c>
      <c r="O42" s="16">
        <f>Demand_CWRS!E$4/28</f>
        <v>130.17472527472526</v>
      </c>
      <c r="P42" s="16">
        <f>Demand_CWRS!F$4/28</f>
        <v>262.94741300366297</v>
      </c>
      <c r="Q42" s="16">
        <f>Demand_CWRS!G$4/28</f>
        <v>127.85714285714286</v>
      </c>
      <c r="R42" s="16">
        <f>Demand_CWRS!H$4/28</f>
        <v>207.14285714285714</v>
      </c>
      <c r="S42" s="16">
        <f>Demand_CWRS!I$4/28</f>
        <v>214.28571428571428</v>
      </c>
      <c r="T42" s="16">
        <f>Demand_CWRS!J$4/28</f>
        <v>207.14285714285714</v>
      </c>
      <c r="U42" s="16">
        <f>Demand_CWRS!K$4/28</f>
        <v>221.42857142857142</v>
      </c>
      <c r="V42" s="16">
        <f t="shared" si="6"/>
        <v>-3763.3144173534797</v>
      </c>
      <c r="W42" s="16">
        <f t="shared" si="7"/>
        <v>-6503.1875457875458</v>
      </c>
      <c r="X42" s="16">
        <f t="shared" si="8"/>
        <v>0</v>
      </c>
      <c r="Y42" s="16">
        <f t="shared" si="9"/>
        <v>4893.5701465201582</v>
      </c>
      <c r="Z42" s="16">
        <f t="shared" si="10"/>
        <v>-3253.0183264651992</v>
      </c>
      <c r="AA42" s="16">
        <f t="shared" si="11"/>
        <v>-2622.8571428571449</v>
      </c>
      <c r="AB42" s="16">
        <f t="shared" si="12"/>
        <v>-8850.1531135531131</v>
      </c>
      <c r="AC42" s="16">
        <f t="shared" si="13"/>
        <v>-2914.2857142857138</v>
      </c>
      <c r="AD42" s="16">
        <f t="shared" si="14"/>
        <v>-3157.1428571428582</v>
      </c>
      <c r="AE42" s="16">
        <f t="shared" si="15"/>
        <v>-3471.4285714285697</v>
      </c>
      <c r="AF42" s="14">
        <f>IF([1]Sheet2!AJ41=999999,"NA",[1]Sheet2!AJ41)</f>
        <v>0</v>
      </c>
      <c r="AG42" s="14">
        <f>IF([1]Sheet2!AK41=999999,"NA",[1]Sheet2!AK41)</f>
        <v>0</v>
      </c>
      <c r="AH42" s="14" t="str">
        <f>IF([1]Sheet2!AL41=999999,"NA",[1]Sheet2!AL41)</f>
        <v>NA</v>
      </c>
      <c r="AI42" s="14">
        <f>IF([1]Sheet2!AM41=999999,"NA",[1]Sheet2!AM41)</f>
        <v>38</v>
      </c>
      <c r="AJ42" s="14">
        <f>IF([1]Sheet2!AN41=999999,"NA",[1]Sheet2!AN41)</f>
        <v>0</v>
      </c>
      <c r="AK42" s="14">
        <f>IF([1]Sheet2!AO41=999999,"NA",[1]Sheet2!AO41)</f>
        <v>0</v>
      </c>
      <c r="AL42" s="14">
        <f>IF([1]Sheet2!AP41=999999,"NA",[1]Sheet2!AP41)</f>
        <v>0</v>
      </c>
      <c r="AM42" s="14">
        <f>IF([1]Sheet2!AQ41=999999,"NA",[1]Sheet2!AQ41)</f>
        <v>0</v>
      </c>
      <c r="AN42" s="14">
        <f>IF([1]Sheet2!AR41=999999,"NA",[1]Sheet2!AR41)</f>
        <v>0</v>
      </c>
      <c r="AO42" s="14">
        <f>IF([1]Sheet2!AS41=999999,"NA",[1]Sheet2!AS41)</f>
        <v>0</v>
      </c>
      <c r="AP42" s="14">
        <f>[1]Sheet2!P41</f>
        <v>0</v>
      </c>
      <c r="AQ42" s="14">
        <f>[1]Sheet2!Q41</f>
        <v>0</v>
      </c>
      <c r="AR42" s="14">
        <f>[1]Sheet2!R41</f>
        <v>0</v>
      </c>
      <c r="AS42" s="14">
        <f>[1]Sheet2!S41</f>
        <v>0</v>
      </c>
      <c r="AT42" s="14">
        <f>[1]Sheet2!T41</f>
        <v>0</v>
      </c>
      <c r="AU42" s="14">
        <f>[1]Sheet2!U41</f>
        <v>0</v>
      </c>
      <c r="AV42" s="14">
        <f>[1]Sheet2!V41</f>
        <v>0</v>
      </c>
      <c r="AW42" s="14">
        <f>[1]Sheet2!W41</f>
        <v>0</v>
      </c>
      <c r="AX42" s="14">
        <f>[1]Sheet2!X41</f>
        <v>0</v>
      </c>
      <c r="AY42" s="14">
        <f>[1]Sheet2!Y41</f>
        <v>0</v>
      </c>
      <c r="AZ42" s="16">
        <f>Demand_LP!B$4/28</f>
        <v>811.09813487293957</v>
      </c>
      <c r="BA42" s="16">
        <f>Demand_LP!C$4/28</f>
        <v>502.83223443223443</v>
      </c>
      <c r="BB42" s="16">
        <f>Demand_LP!D$4/28</f>
        <v>282.53663003663002</v>
      </c>
      <c r="BC42" s="16">
        <f>Demand_LP!E$4/28</f>
        <v>759.73919413919407</v>
      </c>
      <c r="BD42" s="16">
        <f>Demand_LP!F$4/28</f>
        <v>495.28213999542123</v>
      </c>
      <c r="BE42" s="16">
        <f>Demand_LP!G$4/28</f>
        <v>496.42857142857144</v>
      </c>
      <c r="BF42" s="16">
        <f>Demand_LP!H$4/28</f>
        <v>535.71428571428567</v>
      </c>
      <c r="BG42" s="16">
        <f>Demand_LP!I$4/28</f>
        <v>496.42857142857144</v>
      </c>
      <c r="BH42" s="16">
        <f>Demand_LP!J$4/28</f>
        <v>482.14285714285717</v>
      </c>
      <c r="BI42" s="16">
        <f>Demand_LP!K$4/28</f>
        <v>471.42857142857144</v>
      </c>
      <c r="BJ42" s="16">
        <f t="shared" si="16"/>
        <v>-12081.838524496337</v>
      </c>
      <c r="BK42" s="16">
        <f t="shared" si="17"/>
        <v>-18585.775824175813</v>
      </c>
      <c r="BL42" s="16">
        <f t="shared" si="18"/>
        <v>572.20695970695851</v>
      </c>
      <c r="BM42" s="16">
        <f t="shared" si="19"/>
        <v>-17670.637912087914</v>
      </c>
      <c r="BN42" s="16">
        <f t="shared" si="20"/>
        <v>-8912.6562385531088</v>
      </c>
      <c r="BO42" s="16">
        <f t="shared" si="21"/>
        <v>-7971.4285714285761</v>
      </c>
      <c r="BP42" s="16">
        <f t="shared" si="22"/>
        <v>-12285.714285714286</v>
      </c>
      <c r="BQ42" s="16">
        <f t="shared" si="23"/>
        <v>-7971.4285714285761</v>
      </c>
      <c r="BR42" s="16">
        <f t="shared" si="24"/>
        <v>-5857.1428571428587</v>
      </c>
      <c r="BS42" s="16">
        <f t="shared" si="25"/>
        <v>-6771.4285714285725</v>
      </c>
      <c r="BT42" s="14">
        <f>IF([1]Sheet2!CB41=999999,"NA",[1]Sheet2!CB41)</f>
        <v>0</v>
      </c>
      <c r="BU42" s="14">
        <f>IF([1]Sheet2!CC41=999999,"NA",[1]Sheet2!CC41)</f>
        <v>0</v>
      </c>
      <c r="BV42" s="14">
        <f>IF([1]Sheet2!CD41=999999,"NA",[1]Sheet2!CD41)</f>
        <v>2</v>
      </c>
      <c r="BW42" s="14">
        <f>IF([1]Sheet2!CE41=999999,"NA",[1]Sheet2!CE41)</f>
        <v>0</v>
      </c>
      <c r="BX42" s="14">
        <f>IF([1]Sheet2!CF41=999999,"NA",[1]Sheet2!CF41)</f>
        <v>0</v>
      </c>
      <c r="BY42" s="14">
        <f>IF([1]Sheet2!CG41=999999,"NA",[1]Sheet2!CG41)</f>
        <v>0</v>
      </c>
      <c r="BZ42" s="14">
        <f>IF([1]Sheet2!CH41=999999,"NA",[1]Sheet2!CH41)</f>
        <v>0</v>
      </c>
      <c r="CA42" s="14">
        <f>IF([1]Sheet2!CI41=999999,"NA",[1]Sheet2!CI41)</f>
        <v>0</v>
      </c>
      <c r="CB42" s="14">
        <f>IF([1]Sheet2!CJ41=999999,"NA",[1]Sheet2!CJ41)</f>
        <v>0</v>
      </c>
      <c r="CC42" s="14">
        <f>IF([1]Sheet2!CK41=999999,"NA",[1]Sheet2!CK41)</f>
        <v>0</v>
      </c>
      <c r="CD42" s="14">
        <f>[1]Sheet2!BH41</f>
        <v>0</v>
      </c>
      <c r="CE42" s="14">
        <f>[1]Sheet2!BI41</f>
        <v>0</v>
      </c>
      <c r="CF42" s="14">
        <f>[1]Sheet2!BJ41</f>
        <v>0</v>
      </c>
      <c r="CG42" s="14">
        <f>[1]Sheet2!BK41</f>
        <v>0</v>
      </c>
      <c r="CH42" s="14">
        <f>[1]Sheet2!BL41</f>
        <v>0</v>
      </c>
      <c r="CI42" s="14">
        <f>[1]Sheet2!BM41</f>
        <v>0</v>
      </c>
      <c r="CJ42" s="14">
        <f>[1]Sheet2!BN41</f>
        <v>0</v>
      </c>
      <c r="CK42" s="14">
        <f>[1]Sheet2!BO41</f>
        <v>0</v>
      </c>
      <c r="CL42" s="14">
        <f>[1]Sheet2!BP41</f>
        <v>0</v>
      </c>
      <c r="CM42" s="14">
        <f>[1]Sheet2!BQ41</f>
        <v>0</v>
      </c>
      <c r="CN42" s="16">
        <f>Demand_SW!B$4/28</f>
        <v>94.69780219780219</v>
      </c>
      <c r="CO42" s="16">
        <f>Demand_SW!C$4/28</f>
        <v>0</v>
      </c>
      <c r="CP42" s="16">
        <f>Demand_SW!D$4/28</f>
        <v>0</v>
      </c>
      <c r="CQ42" s="16">
        <f>Demand_SW!E$4/28</f>
        <v>0</v>
      </c>
      <c r="CR42" s="16">
        <f>Demand_SW!F$4/28</f>
        <v>0</v>
      </c>
      <c r="CS42" s="16">
        <f>Demand_SW!G$4/28</f>
        <v>85.714285714285708</v>
      </c>
      <c r="CT42" s="16">
        <f>Demand_SW!H$4/28</f>
        <v>0</v>
      </c>
      <c r="CU42" s="16">
        <f>Demand_SW!I$4/28</f>
        <v>0</v>
      </c>
      <c r="CV42" s="16">
        <f>Demand_SW!J$4/28</f>
        <v>0</v>
      </c>
      <c r="CW42" s="16">
        <f>Demand_SW!K$4/28</f>
        <v>0</v>
      </c>
      <c r="CX42" s="16">
        <f t="shared" si="26"/>
        <v>-84.505494505493971</v>
      </c>
      <c r="CY42" s="16">
        <f t="shared" si="27"/>
        <v>1000</v>
      </c>
      <c r="CZ42" s="16">
        <f t="shared" si="28"/>
        <v>0</v>
      </c>
      <c r="DA42" s="16">
        <f t="shared" si="29"/>
        <v>0</v>
      </c>
      <c r="DB42" s="16">
        <f t="shared" si="30"/>
        <v>0</v>
      </c>
      <c r="DC42" s="16">
        <f t="shared" si="31"/>
        <v>214.28571428571968</v>
      </c>
      <c r="DD42" s="16">
        <f t="shared" si="32"/>
        <v>1000</v>
      </c>
      <c r="DE42" s="16">
        <f t="shared" si="33"/>
        <v>0</v>
      </c>
      <c r="DF42" s="16">
        <f t="shared" si="34"/>
        <v>0</v>
      </c>
      <c r="DG42" s="16">
        <f t="shared" si="35"/>
        <v>0</v>
      </c>
      <c r="DH42" s="14">
        <f>IF([1]Sheet2!DS41=999999,"NA",[1]Sheet2!DS41)</f>
        <v>0</v>
      </c>
      <c r="DI42" s="14">
        <f>IF([1]Sheet2!DT41=999999,"NA",[1]Sheet2!DT41)</f>
        <v>326</v>
      </c>
      <c r="DJ42" s="14" t="str">
        <f>IF([1]Sheet2!DU41=999999,"NA",[1]Sheet2!DU41)</f>
        <v>NA</v>
      </c>
      <c r="DK42" s="14" t="str">
        <f>IF([1]Sheet2!DV41=999999,"NA",[1]Sheet2!DV41)</f>
        <v>NA</v>
      </c>
      <c r="DL42" s="14" t="str">
        <f>IF([1]Sheet2!DW41=999999,"NA",[1]Sheet2!DW41)</f>
        <v>NA</v>
      </c>
      <c r="DM42" s="14">
        <f>IF([1]Sheet2!DX41=999999,"NA",[1]Sheet2!DX41)</f>
        <v>2</v>
      </c>
      <c r="DN42" s="14">
        <f>IF([1]Sheet2!DY41=999999,"NA",[1]Sheet2!DY41)</f>
        <v>326</v>
      </c>
      <c r="DO42" s="14" t="str">
        <f>IF([1]Sheet2!DZ41=999999,"NA",[1]Sheet2!DZ41)</f>
        <v>NA</v>
      </c>
      <c r="DP42" s="14" t="str">
        <f>IF([1]Sheet2!EA41=999999,"NA",[1]Sheet2!EA41)</f>
        <v>NA</v>
      </c>
      <c r="DQ42" s="14" t="str">
        <f>IF([1]Sheet2!EB41=999999,"NA",[1]Sheet2!EB41)</f>
        <v>NA</v>
      </c>
      <c r="DR42" s="14">
        <f>[1]Sheet2!CY41</f>
        <v>0</v>
      </c>
      <c r="DS42" s="14">
        <f>[1]Sheet2!CZ41</f>
        <v>0</v>
      </c>
      <c r="DT42" s="14">
        <f>[1]Sheet2!DA41</f>
        <v>0</v>
      </c>
      <c r="DU42" s="14">
        <f>[1]Sheet2!DB41</f>
        <v>0</v>
      </c>
      <c r="DV42" s="14">
        <f>[1]Sheet2!DC41</f>
        <v>0</v>
      </c>
      <c r="DW42" s="14">
        <f>[1]Sheet2!DD41</f>
        <v>0</v>
      </c>
      <c r="DX42" s="14">
        <f>[1]Sheet2!DE41</f>
        <v>0</v>
      </c>
      <c r="DY42" s="14">
        <f>[1]Sheet2!DF41</f>
        <v>0</v>
      </c>
      <c r="DZ42" s="14">
        <f>[1]Sheet2!DG41</f>
        <v>0</v>
      </c>
      <c r="EA42" s="14">
        <f>[1]Sheet2!DH41</f>
        <v>0</v>
      </c>
      <c r="EB42" s="6">
        <f>[1]Sheet2!EC41</f>
        <v>0</v>
      </c>
      <c r="EC42" s="6">
        <f>[1]Sheet2!ED41</f>
        <v>0</v>
      </c>
      <c r="ED42" s="6">
        <f>[1]Sheet2!EE41</f>
        <v>0</v>
      </c>
      <c r="EE42" s="6">
        <f>[1]Sheet2!EF41</f>
        <v>0</v>
      </c>
      <c r="EF42" s="6">
        <f>[1]Sheet2!EG41</f>
        <v>0</v>
      </c>
      <c r="EG42" s="6">
        <f>[1]Sheet2!EH41</f>
        <v>0</v>
      </c>
      <c r="EH42" s="6">
        <f>[1]Sheet2!EI41</f>
        <v>0</v>
      </c>
      <c r="EI42" s="6">
        <f>[1]Sheet2!EJ41</f>
        <v>0</v>
      </c>
      <c r="EJ42" s="6">
        <f>[1]Sheet2!EK41</f>
        <v>0</v>
      </c>
      <c r="EK42" s="6">
        <f>[1]Sheet2!EL41</f>
        <v>0</v>
      </c>
      <c r="EL42" s="6" t="str">
        <f>[1]Sheet2!EM41</f>
        <v/>
      </c>
      <c r="EM42" s="6" t="str">
        <f>[1]Sheet2!EN41</f>
        <v/>
      </c>
      <c r="EN42" s="6" t="str">
        <f>[1]Sheet2!EO41</f>
        <v/>
      </c>
      <c r="EO42" s="6" t="str">
        <f>[1]Sheet2!EP41</f>
        <v/>
      </c>
      <c r="EP42" s="6" t="str">
        <f>[1]Sheet2!EQ41</f>
        <v/>
      </c>
      <c r="EQ42" s="6" t="str">
        <f>[1]Sheet2!ER41</f>
        <v/>
      </c>
      <c r="ER42" s="6" t="str">
        <f>[1]Sheet2!ES41</f>
        <v/>
      </c>
      <c r="ES42" s="6" t="str">
        <f>[1]Sheet2!ET41</f>
        <v/>
      </c>
      <c r="ET42" s="6" t="str">
        <f>[1]Sheet2!EU41</f>
        <v/>
      </c>
      <c r="EU42" s="6" t="str">
        <f>[1]Sheet2!EV41</f>
        <v/>
      </c>
      <c r="EV42" s="6" t="str">
        <f>[1]Sheet2!EW41</f>
        <v/>
      </c>
      <c r="EW42" s="6" t="str">
        <f>[1]Sheet2!EX41</f>
        <v/>
      </c>
      <c r="EX42" s="6" t="str">
        <f>[1]Sheet2!EY41</f>
        <v/>
      </c>
      <c r="EY42" s="6" t="str">
        <f>[1]Sheet2!EZ41</f>
        <v/>
      </c>
      <c r="EZ42" s="6" t="str">
        <f>[1]Sheet2!FA41</f>
        <v/>
      </c>
      <c r="FA42" s="6" t="str">
        <f>[1]Sheet2!FB41</f>
        <v/>
      </c>
      <c r="FB42" s="6" t="str">
        <f>[1]Sheet2!FC41</f>
        <v/>
      </c>
      <c r="FC42" s="6" t="str">
        <f>[1]Sheet2!FD41</f>
        <v/>
      </c>
      <c r="FD42" s="6" t="str">
        <f>[1]Sheet2!FE41</f>
        <v/>
      </c>
      <c r="FE42" s="6" t="str">
        <f>[1]Sheet2!FF41</f>
        <v/>
      </c>
      <c r="FF42" s="6" t="str">
        <f>[1]Sheet2!FG41</f>
        <v/>
      </c>
      <c r="FG42" s="6" t="str">
        <f>[1]Sheet2!FH41</f>
        <v/>
      </c>
      <c r="FH42" s="6" t="str">
        <f>[1]Sheet2!FI41</f>
        <v/>
      </c>
      <c r="FI42" s="6" t="str">
        <f>[1]Sheet2!FJ41</f>
        <v/>
      </c>
      <c r="FJ42" s="6" t="str">
        <f>[1]Sheet2!FK41</f>
        <v/>
      </c>
      <c r="FK42" s="6" t="str">
        <f>[1]Sheet2!FL41</f>
        <v/>
      </c>
      <c r="FL42" s="6" t="str">
        <f>[1]Sheet2!FM41</f>
        <v/>
      </c>
      <c r="FM42" s="6" t="str">
        <f>[1]Sheet2!FN41</f>
        <v/>
      </c>
      <c r="FN42" s="6" t="str">
        <f>[1]Sheet2!FO41</f>
        <v/>
      </c>
      <c r="FO42" s="6" t="str">
        <f>[1]Sheet2!FP41</f>
        <v/>
      </c>
    </row>
    <row r="43" spans="1:171" x14ac:dyDescent="0.25">
      <c r="A43" s="15">
        <v>43505</v>
      </c>
      <c r="B43" s="1"/>
      <c r="C43" s="1"/>
      <c r="D43" s="1"/>
      <c r="E43" s="14">
        <f>[1]Sheet2!N42</f>
        <v>0</v>
      </c>
      <c r="F43" s="14">
        <f>[1]Sheet2!BE42</f>
        <v>0</v>
      </c>
      <c r="G43" s="14">
        <f>[1]Sheet2!CW42</f>
        <v>0</v>
      </c>
      <c r="H43" s="1"/>
      <c r="I43" s="1"/>
      <c r="J43" s="1"/>
      <c r="K43" s="16"/>
      <c r="L43" s="16">
        <f>Demand_CWRS!B$4/28</f>
        <v>131.68146963713369</v>
      </c>
      <c r="M43" s="16">
        <f>Demand_CWRS!C$4/28</f>
        <v>501.27216117216119</v>
      </c>
      <c r="N43" s="16">
        <f>Demand_CWRS!D$4/28</f>
        <v>0</v>
      </c>
      <c r="O43" s="16">
        <f>Demand_CWRS!E$4/28</f>
        <v>130.17472527472526</v>
      </c>
      <c r="P43" s="16">
        <f>Demand_CWRS!F$4/28</f>
        <v>262.94741300366297</v>
      </c>
      <c r="Q43" s="16">
        <f>Demand_CWRS!G$4/28</f>
        <v>127.85714285714286</v>
      </c>
      <c r="R43" s="16">
        <f>Demand_CWRS!H$4/28</f>
        <v>207.14285714285714</v>
      </c>
      <c r="S43" s="16">
        <f>Demand_CWRS!I$4/28</f>
        <v>214.28571428571428</v>
      </c>
      <c r="T43" s="16">
        <f>Demand_CWRS!J$4/28</f>
        <v>207.14285714285714</v>
      </c>
      <c r="U43" s="16">
        <f>Demand_CWRS!K$4/28</f>
        <v>221.42857142857142</v>
      </c>
      <c r="V43" s="16">
        <f t="shared" si="6"/>
        <v>-3894.9958869906136</v>
      </c>
      <c r="W43" s="16">
        <f t="shared" si="7"/>
        <v>-7004.4597069597066</v>
      </c>
      <c r="X43" s="16">
        <f t="shared" si="8"/>
        <v>0</v>
      </c>
      <c r="Y43" s="16">
        <f t="shared" si="9"/>
        <v>4763.3954212454328</v>
      </c>
      <c r="Z43" s="16">
        <f t="shared" si="10"/>
        <v>-3515.965739468862</v>
      </c>
      <c r="AA43" s="16">
        <f t="shared" si="11"/>
        <v>-2750.7142857142876</v>
      </c>
      <c r="AB43" s="16">
        <f t="shared" si="12"/>
        <v>-9057.29597069597</v>
      </c>
      <c r="AC43" s="16">
        <f t="shared" si="13"/>
        <v>-3128.571428571428</v>
      </c>
      <c r="AD43" s="16">
        <f t="shared" si="14"/>
        <v>-3364.2857142857156</v>
      </c>
      <c r="AE43" s="16">
        <f t="shared" si="15"/>
        <v>-3692.8571428571413</v>
      </c>
      <c r="AF43" s="14">
        <f>IF([1]Sheet2!AJ42=999999,"NA",[1]Sheet2!AJ42)</f>
        <v>0</v>
      </c>
      <c r="AG43" s="14">
        <f>IF([1]Sheet2!AK42=999999,"NA",[1]Sheet2!AK42)</f>
        <v>0</v>
      </c>
      <c r="AH43" s="14" t="str">
        <f>IF([1]Sheet2!AL42=999999,"NA",[1]Sheet2!AL42)</f>
        <v>NA</v>
      </c>
      <c r="AI43" s="14">
        <f>IF([1]Sheet2!AM42=999999,"NA",[1]Sheet2!AM42)</f>
        <v>37</v>
      </c>
      <c r="AJ43" s="14">
        <f>IF([1]Sheet2!AN42=999999,"NA",[1]Sheet2!AN42)</f>
        <v>0</v>
      </c>
      <c r="AK43" s="14">
        <f>IF([1]Sheet2!AO42=999999,"NA",[1]Sheet2!AO42)</f>
        <v>0</v>
      </c>
      <c r="AL43" s="14">
        <f>IF([1]Sheet2!AP42=999999,"NA",[1]Sheet2!AP42)</f>
        <v>0</v>
      </c>
      <c r="AM43" s="14">
        <f>IF([1]Sheet2!AQ42=999999,"NA",[1]Sheet2!AQ42)</f>
        <v>0</v>
      </c>
      <c r="AN43" s="14">
        <f>IF([1]Sheet2!AR42=999999,"NA",[1]Sheet2!AR42)</f>
        <v>0</v>
      </c>
      <c r="AO43" s="14">
        <f>IF([1]Sheet2!AS42=999999,"NA",[1]Sheet2!AS42)</f>
        <v>0</v>
      </c>
      <c r="AP43" s="14">
        <f>[1]Sheet2!P42</f>
        <v>0</v>
      </c>
      <c r="AQ43" s="14">
        <f>[1]Sheet2!Q42</f>
        <v>0</v>
      </c>
      <c r="AR43" s="14">
        <f>[1]Sheet2!R42</f>
        <v>0</v>
      </c>
      <c r="AS43" s="14">
        <f>[1]Sheet2!S42</f>
        <v>0</v>
      </c>
      <c r="AT43" s="14">
        <f>[1]Sheet2!T42</f>
        <v>0</v>
      </c>
      <c r="AU43" s="14">
        <f>[1]Sheet2!U42</f>
        <v>0</v>
      </c>
      <c r="AV43" s="14">
        <f>[1]Sheet2!V42</f>
        <v>0</v>
      </c>
      <c r="AW43" s="14">
        <f>[1]Sheet2!W42</f>
        <v>0</v>
      </c>
      <c r="AX43" s="14">
        <f>[1]Sheet2!X42</f>
        <v>0</v>
      </c>
      <c r="AY43" s="14">
        <f>[1]Sheet2!Y42</f>
        <v>0</v>
      </c>
      <c r="AZ43" s="16">
        <f>Demand_LP!B$4/28</f>
        <v>811.09813487293957</v>
      </c>
      <c r="BA43" s="16">
        <f>Demand_LP!C$4/28</f>
        <v>502.83223443223443</v>
      </c>
      <c r="BB43" s="16">
        <f>Demand_LP!D$4/28</f>
        <v>282.53663003663002</v>
      </c>
      <c r="BC43" s="16">
        <f>Demand_LP!E$4/28</f>
        <v>759.73919413919407</v>
      </c>
      <c r="BD43" s="16">
        <f>Demand_LP!F$4/28</f>
        <v>495.28213999542123</v>
      </c>
      <c r="BE43" s="16">
        <f>Demand_LP!G$4/28</f>
        <v>496.42857142857144</v>
      </c>
      <c r="BF43" s="16">
        <f>Demand_LP!H$4/28</f>
        <v>535.71428571428567</v>
      </c>
      <c r="BG43" s="16">
        <f>Demand_LP!I$4/28</f>
        <v>496.42857142857144</v>
      </c>
      <c r="BH43" s="16">
        <f>Demand_LP!J$4/28</f>
        <v>482.14285714285717</v>
      </c>
      <c r="BI43" s="16">
        <f>Demand_LP!K$4/28</f>
        <v>471.42857142857144</v>
      </c>
      <c r="BJ43" s="16">
        <f t="shared" si="16"/>
        <v>-12892.936659369278</v>
      </c>
      <c r="BK43" s="16">
        <f t="shared" si="17"/>
        <v>-19088.608058608046</v>
      </c>
      <c r="BL43" s="16">
        <f t="shared" si="18"/>
        <v>289.6703296703285</v>
      </c>
      <c r="BM43" s="16">
        <f t="shared" si="19"/>
        <v>-18430.377106227108</v>
      </c>
      <c r="BN43" s="16">
        <f t="shared" si="20"/>
        <v>-9407.9383785485297</v>
      </c>
      <c r="BO43" s="16">
        <f t="shared" si="21"/>
        <v>-8467.8571428571468</v>
      </c>
      <c r="BP43" s="16">
        <f t="shared" si="22"/>
        <v>-12821.428571428572</v>
      </c>
      <c r="BQ43" s="16">
        <f t="shared" si="23"/>
        <v>-8467.8571428571468</v>
      </c>
      <c r="BR43" s="16">
        <f t="shared" si="24"/>
        <v>-6339.2857142857156</v>
      </c>
      <c r="BS43" s="16">
        <f t="shared" si="25"/>
        <v>-7242.857142857144</v>
      </c>
      <c r="BT43" s="14">
        <f>IF([1]Sheet2!CB42=999999,"NA",[1]Sheet2!CB42)</f>
        <v>0</v>
      </c>
      <c r="BU43" s="14">
        <f>IF([1]Sheet2!CC42=999999,"NA",[1]Sheet2!CC42)</f>
        <v>0</v>
      </c>
      <c r="BV43" s="14">
        <f>IF([1]Sheet2!CD42=999999,"NA",[1]Sheet2!CD42)</f>
        <v>1</v>
      </c>
      <c r="BW43" s="14">
        <f>IF([1]Sheet2!CE42=999999,"NA",[1]Sheet2!CE42)</f>
        <v>0</v>
      </c>
      <c r="BX43" s="14">
        <f>IF([1]Sheet2!CF42=999999,"NA",[1]Sheet2!CF42)</f>
        <v>0</v>
      </c>
      <c r="BY43" s="14">
        <f>IF([1]Sheet2!CG42=999999,"NA",[1]Sheet2!CG42)</f>
        <v>0</v>
      </c>
      <c r="BZ43" s="14">
        <f>IF([1]Sheet2!CH42=999999,"NA",[1]Sheet2!CH42)</f>
        <v>0</v>
      </c>
      <c r="CA43" s="14">
        <f>IF([1]Sheet2!CI42=999999,"NA",[1]Sheet2!CI42)</f>
        <v>0</v>
      </c>
      <c r="CB43" s="14">
        <f>IF([1]Sheet2!CJ42=999999,"NA",[1]Sheet2!CJ42)</f>
        <v>0</v>
      </c>
      <c r="CC43" s="14">
        <f>IF([1]Sheet2!CK42=999999,"NA",[1]Sheet2!CK42)</f>
        <v>0</v>
      </c>
      <c r="CD43" s="14">
        <f>[1]Sheet2!BH42</f>
        <v>0</v>
      </c>
      <c r="CE43" s="14">
        <f>[1]Sheet2!BI42</f>
        <v>0</v>
      </c>
      <c r="CF43" s="14">
        <f>[1]Sheet2!BJ42</f>
        <v>0</v>
      </c>
      <c r="CG43" s="14">
        <f>[1]Sheet2!BK42</f>
        <v>0</v>
      </c>
      <c r="CH43" s="14">
        <f>[1]Sheet2!BL42</f>
        <v>0</v>
      </c>
      <c r="CI43" s="14">
        <f>[1]Sheet2!BM42</f>
        <v>0</v>
      </c>
      <c r="CJ43" s="14">
        <f>[1]Sheet2!BN42</f>
        <v>0</v>
      </c>
      <c r="CK43" s="14">
        <f>[1]Sheet2!BO42</f>
        <v>0</v>
      </c>
      <c r="CL43" s="14">
        <f>[1]Sheet2!BP42</f>
        <v>0</v>
      </c>
      <c r="CM43" s="14">
        <f>[1]Sheet2!BQ42</f>
        <v>0</v>
      </c>
      <c r="CN43" s="16">
        <f>Demand_SW!B$4/28</f>
        <v>94.69780219780219</v>
      </c>
      <c r="CO43" s="16">
        <f>Demand_SW!C$4/28</f>
        <v>0</v>
      </c>
      <c r="CP43" s="16">
        <f>Demand_SW!D$4/28</f>
        <v>0</v>
      </c>
      <c r="CQ43" s="16">
        <f>Demand_SW!E$4/28</f>
        <v>0</v>
      </c>
      <c r="CR43" s="16">
        <f>Demand_SW!F$4/28</f>
        <v>0</v>
      </c>
      <c r="CS43" s="16">
        <f>Demand_SW!G$4/28</f>
        <v>85.714285714285708</v>
      </c>
      <c r="CT43" s="16">
        <f>Demand_SW!H$4/28</f>
        <v>0</v>
      </c>
      <c r="CU43" s="16">
        <f>Demand_SW!I$4/28</f>
        <v>0</v>
      </c>
      <c r="CV43" s="16">
        <f>Demand_SW!J$4/28</f>
        <v>0</v>
      </c>
      <c r="CW43" s="16">
        <f>Demand_SW!K$4/28</f>
        <v>0</v>
      </c>
      <c r="CX43" s="16">
        <f t="shared" si="26"/>
        <v>-179.20329670329616</v>
      </c>
      <c r="CY43" s="16">
        <f t="shared" si="27"/>
        <v>1000</v>
      </c>
      <c r="CZ43" s="16">
        <f t="shared" si="28"/>
        <v>0</v>
      </c>
      <c r="DA43" s="16">
        <f t="shared" si="29"/>
        <v>0</v>
      </c>
      <c r="DB43" s="16">
        <f t="shared" si="30"/>
        <v>0</v>
      </c>
      <c r="DC43" s="16">
        <f t="shared" si="31"/>
        <v>128.57142857143396</v>
      </c>
      <c r="DD43" s="16">
        <f t="shared" si="32"/>
        <v>1000</v>
      </c>
      <c r="DE43" s="16">
        <f t="shared" si="33"/>
        <v>0</v>
      </c>
      <c r="DF43" s="16">
        <f t="shared" si="34"/>
        <v>0</v>
      </c>
      <c r="DG43" s="16">
        <f t="shared" si="35"/>
        <v>0</v>
      </c>
      <c r="DH43" s="14">
        <f>IF([1]Sheet2!DS42=999999,"NA",[1]Sheet2!DS42)</f>
        <v>0</v>
      </c>
      <c r="DI43" s="14">
        <f>IF([1]Sheet2!DT42=999999,"NA",[1]Sheet2!DT42)</f>
        <v>325</v>
      </c>
      <c r="DJ43" s="14" t="str">
        <f>IF([1]Sheet2!DU42=999999,"NA",[1]Sheet2!DU42)</f>
        <v>NA</v>
      </c>
      <c r="DK43" s="14" t="str">
        <f>IF([1]Sheet2!DV42=999999,"NA",[1]Sheet2!DV42)</f>
        <v>NA</v>
      </c>
      <c r="DL43" s="14" t="str">
        <f>IF([1]Sheet2!DW42=999999,"NA",[1]Sheet2!DW42)</f>
        <v>NA</v>
      </c>
      <c r="DM43" s="14">
        <f>IF([1]Sheet2!DX42=999999,"NA",[1]Sheet2!DX42)</f>
        <v>1</v>
      </c>
      <c r="DN43" s="14">
        <f>IF([1]Sheet2!DY42=999999,"NA",[1]Sheet2!DY42)</f>
        <v>325</v>
      </c>
      <c r="DO43" s="14" t="str">
        <f>IF([1]Sheet2!DZ42=999999,"NA",[1]Sheet2!DZ42)</f>
        <v>NA</v>
      </c>
      <c r="DP43" s="14" t="str">
        <f>IF([1]Sheet2!EA42=999999,"NA",[1]Sheet2!EA42)</f>
        <v>NA</v>
      </c>
      <c r="DQ43" s="14" t="str">
        <f>IF([1]Sheet2!EB42=999999,"NA",[1]Sheet2!EB42)</f>
        <v>NA</v>
      </c>
      <c r="DR43" s="14">
        <f>[1]Sheet2!CY42</f>
        <v>0</v>
      </c>
      <c r="DS43" s="14">
        <f>[1]Sheet2!CZ42</f>
        <v>0</v>
      </c>
      <c r="DT43" s="14">
        <f>[1]Sheet2!DA42</f>
        <v>0</v>
      </c>
      <c r="DU43" s="14">
        <f>[1]Sheet2!DB42</f>
        <v>0</v>
      </c>
      <c r="DV43" s="14">
        <f>[1]Sheet2!DC42</f>
        <v>0</v>
      </c>
      <c r="DW43" s="14">
        <f>[1]Sheet2!DD42</f>
        <v>0</v>
      </c>
      <c r="DX43" s="14">
        <f>[1]Sheet2!DE42</f>
        <v>0</v>
      </c>
      <c r="DY43" s="14">
        <f>[1]Sheet2!DF42</f>
        <v>0</v>
      </c>
      <c r="DZ43" s="14">
        <f>[1]Sheet2!DG42</f>
        <v>0</v>
      </c>
      <c r="EA43" s="14">
        <f>[1]Sheet2!DH42</f>
        <v>0</v>
      </c>
      <c r="EB43" s="6">
        <f>[1]Sheet2!EC42</f>
        <v>0</v>
      </c>
      <c r="EC43" s="6">
        <f>[1]Sheet2!ED42</f>
        <v>0</v>
      </c>
      <c r="ED43" s="6">
        <f>[1]Sheet2!EE42</f>
        <v>0</v>
      </c>
      <c r="EE43" s="6">
        <f>[1]Sheet2!EF42</f>
        <v>0</v>
      </c>
      <c r="EF43" s="6">
        <f>[1]Sheet2!EG42</f>
        <v>0</v>
      </c>
      <c r="EG43" s="6">
        <f>[1]Sheet2!EH42</f>
        <v>0</v>
      </c>
      <c r="EH43" s="6">
        <f>[1]Sheet2!EI42</f>
        <v>0</v>
      </c>
      <c r="EI43" s="6">
        <f>[1]Sheet2!EJ42</f>
        <v>0</v>
      </c>
      <c r="EJ43" s="6">
        <f>[1]Sheet2!EK42</f>
        <v>0</v>
      </c>
      <c r="EK43" s="6">
        <f>[1]Sheet2!EL42</f>
        <v>0</v>
      </c>
      <c r="EL43" s="6" t="str">
        <f>[1]Sheet2!EM42</f>
        <v/>
      </c>
      <c r="EM43" s="6" t="str">
        <f>[1]Sheet2!EN42</f>
        <v/>
      </c>
      <c r="EN43" s="6" t="str">
        <f>[1]Sheet2!EO42</f>
        <v/>
      </c>
      <c r="EO43" s="6" t="str">
        <f>[1]Sheet2!EP42</f>
        <v/>
      </c>
      <c r="EP43" s="6" t="str">
        <f>[1]Sheet2!EQ42</f>
        <v/>
      </c>
      <c r="EQ43" s="6" t="str">
        <f>[1]Sheet2!ER42</f>
        <v/>
      </c>
      <c r="ER43" s="6" t="str">
        <f>[1]Sheet2!ES42</f>
        <v/>
      </c>
      <c r="ES43" s="6" t="str">
        <f>[1]Sheet2!ET42</f>
        <v/>
      </c>
      <c r="ET43" s="6" t="str">
        <f>[1]Sheet2!EU42</f>
        <v/>
      </c>
      <c r="EU43" s="6" t="str">
        <f>[1]Sheet2!EV42</f>
        <v/>
      </c>
      <c r="EV43" s="6" t="str">
        <f>[1]Sheet2!EW42</f>
        <v/>
      </c>
      <c r="EW43" s="6" t="str">
        <f>[1]Sheet2!EX42</f>
        <v/>
      </c>
      <c r="EX43" s="6" t="str">
        <f>[1]Sheet2!EY42</f>
        <v/>
      </c>
      <c r="EY43" s="6" t="str">
        <f>[1]Sheet2!EZ42</f>
        <v/>
      </c>
      <c r="EZ43" s="6" t="str">
        <f>[1]Sheet2!FA42</f>
        <v/>
      </c>
      <c r="FA43" s="6" t="str">
        <f>[1]Sheet2!FB42</f>
        <v/>
      </c>
      <c r="FB43" s="6" t="str">
        <f>[1]Sheet2!FC42</f>
        <v/>
      </c>
      <c r="FC43" s="6" t="str">
        <f>[1]Sheet2!FD42</f>
        <v/>
      </c>
      <c r="FD43" s="6" t="str">
        <f>[1]Sheet2!FE42</f>
        <v/>
      </c>
      <c r="FE43" s="6" t="str">
        <f>[1]Sheet2!FF42</f>
        <v/>
      </c>
      <c r="FF43" s="6" t="str">
        <f>[1]Sheet2!FG42</f>
        <v/>
      </c>
      <c r="FG43" s="6" t="str">
        <f>[1]Sheet2!FH42</f>
        <v/>
      </c>
      <c r="FH43" s="6" t="str">
        <f>[1]Sheet2!FI42</f>
        <v/>
      </c>
      <c r="FI43" s="6" t="str">
        <f>[1]Sheet2!FJ42</f>
        <v/>
      </c>
      <c r="FJ43" s="6" t="str">
        <f>[1]Sheet2!FK42</f>
        <v/>
      </c>
      <c r="FK43" s="6" t="str">
        <f>[1]Sheet2!FL42</f>
        <v/>
      </c>
      <c r="FL43" s="6" t="str">
        <f>[1]Sheet2!FM42</f>
        <v/>
      </c>
      <c r="FM43" s="6" t="str">
        <f>[1]Sheet2!FN42</f>
        <v/>
      </c>
      <c r="FN43" s="6" t="str">
        <f>[1]Sheet2!FO42</f>
        <v/>
      </c>
      <c r="FO43" s="6" t="str">
        <f>[1]Sheet2!FP42</f>
        <v/>
      </c>
    </row>
    <row r="44" spans="1:171" x14ac:dyDescent="0.25">
      <c r="A44" s="15">
        <v>43506</v>
      </c>
      <c r="B44" s="1"/>
      <c r="C44" s="1"/>
      <c r="D44" s="1"/>
      <c r="E44" s="14">
        <f>[1]Sheet2!N43</f>
        <v>0</v>
      </c>
      <c r="F44" s="14">
        <f>[1]Sheet2!BE43</f>
        <v>0</v>
      </c>
      <c r="G44" s="14">
        <f>[1]Sheet2!CW43</f>
        <v>0</v>
      </c>
      <c r="H44" s="1"/>
      <c r="I44" s="1"/>
      <c r="J44" s="1"/>
      <c r="K44" s="16"/>
      <c r="L44" s="16">
        <f>Demand_CWRS!B$4/28</f>
        <v>131.68146963713369</v>
      </c>
      <c r="M44" s="16">
        <f>Demand_CWRS!C$4/28</f>
        <v>501.27216117216119</v>
      </c>
      <c r="N44" s="16">
        <f>Demand_CWRS!D$4/28</f>
        <v>0</v>
      </c>
      <c r="O44" s="16">
        <f>Demand_CWRS!E$4/28</f>
        <v>130.17472527472526</v>
      </c>
      <c r="P44" s="16">
        <f>Demand_CWRS!F$4/28</f>
        <v>262.94741300366297</v>
      </c>
      <c r="Q44" s="16">
        <f>Demand_CWRS!G$4/28</f>
        <v>127.85714285714286</v>
      </c>
      <c r="R44" s="16">
        <f>Demand_CWRS!H$4/28</f>
        <v>207.14285714285714</v>
      </c>
      <c r="S44" s="16">
        <f>Demand_CWRS!I$4/28</f>
        <v>214.28571428571428</v>
      </c>
      <c r="T44" s="16">
        <f>Demand_CWRS!J$4/28</f>
        <v>207.14285714285714</v>
      </c>
      <c r="U44" s="16">
        <f>Demand_CWRS!K$4/28</f>
        <v>221.42857142857142</v>
      </c>
      <c r="V44" s="16">
        <f t="shared" si="6"/>
        <v>-4026.6773566277475</v>
      </c>
      <c r="W44" s="16">
        <f t="shared" si="7"/>
        <v>-7505.7318681318675</v>
      </c>
      <c r="X44" s="16">
        <f t="shared" si="8"/>
        <v>0</v>
      </c>
      <c r="Y44" s="16">
        <f t="shared" si="9"/>
        <v>4633.2206959707073</v>
      </c>
      <c r="Z44" s="16">
        <f t="shared" si="10"/>
        <v>-3778.9131524725249</v>
      </c>
      <c r="AA44" s="16">
        <f t="shared" si="11"/>
        <v>-2878.5714285714303</v>
      </c>
      <c r="AB44" s="16">
        <f t="shared" si="12"/>
        <v>-9264.4388278388269</v>
      </c>
      <c r="AC44" s="16">
        <f t="shared" si="13"/>
        <v>-3342.8571428571422</v>
      </c>
      <c r="AD44" s="16">
        <f t="shared" si="14"/>
        <v>-3571.4285714285729</v>
      </c>
      <c r="AE44" s="16">
        <f t="shared" si="15"/>
        <v>-3914.2857142857129</v>
      </c>
      <c r="AF44" s="14">
        <f>IF([1]Sheet2!AJ43=999999,"NA",[1]Sheet2!AJ43)</f>
        <v>0</v>
      </c>
      <c r="AG44" s="14">
        <f>IF([1]Sheet2!AK43=999999,"NA",[1]Sheet2!AK43)</f>
        <v>0</v>
      </c>
      <c r="AH44" s="14" t="str">
        <f>IF([1]Sheet2!AL43=999999,"NA",[1]Sheet2!AL43)</f>
        <v>NA</v>
      </c>
      <c r="AI44" s="14">
        <f>IF([1]Sheet2!AM43=999999,"NA",[1]Sheet2!AM43)</f>
        <v>36</v>
      </c>
      <c r="AJ44" s="14">
        <f>IF([1]Sheet2!AN43=999999,"NA",[1]Sheet2!AN43)</f>
        <v>0</v>
      </c>
      <c r="AK44" s="14">
        <f>IF([1]Sheet2!AO43=999999,"NA",[1]Sheet2!AO43)</f>
        <v>0</v>
      </c>
      <c r="AL44" s="14">
        <f>IF([1]Sheet2!AP43=999999,"NA",[1]Sheet2!AP43)</f>
        <v>0</v>
      </c>
      <c r="AM44" s="14">
        <f>IF([1]Sheet2!AQ43=999999,"NA",[1]Sheet2!AQ43)</f>
        <v>0</v>
      </c>
      <c r="AN44" s="14">
        <f>IF([1]Sheet2!AR43=999999,"NA",[1]Sheet2!AR43)</f>
        <v>0</v>
      </c>
      <c r="AO44" s="14">
        <f>IF([1]Sheet2!AS43=999999,"NA",[1]Sheet2!AS43)</f>
        <v>0</v>
      </c>
      <c r="AP44" s="14">
        <f>[1]Sheet2!P43</f>
        <v>0</v>
      </c>
      <c r="AQ44" s="14">
        <f>[1]Sheet2!Q43</f>
        <v>0</v>
      </c>
      <c r="AR44" s="14">
        <f>[1]Sheet2!R43</f>
        <v>0</v>
      </c>
      <c r="AS44" s="14">
        <f>[1]Sheet2!S43</f>
        <v>0</v>
      </c>
      <c r="AT44" s="14">
        <f>[1]Sheet2!T43</f>
        <v>0</v>
      </c>
      <c r="AU44" s="14">
        <f>[1]Sheet2!U43</f>
        <v>0</v>
      </c>
      <c r="AV44" s="14">
        <f>[1]Sheet2!V43</f>
        <v>0</v>
      </c>
      <c r="AW44" s="14">
        <f>[1]Sheet2!W43</f>
        <v>0</v>
      </c>
      <c r="AX44" s="14">
        <f>[1]Sheet2!X43</f>
        <v>0</v>
      </c>
      <c r="AY44" s="14">
        <f>[1]Sheet2!Y43</f>
        <v>0</v>
      </c>
      <c r="AZ44" s="16">
        <f>Demand_LP!B$4/28</f>
        <v>811.09813487293957</v>
      </c>
      <c r="BA44" s="16">
        <f>Demand_LP!C$4/28</f>
        <v>502.83223443223443</v>
      </c>
      <c r="BB44" s="16">
        <f>Demand_LP!D$4/28</f>
        <v>282.53663003663002</v>
      </c>
      <c r="BC44" s="16">
        <f>Demand_LP!E$4/28</f>
        <v>759.73919413919407</v>
      </c>
      <c r="BD44" s="16">
        <f>Demand_LP!F$4/28</f>
        <v>495.28213999542123</v>
      </c>
      <c r="BE44" s="16">
        <f>Demand_LP!G$4/28</f>
        <v>496.42857142857144</v>
      </c>
      <c r="BF44" s="16">
        <f>Demand_LP!H$4/28</f>
        <v>535.71428571428567</v>
      </c>
      <c r="BG44" s="16">
        <f>Demand_LP!I$4/28</f>
        <v>496.42857142857144</v>
      </c>
      <c r="BH44" s="16">
        <f>Demand_LP!J$4/28</f>
        <v>482.14285714285717</v>
      </c>
      <c r="BI44" s="16">
        <f>Demand_LP!K$4/28</f>
        <v>471.42857142857144</v>
      </c>
      <c r="BJ44" s="16">
        <f t="shared" si="16"/>
        <v>-13704.034794242218</v>
      </c>
      <c r="BK44" s="16">
        <f t="shared" si="17"/>
        <v>-19591.440293040279</v>
      </c>
      <c r="BL44" s="16">
        <f t="shared" si="18"/>
        <v>7.1336996336984839</v>
      </c>
      <c r="BM44" s="16">
        <f t="shared" si="19"/>
        <v>-19190.116300366302</v>
      </c>
      <c r="BN44" s="16">
        <f t="shared" si="20"/>
        <v>-9903.2205185439507</v>
      </c>
      <c r="BO44" s="16">
        <f t="shared" si="21"/>
        <v>-8964.2857142857174</v>
      </c>
      <c r="BP44" s="16">
        <f t="shared" si="22"/>
        <v>-13357.142857142859</v>
      </c>
      <c r="BQ44" s="16">
        <f t="shared" si="23"/>
        <v>-8964.2857142857174</v>
      </c>
      <c r="BR44" s="16">
        <f t="shared" si="24"/>
        <v>-6821.4285714285725</v>
      </c>
      <c r="BS44" s="16">
        <f t="shared" si="25"/>
        <v>-7714.2857142857156</v>
      </c>
      <c r="BT44" s="14">
        <f>IF([1]Sheet2!CB43=999999,"NA",[1]Sheet2!CB43)</f>
        <v>0</v>
      </c>
      <c r="BU44" s="14">
        <f>IF([1]Sheet2!CC43=999999,"NA",[1]Sheet2!CC43)</f>
        <v>0</v>
      </c>
      <c r="BV44" s="14">
        <f>IF([1]Sheet2!CD43=999999,"NA",[1]Sheet2!CD43)</f>
        <v>0</v>
      </c>
      <c r="BW44" s="14">
        <f>IF([1]Sheet2!CE43=999999,"NA",[1]Sheet2!CE43)</f>
        <v>0</v>
      </c>
      <c r="BX44" s="14">
        <f>IF([1]Sheet2!CF43=999999,"NA",[1]Sheet2!CF43)</f>
        <v>0</v>
      </c>
      <c r="BY44" s="14">
        <f>IF([1]Sheet2!CG43=999999,"NA",[1]Sheet2!CG43)</f>
        <v>0</v>
      </c>
      <c r="BZ44" s="14">
        <f>IF([1]Sheet2!CH43=999999,"NA",[1]Sheet2!CH43)</f>
        <v>0</v>
      </c>
      <c r="CA44" s="14">
        <f>IF([1]Sheet2!CI43=999999,"NA",[1]Sheet2!CI43)</f>
        <v>0</v>
      </c>
      <c r="CB44" s="14">
        <f>IF([1]Sheet2!CJ43=999999,"NA",[1]Sheet2!CJ43)</f>
        <v>0</v>
      </c>
      <c r="CC44" s="14">
        <f>IF([1]Sheet2!CK43=999999,"NA",[1]Sheet2!CK43)</f>
        <v>0</v>
      </c>
      <c r="CD44" s="14">
        <f>[1]Sheet2!BH43</f>
        <v>0</v>
      </c>
      <c r="CE44" s="14">
        <f>[1]Sheet2!BI43</f>
        <v>0</v>
      </c>
      <c r="CF44" s="14">
        <f>[1]Sheet2!BJ43</f>
        <v>0</v>
      </c>
      <c r="CG44" s="14">
        <f>[1]Sheet2!BK43</f>
        <v>0</v>
      </c>
      <c r="CH44" s="14">
        <f>[1]Sheet2!BL43</f>
        <v>0</v>
      </c>
      <c r="CI44" s="14">
        <f>[1]Sheet2!BM43</f>
        <v>0</v>
      </c>
      <c r="CJ44" s="14">
        <f>[1]Sheet2!BN43</f>
        <v>0</v>
      </c>
      <c r="CK44" s="14">
        <f>[1]Sheet2!BO43</f>
        <v>0</v>
      </c>
      <c r="CL44" s="14">
        <f>[1]Sheet2!BP43</f>
        <v>0</v>
      </c>
      <c r="CM44" s="14">
        <f>[1]Sheet2!BQ43</f>
        <v>0</v>
      </c>
      <c r="CN44" s="16">
        <f>Demand_SW!B$4/28</f>
        <v>94.69780219780219</v>
      </c>
      <c r="CO44" s="16">
        <f>Demand_SW!C$4/28</f>
        <v>0</v>
      </c>
      <c r="CP44" s="16">
        <f>Demand_SW!D$4/28</f>
        <v>0</v>
      </c>
      <c r="CQ44" s="16">
        <f>Demand_SW!E$4/28</f>
        <v>0</v>
      </c>
      <c r="CR44" s="16">
        <f>Demand_SW!F$4/28</f>
        <v>0</v>
      </c>
      <c r="CS44" s="16">
        <f>Demand_SW!G$4/28</f>
        <v>85.714285714285708</v>
      </c>
      <c r="CT44" s="16">
        <f>Demand_SW!H$4/28</f>
        <v>0</v>
      </c>
      <c r="CU44" s="16">
        <f>Demand_SW!I$4/28</f>
        <v>0</v>
      </c>
      <c r="CV44" s="16">
        <f>Demand_SW!J$4/28</f>
        <v>0</v>
      </c>
      <c r="CW44" s="16">
        <f>Demand_SW!K$4/28</f>
        <v>0</v>
      </c>
      <c r="CX44" s="16">
        <f t="shared" si="26"/>
        <v>-273.90109890109835</v>
      </c>
      <c r="CY44" s="16">
        <f t="shared" si="27"/>
        <v>1000</v>
      </c>
      <c r="CZ44" s="16">
        <f t="shared" si="28"/>
        <v>0</v>
      </c>
      <c r="DA44" s="16">
        <f t="shared" si="29"/>
        <v>0</v>
      </c>
      <c r="DB44" s="16">
        <f t="shared" si="30"/>
        <v>0</v>
      </c>
      <c r="DC44" s="16">
        <f t="shared" si="31"/>
        <v>42.857142857148247</v>
      </c>
      <c r="DD44" s="16">
        <f t="shared" si="32"/>
        <v>1000</v>
      </c>
      <c r="DE44" s="16">
        <f t="shared" si="33"/>
        <v>0</v>
      </c>
      <c r="DF44" s="16">
        <f t="shared" si="34"/>
        <v>0</v>
      </c>
      <c r="DG44" s="16">
        <f t="shared" si="35"/>
        <v>0</v>
      </c>
      <c r="DH44" s="14">
        <f>IF([1]Sheet2!DS43=999999,"NA",[1]Sheet2!DS43)</f>
        <v>0</v>
      </c>
      <c r="DI44" s="14">
        <f>IF([1]Sheet2!DT43=999999,"NA",[1]Sheet2!DT43)</f>
        <v>324</v>
      </c>
      <c r="DJ44" s="14" t="str">
        <f>IF([1]Sheet2!DU43=999999,"NA",[1]Sheet2!DU43)</f>
        <v>NA</v>
      </c>
      <c r="DK44" s="14" t="str">
        <f>IF([1]Sheet2!DV43=999999,"NA",[1]Sheet2!DV43)</f>
        <v>NA</v>
      </c>
      <c r="DL44" s="14" t="str">
        <f>IF([1]Sheet2!DW43=999999,"NA",[1]Sheet2!DW43)</f>
        <v>NA</v>
      </c>
      <c r="DM44" s="14">
        <f>IF([1]Sheet2!DX43=999999,"NA",[1]Sheet2!DX43)</f>
        <v>0</v>
      </c>
      <c r="DN44" s="14">
        <f>IF([1]Sheet2!DY43=999999,"NA",[1]Sheet2!DY43)</f>
        <v>324</v>
      </c>
      <c r="DO44" s="14" t="str">
        <f>IF([1]Sheet2!DZ43=999999,"NA",[1]Sheet2!DZ43)</f>
        <v>NA</v>
      </c>
      <c r="DP44" s="14" t="str">
        <f>IF([1]Sheet2!EA43=999999,"NA",[1]Sheet2!EA43)</f>
        <v>NA</v>
      </c>
      <c r="DQ44" s="14" t="str">
        <f>IF([1]Sheet2!EB43=999999,"NA",[1]Sheet2!EB43)</f>
        <v>NA</v>
      </c>
      <c r="DR44" s="14">
        <f>[1]Sheet2!CY43</f>
        <v>0</v>
      </c>
      <c r="DS44" s="14">
        <f>[1]Sheet2!CZ43</f>
        <v>0</v>
      </c>
      <c r="DT44" s="14">
        <f>[1]Sheet2!DA43</f>
        <v>0</v>
      </c>
      <c r="DU44" s="14">
        <f>[1]Sheet2!DB43</f>
        <v>0</v>
      </c>
      <c r="DV44" s="14">
        <f>[1]Sheet2!DC43</f>
        <v>0</v>
      </c>
      <c r="DW44" s="14">
        <f>[1]Sheet2!DD43</f>
        <v>0</v>
      </c>
      <c r="DX44" s="14">
        <f>[1]Sheet2!DE43</f>
        <v>0</v>
      </c>
      <c r="DY44" s="14">
        <f>[1]Sheet2!DF43</f>
        <v>0</v>
      </c>
      <c r="DZ44" s="14">
        <f>[1]Sheet2!DG43</f>
        <v>0</v>
      </c>
      <c r="EA44" s="14">
        <f>[1]Sheet2!DH43</f>
        <v>0</v>
      </c>
      <c r="EB44" s="6">
        <f>[1]Sheet2!EC43</f>
        <v>0</v>
      </c>
      <c r="EC44" s="6">
        <f>[1]Sheet2!ED43</f>
        <v>0</v>
      </c>
      <c r="ED44" s="6">
        <f>[1]Sheet2!EE43</f>
        <v>0</v>
      </c>
      <c r="EE44" s="6">
        <f>[1]Sheet2!EF43</f>
        <v>0</v>
      </c>
      <c r="EF44" s="6">
        <f>[1]Sheet2!EG43</f>
        <v>0</v>
      </c>
      <c r="EG44" s="6">
        <f>[1]Sheet2!EH43</f>
        <v>0</v>
      </c>
      <c r="EH44" s="6">
        <f>[1]Sheet2!EI43</f>
        <v>0</v>
      </c>
      <c r="EI44" s="6">
        <f>[1]Sheet2!EJ43</f>
        <v>0</v>
      </c>
      <c r="EJ44" s="6">
        <f>[1]Sheet2!EK43</f>
        <v>0</v>
      </c>
      <c r="EK44" s="6">
        <f>[1]Sheet2!EL43</f>
        <v>0</v>
      </c>
      <c r="EL44" s="6" t="str">
        <f>[1]Sheet2!EM43</f>
        <v/>
      </c>
      <c r="EM44" s="6" t="str">
        <f>[1]Sheet2!EN43</f>
        <v/>
      </c>
      <c r="EN44" s="6" t="str">
        <f>[1]Sheet2!EO43</f>
        <v/>
      </c>
      <c r="EO44" s="6" t="str">
        <f>[1]Sheet2!EP43</f>
        <v/>
      </c>
      <c r="EP44" s="6" t="str">
        <f>[1]Sheet2!EQ43</f>
        <v/>
      </c>
      <c r="EQ44" s="6" t="str">
        <f>[1]Sheet2!ER43</f>
        <v/>
      </c>
      <c r="ER44" s="6" t="str">
        <f>[1]Sheet2!ES43</f>
        <v/>
      </c>
      <c r="ES44" s="6" t="str">
        <f>[1]Sheet2!ET43</f>
        <v/>
      </c>
      <c r="ET44" s="6" t="str">
        <f>[1]Sheet2!EU43</f>
        <v/>
      </c>
      <c r="EU44" s="6" t="str">
        <f>[1]Sheet2!EV43</f>
        <v/>
      </c>
      <c r="EV44" s="6" t="str">
        <f>[1]Sheet2!EW43</f>
        <v/>
      </c>
      <c r="EW44" s="6" t="str">
        <f>[1]Sheet2!EX43</f>
        <v/>
      </c>
      <c r="EX44" s="6" t="str">
        <f>[1]Sheet2!EY43</f>
        <v/>
      </c>
      <c r="EY44" s="6" t="str">
        <f>[1]Sheet2!EZ43</f>
        <v/>
      </c>
      <c r="EZ44" s="6" t="str">
        <f>[1]Sheet2!FA43</f>
        <v/>
      </c>
      <c r="FA44" s="6" t="str">
        <f>[1]Sheet2!FB43</f>
        <v/>
      </c>
      <c r="FB44" s="6" t="str">
        <f>[1]Sheet2!FC43</f>
        <v/>
      </c>
      <c r="FC44" s="6" t="str">
        <f>[1]Sheet2!FD43</f>
        <v/>
      </c>
      <c r="FD44" s="6" t="str">
        <f>[1]Sheet2!FE43</f>
        <v/>
      </c>
      <c r="FE44" s="6" t="str">
        <f>[1]Sheet2!FF43</f>
        <v/>
      </c>
      <c r="FF44" s="6" t="str">
        <f>[1]Sheet2!FG43</f>
        <v/>
      </c>
      <c r="FG44" s="6" t="str">
        <f>[1]Sheet2!FH43</f>
        <v/>
      </c>
      <c r="FH44" s="6" t="str">
        <f>[1]Sheet2!FI43</f>
        <v/>
      </c>
      <c r="FI44" s="6" t="str">
        <f>[1]Sheet2!FJ43</f>
        <v/>
      </c>
      <c r="FJ44" s="6" t="str">
        <f>[1]Sheet2!FK43</f>
        <v/>
      </c>
      <c r="FK44" s="6" t="str">
        <f>[1]Sheet2!FL43</f>
        <v/>
      </c>
      <c r="FL44" s="6" t="str">
        <f>[1]Sheet2!FM43</f>
        <v/>
      </c>
      <c r="FM44" s="6" t="str">
        <f>[1]Sheet2!FN43</f>
        <v/>
      </c>
      <c r="FN44" s="6" t="str">
        <f>[1]Sheet2!FO43</f>
        <v/>
      </c>
      <c r="FO44" s="6" t="str">
        <f>[1]Sheet2!FP43</f>
        <v/>
      </c>
    </row>
    <row r="45" spans="1:171" x14ac:dyDescent="0.25">
      <c r="A45" s="15">
        <v>43507</v>
      </c>
      <c r="B45" s="1"/>
      <c r="C45" s="1"/>
      <c r="D45" s="1"/>
      <c r="E45" s="14">
        <f>[1]Sheet2!N44</f>
        <v>0</v>
      </c>
      <c r="F45" s="14">
        <f>[1]Sheet2!BE44</f>
        <v>0</v>
      </c>
      <c r="G45" s="14">
        <f>[1]Sheet2!CW44</f>
        <v>0</v>
      </c>
      <c r="H45" s="1"/>
      <c r="I45" s="1"/>
      <c r="J45" s="1"/>
      <c r="K45" s="16"/>
      <c r="L45" s="16">
        <f>Demand_CWRS!B$4/28</f>
        <v>131.68146963713369</v>
      </c>
      <c r="M45" s="16">
        <f>Demand_CWRS!C$4/28</f>
        <v>501.27216117216119</v>
      </c>
      <c r="N45" s="16">
        <f>Demand_CWRS!D$4/28</f>
        <v>0</v>
      </c>
      <c r="O45" s="16">
        <f>Demand_CWRS!E$4/28</f>
        <v>130.17472527472526</v>
      </c>
      <c r="P45" s="16">
        <f>Demand_CWRS!F$4/28</f>
        <v>262.94741300366297</v>
      </c>
      <c r="Q45" s="16">
        <f>Demand_CWRS!G$4/28</f>
        <v>127.85714285714286</v>
      </c>
      <c r="R45" s="16">
        <f>Demand_CWRS!H$4/28</f>
        <v>207.14285714285714</v>
      </c>
      <c r="S45" s="16">
        <f>Demand_CWRS!I$4/28</f>
        <v>214.28571428571428</v>
      </c>
      <c r="T45" s="16">
        <f>Demand_CWRS!J$4/28</f>
        <v>207.14285714285714</v>
      </c>
      <c r="U45" s="16">
        <f>Demand_CWRS!K$4/28</f>
        <v>221.42857142857142</v>
      </c>
      <c r="V45" s="16">
        <f t="shared" si="6"/>
        <v>-4158.3588262648809</v>
      </c>
      <c r="W45" s="16">
        <f t="shared" si="7"/>
        <v>-8007.0040293040283</v>
      </c>
      <c r="X45" s="16">
        <f t="shared" si="8"/>
        <v>0</v>
      </c>
      <c r="Y45" s="16">
        <f t="shared" si="9"/>
        <v>4503.0459706959819</v>
      </c>
      <c r="Z45" s="16">
        <f t="shared" si="10"/>
        <v>-4041.8605654761877</v>
      </c>
      <c r="AA45" s="16">
        <f t="shared" si="11"/>
        <v>-3006.4285714285729</v>
      </c>
      <c r="AB45" s="16">
        <f t="shared" si="12"/>
        <v>-9471.5816849816838</v>
      </c>
      <c r="AC45" s="16">
        <f t="shared" si="13"/>
        <v>-3557.1428571428564</v>
      </c>
      <c r="AD45" s="16">
        <f t="shared" si="14"/>
        <v>-3778.5714285714303</v>
      </c>
      <c r="AE45" s="16">
        <f t="shared" si="15"/>
        <v>-4135.7142857142844</v>
      </c>
      <c r="AF45" s="14">
        <f>IF([1]Sheet2!AJ44=999999,"NA",[1]Sheet2!AJ44)</f>
        <v>0</v>
      </c>
      <c r="AG45" s="14">
        <f>IF([1]Sheet2!AK44=999999,"NA",[1]Sheet2!AK44)</f>
        <v>0</v>
      </c>
      <c r="AH45" s="14" t="str">
        <f>IF([1]Sheet2!AL44=999999,"NA",[1]Sheet2!AL44)</f>
        <v>NA</v>
      </c>
      <c r="AI45" s="14">
        <f>IF([1]Sheet2!AM44=999999,"NA",[1]Sheet2!AM44)</f>
        <v>35</v>
      </c>
      <c r="AJ45" s="14">
        <f>IF([1]Sheet2!AN44=999999,"NA",[1]Sheet2!AN44)</f>
        <v>0</v>
      </c>
      <c r="AK45" s="14">
        <f>IF([1]Sheet2!AO44=999999,"NA",[1]Sheet2!AO44)</f>
        <v>0</v>
      </c>
      <c r="AL45" s="14">
        <f>IF([1]Sheet2!AP44=999999,"NA",[1]Sheet2!AP44)</f>
        <v>0</v>
      </c>
      <c r="AM45" s="14">
        <f>IF([1]Sheet2!AQ44=999999,"NA",[1]Sheet2!AQ44)</f>
        <v>0</v>
      </c>
      <c r="AN45" s="14">
        <f>IF([1]Sheet2!AR44=999999,"NA",[1]Sheet2!AR44)</f>
        <v>0</v>
      </c>
      <c r="AO45" s="14">
        <f>IF([1]Sheet2!AS44=999999,"NA",[1]Sheet2!AS44)</f>
        <v>0</v>
      </c>
      <c r="AP45" s="14">
        <f>[1]Sheet2!P44</f>
        <v>0</v>
      </c>
      <c r="AQ45" s="14">
        <f>[1]Sheet2!Q44</f>
        <v>0</v>
      </c>
      <c r="AR45" s="14">
        <f>[1]Sheet2!R44</f>
        <v>0</v>
      </c>
      <c r="AS45" s="14">
        <f>[1]Sheet2!S44</f>
        <v>0</v>
      </c>
      <c r="AT45" s="14">
        <f>[1]Sheet2!T44</f>
        <v>0</v>
      </c>
      <c r="AU45" s="14">
        <f>[1]Sheet2!U44</f>
        <v>0</v>
      </c>
      <c r="AV45" s="14">
        <f>[1]Sheet2!V44</f>
        <v>0</v>
      </c>
      <c r="AW45" s="14">
        <f>[1]Sheet2!W44</f>
        <v>0</v>
      </c>
      <c r="AX45" s="14">
        <f>[1]Sheet2!X44</f>
        <v>0</v>
      </c>
      <c r="AY45" s="14">
        <f>[1]Sheet2!Y44</f>
        <v>0</v>
      </c>
      <c r="AZ45" s="16">
        <f>Demand_LP!B$4/28</f>
        <v>811.09813487293957</v>
      </c>
      <c r="BA45" s="16">
        <f>Demand_LP!C$4/28</f>
        <v>502.83223443223443</v>
      </c>
      <c r="BB45" s="16">
        <f>Demand_LP!D$4/28</f>
        <v>282.53663003663002</v>
      </c>
      <c r="BC45" s="16">
        <f>Demand_LP!E$4/28</f>
        <v>759.73919413919407</v>
      </c>
      <c r="BD45" s="16">
        <f>Demand_LP!F$4/28</f>
        <v>495.28213999542123</v>
      </c>
      <c r="BE45" s="16">
        <f>Demand_LP!G$4/28</f>
        <v>496.42857142857144</v>
      </c>
      <c r="BF45" s="16">
        <f>Demand_LP!H$4/28</f>
        <v>535.71428571428567</v>
      </c>
      <c r="BG45" s="16">
        <f>Demand_LP!I$4/28</f>
        <v>496.42857142857144</v>
      </c>
      <c r="BH45" s="16">
        <f>Demand_LP!J$4/28</f>
        <v>482.14285714285717</v>
      </c>
      <c r="BI45" s="16">
        <f>Demand_LP!K$4/28</f>
        <v>471.42857142857144</v>
      </c>
      <c r="BJ45" s="16">
        <f t="shared" si="16"/>
        <v>-14515.132929115158</v>
      </c>
      <c r="BK45" s="16">
        <f t="shared" si="17"/>
        <v>-20094.272527472513</v>
      </c>
      <c r="BL45" s="16">
        <f t="shared" si="18"/>
        <v>-275.40293040293153</v>
      </c>
      <c r="BM45" s="16">
        <f t="shared" si="19"/>
        <v>-19949.855494505497</v>
      </c>
      <c r="BN45" s="16">
        <f t="shared" si="20"/>
        <v>-10398.502658539372</v>
      </c>
      <c r="BO45" s="16">
        <f t="shared" si="21"/>
        <v>-9460.7142857142881</v>
      </c>
      <c r="BP45" s="16">
        <f t="shared" si="22"/>
        <v>-13892.857142857145</v>
      </c>
      <c r="BQ45" s="16">
        <f t="shared" si="23"/>
        <v>-9460.7142857142881</v>
      </c>
      <c r="BR45" s="16">
        <f t="shared" si="24"/>
        <v>-7303.5714285714294</v>
      </c>
      <c r="BS45" s="16">
        <f t="shared" si="25"/>
        <v>-8185.7142857142871</v>
      </c>
      <c r="BT45" s="14">
        <f>IF([1]Sheet2!CB44=999999,"NA",[1]Sheet2!CB44)</f>
        <v>0</v>
      </c>
      <c r="BU45" s="14">
        <f>IF([1]Sheet2!CC44=999999,"NA",[1]Sheet2!CC44)</f>
        <v>0</v>
      </c>
      <c r="BV45" s="14">
        <f>IF([1]Sheet2!CD44=999999,"NA",[1]Sheet2!CD44)</f>
        <v>0</v>
      </c>
      <c r="BW45" s="14">
        <f>IF([1]Sheet2!CE44=999999,"NA",[1]Sheet2!CE44)</f>
        <v>0</v>
      </c>
      <c r="BX45" s="14">
        <f>IF([1]Sheet2!CF44=999999,"NA",[1]Sheet2!CF44)</f>
        <v>0</v>
      </c>
      <c r="BY45" s="14">
        <f>IF([1]Sheet2!CG44=999999,"NA",[1]Sheet2!CG44)</f>
        <v>0</v>
      </c>
      <c r="BZ45" s="14">
        <f>IF([1]Sheet2!CH44=999999,"NA",[1]Sheet2!CH44)</f>
        <v>0</v>
      </c>
      <c r="CA45" s="14">
        <f>IF([1]Sheet2!CI44=999999,"NA",[1]Sheet2!CI44)</f>
        <v>0</v>
      </c>
      <c r="CB45" s="14">
        <f>IF([1]Sheet2!CJ44=999999,"NA",[1]Sheet2!CJ44)</f>
        <v>0</v>
      </c>
      <c r="CC45" s="14">
        <f>IF([1]Sheet2!CK44=999999,"NA",[1]Sheet2!CK44)</f>
        <v>0</v>
      </c>
      <c r="CD45" s="14">
        <f>[1]Sheet2!BH44</f>
        <v>0</v>
      </c>
      <c r="CE45" s="14">
        <f>[1]Sheet2!BI44</f>
        <v>0</v>
      </c>
      <c r="CF45" s="14">
        <f>[1]Sheet2!BJ44</f>
        <v>0</v>
      </c>
      <c r="CG45" s="14">
        <f>[1]Sheet2!BK44</f>
        <v>0</v>
      </c>
      <c r="CH45" s="14">
        <f>[1]Sheet2!BL44</f>
        <v>0</v>
      </c>
      <c r="CI45" s="14">
        <f>[1]Sheet2!BM44</f>
        <v>0</v>
      </c>
      <c r="CJ45" s="14">
        <f>[1]Sheet2!BN44</f>
        <v>0</v>
      </c>
      <c r="CK45" s="14">
        <f>[1]Sheet2!BO44</f>
        <v>0</v>
      </c>
      <c r="CL45" s="14">
        <f>[1]Sheet2!BP44</f>
        <v>0</v>
      </c>
      <c r="CM45" s="14">
        <f>[1]Sheet2!BQ44</f>
        <v>0</v>
      </c>
      <c r="CN45" s="16">
        <f>Demand_SW!B$4/28</f>
        <v>94.69780219780219</v>
      </c>
      <c r="CO45" s="16">
        <f>Demand_SW!C$4/28</f>
        <v>0</v>
      </c>
      <c r="CP45" s="16">
        <f>Demand_SW!D$4/28</f>
        <v>0</v>
      </c>
      <c r="CQ45" s="16">
        <f>Demand_SW!E$4/28</f>
        <v>0</v>
      </c>
      <c r="CR45" s="16">
        <f>Demand_SW!F$4/28</f>
        <v>0</v>
      </c>
      <c r="CS45" s="16">
        <f>Demand_SW!G$4/28</f>
        <v>85.714285714285708</v>
      </c>
      <c r="CT45" s="16">
        <f>Demand_SW!H$4/28</f>
        <v>0</v>
      </c>
      <c r="CU45" s="16">
        <f>Demand_SW!I$4/28</f>
        <v>0</v>
      </c>
      <c r="CV45" s="16">
        <f>Demand_SW!J$4/28</f>
        <v>0</v>
      </c>
      <c r="CW45" s="16">
        <f>Demand_SW!K$4/28</f>
        <v>0</v>
      </c>
      <c r="CX45" s="16">
        <f t="shared" si="26"/>
        <v>-368.59890109890057</v>
      </c>
      <c r="CY45" s="16">
        <f t="shared" si="27"/>
        <v>1000</v>
      </c>
      <c r="CZ45" s="16">
        <f t="shared" si="28"/>
        <v>0</v>
      </c>
      <c r="DA45" s="16">
        <f t="shared" si="29"/>
        <v>0</v>
      </c>
      <c r="DB45" s="16">
        <f t="shared" si="30"/>
        <v>0</v>
      </c>
      <c r="DC45" s="16">
        <f t="shared" si="31"/>
        <v>-42.857142857137461</v>
      </c>
      <c r="DD45" s="16">
        <f t="shared" si="32"/>
        <v>1000</v>
      </c>
      <c r="DE45" s="16">
        <f t="shared" si="33"/>
        <v>0</v>
      </c>
      <c r="DF45" s="16">
        <f t="shared" si="34"/>
        <v>0</v>
      </c>
      <c r="DG45" s="16">
        <f t="shared" si="35"/>
        <v>0</v>
      </c>
      <c r="DH45" s="14">
        <f>IF([1]Sheet2!DS44=999999,"NA",[1]Sheet2!DS44)</f>
        <v>0</v>
      </c>
      <c r="DI45" s="14">
        <f>IF([1]Sheet2!DT44=999999,"NA",[1]Sheet2!DT44)</f>
        <v>323</v>
      </c>
      <c r="DJ45" s="14" t="str">
        <f>IF([1]Sheet2!DU44=999999,"NA",[1]Sheet2!DU44)</f>
        <v>NA</v>
      </c>
      <c r="DK45" s="14" t="str">
        <f>IF([1]Sheet2!DV44=999999,"NA",[1]Sheet2!DV44)</f>
        <v>NA</v>
      </c>
      <c r="DL45" s="14" t="str">
        <f>IF([1]Sheet2!DW44=999999,"NA",[1]Sheet2!DW44)</f>
        <v>NA</v>
      </c>
      <c r="DM45" s="14">
        <f>IF([1]Sheet2!DX44=999999,"NA",[1]Sheet2!DX44)</f>
        <v>0</v>
      </c>
      <c r="DN45" s="14">
        <f>IF([1]Sheet2!DY44=999999,"NA",[1]Sheet2!DY44)</f>
        <v>323</v>
      </c>
      <c r="DO45" s="14" t="str">
        <f>IF([1]Sheet2!DZ44=999999,"NA",[1]Sheet2!DZ44)</f>
        <v>NA</v>
      </c>
      <c r="DP45" s="14" t="str">
        <f>IF([1]Sheet2!EA44=999999,"NA",[1]Sheet2!EA44)</f>
        <v>NA</v>
      </c>
      <c r="DQ45" s="14" t="str">
        <f>IF([1]Sheet2!EB44=999999,"NA",[1]Sheet2!EB44)</f>
        <v>NA</v>
      </c>
      <c r="DR45" s="14">
        <f>[1]Sheet2!CY44</f>
        <v>0</v>
      </c>
      <c r="DS45" s="14">
        <f>[1]Sheet2!CZ44</f>
        <v>0</v>
      </c>
      <c r="DT45" s="14">
        <f>[1]Sheet2!DA44</f>
        <v>0</v>
      </c>
      <c r="DU45" s="14">
        <f>[1]Sheet2!DB44</f>
        <v>0</v>
      </c>
      <c r="DV45" s="14">
        <f>[1]Sheet2!DC44</f>
        <v>0</v>
      </c>
      <c r="DW45" s="14">
        <f>[1]Sheet2!DD44</f>
        <v>0</v>
      </c>
      <c r="DX45" s="14">
        <f>[1]Sheet2!DE44</f>
        <v>0</v>
      </c>
      <c r="DY45" s="14">
        <f>[1]Sheet2!DF44</f>
        <v>0</v>
      </c>
      <c r="DZ45" s="14">
        <f>[1]Sheet2!DG44</f>
        <v>0</v>
      </c>
      <c r="EA45" s="14">
        <f>[1]Sheet2!DH44</f>
        <v>0</v>
      </c>
      <c r="EB45" s="6">
        <f>[1]Sheet2!EC44</f>
        <v>0</v>
      </c>
      <c r="EC45" s="6">
        <f>[1]Sheet2!ED44</f>
        <v>0</v>
      </c>
      <c r="ED45" s="6">
        <f>[1]Sheet2!EE44</f>
        <v>0</v>
      </c>
      <c r="EE45" s="6">
        <f>[1]Sheet2!EF44</f>
        <v>0</v>
      </c>
      <c r="EF45" s="6">
        <f>[1]Sheet2!EG44</f>
        <v>0</v>
      </c>
      <c r="EG45" s="6">
        <f>[1]Sheet2!EH44</f>
        <v>0</v>
      </c>
      <c r="EH45" s="6">
        <f>[1]Sheet2!EI44</f>
        <v>0</v>
      </c>
      <c r="EI45" s="6">
        <f>[1]Sheet2!EJ44</f>
        <v>0</v>
      </c>
      <c r="EJ45" s="6">
        <f>[1]Sheet2!EK44</f>
        <v>0</v>
      </c>
      <c r="EK45" s="6">
        <f>[1]Sheet2!EL44</f>
        <v>0</v>
      </c>
      <c r="EL45" s="6" t="str">
        <f>[1]Sheet2!EM44</f>
        <v/>
      </c>
      <c r="EM45" s="6" t="str">
        <f>[1]Sheet2!EN44</f>
        <v/>
      </c>
      <c r="EN45" s="6" t="str">
        <f>[1]Sheet2!EO44</f>
        <v/>
      </c>
      <c r="EO45" s="6" t="str">
        <f>[1]Sheet2!EP44</f>
        <v/>
      </c>
      <c r="EP45" s="6" t="str">
        <f>[1]Sheet2!EQ44</f>
        <v/>
      </c>
      <c r="EQ45" s="6" t="str">
        <f>[1]Sheet2!ER44</f>
        <v/>
      </c>
      <c r="ER45" s="6" t="str">
        <f>[1]Sheet2!ES44</f>
        <v/>
      </c>
      <c r="ES45" s="6" t="str">
        <f>[1]Sheet2!ET44</f>
        <v/>
      </c>
      <c r="ET45" s="6" t="str">
        <f>[1]Sheet2!EU44</f>
        <v/>
      </c>
      <c r="EU45" s="6" t="str">
        <f>[1]Sheet2!EV44</f>
        <v/>
      </c>
      <c r="EV45" s="6" t="str">
        <f>[1]Sheet2!EW44</f>
        <v/>
      </c>
      <c r="EW45" s="6" t="str">
        <f>[1]Sheet2!EX44</f>
        <v/>
      </c>
      <c r="EX45" s="6" t="str">
        <f>[1]Sheet2!EY44</f>
        <v/>
      </c>
      <c r="EY45" s="6" t="str">
        <f>[1]Sheet2!EZ44</f>
        <v/>
      </c>
      <c r="EZ45" s="6" t="str">
        <f>[1]Sheet2!FA44</f>
        <v/>
      </c>
      <c r="FA45" s="6" t="str">
        <f>[1]Sheet2!FB44</f>
        <v/>
      </c>
      <c r="FB45" s="6" t="str">
        <f>[1]Sheet2!FC44</f>
        <v/>
      </c>
      <c r="FC45" s="6" t="str">
        <f>[1]Sheet2!FD44</f>
        <v/>
      </c>
      <c r="FD45" s="6" t="str">
        <f>[1]Sheet2!FE44</f>
        <v/>
      </c>
      <c r="FE45" s="6" t="str">
        <f>[1]Sheet2!FF44</f>
        <v/>
      </c>
      <c r="FF45" s="6" t="str">
        <f>[1]Sheet2!FG44</f>
        <v/>
      </c>
      <c r="FG45" s="6" t="str">
        <f>[1]Sheet2!FH44</f>
        <v/>
      </c>
      <c r="FH45" s="6" t="str">
        <f>[1]Sheet2!FI44</f>
        <v/>
      </c>
      <c r="FI45" s="6" t="str">
        <f>[1]Sheet2!FJ44</f>
        <v/>
      </c>
      <c r="FJ45" s="6" t="str">
        <f>[1]Sheet2!FK44</f>
        <v/>
      </c>
      <c r="FK45" s="6" t="str">
        <f>[1]Sheet2!FL44</f>
        <v/>
      </c>
      <c r="FL45" s="6" t="str">
        <f>[1]Sheet2!FM44</f>
        <v/>
      </c>
      <c r="FM45" s="6" t="str">
        <f>[1]Sheet2!FN44</f>
        <v/>
      </c>
      <c r="FN45" s="6" t="str">
        <f>[1]Sheet2!FO44</f>
        <v/>
      </c>
      <c r="FO45" s="6" t="str">
        <f>[1]Sheet2!FP44</f>
        <v/>
      </c>
    </row>
    <row r="46" spans="1:171" x14ac:dyDescent="0.25">
      <c r="A46" s="15">
        <v>43508</v>
      </c>
      <c r="B46" s="1"/>
      <c r="C46" s="1"/>
      <c r="D46" s="1"/>
      <c r="E46" s="14">
        <f>[1]Sheet2!N45</f>
        <v>0</v>
      </c>
      <c r="F46" s="14">
        <f>[1]Sheet2!BE45</f>
        <v>0</v>
      </c>
      <c r="G46" s="14">
        <f>[1]Sheet2!CW45</f>
        <v>0</v>
      </c>
      <c r="H46" s="1"/>
      <c r="I46" s="1"/>
      <c r="J46" s="1"/>
      <c r="K46" s="16"/>
      <c r="L46" s="16">
        <f>Demand_CWRS!B$4/28</f>
        <v>131.68146963713369</v>
      </c>
      <c r="M46" s="16">
        <f>Demand_CWRS!C$4/28</f>
        <v>501.27216117216119</v>
      </c>
      <c r="N46" s="16">
        <f>Demand_CWRS!D$4/28</f>
        <v>0</v>
      </c>
      <c r="O46" s="16">
        <f>Demand_CWRS!E$4/28</f>
        <v>130.17472527472526</v>
      </c>
      <c r="P46" s="16">
        <f>Demand_CWRS!F$4/28</f>
        <v>262.94741300366297</v>
      </c>
      <c r="Q46" s="16">
        <f>Demand_CWRS!G$4/28</f>
        <v>127.85714285714286</v>
      </c>
      <c r="R46" s="16">
        <f>Demand_CWRS!H$4/28</f>
        <v>207.14285714285714</v>
      </c>
      <c r="S46" s="16">
        <f>Demand_CWRS!I$4/28</f>
        <v>214.28571428571428</v>
      </c>
      <c r="T46" s="16">
        <f>Demand_CWRS!J$4/28</f>
        <v>207.14285714285714</v>
      </c>
      <c r="U46" s="16">
        <f>Demand_CWRS!K$4/28</f>
        <v>221.42857142857142</v>
      </c>
      <c r="V46" s="16">
        <f t="shared" si="6"/>
        <v>-4290.0402959020148</v>
      </c>
      <c r="W46" s="16">
        <f t="shared" si="7"/>
        <v>-8508.2761904761901</v>
      </c>
      <c r="X46" s="16">
        <f t="shared" si="8"/>
        <v>0</v>
      </c>
      <c r="Y46" s="16">
        <f t="shared" si="9"/>
        <v>4372.8712454212564</v>
      </c>
      <c r="Z46" s="16">
        <f t="shared" si="10"/>
        <v>-4304.807978479851</v>
      </c>
      <c r="AA46" s="16">
        <f t="shared" si="11"/>
        <v>-3134.2857142857156</v>
      </c>
      <c r="AB46" s="16">
        <f t="shared" si="12"/>
        <v>-9678.7245421245407</v>
      </c>
      <c r="AC46" s="16">
        <f t="shared" si="13"/>
        <v>-3771.4285714285706</v>
      </c>
      <c r="AD46" s="16">
        <f t="shared" si="14"/>
        <v>-3985.7142857142876</v>
      </c>
      <c r="AE46" s="16">
        <f t="shared" si="15"/>
        <v>-4357.142857142856</v>
      </c>
      <c r="AF46" s="14">
        <f>IF([1]Sheet2!AJ45=999999,"NA",[1]Sheet2!AJ45)</f>
        <v>0</v>
      </c>
      <c r="AG46" s="14">
        <f>IF([1]Sheet2!AK45=999999,"NA",[1]Sheet2!AK45)</f>
        <v>0</v>
      </c>
      <c r="AH46" s="14" t="str">
        <f>IF([1]Sheet2!AL45=999999,"NA",[1]Sheet2!AL45)</f>
        <v>NA</v>
      </c>
      <c r="AI46" s="14">
        <f>IF([1]Sheet2!AM45=999999,"NA",[1]Sheet2!AM45)</f>
        <v>34</v>
      </c>
      <c r="AJ46" s="14">
        <f>IF([1]Sheet2!AN45=999999,"NA",[1]Sheet2!AN45)</f>
        <v>0</v>
      </c>
      <c r="AK46" s="14">
        <f>IF([1]Sheet2!AO45=999999,"NA",[1]Sheet2!AO45)</f>
        <v>0</v>
      </c>
      <c r="AL46" s="14">
        <f>IF([1]Sheet2!AP45=999999,"NA",[1]Sheet2!AP45)</f>
        <v>0</v>
      </c>
      <c r="AM46" s="14">
        <f>IF([1]Sheet2!AQ45=999999,"NA",[1]Sheet2!AQ45)</f>
        <v>0</v>
      </c>
      <c r="AN46" s="14">
        <f>IF([1]Sheet2!AR45=999999,"NA",[1]Sheet2!AR45)</f>
        <v>0</v>
      </c>
      <c r="AO46" s="14">
        <f>IF([1]Sheet2!AS45=999999,"NA",[1]Sheet2!AS45)</f>
        <v>0</v>
      </c>
      <c r="AP46" s="14">
        <f>[1]Sheet2!P45</f>
        <v>0</v>
      </c>
      <c r="AQ46" s="14">
        <f>[1]Sheet2!Q45</f>
        <v>0</v>
      </c>
      <c r="AR46" s="14">
        <f>[1]Sheet2!R45</f>
        <v>0</v>
      </c>
      <c r="AS46" s="14">
        <f>[1]Sheet2!S45</f>
        <v>0</v>
      </c>
      <c r="AT46" s="14">
        <f>[1]Sheet2!T45</f>
        <v>0</v>
      </c>
      <c r="AU46" s="14">
        <f>[1]Sheet2!U45</f>
        <v>0</v>
      </c>
      <c r="AV46" s="14">
        <f>[1]Sheet2!V45</f>
        <v>0</v>
      </c>
      <c r="AW46" s="14">
        <f>[1]Sheet2!W45</f>
        <v>0</v>
      </c>
      <c r="AX46" s="14">
        <f>[1]Sheet2!X45</f>
        <v>0</v>
      </c>
      <c r="AY46" s="14">
        <f>[1]Sheet2!Y45</f>
        <v>0</v>
      </c>
      <c r="AZ46" s="16">
        <f>Demand_LP!B$4/28</f>
        <v>811.09813487293957</v>
      </c>
      <c r="BA46" s="16">
        <f>Demand_LP!C$4/28</f>
        <v>502.83223443223443</v>
      </c>
      <c r="BB46" s="16">
        <f>Demand_LP!D$4/28</f>
        <v>282.53663003663002</v>
      </c>
      <c r="BC46" s="16">
        <f>Demand_LP!E$4/28</f>
        <v>759.73919413919407</v>
      </c>
      <c r="BD46" s="16">
        <f>Demand_LP!F$4/28</f>
        <v>495.28213999542123</v>
      </c>
      <c r="BE46" s="16">
        <f>Demand_LP!G$4/28</f>
        <v>496.42857142857144</v>
      </c>
      <c r="BF46" s="16">
        <f>Demand_LP!H$4/28</f>
        <v>535.71428571428567</v>
      </c>
      <c r="BG46" s="16">
        <f>Demand_LP!I$4/28</f>
        <v>496.42857142857144</v>
      </c>
      <c r="BH46" s="16">
        <f>Demand_LP!J$4/28</f>
        <v>482.14285714285717</v>
      </c>
      <c r="BI46" s="16">
        <f>Demand_LP!K$4/28</f>
        <v>471.42857142857144</v>
      </c>
      <c r="BJ46" s="16">
        <f t="shared" si="16"/>
        <v>-15326.231063988098</v>
      </c>
      <c r="BK46" s="16">
        <f t="shared" si="17"/>
        <v>-20597.104761904746</v>
      </c>
      <c r="BL46" s="16">
        <f t="shared" si="18"/>
        <v>-557.93956043956155</v>
      </c>
      <c r="BM46" s="16">
        <f t="shared" si="19"/>
        <v>-20709.594688644691</v>
      </c>
      <c r="BN46" s="16">
        <f t="shared" si="20"/>
        <v>-10893.784798534793</v>
      </c>
      <c r="BO46" s="16">
        <f t="shared" si="21"/>
        <v>-9957.1428571428587</v>
      </c>
      <c r="BP46" s="16">
        <f t="shared" si="22"/>
        <v>-14428.571428571431</v>
      </c>
      <c r="BQ46" s="16">
        <f t="shared" si="23"/>
        <v>-9957.1428571428587</v>
      </c>
      <c r="BR46" s="16">
        <f t="shared" si="24"/>
        <v>-7785.7142857142862</v>
      </c>
      <c r="BS46" s="16">
        <f t="shared" si="25"/>
        <v>-8657.1428571428587</v>
      </c>
      <c r="BT46" s="14">
        <f>IF([1]Sheet2!CB45=999999,"NA",[1]Sheet2!CB45)</f>
        <v>0</v>
      </c>
      <c r="BU46" s="14">
        <f>IF([1]Sheet2!CC45=999999,"NA",[1]Sheet2!CC45)</f>
        <v>0</v>
      </c>
      <c r="BV46" s="14">
        <f>IF([1]Sheet2!CD45=999999,"NA",[1]Sheet2!CD45)</f>
        <v>0</v>
      </c>
      <c r="BW46" s="14">
        <f>IF([1]Sheet2!CE45=999999,"NA",[1]Sheet2!CE45)</f>
        <v>0</v>
      </c>
      <c r="BX46" s="14">
        <f>IF([1]Sheet2!CF45=999999,"NA",[1]Sheet2!CF45)</f>
        <v>0</v>
      </c>
      <c r="BY46" s="14">
        <f>IF([1]Sheet2!CG45=999999,"NA",[1]Sheet2!CG45)</f>
        <v>0</v>
      </c>
      <c r="BZ46" s="14">
        <f>IF([1]Sheet2!CH45=999999,"NA",[1]Sheet2!CH45)</f>
        <v>0</v>
      </c>
      <c r="CA46" s="14">
        <f>IF([1]Sheet2!CI45=999999,"NA",[1]Sheet2!CI45)</f>
        <v>0</v>
      </c>
      <c r="CB46" s="14">
        <f>IF([1]Sheet2!CJ45=999999,"NA",[1]Sheet2!CJ45)</f>
        <v>0</v>
      </c>
      <c r="CC46" s="14">
        <f>IF([1]Sheet2!CK45=999999,"NA",[1]Sheet2!CK45)</f>
        <v>0</v>
      </c>
      <c r="CD46" s="14">
        <f>[1]Sheet2!BH45</f>
        <v>0</v>
      </c>
      <c r="CE46" s="14">
        <f>[1]Sheet2!BI45</f>
        <v>0</v>
      </c>
      <c r="CF46" s="14">
        <f>[1]Sheet2!BJ45</f>
        <v>0</v>
      </c>
      <c r="CG46" s="14">
        <f>[1]Sheet2!BK45</f>
        <v>0</v>
      </c>
      <c r="CH46" s="14">
        <f>[1]Sheet2!BL45</f>
        <v>0</v>
      </c>
      <c r="CI46" s="14">
        <f>[1]Sheet2!BM45</f>
        <v>0</v>
      </c>
      <c r="CJ46" s="14">
        <f>[1]Sheet2!BN45</f>
        <v>0</v>
      </c>
      <c r="CK46" s="14">
        <f>[1]Sheet2!BO45</f>
        <v>0</v>
      </c>
      <c r="CL46" s="14">
        <f>[1]Sheet2!BP45</f>
        <v>0</v>
      </c>
      <c r="CM46" s="14">
        <f>[1]Sheet2!BQ45</f>
        <v>0</v>
      </c>
      <c r="CN46" s="16">
        <f>Demand_SW!B$4/28</f>
        <v>94.69780219780219</v>
      </c>
      <c r="CO46" s="16">
        <f>Demand_SW!C$4/28</f>
        <v>0</v>
      </c>
      <c r="CP46" s="16">
        <f>Demand_SW!D$4/28</f>
        <v>0</v>
      </c>
      <c r="CQ46" s="16">
        <f>Demand_SW!E$4/28</f>
        <v>0</v>
      </c>
      <c r="CR46" s="16">
        <f>Demand_SW!F$4/28</f>
        <v>0</v>
      </c>
      <c r="CS46" s="16">
        <f>Demand_SW!G$4/28</f>
        <v>85.714285714285708</v>
      </c>
      <c r="CT46" s="16">
        <f>Demand_SW!H$4/28</f>
        <v>0</v>
      </c>
      <c r="CU46" s="16">
        <f>Demand_SW!I$4/28</f>
        <v>0</v>
      </c>
      <c r="CV46" s="16">
        <f>Demand_SW!J$4/28</f>
        <v>0</v>
      </c>
      <c r="CW46" s="16">
        <f>Demand_SW!K$4/28</f>
        <v>0</v>
      </c>
      <c r="CX46" s="16">
        <f t="shared" si="26"/>
        <v>-463.29670329670273</v>
      </c>
      <c r="CY46" s="16">
        <f t="shared" si="27"/>
        <v>1000</v>
      </c>
      <c r="CZ46" s="16">
        <f t="shared" si="28"/>
        <v>0</v>
      </c>
      <c r="DA46" s="16">
        <f t="shared" si="29"/>
        <v>0</v>
      </c>
      <c r="DB46" s="16">
        <f t="shared" si="30"/>
        <v>0</v>
      </c>
      <c r="DC46" s="16">
        <f t="shared" si="31"/>
        <v>-128.57142857142316</v>
      </c>
      <c r="DD46" s="16">
        <f t="shared" si="32"/>
        <v>1000</v>
      </c>
      <c r="DE46" s="16">
        <f t="shared" si="33"/>
        <v>0</v>
      </c>
      <c r="DF46" s="16">
        <f t="shared" si="34"/>
        <v>0</v>
      </c>
      <c r="DG46" s="16">
        <f t="shared" si="35"/>
        <v>0</v>
      </c>
      <c r="DH46" s="14">
        <f>IF([1]Sheet2!DS45=999999,"NA",[1]Sheet2!DS45)</f>
        <v>0</v>
      </c>
      <c r="DI46" s="14">
        <f>IF([1]Sheet2!DT45=999999,"NA",[1]Sheet2!DT45)</f>
        <v>322</v>
      </c>
      <c r="DJ46" s="14" t="str">
        <f>IF([1]Sheet2!DU45=999999,"NA",[1]Sheet2!DU45)</f>
        <v>NA</v>
      </c>
      <c r="DK46" s="14" t="str">
        <f>IF([1]Sheet2!DV45=999999,"NA",[1]Sheet2!DV45)</f>
        <v>NA</v>
      </c>
      <c r="DL46" s="14" t="str">
        <f>IF([1]Sheet2!DW45=999999,"NA",[1]Sheet2!DW45)</f>
        <v>NA</v>
      </c>
      <c r="DM46" s="14">
        <f>IF([1]Sheet2!DX45=999999,"NA",[1]Sheet2!DX45)</f>
        <v>0</v>
      </c>
      <c r="DN46" s="14">
        <f>IF([1]Sheet2!DY45=999999,"NA",[1]Sheet2!DY45)</f>
        <v>322</v>
      </c>
      <c r="DO46" s="14" t="str">
        <f>IF([1]Sheet2!DZ45=999999,"NA",[1]Sheet2!DZ45)</f>
        <v>NA</v>
      </c>
      <c r="DP46" s="14" t="str">
        <f>IF([1]Sheet2!EA45=999999,"NA",[1]Sheet2!EA45)</f>
        <v>NA</v>
      </c>
      <c r="DQ46" s="14" t="str">
        <f>IF([1]Sheet2!EB45=999999,"NA",[1]Sheet2!EB45)</f>
        <v>NA</v>
      </c>
      <c r="DR46" s="14">
        <f>[1]Sheet2!CY45</f>
        <v>0</v>
      </c>
      <c r="DS46" s="14">
        <f>[1]Sheet2!CZ45</f>
        <v>0</v>
      </c>
      <c r="DT46" s="14">
        <f>[1]Sheet2!DA45</f>
        <v>0</v>
      </c>
      <c r="DU46" s="14">
        <f>[1]Sheet2!DB45</f>
        <v>0</v>
      </c>
      <c r="DV46" s="14">
        <f>[1]Sheet2!DC45</f>
        <v>0</v>
      </c>
      <c r="DW46" s="14">
        <f>[1]Sheet2!DD45</f>
        <v>0</v>
      </c>
      <c r="DX46" s="14">
        <f>[1]Sheet2!DE45</f>
        <v>0</v>
      </c>
      <c r="DY46" s="14">
        <f>[1]Sheet2!DF45</f>
        <v>0</v>
      </c>
      <c r="DZ46" s="14">
        <f>[1]Sheet2!DG45</f>
        <v>0</v>
      </c>
      <c r="EA46" s="14">
        <f>[1]Sheet2!DH45</f>
        <v>0</v>
      </c>
      <c r="EB46" s="6">
        <f>[1]Sheet2!EC45</f>
        <v>0</v>
      </c>
      <c r="EC46" s="6">
        <f>[1]Sheet2!ED45</f>
        <v>0</v>
      </c>
      <c r="ED46" s="6">
        <f>[1]Sheet2!EE45</f>
        <v>0</v>
      </c>
      <c r="EE46" s="6">
        <f>[1]Sheet2!EF45</f>
        <v>0</v>
      </c>
      <c r="EF46" s="6">
        <f>[1]Sheet2!EG45</f>
        <v>0</v>
      </c>
      <c r="EG46" s="6">
        <f>[1]Sheet2!EH45</f>
        <v>0</v>
      </c>
      <c r="EH46" s="6">
        <f>[1]Sheet2!EI45</f>
        <v>0</v>
      </c>
      <c r="EI46" s="6">
        <f>[1]Sheet2!EJ45</f>
        <v>0</v>
      </c>
      <c r="EJ46" s="6">
        <f>[1]Sheet2!EK45</f>
        <v>0</v>
      </c>
      <c r="EK46" s="6">
        <f>[1]Sheet2!EL45</f>
        <v>0</v>
      </c>
      <c r="EL46" s="6" t="str">
        <f>[1]Sheet2!EM45</f>
        <v/>
      </c>
      <c r="EM46" s="6" t="str">
        <f>[1]Sheet2!EN45</f>
        <v/>
      </c>
      <c r="EN46" s="6" t="str">
        <f>[1]Sheet2!EO45</f>
        <v/>
      </c>
      <c r="EO46" s="6" t="str">
        <f>[1]Sheet2!EP45</f>
        <v/>
      </c>
      <c r="EP46" s="6" t="str">
        <f>[1]Sheet2!EQ45</f>
        <v/>
      </c>
      <c r="EQ46" s="6" t="str">
        <f>[1]Sheet2!ER45</f>
        <v/>
      </c>
      <c r="ER46" s="6" t="str">
        <f>[1]Sheet2!ES45</f>
        <v/>
      </c>
      <c r="ES46" s="6" t="str">
        <f>[1]Sheet2!ET45</f>
        <v/>
      </c>
      <c r="ET46" s="6" t="str">
        <f>[1]Sheet2!EU45</f>
        <v/>
      </c>
      <c r="EU46" s="6" t="str">
        <f>[1]Sheet2!EV45</f>
        <v/>
      </c>
      <c r="EV46" s="6" t="str">
        <f>[1]Sheet2!EW45</f>
        <v/>
      </c>
      <c r="EW46" s="6" t="str">
        <f>[1]Sheet2!EX45</f>
        <v/>
      </c>
      <c r="EX46" s="6" t="str">
        <f>[1]Sheet2!EY45</f>
        <v/>
      </c>
      <c r="EY46" s="6" t="str">
        <f>[1]Sheet2!EZ45</f>
        <v/>
      </c>
      <c r="EZ46" s="6" t="str">
        <f>[1]Sheet2!FA45</f>
        <v/>
      </c>
      <c r="FA46" s="6" t="str">
        <f>[1]Sheet2!FB45</f>
        <v/>
      </c>
      <c r="FB46" s="6" t="str">
        <f>[1]Sheet2!FC45</f>
        <v/>
      </c>
      <c r="FC46" s="6" t="str">
        <f>[1]Sheet2!FD45</f>
        <v/>
      </c>
      <c r="FD46" s="6" t="str">
        <f>[1]Sheet2!FE45</f>
        <v/>
      </c>
      <c r="FE46" s="6" t="str">
        <f>[1]Sheet2!FF45</f>
        <v/>
      </c>
      <c r="FF46" s="6" t="str">
        <f>[1]Sheet2!FG45</f>
        <v/>
      </c>
      <c r="FG46" s="6" t="str">
        <f>[1]Sheet2!FH45</f>
        <v/>
      </c>
      <c r="FH46" s="6" t="str">
        <f>[1]Sheet2!FI45</f>
        <v/>
      </c>
      <c r="FI46" s="6" t="str">
        <f>[1]Sheet2!FJ45</f>
        <v/>
      </c>
      <c r="FJ46" s="6" t="str">
        <f>[1]Sheet2!FK45</f>
        <v/>
      </c>
      <c r="FK46" s="6" t="str">
        <f>[1]Sheet2!FL45</f>
        <v/>
      </c>
      <c r="FL46" s="6" t="str">
        <f>[1]Sheet2!FM45</f>
        <v/>
      </c>
      <c r="FM46" s="6" t="str">
        <f>[1]Sheet2!FN45</f>
        <v/>
      </c>
      <c r="FN46" s="6" t="str">
        <f>[1]Sheet2!FO45</f>
        <v/>
      </c>
      <c r="FO46" s="6" t="str">
        <f>[1]Sheet2!FP45</f>
        <v/>
      </c>
    </row>
    <row r="47" spans="1:171" x14ac:dyDescent="0.25">
      <c r="A47" s="15">
        <v>43509</v>
      </c>
      <c r="B47" s="1"/>
      <c r="C47" s="1"/>
      <c r="D47" s="1"/>
      <c r="E47" s="14">
        <f>[1]Sheet2!N46</f>
        <v>0</v>
      </c>
      <c r="F47" s="14">
        <f>[1]Sheet2!BE46</f>
        <v>0</v>
      </c>
      <c r="G47" s="14">
        <f>[1]Sheet2!CW46</f>
        <v>0</v>
      </c>
      <c r="H47" s="1"/>
      <c r="I47" s="1"/>
      <c r="J47" s="1"/>
      <c r="K47" s="16"/>
      <c r="L47" s="16">
        <f>Demand_CWRS!B$4/28</f>
        <v>131.68146963713369</v>
      </c>
      <c r="M47" s="16">
        <f>Demand_CWRS!C$4/28</f>
        <v>501.27216117216119</v>
      </c>
      <c r="N47" s="16">
        <f>Demand_CWRS!D$4/28</f>
        <v>0</v>
      </c>
      <c r="O47" s="16">
        <f>Demand_CWRS!E$4/28</f>
        <v>130.17472527472526</v>
      </c>
      <c r="P47" s="16">
        <f>Demand_CWRS!F$4/28</f>
        <v>262.94741300366297</v>
      </c>
      <c r="Q47" s="16">
        <f>Demand_CWRS!G$4/28</f>
        <v>127.85714285714286</v>
      </c>
      <c r="R47" s="16">
        <f>Demand_CWRS!H$4/28</f>
        <v>207.14285714285714</v>
      </c>
      <c r="S47" s="16">
        <f>Demand_CWRS!I$4/28</f>
        <v>214.28571428571428</v>
      </c>
      <c r="T47" s="16">
        <f>Demand_CWRS!J$4/28</f>
        <v>207.14285714285714</v>
      </c>
      <c r="U47" s="16">
        <f>Demand_CWRS!K$4/28</f>
        <v>221.42857142857142</v>
      </c>
      <c r="V47" s="16">
        <f t="shared" si="6"/>
        <v>-4421.7217655391487</v>
      </c>
      <c r="W47" s="16">
        <f t="shared" si="7"/>
        <v>-9009.5483516483509</v>
      </c>
      <c r="X47" s="16">
        <f t="shared" si="8"/>
        <v>0</v>
      </c>
      <c r="Y47" s="16">
        <f t="shared" si="9"/>
        <v>4242.6965201465309</v>
      </c>
      <c r="Z47" s="16">
        <f t="shared" si="10"/>
        <v>-4567.7553914835144</v>
      </c>
      <c r="AA47" s="16">
        <f t="shared" si="11"/>
        <v>-3262.1428571428582</v>
      </c>
      <c r="AB47" s="16">
        <f t="shared" si="12"/>
        <v>-9885.8673992673976</v>
      </c>
      <c r="AC47" s="16">
        <f t="shared" si="13"/>
        <v>-3985.7142857142849</v>
      </c>
      <c r="AD47" s="16">
        <f t="shared" si="14"/>
        <v>-4192.8571428571449</v>
      </c>
      <c r="AE47" s="16">
        <f t="shared" si="15"/>
        <v>-4578.5714285714275</v>
      </c>
      <c r="AF47" s="14">
        <f>IF([1]Sheet2!AJ46=999999,"NA",[1]Sheet2!AJ46)</f>
        <v>0</v>
      </c>
      <c r="AG47" s="14">
        <f>IF([1]Sheet2!AK46=999999,"NA",[1]Sheet2!AK46)</f>
        <v>0</v>
      </c>
      <c r="AH47" s="14" t="str">
        <f>IF([1]Sheet2!AL46=999999,"NA",[1]Sheet2!AL46)</f>
        <v>NA</v>
      </c>
      <c r="AI47" s="14">
        <f>IF([1]Sheet2!AM46=999999,"NA",[1]Sheet2!AM46)</f>
        <v>33</v>
      </c>
      <c r="AJ47" s="14">
        <f>IF([1]Sheet2!AN46=999999,"NA",[1]Sheet2!AN46)</f>
        <v>0</v>
      </c>
      <c r="AK47" s="14">
        <f>IF([1]Sheet2!AO46=999999,"NA",[1]Sheet2!AO46)</f>
        <v>0</v>
      </c>
      <c r="AL47" s="14">
        <f>IF([1]Sheet2!AP46=999999,"NA",[1]Sheet2!AP46)</f>
        <v>0</v>
      </c>
      <c r="AM47" s="14">
        <f>IF([1]Sheet2!AQ46=999999,"NA",[1]Sheet2!AQ46)</f>
        <v>0</v>
      </c>
      <c r="AN47" s="14">
        <f>IF([1]Sheet2!AR46=999999,"NA",[1]Sheet2!AR46)</f>
        <v>0</v>
      </c>
      <c r="AO47" s="14">
        <f>IF([1]Sheet2!AS46=999999,"NA",[1]Sheet2!AS46)</f>
        <v>0</v>
      </c>
      <c r="AP47" s="14">
        <f>[1]Sheet2!P46</f>
        <v>0</v>
      </c>
      <c r="AQ47" s="14">
        <f>[1]Sheet2!Q46</f>
        <v>0</v>
      </c>
      <c r="AR47" s="14">
        <f>[1]Sheet2!R46</f>
        <v>0</v>
      </c>
      <c r="AS47" s="14">
        <f>[1]Sheet2!S46</f>
        <v>0</v>
      </c>
      <c r="AT47" s="14">
        <f>[1]Sheet2!T46</f>
        <v>0</v>
      </c>
      <c r="AU47" s="14">
        <f>[1]Sheet2!U46</f>
        <v>0</v>
      </c>
      <c r="AV47" s="14">
        <f>[1]Sheet2!V46</f>
        <v>0</v>
      </c>
      <c r="AW47" s="14">
        <f>[1]Sheet2!W46</f>
        <v>0</v>
      </c>
      <c r="AX47" s="14">
        <f>[1]Sheet2!X46</f>
        <v>0</v>
      </c>
      <c r="AY47" s="14">
        <f>[1]Sheet2!Y46</f>
        <v>0</v>
      </c>
      <c r="AZ47" s="16">
        <f>Demand_LP!B$4/28</f>
        <v>811.09813487293957</v>
      </c>
      <c r="BA47" s="16">
        <f>Demand_LP!C$4/28</f>
        <v>502.83223443223443</v>
      </c>
      <c r="BB47" s="16">
        <f>Demand_LP!D$4/28</f>
        <v>282.53663003663002</v>
      </c>
      <c r="BC47" s="16">
        <f>Demand_LP!E$4/28</f>
        <v>759.73919413919407</v>
      </c>
      <c r="BD47" s="16">
        <f>Demand_LP!F$4/28</f>
        <v>495.28213999542123</v>
      </c>
      <c r="BE47" s="16">
        <f>Demand_LP!G$4/28</f>
        <v>496.42857142857144</v>
      </c>
      <c r="BF47" s="16">
        <f>Demand_LP!H$4/28</f>
        <v>535.71428571428567</v>
      </c>
      <c r="BG47" s="16">
        <f>Demand_LP!I$4/28</f>
        <v>496.42857142857144</v>
      </c>
      <c r="BH47" s="16">
        <f>Demand_LP!J$4/28</f>
        <v>482.14285714285717</v>
      </c>
      <c r="BI47" s="16">
        <f>Demand_LP!K$4/28</f>
        <v>471.42857142857144</v>
      </c>
      <c r="BJ47" s="16">
        <f t="shared" si="16"/>
        <v>-16137.329198861038</v>
      </c>
      <c r="BK47" s="16">
        <f t="shared" si="17"/>
        <v>-21099.936996336979</v>
      </c>
      <c r="BL47" s="16">
        <f t="shared" si="18"/>
        <v>-840.4761904761915</v>
      </c>
      <c r="BM47" s="16">
        <f t="shared" si="19"/>
        <v>-21469.333882783885</v>
      </c>
      <c r="BN47" s="16">
        <f t="shared" si="20"/>
        <v>-11389.066938530214</v>
      </c>
      <c r="BO47" s="16">
        <f t="shared" si="21"/>
        <v>-10453.571428571429</v>
      </c>
      <c r="BP47" s="16">
        <f t="shared" si="22"/>
        <v>-14964.285714285717</v>
      </c>
      <c r="BQ47" s="16">
        <f t="shared" si="23"/>
        <v>-10453.571428571429</v>
      </c>
      <c r="BR47" s="16">
        <f t="shared" si="24"/>
        <v>-8267.8571428571431</v>
      </c>
      <c r="BS47" s="16">
        <f t="shared" si="25"/>
        <v>-9128.5714285714294</v>
      </c>
      <c r="BT47" s="14">
        <f>IF([1]Sheet2!CB46=999999,"NA",[1]Sheet2!CB46)</f>
        <v>0</v>
      </c>
      <c r="BU47" s="14">
        <f>IF([1]Sheet2!CC46=999999,"NA",[1]Sheet2!CC46)</f>
        <v>0</v>
      </c>
      <c r="BV47" s="14">
        <f>IF([1]Sheet2!CD46=999999,"NA",[1]Sheet2!CD46)</f>
        <v>0</v>
      </c>
      <c r="BW47" s="14">
        <f>IF([1]Sheet2!CE46=999999,"NA",[1]Sheet2!CE46)</f>
        <v>0</v>
      </c>
      <c r="BX47" s="14">
        <f>IF([1]Sheet2!CF46=999999,"NA",[1]Sheet2!CF46)</f>
        <v>0</v>
      </c>
      <c r="BY47" s="14">
        <f>IF([1]Sheet2!CG46=999999,"NA",[1]Sheet2!CG46)</f>
        <v>0</v>
      </c>
      <c r="BZ47" s="14">
        <f>IF([1]Sheet2!CH46=999999,"NA",[1]Sheet2!CH46)</f>
        <v>0</v>
      </c>
      <c r="CA47" s="14">
        <f>IF([1]Sheet2!CI46=999999,"NA",[1]Sheet2!CI46)</f>
        <v>0</v>
      </c>
      <c r="CB47" s="14">
        <f>IF([1]Sheet2!CJ46=999999,"NA",[1]Sheet2!CJ46)</f>
        <v>0</v>
      </c>
      <c r="CC47" s="14">
        <f>IF([1]Sheet2!CK46=999999,"NA",[1]Sheet2!CK46)</f>
        <v>0</v>
      </c>
      <c r="CD47" s="14">
        <f>[1]Sheet2!BH46</f>
        <v>0</v>
      </c>
      <c r="CE47" s="14">
        <f>[1]Sheet2!BI46</f>
        <v>0</v>
      </c>
      <c r="CF47" s="14">
        <f>[1]Sheet2!BJ46</f>
        <v>0</v>
      </c>
      <c r="CG47" s="14">
        <f>[1]Sheet2!BK46</f>
        <v>0</v>
      </c>
      <c r="CH47" s="14">
        <f>[1]Sheet2!BL46</f>
        <v>0</v>
      </c>
      <c r="CI47" s="14">
        <f>[1]Sheet2!BM46</f>
        <v>0</v>
      </c>
      <c r="CJ47" s="14">
        <f>[1]Sheet2!BN46</f>
        <v>0</v>
      </c>
      <c r="CK47" s="14">
        <f>[1]Sheet2!BO46</f>
        <v>0</v>
      </c>
      <c r="CL47" s="14">
        <f>[1]Sheet2!BP46</f>
        <v>0</v>
      </c>
      <c r="CM47" s="14">
        <f>[1]Sheet2!BQ46</f>
        <v>0</v>
      </c>
      <c r="CN47" s="16">
        <f>Demand_SW!B$4/28</f>
        <v>94.69780219780219</v>
      </c>
      <c r="CO47" s="16">
        <f>Demand_SW!C$4/28</f>
        <v>0</v>
      </c>
      <c r="CP47" s="16">
        <f>Demand_SW!D$4/28</f>
        <v>0</v>
      </c>
      <c r="CQ47" s="16">
        <f>Demand_SW!E$4/28</f>
        <v>0</v>
      </c>
      <c r="CR47" s="16">
        <f>Demand_SW!F$4/28</f>
        <v>0</v>
      </c>
      <c r="CS47" s="16">
        <f>Demand_SW!G$4/28</f>
        <v>85.714285714285708</v>
      </c>
      <c r="CT47" s="16">
        <f>Demand_SW!H$4/28</f>
        <v>0</v>
      </c>
      <c r="CU47" s="16">
        <f>Demand_SW!I$4/28</f>
        <v>0</v>
      </c>
      <c r="CV47" s="16">
        <f>Demand_SW!J$4/28</f>
        <v>0</v>
      </c>
      <c r="CW47" s="16">
        <f>Demand_SW!K$4/28</f>
        <v>0</v>
      </c>
      <c r="CX47" s="16">
        <f t="shared" si="26"/>
        <v>-557.99450549450489</v>
      </c>
      <c r="CY47" s="16">
        <f t="shared" si="27"/>
        <v>1000</v>
      </c>
      <c r="CZ47" s="16">
        <f t="shared" si="28"/>
        <v>0</v>
      </c>
      <c r="DA47" s="16">
        <f t="shared" si="29"/>
        <v>0</v>
      </c>
      <c r="DB47" s="16">
        <f t="shared" si="30"/>
        <v>0</v>
      </c>
      <c r="DC47" s="16">
        <f t="shared" si="31"/>
        <v>-214.28571428570888</v>
      </c>
      <c r="DD47" s="16">
        <f t="shared" si="32"/>
        <v>1000</v>
      </c>
      <c r="DE47" s="16">
        <f t="shared" si="33"/>
        <v>0</v>
      </c>
      <c r="DF47" s="16">
        <f t="shared" si="34"/>
        <v>0</v>
      </c>
      <c r="DG47" s="16">
        <f t="shared" si="35"/>
        <v>0</v>
      </c>
      <c r="DH47" s="14">
        <f>IF([1]Sheet2!DS46=999999,"NA",[1]Sheet2!DS46)</f>
        <v>0</v>
      </c>
      <c r="DI47" s="14">
        <f>IF([1]Sheet2!DT46=999999,"NA",[1]Sheet2!DT46)</f>
        <v>321</v>
      </c>
      <c r="DJ47" s="14" t="str">
        <f>IF([1]Sheet2!DU46=999999,"NA",[1]Sheet2!DU46)</f>
        <v>NA</v>
      </c>
      <c r="DK47" s="14" t="str">
        <f>IF([1]Sheet2!DV46=999999,"NA",[1]Sheet2!DV46)</f>
        <v>NA</v>
      </c>
      <c r="DL47" s="14" t="str">
        <f>IF([1]Sheet2!DW46=999999,"NA",[1]Sheet2!DW46)</f>
        <v>NA</v>
      </c>
      <c r="DM47" s="14">
        <f>IF([1]Sheet2!DX46=999999,"NA",[1]Sheet2!DX46)</f>
        <v>0</v>
      </c>
      <c r="DN47" s="14">
        <f>IF([1]Sheet2!DY46=999999,"NA",[1]Sheet2!DY46)</f>
        <v>321</v>
      </c>
      <c r="DO47" s="14" t="str">
        <f>IF([1]Sheet2!DZ46=999999,"NA",[1]Sheet2!DZ46)</f>
        <v>NA</v>
      </c>
      <c r="DP47" s="14" t="str">
        <f>IF([1]Sheet2!EA46=999999,"NA",[1]Sheet2!EA46)</f>
        <v>NA</v>
      </c>
      <c r="DQ47" s="14" t="str">
        <f>IF([1]Sheet2!EB46=999999,"NA",[1]Sheet2!EB46)</f>
        <v>NA</v>
      </c>
      <c r="DR47" s="14">
        <f>[1]Sheet2!CY46</f>
        <v>0</v>
      </c>
      <c r="DS47" s="14">
        <f>[1]Sheet2!CZ46</f>
        <v>0</v>
      </c>
      <c r="DT47" s="14">
        <f>[1]Sheet2!DA46</f>
        <v>0</v>
      </c>
      <c r="DU47" s="14">
        <f>[1]Sheet2!DB46</f>
        <v>0</v>
      </c>
      <c r="DV47" s="14">
        <f>[1]Sheet2!DC46</f>
        <v>0</v>
      </c>
      <c r="DW47" s="14">
        <f>[1]Sheet2!DD46</f>
        <v>0</v>
      </c>
      <c r="DX47" s="14">
        <f>[1]Sheet2!DE46</f>
        <v>0</v>
      </c>
      <c r="DY47" s="14">
        <f>[1]Sheet2!DF46</f>
        <v>0</v>
      </c>
      <c r="DZ47" s="14">
        <f>[1]Sheet2!DG46</f>
        <v>0</v>
      </c>
      <c r="EA47" s="14">
        <f>[1]Sheet2!DH46</f>
        <v>0</v>
      </c>
      <c r="EB47" s="6">
        <f>[1]Sheet2!EC46</f>
        <v>0</v>
      </c>
      <c r="EC47" s="6">
        <f>[1]Sheet2!ED46</f>
        <v>0</v>
      </c>
      <c r="ED47" s="6">
        <f>[1]Sheet2!EE46</f>
        <v>0</v>
      </c>
      <c r="EE47" s="6">
        <f>[1]Sheet2!EF46</f>
        <v>0</v>
      </c>
      <c r="EF47" s="6">
        <f>[1]Sheet2!EG46</f>
        <v>0</v>
      </c>
      <c r="EG47" s="6">
        <f>[1]Sheet2!EH46</f>
        <v>0</v>
      </c>
      <c r="EH47" s="6">
        <f>[1]Sheet2!EI46</f>
        <v>0</v>
      </c>
      <c r="EI47" s="6">
        <f>[1]Sheet2!EJ46</f>
        <v>0</v>
      </c>
      <c r="EJ47" s="6">
        <f>[1]Sheet2!EK46</f>
        <v>0</v>
      </c>
      <c r="EK47" s="6">
        <f>[1]Sheet2!EL46</f>
        <v>0</v>
      </c>
      <c r="EL47" s="6" t="str">
        <f>[1]Sheet2!EM46</f>
        <v/>
      </c>
      <c r="EM47" s="6" t="str">
        <f>[1]Sheet2!EN46</f>
        <v/>
      </c>
      <c r="EN47" s="6" t="str">
        <f>[1]Sheet2!EO46</f>
        <v/>
      </c>
      <c r="EO47" s="6" t="str">
        <f>[1]Sheet2!EP46</f>
        <v/>
      </c>
      <c r="EP47" s="6" t="str">
        <f>[1]Sheet2!EQ46</f>
        <v/>
      </c>
      <c r="EQ47" s="6" t="str">
        <f>[1]Sheet2!ER46</f>
        <v/>
      </c>
      <c r="ER47" s="6" t="str">
        <f>[1]Sheet2!ES46</f>
        <v/>
      </c>
      <c r="ES47" s="6" t="str">
        <f>[1]Sheet2!ET46</f>
        <v/>
      </c>
      <c r="ET47" s="6" t="str">
        <f>[1]Sheet2!EU46</f>
        <v/>
      </c>
      <c r="EU47" s="6" t="str">
        <f>[1]Sheet2!EV46</f>
        <v/>
      </c>
      <c r="EV47" s="6" t="str">
        <f>[1]Sheet2!EW46</f>
        <v/>
      </c>
      <c r="EW47" s="6" t="str">
        <f>[1]Sheet2!EX46</f>
        <v/>
      </c>
      <c r="EX47" s="6" t="str">
        <f>[1]Sheet2!EY46</f>
        <v/>
      </c>
      <c r="EY47" s="6" t="str">
        <f>[1]Sheet2!EZ46</f>
        <v/>
      </c>
      <c r="EZ47" s="6" t="str">
        <f>[1]Sheet2!FA46</f>
        <v/>
      </c>
      <c r="FA47" s="6" t="str">
        <f>[1]Sheet2!FB46</f>
        <v/>
      </c>
      <c r="FB47" s="6" t="str">
        <f>[1]Sheet2!FC46</f>
        <v/>
      </c>
      <c r="FC47" s="6" t="str">
        <f>[1]Sheet2!FD46</f>
        <v/>
      </c>
      <c r="FD47" s="6" t="str">
        <f>[1]Sheet2!FE46</f>
        <v/>
      </c>
      <c r="FE47" s="6" t="str">
        <f>[1]Sheet2!FF46</f>
        <v/>
      </c>
      <c r="FF47" s="6" t="str">
        <f>[1]Sheet2!FG46</f>
        <v/>
      </c>
      <c r="FG47" s="6" t="str">
        <f>[1]Sheet2!FH46</f>
        <v/>
      </c>
      <c r="FH47" s="6" t="str">
        <f>[1]Sheet2!FI46</f>
        <v/>
      </c>
      <c r="FI47" s="6" t="str">
        <f>[1]Sheet2!FJ46</f>
        <v/>
      </c>
      <c r="FJ47" s="6" t="str">
        <f>[1]Sheet2!FK46</f>
        <v/>
      </c>
      <c r="FK47" s="6" t="str">
        <f>[1]Sheet2!FL46</f>
        <v/>
      </c>
      <c r="FL47" s="6" t="str">
        <f>[1]Sheet2!FM46</f>
        <v/>
      </c>
      <c r="FM47" s="6" t="str">
        <f>[1]Sheet2!FN46</f>
        <v/>
      </c>
      <c r="FN47" s="6" t="str">
        <f>[1]Sheet2!FO46</f>
        <v/>
      </c>
      <c r="FO47" s="6" t="str">
        <f>[1]Sheet2!FP46</f>
        <v/>
      </c>
    </row>
    <row r="48" spans="1:171" x14ac:dyDescent="0.25">
      <c r="A48" s="15">
        <v>43510</v>
      </c>
      <c r="B48" s="1"/>
      <c r="C48" s="1"/>
      <c r="D48" s="1"/>
      <c r="E48" s="14">
        <f>[1]Sheet2!N47</f>
        <v>0</v>
      </c>
      <c r="F48" s="14">
        <f>[1]Sheet2!BE47</f>
        <v>48000</v>
      </c>
      <c r="G48" s="14">
        <f>[1]Sheet2!CW47</f>
        <v>0</v>
      </c>
      <c r="H48" s="1"/>
      <c r="I48" s="1"/>
      <c r="J48" s="1"/>
      <c r="K48" s="16"/>
      <c r="L48" s="16">
        <f>Demand_CWRS!B$4/28</f>
        <v>131.68146963713369</v>
      </c>
      <c r="M48" s="16">
        <f>Demand_CWRS!C$4/28</f>
        <v>501.27216117216119</v>
      </c>
      <c r="N48" s="16">
        <f>Demand_CWRS!D$4/28</f>
        <v>0</v>
      </c>
      <c r="O48" s="16">
        <f>Demand_CWRS!E$4/28</f>
        <v>130.17472527472526</v>
      </c>
      <c r="P48" s="16">
        <f>Demand_CWRS!F$4/28</f>
        <v>262.94741300366297</v>
      </c>
      <c r="Q48" s="16">
        <f>Demand_CWRS!G$4/28</f>
        <v>127.85714285714286</v>
      </c>
      <c r="R48" s="16">
        <f>Demand_CWRS!H$4/28</f>
        <v>207.14285714285714</v>
      </c>
      <c r="S48" s="16">
        <f>Demand_CWRS!I$4/28</f>
        <v>214.28571428571428</v>
      </c>
      <c r="T48" s="16">
        <f>Demand_CWRS!J$4/28</f>
        <v>207.14285714285714</v>
      </c>
      <c r="U48" s="16">
        <f>Demand_CWRS!K$4/28</f>
        <v>221.42857142857142</v>
      </c>
      <c r="V48" s="16">
        <f t="shared" si="6"/>
        <v>-4553.4032351762826</v>
      </c>
      <c r="W48" s="16">
        <f t="shared" si="7"/>
        <v>-9510.8205128205118</v>
      </c>
      <c r="X48" s="16">
        <f t="shared" si="8"/>
        <v>0</v>
      </c>
      <c r="Y48" s="16">
        <f t="shared" si="9"/>
        <v>4112.5217948718055</v>
      </c>
      <c r="Z48" s="16">
        <f t="shared" si="10"/>
        <v>-4830.7028044871777</v>
      </c>
      <c r="AA48" s="16">
        <f t="shared" si="11"/>
        <v>-3390.0000000000009</v>
      </c>
      <c r="AB48" s="16">
        <f t="shared" si="12"/>
        <v>-10093.010256410254</v>
      </c>
      <c r="AC48" s="16">
        <f t="shared" si="13"/>
        <v>-4199.9999999999991</v>
      </c>
      <c r="AD48" s="16">
        <f t="shared" si="14"/>
        <v>-4400.0000000000018</v>
      </c>
      <c r="AE48" s="16">
        <f t="shared" si="15"/>
        <v>-4799.9999999999991</v>
      </c>
      <c r="AF48" s="14">
        <f>IF([1]Sheet2!AJ47=999999,"NA",[1]Sheet2!AJ47)</f>
        <v>0</v>
      </c>
      <c r="AG48" s="14">
        <f>IF([1]Sheet2!AK47=999999,"NA",[1]Sheet2!AK47)</f>
        <v>0</v>
      </c>
      <c r="AH48" s="14" t="str">
        <f>IF([1]Sheet2!AL47=999999,"NA",[1]Sheet2!AL47)</f>
        <v>NA</v>
      </c>
      <c r="AI48" s="14">
        <f>IF([1]Sheet2!AM47=999999,"NA",[1]Sheet2!AM47)</f>
        <v>32</v>
      </c>
      <c r="AJ48" s="14">
        <f>IF([1]Sheet2!AN47=999999,"NA",[1]Sheet2!AN47)</f>
        <v>0</v>
      </c>
      <c r="AK48" s="14">
        <f>IF([1]Sheet2!AO47=999999,"NA",[1]Sheet2!AO47)</f>
        <v>0</v>
      </c>
      <c r="AL48" s="14">
        <f>IF([1]Sheet2!AP47=999999,"NA",[1]Sheet2!AP47)</f>
        <v>0</v>
      </c>
      <c r="AM48" s="14">
        <f>IF([1]Sheet2!AQ47=999999,"NA",[1]Sheet2!AQ47)</f>
        <v>0</v>
      </c>
      <c r="AN48" s="14">
        <f>IF([1]Sheet2!AR47=999999,"NA",[1]Sheet2!AR47)</f>
        <v>0</v>
      </c>
      <c r="AO48" s="14">
        <f>IF([1]Sheet2!AS47=999999,"NA",[1]Sheet2!AS47)</f>
        <v>0</v>
      </c>
      <c r="AP48" s="14">
        <f>[1]Sheet2!P47</f>
        <v>0</v>
      </c>
      <c r="AQ48" s="14">
        <f>[1]Sheet2!Q47</f>
        <v>0</v>
      </c>
      <c r="AR48" s="14">
        <f>[1]Sheet2!R47</f>
        <v>0</v>
      </c>
      <c r="AS48" s="14">
        <f>[1]Sheet2!S47</f>
        <v>0</v>
      </c>
      <c r="AT48" s="14">
        <f>[1]Sheet2!T47</f>
        <v>0</v>
      </c>
      <c r="AU48" s="14">
        <f>[1]Sheet2!U47</f>
        <v>0</v>
      </c>
      <c r="AV48" s="14">
        <f>[1]Sheet2!V47</f>
        <v>0</v>
      </c>
      <c r="AW48" s="14">
        <f>[1]Sheet2!W47</f>
        <v>0</v>
      </c>
      <c r="AX48" s="14">
        <f>[1]Sheet2!X47</f>
        <v>0</v>
      </c>
      <c r="AY48" s="14">
        <f>[1]Sheet2!Y47</f>
        <v>0</v>
      </c>
      <c r="AZ48" s="16">
        <f>Demand_LP!B$4/28</f>
        <v>811.09813487293957</v>
      </c>
      <c r="BA48" s="16">
        <f>Demand_LP!C$4/28</f>
        <v>502.83223443223443</v>
      </c>
      <c r="BB48" s="16">
        <f>Demand_LP!D$4/28</f>
        <v>282.53663003663002</v>
      </c>
      <c r="BC48" s="16">
        <f>Demand_LP!E$4/28</f>
        <v>759.73919413919407</v>
      </c>
      <c r="BD48" s="16">
        <f>Demand_LP!F$4/28</f>
        <v>495.28213999542123</v>
      </c>
      <c r="BE48" s="16">
        <f>Demand_LP!G$4/28</f>
        <v>496.42857142857144</v>
      </c>
      <c r="BF48" s="16">
        <f>Demand_LP!H$4/28</f>
        <v>535.71428571428567</v>
      </c>
      <c r="BG48" s="16">
        <f>Demand_LP!I$4/28</f>
        <v>496.42857142857144</v>
      </c>
      <c r="BH48" s="16">
        <f>Demand_LP!J$4/28</f>
        <v>482.14285714285717</v>
      </c>
      <c r="BI48" s="16">
        <f>Demand_LP!K$4/28</f>
        <v>471.42857142857144</v>
      </c>
      <c r="BJ48" s="16">
        <f t="shared" si="16"/>
        <v>-16948.427333733976</v>
      </c>
      <c r="BK48" s="16">
        <f t="shared" si="17"/>
        <v>-21602.769230769212</v>
      </c>
      <c r="BL48" s="16">
        <f t="shared" si="18"/>
        <v>-1123.0128205128215</v>
      </c>
      <c r="BM48" s="16">
        <f t="shared" si="19"/>
        <v>-22229.073076923079</v>
      </c>
      <c r="BN48" s="16">
        <f t="shared" si="20"/>
        <v>-11884.349078525634</v>
      </c>
      <c r="BO48" s="16">
        <f t="shared" si="21"/>
        <v>-10950</v>
      </c>
      <c r="BP48" s="16">
        <f t="shared" si="22"/>
        <v>-15500.000000000004</v>
      </c>
      <c r="BQ48" s="16">
        <f t="shared" si="23"/>
        <v>-10950</v>
      </c>
      <c r="BR48" s="16">
        <f t="shared" si="24"/>
        <v>-8750</v>
      </c>
      <c r="BS48" s="16">
        <f t="shared" si="25"/>
        <v>-9600</v>
      </c>
      <c r="BT48" s="14">
        <f>IF([1]Sheet2!CB47=999999,"NA",[1]Sheet2!CB47)</f>
        <v>0</v>
      </c>
      <c r="BU48" s="14">
        <f>IF([1]Sheet2!CC47=999999,"NA",[1]Sheet2!CC47)</f>
        <v>0</v>
      </c>
      <c r="BV48" s="14">
        <f>IF([1]Sheet2!CD47=999999,"NA",[1]Sheet2!CD47)</f>
        <v>0</v>
      </c>
      <c r="BW48" s="14">
        <f>IF([1]Sheet2!CE47=999999,"NA",[1]Sheet2!CE47)</f>
        <v>0</v>
      </c>
      <c r="BX48" s="14">
        <f>IF([1]Sheet2!CF47=999999,"NA",[1]Sheet2!CF47)</f>
        <v>0</v>
      </c>
      <c r="BY48" s="14">
        <f>IF([1]Sheet2!CG47=999999,"NA",[1]Sheet2!CG47)</f>
        <v>0</v>
      </c>
      <c r="BZ48" s="14">
        <f>IF([1]Sheet2!CH47=999999,"NA",[1]Sheet2!CH47)</f>
        <v>0</v>
      </c>
      <c r="CA48" s="14">
        <f>IF([1]Sheet2!CI47=999999,"NA",[1]Sheet2!CI47)</f>
        <v>0</v>
      </c>
      <c r="CB48" s="14">
        <f>IF([1]Sheet2!CJ47=999999,"NA",[1]Sheet2!CJ47)</f>
        <v>0</v>
      </c>
      <c r="CC48" s="14">
        <f>IF([1]Sheet2!CK47=999999,"NA",[1]Sheet2!CK47)</f>
        <v>0</v>
      </c>
      <c r="CD48" s="14">
        <f>[1]Sheet2!BH47</f>
        <v>0</v>
      </c>
      <c r="CE48" s="14">
        <f>[1]Sheet2!BI47</f>
        <v>0</v>
      </c>
      <c r="CF48" s="14">
        <f>[1]Sheet2!BJ47</f>
        <v>0</v>
      </c>
      <c r="CG48" s="14">
        <f>[1]Sheet2!BK47</f>
        <v>0</v>
      </c>
      <c r="CH48" s="14">
        <f>[1]Sheet2!BL47</f>
        <v>0</v>
      </c>
      <c r="CI48" s="14">
        <f>[1]Sheet2!BM47</f>
        <v>0</v>
      </c>
      <c r="CJ48" s="14">
        <f>[1]Sheet2!BN47</f>
        <v>0</v>
      </c>
      <c r="CK48" s="14">
        <f>[1]Sheet2!BO47</f>
        <v>0</v>
      </c>
      <c r="CL48" s="14">
        <f>[1]Sheet2!BP47</f>
        <v>0</v>
      </c>
      <c r="CM48" s="14">
        <f>[1]Sheet2!BQ47</f>
        <v>0</v>
      </c>
      <c r="CN48" s="16">
        <f>Demand_SW!B$4/28</f>
        <v>94.69780219780219</v>
      </c>
      <c r="CO48" s="16">
        <f>Demand_SW!C$4/28</f>
        <v>0</v>
      </c>
      <c r="CP48" s="16">
        <f>Demand_SW!D$4/28</f>
        <v>0</v>
      </c>
      <c r="CQ48" s="16">
        <f>Demand_SW!E$4/28</f>
        <v>0</v>
      </c>
      <c r="CR48" s="16">
        <f>Demand_SW!F$4/28</f>
        <v>0</v>
      </c>
      <c r="CS48" s="16">
        <f>Demand_SW!G$4/28</f>
        <v>85.714285714285708</v>
      </c>
      <c r="CT48" s="16">
        <f>Demand_SW!H$4/28</f>
        <v>0</v>
      </c>
      <c r="CU48" s="16">
        <f>Demand_SW!I$4/28</f>
        <v>0</v>
      </c>
      <c r="CV48" s="16">
        <f>Demand_SW!J$4/28</f>
        <v>0</v>
      </c>
      <c r="CW48" s="16">
        <f>Demand_SW!K$4/28</f>
        <v>0</v>
      </c>
      <c r="CX48" s="16">
        <f t="shared" si="26"/>
        <v>-652.69230769230705</v>
      </c>
      <c r="CY48" s="16">
        <f t="shared" si="27"/>
        <v>1000</v>
      </c>
      <c r="CZ48" s="16">
        <f t="shared" si="28"/>
        <v>0</v>
      </c>
      <c r="DA48" s="16">
        <f t="shared" si="29"/>
        <v>0</v>
      </c>
      <c r="DB48" s="16">
        <f t="shared" si="30"/>
        <v>0</v>
      </c>
      <c r="DC48" s="16">
        <f t="shared" si="31"/>
        <v>-299.9999999999946</v>
      </c>
      <c r="DD48" s="16">
        <f t="shared" si="32"/>
        <v>1000</v>
      </c>
      <c r="DE48" s="16">
        <f t="shared" si="33"/>
        <v>0</v>
      </c>
      <c r="DF48" s="16">
        <f t="shared" si="34"/>
        <v>0</v>
      </c>
      <c r="DG48" s="16">
        <f t="shared" si="35"/>
        <v>0</v>
      </c>
      <c r="DH48" s="14">
        <f>IF([1]Sheet2!DS47=999999,"NA",[1]Sheet2!DS47)</f>
        <v>0</v>
      </c>
      <c r="DI48" s="14">
        <f>IF([1]Sheet2!DT47=999999,"NA",[1]Sheet2!DT47)</f>
        <v>320</v>
      </c>
      <c r="DJ48" s="14" t="str">
        <f>IF([1]Sheet2!DU47=999999,"NA",[1]Sheet2!DU47)</f>
        <v>NA</v>
      </c>
      <c r="DK48" s="14" t="str">
        <f>IF([1]Sheet2!DV47=999999,"NA",[1]Sheet2!DV47)</f>
        <v>NA</v>
      </c>
      <c r="DL48" s="14" t="str">
        <f>IF([1]Sheet2!DW47=999999,"NA",[1]Sheet2!DW47)</f>
        <v>NA</v>
      </c>
      <c r="DM48" s="14">
        <f>IF([1]Sheet2!DX47=999999,"NA",[1]Sheet2!DX47)</f>
        <v>0</v>
      </c>
      <c r="DN48" s="14">
        <f>IF([1]Sheet2!DY47=999999,"NA",[1]Sheet2!DY47)</f>
        <v>320</v>
      </c>
      <c r="DO48" s="14" t="str">
        <f>IF([1]Sheet2!DZ47=999999,"NA",[1]Sheet2!DZ47)</f>
        <v>NA</v>
      </c>
      <c r="DP48" s="14" t="str">
        <f>IF([1]Sheet2!EA47=999999,"NA",[1]Sheet2!EA47)</f>
        <v>NA</v>
      </c>
      <c r="DQ48" s="14" t="str">
        <f>IF([1]Sheet2!EB47=999999,"NA",[1]Sheet2!EB47)</f>
        <v>NA</v>
      </c>
      <c r="DR48" s="14">
        <f>[1]Sheet2!CY47</f>
        <v>0</v>
      </c>
      <c r="DS48" s="14">
        <f>[1]Sheet2!CZ47</f>
        <v>0</v>
      </c>
      <c r="DT48" s="14">
        <f>[1]Sheet2!DA47</f>
        <v>0</v>
      </c>
      <c r="DU48" s="14">
        <f>[1]Sheet2!DB47</f>
        <v>0</v>
      </c>
      <c r="DV48" s="14">
        <f>[1]Sheet2!DC47</f>
        <v>0</v>
      </c>
      <c r="DW48" s="14">
        <f>[1]Sheet2!DD47</f>
        <v>0</v>
      </c>
      <c r="DX48" s="14">
        <f>[1]Sheet2!DE47</f>
        <v>0</v>
      </c>
      <c r="DY48" s="14">
        <f>[1]Sheet2!DF47</f>
        <v>0</v>
      </c>
      <c r="DZ48" s="14">
        <f>[1]Sheet2!DG47</f>
        <v>0</v>
      </c>
      <c r="EA48" s="14">
        <f>[1]Sheet2!DH47</f>
        <v>0</v>
      </c>
      <c r="EB48" s="6">
        <f>[1]Sheet2!EC47</f>
        <v>0</v>
      </c>
      <c r="EC48" s="6">
        <f>[1]Sheet2!ED47</f>
        <v>0</v>
      </c>
      <c r="ED48" s="6">
        <f>[1]Sheet2!EE47</f>
        <v>0</v>
      </c>
      <c r="EE48" s="6">
        <f>[1]Sheet2!EF47</f>
        <v>0</v>
      </c>
      <c r="EF48" s="6">
        <f>[1]Sheet2!EG47</f>
        <v>0</v>
      </c>
      <c r="EG48" s="6">
        <f>[1]Sheet2!EH47</f>
        <v>0</v>
      </c>
      <c r="EH48" s="6">
        <f>[1]Sheet2!EI47</f>
        <v>0</v>
      </c>
      <c r="EI48" s="6">
        <f>[1]Sheet2!EJ47</f>
        <v>0</v>
      </c>
      <c r="EJ48" s="6">
        <f>[1]Sheet2!EK47</f>
        <v>0</v>
      </c>
      <c r="EK48" s="6">
        <f>[1]Sheet2!EL47</f>
        <v>0</v>
      </c>
      <c r="EL48" s="6" t="str">
        <f>[1]Sheet2!EM47</f>
        <v/>
      </c>
      <c r="EM48" s="6" t="str">
        <f>[1]Sheet2!EN47</f>
        <v/>
      </c>
      <c r="EN48" s="6" t="str">
        <f>[1]Sheet2!EO47</f>
        <v/>
      </c>
      <c r="EO48" s="6" t="str">
        <f>[1]Sheet2!EP47</f>
        <v/>
      </c>
      <c r="EP48" s="6" t="str">
        <f>[1]Sheet2!EQ47</f>
        <v/>
      </c>
      <c r="EQ48" s="6" t="str">
        <f>[1]Sheet2!ER47</f>
        <v/>
      </c>
      <c r="ER48" s="6" t="str">
        <f>[1]Sheet2!ES47</f>
        <v/>
      </c>
      <c r="ES48" s="6" t="str">
        <f>[1]Sheet2!ET47</f>
        <v/>
      </c>
      <c r="ET48" s="6" t="str">
        <f>[1]Sheet2!EU47</f>
        <v/>
      </c>
      <c r="EU48" s="6" t="str">
        <f>[1]Sheet2!EV47</f>
        <v/>
      </c>
      <c r="EV48" s="6" t="str">
        <f>[1]Sheet2!EW47</f>
        <v/>
      </c>
      <c r="EW48" s="6" t="str">
        <f>[1]Sheet2!EX47</f>
        <v/>
      </c>
      <c r="EX48" s="6" t="str">
        <f>[1]Sheet2!EY47</f>
        <v/>
      </c>
      <c r="EY48" s="6" t="str">
        <f>[1]Sheet2!EZ47</f>
        <v/>
      </c>
      <c r="EZ48" s="6" t="str">
        <f>[1]Sheet2!FA47</f>
        <v/>
      </c>
      <c r="FA48" s="6" t="str">
        <f>[1]Sheet2!FB47</f>
        <v/>
      </c>
      <c r="FB48" s="6" t="str">
        <f>[1]Sheet2!FC47</f>
        <v/>
      </c>
      <c r="FC48" s="6" t="str">
        <f>[1]Sheet2!FD47</f>
        <v/>
      </c>
      <c r="FD48" s="6" t="str">
        <f>[1]Sheet2!FE47</f>
        <v/>
      </c>
      <c r="FE48" s="6" t="str">
        <f>[1]Sheet2!FF47</f>
        <v/>
      </c>
      <c r="FF48" s="6" t="str">
        <f>[1]Sheet2!FG47</f>
        <v/>
      </c>
      <c r="FG48" s="6" t="str">
        <f>[1]Sheet2!FH47</f>
        <v/>
      </c>
      <c r="FH48" s="6" t="str">
        <f>[1]Sheet2!FI47</f>
        <v/>
      </c>
      <c r="FI48" s="6" t="str">
        <f>[1]Sheet2!FJ47</f>
        <v/>
      </c>
      <c r="FJ48" s="6" t="str">
        <f>[1]Sheet2!FK47</f>
        <v/>
      </c>
      <c r="FK48" s="6" t="str">
        <f>[1]Sheet2!FL47</f>
        <v/>
      </c>
      <c r="FL48" s="6" t="str">
        <f>[1]Sheet2!FM47</f>
        <v/>
      </c>
      <c r="FM48" s="6" t="str">
        <f>[1]Sheet2!FN47</f>
        <v/>
      </c>
      <c r="FN48" s="6" t="str">
        <f>[1]Sheet2!FO47</f>
        <v/>
      </c>
      <c r="FO48" s="6" t="str">
        <f>[1]Sheet2!FP47</f>
        <v/>
      </c>
    </row>
    <row r="49" spans="1:171" x14ac:dyDescent="0.25">
      <c r="A49" s="15">
        <v>43511</v>
      </c>
      <c r="B49" s="1"/>
      <c r="C49" s="1"/>
      <c r="D49" s="1"/>
      <c r="E49" s="14">
        <f>[1]Sheet2!N48</f>
        <v>0</v>
      </c>
      <c r="F49" s="14">
        <f>[1]Sheet2!BE48</f>
        <v>0</v>
      </c>
      <c r="G49" s="14">
        <f>[1]Sheet2!CW48</f>
        <v>0</v>
      </c>
      <c r="H49" s="1"/>
      <c r="I49" s="1"/>
      <c r="J49" s="1"/>
      <c r="K49" s="16"/>
      <c r="L49" s="16">
        <f>Demand_CWRS!B$4/28</f>
        <v>131.68146963713369</v>
      </c>
      <c r="M49" s="16">
        <f>Demand_CWRS!C$4/28</f>
        <v>501.27216117216119</v>
      </c>
      <c r="N49" s="16">
        <f>Demand_CWRS!D$4/28</f>
        <v>0</v>
      </c>
      <c r="O49" s="16">
        <f>Demand_CWRS!E$4/28</f>
        <v>130.17472527472526</v>
      </c>
      <c r="P49" s="16">
        <f>Demand_CWRS!F$4/28</f>
        <v>262.94741300366297</v>
      </c>
      <c r="Q49" s="16">
        <f>Demand_CWRS!G$4/28</f>
        <v>127.85714285714286</v>
      </c>
      <c r="R49" s="16">
        <f>Demand_CWRS!H$4/28</f>
        <v>207.14285714285714</v>
      </c>
      <c r="S49" s="16">
        <f>Demand_CWRS!I$4/28</f>
        <v>214.28571428571428</v>
      </c>
      <c r="T49" s="16">
        <f>Demand_CWRS!J$4/28</f>
        <v>207.14285714285714</v>
      </c>
      <c r="U49" s="16">
        <f>Demand_CWRS!K$4/28</f>
        <v>221.42857142857142</v>
      </c>
      <c r="V49" s="16">
        <f t="shared" si="6"/>
        <v>-4685.0847048134165</v>
      </c>
      <c r="W49" s="16">
        <f t="shared" si="7"/>
        <v>-10012.092673992673</v>
      </c>
      <c r="X49" s="16">
        <f t="shared" si="8"/>
        <v>0</v>
      </c>
      <c r="Y49" s="16">
        <f t="shared" si="9"/>
        <v>3982.34706959708</v>
      </c>
      <c r="Z49" s="16">
        <f t="shared" si="10"/>
        <v>-5093.650217490841</v>
      </c>
      <c r="AA49" s="16">
        <f t="shared" si="11"/>
        <v>-3517.8571428571436</v>
      </c>
      <c r="AB49" s="16">
        <f t="shared" si="12"/>
        <v>-10300.153113553111</v>
      </c>
      <c r="AC49" s="16">
        <f t="shared" si="13"/>
        <v>-4414.2857142857138</v>
      </c>
      <c r="AD49" s="16">
        <f t="shared" si="14"/>
        <v>-4607.1428571428587</v>
      </c>
      <c r="AE49" s="16">
        <f t="shared" si="15"/>
        <v>-5021.4285714285706</v>
      </c>
      <c r="AF49" s="14">
        <f>IF([1]Sheet2!AJ48=999999,"NA",[1]Sheet2!AJ48)</f>
        <v>0</v>
      </c>
      <c r="AG49" s="14">
        <f>IF([1]Sheet2!AK48=999999,"NA",[1]Sheet2!AK48)</f>
        <v>0</v>
      </c>
      <c r="AH49" s="14" t="str">
        <f>IF([1]Sheet2!AL48=999999,"NA",[1]Sheet2!AL48)</f>
        <v>NA</v>
      </c>
      <c r="AI49" s="14">
        <f>IF([1]Sheet2!AM48=999999,"NA",[1]Sheet2!AM48)</f>
        <v>31</v>
      </c>
      <c r="AJ49" s="14">
        <f>IF([1]Sheet2!AN48=999999,"NA",[1]Sheet2!AN48)</f>
        <v>0</v>
      </c>
      <c r="AK49" s="14">
        <f>IF([1]Sheet2!AO48=999999,"NA",[1]Sheet2!AO48)</f>
        <v>0</v>
      </c>
      <c r="AL49" s="14">
        <f>IF([1]Sheet2!AP48=999999,"NA",[1]Sheet2!AP48)</f>
        <v>0</v>
      </c>
      <c r="AM49" s="14">
        <f>IF([1]Sheet2!AQ48=999999,"NA",[1]Sheet2!AQ48)</f>
        <v>0</v>
      </c>
      <c r="AN49" s="14">
        <f>IF([1]Sheet2!AR48=999999,"NA",[1]Sheet2!AR48)</f>
        <v>0</v>
      </c>
      <c r="AO49" s="14">
        <f>IF([1]Sheet2!AS48=999999,"NA",[1]Sheet2!AS48)</f>
        <v>0</v>
      </c>
      <c r="AP49" s="14">
        <f>[1]Sheet2!P48</f>
        <v>0</v>
      </c>
      <c r="AQ49" s="14">
        <f>[1]Sheet2!Q48</f>
        <v>0</v>
      </c>
      <c r="AR49" s="14">
        <f>[1]Sheet2!R48</f>
        <v>0</v>
      </c>
      <c r="AS49" s="14">
        <f>[1]Sheet2!S48</f>
        <v>0</v>
      </c>
      <c r="AT49" s="14">
        <f>[1]Sheet2!T48</f>
        <v>0</v>
      </c>
      <c r="AU49" s="14">
        <f>[1]Sheet2!U48</f>
        <v>0</v>
      </c>
      <c r="AV49" s="14">
        <f>[1]Sheet2!V48</f>
        <v>0</v>
      </c>
      <c r="AW49" s="14">
        <f>[1]Sheet2!W48</f>
        <v>0</v>
      </c>
      <c r="AX49" s="14">
        <f>[1]Sheet2!X48</f>
        <v>0</v>
      </c>
      <c r="AY49" s="14">
        <f>[1]Sheet2!Y48</f>
        <v>0</v>
      </c>
      <c r="AZ49" s="16">
        <f>Demand_LP!B$4/28</f>
        <v>811.09813487293957</v>
      </c>
      <c r="BA49" s="16">
        <f>Demand_LP!C$4/28</f>
        <v>502.83223443223443</v>
      </c>
      <c r="BB49" s="16">
        <f>Demand_LP!D$4/28</f>
        <v>282.53663003663002</v>
      </c>
      <c r="BC49" s="16">
        <f>Demand_LP!E$4/28</f>
        <v>759.73919413919407</v>
      </c>
      <c r="BD49" s="16">
        <f>Demand_LP!F$4/28</f>
        <v>495.28213999542123</v>
      </c>
      <c r="BE49" s="16">
        <f>Demand_LP!G$4/28</f>
        <v>496.42857142857144</v>
      </c>
      <c r="BF49" s="16">
        <f>Demand_LP!H$4/28</f>
        <v>535.71428571428567</v>
      </c>
      <c r="BG49" s="16">
        <f>Demand_LP!I$4/28</f>
        <v>496.42857142857144</v>
      </c>
      <c r="BH49" s="16">
        <f>Demand_LP!J$4/28</f>
        <v>482.14285714285717</v>
      </c>
      <c r="BI49" s="16">
        <f>Demand_LP!K$4/28</f>
        <v>471.42857142857144</v>
      </c>
      <c r="BJ49" s="16">
        <f t="shared" si="16"/>
        <v>-17759.525468606917</v>
      </c>
      <c r="BK49" s="16">
        <f t="shared" si="17"/>
        <v>-22105.601465201446</v>
      </c>
      <c r="BL49" s="16">
        <f t="shared" si="18"/>
        <v>-1405.5494505494514</v>
      </c>
      <c r="BM49" s="16">
        <f t="shared" si="19"/>
        <v>-22988.812271062274</v>
      </c>
      <c r="BN49" s="16">
        <f t="shared" si="20"/>
        <v>-12379.631218521055</v>
      </c>
      <c r="BO49" s="16">
        <f t="shared" si="21"/>
        <v>-11446.428571428571</v>
      </c>
      <c r="BP49" s="16">
        <f t="shared" si="22"/>
        <v>-16035.71428571429</v>
      </c>
      <c r="BQ49" s="16">
        <f t="shared" si="23"/>
        <v>-11446.428571428571</v>
      </c>
      <c r="BR49" s="16">
        <f t="shared" si="24"/>
        <v>-9232.1428571428569</v>
      </c>
      <c r="BS49" s="16">
        <f t="shared" si="25"/>
        <v>-10071.428571428571</v>
      </c>
      <c r="BT49" s="14">
        <f>IF([1]Sheet2!CB48=999999,"NA",[1]Sheet2!CB48)</f>
        <v>0</v>
      </c>
      <c r="BU49" s="14">
        <f>IF([1]Sheet2!CC48=999999,"NA",[1]Sheet2!CC48)</f>
        <v>0</v>
      </c>
      <c r="BV49" s="14">
        <f>IF([1]Sheet2!CD48=999999,"NA",[1]Sheet2!CD48)</f>
        <v>0</v>
      </c>
      <c r="BW49" s="14">
        <f>IF([1]Sheet2!CE48=999999,"NA",[1]Sheet2!CE48)</f>
        <v>0</v>
      </c>
      <c r="BX49" s="14">
        <f>IF([1]Sheet2!CF48=999999,"NA",[1]Sheet2!CF48)</f>
        <v>0</v>
      </c>
      <c r="BY49" s="14">
        <f>IF([1]Sheet2!CG48=999999,"NA",[1]Sheet2!CG48)</f>
        <v>0</v>
      </c>
      <c r="BZ49" s="14">
        <f>IF([1]Sheet2!CH48=999999,"NA",[1]Sheet2!CH48)</f>
        <v>0</v>
      </c>
      <c r="CA49" s="14">
        <f>IF([1]Sheet2!CI48=999999,"NA",[1]Sheet2!CI48)</f>
        <v>0</v>
      </c>
      <c r="CB49" s="14">
        <f>IF([1]Sheet2!CJ48=999999,"NA",[1]Sheet2!CJ48)</f>
        <v>0</v>
      </c>
      <c r="CC49" s="14">
        <f>IF([1]Sheet2!CK48=999999,"NA",[1]Sheet2!CK48)</f>
        <v>0</v>
      </c>
      <c r="CD49" s="14">
        <f>[1]Sheet2!BH48</f>
        <v>0</v>
      </c>
      <c r="CE49" s="14">
        <f>[1]Sheet2!BI48</f>
        <v>0</v>
      </c>
      <c r="CF49" s="14">
        <f>[1]Sheet2!BJ48</f>
        <v>0</v>
      </c>
      <c r="CG49" s="14">
        <f>[1]Sheet2!BK48</f>
        <v>0</v>
      </c>
      <c r="CH49" s="14">
        <f>[1]Sheet2!BL48</f>
        <v>0</v>
      </c>
      <c r="CI49" s="14">
        <f>[1]Sheet2!BM48</f>
        <v>0</v>
      </c>
      <c r="CJ49" s="14">
        <f>[1]Sheet2!BN48</f>
        <v>0</v>
      </c>
      <c r="CK49" s="14">
        <f>[1]Sheet2!BO48</f>
        <v>0</v>
      </c>
      <c r="CL49" s="14">
        <f>[1]Sheet2!BP48</f>
        <v>0</v>
      </c>
      <c r="CM49" s="14">
        <f>[1]Sheet2!BQ48</f>
        <v>0</v>
      </c>
      <c r="CN49" s="16">
        <f>Demand_SW!B$4/28</f>
        <v>94.69780219780219</v>
      </c>
      <c r="CO49" s="16">
        <f>Demand_SW!C$4/28</f>
        <v>0</v>
      </c>
      <c r="CP49" s="16">
        <f>Demand_SW!D$4/28</f>
        <v>0</v>
      </c>
      <c r="CQ49" s="16">
        <f>Demand_SW!E$4/28</f>
        <v>0</v>
      </c>
      <c r="CR49" s="16">
        <f>Demand_SW!F$4/28</f>
        <v>0</v>
      </c>
      <c r="CS49" s="16">
        <f>Demand_SW!G$4/28</f>
        <v>85.714285714285708</v>
      </c>
      <c r="CT49" s="16">
        <f>Demand_SW!H$4/28</f>
        <v>0</v>
      </c>
      <c r="CU49" s="16">
        <f>Demand_SW!I$4/28</f>
        <v>0</v>
      </c>
      <c r="CV49" s="16">
        <f>Demand_SW!J$4/28</f>
        <v>0</v>
      </c>
      <c r="CW49" s="16">
        <f>Demand_SW!K$4/28</f>
        <v>0</v>
      </c>
      <c r="CX49" s="16">
        <f t="shared" si="26"/>
        <v>-747.39010989010922</v>
      </c>
      <c r="CY49" s="16">
        <f t="shared" si="27"/>
        <v>1000</v>
      </c>
      <c r="CZ49" s="16">
        <f t="shared" si="28"/>
        <v>0</v>
      </c>
      <c r="DA49" s="16">
        <f t="shared" si="29"/>
        <v>0</v>
      </c>
      <c r="DB49" s="16">
        <f t="shared" si="30"/>
        <v>0</v>
      </c>
      <c r="DC49" s="16">
        <f t="shared" si="31"/>
        <v>-385.71428571428032</v>
      </c>
      <c r="DD49" s="16">
        <f t="shared" si="32"/>
        <v>1000</v>
      </c>
      <c r="DE49" s="16">
        <f t="shared" si="33"/>
        <v>0</v>
      </c>
      <c r="DF49" s="16">
        <f t="shared" si="34"/>
        <v>0</v>
      </c>
      <c r="DG49" s="16">
        <f t="shared" si="35"/>
        <v>0</v>
      </c>
      <c r="DH49" s="14">
        <f>IF([1]Sheet2!DS48=999999,"NA",[1]Sheet2!DS48)</f>
        <v>0</v>
      </c>
      <c r="DI49" s="14">
        <f>IF([1]Sheet2!DT48=999999,"NA",[1]Sheet2!DT48)</f>
        <v>319</v>
      </c>
      <c r="DJ49" s="14" t="str">
        <f>IF([1]Sheet2!DU48=999999,"NA",[1]Sheet2!DU48)</f>
        <v>NA</v>
      </c>
      <c r="DK49" s="14" t="str">
        <f>IF([1]Sheet2!DV48=999999,"NA",[1]Sheet2!DV48)</f>
        <v>NA</v>
      </c>
      <c r="DL49" s="14" t="str">
        <f>IF([1]Sheet2!DW48=999999,"NA",[1]Sheet2!DW48)</f>
        <v>NA</v>
      </c>
      <c r="DM49" s="14">
        <f>IF([1]Sheet2!DX48=999999,"NA",[1]Sheet2!DX48)</f>
        <v>0</v>
      </c>
      <c r="DN49" s="14">
        <f>IF([1]Sheet2!DY48=999999,"NA",[1]Sheet2!DY48)</f>
        <v>319</v>
      </c>
      <c r="DO49" s="14" t="str">
        <f>IF([1]Sheet2!DZ48=999999,"NA",[1]Sheet2!DZ48)</f>
        <v>NA</v>
      </c>
      <c r="DP49" s="14" t="str">
        <f>IF([1]Sheet2!EA48=999999,"NA",[1]Sheet2!EA48)</f>
        <v>NA</v>
      </c>
      <c r="DQ49" s="14" t="str">
        <f>IF([1]Sheet2!EB48=999999,"NA",[1]Sheet2!EB48)</f>
        <v>NA</v>
      </c>
      <c r="DR49" s="14">
        <f>[1]Sheet2!CY48</f>
        <v>0</v>
      </c>
      <c r="DS49" s="14">
        <f>[1]Sheet2!CZ48</f>
        <v>0</v>
      </c>
      <c r="DT49" s="14">
        <f>[1]Sheet2!DA48</f>
        <v>0</v>
      </c>
      <c r="DU49" s="14">
        <f>[1]Sheet2!DB48</f>
        <v>0</v>
      </c>
      <c r="DV49" s="14">
        <f>[1]Sheet2!DC48</f>
        <v>0</v>
      </c>
      <c r="DW49" s="14">
        <f>[1]Sheet2!DD48</f>
        <v>0</v>
      </c>
      <c r="DX49" s="14">
        <f>[1]Sheet2!DE48</f>
        <v>0</v>
      </c>
      <c r="DY49" s="14">
        <f>[1]Sheet2!DF48</f>
        <v>0</v>
      </c>
      <c r="DZ49" s="14">
        <f>[1]Sheet2!DG48</f>
        <v>0</v>
      </c>
      <c r="EA49" s="14">
        <f>[1]Sheet2!DH48</f>
        <v>0</v>
      </c>
      <c r="EB49" s="6">
        <f>[1]Sheet2!EC48</f>
        <v>0</v>
      </c>
      <c r="EC49" s="6">
        <f>[1]Sheet2!ED48</f>
        <v>0</v>
      </c>
      <c r="ED49" s="6">
        <f>[1]Sheet2!EE48</f>
        <v>0</v>
      </c>
      <c r="EE49" s="6">
        <f>[1]Sheet2!EF48</f>
        <v>0</v>
      </c>
      <c r="EF49" s="6">
        <f>[1]Sheet2!EG48</f>
        <v>0</v>
      </c>
      <c r="EG49" s="6">
        <f>[1]Sheet2!EH48</f>
        <v>0</v>
      </c>
      <c r="EH49" s="6">
        <f>[1]Sheet2!EI48</f>
        <v>0</v>
      </c>
      <c r="EI49" s="6">
        <f>[1]Sheet2!EJ48</f>
        <v>0</v>
      </c>
      <c r="EJ49" s="6">
        <f>[1]Sheet2!EK48</f>
        <v>0</v>
      </c>
      <c r="EK49" s="6">
        <f>[1]Sheet2!EL48</f>
        <v>0</v>
      </c>
      <c r="EL49" s="6" t="str">
        <f>[1]Sheet2!EM48</f>
        <v/>
      </c>
      <c r="EM49" s="6" t="str">
        <f>[1]Sheet2!EN48</f>
        <v/>
      </c>
      <c r="EN49" s="6" t="str">
        <f>[1]Sheet2!EO48</f>
        <v/>
      </c>
      <c r="EO49" s="6" t="str">
        <f>[1]Sheet2!EP48</f>
        <v/>
      </c>
      <c r="EP49" s="6" t="str">
        <f>[1]Sheet2!EQ48</f>
        <v/>
      </c>
      <c r="EQ49" s="6" t="str">
        <f>[1]Sheet2!ER48</f>
        <v/>
      </c>
      <c r="ER49" s="6" t="str">
        <f>[1]Sheet2!ES48</f>
        <v/>
      </c>
      <c r="ES49" s="6" t="str">
        <f>[1]Sheet2!ET48</f>
        <v/>
      </c>
      <c r="ET49" s="6" t="str">
        <f>[1]Sheet2!EU48</f>
        <v/>
      </c>
      <c r="EU49" s="6" t="str">
        <f>[1]Sheet2!EV48</f>
        <v/>
      </c>
      <c r="EV49" s="6" t="str">
        <f>[1]Sheet2!EW48</f>
        <v/>
      </c>
      <c r="EW49" s="6" t="str">
        <f>[1]Sheet2!EX48</f>
        <v/>
      </c>
      <c r="EX49" s="6" t="str">
        <f>[1]Sheet2!EY48</f>
        <v/>
      </c>
      <c r="EY49" s="6" t="str">
        <f>[1]Sheet2!EZ48</f>
        <v/>
      </c>
      <c r="EZ49" s="6" t="str">
        <f>[1]Sheet2!FA48</f>
        <v/>
      </c>
      <c r="FA49" s="6" t="str">
        <f>[1]Sheet2!FB48</f>
        <v/>
      </c>
      <c r="FB49" s="6" t="str">
        <f>[1]Sheet2!FC48</f>
        <v/>
      </c>
      <c r="FC49" s="6" t="str">
        <f>[1]Sheet2!FD48</f>
        <v/>
      </c>
      <c r="FD49" s="6" t="str">
        <f>[1]Sheet2!FE48</f>
        <v/>
      </c>
      <c r="FE49" s="6" t="str">
        <f>[1]Sheet2!FF48</f>
        <v/>
      </c>
      <c r="FF49" s="6" t="str">
        <f>[1]Sheet2!FG48</f>
        <v/>
      </c>
      <c r="FG49" s="6" t="str">
        <f>[1]Sheet2!FH48</f>
        <v/>
      </c>
      <c r="FH49" s="6" t="str">
        <f>[1]Sheet2!FI48</f>
        <v/>
      </c>
      <c r="FI49" s="6" t="str">
        <f>[1]Sheet2!FJ48</f>
        <v/>
      </c>
      <c r="FJ49" s="6" t="str">
        <f>[1]Sheet2!FK48</f>
        <v/>
      </c>
      <c r="FK49" s="6" t="str">
        <f>[1]Sheet2!FL48</f>
        <v/>
      </c>
      <c r="FL49" s="6" t="str">
        <f>[1]Sheet2!FM48</f>
        <v/>
      </c>
      <c r="FM49" s="6" t="str">
        <f>[1]Sheet2!FN48</f>
        <v/>
      </c>
      <c r="FN49" s="6" t="str">
        <f>[1]Sheet2!FO48</f>
        <v/>
      </c>
      <c r="FO49" s="6" t="str">
        <f>[1]Sheet2!FP48</f>
        <v/>
      </c>
    </row>
    <row r="50" spans="1:171" x14ac:dyDescent="0.25">
      <c r="A50" s="15">
        <v>43512</v>
      </c>
      <c r="B50" s="1"/>
      <c r="C50" s="1"/>
      <c r="D50" s="1"/>
      <c r="E50" s="14">
        <f>[1]Sheet2!N49</f>
        <v>48000</v>
      </c>
      <c r="F50" s="14">
        <f>[1]Sheet2!BE49</f>
        <v>0</v>
      </c>
      <c r="G50" s="14">
        <f>[1]Sheet2!CW49</f>
        <v>0</v>
      </c>
      <c r="H50" s="1"/>
      <c r="I50" s="1"/>
      <c r="J50" s="1"/>
      <c r="K50" s="16"/>
      <c r="L50" s="16">
        <f>Demand_CWRS!B$4/28</f>
        <v>131.68146963713369</v>
      </c>
      <c r="M50" s="16">
        <f>Demand_CWRS!C$4/28</f>
        <v>501.27216117216119</v>
      </c>
      <c r="N50" s="16">
        <f>Demand_CWRS!D$4/28</f>
        <v>0</v>
      </c>
      <c r="O50" s="16">
        <f>Demand_CWRS!E$4/28</f>
        <v>130.17472527472526</v>
      </c>
      <c r="P50" s="16">
        <f>Demand_CWRS!F$4/28</f>
        <v>262.94741300366297</v>
      </c>
      <c r="Q50" s="16">
        <f>Demand_CWRS!G$4/28</f>
        <v>127.85714285714286</v>
      </c>
      <c r="R50" s="16">
        <f>Demand_CWRS!H$4/28</f>
        <v>207.14285714285714</v>
      </c>
      <c r="S50" s="16">
        <f>Demand_CWRS!I$4/28</f>
        <v>214.28571428571428</v>
      </c>
      <c r="T50" s="16">
        <f>Demand_CWRS!J$4/28</f>
        <v>207.14285714285714</v>
      </c>
      <c r="U50" s="16">
        <f>Demand_CWRS!K$4/28</f>
        <v>221.42857142857142</v>
      </c>
      <c r="V50" s="16">
        <f t="shared" si="6"/>
        <v>-4816.7661744505504</v>
      </c>
      <c r="W50" s="16">
        <f t="shared" si="7"/>
        <v>-10513.364835164833</v>
      </c>
      <c r="X50" s="16">
        <f t="shared" si="8"/>
        <v>0</v>
      </c>
      <c r="Y50" s="16">
        <f t="shared" si="9"/>
        <v>3852.1723443223545</v>
      </c>
      <c r="Z50" s="16">
        <f t="shared" si="10"/>
        <v>-5356.5976304945043</v>
      </c>
      <c r="AA50" s="16">
        <f t="shared" si="11"/>
        <v>-3645.7142857142862</v>
      </c>
      <c r="AB50" s="16">
        <f t="shared" si="12"/>
        <v>-10507.295970695968</v>
      </c>
      <c r="AC50" s="16">
        <f t="shared" si="13"/>
        <v>-4628.5714285714284</v>
      </c>
      <c r="AD50" s="16">
        <f t="shared" si="14"/>
        <v>-4814.2857142857156</v>
      </c>
      <c r="AE50" s="16">
        <f t="shared" si="15"/>
        <v>-5242.8571428571422</v>
      </c>
      <c r="AF50" s="14">
        <f>IF([1]Sheet2!AJ49=999999,"NA",[1]Sheet2!AJ49)</f>
        <v>0</v>
      </c>
      <c r="AG50" s="14">
        <f>IF([1]Sheet2!AK49=999999,"NA",[1]Sheet2!AK49)</f>
        <v>0</v>
      </c>
      <c r="AH50" s="14" t="str">
        <f>IF([1]Sheet2!AL49=999999,"NA",[1]Sheet2!AL49)</f>
        <v>NA</v>
      </c>
      <c r="AI50" s="14">
        <f>IF([1]Sheet2!AM49=999999,"NA",[1]Sheet2!AM49)</f>
        <v>30</v>
      </c>
      <c r="AJ50" s="14">
        <f>IF([1]Sheet2!AN49=999999,"NA",[1]Sheet2!AN49)</f>
        <v>0</v>
      </c>
      <c r="AK50" s="14">
        <f>IF([1]Sheet2!AO49=999999,"NA",[1]Sheet2!AO49)</f>
        <v>0</v>
      </c>
      <c r="AL50" s="14">
        <f>IF([1]Sheet2!AP49=999999,"NA",[1]Sheet2!AP49)</f>
        <v>0</v>
      </c>
      <c r="AM50" s="14">
        <f>IF([1]Sheet2!AQ49=999999,"NA",[1]Sheet2!AQ49)</f>
        <v>0</v>
      </c>
      <c r="AN50" s="14">
        <f>IF([1]Sheet2!AR49=999999,"NA",[1]Sheet2!AR49)</f>
        <v>0</v>
      </c>
      <c r="AO50" s="14">
        <f>IF([1]Sheet2!AS49=999999,"NA",[1]Sheet2!AS49)</f>
        <v>0</v>
      </c>
      <c r="AP50" s="14">
        <f>[1]Sheet2!P49</f>
        <v>0</v>
      </c>
      <c r="AQ50" s="14">
        <f>[1]Sheet2!Q49</f>
        <v>0</v>
      </c>
      <c r="AR50" s="14">
        <f>[1]Sheet2!R49</f>
        <v>0</v>
      </c>
      <c r="AS50" s="14">
        <f>[1]Sheet2!S49</f>
        <v>0</v>
      </c>
      <c r="AT50" s="14">
        <f>[1]Sheet2!T49</f>
        <v>0</v>
      </c>
      <c r="AU50" s="14">
        <f>[1]Sheet2!U49</f>
        <v>0</v>
      </c>
      <c r="AV50" s="14">
        <f>[1]Sheet2!V49</f>
        <v>0</v>
      </c>
      <c r="AW50" s="14">
        <f>[1]Sheet2!W49</f>
        <v>0</v>
      </c>
      <c r="AX50" s="14">
        <f>[1]Sheet2!X49</f>
        <v>0</v>
      </c>
      <c r="AY50" s="14">
        <f>[1]Sheet2!Y49</f>
        <v>0</v>
      </c>
      <c r="AZ50" s="16">
        <f>Demand_LP!B$4/28</f>
        <v>811.09813487293957</v>
      </c>
      <c r="BA50" s="16">
        <f>Demand_LP!C$4/28</f>
        <v>502.83223443223443</v>
      </c>
      <c r="BB50" s="16">
        <f>Demand_LP!D$4/28</f>
        <v>282.53663003663002</v>
      </c>
      <c r="BC50" s="16">
        <f>Demand_LP!E$4/28</f>
        <v>759.73919413919407</v>
      </c>
      <c r="BD50" s="16">
        <f>Demand_LP!F$4/28</f>
        <v>495.28213999542123</v>
      </c>
      <c r="BE50" s="16">
        <f>Demand_LP!G$4/28</f>
        <v>496.42857142857144</v>
      </c>
      <c r="BF50" s="16">
        <f>Demand_LP!H$4/28</f>
        <v>535.71428571428567</v>
      </c>
      <c r="BG50" s="16">
        <f>Demand_LP!I$4/28</f>
        <v>496.42857142857144</v>
      </c>
      <c r="BH50" s="16">
        <f>Demand_LP!J$4/28</f>
        <v>482.14285714285717</v>
      </c>
      <c r="BI50" s="16">
        <f>Demand_LP!K$4/28</f>
        <v>471.42857142857144</v>
      </c>
      <c r="BJ50" s="16">
        <f t="shared" si="16"/>
        <v>-18570.623603479857</v>
      </c>
      <c r="BK50" s="16">
        <f t="shared" si="17"/>
        <v>-22608.433699633679</v>
      </c>
      <c r="BL50" s="16">
        <f t="shared" si="18"/>
        <v>-1688.0860805860814</v>
      </c>
      <c r="BM50" s="16">
        <f t="shared" si="19"/>
        <v>-23748.551465201468</v>
      </c>
      <c r="BN50" s="16">
        <f t="shared" si="20"/>
        <v>-12874.913358516476</v>
      </c>
      <c r="BO50" s="16">
        <f t="shared" si="21"/>
        <v>-11942.857142857141</v>
      </c>
      <c r="BP50" s="16">
        <f t="shared" si="22"/>
        <v>-16571.428571428576</v>
      </c>
      <c r="BQ50" s="16">
        <f t="shared" si="23"/>
        <v>-11942.857142857141</v>
      </c>
      <c r="BR50" s="16">
        <f t="shared" si="24"/>
        <v>-9714.2857142857138</v>
      </c>
      <c r="BS50" s="16">
        <f t="shared" si="25"/>
        <v>-10542.857142857141</v>
      </c>
      <c r="BT50" s="14">
        <f>IF([1]Sheet2!CB49=999999,"NA",[1]Sheet2!CB49)</f>
        <v>0</v>
      </c>
      <c r="BU50" s="14">
        <f>IF([1]Sheet2!CC49=999999,"NA",[1]Sheet2!CC49)</f>
        <v>0</v>
      </c>
      <c r="BV50" s="14">
        <f>IF([1]Sheet2!CD49=999999,"NA",[1]Sheet2!CD49)</f>
        <v>0</v>
      </c>
      <c r="BW50" s="14">
        <f>IF([1]Sheet2!CE49=999999,"NA",[1]Sheet2!CE49)</f>
        <v>0</v>
      </c>
      <c r="BX50" s="14">
        <f>IF([1]Sheet2!CF49=999999,"NA",[1]Sheet2!CF49)</f>
        <v>0</v>
      </c>
      <c r="BY50" s="14">
        <f>IF([1]Sheet2!CG49=999999,"NA",[1]Sheet2!CG49)</f>
        <v>0</v>
      </c>
      <c r="BZ50" s="14">
        <f>IF([1]Sheet2!CH49=999999,"NA",[1]Sheet2!CH49)</f>
        <v>0</v>
      </c>
      <c r="CA50" s="14">
        <f>IF([1]Sheet2!CI49=999999,"NA",[1]Sheet2!CI49)</f>
        <v>0</v>
      </c>
      <c r="CB50" s="14">
        <f>IF([1]Sheet2!CJ49=999999,"NA",[1]Sheet2!CJ49)</f>
        <v>0</v>
      </c>
      <c r="CC50" s="14">
        <f>IF([1]Sheet2!CK49=999999,"NA",[1]Sheet2!CK49)</f>
        <v>0</v>
      </c>
      <c r="CD50" s="14">
        <f>[1]Sheet2!BH49</f>
        <v>0</v>
      </c>
      <c r="CE50" s="14">
        <f>[1]Sheet2!BI49</f>
        <v>0</v>
      </c>
      <c r="CF50" s="14">
        <f>[1]Sheet2!BJ49</f>
        <v>0</v>
      </c>
      <c r="CG50" s="14">
        <f>[1]Sheet2!BK49</f>
        <v>0</v>
      </c>
      <c r="CH50" s="14">
        <f>[1]Sheet2!BL49</f>
        <v>0</v>
      </c>
      <c r="CI50" s="14">
        <f>[1]Sheet2!BM49</f>
        <v>0</v>
      </c>
      <c r="CJ50" s="14">
        <f>[1]Sheet2!BN49</f>
        <v>0</v>
      </c>
      <c r="CK50" s="14">
        <f>[1]Sheet2!BO49</f>
        <v>0</v>
      </c>
      <c r="CL50" s="14">
        <f>[1]Sheet2!BP49</f>
        <v>0</v>
      </c>
      <c r="CM50" s="14">
        <f>[1]Sheet2!BQ49</f>
        <v>0</v>
      </c>
      <c r="CN50" s="16">
        <f>Demand_SW!B$4/28</f>
        <v>94.69780219780219</v>
      </c>
      <c r="CO50" s="16">
        <f>Demand_SW!C$4/28</f>
        <v>0</v>
      </c>
      <c r="CP50" s="16">
        <f>Demand_SW!D$4/28</f>
        <v>0</v>
      </c>
      <c r="CQ50" s="16">
        <f>Demand_SW!E$4/28</f>
        <v>0</v>
      </c>
      <c r="CR50" s="16">
        <f>Demand_SW!F$4/28</f>
        <v>0</v>
      </c>
      <c r="CS50" s="16">
        <f>Demand_SW!G$4/28</f>
        <v>85.714285714285708</v>
      </c>
      <c r="CT50" s="16">
        <f>Demand_SW!H$4/28</f>
        <v>0</v>
      </c>
      <c r="CU50" s="16">
        <f>Demand_SW!I$4/28</f>
        <v>0</v>
      </c>
      <c r="CV50" s="16">
        <f>Demand_SW!J$4/28</f>
        <v>0</v>
      </c>
      <c r="CW50" s="16">
        <f>Demand_SW!K$4/28</f>
        <v>0</v>
      </c>
      <c r="CX50" s="16">
        <f t="shared" si="26"/>
        <v>-842.08791208791138</v>
      </c>
      <c r="CY50" s="16">
        <f t="shared" si="27"/>
        <v>1000</v>
      </c>
      <c r="CZ50" s="16">
        <f t="shared" si="28"/>
        <v>0</v>
      </c>
      <c r="DA50" s="16">
        <f t="shared" si="29"/>
        <v>0</v>
      </c>
      <c r="DB50" s="16">
        <f t="shared" si="30"/>
        <v>0</v>
      </c>
      <c r="DC50" s="16">
        <f t="shared" si="31"/>
        <v>-471.42857142856604</v>
      </c>
      <c r="DD50" s="16">
        <f t="shared" si="32"/>
        <v>1000</v>
      </c>
      <c r="DE50" s="16">
        <f t="shared" si="33"/>
        <v>0</v>
      </c>
      <c r="DF50" s="16">
        <f t="shared" si="34"/>
        <v>0</v>
      </c>
      <c r="DG50" s="16">
        <f t="shared" si="35"/>
        <v>0</v>
      </c>
      <c r="DH50" s="14">
        <f>IF([1]Sheet2!DS49=999999,"NA",[1]Sheet2!DS49)</f>
        <v>0</v>
      </c>
      <c r="DI50" s="14">
        <f>IF([1]Sheet2!DT49=999999,"NA",[1]Sheet2!DT49)</f>
        <v>318</v>
      </c>
      <c r="DJ50" s="14" t="str">
        <f>IF([1]Sheet2!DU49=999999,"NA",[1]Sheet2!DU49)</f>
        <v>NA</v>
      </c>
      <c r="DK50" s="14" t="str">
        <f>IF([1]Sheet2!DV49=999999,"NA",[1]Sheet2!DV49)</f>
        <v>NA</v>
      </c>
      <c r="DL50" s="14" t="str">
        <f>IF([1]Sheet2!DW49=999999,"NA",[1]Sheet2!DW49)</f>
        <v>NA</v>
      </c>
      <c r="DM50" s="14">
        <f>IF([1]Sheet2!DX49=999999,"NA",[1]Sheet2!DX49)</f>
        <v>0</v>
      </c>
      <c r="DN50" s="14">
        <f>IF([1]Sheet2!DY49=999999,"NA",[1]Sheet2!DY49)</f>
        <v>318</v>
      </c>
      <c r="DO50" s="14" t="str">
        <f>IF([1]Sheet2!DZ49=999999,"NA",[1]Sheet2!DZ49)</f>
        <v>NA</v>
      </c>
      <c r="DP50" s="14" t="str">
        <f>IF([1]Sheet2!EA49=999999,"NA",[1]Sheet2!EA49)</f>
        <v>NA</v>
      </c>
      <c r="DQ50" s="14" t="str">
        <f>IF([1]Sheet2!EB49=999999,"NA",[1]Sheet2!EB49)</f>
        <v>NA</v>
      </c>
      <c r="DR50" s="14">
        <f>[1]Sheet2!CY49</f>
        <v>0</v>
      </c>
      <c r="DS50" s="14">
        <f>[1]Sheet2!CZ49</f>
        <v>0</v>
      </c>
      <c r="DT50" s="14">
        <f>[1]Sheet2!DA49</f>
        <v>0</v>
      </c>
      <c r="DU50" s="14">
        <f>[1]Sheet2!DB49</f>
        <v>0</v>
      </c>
      <c r="DV50" s="14">
        <f>[1]Sheet2!DC49</f>
        <v>0</v>
      </c>
      <c r="DW50" s="14">
        <f>[1]Sheet2!DD49</f>
        <v>0</v>
      </c>
      <c r="DX50" s="14">
        <f>[1]Sheet2!DE49</f>
        <v>0</v>
      </c>
      <c r="DY50" s="14">
        <f>[1]Sheet2!DF49</f>
        <v>0</v>
      </c>
      <c r="DZ50" s="14">
        <f>[1]Sheet2!DG49</f>
        <v>0</v>
      </c>
      <c r="EA50" s="14">
        <f>[1]Sheet2!DH49</f>
        <v>0</v>
      </c>
      <c r="EB50" s="6">
        <f>[1]Sheet2!EC49</f>
        <v>0</v>
      </c>
      <c r="EC50" s="6">
        <f>[1]Sheet2!ED49</f>
        <v>0</v>
      </c>
      <c r="ED50" s="6">
        <f>[1]Sheet2!EE49</f>
        <v>0</v>
      </c>
      <c r="EE50" s="6">
        <f>[1]Sheet2!EF49</f>
        <v>0</v>
      </c>
      <c r="EF50" s="6">
        <f>[1]Sheet2!EG49</f>
        <v>0</v>
      </c>
      <c r="EG50" s="6">
        <f>[1]Sheet2!EH49</f>
        <v>0</v>
      </c>
      <c r="EH50" s="6">
        <f>[1]Sheet2!EI49</f>
        <v>0</v>
      </c>
      <c r="EI50" s="6">
        <f>[1]Sheet2!EJ49</f>
        <v>0</v>
      </c>
      <c r="EJ50" s="6">
        <f>[1]Sheet2!EK49</f>
        <v>0</v>
      </c>
      <c r="EK50" s="6">
        <f>[1]Sheet2!EL49</f>
        <v>0</v>
      </c>
      <c r="EL50" s="6" t="str">
        <f>[1]Sheet2!EM49</f>
        <v/>
      </c>
      <c r="EM50" s="6" t="str">
        <f>[1]Sheet2!EN49</f>
        <v/>
      </c>
      <c r="EN50" s="6" t="str">
        <f>[1]Sheet2!EO49</f>
        <v/>
      </c>
      <c r="EO50" s="6" t="str">
        <f>[1]Sheet2!EP49</f>
        <v/>
      </c>
      <c r="EP50" s="6" t="str">
        <f>[1]Sheet2!EQ49</f>
        <v/>
      </c>
      <c r="EQ50" s="6" t="str">
        <f>[1]Sheet2!ER49</f>
        <v/>
      </c>
      <c r="ER50" s="6" t="str">
        <f>[1]Sheet2!ES49</f>
        <v/>
      </c>
      <c r="ES50" s="6" t="str">
        <f>[1]Sheet2!ET49</f>
        <v/>
      </c>
      <c r="ET50" s="6" t="str">
        <f>[1]Sheet2!EU49</f>
        <v/>
      </c>
      <c r="EU50" s="6" t="str">
        <f>[1]Sheet2!EV49</f>
        <v/>
      </c>
      <c r="EV50" s="6" t="str">
        <f>[1]Sheet2!EW49</f>
        <v/>
      </c>
      <c r="EW50" s="6" t="str">
        <f>[1]Sheet2!EX49</f>
        <v/>
      </c>
      <c r="EX50" s="6" t="str">
        <f>[1]Sheet2!EY49</f>
        <v/>
      </c>
      <c r="EY50" s="6" t="str">
        <f>[1]Sheet2!EZ49</f>
        <v/>
      </c>
      <c r="EZ50" s="6" t="str">
        <f>[1]Sheet2!FA49</f>
        <v/>
      </c>
      <c r="FA50" s="6" t="str">
        <f>[1]Sheet2!FB49</f>
        <v/>
      </c>
      <c r="FB50" s="6" t="str">
        <f>[1]Sheet2!FC49</f>
        <v/>
      </c>
      <c r="FC50" s="6" t="str">
        <f>[1]Sheet2!FD49</f>
        <v/>
      </c>
      <c r="FD50" s="6" t="str">
        <f>[1]Sheet2!FE49</f>
        <v/>
      </c>
      <c r="FE50" s="6" t="str">
        <f>[1]Sheet2!FF49</f>
        <v/>
      </c>
      <c r="FF50" s="6" t="str">
        <f>[1]Sheet2!FG49</f>
        <v/>
      </c>
      <c r="FG50" s="6" t="str">
        <f>[1]Sheet2!FH49</f>
        <v/>
      </c>
      <c r="FH50" s="6" t="str">
        <f>[1]Sheet2!FI49</f>
        <v/>
      </c>
      <c r="FI50" s="6" t="str">
        <f>[1]Sheet2!FJ49</f>
        <v/>
      </c>
      <c r="FJ50" s="6" t="str">
        <f>[1]Sheet2!FK49</f>
        <v/>
      </c>
      <c r="FK50" s="6" t="str">
        <f>[1]Sheet2!FL49</f>
        <v/>
      </c>
      <c r="FL50" s="6" t="str">
        <f>[1]Sheet2!FM49</f>
        <v/>
      </c>
      <c r="FM50" s="6" t="str">
        <f>[1]Sheet2!FN49</f>
        <v/>
      </c>
      <c r="FN50" s="6" t="str">
        <f>[1]Sheet2!FO49</f>
        <v/>
      </c>
      <c r="FO50" s="6" t="str">
        <f>[1]Sheet2!FP49</f>
        <v/>
      </c>
    </row>
    <row r="51" spans="1:171" x14ac:dyDescent="0.25">
      <c r="A51" s="15">
        <v>43513</v>
      </c>
      <c r="B51" s="1"/>
      <c r="C51" s="1"/>
      <c r="D51" s="1"/>
      <c r="E51" s="14">
        <f>[1]Sheet2!N50</f>
        <v>0</v>
      </c>
      <c r="F51" s="14">
        <f>[1]Sheet2!BE50</f>
        <v>0</v>
      </c>
      <c r="G51" s="14">
        <f>[1]Sheet2!CW50</f>
        <v>0</v>
      </c>
      <c r="H51" s="1"/>
      <c r="I51" s="1"/>
      <c r="J51" s="1"/>
      <c r="K51" s="16"/>
      <c r="L51" s="16">
        <f>Demand_CWRS!B$4/28</f>
        <v>131.68146963713369</v>
      </c>
      <c r="M51" s="16">
        <f>Demand_CWRS!C$4/28</f>
        <v>501.27216117216119</v>
      </c>
      <c r="N51" s="16">
        <f>Demand_CWRS!D$4/28</f>
        <v>0</v>
      </c>
      <c r="O51" s="16">
        <f>Demand_CWRS!E$4/28</f>
        <v>130.17472527472526</v>
      </c>
      <c r="P51" s="16">
        <f>Demand_CWRS!F$4/28</f>
        <v>262.94741300366297</v>
      </c>
      <c r="Q51" s="16">
        <f>Demand_CWRS!G$4/28</f>
        <v>127.85714285714286</v>
      </c>
      <c r="R51" s="16">
        <f>Demand_CWRS!H$4/28</f>
        <v>207.14285714285714</v>
      </c>
      <c r="S51" s="16">
        <f>Demand_CWRS!I$4/28</f>
        <v>214.28571428571428</v>
      </c>
      <c r="T51" s="16">
        <f>Demand_CWRS!J$4/28</f>
        <v>207.14285714285714</v>
      </c>
      <c r="U51" s="16">
        <f>Demand_CWRS!K$4/28</f>
        <v>221.42857142857142</v>
      </c>
      <c r="V51" s="16">
        <f t="shared" si="6"/>
        <v>-4948.4476440876842</v>
      </c>
      <c r="W51" s="16">
        <f t="shared" si="7"/>
        <v>-11014.636996336994</v>
      </c>
      <c r="X51" s="16">
        <f t="shared" si="8"/>
        <v>0</v>
      </c>
      <c r="Y51" s="16">
        <f t="shared" si="9"/>
        <v>3721.9976190476291</v>
      </c>
      <c r="Z51" s="16">
        <f t="shared" si="10"/>
        <v>-5619.5450434981676</v>
      </c>
      <c r="AA51" s="16">
        <f t="shared" si="11"/>
        <v>-3773.5714285714289</v>
      </c>
      <c r="AB51" s="16">
        <f t="shared" si="12"/>
        <v>-10714.438827838825</v>
      </c>
      <c r="AC51" s="16">
        <f t="shared" si="13"/>
        <v>-4842.8571428571431</v>
      </c>
      <c r="AD51" s="16">
        <f t="shared" si="14"/>
        <v>-5021.4285714285725</v>
      </c>
      <c r="AE51" s="16">
        <f t="shared" si="15"/>
        <v>-5464.2857142857138</v>
      </c>
      <c r="AF51" s="14">
        <f>IF([1]Sheet2!AJ50=999999,"NA",[1]Sheet2!AJ50)</f>
        <v>0</v>
      </c>
      <c r="AG51" s="14">
        <f>IF([1]Sheet2!AK50=999999,"NA",[1]Sheet2!AK50)</f>
        <v>0</v>
      </c>
      <c r="AH51" s="14" t="str">
        <f>IF([1]Sheet2!AL50=999999,"NA",[1]Sheet2!AL50)</f>
        <v>NA</v>
      </c>
      <c r="AI51" s="14">
        <f>IF([1]Sheet2!AM50=999999,"NA",[1]Sheet2!AM50)</f>
        <v>29</v>
      </c>
      <c r="AJ51" s="14">
        <f>IF([1]Sheet2!AN50=999999,"NA",[1]Sheet2!AN50)</f>
        <v>0</v>
      </c>
      <c r="AK51" s="14">
        <f>IF([1]Sheet2!AO50=999999,"NA",[1]Sheet2!AO50)</f>
        <v>0</v>
      </c>
      <c r="AL51" s="14">
        <f>IF([1]Sheet2!AP50=999999,"NA",[1]Sheet2!AP50)</f>
        <v>0</v>
      </c>
      <c r="AM51" s="14">
        <f>IF([1]Sheet2!AQ50=999999,"NA",[1]Sheet2!AQ50)</f>
        <v>0</v>
      </c>
      <c r="AN51" s="14">
        <f>IF([1]Sheet2!AR50=999999,"NA",[1]Sheet2!AR50)</f>
        <v>0</v>
      </c>
      <c r="AO51" s="14">
        <f>IF([1]Sheet2!AS50=999999,"NA",[1]Sheet2!AS50)</f>
        <v>0</v>
      </c>
      <c r="AP51" s="14">
        <f>[1]Sheet2!P50</f>
        <v>0</v>
      </c>
      <c r="AQ51" s="14">
        <f>[1]Sheet2!Q50</f>
        <v>0</v>
      </c>
      <c r="AR51" s="14">
        <f>[1]Sheet2!R50</f>
        <v>0</v>
      </c>
      <c r="AS51" s="14">
        <f>[1]Sheet2!S50</f>
        <v>0</v>
      </c>
      <c r="AT51" s="14">
        <f>[1]Sheet2!T50</f>
        <v>0</v>
      </c>
      <c r="AU51" s="14">
        <f>[1]Sheet2!U50</f>
        <v>0</v>
      </c>
      <c r="AV51" s="14">
        <f>[1]Sheet2!V50</f>
        <v>0</v>
      </c>
      <c r="AW51" s="14">
        <f>[1]Sheet2!W50</f>
        <v>0</v>
      </c>
      <c r="AX51" s="14">
        <f>[1]Sheet2!X50</f>
        <v>0</v>
      </c>
      <c r="AY51" s="14">
        <f>[1]Sheet2!Y50</f>
        <v>0</v>
      </c>
      <c r="AZ51" s="16">
        <f>Demand_LP!B$4/28</f>
        <v>811.09813487293957</v>
      </c>
      <c r="BA51" s="16">
        <f>Demand_LP!C$4/28</f>
        <v>502.83223443223443</v>
      </c>
      <c r="BB51" s="16">
        <f>Demand_LP!D$4/28</f>
        <v>282.53663003663002</v>
      </c>
      <c r="BC51" s="16">
        <f>Demand_LP!E$4/28</f>
        <v>759.73919413919407</v>
      </c>
      <c r="BD51" s="16">
        <f>Demand_LP!F$4/28</f>
        <v>495.28213999542123</v>
      </c>
      <c r="BE51" s="16">
        <f>Demand_LP!G$4/28</f>
        <v>496.42857142857144</v>
      </c>
      <c r="BF51" s="16">
        <f>Demand_LP!H$4/28</f>
        <v>535.71428571428567</v>
      </c>
      <c r="BG51" s="16">
        <f>Demand_LP!I$4/28</f>
        <v>496.42857142857144</v>
      </c>
      <c r="BH51" s="16">
        <f>Demand_LP!J$4/28</f>
        <v>482.14285714285717</v>
      </c>
      <c r="BI51" s="16">
        <f>Demand_LP!K$4/28</f>
        <v>471.42857142857144</v>
      </c>
      <c r="BJ51" s="16">
        <f t="shared" si="16"/>
        <v>-19381.721738352797</v>
      </c>
      <c r="BK51" s="16">
        <f t="shared" si="17"/>
        <v>-23111.265934065912</v>
      </c>
      <c r="BL51" s="16">
        <f t="shared" si="18"/>
        <v>-1970.6227106227113</v>
      </c>
      <c r="BM51" s="16">
        <f t="shared" si="19"/>
        <v>-24508.290659340662</v>
      </c>
      <c r="BN51" s="16">
        <f t="shared" si="20"/>
        <v>-13370.195498511897</v>
      </c>
      <c r="BO51" s="16">
        <f t="shared" si="21"/>
        <v>-12439.285714285712</v>
      </c>
      <c r="BP51" s="16">
        <f t="shared" si="22"/>
        <v>-17107.142857142862</v>
      </c>
      <c r="BQ51" s="16">
        <f t="shared" si="23"/>
        <v>-12439.285714285712</v>
      </c>
      <c r="BR51" s="16">
        <f t="shared" si="24"/>
        <v>-10196.428571428571</v>
      </c>
      <c r="BS51" s="16">
        <f t="shared" si="25"/>
        <v>-11014.285714285712</v>
      </c>
      <c r="BT51" s="14">
        <f>IF([1]Sheet2!CB50=999999,"NA",[1]Sheet2!CB50)</f>
        <v>0</v>
      </c>
      <c r="BU51" s="14">
        <f>IF([1]Sheet2!CC50=999999,"NA",[1]Sheet2!CC50)</f>
        <v>0</v>
      </c>
      <c r="BV51" s="14">
        <f>IF([1]Sheet2!CD50=999999,"NA",[1]Sheet2!CD50)</f>
        <v>0</v>
      </c>
      <c r="BW51" s="14">
        <f>IF([1]Sheet2!CE50=999999,"NA",[1]Sheet2!CE50)</f>
        <v>0</v>
      </c>
      <c r="BX51" s="14">
        <f>IF([1]Sheet2!CF50=999999,"NA",[1]Sheet2!CF50)</f>
        <v>0</v>
      </c>
      <c r="BY51" s="14">
        <f>IF([1]Sheet2!CG50=999999,"NA",[1]Sheet2!CG50)</f>
        <v>0</v>
      </c>
      <c r="BZ51" s="14">
        <f>IF([1]Sheet2!CH50=999999,"NA",[1]Sheet2!CH50)</f>
        <v>0</v>
      </c>
      <c r="CA51" s="14">
        <f>IF([1]Sheet2!CI50=999999,"NA",[1]Sheet2!CI50)</f>
        <v>0</v>
      </c>
      <c r="CB51" s="14">
        <f>IF([1]Sheet2!CJ50=999999,"NA",[1]Sheet2!CJ50)</f>
        <v>0</v>
      </c>
      <c r="CC51" s="14">
        <f>IF([1]Sheet2!CK50=999999,"NA",[1]Sheet2!CK50)</f>
        <v>0</v>
      </c>
      <c r="CD51" s="14">
        <f>[1]Sheet2!BH50</f>
        <v>0</v>
      </c>
      <c r="CE51" s="14">
        <f>[1]Sheet2!BI50</f>
        <v>0</v>
      </c>
      <c r="CF51" s="14">
        <f>[1]Sheet2!BJ50</f>
        <v>0</v>
      </c>
      <c r="CG51" s="14">
        <f>[1]Sheet2!BK50</f>
        <v>0</v>
      </c>
      <c r="CH51" s="14">
        <f>[1]Sheet2!BL50</f>
        <v>0</v>
      </c>
      <c r="CI51" s="14">
        <f>[1]Sheet2!BM50</f>
        <v>0</v>
      </c>
      <c r="CJ51" s="14">
        <f>[1]Sheet2!BN50</f>
        <v>0</v>
      </c>
      <c r="CK51" s="14">
        <f>[1]Sheet2!BO50</f>
        <v>0</v>
      </c>
      <c r="CL51" s="14">
        <f>[1]Sheet2!BP50</f>
        <v>0</v>
      </c>
      <c r="CM51" s="14">
        <f>[1]Sheet2!BQ50</f>
        <v>0</v>
      </c>
      <c r="CN51" s="16">
        <f>Demand_SW!B$4/28</f>
        <v>94.69780219780219</v>
      </c>
      <c r="CO51" s="16">
        <f>Demand_SW!C$4/28</f>
        <v>0</v>
      </c>
      <c r="CP51" s="16">
        <f>Demand_SW!D$4/28</f>
        <v>0</v>
      </c>
      <c r="CQ51" s="16">
        <f>Demand_SW!E$4/28</f>
        <v>0</v>
      </c>
      <c r="CR51" s="16">
        <f>Demand_SW!F$4/28</f>
        <v>0</v>
      </c>
      <c r="CS51" s="16">
        <f>Demand_SW!G$4/28</f>
        <v>85.714285714285708</v>
      </c>
      <c r="CT51" s="16">
        <f>Demand_SW!H$4/28</f>
        <v>0</v>
      </c>
      <c r="CU51" s="16">
        <f>Demand_SW!I$4/28</f>
        <v>0</v>
      </c>
      <c r="CV51" s="16">
        <f>Demand_SW!J$4/28</f>
        <v>0</v>
      </c>
      <c r="CW51" s="16">
        <f>Demand_SW!K$4/28</f>
        <v>0</v>
      </c>
      <c r="CX51" s="16">
        <f t="shared" si="26"/>
        <v>-936.78571428571354</v>
      </c>
      <c r="CY51" s="16">
        <f t="shared" si="27"/>
        <v>1000</v>
      </c>
      <c r="CZ51" s="16">
        <f t="shared" si="28"/>
        <v>0</v>
      </c>
      <c r="DA51" s="16">
        <f t="shared" si="29"/>
        <v>0</v>
      </c>
      <c r="DB51" s="16">
        <f t="shared" si="30"/>
        <v>0</v>
      </c>
      <c r="DC51" s="16">
        <f t="shared" si="31"/>
        <v>-557.14285714285177</v>
      </c>
      <c r="DD51" s="16">
        <f t="shared" si="32"/>
        <v>1000</v>
      </c>
      <c r="DE51" s="16">
        <f t="shared" si="33"/>
        <v>0</v>
      </c>
      <c r="DF51" s="16">
        <f t="shared" si="34"/>
        <v>0</v>
      </c>
      <c r="DG51" s="16">
        <f t="shared" si="35"/>
        <v>0</v>
      </c>
      <c r="DH51" s="14">
        <f>IF([1]Sheet2!DS50=999999,"NA",[1]Sheet2!DS50)</f>
        <v>0</v>
      </c>
      <c r="DI51" s="14">
        <f>IF([1]Sheet2!DT50=999999,"NA",[1]Sheet2!DT50)</f>
        <v>317</v>
      </c>
      <c r="DJ51" s="14" t="str">
        <f>IF([1]Sheet2!DU50=999999,"NA",[1]Sheet2!DU50)</f>
        <v>NA</v>
      </c>
      <c r="DK51" s="14" t="str">
        <f>IF([1]Sheet2!DV50=999999,"NA",[1]Sheet2!DV50)</f>
        <v>NA</v>
      </c>
      <c r="DL51" s="14" t="str">
        <f>IF([1]Sheet2!DW50=999999,"NA",[1]Sheet2!DW50)</f>
        <v>NA</v>
      </c>
      <c r="DM51" s="14">
        <f>IF([1]Sheet2!DX50=999999,"NA",[1]Sheet2!DX50)</f>
        <v>0</v>
      </c>
      <c r="DN51" s="14">
        <f>IF([1]Sheet2!DY50=999999,"NA",[1]Sheet2!DY50)</f>
        <v>317</v>
      </c>
      <c r="DO51" s="14" t="str">
        <f>IF([1]Sheet2!DZ50=999999,"NA",[1]Sheet2!DZ50)</f>
        <v>NA</v>
      </c>
      <c r="DP51" s="14" t="str">
        <f>IF([1]Sheet2!EA50=999999,"NA",[1]Sheet2!EA50)</f>
        <v>NA</v>
      </c>
      <c r="DQ51" s="14" t="str">
        <f>IF([1]Sheet2!EB50=999999,"NA",[1]Sheet2!EB50)</f>
        <v>NA</v>
      </c>
      <c r="DR51" s="14">
        <f>[1]Sheet2!CY50</f>
        <v>0</v>
      </c>
      <c r="DS51" s="14">
        <f>[1]Sheet2!CZ50</f>
        <v>0</v>
      </c>
      <c r="DT51" s="14">
        <f>[1]Sheet2!DA50</f>
        <v>0</v>
      </c>
      <c r="DU51" s="14">
        <f>[1]Sheet2!DB50</f>
        <v>0</v>
      </c>
      <c r="DV51" s="14">
        <f>[1]Sheet2!DC50</f>
        <v>0</v>
      </c>
      <c r="DW51" s="14">
        <f>[1]Sheet2!DD50</f>
        <v>0</v>
      </c>
      <c r="DX51" s="14">
        <f>[1]Sheet2!DE50</f>
        <v>0</v>
      </c>
      <c r="DY51" s="14">
        <f>[1]Sheet2!DF50</f>
        <v>0</v>
      </c>
      <c r="DZ51" s="14">
        <f>[1]Sheet2!DG50</f>
        <v>0</v>
      </c>
      <c r="EA51" s="14">
        <f>[1]Sheet2!DH50</f>
        <v>0</v>
      </c>
      <c r="EB51" s="6">
        <f>[1]Sheet2!EC50</f>
        <v>0</v>
      </c>
      <c r="EC51" s="6">
        <f>[1]Sheet2!ED50</f>
        <v>0</v>
      </c>
      <c r="ED51" s="6">
        <f>[1]Sheet2!EE50</f>
        <v>0</v>
      </c>
      <c r="EE51" s="6">
        <f>[1]Sheet2!EF50</f>
        <v>0</v>
      </c>
      <c r="EF51" s="6">
        <f>[1]Sheet2!EG50</f>
        <v>0</v>
      </c>
      <c r="EG51" s="6">
        <f>[1]Sheet2!EH50</f>
        <v>0</v>
      </c>
      <c r="EH51" s="6">
        <f>[1]Sheet2!EI50</f>
        <v>0</v>
      </c>
      <c r="EI51" s="6">
        <f>[1]Sheet2!EJ50</f>
        <v>0</v>
      </c>
      <c r="EJ51" s="6">
        <f>[1]Sheet2!EK50</f>
        <v>0</v>
      </c>
      <c r="EK51" s="6">
        <f>[1]Sheet2!EL50</f>
        <v>0</v>
      </c>
      <c r="EL51" s="6" t="str">
        <f>[1]Sheet2!EM50</f>
        <v/>
      </c>
      <c r="EM51" s="6" t="str">
        <f>[1]Sheet2!EN50</f>
        <v/>
      </c>
      <c r="EN51" s="6" t="str">
        <f>[1]Sheet2!EO50</f>
        <v/>
      </c>
      <c r="EO51" s="6" t="str">
        <f>[1]Sheet2!EP50</f>
        <v/>
      </c>
      <c r="EP51" s="6" t="str">
        <f>[1]Sheet2!EQ50</f>
        <v/>
      </c>
      <c r="EQ51" s="6" t="str">
        <f>[1]Sheet2!ER50</f>
        <v/>
      </c>
      <c r="ER51" s="6" t="str">
        <f>[1]Sheet2!ES50</f>
        <v/>
      </c>
      <c r="ES51" s="6" t="str">
        <f>[1]Sheet2!ET50</f>
        <v/>
      </c>
      <c r="ET51" s="6" t="str">
        <f>[1]Sheet2!EU50</f>
        <v/>
      </c>
      <c r="EU51" s="6" t="str">
        <f>[1]Sheet2!EV50</f>
        <v/>
      </c>
      <c r="EV51" s="6" t="str">
        <f>[1]Sheet2!EW50</f>
        <v/>
      </c>
      <c r="EW51" s="6" t="str">
        <f>[1]Sheet2!EX50</f>
        <v/>
      </c>
      <c r="EX51" s="6" t="str">
        <f>[1]Sheet2!EY50</f>
        <v/>
      </c>
      <c r="EY51" s="6" t="str">
        <f>[1]Sheet2!EZ50</f>
        <v/>
      </c>
      <c r="EZ51" s="6" t="str">
        <f>[1]Sheet2!FA50</f>
        <v/>
      </c>
      <c r="FA51" s="6" t="str">
        <f>[1]Sheet2!FB50</f>
        <v/>
      </c>
      <c r="FB51" s="6" t="str">
        <f>[1]Sheet2!FC50</f>
        <v/>
      </c>
      <c r="FC51" s="6" t="str">
        <f>[1]Sheet2!FD50</f>
        <v/>
      </c>
      <c r="FD51" s="6" t="str">
        <f>[1]Sheet2!FE50</f>
        <v/>
      </c>
      <c r="FE51" s="6" t="str">
        <f>[1]Sheet2!FF50</f>
        <v/>
      </c>
      <c r="FF51" s="6" t="str">
        <f>[1]Sheet2!FG50</f>
        <v/>
      </c>
      <c r="FG51" s="6" t="str">
        <f>[1]Sheet2!FH50</f>
        <v/>
      </c>
      <c r="FH51" s="6" t="str">
        <f>[1]Sheet2!FI50</f>
        <v/>
      </c>
      <c r="FI51" s="6" t="str">
        <f>[1]Sheet2!FJ50</f>
        <v/>
      </c>
      <c r="FJ51" s="6" t="str">
        <f>[1]Sheet2!FK50</f>
        <v/>
      </c>
      <c r="FK51" s="6" t="str">
        <f>[1]Sheet2!FL50</f>
        <v/>
      </c>
      <c r="FL51" s="6" t="str">
        <f>[1]Sheet2!FM50</f>
        <v/>
      </c>
      <c r="FM51" s="6" t="str">
        <f>[1]Sheet2!FN50</f>
        <v/>
      </c>
      <c r="FN51" s="6" t="str">
        <f>[1]Sheet2!FO50</f>
        <v/>
      </c>
      <c r="FO51" s="6" t="str">
        <f>[1]Sheet2!FP50</f>
        <v/>
      </c>
    </row>
    <row r="52" spans="1:171" x14ac:dyDescent="0.25">
      <c r="A52" s="15">
        <v>43514</v>
      </c>
      <c r="B52" s="1"/>
      <c r="C52" s="1"/>
      <c r="D52" s="1"/>
      <c r="E52" s="14">
        <f>[1]Sheet2!N51</f>
        <v>0</v>
      </c>
      <c r="F52" s="14">
        <f>[1]Sheet2!BE51</f>
        <v>0</v>
      </c>
      <c r="G52" s="14">
        <f>[1]Sheet2!CW51</f>
        <v>0</v>
      </c>
      <c r="H52" s="1"/>
      <c r="I52" s="1"/>
      <c r="J52" s="1"/>
      <c r="K52" s="16"/>
      <c r="L52" s="16">
        <f>Demand_CWRS!B$4/28</f>
        <v>131.68146963713369</v>
      </c>
      <c r="M52" s="16">
        <f>Demand_CWRS!C$4/28</f>
        <v>501.27216117216119</v>
      </c>
      <c r="N52" s="16">
        <f>Demand_CWRS!D$4/28</f>
        <v>0</v>
      </c>
      <c r="O52" s="16">
        <f>Demand_CWRS!E$4/28</f>
        <v>130.17472527472526</v>
      </c>
      <c r="P52" s="16">
        <f>Demand_CWRS!F$4/28</f>
        <v>262.94741300366297</v>
      </c>
      <c r="Q52" s="16">
        <f>Demand_CWRS!G$4/28</f>
        <v>127.85714285714286</v>
      </c>
      <c r="R52" s="16">
        <f>Demand_CWRS!H$4/28</f>
        <v>207.14285714285714</v>
      </c>
      <c r="S52" s="16">
        <f>Demand_CWRS!I$4/28</f>
        <v>214.28571428571428</v>
      </c>
      <c r="T52" s="16">
        <f>Demand_CWRS!J$4/28</f>
        <v>207.14285714285714</v>
      </c>
      <c r="U52" s="16">
        <f>Demand_CWRS!K$4/28</f>
        <v>221.42857142857142</v>
      </c>
      <c r="V52" s="16">
        <f t="shared" si="6"/>
        <v>-5080.1291137248181</v>
      </c>
      <c r="W52" s="16">
        <f t="shared" si="7"/>
        <v>-11515.909157509155</v>
      </c>
      <c r="X52" s="16">
        <f t="shared" si="8"/>
        <v>0</v>
      </c>
      <c r="Y52" s="16">
        <f t="shared" si="9"/>
        <v>3591.8228937729036</v>
      </c>
      <c r="Z52" s="16">
        <f t="shared" si="10"/>
        <v>-5882.4924565018309</v>
      </c>
      <c r="AA52" s="16">
        <f t="shared" si="11"/>
        <v>-3901.4285714285716</v>
      </c>
      <c r="AB52" s="16">
        <f t="shared" si="12"/>
        <v>-10921.581684981682</v>
      </c>
      <c r="AC52" s="16">
        <f t="shared" si="13"/>
        <v>-5057.1428571428578</v>
      </c>
      <c r="AD52" s="16">
        <f t="shared" si="14"/>
        <v>-5228.5714285714294</v>
      </c>
      <c r="AE52" s="16">
        <f t="shared" si="15"/>
        <v>-5685.7142857142853</v>
      </c>
      <c r="AF52" s="14">
        <f>IF([1]Sheet2!AJ51=999999,"NA",[1]Sheet2!AJ51)</f>
        <v>0</v>
      </c>
      <c r="AG52" s="14">
        <f>IF([1]Sheet2!AK51=999999,"NA",[1]Sheet2!AK51)</f>
        <v>0</v>
      </c>
      <c r="AH52" s="14" t="str">
        <f>IF([1]Sheet2!AL51=999999,"NA",[1]Sheet2!AL51)</f>
        <v>NA</v>
      </c>
      <c r="AI52" s="14">
        <f>IF([1]Sheet2!AM51=999999,"NA",[1]Sheet2!AM51)</f>
        <v>28</v>
      </c>
      <c r="AJ52" s="14">
        <f>IF([1]Sheet2!AN51=999999,"NA",[1]Sheet2!AN51)</f>
        <v>0</v>
      </c>
      <c r="AK52" s="14">
        <f>IF([1]Sheet2!AO51=999999,"NA",[1]Sheet2!AO51)</f>
        <v>0</v>
      </c>
      <c r="AL52" s="14">
        <f>IF([1]Sheet2!AP51=999999,"NA",[1]Sheet2!AP51)</f>
        <v>0</v>
      </c>
      <c r="AM52" s="14">
        <f>IF([1]Sheet2!AQ51=999999,"NA",[1]Sheet2!AQ51)</f>
        <v>0</v>
      </c>
      <c r="AN52" s="14">
        <f>IF([1]Sheet2!AR51=999999,"NA",[1]Sheet2!AR51)</f>
        <v>0</v>
      </c>
      <c r="AO52" s="14">
        <f>IF([1]Sheet2!AS51=999999,"NA",[1]Sheet2!AS51)</f>
        <v>0</v>
      </c>
      <c r="AP52" s="14">
        <f>[1]Sheet2!P51</f>
        <v>0</v>
      </c>
      <c r="AQ52" s="14">
        <f>[1]Sheet2!Q51</f>
        <v>0</v>
      </c>
      <c r="AR52" s="14">
        <f>[1]Sheet2!R51</f>
        <v>0</v>
      </c>
      <c r="AS52" s="14">
        <f>[1]Sheet2!S51</f>
        <v>0</v>
      </c>
      <c r="AT52" s="14">
        <f>[1]Sheet2!T51</f>
        <v>0</v>
      </c>
      <c r="AU52" s="14">
        <f>[1]Sheet2!U51</f>
        <v>0</v>
      </c>
      <c r="AV52" s="14">
        <f>[1]Sheet2!V51</f>
        <v>0</v>
      </c>
      <c r="AW52" s="14">
        <f>[1]Sheet2!W51</f>
        <v>0</v>
      </c>
      <c r="AX52" s="14">
        <f>[1]Sheet2!X51</f>
        <v>0</v>
      </c>
      <c r="AY52" s="14">
        <f>[1]Sheet2!Y51</f>
        <v>0</v>
      </c>
      <c r="AZ52" s="16">
        <f>Demand_LP!B$4/28</f>
        <v>811.09813487293957</v>
      </c>
      <c r="BA52" s="16">
        <f>Demand_LP!C$4/28</f>
        <v>502.83223443223443</v>
      </c>
      <c r="BB52" s="16">
        <f>Demand_LP!D$4/28</f>
        <v>282.53663003663002</v>
      </c>
      <c r="BC52" s="16">
        <f>Demand_LP!E$4/28</f>
        <v>759.73919413919407</v>
      </c>
      <c r="BD52" s="16">
        <f>Demand_LP!F$4/28</f>
        <v>495.28213999542123</v>
      </c>
      <c r="BE52" s="16">
        <f>Demand_LP!G$4/28</f>
        <v>496.42857142857144</v>
      </c>
      <c r="BF52" s="16">
        <f>Demand_LP!H$4/28</f>
        <v>535.71428571428567</v>
      </c>
      <c r="BG52" s="16">
        <f>Demand_LP!I$4/28</f>
        <v>496.42857142857144</v>
      </c>
      <c r="BH52" s="16">
        <f>Demand_LP!J$4/28</f>
        <v>482.14285714285717</v>
      </c>
      <c r="BI52" s="16">
        <f>Demand_LP!K$4/28</f>
        <v>471.42857142857144</v>
      </c>
      <c r="BJ52" s="16">
        <f t="shared" si="16"/>
        <v>-20192.819873225737</v>
      </c>
      <c r="BK52" s="16">
        <f t="shared" si="17"/>
        <v>-23614.098168498145</v>
      </c>
      <c r="BL52" s="16">
        <f t="shared" si="18"/>
        <v>-2253.1593406593415</v>
      </c>
      <c r="BM52" s="16">
        <f t="shared" si="19"/>
        <v>-25268.029853479857</v>
      </c>
      <c r="BN52" s="16">
        <f t="shared" si="20"/>
        <v>-13865.477638507318</v>
      </c>
      <c r="BO52" s="16">
        <f t="shared" si="21"/>
        <v>-12935.714285714283</v>
      </c>
      <c r="BP52" s="16">
        <f t="shared" si="22"/>
        <v>-17642.857142857149</v>
      </c>
      <c r="BQ52" s="16">
        <f t="shared" si="23"/>
        <v>-12935.714285714283</v>
      </c>
      <c r="BR52" s="16">
        <f t="shared" si="24"/>
        <v>-10678.571428571428</v>
      </c>
      <c r="BS52" s="16">
        <f t="shared" si="25"/>
        <v>-11485.714285714283</v>
      </c>
      <c r="BT52" s="14">
        <f>IF([1]Sheet2!CB51=999999,"NA",[1]Sheet2!CB51)</f>
        <v>0</v>
      </c>
      <c r="BU52" s="14">
        <f>IF([1]Sheet2!CC51=999999,"NA",[1]Sheet2!CC51)</f>
        <v>0</v>
      </c>
      <c r="BV52" s="14">
        <f>IF([1]Sheet2!CD51=999999,"NA",[1]Sheet2!CD51)</f>
        <v>0</v>
      </c>
      <c r="BW52" s="14">
        <f>IF([1]Sheet2!CE51=999999,"NA",[1]Sheet2!CE51)</f>
        <v>0</v>
      </c>
      <c r="BX52" s="14">
        <f>IF([1]Sheet2!CF51=999999,"NA",[1]Sheet2!CF51)</f>
        <v>0</v>
      </c>
      <c r="BY52" s="14">
        <f>IF([1]Sheet2!CG51=999999,"NA",[1]Sheet2!CG51)</f>
        <v>0</v>
      </c>
      <c r="BZ52" s="14">
        <f>IF([1]Sheet2!CH51=999999,"NA",[1]Sheet2!CH51)</f>
        <v>0</v>
      </c>
      <c r="CA52" s="14">
        <f>IF([1]Sheet2!CI51=999999,"NA",[1]Sheet2!CI51)</f>
        <v>0</v>
      </c>
      <c r="CB52" s="14">
        <f>IF([1]Sheet2!CJ51=999999,"NA",[1]Sheet2!CJ51)</f>
        <v>0</v>
      </c>
      <c r="CC52" s="14">
        <f>IF([1]Sheet2!CK51=999999,"NA",[1]Sheet2!CK51)</f>
        <v>0</v>
      </c>
      <c r="CD52" s="14">
        <f>[1]Sheet2!BH51</f>
        <v>0</v>
      </c>
      <c r="CE52" s="14">
        <f>[1]Sheet2!BI51</f>
        <v>0</v>
      </c>
      <c r="CF52" s="14">
        <f>[1]Sheet2!BJ51</f>
        <v>0</v>
      </c>
      <c r="CG52" s="14">
        <f>[1]Sheet2!BK51</f>
        <v>0</v>
      </c>
      <c r="CH52" s="14">
        <f>[1]Sheet2!BL51</f>
        <v>0</v>
      </c>
      <c r="CI52" s="14">
        <f>[1]Sheet2!BM51</f>
        <v>0</v>
      </c>
      <c r="CJ52" s="14">
        <f>[1]Sheet2!BN51</f>
        <v>0</v>
      </c>
      <c r="CK52" s="14">
        <f>[1]Sheet2!BO51</f>
        <v>0</v>
      </c>
      <c r="CL52" s="14">
        <f>[1]Sheet2!BP51</f>
        <v>0</v>
      </c>
      <c r="CM52" s="14">
        <f>[1]Sheet2!BQ51</f>
        <v>0</v>
      </c>
      <c r="CN52" s="16">
        <f>Demand_SW!B$4/28</f>
        <v>94.69780219780219</v>
      </c>
      <c r="CO52" s="16">
        <f>Demand_SW!C$4/28</f>
        <v>0</v>
      </c>
      <c r="CP52" s="16">
        <f>Demand_SW!D$4/28</f>
        <v>0</v>
      </c>
      <c r="CQ52" s="16">
        <f>Demand_SW!E$4/28</f>
        <v>0</v>
      </c>
      <c r="CR52" s="16">
        <f>Demand_SW!F$4/28</f>
        <v>0</v>
      </c>
      <c r="CS52" s="16">
        <f>Demand_SW!G$4/28</f>
        <v>85.714285714285708</v>
      </c>
      <c r="CT52" s="16">
        <f>Demand_SW!H$4/28</f>
        <v>0</v>
      </c>
      <c r="CU52" s="16">
        <f>Demand_SW!I$4/28</f>
        <v>0</v>
      </c>
      <c r="CV52" s="16">
        <f>Demand_SW!J$4/28</f>
        <v>0</v>
      </c>
      <c r="CW52" s="16">
        <f>Demand_SW!K$4/28</f>
        <v>0</v>
      </c>
      <c r="CX52" s="16">
        <f t="shared" si="26"/>
        <v>-1031.4835164835158</v>
      </c>
      <c r="CY52" s="16">
        <f t="shared" si="27"/>
        <v>1000</v>
      </c>
      <c r="CZ52" s="16">
        <f t="shared" si="28"/>
        <v>0</v>
      </c>
      <c r="DA52" s="16">
        <f t="shared" si="29"/>
        <v>0</v>
      </c>
      <c r="DB52" s="16">
        <f t="shared" si="30"/>
        <v>0</v>
      </c>
      <c r="DC52" s="16">
        <f t="shared" si="31"/>
        <v>-642.85714285713743</v>
      </c>
      <c r="DD52" s="16">
        <f t="shared" si="32"/>
        <v>1000</v>
      </c>
      <c r="DE52" s="16">
        <f t="shared" si="33"/>
        <v>0</v>
      </c>
      <c r="DF52" s="16">
        <f t="shared" si="34"/>
        <v>0</v>
      </c>
      <c r="DG52" s="16">
        <f t="shared" si="35"/>
        <v>0</v>
      </c>
      <c r="DH52" s="14">
        <f>IF([1]Sheet2!DS51=999999,"NA",[1]Sheet2!DS51)</f>
        <v>0</v>
      </c>
      <c r="DI52" s="14">
        <f>IF([1]Sheet2!DT51=999999,"NA",[1]Sheet2!DT51)</f>
        <v>316</v>
      </c>
      <c r="DJ52" s="14" t="str">
        <f>IF([1]Sheet2!DU51=999999,"NA",[1]Sheet2!DU51)</f>
        <v>NA</v>
      </c>
      <c r="DK52" s="14" t="str">
        <f>IF([1]Sheet2!DV51=999999,"NA",[1]Sheet2!DV51)</f>
        <v>NA</v>
      </c>
      <c r="DL52" s="14" t="str">
        <f>IF([1]Sheet2!DW51=999999,"NA",[1]Sheet2!DW51)</f>
        <v>NA</v>
      </c>
      <c r="DM52" s="14">
        <f>IF([1]Sheet2!DX51=999999,"NA",[1]Sheet2!DX51)</f>
        <v>0</v>
      </c>
      <c r="DN52" s="14">
        <f>IF([1]Sheet2!DY51=999999,"NA",[1]Sheet2!DY51)</f>
        <v>316</v>
      </c>
      <c r="DO52" s="14" t="str">
        <f>IF([1]Sheet2!DZ51=999999,"NA",[1]Sheet2!DZ51)</f>
        <v>NA</v>
      </c>
      <c r="DP52" s="14" t="str">
        <f>IF([1]Sheet2!EA51=999999,"NA",[1]Sheet2!EA51)</f>
        <v>NA</v>
      </c>
      <c r="DQ52" s="14" t="str">
        <f>IF([1]Sheet2!EB51=999999,"NA",[1]Sheet2!EB51)</f>
        <v>NA</v>
      </c>
      <c r="DR52" s="14">
        <f>[1]Sheet2!CY51</f>
        <v>0</v>
      </c>
      <c r="DS52" s="14">
        <f>[1]Sheet2!CZ51</f>
        <v>0</v>
      </c>
      <c r="DT52" s="14">
        <f>[1]Sheet2!DA51</f>
        <v>0</v>
      </c>
      <c r="DU52" s="14">
        <f>[1]Sheet2!DB51</f>
        <v>0</v>
      </c>
      <c r="DV52" s="14">
        <f>[1]Sheet2!DC51</f>
        <v>0</v>
      </c>
      <c r="DW52" s="14">
        <f>[1]Sheet2!DD51</f>
        <v>0</v>
      </c>
      <c r="DX52" s="14">
        <f>[1]Sheet2!DE51</f>
        <v>0</v>
      </c>
      <c r="DY52" s="14">
        <f>[1]Sheet2!DF51</f>
        <v>0</v>
      </c>
      <c r="DZ52" s="14">
        <f>[1]Sheet2!DG51</f>
        <v>0</v>
      </c>
      <c r="EA52" s="14">
        <f>[1]Sheet2!DH51</f>
        <v>0</v>
      </c>
      <c r="EB52" s="6">
        <f>[1]Sheet2!EC51</f>
        <v>0</v>
      </c>
      <c r="EC52" s="6">
        <f>[1]Sheet2!ED51</f>
        <v>0</v>
      </c>
      <c r="ED52" s="6">
        <f>[1]Sheet2!EE51</f>
        <v>0</v>
      </c>
      <c r="EE52" s="6">
        <f>[1]Sheet2!EF51</f>
        <v>0</v>
      </c>
      <c r="EF52" s="6">
        <f>[1]Sheet2!EG51</f>
        <v>0</v>
      </c>
      <c r="EG52" s="6">
        <f>[1]Sheet2!EH51</f>
        <v>0</v>
      </c>
      <c r="EH52" s="6">
        <f>[1]Sheet2!EI51</f>
        <v>0</v>
      </c>
      <c r="EI52" s="6">
        <f>[1]Sheet2!EJ51</f>
        <v>0</v>
      </c>
      <c r="EJ52" s="6">
        <f>[1]Sheet2!EK51</f>
        <v>0</v>
      </c>
      <c r="EK52" s="6">
        <f>[1]Sheet2!EL51</f>
        <v>0</v>
      </c>
      <c r="EL52" s="6" t="str">
        <f>[1]Sheet2!EM51</f>
        <v/>
      </c>
      <c r="EM52" s="6" t="str">
        <f>[1]Sheet2!EN51</f>
        <v/>
      </c>
      <c r="EN52" s="6" t="str">
        <f>[1]Sheet2!EO51</f>
        <v/>
      </c>
      <c r="EO52" s="6" t="str">
        <f>[1]Sheet2!EP51</f>
        <v/>
      </c>
      <c r="EP52" s="6" t="str">
        <f>[1]Sheet2!EQ51</f>
        <v/>
      </c>
      <c r="EQ52" s="6" t="str">
        <f>[1]Sheet2!ER51</f>
        <v/>
      </c>
      <c r="ER52" s="6" t="str">
        <f>[1]Sheet2!ES51</f>
        <v/>
      </c>
      <c r="ES52" s="6" t="str">
        <f>[1]Sheet2!ET51</f>
        <v/>
      </c>
      <c r="ET52" s="6" t="str">
        <f>[1]Sheet2!EU51</f>
        <v/>
      </c>
      <c r="EU52" s="6" t="str">
        <f>[1]Sheet2!EV51</f>
        <v/>
      </c>
      <c r="EV52" s="6" t="str">
        <f>[1]Sheet2!EW51</f>
        <v/>
      </c>
      <c r="EW52" s="6" t="str">
        <f>[1]Sheet2!EX51</f>
        <v/>
      </c>
      <c r="EX52" s="6" t="str">
        <f>[1]Sheet2!EY51</f>
        <v/>
      </c>
      <c r="EY52" s="6" t="str">
        <f>[1]Sheet2!EZ51</f>
        <v/>
      </c>
      <c r="EZ52" s="6" t="str">
        <f>[1]Sheet2!FA51</f>
        <v/>
      </c>
      <c r="FA52" s="6" t="str">
        <f>[1]Sheet2!FB51</f>
        <v/>
      </c>
      <c r="FB52" s="6" t="str">
        <f>[1]Sheet2!FC51</f>
        <v/>
      </c>
      <c r="FC52" s="6" t="str">
        <f>[1]Sheet2!FD51</f>
        <v/>
      </c>
      <c r="FD52" s="6" t="str">
        <f>[1]Sheet2!FE51</f>
        <v/>
      </c>
      <c r="FE52" s="6" t="str">
        <f>[1]Sheet2!FF51</f>
        <v/>
      </c>
      <c r="FF52" s="6" t="str">
        <f>[1]Sheet2!FG51</f>
        <v/>
      </c>
      <c r="FG52" s="6" t="str">
        <f>[1]Sheet2!FH51</f>
        <v/>
      </c>
      <c r="FH52" s="6" t="str">
        <f>[1]Sheet2!FI51</f>
        <v/>
      </c>
      <c r="FI52" s="6" t="str">
        <f>[1]Sheet2!FJ51</f>
        <v/>
      </c>
      <c r="FJ52" s="6" t="str">
        <f>[1]Sheet2!FK51</f>
        <v/>
      </c>
      <c r="FK52" s="6" t="str">
        <f>[1]Sheet2!FL51</f>
        <v/>
      </c>
      <c r="FL52" s="6" t="str">
        <f>[1]Sheet2!FM51</f>
        <v/>
      </c>
      <c r="FM52" s="6" t="str">
        <f>[1]Sheet2!FN51</f>
        <v/>
      </c>
      <c r="FN52" s="6" t="str">
        <f>[1]Sheet2!FO51</f>
        <v/>
      </c>
      <c r="FO52" s="6" t="str">
        <f>[1]Sheet2!FP51</f>
        <v/>
      </c>
    </row>
    <row r="53" spans="1:171" x14ac:dyDescent="0.25">
      <c r="A53" s="15">
        <v>43515</v>
      </c>
      <c r="B53" s="1"/>
      <c r="C53" s="1"/>
      <c r="D53" s="1"/>
      <c r="E53" s="14">
        <f>[1]Sheet2!N52</f>
        <v>0</v>
      </c>
      <c r="F53" s="14">
        <f>[1]Sheet2!BE52</f>
        <v>0</v>
      </c>
      <c r="G53" s="14">
        <f>[1]Sheet2!CW52</f>
        <v>0</v>
      </c>
      <c r="H53" s="1"/>
      <c r="I53" s="1"/>
      <c r="J53" s="1"/>
      <c r="K53" s="16"/>
      <c r="L53" s="16">
        <f>Demand_CWRS!B$4/28</f>
        <v>131.68146963713369</v>
      </c>
      <c r="M53" s="16">
        <f>Demand_CWRS!C$4/28</f>
        <v>501.27216117216119</v>
      </c>
      <c r="N53" s="16">
        <f>Demand_CWRS!D$4/28</f>
        <v>0</v>
      </c>
      <c r="O53" s="16">
        <f>Demand_CWRS!E$4/28</f>
        <v>130.17472527472526</v>
      </c>
      <c r="P53" s="16">
        <f>Demand_CWRS!F$4/28</f>
        <v>262.94741300366297</v>
      </c>
      <c r="Q53" s="16">
        <f>Demand_CWRS!G$4/28</f>
        <v>127.85714285714286</v>
      </c>
      <c r="R53" s="16">
        <f>Demand_CWRS!H$4/28</f>
        <v>207.14285714285714</v>
      </c>
      <c r="S53" s="16">
        <f>Demand_CWRS!I$4/28</f>
        <v>214.28571428571428</v>
      </c>
      <c r="T53" s="16">
        <f>Demand_CWRS!J$4/28</f>
        <v>207.14285714285714</v>
      </c>
      <c r="U53" s="16">
        <f>Demand_CWRS!K$4/28</f>
        <v>221.42857142857142</v>
      </c>
      <c r="V53" s="16">
        <f t="shared" si="6"/>
        <v>-5211.810583361952</v>
      </c>
      <c r="W53" s="16">
        <f t="shared" si="7"/>
        <v>-12017.181318681316</v>
      </c>
      <c r="X53" s="16">
        <f t="shared" si="8"/>
        <v>0</v>
      </c>
      <c r="Y53" s="16">
        <f t="shared" si="9"/>
        <v>3461.6481684981782</v>
      </c>
      <c r="Z53" s="16">
        <f t="shared" si="10"/>
        <v>-6145.4398695054942</v>
      </c>
      <c r="AA53" s="16">
        <f t="shared" si="11"/>
        <v>-4029.2857142857142</v>
      </c>
      <c r="AB53" s="16">
        <f t="shared" si="12"/>
        <v>-11128.724542124539</v>
      </c>
      <c r="AC53" s="16">
        <f t="shared" si="13"/>
        <v>-5271.4285714285725</v>
      </c>
      <c r="AD53" s="16">
        <f t="shared" si="14"/>
        <v>-5435.7142857142862</v>
      </c>
      <c r="AE53" s="16">
        <f t="shared" si="15"/>
        <v>-5907.1428571428569</v>
      </c>
      <c r="AF53" s="14">
        <f>IF([1]Sheet2!AJ52=999999,"NA",[1]Sheet2!AJ52)</f>
        <v>0</v>
      </c>
      <c r="AG53" s="14">
        <f>IF([1]Sheet2!AK52=999999,"NA",[1]Sheet2!AK52)</f>
        <v>0</v>
      </c>
      <c r="AH53" s="14" t="str">
        <f>IF([1]Sheet2!AL52=999999,"NA",[1]Sheet2!AL52)</f>
        <v>NA</v>
      </c>
      <c r="AI53" s="14">
        <f>IF([1]Sheet2!AM52=999999,"NA",[1]Sheet2!AM52)</f>
        <v>27</v>
      </c>
      <c r="AJ53" s="14">
        <f>IF([1]Sheet2!AN52=999999,"NA",[1]Sheet2!AN52)</f>
        <v>0</v>
      </c>
      <c r="AK53" s="14">
        <f>IF([1]Sheet2!AO52=999999,"NA",[1]Sheet2!AO52)</f>
        <v>0</v>
      </c>
      <c r="AL53" s="14">
        <f>IF([1]Sheet2!AP52=999999,"NA",[1]Sheet2!AP52)</f>
        <v>0</v>
      </c>
      <c r="AM53" s="14">
        <f>IF([1]Sheet2!AQ52=999999,"NA",[1]Sheet2!AQ52)</f>
        <v>0</v>
      </c>
      <c r="AN53" s="14">
        <f>IF([1]Sheet2!AR52=999999,"NA",[1]Sheet2!AR52)</f>
        <v>0</v>
      </c>
      <c r="AO53" s="14">
        <f>IF([1]Sheet2!AS52=999999,"NA",[1]Sheet2!AS52)</f>
        <v>0</v>
      </c>
      <c r="AP53" s="14">
        <f>[1]Sheet2!P52</f>
        <v>0</v>
      </c>
      <c r="AQ53" s="14">
        <f>[1]Sheet2!Q52</f>
        <v>0</v>
      </c>
      <c r="AR53" s="14">
        <f>[1]Sheet2!R52</f>
        <v>0</v>
      </c>
      <c r="AS53" s="14">
        <f>[1]Sheet2!S52</f>
        <v>0</v>
      </c>
      <c r="AT53" s="14">
        <f>[1]Sheet2!T52</f>
        <v>0</v>
      </c>
      <c r="AU53" s="14">
        <f>[1]Sheet2!U52</f>
        <v>0</v>
      </c>
      <c r="AV53" s="14">
        <f>[1]Sheet2!V52</f>
        <v>0</v>
      </c>
      <c r="AW53" s="14">
        <f>[1]Sheet2!W52</f>
        <v>0</v>
      </c>
      <c r="AX53" s="14">
        <f>[1]Sheet2!X52</f>
        <v>0</v>
      </c>
      <c r="AY53" s="14">
        <f>[1]Sheet2!Y52</f>
        <v>0</v>
      </c>
      <c r="AZ53" s="16">
        <f>Demand_LP!B$4/28</f>
        <v>811.09813487293957</v>
      </c>
      <c r="BA53" s="16">
        <f>Demand_LP!C$4/28</f>
        <v>502.83223443223443</v>
      </c>
      <c r="BB53" s="16">
        <f>Demand_LP!D$4/28</f>
        <v>282.53663003663002</v>
      </c>
      <c r="BC53" s="16">
        <f>Demand_LP!E$4/28</f>
        <v>759.73919413919407</v>
      </c>
      <c r="BD53" s="16">
        <f>Demand_LP!F$4/28</f>
        <v>495.28213999542123</v>
      </c>
      <c r="BE53" s="16">
        <f>Demand_LP!G$4/28</f>
        <v>496.42857142857144</v>
      </c>
      <c r="BF53" s="16">
        <f>Demand_LP!H$4/28</f>
        <v>535.71428571428567</v>
      </c>
      <c r="BG53" s="16">
        <f>Demand_LP!I$4/28</f>
        <v>496.42857142857144</v>
      </c>
      <c r="BH53" s="16">
        <f>Demand_LP!J$4/28</f>
        <v>482.14285714285717</v>
      </c>
      <c r="BI53" s="16">
        <f>Demand_LP!K$4/28</f>
        <v>471.42857142857144</v>
      </c>
      <c r="BJ53" s="16">
        <f t="shared" si="16"/>
        <v>-21003.918008098677</v>
      </c>
      <c r="BK53" s="16">
        <f t="shared" si="17"/>
        <v>-24116.930402930378</v>
      </c>
      <c r="BL53" s="16">
        <f t="shared" si="18"/>
        <v>-2535.6959706959715</v>
      </c>
      <c r="BM53" s="16">
        <f t="shared" si="19"/>
        <v>-26027.769047619051</v>
      </c>
      <c r="BN53" s="16">
        <f t="shared" si="20"/>
        <v>-14360.759778502739</v>
      </c>
      <c r="BO53" s="16">
        <f t="shared" si="21"/>
        <v>-13432.142857142853</v>
      </c>
      <c r="BP53" s="16">
        <f t="shared" si="22"/>
        <v>-18178.571428571435</v>
      </c>
      <c r="BQ53" s="16">
        <f t="shared" si="23"/>
        <v>-13432.142857142853</v>
      </c>
      <c r="BR53" s="16">
        <f t="shared" si="24"/>
        <v>-11160.714285714284</v>
      </c>
      <c r="BS53" s="16">
        <f t="shared" si="25"/>
        <v>-11957.142857142853</v>
      </c>
      <c r="BT53" s="14">
        <f>IF([1]Sheet2!CB52=999999,"NA",[1]Sheet2!CB52)</f>
        <v>0</v>
      </c>
      <c r="BU53" s="14">
        <f>IF([1]Sheet2!CC52=999999,"NA",[1]Sheet2!CC52)</f>
        <v>0</v>
      </c>
      <c r="BV53" s="14">
        <f>IF([1]Sheet2!CD52=999999,"NA",[1]Sheet2!CD52)</f>
        <v>0</v>
      </c>
      <c r="BW53" s="14">
        <f>IF([1]Sheet2!CE52=999999,"NA",[1]Sheet2!CE52)</f>
        <v>0</v>
      </c>
      <c r="BX53" s="14">
        <f>IF([1]Sheet2!CF52=999999,"NA",[1]Sheet2!CF52)</f>
        <v>0</v>
      </c>
      <c r="BY53" s="14">
        <f>IF([1]Sheet2!CG52=999999,"NA",[1]Sheet2!CG52)</f>
        <v>0</v>
      </c>
      <c r="BZ53" s="14">
        <f>IF([1]Sheet2!CH52=999999,"NA",[1]Sheet2!CH52)</f>
        <v>0</v>
      </c>
      <c r="CA53" s="14">
        <f>IF([1]Sheet2!CI52=999999,"NA",[1]Sheet2!CI52)</f>
        <v>0</v>
      </c>
      <c r="CB53" s="14">
        <f>IF([1]Sheet2!CJ52=999999,"NA",[1]Sheet2!CJ52)</f>
        <v>0</v>
      </c>
      <c r="CC53" s="14">
        <f>IF([1]Sheet2!CK52=999999,"NA",[1]Sheet2!CK52)</f>
        <v>0</v>
      </c>
      <c r="CD53" s="14">
        <f>[1]Sheet2!BH52</f>
        <v>0</v>
      </c>
      <c r="CE53" s="14">
        <f>[1]Sheet2!BI52</f>
        <v>0</v>
      </c>
      <c r="CF53" s="14">
        <f>[1]Sheet2!BJ52</f>
        <v>0</v>
      </c>
      <c r="CG53" s="14">
        <f>[1]Sheet2!BK52</f>
        <v>0</v>
      </c>
      <c r="CH53" s="14">
        <f>[1]Sheet2!BL52</f>
        <v>0</v>
      </c>
      <c r="CI53" s="14">
        <f>[1]Sheet2!BM52</f>
        <v>0</v>
      </c>
      <c r="CJ53" s="14">
        <f>[1]Sheet2!BN52</f>
        <v>0</v>
      </c>
      <c r="CK53" s="14">
        <f>[1]Sheet2!BO52</f>
        <v>0</v>
      </c>
      <c r="CL53" s="14">
        <f>[1]Sheet2!BP52</f>
        <v>0</v>
      </c>
      <c r="CM53" s="14">
        <f>[1]Sheet2!BQ52</f>
        <v>0</v>
      </c>
      <c r="CN53" s="16">
        <f>Demand_SW!B$4/28</f>
        <v>94.69780219780219</v>
      </c>
      <c r="CO53" s="16">
        <f>Demand_SW!C$4/28</f>
        <v>0</v>
      </c>
      <c r="CP53" s="16">
        <f>Demand_SW!D$4/28</f>
        <v>0</v>
      </c>
      <c r="CQ53" s="16">
        <f>Demand_SW!E$4/28</f>
        <v>0</v>
      </c>
      <c r="CR53" s="16">
        <f>Demand_SW!F$4/28</f>
        <v>0</v>
      </c>
      <c r="CS53" s="16">
        <f>Demand_SW!G$4/28</f>
        <v>85.714285714285708</v>
      </c>
      <c r="CT53" s="16">
        <f>Demand_SW!H$4/28</f>
        <v>0</v>
      </c>
      <c r="CU53" s="16">
        <f>Demand_SW!I$4/28</f>
        <v>0</v>
      </c>
      <c r="CV53" s="16">
        <f>Demand_SW!J$4/28</f>
        <v>0</v>
      </c>
      <c r="CW53" s="16">
        <f>Demand_SW!K$4/28</f>
        <v>0</v>
      </c>
      <c r="CX53" s="16">
        <f t="shared" si="26"/>
        <v>-1126.1813186813181</v>
      </c>
      <c r="CY53" s="16">
        <f t="shared" si="27"/>
        <v>1000</v>
      </c>
      <c r="CZ53" s="16">
        <f t="shared" si="28"/>
        <v>0</v>
      </c>
      <c r="DA53" s="16">
        <f t="shared" si="29"/>
        <v>0</v>
      </c>
      <c r="DB53" s="16">
        <f t="shared" si="30"/>
        <v>0</v>
      </c>
      <c r="DC53" s="16">
        <f t="shared" si="31"/>
        <v>-728.5714285714231</v>
      </c>
      <c r="DD53" s="16">
        <f t="shared" si="32"/>
        <v>1000</v>
      </c>
      <c r="DE53" s="16">
        <f t="shared" si="33"/>
        <v>0</v>
      </c>
      <c r="DF53" s="16">
        <f t="shared" si="34"/>
        <v>0</v>
      </c>
      <c r="DG53" s="16">
        <f t="shared" si="35"/>
        <v>0</v>
      </c>
      <c r="DH53" s="14">
        <f>IF([1]Sheet2!DS52=999999,"NA",[1]Sheet2!DS52)</f>
        <v>0</v>
      </c>
      <c r="DI53" s="14">
        <f>IF([1]Sheet2!DT52=999999,"NA",[1]Sheet2!DT52)</f>
        <v>315</v>
      </c>
      <c r="DJ53" s="14" t="str">
        <f>IF([1]Sheet2!DU52=999999,"NA",[1]Sheet2!DU52)</f>
        <v>NA</v>
      </c>
      <c r="DK53" s="14" t="str">
        <f>IF([1]Sheet2!DV52=999999,"NA",[1]Sheet2!DV52)</f>
        <v>NA</v>
      </c>
      <c r="DL53" s="14" t="str">
        <f>IF([1]Sheet2!DW52=999999,"NA",[1]Sheet2!DW52)</f>
        <v>NA</v>
      </c>
      <c r="DM53" s="14">
        <f>IF([1]Sheet2!DX52=999999,"NA",[1]Sheet2!DX52)</f>
        <v>0</v>
      </c>
      <c r="DN53" s="14">
        <f>IF([1]Sheet2!DY52=999999,"NA",[1]Sheet2!DY52)</f>
        <v>315</v>
      </c>
      <c r="DO53" s="14" t="str">
        <f>IF([1]Sheet2!DZ52=999999,"NA",[1]Sheet2!DZ52)</f>
        <v>NA</v>
      </c>
      <c r="DP53" s="14" t="str">
        <f>IF([1]Sheet2!EA52=999999,"NA",[1]Sheet2!EA52)</f>
        <v>NA</v>
      </c>
      <c r="DQ53" s="14" t="str">
        <f>IF([1]Sheet2!EB52=999999,"NA",[1]Sheet2!EB52)</f>
        <v>NA</v>
      </c>
      <c r="DR53" s="14">
        <f>[1]Sheet2!CY52</f>
        <v>0</v>
      </c>
      <c r="DS53" s="14">
        <f>[1]Sheet2!CZ52</f>
        <v>0</v>
      </c>
      <c r="DT53" s="14">
        <f>[1]Sheet2!DA52</f>
        <v>0</v>
      </c>
      <c r="DU53" s="14">
        <f>[1]Sheet2!DB52</f>
        <v>0</v>
      </c>
      <c r="DV53" s="14">
        <f>[1]Sheet2!DC52</f>
        <v>0</v>
      </c>
      <c r="DW53" s="14">
        <f>[1]Sheet2!DD52</f>
        <v>0</v>
      </c>
      <c r="DX53" s="14">
        <f>[1]Sheet2!DE52</f>
        <v>0</v>
      </c>
      <c r="DY53" s="14">
        <f>[1]Sheet2!DF52</f>
        <v>0</v>
      </c>
      <c r="DZ53" s="14">
        <f>[1]Sheet2!DG52</f>
        <v>0</v>
      </c>
      <c r="EA53" s="14">
        <f>[1]Sheet2!DH52</f>
        <v>0</v>
      </c>
      <c r="EB53" s="6">
        <f>[1]Sheet2!EC52</f>
        <v>0</v>
      </c>
      <c r="EC53" s="6">
        <f>[1]Sheet2!ED52</f>
        <v>0</v>
      </c>
      <c r="ED53" s="6">
        <f>[1]Sheet2!EE52</f>
        <v>0</v>
      </c>
      <c r="EE53" s="6">
        <f>[1]Sheet2!EF52</f>
        <v>0</v>
      </c>
      <c r="EF53" s="6">
        <f>[1]Sheet2!EG52</f>
        <v>0</v>
      </c>
      <c r="EG53" s="6">
        <f>[1]Sheet2!EH52</f>
        <v>0</v>
      </c>
      <c r="EH53" s="6">
        <f>[1]Sheet2!EI52</f>
        <v>0</v>
      </c>
      <c r="EI53" s="6">
        <f>[1]Sheet2!EJ52</f>
        <v>0</v>
      </c>
      <c r="EJ53" s="6">
        <f>[1]Sheet2!EK52</f>
        <v>0</v>
      </c>
      <c r="EK53" s="6">
        <f>[1]Sheet2!EL52</f>
        <v>0</v>
      </c>
      <c r="EL53" s="6" t="str">
        <f>[1]Sheet2!EM52</f>
        <v/>
      </c>
      <c r="EM53" s="6" t="str">
        <f>[1]Sheet2!EN52</f>
        <v/>
      </c>
      <c r="EN53" s="6" t="str">
        <f>[1]Sheet2!EO52</f>
        <v/>
      </c>
      <c r="EO53" s="6" t="str">
        <f>[1]Sheet2!EP52</f>
        <v/>
      </c>
      <c r="EP53" s="6" t="str">
        <f>[1]Sheet2!EQ52</f>
        <v/>
      </c>
      <c r="EQ53" s="6" t="str">
        <f>[1]Sheet2!ER52</f>
        <v/>
      </c>
      <c r="ER53" s="6" t="str">
        <f>[1]Sheet2!ES52</f>
        <v/>
      </c>
      <c r="ES53" s="6" t="str">
        <f>[1]Sheet2!ET52</f>
        <v/>
      </c>
      <c r="ET53" s="6" t="str">
        <f>[1]Sheet2!EU52</f>
        <v/>
      </c>
      <c r="EU53" s="6" t="str">
        <f>[1]Sheet2!EV52</f>
        <v/>
      </c>
      <c r="EV53" s="6" t="str">
        <f>[1]Sheet2!EW52</f>
        <v/>
      </c>
      <c r="EW53" s="6" t="str">
        <f>[1]Sheet2!EX52</f>
        <v/>
      </c>
      <c r="EX53" s="6" t="str">
        <f>[1]Sheet2!EY52</f>
        <v/>
      </c>
      <c r="EY53" s="6" t="str">
        <f>[1]Sheet2!EZ52</f>
        <v/>
      </c>
      <c r="EZ53" s="6" t="str">
        <f>[1]Sheet2!FA52</f>
        <v/>
      </c>
      <c r="FA53" s="6" t="str">
        <f>[1]Sheet2!FB52</f>
        <v/>
      </c>
      <c r="FB53" s="6" t="str">
        <f>[1]Sheet2!FC52</f>
        <v/>
      </c>
      <c r="FC53" s="6" t="str">
        <f>[1]Sheet2!FD52</f>
        <v/>
      </c>
      <c r="FD53" s="6" t="str">
        <f>[1]Sheet2!FE52</f>
        <v/>
      </c>
      <c r="FE53" s="6" t="str">
        <f>[1]Sheet2!FF52</f>
        <v/>
      </c>
      <c r="FF53" s="6" t="str">
        <f>[1]Sheet2!FG52</f>
        <v/>
      </c>
      <c r="FG53" s="6" t="str">
        <f>[1]Sheet2!FH52</f>
        <v/>
      </c>
      <c r="FH53" s="6" t="str">
        <f>[1]Sheet2!FI52</f>
        <v/>
      </c>
      <c r="FI53" s="6" t="str">
        <f>[1]Sheet2!FJ52</f>
        <v/>
      </c>
      <c r="FJ53" s="6" t="str">
        <f>[1]Sheet2!FK52</f>
        <v/>
      </c>
      <c r="FK53" s="6" t="str">
        <f>[1]Sheet2!FL52</f>
        <v/>
      </c>
      <c r="FL53" s="6" t="str">
        <f>[1]Sheet2!FM52</f>
        <v/>
      </c>
      <c r="FM53" s="6" t="str">
        <f>[1]Sheet2!FN52</f>
        <v/>
      </c>
      <c r="FN53" s="6" t="str">
        <f>[1]Sheet2!FO52</f>
        <v/>
      </c>
      <c r="FO53" s="6" t="str">
        <f>[1]Sheet2!FP52</f>
        <v/>
      </c>
    </row>
    <row r="54" spans="1:171" x14ac:dyDescent="0.25">
      <c r="A54" s="15">
        <v>43516</v>
      </c>
      <c r="B54" s="1"/>
      <c r="C54" s="1"/>
      <c r="D54" s="1"/>
      <c r="E54" s="14">
        <f>[1]Sheet2!N53</f>
        <v>0</v>
      </c>
      <c r="F54" s="14">
        <f>[1]Sheet2!BE53</f>
        <v>0</v>
      </c>
      <c r="G54" s="14">
        <f>[1]Sheet2!CW53</f>
        <v>0</v>
      </c>
      <c r="H54" s="1"/>
      <c r="I54" s="1"/>
      <c r="J54" s="1"/>
      <c r="K54" s="16"/>
      <c r="L54" s="16">
        <f>Demand_CWRS!B$4/28</f>
        <v>131.68146963713369</v>
      </c>
      <c r="M54" s="16">
        <f>Demand_CWRS!C$4/28</f>
        <v>501.27216117216119</v>
      </c>
      <c r="N54" s="16">
        <f>Demand_CWRS!D$4/28</f>
        <v>0</v>
      </c>
      <c r="O54" s="16">
        <f>Demand_CWRS!E$4/28</f>
        <v>130.17472527472526</v>
      </c>
      <c r="P54" s="16">
        <f>Demand_CWRS!F$4/28</f>
        <v>262.94741300366297</v>
      </c>
      <c r="Q54" s="16">
        <f>Demand_CWRS!G$4/28</f>
        <v>127.85714285714286</v>
      </c>
      <c r="R54" s="16">
        <f>Demand_CWRS!H$4/28</f>
        <v>207.14285714285714</v>
      </c>
      <c r="S54" s="16">
        <f>Demand_CWRS!I$4/28</f>
        <v>214.28571428571428</v>
      </c>
      <c r="T54" s="16">
        <f>Demand_CWRS!J$4/28</f>
        <v>207.14285714285714</v>
      </c>
      <c r="U54" s="16">
        <f>Demand_CWRS!K$4/28</f>
        <v>221.42857142857142</v>
      </c>
      <c r="V54" s="16">
        <f t="shared" si="6"/>
        <v>-5343.4920529990859</v>
      </c>
      <c r="W54" s="16">
        <f t="shared" si="7"/>
        <v>-12518.453479853477</v>
      </c>
      <c r="X54" s="16">
        <f t="shared" si="8"/>
        <v>0</v>
      </c>
      <c r="Y54" s="16">
        <f t="shared" si="9"/>
        <v>3331.4734432234527</v>
      </c>
      <c r="Z54" s="16">
        <f t="shared" si="10"/>
        <v>-6408.3872825091576</v>
      </c>
      <c r="AA54" s="16">
        <f t="shared" si="11"/>
        <v>-4157.1428571428569</v>
      </c>
      <c r="AB54" s="16">
        <f t="shared" si="12"/>
        <v>-11335.867399267396</v>
      </c>
      <c r="AC54" s="16">
        <f t="shared" si="13"/>
        <v>-5485.7142857142871</v>
      </c>
      <c r="AD54" s="16">
        <f t="shared" si="14"/>
        <v>-5642.8571428571431</v>
      </c>
      <c r="AE54" s="16">
        <f t="shared" si="15"/>
        <v>-6128.5714285714284</v>
      </c>
      <c r="AF54" s="14">
        <f>IF([1]Sheet2!AJ53=999999,"NA",[1]Sheet2!AJ53)</f>
        <v>0</v>
      </c>
      <c r="AG54" s="14">
        <f>IF([1]Sheet2!AK53=999999,"NA",[1]Sheet2!AK53)</f>
        <v>0</v>
      </c>
      <c r="AH54" s="14" t="str">
        <f>IF([1]Sheet2!AL53=999999,"NA",[1]Sheet2!AL53)</f>
        <v>NA</v>
      </c>
      <c r="AI54" s="14">
        <f>IF([1]Sheet2!AM53=999999,"NA",[1]Sheet2!AM53)</f>
        <v>26</v>
      </c>
      <c r="AJ54" s="14">
        <f>IF([1]Sheet2!AN53=999999,"NA",[1]Sheet2!AN53)</f>
        <v>0</v>
      </c>
      <c r="AK54" s="14">
        <f>IF([1]Sheet2!AO53=999999,"NA",[1]Sheet2!AO53)</f>
        <v>0</v>
      </c>
      <c r="AL54" s="14">
        <f>IF([1]Sheet2!AP53=999999,"NA",[1]Sheet2!AP53)</f>
        <v>0</v>
      </c>
      <c r="AM54" s="14">
        <f>IF([1]Sheet2!AQ53=999999,"NA",[1]Sheet2!AQ53)</f>
        <v>0</v>
      </c>
      <c r="AN54" s="14">
        <f>IF([1]Sheet2!AR53=999999,"NA",[1]Sheet2!AR53)</f>
        <v>0</v>
      </c>
      <c r="AO54" s="14">
        <f>IF([1]Sheet2!AS53=999999,"NA",[1]Sheet2!AS53)</f>
        <v>0</v>
      </c>
      <c r="AP54" s="14">
        <f>[1]Sheet2!P53</f>
        <v>0</v>
      </c>
      <c r="AQ54" s="14">
        <f>[1]Sheet2!Q53</f>
        <v>0</v>
      </c>
      <c r="AR54" s="14">
        <f>[1]Sheet2!R53</f>
        <v>0</v>
      </c>
      <c r="AS54" s="14">
        <f>[1]Sheet2!S53</f>
        <v>0</v>
      </c>
      <c r="AT54" s="14">
        <f>[1]Sheet2!T53</f>
        <v>0</v>
      </c>
      <c r="AU54" s="14">
        <f>[1]Sheet2!U53</f>
        <v>0</v>
      </c>
      <c r="AV54" s="14">
        <f>[1]Sheet2!V53</f>
        <v>0</v>
      </c>
      <c r="AW54" s="14">
        <f>[1]Sheet2!W53</f>
        <v>0</v>
      </c>
      <c r="AX54" s="14">
        <f>[1]Sheet2!X53</f>
        <v>0</v>
      </c>
      <c r="AY54" s="14">
        <f>[1]Sheet2!Y53</f>
        <v>0</v>
      </c>
      <c r="AZ54" s="16">
        <f>Demand_LP!B$4/28</f>
        <v>811.09813487293957</v>
      </c>
      <c r="BA54" s="16">
        <f>Demand_LP!C$4/28</f>
        <v>502.83223443223443</v>
      </c>
      <c r="BB54" s="16">
        <f>Demand_LP!D$4/28</f>
        <v>282.53663003663002</v>
      </c>
      <c r="BC54" s="16">
        <f>Demand_LP!E$4/28</f>
        <v>759.73919413919407</v>
      </c>
      <c r="BD54" s="16">
        <f>Demand_LP!F$4/28</f>
        <v>495.28213999542123</v>
      </c>
      <c r="BE54" s="16">
        <f>Demand_LP!G$4/28</f>
        <v>496.42857142857144</v>
      </c>
      <c r="BF54" s="16">
        <f>Demand_LP!H$4/28</f>
        <v>535.71428571428567</v>
      </c>
      <c r="BG54" s="16">
        <f>Demand_LP!I$4/28</f>
        <v>496.42857142857144</v>
      </c>
      <c r="BH54" s="16">
        <f>Demand_LP!J$4/28</f>
        <v>482.14285714285717</v>
      </c>
      <c r="BI54" s="16">
        <f>Demand_LP!K$4/28</f>
        <v>471.42857142857144</v>
      </c>
      <c r="BJ54" s="16">
        <f t="shared" si="16"/>
        <v>-21815.016142971617</v>
      </c>
      <c r="BK54" s="16">
        <f t="shared" si="17"/>
        <v>-24619.762637362612</v>
      </c>
      <c r="BL54" s="16">
        <f t="shared" si="18"/>
        <v>-2818.2326007326014</v>
      </c>
      <c r="BM54" s="16">
        <f t="shared" si="19"/>
        <v>-26787.508241758245</v>
      </c>
      <c r="BN54" s="16">
        <f t="shared" si="20"/>
        <v>-14856.04191849816</v>
      </c>
      <c r="BO54" s="16">
        <f t="shared" si="21"/>
        <v>-13928.571428571424</v>
      </c>
      <c r="BP54" s="16">
        <f t="shared" si="22"/>
        <v>-18714.285714285721</v>
      </c>
      <c r="BQ54" s="16">
        <f t="shared" si="23"/>
        <v>-13928.571428571424</v>
      </c>
      <c r="BR54" s="16">
        <f t="shared" si="24"/>
        <v>-11642.857142857141</v>
      </c>
      <c r="BS54" s="16">
        <f t="shared" si="25"/>
        <v>-12428.571428571424</v>
      </c>
      <c r="BT54" s="14">
        <f>IF([1]Sheet2!CB53=999999,"NA",[1]Sheet2!CB53)</f>
        <v>0</v>
      </c>
      <c r="BU54" s="14">
        <f>IF([1]Sheet2!CC53=999999,"NA",[1]Sheet2!CC53)</f>
        <v>0</v>
      </c>
      <c r="BV54" s="14">
        <f>IF([1]Sheet2!CD53=999999,"NA",[1]Sheet2!CD53)</f>
        <v>0</v>
      </c>
      <c r="BW54" s="14">
        <f>IF([1]Sheet2!CE53=999999,"NA",[1]Sheet2!CE53)</f>
        <v>0</v>
      </c>
      <c r="BX54" s="14">
        <f>IF([1]Sheet2!CF53=999999,"NA",[1]Sheet2!CF53)</f>
        <v>0</v>
      </c>
      <c r="BY54" s="14">
        <f>IF([1]Sheet2!CG53=999999,"NA",[1]Sheet2!CG53)</f>
        <v>0</v>
      </c>
      <c r="BZ54" s="14">
        <f>IF([1]Sheet2!CH53=999999,"NA",[1]Sheet2!CH53)</f>
        <v>0</v>
      </c>
      <c r="CA54" s="14">
        <f>IF([1]Sheet2!CI53=999999,"NA",[1]Sheet2!CI53)</f>
        <v>0</v>
      </c>
      <c r="CB54" s="14">
        <f>IF([1]Sheet2!CJ53=999999,"NA",[1]Sheet2!CJ53)</f>
        <v>0</v>
      </c>
      <c r="CC54" s="14">
        <f>IF([1]Sheet2!CK53=999999,"NA",[1]Sheet2!CK53)</f>
        <v>0</v>
      </c>
      <c r="CD54" s="14">
        <f>[1]Sheet2!BH53</f>
        <v>0</v>
      </c>
      <c r="CE54" s="14">
        <f>[1]Sheet2!BI53</f>
        <v>0</v>
      </c>
      <c r="CF54" s="14">
        <f>[1]Sheet2!BJ53</f>
        <v>0</v>
      </c>
      <c r="CG54" s="14">
        <f>[1]Sheet2!BK53</f>
        <v>0</v>
      </c>
      <c r="CH54" s="14">
        <f>[1]Sheet2!BL53</f>
        <v>0</v>
      </c>
      <c r="CI54" s="14">
        <f>[1]Sheet2!BM53</f>
        <v>0</v>
      </c>
      <c r="CJ54" s="14">
        <f>[1]Sheet2!BN53</f>
        <v>0</v>
      </c>
      <c r="CK54" s="14">
        <f>[1]Sheet2!BO53</f>
        <v>0</v>
      </c>
      <c r="CL54" s="14">
        <f>[1]Sheet2!BP53</f>
        <v>0</v>
      </c>
      <c r="CM54" s="14">
        <f>[1]Sheet2!BQ53</f>
        <v>0</v>
      </c>
      <c r="CN54" s="16">
        <f>Demand_SW!B$4/28</f>
        <v>94.69780219780219</v>
      </c>
      <c r="CO54" s="16">
        <f>Demand_SW!C$4/28</f>
        <v>0</v>
      </c>
      <c r="CP54" s="16">
        <f>Demand_SW!D$4/28</f>
        <v>0</v>
      </c>
      <c r="CQ54" s="16">
        <f>Demand_SW!E$4/28</f>
        <v>0</v>
      </c>
      <c r="CR54" s="16">
        <f>Demand_SW!F$4/28</f>
        <v>0</v>
      </c>
      <c r="CS54" s="16">
        <f>Demand_SW!G$4/28</f>
        <v>85.714285714285708</v>
      </c>
      <c r="CT54" s="16">
        <f>Demand_SW!H$4/28</f>
        <v>0</v>
      </c>
      <c r="CU54" s="16">
        <f>Demand_SW!I$4/28</f>
        <v>0</v>
      </c>
      <c r="CV54" s="16">
        <f>Demand_SW!J$4/28</f>
        <v>0</v>
      </c>
      <c r="CW54" s="16">
        <f>Demand_SW!K$4/28</f>
        <v>0</v>
      </c>
      <c r="CX54" s="16">
        <f t="shared" si="26"/>
        <v>-1220.8791208791204</v>
      </c>
      <c r="CY54" s="16">
        <f t="shared" si="27"/>
        <v>1000</v>
      </c>
      <c r="CZ54" s="16">
        <f t="shared" si="28"/>
        <v>0</v>
      </c>
      <c r="DA54" s="16">
        <f t="shared" si="29"/>
        <v>0</v>
      </c>
      <c r="DB54" s="16">
        <f t="shared" si="30"/>
        <v>0</v>
      </c>
      <c r="DC54" s="16">
        <f t="shared" si="31"/>
        <v>-814.28571428570876</v>
      </c>
      <c r="DD54" s="16">
        <f t="shared" si="32"/>
        <v>1000</v>
      </c>
      <c r="DE54" s="16">
        <f t="shared" si="33"/>
        <v>0</v>
      </c>
      <c r="DF54" s="16">
        <f t="shared" si="34"/>
        <v>0</v>
      </c>
      <c r="DG54" s="16">
        <f t="shared" si="35"/>
        <v>0</v>
      </c>
      <c r="DH54" s="14">
        <f>IF([1]Sheet2!DS53=999999,"NA",[1]Sheet2!DS53)</f>
        <v>0</v>
      </c>
      <c r="DI54" s="14">
        <f>IF([1]Sheet2!DT53=999999,"NA",[1]Sheet2!DT53)</f>
        <v>314</v>
      </c>
      <c r="DJ54" s="14" t="str">
        <f>IF([1]Sheet2!DU53=999999,"NA",[1]Sheet2!DU53)</f>
        <v>NA</v>
      </c>
      <c r="DK54" s="14" t="str">
        <f>IF([1]Sheet2!DV53=999999,"NA",[1]Sheet2!DV53)</f>
        <v>NA</v>
      </c>
      <c r="DL54" s="14" t="str">
        <f>IF([1]Sheet2!DW53=999999,"NA",[1]Sheet2!DW53)</f>
        <v>NA</v>
      </c>
      <c r="DM54" s="14">
        <f>IF([1]Sheet2!DX53=999999,"NA",[1]Sheet2!DX53)</f>
        <v>0</v>
      </c>
      <c r="DN54" s="14">
        <f>IF([1]Sheet2!DY53=999999,"NA",[1]Sheet2!DY53)</f>
        <v>314</v>
      </c>
      <c r="DO54" s="14" t="str">
        <f>IF([1]Sheet2!DZ53=999999,"NA",[1]Sheet2!DZ53)</f>
        <v>NA</v>
      </c>
      <c r="DP54" s="14" t="str">
        <f>IF([1]Sheet2!EA53=999999,"NA",[1]Sheet2!EA53)</f>
        <v>NA</v>
      </c>
      <c r="DQ54" s="14" t="str">
        <f>IF([1]Sheet2!EB53=999999,"NA",[1]Sheet2!EB53)</f>
        <v>NA</v>
      </c>
      <c r="DR54" s="14">
        <f>[1]Sheet2!CY53</f>
        <v>0</v>
      </c>
      <c r="DS54" s="14">
        <f>[1]Sheet2!CZ53</f>
        <v>0</v>
      </c>
      <c r="DT54" s="14">
        <f>[1]Sheet2!DA53</f>
        <v>0</v>
      </c>
      <c r="DU54" s="14">
        <f>[1]Sheet2!DB53</f>
        <v>0</v>
      </c>
      <c r="DV54" s="14">
        <f>[1]Sheet2!DC53</f>
        <v>0</v>
      </c>
      <c r="DW54" s="14">
        <f>[1]Sheet2!DD53</f>
        <v>0</v>
      </c>
      <c r="DX54" s="14">
        <f>[1]Sheet2!DE53</f>
        <v>0</v>
      </c>
      <c r="DY54" s="14">
        <f>[1]Sheet2!DF53</f>
        <v>0</v>
      </c>
      <c r="DZ54" s="14">
        <f>[1]Sheet2!DG53</f>
        <v>0</v>
      </c>
      <c r="EA54" s="14">
        <f>[1]Sheet2!DH53</f>
        <v>0</v>
      </c>
      <c r="EB54" s="6">
        <f>[1]Sheet2!EC53</f>
        <v>0</v>
      </c>
      <c r="EC54" s="6">
        <f>[1]Sheet2!ED53</f>
        <v>0</v>
      </c>
      <c r="ED54" s="6">
        <f>[1]Sheet2!EE53</f>
        <v>0</v>
      </c>
      <c r="EE54" s="6">
        <f>[1]Sheet2!EF53</f>
        <v>0</v>
      </c>
      <c r="EF54" s="6">
        <f>[1]Sheet2!EG53</f>
        <v>0</v>
      </c>
      <c r="EG54" s="6">
        <f>[1]Sheet2!EH53</f>
        <v>0</v>
      </c>
      <c r="EH54" s="6">
        <f>[1]Sheet2!EI53</f>
        <v>0</v>
      </c>
      <c r="EI54" s="6">
        <f>[1]Sheet2!EJ53</f>
        <v>0</v>
      </c>
      <c r="EJ54" s="6">
        <f>[1]Sheet2!EK53</f>
        <v>0</v>
      </c>
      <c r="EK54" s="6">
        <f>[1]Sheet2!EL53</f>
        <v>0</v>
      </c>
      <c r="EL54" s="6" t="str">
        <f>[1]Sheet2!EM53</f>
        <v/>
      </c>
      <c r="EM54" s="6" t="str">
        <f>[1]Sheet2!EN53</f>
        <v/>
      </c>
      <c r="EN54" s="6" t="str">
        <f>[1]Sheet2!EO53</f>
        <v/>
      </c>
      <c r="EO54" s="6" t="str">
        <f>[1]Sheet2!EP53</f>
        <v/>
      </c>
      <c r="EP54" s="6" t="str">
        <f>[1]Sheet2!EQ53</f>
        <v/>
      </c>
      <c r="EQ54" s="6" t="str">
        <f>[1]Sheet2!ER53</f>
        <v/>
      </c>
      <c r="ER54" s="6" t="str">
        <f>[1]Sheet2!ES53</f>
        <v/>
      </c>
      <c r="ES54" s="6" t="str">
        <f>[1]Sheet2!ET53</f>
        <v/>
      </c>
      <c r="ET54" s="6" t="str">
        <f>[1]Sheet2!EU53</f>
        <v/>
      </c>
      <c r="EU54" s="6" t="str">
        <f>[1]Sheet2!EV53</f>
        <v/>
      </c>
      <c r="EV54" s="6" t="str">
        <f>[1]Sheet2!EW53</f>
        <v/>
      </c>
      <c r="EW54" s="6" t="str">
        <f>[1]Sheet2!EX53</f>
        <v/>
      </c>
      <c r="EX54" s="6" t="str">
        <f>[1]Sheet2!EY53</f>
        <v/>
      </c>
      <c r="EY54" s="6" t="str">
        <f>[1]Sheet2!EZ53</f>
        <v/>
      </c>
      <c r="EZ54" s="6" t="str">
        <f>[1]Sheet2!FA53</f>
        <v/>
      </c>
      <c r="FA54" s="6" t="str">
        <f>[1]Sheet2!FB53</f>
        <v/>
      </c>
      <c r="FB54" s="6" t="str">
        <f>[1]Sheet2!FC53</f>
        <v/>
      </c>
      <c r="FC54" s="6" t="str">
        <f>[1]Sheet2!FD53</f>
        <v/>
      </c>
      <c r="FD54" s="6" t="str">
        <f>[1]Sheet2!FE53</f>
        <v/>
      </c>
      <c r="FE54" s="6" t="str">
        <f>[1]Sheet2!FF53</f>
        <v/>
      </c>
      <c r="FF54" s="6" t="str">
        <f>[1]Sheet2!FG53</f>
        <v/>
      </c>
      <c r="FG54" s="6" t="str">
        <f>[1]Sheet2!FH53</f>
        <v/>
      </c>
      <c r="FH54" s="6" t="str">
        <f>[1]Sheet2!FI53</f>
        <v/>
      </c>
      <c r="FI54" s="6" t="str">
        <f>[1]Sheet2!FJ53</f>
        <v/>
      </c>
      <c r="FJ54" s="6" t="str">
        <f>[1]Sheet2!FK53</f>
        <v/>
      </c>
      <c r="FK54" s="6" t="str">
        <f>[1]Sheet2!FL53</f>
        <v/>
      </c>
      <c r="FL54" s="6" t="str">
        <f>[1]Sheet2!FM53</f>
        <v/>
      </c>
      <c r="FM54" s="6" t="str">
        <f>[1]Sheet2!FN53</f>
        <v/>
      </c>
      <c r="FN54" s="6" t="str">
        <f>[1]Sheet2!FO53</f>
        <v/>
      </c>
      <c r="FO54" s="6" t="str">
        <f>[1]Sheet2!FP53</f>
        <v/>
      </c>
    </row>
    <row r="55" spans="1:171" x14ac:dyDescent="0.25">
      <c r="A55" s="15">
        <v>43517</v>
      </c>
      <c r="B55" s="1"/>
      <c r="C55" s="1"/>
      <c r="D55" s="1"/>
      <c r="E55" s="14">
        <f>[1]Sheet2!N54</f>
        <v>0</v>
      </c>
      <c r="F55" s="14">
        <f>[1]Sheet2!BE54</f>
        <v>0</v>
      </c>
      <c r="G55" s="14">
        <f>[1]Sheet2!CW54</f>
        <v>0</v>
      </c>
      <c r="H55" s="1"/>
      <c r="I55" s="1"/>
      <c r="J55" s="1"/>
      <c r="K55" s="16"/>
      <c r="L55" s="16">
        <f>Demand_CWRS!B$4/28</f>
        <v>131.68146963713369</v>
      </c>
      <c r="M55" s="16">
        <f>Demand_CWRS!C$4/28</f>
        <v>501.27216117216119</v>
      </c>
      <c r="N55" s="16">
        <f>Demand_CWRS!D$4/28</f>
        <v>0</v>
      </c>
      <c r="O55" s="16">
        <f>Demand_CWRS!E$4/28</f>
        <v>130.17472527472526</v>
      </c>
      <c r="P55" s="16">
        <f>Demand_CWRS!F$4/28</f>
        <v>262.94741300366297</v>
      </c>
      <c r="Q55" s="16">
        <f>Demand_CWRS!G$4/28</f>
        <v>127.85714285714286</v>
      </c>
      <c r="R55" s="16">
        <f>Demand_CWRS!H$4/28</f>
        <v>207.14285714285714</v>
      </c>
      <c r="S55" s="16">
        <f>Demand_CWRS!I$4/28</f>
        <v>214.28571428571428</v>
      </c>
      <c r="T55" s="16">
        <f>Demand_CWRS!J$4/28</f>
        <v>207.14285714285714</v>
      </c>
      <c r="U55" s="16">
        <f>Demand_CWRS!K$4/28</f>
        <v>221.42857142857142</v>
      </c>
      <c r="V55" s="16">
        <f t="shared" si="6"/>
        <v>-5475.1735226362198</v>
      </c>
      <c r="W55" s="16">
        <f t="shared" si="7"/>
        <v>-13019.725641025638</v>
      </c>
      <c r="X55" s="16">
        <f t="shared" si="8"/>
        <v>0</v>
      </c>
      <c r="Y55" s="16">
        <f t="shared" si="9"/>
        <v>3201.2987179487272</v>
      </c>
      <c r="Z55" s="16">
        <f t="shared" si="10"/>
        <v>-6671.3346955128209</v>
      </c>
      <c r="AA55" s="16">
        <f t="shared" si="11"/>
        <v>-4285</v>
      </c>
      <c r="AB55" s="16">
        <f t="shared" si="12"/>
        <v>-11543.010256410253</v>
      </c>
      <c r="AC55" s="16">
        <f t="shared" si="13"/>
        <v>-5700.0000000000018</v>
      </c>
      <c r="AD55" s="16">
        <f t="shared" si="14"/>
        <v>-5850</v>
      </c>
      <c r="AE55" s="16">
        <f t="shared" si="15"/>
        <v>-6350</v>
      </c>
      <c r="AF55" s="14">
        <f>IF([1]Sheet2!AJ54=999999,"NA",[1]Sheet2!AJ54)</f>
        <v>0</v>
      </c>
      <c r="AG55" s="14">
        <f>IF([1]Sheet2!AK54=999999,"NA",[1]Sheet2!AK54)</f>
        <v>0</v>
      </c>
      <c r="AH55" s="14" t="str">
        <f>IF([1]Sheet2!AL54=999999,"NA",[1]Sheet2!AL54)</f>
        <v>NA</v>
      </c>
      <c r="AI55" s="14">
        <f>IF([1]Sheet2!AM54=999999,"NA",[1]Sheet2!AM54)</f>
        <v>25</v>
      </c>
      <c r="AJ55" s="14">
        <f>IF([1]Sheet2!AN54=999999,"NA",[1]Sheet2!AN54)</f>
        <v>0</v>
      </c>
      <c r="AK55" s="14">
        <f>IF([1]Sheet2!AO54=999999,"NA",[1]Sheet2!AO54)</f>
        <v>0</v>
      </c>
      <c r="AL55" s="14">
        <f>IF([1]Sheet2!AP54=999999,"NA",[1]Sheet2!AP54)</f>
        <v>0</v>
      </c>
      <c r="AM55" s="14">
        <f>IF([1]Sheet2!AQ54=999999,"NA",[1]Sheet2!AQ54)</f>
        <v>0</v>
      </c>
      <c r="AN55" s="14">
        <f>IF([1]Sheet2!AR54=999999,"NA",[1]Sheet2!AR54)</f>
        <v>0</v>
      </c>
      <c r="AO55" s="14">
        <f>IF([1]Sheet2!AS54=999999,"NA",[1]Sheet2!AS54)</f>
        <v>0</v>
      </c>
      <c r="AP55" s="14">
        <f>[1]Sheet2!P54</f>
        <v>0</v>
      </c>
      <c r="AQ55" s="14">
        <f>[1]Sheet2!Q54</f>
        <v>0</v>
      </c>
      <c r="AR55" s="14">
        <f>[1]Sheet2!R54</f>
        <v>0</v>
      </c>
      <c r="AS55" s="14">
        <f>[1]Sheet2!S54</f>
        <v>0</v>
      </c>
      <c r="AT55" s="14">
        <f>[1]Sheet2!T54</f>
        <v>0</v>
      </c>
      <c r="AU55" s="14">
        <f>[1]Sheet2!U54</f>
        <v>0</v>
      </c>
      <c r="AV55" s="14">
        <f>[1]Sheet2!V54</f>
        <v>0</v>
      </c>
      <c r="AW55" s="14">
        <f>[1]Sheet2!W54</f>
        <v>0</v>
      </c>
      <c r="AX55" s="14">
        <f>[1]Sheet2!X54</f>
        <v>0</v>
      </c>
      <c r="AY55" s="14">
        <f>[1]Sheet2!Y54</f>
        <v>0</v>
      </c>
      <c r="AZ55" s="16">
        <f>Demand_LP!B$4/28</f>
        <v>811.09813487293957</v>
      </c>
      <c r="BA55" s="16">
        <f>Demand_LP!C$4/28</f>
        <v>502.83223443223443</v>
      </c>
      <c r="BB55" s="16">
        <f>Demand_LP!D$4/28</f>
        <v>282.53663003663002</v>
      </c>
      <c r="BC55" s="16">
        <f>Demand_LP!E$4/28</f>
        <v>759.73919413919407</v>
      </c>
      <c r="BD55" s="16">
        <f>Demand_LP!F$4/28</f>
        <v>495.28213999542123</v>
      </c>
      <c r="BE55" s="16">
        <f>Demand_LP!G$4/28</f>
        <v>496.42857142857144</v>
      </c>
      <c r="BF55" s="16">
        <f>Demand_LP!H$4/28</f>
        <v>535.71428571428567</v>
      </c>
      <c r="BG55" s="16">
        <f>Demand_LP!I$4/28</f>
        <v>496.42857142857144</v>
      </c>
      <c r="BH55" s="16">
        <f>Demand_LP!J$4/28</f>
        <v>482.14285714285717</v>
      </c>
      <c r="BI55" s="16">
        <f>Demand_LP!K$4/28</f>
        <v>471.42857142857144</v>
      </c>
      <c r="BJ55" s="16">
        <f t="shared" si="16"/>
        <v>-22626.114277844557</v>
      </c>
      <c r="BK55" s="16">
        <f t="shared" si="17"/>
        <v>-25122.594871794845</v>
      </c>
      <c r="BL55" s="16">
        <f t="shared" si="18"/>
        <v>-3100.7692307692314</v>
      </c>
      <c r="BM55" s="16">
        <f t="shared" si="19"/>
        <v>-27547.24743589744</v>
      </c>
      <c r="BN55" s="16">
        <f t="shared" si="20"/>
        <v>-15351.324058493581</v>
      </c>
      <c r="BO55" s="16">
        <f t="shared" si="21"/>
        <v>-14424.999999999995</v>
      </c>
      <c r="BP55" s="16">
        <f t="shared" si="22"/>
        <v>-19250.000000000007</v>
      </c>
      <c r="BQ55" s="16">
        <f t="shared" si="23"/>
        <v>-14424.999999999995</v>
      </c>
      <c r="BR55" s="16">
        <f t="shared" si="24"/>
        <v>-12124.999999999998</v>
      </c>
      <c r="BS55" s="16">
        <f t="shared" si="25"/>
        <v>-12899.999999999995</v>
      </c>
      <c r="BT55" s="14">
        <f>IF([1]Sheet2!CB54=999999,"NA",[1]Sheet2!CB54)</f>
        <v>0</v>
      </c>
      <c r="BU55" s="14">
        <f>IF([1]Sheet2!CC54=999999,"NA",[1]Sheet2!CC54)</f>
        <v>0</v>
      </c>
      <c r="BV55" s="14">
        <f>IF([1]Sheet2!CD54=999999,"NA",[1]Sheet2!CD54)</f>
        <v>0</v>
      </c>
      <c r="BW55" s="14">
        <f>IF([1]Sheet2!CE54=999999,"NA",[1]Sheet2!CE54)</f>
        <v>0</v>
      </c>
      <c r="BX55" s="14">
        <f>IF([1]Sheet2!CF54=999999,"NA",[1]Sheet2!CF54)</f>
        <v>0</v>
      </c>
      <c r="BY55" s="14">
        <f>IF([1]Sheet2!CG54=999999,"NA",[1]Sheet2!CG54)</f>
        <v>0</v>
      </c>
      <c r="BZ55" s="14">
        <f>IF([1]Sheet2!CH54=999999,"NA",[1]Sheet2!CH54)</f>
        <v>0</v>
      </c>
      <c r="CA55" s="14">
        <f>IF([1]Sheet2!CI54=999999,"NA",[1]Sheet2!CI54)</f>
        <v>0</v>
      </c>
      <c r="CB55" s="14">
        <f>IF([1]Sheet2!CJ54=999999,"NA",[1]Sheet2!CJ54)</f>
        <v>0</v>
      </c>
      <c r="CC55" s="14">
        <f>IF([1]Sheet2!CK54=999999,"NA",[1]Sheet2!CK54)</f>
        <v>0</v>
      </c>
      <c r="CD55" s="14">
        <f>[1]Sheet2!BH54</f>
        <v>0</v>
      </c>
      <c r="CE55" s="14">
        <f>[1]Sheet2!BI54</f>
        <v>0</v>
      </c>
      <c r="CF55" s="14">
        <f>[1]Sheet2!BJ54</f>
        <v>0</v>
      </c>
      <c r="CG55" s="14">
        <f>[1]Sheet2!BK54</f>
        <v>0</v>
      </c>
      <c r="CH55" s="14">
        <f>[1]Sheet2!BL54</f>
        <v>0</v>
      </c>
      <c r="CI55" s="14">
        <f>[1]Sheet2!BM54</f>
        <v>0</v>
      </c>
      <c r="CJ55" s="14">
        <f>[1]Sheet2!BN54</f>
        <v>0</v>
      </c>
      <c r="CK55" s="14">
        <f>[1]Sheet2!BO54</f>
        <v>0</v>
      </c>
      <c r="CL55" s="14">
        <f>[1]Sheet2!BP54</f>
        <v>0</v>
      </c>
      <c r="CM55" s="14">
        <f>[1]Sheet2!BQ54</f>
        <v>0</v>
      </c>
      <c r="CN55" s="16">
        <f>Demand_SW!B$4/28</f>
        <v>94.69780219780219</v>
      </c>
      <c r="CO55" s="16">
        <f>Demand_SW!C$4/28</f>
        <v>0</v>
      </c>
      <c r="CP55" s="16">
        <f>Demand_SW!D$4/28</f>
        <v>0</v>
      </c>
      <c r="CQ55" s="16">
        <f>Demand_SW!E$4/28</f>
        <v>0</v>
      </c>
      <c r="CR55" s="16">
        <f>Demand_SW!F$4/28</f>
        <v>0</v>
      </c>
      <c r="CS55" s="16">
        <f>Demand_SW!G$4/28</f>
        <v>85.714285714285708</v>
      </c>
      <c r="CT55" s="16">
        <f>Demand_SW!H$4/28</f>
        <v>0</v>
      </c>
      <c r="CU55" s="16">
        <f>Demand_SW!I$4/28</f>
        <v>0</v>
      </c>
      <c r="CV55" s="16">
        <f>Demand_SW!J$4/28</f>
        <v>0</v>
      </c>
      <c r="CW55" s="16">
        <f>Demand_SW!K$4/28</f>
        <v>0</v>
      </c>
      <c r="CX55" s="16">
        <f t="shared" si="26"/>
        <v>-1315.5769230769226</v>
      </c>
      <c r="CY55" s="16">
        <f t="shared" si="27"/>
        <v>1000</v>
      </c>
      <c r="CZ55" s="16">
        <f t="shared" si="28"/>
        <v>0</v>
      </c>
      <c r="DA55" s="16">
        <f t="shared" si="29"/>
        <v>0</v>
      </c>
      <c r="DB55" s="16">
        <f t="shared" si="30"/>
        <v>0</v>
      </c>
      <c r="DC55" s="16">
        <f t="shared" si="31"/>
        <v>-899.99999999999443</v>
      </c>
      <c r="DD55" s="16">
        <f t="shared" si="32"/>
        <v>1000</v>
      </c>
      <c r="DE55" s="16">
        <f t="shared" si="33"/>
        <v>0</v>
      </c>
      <c r="DF55" s="16">
        <f t="shared" si="34"/>
        <v>0</v>
      </c>
      <c r="DG55" s="16">
        <f t="shared" si="35"/>
        <v>0</v>
      </c>
      <c r="DH55" s="14">
        <f>IF([1]Sheet2!DS54=999999,"NA",[1]Sheet2!DS54)</f>
        <v>0</v>
      </c>
      <c r="DI55" s="14">
        <f>IF([1]Sheet2!DT54=999999,"NA",[1]Sheet2!DT54)</f>
        <v>313</v>
      </c>
      <c r="DJ55" s="14" t="str">
        <f>IF([1]Sheet2!DU54=999999,"NA",[1]Sheet2!DU54)</f>
        <v>NA</v>
      </c>
      <c r="DK55" s="14" t="str">
        <f>IF([1]Sheet2!DV54=999999,"NA",[1]Sheet2!DV54)</f>
        <v>NA</v>
      </c>
      <c r="DL55" s="14" t="str">
        <f>IF([1]Sheet2!DW54=999999,"NA",[1]Sheet2!DW54)</f>
        <v>NA</v>
      </c>
      <c r="DM55" s="14">
        <f>IF([1]Sheet2!DX54=999999,"NA",[1]Sheet2!DX54)</f>
        <v>0</v>
      </c>
      <c r="DN55" s="14">
        <f>IF([1]Sheet2!DY54=999999,"NA",[1]Sheet2!DY54)</f>
        <v>313</v>
      </c>
      <c r="DO55" s="14" t="str">
        <f>IF([1]Sheet2!DZ54=999999,"NA",[1]Sheet2!DZ54)</f>
        <v>NA</v>
      </c>
      <c r="DP55" s="14" t="str">
        <f>IF([1]Sheet2!EA54=999999,"NA",[1]Sheet2!EA54)</f>
        <v>NA</v>
      </c>
      <c r="DQ55" s="14" t="str">
        <f>IF([1]Sheet2!EB54=999999,"NA",[1]Sheet2!EB54)</f>
        <v>NA</v>
      </c>
      <c r="DR55" s="14">
        <f>[1]Sheet2!CY54</f>
        <v>0</v>
      </c>
      <c r="DS55" s="14">
        <f>[1]Sheet2!CZ54</f>
        <v>0</v>
      </c>
      <c r="DT55" s="14">
        <f>[1]Sheet2!DA54</f>
        <v>0</v>
      </c>
      <c r="DU55" s="14">
        <f>[1]Sheet2!DB54</f>
        <v>0</v>
      </c>
      <c r="DV55" s="14">
        <f>[1]Sheet2!DC54</f>
        <v>0</v>
      </c>
      <c r="DW55" s="14">
        <f>[1]Sheet2!DD54</f>
        <v>0</v>
      </c>
      <c r="DX55" s="14">
        <f>[1]Sheet2!DE54</f>
        <v>0</v>
      </c>
      <c r="DY55" s="14">
        <f>[1]Sheet2!DF54</f>
        <v>0</v>
      </c>
      <c r="DZ55" s="14">
        <f>[1]Sheet2!DG54</f>
        <v>0</v>
      </c>
      <c r="EA55" s="14">
        <f>[1]Sheet2!DH54</f>
        <v>0</v>
      </c>
      <c r="EB55" s="6">
        <f>[1]Sheet2!EC54</f>
        <v>0</v>
      </c>
      <c r="EC55" s="6">
        <f>[1]Sheet2!ED54</f>
        <v>0</v>
      </c>
      <c r="ED55" s="6">
        <f>[1]Sheet2!EE54</f>
        <v>0</v>
      </c>
      <c r="EE55" s="6">
        <f>[1]Sheet2!EF54</f>
        <v>0</v>
      </c>
      <c r="EF55" s="6">
        <f>[1]Sheet2!EG54</f>
        <v>0</v>
      </c>
      <c r="EG55" s="6">
        <f>[1]Sheet2!EH54</f>
        <v>0</v>
      </c>
      <c r="EH55" s="6">
        <f>[1]Sheet2!EI54</f>
        <v>0</v>
      </c>
      <c r="EI55" s="6">
        <f>[1]Sheet2!EJ54</f>
        <v>0</v>
      </c>
      <c r="EJ55" s="6">
        <f>[1]Sheet2!EK54</f>
        <v>0</v>
      </c>
      <c r="EK55" s="6">
        <f>[1]Sheet2!EL54</f>
        <v>0</v>
      </c>
      <c r="EL55" s="6" t="str">
        <f>[1]Sheet2!EM54</f>
        <v/>
      </c>
      <c r="EM55" s="6" t="str">
        <f>[1]Sheet2!EN54</f>
        <v/>
      </c>
      <c r="EN55" s="6" t="str">
        <f>[1]Sheet2!EO54</f>
        <v/>
      </c>
      <c r="EO55" s="6" t="str">
        <f>[1]Sheet2!EP54</f>
        <v/>
      </c>
      <c r="EP55" s="6" t="str">
        <f>[1]Sheet2!EQ54</f>
        <v/>
      </c>
      <c r="EQ55" s="6" t="str">
        <f>[1]Sheet2!ER54</f>
        <v/>
      </c>
      <c r="ER55" s="6" t="str">
        <f>[1]Sheet2!ES54</f>
        <v/>
      </c>
      <c r="ES55" s="6" t="str">
        <f>[1]Sheet2!ET54</f>
        <v/>
      </c>
      <c r="ET55" s="6" t="str">
        <f>[1]Sheet2!EU54</f>
        <v/>
      </c>
      <c r="EU55" s="6" t="str">
        <f>[1]Sheet2!EV54</f>
        <v/>
      </c>
      <c r="EV55" s="6" t="str">
        <f>[1]Sheet2!EW54</f>
        <v/>
      </c>
      <c r="EW55" s="6" t="str">
        <f>[1]Sheet2!EX54</f>
        <v/>
      </c>
      <c r="EX55" s="6" t="str">
        <f>[1]Sheet2!EY54</f>
        <v/>
      </c>
      <c r="EY55" s="6" t="str">
        <f>[1]Sheet2!EZ54</f>
        <v/>
      </c>
      <c r="EZ55" s="6" t="str">
        <f>[1]Sheet2!FA54</f>
        <v/>
      </c>
      <c r="FA55" s="6" t="str">
        <f>[1]Sheet2!FB54</f>
        <v/>
      </c>
      <c r="FB55" s="6" t="str">
        <f>[1]Sheet2!FC54</f>
        <v/>
      </c>
      <c r="FC55" s="6" t="str">
        <f>[1]Sheet2!FD54</f>
        <v/>
      </c>
      <c r="FD55" s="6" t="str">
        <f>[1]Sheet2!FE54</f>
        <v/>
      </c>
      <c r="FE55" s="6" t="str">
        <f>[1]Sheet2!FF54</f>
        <v/>
      </c>
      <c r="FF55" s="6" t="str">
        <f>[1]Sheet2!FG54</f>
        <v/>
      </c>
      <c r="FG55" s="6" t="str">
        <f>[1]Sheet2!FH54</f>
        <v/>
      </c>
      <c r="FH55" s="6" t="str">
        <f>[1]Sheet2!FI54</f>
        <v/>
      </c>
      <c r="FI55" s="6" t="str">
        <f>[1]Sheet2!FJ54</f>
        <v/>
      </c>
      <c r="FJ55" s="6" t="str">
        <f>[1]Sheet2!FK54</f>
        <v/>
      </c>
      <c r="FK55" s="6" t="str">
        <f>[1]Sheet2!FL54</f>
        <v/>
      </c>
      <c r="FL55" s="6" t="str">
        <f>[1]Sheet2!FM54</f>
        <v/>
      </c>
      <c r="FM55" s="6" t="str">
        <f>[1]Sheet2!FN54</f>
        <v/>
      </c>
      <c r="FN55" s="6" t="str">
        <f>[1]Sheet2!FO54</f>
        <v/>
      </c>
      <c r="FO55" s="6" t="str">
        <f>[1]Sheet2!FP54</f>
        <v/>
      </c>
    </row>
    <row r="56" spans="1:171" x14ac:dyDescent="0.25">
      <c r="A56" s="15">
        <v>43518</v>
      </c>
      <c r="B56" s="1"/>
      <c r="C56" s="1"/>
      <c r="D56" s="1"/>
      <c r="E56" s="14">
        <f>[1]Sheet2!N55</f>
        <v>0</v>
      </c>
      <c r="F56" s="14">
        <f>[1]Sheet2!BE55</f>
        <v>48000</v>
      </c>
      <c r="G56" s="14">
        <f>[1]Sheet2!CW55</f>
        <v>0</v>
      </c>
      <c r="H56" s="1"/>
      <c r="I56" s="1"/>
      <c r="J56" s="1"/>
      <c r="K56" s="16"/>
      <c r="L56" s="16">
        <f>Demand_CWRS!B$4/28</f>
        <v>131.68146963713369</v>
      </c>
      <c r="M56" s="16">
        <f>Demand_CWRS!C$4/28</f>
        <v>501.27216117216119</v>
      </c>
      <c r="N56" s="16">
        <f>Demand_CWRS!D$4/28</f>
        <v>0</v>
      </c>
      <c r="O56" s="16">
        <f>Demand_CWRS!E$4/28</f>
        <v>130.17472527472526</v>
      </c>
      <c r="P56" s="16">
        <f>Demand_CWRS!F$4/28</f>
        <v>262.94741300366297</v>
      </c>
      <c r="Q56" s="16">
        <f>Demand_CWRS!G$4/28</f>
        <v>127.85714285714286</v>
      </c>
      <c r="R56" s="16">
        <f>Demand_CWRS!H$4/28</f>
        <v>207.14285714285714</v>
      </c>
      <c r="S56" s="16">
        <f>Demand_CWRS!I$4/28</f>
        <v>214.28571428571428</v>
      </c>
      <c r="T56" s="16">
        <f>Demand_CWRS!J$4/28</f>
        <v>207.14285714285714</v>
      </c>
      <c r="U56" s="16">
        <f>Demand_CWRS!K$4/28</f>
        <v>221.42857142857142</v>
      </c>
      <c r="V56" s="16">
        <f t="shared" si="6"/>
        <v>-5606.8549922733537</v>
      </c>
      <c r="W56" s="16">
        <f t="shared" si="7"/>
        <v>-13520.997802197799</v>
      </c>
      <c r="X56" s="16">
        <f t="shared" si="8"/>
        <v>0</v>
      </c>
      <c r="Y56" s="16">
        <f t="shared" si="9"/>
        <v>3071.1239926740018</v>
      </c>
      <c r="Z56" s="16">
        <f t="shared" si="10"/>
        <v>-6934.2821085164842</v>
      </c>
      <c r="AA56" s="16">
        <f t="shared" si="11"/>
        <v>-4412.8571428571431</v>
      </c>
      <c r="AB56" s="16">
        <f t="shared" si="12"/>
        <v>-11750.15311355311</v>
      </c>
      <c r="AC56" s="16">
        <f t="shared" si="13"/>
        <v>-5914.2857142857165</v>
      </c>
      <c r="AD56" s="16">
        <f t="shared" si="14"/>
        <v>-6057.1428571428569</v>
      </c>
      <c r="AE56" s="16">
        <f t="shared" si="15"/>
        <v>-6571.4285714285716</v>
      </c>
      <c r="AF56" s="14">
        <f>IF([1]Sheet2!AJ55=999999,"NA",[1]Sheet2!AJ55)</f>
        <v>0</v>
      </c>
      <c r="AG56" s="14">
        <f>IF([1]Sheet2!AK55=999999,"NA",[1]Sheet2!AK55)</f>
        <v>0</v>
      </c>
      <c r="AH56" s="14" t="str">
        <f>IF([1]Sheet2!AL55=999999,"NA",[1]Sheet2!AL55)</f>
        <v>NA</v>
      </c>
      <c r="AI56" s="14">
        <f>IF([1]Sheet2!AM55=999999,"NA",[1]Sheet2!AM55)</f>
        <v>24</v>
      </c>
      <c r="AJ56" s="14">
        <f>IF([1]Sheet2!AN55=999999,"NA",[1]Sheet2!AN55)</f>
        <v>0</v>
      </c>
      <c r="AK56" s="14">
        <f>IF([1]Sheet2!AO55=999999,"NA",[1]Sheet2!AO55)</f>
        <v>0</v>
      </c>
      <c r="AL56" s="14">
        <f>IF([1]Sheet2!AP55=999999,"NA",[1]Sheet2!AP55)</f>
        <v>0</v>
      </c>
      <c r="AM56" s="14">
        <f>IF([1]Sheet2!AQ55=999999,"NA",[1]Sheet2!AQ55)</f>
        <v>0</v>
      </c>
      <c r="AN56" s="14">
        <f>IF([1]Sheet2!AR55=999999,"NA",[1]Sheet2!AR55)</f>
        <v>0</v>
      </c>
      <c r="AO56" s="14">
        <f>IF([1]Sheet2!AS55=999999,"NA",[1]Sheet2!AS55)</f>
        <v>0</v>
      </c>
      <c r="AP56" s="14">
        <f>[1]Sheet2!P55</f>
        <v>0</v>
      </c>
      <c r="AQ56" s="14">
        <f>[1]Sheet2!Q55</f>
        <v>0</v>
      </c>
      <c r="AR56" s="14">
        <f>[1]Sheet2!R55</f>
        <v>0</v>
      </c>
      <c r="AS56" s="14">
        <f>[1]Sheet2!S55</f>
        <v>0</v>
      </c>
      <c r="AT56" s="14">
        <f>[1]Sheet2!T55</f>
        <v>0</v>
      </c>
      <c r="AU56" s="14">
        <f>[1]Sheet2!U55</f>
        <v>0</v>
      </c>
      <c r="AV56" s="14">
        <f>[1]Sheet2!V55</f>
        <v>0</v>
      </c>
      <c r="AW56" s="14">
        <f>[1]Sheet2!W55</f>
        <v>0</v>
      </c>
      <c r="AX56" s="14">
        <f>[1]Sheet2!X55</f>
        <v>0</v>
      </c>
      <c r="AY56" s="14">
        <f>[1]Sheet2!Y55</f>
        <v>0</v>
      </c>
      <c r="AZ56" s="16">
        <f>Demand_LP!B$4/28</f>
        <v>811.09813487293957</v>
      </c>
      <c r="BA56" s="16">
        <f>Demand_LP!C$4/28</f>
        <v>502.83223443223443</v>
      </c>
      <c r="BB56" s="16">
        <f>Demand_LP!D$4/28</f>
        <v>282.53663003663002</v>
      </c>
      <c r="BC56" s="16">
        <f>Demand_LP!E$4/28</f>
        <v>759.73919413919407</v>
      </c>
      <c r="BD56" s="16">
        <f>Demand_LP!F$4/28</f>
        <v>495.28213999542123</v>
      </c>
      <c r="BE56" s="16">
        <f>Demand_LP!G$4/28</f>
        <v>496.42857142857144</v>
      </c>
      <c r="BF56" s="16">
        <f>Demand_LP!H$4/28</f>
        <v>535.71428571428567</v>
      </c>
      <c r="BG56" s="16">
        <f>Demand_LP!I$4/28</f>
        <v>496.42857142857144</v>
      </c>
      <c r="BH56" s="16">
        <f>Demand_LP!J$4/28</f>
        <v>482.14285714285717</v>
      </c>
      <c r="BI56" s="16">
        <f>Demand_LP!K$4/28</f>
        <v>471.42857142857144</v>
      </c>
      <c r="BJ56" s="16">
        <f t="shared" si="16"/>
        <v>-23437.212412717498</v>
      </c>
      <c r="BK56" s="16">
        <f t="shared" si="17"/>
        <v>-25625.427106227078</v>
      </c>
      <c r="BL56" s="16">
        <f t="shared" si="18"/>
        <v>-3383.3058608058614</v>
      </c>
      <c r="BM56" s="16">
        <f t="shared" si="19"/>
        <v>-28306.986630036634</v>
      </c>
      <c r="BN56" s="16">
        <f t="shared" si="20"/>
        <v>-15846.606198489002</v>
      </c>
      <c r="BO56" s="16">
        <f t="shared" si="21"/>
        <v>-14921.428571428565</v>
      </c>
      <c r="BP56" s="16">
        <f t="shared" si="22"/>
        <v>-19785.714285714294</v>
      </c>
      <c r="BQ56" s="16">
        <f t="shared" si="23"/>
        <v>-14921.428571428565</v>
      </c>
      <c r="BR56" s="16">
        <f t="shared" si="24"/>
        <v>-12607.142857142855</v>
      </c>
      <c r="BS56" s="16">
        <f t="shared" si="25"/>
        <v>-13371.428571428565</v>
      </c>
      <c r="BT56" s="14">
        <f>IF([1]Sheet2!CB55=999999,"NA",[1]Sheet2!CB55)</f>
        <v>0</v>
      </c>
      <c r="BU56" s="14">
        <f>IF([1]Sheet2!CC55=999999,"NA",[1]Sheet2!CC55)</f>
        <v>0</v>
      </c>
      <c r="BV56" s="14">
        <f>IF([1]Sheet2!CD55=999999,"NA",[1]Sheet2!CD55)</f>
        <v>0</v>
      </c>
      <c r="BW56" s="14">
        <f>IF([1]Sheet2!CE55=999999,"NA",[1]Sheet2!CE55)</f>
        <v>0</v>
      </c>
      <c r="BX56" s="14">
        <f>IF([1]Sheet2!CF55=999999,"NA",[1]Sheet2!CF55)</f>
        <v>0</v>
      </c>
      <c r="BY56" s="14">
        <f>IF([1]Sheet2!CG55=999999,"NA",[1]Sheet2!CG55)</f>
        <v>0</v>
      </c>
      <c r="BZ56" s="14">
        <f>IF([1]Sheet2!CH55=999999,"NA",[1]Sheet2!CH55)</f>
        <v>0</v>
      </c>
      <c r="CA56" s="14">
        <f>IF([1]Sheet2!CI55=999999,"NA",[1]Sheet2!CI55)</f>
        <v>0</v>
      </c>
      <c r="CB56" s="14">
        <f>IF([1]Sheet2!CJ55=999999,"NA",[1]Sheet2!CJ55)</f>
        <v>0</v>
      </c>
      <c r="CC56" s="14">
        <f>IF([1]Sheet2!CK55=999999,"NA",[1]Sheet2!CK55)</f>
        <v>0</v>
      </c>
      <c r="CD56" s="14">
        <f>[1]Sheet2!BH55</f>
        <v>0</v>
      </c>
      <c r="CE56" s="14">
        <f>[1]Sheet2!BI55</f>
        <v>0</v>
      </c>
      <c r="CF56" s="14">
        <f>[1]Sheet2!BJ55</f>
        <v>0</v>
      </c>
      <c r="CG56" s="14">
        <f>[1]Sheet2!BK55</f>
        <v>0</v>
      </c>
      <c r="CH56" s="14">
        <f>[1]Sheet2!BL55</f>
        <v>0</v>
      </c>
      <c r="CI56" s="14">
        <f>[1]Sheet2!BM55</f>
        <v>0</v>
      </c>
      <c r="CJ56" s="14">
        <f>[1]Sheet2!BN55</f>
        <v>0</v>
      </c>
      <c r="CK56" s="14">
        <f>[1]Sheet2!BO55</f>
        <v>0</v>
      </c>
      <c r="CL56" s="14">
        <f>[1]Sheet2!BP55</f>
        <v>0</v>
      </c>
      <c r="CM56" s="14">
        <f>[1]Sheet2!BQ55</f>
        <v>0</v>
      </c>
      <c r="CN56" s="16">
        <f>Demand_SW!B$4/28</f>
        <v>94.69780219780219</v>
      </c>
      <c r="CO56" s="16">
        <f>Demand_SW!C$4/28</f>
        <v>0</v>
      </c>
      <c r="CP56" s="16">
        <f>Demand_SW!D$4/28</f>
        <v>0</v>
      </c>
      <c r="CQ56" s="16">
        <f>Demand_SW!E$4/28</f>
        <v>0</v>
      </c>
      <c r="CR56" s="16">
        <f>Demand_SW!F$4/28</f>
        <v>0</v>
      </c>
      <c r="CS56" s="16">
        <f>Demand_SW!G$4/28</f>
        <v>85.714285714285708</v>
      </c>
      <c r="CT56" s="16">
        <f>Demand_SW!H$4/28</f>
        <v>0</v>
      </c>
      <c r="CU56" s="16">
        <f>Demand_SW!I$4/28</f>
        <v>0</v>
      </c>
      <c r="CV56" s="16">
        <f>Demand_SW!J$4/28</f>
        <v>0</v>
      </c>
      <c r="CW56" s="16">
        <f>Demand_SW!K$4/28</f>
        <v>0</v>
      </c>
      <c r="CX56" s="16">
        <f t="shared" si="26"/>
        <v>-1410.2747252747249</v>
      </c>
      <c r="CY56" s="16">
        <f t="shared" si="27"/>
        <v>1000</v>
      </c>
      <c r="CZ56" s="16">
        <f t="shared" si="28"/>
        <v>0</v>
      </c>
      <c r="DA56" s="16">
        <f t="shared" si="29"/>
        <v>0</v>
      </c>
      <c r="DB56" s="16">
        <f t="shared" si="30"/>
        <v>0</v>
      </c>
      <c r="DC56" s="16">
        <f t="shared" si="31"/>
        <v>-985.71428571428009</v>
      </c>
      <c r="DD56" s="16">
        <f t="shared" si="32"/>
        <v>1000</v>
      </c>
      <c r="DE56" s="16">
        <f t="shared" si="33"/>
        <v>0</v>
      </c>
      <c r="DF56" s="16">
        <f t="shared" si="34"/>
        <v>0</v>
      </c>
      <c r="DG56" s="16">
        <f t="shared" si="35"/>
        <v>0</v>
      </c>
      <c r="DH56" s="14">
        <f>IF([1]Sheet2!DS55=999999,"NA",[1]Sheet2!DS55)</f>
        <v>0</v>
      </c>
      <c r="DI56" s="14">
        <f>IF([1]Sheet2!DT55=999999,"NA",[1]Sheet2!DT55)</f>
        <v>312</v>
      </c>
      <c r="DJ56" s="14" t="str">
        <f>IF([1]Sheet2!DU55=999999,"NA",[1]Sheet2!DU55)</f>
        <v>NA</v>
      </c>
      <c r="DK56" s="14" t="str">
        <f>IF([1]Sheet2!DV55=999999,"NA",[1]Sheet2!DV55)</f>
        <v>NA</v>
      </c>
      <c r="DL56" s="14" t="str">
        <f>IF([1]Sheet2!DW55=999999,"NA",[1]Sheet2!DW55)</f>
        <v>NA</v>
      </c>
      <c r="DM56" s="14">
        <f>IF([1]Sheet2!DX55=999999,"NA",[1]Sheet2!DX55)</f>
        <v>0</v>
      </c>
      <c r="DN56" s="14">
        <f>IF([1]Sheet2!DY55=999999,"NA",[1]Sheet2!DY55)</f>
        <v>312</v>
      </c>
      <c r="DO56" s="14" t="str">
        <f>IF([1]Sheet2!DZ55=999999,"NA",[1]Sheet2!DZ55)</f>
        <v>NA</v>
      </c>
      <c r="DP56" s="14" t="str">
        <f>IF([1]Sheet2!EA55=999999,"NA",[1]Sheet2!EA55)</f>
        <v>NA</v>
      </c>
      <c r="DQ56" s="14" t="str">
        <f>IF([1]Sheet2!EB55=999999,"NA",[1]Sheet2!EB55)</f>
        <v>NA</v>
      </c>
      <c r="DR56" s="14">
        <f>[1]Sheet2!CY55</f>
        <v>0</v>
      </c>
      <c r="DS56" s="14">
        <f>[1]Sheet2!CZ55</f>
        <v>0</v>
      </c>
      <c r="DT56" s="14">
        <f>[1]Sheet2!DA55</f>
        <v>0</v>
      </c>
      <c r="DU56" s="14">
        <f>[1]Sheet2!DB55</f>
        <v>0</v>
      </c>
      <c r="DV56" s="14">
        <f>[1]Sheet2!DC55</f>
        <v>0</v>
      </c>
      <c r="DW56" s="14">
        <f>[1]Sheet2!DD55</f>
        <v>0</v>
      </c>
      <c r="DX56" s="14">
        <f>[1]Sheet2!DE55</f>
        <v>0</v>
      </c>
      <c r="DY56" s="14">
        <f>[1]Sheet2!DF55</f>
        <v>0</v>
      </c>
      <c r="DZ56" s="14">
        <f>[1]Sheet2!DG55</f>
        <v>0</v>
      </c>
      <c r="EA56" s="14">
        <f>[1]Sheet2!DH55</f>
        <v>0</v>
      </c>
      <c r="EB56" s="6">
        <f>[1]Sheet2!EC55</f>
        <v>0</v>
      </c>
      <c r="EC56" s="6">
        <f>[1]Sheet2!ED55</f>
        <v>0</v>
      </c>
      <c r="ED56" s="6">
        <f>[1]Sheet2!EE55</f>
        <v>0</v>
      </c>
      <c r="EE56" s="6">
        <f>[1]Sheet2!EF55</f>
        <v>0</v>
      </c>
      <c r="EF56" s="6">
        <f>[1]Sheet2!EG55</f>
        <v>0</v>
      </c>
      <c r="EG56" s="6">
        <f>[1]Sheet2!EH55</f>
        <v>0</v>
      </c>
      <c r="EH56" s="6">
        <f>[1]Sheet2!EI55</f>
        <v>0</v>
      </c>
      <c r="EI56" s="6">
        <f>[1]Sheet2!EJ55</f>
        <v>0</v>
      </c>
      <c r="EJ56" s="6">
        <f>[1]Sheet2!EK55</f>
        <v>0</v>
      </c>
      <c r="EK56" s="6">
        <f>[1]Sheet2!EL55</f>
        <v>0</v>
      </c>
      <c r="EL56" s="6" t="str">
        <f>[1]Sheet2!EM55</f>
        <v/>
      </c>
      <c r="EM56" s="6" t="str">
        <f>[1]Sheet2!EN55</f>
        <v/>
      </c>
      <c r="EN56" s="6" t="str">
        <f>[1]Sheet2!EO55</f>
        <v/>
      </c>
      <c r="EO56" s="6" t="str">
        <f>[1]Sheet2!EP55</f>
        <v/>
      </c>
      <c r="EP56" s="6" t="str">
        <f>[1]Sheet2!EQ55</f>
        <v/>
      </c>
      <c r="EQ56" s="6" t="str">
        <f>[1]Sheet2!ER55</f>
        <v/>
      </c>
      <c r="ER56" s="6" t="str">
        <f>[1]Sheet2!ES55</f>
        <v/>
      </c>
      <c r="ES56" s="6" t="str">
        <f>[1]Sheet2!ET55</f>
        <v/>
      </c>
      <c r="ET56" s="6" t="str">
        <f>[1]Sheet2!EU55</f>
        <v/>
      </c>
      <c r="EU56" s="6" t="str">
        <f>[1]Sheet2!EV55</f>
        <v/>
      </c>
      <c r="EV56" s="6" t="str">
        <f>[1]Sheet2!EW55</f>
        <v/>
      </c>
      <c r="EW56" s="6" t="str">
        <f>[1]Sheet2!EX55</f>
        <v/>
      </c>
      <c r="EX56" s="6" t="str">
        <f>[1]Sheet2!EY55</f>
        <v/>
      </c>
      <c r="EY56" s="6" t="str">
        <f>[1]Sheet2!EZ55</f>
        <v/>
      </c>
      <c r="EZ56" s="6" t="str">
        <f>[1]Sheet2!FA55</f>
        <v/>
      </c>
      <c r="FA56" s="6" t="str">
        <f>[1]Sheet2!FB55</f>
        <v/>
      </c>
      <c r="FB56" s="6" t="str">
        <f>[1]Sheet2!FC55</f>
        <v/>
      </c>
      <c r="FC56" s="6" t="str">
        <f>[1]Sheet2!FD55</f>
        <v/>
      </c>
      <c r="FD56" s="6" t="str">
        <f>[1]Sheet2!FE55</f>
        <v/>
      </c>
      <c r="FE56" s="6" t="str">
        <f>[1]Sheet2!FF55</f>
        <v/>
      </c>
      <c r="FF56" s="6" t="str">
        <f>[1]Sheet2!FG55</f>
        <v/>
      </c>
      <c r="FG56" s="6" t="str">
        <f>[1]Sheet2!FH55</f>
        <v/>
      </c>
      <c r="FH56" s="6" t="str">
        <f>[1]Sheet2!FI55</f>
        <v/>
      </c>
      <c r="FI56" s="6" t="str">
        <f>[1]Sheet2!FJ55</f>
        <v/>
      </c>
      <c r="FJ56" s="6" t="str">
        <f>[1]Sheet2!FK55</f>
        <v/>
      </c>
      <c r="FK56" s="6" t="str">
        <f>[1]Sheet2!FL55</f>
        <v/>
      </c>
      <c r="FL56" s="6" t="str">
        <f>[1]Sheet2!FM55</f>
        <v/>
      </c>
      <c r="FM56" s="6" t="str">
        <f>[1]Sheet2!FN55</f>
        <v/>
      </c>
      <c r="FN56" s="6" t="str">
        <f>[1]Sheet2!FO55</f>
        <v/>
      </c>
      <c r="FO56" s="6" t="str">
        <f>[1]Sheet2!FP55</f>
        <v/>
      </c>
    </row>
    <row r="57" spans="1:171" x14ac:dyDescent="0.25">
      <c r="A57" s="15">
        <v>43519</v>
      </c>
      <c r="B57" s="1"/>
      <c r="C57" s="1"/>
      <c r="D57" s="1"/>
      <c r="E57" s="14">
        <f>[1]Sheet2!N56</f>
        <v>0</v>
      </c>
      <c r="F57" s="14">
        <f>[1]Sheet2!BE56</f>
        <v>0</v>
      </c>
      <c r="G57" s="14">
        <f>[1]Sheet2!CW56</f>
        <v>0</v>
      </c>
      <c r="H57" s="1"/>
      <c r="I57" s="1"/>
      <c r="J57" s="1"/>
      <c r="K57" s="16"/>
      <c r="L57" s="16">
        <f>Demand_CWRS!B$4/28</f>
        <v>131.68146963713369</v>
      </c>
      <c r="M57" s="16">
        <f>Demand_CWRS!C$4/28</f>
        <v>501.27216117216119</v>
      </c>
      <c r="N57" s="16">
        <f>Demand_CWRS!D$4/28</f>
        <v>0</v>
      </c>
      <c r="O57" s="16">
        <f>Demand_CWRS!E$4/28</f>
        <v>130.17472527472526</v>
      </c>
      <c r="P57" s="16">
        <f>Demand_CWRS!F$4/28</f>
        <v>262.94741300366297</v>
      </c>
      <c r="Q57" s="16">
        <f>Demand_CWRS!G$4/28</f>
        <v>127.85714285714286</v>
      </c>
      <c r="R57" s="16">
        <f>Demand_CWRS!H$4/28</f>
        <v>207.14285714285714</v>
      </c>
      <c r="S57" s="16">
        <f>Demand_CWRS!I$4/28</f>
        <v>214.28571428571428</v>
      </c>
      <c r="T57" s="16">
        <f>Demand_CWRS!J$4/28</f>
        <v>207.14285714285714</v>
      </c>
      <c r="U57" s="16">
        <f>Demand_CWRS!K$4/28</f>
        <v>221.42857142857142</v>
      </c>
      <c r="V57" s="16">
        <f t="shared" si="6"/>
        <v>-5738.5364619104876</v>
      </c>
      <c r="W57" s="16">
        <f t="shared" si="7"/>
        <v>-14022.269963369959</v>
      </c>
      <c r="X57" s="16">
        <f t="shared" si="8"/>
        <v>0</v>
      </c>
      <c r="Y57" s="16">
        <f t="shared" si="9"/>
        <v>2940.9492673992763</v>
      </c>
      <c r="Z57" s="16">
        <f t="shared" si="10"/>
        <v>-7197.2295215201475</v>
      </c>
      <c r="AA57" s="16">
        <f t="shared" si="11"/>
        <v>-4540.7142857142862</v>
      </c>
      <c r="AB57" s="16">
        <f t="shared" si="12"/>
        <v>-11957.295970695966</v>
      </c>
      <c r="AC57" s="16">
        <f t="shared" si="13"/>
        <v>-6128.5714285714312</v>
      </c>
      <c r="AD57" s="16">
        <f t="shared" si="14"/>
        <v>-6264.2857142857138</v>
      </c>
      <c r="AE57" s="16">
        <f t="shared" si="15"/>
        <v>-6792.8571428571431</v>
      </c>
      <c r="AF57" s="14">
        <f>IF([1]Sheet2!AJ56=999999,"NA",[1]Sheet2!AJ56)</f>
        <v>0</v>
      </c>
      <c r="AG57" s="14">
        <f>IF([1]Sheet2!AK56=999999,"NA",[1]Sheet2!AK56)</f>
        <v>0</v>
      </c>
      <c r="AH57" s="14" t="str">
        <f>IF([1]Sheet2!AL56=999999,"NA",[1]Sheet2!AL56)</f>
        <v>NA</v>
      </c>
      <c r="AI57" s="14">
        <f>IF([1]Sheet2!AM56=999999,"NA",[1]Sheet2!AM56)</f>
        <v>23</v>
      </c>
      <c r="AJ57" s="14">
        <f>IF([1]Sheet2!AN56=999999,"NA",[1]Sheet2!AN56)</f>
        <v>0</v>
      </c>
      <c r="AK57" s="14">
        <f>IF([1]Sheet2!AO56=999999,"NA",[1]Sheet2!AO56)</f>
        <v>0</v>
      </c>
      <c r="AL57" s="14">
        <f>IF([1]Sheet2!AP56=999999,"NA",[1]Sheet2!AP56)</f>
        <v>0</v>
      </c>
      <c r="AM57" s="14">
        <f>IF([1]Sheet2!AQ56=999999,"NA",[1]Sheet2!AQ56)</f>
        <v>0</v>
      </c>
      <c r="AN57" s="14">
        <f>IF([1]Sheet2!AR56=999999,"NA",[1]Sheet2!AR56)</f>
        <v>0</v>
      </c>
      <c r="AO57" s="14">
        <f>IF([1]Sheet2!AS56=999999,"NA",[1]Sheet2!AS56)</f>
        <v>0</v>
      </c>
      <c r="AP57" s="14">
        <f>[1]Sheet2!P56</f>
        <v>0</v>
      </c>
      <c r="AQ57" s="14">
        <f>[1]Sheet2!Q56</f>
        <v>0</v>
      </c>
      <c r="AR57" s="14">
        <f>[1]Sheet2!R56</f>
        <v>0</v>
      </c>
      <c r="AS57" s="14">
        <f>[1]Sheet2!S56</f>
        <v>0</v>
      </c>
      <c r="AT57" s="14">
        <f>[1]Sheet2!T56</f>
        <v>0</v>
      </c>
      <c r="AU57" s="14">
        <f>[1]Sheet2!U56</f>
        <v>0</v>
      </c>
      <c r="AV57" s="14">
        <f>[1]Sheet2!V56</f>
        <v>0</v>
      </c>
      <c r="AW57" s="14">
        <f>[1]Sheet2!W56</f>
        <v>0</v>
      </c>
      <c r="AX57" s="14">
        <f>[1]Sheet2!X56</f>
        <v>0</v>
      </c>
      <c r="AY57" s="14">
        <f>[1]Sheet2!Y56</f>
        <v>0</v>
      </c>
      <c r="AZ57" s="16">
        <f>Demand_LP!B$4/28</f>
        <v>811.09813487293957</v>
      </c>
      <c r="BA57" s="16">
        <f>Demand_LP!C$4/28</f>
        <v>502.83223443223443</v>
      </c>
      <c r="BB57" s="16">
        <f>Demand_LP!D$4/28</f>
        <v>282.53663003663002</v>
      </c>
      <c r="BC57" s="16">
        <f>Demand_LP!E$4/28</f>
        <v>759.73919413919407</v>
      </c>
      <c r="BD57" s="16">
        <f>Demand_LP!F$4/28</f>
        <v>495.28213999542123</v>
      </c>
      <c r="BE57" s="16">
        <f>Demand_LP!G$4/28</f>
        <v>496.42857142857144</v>
      </c>
      <c r="BF57" s="16">
        <f>Demand_LP!H$4/28</f>
        <v>535.71428571428567</v>
      </c>
      <c r="BG57" s="16">
        <f>Demand_LP!I$4/28</f>
        <v>496.42857142857144</v>
      </c>
      <c r="BH57" s="16">
        <f>Demand_LP!J$4/28</f>
        <v>482.14285714285717</v>
      </c>
      <c r="BI57" s="16">
        <f>Demand_LP!K$4/28</f>
        <v>471.42857142857144</v>
      </c>
      <c r="BJ57" s="16">
        <f t="shared" si="16"/>
        <v>-24248.310547590438</v>
      </c>
      <c r="BK57" s="16">
        <f t="shared" si="17"/>
        <v>-26128.259340659311</v>
      </c>
      <c r="BL57" s="16">
        <f t="shared" si="18"/>
        <v>-3665.8424908424913</v>
      </c>
      <c r="BM57" s="16">
        <f t="shared" si="19"/>
        <v>-29066.725824175828</v>
      </c>
      <c r="BN57" s="16">
        <f t="shared" si="20"/>
        <v>-16341.888338484423</v>
      </c>
      <c r="BO57" s="16">
        <f t="shared" si="21"/>
        <v>-15417.857142857136</v>
      </c>
      <c r="BP57" s="16">
        <f t="shared" si="22"/>
        <v>-20321.42857142858</v>
      </c>
      <c r="BQ57" s="16">
        <f t="shared" si="23"/>
        <v>-15417.857142857136</v>
      </c>
      <c r="BR57" s="16">
        <f t="shared" si="24"/>
        <v>-13089.285714285712</v>
      </c>
      <c r="BS57" s="16">
        <f t="shared" si="25"/>
        <v>-13842.857142857136</v>
      </c>
      <c r="BT57" s="14">
        <f>IF([1]Sheet2!CB56=999999,"NA",[1]Sheet2!CB56)</f>
        <v>0</v>
      </c>
      <c r="BU57" s="14">
        <f>IF([1]Sheet2!CC56=999999,"NA",[1]Sheet2!CC56)</f>
        <v>0</v>
      </c>
      <c r="BV57" s="14">
        <f>IF([1]Sheet2!CD56=999999,"NA",[1]Sheet2!CD56)</f>
        <v>0</v>
      </c>
      <c r="BW57" s="14">
        <f>IF([1]Sheet2!CE56=999999,"NA",[1]Sheet2!CE56)</f>
        <v>0</v>
      </c>
      <c r="BX57" s="14">
        <f>IF([1]Sheet2!CF56=999999,"NA",[1]Sheet2!CF56)</f>
        <v>0</v>
      </c>
      <c r="BY57" s="14">
        <f>IF([1]Sheet2!CG56=999999,"NA",[1]Sheet2!CG56)</f>
        <v>0</v>
      </c>
      <c r="BZ57" s="14">
        <f>IF([1]Sheet2!CH56=999999,"NA",[1]Sheet2!CH56)</f>
        <v>0</v>
      </c>
      <c r="CA57" s="14">
        <f>IF([1]Sheet2!CI56=999999,"NA",[1]Sheet2!CI56)</f>
        <v>0</v>
      </c>
      <c r="CB57" s="14">
        <f>IF([1]Sheet2!CJ56=999999,"NA",[1]Sheet2!CJ56)</f>
        <v>0</v>
      </c>
      <c r="CC57" s="14">
        <f>IF([1]Sheet2!CK56=999999,"NA",[1]Sheet2!CK56)</f>
        <v>0</v>
      </c>
      <c r="CD57" s="14">
        <f>[1]Sheet2!BH56</f>
        <v>0</v>
      </c>
      <c r="CE57" s="14">
        <f>[1]Sheet2!BI56</f>
        <v>0</v>
      </c>
      <c r="CF57" s="14">
        <f>[1]Sheet2!BJ56</f>
        <v>0</v>
      </c>
      <c r="CG57" s="14">
        <f>[1]Sheet2!BK56</f>
        <v>0</v>
      </c>
      <c r="CH57" s="14">
        <f>[1]Sheet2!BL56</f>
        <v>0</v>
      </c>
      <c r="CI57" s="14">
        <f>[1]Sheet2!BM56</f>
        <v>0</v>
      </c>
      <c r="CJ57" s="14">
        <f>[1]Sheet2!BN56</f>
        <v>0</v>
      </c>
      <c r="CK57" s="14">
        <f>[1]Sheet2!BO56</f>
        <v>0</v>
      </c>
      <c r="CL57" s="14">
        <f>[1]Sheet2!BP56</f>
        <v>0</v>
      </c>
      <c r="CM57" s="14">
        <f>[1]Sheet2!BQ56</f>
        <v>0</v>
      </c>
      <c r="CN57" s="16">
        <f>Demand_SW!B$4/28</f>
        <v>94.69780219780219</v>
      </c>
      <c r="CO57" s="16">
        <f>Demand_SW!C$4/28</f>
        <v>0</v>
      </c>
      <c r="CP57" s="16">
        <f>Demand_SW!D$4/28</f>
        <v>0</v>
      </c>
      <c r="CQ57" s="16">
        <f>Demand_SW!E$4/28</f>
        <v>0</v>
      </c>
      <c r="CR57" s="16">
        <f>Demand_SW!F$4/28</f>
        <v>0</v>
      </c>
      <c r="CS57" s="16">
        <f>Demand_SW!G$4/28</f>
        <v>85.714285714285708</v>
      </c>
      <c r="CT57" s="16">
        <f>Demand_SW!H$4/28</f>
        <v>0</v>
      </c>
      <c r="CU57" s="16">
        <f>Demand_SW!I$4/28</f>
        <v>0</v>
      </c>
      <c r="CV57" s="16">
        <f>Demand_SW!J$4/28</f>
        <v>0</v>
      </c>
      <c r="CW57" s="16">
        <f>Demand_SW!K$4/28</f>
        <v>0</v>
      </c>
      <c r="CX57" s="16">
        <f t="shared" si="26"/>
        <v>-1504.9725274725272</v>
      </c>
      <c r="CY57" s="16">
        <f t="shared" si="27"/>
        <v>1000</v>
      </c>
      <c r="CZ57" s="16">
        <f t="shared" si="28"/>
        <v>0</v>
      </c>
      <c r="DA57" s="16">
        <f t="shared" si="29"/>
        <v>0</v>
      </c>
      <c r="DB57" s="16">
        <f t="shared" si="30"/>
        <v>0</v>
      </c>
      <c r="DC57" s="16">
        <f t="shared" si="31"/>
        <v>-1071.4285714285659</v>
      </c>
      <c r="DD57" s="16">
        <f t="shared" si="32"/>
        <v>1000</v>
      </c>
      <c r="DE57" s="16">
        <f t="shared" si="33"/>
        <v>0</v>
      </c>
      <c r="DF57" s="16">
        <f t="shared" si="34"/>
        <v>0</v>
      </c>
      <c r="DG57" s="16">
        <f t="shared" si="35"/>
        <v>0</v>
      </c>
      <c r="DH57" s="14">
        <f>IF([1]Sheet2!DS56=999999,"NA",[1]Sheet2!DS56)</f>
        <v>0</v>
      </c>
      <c r="DI57" s="14">
        <f>IF([1]Sheet2!DT56=999999,"NA",[1]Sheet2!DT56)</f>
        <v>311</v>
      </c>
      <c r="DJ57" s="14" t="str">
        <f>IF([1]Sheet2!DU56=999999,"NA",[1]Sheet2!DU56)</f>
        <v>NA</v>
      </c>
      <c r="DK57" s="14" t="str">
        <f>IF([1]Sheet2!DV56=999999,"NA",[1]Sheet2!DV56)</f>
        <v>NA</v>
      </c>
      <c r="DL57" s="14" t="str">
        <f>IF([1]Sheet2!DW56=999999,"NA",[1]Sheet2!DW56)</f>
        <v>NA</v>
      </c>
      <c r="DM57" s="14">
        <f>IF([1]Sheet2!DX56=999999,"NA",[1]Sheet2!DX56)</f>
        <v>0</v>
      </c>
      <c r="DN57" s="14">
        <f>IF([1]Sheet2!DY56=999999,"NA",[1]Sheet2!DY56)</f>
        <v>311</v>
      </c>
      <c r="DO57" s="14" t="str">
        <f>IF([1]Sheet2!DZ56=999999,"NA",[1]Sheet2!DZ56)</f>
        <v>NA</v>
      </c>
      <c r="DP57" s="14" t="str">
        <f>IF([1]Sheet2!EA56=999999,"NA",[1]Sheet2!EA56)</f>
        <v>NA</v>
      </c>
      <c r="DQ57" s="14" t="str">
        <f>IF([1]Sheet2!EB56=999999,"NA",[1]Sheet2!EB56)</f>
        <v>NA</v>
      </c>
      <c r="DR57" s="14">
        <f>[1]Sheet2!CY56</f>
        <v>0</v>
      </c>
      <c r="DS57" s="14">
        <f>[1]Sheet2!CZ56</f>
        <v>0</v>
      </c>
      <c r="DT57" s="14">
        <f>[1]Sheet2!DA56</f>
        <v>0</v>
      </c>
      <c r="DU57" s="14">
        <f>[1]Sheet2!DB56</f>
        <v>0</v>
      </c>
      <c r="DV57" s="14">
        <f>[1]Sheet2!DC56</f>
        <v>0</v>
      </c>
      <c r="DW57" s="14">
        <f>[1]Sheet2!DD56</f>
        <v>0</v>
      </c>
      <c r="DX57" s="14">
        <f>[1]Sheet2!DE56</f>
        <v>0</v>
      </c>
      <c r="DY57" s="14">
        <f>[1]Sheet2!DF56</f>
        <v>0</v>
      </c>
      <c r="DZ57" s="14">
        <f>[1]Sheet2!DG56</f>
        <v>0</v>
      </c>
      <c r="EA57" s="14">
        <f>[1]Sheet2!DH56</f>
        <v>0</v>
      </c>
      <c r="EB57" s="6">
        <f>[1]Sheet2!EC56</f>
        <v>0</v>
      </c>
      <c r="EC57" s="6">
        <f>[1]Sheet2!ED56</f>
        <v>0</v>
      </c>
      <c r="ED57" s="6">
        <f>[1]Sheet2!EE56</f>
        <v>0</v>
      </c>
      <c r="EE57" s="6">
        <f>[1]Sheet2!EF56</f>
        <v>0</v>
      </c>
      <c r="EF57" s="6">
        <f>[1]Sheet2!EG56</f>
        <v>0</v>
      </c>
      <c r="EG57" s="6">
        <f>[1]Sheet2!EH56</f>
        <v>0</v>
      </c>
      <c r="EH57" s="6">
        <f>[1]Sheet2!EI56</f>
        <v>0</v>
      </c>
      <c r="EI57" s="6">
        <f>[1]Sheet2!EJ56</f>
        <v>0</v>
      </c>
      <c r="EJ57" s="6">
        <f>[1]Sheet2!EK56</f>
        <v>0</v>
      </c>
      <c r="EK57" s="6">
        <f>[1]Sheet2!EL56</f>
        <v>0</v>
      </c>
      <c r="EL57" s="6" t="str">
        <f>[1]Sheet2!EM56</f>
        <v/>
      </c>
      <c r="EM57" s="6" t="str">
        <f>[1]Sheet2!EN56</f>
        <v/>
      </c>
      <c r="EN57" s="6" t="str">
        <f>[1]Sheet2!EO56</f>
        <v/>
      </c>
      <c r="EO57" s="6" t="str">
        <f>[1]Sheet2!EP56</f>
        <v/>
      </c>
      <c r="EP57" s="6" t="str">
        <f>[1]Sheet2!EQ56</f>
        <v/>
      </c>
      <c r="EQ57" s="6" t="str">
        <f>[1]Sheet2!ER56</f>
        <v/>
      </c>
      <c r="ER57" s="6" t="str">
        <f>[1]Sheet2!ES56</f>
        <v/>
      </c>
      <c r="ES57" s="6" t="str">
        <f>[1]Sheet2!ET56</f>
        <v/>
      </c>
      <c r="ET57" s="6" t="str">
        <f>[1]Sheet2!EU56</f>
        <v/>
      </c>
      <c r="EU57" s="6" t="str">
        <f>[1]Sheet2!EV56</f>
        <v/>
      </c>
      <c r="EV57" s="6" t="str">
        <f>[1]Sheet2!EW56</f>
        <v/>
      </c>
      <c r="EW57" s="6" t="str">
        <f>[1]Sheet2!EX56</f>
        <v/>
      </c>
      <c r="EX57" s="6" t="str">
        <f>[1]Sheet2!EY56</f>
        <v/>
      </c>
      <c r="EY57" s="6" t="str">
        <f>[1]Sheet2!EZ56</f>
        <v/>
      </c>
      <c r="EZ57" s="6" t="str">
        <f>[1]Sheet2!FA56</f>
        <v/>
      </c>
      <c r="FA57" s="6" t="str">
        <f>[1]Sheet2!FB56</f>
        <v/>
      </c>
      <c r="FB57" s="6" t="str">
        <f>[1]Sheet2!FC56</f>
        <v/>
      </c>
      <c r="FC57" s="6" t="str">
        <f>[1]Sheet2!FD56</f>
        <v/>
      </c>
      <c r="FD57" s="6" t="str">
        <f>[1]Sheet2!FE56</f>
        <v/>
      </c>
      <c r="FE57" s="6" t="str">
        <f>[1]Sheet2!FF56</f>
        <v/>
      </c>
      <c r="FF57" s="6" t="str">
        <f>[1]Sheet2!FG56</f>
        <v/>
      </c>
      <c r="FG57" s="6" t="str">
        <f>[1]Sheet2!FH56</f>
        <v/>
      </c>
      <c r="FH57" s="6" t="str">
        <f>[1]Sheet2!FI56</f>
        <v/>
      </c>
      <c r="FI57" s="6" t="str">
        <f>[1]Sheet2!FJ56</f>
        <v/>
      </c>
      <c r="FJ57" s="6" t="str">
        <f>[1]Sheet2!FK56</f>
        <v/>
      </c>
      <c r="FK57" s="6" t="str">
        <f>[1]Sheet2!FL56</f>
        <v/>
      </c>
      <c r="FL57" s="6" t="str">
        <f>[1]Sheet2!FM56</f>
        <v/>
      </c>
      <c r="FM57" s="6" t="str">
        <f>[1]Sheet2!FN56</f>
        <v/>
      </c>
      <c r="FN57" s="6" t="str">
        <f>[1]Sheet2!FO56</f>
        <v/>
      </c>
      <c r="FO57" s="6" t="str">
        <f>[1]Sheet2!FP56</f>
        <v/>
      </c>
    </row>
    <row r="58" spans="1:171" x14ac:dyDescent="0.25">
      <c r="A58" s="15">
        <v>43520</v>
      </c>
      <c r="B58" s="1"/>
      <c r="C58" s="1"/>
      <c r="D58" s="1"/>
      <c r="E58" s="14">
        <f>[1]Sheet2!N57</f>
        <v>0</v>
      </c>
      <c r="F58" s="14">
        <f>[1]Sheet2!BE57</f>
        <v>0</v>
      </c>
      <c r="G58" s="14">
        <f>[1]Sheet2!CW57</f>
        <v>0</v>
      </c>
      <c r="H58" s="1"/>
      <c r="I58" s="1"/>
      <c r="J58" s="1"/>
      <c r="K58" s="16"/>
      <c r="L58" s="16">
        <f>Demand_CWRS!B$4/28</f>
        <v>131.68146963713369</v>
      </c>
      <c r="M58" s="16">
        <f>Demand_CWRS!C$4/28</f>
        <v>501.27216117216119</v>
      </c>
      <c r="N58" s="16">
        <f>Demand_CWRS!D$4/28</f>
        <v>0</v>
      </c>
      <c r="O58" s="16">
        <f>Demand_CWRS!E$4/28</f>
        <v>130.17472527472526</v>
      </c>
      <c r="P58" s="16">
        <f>Demand_CWRS!F$4/28</f>
        <v>262.94741300366297</v>
      </c>
      <c r="Q58" s="16">
        <f>Demand_CWRS!G$4/28</f>
        <v>127.85714285714286</v>
      </c>
      <c r="R58" s="16">
        <f>Demand_CWRS!H$4/28</f>
        <v>207.14285714285714</v>
      </c>
      <c r="S58" s="16">
        <f>Demand_CWRS!I$4/28</f>
        <v>214.28571428571428</v>
      </c>
      <c r="T58" s="16">
        <f>Demand_CWRS!J$4/28</f>
        <v>207.14285714285714</v>
      </c>
      <c r="U58" s="16">
        <f>Demand_CWRS!K$4/28</f>
        <v>221.42857142857142</v>
      </c>
      <c r="V58" s="16">
        <f t="shared" si="6"/>
        <v>-5870.2179315476214</v>
      </c>
      <c r="W58" s="16">
        <f t="shared" si="7"/>
        <v>-14523.54212454212</v>
      </c>
      <c r="X58" s="16">
        <f t="shared" si="8"/>
        <v>0</v>
      </c>
      <c r="Y58" s="16">
        <f t="shared" si="9"/>
        <v>2810.7745421245509</v>
      </c>
      <c r="Z58" s="16">
        <f t="shared" si="10"/>
        <v>-7460.1769345238108</v>
      </c>
      <c r="AA58" s="16">
        <f t="shared" si="11"/>
        <v>-4668.5714285714294</v>
      </c>
      <c r="AB58" s="16">
        <f t="shared" si="12"/>
        <v>-12164.438827838823</v>
      </c>
      <c r="AC58" s="16">
        <f t="shared" si="13"/>
        <v>-6342.8571428571458</v>
      </c>
      <c r="AD58" s="16">
        <f t="shared" si="14"/>
        <v>-6471.4285714285706</v>
      </c>
      <c r="AE58" s="16">
        <f t="shared" si="15"/>
        <v>-7014.2857142857147</v>
      </c>
      <c r="AF58" s="14">
        <f>IF([1]Sheet2!AJ57=999999,"NA",[1]Sheet2!AJ57)</f>
        <v>0</v>
      </c>
      <c r="AG58" s="14">
        <f>IF([1]Sheet2!AK57=999999,"NA",[1]Sheet2!AK57)</f>
        <v>0</v>
      </c>
      <c r="AH58" s="14" t="str">
        <f>IF([1]Sheet2!AL57=999999,"NA",[1]Sheet2!AL57)</f>
        <v>NA</v>
      </c>
      <c r="AI58" s="14">
        <f>IF([1]Sheet2!AM57=999999,"NA",[1]Sheet2!AM57)</f>
        <v>22</v>
      </c>
      <c r="AJ58" s="14">
        <f>IF([1]Sheet2!AN57=999999,"NA",[1]Sheet2!AN57)</f>
        <v>0</v>
      </c>
      <c r="AK58" s="14">
        <f>IF([1]Sheet2!AO57=999999,"NA",[1]Sheet2!AO57)</f>
        <v>0</v>
      </c>
      <c r="AL58" s="14">
        <f>IF([1]Sheet2!AP57=999999,"NA",[1]Sheet2!AP57)</f>
        <v>0</v>
      </c>
      <c r="AM58" s="14">
        <f>IF([1]Sheet2!AQ57=999999,"NA",[1]Sheet2!AQ57)</f>
        <v>0</v>
      </c>
      <c r="AN58" s="14">
        <f>IF([1]Sheet2!AR57=999999,"NA",[1]Sheet2!AR57)</f>
        <v>0</v>
      </c>
      <c r="AO58" s="14">
        <f>IF([1]Sheet2!AS57=999999,"NA",[1]Sheet2!AS57)</f>
        <v>0</v>
      </c>
      <c r="AP58" s="14">
        <f>[1]Sheet2!P57</f>
        <v>0</v>
      </c>
      <c r="AQ58" s="14">
        <f>[1]Sheet2!Q57</f>
        <v>0</v>
      </c>
      <c r="AR58" s="14">
        <f>[1]Sheet2!R57</f>
        <v>0</v>
      </c>
      <c r="AS58" s="14">
        <f>[1]Sheet2!S57</f>
        <v>0</v>
      </c>
      <c r="AT58" s="14">
        <f>[1]Sheet2!T57</f>
        <v>0</v>
      </c>
      <c r="AU58" s="14">
        <f>[1]Sheet2!U57</f>
        <v>0</v>
      </c>
      <c r="AV58" s="14">
        <f>[1]Sheet2!V57</f>
        <v>0</v>
      </c>
      <c r="AW58" s="14">
        <f>[1]Sheet2!W57</f>
        <v>0</v>
      </c>
      <c r="AX58" s="14">
        <f>[1]Sheet2!X57</f>
        <v>0</v>
      </c>
      <c r="AY58" s="14">
        <f>[1]Sheet2!Y57</f>
        <v>0</v>
      </c>
      <c r="AZ58" s="16">
        <f>Demand_LP!B$4/28</f>
        <v>811.09813487293957</v>
      </c>
      <c r="BA58" s="16">
        <f>Demand_LP!C$4/28</f>
        <v>502.83223443223443</v>
      </c>
      <c r="BB58" s="16">
        <f>Demand_LP!D$4/28</f>
        <v>282.53663003663002</v>
      </c>
      <c r="BC58" s="16">
        <f>Demand_LP!E$4/28</f>
        <v>759.73919413919407</v>
      </c>
      <c r="BD58" s="16">
        <f>Demand_LP!F$4/28</f>
        <v>495.28213999542123</v>
      </c>
      <c r="BE58" s="16">
        <f>Demand_LP!G$4/28</f>
        <v>496.42857142857144</v>
      </c>
      <c r="BF58" s="16">
        <f>Demand_LP!H$4/28</f>
        <v>535.71428571428567</v>
      </c>
      <c r="BG58" s="16">
        <f>Demand_LP!I$4/28</f>
        <v>496.42857142857144</v>
      </c>
      <c r="BH58" s="16">
        <f>Demand_LP!J$4/28</f>
        <v>482.14285714285717</v>
      </c>
      <c r="BI58" s="16">
        <f>Demand_LP!K$4/28</f>
        <v>471.42857142857144</v>
      </c>
      <c r="BJ58" s="16">
        <f t="shared" si="16"/>
        <v>-25059.408682463378</v>
      </c>
      <c r="BK58" s="16">
        <f t="shared" si="17"/>
        <v>-26631.091575091545</v>
      </c>
      <c r="BL58" s="16">
        <f t="shared" si="18"/>
        <v>-3948.3791208791213</v>
      </c>
      <c r="BM58" s="16">
        <f t="shared" si="19"/>
        <v>-29826.465018315022</v>
      </c>
      <c r="BN58" s="16">
        <f t="shared" si="20"/>
        <v>-16837.170478479846</v>
      </c>
      <c r="BO58" s="16">
        <f t="shared" si="21"/>
        <v>-15914.285714285706</v>
      </c>
      <c r="BP58" s="16">
        <f t="shared" si="22"/>
        <v>-20857.142857142866</v>
      </c>
      <c r="BQ58" s="16">
        <f t="shared" si="23"/>
        <v>-15914.285714285706</v>
      </c>
      <c r="BR58" s="16">
        <f t="shared" si="24"/>
        <v>-13571.428571428569</v>
      </c>
      <c r="BS58" s="16">
        <f t="shared" si="25"/>
        <v>-14314.285714285706</v>
      </c>
      <c r="BT58" s="14">
        <f>IF([1]Sheet2!CB57=999999,"NA",[1]Sheet2!CB57)</f>
        <v>0</v>
      </c>
      <c r="BU58" s="14">
        <f>IF([1]Sheet2!CC57=999999,"NA",[1]Sheet2!CC57)</f>
        <v>0</v>
      </c>
      <c r="BV58" s="14">
        <f>IF([1]Sheet2!CD57=999999,"NA",[1]Sheet2!CD57)</f>
        <v>0</v>
      </c>
      <c r="BW58" s="14">
        <f>IF([1]Sheet2!CE57=999999,"NA",[1]Sheet2!CE57)</f>
        <v>0</v>
      </c>
      <c r="BX58" s="14">
        <f>IF([1]Sheet2!CF57=999999,"NA",[1]Sheet2!CF57)</f>
        <v>0</v>
      </c>
      <c r="BY58" s="14">
        <f>IF([1]Sheet2!CG57=999999,"NA",[1]Sheet2!CG57)</f>
        <v>0</v>
      </c>
      <c r="BZ58" s="14">
        <f>IF([1]Sheet2!CH57=999999,"NA",[1]Sheet2!CH57)</f>
        <v>0</v>
      </c>
      <c r="CA58" s="14">
        <f>IF([1]Sheet2!CI57=999999,"NA",[1]Sheet2!CI57)</f>
        <v>0</v>
      </c>
      <c r="CB58" s="14">
        <f>IF([1]Sheet2!CJ57=999999,"NA",[1]Sheet2!CJ57)</f>
        <v>0</v>
      </c>
      <c r="CC58" s="14">
        <f>IF([1]Sheet2!CK57=999999,"NA",[1]Sheet2!CK57)</f>
        <v>0</v>
      </c>
      <c r="CD58" s="14">
        <f>[1]Sheet2!BH57</f>
        <v>0</v>
      </c>
      <c r="CE58" s="14">
        <f>[1]Sheet2!BI57</f>
        <v>0</v>
      </c>
      <c r="CF58" s="14">
        <f>[1]Sheet2!BJ57</f>
        <v>0</v>
      </c>
      <c r="CG58" s="14">
        <f>[1]Sheet2!BK57</f>
        <v>0</v>
      </c>
      <c r="CH58" s="14">
        <f>[1]Sheet2!BL57</f>
        <v>0</v>
      </c>
      <c r="CI58" s="14">
        <f>[1]Sheet2!BM57</f>
        <v>0</v>
      </c>
      <c r="CJ58" s="14">
        <f>[1]Sheet2!BN57</f>
        <v>0</v>
      </c>
      <c r="CK58" s="14">
        <f>[1]Sheet2!BO57</f>
        <v>0</v>
      </c>
      <c r="CL58" s="14">
        <f>[1]Sheet2!BP57</f>
        <v>0</v>
      </c>
      <c r="CM58" s="14">
        <f>[1]Sheet2!BQ57</f>
        <v>0</v>
      </c>
      <c r="CN58" s="16">
        <f>Demand_SW!B$4/28</f>
        <v>94.69780219780219</v>
      </c>
      <c r="CO58" s="16">
        <f>Demand_SW!C$4/28</f>
        <v>0</v>
      </c>
      <c r="CP58" s="16">
        <f>Demand_SW!D$4/28</f>
        <v>0</v>
      </c>
      <c r="CQ58" s="16">
        <f>Demand_SW!E$4/28</f>
        <v>0</v>
      </c>
      <c r="CR58" s="16">
        <f>Demand_SW!F$4/28</f>
        <v>0</v>
      </c>
      <c r="CS58" s="16">
        <f>Demand_SW!G$4/28</f>
        <v>85.714285714285708</v>
      </c>
      <c r="CT58" s="16">
        <f>Demand_SW!H$4/28</f>
        <v>0</v>
      </c>
      <c r="CU58" s="16">
        <f>Demand_SW!I$4/28</f>
        <v>0</v>
      </c>
      <c r="CV58" s="16">
        <f>Demand_SW!J$4/28</f>
        <v>0</v>
      </c>
      <c r="CW58" s="16">
        <f>Demand_SW!K$4/28</f>
        <v>0</v>
      </c>
      <c r="CX58" s="16">
        <f t="shared" si="26"/>
        <v>-1599.6703296703295</v>
      </c>
      <c r="CY58" s="16">
        <f t="shared" si="27"/>
        <v>1000</v>
      </c>
      <c r="CZ58" s="16">
        <f t="shared" si="28"/>
        <v>0</v>
      </c>
      <c r="DA58" s="16">
        <f t="shared" si="29"/>
        <v>0</v>
      </c>
      <c r="DB58" s="16">
        <f t="shared" si="30"/>
        <v>0</v>
      </c>
      <c r="DC58" s="16">
        <f t="shared" si="31"/>
        <v>-1157.1428571428517</v>
      </c>
      <c r="DD58" s="16">
        <f t="shared" si="32"/>
        <v>1000</v>
      </c>
      <c r="DE58" s="16">
        <f t="shared" si="33"/>
        <v>0</v>
      </c>
      <c r="DF58" s="16">
        <f t="shared" si="34"/>
        <v>0</v>
      </c>
      <c r="DG58" s="16">
        <f t="shared" si="35"/>
        <v>0</v>
      </c>
      <c r="DH58" s="14">
        <f>IF([1]Sheet2!DS57=999999,"NA",[1]Sheet2!DS57)</f>
        <v>0</v>
      </c>
      <c r="DI58" s="14">
        <f>IF([1]Sheet2!DT57=999999,"NA",[1]Sheet2!DT57)</f>
        <v>310</v>
      </c>
      <c r="DJ58" s="14" t="str">
        <f>IF([1]Sheet2!DU57=999999,"NA",[1]Sheet2!DU57)</f>
        <v>NA</v>
      </c>
      <c r="DK58" s="14" t="str">
        <f>IF([1]Sheet2!DV57=999999,"NA",[1]Sheet2!DV57)</f>
        <v>NA</v>
      </c>
      <c r="DL58" s="14" t="str">
        <f>IF([1]Sheet2!DW57=999999,"NA",[1]Sheet2!DW57)</f>
        <v>NA</v>
      </c>
      <c r="DM58" s="14">
        <f>IF([1]Sheet2!DX57=999999,"NA",[1]Sheet2!DX57)</f>
        <v>0</v>
      </c>
      <c r="DN58" s="14">
        <f>IF([1]Sheet2!DY57=999999,"NA",[1]Sheet2!DY57)</f>
        <v>310</v>
      </c>
      <c r="DO58" s="14" t="str">
        <f>IF([1]Sheet2!DZ57=999999,"NA",[1]Sheet2!DZ57)</f>
        <v>NA</v>
      </c>
      <c r="DP58" s="14" t="str">
        <f>IF([1]Sheet2!EA57=999999,"NA",[1]Sheet2!EA57)</f>
        <v>NA</v>
      </c>
      <c r="DQ58" s="14" t="str">
        <f>IF([1]Sheet2!EB57=999999,"NA",[1]Sheet2!EB57)</f>
        <v>NA</v>
      </c>
      <c r="DR58" s="14">
        <f>[1]Sheet2!CY57</f>
        <v>0</v>
      </c>
      <c r="DS58" s="14">
        <f>[1]Sheet2!CZ57</f>
        <v>0</v>
      </c>
      <c r="DT58" s="14">
        <f>[1]Sheet2!DA57</f>
        <v>0</v>
      </c>
      <c r="DU58" s="14">
        <f>[1]Sheet2!DB57</f>
        <v>0</v>
      </c>
      <c r="DV58" s="14">
        <f>[1]Sheet2!DC57</f>
        <v>0</v>
      </c>
      <c r="DW58" s="14">
        <f>[1]Sheet2!DD57</f>
        <v>0</v>
      </c>
      <c r="DX58" s="14">
        <f>[1]Sheet2!DE57</f>
        <v>0</v>
      </c>
      <c r="DY58" s="14">
        <f>[1]Sheet2!DF57</f>
        <v>0</v>
      </c>
      <c r="DZ58" s="14">
        <f>[1]Sheet2!DG57</f>
        <v>0</v>
      </c>
      <c r="EA58" s="14">
        <f>[1]Sheet2!DH57</f>
        <v>0</v>
      </c>
      <c r="EB58" s="6">
        <f>[1]Sheet2!EC57</f>
        <v>0</v>
      </c>
      <c r="EC58" s="6">
        <f>[1]Sheet2!ED57</f>
        <v>0</v>
      </c>
      <c r="ED58" s="6">
        <f>[1]Sheet2!EE57</f>
        <v>0</v>
      </c>
      <c r="EE58" s="6">
        <f>[1]Sheet2!EF57</f>
        <v>0</v>
      </c>
      <c r="EF58" s="6">
        <f>[1]Sheet2!EG57</f>
        <v>0</v>
      </c>
      <c r="EG58" s="6">
        <f>[1]Sheet2!EH57</f>
        <v>0</v>
      </c>
      <c r="EH58" s="6">
        <f>[1]Sheet2!EI57</f>
        <v>0</v>
      </c>
      <c r="EI58" s="6">
        <f>[1]Sheet2!EJ57</f>
        <v>0</v>
      </c>
      <c r="EJ58" s="6">
        <f>[1]Sheet2!EK57</f>
        <v>0</v>
      </c>
      <c r="EK58" s="6">
        <f>[1]Sheet2!EL57</f>
        <v>0</v>
      </c>
      <c r="EL58" s="6" t="str">
        <f>[1]Sheet2!EM57</f>
        <v/>
      </c>
      <c r="EM58" s="6" t="str">
        <f>[1]Sheet2!EN57</f>
        <v/>
      </c>
      <c r="EN58" s="6" t="str">
        <f>[1]Sheet2!EO57</f>
        <v/>
      </c>
      <c r="EO58" s="6" t="str">
        <f>[1]Sheet2!EP57</f>
        <v/>
      </c>
      <c r="EP58" s="6" t="str">
        <f>[1]Sheet2!EQ57</f>
        <v/>
      </c>
      <c r="EQ58" s="6" t="str">
        <f>[1]Sheet2!ER57</f>
        <v/>
      </c>
      <c r="ER58" s="6" t="str">
        <f>[1]Sheet2!ES57</f>
        <v/>
      </c>
      <c r="ES58" s="6" t="str">
        <f>[1]Sheet2!ET57</f>
        <v/>
      </c>
      <c r="ET58" s="6" t="str">
        <f>[1]Sheet2!EU57</f>
        <v/>
      </c>
      <c r="EU58" s="6" t="str">
        <f>[1]Sheet2!EV57</f>
        <v/>
      </c>
      <c r="EV58" s="6" t="str">
        <f>[1]Sheet2!EW57</f>
        <v/>
      </c>
      <c r="EW58" s="6" t="str">
        <f>[1]Sheet2!EX57</f>
        <v/>
      </c>
      <c r="EX58" s="6" t="str">
        <f>[1]Sheet2!EY57</f>
        <v/>
      </c>
      <c r="EY58" s="6" t="str">
        <f>[1]Sheet2!EZ57</f>
        <v/>
      </c>
      <c r="EZ58" s="6" t="str">
        <f>[1]Sheet2!FA57</f>
        <v/>
      </c>
      <c r="FA58" s="6" t="str">
        <f>[1]Sheet2!FB57</f>
        <v/>
      </c>
      <c r="FB58" s="6" t="str">
        <f>[1]Sheet2!FC57</f>
        <v/>
      </c>
      <c r="FC58" s="6" t="str">
        <f>[1]Sheet2!FD57</f>
        <v/>
      </c>
      <c r="FD58" s="6" t="str">
        <f>[1]Sheet2!FE57</f>
        <v/>
      </c>
      <c r="FE58" s="6" t="str">
        <f>[1]Sheet2!FF57</f>
        <v/>
      </c>
      <c r="FF58" s="6" t="str">
        <f>[1]Sheet2!FG57</f>
        <v/>
      </c>
      <c r="FG58" s="6" t="str">
        <f>[1]Sheet2!FH57</f>
        <v/>
      </c>
      <c r="FH58" s="6" t="str">
        <f>[1]Sheet2!FI57</f>
        <v/>
      </c>
      <c r="FI58" s="6" t="str">
        <f>[1]Sheet2!FJ57</f>
        <v/>
      </c>
      <c r="FJ58" s="6" t="str">
        <f>[1]Sheet2!FK57</f>
        <v/>
      </c>
      <c r="FK58" s="6" t="str">
        <f>[1]Sheet2!FL57</f>
        <v/>
      </c>
      <c r="FL58" s="6" t="str">
        <f>[1]Sheet2!FM57</f>
        <v/>
      </c>
      <c r="FM58" s="6" t="str">
        <f>[1]Sheet2!FN57</f>
        <v/>
      </c>
      <c r="FN58" s="6" t="str">
        <f>[1]Sheet2!FO57</f>
        <v/>
      </c>
      <c r="FO58" s="6" t="str">
        <f>[1]Sheet2!FP57</f>
        <v/>
      </c>
    </row>
    <row r="59" spans="1:171" x14ac:dyDescent="0.25">
      <c r="A59" s="15">
        <v>43521</v>
      </c>
      <c r="B59" s="1"/>
      <c r="C59" s="1"/>
      <c r="D59" s="1"/>
      <c r="E59" s="14">
        <f>[1]Sheet2!N58</f>
        <v>0</v>
      </c>
      <c r="F59" s="14">
        <f>[1]Sheet2!BE58</f>
        <v>0</v>
      </c>
      <c r="G59" s="14">
        <f>[1]Sheet2!CW58</f>
        <v>0</v>
      </c>
      <c r="H59" s="1"/>
      <c r="I59" s="1"/>
      <c r="J59" s="1"/>
      <c r="K59" s="16"/>
      <c r="L59" s="16">
        <f>Demand_CWRS!B$4/28</f>
        <v>131.68146963713369</v>
      </c>
      <c r="M59" s="16">
        <f>Demand_CWRS!C$4/28</f>
        <v>501.27216117216119</v>
      </c>
      <c r="N59" s="16">
        <f>Demand_CWRS!D$4/28</f>
        <v>0</v>
      </c>
      <c r="O59" s="16">
        <f>Demand_CWRS!E$4/28</f>
        <v>130.17472527472526</v>
      </c>
      <c r="P59" s="16">
        <f>Demand_CWRS!F$4/28</f>
        <v>262.94741300366297</v>
      </c>
      <c r="Q59" s="16">
        <f>Demand_CWRS!G$4/28</f>
        <v>127.85714285714286</v>
      </c>
      <c r="R59" s="16">
        <f>Demand_CWRS!H$4/28</f>
        <v>207.14285714285714</v>
      </c>
      <c r="S59" s="16">
        <f>Demand_CWRS!I$4/28</f>
        <v>214.28571428571428</v>
      </c>
      <c r="T59" s="16">
        <f>Demand_CWRS!J$4/28</f>
        <v>207.14285714285714</v>
      </c>
      <c r="U59" s="16">
        <f>Demand_CWRS!K$4/28</f>
        <v>221.42857142857142</v>
      </c>
      <c r="V59" s="16">
        <f t="shared" si="6"/>
        <v>-6001.8994011847553</v>
      </c>
      <c r="W59" s="16">
        <f t="shared" si="7"/>
        <v>-15024.814285714281</v>
      </c>
      <c r="X59" s="16">
        <f t="shared" si="8"/>
        <v>0</v>
      </c>
      <c r="Y59" s="16">
        <f t="shared" si="9"/>
        <v>2680.5998168498254</v>
      </c>
      <c r="Z59" s="16">
        <f t="shared" si="10"/>
        <v>-7723.1243475274741</v>
      </c>
      <c r="AA59" s="16">
        <f t="shared" si="11"/>
        <v>-4796.4285714285725</v>
      </c>
      <c r="AB59" s="16">
        <f t="shared" si="12"/>
        <v>-12371.58168498168</v>
      </c>
      <c r="AC59" s="16">
        <f t="shared" si="13"/>
        <v>-6557.1428571428605</v>
      </c>
      <c r="AD59" s="16">
        <f t="shared" si="14"/>
        <v>-6678.5714285714275</v>
      </c>
      <c r="AE59" s="16">
        <f t="shared" si="15"/>
        <v>-7235.7142857142862</v>
      </c>
      <c r="AF59" s="14">
        <f>IF([1]Sheet2!AJ58=999999,"NA",[1]Sheet2!AJ58)</f>
        <v>0</v>
      </c>
      <c r="AG59" s="14">
        <f>IF([1]Sheet2!AK58=999999,"NA",[1]Sheet2!AK58)</f>
        <v>0</v>
      </c>
      <c r="AH59" s="14" t="str">
        <f>IF([1]Sheet2!AL58=999999,"NA",[1]Sheet2!AL58)</f>
        <v>NA</v>
      </c>
      <c r="AI59" s="14">
        <f>IF([1]Sheet2!AM58=999999,"NA",[1]Sheet2!AM58)</f>
        <v>21</v>
      </c>
      <c r="AJ59" s="14">
        <f>IF([1]Sheet2!AN58=999999,"NA",[1]Sheet2!AN58)</f>
        <v>0</v>
      </c>
      <c r="AK59" s="14">
        <f>IF([1]Sheet2!AO58=999999,"NA",[1]Sheet2!AO58)</f>
        <v>0</v>
      </c>
      <c r="AL59" s="14">
        <f>IF([1]Sheet2!AP58=999999,"NA",[1]Sheet2!AP58)</f>
        <v>0</v>
      </c>
      <c r="AM59" s="14">
        <f>IF([1]Sheet2!AQ58=999999,"NA",[1]Sheet2!AQ58)</f>
        <v>0</v>
      </c>
      <c r="AN59" s="14">
        <f>IF([1]Sheet2!AR58=999999,"NA",[1]Sheet2!AR58)</f>
        <v>0</v>
      </c>
      <c r="AO59" s="14">
        <f>IF([1]Sheet2!AS58=999999,"NA",[1]Sheet2!AS58)</f>
        <v>0</v>
      </c>
      <c r="AP59" s="14">
        <f>[1]Sheet2!P58</f>
        <v>0</v>
      </c>
      <c r="AQ59" s="14">
        <f>[1]Sheet2!Q58</f>
        <v>0</v>
      </c>
      <c r="AR59" s="14">
        <f>[1]Sheet2!R58</f>
        <v>0</v>
      </c>
      <c r="AS59" s="14">
        <f>[1]Sheet2!S58</f>
        <v>0</v>
      </c>
      <c r="AT59" s="14">
        <f>[1]Sheet2!T58</f>
        <v>0</v>
      </c>
      <c r="AU59" s="14">
        <f>[1]Sheet2!U58</f>
        <v>0</v>
      </c>
      <c r="AV59" s="14">
        <f>[1]Sheet2!V58</f>
        <v>0</v>
      </c>
      <c r="AW59" s="14">
        <f>[1]Sheet2!W58</f>
        <v>0</v>
      </c>
      <c r="AX59" s="14">
        <f>[1]Sheet2!X58</f>
        <v>0</v>
      </c>
      <c r="AY59" s="14">
        <f>[1]Sheet2!Y58</f>
        <v>0</v>
      </c>
      <c r="AZ59" s="16">
        <f>Demand_LP!B$4/28</f>
        <v>811.09813487293957</v>
      </c>
      <c r="BA59" s="16">
        <f>Demand_LP!C$4/28</f>
        <v>502.83223443223443</v>
      </c>
      <c r="BB59" s="16">
        <f>Demand_LP!D$4/28</f>
        <v>282.53663003663002</v>
      </c>
      <c r="BC59" s="16">
        <f>Demand_LP!E$4/28</f>
        <v>759.73919413919407</v>
      </c>
      <c r="BD59" s="16">
        <f>Demand_LP!F$4/28</f>
        <v>495.28213999542123</v>
      </c>
      <c r="BE59" s="16">
        <f>Demand_LP!G$4/28</f>
        <v>496.42857142857144</v>
      </c>
      <c r="BF59" s="16">
        <f>Demand_LP!H$4/28</f>
        <v>535.71428571428567</v>
      </c>
      <c r="BG59" s="16">
        <f>Demand_LP!I$4/28</f>
        <v>496.42857142857144</v>
      </c>
      <c r="BH59" s="16">
        <f>Demand_LP!J$4/28</f>
        <v>482.14285714285717</v>
      </c>
      <c r="BI59" s="16">
        <f>Demand_LP!K$4/28</f>
        <v>471.42857142857144</v>
      </c>
      <c r="BJ59" s="16">
        <f t="shared" si="16"/>
        <v>-25870.506817336318</v>
      </c>
      <c r="BK59" s="16">
        <f t="shared" si="17"/>
        <v>-27133.923809523778</v>
      </c>
      <c r="BL59" s="16">
        <f t="shared" si="18"/>
        <v>-4230.9157509157512</v>
      </c>
      <c r="BM59" s="16">
        <f t="shared" si="19"/>
        <v>-30586.204212454217</v>
      </c>
      <c r="BN59" s="16">
        <f t="shared" si="20"/>
        <v>-17332.452618475269</v>
      </c>
      <c r="BO59" s="16">
        <f t="shared" si="21"/>
        <v>-16410.714285714279</v>
      </c>
      <c r="BP59" s="16">
        <f t="shared" si="22"/>
        <v>-21392.857142857152</v>
      </c>
      <c r="BQ59" s="16">
        <f t="shared" si="23"/>
        <v>-16410.714285714279</v>
      </c>
      <c r="BR59" s="16">
        <f t="shared" si="24"/>
        <v>-14053.571428571426</v>
      </c>
      <c r="BS59" s="16">
        <f t="shared" si="25"/>
        <v>-14785.714285714277</v>
      </c>
      <c r="BT59" s="14">
        <f>IF([1]Sheet2!CB58=999999,"NA",[1]Sheet2!CB58)</f>
        <v>0</v>
      </c>
      <c r="BU59" s="14">
        <f>IF([1]Sheet2!CC58=999999,"NA",[1]Sheet2!CC58)</f>
        <v>0</v>
      </c>
      <c r="BV59" s="14">
        <f>IF([1]Sheet2!CD58=999999,"NA",[1]Sheet2!CD58)</f>
        <v>0</v>
      </c>
      <c r="BW59" s="14">
        <f>IF([1]Sheet2!CE58=999999,"NA",[1]Sheet2!CE58)</f>
        <v>0</v>
      </c>
      <c r="BX59" s="14">
        <f>IF([1]Sheet2!CF58=999999,"NA",[1]Sheet2!CF58)</f>
        <v>0</v>
      </c>
      <c r="BY59" s="14">
        <f>IF([1]Sheet2!CG58=999999,"NA",[1]Sheet2!CG58)</f>
        <v>0</v>
      </c>
      <c r="BZ59" s="14">
        <f>IF([1]Sheet2!CH58=999999,"NA",[1]Sheet2!CH58)</f>
        <v>0</v>
      </c>
      <c r="CA59" s="14">
        <f>IF([1]Sheet2!CI58=999999,"NA",[1]Sheet2!CI58)</f>
        <v>0</v>
      </c>
      <c r="CB59" s="14">
        <f>IF([1]Sheet2!CJ58=999999,"NA",[1]Sheet2!CJ58)</f>
        <v>0</v>
      </c>
      <c r="CC59" s="14">
        <f>IF([1]Sheet2!CK58=999999,"NA",[1]Sheet2!CK58)</f>
        <v>0</v>
      </c>
      <c r="CD59" s="14">
        <f>[1]Sheet2!BH58</f>
        <v>0</v>
      </c>
      <c r="CE59" s="14">
        <f>[1]Sheet2!BI58</f>
        <v>0</v>
      </c>
      <c r="CF59" s="14">
        <f>[1]Sheet2!BJ58</f>
        <v>0</v>
      </c>
      <c r="CG59" s="14">
        <f>[1]Sheet2!BK58</f>
        <v>0</v>
      </c>
      <c r="CH59" s="14">
        <f>[1]Sheet2!BL58</f>
        <v>0</v>
      </c>
      <c r="CI59" s="14">
        <f>[1]Sheet2!BM58</f>
        <v>0</v>
      </c>
      <c r="CJ59" s="14">
        <f>[1]Sheet2!BN58</f>
        <v>0</v>
      </c>
      <c r="CK59" s="14">
        <f>[1]Sheet2!BO58</f>
        <v>0</v>
      </c>
      <c r="CL59" s="14">
        <f>[1]Sheet2!BP58</f>
        <v>0</v>
      </c>
      <c r="CM59" s="14">
        <f>[1]Sheet2!BQ58</f>
        <v>0</v>
      </c>
      <c r="CN59" s="16">
        <f>Demand_SW!B$4/28</f>
        <v>94.69780219780219</v>
      </c>
      <c r="CO59" s="16">
        <f>Demand_SW!C$4/28</f>
        <v>0</v>
      </c>
      <c r="CP59" s="16">
        <f>Demand_SW!D$4/28</f>
        <v>0</v>
      </c>
      <c r="CQ59" s="16">
        <f>Demand_SW!E$4/28</f>
        <v>0</v>
      </c>
      <c r="CR59" s="16">
        <f>Demand_SW!F$4/28</f>
        <v>0</v>
      </c>
      <c r="CS59" s="16">
        <f>Demand_SW!G$4/28</f>
        <v>85.714285714285708</v>
      </c>
      <c r="CT59" s="16">
        <f>Demand_SW!H$4/28</f>
        <v>0</v>
      </c>
      <c r="CU59" s="16">
        <f>Demand_SW!I$4/28</f>
        <v>0</v>
      </c>
      <c r="CV59" s="16">
        <f>Demand_SW!J$4/28</f>
        <v>0</v>
      </c>
      <c r="CW59" s="16">
        <f>Demand_SW!K$4/28</f>
        <v>0</v>
      </c>
      <c r="CX59" s="16">
        <f t="shared" si="26"/>
        <v>-1694.3681318681317</v>
      </c>
      <c r="CY59" s="16">
        <f t="shared" si="27"/>
        <v>1000</v>
      </c>
      <c r="CZ59" s="16">
        <f t="shared" si="28"/>
        <v>0</v>
      </c>
      <c r="DA59" s="16">
        <f t="shared" si="29"/>
        <v>0</v>
      </c>
      <c r="DB59" s="16">
        <f t="shared" si="30"/>
        <v>0</v>
      </c>
      <c r="DC59" s="16">
        <f t="shared" si="31"/>
        <v>-1242.8571428571374</v>
      </c>
      <c r="DD59" s="16">
        <f t="shared" si="32"/>
        <v>1000</v>
      </c>
      <c r="DE59" s="16">
        <f t="shared" si="33"/>
        <v>0</v>
      </c>
      <c r="DF59" s="16">
        <f t="shared" si="34"/>
        <v>0</v>
      </c>
      <c r="DG59" s="16">
        <f t="shared" si="35"/>
        <v>0</v>
      </c>
      <c r="DH59" s="14">
        <f>IF([1]Sheet2!DS58=999999,"NA",[1]Sheet2!DS58)</f>
        <v>0</v>
      </c>
      <c r="DI59" s="14">
        <f>IF([1]Sheet2!DT58=999999,"NA",[1]Sheet2!DT58)</f>
        <v>309</v>
      </c>
      <c r="DJ59" s="14" t="str">
        <f>IF([1]Sheet2!DU58=999999,"NA",[1]Sheet2!DU58)</f>
        <v>NA</v>
      </c>
      <c r="DK59" s="14" t="str">
        <f>IF([1]Sheet2!DV58=999999,"NA",[1]Sheet2!DV58)</f>
        <v>NA</v>
      </c>
      <c r="DL59" s="14" t="str">
        <f>IF([1]Sheet2!DW58=999999,"NA",[1]Sheet2!DW58)</f>
        <v>NA</v>
      </c>
      <c r="DM59" s="14">
        <f>IF([1]Sheet2!DX58=999999,"NA",[1]Sheet2!DX58)</f>
        <v>0</v>
      </c>
      <c r="DN59" s="14">
        <f>IF([1]Sheet2!DY58=999999,"NA",[1]Sheet2!DY58)</f>
        <v>309</v>
      </c>
      <c r="DO59" s="14" t="str">
        <f>IF([1]Sheet2!DZ58=999999,"NA",[1]Sheet2!DZ58)</f>
        <v>NA</v>
      </c>
      <c r="DP59" s="14" t="str">
        <f>IF([1]Sheet2!EA58=999999,"NA",[1]Sheet2!EA58)</f>
        <v>NA</v>
      </c>
      <c r="DQ59" s="14" t="str">
        <f>IF([1]Sheet2!EB58=999999,"NA",[1]Sheet2!EB58)</f>
        <v>NA</v>
      </c>
      <c r="DR59" s="14">
        <f>[1]Sheet2!CY58</f>
        <v>0</v>
      </c>
      <c r="DS59" s="14">
        <f>[1]Sheet2!CZ58</f>
        <v>0</v>
      </c>
      <c r="DT59" s="14">
        <f>[1]Sheet2!DA58</f>
        <v>0</v>
      </c>
      <c r="DU59" s="14">
        <f>[1]Sheet2!DB58</f>
        <v>0</v>
      </c>
      <c r="DV59" s="14">
        <f>[1]Sheet2!DC58</f>
        <v>0</v>
      </c>
      <c r="DW59" s="14">
        <f>[1]Sheet2!DD58</f>
        <v>0</v>
      </c>
      <c r="DX59" s="14">
        <f>[1]Sheet2!DE58</f>
        <v>0</v>
      </c>
      <c r="DY59" s="14">
        <f>[1]Sheet2!DF58</f>
        <v>0</v>
      </c>
      <c r="DZ59" s="14">
        <f>[1]Sheet2!DG58</f>
        <v>0</v>
      </c>
      <c r="EA59" s="14">
        <f>[1]Sheet2!DH58</f>
        <v>0</v>
      </c>
      <c r="EB59" s="6">
        <f>[1]Sheet2!EC58</f>
        <v>0</v>
      </c>
      <c r="EC59" s="6">
        <f>[1]Sheet2!ED58</f>
        <v>0</v>
      </c>
      <c r="ED59" s="6">
        <f>[1]Sheet2!EE58</f>
        <v>0</v>
      </c>
      <c r="EE59" s="6">
        <f>[1]Sheet2!EF58</f>
        <v>0</v>
      </c>
      <c r="EF59" s="6">
        <f>[1]Sheet2!EG58</f>
        <v>0</v>
      </c>
      <c r="EG59" s="6">
        <f>[1]Sheet2!EH58</f>
        <v>0</v>
      </c>
      <c r="EH59" s="6">
        <f>[1]Sheet2!EI58</f>
        <v>0</v>
      </c>
      <c r="EI59" s="6">
        <f>[1]Sheet2!EJ58</f>
        <v>0</v>
      </c>
      <c r="EJ59" s="6">
        <f>[1]Sheet2!EK58</f>
        <v>0</v>
      </c>
      <c r="EK59" s="6">
        <f>[1]Sheet2!EL58</f>
        <v>0</v>
      </c>
      <c r="EL59" s="6" t="str">
        <f>[1]Sheet2!EM58</f>
        <v/>
      </c>
      <c r="EM59" s="6" t="str">
        <f>[1]Sheet2!EN58</f>
        <v/>
      </c>
      <c r="EN59" s="6" t="str">
        <f>[1]Sheet2!EO58</f>
        <v/>
      </c>
      <c r="EO59" s="6" t="str">
        <f>[1]Sheet2!EP58</f>
        <v/>
      </c>
      <c r="EP59" s="6" t="str">
        <f>[1]Sheet2!EQ58</f>
        <v/>
      </c>
      <c r="EQ59" s="6" t="str">
        <f>[1]Sheet2!ER58</f>
        <v/>
      </c>
      <c r="ER59" s="6" t="str">
        <f>[1]Sheet2!ES58</f>
        <v/>
      </c>
      <c r="ES59" s="6" t="str">
        <f>[1]Sheet2!ET58</f>
        <v/>
      </c>
      <c r="ET59" s="6" t="str">
        <f>[1]Sheet2!EU58</f>
        <v/>
      </c>
      <c r="EU59" s="6" t="str">
        <f>[1]Sheet2!EV58</f>
        <v/>
      </c>
      <c r="EV59" s="6" t="str">
        <f>[1]Sheet2!EW58</f>
        <v/>
      </c>
      <c r="EW59" s="6" t="str">
        <f>[1]Sheet2!EX58</f>
        <v/>
      </c>
      <c r="EX59" s="6" t="str">
        <f>[1]Sheet2!EY58</f>
        <v/>
      </c>
      <c r="EY59" s="6" t="str">
        <f>[1]Sheet2!EZ58</f>
        <v/>
      </c>
      <c r="EZ59" s="6" t="str">
        <f>[1]Sheet2!FA58</f>
        <v/>
      </c>
      <c r="FA59" s="6" t="str">
        <f>[1]Sheet2!FB58</f>
        <v/>
      </c>
      <c r="FB59" s="6" t="str">
        <f>[1]Sheet2!FC58</f>
        <v/>
      </c>
      <c r="FC59" s="6" t="str">
        <f>[1]Sheet2!FD58</f>
        <v/>
      </c>
      <c r="FD59" s="6" t="str">
        <f>[1]Sheet2!FE58</f>
        <v/>
      </c>
      <c r="FE59" s="6" t="str">
        <f>[1]Sheet2!FF58</f>
        <v/>
      </c>
      <c r="FF59" s="6" t="str">
        <f>[1]Sheet2!FG58</f>
        <v/>
      </c>
      <c r="FG59" s="6" t="str">
        <f>[1]Sheet2!FH58</f>
        <v/>
      </c>
      <c r="FH59" s="6" t="str">
        <f>[1]Sheet2!FI58</f>
        <v/>
      </c>
      <c r="FI59" s="6" t="str">
        <f>[1]Sheet2!FJ58</f>
        <v/>
      </c>
      <c r="FJ59" s="6" t="str">
        <f>[1]Sheet2!FK58</f>
        <v/>
      </c>
      <c r="FK59" s="6" t="str">
        <f>[1]Sheet2!FL58</f>
        <v/>
      </c>
      <c r="FL59" s="6" t="str">
        <f>[1]Sheet2!FM58</f>
        <v/>
      </c>
      <c r="FM59" s="6" t="str">
        <f>[1]Sheet2!FN58</f>
        <v/>
      </c>
      <c r="FN59" s="6" t="str">
        <f>[1]Sheet2!FO58</f>
        <v/>
      </c>
      <c r="FO59" s="6" t="str">
        <f>[1]Sheet2!FP58</f>
        <v/>
      </c>
    </row>
    <row r="60" spans="1:171" x14ac:dyDescent="0.25">
      <c r="A60" s="15">
        <v>43522</v>
      </c>
      <c r="B60" s="1"/>
      <c r="C60" s="1"/>
      <c r="D60" s="1"/>
      <c r="E60" s="14">
        <f>[1]Sheet2!N59</f>
        <v>0</v>
      </c>
      <c r="F60" s="14">
        <f>[1]Sheet2!BE59</f>
        <v>0</v>
      </c>
      <c r="G60" s="14">
        <f>[1]Sheet2!CW59</f>
        <v>0</v>
      </c>
      <c r="H60" s="1"/>
      <c r="I60" s="1"/>
      <c r="J60" s="1"/>
      <c r="K60" s="16"/>
      <c r="L60" s="16">
        <f>Demand_CWRS!B$4/28</f>
        <v>131.68146963713369</v>
      </c>
      <c r="M60" s="16">
        <f>Demand_CWRS!C$4/28</f>
        <v>501.27216117216119</v>
      </c>
      <c r="N60" s="16">
        <f>Demand_CWRS!D$4/28</f>
        <v>0</v>
      </c>
      <c r="O60" s="16">
        <f>Demand_CWRS!E$4/28</f>
        <v>130.17472527472526</v>
      </c>
      <c r="P60" s="16">
        <f>Demand_CWRS!F$4/28</f>
        <v>262.94741300366297</v>
      </c>
      <c r="Q60" s="16">
        <f>Demand_CWRS!G$4/28</f>
        <v>127.85714285714286</v>
      </c>
      <c r="R60" s="16">
        <f>Demand_CWRS!H$4/28</f>
        <v>207.14285714285714</v>
      </c>
      <c r="S60" s="16">
        <f>Demand_CWRS!I$4/28</f>
        <v>214.28571428571428</v>
      </c>
      <c r="T60" s="16">
        <f>Demand_CWRS!J$4/28</f>
        <v>207.14285714285714</v>
      </c>
      <c r="U60" s="16">
        <f>Demand_CWRS!K$4/28</f>
        <v>221.42857142857142</v>
      </c>
      <c r="V60" s="16">
        <f t="shared" si="6"/>
        <v>-6133.5808708218892</v>
      </c>
      <c r="W60" s="16">
        <f t="shared" si="7"/>
        <v>-15526.086446886442</v>
      </c>
      <c r="X60" s="16">
        <f t="shared" si="8"/>
        <v>0</v>
      </c>
      <c r="Y60" s="16">
        <f t="shared" si="9"/>
        <v>2550.4250915750999</v>
      </c>
      <c r="Z60" s="16">
        <f t="shared" si="10"/>
        <v>-7986.0717605311374</v>
      </c>
      <c r="AA60" s="16">
        <f t="shared" si="11"/>
        <v>-4924.2857142857156</v>
      </c>
      <c r="AB60" s="16">
        <f t="shared" si="12"/>
        <v>-12578.724542124537</v>
      </c>
      <c r="AC60" s="16">
        <f t="shared" si="13"/>
        <v>-6771.4285714285752</v>
      </c>
      <c r="AD60" s="16">
        <f t="shared" si="14"/>
        <v>-6885.7142857142844</v>
      </c>
      <c r="AE60" s="16">
        <f t="shared" si="15"/>
        <v>-7457.1428571428578</v>
      </c>
      <c r="AF60" s="14">
        <f>IF([1]Sheet2!AJ59=999999,"NA",[1]Sheet2!AJ59)</f>
        <v>0</v>
      </c>
      <c r="AG60" s="14">
        <f>IF([1]Sheet2!AK59=999999,"NA",[1]Sheet2!AK59)</f>
        <v>0</v>
      </c>
      <c r="AH60" s="14" t="str">
        <f>IF([1]Sheet2!AL59=999999,"NA",[1]Sheet2!AL59)</f>
        <v>NA</v>
      </c>
      <c r="AI60" s="14">
        <f>IF([1]Sheet2!AM59=999999,"NA",[1]Sheet2!AM59)</f>
        <v>20</v>
      </c>
      <c r="AJ60" s="14">
        <f>IF([1]Sheet2!AN59=999999,"NA",[1]Sheet2!AN59)</f>
        <v>0</v>
      </c>
      <c r="AK60" s="14">
        <f>IF([1]Sheet2!AO59=999999,"NA",[1]Sheet2!AO59)</f>
        <v>0</v>
      </c>
      <c r="AL60" s="14">
        <f>IF([1]Sheet2!AP59=999999,"NA",[1]Sheet2!AP59)</f>
        <v>0</v>
      </c>
      <c r="AM60" s="14">
        <f>IF([1]Sheet2!AQ59=999999,"NA",[1]Sheet2!AQ59)</f>
        <v>0</v>
      </c>
      <c r="AN60" s="14">
        <f>IF([1]Sheet2!AR59=999999,"NA",[1]Sheet2!AR59)</f>
        <v>0</v>
      </c>
      <c r="AO60" s="14">
        <f>IF([1]Sheet2!AS59=999999,"NA",[1]Sheet2!AS59)</f>
        <v>0</v>
      </c>
      <c r="AP60" s="14">
        <f>[1]Sheet2!P59</f>
        <v>0</v>
      </c>
      <c r="AQ60" s="14">
        <f>[1]Sheet2!Q59</f>
        <v>0</v>
      </c>
      <c r="AR60" s="14">
        <f>[1]Sheet2!R59</f>
        <v>0</v>
      </c>
      <c r="AS60" s="14">
        <f>[1]Sheet2!S59</f>
        <v>0</v>
      </c>
      <c r="AT60" s="14">
        <f>[1]Sheet2!T59</f>
        <v>0</v>
      </c>
      <c r="AU60" s="14">
        <f>[1]Sheet2!U59</f>
        <v>0</v>
      </c>
      <c r="AV60" s="14">
        <f>[1]Sheet2!V59</f>
        <v>0</v>
      </c>
      <c r="AW60" s="14">
        <f>[1]Sheet2!W59</f>
        <v>0</v>
      </c>
      <c r="AX60" s="14">
        <f>[1]Sheet2!X59</f>
        <v>0</v>
      </c>
      <c r="AY60" s="14">
        <f>[1]Sheet2!Y59</f>
        <v>0</v>
      </c>
      <c r="AZ60" s="16">
        <f>Demand_LP!B$4/28</f>
        <v>811.09813487293957</v>
      </c>
      <c r="BA60" s="16">
        <f>Demand_LP!C$4/28</f>
        <v>502.83223443223443</v>
      </c>
      <c r="BB60" s="16">
        <f>Demand_LP!D$4/28</f>
        <v>282.53663003663002</v>
      </c>
      <c r="BC60" s="16">
        <f>Demand_LP!E$4/28</f>
        <v>759.73919413919407</v>
      </c>
      <c r="BD60" s="16">
        <f>Demand_LP!F$4/28</f>
        <v>495.28213999542123</v>
      </c>
      <c r="BE60" s="16">
        <f>Demand_LP!G$4/28</f>
        <v>496.42857142857144</v>
      </c>
      <c r="BF60" s="16">
        <f>Demand_LP!H$4/28</f>
        <v>535.71428571428567</v>
      </c>
      <c r="BG60" s="16">
        <f>Demand_LP!I$4/28</f>
        <v>496.42857142857144</v>
      </c>
      <c r="BH60" s="16">
        <f>Demand_LP!J$4/28</f>
        <v>482.14285714285717</v>
      </c>
      <c r="BI60" s="16">
        <f>Demand_LP!K$4/28</f>
        <v>471.42857142857144</v>
      </c>
      <c r="BJ60" s="16">
        <f t="shared" si="16"/>
        <v>-26681.604952209258</v>
      </c>
      <c r="BK60" s="16">
        <f t="shared" si="17"/>
        <v>-27636.756043956011</v>
      </c>
      <c r="BL60" s="16">
        <f t="shared" si="18"/>
        <v>-4513.4523809523816</v>
      </c>
      <c r="BM60" s="16">
        <f t="shared" si="19"/>
        <v>-31345.943406593411</v>
      </c>
      <c r="BN60" s="16">
        <f t="shared" si="20"/>
        <v>-17827.734758470691</v>
      </c>
      <c r="BO60" s="16">
        <f t="shared" si="21"/>
        <v>-16907.142857142851</v>
      </c>
      <c r="BP60" s="16">
        <f t="shared" si="22"/>
        <v>-21928.571428571438</v>
      </c>
      <c r="BQ60" s="16">
        <f t="shared" si="23"/>
        <v>-16907.142857142851</v>
      </c>
      <c r="BR60" s="16">
        <f t="shared" si="24"/>
        <v>-14535.714285714283</v>
      </c>
      <c r="BS60" s="16">
        <f t="shared" si="25"/>
        <v>-15257.142857142848</v>
      </c>
      <c r="BT60" s="14">
        <f>IF([1]Sheet2!CB59=999999,"NA",[1]Sheet2!CB59)</f>
        <v>0</v>
      </c>
      <c r="BU60" s="14">
        <f>IF([1]Sheet2!CC59=999999,"NA",[1]Sheet2!CC59)</f>
        <v>0</v>
      </c>
      <c r="BV60" s="14">
        <f>IF([1]Sheet2!CD59=999999,"NA",[1]Sheet2!CD59)</f>
        <v>0</v>
      </c>
      <c r="BW60" s="14">
        <f>IF([1]Sheet2!CE59=999999,"NA",[1]Sheet2!CE59)</f>
        <v>0</v>
      </c>
      <c r="BX60" s="14">
        <f>IF([1]Sheet2!CF59=999999,"NA",[1]Sheet2!CF59)</f>
        <v>0</v>
      </c>
      <c r="BY60" s="14">
        <f>IF([1]Sheet2!CG59=999999,"NA",[1]Sheet2!CG59)</f>
        <v>0</v>
      </c>
      <c r="BZ60" s="14">
        <f>IF([1]Sheet2!CH59=999999,"NA",[1]Sheet2!CH59)</f>
        <v>0</v>
      </c>
      <c r="CA60" s="14">
        <f>IF([1]Sheet2!CI59=999999,"NA",[1]Sheet2!CI59)</f>
        <v>0</v>
      </c>
      <c r="CB60" s="14">
        <f>IF([1]Sheet2!CJ59=999999,"NA",[1]Sheet2!CJ59)</f>
        <v>0</v>
      </c>
      <c r="CC60" s="14">
        <f>IF([1]Sheet2!CK59=999999,"NA",[1]Sheet2!CK59)</f>
        <v>0</v>
      </c>
      <c r="CD60" s="14">
        <f>[1]Sheet2!BH59</f>
        <v>0</v>
      </c>
      <c r="CE60" s="14">
        <f>[1]Sheet2!BI59</f>
        <v>0</v>
      </c>
      <c r="CF60" s="14">
        <f>[1]Sheet2!BJ59</f>
        <v>0</v>
      </c>
      <c r="CG60" s="14">
        <f>[1]Sheet2!BK59</f>
        <v>0</v>
      </c>
      <c r="CH60" s="14">
        <f>[1]Sheet2!BL59</f>
        <v>0</v>
      </c>
      <c r="CI60" s="14">
        <f>[1]Sheet2!BM59</f>
        <v>0</v>
      </c>
      <c r="CJ60" s="14">
        <f>[1]Sheet2!BN59</f>
        <v>0</v>
      </c>
      <c r="CK60" s="14">
        <f>[1]Sheet2!BO59</f>
        <v>0</v>
      </c>
      <c r="CL60" s="14">
        <f>[1]Sheet2!BP59</f>
        <v>0</v>
      </c>
      <c r="CM60" s="14">
        <f>[1]Sheet2!BQ59</f>
        <v>0</v>
      </c>
      <c r="CN60" s="16">
        <f>Demand_SW!B$4/28</f>
        <v>94.69780219780219</v>
      </c>
      <c r="CO60" s="16">
        <f>Demand_SW!C$4/28</f>
        <v>0</v>
      </c>
      <c r="CP60" s="16">
        <f>Demand_SW!D$4/28</f>
        <v>0</v>
      </c>
      <c r="CQ60" s="16">
        <f>Demand_SW!E$4/28</f>
        <v>0</v>
      </c>
      <c r="CR60" s="16">
        <f>Demand_SW!F$4/28</f>
        <v>0</v>
      </c>
      <c r="CS60" s="16">
        <f>Demand_SW!G$4/28</f>
        <v>85.714285714285708</v>
      </c>
      <c r="CT60" s="16">
        <f>Demand_SW!H$4/28</f>
        <v>0</v>
      </c>
      <c r="CU60" s="16">
        <f>Demand_SW!I$4/28</f>
        <v>0</v>
      </c>
      <c r="CV60" s="16">
        <f>Demand_SW!J$4/28</f>
        <v>0</v>
      </c>
      <c r="CW60" s="16">
        <f>Demand_SW!K$4/28</f>
        <v>0</v>
      </c>
      <c r="CX60" s="16">
        <f t="shared" si="26"/>
        <v>-1789.065934065934</v>
      </c>
      <c r="CY60" s="16">
        <f t="shared" si="27"/>
        <v>1000</v>
      </c>
      <c r="CZ60" s="16">
        <f t="shared" si="28"/>
        <v>0</v>
      </c>
      <c r="DA60" s="16">
        <f t="shared" si="29"/>
        <v>0</v>
      </c>
      <c r="DB60" s="16">
        <f t="shared" si="30"/>
        <v>0</v>
      </c>
      <c r="DC60" s="16">
        <f t="shared" si="31"/>
        <v>-1328.5714285714232</v>
      </c>
      <c r="DD60" s="16">
        <f t="shared" si="32"/>
        <v>1000</v>
      </c>
      <c r="DE60" s="16">
        <f t="shared" si="33"/>
        <v>0</v>
      </c>
      <c r="DF60" s="16">
        <f t="shared" si="34"/>
        <v>0</v>
      </c>
      <c r="DG60" s="16">
        <f t="shared" si="35"/>
        <v>0</v>
      </c>
      <c r="DH60" s="14">
        <f>IF([1]Sheet2!DS59=999999,"NA",[1]Sheet2!DS59)</f>
        <v>0</v>
      </c>
      <c r="DI60" s="14">
        <f>IF([1]Sheet2!DT59=999999,"NA",[1]Sheet2!DT59)</f>
        <v>308</v>
      </c>
      <c r="DJ60" s="14" t="str">
        <f>IF([1]Sheet2!DU59=999999,"NA",[1]Sheet2!DU59)</f>
        <v>NA</v>
      </c>
      <c r="DK60" s="14" t="str">
        <f>IF([1]Sheet2!DV59=999999,"NA",[1]Sheet2!DV59)</f>
        <v>NA</v>
      </c>
      <c r="DL60" s="14" t="str">
        <f>IF([1]Sheet2!DW59=999999,"NA",[1]Sheet2!DW59)</f>
        <v>NA</v>
      </c>
      <c r="DM60" s="14">
        <f>IF([1]Sheet2!DX59=999999,"NA",[1]Sheet2!DX59)</f>
        <v>0</v>
      </c>
      <c r="DN60" s="14">
        <f>IF([1]Sheet2!DY59=999999,"NA",[1]Sheet2!DY59)</f>
        <v>308</v>
      </c>
      <c r="DO60" s="14" t="str">
        <f>IF([1]Sheet2!DZ59=999999,"NA",[1]Sheet2!DZ59)</f>
        <v>NA</v>
      </c>
      <c r="DP60" s="14" t="str">
        <f>IF([1]Sheet2!EA59=999999,"NA",[1]Sheet2!EA59)</f>
        <v>NA</v>
      </c>
      <c r="DQ60" s="14" t="str">
        <f>IF([1]Sheet2!EB59=999999,"NA",[1]Sheet2!EB59)</f>
        <v>NA</v>
      </c>
      <c r="DR60" s="14">
        <f>[1]Sheet2!CY59</f>
        <v>0</v>
      </c>
      <c r="DS60" s="14">
        <f>[1]Sheet2!CZ59</f>
        <v>0</v>
      </c>
      <c r="DT60" s="14">
        <f>[1]Sheet2!DA59</f>
        <v>0</v>
      </c>
      <c r="DU60" s="14">
        <f>[1]Sheet2!DB59</f>
        <v>0</v>
      </c>
      <c r="DV60" s="14">
        <f>[1]Sheet2!DC59</f>
        <v>0</v>
      </c>
      <c r="DW60" s="14">
        <f>[1]Sheet2!DD59</f>
        <v>0</v>
      </c>
      <c r="DX60" s="14">
        <f>[1]Sheet2!DE59</f>
        <v>0</v>
      </c>
      <c r="DY60" s="14">
        <f>[1]Sheet2!DF59</f>
        <v>0</v>
      </c>
      <c r="DZ60" s="14">
        <f>[1]Sheet2!DG59</f>
        <v>0</v>
      </c>
      <c r="EA60" s="14">
        <f>[1]Sheet2!DH59</f>
        <v>0</v>
      </c>
      <c r="EB60" s="6">
        <f>[1]Sheet2!EC59</f>
        <v>0</v>
      </c>
      <c r="EC60" s="6">
        <f>[1]Sheet2!ED59</f>
        <v>0</v>
      </c>
      <c r="ED60" s="6">
        <f>[1]Sheet2!EE59</f>
        <v>0</v>
      </c>
      <c r="EE60" s="6">
        <f>[1]Sheet2!EF59</f>
        <v>0</v>
      </c>
      <c r="EF60" s="6">
        <f>[1]Sheet2!EG59</f>
        <v>0</v>
      </c>
      <c r="EG60" s="6">
        <f>[1]Sheet2!EH59</f>
        <v>0</v>
      </c>
      <c r="EH60" s="6">
        <f>[1]Sheet2!EI59</f>
        <v>0</v>
      </c>
      <c r="EI60" s="6">
        <f>[1]Sheet2!EJ59</f>
        <v>0</v>
      </c>
      <c r="EJ60" s="6">
        <f>[1]Sheet2!EK59</f>
        <v>0</v>
      </c>
      <c r="EK60" s="6">
        <f>[1]Sheet2!EL59</f>
        <v>0</v>
      </c>
      <c r="EL60" s="6" t="str">
        <f>[1]Sheet2!EM59</f>
        <v/>
      </c>
      <c r="EM60" s="6" t="str">
        <f>[1]Sheet2!EN59</f>
        <v/>
      </c>
      <c r="EN60" s="6" t="str">
        <f>[1]Sheet2!EO59</f>
        <v/>
      </c>
      <c r="EO60" s="6" t="str">
        <f>[1]Sheet2!EP59</f>
        <v/>
      </c>
      <c r="EP60" s="6" t="str">
        <f>[1]Sheet2!EQ59</f>
        <v/>
      </c>
      <c r="EQ60" s="6" t="str">
        <f>[1]Sheet2!ER59</f>
        <v/>
      </c>
      <c r="ER60" s="6" t="str">
        <f>[1]Sheet2!ES59</f>
        <v/>
      </c>
      <c r="ES60" s="6" t="str">
        <f>[1]Sheet2!ET59</f>
        <v/>
      </c>
      <c r="ET60" s="6" t="str">
        <f>[1]Sheet2!EU59</f>
        <v/>
      </c>
      <c r="EU60" s="6" t="str">
        <f>[1]Sheet2!EV59</f>
        <v/>
      </c>
      <c r="EV60" s="6" t="str">
        <f>[1]Sheet2!EW59</f>
        <v/>
      </c>
      <c r="EW60" s="6" t="str">
        <f>[1]Sheet2!EX59</f>
        <v/>
      </c>
      <c r="EX60" s="6" t="str">
        <f>[1]Sheet2!EY59</f>
        <v/>
      </c>
      <c r="EY60" s="6" t="str">
        <f>[1]Sheet2!EZ59</f>
        <v/>
      </c>
      <c r="EZ60" s="6" t="str">
        <f>[1]Sheet2!FA59</f>
        <v/>
      </c>
      <c r="FA60" s="6" t="str">
        <f>[1]Sheet2!FB59</f>
        <v/>
      </c>
      <c r="FB60" s="6" t="str">
        <f>[1]Sheet2!FC59</f>
        <v/>
      </c>
      <c r="FC60" s="6" t="str">
        <f>[1]Sheet2!FD59</f>
        <v/>
      </c>
      <c r="FD60" s="6" t="str">
        <f>[1]Sheet2!FE59</f>
        <v/>
      </c>
      <c r="FE60" s="6" t="str">
        <f>[1]Sheet2!FF59</f>
        <v/>
      </c>
      <c r="FF60" s="6" t="str">
        <f>[1]Sheet2!FG59</f>
        <v/>
      </c>
      <c r="FG60" s="6" t="str">
        <f>[1]Sheet2!FH59</f>
        <v/>
      </c>
      <c r="FH60" s="6" t="str">
        <f>[1]Sheet2!FI59</f>
        <v/>
      </c>
      <c r="FI60" s="6" t="str">
        <f>[1]Sheet2!FJ59</f>
        <v/>
      </c>
      <c r="FJ60" s="6" t="str">
        <f>[1]Sheet2!FK59</f>
        <v/>
      </c>
      <c r="FK60" s="6" t="str">
        <f>[1]Sheet2!FL59</f>
        <v/>
      </c>
      <c r="FL60" s="6" t="str">
        <f>[1]Sheet2!FM59</f>
        <v/>
      </c>
      <c r="FM60" s="6" t="str">
        <f>[1]Sheet2!FN59</f>
        <v/>
      </c>
      <c r="FN60" s="6" t="str">
        <f>[1]Sheet2!FO59</f>
        <v/>
      </c>
      <c r="FO60" s="6" t="str">
        <f>[1]Sheet2!FP59</f>
        <v/>
      </c>
    </row>
    <row r="61" spans="1:171" x14ac:dyDescent="0.25">
      <c r="A61" s="15">
        <v>43523</v>
      </c>
      <c r="B61" s="1"/>
      <c r="C61" s="1"/>
      <c r="D61" s="1"/>
      <c r="E61" s="14">
        <f>[1]Sheet2!N60</f>
        <v>0</v>
      </c>
      <c r="F61" s="14">
        <f>[1]Sheet2!BE60</f>
        <v>0</v>
      </c>
      <c r="G61" s="14">
        <f>[1]Sheet2!CW60</f>
        <v>0</v>
      </c>
      <c r="H61" s="1"/>
      <c r="I61" s="1"/>
      <c r="J61" s="1"/>
      <c r="K61" s="16"/>
      <c r="L61" s="16">
        <f>Demand_CWRS!B$4/28</f>
        <v>131.68146963713369</v>
      </c>
      <c r="M61" s="16">
        <f>Demand_CWRS!C$4/28</f>
        <v>501.27216117216119</v>
      </c>
      <c r="N61" s="16">
        <f>Demand_CWRS!D$4/28</f>
        <v>0</v>
      </c>
      <c r="O61" s="16">
        <f>Demand_CWRS!E$4/28</f>
        <v>130.17472527472526</v>
      </c>
      <c r="P61" s="16">
        <f>Demand_CWRS!F$4/28</f>
        <v>262.94741300366297</v>
      </c>
      <c r="Q61" s="16">
        <f>Demand_CWRS!G$4/28</f>
        <v>127.85714285714286</v>
      </c>
      <c r="R61" s="16">
        <f>Demand_CWRS!H$4/28</f>
        <v>207.14285714285714</v>
      </c>
      <c r="S61" s="16">
        <f>Demand_CWRS!I$4/28</f>
        <v>214.28571428571428</v>
      </c>
      <c r="T61" s="16">
        <f>Demand_CWRS!J$4/28</f>
        <v>207.14285714285714</v>
      </c>
      <c r="U61" s="16">
        <f>Demand_CWRS!K$4/28</f>
        <v>221.42857142857142</v>
      </c>
      <c r="V61" s="16">
        <f t="shared" si="6"/>
        <v>-6265.2623404590231</v>
      </c>
      <c r="W61" s="16">
        <f t="shared" si="7"/>
        <v>-16027.358608058603</v>
      </c>
      <c r="X61" s="16">
        <f t="shared" si="8"/>
        <v>0</v>
      </c>
      <c r="Y61" s="16">
        <f t="shared" si="9"/>
        <v>2420.2503663003745</v>
      </c>
      <c r="Z61" s="16">
        <f t="shared" si="10"/>
        <v>-8249.0191735347998</v>
      </c>
      <c r="AA61" s="16">
        <f t="shared" si="11"/>
        <v>-5052.1428571428587</v>
      </c>
      <c r="AB61" s="16">
        <f t="shared" si="12"/>
        <v>-12785.867399267394</v>
      </c>
      <c r="AC61" s="16">
        <f t="shared" si="13"/>
        <v>-6985.7142857142899</v>
      </c>
      <c r="AD61" s="16">
        <f t="shared" si="14"/>
        <v>-7092.8571428571413</v>
      </c>
      <c r="AE61" s="16">
        <f t="shared" si="15"/>
        <v>-7678.5714285714294</v>
      </c>
      <c r="AF61" s="14">
        <f>IF([1]Sheet2!AJ60=999999,"NA",[1]Sheet2!AJ60)</f>
        <v>0</v>
      </c>
      <c r="AG61" s="14">
        <f>IF([1]Sheet2!AK60=999999,"NA",[1]Sheet2!AK60)</f>
        <v>0</v>
      </c>
      <c r="AH61" s="14" t="str">
        <f>IF([1]Sheet2!AL60=999999,"NA",[1]Sheet2!AL60)</f>
        <v>NA</v>
      </c>
      <c r="AI61" s="14">
        <f>IF([1]Sheet2!AM60=999999,"NA",[1]Sheet2!AM60)</f>
        <v>19</v>
      </c>
      <c r="AJ61" s="14">
        <f>IF([1]Sheet2!AN60=999999,"NA",[1]Sheet2!AN60)</f>
        <v>0</v>
      </c>
      <c r="AK61" s="14">
        <f>IF([1]Sheet2!AO60=999999,"NA",[1]Sheet2!AO60)</f>
        <v>0</v>
      </c>
      <c r="AL61" s="14">
        <f>IF([1]Sheet2!AP60=999999,"NA",[1]Sheet2!AP60)</f>
        <v>0</v>
      </c>
      <c r="AM61" s="14">
        <f>IF([1]Sheet2!AQ60=999999,"NA",[1]Sheet2!AQ60)</f>
        <v>0</v>
      </c>
      <c r="AN61" s="14">
        <f>IF([1]Sheet2!AR60=999999,"NA",[1]Sheet2!AR60)</f>
        <v>0</v>
      </c>
      <c r="AO61" s="14">
        <f>IF([1]Sheet2!AS60=999999,"NA",[1]Sheet2!AS60)</f>
        <v>0</v>
      </c>
      <c r="AP61" s="14">
        <f>[1]Sheet2!P60</f>
        <v>0</v>
      </c>
      <c r="AQ61" s="14">
        <f>[1]Sheet2!Q60</f>
        <v>0</v>
      </c>
      <c r="AR61" s="14">
        <f>[1]Sheet2!R60</f>
        <v>0</v>
      </c>
      <c r="AS61" s="14">
        <f>[1]Sheet2!S60</f>
        <v>0</v>
      </c>
      <c r="AT61" s="14">
        <f>[1]Sheet2!T60</f>
        <v>0</v>
      </c>
      <c r="AU61" s="14">
        <f>[1]Sheet2!U60</f>
        <v>0</v>
      </c>
      <c r="AV61" s="14">
        <f>[1]Sheet2!V60</f>
        <v>0</v>
      </c>
      <c r="AW61" s="14">
        <f>[1]Sheet2!W60</f>
        <v>0</v>
      </c>
      <c r="AX61" s="14">
        <f>[1]Sheet2!X60</f>
        <v>0</v>
      </c>
      <c r="AY61" s="14">
        <f>[1]Sheet2!Y60</f>
        <v>0</v>
      </c>
      <c r="AZ61" s="16">
        <f>Demand_LP!B$4/28</f>
        <v>811.09813487293957</v>
      </c>
      <c r="BA61" s="16">
        <f>Demand_LP!C$4/28</f>
        <v>502.83223443223443</v>
      </c>
      <c r="BB61" s="16">
        <f>Demand_LP!D$4/28</f>
        <v>282.53663003663002</v>
      </c>
      <c r="BC61" s="16">
        <f>Demand_LP!E$4/28</f>
        <v>759.73919413919407</v>
      </c>
      <c r="BD61" s="16">
        <f>Demand_LP!F$4/28</f>
        <v>495.28213999542123</v>
      </c>
      <c r="BE61" s="16">
        <f>Demand_LP!G$4/28</f>
        <v>496.42857142857144</v>
      </c>
      <c r="BF61" s="16">
        <f>Demand_LP!H$4/28</f>
        <v>535.71428571428567</v>
      </c>
      <c r="BG61" s="16">
        <f>Demand_LP!I$4/28</f>
        <v>496.42857142857144</v>
      </c>
      <c r="BH61" s="16">
        <f>Demand_LP!J$4/28</f>
        <v>482.14285714285717</v>
      </c>
      <c r="BI61" s="16">
        <f>Demand_LP!K$4/28</f>
        <v>471.42857142857144</v>
      </c>
      <c r="BJ61" s="16">
        <f t="shared" si="16"/>
        <v>-27492.703087082198</v>
      </c>
      <c r="BK61" s="16">
        <f t="shared" si="17"/>
        <v>-28139.588278388244</v>
      </c>
      <c r="BL61" s="16">
        <f t="shared" si="18"/>
        <v>-4795.9890109890121</v>
      </c>
      <c r="BM61" s="16">
        <f t="shared" si="19"/>
        <v>-32105.682600732605</v>
      </c>
      <c r="BN61" s="16">
        <f t="shared" si="20"/>
        <v>-18323.016898466114</v>
      </c>
      <c r="BO61" s="16">
        <f t="shared" si="21"/>
        <v>-17403.571428571424</v>
      </c>
      <c r="BP61" s="16">
        <f t="shared" si="22"/>
        <v>-22464.285714285725</v>
      </c>
      <c r="BQ61" s="16">
        <f t="shared" si="23"/>
        <v>-17403.571428571424</v>
      </c>
      <c r="BR61" s="16">
        <f t="shared" si="24"/>
        <v>-15017.857142857139</v>
      </c>
      <c r="BS61" s="16">
        <f t="shared" si="25"/>
        <v>-15728.571428571418</v>
      </c>
      <c r="BT61" s="14">
        <f>IF([1]Sheet2!CB60=999999,"NA",[1]Sheet2!CB60)</f>
        <v>0</v>
      </c>
      <c r="BU61" s="14">
        <f>IF([1]Sheet2!CC60=999999,"NA",[1]Sheet2!CC60)</f>
        <v>0</v>
      </c>
      <c r="BV61" s="14">
        <f>IF([1]Sheet2!CD60=999999,"NA",[1]Sheet2!CD60)</f>
        <v>0</v>
      </c>
      <c r="BW61" s="14">
        <f>IF([1]Sheet2!CE60=999999,"NA",[1]Sheet2!CE60)</f>
        <v>0</v>
      </c>
      <c r="BX61" s="14">
        <f>IF([1]Sheet2!CF60=999999,"NA",[1]Sheet2!CF60)</f>
        <v>0</v>
      </c>
      <c r="BY61" s="14">
        <f>IF([1]Sheet2!CG60=999999,"NA",[1]Sheet2!CG60)</f>
        <v>0</v>
      </c>
      <c r="BZ61" s="14">
        <f>IF([1]Sheet2!CH60=999999,"NA",[1]Sheet2!CH60)</f>
        <v>0</v>
      </c>
      <c r="CA61" s="14">
        <f>IF([1]Sheet2!CI60=999999,"NA",[1]Sheet2!CI60)</f>
        <v>0</v>
      </c>
      <c r="CB61" s="14">
        <f>IF([1]Sheet2!CJ60=999999,"NA",[1]Sheet2!CJ60)</f>
        <v>0</v>
      </c>
      <c r="CC61" s="14">
        <f>IF([1]Sheet2!CK60=999999,"NA",[1]Sheet2!CK60)</f>
        <v>0</v>
      </c>
      <c r="CD61" s="14">
        <f>[1]Sheet2!BH60</f>
        <v>0</v>
      </c>
      <c r="CE61" s="14">
        <f>[1]Sheet2!BI60</f>
        <v>0</v>
      </c>
      <c r="CF61" s="14">
        <f>[1]Sheet2!BJ60</f>
        <v>0</v>
      </c>
      <c r="CG61" s="14">
        <f>[1]Sheet2!BK60</f>
        <v>0</v>
      </c>
      <c r="CH61" s="14">
        <f>[1]Sheet2!BL60</f>
        <v>0</v>
      </c>
      <c r="CI61" s="14">
        <f>[1]Sheet2!BM60</f>
        <v>0</v>
      </c>
      <c r="CJ61" s="14">
        <f>[1]Sheet2!BN60</f>
        <v>0</v>
      </c>
      <c r="CK61" s="14">
        <f>[1]Sheet2!BO60</f>
        <v>0</v>
      </c>
      <c r="CL61" s="14">
        <f>[1]Sheet2!BP60</f>
        <v>0</v>
      </c>
      <c r="CM61" s="14">
        <f>[1]Sheet2!BQ60</f>
        <v>0</v>
      </c>
      <c r="CN61" s="16">
        <f>Demand_SW!B$4/28</f>
        <v>94.69780219780219</v>
      </c>
      <c r="CO61" s="16">
        <f>Demand_SW!C$4/28</f>
        <v>0</v>
      </c>
      <c r="CP61" s="16">
        <f>Demand_SW!D$4/28</f>
        <v>0</v>
      </c>
      <c r="CQ61" s="16">
        <f>Demand_SW!E$4/28</f>
        <v>0</v>
      </c>
      <c r="CR61" s="16">
        <f>Demand_SW!F$4/28</f>
        <v>0</v>
      </c>
      <c r="CS61" s="16">
        <f>Demand_SW!G$4/28</f>
        <v>85.714285714285708</v>
      </c>
      <c r="CT61" s="16">
        <f>Demand_SW!H$4/28</f>
        <v>0</v>
      </c>
      <c r="CU61" s="16">
        <f>Demand_SW!I$4/28</f>
        <v>0</v>
      </c>
      <c r="CV61" s="16">
        <f>Demand_SW!J$4/28</f>
        <v>0</v>
      </c>
      <c r="CW61" s="16">
        <f>Demand_SW!K$4/28</f>
        <v>0</v>
      </c>
      <c r="CX61" s="16">
        <f t="shared" si="26"/>
        <v>-1883.7637362637363</v>
      </c>
      <c r="CY61" s="16">
        <f t="shared" si="27"/>
        <v>1000</v>
      </c>
      <c r="CZ61" s="16">
        <f t="shared" si="28"/>
        <v>0</v>
      </c>
      <c r="DA61" s="16">
        <f t="shared" si="29"/>
        <v>0</v>
      </c>
      <c r="DB61" s="16">
        <f t="shared" si="30"/>
        <v>0</v>
      </c>
      <c r="DC61" s="16">
        <f t="shared" si="31"/>
        <v>-1414.285714285709</v>
      </c>
      <c r="DD61" s="16">
        <f t="shared" si="32"/>
        <v>1000</v>
      </c>
      <c r="DE61" s="16">
        <f t="shared" si="33"/>
        <v>0</v>
      </c>
      <c r="DF61" s="16">
        <f t="shared" si="34"/>
        <v>0</v>
      </c>
      <c r="DG61" s="16">
        <f t="shared" si="35"/>
        <v>0</v>
      </c>
      <c r="DH61" s="14">
        <f>IF([1]Sheet2!DS60=999999,"NA",[1]Sheet2!DS60)</f>
        <v>0</v>
      </c>
      <c r="DI61" s="14">
        <f>IF([1]Sheet2!DT60=999999,"NA",[1]Sheet2!DT60)</f>
        <v>307</v>
      </c>
      <c r="DJ61" s="14" t="str">
        <f>IF([1]Sheet2!DU60=999999,"NA",[1]Sheet2!DU60)</f>
        <v>NA</v>
      </c>
      <c r="DK61" s="14" t="str">
        <f>IF([1]Sheet2!DV60=999999,"NA",[1]Sheet2!DV60)</f>
        <v>NA</v>
      </c>
      <c r="DL61" s="14" t="str">
        <f>IF([1]Sheet2!DW60=999999,"NA",[1]Sheet2!DW60)</f>
        <v>NA</v>
      </c>
      <c r="DM61" s="14">
        <f>IF([1]Sheet2!DX60=999999,"NA",[1]Sheet2!DX60)</f>
        <v>0</v>
      </c>
      <c r="DN61" s="14">
        <f>IF([1]Sheet2!DY60=999999,"NA",[1]Sheet2!DY60)</f>
        <v>307</v>
      </c>
      <c r="DO61" s="14" t="str">
        <f>IF([1]Sheet2!DZ60=999999,"NA",[1]Sheet2!DZ60)</f>
        <v>NA</v>
      </c>
      <c r="DP61" s="14" t="str">
        <f>IF([1]Sheet2!EA60=999999,"NA",[1]Sheet2!EA60)</f>
        <v>NA</v>
      </c>
      <c r="DQ61" s="14" t="str">
        <f>IF([1]Sheet2!EB60=999999,"NA",[1]Sheet2!EB60)</f>
        <v>NA</v>
      </c>
      <c r="DR61" s="14">
        <f>[1]Sheet2!CY60</f>
        <v>0</v>
      </c>
      <c r="DS61" s="14">
        <f>[1]Sheet2!CZ60</f>
        <v>0</v>
      </c>
      <c r="DT61" s="14">
        <f>[1]Sheet2!DA60</f>
        <v>0</v>
      </c>
      <c r="DU61" s="14">
        <f>[1]Sheet2!DB60</f>
        <v>0</v>
      </c>
      <c r="DV61" s="14">
        <f>[1]Sheet2!DC60</f>
        <v>0</v>
      </c>
      <c r="DW61" s="14">
        <f>[1]Sheet2!DD60</f>
        <v>0</v>
      </c>
      <c r="DX61" s="14">
        <f>[1]Sheet2!DE60</f>
        <v>0</v>
      </c>
      <c r="DY61" s="14">
        <f>[1]Sheet2!DF60</f>
        <v>0</v>
      </c>
      <c r="DZ61" s="14">
        <f>[1]Sheet2!DG60</f>
        <v>0</v>
      </c>
      <c r="EA61" s="14">
        <f>[1]Sheet2!DH60</f>
        <v>0</v>
      </c>
      <c r="EB61" s="6">
        <f>[1]Sheet2!EC60</f>
        <v>0</v>
      </c>
      <c r="EC61" s="6">
        <f>[1]Sheet2!ED60</f>
        <v>0</v>
      </c>
      <c r="ED61" s="6">
        <f>[1]Sheet2!EE60</f>
        <v>0</v>
      </c>
      <c r="EE61" s="6">
        <f>[1]Sheet2!EF60</f>
        <v>0</v>
      </c>
      <c r="EF61" s="6">
        <f>[1]Sheet2!EG60</f>
        <v>0</v>
      </c>
      <c r="EG61" s="6">
        <f>[1]Sheet2!EH60</f>
        <v>0</v>
      </c>
      <c r="EH61" s="6">
        <f>[1]Sheet2!EI60</f>
        <v>0</v>
      </c>
      <c r="EI61" s="6">
        <f>[1]Sheet2!EJ60</f>
        <v>0</v>
      </c>
      <c r="EJ61" s="6">
        <f>[1]Sheet2!EK60</f>
        <v>0</v>
      </c>
      <c r="EK61" s="6">
        <f>[1]Sheet2!EL60</f>
        <v>0</v>
      </c>
      <c r="EL61" s="6" t="str">
        <f>[1]Sheet2!EM60</f>
        <v/>
      </c>
      <c r="EM61" s="6" t="str">
        <f>[1]Sheet2!EN60</f>
        <v/>
      </c>
      <c r="EN61" s="6" t="str">
        <f>[1]Sheet2!EO60</f>
        <v/>
      </c>
      <c r="EO61" s="6" t="str">
        <f>[1]Sheet2!EP60</f>
        <v/>
      </c>
      <c r="EP61" s="6" t="str">
        <f>[1]Sheet2!EQ60</f>
        <v/>
      </c>
      <c r="EQ61" s="6" t="str">
        <f>[1]Sheet2!ER60</f>
        <v/>
      </c>
      <c r="ER61" s="6" t="str">
        <f>[1]Sheet2!ES60</f>
        <v/>
      </c>
      <c r="ES61" s="6" t="str">
        <f>[1]Sheet2!ET60</f>
        <v/>
      </c>
      <c r="ET61" s="6" t="str">
        <f>[1]Sheet2!EU60</f>
        <v/>
      </c>
      <c r="EU61" s="6" t="str">
        <f>[1]Sheet2!EV60</f>
        <v/>
      </c>
      <c r="EV61" s="6" t="str">
        <f>[1]Sheet2!EW60</f>
        <v/>
      </c>
      <c r="EW61" s="6" t="str">
        <f>[1]Sheet2!EX60</f>
        <v/>
      </c>
      <c r="EX61" s="6" t="str">
        <f>[1]Sheet2!EY60</f>
        <v/>
      </c>
      <c r="EY61" s="6" t="str">
        <f>[1]Sheet2!EZ60</f>
        <v/>
      </c>
      <c r="EZ61" s="6" t="str">
        <f>[1]Sheet2!FA60</f>
        <v/>
      </c>
      <c r="FA61" s="6" t="str">
        <f>[1]Sheet2!FB60</f>
        <v/>
      </c>
      <c r="FB61" s="6" t="str">
        <f>[1]Sheet2!FC60</f>
        <v/>
      </c>
      <c r="FC61" s="6" t="str">
        <f>[1]Sheet2!FD60</f>
        <v/>
      </c>
      <c r="FD61" s="6" t="str">
        <f>[1]Sheet2!FE60</f>
        <v/>
      </c>
      <c r="FE61" s="6" t="str">
        <f>[1]Sheet2!FF60</f>
        <v/>
      </c>
      <c r="FF61" s="6" t="str">
        <f>[1]Sheet2!FG60</f>
        <v/>
      </c>
      <c r="FG61" s="6" t="str">
        <f>[1]Sheet2!FH60</f>
        <v/>
      </c>
      <c r="FH61" s="6" t="str">
        <f>[1]Sheet2!FI60</f>
        <v/>
      </c>
      <c r="FI61" s="6" t="str">
        <f>[1]Sheet2!FJ60</f>
        <v/>
      </c>
      <c r="FJ61" s="6" t="str">
        <f>[1]Sheet2!FK60</f>
        <v/>
      </c>
      <c r="FK61" s="6" t="str">
        <f>[1]Sheet2!FL60</f>
        <v/>
      </c>
      <c r="FL61" s="6" t="str">
        <f>[1]Sheet2!FM60</f>
        <v/>
      </c>
      <c r="FM61" s="6" t="str">
        <f>[1]Sheet2!FN60</f>
        <v/>
      </c>
      <c r="FN61" s="6" t="str">
        <f>[1]Sheet2!FO60</f>
        <v/>
      </c>
      <c r="FO61" s="6" t="str">
        <f>[1]Sheet2!FP60</f>
        <v/>
      </c>
    </row>
    <row r="62" spans="1:171" x14ac:dyDescent="0.25">
      <c r="A62" s="15">
        <v>43524</v>
      </c>
      <c r="B62" s="1"/>
      <c r="C62" s="1"/>
      <c r="D62" s="1"/>
      <c r="E62" s="14">
        <f>[1]Sheet2!N61</f>
        <v>0</v>
      </c>
      <c r="F62" s="14">
        <f>[1]Sheet2!BE61</f>
        <v>0</v>
      </c>
      <c r="G62" s="14">
        <f>[1]Sheet2!CW61</f>
        <v>0</v>
      </c>
      <c r="H62" s="1"/>
      <c r="I62" s="1"/>
      <c r="J62" s="1"/>
      <c r="K62" s="16"/>
      <c r="L62" s="16">
        <f>Demand_CWRS!B$4/28</f>
        <v>131.68146963713369</v>
      </c>
      <c r="M62" s="16">
        <f>Demand_CWRS!C$4/28</f>
        <v>501.27216117216119</v>
      </c>
      <c r="N62" s="16">
        <f>Demand_CWRS!D$4/28</f>
        <v>0</v>
      </c>
      <c r="O62" s="16">
        <f>Demand_CWRS!E$4/28</f>
        <v>130.17472527472526</v>
      </c>
      <c r="P62" s="16">
        <f>Demand_CWRS!F$4/28</f>
        <v>262.94741300366297</v>
      </c>
      <c r="Q62" s="16">
        <f>Demand_CWRS!G$4/28</f>
        <v>127.85714285714286</v>
      </c>
      <c r="R62" s="16">
        <f>Demand_CWRS!H$4/28</f>
        <v>207.14285714285714</v>
      </c>
      <c r="S62" s="16">
        <f>Demand_CWRS!I$4/28</f>
        <v>214.28571428571428</v>
      </c>
      <c r="T62" s="16">
        <f>Demand_CWRS!J$4/28</f>
        <v>207.14285714285714</v>
      </c>
      <c r="U62" s="16">
        <f>Demand_CWRS!K$4/28</f>
        <v>221.42857142857142</v>
      </c>
      <c r="V62" s="16">
        <f t="shared" si="6"/>
        <v>-6396.943810096157</v>
      </c>
      <c r="W62" s="16">
        <f t="shared" si="7"/>
        <v>-16528.630769230764</v>
      </c>
      <c r="X62" s="16">
        <f t="shared" si="8"/>
        <v>0</v>
      </c>
      <c r="Y62" s="16">
        <f t="shared" si="9"/>
        <v>2290.075641025649</v>
      </c>
      <c r="Z62" s="16">
        <f t="shared" si="10"/>
        <v>-8511.9665865384632</v>
      </c>
      <c r="AA62" s="16">
        <f t="shared" si="11"/>
        <v>-5180.0000000000018</v>
      </c>
      <c r="AB62" s="16">
        <f t="shared" si="12"/>
        <v>-12993.010256410251</v>
      </c>
      <c r="AC62" s="16">
        <f t="shared" si="13"/>
        <v>-7200.0000000000045</v>
      </c>
      <c r="AD62" s="16">
        <f t="shared" si="14"/>
        <v>-7299.9999999999982</v>
      </c>
      <c r="AE62" s="16">
        <f t="shared" si="15"/>
        <v>-7900.0000000000009</v>
      </c>
      <c r="AF62" s="14">
        <f>IF([1]Sheet2!AJ61=999999,"NA",[1]Sheet2!AJ61)</f>
        <v>0</v>
      </c>
      <c r="AG62" s="14">
        <f>IF([1]Sheet2!AK61=999999,"NA",[1]Sheet2!AK61)</f>
        <v>0</v>
      </c>
      <c r="AH62" s="14" t="str">
        <f>IF([1]Sheet2!AL61=999999,"NA",[1]Sheet2!AL61)</f>
        <v>NA</v>
      </c>
      <c r="AI62" s="14">
        <f>IF([1]Sheet2!AM61=999999,"NA",[1]Sheet2!AM61)</f>
        <v>18</v>
      </c>
      <c r="AJ62" s="14">
        <f>IF([1]Sheet2!AN61=999999,"NA",[1]Sheet2!AN61)</f>
        <v>0</v>
      </c>
      <c r="AK62" s="14">
        <f>IF([1]Sheet2!AO61=999999,"NA",[1]Sheet2!AO61)</f>
        <v>0</v>
      </c>
      <c r="AL62" s="14">
        <f>IF([1]Sheet2!AP61=999999,"NA",[1]Sheet2!AP61)</f>
        <v>0</v>
      </c>
      <c r="AM62" s="14">
        <f>IF([1]Sheet2!AQ61=999999,"NA",[1]Sheet2!AQ61)</f>
        <v>0</v>
      </c>
      <c r="AN62" s="14">
        <f>IF([1]Sheet2!AR61=999999,"NA",[1]Sheet2!AR61)</f>
        <v>0</v>
      </c>
      <c r="AO62" s="14">
        <f>IF([1]Sheet2!AS61=999999,"NA",[1]Sheet2!AS61)</f>
        <v>0</v>
      </c>
      <c r="AP62" s="14">
        <f>[1]Sheet2!P61</f>
        <v>0</v>
      </c>
      <c r="AQ62" s="14">
        <f>[1]Sheet2!Q61</f>
        <v>0</v>
      </c>
      <c r="AR62" s="14">
        <f>[1]Sheet2!R61</f>
        <v>0</v>
      </c>
      <c r="AS62" s="14">
        <f>[1]Sheet2!S61</f>
        <v>0</v>
      </c>
      <c r="AT62" s="14">
        <f>[1]Sheet2!T61</f>
        <v>0</v>
      </c>
      <c r="AU62" s="14">
        <f>[1]Sheet2!U61</f>
        <v>0</v>
      </c>
      <c r="AV62" s="14">
        <f>[1]Sheet2!V61</f>
        <v>0</v>
      </c>
      <c r="AW62" s="14">
        <f>[1]Sheet2!W61</f>
        <v>0</v>
      </c>
      <c r="AX62" s="14">
        <f>[1]Sheet2!X61</f>
        <v>0</v>
      </c>
      <c r="AY62" s="14">
        <f>[1]Sheet2!Y61</f>
        <v>0</v>
      </c>
      <c r="AZ62" s="16">
        <f>Demand_LP!B$4/28</f>
        <v>811.09813487293957</v>
      </c>
      <c r="BA62" s="16">
        <f>Demand_LP!C$4/28</f>
        <v>502.83223443223443</v>
      </c>
      <c r="BB62" s="16">
        <f>Demand_LP!D$4/28</f>
        <v>282.53663003663002</v>
      </c>
      <c r="BC62" s="16">
        <f>Demand_LP!E$4/28</f>
        <v>759.73919413919407</v>
      </c>
      <c r="BD62" s="16">
        <f>Demand_LP!F$4/28</f>
        <v>495.28213999542123</v>
      </c>
      <c r="BE62" s="16">
        <f>Demand_LP!G$4/28</f>
        <v>496.42857142857144</v>
      </c>
      <c r="BF62" s="16">
        <f>Demand_LP!H$4/28</f>
        <v>535.71428571428567</v>
      </c>
      <c r="BG62" s="16">
        <f>Demand_LP!I$4/28</f>
        <v>496.42857142857144</v>
      </c>
      <c r="BH62" s="16">
        <f>Demand_LP!J$4/28</f>
        <v>482.14285714285717</v>
      </c>
      <c r="BI62" s="16">
        <f>Demand_LP!K$4/28</f>
        <v>471.42857142857144</v>
      </c>
      <c r="BJ62" s="16">
        <f t="shared" si="16"/>
        <v>-28303.801221955138</v>
      </c>
      <c r="BK62" s="16">
        <f t="shared" si="17"/>
        <v>-28642.420512820478</v>
      </c>
      <c r="BL62" s="16">
        <f t="shared" si="18"/>
        <v>-5078.5256410256425</v>
      </c>
      <c r="BM62" s="16">
        <f t="shared" si="19"/>
        <v>-32865.4217948718</v>
      </c>
      <c r="BN62" s="16">
        <f t="shared" si="20"/>
        <v>-18818.299038461537</v>
      </c>
      <c r="BO62" s="16">
        <f t="shared" si="21"/>
        <v>-17899.999999999996</v>
      </c>
      <c r="BP62" s="16">
        <f t="shared" si="22"/>
        <v>-23000.000000000011</v>
      </c>
      <c r="BQ62" s="16">
        <f t="shared" si="23"/>
        <v>-17899.999999999996</v>
      </c>
      <c r="BR62" s="16">
        <f t="shared" si="24"/>
        <v>-15499.999999999996</v>
      </c>
      <c r="BS62" s="16">
        <f t="shared" si="25"/>
        <v>-16199.999999999989</v>
      </c>
      <c r="BT62" s="14">
        <f>IF([1]Sheet2!CB61=999999,"NA",[1]Sheet2!CB61)</f>
        <v>0</v>
      </c>
      <c r="BU62" s="14">
        <f>IF([1]Sheet2!CC61=999999,"NA",[1]Sheet2!CC61)</f>
        <v>0</v>
      </c>
      <c r="BV62" s="14">
        <f>IF([1]Sheet2!CD61=999999,"NA",[1]Sheet2!CD61)</f>
        <v>0</v>
      </c>
      <c r="BW62" s="14">
        <f>IF([1]Sheet2!CE61=999999,"NA",[1]Sheet2!CE61)</f>
        <v>0</v>
      </c>
      <c r="BX62" s="14">
        <f>IF([1]Sheet2!CF61=999999,"NA",[1]Sheet2!CF61)</f>
        <v>0</v>
      </c>
      <c r="BY62" s="14">
        <f>IF([1]Sheet2!CG61=999999,"NA",[1]Sheet2!CG61)</f>
        <v>0</v>
      </c>
      <c r="BZ62" s="14">
        <f>IF([1]Sheet2!CH61=999999,"NA",[1]Sheet2!CH61)</f>
        <v>0</v>
      </c>
      <c r="CA62" s="14">
        <f>IF([1]Sheet2!CI61=999999,"NA",[1]Sheet2!CI61)</f>
        <v>0</v>
      </c>
      <c r="CB62" s="14">
        <f>IF([1]Sheet2!CJ61=999999,"NA",[1]Sheet2!CJ61)</f>
        <v>0</v>
      </c>
      <c r="CC62" s="14">
        <f>IF([1]Sheet2!CK61=999999,"NA",[1]Sheet2!CK61)</f>
        <v>0</v>
      </c>
      <c r="CD62" s="14">
        <f>[1]Sheet2!BH61</f>
        <v>0</v>
      </c>
      <c r="CE62" s="14">
        <f>[1]Sheet2!BI61</f>
        <v>0</v>
      </c>
      <c r="CF62" s="14">
        <f>[1]Sheet2!BJ61</f>
        <v>0</v>
      </c>
      <c r="CG62" s="14">
        <f>[1]Sheet2!BK61</f>
        <v>0</v>
      </c>
      <c r="CH62" s="14">
        <f>[1]Sheet2!BL61</f>
        <v>0</v>
      </c>
      <c r="CI62" s="14">
        <f>[1]Sheet2!BM61</f>
        <v>0</v>
      </c>
      <c r="CJ62" s="14">
        <f>[1]Sheet2!BN61</f>
        <v>0</v>
      </c>
      <c r="CK62" s="14">
        <f>[1]Sheet2!BO61</f>
        <v>0</v>
      </c>
      <c r="CL62" s="14">
        <f>[1]Sheet2!BP61</f>
        <v>0</v>
      </c>
      <c r="CM62" s="14">
        <f>[1]Sheet2!BQ61</f>
        <v>0</v>
      </c>
      <c r="CN62" s="16">
        <f>Demand_SW!B$4/28</f>
        <v>94.69780219780219</v>
      </c>
      <c r="CO62" s="16">
        <f>Demand_SW!C$4/28</f>
        <v>0</v>
      </c>
      <c r="CP62" s="16">
        <f>Demand_SW!D$4/28</f>
        <v>0</v>
      </c>
      <c r="CQ62" s="16">
        <f>Demand_SW!E$4/28</f>
        <v>0</v>
      </c>
      <c r="CR62" s="16">
        <f>Demand_SW!F$4/28</f>
        <v>0</v>
      </c>
      <c r="CS62" s="16">
        <f>Demand_SW!G$4/28</f>
        <v>85.714285714285708</v>
      </c>
      <c r="CT62" s="16">
        <f>Demand_SW!H$4/28</f>
        <v>0</v>
      </c>
      <c r="CU62" s="16">
        <f>Demand_SW!I$4/28</f>
        <v>0</v>
      </c>
      <c r="CV62" s="16">
        <f>Demand_SW!J$4/28</f>
        <v>0</v>
      </c>
      <c r="CW62" s="16">
        <f>Demand_SW!K$4/28</f>
        <v>0</v>
      </c>
      <c r="CX62" s="16">
        <f t="shared" si="26"/>
        <v>-1978.4615384615386</v>
      </c>
      <c r="CY62" s="16">
        <f t="shared" si="27"/>
        <v>1000</v>
      </c>
      <c r="CZ62" s="16">
        <f t="shared" si="28"/>
        <v>0</v>
      </c>
      <c r="DA62" s="16">
        <f t="shared" si="29"/>
        <v>0</v>
      </c>
      <c r="DB62" s="16">
        <f t="shared" si="30"/>
        <v>0</v>
      </c>
      <c r="DC62" s="16">
        <f t="shared" si="31"/>
        <v>-1499.9999999999948</v>
      </c>
      <c r="DD62" s="16">
        <f t="shared" si="32"/>
        <v>1000</v>
      </c>
      <c r="DE62" s="16">
        <f t="shared" si="33"/>
        <v>0</v>
      </c>
      <c r="DF62" s="16">
        <f t="shared" si="34"/>
        <v>0</v>
      </c>
      <c r="DG62" s="16">
        <f t="shared" si="35"/>
        <v>0</v>
      </c>
      <c r="DH62" s="14">
        <f>IF([1]Sheet2!DS61=999999,"NA",[1]Sheet2!DS61)</f>
        <v>0</v>
      </c>
      <c r="DI62" s="14">
        <f>IF([1]Sheet2!DT61=999999,"NA",[1]Sheet2!DT61)</f>
        <v>306</v>
      </c>
      <c r="DJ62" s="14" t="str">
        <f>IF([1]Sheet2!DU61=999999,"NA",[1]Sheet2!DU61)</f>
        <v>NA</v>
      </c>
      <c r="DK62" s="14" t="str">
        <f>IF([1]Sheet2!DV61=999999,"NA",[1]Sheet2!DV61)</f>
        <v>NA</v>
      </c>
      <c r="DL62" s="14" t="str">
        <f>IF([1]Sheet2!DW61=999999,"NA",[1]Sheet2!DW61)</f>
        <v>NA</v>
      </c>
      <c r="DM62" s="14">
        <f>IF([1]Sheet2!DX61=999999,"NA",[1]Sheet2!DX61)</f>
        <v>0</v>
      </c>
      <c r="DN62" s="14">
        <f>IF([1]Sheet2!DY61=999999,"NA",[1]Sheet2!DY61)</f>
        <v>306</v>
      </c>
      <c r="DO62" s="14" t="str">
        <f>IF([1]Sheet2!DZ61=999999,"NA",[1]Sheet2!DZ61)</f>
        <v>NA</v>
      </c>
      <c r="DP62" s="14" t="str">
        <f>IF([1]Sheet2!EA61=999999,"NA",[1]Sheet2!EA61)</f>
        <v>NA</v>
      </c>
      <c r="DQ62" s="14" t="str">
        <f>IF([1]Sheet2!EB61=999999,"NA",[1]Sheet2!EB61)</f>
        <v>NA</v>
      </c>
      <c r="DR62" s="14">
        <f>[1]Sheet2!CY61</f>
        <v>0</v>
      </c>
      <c r="DS62" s="14">
        <f>[1]Sheet2!CZ61</f>
        <v>0</v>
      </c>
      <c r="DT62" s="14">
        <f>[1]Sheet2!DA61</f>
        <v>0</v>
      </c>
      <c r="DU62" s="14">
        <f>[1]Sheet2!DB61</f>
        <v>0</v>
      </c>
      <c r="DV62" s="14">
        <f>[1]Sheet2!DC61</f>
        <v>0</v>
      </c>
      <c r="DW62" s="14">
        <f>[1]Sheet2!DD61</f>
        <v>0</v>
      </c>
      <c r="DX62" s="14">
        <f>[1]Sheet2!DE61</f>
        <v>0</v>
      </c>
      <c r="DY62" s="14">
        <f>[1]Sheet2!DF61</f>
        <v>0</v>
      </c>
      <c r="DZ62" s="14">
        <f>[1]Sheet2!DG61</f>
        <v>0</v>
      </c>
      <c r="EA62" s="14">
        <f>[1]Sheet2!DH61</f>
        <v>0</v>
      </c>
      <c r="EB62" s="6">
        <f>[1]Sheet2!EC61</f>
        <v>0</v>
      </c>
      <c r="EC62" s="6">
        <f>[1]Sheet2!ED61</f>
        <v>0</v>
      </c>
      <c r="ED62" s="6">
        <f>[1]Sheet2!EE61</f>
        <v>0</v>
      </c>
      <c r="EE62" s="6">
        <f>[1]Sheet2!EF61</f>
        <v>0</v>
      </c>
      <c r="EF62" s="6">
        <f>[1]Sheet2!EG61</f>
        <v>0</v>
      </c>
      <c r="EG62" s="6">
        <f>[1]Sheet2!EH61</f>
        <v>0</v>
      </c>
      <c r="EH62" s="6">
        <f>[1]Sheet2!EI61</f>
        <v>0</v>
      </c>
      <c r="EI62" s="6">
        <f>[1]Sheet2!EJ61</f>
        <v>0</v>
      </c>
      <c r="EJ62" s="6">
        <f>[1]Sheet2!EK61</f>
        <v>0</v>
      </c>
      <c r="EK62" s="6">
        <f>[1]Sheet2!EL61</f>
        <v>0</v>
      </c>
      <c r="EL62" s="6" t="str">
        <f>[1]Sheet2!EM61</f>
        <v/>
      </c>
      <c r="EM62" s="6" t="str">
        <f>[1]Sheet2!EN61</f>
        <v/>
      </c>
      <c r="EN62" s="6" t="str">
        <f>[1]Sheet2!EO61</f>
        <v/>
      </c>
      <c r="EO62" s="6" t="str">
        <f>[1]Sheet2!EP61</f>
        <v/>
      </c>
      <c r="EP62" s="6" t="str">
        <f>[1]Sheet2!EQ61</f>
        <v/>
      </c>
      <c r="EQ62" s="6" t="str">
        <f>[1]Sheet2!ER61</f>
        <v/>
      </c>
      <c r="ER62" s="6" t="str">
        <f>[1]Sheet2!ES61</f>
        <v/>
      </c>
      <c r="ES62" s="6" t="str">
        <f>[1]Sheet2!ET61</f>
        <v/>
      </c>
      <c r="ET62" s="6" t="str">
        <f>[1]Sheet2!EU61</f>
        <v/>
      </c>
      <c r="EU62" s="6" t="str">
        <f>[1]Sheet2!EV61</f>
        <v/>
      </c>
      <c r="EV62" s="6" t="str">
        <f>[1]Sheet2!EW61</f>
        <v/>
      </c>
      <c r="EW62" s="6" t="str">
        <f>[1]Sheet2!EX61</f>
        <v/>
      </c>
      <c r="EX62" s="6" t="str">
        <f>[1]Sheet2!EY61</f>
        <v/>
      </c>
      <c r="EY62" s="6" t="str">
        <f>[1]Sheet2!EZ61</f>
        <v/>
      </c>
      <c r="EZ62" s="6" t="str">
        <f>[1]Sheet2!FA61</f>
        <v/>
      </c>
      <c r="FA62" s="6" t="str">
        <f>[1]Sheet2!FB61</f>
        <v/>
      </c>
      <c r="FB62" s="6" t="str">
        <f>[1]Sheet2!FC61</f>
        <v/>
      </c>
      <c r="FC62" s="6" t="str">
        <f>[1]Sheet2!FD61</f>
        <v/>
      </c>
      <c r="FD62" s="6" t="str">
        <f>[1]Sheet2!FE61</f>
        <v/>
      </c>
      <c r="FE62" s="6" t="str">
        <f>[1]Sheet2!FF61</f>
        <v/>
      </c>
      <c r="FF62" s="6" t="str">
        <f>[1]Sheet2!FG61</f>
        <v/>
      </c>
      <c r="FG62" s="6" t="str">
        <f>[1]Sheet2!FH61</f>
        <v/>
      </c>
      <c r="FH62" s="6" t="str">
        <f>[1]Sheet2!FI61</f>
        <v/>
      </c>
      <c r="FI62" s="6" t="str">
        <f>[1]Sheet2!FJ61</f>
        <v/>
      </c>
      <c r="FJ62" s="6" t="str">
        <f>[1]Sheet2!FK61</f>
        <v/>
      </c>
      <c r="FK62" s="6" t="str">
        <f>[1]Sheet2!FL61</f>
        <v/>
      </c>
      <c r="FL62" s="6" t="str">
        <f>[1]Sheet2!FM61</f>
        <v/>
      </c>
      <c r="FM62" s="6" t="str">
        <f>[1]Sheet2!FN61</f>
        <v/>
      </c>
      <c r="FN62" s="6" t="str">
        <f>[1]Sheet2!FO61</f>
        <v/>
      </c>
      <c r="FO62" s="6" t="str">
        <f>[1]Sheet2!FP61</f>
        <v/>
      </c>
    </row>
    <row r="63" spans="1:171" x14ac:dyDescent="0.25">
      <c r="A63" s="15">
        <v>43525</v>
      </c>
      <c r="B63" s="1"/>
      <c r="C63" s="1"/>
      <c r="D63" s="1"/>
      <c r="E63" s="14">
        <f>[1]Sheet2!N62</f>
        <v>0</v>
      </c>
      <c r="F63" s="14">
        <f>[1]Sheet2!BE62</f>
        <v>0</v>
      </c>
      <c r="G63" s="14">
        <f>[1]Sheet2!CW62</f>
        <v>0</v>
      </c>
      <c r="H63" s="1"/>
      <c r="I63" s="1"/>
      <c r="J63" s="1"/>
      <c r="K63" s="16"/>
      <c r="L63" s="16">
        <f>Demand_CWRS!B$5/31</f>
        <v>131.679370700757</v>
      </c>
      <c r="M63" s="16">
        <f>Demand_CWRS!C$5/31</f>
        <v>537.20942928039699</v>
      </c>
      <c r="N63" s="16">
        <f>Demand_CWRS!D$5/31</f>
        <v>0</v>
      </c>
      <c r="O63" s="16">
        <f>Demand_CWRS!E$5/31</f>
        <v>121.5961418056559</v>
      </c>
      <c r="P63" s="16">
        <f>Demand_CWRS!F$5/31</f>
        <v>245.08227837631262</v>
      </c>
      <c r="Q63" s="16">
        <f>Demand_CWRS!G$5/31</f>
        <v>131.679370700757</v>
      </c>
      <c r="R63" s="16">
        <f>Demand_CWRS!H$5/31</f>
        <v>245.08227837631262</v>
      </c>
      <c r="S63" s="16">
        <f>Demand_CWRS!I$5/31</f>
        <v>245.08227837631262</v>
      </c>
      <c r="T63" s="16">
        <f>Demand_CWRS!J$5/31</f>
        <v>245.08227837631262</v>
      </c>
      <c r="U63" s="16">
        <f>Demand_CWRS!K$5/31</f>
        <v>245.08227837631262</v>
      </c>
      <c r="V63" s="16">
        <f t="shared" si="6"/>
        <v>-6528.6231807969143</v>
      </c>
      <c r="W63" s="16">
        <f t="shared" si="7"/>
        <v>-17065.84019851116</v>
      </c>
      <c r="X63" s="16">
        <f t="shared" si="8"/>
        <v>0</v>
      </c>
      <c r="Y63" s="16">
        <f t="shared" si="9"/>
        <v>2168.4794992199932</v>
      </c>
      <c r="Z63" s="16">
        <f t="shared" si="10"/>
        <v>-8757.0488649147755</v>
      </c>
      <c r="AA63" s="16">
        <f t="shared" si="11"/>
        <v>-5311.6793707007591</v>
      </c>
      <c r="AB63" s="16">
        <f t="shared" si="12"/>
        <v>-13238.092534786563</v>
      </c>
      <c r="AC63" s="16">
        <f t="shared" si="13"/>
        <v>-7445.0822783763169</v>
      </c>
      <c r="AD63" s="16">
        <f t="shared" si="14"/>
        <v>-7545.0822783763106</v>
      </c>
      <c r="AE63" s="16">
        <f t="shared" si="15"/>
        <v>-8145.0822783763133</v>
      </c>
      <c r="AF63" s="14">
        <f>IF([1]Sheet2!AJ62=999999,"NA",[1]Sheet2!AJ62)</f>
        <v>0</v>
      </c>
      <c r="AG63" s="14">
        <f>IF([1]Sheet2!AK62=999999,"NA",[1]Sheet2!AK62)</f>
        <v>0</v>
      </c>
      <c r="AH63" s="14" t="str">
        <f>IF([1]Sheet2!AL62=999999,"NA",[1]Sheet2!AL62)</f>
        <v>NA</v>
      </c>
      <c r="AI63" s="14">
        <f>IF([1]Sheet2!AM62=999999,"NA",[1]Sheet2!AM62)</f>
        <v>17</v>
      </c>
      <c r="AJ63" s="14">
        <f>IF([1]Sheet2!AN62=999999,"NA",[1]Sheet2!AN62)</f>
        <v>0</v>
      </c>
      <c r="AK63" s="14">
        <f>IF([1]Sheet2!AO62=999999,"NA",[1]Sheet2!AO62)</f>
        <v>0</v>
      </c>
      <c r="AL63" s="14">
        <f>IF([1]Sheet2!AP62=999999,"NA",[1]Sheet2!AP62)</f>
        <v>0</v>
      </c>
      <c r="AM63" s="14">
        <f>IF([1]Sheet2!AQ62=999999,"NA",[1]Sheet2!AQ62)</f>
        <v>0</v>
      </c>
      <c r="AN63" s="14">
        <f>IF([1]Sheet2!AR62=999999,"NA",[1]Sheet2!AR62)</f>
        <v>0</v>
      </c>
      <c r="AO63" s="14">
        <f>IF([1]Sheet2!AS62=999999,"NA",[1]Sheet2!AS62)</f>
        <v>0</v>
      </c>
      <c r="AP63" s="14">
        <f>[1]Sheet2!P62</f>
        <v>0</v>
      </c>
      <c r="AQ63" s="14">
        <f>[1]Sheet2!Q62</f>
        <v>0</v>
      </c>
      <c r="AR63" s="14">
        <f>[1]Sheet2!R62</f>
        <v>0</v>
      </c>
      <c r="AS63" s="14">
        <f>[1]Sheet2!S62</f>
        <v>0</v>
      </c>
      <c r="AT63" s="14">
        <f>[1]Sheet2!T62</f>
        <v>0</v>
      </c>
      <c r="AU63" s="14">
        <f>[1]Sheet2!U62</f>
        <v>0</v>
      </c>
      <c r="AV63" s="14">
        <f>[1]Sheet2!V62</f>
        <v>0</v>
      </c>
      <c r="AW63" s="14">
        <f>[1]Sheet2!W62</f>
        <v>0</v>
      </c>
      <c r="AX63" s="14">
        <f>[1]Sheet2!X62</f>
        <v>0</v>
      </c>
      <c r="AY63" s="14">
        <f>[1]Sheet2!Y62</f>
        <v>0</v>
      </c>
      <c r="AZ63" s="16">
        <f>Demand_LP!B$5/31</f>
        <v>754.78140345091151</v>
      </c>
      <c r="BA63" s="16">
        <f>Demand_LP!C$5/31</f>
        <v>547.55235732009919</v>
      </c>
      <c r="BB63" s="16">
        <f>Demand_LP!D$5/31</f>
        <v>312.75612076095945</v>
      </c>
      <c r="BC63" s="16">
        <f>Demand_LP!E$5/31</f>
        <v>772.29437499345636</v>
      </c>
      <c r="BD63" s="16">
        <f>Demand_LP!F$5/31</f>
        <v>471.74248526347748</v>
      </c>
      <c r="BE63" s="16">
        <f>Demand_LP!G$5/31</f>
        <v>451.61290322580646</v>
      </c>
      <c r="BF63" s="16">
        <f>Demand_LP!H$5/31</f>
        <v>547.55235732009919</v>
      </c>
      <c r="BG63" s="16">
        <f>Demand_LP!I$5/31</f>
        <v>451.61290322580646</v>
      </c>
      <c r="BH63" s="16">
        <f>Demand_LP!J$5/31</f>
        <v>451.61290322580646</v>
      </c>
      <c r="BI63" s="16">
        <f>Demand_LP!K$5/31</f>
        <v>451.61290322580646</v>
      </c>
      <c r="BJ63" s="16">
        <f t="shared" si="16"/>
        <v>-29058.582625406048</v>
      </c>
      <c r="BK63" s="16">
        <f t="shared" si="17"/>
        <v>-29189.972870140577</v>
      </c>
      <c r="BL63" s="16">
        <f t="shared" si="18"/>
        <v>-5391.2817617866021</v>
      </c>
      <c r="BM63" s="16">
        <f t="shared" si="19"/>
        <v>-33637.716169865256</v>
      </c>
      <c r="BN63" s="16">
        <f t="shared" si="20"/>
        <v>-19290.041523725013</v>
      </c>
      <c r="BO63" s="16">
        <f t="shared" si="21"/>
        <v>-18351.612903225803</v>
      </c>
      <c r="BP63" s="16">
        <f t="shared" si="22"/>
        <v>-23547.55235732011</v>
      </c>
      <c r="BQ63" s="16">
        <f t="shared" si="23"/>
        <v>-18351.612903225803</v>
      </c>
      <c r="BR63" s="16">
        <f t="shared" si="24"/>
        <v>-15951.612903225803</v>
      </c>
      <c r="BS63" s="16">
        <f t="shared" si="25"/>
        <v>-16651.612903225796</v>
      </c>
      <c r="BT63" s="14">
        <f>IF([1]Sheet2!CB62=999999,"NA",[1]Sheet2!CB62)</f>
        <v>0</v>
      </c>
      <c r="BU63" s="14">
        <f>IF([1]Sheet2!CC62=999999,"NA",[1]Sheet2!CC62)</f>
        <v>0</v>
      </c>
      <c r="BV63" s="14">
        <f>IF([1]Sheet2!CD62=999999,"NA",[1]Sheet2!CD62)</f>
        <v>0</v>
      </c>
      <c r="BW63" s="14">
        <f>IF([1]Sheet2!CE62=999999,"NA",[1]Sheet2!CE62)</f>
        <v>0</v>
      </c>
      <c r="BX63" s="14">
        <f>IF([1]Sheet2!CF62=999999,"NA",[1]Sheet2!CF62)</f>
        <v>0</v>
      </c>
      <c r="BY63" s="14">
        <f>IF([1]Sheet2!CG62=999999,"NA",[1]Sheet2!CG62)</f>
        <v>0</v>
      </c>
      <c r="BZ63" s="14">
        <f>IF([1]Sheet2!CH62=999999,"NA",[1]Sheet2!CH62)</f>
        <v>0</v>
      </c>
      <c r="CA63" s="14">
        <f>IF([1]Sheet2!CI62=999999,"NA",[1]Sheet2!CI62)</f>
        <v>0</v>
      </c>
      <c r="CB63" s="14">
        <f>IF([1]Sheet2!CJ62=999999,"NA",[1]Sheet2!CJ62)</f>
        <v>0</v>
      </c>
      <c r="CC63" s="14">
        <f>IF([1]Sheet2!CK62=999999,"NA",[1]Sheet2!CK62)</f>
        <v>0</v>
      </c>
      <c r="CD63" s="14">
        <f>[1]Sheet2!BH62</f>
        <v>0</v>
      </c>
      <c r="CE63" s="14">
        <f>[1]Sheet2!BI62</f>
        <v>0</v>
      </c>
      <c r="CF63" s="14">
        <f>[1]Sheet2!BJ62</f>
        <v>0</v>
      </c>
      <c r="CG63" s="14">
        <f>[1]Sheet2!BK62</f>
        <v>0</v>
      </c>
      <c r="CH63" s="14">
        <f>[1]Sheet2!BL62</f>
        <v>0</v>
      </c>
      <c r="CI63" s="14">
        <f>[1]Sheet2!BM62</f>
        <v>0</v>
      </c>
      <c r="CJ63" s="14">
        <f>[1]Sheet2!BN62</f>
        <v>0</v>
      </c>
      <c r="CK63" s="14">
        <f>[1]Sheet2!BO62</f>
        <v>0</v>
      </c>
      <c r="CL63" s="14">
        <f>[1]Sheet2!BP62</f>
        <v>0</v>
      </c>
      <c r="CM63" s="14">
        <f>[1]Sheet2!BQ62</f>
        <v>0</v>
      </c>
      <c r="CN63" s="16">
        <f>Demand_SW!B$5/31</f>
        <v>138.46153846153845</v>
      </c>
      <c r="CO63" s="16">
        <f>Demand_SW!C$5/31</f>
        <v>29.776674937965261</v>
      </c>
      <c r="CP63" s="16">
        <f>Demand_SW!D$5/31</f>
        <v>0</v>
      </c>
      <c r="CQ63" s="16">
        <f>Demand_SW!E$5/31</f>
        <v>0</v>
      </c>
      <c r="CR63" s="16">
        <f>Demand_SW!F$5/31</f>
        <v>0</v>
      </c>
      <c r="CS63" s="16">
        <f>Demand_SW!G$5/31</f>
        <v>138.70967741935485</v>
      </c>
      <c r="CT63" s="16">
        <f>Demand_SW!H$5/31</f>
        <v>29.776674937965261</v>
      </c>
      <c r="CU63" s="16">
        <f>Demand_SW!I$5/31</f>
        <v>0</v>
      </c>
      <c r="CV63" s="16">
        <f>Demand_SW!J$5/31</f>
        <v>0</v>
      </c>
      <c r="CW63" s="16">
        <f>Demand_SW!K$5/31</f>
        <v>0</v>
      </c>
      <c r="CX63" s="16">
        <f t="shared" si="26"/>
        <v>-2116.9230769230771</v>
      </c>
      <c r="CY63" s="16">
        <f t="shared" si="27"/>
        <v>970.22332506203475</v>
      </c>
      <c r="CZ63" s="16">
        <f t="shared" si="28"/>
        <v>0</v>
      </c>
      <c r="DA63" s="16">
        <f t="shared" si="29"/>
        <v>0</v>
      </c>
      <c r="DB63" s="16">
        <f t="shared" si="30"/>
        <v>0</v>
      </c>
      <c r="DC63" s="16">
        <f t="shared" si="31"/>
        <v>-1638.7096774193496</v>
      </c>
      <c r="DD63" s="16">
        <f t="shared" si="32"/>
        <v>970.22332506203475</v>
      </c>
      <c r="DE63" s="16">
        <f t="shared" si="33"/>
        <v>0</v>
      </c>
      <c r="DF63" s="16">
        <f t="shared" si="34"/>
        <v>0</v>
      </c>
      <c r="DG63" s="16">
        <f t="shared" si="35"/>
        <v>0</v>
      </c>
      <c r="DH63" s="14">
        <f>IF([1]Sheet2!DS62=999999,"NA",[1]Sheet2!DS62)</f>
        <v>0</v>
      </c>
      <c r="DI63" s="14">
        <f>IF([1]Sheet2!DT62=999999,"NA",[1]Sheet2!DT62)</f>
        <v>305</v>
      </c>
      <c r="DJ63" s="14" t="str">
        <f>IF([1]Sheet2!DU62=999999,"NA",[1]Sheet2!DU62)</f>
        <v>NA</v>
      </c>
      <c r="DK63" s="14" t="str">
        <f>IF([1]Sheet2!DV62=999999,"NA",[1]Sheet2!DV62)</f>
        <v>NA</v>
      </c>
      <c r="DL63" s="14" t="str">
        <f>IF([1]Sheet2!DW62=999999,"NA",[1]Sheet2!DW62)</f>
        <v>NA</v>
      </c>
      <c r="DM63" s="14">
        <f>IF([1]Sheet2!DX62=999999,"NA",[1]Sheet2!DX62)</f>
        <v>0</v>
      </c>
      <c r="DN63" s="14">
        <f>IF([1]Sheet2!DY62=999999,"NA",[1]Sheet2!DY62)</f>
        <v>305</v>
      </c>
      <c r="DO63" s="14" t="str">
        <f>IF([1]Sheet2!DZ62=999999,"NA",[1]Sheet2!DZ62)</f>
        <v>NA</v>
      </c>
      <c r="DP63" s="14" t="str">
        <f>IF([1]Sheet2!EA62=999999,"NA",[1]Sheet2!EA62)</f>
        <v>NA</v>
      </c>
      <c r="DQ63" s="14" t="str">
        <f>IF([1]Sheet2!EB62=999999,"NA",[1]Sheet2!EB62)</f>
        <v>NA</v>
      </c>
      <c r="DR63" s="14">
        <f>[1]Sheet2!CY62</f>
        <v>0</v>
      </c>
      <c r="DS63" s="14">
        <f>[1]Sheet2!CZ62</f>
        <v>0</v>
      </c>
      <c r="DT63" s="14">
        <f>[1]Sheet2!DA62</f>
        <v>0</v>
      </c>
      <c r="DU63" s="14">
        <f>[1]Sheet2!DB62</f>
        <v>0</v>
      </c>
      <c r="DV63" s="14">
        <f>[1]Sheet2!DC62</f>
        <v>0</v>
      </c>
      <c r="DW63" s="14">
        <f>[1]Sheet2!DD62</f>
        <v>0</v>
      </c>
      <c r="DX63" s="14">
        <f>[1]Sheet2!DE62</f>
        <v>0</v>
      </c>
      <c r="DY63" s="14">
        <f>[1]Sheet2!DF62</f>
        <v>0</v>
      </c>
      <c r="DZ63" s="14">
        <f>[1]Sheet2!DG62</f>
        <v>0</v>
      </c>
      <c r="EA63" s="14">
        <f>[1]Sheet2!DH62</f>
        <v>0</v>
      </c>
      <c r="EB63" s="6">
        <f>[1]Sheet2!EC62</f>
        <v>0</v>
      </c>
      <c r="EC63" s="6">
        <f>[1]Sheet2!ED62</f>
        <v>0</v>
      </c>
      <c r="ED63" s="6">
        <f>[1]Sheet2!EE62</f>
        <v>0</v>
      </c>
      <c r="EE63" s="6">
        <f>[1]Sheet2!EF62</f>
        <v>0</v>
      </c>
      <c r="EF63" s="6">
        <f>[1]Sheet2!EG62</f>
        <v>0</v>
      </c>
      <c r="EG63" s="6">
        <f>[1]Sheet2!EH62</f>
        <v>0</v>
      </c>
      <c r="EH63" s="6">
        <f>[1]Sheet2!EI62</f>
        <v>0</v>
      </c>
      <c r="EI63" s="6">
        <f>[1]Sheet2!EJ62</f>
        <v>0</v>
      </c>
      <c r="EJ63" s="6">
        <f>[1]Sheet2!EK62</f>
        <v>0</v>
      </c>
      <c r="EK63" s="6">
        <f>[1]Sheet2!EL62</f>
        <v>0</v>
      </c>
      <c r="EL63" s="6" t="str">
        <f>[1]Sheet2!EM62</f>
        <v/>
      </c>
      <c r="EM63" s="6" t="str">
        <f>[1]Sheet2!EN62</f>
        <v/>
      </c>
      <c r="EN63" s="6" t="str">
        <f>[1]Sheet2!EO62</f>
        <v/>
      </c>
      <c r="EO63" s="6" t="str">
        <f>[1]Sheet2!EP62</f>
        <v/>
      </c>
      <c r="EP63" s="6" t="str">
        <f>[1]Sheet2!EQ62</f>
        <v/>
      </c>
      <c r="EQ63" s="6" t="str">
        <f>[1]Sheet2!ER62</f>
        <v/>
      </c>
      <c r="ER63" s="6" t="str">
        <f>[1]Sheet2!ES62</f>
        <v/>
      </c>
      <c r="ES63" s="6" t="str">
        <f>[1]Sheet2!ET62</f>
        <v/>
      </c>
      <c r="ET63" s="6" t="str">
        <f>[1]Sheet2!EU62</f>
        <v/>
      </c>
      <c r="EU63" s="6" t="str">
        <f>[1]Sheet2!EV62</f>
        <v/>
      </c>
      <c r="EV63" s="6" t="str">
        <f>[1]Sheet2!EW62</f>
        <v/>
      </c>
      <c r="EW63" s="6" t="str">
        <f>[1]Sheet2!EX62</f>
        <v/>
      </c>
      <c r="EX63" s="6" t="str">
        <f>[1]Sheet2!EY62</f>
        <v/>
      </c>
      <c r="EY63" s="6" t="str">
        <f>[1]Sheet2!EZ62</f>
        <v/>
      </c>
      <c r="EZ63" s="6" t="str">
        <f>[1]Sheet2!FA62</f>
        <v/>
      </c>
      <c r="FA63" s="6" t="str">
        <f>[1]Sheet2!FB62</f>
        <v/>
      </c>
      <c r="FB63" s="6" t="str">
        <f>[1]Sheet2!FC62</f>
        <v/>
      </c>
      <c r="FC63" s="6" t="str">
        <f>[1]Sheet2!FD62</f>
        <v/>
      </c>
      <c r="FD63" s="6" t="str">
        <f>[1]Sheet2!FE62</f>
        <v/>
      </c>
      <c r="FE63" s="6" t="str">
        <f>[1]Sheet2!FF62</f>
        <v/>
      </c>
      <c r="FF63" s="6" t="str">
        <f>[1]Sheet2!FG62</f>
        <v/>
      </c>
      <c r="FG63" s="6" t="str">
        <f>[1]Sheet2!FH62</f>
        <v/>
      </c>
      <c r="FH63" s="6" t="str">
        <f>[1]Sheet2!FI62</f>
        <v/>
      </c>
      <c r="FI63" s="6" t="str">
        <f>[1]Sheet2!FJ62</f>
        <v/>
      </c>
      <c r="FJ63" s="6" t="str">
        <f>[1]Sheet2!FK62</f>
        <v/>
      </c>
      <c r="FK63" s="6" t="str">
        <f>[1]Sheet2!FL62</f>
        <v/>
      </c>
      <c r="FL63" s="6" t="str">
        <f>[1]Sheet2!FM62</f>
        <v/>
      </c>
      <c r="FM63" s="6" t="str">
        <f>[1]Sheet2!FN62</f>
        <v/>
      </c>
      <c r="FN63" s="6" t="str">
        <f>[1]Sheet2!FO62</f>
        <v/>
      </c>
      <c r="FO63" s="6" t="str">
        <f>[1]Sheet2!FP62</f>
        <v/>
      </c>
    </row>
    <row r="64" spans="1:171" x14ac:dyDescent="0.25">
      <c r="A64" s="15">
        <v>43526</v>
      </c>
      <c r="B64" s="1"/>
      <c r="C64" s="1"/>
      <c r="D64" s="1"/>
      <c r="E64" s="14">
        <f>[1]Sheet2!N63</f>
        <v>0</v>
      </c>
      <c r="F64" s="14">
        <f>[1]Sheet2!BE63</f>
        <v>0</v>
      </c>
      <c r="G64" s="14">
        <f>[1]Sheet2!CW63</f>
        <v>0</v>
      </c>
      <c r="H64" s="1"/>
      <c r="I64" s="1"/>
      <c r="J64" s="1"/>
      <c r="K64" s="16"/>
      <c r="L64" s="16">
        <f>Demand_CWRS!B$5/31</f>
        <v>131.679370700757</v>
      </c>
      <c r="M64" s="16">
        <f>Demand_CWRS!C$5/31</f>
        <v>537.20942928039699</v>
      </c>
      <c r="N64" s="16">
        <f>Demand_CWRS!D$5/31</f>
        <v>0</v>
      </c>
      <c r="O64" s="16">
        <f>Demand_CWRS!E$5/31</f>
        <v>121.5961418056559</v>
      </c>
      <c r="P64" s="16">
        <f>Demand_CWRS!F$5/31</f>
        <v>245.08227837631262</v>
      </c>
      <c r="Q64" s="16">
        <f>Demand_CWRS!G$5/31</f>
        <v>131.679370700757</v>
      </c>
      <c r="R64" s="16">
        <f>Demand_CWRS!H$5/31</f>
        <v>245.08227837631262</v>
      </c>
      <c r="S64" s="16">
        <f>Demand_CWRS!I$5/31</f>
        <v>245.08227837631262</v>
      </c>
      <c r="T64" s="16">
        <f>Demand_CWRS!J$5/31</f>
        <v>245.08227837631262</v>
      </c>
      <c r="U64" s="16">
        <f>Demand_CWRS!K$5/31</f>
        <v>245.08227837631262</v>
      </c>
      <c r="V64" s="16">
        <f t="shared" si="6"/>
        <v>-6660.3025514976716</v>
      </c>
      <c r="W64" s="16">
        <f t="shared" si="7"/>
        <v>-17603.049627791555</v>
      </c>
      <c r="X64" s="16">
        <f t="shared" si="8"/>
        <v>0</v>
      </c>
      <c r="Y64" s="16">
        <f t="shared" si="9"/>
        <v>2046.8833574143373</v>
      </c>
      <c r="Z64" s="16">
        <f t="shared" si="10"/>
        <v>-9002.1311432910879</v>
      </c>
      <c r="AA64" s="16">
        <f t="shared" si="11"/>
        <v>-5443.3587414015165</v>
      </c>
      <c r="AB64" s="16">
        <f t="shared" si="12"/>
        <v>-13483.174813162876</v>
      </c>
      <c r="AC64" s="16">
        <f t="shared" si="13"/>
        <v>-7690.1645567526293</v>
      </c>
      <c r="AD64" s="16">
        <f t="shared" si="14"/>
        <v>-7790.164556752623</v>
      </c>
      <c r="AE64" s="16">
        <f t="shared" si="15"/>
        <v>-8390.1645567526266</v>
      </c>
      <c r="AF64" s="14">
        <f>IF([1]Sheet2!AJ63=999999,"NA",[1]Sheet2!AJ63)</f>
        <v>0</v>
      </c>
      <c r="AG64" s="14">
        <f>IF([1]Sheet2!AK63=999999,"NA",[1]Sheet2!AK63)</f>
        <v>0</v>
      </c>
      <c r="AH64" s="14" t="str">
        <f>IF([1]Sheet2!AL63=999999,"NA",[1]Sheet2!AL63)</f>
        <v>NA</v>
      </c>
      <c r="AI64" s="14">
        <f>IF([1]Sheet2!AM63=999999,"NA",[1]Sheet2!AM63)</f>
        <v>16</v>
      </c>
      <c r="AJ64" s="14">
        <f>IF([1]Sheet2!AN63=999999,"NA",[1]Sheet2!AN63)</f>
        <v>0</v>
      </c>
      <c r="AK64" s="14">
        <f>IF([1]Sheet2!AO63=999999,"NA",[1]Sheet2!AO63)</f>
        <v>0</v>
      </c>
      <c r="AL64" s="14">
        <f>IF([1]Sheet2!AP63=999999,"NA",[1]Sheet2!AP63)</f>
        <v>0</v>
      </c>
      <c r="AM64" s="14">
        <f>IF([1]Sheet2!AQ63=999999,"NA",[1]Sheet2!AQ63)</f>
        <v>0</v>
      </c>
      <c r="AN64" s="14">
        <f>IF([1]Sheet2!AR63=999999,"NA",[1]Sheet2!AR63)</f>
        <v>0</v>
      </c>
      <c r="AO64" s="14">
        <f>IF([1]Sheet2!AS63=999999,"NA",[1]Sheet2!AS63)</f>
        <v>0</v>
      </c>
      <c r="AP64" s="14">
        <f>[1]Sheet2!P63</f>
        <v>0</v>
      </c>
      <c r="AQ64" s="14">
        <f>[1]Sheet2!Q63</f>
        <v>0</v>
      </c>
      <c r="AR64" s="14">
        <f>[1]Sheet2!R63</f>
        <v>0</v>
      </c>
      <c r="AS64" s="14">
        <f>[1]Sheet2!S63</f>
        <v>0</v>
      </c>
      <c r="AT64" s="14">
        <f>[1]Sheet2!T63</f>
        <v>0</v>
      </c>
      <c r="AU64" s="14">
        <f>[1]Sheet2!U63</f>
        <v>0</v>
      </c>
      <c r="AV64" s="14">
        <f>[1]Sheet2!V63</f>
        <v>0</v>
      </c>
      <c r="AW64" s="14">
        <f>[1]Sheet2!W63</f>
        <v>0</v>
      </c>
      <c r="AX64" s="14">
        <f>[1]Sheet2!X63</f>
        <v>0</v>
      </c>
      <c r="AY64" s="14">
        <f>[1]Sheet2!Y63</f>
        <v>0</v>
      </c>
      <c r="AZ64" s="16">
        <f>Demand_LP!B$5/31</f>
        <v>754.78140345091151</v>
      </c>
      <c r="BA64" s="16">
        <f>Demand_LP!C$5/31</f>
        <v>547.55235732009919</v>
      </c>
      <c r="BB64" s="16">
        <f>Demand_LP!D$5/31</f>
        <v>312.75612076095945</v>
      </c>
      <c r="BC64" s="16">
        <f>Demand_LP!E$5/31</f>
        <v>772.29437499345636</v>
      </c>
      <c r="BD64" s="16">
        <f>Demand_LP!F$5/31</f>
        <v>471.74248526347748</v>
      </c>
      <c r="BE64" s="16">
        <f>Demand_LP!G$5/31</f>
        <v>451.61290322580646</v>
      </c>
      <c r="BF64" s="16">
        <f>Demand_LP!H$5/31</f>
        <v>547.55235732009919</v>
      </c>
      <c r="BG64" s="16">
        <f>Demand_LP!I$5/31</f>
        <v>451.61290322580646</v>
      </c>
      <c r="BH64" s="16">
        <f>Demand_LP!J$5/31</f>
        <v>451.61290322580646</v>
      </c>
      <c r="BI64" s="16">
        <f>Demand_LP!K$5/31</f>
        <v>451.61290322580646</v>
      </c>
      <c r="BJ64" s="16">
        <f t="shared" si="16"/>
        <v>-29813.364028856959</v>
      </c>
      <c r="BK64" s="16">
        <f t="shared" si="17"/>
        <v>-29737.525227460676</v>
      </c>
      <c r="BL64" s="16">
        <f t="shared" si="18"/>
        <v>-5704.0378825475618</v>
      </c>
      <c r="BM64" s="16">
        <f t="shared" si="19"/>
        <v>-34410.010544858713</v>
      </c>
      <c r="BN64" s="16">
        <f t="shared" si="20"/>
        <v>-19761.784008988488</v>
      </c>
      <c r="BO64" s="16">
        <f t="shared" si="21"/>
        <v>-18803.22580645161</v>
      </c>
      <c r="BP64" s="16">
        <f t="shared" si="22"/>
        <v>-24095.104714640209</v>
      </c>
      <c r="BQ64" s="16">
        <f t="shared" si="23"/>
        <v>-18803.22580645161</v>
      </c>
      <c r="BR64" s="16">
        <f t="shared" si="24"/>
        <v>-16403.22580645161</v>
      </c>
      <c r="BS64" s="16">
        <f t="shared" si="25"/>
        <v>-17103.225806451603</v>
      </c>
      <c r="BT64" s="14">
        <f>IF([1]Sheet2!CB63=999999,"NA",[1]Sheet2!CB63)</f>
        <v>0</v>
      </c>
      <c r="BU64" s="14">
        <f>IF([1]Sheet2!CC63=999999,"NA",[1]Sheet2!CC63)</f>
        <v>0</v>
      </c>
      <c r="BV64" s="14">
        <f>IF([1]Sheet2!CD63=999999,"NA",[1]Sheet2!CD63)</f>
        <v>0</v>
      </c>
      <c r="BW64" s="14">
        <f>IF([1]Sheet2!CE63=999999,"NA",[1]Sheet2!CE63)</f>
        <v>0</v>
      </c>
      <c r="BX64" s="14">
        <f>IF([1]Sheet2!CF63=999999,"NA",[1]Sheet2!CF63)</f>
        <v>0</v>
      </c>
      <c r="BY64" s="14">
        <f>IF([1]Sheet2!CG63=999999,"NA",[1]Sheet2!CG63)</f>
        <v>0</v>
      </c>
      <c r="BZ64" s="14">
        <f>IF([1]Sheet2!CH63=999999,"NA",[1]Sheet2!CH63)</f>
        <v>0</v>
      </c>
      <c r="CA64" s="14">
        <f>IF([1]Sheet2!CI63=999999,"NA",[1]Sheet2!CI63)</f>
        <v>0</v>
      </c>
      <c r="CB64" s="14">
        <f>IF([1]Sheet2!CJ63=999999,"NA",[1]Sheet2!CJ63)</f>
        <v>0</v>
      </c>
      <c r="CC64" s="14">
        <f>IF([1]Sheet2!CK63=999999,"NA",[1]Sheet2!CK63)</f>
        <v>0</v>
      </c>
      <c r="CD64" s="14">
        <f>[1]Sheet2!BH63</f>
        <v>0</v>
      </c>
      <c r="CE64" s="14">
        <f>[1]Sheet2!BI63</f>
        <v>0</v>
      </c>
      <c r="CF64" s="14">
        <f>[1]Sheet2!BJ63</f>
        <v>0</v>
      </c>
      <c r="CG64" s="14">
        <f>[1]Sheet2!BK63</f>
        <v>0</v>
      </c>
      <c r="CH64" s="14">
        <f>[1]Sheet2!BL63</f>
        <v>0</v>
      </c>
      <c r="CI64" s="14">
        <f>[1]Sheet2!BM63</f>
        <v>0</v>
      </c>
      <c r="CJ64" s="14">
        <f>[1]Sheet2!BN63</f>
        <v>0</v>
      </c>
      <c r="CK64" s="14">
        <f>[1]Sheet2!BO63</f>
        <v>0</v>
      </c>
      <c r="CL64" s="14">
        <f>[1]Sheet2!BP63</f>
        <v>0</v>
      </c>
      <c r="CM64" s="14">
        <f>[1]Sheet2!BQ63</f>
        <v>0</v>
      </c>
      <c r="CN64" s="16">
        <f>Demand_SW!B$5/31</f>
        <v>138.46153846153845</v>
      </c>
      <c r="CO64" s="16">
        <f>Demand_SW!C$5/31</f>
        <v>29.776674937965261</v>
      </c>
      <c r="CP64" s="16">
        <f>Demand_SW!D$5/31</f>
        <v>0</v>
      </c>
      <c r="CQ64" s="16">
        <f>Demand_SW!E$5/31</f>
        <v>0</v>
      </c>
      <c r="CR64" s="16">
        <f>Demand_SW!F$5/31</f>
        <v>0</v>
      </c>
      <c r="CS64" s="16">
        <f>Demand_SW!G$5/31</f>
        <v>138.70967741935485</v>
      </c>
      <c r="CT64" s="16">
        <f>Demand_SW!H$5/31</f>
        <v>29.776674937965261</v>
      </c>
      <c r="CU64" s="16">
        <f>Demand_SW!I$5/31</f>
        <v>0</v>
      </c>
      <c r="CV64" s="16">
        <f>Demand_SW!J$5/31</f>
        <v>0</v>
      </c>
      <c r="CW64" s="16">
        <f>Demand_SW!K$5/31</f>
        <v>0</v>
      </c>
      <c r="CX64" s="16">
        <f t="shared" si="26"/>
        <v>-2255.3846153846157</v>
      </c>
      <c r="CY64" s="16">
        <f t="shared" si="27"/>
        <v>940.44665012406949</v>
      </c>
      <c r="CZ64" s="16">
        <f t="shared" si="28"/>
        <v>0</v>
      </c>
      <c r="DA64" s="16">
        <f t="shared" si="29"/>
        <v>0</v>
      </c>
      <c r="DB64" s="16">
        <f t="shared" si="30"/>
        <v>0</v>
      </c>
      <c r="DC64" s="16">
        <f t="shared" si="31"/>
        <v>-1777.4193548387045</v>
      </c>
      <c r="DD64" s="16">
        <f t="shared" si="32"/>
        <v>940.44665012406949</v>
      </c>
      <c r="DE64" s="16">
        <f t="shared" si="33"/>
        <v>0</v>
      </c>
      <c r="DF64" s="16">
        <f t="shared" si="34"/>
        <v>0</v>
      </c>
      <c r="DG64" s="16">
        <f t="shared" si="35"/>
        <v>0</v>
      </c>
      <c r="DH64" s="14">
        <f>IF([1]Sheet2!DS63=999999,"NA",[1]Sheet2!DS63)</f>
        <v>0</v>
      </c>
      <c r="DI64" s="14">
        <f>IF([1]Sheet2!DT63=999999,"NA",[1]Sheet2!DT63)</f>
        <v>304</v>
      </c>
      <c r="DJ64" s="14" t="str">
        <f>IF([1]Sheet2!DU63=999999,"NA",[1]Sheet2!DU63)</f>
        <v>NA</v>
      </c>
      <c r="DK64" s="14" t="str">
        <f>IF([1]Sheet2!DV63=999999,"NA",[1]Sheet2!DV63)</f>
        <v>NA</v>
      </c>
      <c r="DL64" s="14" t="str">
        <f>IF([1]Sheet2!DW63=999999,"NA",[1]Sheet2!DW63)</f>
        <v>NA</v>
      </c>
      <c r="DM64" s="14">
        <f>IF([1]Sheet2!DX63=999999,"NA",[1]Sheet2!DX63)</f>
        <v>0</v>
      </c>
      <c r="DN64" s="14">
        <f>IF([1]Sheet2!DY63=999999,"NA",[1]Sheet2!DY63)</f>
        <v>304</v>
      </c>
      <c r="DO64" s="14" t="str">
        <f>IF([1]Sheet2!DZ63=999999,"NA",[1]Sheet2!DZ63)</f>
        <v>NA</v>
      </c>
      <c r="DP64" s="14" t="str">
        <f>IF([1]Sheet2!EA63=999999,"NA",[1]Sheet2!EA63)</f>
        <v>NA</v>
      </c>
      <c r="DQ64" s="14" t="str">
        <f>IF([1]Sheet2!EB63=999999,"NA",[1]Sheet2!EB63)</f>
        <v>NA</v>
      </c>
      <c r="DR64" s="14">
        <f>[1]Sheet2!CY63</f>
        <v>0</v>
      </c>
      <c r="DS64" s="14">
        <f>[1]Sheet2!CZ63</f>
        <v>0</v>
      </c>
      <c r="DT64" s="14">
        <f>[1]Sheet2!DA63</f>
        <v>0</v>
      </c>
      <c r="DU64" s="14">
        <f>[1]Sheet2!DB63</f>
        <v>0</v>
      </c>
      <c r="DV64" s="14">
        <f>[1]Sheet2!DC63</f>
        <v>0</v>
      </c>
      <c r="DW64" s="14">
        <f>[1]Sheet2!DD63</f>
        <v>0</v>
      </c>
      <c r="DX64" s="14">
        <f>[1]Sheet2!DE63</f>
        <v>0</v>
      </c>
      <c r="DY64" s="14">
        <f>[1]Sheet2!DF63</f>
        <v>0</v>
      </c>
      <c r="DZ64" s="14">
        <f>[1]Sheet2!DG63</f>
        <v>0</v>
      </c>
      <c r="EA64" s="14">
        <f>[1]Sheet2!DH63</f>
        <v>0</v>
      </c>
      <c r="EB64" s="6">
        <f>[1]Sheet2!EC63</f>
        <v>0</v>
      </c>
      <c r="EC64" s="6">
        <f>[1]Sheet2!ED63</f>
        <v>0</v>
      </c>
      <c r="ED64" s="6">
        <f>[1]Sheet2!EE63</f>
        <v>0</v>
      </c>
      <c r="EE64" s="6">
        <f>[1]Sheet2!EF63</f>
        <v>0</v>
      </c>
      <c r="EF64" s="6">
        <f>[1]Sheet2!EG63</f>
        <v>0</v>
      </c>
      <c r="EG64" s="6">
        <f>[1]Sheet2!EH63</f>
        <v>0</v>
      </c>
      <c r="EH64" s="6">
        <f>[1]Sheet2!EI63</f>
        <v>0</v>
      </c>
      <c r="EI64" s="6">
        <f>[1]Sheet2!EJ63</f>
        <v>0</v>
      </c>
      <c r="EJ64" s="6">
        <f>[1]Sheet2!EK63</f>
        <v>0</v>
      </c>
      <c r="EK64" s="6">
        <f>[1]Sheet2!EL63</f>
        <v>0</v>
      </c>
      <c r="EL64" s="6" t="str">
        <f>[1]Sheet2!EM63</f>
        <v/>
      </c>
      <c r="EM64" s="6" t="str">
        <f>[1]Sheet2!EN63</f>
        <v/>
      </c>
      <c r="EN64" s="6" t="str">
        <f>[1]Sheet2!EO63</f>
        <v/>
      </c>
      <c r="EO64" s="6" t="str">
        <f>[1]Sheet2!EP63</f>
        <v/>
      </c>
      <c r="EP64" s="6" t="str">
        <f>[1]Sheet2!EQ63</f>
        <v/>
      </c>
      <c r="EQ64" s="6" t="str">
        <f>[1]Sheet2!ER63</f>
        <v/>
      </c>
      <c r="ER64" s="6" t="str">
        <f>[1]Sheet2!ES63</f>
        <v/>
      </c>
      <c r="ES64" s="6" t="str">
        <f>[1]Sheet2!ET63</f>
        <v/>
      </c>
      <c r="ET64" s="6" t="str">
        <f>[1]Sheet2!EU63</f>
        <v/>
      </c>
      <c r="EU64" s="6" t="str">
        <f>[1]Sheet2!EV63</f>
        <v/>
      </c>
      <c r="EV64" s="6" t="str">
        <f>[1]Sheet2!EW63</f>
        <v/>
      </c>
      <c r="EW64" s="6" t="str">
        <f>[1]Sheet2!EX63</f>
        <v/>
      </c>
      <c r="EX64" s="6" t="str">
        <f>[1]Sheet2!EY63</f>
        <v/>
      </c>
      <c r="EY64" s="6" t="str">
        <f>[1]Sheet2!EZ63</f>
        <v/>
      </c>
      <c r="EZ64" s="6" t="str">
        <f>[1]Sheet2!FA63</f>
        <v/>
      </c>
      <c r="FA64" s="6" t="str">
        <f>[1]Sheet2!FB63</f>
        <v/>
      </c>
      <c r="FB64" s="6" t="str">
        <f>[1]Sheet2!FC63</f>
        <v/>
      </c>
      <c r="FC64" s="6" t="str">
        <f>[1]Sheet2!FD63</f>
        <v/>
      </c>
      <c r="FD64" s="6" t="str">
        <f>[1]Sheet2!FE63</f>
        <v/>
      </c>
      <c r="FE64" s="6" t="str">
        <f>[1]Sheet2!FF63</f>
        <v/>
      </c>
      <c r="FF64" s="6" t="str">
        <f>[1]Sheet2!FG63</f>
        <v/>
      </c>
      <c r="FG64" s="6" t="str">
        <f>[1]Sheet2!FH63</f>
        <v/>
      </c>
      <c r="FH64" s="6" t="str">
        <f>[1]Sheet2!FI63</f>
        <v/>
      </c>
      <c r="FI64" s="6" t="str">
        <f>[1]Sheet2!FJ63</f>
        <v/>
      </c>
      <c r="FJ64" s="6" t="str">
        <f>[1]Sheet2!FK63</f>
        <v/>
      </c>
      <c r="FK64" s="6" t="str">
        <f>[1]Sheet2!FL63</f>
        <v/>
      </c>
      <c r="FL64" s="6" t="str">
        <f>[1]Sheet2!FM63</f>
        <v/>
      </c>
      <c r="FM64" s="6" t="str">
        <f>[1]Sheet2!FN63</f>
        <v/>
      </c>
      <c r="FN64" s="6" t="str">
        <f>[1]Sheet2!FO63</f>
        <v/>
      </c>
      <c r="FO64" s="6" t="str">
        <f>[1]Sheet2!FP63</f>
        <v/>
      </c>
    </row>
    <row r="65" spans="1:171" x14ac:dyDescent="0.25">
      <c r="A65" s="15">
        <v>43527</v>
      </c>
      <c r="B65" s="1"/>
      <c r="C65" s="1"/>
      <c r="D65" s="1"/>
      <c r="E65" s="14">
        <f>[1]Sheet2!N64</f>
        <v>0</v>
      </c>
      <c r="F65" s="14">
        <f>[1]Sheet2!BE64</f>
        <v>48000</v>
      </c>
      <c r="G65" s="14">
        <f>[1]Sheet2!CW64</f>
        <v>0</v>
      </c>
      <c r="H65" s="1"/>
      <c r="I65" s="1"/>
      <c r="J65" s="1"/>
      <c r="K65" s="16"/>
      <c r="L65" s="16">
        <f>Demand_CWRS!B$5/31</f>
        <v>131.679370700757</v>
      </c>
      <c r="M65" s="16">
        <f>Demand_CWRS!C$5/31</f>
        <v>537.20942928039699</v>
      </c>
      <c r="N65" s="16">
        <f>Demand_CWRS!D$5/31</f>
        <v>0</v>
      </c>
      <c r="O65" s="16">
        <f>Demand_CWRS!E$5/31</f>
        <v>121.5961418056559</v>
      </c>
      <c r="P65" s="16">
        <f>Demand_CWRS!F$5/31</f>
        <v>245.08227837631262</v>
      </c>
      <c r="Q65" s="16">
        <f>Demand_CWRS!G$5/31</f>
        <v>131.679370700757</v>
      </c>
      <c r="R65" s="16">
        <f>Demand_CWRS!H$5/31</f>
        <v>245.08227837631262</v>
      </c>
      <c r="S65" s="16">
        <f>Demand_CWRS!I$5/31</f>
        <v>245.08227837631262</v>
      </c>
      <c r="T65" s="16">
        <f>Demand_CWRS!J$5/31</f>
        <v>245.08227837631262</v>
      </c>
      <c r="U65" s="16">
        <f>Demand_CWRS!K$5/31</f>
        <v>245.08227837631262</v>
      </c>
      <c r="V65" s="16">
        <f t="shared" si="6"/>
        <v>-6791.9819221984289</v>
      </c>
      <c r="W65" s="16">
        <f t="shared" si="7"/>
        <v>-18140.259057071951</v>
      </c>
      <c r="X65" s="16">
        <f t="shared" si="8"/>
        <v>0</v>
      </c>
      <c r="Y65" s="16">
        <f t="shared" si="9"/>
        <v>1925.2872156086814</v>
      </c>
      <c r="Z65" s="16">
        <f t="shared" si="10"/>
        <v>-9247.2134216674003</v>
      </c>
      <c r="AA65" s="16">
        <f t="shared" si="11"/>
        <v>-5575.0381121022738</v>
      </c>
      <c r="AB65" s="16">
        <f t="shared" si="12"/>
        <v>-13728.257091539188</v>
      </c>
      <c r="AC65" s="16">
        <f t="shared" si="13"/>
        <v>-7935.2468351289417</v>
      </c>
      <c r="AD65" s="16">
        <f t="shared" si="14"/>
        <v>-8035.2468351289353</v>
      </c>
      <c r="AE65" s="16">
        <f t="shared" si="15"/>
        <v>-8635.246835128939</v>
      </c>
      <c r="AF65" s="14">
        <f>IF([1]Sheet2!AJ64=999999,"NA",[1]Sheet2!AJ64)</f>
        <v>0</v>
      </c>
      <c r="AG65" s="14">
        <f>IF([1]Sheet2!AK64=999999,"NA",[1]Sheet2!AK64)</f>
        <v>0</v>
      </c>
      <c r="AH65" s="14" t="str">
        <f>IF([1]Sheet2!AL64=999999,"NA",[1]Sheet2!AL64)</f>
        <v>NA</v>
      </c>
      <c r="AI65" s="14">
        <f>IF([1]Sheet2!AM64=999999,"NA",[1]Sheet2!AM64)</f>
        <v>15</v>
      </c>
      <c r="AJ65" s="14">
        <f>IF([1]Sheet2!AN64=999999,"NA",[1]Sheet2!AN64)</f>
        <v>0</v>
      </c>
      <c r="AK65" s="14">
        <f>IF([1]Sheet2!AO64=999999,"NA",[1]Sheet2!AO64)</f>
        <v>0</v>
      </c>
      <c r="AL65" s="14">
        <f>IF([1]Sheet2!AP64=999999,"NA",[1]Sheet2!AP64)</f>
        <v>0</v>
      </c>
      <c r="AM65" s="14">
        <f>IF([1]Sheet2!AQ64=999999,"NA",[1]Sheet2!AQ64)</f>
        <v>0</v>
      </c>
      <c r="AN65" s="14">
        <f>IF([1]Sheet2!AR64=999999,"NA",[1]Sheet2!AR64)</f>
        <v>0</v>
      </c>
      <c r="AO65" s="14">
        <f>IF([1]Sheet2!AS64=999999,"NA",[1]Sheet2!AS64)</f>
        <v>0</v>
      </c>
      <c r="AP65" s="14">
        <f>[1]Sheet2!P64</f>
        <v>0</v>
      </c>
      <c r="AQ65" s="14">
        <f>[1]Sheet2!Q64</f>
        <v>0</v>
      </c>
      <c r="AR65" s="14">
        <f>[1]Sheet2!R64</f>
        <v>0</v>
      </c>
      <c r="AS65" s="14">
        <f>[1]Sheet2!S64</f>
        <v>0</v>
      </c>
      <c r="AT65" s="14">
        <f>[1]Sheet2!T64</f>
        <v>0</v>
      </c>
      <c r="AU65" s="14">
        <f>[1]Sheet2!U64</f>
        <v>0</v>
      </c>
      <c r="AV65" s="14">
        <f>[1]Sheet2!V64</f>
        <v>0</v>
      </c>
      <c r="AW65" s="14">
        <f>[1]Sheet2!W64</f>
        <v>0</v>
      </c>
      <c r="AX65" s="14">
        <f>[1]Sheet2!X64</f>
        <v>0</v>
      </c>
      <c r="AY65" s="14">
        <f>[1]Sheet2!Y64</f>
        <v>0</v>
      </c>
      <c r="AZ65" s="16">
        <f>Demand_LP!B$5/31</f>
        <v>754.78140345091151</v>
      </c>
      <c r="BA65" s="16">
        <f>Demand_LP!C$5/31</f>
        <v>547.55235732009919</v>
      </c>
      <c r="BB65" s="16">
        <f>Demand_LP!D$5/31</f>
        <v>312.75612076095945</v>
      </c>
      <c r="BC65" s="16">
        <f>Demand_LP!E$5/31</f>
        <v>772.29437499345636</v>
      </c>
      <c r="BD65" s="16">
        <f>Demand_LP!F$5/31</f>
        <v>471.74248526347748</v>
      </c>
      <c r="BE65" s="16">
        <f>Demand_LP!G$5/31</f>
        <v>451.61290322580646</v>
      </c>
      <c r="BF65" s="16">
        <f>Demand_LP!H$5/31</f>
        <v>547.55235732009919</v>
      </c>
      <c r="BG65" s="16">
        <f>Demand_LP!I$5/31</f>
        <v>451.61290322580646</v>
      </c>
      <c r="BH65" s="16">
        <f>Demand_LP!J$5/31</f>
        <v>451.61290322580646</v>
      </c>
      <c r="BI65" s="16">
        <f>Demand_LP!K$5/31</f>
        <v>451.61290322580646</v>
      </c>
      <c r="BJ65" s="16">
        <f t="shared" si="16"/>
        <v>-30568.145432307869</v>
      </c>
      <c r="BK65" s="16">
        <f t="shared" si="17"/>
        <v>-30285.077584780774</v>
      </c>
      <c r="BL65" s="16">
        <f t="shared" si="18"/>
        <v>-6016.7940033085215</v>
      </c>
      <c r="BM65" s="16">
        <f t="shared" si="19"/>
        <v>-35182.304919852169</v>
      </c>
      <c r="BN65" s="16">
        <f t="shared" si="20"/>
        <v>-20233.526494251964</v>
      </c>
      <c r="BO65" s="16">
        <f t="shared" si="21"/>
        <v>-19254.838709677417</v>
      </c>
      <c r="BP65" s="16">
        <f t="shared" si="22"/>
        <v>-24642.657071960308</v>
      </c>
      <c r="BQ65" s="16">
        <f t="shared" si="23"/>
        <v>-19254.838709677417</v>
      </c>
      <c r="BR65" s="16">
        <f t="shared" si="24"/>
        <v>-16854.838709677417</v>
      </c>
      <c r="BS65" s="16">
        <f t="shared" si="25"/>
        <v>-17554.838709677409</v>
      </c>
      <c r="BT65" s="14">
        <f>IF([1]Sheet2!CB64=999999,"NA",[1]Sheet2!CB64)</f>
        <v>0</v>
      </c>
      <c r="BU65" s="14">
        <f>IF([1]Sheet2!CC64=999999,"NA",[1]Sheet2!CC64)</f>
        <v>0</v>
      </c>
      <c r="BV65" s="14">
        <f>IF([1]Sheet2!CD64=999999,"NA",[1]Sheet2!CD64)</f>
        <v>0</v>
      </c>
      <c r="BW65" s="14">
        <f>IF([1]Sheet2!CE64=999999,"NA",[1]Sheet2!CE64)</f>
        <v>0</v>
      </c>
      <c r="BX65" s="14">
        <f>IF([1]Sheet2!CF64=999999,"NA",[1]Sheet2!CF64)</f>
        <v>0</v>
      </c>
      <c r="BY65" s="14">
        <f>IF([1]Sheet2!CG64=999999,"NA",[1]Sheet2!CG64)</f>
        <v>0</v>
      </c>
      <c r="BZ65" s="14">
        <f>IF([1]Sheet2!CH64=999999,"NA",[1]Sheet2!CH64)</f>
        <v>0</v>
      </c>
      <c r="CA65" s="14">
        <f>IF([1]Sheet2!CI64=999999,"NA",[1]Sheet2!CI64)</f>
        <v>0</v>
      </c>
      <c r="CB65" s="14">
        <f>IF([1]Sheet2!CJ64=999999,"NA",[1]Sheet2!CJ64)</f>
        <v>0</v>
      </c>
      <c r="CC65" s="14">
        <f>IF([1]Sheet2!CK64=999999,"NA",[1]Sheet2!CK64)</f>
        <v>0</v>
      </c>
      <c r="CD65" s="14">
        <f>[1]Sheet2!BH64</f>
        <v>0</v>
      </c>
      <c r="CE65" s="14">
        <f>[1]Sheet2!BI64</f>
        <v>0</v>
      </c>
      <c r="CF65" s="14">
        <f>[1]Sheet2!BJ64</f>
        <v>0</v>
      </c>
      <c r="CG65" s="14">
        <f>[1]Sheet2!BK64</f>
        <v>0</v>
      </c>
      <c r="CH65" s="14">
        <f>[1]Sheet2!BL64</f>
        <v>0</v>
      </c>
      <c r="CI65" s="14">
        <f>[1]Sheet2!BM64</f>
        <v>0</v>
      </c>
      <c r="CJ65" s="14">
        <f>[1]Sheet2!BN64</f>
        <v>0</v>
      </c>
      <c r="CK65" s="14">
        <f>[1]Sheet2!BO64</f>
        <v>0</v>
      </c>
      <c r="CL65" s="14">
        <f>[1]Sheet2!BP64</f>
        <v>0</v>
      </c>
      <c r="CM65" s="14">
        <f>[1]Sheet2!BQ64</f>
        <v>0</v>
      </c>
      <c r="CN65" s="16">
        <f>Demand_SW!B$5/31</f>
        <v>138.46153846153845</v>
      </c>
      <c r="CO65" s="16">
        <f>Demand_SW!C$5/31</f>
        <v>29.776674937965261</v>
      </c>
      <c r="CP65" s="16">
        <f>Demand_SW!D$5/31</f>
        <v>0</v>
      </c>
      <c r="CQ65" s="16">
        <f>Demand_SW!E$5/31</f>
        <v>0</v>
      </c>
      <c r="CR65" s="16">
        <f>Demand_SW!F$5/31</f>
        <v>0</v>
      </c>
      <c r="CS65" s="16">
        <f>Demand_SW!G$5/31</f>
        <v>138.70967741935485</v>
      </c>
      <c r="CT65" s="16">
        <f>Demand_SW!H$5/31</f>
        <v>29.776674937965261</v>
      </c>
      <c r="CU65" s="16">
        <f>Demand_SW!I$5/31</f>
        <v>0</v>
      </c>
      <c r="CV65" s="16">
        <f>Demand_SW!J$5/31</f>
        <v>0</v>
      </c>
      <c r="CW65" s="16">
        <f>Demand_SW!K$5/31</f>
        <v>0</v>
      </c>
      <c r="CX65" s="16">
        <f t="shared" si="26"/>
        <v>-2393.8461538461543</v>
      </c>
      <c r="CY65" s="16">
        <f t="shared" si="27"/>
        <v>910.66997518610424</v>
      </c>
      <c r="CZ65" s="16">
        <f t="shared" si="28"/>
        <v>0</v>
      </c>
      <c r="DA65" s="16">
        <f t="shared" si="29"/>
        <v>0</v>
      </c>
      <c r="DB65" s="16">
        <f t="shared" si="30"/>
        <v>0</v>
      </c>
      <c r="DC65" s="16">
        <f t="shared" si="31"/>
        <v>-1916.1290322580594</v>
      </c>
      <c r="DD65" s="16">
        <f t="shared" si="32"/>
        <v>910.66997518610424</v>
      </c>
      <c r="DE65" s="16">
        <f t="shared" si="33"/>
        <v>0</v>
      </c>
      <c r="DF65" s="16">
        <f t="shared" si="34"/>
        <v>0</v>
      </c>
      <c r="DG65" s="16">
        <f t="shared" si="35"/>
        <v>0</v>
      </c>
      <c r="DH65" s="14">
        <f>IF([1]Sheet2!DS64=999999,"NA",[1]Sheet2!DS64)</f>
        <v>0</v>
      </c>
      <c r="DI65" s="14">
        <f>IF([1]Sheet2!DT64=999999,"NA",[1]Sheet2!DT64)</f>
        <v>303</v>
      </c>
      <c r="DJ65" s="14" t="str">
        <f>IF([1]Sheet2!DU64=999999,"NA",[1]Sheet2!DU64)</f>
        <v>NA</v>
      </c>
      <c r="DK65" s="14" t="str">
        <f>IF([1]Sheet2!DV64=999999,"NA",[1]Sheet2!DV64)</f>
        <v>NA</v>
      </c>
      <c r="DL65" s="14" t="str">
        <f>IF([1]Sheet2!DW64=999999,"NA",[1]Sheet2!DW64)</f>
        <v>NA</v>
      </c>
      <c r="DM65" s="14">
        <f>IF([1]Sheet2!DX64=999999,"NA",[1]Sheet2!DX64)</f>
        <v>0</v>
      </c>
      <c r="DN65" s="14">
        <f>IF([1]Sheet2!DY64=999999,"NA",[1]Sheet2!DY64)</f>
        <v>303</v>
      </c>
      <c r="DO65" s="14" t="str">
        <f>IF([1]Sheet2!DZ64=999999,"NA",[1]Sheet2!DZ64)</f>
        <v>NA</v>
      </c>
      <c r="DP65" s="14" t="str">
        <f>IF([1]Sheet2!EA64=999999,"NA",[1]Sheet2!EA64)</f>
        <v>NA</v>
      </c>
      <c r="DQ65" s="14" t="str">
        <f>IF([1]Sheet2!EB64=999999,"NA",[1]Sheet2!EB64)</f>
        <v>NA</v>
      </c>
      <c r="DR65" s="14">
        <f>[1]Sheet2!CY64</f>
        <v>0</v>
      </c>
      <c r="DS65" s="14">
        <f>[1]Sheet2!CZ64</f>
        <v>0</v>
      </c>
      <c r="DT65" s="14">
        <f>[1]Sheet2!DA64</f>
        <v>0</v>
      </c>
      <c r="DU65" s="14">
        <f>[1]Sheet2!DB64</f>
        <v>0</v>
      </c>
      <c r="DV65" s="14">
        <f>[1]Sheet2!DC64</f>
        <v>0</v>
      </c>
      <c r="DW65" s="14">
        <f>[1]Sheet2!DD64</f>
        <v>0</v>
      </c>
      <c r="DX65" s="14">
        <f>[1]Sheet2!DE64</f>
        <v>0</v>
      </c>
      <c r="DY65" s="14">
        <f>[1]Sheet2!DF64</f>
        <v>0</v>
      </c>
      <c r="DZ65" s="14">
        <f>[1]Sheet2!DG64</f>
        <v>0</v>
      </c>
      <c r="EA65" s="14">
        <f>[1]Sheet2!DH64</f>
        <v>0</v>
      </c>
      <c r="EB65" s="6">
        <f>[1]Sheet2!EC64</f>
        <v>0</v>
      </c>
      <c r="EC65" s="6">
        <f>[1]Sheet2!ED64</f>
        <v>0</v>
      </c>
      <c r="ED65" s="6">
        <f>[1]Sheet2!EE64</f>
        <v>0</v>
      </c>
      <c r="EE65" s="6">
        <f>[1]Sheet2!EF64</f>
        <v>0</v>
      </c>
      <c r="EF65" s="6">
        <f>[1]Sheet2!EG64</f>
        <v>0</v>
      </c>
      <c r="EG65" s="6">
        <f>[1]Sheet2!EH64</f>
        <v>0</v>
      </c>
      <c r="EH65" s="6">
        <f>[1]Sheet2!EI64</f>
        <v>0</v>
      </c>
      <c r="EI65" s="6">
        <f>[1]Sheet2!EJ64</f>
        <v>0</v>
      </c>
      <c r="EJ65" s="6">
        <f>[1]Sheet2!EK64</f>
        <v>0</v>
      </c>
      <c r="EK65" s="6">
        <f>[1]Sheet2!EL64</f>
        <v>0</v>
      </c>
      <c r="EL65" s="6" t="str">
        <f>[1]Sheet2!EM64</f>
        <v/>
      </c>
      <c r="EM65" s="6" t="str">
        <f>[1]Sheet2!EN64</f>
        <v/>
      </c>
      <c r="EN65" s="6" t="str">
        <f>[1]Sheet2!EO64</f>
        <v/>
      </c>
      <c r="EO65" s="6" t="str">
        <f>[1]Sheet2!EP64</f>
        <v/>
      </c>
      <c r="EP65" s="6" t="str">
        <f>[1]Sheet2!EQ64</f>
        <v/>
      </c>
      <c r="EQ65" s="6" t="str">
        <f>[1]Sheet2!ER64</f>
        <v/>
      </c>
      <c r="ER65" s="6" t="str">
        <f>[1]Sheet2!ES64</f>
        <v/>
      </c>
      <c r="ES65" s="6" t="str">
        <f>[1]Sheet2!ET64</f>
        <v/>
      </c>
      <c r="ET65" s="6" t="str">
        <f>[1]Sheet2!EU64</f>
        <v/>
      </c>
      <c r="EU65" s="6" t="str">
        <f>[1]Sheet2!EV64</f>
        <v/>
      </c>
      <c r="EV65" s="6" t="str">
        <f>[1]Sheet2!EW64</f>
        <v/>
      </c>
      <c r="EW65" s="6" t="str">
        <f>[1]Sheet2!EX64</f>
        <v/>
      </c>
      <c r="EX65" s="6" t="str">
        <f>[1]Sheet2!EY64</f>
        <v/>
      </c>
      <c r="EY65" s="6" t="str">
        <f>[1]Sheet2!EZ64</f>
        <v/>
      </c>
      <c r="EZ65" s="6" t="str">
        <f>[1]Sheet2!FA64</f>
        <v/>
      </c>
      <c r="FA65" s="6" t="str">
        <f>[1]Sheet2!FB64</f>
        <v/>
      </c>
      <c r="FB65" s="6" t="str">
        <f>[1]Sheet2!FC64</f>
        <v/>
      </c>
      <c r="FC65" s="6" t="str">
        <f>[1]Sheet2!FD64</f>
        <v/>
      </c>
      <c r="FD65" s="6" t="str">
        <f>[1]Sheet2!FE64</f>
        <v/>
      </c>
      <c r="FE65" s="6" t="str">
        <f>[1]Sheet2!FF64</f>
        <v/>
      </c>
      <c r="FF65" s="6" t="str">
        <f>[1]Sheet2!FG64</f>
        <v/>
      </c>
      <c r="FG65" s="6" t="str">
        <f>[1]Sheet2!FH64</f>
        <v/>
      </c>
      <c r="FH65" s="6" t="str">
        <f>[1]Sheet2!FI64</f>
        <v/>
      </c>
      <c r="FI65" s="6" t="str">
        <f>[1]Sheet2!FJ64</f>
        <v/>
      </c>
      <c r="FJ65" s="6" t="str">
        <f>[1]Sheet2!FK64</f>
        <v/>
      </c>
      <c r="FK65" s="6" t="str">
        <f>[1]Sheet2!FL64</f>
        <v/>
      </c>
      <c r="FL65" s="6" t="str">
        <f>[1]Sheet2!FM64</f>
        <v/>
      </c>
      <c r="FM65" s="6" t="str">
        <f>[1]Sheet2!FN64</f>
        <v/>
      </c>
      <c r="FN65" s="6" t="str">
        <f>[1]Sheet2!FO64</f>
        <v/>
      </c>
      <c r="FO65" s="6" t="str">
        <f>[1]Sheet2!FP64</f>
        <v/>
      </c>
    </row>
    <row r="66" spans="1:171" x14ac:dyDescent="0.25">
      <c r="A66" s="15">
        <v>43528</v>
      </c>
      <c r="B66" s="1"/>
      <c r="C66" s="1"/>
      <c r="D66" s="1"/>
      <c r="E66" s="14">
        <f>[1]Sheet2!N65</f>
        <v>0</v>
      </c>
      <c r="F66" s="14">
        <f>[1]Sheet2!BE65</f>
        <v>0</v>
      </c>
      <c r="G66" s="14">
        <f>[1]Sheet2!CW65</f>
        <v>0</v>
      </c>
      <c r="H66" s="1"/>
      <c r="I66" s="1"/>
      <c r="J66" s="1"/>
      <c r="K66" s="16"/>
      <c r="L66" s="16">
        <f>Demand_CWRS!B$5/31</f>
        <v>131.679370700757</v>
      </c>
      <c r="M66" s="16">
        <f>Demand_CWRS!C$5/31</f>
        <v>537.20942928039699</v>
      </c>
      <c r="N66" s="16">
        <f>Demand_CWRS!D$5/31</f>
        <v>0</v>
      </c>
      <c r="O66" s="16">
        <f>Demand_CWRS!E$5/31</f>
        <v>121.5961418056559</v>
      </c>
      <c r="P66" s="16">
        <f>Demand_CWRS!F$5/31</f>
        <v>245.08227837631262</v>
      </c>
      <c r="Q66" s="16">
        <f>Demand_CWRS!G$5/31</f>
        <v>131.679370700757</v>
      </c>
      <c r="R66" s="16">
        <f>Demand_CWRS!H$5/31</f>
        <v>245.08227837631262</v>
      </c>
      <c r="S66" s="16">
        <f>Demand_CWRS!I$5/31</f>
        <v>245.08227837631262</v>
      </c>
      <c r="T66" s="16">
        <f>Demand_CWRS!J$5/31</f>
        <v>245.08227837631262</v>
      </c>
      <c r="U66" s="16">
        <f>Demand_CWRS!K$5/31</f>
        <v>245.08227837631262</v>
      </c>
      <c r="V66" s="16">
        <f t="shared" si="6"/>
        <v>-6923.6612928991863</v>
      </c>
      <c r="W66" s="16">
        <f t="shared" si="7"/>
        <v>-18677.468486352347</v>
      </c>
      <c r="X66" s="16">
        <f t="shared" si="8"/>
        <v>0</v>
      </c>
      <c r="Y66" s="16">
        <f t="shared" si="9"/>
        <v>1803.6910738030256</v>
      </c>
      <c r="Z66" s="16">
        <f t="shared" si="10"/>
        <v>-9492.2957000437127</v>
      </c>
      <c r="AA66" s="16">
        <f t="shared" si="11"/>
        <v>-5706.7174828030311</v>
      </c>
      <c r="AB66" s="16">
        <f t="shared" si="12"/>
        <v>-13973.3393699155</v>
      </c>
      <c r="AC66" s="16">
        <f t="shared" si="13"/>
        <v>-8180.3291135052541</v>
      </c>
      <c r="AD66" s="16">
        <f t="shared" si="14"/>
        <v>-8280.3291135052477</v>
      </c>
      <c r="AE66" s="16">
        <f t="shared" si="15"/>
        <v>-8880.3291135052514</v>
      </c>
      <c r="AF66" s="14">
        <f>IF([1]Sheet2!AJ65=999999,"NA",[1]Sheet2!AJ65)</f>
        <v>0</v>
      </c>
      <c r="AG66" s="14">
        <f>IF([1]Sheet2!AK65=999999,"NA",[1]Sheet2!AK65)</f>
        <v>0</v>
      </c>
      <c r="AH66" s="14" t="str">
        <f>IF([1]Sheet2!AL65=999999,"NA",[1]Sheet2!AL65)</f>
        <v>NA</v>
      </c>
      <c r="AI66" s="14">
        <f>IF([1]Sheet2!AM65=999999,"NA",[1]Sheet2!AM65)</f>
        <v>14</v>
      </c>
      <c r="AJ66" s="14">
        <f>IF([1]Sheet2!AN65=999999,"NA",[1]Sheet2!AN65)</f>
        <v>0</v>
      </c>
      <c r="AK66" s="14">
        <f>IF([1]Sheet2!AO65=999999,"NA",[1]Sheet2!AO65)</f>
        <v>0</v>
      </c>
      <c r="AL66" s="14">
        <f>IF([1]Sheet2!AP65=999999,"NA",[1]Sheet2!AP65)</f>
        <v>0</v>
      </c>
      <c r="AM66" s="14">
        <f>IF([1]Sheet2!AQ65=999999,"NA",[1]Sheet2!AQ65)</f>
        <v>0</v>
      </c>
      <c r="AN66" s="14">
        <f>IF([1]Sheet2!AR65=999999,"NA",[1]Sheet2!AR65)</f>
        <v>0</v>
      </c>
      <c r="AO66" s="14">
        <f>IF([1]Sheet2!AS65=999999,"NA",[1]Sheet2!AS65)</f>
        <v>0</v>
      </c>
      <c r="AP66" s="14">
        <f>[1]Sheet2!P65</f>
        <v>0</v>
      </c>
      <c r="AQ66" s="14">
        <f>[1]Sheet2!Q65</f>
        <v>0</v>
      </c>
      <c r="AR66" s="14">
        <f>[1]Sheet2!R65</f>
        <v>0</v>
      </c>
      <c r="AS66" s="14">
        <f>[1]Sheet2!S65</f>
        <v>0</v>
      </c>
      <c r="AT66" s="14">
        <f>[1]Sheet2!T65</f>
        <v>0</v>
      </c>
      <c r="AU66" s="14">
        <f>[1]Sheet2!U65</f>
        <v>0</v>
      </c>
      <c r="AV66" s="14">
        <f>[1]Sheet2!V65</f>
        <v>0</v>
      </c>
      <c r="AW66" s="14">
        <f>[1]Sheet2!W65</f>
        <v>0</v>
      </c>
      <c r="AX66" s="14">
        <f>[1]Sheet2!X65</f>
        <v>0</v>
      </c>
      <c r="AY66" s="14">
        <f>[1]Sheet2!Y65</f>
        <v>0</v>
      </c>
      <c r="AZ66" s="16">
        <f>Demand_LP!B$5/31</f>
        <v>754.78140345091151</v>
      </c>
      <c r="BA66" s="16">
        <f>Demand_LP!C$5/31</f>
        <v>547.55235732009919</v>
      </c>
      <c r="BB66" s="16">
        <f>Demand_LP!D$5/31</f>
        <v>312.75612076095945</v>
      </c>
      <c r="BC66" s="16">
        <f>Demand_LP!E$5/31</f>
        <v>772.29437499345636</v>
      </c>
      <c r="BD66" s="16">
        <f>Demand_LP!F$5/31</f>
        <v>471.74248526347748</v>
      </c>
      <c r="BE66" s="16">
        <f>Demand_LP!G$5/31</f>
        <v>451.61290322580646</v>
      </c>
      <c r="BF66" s="16">
        <f>Demand_LP!H$5/31</f>
        <v>547.55235732009919</v>
      </c>
      <c r="BG66" s="16">
        <f>Demand_LP!I$5/31</f>
        <v>451.61290322580646</v>
      </c>
      <c r="BH66" s="16">
        <f>Demand_LP!J$5/31</f>
        <v>451.61290322580646</v>
      </c>
      <c r="BI66" s="16">
        <f>Demand_LP!K$5/31</f>
        <v>451.61290322580646</v>
      </c>
      <c r="BJ66" s="16">
        <f t="shared" si="16"/>
        <v>-31322.926835758779</v>
      </c>
      <c r="BK66" s="16">
        <f t="shared" si="17"/>
        <v>-30832.629942100873</v>
      </c>
      <c r="BL66" s="16">
        <f t="shared" si="18"/>
        <v>-6329.5501240694812</v>
      </c>
      <c r="BM66" s="16">
        <f t="shared" si="19"/>
        <v>-35954.599294845626</v>
      </c>
      <c r="BN66" s="16">
        <f t="shared" si="20"/>
        <v>-20705.26897951544</v>
      </c>
      <c r="BO66" s="16">
        <f t="shared" si="21"/>
        <v>-19706.451612903224</v>
      </c>
      <c r="BP66" s="16">
        <f t="shared" si="22"/>
        <v>-25190.209429280407</v>
      </c>
      <c r="BQ66" s="16">
        <f t="shared" si="23"/>
        <v>-19706.451612903224</v>
      </c>
      <c r="BR66" s="16">
        <f t="shared" si="24"/>
        <v>-17306.451612903224</v>
      </c>
      <c r="BS66" s="16">
        <f t="shared" si="25"/>
        <v>-18006.451612903216</v>
      </c>
      <c r="BT66" s="14">
        <f>IF([1]Sheet2!CB65=999999,"NA",[1]Sheet2!CB65)</f>
        <v>0</v>
      </c>
      <c r="BU66" s="14">
        <f>IF([1]Sheet2!CC65=999999,"NA",[1]Sheet2!CC65)</f>
        <v>0</v>
      </c>
      <c r="BV66" s="14">
        <f>IF([1]Sheet2!CD65=999999,"NA",[1]Sheet2!CD65)</f>
        <v>0</v>
      </c>
      <c r="BW66" s="14">
        <f>IF([1]Sheet2!CE65=999999,"NA",[1]Sheet2!CE65)</f>
        <v>0</v>
      </c>
      <c r="BX66" s="14">
        <f>IF([1]Sheet2!CF65=999999,"NA",[1]Sheet2!CF65)</f>
        <v>0</v>
      </c>
      <c r="BY66" s="14">
        <f>IF([1]Sheet2!CG65=999999,"NA",[1]Sheet2!CG65)</f>
        <v>0</v>
      </c>
      <c r="BZ66" s="14">
        <f>IF([1]Sheet2!CH65=999999,"NA",[1]Sheet2!CH65)</f>
        <v>0</v>
      </c>
      <c r="CA66" s="14">
        <f>IF([1]Sheet2!CI65=999999,"NA",[1]Sheet2!CI65)</f>
        <v>0</v>
      </c>
      <c r="CB66" s="14">
        <f>IF([1]Sheet2!CJ65=999999,"NA",[1]Sheet2!CJ65)</f>
        <v>0</v>
      </c>
      <c r="CC66" s="14">
        <f>IF([1]Sheet2!CK65=999999,"NA",[1]Sheet2!CK65)</f>
        <v>0</v>
      </c>
      <c r="CD66" s="14">
        <f>[1]Sheet2!BH65</f>
        <v>0</v>
      </c>
      <c r="CE66" s="14">
        <f>[1]Sheet2!BI65</f>
        <v>0</v>
      </c>
      <c r="CF66" s="14">
        <f>[1]Sheet2!BJ65</f>
        <v>0</v>
      </c>
      <c r="CG66" s="14">
        <f>[1]Sheet2!BK65</f>
        <v>0</v>
      </c>
      <c r="CH66" s="14">
        <f>[1]Sheet2!BL65</f>
        <v>0</v>
      </c>
      <c r="CI66" s="14">
        <f>[1]Sheet2!BM65</f>
        <v>0</v>
      </c>
      <c r="CJ66" s="14">
        <f>[1]Sheet2!BN65</f>
        <v>0</v>
      </c>
      <c r="CK66" s="14">
        <f>[1]Sheet2!BO65</f>
        <v>0</v>
      </c>
      <c r="CL66" s="14">
        <f>[1]Sheet2!BP65</f>
        <v>0</v>
      </c>
      <c r="CM66" s="14">
        <f>[1]Sheet2!BQ65</f>
        <v>0</v>
      </c>
      <c r="CN66" s="16">
        <f>Demand_SW!B$5/31</f>
        <v>138.46153846153845</v>
      </c>
      <c r="CO66" s="16">
        <f>Demand_SW!C$5/31</f>
        <v>29.776674937965261</v>
      </c>
      <c r="CP66" s="16">
        <f>Demand_SW!D$5/31</f>
        <v>0</v>
      </c>
      <c r="CQ66" s="16">
        <f>Demand_SW!E$5/31</f>
        <v>0</v>
      </c>
      <c r="CR66" s="16">
        <f>Demand_SW!F$5/31</f>
        <v>0</v>
      </c>
      <c r="CS66" s="16">
        <f>Demand_SW!G$5/31</f>
        <v>138.70967741935485</v>
      </c>
      <c r="CT66" s="16">
        <f>Demand_SW!H$5/31</f>
        <v>29.776674937965261</v>
      </c>
      <c r="CU66" s="16">
        <f>Demand_SW!I$5/31</f>
        <v>0</v>
      </c>
      <c r="CV66" s="16">
        <f>Demand_SW!J$5/31</f>
        <v>0</v>
      </c>
      <c r="CW66" s="16">
        <f>Demand_SW!K$5/31</f>
        <v>0</v>
      </c>
      <c r="CX66" s="16">
        <f t="shared" si="26"/>
        <v>-2532.3076923076928</v>
      </c>
      <c r="CY66" s="16">
        <f t="shared" si="27"/>
        <v>880.89330024813898</v>
      </c>
      <c r="CZ66" s="16">
        <f t="shared" si="28"/>
        <v>0</v>
      </c>
      <c r="DA66" s="16">
        <f t="shared" si="29"/>
        <v>0</v>
      </c>
      <c r="DB66" s="16">
        <f t="shared" si="30"/>
        <v>0</v>
      </c>
      <c r="DC66" s="16">
        <f t="shared" si="31"/>
        <v>-2054.838709677414</v>
      </c>
      <c r="DD66" s="16">
        <f t="shared" si="32"/>
        <v>880.89330024813898</v>
      </c>
      <c r="DE66" s="16">
        <f t="shared" si="33"/>
        <v>0</v>
      </c>
      <c r="DF66" s="16">
        <f t="shared" si="34"/>
        <v>0</v>
      </c>
      <c r="DG66" s="16">
        <f t="shared" si="35"/>
        <v>0</v>
      </c>
      <c r="DH66" s="14">
        <f>IF([1]Sheet2!DS65=999999,"NA",[1]Sheet2!DS65)</f>
        <v>0</v>
      </c>
      <c r="DI66" s="14">
        <f>IF([1]Sheet2!DT65=999999,"NA",[1]Sheet2!DT65)</f>
        <v>302</v>
      </c>
      <c r="DJ66" s="14" t="str">
        <f>IF([1]Sheet2!DU65=999999,"NA",[1]Sheet2!DU65)</f>
        <v>NA</v>
      </c>
      <c r="DK66" s="14" t="str">
        <f>IF([1]Sheet2!DV65=999999,"NA",[1]Sheet2!DV65)</f>
        <v>NA</v>
      </c>
      <c r="DL66" s="14" t="str">
        <f>IF([1]Sheet2!DW65=999999,"NA",[1]Sheet2!DW65)</f>
        <v>NA</v>
      </c>
      <c r="DM66" s="14">
        <f>IF([1]Sheet2!DX65=999999,"NA",[1]Sheet2!DX65)</f>
        <v>0</v>
      </c>
      <c r="DN66" s="14">
        <f>IF([1]Sheet2!DY65=999999,"NA",[1]Sheet2!DY65)</f>
        <v>302</v>
      </c>
      <c r="DO66" s="14" t="str">
        <f>IF([1]Sheet2!DZ65=999999,"NA",[1]Sheet2!DZ65)</f>
        <v>NA</v>
      </c>
      <c r="DP66" s="14" t="str">
        <f>IF([1]Sheet2!EA65=999999,"NA",[1]Sheet2!EA65)</f>
        <v>NA</v>
      </c>
      <c r="DQ66" s="14" t="str">
        <f>IF([1]Sheet2!EB65=999999,"NA",[1]Sheet2!EB65)</f>
        <v>NA</v>
      </c>
      <c r="DR66" s="14">
        <f>[1]Sheet2!CY65</f>
        <v>0</v>
      </c>
      <c r="DS66" s="14">
        <f>[1]Sheet2!CZ65</f>
        <v>0</v>
      </c>
      <c r="DT66" s="14">
        <f>[1]Sheet2!DA65</f>
        <v>0</v>
      </c>
      <c r="DU66" s="14">
        <f>[1]Sheet2!DB65</f>
        <v>0</v>
      </c>
      <c r="DV66" s="14">
        <f>[1]Sheet2!DC65</f>
        <v>0</v>
      </c>
      <c r="DW66" s="14">
        <f>[1]Sheet2!DD65</f>
        <v>0</v>
      </c>
      <c r="DX66" s="14">
        <f>[1]Sheet2!DE65</f>
        <v>0</v>
      </c>
      <c r="DY66" s="14">
        <f>[1]Sheet2!DF65</f>
        <v>0</v>
      </c>
      <c r="DZ66" s="14">
        <f>[1]Sheet2!DG65</f>
        <v>0</v>
      </c>
      <c r="EA66" s="14">
        <f>[1]Sheet2!DH65</f>
        <v>0</v>
      </c>
      <c r="EB66" s="6">
        <f>[1]Sheet2!EC65</f>
        <v>0</v>
      </c>
      <c r="EC66" s="6">
        <f>[1]Sheet2!ED65</f>
        <v>0</v>
      </c>
      <c r="ED66" s="6">
        <f>[1]Sheet2!EE65</f>
        <v>0</v>
      </c>
      <c r="EE66" s="6">
        <f>[1]Sheet2!EF65</f>
        <v>0</v>
      </c>
      <c r="EF66" s="6">
        <f>[1]Sheet2!EG65</f>
        <v>0</v>
      </c>
      <c r="EG66" s="6">
        <f>[1]Sheet2!EH65</f>
        <v>0</v>
      </c>
      <c r="EH66" s="6">
        <f>[1]Sheet2!EI65</f>
        <v>0</v>
      </c>
      <c r="EI66" s="6">
        <f>[1]Sheet2!EJ65</f>
        <v>0</v>
      </c>
      <c r="EJ66" s="6">
        <f>[1]Sheet2!EK65</f>
        <v>0</v>
      </c>
      <c r="EK66" s="6">
        <f>[1]Sheet2!EL65</f>
        <v>0</v>
      </c>
      <c r="EL66" s="6" t="str">
        <f>[1]Sheet2!EM65</f>
        <v/>
      </c>
      <c r="EM66" s="6" t="str">
        <f>[1]Sheet2!EN65</f>
        <v/>
      </c>
      <c r="EN66" s="6" t="str">
        <f>[1]Sheet2!EO65</f>
        <v/>
      </c>
      <c r="EO66" s="6" t="str">
        <f>[1]Sheet2!EP65</f>
        <v/>
      </c>
      <c r="EP66" s="6" t="str">
        <f>[1]Sheet2!EQ65</f>
        <v/>
      </c>
      <c r="EQ66" s="6" t="str">
        <f>[1]Sheet2!ER65</f>
        <v/>
      </c>
      <c r="ER66" s="6" t="str">
        <f>[1]Sheet2!ES65</f>
        <v/>
      </c>
      <c r="ES66" s="6" t="str">
        <f>[1]Sheet2!ET65</f>
        <v/>
      </c>
      <c r="ET66" s="6" t="str">
        <f>[1]Sheet2!EU65</f>
        <v/>
      </c>
      <c r="EU66" s="6" t="str">
        <f>[1]Sheet2!EV65</f>
        <v/>
      </c>
      <c r="EV66" s="6" t="str">
        <f>[1]Sheet2!EW65</f>
        <v/>
      </c>
      <c r="EW66" s="6" t="str">
        <f>[1]Sheet2!EX65</f>
        <v/>
      </c>
      <c r="EX66" s="6" t="str">
        <f>[1]Sheet2!EY65</f>
        <v/>
      </c>
      <c r="EY66" s="6" t="str">
        <f>[1]Sheet2!EZ65</f>
        <v/>
      </c>
      <c r="EZ66" s="6" t="str">
        <f>[1]Sheet2!FA65</f>
        <v/>
      </c>
      <c r="FA66" s="6" t="str">
        <f>[1]Sheet2!FB65</f>
        <v/>
      </c>
      <c r="FB66" s="6" t="str">
        <f>[1]Sheet2!FC65</f>
        <v/>
      </c>
      <c r="FC66" s="6" t="str">
        <f>[1]Sheet2!FD65</f>
        <v/>
      </c>
      <c r="FD66" s="6" t="str">
        <f>[1]Sheet2!FE65</f>
        <v/>
      </c>
      <c r="FE66" s="6" t="str">
        <f>[1]Sheet2!FF65</f>
        <v/>
      </c>
      <c r="FF66" s="6" t="str">
        <f>[1]Sheet2!FG65</f>
        <v/>
      </c>
      <c r="FG66" s="6" t="str">
        <f>[1]Sheet2!FH65</f>
        <v/>
      </c>
      <c r="FH66" s="6" t="str">
        <f>[1]Sheet2!FI65</f>
        <v/>
      </c>
      <c r="FI66" s="6" t="str">
        <f>[1]Sheet2!FJ65</f>
        <v/>
      </c>
      <c r="FJ66" s="6" t="str">
        <f>[1]Sheet2!FK65</f>
        <v/>
      </c>
      <c r="FK66" s="6" t="str">
        <f>[1]Sheet2!FL65</f>
        <v/>
      </c>
      <c r="FL66" s="6" t="str">
        <f>[1]Sheet2!FM65</f>
        <v/>
      </c>
      <c r="FM66" s="6" t="str">
        <f>[1]Sheet2!FN65</f>
        <v/>
      </c>
      <c r="FN66" s="6" t="str">
        <f>[1]Sheet2!FO65</f>
        <v/>
      </c>
      <c r="FO66" s="6" t="str">
        <f>[1]Sheet2!FP65</f>
        <v/>
      </c>
    </row>
    <row r="67" spans="1:171" x14ac:dyDescent="0.25">
      <c r="A67" s="15">
        <v>43529</v>
      </c>
      <c r="B67" s="1"/>
      <c r="C67" s="1"/>
      <c r="D67" s="1"/>
      <c r="E67" s="14">
        <f>[1]Sheet2!N66</f>
        <v>0</v>
      </c>
      <c r="F67" s="14">
        <f>[1]Sheet2!BE66</f>
        <v>0</v>
      </c>
      <c r="G67" s="14">
        <f>[1]Sheet2!CW66</f>
        <v>0</v>
      </c>
      <c r="H67" s="1"/>
      <c r="I67" s="1"/>
      <c r="J67" s="1"/>
      <c r="K67" s="16"/>
      <c r="L67" s="16">
        <f>Demand_CWRS!B$5/31</f>
        <v>131.679370700757</v>
      </c>
      <c r="M67" s="16">
        <f>Demand_CWRS!C$5/31</f>
        <v>537.20942928039699</v>
      </c>
      <c r="N67" s="16">
        <f>Demand_CWRS!D$5/31</f>
        <v>0</v>
      </c>
      <c r="O67" s="16">
        <f>Demand_CWRS!E$5/31</f>
        <v>121.5961418056559</v>
      </c>
      <c r="P67" s="16">
        <f>Demand_CWRS!F$5/31</f>
        <v>245.08227837631262</v>
      </c>
      <c r="Q67" s="16">
        <f>Demand_CWRS!G$5/31</f>
        <v>131.679370700757</v>
      </c>
      <c r="R67" s="16">
        <f>Demand_CWRS!H$5/31</f>
        <v>245.08227837631262</v>
      </c>
      <c r="S67" s="16">
        <f>Demand_CWRS!I$5/31</f>
        <v>245.08227837631262</v>
      </c>
      <c r="T67" s="16">
        <f>Demand_CWRS!J$5/31</f>
        <v>245.08227837631262</v>
      </c>
      <c r="U67" s="16">
        <f>Demand_CWRS!K$5/31</f>
        <v>245.08227837631262</v>
      </c>
      <c r="V67" s="16">
        <f t="shared" si="6"/>
        <v>-7055.3406635999436</v>
      </c>
      <c r="W67" s="16">
        <f t="shared" si="7"/>
        <v>-19214.677915632743</v>
      </c>
      <c r="X67" s="16">
        <f t="shared" si="8"/>
        <v>0</v>
      </c>
      <c r="Y67" s="16">
        <f t="shared" si="9"/>
        <v>1682.0949319973697</v>
      </c>
      <c r="Z67" s="16">
        <f t="shared" si="10"/>
        <v>-9737.3779784200251</v>
      </c>
      <c r="AA67" s="16">
        <f t="shared" si="11"/>
        <v>-5838.3968535037884</v>
      </c>
      <c r="AB67" s="16">
        <f t="shared" si="12"/>
        <v>-14218.421648291813</v>
      </c>
      <c r="AC67" s="16">
        <f t="shared" si="13"/>
        <v>-8425.4113918815674</v>
      </c>
      <c r="AD67" s="16">
        <f t="shared" si="14"/>
        <v>-8525.4113918815601</v>
      </c>
      <c r="AE67" s="16">
        <f t="shared" si="15"/>
        <v>-9125.4113918815638</v>
      </c>
      <c r="AF67" s="14">
        <f>IF([1]Sheet2!AJ66=999999,"NA",[1]Sheet2!AJ66)</f>
        <v>0</v>
      </c>
      <c r="AG67" s="14">
        <f>IF([1]Sheet2!AK66=999999,"NA",[1]Sheet2!AK66)</f>
        <v>0</v>
      </c>
      <c r="AH67" s="14" t="str">
        <f>IF([1]Sheet2!AL66=999999,"NA",[1]Sheet2!AL66)</f>
        <v>NA</v>
      </c>
      <c r="AI67" s="14">
        <f>IF([1]Sheet2!AM66=999999,"NA",[1]Sheet2!AM66)</f>
        <v>13</v>
      </c>
      <c r="AJ67" s="14">
        <f>IF([1]Sheet2!AN66=999999,"NA",[1]Sheet2!AN66)</f>
        <v>0</v>
      </c>
      <c r="AK67" s="14">
        <f>IF([1]Sheet2!AO66=999999,"NA",[1]Sheet2!AO66)</f>
        <v>0</v>
      </c>
      <c r="AL67" s="14">
        <f>IF([1]Sheet2!AP66=999999,"NA",[1]Sheet2!AP66)</f>
        <v>0</v>
      </c>
      <c r="AM67" s="14">
        <f>IF([1]Sheet2!AQ66=999999,"NA",[1]Sheet2!AQ66)</f>
        <v>0</v>
      </c>
      <c r="AN67" s="14">
        <f>IF([1]Sheet2!AR66=999999,"NA",[1]Sheet2!AR66)</f>
        <v>0</v>
      </c>
      <c r="AO67" s="14">
        <f>IF([1]Sheet2!AS66=999999,"NA",[1]Sheet2!AS66)</f>
        <v>0</v>
      </c>
      <c r="AP67" s="14">
        <f>[1]Sheet2!P66</f>
        <v>0</v>
      </c>
      <c r="AQ67" s="14">
        <f>[1]Sheet2!Q66</f>
        <v>0</v>
      </c>
      <c r="AR67" s="14">
        <f>[1]Sheet2!R66</f>
        <v>0</v>
      </c>
      <c r="AS67" s="14">
        <f>[1]Sheet2!S66</f>
        <v>0</v>
      </c>
      <c r="AT67" s="14">
        <f>[1]Sheet2!T66</f>
        <v>0</v>
      </c>
      <c r="AU67" s="14">
        <f>[1]Sheet2!U66</f>
        <v>0</v>
      </c>
      <c r="AV67" s="14">
        <f>[1]Sheet2!V66</f>
        <v>0</v>
      </c>
      <c r="AW67" s="14">
        <f>[1]Sheet2!W66</f>
        <v>0</v>
      </c>
      <c r="AX67" s="14">
        <f>[1]Sheet2!X66</f>
        <v>0</v>
      </c>
      <c r="AY67" s="14">
        <f>[1]Sheet2!Y66</f>
        <v>0</v>
      </c>
      <c r="AZ67" s="16">
        <f>Demand_LP!B$5/31</f>
        <v>754.78140345091151</v>
      </c>
      <c r="BA67" s="16">
        <f>Demand_LP!C$5/31</f>
        <v>547.55235732009919</v>
      </c>
      <c r="BB67" s="16">
        <f>Demand_LP!D$5/31</f>
        <v>312.75612076095945</v>
      </c>
      <c r="BC67" s="16">
        <f>Demand_LP!E$5/31</f>
        <v>772.29437499345636</v>
      </c>
      <c r="BD67" s="16">
        <f>Demand_LP!F$5/31</f>
        <v>471.74248526347748</v>
      </c>
      <c r="BE67" s="16">
        <f>Demand_LP!G$5/31</f>
        <v>451.61290322580646</v>
      </c>
      <c r="BF67" s="16">
        <f>Demand_LP!H$5/31</f>
        <v>547.55235732009919</v>
      </c>
      <c r="BG67" s="16">
        <f>Demand_LP!I$5/31</f>
        <v>451.61290322580646</v>
      </c>
      <c r="BH67" s="16">
        <f>Demand_LP!J$5/31</f>
        <v>451.61290322580646</v>
      </c>
      <c r="BI67" s="16">
        <f>Demand_LP!K$5/31</f>
        <v>451.61290322580646</v>
      </c>
      <c r="BJ67" s="16">
        <f t="shared" si="16"/>
        <v>-32077.708239209689</v>
      </c>
      <c r="BK67" s="16">
        <f t="shared" si="17"/>
        <v>-31380.182299420972</v>
      </c>
      <c r="BL67" s="16">
        <f t="shared" si="18"/>
        <v>-6642.3062448304408</v>
      </c>
      <c r="BM67" s="16">
        <f t="shared" si="19"/>
        <v>-36726.893669839083</v>
      </c>
      <c r="BN67" s="16">
        <f t="shared" si="20"/>
        <v>-21177.011464778916</v>
      </c>
      <c r="BO67" s="16">
        <f t="shared" si="21"/>
        <v>-20158.06451612903</v>
      </c>
      <c r="BP67" s="16">
        <f t="shared" si="22"/>
        <v>-25737.761786600506</v>
      </c>
      <c r="BQ67" s="16">
        <f t="shared" si="23"/>
        <v>-20158.06451612903</v>
      </c>
      <c r="BR67" s="16">
        <f t="shared" si="24"/>
        <v>-17758.06451612903</v>
      </c>
      <c r="BS67" s="16">
        <f t="shared" si="25"/>
        <v>-18458.064516129023</v>
      </c>
      <c r="BT67" s="14">
        <f>IF([1]Sheet2!CB66=999999,"NA",[1]Sheet2!CB66)</f>
        <v>0</v>
      </c>
      <c r="BU67" s="14">
        <f>IF([1]Sheet2!CC66=999999,"NA",[1]Sheet2!CC66)</f>
        <v>0</v>
      </c>
      <c r="BV67" s="14">
        <f>IF([1]Sheet2!CD66=999999,"NA",[1]Sheet2!CD66)</f>
        <v>0</v>
      </c>
      <c r="BW67" s="14">
        <f>IF([1]Sheet2!CE66=999999,"NA",[1]Sheet2!CE66)</f>
        <v>0</v>
      </c>
      <c r="BX67" s="14">
        <f>IF([1]Sheet2!CF66=999999,"NA",[1]Sheet2!CF66)</f>
        <v>0</v>
      </c>
      <c r="BY67" s="14">
        <f>IF([1]Sheet2!CG66=999999,"NA",[1]Sheet2!CG66)</f>
        <v>0</v>
      </c>
      <c r="BZ67" s="14">
        <f>IF([1]Sheet2!CH66=999999,"NA",[1]Sheet2!CH66)</f>
        <v>0</v>
      </c>
      <c r="CA67" s="14">
        <f>IF([1]Sheet2!CI66=999999,"NA",[1]Sheet2!CI66)</f>
        <v>0</v>
      </c>
      <c r="CB67" s="14">
        <f>IF([1]Sheet2!CJ66=999999,"NA",[1]Sheet2!CJ66)</f>
        <v>0</v>
      </c>
      <c r="CC67" s="14">
        <f>IF([1]Sheet2!CK66=999999,"NA",[1]Sheet2!CK66)</f>
        <v>0</v>
      </c>
      <c r="CD67" s="14">
        <f>[1]Sheet2!BH66</f>
        <v>0</v>
      </c>
      <c r="CE67" s="14">
        <f>[1]Sheet2!BI66</f>
        <v>0</v>
      </c>
      <c r="CF67" s="14">
        <f>[1]Sheet2!BJ66</f>
        <v>0</v>
      </c>
      <c r="CG67" s="14">
        <f>[1]Sheet2!BK66</f>
        <v>0</v>
      </c>
      <c r="CH67" s="14">
        <f>[1]Sheet2!BL66</f>
        <v>0</v>
      </c>
      <c r="CI67" s="14">
        <f>[1]Sheet2!BM66</f>
        <v>0</v>
      </c>
      <c r="CJ67" s="14">
        <f>[1]Sheet2!BN66</f>
        <v>0</v>
      </c>
      <c r="CK67" s="14">
        <f>[1]Sheet2!BO66</f>
        <v>0</v>
      </c>
      <c r="CL67" s="14">
        <f>[1]Sheet2!BP66</f>
        <v>0</v>
      </c>
      <c r="CM67" s="14">
        <f>[1]Sheet2!BQ66</f>
        <v>0</v>
      </c>
      <c r="CN67" s="16">
        <f>Demand_SW!B$5/31</f>
        <v>138.46153846153845</v>
      </c>
      <c r="CO67" s="16">
        <f>Demand_SW!C$5/31</f>
        <v>29.776674937965261</v>
      </c>
      <c r="CP67" s="16">
        <f>Demand_SW!D$5/31</f>
        <v>0</v>
      </c>
      <c r="CQ67" s="16">
        <f>Demand_SW!E$5/31</f>
        <v>0</v>
      </c>
      <c r="CR67" s="16">
        <f>Demand_SW!F$5/31</f>
        <v>0</v>
      </c>
      <c r="CS67" s="16">
        <f>Demand_SW!G$5/31</f>
        <v>138.70967741935485</v>
      </c>
      <c r="CT67" s="16">
        <f>Demand_SW!H$5/31</f>
        <v>29.776674937965261</v>
      </c>
      <c r="CU67" s="16">
        <f>Demand_SW!I$5/31</f>
        <v>0</v>
      </c>
      <c r="CV67" s="16">
        <f>Demand_SW!J$5/31</f>
        <v>0</v>
      </c>
      <c r="CW67" s="16">
        <f>Demand_SW!K$5/31</f>
        <v>0</v>
      </c>
      <c r="CX67" s="16">
        <f t="shared" si="26"/>
        <v>-2670.7692307692314</v>
      </c>
      <c r="CY67" s="16">
        <f t="shared" si="27"/>
        <v>851.11662531017373</v>
      </c>
      <c r="CZ67" s="16">
        <f t="shared" si="28"/>
        <v>0</v>
      </c>
      <c r="DA67" s="16">
        <f t="shared" si="29"/>
        <v>0</v>
      </c>
      <c r="DB67" s="16">
        <f t="shared" si="30"/>
        <v>0</v>
      </c>
      <c r="DC67" s="16">
        <f t="shared" si="31"/>
        <v>-2193.5483870967687</v>
      </c>
      <c r="DD67" s="16">
        <f t="shared" si="32"/>
        <v>851.11662531017373</v>
      </c>
      <c r="DE67" s="16">
        <f t="shared" si="33"/>
        <v>0</v>
      </c>
      <c r="DF67" s="16">
        <f t="shared" si="34"/>
        <v>0</v>
      </c>
      <c r="DG67" s="16">
        <f t="shared" si="35"/>
        <v>0</v>
      </c>
      <c r="DH67" s="14">
        <f>IF([1]Sheet2!DS66=999999,"NA",[1]Sheet2!DS66)</f>
        <v>0</v>
      </c>
      <c r="DI67" s="14">
        <f>IF([1]Sheet2!DT66=999999,"NA",[1]Sheet2!DT66)</f>
        <v>301</v>
      </c>
      <c r="DJ67" s="14" t="str">
        <f>IF([1]Sheet2!DU66=999999,"NA",[1]Sheet2!DU66)</f>
        <v>NA</v>
      </c>
      <c r="DK67" s="14" t="str">
        <f>IF([1]Sheet2!DV66=999999,"NA",[1]Sheet2!DV66)</f>
        <v>NA</v>
      </c>
      <c r="DL67" s="14" t="str">
        <f>IF([1]Sheet2!DW66=999999,"NA",[1]Sheet2!DW66)</f>
        <v>NA</v>
      </c>
      <c r="DM67" s="14">
        <f>IF([1]Sheet2!DX66=999999,"NA",[1]Sheet2!DX66)</f>
        <v>0</v>
      </c>
      <c r="DN67" s="14">
        <f>IF([1]Sheet2!DY66=999999,"NA",[1]Sheet2!DY66)</f>
        <v>301</v>
      </c>
      <c r="DO67" s="14" t="str">
        <f>IF([1]Sheet2!DZ66=999999,"NA",[1]Sheet2!DZ66)</f>
        <v>NA</v>
      </c>
      <c r="DP67" s="14" t="str">
        <f>IF([1]Sheet2!EA66=999999,"NA",[1]Sheet2!EA66)</f>
        <v>NA</v>
      </c>
      <c r="DQ67" s="14" t="str">
        <f>IF([1]Sheet2!EB66=999999,"NA",[1]Sheet2!EB66)</f>
        <v>NA</v>
      </c>
      <c r="DR67" s="14">
        <f>[1]Sheet2!CY66</f>
        <v>0</v>
      </c>
      <c r="DS67" s="14">
        <f>[1]Sheet2!CZ66</f>
        <v>0</v>
      </c>
      <c r="DT67" s="14">
        <f>[1]Sheet2!DA66</f>
        <v>0</v>
      </c>
      <c r="DU67" s="14">
        <f>[1]Sheet2!DB66</f>
        <v>0</v>
      </c>
      <c r="DV67" s="14">
        <f>[1]Sheet2!DC66</f>
        <v>0</v>
      </c>
      <c r="DW67" s="14">
        <f>[1]Sheet2!DD66</f>
        <v>0</v>
      </c>
      <c r="DX67" s="14">
        <f>[1]Sheet2!DE66</f>
        <v>0</v>
      </c>
      <c r="DY67" s="14">
        <f>[1]Sheet2!DF66</f>
        <v>0</v>
      </c>
      <c r="DZ67" s="14">
        <f>[1]Sheet2!DG66</f>
        <v>0</v>
      </c>
      <c r="EA67" s="14">
        <f>[1]Sheet2!DH66</f>
        <v>0</v>
      </c>
      <c r="EB67" s="6">
        <f>[1]Sheet2!EC66</f>
        <v>0</v>
      </c>
      <c r="EC67" s="6">
        <f>[1]Sheet2!ED66</f>
        <v>0</v>
      </c>
      <c r="ED67" s="6">
        <f>[1]Sheet2!EE66</f>
        <v>0</v>
      </c>
      <c r="EE67" s="6">
        <f>[1]Sheet2!EF66</f>
        <v>0</v>
      </c>
      <c r="EF67" s="6">
        <f>[1]Sheet2!EG66</f>
        <v>0</v>
      </c>
      <c r="EG67" s="6">
        <f>[1]Sheet2!EH66</f>
        <v>0</v>
      </c>
      <c r="EH67" s="6">
        <f>[1]Sheet2!EI66</f>
        <v>0</v>
      </c>
      <c r="EI67" s="6">
        <f>[1]Sheet2!EJ66</f>
        <v>0</v>
      </c>
      <c r="EJ67" s="6">
        <f>[1]Sheet2!EK66</f>
        <v>0</v>
      </c>
      <c r="EK67" s="6">
        <f>[1]Sheet2!EL66</f>
        <v>0</v>
      </c>
      <c r="EL67" s="6" t="str">
        <f>[1]Sheet2!EM66</f>
        <v/>
      </c>
      <c r="EM67" s="6" t="str">
        <f>[1]Sheet2!EN66</f>
        <v/>
      </c>
      <c r="EN67" s="6" t="str">
        <f>[1]Sheet2!EO66</f>
        <v/>
      </c>
      <c r="EO67" s="6" t="str">
        <f>[1]Sheet2!EP66</f>
        <v/>
      </c>
      <c r="EP67" s="6" t="str">
        <f>[1]Sheet2!EQ66</f>
        <v/>
      </c>
      <c r="EQ67" s="6" t="str">
        <f>[1]Sheet2!ER66</f>
        <v/>
      </c>
      <c r="ER67" s="6" t="str">
        <f>[1]Sheet2!ES66</f>
        <v/>
      </c>
      <c r="ES67" s="6" t="str">
        <f>[1]Sheet2!ET66</f>
        <v/>
      </c>
      <c r="ET67" s="6" t="str">
        <f>[1]Sheet2!EU66</f>
        <v/>
      </c>
      <c r="EU67" s="6" t="str">
        <f>[1]Sheet2!EV66</f>
        <v/>
      </c>
      <c r="EV67" s="6" t="str">
        <f>[1]Sheet2!EW66</f>
        <v/>
      </c>
      <c r="EW67" s="6" t="str">
        <f>[1]Sheet2!EX66</f>
        <v/>
      </c>
      <c r="EX67" s="6" t="str">
        <f>[1]Sheet2!EY66</f>
        <v/>
      </c>
      <c r="EY67" s="6" t="str">
        <f>[1]Sheet2!EZ66</f>
        <v/>
      </c>
      <c r="EZ67" s="6" t="str">
        <f>[1]Sheet2!FA66</f>
        <v/>
      </c>
      <c r="FA67" s="6" t="str">
        <f>[1]Sheet2!FB66</f>
        <v/>
      </c>
      <c r="FB67" s="6" t="str">
        <f>[1]Sheet2!FC66</f>
        <v/>
      </c>
      <c r="FC67" s="6" t="str">
        <f>[1]Sheet2!FD66</f>
        <v/>
      </c>
      <c r="FD67" s="6" t="str">
        <f>[1]Sheet2!FE66</f>
        <v/>
      </c>
      <c r="FE67" s="6" t="str">
        <f>[1]Sheet2!FF66</f>
        <v/>
      </c>
      <c r="FF67" s="6" t="str">
        <f>[1]Sheet2!FG66</f>
        <v/>
      </c>
      <c r="FG67" s="6" t="str">
        <f>[1]Sheet2!FH66</f>
        <v/>
      </c>
      <c r="FH67" s="6" t="str">
        <f>[1]Sheet2!FI66</f>
        <v/>
      </c>
      <c r="FI67" s="6" t="str">
        <f>[1]Sheet2!FJ66</f>
        <v/>
      </c>
      <c r="FJ67" s="6" t="str">
        <f>[1]Sheet2!FK66</f>
        <v/>
      </c>
      <c r="FK67" s="6" t="str">
        <f>[1]Sheet2!FL66</f>
        <v/>
      </c>
      <c r="FL67" s="6" t="str">
        <f>[1]Sheet2!FM66</f>
        <v/>
      </c>
      <c r="FM67" s="6" t="str">
        <f>[1]Sheet2!FN66</f>
        <v/>
      </c>
      <c r="FN67" s="6" t="str">
        <f>[1]Sheet2!FO66</f>
        <v/>
      </c>
      <c r="FO67" s="6" t="str">
        <f>[1]Sheet2!FP66</f>
        <v/>
      </c>
    </row>
    <row r="68" spans="1:171" x14ac:dyDescent="0.25">
      <c r="A68" s="15">
        <v>43530</v>
      </c>
      <c r="B68" s="1"/>
      <c r="C68" s="1"/>
      <c r="D68" s="1"/>
      <c r="E68" s="14">
        <f>[1]Sheet2!N67</f>
        <v>0</v>
      </c>
      <c r="F68" s="14">
        <f>[1]Sheet2!BE67</f>
        <v>0</v>
      </c>
      <c r="G68" s="14">
        <f>[1]Sheet2!CW67</f>
        <v>0</v>
      </c>
      <c r="H68" s="1"/>
      <c r="I68" s="1"/>
      <c r="J68" s="1"/>
      <c r="K68" s="16"/>
      <c r="L68" s="16">
        <f>Demand_CWRS!B$5/31</f>
        <v>131.679370700757</v>
      </c>
      <c r="M68" s="16">
        <f>Demand_CWRS!C$5/31</f>
        <v>537.20942928039699</v>
      </c>
      <c r="N68" s="16">
        <f>Demand_CWRS!D$5/31</f>
        <v>0</v>
      </c>
      <c r="O68" s="16">
        <f>Demand_CWRS!E$5/31</f>
        <v>121.5961418056559</v>
      </c>
      <c r="P68" s="16">
        <f>Demand_CWRS!F$5/31</f>
        <v>245.08227837631262</v>
      </c>
      <c r="Q68" s="16">
        <f>Demand_CWRS!G$5/31</f>
        <v>131.679370700757</v>
      </c>
      <c r="R68" s="16">
        <f>Demand_CWRS!H$5/31</f>
        <v>245.08227837631262</v>
      </c>
      <c r="S68" s="16">
        <f>Demand_CWRS!I$5/31</f>
        <v>245.08227837631262</v>
      </c>
      <c r="T68" s="16">
        <f>Demand_CWRS!J$5/31</f>
        <v>245.08227837631262</v>
      </c>
      <c r="U68" s="16">
        <f>Demand_CWRS!K$5/31</f>
        <v>245.08227837631262</v>
      </c>
      <c r="V68" s="16">
        <f t="shared" si="6"/>
        <v>-7187.0200343007009</v>
      </c>
      <c r="W68" s="16">
        <f t="shared" si="7"/>
        <v>-19751.887344913139</v>
      </c>
      <c r="X68" s="16">
        <f t="shared" si="8"/>
        <v>0</v>
      </c>
      <c r="Y68" s="16">
        <f t="shared" si="9"/>
        <v>1560.4987901917139</v>
      </c>
      <c r="Z68" s="16">
        <f t="shared" si="10"/>
        <v>-9982.4602567963375</v>
      </c>
      <c r="AA68" s="16">
        <f t="shared" si="11"/>
        <v>-5970.0762242045457</v>
      </c>
      <c r="AB68" s="16">
        <f t="shared" si="12"/>
        <v>-14463.503926668125</v>
      </c>
      <c r="AC68" s="16">
        <f t="shared" si="13"/>
        <v>-8670.4936702578798</v>
      </c>
      <c r="AD68" s="16">
        <f t="shared" si="14"/>
        <v>-8770.4936702578725</v>
      </c>
      <c r="AE68" s="16">
        <f t="shared" si="15"/>
        <v>-9370.4936702578761</v>
      </c>
      <c r="AF68" s="14">
        <f>IF([1]Sheet2!AJ67=999999,"NA",[1]Sheet2!AJ67)</f>
        <v>0</v>
      </c>
      <c r="AG68" s="14">
        <f>IF([1]Sheet2!AK67=999999,"NA",[1]Sheet2!AK67)</f>
        <v>0</v>
      </c>
      <c r="AH68" s="14" t="str">
        <f>IF([1]Sheet2!AL67=999999,"NA",[1]Sheet2!AL67)</f>
        <v>NA</v>
      </c>
      <c r="AI68" s="14">
        <f>IF([1]Sheet2!AM67=999999,"NA",[1]Sheet2!AM67)</f>
        <v>12</v>
      </c>
      <c r="AJ68" s="14">
        <f>IF([1]Sheet2!AN67=999999,"NA",[1]Sheet2!AN67)</f>
        <v>0</v>
      </c>
      <c r="AK68" s="14">
        <f>IF([1]Sheet2!AO67=999999,"NA",[1]Sheet2!AO67)</f>
        <v>0</v>
      </c>
      <c r="AL68" s="14">
        <f>IF([1]Sheet2!AP67=999999,"NA",[1]Sheet2!AP67)</f>
        <v>0</v>
      </c>
      <c r="AM68" s="14">
        <f>IF([1]Sheet2!AQ67=999999,"NA",[1]Sheet2!AQ67)</f>
        <v>0</v>
      </c>
      <c r="AN68" s="14">
        <f>IF([1]Sheet2!AR67=999999,"NA",[1]Sheet2!AR67)</f>
        <v>0</v>
      </c>
      <c r="AO68" s="14">
        <f>IF([1]Sheet2!AS67=999999,"NA",[1]Sheet2!AS67)</f>
        <v>0</v>
      </c>
      <c r="AP68" s="14">
        <f>[1]Sheet2!P67</f>
        <v>0</v>
      </c>
      <c r="AQ68" s="14">
        <f>[1]Sheet2!Q67</f>
        <v>0</v>
      </c>
      <c r="AR68" s="14">
        <f>[1]Sheet2!R67</f>
        <v>0</v>
      </c>
      <c r="AS68" s="14">
        <f>[1]Sheet2!S67</f>
        <v>0</v>
      </c>
      <c r="AT68" s="14">
        <f>[1]Sheet2!T67</f>
        <v>0</v>
      </c>
      <c r="AU68" s="14">
        <f>[1]Sheet2!U67</f>
        <v>0</v>
      </c>
      <c r="AV68" s="14">
        <f>[1]Sheet2!V67</f>
        <v>0</v>
      </c>
      <c r="AW68" s="14">
        <f>[1]Sheet2!W67</f>
        <v>0</v>
      </c>
      <c r="AX68" s="14">
        <f>[1]Sheet2!X67</f>
        <v>0</v>
      </c>
      <c r="AY68" s="14">
        <f>[1]Sheet2!Y67</f>
        <v>0</v>
      </c>
      <c r="AZ68" s="16">
        <f>Demand_LP!B$5/31</f>
        <v>754.78140345091151</v>
      </c>
      <c r="BA68" s="16">
        <f>Demand_LP!C$5/31</f>
        <v>547.55235732009919</v>
      </c>
      <c r="BB68" s="16">
        <f>Demand_LP!D$5/31</f>
        <v>312.75612076095945</v>
      </c>
      <c r="BC68" s="16">
        <f>Demand_LP!E$5/31</f>
        <v>772.29437499345636</v>
      </c>
      <c r="BD68" s="16">
        <f>Demand_LP!F$5/31</f>
        <v>471.74248526347748</v>
      </c>
      <c r="BE68" s="16">
        <f>Demand_LP!G$5/31</f>
        <v>451.61290322580646</v>
      </c>
      <c r="BF68" s="16">
        <f>Demand_LP!H$5/31</f>
        <v>547.55235732009919</v>
      </c>
      <c r="BG68" s="16">
        <f>Demand_LP!I$5/31</f>
        <v>451.61290322580646</v>
      </c>
      <c r="BH68" s="16">
        <f>Demand_LP!J$5/31</f>
        <v>451.61290322580646</v>
      </c>
      <c r="BI68" s="16">
        <f>Demand_LP!K$5/31</f>
        <v>451.61290322580646</v>
      </c>
      <c r="BJ68" s="16">
        <f t="shared" si="16"/>
        <v>-32832.489642660599</v>
      </c>
      <c r="BK68" s="16">
        <f t="shared" si="17"/>
        <v>-31927.734656741071</v>
      </c>
      <c r="BL68" s="16">
        <f t="shared" si="18"/>
        <v>-6955.0623655914005</v>
      </c>
      <c r="BM68" s="16">
        <f t="shared" si="19"/>
        <v>-37499.188044832539</v>
      </c>
      <c r="BN68" s="16">
        <f t="shared" si="20"/>
        <v>-21648.753950042392</v>
      </c>
      <c r="BO68" s="16">
        <f t="shared" si="21"/>
        <v>-20609.677419354837</v>
      </c>
      <c r="BP68" s="16">
        <f t="shared" si="22"/>
        <v>-26285.314143920605</v>
      </c>
      <c r="BQ68" s="16">
        <f t="shared" si="23"/>
        <v>-20609.677419354837</v>
      </c>
      <c r="BR68" s="16">
        <f t="shared" si="24"/>
        <v>-18209.677419354837</v>
      </c>
      <c r="BS68" s="16">
        <f t="shared" si="25"/>
        <v>-18909.67741935483</v>
      </c>
      <c r="BT68" s="14">
        <f>IF([1]Sheet2!CB67=999999,"NA",[1]Sheet2!CB67)</f>
        <v>0</v>
      </c>
      <c r="BU68" s="14">
        <f>IF([1]Sheet2!CC67=999999,"NA",[1]Sheet2!CC67)</f>
        <v>0</v>
      </c>
      <c r="BV68" s="14">
        <f>IF([1]Sheet2!CD67=999999,"NA",[1]Sheet2!CD67)</f>
        <v>0</v>
      </c>
      <c r="BW68" s="14">
        <f>IF([1]Sheet2!CE67=999999,"NA",[1]Sheet2!CE67)</f>
        <v>0</v>
      </c>
      <c r="BX68" s="14">
        <f>IF([1]Sheet2!CF67=999999,"NA",[1]Sheet2!CF67)</f>
        <v>0</v>
      </c>
      <c r="BY68" s="14">
        <f>IF([1]Sheet2!CG67=999999,"NA",[1]Sheet2!CG67)</f>
        <v>0</v>
      </c>
      <c r="BZ68" s="14">
        <f>IF([1]Sheet2!CH67=999999,"NA",[1]Sheet2!CH67)</f>
        <v>0</v>
      </c>
      <c r="CA68" s="14">
        <f>IF([1]Sheet2!CI67=999999,"NA",[1]Sheet2!CI67)</f>
        <v>0</v>
      </c>
      <c r="CB68" s="14">
        <f>IF([1]Sheet2!CJ67=999999,"NA",[1]Sheet2!CJ67)</f>
        <v>0</v>
      </c>
      <c r="CC68" s="14">
        <f>IF([1]Sheet2!CK67=999999,"NA",[1]Sheet2!CK67)</f>
        <v>0</v>
      </c>
      <c r="CD68" s="14">
        <f>[1]Sheet2!BH67</f>
        <v>0</v>
      </c>
      <c r="CE68" s="14">
        <f>[1]Sheet2!BI67</f>
        <v>0</v>
      </c>
      <c r="CF68" s="14">
        <f>[1]Sheet2!BJ67</f>
        <v>0</v>
      </c>
      <c r="CG68" s="14">
        <f>[1]Sheet2!BK67</f>
        <v>0</v>
      </c>
      <c r="CH68" s="14">
        <f>[1]Sheet2!BL67</f>
        <v>0</v>
      </c>
      <c r="CI68" s="14">
        <f>[1]Sheet2!BM67</f>
        <v>0</v>
      </c>
      <c r="CJ68" s="14">
        <f>[1]Sheet2!BN67</f>
        <v>0</v>
      </c>
      <c r="CK68" s="14">
        <f>[1]Sheet2!BO67</f>
        <v>0</v>
      </c>
      <c r="CL68" s="14">
        <f>[1]Sheet2!BP67</f>
        <v>0</v>
      </c>
      <c r="CM68" s="14">
        <f>[1]Sheet2!BQ67</f>
        <v>0</v>
      </c>
      <c r="CN68" s="16">
        <f>Demand_SW!B$5/31</f>
        <v>138.46153846153845</v>
      </c>
      <c r="CO68" s="16">
        <f>Demand_SW!C$5/31</f>
        <v>29.776674937965261</v>
      </c>
      <c r="CP68" s="16">
        <f>Demand_SW!D$5/31</f>
        <v>0</v>
      </c>
      <c r="CQ68" s="16">
        <f>Demand_SW!E$5/31</f>
        <v>0</v>
      </c>
      <c r="CR68" s="16">
        <f>Demand_SW!F$5/31</f>
        <v>0</v>
      </c>
      <c r="CS68" s="16">
        <f>Demand_SW!G$5/31</f>
        <v>138.70967741935485</v>
      </c>
      <c r="CT68" s="16">
        <f>Demand_SW!H$5/31</f>
        <v>29.776674937965261</v>
      </c>
      <c r="CU68" s="16">
        <f>Demand_SW!I$5/31</f>
        <v>0</v>
      </c>
      <c r="CV68" s="16">
        <f>Demand_SW!J$5/31</f>
        <v>0</v>
      </c>
      <c r="CW68" s="16">
        <f>Demand_SW!K$5/31</f>
        <v>0</v>
      </c>
      <c r="CX68" s="16">
        <f t="shared" si="26"/>
        <v>-2809.23076923077</v>
      </c>
      <c r="CY68" s="16">
        <f t="shared" si="27"/>
        <v>821.33995037220848</v>
      </c>
      <c r="CZ68" s="16">
        <f t="shared" si="28"/>
        <v>0</v>
      </c>
      <c r="DA68" s="16">
        <f t="shared" si="29"/>
        <v>0</v>
      </c>
      <c r="DB68" s="16">
        <f t="shared" si="30"/>
        <v>0</v>
      </c>
      <c r="DC68" s="16">
        <f t="shared" si="31"/>
        <v>-2332.2580645161233</v>
      </c>
      <c r="DD68" s="16">
        <f t="shared" si="32"/>
        <v>821.33995037220848</v>
      </c>
      <c r="DE68" s="16">
        <f t="shared" si="33"/>
        <v>0</v>
      </c>
      <c r="DF68" s="16">
        <f t="shared" si="34"/>
        <v>0</v>
      </c>
      <c r="DG68" s="16">
        <f t="shared" si="35"/>
        <v>0</v>
      </c>
      <c r="DH68" s="14">
        <f>IF([1]Sheet2!DS67=999999,"NA",[1]Sheet2!DS67)</f>
        <v>0</v>
      </c>
      <c r="DI68" s="14">
        <f>IF([1]Sheet2!DT67=999999,"NA",[1]Sheet2!DT67)</f>
        <v>300</v>
      </c>
      <c r="DJ68" s="14" t="str">
        <f>IF([1]Sheet2!DU67=999999,"NA",[1]Sheet2!DU67)</f>
        <v>NA</v>
      </c>
      <c r="DK68" s="14" t="str">
        <f>IF([1]Sheet2!DV67=999999,"NA",[1]Sheet2!DV67)</f>
        <v>NA</v>
      </c>
      <c r="DL68" s="14" t="str">
        <f>IF([1]Sheet2!DW67=999999,"NA",[1]Sheet2!DW67)</f>
        <v>NA</v>
      </c>
      <c r="DM68" s="14">
        <f>IF([1]Sheet2!DX67=999999,"NA",[1]Sheet2!DX67)</f>
        <v>0</v>
      </c>
      <c r="DN68" s="14">
        <f>IF([1]Sheet2!DY67=999999,"NA",[1]Sheet2!DY67)</f>
        <v>300</v>
      </c>
      <c r="DO68" s="14" t="str">
        <f>IF([1]Sheet2!DZ67=999999,"NA",[1]Sheet2!DZ67)</f>
        <v>NA</v>
      </c>
      <c r="DP68" s="14" t="str">
        <f>IF([1]Sheet2!EA67=999999,"NA",[1]Sheet2!EA67)</f>
        <v>NA</v>
      </c>
      <c r="DQ68" s="14" t="str">
        <f>IF([1]Sheet2!EB67=999999,"NA",[1]Sheet2!EB67)</f>
        <v>NA</v>
      </c>
      <c r="DR68" s="14">
        <f>[1]Sheet2!CY67</f>
        <v>0</v>
      </c>
      <c r="DS68" s="14">
        <f>[1]Sheet2!CZ67</f>
        <v>0</v>
      </c>
      <c r="DT68" s="14">
        <f>[1]Sheet2!DA67</f>
        <v>0</v>
      </c>
      <c r="DU68" s="14">
        <f>[1]Sheet2!DB67</f>
        <v>0</v>
      </c>
      <c r="DV68" s="14">
        <f>[1]Sheet2!DC67</f>
        <v>0</v>
      </c>
      <c r="DW68" s="14">
        <f>[1]Sheet2!DD67</f>
        <v>0</v>
      </c>
      <c r="DX68" s="14">
        <f>[1]Sheet2!DE67</f>
        <v>0</v>
      </c>
      <c r="DY68" s="14">
        <f>[1]Sheet2!DF67</f>
        <v>0</v>
      </c>
      <c r="DZ68" s="14">
        <f>[1]Sheet2!DG67</f>
        <v>0</v>
      </c>
      <c r="EA68" s="14">
        <f>[1]Sheet2!DH67</f>
        <v>0</v>
      </c>
      <c r="EB68" s="6">
        <f>[1]Sheet2!EC67</f>
        <v>0</v>
      </c>
      <c r="EC68" s="6">
        <f>[1]Sheet2!ED67</f>
        <v>0</v>
      </c>
      <c r="ED68" s="6">
        <f>[1]Sheet2!EE67</f>
        <v>0</v>
      </c>
      <c r="EE68" s="6">
        <f>[1]Sheet2!EF67</f>
        <v>0</v>
      </c>
      <c r="EF68" s="6">
        <f>[1]Sheet2!EG67</f>
        <v>0</v>
      </c>
      <c r="EG68" s="6">
        <f>[1]Sheet2!EH67</f>
        <v>0</v>
      </c>
      <c r="EH68" s="6">
        <f>[1]Sheet2!EI67</f>
        <v>0</v>
      </c>
      <c r="EI68" s="6">
        <f>[1]Sheet2!EJ67</f>
        <v>0</v>
      </c>
      <c r="EJ68" s="6">
        <f>[1]Sheet2!EK67</f>
        <v>0</v>
      </c>
      <c r="EK68" s="6">
        <f>[1]Sheet2!EL67</f>
        <v>0</v>
      </c>
      <c r="EL68" s="6" t="str">
        <f>[1]Sheet2!EM67</f>
        <v/>
      </c>
      <c r="EM68" s="6" t="str">
        <f>[1]Sheet2!EN67</f>
        <v/>
      </c>
      <c r="EN68" s="6" t="str">
        <f>[1]Sheet2!EO67</f>
        <v/>
      </c>
      <c r="EO68" s="6" t="str">
        <f>[1]Sheet2!EP67</f>
        <v/>
      </c>
      <c r="EP68" s="6" t="str">
        <f>[1]Sheet2!EQ67</f>
        <v/>
      </c>
      <c r="EQ68" s="6" t="str">
        <f>[1]Sheet2!ER67</f>
        <v/>
      </c>
      <c r="ER68" s="6" t="str">
        <f>[1]Sheet2!ES67</f>
        <v/>
      </c>
      <c r="ES68" s="6" t="str">
        <f>[1]Sheet2!ET67</f>
        <v/>
      </c>
      <c r="ET68" s="6" t="str">
        <f>[1]Sheet2!EU67</f>
        <v/>
      </c>
      <c r="EU68" s="6" t="str">
        <f>[1]Sheet2!EV67</f>
        <v/>
      </c>
      <c r="EV68" s="6" t="str">
        <f>[1]Sheet2!EW67</f>
        <v/>
      </c>
      <c r="EW68" s="6" t="str">
        <f>[1]Sheet2!EX67</f>
        <v/>
      </c>
      <c r="EX68" s="6" t="str">
        <f>[1]Sheet2!EY67</f>
        <v/>
      </c>
      <c r="EY68" s="6" t="str">
        <f>[1]Sheet2!EZ67</f>
        <v/>
      </c>
      <c r="EZ68" s="6" t="str">
        <f>[1]Sheet2!FA67</f>
        <v/>
      </c>
      <c r="FA68" s="6" t="str">
        <f>[1]Sheet2!FB67</f>
        <v/>
      </c>
      <c r="FB68" s="6" t="str">
        <f>[1]Sheet2!FC67</f>
        <v/>
      </c>
      <c r="FC68" s="6" t="str">
        <f>[1]Sheet2!FD67</f>
        <v/>
      </c>
      <c r="FD68" s="6" t="str">
        <f>[1]Sheet2!FE67</f>
        <v/>
      </c>
      <c r="FE68" s="6" t="str">
        <f>[1]Sheet2!FF67</f>
        <v/>
      </c>
      <c r="FF68" s="6" t="str">
        <f>[1]Sheet2!FG67</f>
        <v/>
      </c>
      <c r="FG68" s="6" t="str">
        <f>[1]Sheet2!FH67</f>
        <v/>
      </c>
      <c r="FH68" s="6" t="str">
        <f>[1]Sheet2!FI67</f>
        <v/>
      </c>
      <c r="FI68" s="6" t="str">
        <f>[1]Sheet2!FJ67</f>
        <v/>
      </c>
      <c r="FJ68" s="6" t="str">
        <f>[1]Sheet2!FK67</f>
        <v/>
      </c>
      <c r="FK68" s="6" t="str">
        <f>[1]Sheet2!FL67</f>
        <v/>
      </c>
      <c r="FL68" s="6" t="str">
        <f>[1]Sheet2!FM67</f>
        <v/>
      </c>
      <c r="FM68" s="6" t="str">
        <f>[1]Sheet2!FN67</f>
        <v/>
      </c>
      <c r="FN68" s="6" t="str">
        <f>[1]Sheet2!FO67</f>
        <v/>
      </c>
      <c r="FO68" s="6" t="str">
        <f>[1]Sheet2!FP67</f>
        <v/>
      </c>
    </row>
    <row r="69" spans="1:171" x14ac:dyDescent="0.25">
      <c r="A69" s="15">
        <v>43531</v>
      </c>
      <c r="B69" s="1"/>
      <c r="C69" s="1"/>
      <c r="D69" s="1"/>
      <c r="E69" s="14">
        <f>[1]Sheet2!N68</f>
        <v>0</v>
      </c>
      <c r="F69" s="14">
        <f>[1]Sheet2!BE68</f>
        <v>0</v>
      </c>
      <c r="G69" s="14">
        <f>[1]Sheet2!CW68</f>
        <v>0</v>
      </c>
      <c r="H69" s="1"/>
      <c r="I69" s="1"/>
      <c r="J69" s="1"/>
      <c r="K69" s="16"/>
      <c r="L69" s="16">
        <f>Demand_CWRS!B$5/31</f>
        <v>131.679370700757</v>
      </c>
      <c r="M69" s="16">
        <f>Demand_CWRS!C$5/31</f>
        <v>537.20942928039699</v>
      </c>
      <c r="N69" s="16">
        <f>Demand_CWRS!D$5/31</f>
        <v>0</v>
      </c>
      <c r="O69" s="16">
        <f>Demand_CWRS!E$5/31</f>
        <v>121.5961418056559</v>
      </c>
      <c r="P69" s="16">
        <f>Demand_CWRS!F$5/31</f>
        <v>245.08227837631262</v>
      </c>
      <c r="Q69" s="16">
        <f>Demand_CWRS!G$5/31</f>
        <v>131.679370700757</v>
      </c>
      <c r="R69" s="16">
        <f>Demand_CWRS!H$5/31</f>
        <v>245.08227837631262</v>
      </c>
      <c r="S69" s="16">
        <f>Demand_CWRS!I$5/31</f>
        <v>245.08227837631262</v>
      </c>
      <c r="T69" s="16">
        <f>Demand_CWRS!J$5/31</f>
        <v>245.08227837631262</v>
      </c>
      <c r="U69" s="16">
        <f>Demand_CWRS!K$5/31</f>
        <v>245.08227837631262</v>
      </c>
      <c r="V69" s="16">
        <f t="shared" ref="V69:V132" si="36">IF(EL69="",V68-L69+AP69,EL69)</f>
        <v>-7318.6994050014582</v>
      </c>
      <c r="W69" s="16">
        <f t="shared" ref="W69:W132" si="37">IF(EM69="",W68-M69+AQ69,EM69)</f>
        <v>-20289.096774193535</v>
      </c>
      <c r="X69" s="16">
        <f t="shared" ref="X69:X132" si="38">IF(EN69="",X68-N69+AR69,EN69)</f>
        <v>0</v>
      </c>
      <c r="Y69" s="16">
        <f t="shared" ref="Y69:Y132" si="39">IF(EO69="",Y68-O69+AS69,EO69)</f>
        <v>1438.902648386058</v>
      </c>
      <c r="Z69" s="16">
        <f t="shared" ref="Z69:Z132" si="40">IF(EP69="",Z68-P69+AT69,EP69)</f>
        <v>-10227.54253517265</v>
      </c>
      <c r="AA69" s="16">
        <f t="shared" ref="AA69:AA132" si="41">IF(EQ69="",AA68-Q69+AU69,EQ69)</f>
        <v>-6101.755594905303</v>
      </c>
      <c r="AB69" s="16">
        <f t="shared" ref="AB69:AB132" si="42">IF(ER69="",AB68-R69+AV69,ER69)</f>
        <v>-14708.586205044438</v>
      </c>
      <c r="AC69" s="16">
        <f t="shared" ref="AC69:AC132" si="43">IF(ES69="",AC68-S69+AW69,ES69)</f>
        <v>-8915.5759486341922</v>
      </c>
      <c r="AD69" s="16">
        <f t="shared" ref="AD69:AD132" si="44">IF(ET69="",AD68-T69+AX69,ET69)</f>
        <v>-9015.5759486341849</v>
      </c>
      <c r="AE69" s="16">
        <f t="shared" ref="AE69:AE132" si="45">IF(EU69="",AE68-U69+AY69,EU69)</f>
        <v>-9615.5759486341885</v>
      </c>
      <c r="AF69" s="14">
        <f>IF([1]Sheet2!AJ68=999999,"NA",[1]Sheet2!AJ68)</f>
        <v>0</v>
      </c>
      <c r="AG69" s="14">
        <f>IF([1]Sheet2!AK68=999999,"NA",[1]Sheet2!AK68)</f>
        <v>0</v>
      </c>
      <c r="AH69" s="14" t="str">
        <f>IF([1]Sheet2!AL68=999999,"NA",[1]Sheet2!AL68)</f>
        <v>NA</v>
      </c>
      <c r="AI69" s="14">
        <f>IF([1]Sheet2!AM68=999999,"NA",[1]Sheet2!AM68)</f>
        <v>11</v>
      </c>
      <c r="AJ69" s="14">
        <f>IF([1]Sheet2!AN68=999999,"NA",[1]Sheet2!AN68)</f>
        <v>0</v>
      </c>
      <c r="AK69" s="14">
        <f>IF([1]Sheet2!AO68=999999,"NA",[1]Sheet2!AO68)</f>
        <v>0</v>
      </c>
      <c r="AL69" s="14">
        <f>IF([1]Sheet2!AP68=999999,"NA",[1]Sheet2!AP68)</f>
        <v>0</v>
      </c>
      <c r="AM69" s="14">
        <f>IF([1]Sheet2!AQ68=999999,"NA",[1]Sheet2!AQ68)</f>
        <v>0</v>
      </c>
      <c r="AN69" s="14">
        <f>IF([1]Sheet2!AR68=999999,"NA",[1]Sheet2!AR68)</f>
        <v>0</v>
      </c>
      <c r="AO69" s="14">
        <f>IF([1]Sheet2!AS68=999999,"NA",[1]Sheet2!AS68)</f>
        <v>0</v>
      </c>
      <c r="AP69" s="14">
        <f>[1]Sheet2!P68</f>
        <v>0</v>
      </c>
      <c r="AQ69" s="14">
        <f>[1]Sheet2!Q68</f>
        <v>0</v>
      </c>
      <c r="AR69" s="14">
        <f>[1]Sheet2!R68</f>
        <v>0</v>
      </c>
      <c r="AS69" s="14">
        <f>[1]Sheet2!S68</f>
        <v>0</v>
      </c>
      <c r="AT69" s="14">
        <f>[1]Sheet2!T68</f>
        <v>0</v>
      </c>
      <c r="AU69" s="14">
        <f>[1]Sheet2!U68</f>
        <v>0</v>
      </c>
      <c r="AV69" s="14">
        <f>[1]Sheet2!V68</f>
        <v>0</v>
      </c>
      <c r="AW69" s="14">
        <f>[1]Sheet2!W68</f>
        <v>0</v>
      </c>
      <c r="AX69" s="14">
        <f>[1]Sheet2!X68</f>
        <v>0</v>
      </c>
      <c r="AY69" s="14">
        <f>[1]Sheet2!Y68</f>
        <v>0</v>
      </c>
      <c r="AZ69" s="16">
        <f>Demand_LP!B$5/31</f>
        <v>754.78140345091151</v>
      </c>
      <c r="BA69" s="16">
        <f>Demand_LP!C$5/31</f>
        <v>547.55235732009919</v>
      </c>
      <c r="BB69" s="16">
        <f>Demand_LP!D$5/31</f>
        <v>312.75612076095945</v>
      </c>
      <c r="BC69" s="16">
        <f>Demand_LP!E$5/31</f>
        <v>772.29437499345636</v>
      </c>
      <c r="BD69" s="16">
        <f>Demand_LP!F$5/31</f>
        <v>471.74248526347748</v>
      </c>
      <c r="BE69" s="16">
        <f>Demand_LP!G$5/31</f>
        <v>451.61290322580646</v>
      </c>
      <c r="BF69" s="16">
        <f>Demand_LP!H$5/31</f>
        <v>547.55235732009919</v>
      </c>
      <c r="BG69" s="16">
        <f>Demand_LP!I$5/31</f>
        <v>451.61290322580646</v>
      </c>
      <c r="BH69" s="16">
        <f>Demand_LP!J$5/31</f>
        <v>451.61290322580646</v>
      </c>
      <c r="BI69" s="16">
        <f>Demand_LP!K$5/31</f>
        <v>451.61290322580646</v>
      </c>
      <c r="BJ69" s="16">
        <f t="shared" ref="BJ69:BJ132" si="46">IF(EV69="",BJ68-AZ69+CD69,EV69)</f>
        <v>-33587.271046111513</v>
      </c>
      <c r="BK69" s="16">
        <f t="shared" ref="BK69:BK132" si="47">IF(EW69="",BK68-BA69+CE69,EW69)</f>
        <v>-32475.28701406117</v>
      </c>
      <c r="BL69" s="16">
        <f t="shared" ref="BL69:BL132" si="48">IF(EX69="",BL68-BB69+CF69,EX69)</f>
        <v>-7267.8184863523602</v>
      </c>
      <c r="BM69" s="16">
        <f t="shared" ref="BM69:BM132" si="49">IF(EY69="",BM68-BC69+CG69,EY69)</f>
        <v>-38271.482419825996</v>
      </c>
      <c r="BN69" s="16">
        <f t="shared" ref="BN69:BN132" si="50">IF(EZ69="",BN68-BD69+CH69,EZ69)</f>
        <v>-22120.496435305868</v>
      </c>
      <c r="BO69" s="16">
        <f t="shared" ref="BO69:BO132" si="51">IF(FA69="",BO68-BE69+CI69,FA69)</f>
        <v>-21061.290322580644</v>
      </c>
      <c r="BP69" s="16">
        <f t="shared" ref="BP69:BP132" si="52">IF(FB69="",BP68-BF69+CJ69,FB69)</f>
        <v>-26832.866501240704</v>
      </c>
      <c r="BQ69" s="16">
        <f t="shared" ref="BQ69:BQ132" si="53">IF(FC69="",BQ68-BG69+CK69,FC69)</f>
        <v>-21061.290322580644</v>
      </c>
      <c r="BR69" s="16">
        <f t="shared" ref="BR69:BR132" si="54">IF(FD69="",BR68-BH69+CL69,FD69)</f>
        <v>-18661.290322580644</v>
      </c>
      <c r="BS69" s="16">
        <f t="shared" ref="BS69:BS132" si="55">IF(FE69="",BS68-BI69+CM69,FE69)</f>
        <v>-19361.290322580637</v>
      </c>
      <c r="BT69" s="14">
        <f>IF([1]Sheet2!CB68=999999,"NA",[1]Sheet2!CB68)</f>
        <v>0</v>
      </c>
      <c r="BU69" s="14">
        <f>IF([1]Sheet2!CC68=999999,"NA",[1]Sheet2!CC68)</f>
        <v>0</v>
      </c>
      <c r="BV69" s="14">
        <f>IF([1]Sheet2!CD68=999999,"NA",[1]Sheet2!CD68)</f>
        <v>0</v>
      </c>
      <c r="BW69" s="14">
        <f>IF([1]Sheet2!CE68=999999,"NA",[1]Sheet2!CE68)</f>
        <v>0</v>
      </c>
      <c r="BX69" s="14">
        <f>IF([1]Sheet2!CF68=999999,"NA",[1]Sheet2!CF68)</f>
        <v>0</v>
      </c>
      <c r="BY69" s="14">
        <f>IF([1]Sheet2!CG68=999999,"NA",[1]Sheet2!CG68)</f>
        <v>0</v>
      </c>
      <c r="BZ69" s="14">
        <f>IF([1]Sheet2!CH68=999999,"NA",[1]Sheet2!CH68)</f>
        <v>0</v>
      </c>
      <c r="CA69" s="14">
        <f>IF([1]Sheet2!CI68=999999,"NA",[1]Sheet2!CI68)</f>
        <v>0</v>
      </c>
      <c r="CB69" s="14">
        <f>IF([1]Sheet2!CJ68=999999,"NA",[1]Sheet2!CJ68)</f>
        <v>0</v>
      </c>
      <c r="CC69" s="14">
        <f>IF([1]Sheet2!CK68=999999,"NA",[1]Sheet2!CK68)</f>
        <v>0</v>
      </c>
      <c r="CD69" s="14">
        <f>[1]Sheet2!BH68</f>
        <v>0</v>
      </c>
      <c r="CE69" s="14">
        <f>[1]Sheet2!BI68</f>
        <v>0</v>
      </c>
      <c r="CF69" s="14">
        <f>[1]Sheet2!BJ68</f>
        <v>0</v>
      </c>
      <c r="CG69" s="14">
        <f>[1]Sheet2!BK68</f>
        <v>0</v>
      </c>
      <c r="CH69" s="14">
        <f>[1]Sheet2!BL68</f>
        <v>0</v>
      </c>
      <c r="CI69" s="14">
        <f>[1]Sheet2!BM68</f>
        <v>0</v>
      </c>
      <c r="CJ69" s="14">
        <f>[1]Sheet2!BN68</f>
        <v>0</v>
      </c>
      <c r="CK69" s="14">
        <f>[1]Sheet2!BO68</f>
        <v>0</v>
      </c>
      <c r="CL69" s="14">
        <f>[1]Sheet2!BP68</f>
        <v>0</v>
      </c>
      <c r="CM69" s="14">
        <f>[1]Sheet2!BQ68</f>
        <v>0</v>
      </c>
      <c r="CN69" s="16">
        <f>Demand_SW!B$5/31</f>
        <v>138.46153846153845</v>
      </c>
      <c r="CO69" s="16">
        <f>Demand_SW!C$5/31</f>
        <v>29.776674937965261</v>
      </c>
      <c r="CP69" s="16">
        <f>Demand_SW!D$5/31</f>
        <v>0</v>
      </c>
      <c r="CQ69" s="16">
        <f>Demand_SW!E$5/31</f>
        <v>0</v>
      </c>
      <c r="CR69" s="16">
        <f>Demand_SW!F$5/31</f>
        <v>0</v>
      </c>
      <c r="CS69" s="16">
        <f>Demand_SW!G$5/31</f>
        <v>138.70967741935485</v>
      </c>
      <c r="CT69" s="16">
        <f>Demand_SW!H$5/31</f>
        <v>29.776674937965261</v>
      </c>
      <c r="CU69" s="16">
        <f>Demand_SW!I$5/31</f>
        <v>0</v>
      </c>
      <c r="CV69" s="16">
        <f>Demand_SW!J$5/31</f>
        <v>0</v>
      </c>
      <c r="CW69" s="16">
        <f>Demand_SW!K$5/31</f>
        <v>0</v>
      </c>
      <c r="CX69" s="16">
        <f t="shared" ref="CX69:CX132" si="56">IF(FF69="",CX68-CN69+DR69,FF69)</f>
        <v>-2947.6923076923085</v>
      </c>
      <c r="CY69" s="16">
        <f t="shared" ref="CY69:CY132" si="57">IF(FG69="",CY68-CO69+DS69,FG69)</f>
        <v>791.56327543424322</v>
      </c>
      <c r="CZ69" s="16">
        <f t="shared" ref="CZ69:CZ132" si="58">IF(FH69="",CZ68-CP69+DT69,FH69)</f>
        <v>0</v>
      </c>
      <c r="DA69" s="16">
        <f t="shared" ref="DA69:DA132" si="59">IF(FI69="",DA68-CQ69+DU69,FI69)</f>
        <v>0</v>
      </c>
      <c r="DB69" s="16">
        <f t="shared" ref="DB69:DB132" si="60">IF(FJ69="",DB68-CR69+DV69,FJ69)</f>
        <v>0</v>
      </c>
      <c r="DC69" s="16">
        <f t="shared" ref="DC69:DC132" si="61">IF(FK69="",DC68-CS69+DW69,FK69)</f>
        <v>-2470.967741935478</v>
      </c>
      <c r="DD69" s="16">
        <f t="shared" ref="DD69:DD132" si="62">IF(FL69="",DD68-CT69+DX69,FL69)</f>
        <v>791.56327543424322</v>
      </c>
      <c r="DE69" s="16">
        <f t="shared" ref="DE69:DE132" si="63">IF(FM69="",DE68-CU69+DY69,FM69)</f>
        <v>0</v>
      </c>
      <c r="DF69" s="16">
        <f t="shared" ref="DF69:DF132" si="64">IF(FN69="",DF68-CV69+DZ69,FN69)</f>
        <v>0</v>
      </c>
      <c r="DG69" s="16">
        <f t="shared" ref="DG69:DG132" si="65">IF(FO69="",DG68-CW69+EA69,FO69)</f>
        <v>0</v>
      </c>
      <c r="DH69" s="14">
        <f>IF([1]Sheet2!DS68=999999,"NA",[1]Sheet2!DS68)</f>
        <v>0</v>
      </c>
      <c r="DI69" s="14">
        <f>IF([1]Sheet2!DT68=999999,"NA",[1]Sheet2!DT68)</f>
        <v>299</v>
      </c>
      <c r="DJ69" s="14" t="str">
        <f>IF([1]Sheet2!DU68=999999,"NA",[1]Sheet2!DU68)</f>
        <v>NA</v>
      </c>
      <c r="DK69" s="14" t="str">
        <f>IF([1]Sheet2!DV68=999999,"NA",[1]Sheet2!DV68)</f>
        <v>NA</v>
      </c>
      <c r="DL69" s="14" t="str">
        <f>IF([1]Sheet2!DW68=999999,"NA",[1]Sheet2!DW68)</f>
        <v>NA</v>
      </c>
      <c r="DM69" s="14">
        <f>IF([1]Sheet2!DX68=999999,"NA",[1]Sheet2!DX68)</f>
        <v>0</v>
      </c>
      <c r="DN69" s="14">
        <f>IF([1]Sheet2!DY68=999999,"NA",[1]Sheet2!DY68)</f>
        <v>299</v>
      </c>
      <c r="DO69" s="14" t="str">
        <f>IF([1]Sheet2!DZ68=999999,"NA",[1]Sheet2!DZ68)</f>
        <v>NA</v>
      </c>
      <c r="DP69" s="14" t="str">
        <f>IF([1]Sheet2!EA68=999999,"NA",[1]Sheet2!EA68)</f>
        <v>NA</v>
      </c>
      <c r="DQ69" s="14" t="str">
        <f>IF([1]Sheet2!EB68=999999,"NA",[1]Sheet2!EB68)</f>
        <v>NA</v>
      </c>
      <c r="DR69" s="14">
        <f>[1]Sheet2!CY68</f>
        <v>0</v>
      </c>
      <c r="DS69" s="14">
        <f>[1]Sheet2!CZ68</f>
        <v>0</v>
      </c>
      <c r="DT69" s="14">
        <f>[1]Sheet2!DA68</f>
        <v>0</v>
      </c>
      <c r="DU69" s="14">
        <f>[1]Sheet2!DB68</f>
        <v>0</v>
      </c>
      <c r="DV69" s="14">
        <f>[1]Sheet2!DC68</f>
        <v>0</v>
      </c>
      <c r="DW69" s="14">
        <f>[1]Sheet2!DD68</f>
        <v>0</v>
      </c>
      <c r="DX69" s="14">
        <f>[1]Sheet2!DE68</f>
        <v>0</v>
      </c>
      <c r="DY69" s="14">
        <f>[1]Sheet2!DF68</f>
        <v>0</v>
      </c>
      <c r="DZ69" s="14">
        <f>[1]Sheet2!DG68</f>
        <v>0</v>
      </c>
      <c r="EA69" s="14">
        <f>[1]Sheet2!DH68</f>
        <v>0</v>
      </c>
      <c r="EB69" s="6">
        <f>[1]Sheet2!EC68</f>
        <v>0</v>
      </c>
      <c r="EC69" s="6">
        <f>[1]Sheet2!ED68</f>
        <v>0</v>
      </c>
      <c r="ED69" s="6">
        <f>[1]Sheet2!EE68</f>
        <v>0</v>
      </c>
      <c r="EE69" s="6">
        <f>[1]Sheet2!EF68</f>
        <v>0</v>
      </c>
      <c r="EF69" s="6">
        <f>[1]Sheet2!EG68</f>
        <v>0</v>
      </c>
      <c r="EG69" s="6">
        <f>[1]Sheet2!EH68</f>
        <v>0</v>
      </c>
      <c r="EH69" s="6">
        <f>[1]Sheet2!EI68</f>
        <v>0</v>
      </c>
      <c r="EI69" s="6">
        <f>[1]Sheet2!EJ68</f>
        <v>0</v>
      </c>
      <c r="EJ69" s="6">
        <f>[1]Sheet2!EK68</f>
        <v>0</v>
      </c>
      <c r="EK69" s="6">
        <f>[1]Sheet2!EL68</f>
        <v>0</v>
      </c>
      <c r="EL69" s="6" t="str">
        <f>[1]Sheet2!EM68</f>
        <v/>
      </c>
      <c r="EM69" s="6" t="str">
        <f>[1]Sheet2!EN68</f>
        <v/>
      </c>
      <c r="EN69" s="6" t="str">
        <f>[1]Sheet2!EO68</f>
        <v/>
      </c>
      <c r="EO69" s="6" t="str">
        <f>[1]Sheet2!EP68</f>
        <v/>
      </c>
      <c r="EP69" s="6" t="str">
        <f>[1]Sheet2!EQ68</f>
        <v/>
      </c>
      <c r="EQ69" s="6" t="str">
        <f>[1]Sheet2!ER68</f>
        <v/>
      </c>
      <c r="ER69" s="6" t="str">
        <f>[1]Sheet2!ES68</f>
        <v/>
      </c>
      <c r="ES69" s="6" t="str">
        <f>[1]Sheet2!ET68</f>
        <v/>
      </c>
      <c r="ET69" s="6" t="str">
        <f>[1]Sheet2!EU68</f>
        <v/>
      </c>
      <c r="EU69" s="6" t="str">
        <f>[1]Sheet2!EV68</f>
        <v/>
      </c>
      <c r="EV69" s="6" t="str">
        <f>[1]Sheet2!EW68</f>
        <v/>
      </c>
      <c r="EW69" s="6" t="str">
        <f>[1]Sheet2!EX68</f>
        <v/>
      </c>
      <c r="EX69" s="6" t="str">
        <f>[1]Sheet2!EY68</f>
        <v/>
      </c>
      <c r="EY69" s="6" t="str">
        <f>[1]Sheet2!EZ68</f>
        <v/>
      </c>
      <c r="EZ69" s="6" t="str">
        <f>[1]Sheet2!FA68</f>
        <v/>
      </c>
      <c r="FA69" s="6" t="str">
        <f>[1]Sheet2!FB68</f>
        <v/>
      </c>
      <c r="FB69" s="6" t="str">
        <f>[1]Sheet2!FC68</f>
        <v/>
      </c>
      <c r="FC69" s="6" t="str">
        <f>[1]Sheet2!FD68</f>
        <v/>
      </c>
      <c r="FD69" s="6" t="str">
        <f>[1]Sheet2!FE68</f>
        <v/>
      </c>
      <c r="FE69" s="6" t="str">
        <f>[1]Sheet2!FF68</f>
        <v/>
      </c>
      <c r="FF69" s="6" t="str">
        <f>[1]Sheet2!FG68</f>
        <v/>
      </c>
      <c r="FG69" s="6" t="str">
        <f>[1]Sheet2!FH68</f>
        <v/>
      </c>
      <c r="FH69" s="6" t="str">
        <f>[1]Sheet2!FI68</f>
        <v/>
      </c>
      <c r="FI69" s="6" t="str">
        <f>[1]Sheet2!FJ68</f>
        <v/>
      </c>
      <c r="FJ69" s="6" t="str">
        <f>[1]Sheet2!FK68</f>
        <v/>
      </c>
      <c r="FK69" s="6" t="str">
        <f>[1]Sheet2!FL68</f>
        <v/>
      </c>
      <c r="FL69" s="6" t="str">
        <f>[1]Sheet2!FM68</f>
        <v/>
      </c>
      <c r="FM69" s="6" t="str">
        <f>[1]Sheet2!FN68</f>
        <v/>
      </c>
      <c r="FN69" s="6" t="str">
        <f>[1]Sheet2!FO68</f>
        <v/>
      </c>
      <c r="FO69" s="6" t="str">
        <f>[1]Sheet2!FP68</f>
        <v/>
      </c>
    </row>
    <row r="70" spans="1:171" x14ac:dyDescent="0.25">
      <c r="A70" s="15">
        <v>43532</v>
      </c>
      <c r="B70" s="1"/>
      <c r="C70" s="1"/>
      <c r="D70" s="1"/>
      <c r="E70" s="14">
        <f>[1]Sheet2!N69</f>
        <v>0</v>
      </c>
      <c r="F70" s="14">
        <f>[1]Sheet2!BE69</f>
        <v>0</v>
      </c>
      <c r="G70" s="14">
        <f>[1]Sheet2!CW69</f>
        <v>0</v>
      </c>
      <c r="H70" s="1"/>
      <c r="I70" s="1"/>
      <c r="J70" s="1"/>
      <c r="K70" s="16"/>
      <c r="L70" s="16">
        <f>Demand_CWRS!B$5/31</f>
        <v>131.679370700757</v>
      </c>
      <c r="M70" s="16">
        <f>Demand_CWRS!C$5/31</f>
        <v>537.20942928039699</v>
      </c>
      <c r="N70" s="16">
        <f>Demand_CWRS!D$5/31</f>
        <v>0</v>
      </c>
      <c r="O70" s="16">
        <f>Demand_CWRS!E$5/31</f>
        <v>121.5961418056559</v>
      </c>
      <c r="P70" s="16">
        <f>Demand_CWRS!F$5/31</f>
        <v>245.08227837631262</v>
      </c>
      <c r="Q70" s="16">
        <f>Demand_CWRS!G$5/31</f>
        <v>131.679370700757</v>
      </c>
      <c r="R70" s="16">
        <f>Demand_CWRS!H$5/31</f>
        <v>245.08227837631262</v>
      </c>
      <c r="S70" s="16">
        <f>Demand_CWRS!I$5/31</f>
        <v>245.08227837631262</v>
      </c>
      <c r="T70" s="16">
        <f>Demand_CWRS!J$5/31</f>
        <v>245.08227837631262</v>
      </c>
      <c r="U70" s="16">
        <f>Demand_CWRS!K$5/31</f>
        <v>245.08227837631262</v>
      </c>
      <c r="V70" s="16">
        <f t="shared" si="36"/>
        <v>-7450.3787757022155</v>
      </c>
      <c r="W70" s="16">
        <f t="shared" si="37"/>
        <v>-20826.306203473931</v>
      </c>
      <c r="X70" s="16">
        <f t="shared" si="38"/>
        <v>0</v>
      </c>
      <c r="Y70" s="16">
        <f t="shared" si="39"/>
        <v>1317.3065065804021</v>
      </c>
      <c r="Z70" s="16">
        <f t="shared" si="40"/>
        <v>-10472.624813548962</v>
      </c>
      <c r="AA70" s="16">
        <f t="shared" si="41"/>
        <v>-6233.4349656060604</v>
      </c>
      <c r="AB70" s="16">
        <f t="shared" si="42"/>
        <v>-14953.66848342075</v>
      </c>
      <c r="AC70" s="16">
        <f t="shared" si="43"/>
        <v>-9160.6582270105046</v>
      </c>
      <c r="AD70" s="16">
        <f t="shared" si="44"/>
        <v>-9260.6582270104973</v>
      </c>
      <c r="AE70" s="16">
        <f t="shared" si="45"/>
        <v>-9860.6582270105009</v>
      </c>
      <c r="AF70" s="14">
        <f>IF([1]Sheet2!AJ69=999999,"NA",[1]Sheet2!AJ69)</f>
        <v>0</v>
      </c>
      <c r="AG70" s="14">
        <f>IF([1]Sheet2!AK69=999999,"NA",[1]Sheet2!AK69)</f>
        <v>0</v>
      </c>
      <c r="AH70" s="14" t="str">
        <f>IF([1]Sheet2!AL69=999999,"NA",[1]Sheet2!AL69)</f>
        <v>NA</v>
      </c>
      <c r="AI70" s="14">
        <f>IF([1]Sheet2!AM69=999999,"NA",[1]Sheet2!AM69)</f>
        <v>10</v>
      </c>
      <c r="AJ70" s="14">
        <f>IF([1]Sheet2!AN69=999999,"NA",[1]Sheet2!AN69)</f>
        <v>0</v>
      </c>
      <c r="AK70" s="14">
        <f>IF([1]Sheet2!AO69=999999,"NA",[1]Sheet2!AO69)</f>
        <v>0</v>
      </c>
      <c r="AL70" s="14">
        <f>IF([1]Sheet2!AP69=999999,"NA",[1]Sheet2!AP69)</f>
        <v>0</v>
      </c>
      <c r="AM70" s="14">
        <f>IF([1]Sheet2!AQ69=999999,"NA",[1]Sheet2!AQ69)</f>
        <v>0</v>
      </c>
      <c r="AN70" s="14">
        <f>IF([1]Sheet2!AR69=999999,"NA",[1]Sheet2!AR69)</f>
        <v>0</v>
      </c>
      <c r="AO70" s="14">
        <f>IF([1]Sheet2!AS69=999999,"NA",[1]Sheet2!AS69)</f>
        <v>0</v>
      </c>
      <c r="AP70" s="14">
        <f>[1]Sheet2!P69</f>
        <v>0</v>
      </c>
      <c r="AQ70" s="14">
        <f>[1]Sheet2!Q69</f>
        <v>0</v>
      </c>
      <c r="AR70" s="14">
        <f>[1]Sheet2!R69</f>
        <v>0</v>
      </c>
      <c r="AS70" s="14">
        <f>[1]Sheet2!S69</f>
        <v>0</v>
      </c>
      <c r="AT70" s="14">
        <f>[1]Sheet2!T69</f>
        <v>0</v>
      </c>
      <c r="AU70" s="14">
        <f>[1]Sheet2!U69</f>
        <v>0</v>
      </c>
      <c r="AV70" s="14">
        <f>[1]Sheet2!V69</f>
        <v>0</v>
      </c>
      <c r="AW70" s="14">
        <f>[1]Sheet2!W69</f>
        <v>0</v>
      </c>
      <c r="AX70" s="14">
        <f>[1]Sheet2!X69</f>
        <v>0</v>
      </c>
      <c r="AY70" s="14">
        <f>[1]Sheet2!Y69</f>
        <v>0</v>
      </c>
      <c r="AZ70" s="16">
        <f>Demand_LP!B$5/31</f>
        <v>754.78140345091151</v>
      </c>
      <c r="BA70" s="16">
        <f>Demand_LP!C$5/31</f>
        <v>547.55235732009919</v>
      </c>
      <c r="BB70" s="16">
        <f>Demand_LP!D$5/31</f>
        <v>312.75612076095945</v>
      </c>
      <c r="BC70" s="16">
        <f>Demand_LP!E$5/31</f>
        <v>772.29437499345636</v>
      </c>
      <c r="BD70" s="16">
        <f>Demand_LP!F$5/31</f>
        <v>471.74248526347748</v>
      </c>
      <c r="BE70" s="16">
        <f>Demand_LP!G$5/31</f>
        <v>451.61290322580646</v>
      </c>
      <c r="BF70" s="16">
        <f>Demand_LP!H$5/31</f>
        <v>547.55235732009919</v>
      </c>
      <c r="BG70" s="16">
        <f>Demand_LP!I$5/31</f>
        <v>451.61290322580646</v>
      </c>
      <c r="BH70" s="16">
        <f>Demand_LP!J$5/31</f>
        <v>451.61290322580646</v>
      </c>
      <c r="BI70" s="16">
        <f>Demand_LP!K$5/31</f>
        <v>451.61290322580646</v>
      </c>
      <c r="BJ70" s="16">
        <f t="shared" si="46"/>
        <v>-34342.052449562427</v>
      </c>
      <c r="BK70" s="16">
        <f t="shared" si="47"/>
        <v>-33022.839371381269</v>
      </c>
      <c r="BL70" s="16">
        <f t="shared" si="48"/>
        <v>-7580.5746071133199</v>
      </c>
      <c r="BM70" s="16">
        <f t="shared" si="49"/>
        <v>-39043.776794819452</v>
      </c>
      <c r="BN70" s="16">
        <f t="shared" si="50"/>
        <v>-22592.238920569343</v>
      </c>
      <c r="BO70" s="16">
        <f t="shared" si="51"/>
        <v>-21512.903225806451</v>
      </c>
      <c r="BP70" s="16">
        <f t="shared" si="52"/>
        <v>-27380.418858560803</v>
      </c>
      <c r="BQ70" s="16">
        <f t="shared" si="53"/>
        <v>-21512.903225806451</v>
      </c>
      <c r="BR70" s="16">
        <f t="shared" si="54"/>
        <v>-19112.903225806451</v>
      </c>
      <c r="BS70" s="16">
        <f t="shared" si="55"/>
        <v>-19812.903225806444</v>
      </c>
      <c r="BT70" s="14">
        <f>IF([1]Sheet2!CB69=999999,"NA",[1]Sheet2!CB69)</f>
        <v>0</v>
      </c>
      <c r="BU70" s="14">
        <f>IF([1]Sheet2!CC69=999999,"NA",[1]Sheet2!CC69)</f>
        <v>0</v>
      </c>
      <c r="BV70" s="14">
        <f>IF([1]Sheet2!CD69=999999,"NA",[1]Sheet2!CD69)</f>
        <v>0</v>
      </c>
      <c r="BW70" s="14">
        <f>IF([1]Sheet2!CE69=999999,"NA",[1]Sheet2!CE69)</f>
        <v>0</v>
      </c>
      <c r="BX70" s="14">
        <f>IF([1]Sheet2!CF69=999999,"NA",[1]Sheet2!CF69)</f>
        <v>0</v>
      </c>
      <c r="BY70" s="14">
        <f>IF([1]Sheet2!CG69=999999,"NA",[1]Sheet2!CG69)</f>
        <v>0</v>
      </c>
      <c r="BZ70" s="14">
        <f>IF([1]Sheet2!CH69=999999,"NA",[1]Sheet2!CH69)</f>
        <v>0</v>
      </c>
      <c r="CA70" s="14">
        <f>IF([1]Sheet2!CI69=999999,"NA",[1]Sheet2!CI69)</f>
        <v>0</v>
      </c>
      <c r="CB70" s="14">
        <f>IF([1]Sheet2!CJ69=999999,"NA",[1]Sheet2!CJ69)</f>
        <v>0</v>
      </c>
      <c r="CC70" s="14">
        <f>IF([1]Sheet2!CK69=999999,"NA",[1]Sheet2!CK69)</f>
        <v>0</v>
      </c>
      <c r="CD70" s="14">
        <f>[1]Sheet2!BH69</f>
        <v>0</v>
      </c>
      <c r="CE70" s="14">
        <f>[1]Sheet2!BI69</f>
        <v>0</v>
      </c>
      <c r="CF70" s="14">
        <f>[1]Sheet2!BJ69</f>
        <v>0</v>
      </c>
      <c r="CG70" s="14">
        <f>[1]Sheet2!BK69</f>
        <v>0</v>
      </c>
      <c r="CH70" s="14">
        <f>[1]Sheet2!BL69</f>
        <v>0</v>
      </c>
      <c r="CI70" s="14">
        <f>[1]Sheet2!BM69</f>
        <v>0</v>
      </c>
      <c r="CJ70" s="14">
        <f>[1]Sheet2!BN69</f>
        <v>0</v>
      </c>
      <c r="CK70" s="14">
        <f>[1]Sheet2!BO69</f>
        <v>0</v>
      </c>
      <c r="CL70" s="14">
        <f>[1]Sheet2!BP69</f>
        <v>0</v>
      </c>
      <c r="CM70" s="14">
        <f>[1]Sheet2!BQ69</f>
        <v>0</v>
      </c>
      <c r="CN70" s="16">
        <f>Demand_SW!B$5/31</f>
        <v>138.46153846153845</v>
      </c>
      <c r="CO70" s="16">
        <f>Demand_SW!C$5/31</f>
        <v>29.776674937965261</v>
      </c>
      <c r="CP70" s="16">
        <f>Demand_SW!D$5/31</f>
        <v>0</v>
      </c>
      <c r="CQ70" s="16">
        <f>Demand_SW!E$5/31</f>
        <v>0</v>
      </c>
      <c r="CR70" s="16">
        <f>Demand_SW!F$5/31</f>
        <v>0</v>
      </c>
      <c r="CS70" s="16">
        <f>Demand_SW!G$5/31</f>
        <v>138.70967741935485</v>
      </c>
      <c r="CT70" s="16">
        <f>Demand_SW!H$5/31</f>
        <v>29.776674937965261</v>
      </c>
      <c r="CU70" s="16">
        <f>Demand_SW!I$5/31</f>
        <v>0</v>
      </c>
      <c r="CV70" s="16">
        <f>Demand_SW!J$5/31</f>
        <v>0</v>
      </c>
      <c r="CW70" s="16">
        <f>Demand_SW!K$5/31</f>
        <v>0</v>
      </c>
      <c r="CX70" s="16">
        <f t="shared" si="56"/>
        <v>-3086.1538461538471</v>
      </c>
      <c r="CY70" s="16">
        <f t="shared" si="57"/>
        <v>761.78660049627797</v>
      </c>
      <c r="CZ70" s="16">
        <f t="shared" si="58"/>
        <v>0</v>
      </c>
      <c r="DA70" s="16">
        <f t="shared" si="59"/>
        <v>0</v>
      </c>
      <c r="DB70" s="16">
        <f t="shared" si="60"/>
        <v>0</v>
      </c>
      <c r="DC70" s="16">
        <f t="shared" si="61"/>
        <v>-2609.6774193548326</v>
      </c>
      <c r="DD70" s="16">
        <f t="shared" si="62"/>
        <v>761.78660049627797</v>
      </c>
      <c r="DE70" s="16">
        <f t="shared" si="63"/>
        <v>0</v>
      </c>
      <c r="DF70" s="16">
        <f t="shared" si="64"/>
        <v>0</v>
      </c>
      <c r="DG70" s="16">
        <f t="shared" si="65"/>
        <v>0</v>
      </c>
      <c r="DH70" s="14">
        <f>IF([1]Sheet2!DS69=999999,"NA",[1]Sheet2!DS69)</f>
        <v>0</v>
      </c>
      <c r="DI70" s="14">
        <f>IF([1]Sheet2!DT69=999999,"NA",[1]Sheet2!DT69)</f>
        <v>298</v>
      </c>
      <c r="DJ70" s="14" t="str">
        <f>IF([1]Sheet2!DU69=999999,"NA",[1]Sheet2!DU69)</f>
        <v>NA</v>
      </c>
      <c r="DK70" s="14" t="str">
        <f>IF([1]Sheet2!DV69=999999,"NA",[1]Sheet2!DV69)</f>
        <v>NA</v>
      </c>
      <c r="DL70" s="14" t="str">
        <f>IF([1]Sheet2!DW69=999999,"NA",[1]Sheet2!DW69)</f>
        <v>NA</v>
      </c>
      <c r="DM70" s="14">
        <f>IF([1]Sheet2!DX69=999999,"NA",[1]Sheet2!DX69)</f>
        <v>0</v>
      </c>
      <c r="DN70" s="14">
        <f>IF([1]Sheet2!DY69=999999,"NA",[1]Sheet2!DY69)</f>
        <v>298</v>
      </c>
      <c r="DO70" s="14" t="str">
        <f>IF([1]Sheet2!DZ69=999999,"NA",[1]Sheet2!DZ69)</f>
        <v>NA</v>
      </c>
      <c r="DP70" s="14" t="str">
        <f>IF([1]Sheet2!EA69=999999,"NA",[1]Sheet2!EA69)</f>
        <v>NA</v>
      </c>
      <c r="DQ70" s="14" t="str">
        <f>IF([1]Sheet2!EB69=999999,"NA",[1]Sheet2!EB69)</f>
        <v>NA</v>
      </c>
      <c r="DR70" s="14">
        <f>[1]Sheet2!CY69</f>
        <v>0</v>
      </c>
      <c r="DS70" s="14">
        <f>[1]Sheet2!CZ69</f>
        <v>0</v>
      </c>
      <c r="DT70" s="14">
        <f>[1]Sheet2!DA69</f>
        <v>0</v>
      </c>
      <c r="DU70" s="14">
        <f>[1]Sheet2!DB69</f>
        <v>0</v>
      </c>
      <c r="DV70" s="14">
        <f>[1]Sheet2!DC69</f>
        <v>0</v>
      </c>
      <c r="DW70" s="14">
        <f>[1]Sheet2!DD69</f>
        <v>0</v>
      </c>
      <c r="DX70" s="14">
        <f>[1]Sheet2!DE69</f>
        <v>0</v>
      </c>
      <c r="DY70" s="14">
        <f>[1]Sheet2!DF69</f>
        <v>0</v>
      </c>
      <c r="DZ70" s="14">
        <f>[1]Sheet2!DG69</f>
        <v>0</v>
      </c>
      <c r="EA70" s="14">
        <f>[1]Sheet2!DH69</f>
        <v>0</v>
      </c>
      <c r="EB70" s="6">
        <f>[1]Sheet2!EC69</f>
        <v>0</v>
      </c>
      <c r="EC70" s="6">
        <f>[1]Sheet2!ED69</f>
        <v>0</v>
      </c>
      <c r="ED70" s="6">
        <f>[1]Sheet2!EE69</f>
        <v>0</v>
      </c>
      <c r="EE70" s="6">
        <f>[1]Sheet2!EF69</f>
        <v>0</v>
      </c>
      <c r="EF70" s="6">
        <f>[1]Sheet2!EG69</f>
        <v>0</v>
      </c>
      <c r="EG70" s="6">
        <f>[1]Sheet2!EH69</f>
        <v>0</v>
      </c>
      <c r="EH70" s="6">
        <f>[1]Sheet2!EI69</f>
        <v>0</v>
      </c>
      <c r="EI70" s="6">
        <f>[1]Sheet2!EJ69</f>
        <v>0</v>
      </c>
      <c r="EJ70" s="6">
        <f>[1]Sheet2!EK69</f>
        <v>0</v>
      </c>
      <c r="EK70" s="6">
        <f>[1]Sheet2!EL69</f>
        <v>0</v>
      </c>
      <c r="EL70" s="6" t="str">
        <f>[1]Sheet2!EM69</f>
        <v/>
      </c>
      <c r="EM70" s="6" t="str">
        <f>[1]Sheet2!EN69</f>
        <v/>
      </c>
      <c r="EN70" s="6" t="str">
        <f>[1]Sheet2!EO69</f>
        <v/>
      </c>
      <c r="EO70" s="6" t="str">
        <f>[1]Sheet2!EP69</f>
        <v/>
      </c>
      <c r="EP70" s="6" t="str">
        <f>[1]Sheet2!EQ69</f>
        <v/>
      </c>
      <c r="EQ70" s="6" t="str">
        <f>[1]Sheet2!ER69</f>
        <v/>
      </c>
      <c r="ER70" s="6" t="str">
        <f>[1]Sheet2!ES69</f>
        <v/>
      </c>
      <c r="ES70" s="6" t="str">
        <f>[1]Sheet2!ET69</f>
        <v/>
      </c>
      <c r="ET70" s="6" t="str">
        <f>[1]Sheet2!EU69</f>
        <v/>
      </c>
      <c r="EU70" s="6" t="str">
        <f>[1]Sheet2!EV69</f>
        <v/>
      </c>
      <c r="EV70" s="6" t="str">
        <f>[1]Sheet2!EW69</f>
        <v/>
      </c>
      <c r="EW70" s="6" t="str">
        <f>[1]Sheet2!EX69</f>
        <v/>
      </c>
      <c r="EX70" s="6" t="str">
        <f>[1]Sheet2!EY69</f>
        <v/>
      </c>
      <c r="EY70" s="6" t="str">
        <f>[1]Sheet2!EZ69</f>
        <v/>
      </c>
      <c r="EZ70" s="6" t="str">
        <f>[1]Sheet2!FA69</f>
        <v/>
      </c>
      <c r="FA70" s="6" t="str">
        <f>[1]Sheet2!FB69</f>
        <v/>
      </c>
      <c r="FB70" s="6" t="str">
        <f>[1]Sheet2!FC69</f>
        <v/>
      </c>
      <c r="FC70" s="6" t="str">
        <f>[1]Sheet2!FD69</f>
        <v/>
      </c>
      <c r="FD70" s="6" t="str">
        <f>[1]Sheet2!FE69</f>
        <v/>
      </c>
      <c r="FE70" s="6" t="str">
        <f>[1]Sheet2!FF69</f>
        <v/>
      </c>
      <c r="FF70" s="6" t="str">
        <f>[1]Sheet2!FG69</f>
        <v/>
      </c>
      <c r="FG70" s="6" t="str">
        <f>[1]Sheet2!FH69</f>
        <v/>
      </c>
      <c r="FH70" s="6" t="str">
        <f>[1]Sheet2!FI69</f>
        <v/>
      </c>
      <c r="FI70" s="6" t="str">
        <f>[1]Sheet2!FJ69</f>
        <v/>
      </c>
      <c r="FJ70" s="6" t="str">
        <f>[1]Sheet2!FK69</f>
        <v/>
      </c>
      <c r="FK70" s="6" t="str">
        <f>[1]Sheet2!FL69</f>
        <v/>
      </c>
      <c r="FL70" s="6" t="str">
        <f>[1]Sheet2!FM69</f>
        <v/>
      </c>
      <c r="FM70" s="6" t="str">
        <f>[1]Sheet2!FN69</f>
        <v/>
      </c>
      <c r="FN70" s="6" t="str">
        <f>[1]Sheet2!FO69</f>
        <v/>
      </c>
      <c r="FO70" s="6" t="str">
        <f>[1]Sheet2!FP69</f>
        <v/>
      </c>
    </row>
    <row r="71" spans="1:171" x14ac:dyDescent="0.25">
      <c r="A71" s="15">
        <v>43533</v>
      </c>
      <c r="B71" s="1"/>
      <c r="C71" s="1"/>
      <c r="D71" s="1"/>
      <c r="E71" s="14">
        <f>[1]Sheet2!N70</f>
        <v>0</v>
      </c>
      <c r="F71" s="14">
        <f>[1]Sheet2!BE70</f>
        <v>0</v>
      </c>
      <c r="G71" s="14">
        <f>[1]Sheet2!CW70</f>
        <v>0</v>
      </c>
      <c r="H71" s="1"/>
      <c r="I71" s="1"/>
      <c r="J71" s="1"/>
      <c r="K71" s="16"/>
      <c r="L71" s="16">
        <f>Demand_CWRS!B$5/31</f>
        <v>131.679370700757</v>
      </c>
      <c r="M71" s="16">
        <f>Demand_CWRS!C$5/31</f>
        <v>537.20942928039699</v>
      </c>
      <c r="N71" s="16">
        <f>Demand_CWRS!D$5/31</f>
        <v>0</v>
      </c>
      <c r="O71" s="16">
        <f>Demand_CWRS!E$5/31</f>
        <v>121.5961418056559</v>
      </c>
      <c r="P71" s="16">
        <f>Demand_CWRS!F$5/31</f>
        <v>245.08227837631262</v>
      </c>
      <c r="Q71" s="16">
        <f>Demand_CWRS!G$5/31</f>
        <v>131.679370700757</v>
      </c>
      <c r="R71" s="16">
        <f>Demand_CWRS!H$5/31</f>
        <v>245.08227837631262</v>
      </c>
      <c r="S71" s="16">
        <f>Demand_CWRS!I$5/31</f>
        <v>245.08227837631262</v>
      </c>
      <c r="T71" s="16">
        <f>Demand_CWRS!J$5/31</f>
        <v>245.08227837631262</v>
      </c>
      <c r="U71" s="16">
        <f>Demand_CWRS!K$5/31</f>
        <v>245.08227837631262</v>
      </c>
      <c r="V71" s="16">
        <f t="shared" si="36"/>
        <v>-7582.0581464029729</v>
      </c>
      <c r="W71" s="16">
        <f t="shared" si="37"/>
        <v>-21363.515632754326</v>
      </c>
      <c r="X71" s="16">
        <f t="shared" si="38"/>
        <v>0</v>
      </c>
      <c r="Y71" s="16">
        <f t="shared" si="39"/>
        <v>1195.7103647747463</v>
      </c>
      <c r="Z71" s="16">
        <f t="shared" si="40"/>
        <v>-10717.707091925275</v>
      </c>
      <c r="AA71" s="16">
        <f t="shared" si="41"/>
        <v>-6365.1143363068177</v>
      </c>
      <c r="AB71" s="16">
        <f t="shared" si="42"/>
        <v>-15198.750761797062</v>
      </c>
      <c r="AC71" s="16">
        <f t="shared" si="43"/>
        <v>-9405.7405053868169</v>
      </c>
      <c r="AD71" s="16">
        <f t="shared" si="44"/>
        <v>-9505.7405053868097</v>
      </c>
      <c r="AE71" s="16">
        <f t="shared" si="45"/>
        <v>-10105.740505386813</v>
      </c>
      <c r="AF71" s="14">
        <f>IF([1]Sheet2!AJ70=999999,"NA",[1]Sheet2!AJ70)</f>
        <v>0</v>
      </c>
      <c r="AG71" s="14">
        <f>IF([1]Sheet2!AK70=999999,"NA",[1]Sheet2!AK70)</f>
        <v>0</v>
      </c>
      <c r="AH71" s="14" t="str">
        <f>IF([1]Sheet2!AL70=999999,"NA",[1]Sheet2!AL70)</f>
        <v>NA</v>
      </c>
      <c r="AI71" s="14">
        <f>IF([1]Sheet2!AM70=999999,"NA",[1]Sheet2!AM70)</f>
        <v>9</v>
      </c>
      <c r="AJ71" s="14">
        <f>IF([1]Sheet2!AN70=999999,"NA",[1]Sheet2!AN70)</f>
        <v>0</v>
      </c>
      <c r="AK71" s="14">
        <f>IF([1]Sheet2!AO70=999999,"NA",[1]Sheet2!AO70)</f>
        <v>0</v>
      </c>
      <c r="AL71" s="14">
        <f>IF([1]Sheet2!AP70=999999,"NA",[1]Sheet2!AP70)</f>
        <v>0</v>
      </c>
      <c r="AM71" s="14">
        <f>IF([1]Sheet2!AQ70=999999,"NA",[1]Sheet2!AQ70)</f>
        <v>0</v>
      </c>
      <c r="AN71" s="14">
        <f>IF([1]Sheet2!AR70=999999,"NA",[1]Sheet2!AR70)</f>
        <v>0</v>
      </c>
      <c r="AO71" s="14">
        <f>IF([1]Sheet2!AS70=999999,"NA",[1]Sheet2!AS70)</f>
        <v>0</v>
      </c>
      <c r="AP71" s="14">
        <f>[1]Sheet2!P70</f>
        <v>0</v>
      </c>
      <c r="AQ71" s="14">
        <f>[1]Sheet2!Q70</f>
        <v>0</v>
      </c>
      <c r="AR71" s="14">
        <f>[1]Sheet2!R70</f>
        <v>0</v>
      </c>
      <c r="AS71" s="14">
        <f>[1]Sheet2!S70</f>
        <v>0</v>
      </c>
      <c r="AT71" s="14">
        <f>[1]Sheet2!T70</f>
        <v>0</v>
      </c>
      <c r="AU71" s="14">
        <f>[1]Sheet2!U70</f>
        <v>0</v>
      </c>
      <c r="AV71" s="14">
        <f>[1]Sheet2!V70</f>
        <v>0</v>
      </c>
      <c r="AW71" s="14">
        <f>[1]Sheet2!W70</f>
        <v>0</v>
      </c>
      <c r="AX71" s="14">
        <f>[1]Sheet2!X70</f>
        <v>0</v>
      </c>
      <c r="AY71" s="14">
        <f>[1]Sheet2!Y70</f>
        <v>0</v>
      </c>
      <c r="AZ71" s="16">
        <f>Demand_LP!B$5/31</f>
        <v>754.78140345091151</v>
      </c>
      <c r="BA71" s="16">
        <f>Demand_LP!C$5/31</f>
        <v>547.55235732009919</v>
      </c>
      <c r="BB71" s="16">
        <f>Demand_LP!D$5/31</f>
        <v>312.75612076095945</v>
      </c>
      <c r="BC71" s="16">
        <f>Demand_LP!E$5/31</f>
        <v>772.29437499345636</v>
      </c>
      <c r="BD71" s="16">
        <f>Demand_LP!F$5/31</f>
        <v>471.74248526347748</v>
      </c>
      <c r="BE71" s="16">
        <f>Demand_LP!G$5/31</f>
        <v>451.61290322580646</v>
      </c>
      <c r="BF71" s="16">
        <f>Demand_LP!H$5/31</f>
        <v>547.55235732009919</v>
      </c>
      <c r="BG71" s="16">
        <f>Demand_LP!I$5/31</f>
        <v>451.61290322580646</v>
      </c>
      <c r="BH71" s="16">
        <f>Demand_LP!J$5/31</f>
        <v>451.61290322580646</v>
      </c>
      <c r="BI71" s="16">
        <f>Demand_LP!K$5/31</f>
        <v>451.61290322580646</v>
      </c>
      <c r="BJ71" s="16">
        <f t="shared" si="46"/>
        <v>-35096.833853013341</v>
      </c>
      <c r="BK71" s="16">
        <f t="shared" si="47"/>
        <v>-33570.391728701368</v>
      </c>
      <c r="BL71" s="16">
        <f t="shared" si="48"/>
        <v>-7893.3307278742795</v>
      </c>
      <c r="BM71" s="16">
        <f t="shared" si="49"/>
        <v>-39816.071169812909</v>
      </c>
      <c r="BN71" s="16">
        <f t="shared" si="50"/>
        <v>-23063.981405832819</v>
      </c>
      <c r="BO71" s="16">
        <f t="shared" si="51"/>
        <v>-21964.516129032258</v>
      </c>
      <c r="BP71" s="16">
        <f t="shared" si="52"/>
        <v>-27927.971215880902</v>
      </c>
      <c r="BQ71" s="16">
        <f t="shared" si="53"/>
        <v>-21964.516129032258</v>
      </c>
      <c r="BR71" s="16">
        <f t="shared" si="54"/>
        <v>-19564.516129032258</v>
      </c>
      <c r="BS71" s="16">
        <f t="shared" si="55"/>
        <v>-20264.51612903225</v>
      </c>
      <c r="BT71" s="14">
        <f>IF([1]Sheet2!CB70=999999,"NA",[1]Sheet2!CB70)</f>
        <v>0</v>
      </c>
      <c r="BU71" s="14">
        <f>IF([1]Sheet2!CC70=999999,"NA",[1]Sheet2!CC70)</f>
        <v>0</v>
      </c>
      <c r="BV71" s="14">
        <f>IF([1]Sheet2!CD70=999999,"NA",[1]Sheet2!CD70)</f>
        <v>0</v>
      </c>
      <c r="BW71" s="14">
        <f>IF([1]Sheet2!CE70=999999,"NA",[1]Sheet2!CE70)</f>
        <v>0</v>
      </c>
      <c r="BX71" s="14">
        <f>IF([1]Sheet2!CF70=999999,"NA",[1]Sheet2!CF70)</f>
        <v>0</v>
      </c>
      <c r="BY71" s="14">
        <f>IF([1]Sheet2!CG70=999999,"NA",[1]Sheet2!CG70)</f>
        <v>0</v>
      </c>
      <c r="BZ71" s="14">
        <f>IF([1]Sheet2!CH70=999999,"NA",[1]Sheet2!CH70)</f>
        <v>0</v>
      </c>
      <c r="CA71" s="14">
        <f>IF([1]Sheet2!CI70=999999,"NA",[1]Sheet2!CI70)</f>
        <v>0</v>
      </c>
      <c r="CB71" s="14">
        <f>IF([1]Sheet2!CJ70=999999,"NA",[1]Sheet2!CJ70)</f>
        <v>0</v>
      </c>
      <c r="CC71" s="14">
        <f>IF([1]Sheet2!CK70=999999,"NA",[1]Sheet2!CK70)</f>
        <v>0</v>
      </c>
      <c r="CD71" s="14">
        <f>[1]Sheet2!BH70</f>
        <v>0</v>
      </c>
      <c r="CE71" s="14">
        <f>[1]Sheet2!BI70</f>
        <v>0</v>
      </c>
      <c r="CF71" s="14">
        <f>[1]Sheet2!BJ70</f>
        <v>0</v>
      </c>
      <c r="CG71" s="14">
        <f>[1]Sheet2!BK70</f>
        <v>0</v>
      </c>
      <c r="CH71" s="14">
        <f>[1]Sheet2!BL70</f>
        <v>0</v>
      </c>
      <c r="CI71" s="14">
        <f>[1]Sheet2!BM70</f>
        <v>0</v>
      </c>
      <c r="CJ71" s="14">
        <f>[1]Sheet2!BN70</f>
        <v>0</v>
      </c>
      <c r="CK71" s="14">
        <f>[1]Sheet2!BO70</f>
        <v>0</v>
      </c>
      <c r="CL71" s="14">
        <f>[1]Sheet2!BP70</f>
        <v>0</v>
      </c>
      <c r="CM71" s="14">
        <f>[1]Sheet2!BQ70</f>
        <v>0</v>
      </c>
      <c r="CN71" s="16">
        <f>Demand_SW!B$5/31</f>
        <v>138.46153846153845</v>
      </c>
      <c r="CO71" s="16">
        <f>Demand_SW!C$5/31</f>
        <v>29.776674937965261</v>
      </c>
      <c r="CP71" s="16">
        <f>Demand_SW!D$5/31</f>
        <v>0</v>
      </c>
      <c r="CQ71" s="16">
        <f>Demand_SW!E$5/31</f>
        <v>0</v>
      </c>
      <c r="CR71" s="16">
        <f>Demand_SW!F$5/31</f>
        <v>0</v>
      </c>
      <c r="CS71" s="16">
        <f>Demand_SW!G$5/31</f>
        <v>138.70967741935485</v>
      </c>
      <c r="CT71" s="16">
        <f>Demand_SW!H$5/31</f>
        <v>29.776674937965261</v>
      </c>
      <c r="CU71" s="16">
        <f>Demand_SW!I$5/31</f>
        <v>0</v>
      </c>
      <c r="CV71" s="16">
        <f>Demand_SW!J$5/31</f>
        <v>0</v>
      </c>
      <c r="CW71" s="16">
        <f>Demand_SW!K$5/31</f>
        <v>0</v>
      </c>
      <c r="CX71" s="16">
        <f t="shared" si="56"/>
        <v>-3224.6153846153857</v>
      </c>
      <c r="CY71" s="16">
        <f t="shared" si="57"/>
        <v>732.00992555831272</v>
      </c>
      <c r="CZ71" s="16">
        <f t="shared" si="58"/>
        <v>0</v>
      </c>
      <c r="DA71" s="16">
        <f t="shared" si="59"/>
        <v>0</v>
      </c>
      <c r="DB71" s="16">
        <f t="shared" si="60"/>
        <v>0</v>
      </c>
      <c r="DC71" s="16">
        <f t="shared" si="61"/>
        <v>-2748.3870967741873</v>
      </c>
      <c r="DD71" s="16">
        <f t="shared" si="62"/>
        <v>732.00992555831272</v>
      </c>
      <c r="DE71" s="16">
        <f t="shared" si="63"/>
        <v>0</v>
      </c>
      <c r="DF71" s="16">
        <f t="shared" si="64"/>
        <v>0</v>
      </c>
      <c r="DG71" s="16">
        <f t="shared" si="65"/>
        <v>0</v>
      </c>
      <c r="DH71" s="14">
        <f>IF([1]Sheet2!DS70=999999,"NA",[1]Sheet2!DS70)</f>
        <v>0</v>
      </c>
      <c r="DI71" s="14">
        <f>IF([1]Sheet2!DT70=999999,"NA",[1]Sheet2!DT70)</f>
        <v>297</v>
      </c>
      <c r="DJ71" s="14" t="str">
        <f>IF([1]Sheet2!DU70=999999,"NA",[1]Sheet2!DU70)</f>
        <v>NA</v>
      </c>
      <c r="DK71" s="14" t="str">
        <f>IF([1]Sheet2!DV70=999999,"NA",[1]Sheet2!DV70)</f>
        <v>NA</v>
      </c>
      <c r="DL71" s="14" t="str">
        <f>IF([1]Sheet2!DW70=999999,"NA",[1]Sheet2!DW70)</f>
        <v>NA</v>
      </c>
      <c r="DM71" s="14">
        <f>IF([1]Sheet2!DX70=999999,"NA",[1]Sheet2!DX70)</f>
        <v>0</v>
      </c>
      <c r="DN71" s="14">
        <f>IF([1]Sheet2!DY70=999999,"NA",[1]Sheet2!DY70)</f>
        <v>297</v>
      </c>
      <c r="DO71" s="14" t="str">
        <f>IF([1]Sheet2!DZ70=999999,"NA",[1]Sheet2!DZ70)</f>
        <v>NA</v>
      </c>
      <c r="DP71" s="14" t="str">
        <f>IF([1]Sheet2!EA70=999999,"NA",[1]Sheet2!EA70)</f>
        <v>NA</v>
      </c>
      <c r="DQ71" s="14" t="str">
        <f>IF([1]Sheet2!EB70=999999,"NA",[1]Sheet2!EB70)</f>
        <v>NA</v>
      </c>
      <c r="DR71" s="14">
        <f>[1]Sheet2!CY70</f>
        <v>0</v>
      </c>
      <c r="DS71" s="14">
        <f>[1]Sheet2!CZ70</f>
        <v>0</v>
      </c>
      <c r="DT71" s="14">
        <f>[1]Sheet2!DA70</f>
        <v>0</v>
      </c>
      <c r="DU71" s="14">
        <f>[1]Sheet2!DB70</f>
        <v>0</v>
      </c>
      <c r="DV71" s="14">
        <f>[1]Sheet2!DC70</f>
        <v>0</v>
      </c>
      <c r="DW71" s="14">
        <f>[1]Sheet2!DD70</f>
        <v>0</v>
      </c>
      <c r="DX71" s="14">
        <f>[1]Sheet2!DE70</f>
        <v>0</v>
      </c>
      <c r="DY71" s="14">
        <f>[1]Sheet2!DF70</f>
        <v>0</v>
      </c>
      <c r="DZ71" s="14">
        <f>[1]Sheet2!DG70</f>
        <v>0</v>
      </c>
      <c r="EA71" s="14">
        <f>[1]Sheet2!DH70</f>
        <v>0</v>
      </c>
      <c r="EB71" s="6">
        <f>[1]Sheet2!EC70</f>
        <v>0</v>
      </c>
      <c r="EC71" s="6">
        <f>[1]Sheet2!ED70</f>
        <v>0</v>
      </c>
      <c r="ED71" s="6">
        <f>[1]Sheet2!EE70</f>
        <v>0</v>
      </c>
      <c r="EE71" s="6">
        <f>[1]Sheet2!EF70</f>
        <v>0</v>
      </c>
      <c r="EF71" s="6">
        <f>[1]Sheet2!EG70</f>
        <v>0</v>
      </c>
      <c r="EG71" s="6">
        <f>[1]Sheet2!EH70</f>
        <v>0</v>
      </c>
      <c r="EH71" s="6">
        <f>[1]Sheet2!EI70</f>
        <v>0</v>
      </c>
      <c r="EI71" s="6">
        <f>[1]Sheet2!EJ70</f>
        <v>0</v>
      </c>
      <c r="EJ71" s="6">
        <f>[1]Sheet2!EK70</f>
        <v>0</v>
      </c>
      <c r="EK71" s="6">
        <f>[1]Sheet2!EL70</f>
        <v>0</v>
      </c>
      <c r="EL71" s="6" t="str">
        <f>[1]Sheet2!EM70</f>
        <v/>
      </c>
      <c r="EM71" s="6" t="str">
        <f>[1]Sheet2!EN70</f>
        <v/>
      </c>
      <c r="EN71" s="6" t="str">
        <f>[1]Sheet2!EO70</f>
        <v/>
      </c>
      <c r="EO71" s="6" t="str">
        <f>[1]Sheet2!EP70</f>
        <v/>
      </c>
      <c r="EP71" s="6" t="str">
        <f>[1]Sheet2!EQ70</f>
        <v/>
      </c>
      <c r="EQ71" s="6" t="str">
        <f>[1]Sheet2!ER70</f>
        <v/>
      </c>
      <c r="ER71" s="6" t="str">
        <f>[1]Sheet2!ES70</f>
        <v/>
      </c>
      <c r="ES71" s="6" t="str">
        <f>[1]Sheet2!ET70</f>
        <v/>
      </c>
      <c r="ET71" s="6" t="str">
        <f>[1]Sheet2!EU70</f>
        <v/>
      </c>
      <c r="EU71" s="6" t="str">
        <f>[1]Sheet2!EV70</f>
        <v/>
      </c>
      <c r="EV71" s="6" t="str">
        <f>[1]Sheet2!EW70</f>
        <v/>
      </c>
      <c r="EW71" s="6" t="str">
        <f>[1]Sheet2!EX70</f>
        <v/>
      </c>
      <c r="EX71" s="6" t="str">
        <f>[1]Sheet2!EY70</f>
        <v/>
      </c>
      <c r="EY71" s="6" t="str">
        <f>[1]Sheet2!EZ70</f>
        <v/>
      </c>
      <c r="EZ71" s="6" t="str">
        <f>[1]Sheet2!FA70</f>
        <v/>
      </c>
      <c r="FA71" s="6" t="str">
        <f>[1]Sheet2!FB70</f>
        <v/>
      </c>
      <c r="FB71" s="6" t="str">
        <f>[1]Sheet2!FC70</f>
        <v/>
      </c>
      <c r="FC71" s="6" t="str">
        <f>[1]Sheet2!FD70</f>
        <v/>
      </c>
      <c r="FD71" s="6" t="str">
        <f>[1]Sheet2!FE70</f>
        <v/>
      </c>
      <c r="FE71" s="6" t="str">
        <f>[1]Sheet2!FF70</f>
        <v/>
      </c>
      <c r="FF71" s="6" t="str">
        <f>[1]Sheet2!FG70</f>
        <v/>
      </c>
      <c r="FG71" s="6" t="str">
        <f>[1]Sheet2!FH70</f>
        <v/>
      </c>
      <c r="FH71" s="6" t="str">
        <f>[1]Sheet2!FI70</f>
        <v/>
      </c>
      <c r="FI71" s="6" t="str">
        <f>[1]Sheet2!FJ70</f>
        <v/>
      </c>
      <c r="FJ71" s="6" t="str">
        <f>[1]Sheet2!FK70</f>
        <v/>
      </c>
      <c r="FK71" s="6" t="str">
        <f>[1]Sheet2!FL70</f>
        <v/>
      </c>
      <c r="FL71" s="6" t="str">
        <f>[1]Sheet2!FM70</f>
        <v/>
      </c>
      <c r="FM71" s="6" t="str">
        <f>[1]Sheet2!FN70</f>
        <v/>
      </c>
      <c r="FN71" s="6" t="str">
        <f>[1]Sheet2!FO70</f>
        <v/>
      </c>
      <c r="FO71" s="6" t="str">
        <f>[1]Sheet2!FP70</f>
        <v/>
      </c>
    </row>
    <row r="72" spans="1:171" x14ac:dyDescent="0.25">
      <c r="A72" s="15">
        <v>43534</v>
      </c>
      <c r="B72" s="1"/>
      <c r="C72" s="1"/>
      <c r="D72" s="1"/>
      <c r="E72" s="14">
        <f>[1]Sheet2!N71</f>
        <v>0</v>
      </c>
      <c r="F72" s="14">
        <f>[1]Sheet2!BE71</f>
        <v>0</v>
      </c>
      <c r="G72" s="14">
        <f>[1]Sheet2!CW71</f>
        <v>0</v>
      </c>
      <c r="H72" s="1"/>
      <c r="I72" s="1"/>
      <c r="J72" s="1"/>
      <c r="K72" s="16"/>
      <c r="L72" s="16">
        <f>Demand_CWRS!B$5/31</f>
        <v>131.679370700757</v>
      </c>
      <c r="M72" s="16">
        <f>Demand_CWRS!C$5/31</f>
        <v>537.20942928039699</v>
      </c>
      <c r="N72" s="16">
        <f>Demand_CWRS!D$5/31</f>
        <v>0</v>
      </c>
      <c r="O72" s="16">
        <f>Demand_CWRS!E$5/31</f>
        <v>121.5961418056559</v>
      </c>
      <c r="P72" s="16">
        <f>Demand_CWRS!F$5/31</f>
        <v>245.08227837631262</v>
      </c>
      <c r="Q72" s="16">
        <f>Demand_CWRS!G$5/31</f>
        <v>131.679370700757</v>
      </c>
      <c r="R72" s="16">
        <f>Demand_CWRS!H$5/31</f>
        <v>245.08227837631262</v>
      </c>
      <c r="S72" s="16">
        <f>Demand_CWRS!I$5/31</f>
        <v>245.08227837631262</v>
      </c>
      <c r="T72" s="16">
        <f>Demand_CWRS!J$5/31</f>
        <v>245.08227837631262</v>
      </c>
      <c r="U72" s="16">
        <f>Demand_CWRS!K$5/31</f>
        <v>245.08227837631262</v>
      </c>
      <c r="V72" s="16">
        <f t="shared" si="36"/>
        <v>-7713.7375171037302</v>
      </c>
      <c r="W72" s="16">
        <f t="shared" si="37"/>
        <v>-21900.725062034722</v>
      </c>
      <c r="X72" s="16">
        <f t="shared" si="38"/>
        <v>0</v>
      </c>
      <c r="Y72" s="16">
        <f t="shared" si="39"/>
        <v>1074.1142229690904</v>
      </c>
      <c r="Z72" s="16">
        <f t="shared" si="40"/>
        <v>-10962.789370301587</v>
      </c>
      <c r="AA72" s="16">
        <f t="shared" si="41"/>
        <v>-6496.793707007575</v>
      </c>
      <c r="AB72" s="16">
        <f t="shared" si="42"/>
        <v>-15443.833040173375</v>
      </c>
      <c r="AC72" s="16">
        <f t="shared" si="43"/>
        <v>-9650.8227837631293</v>
      </c>
      <c r="AD72" s="16">
        <f t="shared" si="44"/>
        <v>-9750.8227837631221</v>
      </c>
      <c r="AE72" s="16">
        <f t="shared" si="45"/>
        <v>-10350.822783763126</v>
      </c>
      <c r="AF72" s="14">
        <f>IF([1]Sheet2!AJ71=999999,"NA",[1]Sheet2!AJ71)</f>
        <v>0</v>
      </c>
      <c r="AG72" s="14">
        <f>IF([1]Sheet2!AK71=999999,"NA",[1]Sheet2!AK71)</f>
        <v>0</v>
      </c>
      <c r="AH72" s="14" t="str">
        <f>IF([1]Sheet2!AL71=999999,"NA",[1]Sheet2!AL71)</f>
        <v>NA</v>
      </c>
      <c r="AI72" s="14">
        <f>IF([1]Sheet2!AM71=999999,"NA",[1]Sheet2!AM71)</f>
        <v>8</v>
      </c>
      <c r="AJ72" s="14">
        <f>IF([1]Sheet2!AN71=999999,"NA",[1]Sheet2!AN71)</f>
        <v>0</v>
      </c>
      <c r="AK72" s="14">
        <f>IF([1]Sheet2!AO71=999999,"NA",[1]Sheet2!AO71)</f>
        <v>0</v>
      </c>
      <c r="AL72" s="14">
        <f>IF([1]Sheet2!AP71=999999,"NA",[1]Sheet2!AP71)</f>
        <v>0</v>
      </c>
      <c r="AM72" s="14">
        <f>IF([1]Sheet2!AQ71=999999,"NA",[1]Sheet2!AQ71)</f>
        <v>0</v>
      </c>
      <c r="AN72" s="14">
        <f>IF([1]Sheet2!AR71=999999,"NA",[1]Sheet2!AR71)</f>
        <v>0</v>
      </c>
      <c r="AO72" s="14">
        <f>IF([1]Sheet2!AS71=999999,"NA",[1]Sheet2!AS71)</f>
        <v>0</v>
      </c>
      <c r="AP72" s="14">
        <f>[1]Sheet2!P71</f>
        <v>0</v>
      </c>
      <c r="AQ72" s="14">
        <f>[1]Sheet2!Q71</f>
        <v>0</v>
      </c>
      <c r="AR72" s="14">
        <f>[1]Sheet2!R71</f>
        <v>0</v>
      </c>
      <c r="AS72" s="14">
        <f>[1]Sheet2!S71</f>
        <v>0</v>
      </c>
      <c r="AT72" s="14">
        <f>[1]Sheet2!T71</f>
        <v>0</v>
      </c>
      <c r="AU72" s="14">
        <f>[1]Sheet2!U71</f>
        <v>0</v>
      </c>
      <c r="AV72" s="14">
        <f>[1]Sheet2!V71</f>
        <v>0</v>
      </c>
      <c r="AW72" s="14">
        <f>[1]Sheet2!W71</f>
        <v>0</v>
      </c>
      <c r="AX72" s="14">
        <f>[1]Sheet2!X71</f>
        <v>0</v>
      </c>
      <c r="AY72" s="14">
        <f>[1]Sheet2!Y71</f>
        <v>0</v>
      </c>
      <c r="AZ72" s="16">
        <f>Demand_LP!B$5/31</f>
        <v>754.78140345091151</v>
      </c>
      <c r="BA72" s="16">
        <f>Demand_LP!C$5/31</f>
        <v>547.55235732009919</v>
      </c>
      <c r="BB72" s="16">
        <f>Demand_LP!D$5/31</f>
        <v>312.75612076095945</v>
      </c>
      <c r="BC72" s="16">
        <f>Demand_LP!E$5/31</f>
        <v>772.29437499345636</v>
      </c>
      <c r="BD72" s="16">
        <f>Demand_LP!F$5/31</f>
        <v>471.74248526347748</v>
      </c>
      <c r="BE72" s="16">
        <f>Demand_LP!G$5/31</f>
        <v>451.61290322580646</v>
      </c>
      <c r="BF72" s="16">
        <f>Demand_LP!H$5/31</f>
        <v>547.55235732009919</v>
      </c>
      <c r="BG72" s="16">
        <f>Demand_LP!I$5/31</f>
        <v>451.61290322580646</v>
      </c>
      <c r="BH72" s="16">
        <f>Demand_LP!J$5/31</f>
        <v>451.61290322580646</v>
      </c>
      <c r="BI72" s="16">
        <f>Demand_LP!K$5/31</f>
        <v>451.61290322580646</v>
      </c>
      <c r="BJ72" s="16">
        <f t="shared" si="46"/>
        <v>-35851.615256464254</v>
      </c>
      <c r="BK72" s="16">
        <f t="shared" si="47"/>
        <v>-34117.944086021467</v>
      </c>
      <c r="BL72" s="16">
        <f t="shared" si="48"/>
        <v>-8206.0868486352392</v>
      </c>
      <c r="BM72" s="16">
        <f t="shared" si="49"/>
        <v>-40588.365544806366</v>
      </c>
      <c r="BN72" s="16">
        <f t="shared" si="50"/>
        <v>-23535.723891096295</v>
      </c>
      <c r="BO72" s="16">
        <f t="shared" si="51"/>
        <v>-22416.129032258064</v>
      </c>
      <c r="BP72" s="16">
        <f t="shared" si="52"/>
        <v>-28475.523573201001</v>
      </c>
      <c r="BQ72" s="16">
        <f t="shared" si="53"/>
        <v>-22416.129032258064</v>
      </c>
      <c r="BR72" s="16">
        <f t="shared" si="54"/>
        <v>-20016.129032258064</v>
      </c>
      <c r="BS72" s="16">
        <f t="shared" si="55"/>
        <v>-20716.129032258057</v>
      </c>
      <c r="BT72" s="14">
        <f>IF([1]Sheet2!CB71=999999,"NA",[1]Sheet2!CB71)</f>
        <v>0</v>
      </c>
      <c r="BU72" s="14">
        <f>IF([1]Sheet2!CC71=999999,"NA",[1]Sheet2!CC71)</f>
        <v>0</v>
      </c>
      <c r="BV72" s="14">
        <f>IF([1]Sheet2!CD71=999999,"NA",[1]Sheet2!CD71)</f>
        <v>0</v>
      </c>
      <c r="BW72" s="14">
        <f>IF([1]Sheet2!CE71=999999,"NA",[1]Sheet2!CE71)</f>
        <v>0</v>
      </c>
      <c r="BX72" s="14">
        <f>IF([1]Sheet2!CF71=999999,"NA",[1]Sheet2!CF71)</f>
        <v>0</v>
      </c>
      <c r="BY72" s="14">
        <f>IF([1]Sheet2!CG71=999999,"NA",[1]Sheet2!CG71)</f>
        <v>0</v>
      </c>
      <c r="BZ72" s="14">
        <f>IF([1]Sheet2!CH71=999999,"NA",[1]Sheet2!CH71)</f>
        <v>0</v>
      </c>
      <c r="CA72" s="14">
        <f>IF([1]Sheet2!CI71=999999,"NA",[1]Sheet2!CI71)</f>
        <v>0</v>
      </c>
      <c r="CB72" s="14">
        <f>IF([1]Sheet2!CJ71=999999,"NA",[1]Sheet2!CJ71)</f>
        <v>0</v>
      </c>
      <c r="CC72" s="14">
        <f>IF([1]Sheet2!CK71=999999,"NA",[1]Sheet2!CK71)</f>
        <v>0</v>
      </c>
      <c r="CD72" s="14">
        <f>[1]Sheet2!BH71</f>
        <v>0</v>
      </c>
      <c r="CE72" s="14">
        <f>[1]Sheet2!BI71</f>
        <v>0</v>
      </c>
      <c r="CF72" s="14">
        <f>[1]Sheet2!BJ71</f>
        <v>0</v>
      </c>
      <c r="CG72" s="14">
        <f>[1]Sheet2!BK71</f>
        <v>0</v>
      </c>
      <c r="CH72" s="14">
        <f>[1]Sheet2!BL71</f>
        <v>0</v>
      </c>
      <c r="CI72" s="14">
        <f>[1]Sheet2!BM71</f>
        <v>0</v>
      </c>
      <c r="CJ72" s="14">
        <f>[1]Sheet2!BN71</f>
        <v>0</v>
      </c>
      <c r="CK72" s="14">
        <f>[1]Sheet2!BO71</f>
        <v>0</v>
      </c>
      <c r="CL72" s="14">
        <f>[1]Sheet2!BP71</f>
        <v>0</v>
      </c>
      <c r="CM72" s="14">
        <f>[1]Sheet2!BQ71</f>
        <v>0</v>
      </c>
      <c r="CN72" s="16">
        <f>Demand_SW!B$5/31</f>
        <v>138.46153846153845</v>
      </c>
      <c r="CO72" s="16">
        <f>Demand_SW!C$5/31</f>
        <v>29.776674937965261</v>
      </c>
      <c r="CP72" s="16">
        <f>Demand_SW!D$5/31</f>
        <v>0</v>
      </c>
      <c r="CQ72" s="16">
        <f>Demand_SW!E$5/31</f>
        <v>0</v>
      </c>
      <c r="CR72" s="16">
        <f>Demand_SW!F$5/31</f>
        <v>0</v>
      </c>
      <c r="CS72" s="16">
        <f>Demand_SW!G$5/31</f>
        <v>138.70967741935485</v>
      </c>
      <c r="CT72" s="16">
        <f>Demand_SW!H$5/31</f>
        <v>29.776674937965261</v>
      </c>
      <c r="CU72" s="16">
        <f>Demand_SW!I$5/31</f>
        <v>0</v>
      </c>
      <c r="CV72" s="16">
        <f>Demand_SW!J$5/31</f>
        <v>0</v>
      </c>
      <c r="CW72" s="16">
        <f>Demand_SW!K$5/31</f>
        <v>0</v>
      </c>
      <c r="CX72" s="16">
        <f t="shared" si="56"/>
        <v>-3363.0769230769242</v>
      </c>
      <c r="CY72" s="16">
        <f t="shared" si="57"/>
        <v>702.23325062034746</v>
      </c>
      <c r="CZ72" s="16">
        <f t="shared" si="58"/>
        <v>0</v>
      </c>
      <c r="DA72" s="16">
        <f t="shared" si="59"/>
        <v>0</v>
      </c>
      <c r="DB72" s="16">
        <f t="shared" si="60"/>
        <v>0</v>
      </c>
      <c r="DC72" s="16">
        <f t="shared" si="61"/>
        <v>-2887.0967741935419</v>
      </c>
      <c r="DD72" s="16">
        <f t="shared" si="62"/>
        <v>702.23325062034746</v>
      </c>
      <c r="DE72" s="16">
        <f t="shared" si="63"/>
        <v>0</v>
      </c>
      <c r="DF72" s="16">
        <f t="shared" si="64"/>
        <v>0</v>
      </c>
      <c r="DG72" s="16">
        <f t="shared" si="65"/>
        <v>0</v>
      </c>
      <c r="DH72" s="14">
        <f>IF([1]Sheet2!DS71=999999,"NA",[1]Sheet2!DS71)</f>
        <v>0</v>
      </c>
      <c r="DI72" s="14">
        <f>IF([1]Sheet2!DT71=999999,"NA",[1]Sheet2!DT71)</f>
        <v>296</v>
      </c>
      <c r="DJ72" s="14" t="str">
        <f>IF([1]Sheet2!DU71=999999,"NA",[1]Sheet2!DU71)</f>
        <v>NA</v>
      </c>
      <c r="DK72" s="14" t="str">
        <f>IF([1]Sheet2!DV71=999999,"NA",[1]Sheet2!DV71)</f>
        <v>NA</v>
      </c>
      <c r="DL72" s="14" t="str">
        <f>IF([1]Sheet2!DW71=999999,"NA",[1]Sheet2!DW71)</f>
        <v>NA</v>
      </c>
      <c r="DM72" s="14">
        <f>IF([1]Sheet2!DX71=999999,"NA",[1]Sheet2!DX71)</f>
        <v>0</v>
      </c>
      <c r="DN72" s="14">
        <f>IF([1]Sheet2!DY71=999999,"NA",[1]Sheet2!DY71)</f>
        <v>296</v>
      </c>
      <c r="DO72" s="14" t="str">
        <f>IF([1]Sheet2!DZ71=999999,"NA",[1]Sheet2!DZ71)</f>
        <v>NA</v>
      </c>
      <c r="DP72" s="14" t="str">
        <f>IF([1]Sheet2!EA71=999999,"NA",[1]Sheet2!EA71)</f>
        <v>NA</v>
      </c>
      <c r="DQ72" s="14" t="str">
        <f>IF([1]Sheet2!EB71=999999,"NA",[1]Sheet2!EB71)</f>
        <v>NA</v>
      </c>
      <c r="DR72" s="14">
        <f>[1]Sheet2!CY71</f>
        <v>0</v>
      </c>
      <c r="DS72" s="14">
        <f>[1]Sheet2!CZ71</f>
        <v>0</v>
      </c>
      <c r="DT72" s="14">
        <f>[1]Sheet2!DA71</f>
        <v>0</v>
      </c>
      <c r="DU72" s="14">
        <f>[1]Sheet2!DB71</f>
        <v>0</v>
      </c>
      <c r="DV72" s="14">
        <f>[1]Sheet2!DC71</f>
        <v>0</v>
      </c>
      <c r="DW72" s="14">
        <f>[1]Sheet2!DD71</f>
        <v>0</v>
      </c>
      <c r="DX72" s="14">
        <f>[1]Sheet2!DE71</f>
        <v>0</v>
      </c>
      <c r="DY72" s="14">
        <f>[1]Sheet2!DF71</f>
        <v>0</v>
      </c>
      <c r="DZ72" s="14">
        <f>[1]Sheet2!DG71</f>
        <v>0</v>
      </c>
      <c r="EA72" s="14">
        <f>[1]Sheet2!DH71</f>
        <v>0</v>
      </c>
      <c r="EB72" s="6">
        <f>[1]Sheet2!EC71</f>
        <v>0</v>
      </c>
      <c r="EC72" s="6">
        <f>[1]Sheet2!ED71</f>
        <v>0</v>
      </c>
      <c r="ED72" s="6">
        <f>[1]Sheet2!EE71</f>
        <v>0</v>
      </c>
      <c r="EE72" s="6">
        <f>[1]Sheet2!EF71</f>
        <v>0</v>
      </c>
      <c r="EF72" s="6">
        <f>[1]Sheet2!EG71</f>
        <v>0</v>
      </c>
      <c r="EG72" s="6">
        <f>[1]Sheet2!EH71</f>
        <v>0</v>
      </c>
      <c r="EH72" s="6">
        <f>[1]Sheet2!EI71</f>
        <v>0</v>
      </c>
      <c r="EI72" s="6">
        <f>[1]Sheet2!EJ71</f>
        <v>0</v>
      </c>
      <c r="EJ72" s="6">
        <f>[1]Sheet2!EK71</f>
        <v>0</v>
      </c>
      <c r="EK72" s="6">
        <f>[1]Sheet2!EL71</f>
        <v>0</v>
      </c>
      <c r="EL72" s="6" t="str">
        <f>[1]Sheet2!EM71</f>
        <v/>
      </c>
      <c r="EM72" s="6" t="str">
        <f>[1]Sheet2!EN71</f>
        <v/>
      </c>
      <c r="EN72" s="6" t="str">
        <f>[1]Sheet2!EO71</f>
        <v/>
      </c>
      <c r="EO72" s="6" t="str">
        <f>[1]Sheet2!EP71</f>
        <v/>
      </c>
      <c r="EP72" s="6" t="str">
        <f>[1]Sheet2!EQ71</f>
        <v/>
      </c>
      <c r="EQ72" s="6" t="str">
        <f>[1]Sheet2!ER71</f>
        <v/>
      </c>
      <c r="ER72" s="6" t="str">
        <f>[1]Sheet2!ES71</f>
        <v/>
      </c>
      <c r="ES72" s="6" t="str">
        <f>[1]Sheet2!ET71</f>
        <v/>
      </c>
      <c r="ET72" s="6" t="str">
        <f>[1]Sheet2!EU71</f>
        <v/>
      </c>
      <c r="EU72" s="6" t="str">
        <f>[1]Sheet2!EV71</f>
        <v/>
      </c>
      <c r="EV72" s="6" t="str">
        <f>[1]Sheet2!EW71</f>
        <v/>
      </c>
      <c r="EW72" s="6" t="str">
        <f>[1]Sheet2!EX71</f>
        <v/>
      </c>
      <c r="EX72" s="6" t="str">
        <f>[1]Sheet2!EY71</f>
        <v/>
      </c>
      <c r="EY72" s="6" t="str">
        <f>[1]Sheet2!EZ71</f>
        <v/>
      </c>
      <c r="EZ72" s="6" t="str">
        <f>[1]Sheet2!FA71</f>
        <v/>
      </c>
      <c r="FA72" s="6" t="str">
        <f>[1]Sheet2!FB71</f>
        <v/>
      </c>
      <c r="FB72" s="6" t="str">
        <f>[1]Sheet2!FC71</f>
        <v/>
      </c>
      <c r="FC72" s="6" t="str">
        <f>[1]Sheet2!FD71</f>
        <v/>
      </c>
      <c r="FD72" s="6" t="str">
        <f>[1]Sheet2!FE71</f>
        <v/>
      </c>
      <c r="FE72" s="6" t="str">
        <f>[1]Sheet2!FF71</f>
        <v/>
      </c>
      <c r="FF72" s="6" t="str">
        <f>[1]Sheet2!FG71</f>
        <v/>
      </c>
      <c r="FG72" s="6" t="str">
        <f>[1]Sheet2!FH71</f>
        <v/>
      </c>
      <c r="FH72" s="6" t="str">
        <f>[1]Sheet2!FI71</f>
        <v/>
      </c>
      <c r="FI72" s="6" t="str">
        <f>[1]Sheet2!FJ71</f>
        <v/>
      </c>
      <c r="FJ72" s="6" t="str">
        <f>[1]Sheet2!FK71</f>
        <v/>
      </c>
      <c r="FK72" s="6" t="str">
        <f>[1]Sheet2!FL71</f>
        <v/>
      </c>
      <c r="FL72" s="6" t="str">
        <f>[1]Sheet2!FM71</f>
        <v/>
      </c>
      <c r="FM72" s="6" t="str">
        <f>[1]Sheet2!FN71</f>
        <v/>
      </c>
      <c r="FN72" s="6" t="str">
        <f>[1]Sheet2!FO71</f>
        <v/>
      </c>
      <c r="FO72" s="6" t="str">
        <f>[1]Sheet2!FP71</f>
        <v/>
      </c>
    </row>
    <row r="73" spans="1:171" x14ac:dyDescent="0.25">
      <c r="A73" s="15">
        <v>43535</v>
      </c>
      <c r="B73" s="1"/>
      <c r="C73" s="1"/>
      <c r="D73" s="1"/>
      <c r="E73" s="14">
        <f>[1]Sheet2!N72</f>
        <v>48000</v>
      </c>
      <c r="F73" s="14">
        <f>[1]Sheet2!BE72</f>
        <v>0</v>
      </c>
      <c r="G73" s="14">
        <f>[1]Sheet2!CW72</f>
        <v>0</v>
      </c>
      <c r="H73" s="1"/>
      <c r="I73" s="1"/>
      <c r="J73" s="1"/>
      <c r="K73" s="16"/>
      <c r="L73" s="16">
        <f>Demand_CWRS!B$5/31</f>
        <v>131.679370700757</v>
      </c>
      <c r="M73" s="16">
        <f>Demand_CWRS!C$5/31</f>
        <v>537.20942928039699</v>
      </c>
      <c r="N73" s="16">
        <f>Demand_CWRS!D$5/31</f>
        <v>0</v>
      </c>
      <c r="O73" s="16">
        <f>Demand_CWRS!E$5/31</f>
        <v>121.5961418056559</v>
      </c>
      <c r="P73" s="16">
        <f>Demand_CWRS!F$5/31</f>
        <v>245.08227837631262</v>
      </c>
      <c r="Q73" s="16">
        <f>Demand_CWRS!G$5/31</f>
        <v>131.679370700757</v>
      </c>
      <c r="R73" s="16">
        <f>Demand_CWRS!H$5/31</f>
        <v>245.08227837631262</v>
      </c>
      <c r="S73" s="16">
        <f>Demand_CWRS!I$5/31</f>
        <v>245.08227837631262</v>
      </c>
      <c r="T73" s="16">
        <f>Demand_CWRS!J$5/31</f>
        <v>245.08227837631262</v>
      </c>
      <c r="U73" s="16">
        <f>Demand_CWRS!K$5/31</f>
        <v>245.08227837631262</v>
      </c>
      <c r="V73" s="16">
        <f t="shared" si="36"/>
        <v>-7845.4168878044875</v>
      </c>
      <c r="W73" s="16">
        <f t="shared" si="37"/>
        <v>-22437.934491315118</v>
      </c>
      <c r="X73" s="16">
        <f t="shared" si="38"/>
        <v>0</v>
      </c>
      <c r="Y73" s="16">
        <f t="shared" si="39"/>
        <v>952.51808116343454</v>
      </c>
      <c r="Z73" s="16">
        <f t="shared" si="40"/>
        <v>-11207.871648677899</v>
      </c>
      <c r="AA73" s="16">
        <f t="shared" si="41"/>
        <v>-6628.4730777083323</v>
      </c>
      <c r="AB73" s="16">
        <f t="shared" si="42"/>
        <v>-15688.915318549687</v>
      </c>
      <c r="AC73" s="16">
        <f t="shared" si="43"/>
        <v>-9895.9050621394417</v>
      </c>
      <c r="AD73" s="16">
        <f t="shared" si="44"/>
        <v>-9995.9050621394344</v>
      </c>
      <c r="AE73" s="16">
        <f t="shared" si="45"/>
        <v>-10595.905062139438</v>
      </c>
      <c r="AF73" s="14">
        <f>IF([1]Sheet2!AJ72=999999,"NA",[1]Sheet2!AJ72)</f>
        <v>0</v>
      </c>
      <c r="AG73" s="14">
        <f>IF([1]Sheet2!AK72=999999,"NA",[1]Sheet2!AK72)</f>
        <v>0</v>
      </c>
      <c r="AH73" s="14" t="str">
        <f>IF([1]Sheet2!AL72=999999,"NA",[1]Sheet2!AL72)</f>
        <v>NA</v>
      </c>
      <c r="AI73" s="14">
        <f>IF([1]Sheet2!AM72=999999,"NA",[1]Sheet2!AM72)</f>
        <v>7</v>
      </c>
      <c r="AJ73" s="14">
        <f>IF([1]Sheet2!AN72=999999,"NA",[1]Sheet2!AN72)</f>
        <v>0</v>
      </c>
      <c r="AK73" s="14">
        <f>IF([1]Sheet2!AO72=999999,"NA",[1]Sheet2!AO72)</f>
        <v>0</v>
      </c>
      <c r="AL73" s="14">
        <f>IF([1]Sheet2!AP72=999999,"NA",[1]Sheet2!AP72)</f>
        <v>0</v>
      </c>
      <c r="AM73" s="14">
        <f>IF([1]Sheet2!AQ72=999999,"NA",[1]Sheet2!AQ72)</f>
        <v>0</v>
      </c>
      <c r="AN73" s="14">
        <f>IF([1]Sheet2!AR72=999999,"NA",[1]Sheet2!AR72)</f>
        <v>0</v>
      </c>
      <c r="AO73" s="14">
        <f>IF([1]Sheet2!AS72=999999,"NA",[1]Sheet2!AS72)</f>
        <v>0</v>
      </c>
      <c r="AP73" s="14">
        <f>[1]Sheet2!P72</f>
        <v>0</v>
      </c>
      <c r="AQ73" s="14">
        <f>[1]Sheet2!Q72</f>
        <v>0</v>
      </c>
      <c r="AR73" s="14">
        <f>[1]Sheet2!R72</f>
        <v>0</v>
      </c>
      <c r="AS73" s="14">
        <f>[1]Sheet2!S72</f>
        <v>0</v>
      </c>
      <c r="AT73" s="14">
        <f>[1]Sheet2!T72</f>
        <v>0</v>
      </c>
      <c r="AU73" s="14">
        <f>[1]Sheet2!U72</f>
        <v>0</v>
      </c>
      <c r="AV73" s="14">
        <f>[1]Sheet2!V72</f>
        <v>0</v>
      </c>
      <c r="AW73" s="14">
        <f>[1]Sheet2!W72</f>
        <v>0</v>
      </c>
      <c r="AX73" s="14">
        <f>[1]Sheet2!X72</f>
        <v>0</v>
      </c>
      <c r="AY73" s="14">
        <f>[1]Sheet2!Y72</f>
        <v>0</v>
      </c>
      <c r="AZ73" s="16">
        <f>Demand_LP!B$5/31</f>
        <v>754.78140345091151</v>
      </c>
      <c r="BA73" s="16">
        <f>Demand_LP!C$5/31</f>
        <v>547.55235732009919</v>
      </c>
      <c r="BB73" s="16">
        <f>Demand_LP!D$5/31</f>
        <v>312.75612076095945</v>
      </c>
      <c r="BC73" s="16">
        <f>Demand_LP!E$5/31</f>
        <v>772.29437499345636</v>
      </c>
      <c r="BD73" s="16">
        <f>Demand_LP!F$5/31</f>
        <v>471.74248526347748</v>
      </c>
      <c r="BE73" s="16">
        <f>Demand_LP!G$5/31</f>
        <v>451.61290322580646</v>
      </c>
      <c r="BF73" s="16">
        <f>Demand_LP!H$5/31</f>
        <v>547.55235732009919</v>
      </c>
      <c r="BG73" s="16">
        <f>Demand_LP!I$5/31</f>
        <v>451.61290322580646</v>
      </c>
      <c r="BH73" s="16">
        <f>Demand_LP!J$5/31</f>
        <v>451.61290322580646</v>
      </c>
      <c r="BI73" s="16">
        <f>Demand_LP!K$5/31</f>
        <v>451.61290322580646</v>
      </c>
      <c r="BJ73" s="16">
        <f t="shared" si="46"/>
        <v>-36606.396659915168</v>
      </c>
      <c r="BK73" s="16">
        <f t="shared" si="47"/>
        <v>-34665.496443341566</v>
      </c>
      <c r="BL73" s="16">
        <f t="shared" si="48"/>
        <v>-8518.8429693961989</v>
      </c>
      <c r="BM73" s="16">
        <f t="shared" si="49"/>
        <v>-41360.659919799822</v>
      </c>
      <c r="BN73" s="16">
        <f t="shared" si="50"/>
        <v>-24007.466376359771</v>
      </c>
      <c r="BO73" s="16">
        <f t="shared" si="51"/>
        <v>-22867.741935483871</v>
      </c>
      <c r="BP73" s="16">
        <f t="shared" si="52"/>
        <v>-29023.0759305211</v>
      </c>
      <c r="BQ73" s="16">
        <f t="shared" si="53"/>
        <v>-22867.741935483871</v>
      </c>
      <c r="BR73" s="16">
        <f t="shared" si="54"/>
        <v>-20467.741935483871</v>
      </c>
      <c r="BS73" s="16">
        <f t="shared" si="55"/>
        <v>-21167.741935483864</v>
      </c>
      <c r="BT73" s="14">
        <f>IF([1]Sheet2!CB72=999999,"NA",[1]Sheet2!CB72)</f>
        <v>0</v>
      </c>
      <c r="BU73" s="14">
        <f>IF([1]Sheet2!CC72=999999,"NA",[1]Sheet2!CC72)</f>
        <v>0</v>
      </c>
      <c r="BV73" s="14">
        <f>IF([1]Sheet2!CD72=999999,"NA",[1]Sheet2!CD72)</f>
        <v>0</v>
      </c>
      <c r="BW73" s="14">
        <f>IF([1]Sheet2!CE72=999999,"NA",[1]Sheet2!CE72)</f>
        <v>0</v>
      </c>
      <c r="BX73" s="14">
        <f>IF([1]Sheet2!CF72=999999,"NA",[1]Sheet2!CF72)</f>
        <v>0</v>
      </c>
      <c r="BY73" s="14">
        <f>IF([1]Sheet2!CG72=999999,"NA",[1]Sheet2!CG72)</f>
        <v>0</v>
      </c>
      <c r="BZ73" s="14">
        <f>IF([1]Sheet2!CH72=999999,"NA",[1]Sheet2!CH72)</f>
        <v>0</v>
      </c>
      <c r="CA73" s="14">
        <f>IF([1]Sheet2!CI72=999999,"NA",[1]Sheet2!CI72)</f>
        <v>0</v>
      </c>
      <c r="CB73" s="14">
        <f>IF([1]Sheet2!CJ72=999999,"NA",[1]Sheet2!CJ72)</f>
        <v>0</v>
      </c>
      <c r="CC73" s="14">
        <f>IF([1]Sheet2!CK72=999999,"NA",[1]Sheet2!CK72)</f>
        <v>0</v>
      </c>
      <c r="CD73" s="14">
        <f>[1]Sheet2!BH72</f>
        <v>0</v>
      </c>
      <c r="CE73" s="14">
        <f>[1]Sheet2!BI72</f>
        <v>0</v>
      </c>
      <c r="CF73" s="14">
        <f>[1]Sheet2!BJ72</f>
        <v>0</v>
      </c>
      <c r="CG73" s="14">
        <f>[1]Sheet2!BK72</f>
        <v>0</v>
      </c>
      <c r="CH73" s="14">
        <f>[1]Sheet2!BL72</f>
        <v>0</v>
      </c>
      <c r="CI73" s="14">
        <f>[1]Sheet2!BM72</f>
        <v>0</v>
      </c>
      <c r="CJ73" s="14">
        <f>[1]Sheet2!BN72</f>
        <v>0</v>
      </c>
      <c r="CK73" s="14">
        <f>[1]Sheet2!BO72</f>
        <v>0</v>
      </c>
      <c r="CL73" s="14">
        <f>[1]Sheet2!BP72</f>
        <v>0</v>
      </c>
      <c r="CM73" s="14">
        <f>[1]Sheet2!BQ72</f>
        <v>0</v>
      </c>
      <c r="CN73" s="16">
        <f>Demand_SW!B$5/31</f>
        <v>138.46153846153845</v>
      </c>
      <c r="CO73" s="16">
        <f>Demand_SW!C$5/31</f>
        <v>29.776674937965261</v>
      </c>
      <c r="CP73" s="16">
        <f>Demand_SW!D$5/31</f>
        <v>0</v>
      </c>
      <c r="CQ73" s="16">
        <f>Demand_SW!E$5/31</f>
        <v>0</v>
      </c>
      <c r="CR73" s="16">
        <f>Demand_SW!F$5/31</f>
        <v>0</v>
      </c>
      <c r="CS73" s="16">
        <f>Demand_SW!G$5/31</f>
        <v>138.70967741935485</v>
      </c>
      <c r="CT73" s="16">
        <f>Demand_SW!H$5/31</f>
        <v>29.776674937965261</v>
      </c>
      <c r="CU73" s="16">
        <f>Demand_SW!I$5/31</f>
        <v>0</v>
      </c>
      <c r="CV73" s="16">
        <f>Demand_SW!J$5/31</f>
        <v>0</v>
      </c>
      <c r="CW73" s="16">
        <f>Demand_SW!K$5/31</f>
        <v>0</v>
      </c>
      <c r="CX73" s="16">
        <f t="shared" si="56"/>
        <v>-3501.5384615384628</v>
      </c>
      <c r="CY73" s="16">
        <f t="shared" si="57"/>
        <v>672.45657568238221</v>
      </c>
      <c r="CZ73" s="16">
        <f t="shared" si="58"/>
        <v>0</v>
      </c>
      <c r="DA73" s="16">
        <f t="shared" si="59"/>
        <v>0</v>
      </c>
      <c r="DB73" s="16">
        <f t="shared" si="60"/>
        <v>0</v>
      </c>
      <c r="DC73" s="16">
        <f t="shared" si="61"/>
        <v>-3025.8064516128966</v>
      </c>
      <c r="DD73" s="16">
        <f t="shared" si="62"/>
        <v>672.45657568238221</v>
      </c>
      <c r="DE73" s="16">
        <f t="shared" si="63"/>
        <v>0</v>
      </c>
      <c r="DF73" s="16">
        <f t="shared" si="64"/>
        <v>0</v>
      </c>
      <c r="DG73" s="16">
        <f t="shared" si="65"/>
        <v>0</v>
      </c>
      <c r="DH73" s="14">
        <f>IF([1]Sheet2!DS72=999999,"NA",[1]Sheet2!DS72)</f>
        <v>0</v>
      </c>
      <c r="DI73" s="14">
        <f>IF([1]Sheet2!DT72=999999,"NA",[1]Sheet2!DT72)</f>
        <v>295</v>
      </c>
      <c r="DJ73" s="14" t="str">
        <f>IF([1]Sheet2!DU72=999999,"NA",[1]Sheet2!DU72)</f>
        <v>NA</v>
      </c>
      <c r="DK73" s="14" t="str">
        <f>IF([1]Sheet2!DV72=999999,"NA",[1]Sheet2!DV72)</f>
        <v>NA</v>
      </c>
      <c r="DL73" s="14" t="str">
        <f>IF([1]Sheet2!DW72=999999,"NA",[1]Sheet2!DW72)</f>
        <v>NA</v>
      </c>
      <c r="DM73" s="14">
        <f>IF([1]Sheet2!DX72=999999,"NA",[1]Sheet2!DX72)</f>
        <v>0</v>
      </c>
      <c r="DN73" s="14">
        <f>IF([1]Sheet2!DY72=999999,"NA",[1]Sheet2!DY72)</f>
        <v>295</v>
      </c>
      <c r="DO73" s="14" t="str">
        <f>IF([1]Sheet2!DZ72=999999,"NA",[1]Sheet2!DZ72)</f>
        <v>NA</v>
      </c>
      <c r="DP73" s="14" t="str">
        <f>IF([1]Sheet2!EA72=999999,"NA",[1]Sheet2!EA72)</f>
        <v>NA</v>
      </c>
      <c r="DQ73" s="14" t="str">
        <f>IF([1]Sheet2!EB72=999999,"NA",[1]Sheet2!EB72)</f>
        <v>NA</v>
      </c>
      <c r="DR73" s="14">
        <f>[1]Sheet2!CY72</f>
        <v>0</v>
      </c>
      <c r="DS73" s="14">
        <f>[1]Sheet2!CZ72</f>
        <v>0</v>
      </c>
      <c r="DT73" s="14">
        <f>[1]Sheet2!DA72</f>
        <v>0</v>
      </c>
      <c r="DU73" s="14">
        <f>[1]Sheet2!DB72</f>
        <v>0</v>
      </c>
      <c r="DV73" s="14">
        <f>[1]Sheet2!DC72</f>
        <v>0</v>
      </c>
      <c r="DW73" s="14">
        <f>[1]Sheet2!DD72</f>
        <v>0</v>
      </c>
      <c r="DX73" s="14">
        <f>[1]Sheet2!DE72</f>
        <v>0</v>
      </c>
      <c r="DY73" s="14">
        <f>[1]Sheet2!DF72</f>
        <v>0</v>
      </c>
      <c r="DZ73" s="14">
        <f>[1]Sheet2!DG72</f>
        <v>0</v>
      </c>
      <c r="EA73" s="14">
        <f>[1]Sheet2!DH72</f>
        <v>0</v>
      </c>
      <c r="EB73" s="6">
        <f>[1]Sheet2!EC72</f>
        <v>0</v>
      </c>
      <c r="EC73" s="6">
        <f>[1]Sheet2!ED72</f>
        <v>0</v>
      </c>
      <c r="ED73" s="6">
        <f>[1]Sheet2!EE72</f>
        <v>0</v>
      </c>
      <c r="EE73" s="6">
        <f>[1]Sheet2!EF72</f>
        <v>0</v>
      </c>
      <c r="EF73" s="6">
        <f>[1]Sheet2!EG72</f>
        <v>0</v>
      </c>
      <c r="EG73" s="6">
        <f>[1]Sheet2!EH72</f>
        <v>0</v>
      </c>
      <c r="EH73" s="6">
        <f>[1]Sheet2!EI72</f>
        <v>0</v>
      </c>
      <c r="EI73" s="6">
        <f>[1]Sheet2!EJ72</f>
        <v>0</v>
      </c>
      <c r="EJ73" s="6">
        <f>[1]Sheet2!EK72</f>
        <v>0</v>
      </c>
      <c r="EK73" s="6">
        <f>[1]Sheet2!EL72</f>
        <v>0</v>
      </c>
      <c r="EL73" s="6" t="str">
        <f>[1]Sheet2!EM72</f>
        <v/>
      </c>
      <c r="EM73" s="6" t="str">
        <f>[1]Sheet2!EN72</f>
        <v/>
      </c>
      <c r="EN73" s="6" t="str">
        <f>[1]Sheet2!EO72</f>
        <v/>
      </c>
      <c r="EO73" s="6" t="str">
        <f>[1]Sheet2!EP72</f>
        <v/>
      </c>
      <c r="EP73" s="6" t="str">
        <f>[1]Sheet2!EQ72</f>
        <v/>
      </c>
      <c r="EQ73" s="6" t="str">
        <f>[1]Sheet2!ER72</f>
        <v/>
      </c>
      <c r="ER73" s="6" t="str">
        <f>[1]Sheet2!ES72</f>
        <v/>
      </c>
      <c r="ES73" s="6" t="str">
        <f>[1]Sheet2!ET72</f>
        <v/>
      </c>
      <c r="ET73" s="6" t="str">
        <f>[1]Sheet2!EU72</f>
        <v/>
      </c>
      <c r="EU73" s="6" t="str">
        <f>[1]Sheet2!EV72</f>
        <v/>
      </c>
      <c r="EV73" s="6" t="str">
        <f>[1]Sheet2!EW72</f>
        <v/>
      </c>
      <c r="EW73" s="6" t="str">
        <f>[1]Sheet2!EX72</f>
        <v/>
      </c>
      <c r="EX73" s="6" t="str">
        <f>[1]Sheet2!EY72</f>
        <v/>
      </c>
      <c r="EY73" s="6" t="str">
        <f>[1]Sheet2!EZ72</f>
        <v/>
      </c>
      <c r="EZ73" s="6" t="str">
        <f>[1]Sheet2!FA72</f>
        <v/>
      </c>
      <c r="FA73" s="6" t="str">
        <f>[1]Sheet2!FB72</f>
        <v/>
      </c>
      <c r="FB73" s="6" t="str">
        <f>[1]Sheet2!FC72</f>
        <v/>
      </c>
      <c r="FC73" s="6" t="str">
        <f>[1]Sheet2!FD72</f>
        <v/>
      </c>
      <c r="FD73" s="6" t="str">
        <f>[1]Sheet2!FE72</f>
        <v/>
      </c>
      <c r="FE73" s="6" t="str">
        <f>[1]Sheet2!FF72</f>
        <v/>
      </c>
      <c r="FF73" s="6" t="str">
        <f>[1]Sheet2!FG72</f>
        <v/>
      </c>
      <c r="FG73" s="6" t="str">
        <f>[1]Sheet2!FH72</f>
        <v/>
      </c>
      <c r="FH73" s="6" t="str">
        <f>[1]Sheet2!FI72</f>
        <v/>
      </c>
      <c r="FI73" s="6" t="str">
        <f>[1]Sheet2!FJ72</f>
        <v/>
      </c>
      <c r="FJ73" s="6" t="str">
        <f>[1]Sheet2!FK72</f>
        <v/>
      </c>
      <c r="FK73" s="6" t="str">
        <f>[1]Sheet2!FL72</f>
        <v/>
      </c>
      <c r="FL73" s="6" t="str">
        <f>[1]Sheet2!FM72</f>
        <v/>
      </c>
      <c r="FM73" s="6" t="str">
        <f>[1]Sheet2!FN72</f>
        <v/>
      </c>
      <c r="FN73" s="6" t="str">
        <f>[1]Sheet2!FO72</f>
        <v/>
      </c>
      <c r="FO73" s="6" t="str">
        <f>[1]Sheet2!FP72</f>
        <v/>
      </c>
    </row>
    <row r="74" spans="1:171" x14ac:dyDescent="0.25">
      <c r="A74" s="15">
        <v>43536</v>
      </c>
      <c r="B74" s="1"/>
      <c r="C74" s="1"/>
      <c r="D74" s="1"/>
      <c r="E74" s="14">
        <f>[1]Sheet2!N73</f>
        <v>0</v>
      </c>
      <c r="F74" s="14">
        <f>[1]Sheet2!BE73</f>
        <v>48000</v>
      </c>
      <c r="G74" s="14">
        <f>[1]Sheet2!CW73</f>
        <v>0</v>
      </c>
      <c r="H74" s="1"/>
      <c r="I74" s="1"/>
      <c r="J74" s="1"/>
      <c r="K74" s="16"/>
      <c r="L74" s="16">
        <f>Demand_CWRS!B$5/31</f>
        <v>131.679370700757</v>
      </c>
      <c r="M74" s="16">
        <f>Demand_CWRS!C$5/31</f>
        <v>537.20942928039699</v>
      </c>
      <c r="N74" s="16">
        <f>Demand_CWRS!D$5/31</f>
        <v>0</v>
      </c>
      <c r="O74" s="16">
        <f>Demand_CWRS!E$5/31</f>
        <v>121.5961418056559</v>
      </c>
      <c r="P74" s="16">
        <f>Demand_CWRS!F$5/31</f>
        <v>245.08227837631262</v>
      </c>
      <c r="Q74" s="16">
        <f>Demand_CWRS!G$5/31</f>
        <v>131.679370700757</v>
      </c>
      <c r="R74" s="16">
        <f>Demand_CWRS!H$5/31</f>
        <v>245.08227837631262</v>
      </c>
      <c r="S74" s="16">
        <f>Demand_CWRS!I$5/31</f>
        <v>245.08227837631262</v>
      </c>
      <c r="T74" s="16">
        <f>Demand_CWRS!J$5/31</f>
        <v>245.08227837631262</v>
      </c>
      <c r="U74" s="16">
        <f>Demand_CWRS!K$5/31</f>
        <v>245.08227837631262</v>
      </c>
      <c r="V74" s="16">
        <f t="shared" si="36"/>
        <v>-7977.0962585052448</v>
      </c>
      <c r="W74" s="16">
        <f t="shared" si="37"/>
        <v>-22975.143920595514</v>
      </c>
      <c r="X74" s="16">
        <f t="shared" si="38"/>
        <v>0</v>
      </c>
      <c r="Y74" s="16">
        <f t="shared" si="39"/>
        <v>830.92193935777868</v>
      </c>
      <c r="Z74" s="16">
        <f t="shared" si="40"/>
        <v>-11452.953927054212</v>
      </c>
      <c r="AA74" s="16">
        <f t="shared" si="41"/>
        <v>-6760.1524484090896</v>
      </c>
      <c r="AB74" s="16">
        <f t="shared" si="42"/>
        <v>-15933.997596925999</v>
      </c>
      <c r="AC74" s="16">
        <f t="shared" si="43"/>
        <v>-10140.987340515754</v>
      </c>
      <c r="AD74" s="16">
        <f t="shared" si="44"/>
        <v>-10240.987340515747</v>
      </c>
      <c r="AE74" s="16">
        <f t="shared" si="45"/>
        <v>-10840.98734051575</v>
      </c>
      <c r="AF74" s="14">
        <f>IF([1]Sheet2!AJ73=999999,"NA",[1]Sheet2!AJ73)</f>
        <v>0</v>
      </c>
      <c r="AG74" s="14">
        <f>IF([1]Sheet2!AK73=999999,"NA",[1]Sheet2!AK73)</f>
        <v>0</v>
      </c>
      <c r="AH74" s="14" t="str">
        <f>IF([1]Sheet2!AL73=999999,"NA",[1]Sheet2!AL73)</f>
        <v>NA</v>
      </c>
      <c r="AI74" s="14">
        <f>IF([1]Sheet2!AM73=999999,"NA",[1]Sheet2!AM73)</f>
        <v>6</v>
      </c>
      <c r="AJ74" s="14">
        <f>IF([1]Sheet2!AN73=999999,"NA",[1]Sheet2!AN73)</f>
        <v>0</v>
      </c>
      <c r="AK74" s="14">
        <f>IF([1]Sheet2!AO73=999999,"NA",[1]Sheet2!AO73)</f>
        <v>0</v>
      </c>
      <c r="AL74" s="14">
        <f>IF([1]Sheet2!AP73=999999,"NA",[1]Sheet2!AP73)</f>
        <v>0</v>
      </c>
      <c r="AM74" s="14">
        <f>IF([1]Sheet2!AQ73=999999,"NA",[1]Sheet2!AQ73)</f>
        <v>0</v>
      </c>
      <c r="AN74" s="14">
        <f>IF([1]Sheet2!AR73=999999,"NA",[1]Sheet2!AR73)</f>
        <v>0</v>
      </c>
      <c r="AO74" s="14">
        <f>IF([1]Sheet2!AS73=999999,"NA",[1]Sheet2!AS73)</f>
        <v>0</v>
      </c>
      <c r="AP74" s="14">
        <f>[1]Sheet2!P73</f>
        <v>0</v>
      </c>
      <c r="AQ74" s="14">
        <f>[1]Sheet2!Q73</f>
        <v>0</v>
      </c>
      <c r="AR74" s="14">
        <f>[1]Sheet2!R73</f>
        <v>0</v>
      </c>
      <c r="AS74" s="14">
        <f>[1]Sheet2!S73</f>
        <v>0</v>
      </c>
      <c r="AT74" s="14">
        <f>[1]Sheet2!T73</f>
        <v>0</v>
      </c>
      <c r="AU74" s="14">
        <f>[1]Sheet2!U73</f>
        <v>0</v>
      </c>
      <c r="AV74" s="14">
        <f>[1]Sheet2!V73</f>
        <v>0</v>
      </c>
      <c r="AW74" s="14">
        <f>[1]Sheet2!W73</f>
        <v>0</v>
      </c>
      <c r="AX74" s="14">
        <f>[1]Sheet2!X73</f>
        <v>0</v>
      </c>
      <c r="AY74" s="14">
        <f>[1]Sheet2!Y73</f>
        <v>0</v>
      </c>
      <c r="AZ74" s="16">
        <f>Demand_LP!B$5/31</f>
        <v>754.78140345091151</v>
      </c>
      <c r="BA74" s="16">
        <f>Demand_LP!C$5/31</f>
        <v>547.55235732009919</v>
      </c>
      <c r="BB74" s="16">
        <f>Demand_LP!D$5/31</f>
        <v>312.75612076095945</v>
      </c>
      <c r="BC74" s="16">
        <f>Demand_LP!E$5/31</f>
        <v>772.29437499345636</v>
      </c>
      <c r="BD74" s="16">
        <f>Demand_LP!F$5/31</f>
        <v>471.74248526347748</v>
      </c>
      <c r="BE74" s="16">
        <f>Demand_LP!G$5/31</f>
        <v>451.61290322580646</v>
      </c>
      <c r="BF74" s="16">
        <f>Demand_LP!H$5/31</f>
        <v>547.55235732009919</v>
      </c>
      <c r="BG74" s="16">
        <f>Demand_LP!I$5/31</f>
        <v>451.61290322580646</v>
      </c>
      <c r="BH74" s="16">
        <f>Demand_LP!J$5/31</f>
        <v>451.61290322580646</v>
      </c>
      <c r="BI74" s="16">
        <f>Demand_LP!K$5/31</f>
        <v>451.61290322580646</v>
      </c>
      <c r="BJ74" s="16">
        <f t="shared" si="46"/>
        <v>-37361.178063366082</v>
      </c>
      <c r="BK74" s="16">
        <f t="shared" si="47"/>
        <v>-35213.048800661665</v>
      </c>
      <c r="BL74" s="16">
        <f t="shared" si="48"/>
        <v>-8831.5990901571586</v>
      </c>
      <c r="BM74" s="16">
        <f t="shared" si="49"/>
        <v>-42132.954294793279</v>
      </c>
      <c r="BN74" s="16">
        <f t="shared" si="50"/>
        <v>-24479.208861623247</v>
      </c>
      <c r="BO74" s="16">
        <f t="shared" si="51"/>
        <v>-23319.354838709678</v>
      </c>
      <c r="BP74" s="16">
        <f t="shared" si="52"/>
        <v>-29570.628287841198</v>
      </c>
      <c r="BQ74" s="16">
        <f t="shared" si="53"/>
        <v>-23319.354838709678</v>
      </c>
      <c r="BR74" s="16">
        <f t="shared" si="54"/>
        <v>-20919.354838709678</v>
      </c>
      <c r="BS74" s="16">
        <f t="shared" si="55"/>
        <v>-21619.354838709671</v>
      </c>
      <c r="BT74" s="14">
        <f>IF([1]Sheet2!CB73=999999,"NA",[1]Sheet2!CB73)</f>
        <v>0</v>
      </c>
      <c r="BU74" s="14">
        <f>IF([1]Sheet2!CC73=999999,"NA",[1]Sheet2!CC73)</f>
        <v>0</v>
      </c>
      <c r="BV74" s="14">
        <f>IF([1]Sheet2!CD73=999999,"NA",[1]Sheet2!CD73)</f>
        <v>0</v>
      </c>
      <c r="BW74" s="14">
        <f>IF([1]Sheet2!CE73=999999,"NA",[1]Sheet2!CE73)</f>
        <v>0</v>
      </c>
      <c r="BX74" s="14">
        <f>IF([1]Sheet2!CF73=999999,"NA",[1]Sheet2!CF73)</f>
        <v>0</v>
      </c>
      <c r="BY74" s="14">
        <f>IF([1]Sheet2!CG73=999999,"NA",[1]Sheet2!CG73)</f>
        <v>0</v>
      </c>
      <c r="BZ74" s="14">
        <f>IF([1]Sheet2!CH73=999999,"NA",[1]Sheet2!CH73)</f>
        <v>0</v>
      </c>
      <c r="CA74" s="14">
        <f>IF([1]Sheet2!CI73=999999,"NA",[1]Sheet2!CI73)</f>
        <v>0</v>
      </c>
      <c r="CB74" s="14">
        <f>IF([1]Sheet2!CJ73=999999,"NA",[1]Sheet2!CJ73)</f>
        <v>0</v>
      </c>
      <c r="CC74" s="14">
        <f>IF([1]Sheet2!CK73=999999,"NA",[1]Sheet2!CK73)</f>
        <v>0</v>
      </c>
      <c r="CD74" s="14">
        <f>[1]Sheet2!BH73</f>
        <v>0</v>
      </c>
      <c r="CE74" s="14">
        <f>[1]Sheet2!BI73</f>
        <v>0</v>
      </c>
      <c r="CF74" s="14">
        <f>[1]Sheet2!BJ73</f>
        <v>0</v>
      </c>
      <c r="CG74" s="14">
        <f>[1]Sheet2!BK73</f>
        <v>0</v>
      </c>
      <c r="CH74" s="14">
        <f>[1]Sheet2!BL73</f>
        <v>0</v>
      </c>
      <c r="CI74" s="14">
        <f>[1]Sheet2!BM73</f>
        <v>0</v>
      </c>
      <c r="CJ74" s="14">
        <f>[1]Sheet2!BN73</f>
        <v>0</v>
      </c>
      <c r="CK74" s="14">
        <f>[1]Sheet2!BO73</f>
        <v>0</v>
      </c>
      <c r="CL74" s="14">
        <f>[1]Sheet2!BP73</f>
        <v>0</v>
      </c>
      <c r="CM74" s="14">
        <f>[1]Sheet2!BQ73</f>
        <v>0</v>
      </c>
      <c r="CN74" s="16">
        <f>Demand_SW!B$5/31</f>
        <v>138.46153846153845</v>
      </c>
      <c r="CO74" s="16">
        <f>Demand_SW!C$5/31</f>
        <v>29.776674937965261</v>
      </c>
      <c r="CP74" s="16">
        <f>Demand_SW!D$5/31</f>
        <v>0</v>
      </c>
      <c r="CQ74" s="16">
        <f>Demand_SW!E$5/31</f>
        <v>0</v>
      </c>
      <c r="CR74" s="16">
        <f>Demand_SW!F$5/31</f>
        <v>0</v>
      </c>
      <c r="CS74" s="16">
        <f>Demand_SW!G$5/31</f>
        <v>138.70967741935485</v>
      </c>
      <c r="CT74" s="16">
        <f>Demand_SW!H$5/31</f>
        <v>29.776674937965261</v>
      </c>
      <c r="CU74" s="16">
        <f>Demand_SW!I$5/31</f>
        <v>0</v>
      </c>
      <c r="CV74" s="16">
        <f>Demand_SW!J$5/31</f>
        <v>0</v>
      </c>
      <c r="CW74" s="16">
        <f>Demand_SW!K$5/31</f>
        <v>0</v>
      </c>
      <c r="CX74" s="16">
        <f t="shared" si="56"/>
        <v>-3640.0000000000014</v>
      </c>
      <c r="CY74" s="16">
        <f t="shared" si="57"/>
        <v>642.67990074441695</v>
      </c>
      <c r="CZ74" s="16">
        <f t="shared" si="58"/>
        <v>0</v>
      </c>
      <c r="DA74" s="16">
        <f t="shared" si="59"/>
        <v>0</v>
      </c>
      <c r="DB74" s="16">
        <f t="shared" si="60"/>
        <v>0</v>
      </c>
      <c r="DC74" s="16">
        <f t="shared" si="61"/>
        <v>-3164.5161290322512</v>
      </c>
      <c r="DD74" s="16">
        <f t="shared" si="62"/>
        <v>642.67990074441695</v>
      </c>
      <c r="DE74" s="16">
        <f t="shared" si="63"/>
        <v>0</v>
      </c>
      <c r="DF74" s="16">
        <f t="shared" si="64"/>
        <v>0</v>
      </c>
      <c r="DG74" s="16">
        <f t="shared" si="65"/>
        <v>0</v>
      </c>
      <c r="DH74" s="14">
        <f>IF([1]Sheet2!DS73=999999,"NA",[1]Sheet2!DS73)</f>
        <v>0</v>
      </c>
      <c r="DI74" s="14">
        <f>IF([1]Sheet2!DT73=999999,"NA",[1]Sheet2!DT73)</f>
        <v>294</v>
      </c>
      <c r="DJ74" s="14" t="str">
        <f>IF([1]Sheet2!DU73=999999,"NA",[1]Sheet2!DU73)</f>
        <v>NA</v>
      </c>
      <c r="DK74" s="14" t="str">
        <f>IF([1]Sheet2!DV73=999999,"NA",[1]Sheet2!DV73)</f>
        <v>NA</v>
      </c>
      <c r="DL74" s="14" t="str">
        <f>IF([1]Sheet2!DW73=999999,"NA",[1]Sheet2!DW73)</f>
        <v>NA</v>
      </c>
      <c r="DM74" s="14">
        <f>IF([1]Sheet2!DX73=999999,"NA",[1]Sheet2!DX73)</f>
        <v>0</v>
      </c>
      <c r="DN74" s="14">
        <f>IF([1]Sheet2!DY73=999999,"NA",[1]Sheet2!DY73)</f>
        <v>294</v>
      </c>
      <c r="DO74" s="14" t="str">
        <f>IF([1]Sheet2!DZ73=999999,"NA",[1]Sheet2!DZ73)</f>
        <v>NA</v>
      </c>
      <c r="DP74" s="14" t="str">
        <f>IF([1]Sheet2!EA73=999999,"NA",[1]Sheet2!EA73)</f>
        <v>NA</v>
      </c>
      <c r="DQ74" s="14" t="str">
        <f>IF([1]Sheet2!EB73=999999,"NA",[1]Sheet2!EB73)</f>
        <v>NA</v>
      </c>
      <c r="DR74" s="14">
        <f>[1]Sheet2!CY73</f>
        <v>0</v>
      </c>
      <c r="DS74" s="14">
        <f>[1]Sheet2!CZ73</f>
        <v>0</v>
      </c>
      <c r="DT74" s="14">
        <f>[1]Sheet2!DA73</f>
        <v>0</v>
      </c>
      <c r="DU74" s="14">
        <f>[1]Sheet2!DB73</f>
        <v>0</v>
      </c>
      <c r="DV74" s="14">
        <f>[1]Sheet2!DC73</f>
        <v>0</v>
      </c>
      <c r="DW74" s="14">
        <f>[1]Sheet2!DD73</f>
        <v>0</v>
      </c>
      <c r="DX74" s="14">
        <f>[1]Sheet2!DE73</f>
        <v>0</v>
      </c>
      <c r="DY74" s="14">
        <f>[1]Sheet2!DF73</f>
        <v>0</v>
      </c>
      <c r="DZ74" s="14">
        <f>[1]Sheet2!DG73</f>
        <v>0</v>
      </c>
      <c r="EA74" s="14">
        <f>[1]Sheet2!DH73</f>
        <v>0</v>
      </c>
      <c r="EB74" s="6">
        <f>[1]Sheet2!EC73</f>
        <v>0</v>
      </c>
      <c r="EC74" s="6">
        <f>[1]Sheet2!ED73</f>
        <v>0</v>
      </c>
      <c r="ED74" s="6">
        <f>[1]Sheet2!EE73</f>
        <v>0</v>
      </c>
      <c r="EE74" s="6">
        <f>[1]Sheet2!EF73</f>
        <v>0</v>
      </c>
      <c r="EF74" s="6">
        <f>[1]Sheet2!EG73</f>
        <v>0</v>
      </c>
      <c r="EG74" s="6">
        <f>[1]Sheet2!EH73</f>
        <v>0</v>
      </c>
      <c r="EH74" s="6">
        <f>[1]Sheet2!EI73</f>
        <v>0</v>
      </c>
      <c r="EI74" s="6">
        <f>[1]Sheet2!EJ73</f>
        <v>0</v>
      </c>
      <c r="EJ74" s="6">
        <f>[1]Sheet2!EK73</f>
        <v>0</v>
      </c>
      <c r="EK74" s="6">
        <f>[1]Sheet2!EL73</f>
        <v>0</v>
      </c>
      <c r="EL74" s="6" t="str">
        <f>[1]Sheet2!EM73</f>
        <v/>
      </c>
      <c r="EM74" s="6" t="str">
        <f>[1]Sheet2!EN73</f>
        <v/>
      </c>
      <c r="EN74" s="6" t="str">
        <f>[1]Sheet2!EO73</f>
        <v/>
      </c>
      <c r="EO74" s="6" t="str">
        <f>[1]Sheet2!EP73</f>
        <v/>
      </c>
      <c r="EP74" s="6" t="str">
        <f>[1]Sheet2!EQ73</f>
        <v/>
      </c>
      <c r="EQ74" s="6" t="str">
        <f>[1]Sheet2!ER73</f>
        <v/>
      </c>
      <c r="ER74" s="6" t="str">
        <f>[1]Sheet2!ES73</f>
        <v/>
      </c>
      <c r="ES74" s="6" t="str">
        <f>[1]Sheet2!ET73</f>
        <v/>
      </c>
      <c r="ET74" s="6" t="str">
        <f>[1]Sheet2!EU73</f>
        <v/>
      </c>
      <c r="EU74" s="6" t="str">
        <f>[1]Sheet2!EV73</f>
        <v/>
      </c>
      <c r="EV74" s="6" t="str">
        <f>[1]Sheet2!EW73</f>
        <v/>
      </c>
      <c r="EW74" s="6" t="str">
        <f>[1]Sheet2!EX73</f>
        <v/>
      </c>
      <c r="EX74" s="6" t="str">
        <f>[1]Sheet2!EY73</f>
        <v/>
      </c>
      <c r="EY74" s="6" t="str">
        <f>[1]Sheet2!EZ73</f>
        <v/>
      </c>
      <c r="EZ74" s="6" t="str">
        <f>[1]Sheet2!FA73</f>
        <v/>
      </c>
      <c r="FA74" s="6" t="str">
        <f>[1]Sheet2!FB73</f>
        <v/>
      </c>
      <c r="FB74" s="6" t="str">
        <f>[1]Sheet2!FC73</f>
        <v/>
      </c>
      <c r="FC74" s="6" t="str">
        <f>[1]Sheet2!FD73</f>
        <v/>
      </c>
      <c r="FD74" s="6" t="str">
        <f>[1]Sheet2!FE73</f>
        <v/>
      </c>
      <c r="FE74" s="6" t="str">
        <f>[1]Sheet2!FF73</f>
        <v/>
      </c>
      <c r="FF74" s="6" t="str">
        <f>[1]Sheet2!FG73</f>
        <v/>
      </c>
      <c r="FG74" s="6" t="str">
        <f>[1]Sheet2!FH73</f>
        <v/>
      </c>
      <c r="FH74" s="6" t="str">
        <f>[1]Sheet2!FI73</f>
        <v/>
      </c>
      <c r="FI74" s="6" t="str">
        <f>[1]Sheet2!FJ73</f>
        <v/>
      </c>
      <c r="FJ74" s="6" t="str">
        <f>[1]Sheet2!FK73</f>
        <v/>
      </c>
      <c r="FK74" s="6" t="str">
        <f>[1]Sheet2!FL73</f>
        <v/>
      </c>
      <c r="FL74" s="6" t="str">
        <f>[1]Sheet2!FM73</f>
        <v/>
      </c>
      <c r="FM74" s="6" t="str">
        <f>[1]Sheet2!FN73</f>
        <v/>
      </c>
      <c r="FN74" s="6" t="str">
        <f>[1]Sheet2!FO73</f>
        <v/>
      </c>
      <c r="FO74" s="6" t="str">
        <f>[1]Sheet2!FP73</f>
        <v/>
      </c>
    </row>
    <row r="75" spans="1:171" x14ac:dyDescent="0.25">
      <c r="A75" s="15">
        <v>43537</v>
      </c>
      <c r="B75" s="1"/>
      <c r="C75" s="1"/>
      <c r="D75" s="1"/>
      <c r="E75" s="14">
        <f>[1]Sheet2!N74</f>
        <v>0</v>
      </c>
      <c r="F75" s="14">
        <f>[1]Sheet2!BE74</f>
        <v>0</v>
      </c>
      <c r="G75" s="14">
        <f>[1]Sheet2!CW74</f>
        <v>0</v>
      </c>
      <c r="H75" s="1"/>
      <c r="I75" s="1"/>
      <c r="J75" s="1"/>
      <c r="K75" s="16"/>
      <c r="L75" s="16">
        <f>Demand_CWRS!B$5/31</f>
        <v>131.679370700757</v>
      </c>
      <c r="M75" s="16">
        <f>Demand_CWRS!C$5/31</f>
        <v>537.20942928039699</v>
      </c>
      <c r="N75" s="16">
        <f>Demand_CWRS!D$5/31</f>
        <v>0</v>
      </c>
      <c r="O75" s="16">
        <f>Demand_CWRS!E$5/31</f>
        <v>121.5961418056559</v>
      </c>
      <c r="P75" s="16">
        <f>Demand_CWRS!F$5/31</f>
        <v>245.08227837631262</v>
      </c>
      <c r="Q75" s="16">
        <f>Demand_CWRS!G$5/31</f>
        <v>131.679370700757</v>
      </c>
      <c r="R75" s="16">
        <f>Demand_CWRS!H$5/31</f>
        <v>245.08227837631262</v>
      </c>
      <c r="S75" s="16">
        <f>Demand_CWRS!I$5/31</f>
        <v>245.08227837631262</v>
      </c>
      <c r="T75" s="16">
        <f>Demand_CWRS!J$5/31</f>
        <v>245.08227837631262</v>
      </c>
      <c r="U75" s="16">
        <f>Demand_CWRS!K$5/31</f>
        <v>245.08227837631262</v>
      </c>
      <c r="V75" s="16">
        <f t="shared" si="36"/>
        <v>-8108.7756292060021</v>
      </c>
      <c r="W75" s="16">
        <f t="shared" si="37"/>
        <v>-23512.35334987591</v>
      </c>
      <c r="X75" s="16">
        <f t="shared" si="38"/>
        <v>0</v>
      </c>
      <c r="Y75" s="16">
        <f t="shared" si="39"/>
        <v>709.32579755212282</v>
      </c>
      <c r="Z75" s="16">
        <f t="shared" si="40"/>
        <v>-11698.036205430524</v>
      </c>
      <c r="AA75" s="16">
        <f t="shared" si="41"/>
        <v>-6891.8318191098469</v>
      </c>
      <c r="AB75" s="16">
        <f t="shared" si="42"/>
        <v>-16179.079875302312</v>
      </c>
      <c r="AC75" s="16">
        <f t="shared" si="43"/>
        <v>-10386.069618892067</v>
      </c>
      <c r="AD75" s="16">
        <f t="shared" si="44"/>
        <v>-10486.069618892059</v>
      </c>
      <c r="AE75" s="16">
        <f t="shared" si="45"/>
        <v>-11086.069618892063</v>
      </c>
      <c r="AF75" s="14">
        <f>IF([1]Sheet2!AJ74=999999,"NA",[1]Sheet2!AJ74)</f>
        <v>0</v>
      </c>
      <c r="AG75" s="14">
        <f>IF([1]Sheet2!AK74=999999,"NA",[1]Sheet2!AK74)</f>
        <v>0</v>
      </c>
      <c r="AH75" s="14" t="str">
        <f>IF([1]Sheet2!AL74=999999,"NA",[1]Sheet2!AL74)</f>
        <v>NA</v>
      </c>
      <c r="AI75" s="14">
        <f>IF([1]Sheet2!AM74=999999,"NA",[1]Sheet2!AM74)</f>
        <v>5</v>
      </c>
      <c r="AJ75" s="14">
        <f>IF([1]Sheet2!AN74=999999,"NA",[1]Sheet2!AN74)</f>
        <v>0</v>
      </c>
      <c r="AK75" s="14">
        <f>IF([1]Sheet2!AO74=999999,"NA",[1]Sheet2!AO74)</f>
        <v>0</v>
      </c>
      <c r="AL75" s="14">
        <f>IF([1]Sheet2!AP74=999999,"NA",[1]Sheet2!AP74)</f>
        <v>0</v>
      </c>
      <c r="AM75" s="14">
        <f>IF([1]Sheet2!AQ74=999999,"NA",[1]Sheet2!AQ74)</f>
        <v>0</v>
      </c>
      <c r="AN75" s="14">
        <f>IF([1]Sheet2!AR74=999999,"NA",[1]Sheet2!AR74)</f>
        <v>0</v>
      </c>
      <c r="AO75" s="14">
        <f>IF([1]Sheet2!AS74=999999,"NA",[1]Sheet2!AS74)</f>
        <v>0</v>
      </c>
      <c r="AP75" s="14">
        <f>[1]Sheet2!P74</f>
        <v>0</v>
      </c>
      <c r="AQ75" s="14">
        <f>[1]Sheet2!Q74</f>
        <v>0</v>
      </c>
      <c r="AR75" s="14">
        <f>[1]Sheet2!R74</f>
        <v>0</v>
      </c>
      <c r="AS75" s="14">
        <f>[1]Sheet2!S74</f>
        <v>0</v>
      </c>
      <c r="AT75" s="14">
        <f>[1]Sheet2!T74</f>
        <v>0</v>
      </c>
      <c r="AU75" s="14">
        <f>[1]Sheet2!U74</f>
        <v>0</v>
      </c>
      <c r="AV75" s="14">
        <f>[1]Sheet2!V74</f>
        <v>0</v>
      </c>
      <c r="AW75" s="14">
        <f>[1]Sheet2!W74</f>
        <v>0</v>
      </c>
      <c r="AX75" s="14">
        <f>[1]Sheet2!X74</f>
        <v>0</v>
      </c>
      <c r="AY75" s="14">
        <f>[1]Sheet2!Y74</f>
        <v>0</v>
      </c>
      <c r="AZ75" s="16">
        <f>Demand_LP!B$5/31</f>
        <v>754.78140345091151</v>
      </c>
      <c r="BA75" s="16">
        <f>Demand_LP!C$5/31</f>
        <v>547.55235732009919</v>
      </c>
      <c r="BB75" s="16">
        <f>Demand_LP!D$5/31</f>
        <v>312.75612076095945</v>
      </c>
      <c r="BC75" s="16">
        <f>Demand_LP!E$5/31</f>
        <v>772.29437499345636</v>
      </c>
      <c r="BD75" s="16">
        <f>Demand_LP!F$5/31</f>
        <v>471.74248526347748</v>
      </c>
      <c r="BE75" s="16">
        <f>Demand_LP!G$5/31</f>
        <v>451.61290322580646</v>
      </c>
      <c r="BF75" s="16">
        <f>Demand_LP!H$5/31</f>
        <v>547.55235732009919</v>
      </c>
      <c r="BG75" s="16">
        <f>Demand_LP!I$5/31</f>
        <v>451.61290322580646</v>
      </c>
      <c r="BH75" s="16">
        <f>Demand_LP!J$5/31</f>
        <v>451.61290322580646</v>
      </c>
      <c r="BI75" s="16">
        <f>Demand_LP!K$5/31</f>
        <v>451.61290322580646</v>
      </c>
      <c r="BJ75" s="16">
        <f t="shared" si="46"/>
        <v>-38115.959466816996</v>
      </c>
      <c r="BK75" s="16">
        <f t="shared" si="47"/>
        <v>-35760.601157981764</v>
      </c>
      <c r="BL75" s="16">
        <f t="shared" si="48"/>
        <v>-9144.3552109181182</v>
      </c>
      <c r="BM75" s="16">
        <f t="shared" si="49"/>
        <v>-42905.248669786735</v>
      </c>
      <c r="BN75" s="16">
        <f t="shared" si="50"/>
        <v>-24950.951346886723</v>
      </c>
      <c r="BO75" s="16">
        <f t="shared" si="51"/>
        <v>-23770.967741935485</v>
      </c>
      <c r="BP75" s="16">
        <f t="shared" si="52"/>
        <v>-30118.180645161297</v>
      </c>
      <c r="BQ75" s="16">
        <f t="shared" si="53"/>
        <v>-23770.967741935485</v>
      </c>
      <c r="BR75" s="16">
        <f t="shared" si="54"/>
        <v>-21370.967741935485</v>
      </c>
      <c r="BS75" s="16">
        <f t="shared" si="55"/>
        <v>-22070.967741935478</v>
      </c>
      <c r="BT75" s="14">
        <f>IF([1]Sheet2!CB74=999999,"NA",[1]Sheet2!CB74)</f>
        <v>0</v>
      </c>
      <c r="BU75" s="14">
        <f>IF([1]Sheet2!CC74=999999,"NA",[1]Sheet2!CC74)</f>
        <v>0</v>
      </c>
      <c r="BV75" s="14">
        <f>IF([1]Sheet2!CD74=999999,"NA",[1]Sheet2!CD74)</f>
        <v>0</v>
      </c>
      <c r="BW75" s="14">
        <f>IF([1]Sheet2!CE74=999999,"NA",[1]Sheet2!CE74)</f>
        <v>0</v>
      </c>
      <c r="BX75" s="14">
        <f>IF([1]Sheet2!CF74=999999,"NA",[1]Sheet2!CF74)</f>
        <v>0</v>
      </c>
      <c r="BY75" s="14">
        <f>IF([1]Sheet2!CG74=999999,"NA",[1]Sheet2!CG74)</f>
        <v>0</v>
      </c>
      <c r="BZ75" s="14">
        <f>IF([1]Sheet2!CH74=999999,"NA",[1]Sheet2!CH74)</f>
        <v>0</v>
      </c>
      <c r="CA75" s="14">
        <f>IF([1]Sheet2!CI74=999999,"NA",[1]Sheet2!CI74)</f>
        <v>0</v>
      </c>
      <c r="CB75" s="14">
        <f>IF([1]Sheet2!CJ74=999999,"NA",[1]Sheet2!CJ74)</f>
        <v>0</v>
      </c>
      <c r="CC75" s="14">
        <f>IF([1]Sheet2!CK74=999999,"NA",[1]Sheet2!CK74)</f>
        <v>0</v>
      </c>
      <c r="CD75" s="14">
        <f>[1]Sheet2!BH74</f>
        <v>0</v>
      </c>
      <c r="CE75" s="14">
        <f>[1]Sheet2!BI74</f>
        <v>0</v>
      </c>
      <c r="CF75" s="14">
        <f>[1]Sheet2!BJ74</f>
        <v>0</v>
      </c>
      <c r="CG75" s="14">
        <f>[1]Sheet2!BK74</f>
        <v>0</v>
      </c>
      <c r="CH75" s="14">
        <f>[1]Sheet2!BL74</f>
        <v>0</v>
      </c>
      <c r="CI75" s="14">
        <f>[1]Sheet2!BM74</f>
        <v>0</v>
      </c>
      <c r="CJ75" s="14">
        <f>[1]Sheet2!BN74</f>
        <v>0</v>
      </c>
      <c r="CK75" s="14">
        <f>[1]Sheet2!BO74</f>
        <v>0</v>
      </c>
      <c r="CL75" s="14">
        <f>[1]Sheet2!BP74</f>
        <v>0</v>
      </c>
      <c r="CM75" s="14">
        <f>[1]Sheet2!BQ74</f>
        <v>0</v>
      </c>
      <c r="CN75" s="16">
        <f>Demand_SW!B$5/31</f>
        <v>138.46153846153845</v>
      </c>
      <c r="CO75" s="16">
        <f>Demand_SW!C$5/31</f>
        <v>29.776674937965261</v>
      </c>
      <c r="CP75" s="16">
        <f>Demand_SW!D$5/31</f>
        <v>0</v>
      </c>
      <c r="CQ75" s="16">
        <f>Demand_SW!E$5/31</f>
        <v>0</v>
      </c>
      <c r="CR75" s="16">
        <f>Demand_SW!F$5/31</f>
        <v>0</v>
      </c>
      <c r="CS75" s="16">
        <f>Demand_SW!G$5/31</f>
        <v>138.70967741935485</v>
      </c>
      <c r="CT75" s="16">
        <f>Demand_SW!H$5/31</f>
        <v>29.776674937965261</v>
      </c>
      <c r="CU75" s="16">
        <f>Demand_SW!I$5/31</f>
        <v>0</v>
      </c>
      <c r="CV75" s="16">
        <f>Demand_SW!J$5/31</f>
        <v>0</v>
      </c>
      <c r="CW75" s="16">
        <f>Demand_SW!K$5/31</f>
        <v>0</v>
      </c>
      <c r="CX75" s="16">
        <f t="shared" si="56"/>
        <v>-3778.4615384615399</v>
      </c>
      <c r="CY75" s="16">
        <f t="shared" si="57"/>
        <v>612.9032258064517</v>
      </c>
      <c r="CZ75" s="16">
        <f t="shared" si="58"/>
        <v>0</v>
      </c>
      <c r="DA75" s="16">
        <f t="shared" si="59"/>
        <v>0</v>
      </c>
      <c r="DB75" s="16">
        <f t="shared" si="60"/>
        <v>0</v>
      </c>
      <c r="DC75" s="16">
        <f t="shared" si="61"/>
        <v>-3303.2258064516059</v>
      </c>
      <c r="DD75" s="16">
        <f t="shared" si="62"/>
        <v>612.9032258064517</v>
      </c>
      <c r="DE75" s="16">
        <f t="shared" si="63"/>
        <v>0</v>
      </c>
      <c r="DF75" s="16">
        <f t="shared" si="64"/>
        <v>0</v>
      </c>
      <c r="DG75" s="16">
        <f t="shared" si="65"/>
        <v>0</v>
      </c>
      <c r="DH75" s="14">
        <f>IF([1]Sheet2!DS74=999999,"NA",[1]Sheet2!DS74)</f>
        <v>0</v>
      </c>
      <c r="DI75" s="14">
        <f>IF([1]Sheet2!DT74=999999,"NA",[1]Sheet2!DT74)</f>
        <v>293</v>
      </c>
      <c r="DJ75" s="14" t="str">
        <f>IF([1]Sheet2!DU74=999999,"NA",[1]Sheet2!DU74)</f>
        <v>NA</v>
      </c>
      <c r="DK75" s="14" t="str">
        <f>IF([1]Sheet2!DV74=999999,"NA",[1]Sheet2!DV74)</f>
        <v>NA</v>
      </c>
      <c r="DL75" s="14" t="str">
        <f>IF([1]Sheet2!DW74=999999,"NA",[1]Sheet2!DW74)</f>
        <v>NA</v>
      </c>
      <c r="DM75" s="14">
        <f>IF([1]Sheet2!DX74=999999,"NA",[1]Sheet2!DX74)</f>
        <v>0</v>
      </c>
      <c r="DN75" s="14">
        <f>IF([1]Sheet2!DY74=999999,"NA",[1]Sheet2!DY74)</f>
        <v>293</v>
      </c>
      <c r="DO75" s="14" t="str">
        <f>IF([1]Sheet2!DZ74=999999,"NA",[1]Sheet2!DZ74)</f>
        <v>NA</v>
      </c>
      <c r="DP75" s="14" t="str">
        <f>IF([1]Sheet2!EA74=999999,"NA",[1]Sheet2!EA74)</f>
        <v>NA</v>
      </c>
      <c r="DQ75" s="14" t="str">
        <f>IF([1]Sheet2!EB74=999999,"NA",[1]Sheet2!EB74)</f>
        <v>NA</v>
      </c>
      <c r="DR75" s="14">
        <f>[1]Sheet2!CY74</f>
        <v>0</v>
      </c>
      <c r="DS75" s="14">
        <f>[1]Sheet2!CZ74</f>
        <v>0</v>
      </c>
      <c r="DT75" s="14">
        <f>[1]Sheet2!DA74</f>
        <v>0</v>
      </c>
      <c r="DU75" s="14">
        <f>[1]Sheet2!DB74</f>
        <v>0</v>
      </c>
      <c r="DV75" s="14">
        <f>[1]Sheet2!DC74</f>
        <v>0</v>
      </c>
      <c r="DW75" s="14">
        <f>[1]Sheet2!DD74</f>
        <v>0</v>
      </c>
      <c r="DX75" s="14">
        <f>[1]Sheet2!DE74</f>
        <v>0</v>
      </c>
      <c r="DY75" s="14">
        <f>[1]Sheet2!DF74</f>
        <v>0</v>
      </c>
      <c r="DZ75" s="14">
        <f>[1]Sheet2!DG74</f>
        <v>0</v>
      </c>
      <c r="EA75" s="14">
        <f>[1]Sheet2!DH74</f>
        <v>0</v>
      </c>
      <c r="EB75" s="6">
        <f>[1]Sheet2!EC74</f>
        <v>0</v>
      </c>
      <c r="EC75" s="6">
        <f>[1]Sheet2!ED74</f>
        <v>0</v>
      </c>
      <c r="ED75" s="6">
        <f>[1]Sheet2!EE74</f>
        <v>0</v>
      </c>
      <c r="EE75" s="6">
        <f>[1]Sheet2!EF74</f>
        <v>0</v>
      </c>
      <c r="EF75" s="6">
        <f>[1]Sheet2!EG74</f>
        <v>0</v>
      </c>
      <c r="EG75" s="6">
        <f>[1]Sheet2!EH74</f>
        <v>0</v>
      </c>
      <c r="EH75" s="6">
        <f>[1]Sheet2!EI74</f>
        <v>0</v>
      </c>
      <c r="EI75" s="6">
        <f>[1]Sheet2!EJ74</f>
        <v>0</v>
      </c>
      <c r="EJ75" s="6">
        <f>[1]Sheet2!EK74</f>
        <v>0</v>
      </c>
      <c r="EK75" s="6">
        <f>[1]Sheet2!EL74</f>
        <v>0</v>
      </c>
      <c r="EL75" s="6" t="str">
        <f>[1]Sheet2!EM74</f>
        <v/>
      </c>
      <c r="EM75" s="6" t="str">
        <f>[1]Sheet2!EN74</f>
        <v/>
      </c>
      <c r="EN75" s="6" t="str">
        <f>[1]Sheet2!EO74</f>
        <v/>
      </c>
      <c r="EO75" s="6" t="str">
        <f>[1]Sheet2!EP74</f>
        <v/>
      </c>
      <c r="EP75" s="6" t="str">
        <f>[1]Sheet2!EQ74</f>
        <v/>
      </c>
      <c r="EQ75" s="6" t="str">
        <f>[1]Sheet2!ER74</f>
        <v/>
      </c>
      <c r="ER75" s="6" t="str">
        <f>[1]Sheet2!ES74</f>
        <v/>
      </c>
      <c r="ES75" s="6" t="str">
        <f>[1]Sheet2!ET74</f>
        <v/>
      </c>
      <c r="ET75" s="6" t="str">
        <f>[1]Sheet2!EU74</f>
        <v/>
      </c>
      <c r="EU75" s="6" t="str">
        <f>[1]Sheet2!EV74</f>
        <v/>
      </c>
      <c r="EV75" s="6" t="str">
        <f>[1]Sheet2!EW74</f>
        <v/>
      </c>
      <c r="EW75" s="6" t="str">
        <f>[1]Sheet2!EX74</f>
        <v/>
      </c>
      <c r="EX75" s="6" t="str">
        <f>[1]Sheet2!EY74</f>
        <v/>
      </c>
      <c r="EY75" s="6" t="str">
        <f>[1]Sheet2!EZ74</f>
        <v/>
      </c>
      <c r="EZ75" s="6" t="str">
        <f>[1]Sheet2!FA74</f>
        <v/>
      </c>
      <c r="FA75" s="6" t="str">
        <f>[1]Sheet2!FB74</f>
        <v/>
      </c>
      <c r="FB75" s="6" t="str">
        <f>[1]Sheet2!FC74</f>
        <v/>
      </c>
      <c r="FC75" s="6" t="str">
        <f>[1]Sheet2!FD74</f>
        <v/>
      </c>
      <c r="FD75" s="6" t="str">
        <f>[1]Sheet2!FE74</f>
        <v/>
      </c>
      <c r="FE75" s="6" t="str">
        <f>[1]Sheet2!FF74</f>
        <v/>
      </c>
      <c r="FF75" s="6" t="str">
        <f>[1]Sheet2!FG74</f>
        <v/>
      </c>
      <c r="FG75" s="6" t="str">
        <f>[1]Sheet2!FH74</f>
        <v/>
      </c>
      <c r="FH75" s="6" t="str">
        <f>[1]Sheet2!FI74</f>
        <v/>
      </c>
      <c r="FI75" s="6" t="str">
        <f>[1]Sheet2!FJ74</f>
        <v/>
      </c>
      <c r="FJ75" s="6" t="str">
        <f>[1]Sheet2!FK74</f>
        <v/>
      </c>
      <c r="FK75" s="6" t="str">
        <f>[1]Sheet2!FL74</f>
        <v/>
      </c>
      <c r="FL75" s="6" t="str">
        <f>[1]Sheet2!FM74</f>
        <v/>
      </c>
      <c r="FM75" s="6" t="str">
        <f>[1]Sheet2!FN74</f>
        <v/>
      </c>
      <c r="FN75" s="6" t="str">
        <f>[1]Sheet2!FO74</f>
        <v/>
      </c>
      <c r="FO75" s="6" t="str">
        <f>[1]Sheet2!FP74</f>
        <v/>
      </c>
    </row>
    <row r="76" spans="1:171" x14ac:dyDescent="0.25">
      <c r="A76" s="15">
        <v>43538</v>
      </c>
      <c r="B76" s="1"/>
      <c r="C76" s="1"/>
      <c r="D76" s="1"/>
      <c r="E76" s="14">
        <f>[1]Sheet2!N75</f>
        <v>0</v>
      </c>
      <c r="F76" s="14">
        <f>[1]Sheet2!BE75</f>
        <v>0</v>
      </c>
      <c r="G76" s="14">
        <f>[1]Sheet2!CW75</f>
        <v>0</v>
      </c>
      <c r="H76" s="1"/>
      <c r="I76" s="1"/>
      <c r="J76" s="1"/>
      <c r="K76" s="16"/>
      <c r="L76" s="16">
        <f>Demand_CWRS!B$5/31</f>
        <v>131.679370700757</v>
      </c>
      <c r="M76" s="16">
        <f>Demand_CWRS!C$5/31</f>
        <v>537.20942928039699</v>
      </c>
      <c r="N76" s="16">
        <f>Demand_CWRS!D$5/31</f>
        <v>0</v>
      </c>
      <c r="O76" s="16">
        <f>Demand_CWRS!E$5/31</f>
        <v>121.5961418056559</v>
      </c>
      <c r="P76" s="16">
        <f>Demand_CWRS!F$5/31</f>
        <v>245.08227837631262</v>
      </c>
      <c r="Q76" s="16">
        <f>Demand_CWRS!G$5/31</f>
        <v>131.679370700757</v>
      </c>
      <c r="R76" s="16">
        <f>Demand_CWRS!H$5/31</f>
        <v>245.08227837631262</v>
      </c>
      <c r="S76" s="16">
        <f>Demand_CWRS!I$5/31</f>
        <v>245.08227837631262</v>
      </c>
      <c r="T76" s="16">
        <f>Demand_CWRS!J$5/31</f>
        <v>245.08227837631262</v>
      </c>
      <c r="U76" s="16">
        <f>Demand_CWRS!K$5/31</f>
        <v>245.08227837631262</v>
      </c>
      <c r="V76" s="16">
        <f t="shared" si="36"/>
        <v>-8240.4549999067585</v>
      </c>
      <c r="W76" s="16">
        <f t="shared" si="37"/>
        <v>-24049.562779156306</v>
      </c>
      <c r="X76" s="16">
        <f t="shared" si="38"/>
        <v>0</v>
      </c>
      <c r="Y76" s="16">
        <f t="shared" si="39"/>
        <v>587.72965574646696</v>
      </c>
      <c r="Z76" s="16">
        <f t="shared" si="40"/>
        <v>-11943.118483806837</v>
      </c>
      <c r="AA76" s="16">
        <f t="shared" si="41"/>
        <v>-7023.5111898106043</v>
      </c>
      <c r="AB76" s="16">
        <f t="shared" si="42"/>
        <v>-16424.162153678626</v>
      </c>
      <c r="AC76" s="16">
        <f t="shared" si="43"/>
        <v>-10631.151897268379</v>
      </c>
      <c r="AD76" s="16">
        <f t="shared" si="44"/>
        <v>-10731.151897268372</v>
      </c>
      <c r="AE76" s="16">
        <f t="shared" si="45"/>
        <v>-11331.151897268375</v>
      </c>
      <c r="AF76" s="14">
        <f>IF([1]Sheet2!AJ75=999999,"NA",[1]Sheet2!AJ75)</f>
        <v>0</v>
      </c>
      <c r="AG76" s="14">
        <f>IF([1]Sheet2!AK75=999999,"NA",[1]Sheet2!AK75)</f>
        <v>0</v>
      </c>
      <c r="AH76" s="14" t="str">
        <f>IF([1]Sheet2!AL75=999999,"NA",[1]Sheet2!AL75)</f>
        <v>NA</v>
      </c>
      <c r="AI76" s="14">
        <f>IF([1]Sheet2!AM75=999999,"NA",[1]Sheet2!AM75)</f>
        <v>4</v>
      </c>
      <c r="AJ76" s="14">
        <f>IF([1]Sheet2!AN75=999999,"NA",[1]Sheet2!AN75)</f>
        <v>0</v>
      </c>
      <c r="AK76" s="14">
        <f>IF([1]Sheet2!AO75=999999,"NA",[1]Sheet2!AO75)</f>
        <v>0</v>
      </c>
      <c r="AL76" s="14">
        <f>IF([1]Sheet2!AP75=999999,"NA",[1]Sheet2!AP75)</f>
        <v>0</v>
      </c>
      <c r="AM76" s="14">
        <f>IF([1]Sheet2!AQ75=999999,"NA",[1]Sheet2!AQ75)</f>
        <v>0</v>
      </c>
      <c r="AN76" s="14">
        <f>IF([1]Sheet2!AR75=999999,"NA",[1]Sheet2!AR75)</f>
        <v>0</v>
      </c>
      <c r="AO76" s="14">
        <f>IF([1]Sheet2!AS75=999999,"NA",[1]Sheet2!AS75)</f>
        <v>0</v>
      </c>
      <c r="AP76" s="14">
        <f>[1]Sheet2!P75</f>
        <v>0</v>
      </c>
      <c r="AQ76" s="14">
        <f>[1]Sheet2!Q75</f>
        <v>0</v>
      </c>
      <c r="AR76" s="14">
        <f>[1]Sheet2!R75</f>
        <v>0</v>
      </c>
      <c r="AS76" s="14">
        <f>[1]Sheet2!S75</f>
        <v>0</v>
      </c>
      <c r="AT76" s="14">
        <f>[1]Sheet2!T75</f>
        <v>0</v>
      </c>
      <c r="AU76" s="14">
        <f>[1]Sheet2!U75</f>
        <v>0</v>
      </c>
      <c r="AV76" s="14">
        <f>[1]Sheet2!V75</f>
        <v>0</v>
      </c>
      <c r="AW76" s="14">
        <f>[1]Sheet2!W75</f>
        <v>0</v>
      </c>
      <c r="AX76" s="14">
        <f>[1]Sheet2!X75</f>
        <v>0</v>
      </c>
      <c r="AY76" s="14">
        <f>[1]Sheet2!Y75</f>
        <v>0</v>
      </c>
      <c r="AZ76" s="16">
        <f>Demand_LP!B$5/31</f>
        <v>754.78140345091151</v>
      </c>
      <c r="BA76" s="16">
        <f>Demand_LP!C$5/31</f>
        <v>547.55235732009919</v>
      </c>
      <c r="BB76" s="16">
        <f>Demand_LP!D$5/31</f>
        <v>312.75612076095945</v>
      </c>
      <c r="BC76" s="16">
        <f>Demand_LP!E$5/31</f>
        <v>772.29437499345636</v>
      </c>
      <c r="BD76" s="16">
        <f>Demand_LP!F$5/31</f>
        <v>471.74248526347748</v>
      </c>
      <c r="BE76" s="16">
        <f>Demand_LP!G$5/31</f>
        <v>451.61290322580646</v>
      </c>
      <c r="BF76" s="16">
        <f>Demand_LP!H$5/31</f>
        <v>547.55235732009919</v>
      </c>
      <c r="BG76" s="16">
        <f>Demand_LP!I$5/31</f>
        <v>451.61290322580646</v>
      </c>
      <c r="BH76" s="16">
        <f>Demand_LP!J$5/31</f>
        <v>451.61290322580646</v>
      </c>
      <c r="BI76" s="16">
        <f>Demand_LP!K$5/31</f>
        <v>451.61290322580646</v>
      </c>
      <c r="BJ76" s="16">
        <f t="shared" si="46"/>
        <v>-38870.740870267909</v>
      </c>
      <c r="BK76" s="16">
        <f t="shared" si="47"/>
        <v>-36308.153515301863</v>
      </c>
      <c r="BL76" s="16">
        <f t="shared" si="48"/>
        <v>-9457.1113316790779</v>
      </c>
      <c r="BM76" s="16">
        <f t="shared" si="49"/>
        <v>-43677.543044780192</v>
      </c>
      <c r="BN76" s="16">
        <f t="shared" si="50"/>
        <v>-25422.693832150198</v>
      </c>
      <c r="BO76" s="16">
        <f t="shared" si="51"/>
        <v>-24222.580645161292</v>
      </c>
      <c r="BP76" s="16">
        <f t="shared" si="52"/>
        <v>-30665.733002481396</v>
      </c>
      <c r="BQ76" s="16">
        <f t="shared" si="53"/>
        <v>-24222.580645161292</v>
      </c>
      <c r="BR76" s="16">
        <f t="shared" si="54"/>
        <v>-21822.580645161292</v>
      </c>
      <c r="BS76" s="16">
        <f t="shared" si="55"/>
        <v>-22522.580645161284</v>
      </c>
      <c r="BT76" s="14">
        <f>IF([1]Sheet2!CB75=999999,"NA",[1]Sheet2!CB75)</f>
        <v>0</v>
      </c>
      <c r="BU76" s="14">
        <f>IF([1]Sheet2!CC75=999999,"NA",[1]Sheet2!CC75)</f>
        <v>0</v>
      </c>
      <c r="BV76" s="14">
        <f>IF([1]Sheet2!CD75=999999,"NA",[1]Sheet2!CD75)</f>
        <v>0</v>
      </c>
      <c r="BW76" s="14">
        <f>IF([1]Sheet2!CE75=999999,"NA",[1]Sheet2!CE75)</f>
        <v>0</v>
      </c>
      <c r="BX76" s="14">
        <f>IF([1]Sheet2!CF75=999999,"NA",[1]Sheet2!CF75)</f>
        <v>0</v>
      </c>
      <c r="BY76" s="14">
        <f>IF([1]Sheet2!CG75=999999,"NA",[1]Sheet2!CG75)</f>
        <v>0</v>
      </c>
      <c r="BZ76" s="14">
        <f>IF([1]Sheet2!CH75=999999,"NA",[1]Sheet2!CH75)</f>
        <v>0</v>
      </c>
      <c r="CA76" s="14">
        <f>IF([1]Sheet2!CI75=999999,"NA",[1]Sheet2!CI75)</f>
        <v>0</v>
      </c>
      <c r="CB76" s="14">
        <f>IF([1]Sheet2!CJ75=999999,"NA",[1]Sheet2!CJ75)</f>
        <v>0</v>
      </c>
      <c r="CC76" s="14">
        <f>IF([1]Sheet2!CK75=999999,"NA",[1]Sheet2!CK75)</f>
        <v>0</v>
      </c>
      <c r="CD76" s="14">
        <f>[1]Sheet2!BH75</f>
        <v>0</v>
      </c>
      <c r="CE76" s="14">
        <f>[1]Sheet2!BI75</f>
        <v>0</v>
      </c>
      <c r="CF76" s="14">
        <f>[1]Sheet2!BJ75</f>
        <v>0</v>
      </c>
      <c r="CG76" s="14">
        <f>[1]Sheet2!BK75</f>
        <v>0</v>
      </c>
      <c r="CH76" s="14">
        <f>[1]Sheet2!BL75</f>
        <v>0</v>
      </c>
      <c r="CI76" s="14">
        <f>[1]Sheet2!BM75</f>
        <v>0</v>
      </c>
      <c r="CJ76" s="14">
        <f>[1]Sheet2!BN75</f>
        <v>0</v>
      </c>
      <c r="CK76" s="14">
        <f>[1]Sheet2!BO75</f>
        <v>0</v>
      </c>
      <c r="CL76" s="14">
        <f>[1]Sheet2!BP75</f>
        <v>0</v>
      </c>
      <c r="CM76" s="14">
        <f>[1]Sheet2!BQ75</f>
        <v>0</v>
      </c>
      <c r="CN76" s="16">
        <f>Demand_SW!B$5/31</f>
        <v>138.46153846153845</v>
      </c>
      <c r="CO76" s="16">
        <f>Demand_SW!C$5/31</f>
        <v>29.776674937965261</v>
      </c>
      <c r="CP76" s="16">
        <f>Demand_SW!D$5/31</f>
        <v>0</v>
      </c>
      <c r="CQ76" s="16">
        <f>Demand_SW!E$5/31</f>
        <v>0</v>
      </c>
      <c r="CR76" s="16">
        <f>Demand_SW!F$5/31</f>
        <v>0</v>
      </c>
      <c r="CS76" s="16">
        <f>Demand_SW!G$5/31</f>
        <v>138.70967741935485</v>
      </c>
      <c r="CT76" s="16">
        <f>Demand_SW!H$5/31</f>
        <v>29.776674937965261</v>
      </c>
      <c r="CU76" s="16">
        <f>Demand_SW!I$5/31</f>
        <v>0</v>
      </c>
      <c r="CV76" s="16">
        <f>Demand_SW!J$5/31</f>
        <v>0</v>
      </c>
      <c r="CW76" s="16">
        <f>Demand_SW!K$5/31</f>
        <v>0</v>
      </c>
      <c r="CX76" s="16">
        <f t="shared" si="56"/>
        <v>-3916.9230769230785</v>
      </c>
      <c r="CY76" s="16">
        <f t="shared" si="57"/>
        <v>583.12655086848645</v>
      </c>
      <c r="CZ76" s="16">
        <f t="shared" si="58"/>
        <v>0</v>
      </c>
      <c r="DA76" s="16">
        <f t="shared" si="59"/>
        <v>0</v>
      </c>
      <c r="DB76" s="16">
        <f t="shared" si="60"/>
        <v>0</v>
      </c>
      <c r="DC76" s="16">
        <f t="shared" si="61"/>
        <v>-3441.9354838709605</v>
      </c>
      <c r="DD76" s="16">
        <f t="shared" si="62"/>
        <v>583.12655086848645</v>
      </c>
      <c r="DE76" s="16">
        <f t="shared" si="63"/>
        <v>0</v>
      </c>
      <c r="DF76" s="16">
        <f t="shared" si="64"/>
        <v>0</v>
      </c>
      <c r="DG76" s="16">
        <f t="shared" si="65"/>
        <v>0</v>
      </c>
      <c r="DH76" s="14">
        <f>IF([1]Sheet2!DS75=999999,"NA",[1]Sheet2!DS75)</f>
        <v>0</v>
      </c>
      <c r="DI76" s="14">
        <f>IF([1]Sheet2!DT75=999999,"NA",[1]Sheet2!DT75)</f>
        <v>292</v>
      </c>
      <c r="DJ76" s="14" t="str">
        <f>IF([1]Sheet2!DU75=999999,"NA",[1]Sheet2!DU75)</f>
        <v>NA</v>
      </c>
      <c r="DK76" s="14" t="str">
        <f>IF([1]Sheet2!DV75=999999,"NA",[1]Sheet2!DV75)</f>
        <v>NA</v>
      </c>
      <c r="DL76" s="14" t="str">
        <f>IF([1]Sheet2!DW75=999999,"NA",[1]Sheet2!DW75)</f>
        <v>NA</v>
      </c>
      <c r="DM76" s="14">
        <f>IF([1]Sheet2!DX75=999999,"NA",[1]Sheet2!DX75)</f>
        <v>0</v>
      </c>
      <c r="DN76" s="14">
        <f>IF([1]Sheet2!DY75=999999,"NA",[1]Sheet2!DY75)</f>
        <v>292</v>
      </c>
      <c r="DO76" s="14" t="str">
        <f>IF([1]Sheet2!DZ75=999999,"NA",[1]Sheet2!DZ75)</f>
        <v>NA</v>
      </c>
      <c r="DP76" s="14" t="str">
        <f>IF([1]Sheet2!EA75=999999,"NA",[1]Sheet2!EA75)</f>
        <v>NA</v>
      </c>
      <c r="DQ76" s="14" t="str">
        <f>IF([1]Sheet2!EB75=999999,"NA",[1]Sheet2!EB75)</f>
        <v>NA</v>
      </c>
      <c r="DR76" s="14">
        <f>[1]Sheet2!CY75</f>
        <v>0</v>
      </c>
      <c r="DS76" s="14">
        <f>[1]Sheet2!CZ75</f>
        <v>0</v>
      </c>
      <c r="DT76" s="14">
        <f>[1]Sheet2!DA75</f>
        <v>0</v>
      </c>
      <c r="DU76" s="14">
        <f>[1]Sheet2!DB75</f>
        <v>0</v>
      </c>
      <c r="DV76" s="14">
        <f>[1]Sheet2!DC75</f>
        <v>0</v>
      </c>
      <c r="DW76" s="14">
        <f>[1]Sheet2!DD75</f>
        <v>0</v>
      </c>
      <c r="DX76" s="14">
        <f>[1]Sheet2!DE75</f>
        <v>0</v>
      </c>
      <c r="DY76" s="14">
        <f>[1]Sheet2!DF75</f>
        <v>0</v>
      </c>
      <c r="DZ76" s="14">
        <f>[1]Sheet2!DG75</f>
        <v>0</v>
      </c>
      <c r="EA76" s="14">
        <f>[1]Sheet2!DH75</f>
        <v>0</v>
      </c>
      <c r="EB76" s="6">
        <f>[1]Sheet2!EC75</f>
        <v>0</v>
      </c>
      <c r="EC76" s="6">
        <f>[1]Sheet2!ED75</f>
        <v>0</v>
      </c>
      <c r="ED76" s="6">
        <f>[1]Sheet2!EE75</f>
        <v>0</v>
      </c>
      <c r="EE76" s="6">
        <f>[1]Sheet2!EF75</f>
        <v>0</v>
      </c>
      <c r="EF76" s="6">
        <f>[1]Sheet2!EG75</f>
        <v>0</v>
      </c>
      <c r="EG76" s="6">
        <f>[1]Sheet2!EH75</f>
        <v>0</v>
      </c>
      <c r="EH76" s="6">
        <f>[1]Sheet2!EI75</f>
        <v>0</v>
      </c>
      <c r="EI76" s="6">
        <f>[1]Sheet2!EJ75</f>
        <v>0</v>
      </c>
      <c r="EJ76" s="6">
        <f>[1]Sheet2!EK75</f>
        <v>0</v>
      </c>
      <c r="EK76" s="6">
        <f>[1]Sheet2!EL75</f>
        <v>0</v>
      </c>
      <c r="EL76" s="6" t="str">
        <f>[1]Sheet2!EM75</f>
        <v/>
      </c>
      <c r="EM76" s="6" t="str">
        <f>[1]Sheet2!EN75</f>
        <v/>
      </c>
      <c r="EN76" s="6" t="str">
        <f>[1]Sheet2!EO75</f>
        <v/>
      </c>
      <c r="EO76" s="6" t="str">
        <f>[1]Sheet2!EP75</f>
        <v/>
      </c>
      <c r="EP76" s="6" t="str">
        <f>[1]Sheet2!EQ75</f>
        <v/>
      </c>
      <c r="EQ76" s="6" t="str">
        <f>[1]Sheet2!ER75</f>
        <v/>
      </c>
      <c r="ER76" s="6" t="str">
        <f>[1]Sheet2!ES75</f>
        <v/>
      </c>
      <c r="ES76" s="6" t="str">
        <f>[1]Sheet2!ET75</f>
        <v/>
      </c>
      <c r="ET76" s="6" t="str">
        <f>[1]Sheet2!EU75</f>
        <v/>
      </c>
      <c r="EU76" s="6" t="str">
        <f>[1]Sheet2!EV75</f>
        <v/>
      </c>
      <c r="EV76" s="6" t="str">
        <f>[1]Sheet2!EW75</f>
        <v/>
      </c>
      <c r="EW76" s="6" t="str">
        <f>[1]Sheet2!EX75</f>
        <v/>
      </c>
      <c r="EX76" s="6" t="str">
        <f>[1]Sheet2!EY75</f>
        <v/>
      </c>
      <c r="EY76" s="6" t="str">
        <f>[1]Sheet2!EZ75</f>
        <v/>
      </c>
      <c r="EZ76" s="6" t="str">
        <f>[1]Sheet2!FA75</f>
        <v/>
      </c>
      <c r="FA76" s="6" t="str">
        <f>[1]Sheet2!FB75</f>
        <v/>
      </c>
      <c r="FB76" s="6" t="str">
        <f>[1]Sheet2!FC75</f>
        <v/>
      </c>
      <c r="FC76" s="6" t="str">
        <f>[1]Sheet2!FD75</f>
        <v/>
      </c>
      <c r="FD76" s="6" t="str">
        <f>[1]Sheet2!FE75</f>
        <v/>
      </c>
      <c r="FE76" s="6" t="str">
        <f>[1]Sheet2!FF75</f>
        <v/>
      </c>
      <c r="FF76" s="6" t="str">
        <f>[1]Sheet2!FG75</f>
        <v/>
      </c>
      <c r="FG76" s="6" t="str">
        <f>[1]Sheet2!FH75</f>
        <v/>
      </c>
      <c r="FH76" s="6" t="str">
        <f>[1]Sheet2!FI75</f>
        <v/>
      </c>
      <c r="FI76" s="6" t="str">
        <f>[1]Sheet2!FJ75</f>
        <v/>
      </c>
      <c r="FJ76" s="6" t="str">
        <f>[1]Sheet2!FK75</f>
        <v/>
      </c>
      <c r="FK76" s="6" t="str">
        <f>[1]Sheet2!FL75</f>
        <v/>
      </c>
      <c r="FL76" s="6" t="str">
        <f>[1]Sheet2!FM75</f>
        <v/>
      </c>
      <c r="FM76" s="6" t="str">
        <f>[1]Sheet2!FN75</f>
        <v/>
      </c>
      <c r="FN76" s="6" t="str">
        <f>[1]Sheet2!FO75</f>
        <v/>
      </c>
      <c r="FO76" s="6" t="str">
        <f>[1]Sheet2!FP75</f>
        <v/>
      </c>
    </row>
    <row r="77" spans="1:171" x14ac:dyDescent="0.25">
      <c r="A77" s="15">
        <v>43539</v>
      </c>
      <c r="B77" s="1"/>
      <c r="C77" s="1"/>
      <c r="D77" s="1"/>
      <c r="E77" s="14">
        <f>[1]Sheet2!N76</f>
        <v>0</v>
      </c>
      <c r="F77" s="14">
        <f>[1]Sheet2!BE76</f>
        <v>0</v>
      </c>
      <c r="G77" s="14">
        <f>[1]Sheet2!CW76</f>
        <v>0</v>
      </c>
      <c r="H77" s="1"/>
      <c r="I77" s="1"/>
      <c r="J77" s="1"/>
      <c r="K77" s="16"/>
      <c r="L77" s="16">
        <f>Demand_CWRS!B$5/31</f>
        <v>131.679370700757</v>
      </c>
      <c r="M77" s="16">
        <f>Demand_CWRS!C$5/31</f>
        <v>537.20942928039699</v>
      </c>
      <c r="N77" s="16">
        <f>Demand_CWRS!D$5/31</f>
        <v>0</v>
      </c>
      <c r="O77" s="16">
        <f>Demand_CWRS!E$5/31</f>
        <v>121.5961418056559</v>
      </c>
      <c r="P77" s="16">
        <f>Demand_CWRS!F$5/31</f>
        <v>245.08227837631262</v>
      </c>
      <c r="Q77" s="16">
        <f>Demand_CWRS!G$5/31</f>
        <v>131.679370700757</v>
      </c>
      <c r="R77" s="16">
        <f>Demand_CWRS!H$5/31</f>
        <v>245.08227837631262</v>
      </c>
      <c r="S77" s="16">
        <f>Demand_CWRS!I$5/31</f>
        <v>245.08227837631262</v>
      </c>
      <c r="T77" s="16">
        <f>Demand_CWRS!J$5/31</f>
        <v>245.08227837631262</v>
      </c>
      <c r="U77" s="16">
        <f>Demand_CWRS!K$5/31</f>
        <v>245.08227837631262</v>
      </c>
      <c r="V77" s="16">
        <f t="shared" si="36"/>
        <v>-8372.1343706075149</v>
      </c>
      <c r="W77" s="16">
        <f t="shared" si="37"/>
        <v>-24586.772208436701</v>
      </c>
      <c r="X77" s="16">
        <f t="shared" si="38"/>
        <v>0</v>
      </c>
      <c r="Y77" s="16">
        <f t="shared" si="39"/>
        <v>466.13351394081104</v>
      </c>
      <c r="Z77" s="16">
        <f t="shared" si="40"/>
        <v>-12188.200762183149</v>
      </c>
      <c r="AA77" s="16">
        <f t="shared" si="41"/>
        <v>-7155.1905605113616</v>
      </c>
      <c r="AB77" s="16">
        <f t="shared" si="42"/>
        <v>-16669.24443205494</v>
      </c>
      <c r="AC77" s="16">
        <f t="shared" si="43"/>
        <v>-10876.234175644691</v>
      </c>
      <c r="AD77" s="16">
        <f t="shared" si="44"/>
        <v>-10976.234175644684</v>
      </c>
      <c r="AE77" s="16">
        <f t="shared" si="45"/>
        <v>-11576.234175644688</v>
      </c>
      <c r="AF77" s="14">
        <f>IF([1]Sheet2!AJ76=999999,"NA",[1]Sheet2!AJ76)</f>
        <v>0</v>
      </c>
      <c r="AG77" s="14">
        <f>IF([1]Sheet2!AK76=999999,"NA",[1]Sheet2!AK76)</f>
        <v>0</v>
      </c>
      <c r="AH77" s="14" t="str">
        <f>IF([1]Sheet2!AL76=999999,"NA",[1]Sheet2!AL76)</f>
        <v>NA</v>
      </c>
      <c r="AI77" s="14">
        <f>IF([1]Sheet2!AM76=999999,"NA",[1]Sheet2!AM76)</f>
        <v>3</v>
      </c>
      <c r="AJ77" s="14">
        <f>IF([1]Sheet2!AN76=999999,"NA",[1]Sheet2!AN76)</f>
        <v>0</v>
      </c>
      <c r="AK77" s="14">
        <f>IF([1]Sheet2!AO76=999999,"NA",[1]Sheet2!AO76)</f>
        <v>0</v>
      </c>
      <c r="AL77" s="14">
        <f>IF([1]Sheet2!AP76=999999,"NA",[1]Sheet2!AP76)</f>
        <v>0</v>
      </c>
      <c r="AM77" s="14">
        <f>IF([1]Sheet2!AQ76=999999,"NA",[1]Sheet2!AQ76)</f>
        <v>0</v>
      </c>
      <c r="AN77" s="14">
        <f>IF([1]Sheet2!AR76=999999,"NA",[1]Sheet2!AR76)</f>
        <v>0</v>
      </c>
      <c r="AO77" s="14">
        <f>IF([1]Sheet2!AS76=999999,"NA",[1]Sheet2!AS76)</f>
        <v>0</v>
      </c>
      <c r="AP77" s="14">
        <f>[1]Sheet2!P76</f>
        <v>0</v>
      </c>
      <c r="AQ77" s="14">
        <f>[1]Sheet2!Q76</f>
        <v>0</v>
      </c>
      <c r="AR77" s="14">
        <f>[1]Sheet2!R76</f>
        <v>0</v>
      </c>
      <c r="AS77" s="14">
        <f>[1]Sheet2!S76</f>
        <v>0</v>
      </c>
      <c r="AT77" s="14">
        <f>[1]Sheet2!T76</f>
        <v>0</v>
      </c>
      <c r="AU77" s="14">
        <f>[1]Sheet2!U76</f>
        <v>0</v>
      </c>
      <c r="AV77" s="14">
        <f>[1]Sheet2!V76</f>
        <v>0</v>
      </c>
      <c r="AW77" s="14">
        <f>[1]Sheet2!W76</f>
        <v>0</v>
      </c>
      <c r="AX77" s="14">
        <f>[1]Sheet2!X76</f>
        <v>0</v>
      </c>
      <c r="AY77" s="14">
        <f>[1]Sheet2!Y76</f>
        <v>0</v>
      </c>
      <c r="AZ77" s="16">
        <f>Demand_LP!B$5/31</f>
        <v>754.78140345091151</v>
      </c>
      <c r="BA77" s="16">
        <f>Demand_LP!C$5/31</f>
        <v>547.55235732009919</v>
      </c>
      <c r="BB77" s="16">
        <f>Demand_LP!D$5/31</f>
        <v>312.75612076095945</v>
      </c>
      <c r="BC77" s="16">
        <f>Demand_LP!E$5/31</f>
        <v>772.29437499345636</v>
      </c>
      <c r="BD77" s="16">
        <f>Demand_LP!F$5/31</f>
        <v>471.74248526347748</v>
      </c>
      <c r="BE77" s="16">
        <f>Demand_LP!G$5/31</f>
        <v>451.61290322580646</v>
      </c>
      <c r="BF77" s="16">
        <f>Demand_LP!H$5/31</f>
        <v>547.55235732009919</v>
      </c>
      <c r="BG77" s="16">
        <f>Demand_LP!I$5/31</f>
        <v>451.61290322580646</v>
      </c>
      <c r="BH77" s="16">
        <f>Demand_LP!J$5/31</f>
        <v>451.61290322580646</v>
      </c>
      <c r="BI77" s="16">
        <f>Demand_LP!K$5/31</f>
        <v>451.61290322580646</v>
      </c>
      <c r="BJ77" s="16">
        <f t="shared" si="46"/>
        <v>-39625.522273718823</v>
      </c>
      <c r="BK77" s="16">
        <f t="shared" si="47"/>
        <v>-36855.705872621962</v>
      </c>
      <c r="BL77" s="16">
        <f t="shared" si="48"/>
        <v>-9769.8674524400376</v>
      </c>
      <c r="BM77" s="16">
        <f t="shared" si="49"/>
        <v>-44449.837419773648</v>
      </c>
      <c r="BN77" s="16">
        <f t="shared" si="50"/>
        <v>-25894.436317413674</v>
      </c>
      <c r="BO77" s="16">
        <f t="shared" si="51"/>
        <v>-24674.193548387098</v>
      </c>
      <c r="BP77" s="16">
        <f t="shared" si="52"/>
        <v>-31213.285359801495</v>
      </c>
      <c r="BQ77" s="16">
        <f t="shared" si="53"/>
        <v>-24674.193548387098</v>
      </c>
      <c r="BR77" s="16">
        <f t="shared" si="54"/>
        <v>-22274.193548387098</v>
      </c>
      <c r="BS77" s="16">
        <f t="shared" si="55"/>
        <v>-22974.193548387091</v>
      </c>
      <c r="BT77" s="14">
        <f>IF([1]Sheet2!CB76=999999,"NA",[1]Sheet2!CB76)</f>
        <v>0</v>
      </c>
      <c r="BU77" s="14">
        <f>IF([1]Sheet2!CC76=999999,"NA",[1]Sheet2!CC76)</f>
        <v>0</v>
      </c>
      <c r="BV77" s="14">
        <f>IF([1]Sheet2!CD76=999999,"NA",[1]Sheet2!CD76)</f>
        <v>0</v>
      </c>
      <c r="BW77" s="14">
        <f>IF([1]Sheet2!CE76=999999,"NA",[1]Sheet2!CE76)</f>
        <v>0</v>
      </c>
      <c r="BX77" s="14">
        <f>IF([1]Sheet2!CF76=999999,"NA",[1]Sheet2!CF76)</f>
        <v>0</v>
      </c>
      <c r="BY77" s="14">
        <f>IF([1]Sheet2!CG76=999999,"NA",[1]Sheet2!CG76)</f>
        <v>0</v>
      </c>
      <c r="BZ77" s="14">
        <f>IF([1]Sheet2!CH76=999999,"NA",[1]Sheet2!CH76)</f>
        <v>0</v>
      </c>
      <c r="CA77" s="14">
        <f>IF([1]Sheet2!CI76=999999,"NA",[1]Sheet2!CI76)</f>
        <v>0</v>
      </c>
      <c r="CB77" s="14">
        <f>IF([1]Sheet2!CJ76=999999,"NA",[1]Sheet2!CJ76)</f>
        <v>0</v>
      </c>
      <c r="CC77" s="14">
        <f>IF([1]Sheet2!CK76=999999,"NA",[1]Sheet2!CK76)</f>
        <v>0</v>
      </c>
      <c r="CD77" s="14">
        <f>[1]Sheet2!BH76</f>
        <v>0</v>
      </c>
      <c r="CE77" s="14">
        <f>[1]Sheet2!BI76</f>
        <v>0</v>
      </c>
      <c r="CF77" s="14">
        <f>[1]Sheet2!BJ76</f>
        <v>0</v>
      </c>
      <c r="CG77" s="14">
        <f>[1]Sheet2!BK76</f>
        <v>0</v>
      </c>
      <c r="CH77" s="14">
        <f>[1]Sheet2!BL76</f>
        <v>0</v>
      </c>
      <c r="CI77" s="14">
        <f>[1]Sheet2!BM76</f>
        <v>0</v>
      </c>
      <c r="CJ77" s="14">
        <f>[1]Sheet2!BN76</f>
        <v>0</v>
      </c>
      <c r="CK77" s="14">
        <f>[1]Sheet2!BO76</f>
        <v>0</v>
      </c>
      <c r="CL77" s="14">
        <f>[1]Sheet2!BP76</f>
        <v>0</v>
      </c>
      <c r="CM77" s="14">
        <f>[1]Sheet2!BQ76</f>
        <v>0</v>
      </c>
      <c r="CN77" s="16">
        <f>Demand_SW!B$5/31</f>
        <v>138.46153846153845</v>
      </c>
      <c r="CO77" s="16">
        <f>Demand_SW!C$5/31</f>
        <v>29.776674937965261</v>
      </c>
      <c r="CP77" s="16">
        <f>Demand_SW!D$5/31</f>
        <v>0</v>
      </c>
      <c r="CQ77" s="16">
        <f>Demand_SW!E$5/31</f>
        <v>0</v>
      </c>
      <c r="CR77" s="16">
        <f>Demand_SW!F$5/31</f>
        <v>0</v>
      </c>
      <c r="CS77" s="16">
        <f>Demand_SW!G$5/31</f>
        <v>138.70967741935485</v>
      </c>
      <c r="CT77" s="16">
        <f>Demand_SW!H$5/31</f>
        <v>29.776674937965261</v>
      </c>
      <c r="CU77" s="16">
        <f>Demand_SW!I$5/31</f>
        <v>0</v>
      </c>
      <c r="CV77" s="16">
        <f>Demand_SW!J$5/31</f>
        <v>0</v>
      </c>
      <c r="CW77" s="16">
        <f>Demand_SW!K$5/31</f>
        <v>0</v>
      </c>
      <c r="CX77" s="16">
        <f t="shared" si="56"/>
        <v>-4055.3846153846171</v>
      </c>
      <c r="CY77" s="16">
        <f t="shared" si="57"/>
        <v>553.34987593052119</v>
      </c>
      <c r="CZ77" s="16">
        <f t="shared" si="58"/>
        <v>0</v>
      </c>
      <c r="DA77" s="16">
        <f t="shared" si="59"/>
        <v>0</v>
      </c>
      <c r="DB77" s="16">
        <f t="shared" si="60"/>
        <v>0</v>
      </c>
      <c r="DC77" s="16">
        <f t="shared" si="61"/>
        <v>-3580.6451612903152</v>
      </c>
      <c r="DD77" s="16">
        <f t="shared" si="62"/>
        <v>553.34987593052119</v>
      </c>
      <c r="DE77" s="16">
        <f t="shared" si="63"/>
        <v>0</v>
      </c>
      <c r="DF77" s="16">
        <f t="shared" si="64"/>
        <v>0</v>
      </c>
      <c r="DG77" s="16">
        <f t="shared" si="65"/>
        <v>0</v>
      </c>
      <c r="DH77" s="14">
        <f>IF([1]Sheet2!DS76=999999,"NA",[1]Sheet2!DS76)</f>
        <v>0</v>
      </c>
      <c r="DI77" s="14">
        <f>IF([1]Sheet2!DT76=999999,"NA",[1]Sheet2!DT76)</f>
        <v>291</v>
      </c>
      <c r="DJ77" s="14" t="str">
        <f>IF([1]Sheet2!DU76=999999,"NA",[1]Sheet2!DU76)</f>
        <v>NA</v>
      </c>
      <c r="DK77" s="14" t="str">
        <f>IF([1]Sheet2!DV76=999999,"NA",[1]Sheet2!DV76)</f>
        <v>NA</v>
      </c>
      <c r="DL77" s="14" t="str">
        <f>IF([1]Sheet2!DW76=999999,"NA",[1]Sheet2!DW76)</f>
        <v>NA</v>
      </c>
      <c r="DM77" s="14">
        <f>IF([1]Sheet2!DX76=999999,"NA",[1]Sheet2!DX76)</f>
        <v>0</v>
      </c>
      <c r="DN77" s="14">
        <f>IF([1]Sheet2!DY76=999999,"NA",[1]Sheet2!DY76)</f>
        <v>291</v>
      </c>
      <c r="DO77" s="14" t="str">
        <f>IF([1]Sheet2!DZ76=999999,"NA",[1]Sheet2!DZ76)</f>
        <v>NA</v>
      </c>
      <c r="DP77" s="14" t="str">
        <f>IF([1]Sheet2!EA76=999999,"NA",[1]Sheet2!EA76)</f>
        <v>NA</v>
      </c>
      <c r="DQ77" s="14" t="str">
        <f>IF([1]Sheet2!EB76=999999,"NA",[1]Sheet2!EB76)</f>
        <v>NA</v>
      </c>
      <c r="DR77" s="14">
        <f>[1]Sheet2!CY76</f>
        <v>0</v>
      </c>
      <c r="DS77" s="14">
        <f>[1]Sheet2!CZ76</f>
        <v>0</v>
      </c>
      <c r="DT77" s="14">
        <f>[1]Sheet2!DA76</f>
        <v>0</v>
      </c>
      <c r="DU77" s="14">
        <f>[1]Sheet2!DB76</f>
        <v>0</v>
      </c>
      <c r="DV77" s="14">
        <f>[1]Sheet2!DC76</f>
        <v>0</v>
      </c>
      <c r="DW77" s="14">
        <f>[1]Sheet2!DD76</f>
        <v>0</v>
      </c>
      <c r="DX77" s="14">
        <f>[1]Sheet2!DE76</f>
        <v>0</v>
      </c>
      <c r="DY77" s="14">
        <f>[1]Sheet2!DF76</f>
        <v>0</v>
      </c>
      <c r="DZ77" s="14">
        <f>[1]Sheet2!DG76</f>
        <v>0</v>
      </c>
      <c r="EA77" s="14">
        <f>[1]Sheet2!DH76</f>
        <v>0</v>
      </c>
      <c r="EB77" s="6">
        <f>[1]Sheet2!EC76</f>
        <v>0</v>
      </c>
      <c r="EC77" s="6">
        <f>[1]Sheet2!ED76</f>
        <v>0</v>
      </c>
      <c r="ED77" s="6">
        <f>[1]Sheet2!EE76</f>
        <v>0</v>
      </c>
      <c r="EE77" s="6">
        <f>[1]Sheet2!EF76</f>
        <v>0</v>
      </c>
      <c r="EF77" s="6">
        <f>[1]Sheet2!EG76</f>
        <v>0</v>
      </c>
      <c r="EG77" s="6">
        <f>[1]Sheet2!EH76</f>
        <v>0</v>
      </c>
      <c r="EH77" s="6">
        <f>[1]Sheet2!EI76</f>
        <v>0</v>
      </c>
      <c r="EI77" s="6">
        <f>[1]Sheet2!EJ76</f>
        <v>0</v>
      </c>
      <c r="EJ77" s="6">
        <f>[1]Sheet2!EK76</f>
        <v>0</v>
      </c>
      <c r="EK77" s="6">
        <f>[1]Sheet2!EL76</f>
        <v>0</v>
      </c>
      <c r="EL77" s="6" t="str">
        <f>[1]Sheet2!EM76</f>
        <v/>
      </c>
      <c r="EM77" s="6" t="str">
        <f>[1]Sheet2!EN76</f>
        <v/>
      </c>
      <c r="EN77" s="6" t="str">
        <f>[1]Sheet2!EO76</f>
        <v/>
      </c>
      <c r="EO77" s="6" t="str">
        <f>[1]Sheet2!EP76</f>
        <v/>
      </c>
      <c r="EP77" s="6" t="str">
        <f>[1]Sheet2!EQ76</f>
        <v/>
      </c>
      <c r="EQ77" s="6" t="str">
        <f>[1]Sheet2!ER76</f>
        <v/>
      </c>
      <c r="ER77" s="6" t="str">
        <f>[1]Sheet2!ES76</f>
        <v/>
      </c>
      <c r="ES77" s="6" t="str">
        <f>[1]Sheet2!ET76</f>
        <v/>
      </c>
      <c r="ET77" s="6" t="str">
        <f>[1]Sheet2!EU76</f>
        <v/>
      </c>
      <c r="EU77" s="6" t="str">
        <f>[1]Sheet2!EV76</f>
        <v/>
      </c>
      <c r="EV77" s="6" t="str">
        <f>[1]Sheet2!EW76</f>
        <v/>
      </c>
      <c r="EW77" s="6" t="str">
        <f>[1]Sheet2!EX76</f>
        <v/>
      </c>
      <c r="EX77" s="6" t="str">
        <f>[1]Sheet2!EY76</f>
        <v/>
      </c>
      <c r="EY77" s="6" t="str">
        <f>[1]Sheet2!EZ76</f>
        <v/>
      </c>
      <c r="EZ77" s="6" t="str">
        <f>[1]Sheet2!FA76</f>
        <v/>
      </c>
      <c r="FA77" s="6" t="str">
        <f>[1]Sheet2!FB76</f>
        <v/>
      </c>
      <c r="FB77" s="6" t="str">
        <f>[1]Sheet2!FC76</f>
        <v/>
      </c>
      <c r="FC77" s="6" t="str">
        <f>[1]Sheet2!FD76</f>
        <v/>
      </c>
      <c r="FD77" s="6" t="str">
        <f>[1]Sheet2!FE76</f>
        <v/>
      </c>
      <c r="FE77" s="6" t="str">
        <f>[1]Sheet2!FF76</f>
        <v/>
      </c>
      <c r="FF77" s="6" t="str">
        <f>[1]Sheet2!FG76</f>
        <v/>
      </c>
      <c r="FG77" s="6" t="str">
        <f>[1]Sheet2!FH76</f>
        <v/>
      </c>
      <c r="FH77" s="6" t="str">
        <f>[1]Sheet2!FI76</f>
        <v/>
      </c>
      <c r="FI77" s="6" t="str">
        <f>[1]Sheet2!FJ76</f>
        <v/>
      </c>
      <c r="FJ77" s="6" t="str">
        <f>[1]Sheet2!FK76</f>
        <v/>
      </c>
      <c r="FK77" s="6" t="str">
        <f>[1]Sheet2!FL76</f>
        <v/>
      </c>
      <c r="FL77" s="6" t="str">
        <f>[1]Sheet2!FM76</f>
        <v/>
      </c>
      <c r="FM77" s="6" t="str">
        <f>[1]Sheet2!FN76</f>
        <v/>
      </c>
      <c r="FN77" s="6" t="str">
        <f>[1]Sheet2!FO76</f>
        <v/>
      </c>
      <c r="FO77" s="6" t="str">
        <f>[1]Sheet2!FP76</f>
        <v/>
      </c>
    </row>
    <row r="78" spans="1:171" x14ac:dyDescent="0.25">
      <c r="A78" s="15">
        <v>43540</v>
      </c>
      <c r="B78" s="1"/>
      <c r="C78" s="1"/>
      <c r="D78" s="1"/>
      <c r="E78" s="14">
        <f>[1]Sheet2!N77</f>
        <v>0</v>
      </c>
      <c r="F78" s="14">
        <f>[1]Sheet2!BE77</f>
        <v>0</v>
      </c>
      <c r="G78" s="14">
        <f>[1]Sheet2!CW77</f>
        <v>0</v>
      </c>
      <c r="H78" s="1"/>
      <c r="I78" s="1"/>
      <c r="J78" s="1"/>
      <c r="K78" s="16"/>
      <c r="L78" s="16">
        <f>Demand_CWRS!B$5/31</f>
        <v>131.679370700757</v>
      </c>
      <c r="M78" s="16">
        <f>Demand_CWRS!C$5/31</f>
        <v>537.20942928039699</v>
      </c>
      <c r="N78" s="16">
        <f>Demand_CWRS!D$5/31</f>
        <v>0</v>
      </c>
      <c r="O78" s="16">
        <f>Demand_CWRS!E$5/31</f>
        <v>121.5961418056559</v>
      </c>
      <c r="P78" s="16">
        <f>Demand_CWRS!F$5/31</f>
        <v>245.08227837631262</v>
      </c>
      <c r="Q78" s="16">
        <f>Demand_CWRS!G$5/31</f>
        <v>131.679370700757</v>
      </c>
      <c r="R78" s="16">
        <f>Demand_CWRS!H$5/31</f>
        <v>245.08227837631262</v>
      </c>
      <c r="S78" s="16">
        <f>Demand_CWRS!I$5/31</f>
        <v>245.08227837631262</v>
      </c>
      <c r="T78" s="16">
        <f>Demand_CWRS!J$5/31</f>
        <v>245.08227837631262</v>
      </c>
      <c r="U78" s="16">
        <f>Demand_CWRS!K$5/31</f>
        <v>245.08227837631262</v>
      </c>
      <c r="V78" s="16">
        <f t="shared" si="36"/>
        <v>-8503.8137413082713</v>
      </c>
      <c r="W78" s="16">
        <f t="shared" si="37"/>
        <v>-25123.981637717097</v>
      </c>
      <c r="X78" s="16">
        <f t="shared" si="38"/>
        <v>0</v>
      </c>
      <c r="Y78" s="16">
        <f t="shared" si="39"/>
        <v>344.53737213515512</v>
      </c>
      <c r="Z78" s="16">
        <f t="shared" si="40"/>
        <v>-12433.283040559461</v>
      </c>
      <c r="AA78" s="16">
        <f t="shared" si="41"/>
        <v>-7286.8699312121189</v>
      </c>
      <c r="AB78" s="16">
        <f t="shared" si="42"/>
        <v>-16914.326710431254</v>
      </c>
      <c r="AC78" s="16">
        <f t="shared" si="43"/>
        <v>-11121.316454021004</v>
      </c>
      <c r="AD78" s="16">
        <f t="shared" si="44"/>
        <v>-11221.316454020996</v>
      </c>
      <c r="AE78" s="16">
        <f t="shared" si="45"/>
        <v>-11821.316454021</v>
      </c>
      <c r="AF78" s="14">
        <f>IF([1]Sheet2!AJ77=999999,"NA",[1]Sheet2!AJ77)</f>
        <v>0</v>
      </c>
      <c r="AG78" s="14">
        <f>IF([1]Sheet2!AK77=999999,"NA",[1]Sheet2!AK77)</f>
        <v>0</v>
      </c>
      <c r="AH78" s="14" t="str">
        <f>IF([1]Sheet2!AL77=999999,"NA",[1]Sheet2!AL77)</f>
        <v>NA</v>
      </c>
      <c r="AI78" s="14">
        <f>IF([1]Sheet2!AM77=999999,"NA",[1]Sheet2!AM77)</f>
        <v>2</v>
      </c>
      <c r="AJ78" s="14">
        <f>IF([1]Sheet2!AN77=999999,"NA",[1]Sheet2!AN77)</f>
        <v>0</v>
      </c>
      <c r="AK78" s="14">
        <f>IF([1]Sheet2!AO77=999999,"NA",[1]Sheet2!AO77)</f>
        <v>0</v>
      </c>
      <c r="AL78" s="14">
        <f>IF([1]Sheet2!AP77=999999,"NA",[1]Sheet2!AP77)</f>
        <v>0</v>
      </c>
      <c r="AM78" s="14">
        <f>IF([1]Sheet2!AQ77=999999,"NA",[1]Sheet2!AQ77)</f>
        <v>0</v>
      </c>
      <c r="AN78" s="14">
        <f>IF([1]Sheet2!AR77=999999,"NA",[1]Sheet2!AR77)</f>
        <v>0</v>
      </c>
      <c r="AO78" s="14">
        <f>IF([1]Sheet2!AS77=999999,"NA",[1]Sheet2!AS77)</f>
        <v>0</v>
      </c>
      <c r="AP78" s="14">
        <f>[1]Sheet2!P77</f>
        <v>0</v>
      </c>
      <c r="AQ78" s="14">
        <f>[1]Sheet2!Q77</f>
        <v>0</v>
      </c>
      <c r="AR78" s="14">
        <f>[1]Sheet2!R77</f>
        <v>0</v>
      </c>
      <c r="AS78" s="14">
        <f>[1]Sheet2!S77</f>
        <v>0</v>
      </c>
      <c r="AT78" s="14">
        <f>[1]Sheet2!T77</f>
        <v>0</v>
      </c>
      <c r="AU78" s="14">
        <f>[1]Sheet2!U77</f>
        <v>0</v>
      </c>
      <c r="AV78" s="14">
        <f>[1]Sheet2!V77</f>
        <v>0</v>
      </c>
      <c r="AW78" s="14">
        <f>[1]Sheet2!W77</f>
        <v>0</v>
      </c>
      <c r="AX78" s="14">
        <f>[1]Sheet2!X77</f>
        <v>0</v>
      </c>
      <c r="AY78" s="14">
        <f>[1]Sheet2!Y77</f>
        <v>0</v>
      </c>
      <c r="AZ78" s="16">
        <f>Demand_LP!B$5/31</f>
        <v>754.78140345091151</v>
      </c>
      <c r="BA78" s="16">
        <f>Demand_LP!C$5/31</f>
        <v>547.55235732009919</v>
      </c>
      <c r="BB78" s="16">
        <f>Demand_LP!D$5/31</f>
        <v>312.75612076095945</v>
      </c>
      <c r="BC78" s="16">
        <f>Demand_LP!E$5/31</f>
        <v>772.29437499345636</v>
      </c>
      <c r="BD78" s="16">
        <f>Demand_LP!F$5/31</f>
        <v>471.74248526347748</v>
      </c>
      <c r="BE78" s="16">
        <f>Demand_LP!G$5/31</f>
        <v>451.61290322580646</v>
      </c>
      <c r="BF78" s="16">
        <f>Demand_LP!H$5/31</f>
        <v>547.55235732009919</v>
      </c>
      <c r="BG78" s="16">
        <f>Demand_LP!I$5/31</f>
        <v>451.61290322580646</v>
      </c>
      <c r="BH78" s="16">
        <f>Demand_LP!J$5/31</f>
        <v>451.61290322580646</v>
      </c>
      <c r="BI78" s="16">
        <f>Demand_LP!K$5/31</f>
        <v>451.61290322580646</v>
      </c>
      <c r="BJ78" s="16">
        <f t="shared" si="46"/>
        <v>-40380.303677169737</v>
      </c>
      <c r="BK78" s="16">
        <f t="shared" si="47"/>
        <v>-37403.258229942061</v>
      </c>
      <c r="BL78" s="16">
        <f t="shared" si="48"/>
        <v>-10082.623573200997</v>
      </c>
      <c r="BM78" s="16">
        <f t="shared" si="49"/>
        <v>-45222.131794767105</v>
      </c>
      <c r="BN78" s="16">
        <f t="shared" si="50"/>
        <v>-26366.17880267715</v>
      </c>
      <c r="BO78" s="16">
        <f t="shared" si="51"/>
        <v>-25125.806451612905</v>
      </c>
      <c r="BP78" s="16">
        <f t="shared" si="52"/>
        <v>-31760.837717121594</v>
      </c>
      <c r="BQ78" s="16">
        <f t="shared" si="53"/>
        <v>-25125.806451612905</v>
      </c>
      <c r="BR78" s="16">
        <f t="shared" si="54"/>
        <v>-22725.806451612905</v>
      </c>
      <c r="BS78" s="16">
        <f t="shared" si="55"/>
        <v>-23425.806451612898</v>
      </c>
      <c r="BT78" s="14">
        <f>IF([1]Sheet2!CB77=999999,"NA",[1]Sheet2!CB77)</f>
        <v>0</v>
      </c>
      <c r="BU78" s="14">
        <f>IF([1]Sheet2!CC77=999999,"NA",[1]Sheet2!CC77)</f>
        <v>0</v>
      </c>
      <c r="BV78" s="14">
        <f>IF([1]Sheet2!CD77=999999,"NA",[1]Sheet2!CD77)</f>
        <v>0</v>
      </c>
      <c r="BW78" s="14">
        <f>IF([1]Sheet2!CE77=999999,"NA",[1]Sheet2!CE77)</f>
        <v>0</v>
      </c>
      <c r="BX78" s="14">
        <f>IF([1]Sheet2!CF77=999999,"NA",[1]Sheet2!CF77)</f>
        <v>0</v>
      </c>
      <c r="BY78" s="14">
        <f>IF([1]Sheet2!CG77=999999,"NA",[1]Sheet2!CG77)</f>
        <v>0</v>
      </c>
      <c r="BZ78" s="14">
        <f>IF([1]Sheet2!CH77=999999,"NA",[1]Sheet2!CH77)</f>
        <v>0</v>
      </c>
      <c r="CA78" s="14">
        <f>IF([1]Sheet2!CI77=999999,"NA",[1]Sheet2!CI77)</f>
        <v>0</v>
      </c>
      <c r="CB78" s="14">
        <f>IF([1]Sheet2!CJ77=999999,"NA",[1]Sheet2!CJ77)</f>
        <v>0</v>
      </c>
      <c r="CC78" s="14">
        <f>IF([1]Sheet2!CK77=999999,"NA",[1]Sheet2!CK77)</f>
        <v>0</v>
      </c>
      <c r="CD78" s="14">
        <f>[1]Sheet2!BH77</f>
        <v>0</v>
      </c>
      <c r="CE78" s="14">
        <f>[1]Sheet2!BI77</f>
        <v>0</v>
      </c>
      <c r="CF78" s="14">
        <f>[1]Sheet2!BJ77</f>
        <v>0</v>
      </c>
      <c r="CG78" s="14">
        <f>[1]Sheet2!BK77</f>
        <v>0</v>
      </c>
      <c r="CH78" s="14">
        <f>[1]Sheet2!BL77</f>
        <v>0</v>
      </c>
      <c r="CI78" s="14">
        <f>[1]Sheet2!BM77</f>
        <v>0</v>
      </c>
      <c r="CJ78" s="14">
        <f>[1]Sheet2!BN77</f>
        <v>0</v>
      </c>
      <c r="CK78" s="14">
        <f>[1]Sheet2!BO77</f>
        <v>0</v>
      </c>
      <c r="CL78" s="14">
        <f>[1]Sheet2!BP77</f>
        <v>0</v>
      </c>
      <c r="CM78" s="14">
        <f>[1]Sheet2!BQ77</f>
        <v>0</v>
      </c>
      <c r="CN78" s="16">
        <f>Demand_SW!B$5/31</f>
        <v>138.46153846153845</v>
      </c>
      <c r="CO78" s="16">
        <f>Demand_SW!C$5/31</f>
        <v>29.776674937965261</v>
      </c>
      <c r="CP78" s="16">
        <f>Demand_SW!D$5/31</f>
        <v>0</v>
      </c>
      <c r="CQ78" s="16">
        <f>Demand_SW!E$5/31</f>
        <v>0</v>
      </c>
      <c r="CR78" s="16">
        <f>Demand_SW!F$5/31</f>
        <v>0</v>
      </c>
      <c r="CS78" s="16">
        <f>Demand_SW!G$5/31</f>
        <v>138.70967741935485</v>
      </c>
      <c r="CT78" s="16">
        <f>Demand_SW!H$5/31</f>
        <v>29.776674937965261</v>
      </c>
      <c r="CU78" s="16">
        <f>Demand_SW!I$5/31</f>
        <v>0</v>
      </c>
      <c r="CV78" s="16">
        <f>Demand_SW!J$5/31</f>
        <v>0</v>
      </c>
      <c r="CW78" s="16">
        <f>Demand_SW!K$5/31</f>
        <v>0</v>
      </c>
      <c r="CX78" s="16">
        <f t="shared" si="56"/>
        <v>-4193.8461538461552</v>
      </c>
      <c r="CY78" s="16">
        <f t="shared" si="57"/>
        <v>523.57320099255594</v>
      </c>
      <c r="CZ78" s="16">
        <f t="shared" si="58"/>
        <v>0</v>
      </c>
      <c r="DA78" s="16">
        <f t="shared" si="59"/>
        <v>0</v>
      </c>
      <c r="DB78" s="16">
        <f t="shared" si="60"/>
        <v>0</v>
      </c>
      <c r="DC78" s="16">
        <f t="shared" si="61"/>
        <v>-3719.3548387096698</v>
      </c>
      <c r="DD78" s="16">
        <f t="shared" si="62"/>
        <v>523.57320099255594</v>
      </c>
      <c r="DE78" s="16">
        <f t="shared" si="63"/>
        <v>0</v>
      </c>
      <c r="DF78" s="16">
        <f t="shared" si="64"/>
        <v>0</v>
      </c>
      <c r="DG78" s="16">
        <f t="shared" si="65"/>
        <v>0</v>
      </c>
      <c r="DH78" s="14">
        <f>IF([1]Sheet2!DS77=999999,"NA",[1]Sheet2!DS77)</f>
        <v>0</v>
      </c>
      <c r="DI78" s="14">
        <f>IF([1]Sheet2!DT77=999999,"NA",[1]Sheet2!DT77)</f>
        <v>290</v>
      </c>
      <c r="DJ78" s="14" t="str">
        <f>IF([1]Sheet2!DU77=999999,"NA",[1]Sheet2!DU77)</f>
        <v>NA</v>
      </c>
      <c r="DK78" s="14" t="str">
        <f>IF([1]Sheet2!DV77=999999,"NA",[1]Sheet2!DV77)</f>
        <v>NA</v>
      </c>
      <c r="DL78" s="14" t="str">
        <f>IF([1]Sheet2!DW77=999999,"NA",[1]Sheet2!DW77)</f>
        <v>NA</v>
      </c>
      <c r="DM78" s="14">
        <f>IF([1]Sheet2!DX77=999999,"NA",[1]Sheet2!DX77)</f>
        <v>0</v>
      </c>
      <c r="DN78" s="14">
        <f>IF([1]Sheet2!DY77=999999,"NA",[1]Sheet2!DY77)</f>
        <v>290</v>
      </c>
      <c r="DO78" s="14" t="str">
        <f>IF([1]Sheet2!DZ77=999999,"NA",[1]Sheet2!DZ77)</f>
        <v>NA</v>
      </c>
      <c r="DP78" s="14" t="str">
        <f>IF([1]Sheet2!EA77=999999,"NA",[1]Sheet2!EA77)</f>
        <v>NA</v>
      </c>
      <c r="DQ78" s="14" t="str">
        <f>IF([1]Sheet2!EB77=999999,"NA",[1]Sheet2!EB77)</f>
        <v>NA</v>
      </c>
      <c r="DR78" s="14">
        <f>[1]Sheet2!CY77</f>
        <v>0</v>
      </c>
      <c r="DS78" s="14">
        <f>[1]Sheet2!CZ77</f>
        <v>0</v>
      </c>
      <c r="DT78" s="14">
        <f>[1]Sheet2!DA77</f>
        <v>0</v>
      </c>
      <c r="DU78" s="14">
        <f>[1]Sheet2!DB77</f>
        <v>0</v>
      </c>
      <c r="DV78" s="14">
        <f>[1]Sheet2!DC77</f>
        <v>0</v>
      </c>
      <c r="DW78" s="14">
        <f>[1]Sheet2!DD77</f>
        <v>0</v>
      </c>
      <c r="DX78" s="14">
        <f>[1]Sheet2!DE77</f>
        <v>0</v>
      </c>
      <c r="DY78" s="14">
        <f>[1]Sheet2!DF77</f>
        <v>0</v>
      </c>
      <c r="DZ78" s="14">
        <f>[1]Sheet2!DG77</f>
        <v>0</v>
      </c>
      <c r="EA78" s="14">
        <f>[1]Sheet2!DH77</f>
        <v>0</v>
      </c>
      <c r="EB78" s="6">
        <f>[1]Sheet2!EC77</f>
        <v>0</v>
      </c>
      <c r="EC78" s="6">
        <f>[1]Sheet2!ED77</f>
        <v>0</v>
      </c>
      <c r="ED78" s="6">
        <f>[1]Sheet2!EE77</f>
        <v>0</v>
      </c>
      <c r="EE78" s="6">
        <f>[1]Sheet2!EF77</f>
        <v>0</v>
      </c>
      <c r="EF78" s="6">
        <f>[1]Sheet2!EG77</f>
        <v>0</v>
      </c>
      <c r="EG78" s="6">
        <f>[1]Sheet2!EH77</f>
        <v>0</v>
      </c>
      <c r="EH78" s="6">
        <f>[1]Sheet2!EI77</f>
        <v>0</v>
      </c>
      <c r="EI78" s="6">
        <f>[1]Sheet2!EJ77</f>
        <v>0</v>
      </c>
      <c r="EJ78" s="6">
        <f>[1]Sheet2!EK77</f>
        <v>0</v>
      </c>
      <c r="EK78" s="6">
        <f>[1]Sheet2!EL77</f>
        <v>0</v>
      </c>
      <c r="EL78" s="6" t="str">
        <f>[1]Sheet2!EM77</f>
        <v/>
      </c>
      <c r="EM78" s="6" t="str">
        <f>[1]Sheet2!EN77</f>
        <v/>
      </c>
      <c r="EN78" s="6" t="str">
        <f>[1]Sheet2!EO77</f>
        <v/>
      </c>
      <c r="EO78" s="6" t="str">
        <f>[1]Sheet2!EP77</f>
        <v/>
      </c>
      <c r="EP78" s="6" t="str">
        <f>[1]Sheet2!EQ77</f>
        <v/>
      </c>
      <c r="EQ78" s="6" t="str">
        <f>[1]Sheet2!ER77</f>
        <v/>
      </c>
      <c r="ER78" s="6" t="str">
        <f>[1]Sheet2!ES77</f>
        <v/>
      </c>
      <c r="ES78" s="6" t="str">
        <f>[1]Sheet2!ET77</f>
        <v/>
      </c>
      <c r="ET78" s="6" t="str">
        <f>[1]Sheet2!EU77</f>
        <v/>
      </c>
      <c r="EU78" s="6" t="str">
        <f>[1]Sheet2!EV77</f>
        <v/>
      </c>
      <c r="EV78" s="6" t="str">
        <f>[1]Sheet2!EW77</f>
        <v/>
      </c>
      <c r="EW78" s="6" t="str">
        <f>[1]Sheet2!EX77</f>
        <v/>
      </c>
      <c r="EX78" s="6" t="str">
        <f>[1]Sheet2!EY77</f>
        <v/>
      </c>
      <c r="EY78" s="6" t="str">
        <f>[1]Sheet2!EZ77</f>
        <v/>
      </c>
      <c r="EZ78" s="6" t="str">
        <f>[1]Sheet2!FA77</f>
        <v/>
      </c>
      <c r="FA78" s="6" t="str">
        <f>[1]Sheet2!FB77</f>
        <v/>
      </c>
      <c r="FB78" s="6" t="str">
        <f>[1]Sheet2!FC77</f>
        <v/>
      </c>
      <c r="FC78" s="6" t="str">
        <f>[1]Sheet2!FD77</f>
        <v/>
      </c>
      <c r="FD78" s="6" t="str">
        <f>[1]Sheet2!FE77</f>
        <v/>
      </c>
      <c r="FE78" s="6" t="str">
        <f>[1]Sheet2!FF77</f>
        <v/>
      </c>
      <c r="FF78" s="6" t="str">
        <f>[1]Sheet2!FG77</f>
        <v/>
      </c>
      <c r="FG78" s="6" t="str">
        <f>[1]Sheet2!FH77</f>
        <v/>
      </c>
      <c r="FH78" s="6" t="str">
        <f>[1]Sheet2!FI77</f>
        <v/>
      </c>
      <c r="FI78" s="6" t="str">
        <f>[1]Sheet2!FJ77</f>
        <v/>
      </c>
      <c r="FJ78" s="6" t="str">
        <f>[1]Sheet2!FK77</f>
        <v/>
      </c>
      <c r="FK78" s="6" t="str">
        <f>[1]Sheet2!FL77</f>
        <v/>
      </c>
      <c r="FL78" s="6" t="str">
        <f>[1]Sheet2!FM77</f>
        <v/>
      </c>
      <c r="FM78" s="6" t="str">
        <f>[1]Sheet2!FN77</f>
        <v/>
      </c>
      <c r="FN78" s="6" t="str">
        <f>[1]Sheet2!FO77</f>
        <v/>
      </c>
      <c r="FO78" s="6" t="str">
        <f>[1]Sheet2!FP77</f>
        <v/>
      </c>
    </row>
    <row r="79" spans="1:171" x14ac:dyDescent="0.25">
      <c r="A79" s="15">
        <v>43541</v>
      </c>
      <c r="B79" s="1"/>
      <c r="C79" s="1"/>
      <c r="D79" s="1"/>
      <c r="E79" s="14">
        <f>[1]Sheet2!N78</f>
        <v>0</v>
      </c>
      <c r="F79" s="14">
        <f>[1]Sheet2!BE78</f>
        <v>0</v>
      </c>
      <c r="G79" s="14">
        <f>[1]Sheet2!CW78</f>
        <v>0</v>
      </c>
      <c r="H79" s="1"/>
      <c r="I79" s="1"/>
      <c r="J79" s="1"/>
      <c r="K79" s="16"/>
      <c r="L79" s="16">
        <f>Demand_CWRS!B$5/31</f>
        <v>131.679370700757</v>
      </c>
      <c r="M79" s="16">
        <f>Demand_CWRS!C$5/31</f>
        <v>537.20942928039699</v>
      </c>
      <c r="N79" s="16">
        <f>Demand_CWRS!D$5/31</f>
        <v>0</v>
      </c>
      <c r="O79" s="16">
        <f>Demand_CWRS!E$5/31</f>
        <v>121.5961418056559</v>
      </c>
      <c r="P79" s="16">
        <f>Demand_CWRS!F$5/31</f>
        <v>245.08227837631262</v>
      </c>
      <c r="Q79" s="16">
        <f>Demand_CWRS!G$5/31</f>
        <v>131.679370700757</v>
      </c>
      <c r="R79" s="16">
        <f>Demand_CWRS!H$5/31</f>
        <v>245.08227837631262</v>
      </c>
      <c r="S79" s="16">
        <f>Demand_CWRS!I$5/31</f>
        <v>245.08227837631262</v>
      </c>
      <c r="T79" s="16">
        <f>Demand_CWRS!J$5/31</f>
        <v>245.08227837631262</v>
      </c>
      <c r="U79" s="16">
        <f>Demand_CWRS!K$5/31</f>
        <v>245.08227837631262</v>
      </c>
      <c r="V79" s="16">
        <f t="shared" si="36"/>
        <v>-8635.4931120090278</v>
      </c>
      <c r="W79" s="16">
        <f t="shared" si="37"/>
        <v>-25661.191066997493</v>
      </c>
      <c r="X79" s="16">
        <f t="shared" si="38"/>
        <v>0</v>
      </c>
      <c r="Y79" s="16">
        <f t="shared" si="39"/>
        <v>222.94123032949921</v>
      </c>
      <c r="Z79" s="16">
        <f t="shared" si="40"/>
        <v>-12678.365318935774</v>
      </c>
      <c r="AA79" s="16">
        <f t="shared" si="41"/>
        <v>-7418.5493019128762</v>
      </c>
      <c r="AB79" s="16">
        <f t="shared" si="42"/>
        <v>-17159.408988807569</v>
      </c>
      <c r="AC79" s="16">
        <f t="shared" si="43"/>
        <v>-11366.398732397316</v>
      </c>
      <c r="AD79" s="16">
        <f t="shared" si="44"/>
        <v>-11466.398732397309</v>
      </c>
      <c r="AE79" s="16">
        <f t="shared" si="45"/>
        <v>-12066.398732397312</v>
      </c>
      <c r="AF79" s="14">
        <f>IF([1]Sheet2!AJ78=999999,"NA",[1]Sheet2!AJ78)</f>
        <v>0</v>
      </c>
      <c r="AG79" s="14">
        <f>IF([1]Sheet2!AK78=999999,"NA",[1]Sheet2!AK78)</f>
        <v>0</v>
      </c>
      <c r="AH79" s="14" t="str">
        <f>IF([1]Sheet2!AL78=999999,"NA",[1]Sheet2!AL78)</f>
        <v>NA</v>
      </c>
      <c r="AI79" s="14">
        <f>IF([1]Sheet2!AM78=999999,"NA",[1]Sheet2!AM78)</f>
        <v>1</v>
      </c>
      <c r="AJ79" s="14">
        <f>IF([1]Sheet2!AN78=999999,"NA",[1]Sheet2!AN78)</f>
        <v>0</v>
      </c>
      <c r="AK79" s="14">
        <f>IF([1]Sheet2!AO78=999999,"NA",[1]Sheet2!AO78)</f>
        <v>0</v>
      </c>
      <c r="AL79" s="14">
        <f>IF([1]Sheet2!AP78=999999,"NA",[1]Sheet2!AP78)</f>
        <v>0</v>
      </c>
      <c r="AM79" s="14">
        <f>IF([1]Sheet2!AQ78=999999,"NA",[1]Sheet2!AQ78)</f>
        <v>0</v>
      </c>
      <c r="AN79" s="14">
        <f>IF([1]Sheet2!AR78=999999,"NA",[1]Sheet2!AR78)</f>
        <v>0</v>
      </c>
      <c r="AO79" s="14">
        <f>IF([1]Sheet2!AS78=999999,"NA",[1]Sheet2!AS78)</f>
        <v>0</v>
      </c>
      <c r="AP79" s="14">
        <f>[1]Sheet2!P78</f>
        <v>0</v>
      </c>
      <c r="AQ79" s="14">
        <f>[1]Sheet2!Q78</f>
        <v>0</v>
      </c>
      <c r="AR79" s="14">
        <f>[1]Sheet2!R78</f>
        <v>0</v>
      </c>
      <c r="AS79" s="14">
        <f>[1]Sheet2!S78</f>
        <v>0</v>
      </c>
      <c r="AT79" s="14">
        <f>[1]Sheet2!T78</f>
        <v>0</v>
      </c>
      <c r="AU79" s="14">
        <f>[1]Sheet2!U78</f>
        <v>0</v>
      </c>
      <c r="AV79" s="14">
        <f>[1]Sheet2!V78</f>
        <v>0</v>
      </c>
      <c r="AW79" s="14">
        <f>[1]Sheet2!W78</f>
        <v>0</v>
      </c>
      <c r="AX79" s="14">
        <f>[1]Sheet2!X78</f>
        <v>0</v>
      </c>
      <c r="AY79" s="14">
        <f>[1]Sheet2!Y78</f>
        <v>0</v>
      </c>
      <c r="AZ79" s="16">
        <f>Demand_LP!B$5/31</f>
        <v>754.78140345091151</v>
      </c>
      <c r="BA79" s="16">
        <f>Demand_LP!C$5/31</f>
        <v>547.55235732009919</v>
      </c>
      <c r="BB79" s="16">
        <f>Demand_LP!D$5/31</f>
        <v>312.75612076095945</v>
      </c>
      <c r="BC79" s="16">
        <f>Demand_LP!E$5/31</f>
        <v>772.29437499345636</v>
      </c>
      <c r="BD79" s="16">
        <f>Demand_LP!F$5/31</f>
        <v>471.74248526347748</v>
      </c>
      <c r="BE79" s="16">
        <f>Demand_LP!G$5/31</f>
        <v>451.61290322580646</v>
      </c>
      <c r="BF79" s="16">
        <f>Demand_LP!H$5/31</f>
        <v>547.55235732009919</v>
      </c>
      <c r="BG79" s="16">
        <f>Demand_LP!I$5/31</f>
        <v>451.61290322580646</v>
      </c>
      <c r="BH79" s="16">
        <f>Demand_LP!J$5/31</f>
        <v>451.61290322580646</v>
      </c>
      <c r="BI79" s="16">
        <f>Demand_LP!K$5/31</f>
        <v>451.61290322580646</v>
      </c>
      <c r="BJ79" s="16">
        <f t="shared" si="46"/>
        <v>-41135.085080620651</v>
      </c>
      <c r="BK79" s="16">
        <f t="shared" si="47"/>
        <v>-37950.81058726216</v>
      </c>
      <c r="BL79" s="16">
        <f t="shared" si="48"/>
        <v>-10395.379693961957</v>
      </c>
      <c r="BM79" s="16">
        <f t="shared" si="49"/>
        <v>-45994.426169760562</v>
      </c>
      <c r="BN79" s="16">
        <f t="shared" si="50"/>
        <v>-26837.921287940626</v>
      </c>
      <c r="BO79" s="16">
        <f t="shared" si="51"/>
        <v>-25577.419354838712</v>
      </c>
      <c r="BP79" s="16">
        <f t="shared" si="52"/>
        <v>-32308.390074441693</v>
      </c>
      <c r="BQ79" s="16">
        <f t="shared" si="53"/>
        <v>-25577.419354838712</v>
      </c>
      <c r="BR79" s="16">
        <f t="shared" si="54"/>
        <v>-23177.419354838712</v>
      </c>
      <c r="BS79" s="16">
        <f t="shared" si="55"/>
        <v>-23877.419354838705</v>
      </c>
      <c r="BT79" s="14">
        <f>IF([1]Sheet2!CB78=999999,"NA",[1]Sheet2!CB78)</f>
        <v>0</v>
      </c>
      <c r="BU79" s="14">
        <f>IF([1]Sheet2!CC78=999999,"NA",[1]Sheet2!CC78)</f>
        <v>0</v>
      </c>
      <c r="BV79" s="14">
        <f>IF([1]Sheet2!CD78=999999,"NA",[1]Sheet2!CD78)</f>
        <v>0</v>
      </c>
      <c r="BW79" s="14">
        <f>IF([1]Sheet2!CE78=999999,"NA",[1]Sheet2!CE78)</f>
        <v>0</v>
      </c>
      <c r="BX79" s="14">
        <f>IF([1]Sheet2!CF78=999999,"NA",[1]Sheet2!CF78)</f>
        <v>0</v>
      </c>
      <c r="BY79" s="14">
        <f>IF([1]Sheet2!CG78=999999,"NA",[1]Sheet2!CG78)</f>
        <v>0</v>
      </c>
      <c r="BZ79" s="14">
        <f>IF([1]Sheet2!CH78=999999,"NA",[1]Sheet2!CH78)</f>
        <v>0</v>
      </c>
      <c r="CA79" s="14">
        <f>IF([1]Sheet2!CI78=999999,"NA",[1]Sheet2!CI78)</f>
        <v>0</v>
      </c>
      <c r="CB79" s="14">
        <f>IF([1]Sheet2!CJ78=999999,"NA",[1]Sheet2!CJ78)</f>
        <v>0</v>
      </c>
      <c r="CC79" s="14">
        <f>IF([1]Sheet2!CK78=999999,"NA",[1]Sheet2!CK78)</f>
        <v>0</v>
      </c>
      <c r="CD79" s="14">
        <f>[1]Sheet2!BH78</f>
        <v>0</v>
      </c>
      <c r="CE79" s="14">
        <f>[1]Sheet2!BI78</f>
        <v>0</v>
      </c>
      <c r="CF79" s="14">
        <f>[1]Sheet2!BJ78</f>
        <v>0</v>
      </c>
      <c r="CG79" s="14">
        <f>[1]Sheet2!BK78</f>
        <v>0</v>
      </c>
      <c r="CH79" s="14">
        <f>[1]Sheet2!BL78</f>
        <v>0</v>
      </c>
      <c r="CI79" s="14">
        <f>[1]Sheet2!BM78</f>
        <v>0</v>
      </c>
      <c r="CJ79" s="14">
        <f>[1]Sheet2!BN78</f>
        <v>0</v>
      </c>
      <c r="CK79" s="14">
        <f>[1]Sheet2!BO78</f>
        <v>0</v>
      </c>
      <c r="CL79" s="14">
        <f>[1]Sheet2!BP78</f>
        <v>0</v>
      </c>
      <c r="CM79" s="14">
        <f>[1]Sheet2!BQ78</f>
        <v>0</v>
      </c>
      <c r="CN79" s="16">
        <f>Demand_SW!B$5/31</f>
        <v>138.46153846153845</v>
      </c>
      <c r="CO79" s="16">
        <f>Demand_SW!C$5/31</f>
        <v>29.776674937965261</v>
      </c>
      <c r="CP79" s="16">
        <f>Demand_SW!D$5/31</f>
        <v>0</v>
      </c>
      <c r="CQ79" s="16">
        <f>Demand_SW!E$5/31</f>
        <v>0</v>
      </c>
      <c r="CR79" s="16">
        <f>Demand_SW!F$5/31</f>
        <v>0</v>
      </c>
      <c r="CS79" s="16">
        <f>Demand_SW!G$5/31</f>
        <v>138.70967741935485</v>
      </c>
      <c r="CT79" s="16">
        <f>Demand_SW!H$5/31</f>
        <v>29.776674937965261</v>
      </c>
      <c r="CU79" s="16">
        <f>Demand_SW!I$5/31</f>
        <v>0</v>
      </c>
      <c r="CV79" s="16">
        <f>Demand_SW!J$5/31</f>
        <v>0</v>
      </c>
      <c r="CW79" s="16">
        <f>Demand_SW!K$5/31</f>
        <v>0</v>
      </c>
      <c r="CX79" s="16">
        <f t="shared" si="56"/>
        <v>-4332.3076923076933</v>
      </c>
      <c r="CY79" s="16">
        <f t="shared" si="57"/>
        <v>493.79652605459069</v>
      </c>
      <c r="CZ79" s="16">
        <f t="shared" si="58"/>
        <v>0</v>
      </c>
      <c r="DA79" s="16">
        <f t="shared" si="59"/>
        <v>0</v>
      </c>
      <c r="DB79" s="16">
        <f t="shared" si="60"/>
        <v>0</v>
      </c>
      <c r="DC79" s="16">
        <f t="shared" si="61"/>
        <v>-3858.0645161290245</v>
      </c>
      <c r="DD79" s="16">
        <f t="shared" si="62"/>
        <v>493.79652605459069</v>
      </c>
      <c r="DE79" s="16">
        <f t="shared" si="63"/>
        <v>0</v>
      </c>
      <c r="DF79" s="16">
        <f t="shared" si="64"/>
        <v>0</v>
      </c>
      <c r="DG79" s="16">
        <f t="shared" si="65"/>
        <v>0</v>
      </c>
      <c r="DH79" s="14">
        <f>IF([1]Sheet2!DS78=999999,"NA",[1]Sheet2!DS78)</f>
        <v>0</v>
      </c>
      <c r="DI79" s="14">
        <f>IF([1]Sheet2!DT78=999999,"NA",[1]Sheet2!DT78)</f>
        <v>289</v>
      </c>
      <c r="DJ79" s="14" t="str">
        <f>IF([1]Sheet2!DU78=999999,"NA",[1]Sheet2!DU78)</f>
        <v>NA</v>
      </c>
      <c r="DK79" s="14" t="str">
        <f>IF([1]Sheet2!DV78=999999,"NA",[1]Sheet2!DV78)</f>
        <v>NA</v>
      </c>
      <c r="DL79" s="14" t="str">
        <f>IF([1]Sheet2!DW78=999999,"NA",[1]Sheet2!DW78)</f>
        <v>NA</v>
      </c>
      <c r="DM79" s="14">
        <f>IF([1]Sheet2!DX78=999999,"NA",[1]Sheet2!DX78)</f>
        <v>0</v>
      </c>
      <c r="DN79" s="14">
        <f>IF([1]Sheet2!DY78=999999,"NA",[1]Sheet2!DY78)</f>
        <v>289</v>
      </c>
      <c r="DO79" s="14" t="str">
        <f>IF([1]Sheet2!DZ78=999999,"NA",[1]Sheet2!DZ78)</f>
        <v>NA</v>
      </c>
      <c r="DP79" s="14" t="str">
        <f>IF([1]Sheet2!EA78=999999,"NA",[1]Sheet2!EA78)</f>
        <v>NA</v>
      </c>
      <c r="DQ79" s="14" t="str">
        <f>IF([1]Sheet2!EB78=999999,"NA",[1]Sheet2!EB78)</f>
        <v>NA</v>
      </c>
      <c r="DR79" s="14">
        <f>[1]Sheet2!CY78</f>
        <v>0</v>
      </c>
      <c r="DS79" s="14">
        <f>[1]Sheet2!CZ78</f>
        <v>0</v>
      </c>
      <c r="DT79" s="14">
        <f>[1]Sheet2!DA78</f>
        <v>0</v>
      </c>
      <c r="DU79" s="14">
        <f>[1]Sheet2!DB78</f>
        <v>0</v>
      </c>
      <c r="DV79" s="14">
        <f>[1]Sheet2!DC78</f>
        <v>0</v>
      </c>
      <c r="DW79" s="14">
        <f>[1]Sheet2!DD78</f>
        <v>0</v>
      </c>
      <c r="DX79" s="14">
        <f>[1]Sheet2!DE78</f>
        <v>0</v>
      </c>
      <c r="DY79" s="14">
        <f>[1]Sheet2!DF78</f>
        <v>0</v>
      </c>
      <c r="DZ79" s="14">
        <f>[1]Sheet2!DG78</f>
        <v>0</v>
      </c>
      <c r="EA79" s="14">
        <f>[1]Sheet2!DH78</f>
        <v>0</v>
      </c>
      <c r="EB79" s="6">
        <f>[1]Sheet2!EC78</f>
        <v>0</v>
      </c>
      <c r="EC79" s="6">
        <f>[1]Sheet2!ED78</f>
        <v>0</v>
      </c>
      <c r="ED79" s="6">
        <f>[1]Sheet2!EE78</f>
        <v>0</v>
      </c>
      <c r="EE79" s="6">
        <f>[1]Sheet2!EF78</f>
        <v>0</v>
      </c>
      <c r="EF79" s="6">
        <f>[1]Sheet2!EG78</f>
        <v>0</v>
      </c>
      <c r="EG79" s="6">
        <f>[1]Sheet2!EH78</f>
        <v>0</v>
      </c>
      <c r="EH79" s="6">
        <f>[1]Sheet2!EI78</f>
        <v>0</v>
      </c>
      <c r="EI79" s="6">
        <f>[1]Sheet2!EJ78</f>
        <v>0</v>
      </c>
      <c r="EJ79" s="6">
        <f>[1]Sheet2!EK78</f>
        <v>0</v>
      </c>
      <c r="EK79" s="6">
        <f>[1]Sheet2!EL78</f>
        <v>0</v>
      </c>
      <c r="EL79" s="6" t="str">
        <f>[1]Sheet2!EM78</f>
        <v/>
      </c>
      <c r="EM79" s="6" t="str">
        <f>[1]Sheet2!EN78</f>
        <v/>
      </c>
      <c r="EN79" s="6" t="str">
        <f>[1]Sheet2!EO78</f>
        <v/>
      </c>
      <c r="EO79" s="6" t="str">
        <f>[1]Sheet2!EP78</f>
        <v/>
      </c>
      <c r="EP79" s="6" t="str">
        <f>[1]Sheet2!EQ78</f>
        <v/>
      </c>
      <c r="EQ79" s="6" t="str">
        <f>[1]Sheet2!ER78</f>
        <v/>
      </c>
      <c r="ER79" s="6" t="str">
        <f>[1]Sheet2!ES78</f>
        <v/>
      </c>
      <c r="ES79" s="6" t="str">
        <f>[1]Sheet2!ET78</f>
        <v/>
      </c>
      <c r="ET79" s="6" t="str">
        <f>[1]Sheet2!EU78</f>
        <v/>
      </c>
      <c r="EU79" s="6" t="str">
        <f>[1]Sheet2!EV78</f>
        <v/>
      </c>
      <c r="EV79" s="6" t="str">
        <f>[1]Sheet2!EW78</f>
        <v/>
      </c>
      <c r="EW79" s="6" t="str">
        <f>[1]Sheet2!EX78</f>
        <v/>
      </c>
      <c r="EX79" s="6" t="str">
        <f>[1]Sheet2!EY78</f>
        <v/>
      </c>
      <c r="EY79" s="6" t="str">
        <f>[1]Sheet2!EZ78</f>
        <v/>
      </c>
      <c r="EZ79" s="6" t="str">
        <f>[1]Sheet2!FA78</f>
        <v/>
      </c>
      <c r="FA79" s="6" t="str">
        <f>[1]Sheet2!FB78</f>
        <v/>
      </c>
      <c r="FB79" s="6" t="str">
        <f>[1]Sheet2!FC78</f>
        <v/>
      </c>
      <c r="FC79" s="6" t="str">
        <f>[1]Sheet2!FD78</f>
        <v/>
      </c>
      <c r="FD79" s="6" t="str">
        <f>[1]Sheet2!FE78</f>
        <v/>
      </c>
      <c r="FE79" s="6" t="str">
        <f>[1]Sheet2!FF78</f>
        <v/>
      </c>
      <c r="FF79" s="6" t="str">
        <f>[1]Sheet2!FG78</f>
        <v/>
      </c>
      <c r="FG79" s="6" t="str">
        <f>[1]Sheet2!FH78</f>
        <v/>
      </c>
      <c r="FH79" s="6" t="str">
        <f>[1]Sheet2!FI78</f>
        <v/>
      </c>
      <c r="FI79" s="6" t="str">
        <f>[1]Sheet2!FJ78</f>
        <v/>
      </c>
      <c r="FJ79" s="6" t="str">
        <f>[1]Sheet2!FK78</f>
        <v/>
      </c>
      <c r="FK79" s="6" t="str">
        <f>[1]Sheet2!FL78</f>
        <v/>
      </c>
      <c r="FL79" s="6" t="str">
        <f>[1]Sheet2!FM78</f>
        <v/>
      </c>
      <c r="FM79" s="6" t="str">
        <f>[1]Sheet2!FN78</f>
        <v/>
      </c>
      <c r="FN79" s="6" t="str">
        <f>[1]Sheet2!FO78</f>
        <v/>
      </c>
      <c r="FO79" s="6" t="str">
        <f>[1]Sheet2!FP78</f>
        <v/>
      </c>
    </row>
    <row r="80" spans="1:171" x14ac:dyDescent="0.25">
      <c r="A80" s="15">
        <v>43542</v>
      </c>
      <c r="B80" s="1"/>
      <c r="C80" s="1"/>
      <c r="D80" s="1"/>
      <c r="E80" s="14">
        <f>[1]Sheet2!N79</f>
        <v>0</v>
      </c>
      <c r="F80" s="14">
        <f>[1]Sheet2!BE79</f>
        <v>0</v>
      </c>
      <c r="G80" s="14">
        <f>[1]Sheet2!CW79</f>
        <v>0</v>
      </c>
      <c r="H80" s="1"/>
      <c r="I80" s="1"/>
      <c r="J80" s="1"/>
      <c r="K80" s="16"/>
      <c r="L80" s="16">
        <f>Demand_CWRS!B$5/31</f>
        <v>131.679370700757</v>
      </c>
      <c r="M80" s="16">
        <f>Demand_CWRS!C$5/31</f>
        <v>537.20942928039699</v>
      </c>
      <c r="N80" s="16">
        <f>Demand_CWRS!D$5/31</f>
        <v>0</v>
      </c>
      <c r="O80" s="16">
        <f>Demand_CWRS!E$5/31</f>
        <v>121.5961418056559</v>
      </c>
      <c r="P80" s="16">
        <f>Demand_CWRS!F$5/31</f>
        <v>245.08227837631262</v>
      </c>
      <c r="Q80" s="16">
        <f>Demand_CWRS!G$5/31</f>
        <v>131.679370700757</v>
      </c>
      <c r="R80" s="16">
        <f>Demand_CWRS!H$5/31</f>
        <v>245.08227837631262</v>
      </c>
      <c r="S80" s="16">
        <f>Demand_CWRS!I$5/31</f>
        <v>245.08227837631262</v>
      </c>
      <c r="T80" s="16">
        <f>Demand_CWRS!J$5/31</f>
        <v>245.08227837631262</v>
      </c>
      <c r="U80" s="16">
        <f>Demand_CWRS!K$5/31</f>
        <v>245.08227837631262</v>
      </c>
      <c r="V80" s="16">
        <f t="shared" si="36"/>
        <v>-8767.1724827097842</v>
      </c>
      <c r="W80" s="16">
        <f t="shared" si="37"/>
        <v>-26198.400496277889</v>
      </c>
      <c r="X80" s="16">
        <f t="shared" si="38"/>
        <v>0</v>
      </c>
      <c r="Y80" s="16">
        <f t="shared" si="39"/>
        <v>101.3450885238433</v>
      </c>
      <c r="Z80" s="16">
        <f t="shared" si="40"/>
        <v>-12923.447597312086</v>
      </c>
      <c r="AA80" s="16">
        <f t="shared" si="41"/>
        <v>-7550.2286726136335</v>
      </c>
      <c r="AB80" s="16">
        <f t="shared" si="42"/>
        <v>-17404.491267183883</v>
      </c>
      <c r="AC80" s="16">
        <f t="shared" si="43"/>
        <v>-11611.481010773628</v>
      </c>
      <c r="AD80" s="16">
        <f t="shared" si="44"/>
        <v>-11711.481010773621</v>
      </c>
      <c r="AE80" s="16">
        <f t="shared" si="45"/>
        <v>-12311.481010773625</v>
      </c>
      <c r="AF80" s="14">
        <f>IF([1]Sheet2!AJ79=999999,"NA",[1]Sheet2!AJ79)</f>
        <v>0</v>
      </c>
      <c r="AG80" s="14">
        <f>IF([1]Sheet2!AK79=999999,"NA",[1]Sheet2!AK79)</f>
        <v>0</v>
      </c>
      <c r="AH80" s="14" t="str">
        <f>IF([1]Sheet2!AL79=999999,"NA",[1]Sheet2!AL79)</f>
        <v>NA</v>
      </c>
      <c r="AI80" s="14">
        <f>IF([1]Sheet2!AM79=999999,"NA",[1]Sheet2!AM79)</f>
        <v>0</v>
      </c>
      <c r="AJ80" s="14">
        <f>IF([1]Sheet2!AN79=999999,"NA",[1]Sheet2!AN79)</f>
        <v>0</v>
      </c>
      <c r="AK80" s="14">
        <f>IF([1]Sheet2!AO79=999999,"NA",[1]Sheet2!AO79)</f>
        <v>0</v>
      </c>
      <c r="AL80" s="14">
        <f>IF([1]Sheet2!AP79=999999,"NA",[1]Sheet2!AP79)</f>
        <v>0</v>
      </c>
      <c r="AM80" s="14">
        <f>IF([1]Sheet2!AQ79=999999,"NA",[1]Sheet2!AQ79)</f>
        <v>0</v>
      </c>
      <c r="AN80" s="14">
        <f>IF([1]Sheet2!AR79=999999,"NA",[1]Sheet2!AR79)</f>
        <v>0</v>
      </c>
      <c r="AO80" s="14">
        <f>IF([1]Sheet2!AS79=999999,"NA",[1]Sheet2!AS79)</f>
        <v>0</v>
      </c>
      <c r="AP80" s="14">
        <f>[1]Sheet2!P79</f>
        <v>0</v>
      </c>
      <c r="AQ80" s="14">
        <f>[1]Sheet2!Q79</f>
        <v>0</v>
      </c>
      <c r="AR80" s="14">
        <f>[1]Sheet2!R79</f>
        <v>0</v>
      </c>
      <c r="AS80" s="14">
        <f>[1]Sheet2!S79</f>
        <v>0</v>
      </c>
      <c r="AT80" s="14">
        <f>[1]Sheet2!T79</f>
        <v>0</v>
      </c>
      <c r="AU80" s="14">
        <f>[1]Sheet2!U79</f>
        <v>0</v>
      </c>
      <c r="AV80" s="14">
        <f>[1]Sheet2!V79</f>
        <v>0</v>
      </c>
      <c r="AW80" s="14">
        <f>[1]Sheet2!W79</f>
        <v>0</v>
      </c>
      <c r="AX80" s="14">
        <f>[1]Sheet2!X79</f>
        <v>0</v>
      </c>
      <c r="AY80" s="14">
        <f>[1]Sheet2!Y79</f>
        <v>0</v>
      </c>
      <c r="AZ80" s="16">
        <f>Demand_LP!B$5/31</f>
        <v>754.78140345091151</v>
      </c>
      <c r="BA80" s="16">
        <f>Demand_LP!C$5/31</f>
        <v>547.55235732009919</v>
      </c>
      <c r="BB80" s="16">
        <f>Demand_LP!D$5/31</f>
        <v>312.75612076095945</v>
      </c>
      <c r="BC80" s="16">
        <f>Demand_LP!E$5/31</f>
        <v>772.29437499345636</v>
      </c>
      <c r="BD80" s="16">
        <f>Demand_LP!F$5/31</f>
        <v>471.74248526347748</v>
      </c>
      <c r="BE80" s="16">
        <f>Demand_LP!G$5/31</f>
        <v>451.61290322580646</v>
      </c>
      <c r="BF80" s="16">
        <f>Demand_LP!H$5/31</f>
        <v>547.55235732009919</v>
      </c>
      <c r="BG80" s="16">
        <f>Demand_LP!I$5/31</f>
        <v>451.61290322580646</v>
      </c>
      <c r="BH80" s="16">
        <f>Demand_LP!J$5/31</f>
        <v>451.61290322580646</v>
      </c>
      <c r="BI80" s="16">
        <f>Demand_LP!K$5/31</f>
        <v>451.61290322580646</v>
      </c>
      <c r="BJ80" s="16">
        <f t="shared" si="46"/>
        <v>-41889.866484071565</v>
      </c>
      <c r="BK80" s="16">
        <f t="shared" si="47"/>
        <v>-38498.362944582259</v>
      </c>
      <c r="BL80" s="16">
        <f t="shared" si="48"/>
        <v>-10708.135814722917</v>
      </c>
      <c r="BM80" s="16">
        <f t="shared" si="49"/>
        <v>-46766.720544754018</v>
      </c>
      <c r="BN80" s="16">
        <f t="shared" si="50"/>
        <v>-27309.663773204102</v>
      </c>
      <c r="BO80" s="16">
        <f t="shared" si="51"/>
        <v>-26029.032258064519</v>
      </c>
      <c r="BP80" s="16">
        <f t="shared" si="52"/>
        <v>-32855.942431761796</v>
      </c>
      <c r="BQ80" s="16">
        <f t="shared" si="53"/>
        <v>-26029.032258064519</v>
      </c>
      <c r="BR80" s="16">
        <f t="shared" si="54"/>
        <v>-23629.032258064519</v>
      </c>
      <c r="BS80" s="16">
        <f t="shared" si="55"/>
        <v>-24329.032258064512</v>
      </c>
      <c r="BT80" s="14">
        <f>IF([1]Sheet2!CB79=999999,"NA",[1]Sheet2!CB79)</f>
        <v>0</v>
      </c>
      <c r="BU80" s="14">
        <f>IF([1]Sheet2!CC79=999999,"NA",[1]Sheet2!CC79)</f>
        <v>0</v>
      </c>
      <c r="BV80" s="14">
        <f>IF([1]Sheet2!CD79=999999,"NA",[1]Sheet2!CD79)</f>
        <v>0</v>
      </c>
      <c r="BW80" s="14">
        <f>IF([1]Sheet2!CE79=999999,"NA",[1]Sheet2!CE79)</f>
        <v>0</v>
      </c>
      <c r="BX80" s="14">
        <f>IF([1]Sheet2!CF79=999999,"NA",[1]Sheet2!CF79)</f>
        <v>0</v>
      </c>
      <c r="BY80" s="14">
        <f>IF([1]Sheet2!CG79=999999,"NA",[1]Sheet2!CG79)</f>
        <v>0</v>
      </c>
      <c r="BZ80" s="14">
        <f>IF([1]Sheet2!CH79=999999,"NA",[1]Sheet2!CH79)</f>
        <v>0</v>
      </c>
      <c r="CA80" s="14">
        <f>IF([1]Sheet2!CI79=999999,"NA",[1]Sheet2!CI79)</f>
        <v>0</v>
      </c>
      <c r="CB80" s="14">
        <f>IF([1]Sheet2!CJ79=999999,"NA",[1]Sheet2!CJ79)</f>
        <v>0</v>
      </c>
      <c r="CC80" s="14">
        <f>IF([1]Sheet2!CK79=999999,"NA",[1]Sheet2!CK79)</f>
        <v>0</v>
      </c>
      <c r="CD80" s="14">
        <f>[1]Sheet2!BH79</f>
        <v>0</v>
      </c>
      <c r="CE80" s="14">
        <f>[1]Sheet2!BI79</f>
        <v>0</v>
      </c>
      <c r="CF80" s="14">
        <f>[1]Sheet2!BJ79</f>
        <v>0</v>
      </c>
      <c r="CG80" s="14">
        <f>[1]Sheet2!BK79</f>
        <v>0</v>
      </c>
      <c r="CH80" s="14">
        <f>[1]Sheet2!BL79</f>
        <v>0</v>
      </c>
      <c r="CI80" s="14">
        <f>[1]Sheet2!BM79</f>
        <v>0</v>
      </c>
      <c r="CJ80" s="14">
        <f>[1]Sheet2!BN79</f>
        <v>0</v>
      </c>
      <c r="CK80" s="14">
        <f>[1]Sheet2!BO79</f>
        <v>0</v>
      </c>
      <c r="CL80" s="14">
        <f>[1]Sheet2!BP79</f>
        <v>0</v>
      </c>
      <c r="CM80" s="14">
        <f>[1]Sheet2!BQ79</f>
        <v>0</v>
      </c>
      <c r="CN80" s="16">
        <f>Demand_SW!B$5/31</f>
        <v>138.46153846153845</v>
      </c>
      <c r="CO80" s="16">
        <f>Demand_SW!C$5/31</f>
        <v>29.776674937965261</v>
      </c>
      <c r="CP80" s="16">
        <f>Demand_SW!D$5/31</f>
        <v>0</v>
      </c>
      <c r="CQ80" s="16">
        <f>Demand_SW!E$5/31</f>
        <v>0</v>
      </c>
      <c r="CR80" s="16">
        <f>Demand_SW!F$5/31</f>
        <v>0</v>
      </c>
      <c r="CS80" s="16">
        <f>Demand_SW!G$5/31</f>
        <v>138.70967741935485</v>
      </c>
      <c r="CT80" s="16">
        <f>Demand_SW!H$5/31</f>
        <v>29.776674937965261</v>
      </c>
      <c r="CU80" s="16">
        <f>Demand_SW!I$5/31</f>
        <v>0</v>
      </c>
      <c r="CV80" s="16">
        <f>Demand_SW!J$5/31</f>
        <v>0</v>
      </c>
      <c r="CW80" s="16">
        <f>Demand_SW!K$5/31</f>
        <v>0</v>
      </c>
      <c r="CX80" s="16">
        <f t="shared" si="56"/>
        <v>-4470.7692307692314</v>
      </c>
      <c r="CY80" s="16">
        <f t="shared" si="57"/>
        <v>464.01985111662543</v>
      </c>
      <c r="CZ80" s="16">
        <f t="shared" si="58"/>
        <v>0</v>
      </c>
      <c r="DA80" s="16">
        <f t="shared" si="59"/>
        <v>0</v>
      </c>
      <c r="DB80" s="16">
        <f t="shared" si="60"/>
        <v>0</v>
      </c>
      <c r="DC80" s="16">
        <f t="shared" si="61"/>
        <v>-3996.7741935483791</v>
      </c>
      <c r="DD80" s="16">
        <f t="shared" si="62"/>
        <v>464.01985111662543</v>
      </c>
      <c r="DE80" s="16">
        <f t="shared" si="63"/>
        <v>0</v>
      </c>
      <c r="DF80" s="16">
        <f t="shared" si="64"/>
        <v>0</v>
      </c>
      <c r="DG80" s="16">
        <f t="shared" si="65"/>
        <v>0</v>
      </c>
      <c r="DH80" s="14">
        <f>IF([1]Sheet2!DS79=999999,"NA",[1]Sheet2!DS79)</f>
        <v>0</v>
      </c>
      <c r="DI80" s="14">
        <f>IF([1]Sheet2!DT79=999999,"NA",[1]Sheet2!DT79)</f>
        <v>288</v>
      </c>
      <c r="DJ80" s="14" t="str">
        <f>IF([1]Sheet2!DU79=999999,"NA",[1]Sheet2!DU79)</f>
        <v>NA</v>
      </c>
      <c r="DK80" s="14" t="str">
        <f>IF([1]Sheet2!DV79=999999,"NA",[1]Sheet2!DV79)</f>
        <v>NA</v>
      </c>
      <c r="DL80" s="14" t="str">
        <f>IF([1]Sheet2!DW79=999999,"NA",[1]Sheet2!DW79)</f>
        <v>NA</v>
      </c>
      <c r="DM80" s="14">
        <f>IF([1]Sheet2!DX79=999999,"NA",[1]Sheet2!DX79)</f>
        <v>0</v>
      </c>
      <c r="DN80" s="14">
        <f>IF([1]Sheet2!DY79=999999,"NA",[1]Sheet2!DY79)</f>
        <v>288</v>
      </c>
      <c r="DO80" s="14" t="str">
        <f>IF([1]Sheet2!DZ79=999999,"NA",[1]Sheet2!DZ79)</f>
        <v>NA</v>
      </c>
      <c r="DP80" s="14" t="str">
        <f>IF([1]Sheet2!EA79=999999,"NA",[1]Sheet2!EA79)</f>
        <v>NA</v>
      </c>
      <c r="DQ80" s="14" t="str">
        <f>IF([1]Sheet2!EB79=999999,"NA",[1]Sheet2!EB79)</f>
        <v>NA</v>
      </c>
      <c r="DR80" s="14">
        <f>[1]Sheet2!CY79</f>
        <v>0</v>
      </c>
      <c r="DS80" s="14">
        <f>[1]Sheet2!CZ79</f>
        <v>0</v>
      </c>
      <c r="DT80" s="14">
        <f>[1]Sheet2!DA79</f>
        <v>0</v>
      </c>
      <c r="DU80" s="14">
        <f>[1]Sheet2!DB79</f>
        <v>0</v>
      </c>
      <c r="DV80" s="14">
        <f>[1]Sheet2!DC79</f>
        <v>0</v>
      </c>
      <c r="DW80" s="14">
        <f>[1]Sheet2!DD79</f>
        <v>0</v>
      </c>
      <c r="DX80" s="14">
        <f>[1]Sheet2!DE79</f>
        <v>0</v>
      </c>
      <c r="DY80" s="14">
        <f>[1]Sheet2!DF79</f>
        <v>0</v>
      </c>
      <c r="DZ80" s="14">
        <f>[1]Sheet2!DG79</f>
        <v>0</v>
      </c>
      <c r="EA80" s="14">
        <f>[1]Sheet2!DH79</f>
        <v>0</v>
      </c>
      <c r="EB80" s="6">
        <f>[1]Sheet2!EC79</f>
        <v>0</v>
      </c>
      <c r="EC80" s="6">
        <f>[1]Sheet2!ED79</f>
        <v>0</v>
      </c>
      <c r="ED80" s="6">
        <f>[1]Sheet2!EE79</f>
        <v>0</v>
      </c>
      <c r="EE80" s="6">
        <f>[1]Sheet2!EF79</f>
        <v>0</v>
      </c>
      <c r="EF80" s="6">
        <f>[1]Sheet2!EG79</f>
        <v>0</v>
      </c>
      <c r="EG80" s="6">
        <f>[1]Sheet2!EH79</f>
        <v>0</v>
      </c>
      <c r="EH80" s="6">
        <f>[1]Sheet2!EI79</f>
        <v>0</v>
      </c>
      <c r="EI80" s="6">
        <f>[1]Sheet2!EJ79</f>
        <v>0</v>
      </c>
      <c r="EJ80" s="6">
        <f>[1]Sheet2!EK79</f>
        <v>0</v>
      </c>
      <c r="EK80" s="6">
        <f>[1]Sheet2!EL79</f>
        <v>0</v>
      </c>
      <c r="EL80" s="6" t="str">
        <f>[1]Sheet2!EM79</f>
        <v/>
      </c>
      <c r="EM80" s="6" t="str">
        <f>[1]Sheet2!EN79</f>
        <v/>
      </c>
      <c r="EN80" s="6" t="str">
        <f>[1]Sheet2!EO79</f>
        <v/>
      </c>
      <c r="EO80" s="6" t="str">
        <f>[1]Sheet2!EP79</f>
        <v/>
      </c>
      <c r="EP80" s="6" t="str">
        <f>[1]Sheet2!EQ79</f>
        <v/>
      </c>
      <c r="EQ80" s="6" t="str">
        <f>[1]Sheet2!ER79</f>
        <v/>
      </c>
      <c r="ER80" s="6" t="str">
        <f>[1]Sheet2!ES79</f>
        <v/>
      </c>
      <c r="ES80" s="6" t="str">
        <f>[1]Sheet2!ET79</f>
        <v/>
      </c>
      <c r="ET80" s="6" t="str">
        <f>[1]Sheet2!EU79</f>
        <v/>
      </c>
      <c r="EU80" s="6" t="str">
        <f>[1]Sheet2!EV79</f>
        <v/>
      </c>
      <c r="EV80" s="6" t="str">
        <f>[1]Sheet2!EW79</f>
        <v/>
      </c>
      <c r="EW80" s="6" t="str">
        <f>[1]Sheet2!EX79</f>
        <v/>
      </c>
      <c r="EX80" s="6" t="str">
        <f>[1]Sheet2!EY79</f>
        <v/>
      </c>
      <c r="EY80" s="6" t="str">
        <f>[1]Sheet2!EZ79</f>
        <v/>
      </c>
      <c r="EZ80" s="6" t="str">
        <f>[1]Sheet2!FA79</f>
        <v/>
      </c>
      <c r="FA80" s="6" t="str">
        <f>[1]Sheet2!FB79</f>
        <v/>
      </c>
      <c r="FB80" s="6" t="str">
        <f>[1]Sheet2!FC79</f>
        <v/>
      </c>
      <c r="FC80" s="6" t="str">
        <f>[1]Sheet2!FD79</f>
        <v/>
      </c>
      <c r="FD80" s="6" t="str">
        <f>[1]Sheet2!FE79</f>
        <v/>
      </c>
      <c r="FE80" s="6" t="str">
        <f>[1]Sheet2!FF79</f>
        <v/>
      </c>
      <c r="FF80" s="6" t="str">
        <f>[1]Sheet2!FG79</f>
        <v/>
      </c>
      <c r="FG80" s="6" t="str">
        <f>[1]Sheet2!FH79</f>
        <v/>
      </c>
      <c r="FH80" s="6" t="str">
        <f>[1]Sheet2!FI79</f>
        <v/>
      </c>
      <c r="FI80" s="6" t="str">
        <f>[1]Sheet2!FJ79</f>
        <v/>
      </c>
      <c r="FJ80" s="6" t="str">
        <f>[1]Sheet2!FK79</f>
        <v/>
      </c>
      <c r="FK80" s="6" t="str">
        <f>[1]Sheet2!FL79</f>
        <v/>
      </c>
      <c r="FL80" s="6" t="str">
        <f>[1]Sheet2!FM79</f>
        <v/>
      </c>
      <c r="FM80" s="6" t="str">
        <f>[1]Sheet2!FN79</f>
        <v/>
      </c>
      <c r="FN80" s="6" t="str">
        <f>[1]Sheet2!FO79</f>
        <v/>
      </c>
      <c r="FO80" s="6" t="str">
        <f>[1]Sheet2!FP79</f>
        <v/>
      </c>
    </row>
    <row r="81" spans="1:171" x14ac:dyDescent="0.25">
      <c r="A81" s="15">
        <v>43543</v>
      </c>
      <c r="B81" s="1"/>
      <c r="C81" s="1"/>
      <c r="D81" s="1"/>
      <c r="E81" s="14">
        <f>[1]Sheet2!N80</f>
        <v>0</v>
      </c>
      <c r="F81" s="14">
        <f>[1]Sheet2!BE80</f>
        <v>0</v>
      </c>
      <c r="G81" s="14">
        <f>[1]Sheet2!CW80</f>
        <v>0</v>
      </c>
      <c r="H81" s="1"/>
      <c r="I81" s="1"/>
      <c r="J81" s="1"/>
      <c r="K81" s="16"/>
      <c r="L81" s="16">
        <f>Demand_CWRS!B$5/31</f>
        <v>131.679370700757</v>
      </c>
      <c r="M81" s="16">
        <f>Demand_CWRS!C$5/31</f>
        <v>537.20942928039699</v>
      </c>
      <c r="N81" s="16">
        <f>Demand_CWRS!D$5/31</f>
        <v>0</v>
      </c>
      <c r="O81" s="16">
        <f>Demand_CWRS!E$5/31</f>
        <v>121.5961418056559</v>
      </c>
      <c r="P81" s="16">
        <f>Demand_CWRS!F$5/31</f>
        <v>245.08227837631262</v>
      </c>
      <c r="Q81" s="16">
        <f>Demand_CWRS!G$5/31</f>
        <v>131.679370700757</v>
      </c>
      <c r="R81" s="16">
        <f>Demand_CWRS!H$5/31</f>
        <v>245.08227837631262</v>
      </c>
      <c r="S81" s="16">
        <f>Demand_CWRS!I$5/31</f>
        <v>245.08227837631262</v>
      </c>
      <c r="T81" s="16">
        <f>Demand_CWRS!J$5/31</f>
        <v>245.08227837631262</v>
      </c>
      <c r="U81" s="16">
        <f>Demand_CWRS!K$5/31</f>
        <v>245.08227837631262</v>
      </c>
      <c r="V81" s="16">
        <f t="shared" si="36"/>
        <v>-8898.8518534105406</v>
      </c>
      <c r="W81" s="16">
        <f t="shared" si="37"/>
        <v>-26735.609925558285</v>
      </c>
      <c r="X81" s="16">
        <f t="shared" si="38"/>
        <v>0</v>
      </c>
      <c r="Y81" s="16">
        <f t="shared" si="39"/>
        <v>-20.251053281812602</v>
      </c>
      <c r="Z81" s="16">
        <f t="shared" si="40"/>
        <v>-13168.529875688399</v>
      </c>
      <c r="AA81" s="16">
        <f t="shared" si="41"/>
        <v>-7681.9080433143909</v>
      </c>
      <c r="AB81" s="16">
        <f t="shared" si="42"/>
        <v>-17649.573545560197</v>
      </c>
      <c r="AC81" s="16">
        <f t="shared" si="43"/>
        <v>-11856.563289149941</v>
      </c>
      <c r="AD81" s="16">
        <f t="shared" si="44"/>
        <v>-11956.563289149934</v>
      </c>
      <c r="AE81" s="16">
        <f t="shared" si="45"/>
        <v>-12556.563289149937</v>
      </c>
      <c r="AF81" s="14">
        <f>IF([1]Sheet2!AJ80=999999,"NA",[1]Sheet2!AJ80)</f>
        <v>0</v>
      </c>
      <c r="AG81" s="14">
        <f>IF([1]Sheet2!AK80=999999,"NA",[1]Sheet2!AK80)</f>
        <v>0</v>
      </c>
      <c r="AH81" s="14" t="str">
        <f>IF([1]Sheet2!AL80=999999,"NA",[1]Sheet2!AL80)</f>
        <v>NA</v>
      </c>
      <c r="AI81" s="14">
        <f>IF([1]Sheet2!AM80=999999,"NA",[1]Sheet2!AM80)</f>
        <v>0</v>
      </c>
      <c r="AJ81" s="14">
        <f>IF([1]Sheet2!AN80=999999,"NA",[1]Sheet2!AN80)</f>
        <v>0</v>
      </c>
      <c r="AK81" s="14">
        <f>IF([1]Sheet2!AO80=999999,"NA",[1]Sheet2!AO80)</f>
        <v>0</v>
      </c>
      <c r="AL81" s="14">
        <f>IF([1]Sheet2!AP80=999999,"NA",[1]Sheet2!AP80)</f>
        <v>0</v>
      </c>
      <c r="AM81" s="14">
        <f>IF([1]Sheet2!AQ80=999999,"NA",[1]Sheet2!AQ80)</f>
        <v>0</v>
      </c>
      <c r="AN81" s="14">
        <f>IF([1]Sheet2!AR80=999999,"NA",[1]Sheet2!AR80)</f>
        <v>0</v>
      </c>
      <c r="AO81" s="14">
        <f>IF([1]Sheet2!AS80=999999,"NA",[1]Sheet2!AS80)</f>
        <v>0</v>
      </c>
      <c r="AP81" s="14">
        <f>[1]Sheet2!P80</f>
        <v>0</v>
      </c>
      <c r="AQ81" s="14">
        <f>[1]Sheet2!Q80</f>
        <v>0</v>
      </c>
      <c r="AR81" s="14">
        <f>[1]Sheet2!R80</f>
        <v>0</v>
      </c>
      <c r="AS81" s="14">
        <f>[1]Sheet2!S80</f>
        <v>0</v>
      </c>
      <c r="AT81" s="14">
        <f>[1]Sheet2!T80</f>
        <v>0</v>
      </c>
      <c r="AU81" s="14">
        <f>[1]Sheet2!U80</f>
        <v>0</v>
      </c>
      <c r="AV81" s="14">
        <f>[1]Sheet2!V80</f>
        <v>0</v>
      </c>
      <c r="AW81" s="14">
        <f>[1]Sheet2!W80</f>
        <v>0</v>
      </c>
      <c r="AX81" s="14">
        <f>[1]Sheet2!X80</f>
        <v>0</v>
      </c>
      <c r="AY81" s="14">
        <f>[1]Sheet2!Y80</f>
        <v>0</v>
      </c>
      <c r="AZ81" s="16">
        <f>Demand_LP!B$5/31</f>
        <v>754.78140345091151</v>
      </c>
      <c r="BA81" s="16">
        <f>Demand_LP!C$5/31</f>
        <v>547.55235732009919</v>
      </c>
      <c r="BB81" s="16">
        <f>Demand_LP!D$5/31</f>
        <v>312.75612076095945</v>
      </c>
      <c r="BC81" s="16">
        <f>Demand_LP!E$5/31</f>
        <v>772.29437499345636</v>
      </c>
      <c r="BD81" s="16">
        <f>Demand_LP!F$5/31</f>
        <v>471.74248526347748</v>
      </c>
      <c r="BE81" s="16">
        <f>Demand_LP!G$5/31</f>
        <v>451.61290322580646</v>
      </c>
      <c r="BF81" s="16">
        <f>Demand_LP!H$5/31</f>
        <v>547.55235732009919</v>
      </c>
      <c r="BG81" s="16">
        <f>Demand_LP!I$5/31</f>
        <v>451.61290322580646</v>
      </c>
      <c r="BH81" s="16">
        <f>Demand_LP!J$5/31</f>
        <v>451.61290322580646</v>
      </c>
      <c r="BI81" s="16">
        <f>Demand_LP!K$5/31</f>
        <v>451.61290322580646</v>
      </c>
      <c r="BJ81" s="16">
        <f t="shared" si="46"/>
        <v>-42644.647887522478</v>
      </c>
      <c r="BK81" s="16">
        <f t="shared" si="47"/>
        <v>-39045.915301902358</v>
      </c>
      <c r="BL81" s="16">
        <f t="shared" si="48"/>
        <v>-11020.891935483876</v>
      </c>
      <c r="BM81" s="16">
        <f t="shared" si="49"/>
        <v>-47539.014919747475</v>
      </c>
      <c r="BN81" s="16">
        <f t="shared" si="50"/>
        <v>-27781.406258467578</v>
      </c>
      <c r="BO81" s="16">
        <f t="shared" si="51"/>
        <v>-26480.645161290326</v>
      </c>
      <c r="BP81" s="16">
        <f t="shared" si="52"/>
        <v>-33403.494789081895</v>
      </c>
      <c r="BQ81" s="16">
        <f t="shared" si="53"/>
        <v>-26480.645161290326</v>
      </c>
      <c r="BR81" s="16">
        <f t="shared" si="54"/>
        <v>-24080.645161290326</v>
      </c>
      <c r="BS81" s="16">
        <f t="shared" si="55"/>
        <v>-24780.645161290318</v>
      </c>
      <c r="BT81" s="14">
        <f>IF([1]Sheet2!CB80=999999,"NA",[1]Sheet2!CB80)</f>
        <v>0</v>
      </c>
      <c r="BU81" s="14">
        <f>IF([1]Sheet2!CC80=999999,"NA",[1]Sheet2!CC80)</f>
        <v>0</v>
      </c>
      <c r="BV81" s="14">
        <f>IF([1]Sheet2!CD80=999999,"NA",[1]Sheet2!CD80)</f>
        <v>0</v>
      </c>
      <c r="BW81" s="14">
        <f>IF([1]Sheet2!CE80=999999,"NA",[1]Sheet2!CE80)</f>
        <v>0</v>
      </c>
      <c r="BX81" s="14">
        <f>IF([1]Sheet2!CF80=999999,"NA",[1]Sheet2!CF80)</f>
        <v>0</v>
      </c>
      <c r="BY81" s="14">
        <f>IF([1]Sheet2!CG80=999999,"NA",[1]Sheet2!CG80)</f>
        <v>0</v>
      </c>
      <c r="BZ81" s="14">
        <f>IF([1]Sheet2!CH80=999999,"NA",[1]Sheet2!CH80)</f>
        <v>0</v>
      </c>
      <c r="CA81" s="14">
        <f>IF([1]Sheet2!CI80=999999,"NA",[1]Sheet2!CI80)</f>
        <v>0</v>
      </c>
      <c r="CB81" s="14">
        <f>IF([1]Sheet2!CJ80=999999,"NA",[1]Sheet2!CJ80)</f>
        <v>0</v>
      </c>
      <c r="CC81" s="14">
        <f>IF([1]Sheet2!CK80=999999,"NA",[1]Sheet2!CK80)</f>
        <v>0</v>
      </c>
      <c r="CD81" s="14">
        <f>[1]Sheet2!BH80</f>
        <v>0</v>
      </c>
      <c r="CE81" s="14">
        <f>[1]Sheet2!BI80</f>
        <v>0</v>
      </c>
      <c r="CF81" s="14">
        <f>[1]Sheet2!BJ80</f>
        <v>0</v>
      </c>
      <c r="CG81" s="14">
        <f>[1]Sheet2!BK80</f>
        <v>0</v>
      </c>
      <c r="CH81" s="14">
        <f>[1]Sheet2!BL80</f>
        <v>0</v>
      </c>
      <c r="CI81" s="14">
        <f>[1]Sheet2!BM80</f>
        <v>0</v>
      </c>
      <c r="CJ81" s="14">
        <f>[1]Sheet2!BN80</f>
        <v>0</v>
      </c>
      <c r="CK81" s="14">
        <f>[1]Sheet2!BO80</f>
        <v>0</v>
      </c>
      <c r="CL81" s="14">
        <f>[1]Sheet2!BP80</f>
        <v>0</v>
      </c>
      <c r="CM81" s="14">
        <f>[1]Sheet2!BQ80</f>
        <v>0</v>
      </c>
      <c r="CN81" s="16">
        <f>Demand_SW!B$5/31</f>
        <v>138.46153846153845</v>
      </c>
      <c r="CO81" s="16">
        <f>Demand_SW!C$5/31</f>
        <v>29.776674937965261</v>
      </c>
      <c r="CP81" s="16">
        <f>Demand_SW!D$5/31</f>
        <v>0</v>
      </c>
      <c r="CQ81" s="16">
        <f>Demand_SW!E$5/31</f>
        <v>0</v>
      </c>
      <c r="CR81" s="16">
        <f>Demand_SW!F$5/31</f>
        <v>0</v>
      </c>
      <c r="CS81" s="16">
        <f>Demand_SW!G$5/31</f>
        <v>138.70967741935485</v>
      </c>
      <c r="CT81" s="16">
        <f>Demand_SW!H$5/31</f>
        <v>29.776674937965261</v>
      </c>
      <c r="CU81" s="16">
        <f>Demand_SW!I$5/31</f>
        <v>0</v>
      </c>
      <c r="CV81" s="16">
        <f>Demand_SW!J$5/31</f>
        <v>0</v>
      </c>
      <c r="CW81" s="16">
        <f>Demand_SW!K$5/31</f>
        <v>0</v>
      </c>
      <c r="CX81" s="16">
        <f t="shared" si="56"/>
        <v>-4609.2307692307695</v>
      </c>
      <c r="CY81" s="16">
        <f t="shared" si="57"/>
        <v>434.24317617866018</v>
      </c>
      <c r="CZ81" s="16">
        <f t="shared" si="58"/>
        <v>0</v>
      </c>
      <c r="DA81" s="16">
        <f t="shared" si="59"/>
        <v>0</v>
      </c>
      <c r="DB81" s="16">
        <f t="shared" si="60"/>
        <v>0</v>
      </c>
      <c r="DC81" s="16">
        <f t="shared" si="61"/>
        <v>-4135.4838709677342</v>
      </c>
      <c r="DD81" s="16">
        <f t="shared" si="62"/>
        <v>434.24317617866018</v>
      </c>
      <c r="DE81" s="16">
        <f t="shared" si="63"/>
        <v>0</v>
      </c>
      <c r="DF81" s="16">
        <f t="shared" si="64"/>
        <v>0</v>
      </c>
      <c r="DG81" s="16">
        <f t="shared" si="65"/>
        <v>0</v>
      </c>
      <c r="DH81" s="14">
        <f>IF([1]Sheet2!DS80=999999,"NA",[1]Sheet2!DS80)</f>
        <v>0</v>
      </c>
      <c r="DI81" s="14">
        <f>IF([1]Sheet2!DT80=999999,"NA",[1]Sheet2!DT80)</f>
        <v>287</v>
      </c>
      <c r="DJ81" s="14" t="str">
        <f>IF([1]Sheet2!DU80=999999,"NA",[1]Sheet2!DU80)</f>
        <v>NA</v>
      </c>
      <c r="DK81" s="14" t="str">
        <f>IF([1]Sheet2!DV80=999999,"NA",[1]Sheet2!DV80)</f>
        <v>NA</v>
      </c>
      <c r="DL81" s="14" t="str">
        <f>IF([1]Sheet2!DW80=999999,"NA",[1]Sheet2!DW80)</f>
        <v>NA</v>
      </c>
      <c r="DM81" s="14">
        <f>IF([1]Sheet2!DX80=999999,"NA",[1]Sheet2!DX80)</f>
        <v>0</v>
      </c>
      <c r="DN81" s="14">
        <f>IF([1]Sheet2!DY80=999999,"NA",[1]Sheet2!DY80)</f>
        <v>287</v>
      </c>
      <c r="DO81" s="14" t="str">
        <f>IF([1]Sheet2!DZ80=999999,"NA",[1]Sheet2!DZ80)</f>
        <v>NA</v>
      </c>
      <c r="DP81" s="14" t="str">
        <f>IF([1]Sheet2!EA80=999999,"NA",[1]Sheet2!EA80)</f>
        <v>NA</v>
      </c>
      <c r="DQ81" s="14" t="str">
        <f>IF([1]Sheet2!EB80=999999,"NA",[1]Sheet2!EB80)</f>
        <v>NA</v>
      </c>
      <c r="DR81" s="14">
        <f>[1]Sheet2!CY80</f>
        <v>0</v>
      </c>
      <c r="DS81" s="14">
        <f>[1]Sheet2!CZ80</f>
        <v>0</v>
      </c>
      <c r="DT81" s="14">
        <f>[1]Sheet2!DA80</f>
        <v>0</v>
      </c>
      <c r="DU81" s="14">
        <f>[1]Sheet2!DB80</f>
        <v>0</v>
      </c>
      <c r="DV81" s="14">
        <f>[1]Sheet2!DC80</f>
        <v>0</v>
      </c>
      <c r="DW81" s="14">
        <f>[1]Sheet2!DD80</f>
        <v>0</v>
      </c>
      <c r="DX81" s="14">
        <f>[1]Sheet2!DE80</f>
        <v>0</v>
      </c>
      <c r="DY81" s="14">
        <f>[1]Sheet2!DF80</f>
        <v>0</v>
      </c>
      <c r="DZ81" s="14">
        <f>[1]Sheet2!DG80</f>
        <v>0</v>
      </c>
      <c r="EA81" s="14">
        <f>[1]Sheet2!DH80</f>
        <v>0</v>
      </c>
      <c r="EB81" s="6">
        <f>[1]Sheet2!EC80</f>
        <v>0</v>
      </c>
      <c r="EC81" s="6">
        <f>[1]Sheet2!ED80</f>
        <v>0</v>
      </c>
      <c r="ED81" s="6">
        <f>[1]Sheet2!EE80</f>
        <v>0</v>
      </c>
      <c r="EE81" s="6">
        <f>[1]Sheet2!EF80</f>
        <v>0</v>
      </c>
      <c r="EF81" s="6">
        <f>[1]Sheet2!EG80</f>
        <v>0</v>
      </c>
      <c r="EG81" s="6">
        <f>[1]Sheet2!EH80</f>
        <v>0</v>
      </c>
      <c r="EH81" s="6">
        <f>[1]Sheet2!EI80</f>
        <v>0</v>
      </c>
      <c r="EI81" s="6">
        <f>[1]Sheet2!EJ80</f>
        <v>0</v>
      </c>
      <c r="EJ81" s="6">
        <f>[1]Sheet2!EK80</f>
        <v>0</v>
      </c>
      <c r="EK81" s="6">
        <f>[1]Sheet2!EL80</f>
        <v>0</v>
      </c>
      <c r="EL81" s="6" t="str">
        <f>[1]Sheet2!EM80</f>
        <v/>
      </c>
      <c r="EM81" s="6" t="str">
        <f>[1]Sheet2!EN80</f>
        <v/>
      </c>
      <c r="EN81" s="6" t="str">
        <f>[1]Sheet2!EO80</f>
        <v/>
      </c>
      <c r="EO81" s="6" t="str">
        <f>[1]Sheet2!EP80</f>
        <v/>
      </c>
      <c r="EP81" s="6" t="str">
        <f>[1]Sheet2!EQ80</f>
        <v/>
      </c>
      <c r="EQ81" s="6" t="str">
        <f>[1]Sheet2!ER80</f>
        <v/>
      </c>
      <c r="ER81" s="6" t="str">
        <f>[1]Sheet2!ES80</f>
        <v/>
      </c>
      <c r="ES81" s="6" t="str">
        <f>[1]Sheet2!ET80</f>
        <v/>
      </c>
      <c r="ET81" s="6" t="str">
        <f>[1]Sheet2!EU80</f>
        <v/>
      </c>
      <c r="EU81" s="6" t="str">
        <f>[1]Sheet2!EV80</f>
        <v/>
      </c>
      <c r="EV81" s="6" t="str">
        <f>[1]Sheet2!EW80</f>
        <v/>
      </c>
      <c r="EW81" s="6" t="str">
        <f>[1]Sheet2!EX80</f>
        <v/>
      </c>
      <c r="EX81" s="6" t="str">
        <f>[1]Sheet2!EY80</f>
        <v/>
      </c>
      <c r="EY81" s="6" t="str">
        <f>[1]Sheet2!EZ80</f>
        <v/>
      </c>
      <c r="EZ81" s="6" t="str">
        <f>[1]Sheet2!FA80</f>
        <v/>
      </c>
      <c r="FA81" s="6" t="str">
        <f>[1]Sheet2!FB80</f>
        <v/>
      </c>
      <c r="FB81" s="6" t="str">
        <f>[1]Sheet2!FC80</f>
        <v/>
      </c>
      <c r="FC81" s="6" t="str">
        <f>[1]Sheet2!FD80</f>
        <v/>
      </c>
      <c r="FD81" s="6" t="str">
        <f>[1]Sheet2!FE80</f>
        <v/>
      </c>
      <c r="FE81" s="6" t="str">
        <f>[1]Sheet2!FF80</f>
        <v/>
      </c>
      <c r="FF81" s="6" t="str">
        <f>[1]Sheet2!FG80</f>
        <v/>
      </c>
      <c r="FG81" s="6" t="str">
        <f>[1]Sheet2!FH80</f>
        <v/>
      </c>
      <c r="FH81" s="6" t="str">
        <f>[1]Sheet2!FI80</f>
        <v/>
      </c>
      <c r="FI81" s="6" t="str">
        <f>[1]Sheet2!FJ80</f>
        <v/>
      </c>
      <c r="FJ81" s="6" t="str">
        <f>[1]Sheet2!FK80</f>
        <v/>
      </c>
      <c r="FK81" s="6" t="str">
        <f>[1]Sheet2!FL80</f>
        <v/>
      </c>
      <c r="FL81" s="6" t="str">
        <f>[1]Sheet2!FM80</f>
        <v/>
      </c>
      <c r="FM81" s="6" t="str">
        <f>[1]Sheet2!FN80</f>
        <v/>
      </c>
      <c r="FN81" s="6" t="str">
        <f>[1]Sheet2!FO80</f>
        <v/>
      </c>
      <c r="FO81" s="6" t="str">
        <f>[1]Sheet2!FP80</f>
        <v/>
      </c>
    </row>
    <row r="82" spans="1:171" x14ac:dyDescent="0.25">
      <c r="A82" s="15">
        <v>43544</v>
      </c>
      <c r="B82" s="1"/>
      <c r="C82" s="1"/>
      <c r="D82" s="1"/>
      <c r="E82" s="14">
        <f>[1]Sheet2!N81</f>
        <v>0</v>
      </c>
      <c r="F82" s="14">
        <f>[1]Sheet2!BE81</f>
        <v>0</v>
      </c>
      <c r="G82" s="14">
        <f>[1]Sheet2!CW81</f>
        <v>0</v>
      </c>
      <c r="H82" s="1"/>
      <c r="I82" s="1"/>
      <c r="J82" s="1"/>
      <c r="K82" s="16"/>
      <c r="L82" s="16">
        <f>Demand_CWRS!B$5/31</f>
        <v>131.679370700757</v>
      </c>
      <c r="M82" s="16">
        <f>Demand_CWRS!C$5/31</f>
        <v>537.20942928039699</v>
      </c>
      <c r="N82" s="16">
        <f>Demand_CWRS!D$5/31</f>
        <v>0</v>
      </c>
      <c r="O82" s="16">
        <f>Demand_CWRS!E$5/31</f>
        <v>121.5961418056559</v>
      </c>
      <c r="P82" s="16">
        <f>Demand_CWRS!F$5/31</f>
        <v>245.08227837631262</v>
      </c>
      <c r="Q82" s="16">
        <f>Demand_CWRS!G$5/31</f>
        <v>131.679370700757</v>
      </c>
      <c r="R82" s="16">
        <f>Demand_CWRS!H$5/31</f>
        <v>245.08227837631262</v>
      </c>
      <c r="S82" s="16">
        <f>Demand_CWRS!I$5/31</f>
        <v>245.08227837631262</v>
      </c>
      <c r="T82" s="16">
        <f>Demand_CWRS!J$5/31</f>
        <v>245.08227837631262</v>
      </c>
      <c r="U82" s="16">
        <f>Demand_CWRS!K$5/31</f>
        <v>245.08227837631262</v>
      </c>
      <c r="V82" s="16">
        <f t="shared" si="36"/>
        <v>-9030.531224111297</v>
      </c>
      <c r="W82" s="16">
        <f t="shared" si="37"/>
        <v>-27272.819354838681</v>
      </c>
      <c r="X82" s="16">
        <f t="shared" si="38"/>
        <v>0</v>
      </c>
      <c r="Y82" s="16">
        <f t="shared" si="39"/>
        <v>-141.84719508746849</v>
      </c>
      <c r="Z82" s="16">
        <f t="shared" si="40"/>
        <v>-13413.612154064711</v>
      </c>
      <c r="AA82" s="16">
        <f t="shared" si="41"/>
        <v>-7813.5874140151482</v>
      </c>
      <c r="AB82" s="16">
        <f t="shared" si="42"/>
        <v>-17894.655823936511</v>
      </c>
      <c r="AC82" s="16">
        <f t="shared" si="43"/>
        <v>-12101.645567526253</v>
      </c>
      <c r="AD82" s="16">
        <f t="shared" si="44"/>
        <v>-12201.645567526246</v>
      </c>
      <c r="AE82" s="16">
        <f t="shared" si="45"/>
        <v>-12801.64556752625</v>
      </c>
      <c r="AF82" s="14">
        <f>IF([1]Sheet2!AJ81=999999,"NA",[1]Sheet2!AJ81)</f>
        <v>0</v>
      </c>
      <c r="AG82" s="14">
        <f>IF([1]Sheet2!AK81=999999,"NA",[1]Sheet2!AK81)</f>
        <v>0</v>
      </c>
      <c r="AH82" s="14" t="str">
        <f>IF([1]Sheet2!AL81=999999,"NA",[1]Sheet2!AL81)</f>
        <v>NA</v>
      </c>
      <c r="AI82" s="14">
        <f>IF([1]Sheet2!AM81=999999,"NA",[1]Sheet2!AM81)</f>
        <v>0</v>
      </c>
      <c r="AJ82" s="14">
        <f>IF([1]Sheet2!AN81=999999,"NA",[1]Sheet2!AN81)</f>
        <v>0</v>
      </c>
      <c r="AK82" s="14">
        <f>IF([1]Sheet2!AO81=999999,"NA",[1]Sheet2!AO81)</f>
        <v>0</v>
      </c>
      <c r="AL82" s="14">
        <f>IF([1]Sheet2!AP81=999999,"NA",[1]Sheet2!AP81)</f>
        <v>0</v>
      </c>
      <c r="AM82" s="14">
        <f>IF([1]Sheet2!AQ81=999999,"NA",[1]Sheet2!AQ81)</f>
        <v>0</v>
      </c>
      <c r="AN82" s="14">
        <f>IF([1]Sheet2!AR81=999999,"NA",[1]Sheet2!AR81)</f>
        <v>0</v>
      </c>
      <c r="AO82" s="14">
        <f>IF([1]Sheet2!AS81=999999,"NA",[1]Sheet2!AS81)</f>
        <v>0</v>
      </c>
      <c r="AP82" s="14">
        <f>[1]Sheet2!P81</f>
        <v>0</v>
      </c>
      <c r="AQ82" s="14">
        <f>[1]Sheet2!Q81</f>
        <v>0</v>
      </c>
      <c r="AR82" s="14">
        <f>[1]Sheet2!R81</f>
        <v>0</v>
      </c>
      <c r="AS82" s="14">
        <f>[1]Sheet2!S81</f>
        <v>0</v>
      </c>
      <c r="AT82" s="14">
        <f>[1]Sheet2!T81</f>
        <v>0</v>
      </c>
      <c r="AU82" s="14">
        <f>[1]Sheet2!U81</f>
        <v>0</v>
      </c>
      <c r="AV82" s="14">
        <f>[1]Sheet2!V81</f>
        <v>0</v>
      </c>
      <c r="AW82" s="14">
        <f>[1]Sheet2!W81</f>
        <v>0</v>
      </c>
      <c r="AX82" s="14">
        <f>[1]Sheet2!X81</f>
        <v>0</v>
      </c>
      <c r="AY82" s="14">
        <f>[1]Sheet2!Y81</f>
        <v>0</v>
      </c>
      <c r="AZ82" s="16">
        <f>Demand_LP!B$5/31</f>
        <v>754.78140345091151</v>
      </c>
      <c r="BA82" s="16">
        <f>Demand_LP!C$5/31</f>
        <v>547.55235732009919</v>
      </c>
      <c r="BB82" s="16">
        <f>Demand_LP!D$5/31</f>
        <v>312.75612076095945</v>
      </c>
      <c r="BC82" s="16">
        <f>Demand_LP!E$5/31</f>
        <v>772.29437499345636</v>
      </c>
      <c r="BD82" s="16">
        <f>Demand_LP!F$5/31</f>
        <v>471.74248526347748</v>
      </c>
      <c r="BE82" s="16">
        <f>Demand_LP!G$5/31</f>
        <v>451.61290322580646</v>
      </c>
      <c r="BF82" s="16">
        <f>Demand_LP!H$5/31</f>
        <v>547.55235732009919</v>
      </c>
      <c r="BG82" s="16">
        <f>Demand_LP!I$5/31</f>
        <v>451.61290322580646</v>
      </c>
      <c r="BH82" s="16">
        <f>Demand_LP!J$5/31</f>
        <v>451.61290322580646</v>
      </c>
      <c r="BI82" s="16">
        <f>Demand_LP!K$5/31</f>
        <v>451.61290322580646</v>
      </c>
      <c r="BJ82" s="16">
        <f t="shared" si="46"/>
        <v>-43399.429290973392</v>
      </c>
      <c r="BK82" s="16">
        <f t="shared" si="47"/>
        <v>-39593.467659222457</v>
      </c>
      <c r="BL82" s="16">
        <f t="shared" si="48"/>
        <v>-11333.648056244836</v>
      </c>
      <c r="BM82" s="16">
        <f t="shared" si="49"/>
        <v>-48311.309294740931</v>
      </c>
      <c r="BN82" s="16">
        <f t="shared" si="50"/>
        <v>-28253.148743731053</v>
      </c>
      <c r="BO82" s="16">
        <f t="shared" si="51"/>
        <v>-26932.258064516132</v>
      </c>
      <c r="BP82" s="16">
        <f t="shared" si="52"/>
        <v>-33951.047146401994</v>
      </c>
      <c r="BQ82" s="16">
        <f t="shared" si="53"/>
        <v>-26932.258064516132</v>
      </c>
      <c r="BR82" s="16">
        <f t="shared" si="54"/>
        <v>-24532.258064516132</v>
      </c>
      <c r="BS82" s="16">
        <f t="shared" si="55"/>
        <v>-25232.258064516125</v>
      </c>
      <c r="BT82" s="14">
        <f>IF([1]Sheet2!CB81=999999,"NA",[1]Sheet2!CB81)</f>
        <v>0</v>
      </c>
      <c r="BU82" s="14">
        <f>IF([1]Sheet2!CC81=999999,"NA",[1]Sheet2!CC81)</f>
        <v>0</v>
      </c>
      <c r="BV82" s="14">
        <f>IF([1]Sheet2!CD81=999999,"NA",[1]Sheet2!CD81)</f>
        <v>0</v>
      </c>
      <c r="BW82" s="14">
        <f>IF([1]Sheet2!CE81=999999,"NA",[1]Sheet2!CE81)</f>
        <v>0</v>
      </c>
      <c r="BX82" s="14">
        <f>IF([1]Sheet2!CF81=999999,"NA",[1]Sheet2!CF81)</f>
        <v>0</v>
      </c>
      <c r="BY82" s="14">
        <f>IF([1]Sheet2!CG81=999999,"NA",[1]Sheet2!CG81)</f>
        <v>0</v>
      </c>
      <c r="BZ82" s="14">
        <f>IF([1]Sheet2!CH81=999999,"NA",[1]Sheet2!CH81)</f>
        <v>0</v>
      </c>
      <c r="CA82" s="14">
        <f>IF([1]Sheet2!CI81=999999,"NA",[1]Sheet2!CI81)</f>
        <v>0</v>
      </c>
      <c r="CB82" s="14">
        <f>IF([1]Sheet2!CJ81=999999,"NA",[1]Sheet2!CJ81)</f>
        <v>0</v>
      </c>
      <c r="CC82" s="14">
        <f>IF([1]Sheet2!CK81=999999,"NA",[1]Sheet2!CK81)</f>
        <v>0</v>
      </c>
      <c r="CD82" s="14">
        <f>[1]Sheet2!BH81</f>
        <v>0</v>
      </c>
      <c r="CE82" s="14">
        <f>[1]Sheet2!BI81</f>
        <v>0</v>
      </c>
      <c r="CF82" s="14">
        <f>[1]Sheet2!BJ81</f>
        <v>0</v>
      </c>
      <c r="CG82" s="14">
        <f>[1]Sheet2!BK81</f>
        <v>0</v>
      </c>
      <c r="CH82" s="14">
        <f>[1]Sheet2!BL81</f>
        <v>0</v>
      </c>
      <c r="CI82" s="14">
        <f>[1]Sheet2!BM81</f>
        <v>0</v>
      </c>
      <c r="CJ82" s="14">
        <f>[1]Sheet2!BN81</f>
        <v>0</v>
      </c>
      <c r="CK82" s="14">
        <f>[1]Sheet2!BO81</f>
        <v>0</v>
      </c>
      <c r="CL82" s="14">
        <f>[1]Sheet2!BP81</f>
        <v>0</v>
      </c>
      <c r="CM82" s="14">
        <f>[1]Sheet2!BQ81</f>
        <v>0</v>
      </c>
      <c r="CN82" s="16">
        <f>Demand_SW!B$5/31</f>
        <v>138.46153846153845</v>
      </c>
      <c r="CO82" s="16">
        <f>Demand_SW!C$5/31</f>
        <v>29.776674937965261</v>
      </c>
      <c r="CP82" s="16">
        <f>Demand_SW!D$5/31</f>
        <v>0</v>
      </c>
      <c r="CQ82" s="16">
        <f>Demand_SW!E$5/31</f>
        <v>0</v>
      </c>
      <c r="CR82" s="16">
        <f>Demand_SW!F$5/31</f>
        <v>0</v>
      </c>
      <c r="CS82" s="16">
        <f>Demand_SW!G$5/31</f>
        <v>138.70967741935485</v>
      </c>
      <c r="CT82" s="16">
        <f>Demand_SW!H$5/31</f>
        <v>29.776674937965261</v>
      </c>
      <c r="CU82" s="16">
        <f>Demand_SW!I$5/31</f>
        <v>0</v>
      </c>
      <c r="CV82" s="16">
        <f>Demand_SW!J$5/31</f>
        <v>0</v>
      </c>
      <c r="CW82" s="16">
        <f>Demand_SW!K$5/31</f>
        <v>0</v>
      </c>
      <c r="CX82" s="16">
        <f t="shared" si="56"/>
        <v>-4747.6923076923076</v>
      </c>
      <c r="CY82" s="16">
        <f t="shared" si="57"/>
        <v>404.46650124069492</v>
      </c>
      <c r="CZ82" s="16">
        <f t="shared" si="58"/>
        <v>0</v>
      </c>
      <c r="DA82" s="16">
        <f t="shared" si="59"/>
        <v>0</v>
      </c>
      <c r="DB82" s="16">
        <f t="shared" si="60"/>
        <v>0</v>
      </c>
      <c r="DC82" s="16">
        <f t="shared" si="61"/>
        <v>-4274.1935483870893</v>
      </c>
      <c r="DD82" s="16">
        <f t="shared" si="62"/>
        <v>404.46650124069492</v>
      </c>
      <c r="DE82" s="16">
        <f t="shared" si="63"/>
        <v>0</v>
      </c>
      <c r="DF82" s="16">
        <f t="shared" si="64"/>
        <v>0</v>
      </c>
      <c r="DG82" s="16">
        <f t="shared" si="65"/>
        <v>0</v>
      </c>
      <c r="DH82" s="14">
        <f>IF([1]Sheet2!DS81=999999,"NA",[1]Sheet2!DS81)</f>
        <v>0</v>
      </c>
      <c r="DI82" s="14">
        <f>IF([1]Sheet2!DT81=999999,"NA",[1]Sheet2!DT81)</f>
        <v>286</v>
      </c>
      <c r="DJ82" s="14" t="str">
        <f>IF([1]Sheet2!DU81=999999,"NA",[1]Sheet2!DU81)</f>
        <v>NA</v>
      </c>
      <c r="DK82" s="14" t="str">
        <f>IF([1]Sheet2!DV81=999999,"NA",[1]Sheet2!DV81)</f>
        <v>NA</v>
      </c>
      <c r="DL82" s="14" t="str">
        <f>IF([1]Sheet2!DW81=999999,"NA",[1]Sheet2!DW81)</f>
        <v>NA</v>
      </c>
      <c r="DM82" s="14">
        <f>IF([1]Sheet2!DX81=999999,"NA",[1]Sheet2!DX81)</f>
        <v>0</v>
      </c>
      <c r="DN82" s="14">
        <f>IF([1]Sheet2!DY81=999999,"NA",[1]Sheet2!DY81)</f>
        <v>286</v>
      </c>
      <c r="DO82" s="14" t="str">
        <f>IF([1]Sheet2!DZ81=999999,"NA",[1]Sheet2!DZ81)</f>
        <v>NA</v>
      </c>
      <c r="DP82" s="14" t="str">
        <f>IF([1]Sheet2!EA81=999999,"NA",[1]Sheet2!EA81)</f>
        <v>NA</v>
      </c>
      <c r="DQ82" s="14" t="str">
        <f>IF([1]Sheet2!EB81=999999,"NA",[1]Sheet2!EB81)</f>
        <v>NA</v>
      </c>
      <c r="DR82" s="14">
        <f>[1]Sheet2!CY81</f>
        <v>0</v>
      </c>
      <c r="DS82" s="14">
        <f>[1]Sheet2!CZ81</f>
        <v>0</v>
      </c>
      <c r="DT82" s="14">
        <f>[1]Sheet2!DA81</f>
        <v>0</v>
      </c>
      <c r="DU82" s="14">
        <f>[1]Sheet2!DB81</f>
        <v>0</v>
      </c>
      <c r="DV82" s="14">
        <f>[1]Sheet2!DC81</f>
        <v>0</v>
      </c>
      <c r="DW82" s="14">
        <f>[1]Sheet2!DD81</f>
        <v>0</v>
      </c>
      <c r="DX82" s="14">
        <f>[1]Sheet2!DE81</f>
        <v>0</v>
      </c>
      <c r="DY82" s="14">
        <f>[1]Sheet2!DF81</f>
        <v>0</v>
      </c>
      <c r="DZ82" s="14">
        <f>[1]Sheet2!DG81</f>
        <v>0</v>
      </c>
      <c r="EA82" s="14">
        <f>[1]Sheet2!DH81</f>
        <v>0</v>
      </c>
      <c r="EB82" s="6">
        <f>[1]Sheet2!EC81</f>
        <v>0</v>
      </c>
      <c r="EC82" s="6">
        <f>[1]Sheet2!ED81</f>
        <v>0</v>
      </c>
      <c r="ED82" s="6">
        <f>[1]Sheet2!EE81</f>
        <v>0</v>
      </c>
      <c r="EE82" s="6">
        <f>[1]Sheet2!EF81</f>
        <v>0</v>
      </c>
      <c r="EF82" s="6">
        <f>[1]Sheet2!EG81</f>
        <v>0</v>
      </c>
      <c r="EG82" s="6">
        <f>[1]Sheet2!EH81</f>
        <v>0</v>
      </c>
      <c r="EH82" s="6">
        <f>[1]Sheet2!EI81</f>
        <v>0</v>
      </c>
      <c r="EI82" s="6">
        <f>[1]Sheet2!EJ81</f>
        <v>0</v>
      </c>
      <c r="EJ82" s="6">
        <f>[1]Sheet2!EK81</f>
        <v>0</v>
      </c>
      <c r="EK82" s="6">
        <f>[1]Sheet2!EL81</f>
        <v>0</v>
      </c>
      <c r="EL82" s="6" t="str">
        <f>[1]Sheet2!EM81</f>
        <v/>
      </c>
      <c r="EM82" s="6" t="str">
        <f>[1]Sheet2!EN81</f>
        <v/>
      </c>
      <c r="EN82" s="6" t="str">
        <f>[1]Sheet2!EO81</f>
        <v/>
      </c>
      <c r="EO82" s="6" t="str">
        <f>[1]Sheet2!EP81</f>
        <v/>
      </c>
      <c r="EP82" s="6" t="str">
        <f>[1]Sheet2!EQ81</f>
        <v/>
      </c>
      <c r="EQ82" s="6" t="str">
        <f>[1]Sheet2!ER81</f>
        <v/>
      </c>
      <c r="ER82" s="6" t="str">
        <f>[1]Sheet2!ES81</f>
        <v/>
      </c>
      <c r="ES82" s="6" t="str">
        <f>[1]Sheet2!ET81</f>
        <v/>
      </c>
      <c r="ET82" s="6" t="str">
        <f>[1]Sheet2!EU81</f>
        <v/>
      </c>
      <c r="EU82" s="6" t="str">
        <f>[1]Sheet2!EV81</f>
        <v/>
      </c>
      <c r="EV82" s="6" t="str">
        <f>[1]Sheet2!EW81</f>
        <v/>
      </c>
      <c r="EW82" s="6" t="str">
        <f>[1]Sheet2!EX81</f>
        <v/>
      </c>
      <c r="EX82" s="6" t="str">
        <f>[1]Sheet2!EY81</f>
        <v/>
      </c>
      <c r="EY82" s="6" t="str">
        <f>[1]Sheet2!EZ81</f>
        <v/>
      </c>
      <c r="EZ82" s="6" t="str">
        <f>[1]Sheet2!FA81</f>
        <v/>
      </c>
      <c r="FA82" s="6" t="str">
        <f>[1]Sheet2!FB81</f>
        <v/>
      </c>
      <c r="FB82" s="6" t="str">
        <f>[1]Sheet2!FC81</f>
        <v/>
      </c>
      <c r="FC82" s="6" t="str">
        <f>[1]Sheet2!FD81</f>
        <v/>
      </c>
      <c r="FD82" s="6" t="str">
        <f>[1]Sheet2!FE81</f>
        <v/>
      </c>
      <c r="FE82" s="6" t="str">
        <f>[1]Sheet2!FF81</f>
        <v/>
      </c>
      <c r="FF82" s="6" t="str">
        <f>[1]Sheet2!FG81</f>
        <v/>
      </c>
      <c r="FG82" s="6" t="str">
        <f>[1]Sheet2!FH81</f>
        <v/>
      </c>
      <c r="FH82" s="6" t="str">
        <f>[1]Sheet2!FI81</f>
        <v/>
      </c>
      <c r="FI82" s="6" t="str">
        <f>[1]Sheet2!FJ81</f>
        <v/>
      </c>
      <c r="FJ82" s="6" t="str">
        <f>[1]Sheet2!FK81</f>
        <v/>
      </c>
      <c r="FK82" s="6" t="str">
        <f>[1]Sheet2!FL81</f>
        <v/>
      </c>
      <c r="FL82" s="6" t="str">
        <f>[1]Sheet2!FM81</f>
        <v/>
      </c>
      <c r="FM82" s="6" t="str">
        <f>[1]Sheet2!FN81</f>
        <v/>
      </c>
      <c r="FN82" s="6" t="str">
        <f>[1]Sheet2!FO81</f>
        <v/>
      </c>
      <c r="FO82" s="6" t="str">
        <f>[1]Sheet2!FP81</f>
        <v/>
      </c>
    </row>
    <row r="83" spans="1:171" x14ac:dyDescent="0.25">
      <c r="A83" s="15">
        <v>43545</v>
      </c>
      <c r="B83" s="1"/>
      <c r="C83" s="1"/>
      <c r="D83" s="1"/>
      <c r="E83" s="14">
        <f>[1]Sheet2!N82</f>
        <v>0</v>
      </c>
      <c r="F83" s="14">
        <f>[1]Sheet2!BE82</f>
        <v>48000</v>
      </c>
      <c r="G83" s="14">
        <f>[1]Sheet2!CW82</f>
        <v>0</v>
      </c>
      <c r="H83" s="1"/>
      <c r="I83" s="1"/>
      <c r="J83" s="1"/>
      <c r="K83" s="16"/>
      <c r="L83" s="16">
        <f>Demand_CWRS!B$5/31</f>
        <v>131.679370700757</v>
      </c>
      <c r="M83" s="16">
        <f>Demand_CWRS!C$5/31</f>
        <v>537.20942928039699</v>
      </c>
      <c r="N83" s="16">
        <f>Demand_CWRS!D$5/31</f>
        <v>0</v>
      </c>
      <c r="O83" s="16">
        <f>Demand_CWRS!E$5/31</f>
        <v>121.5961418056559</v>
      </c>
      <c r="P83" s="16">
        <f>Demand_CWRS!F$5/31</f>
        <v>245.08227837631262</v>
      </c>
      <c r="Q83" s="16">
        <f>Demand_CWRS!G$5/31</f>
        <v>131.679370700757</v>
      </c>
      <c r="R83" s="16">
        <f>Demand_CWRS!H$5/31</f>
        <v>245.08227837631262</v>
      </c>
      <c r="S83" s="16">
        <f>Demand_CWRS!I$5/31</f>
        <v>245.08227837631262</v>
      </c>
      <c r="T83" s="16">
        <f>Demand_CWRS!J$5/31</f>
        <v>245.08227837631262</v>
      </c>
      <c r="U83" s="16">
        <f>Demand_CWRS!K$5/31</f>
        <v>245.08227837631262</v>
      </c>
      <c r="V83" s="16">
        <f t="shared" si="36"/>
        <v>-9162.2105948120534</v>
      </c>
      <c r="W83" s="16">
        <f t="shared" si="37"/>
        <v>-27810.028784119077</v>
      </c>
      <c r="X83" s="16">
        <f t="shared" si="38"/>
        <v>0</v>
      </c>
      <c r="Y83" s="16">
        <f t="shared" si="39"/>
        <v>-263.44333689312441</v>
      </c>
      <c r="Z83" s="16">
        <f t="shared" si="40"/>
        <v>-13658.694432441023</v>
      </c>
      <c r="AA83" s="16">
        <f t="shared" si="41"/>
        <v>-7945.2667847159055</v>
      </c>
      <c r="AB83" s="16">
        <f t="shared" si="42"/>
        <v>-18139.738102312826</v>
      </c>
      <c r="AC83" s="16">
        <f t="shared" si="43"/>
        <v>-12346.727845902566</v>
      </c>
      <c r="AD83" s="16">
        <f t="shared" si="44"/>
        <v>-12446.727845902558</v>
      </c>
      <c r="AE83" s="16">
        <f t="shared" si="45"/>
        <v>-13046.727845902562</v>
      </c>
      <c r="AF83" s="14">
        <f>IF([1]Sheet2!AJ82=999999,"NA",[1]Sheet2!AJ82)</f>
        <v>0</v>
      </c>
      <c r="AG83" s="14">
        <f>IF([1]Sheet2!AK82=999999,"NA",[1]Sheet2!AK82)</f>
        <v>0</v>
      </c>
      <c r="AH83" s="14" t="str">
        <f>IF([1]Sheet2!AL82=999999,"NA",[1]Sheet2!AL82)</f>
        <v>NA</v>
      </c>
      <c r="AI83" s="14">
        <f>IF([1]Sheet2!AM82=999999,"NA",[1]Sheet2!AM82)</f>
        <v>0</v>
      </c>
      <c r="AJ83" s="14">
        <f>IF([1]Sheet2!AN82=999999,"NA",[1]Sheet2!AN82)</f>
        <v>0</v>
      </c>
      <c r="AK83" s="14">
        <f>IF([1]Sheet2!AO82=999999,"NA",[1]Sheet2!AO82)</f>
        <v>0</v>
      </c>
      <c r="AL83" s="14">
        <f>IF([1]Sheet2!AP82=999999,"NA",[1]Sheet2!AP82)</f>
        <v>0</v>
      </c>
      <c r="AM83" s="14">
        <f>IF([1]Sheet2!AQ82=999999,"NA",[1]Sheet2!AQ82)</f>
        <v>0</v>
      </c>
      <c r="AN83" s="14">
        <f>IF([1]Sheet2!AR82=999999,"NA",[1]Sheet2!AR82)</f>
        <v>0</v>
      </c>
      <c r="AO83" s="14">
        <f>IF([1]Sheet2!AS82=999999,"NA",[1]Sheet2!AS82)</f>
        <v>0</v>
      </c>
      <c r="AP83" s="14">
        <f>[1]Sheet2!P82</f>
        <v>0</v>
      </c>
      <c r="AQ83" s="14">
        <f>[1]Sheet2!Q82</f>
        <v>0</v>
      </c>
      <c r="AR83" s="14">
        <f>[1]Sheet2!R82</f>
        <v>0</v>
      </c>
      <c r="AS83" s="14">
        <f>[1]Sheet2!S82</f>
        <v>0</v>
      </c>
      <c r="AT83" s="14">
        <f>[1]Sheet2!T82</f>
        <v>0</v>
      </c>
      <c r="AU83" s="14">
        <f>[1]Sheet2!U82</f>
        <v>0</v>
      </c>
      <c r="AV83" s="14">
        <f>[1]Sheet2!V82</f>
        <v>0</v>
      </c>
      <c r="AW83" s="14">
        <f>[1]Sheet2!W82</f>
        <v>0</v>
      </c>
      <c r="AX83" s="14">
        <f>[1]Sheet2!X82</f>
        <v>0</v>
      </c>
      <c r="AY83" s="14">
        <f>[1]Sheet2!Y82</f>
        <v>0</v>
      </c>
      <c r="AZ83" s="16">
        <f>Demand_LP!B$5/31</f>
        <v>754.78140345091151</v>
      </c>
      <c r="BA83" s="16">
        <f>Demand_LP!C$5/31</f>
        <v>547.55235732009919</v>
      </c>
      <c r="BB83" s="16">
        <f>Demand_LP!D$5/31</f>
        <v>312.75612076095945</v>
      </c>
      <c r="BC83" s="16">
        <f>Demand_LP!E$5/31</f>
        <v>772.29437499345636</v>
      </c>
      <c r="BD83" s="16">
        <f>Demand_LP!F$5/31</f>
        <v>471.74248526347748</v>
      </c>
      <c r="BE83" s="16">
        <f>Demand_LP!G$5/31</f>
        <v>451.61290322580646</v>
      </c>
      <c r="BF83" s="16">
        <f>Demand_LP!H$5/31</f>
        <v>547.55235732009919</v>
      </c>
      <c r="BG83" s="16">
        <f>Demand_LP!I$5/31</f>
        <v>451.61290322580646</v>
      </c>
      <c r="BH83" s="16">
        <f>Demand_LP!J$5/31</f>
        <v>451.61290322580646</v>
      </c>
      <c r="BI83" s="16">
        <f>Demand_LP!K$5/31</f>
        <v>451.61290322580646</v>
      </c>
      <c r="BJ83" s="16">
        <f t="shared" si="46"/>
        <v>-44154.210694424306</v>
      </c>
      <c r="BK83" s="16">
        <f t="shared" si="47"/>
        <v>-40141.020016542556</v>
      </c>
      <c r="BL83" s="16">
        <f t="shared" si="48"/>
        <v>-11646.404177005796</v>
      </c>
      <c r="BM83" s="16">
        <f t="shared" si="49"/>
        <v>-49083.603669734388</v>
      </c>
      <c r="BN83" s="16">
        <f t="shared" si="50"/>
        <v>-28724.891228994529</v>
      </c>
      <c r="BO83" s="16">
        <f t="shared" si="51"/>
        <v>-27383.870967741939</v>
      </c>
      <c r="BP83" s="16">
        <f t="shared" si="52"/>
        <v>-34498.599503722093</v>
      </c>
      <c r="BQ83" s="16">
        <f t="shared" si="53"/>
        <v>-27383.870967741939</v>
      </c>
      <c r="BR83" s="16">
        <f t="shared" si="54"/>
        <v>-24983.870967741939</v>
      </c>
      <c r="BS83" s="16">
        <f t="shared" si="55"/>
        <v>-25683.870967741932</v>
      </c>
      <c r="BT83" s="14">
        <f>IF([1]Sheet2!CB82=999999,"NA",[1]Sheet2!CB82)</f>
        <v>0</v>
      </c>
      <c r="BU83" s="14">
        <f>IF([1]Sheet2!CC82=999999,"NA",[1]Sheet2!CC82)</f>
        <v>0</v>
      </c>
      <c r="BV83" s="14">
        <f>IF([1]Sheet2!CD82=999999,"NA",[1]Sheet2!CD82)</f>
        <v>0</v>
      </c>
      <c r="BW83" s="14">
        <f>IF([1]Sheet2!CE82=999999,"NA",[1]Sheet2!CE82)</f>
        <v>0</v>
      </c>
      <c r="BX83" s="14">
        <f>IF([1]Sheet2!CF82=999999,"NA",[1]Sheet2!CF82)</f>
        <v>0</v>
      </c>
      <c r="BY83" s="14">
        <f>IF([1]Sheet2!CG82=999999,"NA",[1]Sheet2!CG82)</f>
        <v>0</v>
      </c>
      <c r="BZ83" s="14">
        <f>IF([1]Sheet2!CH82=999999,"NA",[1]Sheet2!CH82)</f>
        <v>0</v>
      </c>
      <c r="CA83" s="14">
        <f>IF([1]Sheet2!CI82=999999,"NA",[1]Sheet2!CI82)</f>
        <v>0</v>
      </c>
      <c r="CB83" s="14">
        <f>IF([1]Sheet2!CJ82=999999,"NA",[1]Sheet2!CJ82)</f>
        <v>0</v>
      </c>
      <c r="CC83" s="14">
        <f>IF([1]Sheet2!CK82=999999,"NA",[1]Sheet2!CK82)</f>
        <v>0</v>
      </c>
      <c r="CD83" s="14">
        <f>[1]Sheet2!BH82</f>
        <v>0</v>
      </c>
      <c r="CE83" s="14">
        <f>[1]Sheet2!BI82</f>
        <v>0</v>
      </c>
      <c r="CF83" s="14">
        <f>[1]Sheet2!BJ82</f>
        <v>0</v>
      </c>
      <c r="CG83" s="14">
        <f>[1]Sheet2!BK82</f>
        <v>0</v>
      </c>
      <c r="CH83" s="14">
        <f>[1]Sheet2!BL82</f>
        <v>0</v>
      </c>
      <c r="CI83" s="14">
        <f>[1]Sheet2!BM82</f>
        <v>0</v>
      </c>
      <c r="CJ83" s="14">
        <f>[1]Sheet2!BN82</f>
        <v>0</v>
      </c>
      <c r="CK83" s="14">
        <f>[1]Sheet2!BO82</f>
        <v>0</v>
      </c>
      <c r="CL83" s="14">
        <f>[1]Sheet2!BP82</f>
        <v>0</v>
      </c>
      <c r="CM83" s="14">
        <f>[1]Sheet2!BQ82</f>
        <v>0</v>
      </c>
      <c r="CN83" s="16">
        <f>Demand_SW!B$5/31</f>
        <v>138.46153846153845</v>
      </c>
      <c r="CO83" s="16">
        <f>Demand_SW!C$5/31</f>
        <v>29.776674937965261</v>
      </c>
      <c r="CP83" s="16">
        <f>Demand_SW!D$5/31</f>
        <v>0</v>
      </c>
      <c r="CQ83" s="16">
        <f>Demand_SW!E$5/31</f>
        <v>0</v>
      </c>
      <c r="CR83" s="16">
        <f>Demand_SW!F$5/31</f>
        <v>0</v>
      </c>
      <c r="CS83" s="16">
        <f>Demand_SW!G$5/31</f>
        <v>138.70967741935485</v>
      </c>
      <c r="CT83" s="16">
        <f>Demand_SW!H$5/31</f>
        <v>29.776674937965261</v>
      </c>
      <c r="CU83" s="16">
        <f>Demand_SW!I$5/31</f>
        <v>0</v>
      </c>
      <c r="CV83" s="16">
        <f>Demand_SW!J$5/31</f>
        <v>0</v>
      </c>
      <c r="CW83" s="16">
        <f>Demand_SW!K$5/31</f>
        <v>0</v>
      </c>
      <c r="CX83" s="16">
        <f t="shared" si="56"/>
        <v>-4886.1538461538457</v>
      </c>
      <c r="CY83" s="16">
        <f t="shared" si="57"/>
        <v>374.68982630272967</v>
      </c>
      <c r="CZ83" s="16">
        <f t="shared" si="58"/>
        <v>0</v>
      </c>
      <c r="DA83" s="16">
        <f t="shared" si="59"/>
        <v>0</v>
      </c>
      <c r="DB83" s="16">
        <f t="shared" si="60"/>
        <v>0</v>
      </c>
      <c r="DC83" s="16">
        <f t="shared" si="61"/>
        <v>-4412.9032258064444</v>
      </c>
      <c r="DD83" s="16">
        <f t="shared" si="62"/>
        <v>374.68982630272967</v>
      </c>
      <c r="DE83" s="16">
        <f t="shared" si="63"/>
        <v>0</v>
      </c>
      <c r="DF83" s="16">
        <f t="shared" si="64"/>
        <v>0</v>
      </c>
      <c r="DG83" s="16">
        <f t="shared" si="65"/>
        <v>0</v>
      </c>
      <c r="DH83" s="14">
        <f>IF([1]Sheet2!DS82=999999,"NA",[1]Sheet2!DS82)</f>
        <v>0</v>
      </c>
      <c r="DI83" s="14">
        <f>IF([1]Sheet2!DT82=999999,"NA",[1]Sheet2!DT82)</f>
        <v>285</v>
      </c>
      <c r="DJ83" s="14" t="str">
        <f>IF([1]Sheet2!DU82=999999,"NA",[1]Sheet2!DU82)</f>
        <v>NA</v>
      </c>
      <c r="DK83" s="14" t="str">
        <f>IF([1]Sheet2!DV82=999999,"NA",[1]Sheet2!DV82)</f>
        <v>NA</v>
      </c>
      <c r="DL83" s="14" t="str">
        <f>IF([1]Sheet2!DW82=999999,"NA",[1]Sheet2!DW82)</f>
        <v>NA</v>
      </c>
      <c r="DM83" s="14">
        <f>IF([1]Sheet2!DX82=999999,"NA",[1]Sheet2!DX82)</f>
        <v>0</v>
      </c>
      <c r="DN83" s="14">
        <f>IF([1]Sheet2!DY82=999999,"NA",[1]Sheet2!DY82)</f>
        <v>285</v>
      </c>
      <c r="DO83" s="14" t="str">
        <f>IF([1]Sheet2!DZ82=999999,"NA",[1]Sheet2!DZ82)</f>
        <v>NA</v>
      </c>
      <c r="DP83" s="14" t="str">
        <f>IF([1]Sheet2!EA82=999999,"NA",[1]Sheet2!EA82)</f>
        <v>NA</v>
      </c>
      <c r="DQ83" s="14" t="str">
        <f>IF([1]Sheet2!EB82=999999,"NA",[1]Sheet2!EB82)</f>
        <v>NA</v>
      </c>
      <c r="DR83" s="14">
        <f>[1]Sheet2!CY82</f>
        <v>0</v>
      </c>
      <c r="DS83" s="14">
        <f>[1]Sheet2!CZ82</f>
        <v>0</v>
      </c>
      <c r="DT83" s="14">
        <f>[1]Sheet2!DA82</f>
        <v>0</v>
      </c>
      <c r="DU83" s="14">
        <f>[1]Sheet2!DB82</f>
        <v>0</v>
      </c>
      <c r="DV83" s="14">
        <f>[1]Sheet2!DC82</f>
        <v>0</v>
      </c>
      <c r="DW83" s="14">
        <f>[1]Sheet2!DD82</f>
        <v>0</v>
      </c>
      <c r="DX83" s="14">
        <f>[1]Sheet2!DE82</f>
        <v>0</v>
      </c>
      <c r="DY83" s="14">
        <f>[1]Sheet2!DF82</f>
        <v>0</v>
      </c>
      <c r="DZ83" s="14">
        <f>[1]Sheet2!DG82</f>
        <v>0</v>
      </c>
      <c r="EA83" s="14">
        <f>[1]Sheet2!DH82</f>
        <v>0</v>
      </c>
      <c r="EB83" s="6">
        <f>[1]Sheet2!EC82</f>
        <v>0</v>
      </c>
      <c r="EC83" s="6">
        <f>[1]Sheet2!ED82</f>
        <v>0</v>
      </c>
      <c r="ED83" s="6">
        <f>[1]Sheet2!EE82</f>
        <v>0</v>
      </c>
      <c r="EE83" s="6">
        <f>[1]Sheet2!EF82</f>
        <v>0</v>
      </c>
      <c r="EF83" s="6">
        <f>[1]Sheet2!EG82</f>
        <v>0</v>
      </c>
      <c r="EG83" s="6">
        <f>[1]Sheet2!EH82</f>
        <v>0</v>
      </c>
      <c r="EH83" s="6">
        <f>[1]Sheet2!EI82</f>
        <v>0</v>
      </c>
      <c r="EI83" s="6">
        <f>[1]Sheet2!EJ82</f>
        <v>0</v>
      </c>
      <c r="EJ83" s="6">
        <f>[1]Sheet2!EK82</f>
        <v>0</v>
      </c>
      <c r="EK83" s="6">
        <f>[1]Sheet2!EL82</f>
        <v>0</v>
      </c>
      <c r="EL83" s="6" t="str">
        <f>[1]Sheet2!EM82</f>
        <v/>
      </c>
      <c r="EM83" s="6" t="str">
        <f>[1]Sheet2!EN82</f>
        <v/>
      </c>
      <c r="EN83" s="6" t="str">
        <f>[1]Sheet2!EO82</f>
        <v/>
      </c>
      <c r="EO83" s="6" t="str">
        <f>[1]Sheet2!EP82</f>
        <v/>
      </c>
      <c r="EP83" s="6" t="str">
        <f>[1]Sheet2!EQ82</f>
        <v/>
      </c>
      <c r="EQ83" s="6" t="str">
        <f>[1]Sheet2!ER82</f>
        <v/>
      </c>
      <c r="ER83" s="6" t="str">
        <f>[1]Sheet2!ES82</f>
        <v/>
      </c>
      <c r="ES83" s="6" t="str">
        <f>[1]Sheet2!ET82</f>
        <v/>
      </c>
      <c r="ET83" s="6" t="str">
        <f>[1]Sheet2!EU82</f>
        <v/>
      </c>
      <c r="EU83" s="6" t="str">
        <f>[1]Sheet2!EV82</f>
        <v/>
      </c>
      <c r="EV83" s="6" t="str">
        <f>[1]Sheet2!EW82</f>
        <v/>
      </c>
      <c r="EW83" s="6" t="str">
        <f>[1]Sheet2!EX82</f>
        <v/>
      </c>
      <c r="EX83" s="6" t="str">
        <f>[1]Sheet2!EY82</f>
        <v/>
      </c>
      <c r="EY83" s="6" t="str">
        <f>[1]Sheet2!EZ82</f>
        <v/>
      </c>
      <c r="EZ83" s="6" t="str">
        <f>[1]Sheet2!FA82</f>
        <v/>
      </c>
      <c r="FA83" s="6" t="str">
        <f>[1]Sheet2!FB82</f>
        <v/>
      </c>
      <c r="FB83" s="6" t="str">
        <f>[1]Sheet2!FC82</f>
        <v/>
      </c>
      <c r="FC83" s="6" t="str">
        <f>[1]Sheet2!FD82</f>
        <v/>
      </c>
      <c r="FD83" s="6" t="str">
        <f>[1]Sheet2!FE82</f>
        <v/>
      </c>
      <c r="FE83" s="6" t="str">
        <f>[1]Sheet2!FF82</f>
        <v/>
      </c>
      <c r="FF83" s="6" t="str">
        <f>[1]Sheet2!FG82</f>
        <v/>
      </c>
      <c r="FG83" s="6" t="str">
        <f>[1]Sheet2!FH82</f>
        <v/>
      </c>
      <c r="FH83" s="6" t="str">
        <f>[1]Sheet2!FI82</f>
        <v/>
      </c>
      <c r="FI83" s="6" t="str">
        <f>[1]Sheet2!FJ82</f>
        <v/>
      </c>
      <c r="FJ83" s="6" t="str">
        <f>[1]Sheet2!FK82</f>
        <v/>
      </c>
      <c r="FK83" s="6" t="str">
        <f>[1]Sheet2!FL82</f>
        <v/>
      </c>
      <c r="FL83" s="6" t="str">
        <f>[1]Sheet2!FM82</f>
        <v/>
      </c>
      <c r="FM83" s="6" t="str">
        <f>[1]Sheet2!FN82</f>
        <v/>
      </c>
      <c r="FN83" s="6" t="str">
        <f>[1]Sheet2!FO82</f>
        <v/>
      </c>
      <c r="FO83" s="6" t="str">
        <f>[1]Sheet2!FP82</f>
        <v/>
      </c>
    </row>
    <row r="84" spans="1:171" x14ac:dyDescent="0.25">
      <c r="A84" s="15">
        <v>43546</v>
      </c>
      <c r="B84" s="1"/>
      <c r="C84" s="1"/>
      <c r="D84" s="1"/>
      <c r="E84" s="14">
        <f>[1]Sheet2!N83</f>
        <v>0</v>
      </c>
      <c r="F84" s="14">
        <f>[1]Sheet2!BE83</f>
        <v>0</v>
      </c>
      <c r="G84" s="14">
        <f>[1]Sheet2!CW83</f>
        <v>0</v>
      </c>
      <c r="H84" s="1"/>
      <c r="I84" s="1"/>
      <c r="J84" s="1"/>
      <c r="K84" s="16"/>
      <c r="L84" s="16">
        <f>Demand_CWRS!B$5/31</f>
        <v>131.679370700757</v>
      </c>
      <c r="M84" s="16">
        <f>Demand_CWRS!C$5/31</f>
        <v>537.20942928039699</v>
      </c>
      <c r="N84" s="16">
        <f>Demand_CWRS!D$5/31</f>
        <v>0</v>
      </c>
      <c r="O84" s="16">
        <f>Demand_CWRS!E$5/31</f>
        <v>121.5961418056559</v>
      </c>
      <c r="P84" s="16">
        <f>Demand_CWRS!F$5/31</f>
        <v>245.08227837631262</v>
      </c>
      <c r="Q84" s="16">
        <f>Demand_CWRS!G$5/31</f>
        <v>131.679370700757</v>
      </c>
      <c r="R84" s="16">
        <f>Demand_CWRS!H$5/31</f>
        <v>245.08227837631262</v>
      </c>
      <c r="S84" s="16">
        <f>Demand_CWRS!I$5/31</f>
        <v>245.08227837631262</v>
      </c>
      <c r="T84" s="16">
        <f>Demand_CWRS!J$5/31</f>
        <v>245.08227837631262</v>
      </c>
      <c r="U84" s="16">
        <f>Demand_CWRS!K$5/31</f>
        <v>245.08227837631262</v>
      </c>
      <c r="V84" s="16">
        <f t="shared" si="36"/>
        <v>-9293.8899655128098</v>
      </c>
      <c r="W84" s="16">
        <f t="shared" si="37"/>
        <v>-28347.238213399472</v>
      </c>
      <c r="X84" s="16">
        <f t="shared" si="38"/>
        <v>0</v>
      </c>
      <c r="Y84" s="16">
        <f t="shared" si="39"/>
        <v>-385.03947869878033</v>
      </c>
      <c r="Z84" s="16">
        <f t="shared" si="40"/>
        <v>-13903.776710817336</v>
      </c>
      <c r="AA84" s="16">
        <f t="shared" si="41"/>
        <v>-8076.9461554166628</v>
      </c>
      <c r="AB84" s="16">
        <f t="shared" si="42"/>
        <v>-18384.82038068914</v>
      </c>
      <c r="AC84" s="16">
        <f t="shared" si="43"/>
        <v>-12591.810124278878</v>
      </c>
      <c r="AD84" s="16">
        <f t="shared" si="44"/>
        <v>-12691.810124278871</v>
      </c>
      <c r="AE84" s="16">
        <f t="shared" si="45"/>
        <v>-13291.810124278874</v>
      </c>
      <c r="AF84" s="14">
        <f>IF([1]Sheet2!AJ83=999999,"NA",[1]Sheet2!AJ83)</f>
        <v>0</v>
      </c>
      <c r="AG84" s="14">
        <f>IF([1]Sheet2!AK83=999999,"NA",[1]Sheet2!AK83)</f>
        <v>0</v>
      </c>
      <c r="AH84" s="14" t="str">
        <f>IF([1]Sheet2!AL83=999999,"NA",[1]Sheet2!AL83)</f>
        <v>NA</v>
      </c>
      <c r="AI84" s="14">
        <f>IF([1]Sheet2!AM83=999999,"NA",[1]Sheet2!AM83)</f>
        <v>0</v>
      </c>
      <c r="AJ84" s="14">
        <f>IF([1]Sheet2!AN83=999999,"NA",[1]Sheet2!AN83)</f>
        <v>0</v>
      </c>
      <c r="AK84" s="14">
        <f>IF([1]Sheet2!AO83=999999,"NA",[1]Sheet2!AO83)</f>
        <v>0</v>
      </c>
      <c r="AL84" s="14">
        <f>IF([1]Sheet2!AP83=999999,"NA",[1]Sheet2!AP83)</f>
        <v>0</v>
      </c>
      <c r="AM84" s="14">
        <f>IF([1]Sheet2!AQ83=999999,"NA",[1]Sheet2!AQ83)</f>
        <v>0</v>
      </c>
      <c r="AN84" s="14">
        <f>IF([1]Sheet2!AR83=999999,"NA",[1]Sheet2!AR83)</f>
        <v>0</v>
      </c>
      <c r="AO84" s="14">
        <f>IF([1]Sheet2!AS83=999999,"NA",[1]Sheet2!AS83)</f>
        <v>0</v>
      </c>
      <c r="AP84" s="14">
        <f>[1]Sheet2!P83</f>
        <v>0</v>
      </c>
      <c r="AQ84" s="14">
        <f>[1]Sheet2!Q83</f>
        <v>0</v>
      </c>
      <c r="AR84" s="14">
        <f>[1]Sheet2!R83</f>
        <v>0</v>
      </c>
      <c r="AS84" s="14">
        <f>[1]Sheet2!S83</f>
        <v>0</v>
      </c>
      <c r="AT84" s="14">
        <f>[1]Sheet2!T83</f>
        <v>0</v>
      </c>
      <c r="AU84" s="14">
        <f>[1]Sheet2!U83</f>
        <v>0</v>
      </c>
      <c r="AV84" s="14">
        <f>[1]Sheet2!V83</f>
        <v>0</v>
      </c>
      <c r="AW84" s="14">
        <f>[1]Sheet2!W83</f>
        <v>0</v>
      </c>
      <c r="AX84" s="14">
        <f>[1]Sheet2!X83</f>
        <v>0</v>
      </c>
      <c r="AY84" s="14">
        <f>[1]Sheet2!Y83</f>
        <v>0</v>
      </c>
      <c r="AZ84" s="16">
        <f>Demand_LP!B$5/31</f>
        <v>754.78140345091151</v>
      </c>
      <c r="BA84" s="16">
        <f>Demand_LP!C$5/31</f>
        <v>547.55235732009919</v>
      </c>
      <c r="BB84" s="16">
        <f>Demand_LP!D$5/31</f>
        <v>312.75612076095945</v>
      </c>
      <c r="BC84" s="16">
        <f>Demand_LP!E$5/31</f>
        <v>772.29437499345636</v>
      </c>
      <c r="BD84" s="16">
        <f>Demand_LP!F$5/31</f>
        <v>471.74248526347748</v>
      </c>
      <c r="BE84" s="16">
        <f>Demand_LP!G$5/31</f>
        <v>451.61290322580646</v>
      </c>
      <c r="BF84" s="16">
        <f>Demand_LP!H$5/31</f>
        <v>547.55235732009919</v>
      </c>
      <c r="BG84" s="16">
        <f>Demand_LP!I$5/31</f>
        <v>451.61290322580646</v>
      </c>
      <c r="BH84" s="16">
        <f>Demand_LP!J$5/31</f>
        <v>451.61290322580646</v>
      </c>
      <c r="BI84" s="16">
        <f>Demand_LP!K$5/31</f>
        <v>451.61290322580646</v>
      </c>
      <c r="BJ84" s="16">
        <f t="shared" si="46"/>
        <v>-44908.99209787522</v>
      </c>
      <c r="BK84" s="16">
        <f t="shared" si="47"/>
        <v>-40688.572373862655</v>
      </c>
      <c r="BL84" s="16">
        <f t="shared" si="48"/>
        <v>-11959.160297766755</v>
      </c>
      <c r="BM84" s="16">
        <f t="shared" si="49"/>
        <v>-49855.898044727845</v>
      </c>
      <c r="BN84" s="16">
        <f t="shared" si="50"/>
        <v>-29196.633714258005</v>
      </c>
      <c r="BO84" s="16">
        <f t="shared" si="51"/>
        <v>-27835.483870967746</v>
      </c>
      <c r="BP84" s="16">
        <f t="shared" si="52"/>
        <v>-35046.151861042192</v>
      </c>
      <c r="BQ84" s="16">
        <f t="shared" si="53"/>
        <v>-27835.483870967746</v>
      </c>
      <c r="BR84" s="16">
        <f t="shared" si="54"/>
        <v>-25435.483870967746</v>
      </c>
      <c r="BS84" s="16">
        <f t="shared" si="55"/>
        <v>-26135.483870967739</v>
      </c>
      <c r="BT84" s="14">
        <f>IF([1]Sheet2!CB83=999999,"NA",[1]Sheet2!CB83)</f>
        <v>0</v>
      </c>
      <c r="BU84" s="14">
        <f>IF([1]Sheet2!CC83=999999,"NA",[1]Sheet2!CC83)</f>
        <v>0</v>
      </c>
      <c r="BV84" s="14">
        <f>IF([1]Sheet2!CD83=999999,"NA",[1]Sheet2!CD83)</f>
        <v>0</v>
      </c>
      <c r="BW84" s="14">
        <f>IF([1]Sheet2!CE83=999999,"NA",[1]Sheet2!CE83)</f>
        <v>0</v>
      </c>
      <c r="BX84" s="14">
        <f>IF([1]Sheet2!CF83=999999,"NA",[1]Sheet2!CF83)</f>
        <v>0</v>
      </c>
      <c r="BY84" s="14">
        <f>IF([1]Sheet2!CG83=999999,"NA",[1]Sheet2!CG83)</f>
        <v>0</v>
      </c>
      <c r="BZ84" s="14">
        <f>IF([1]Sheet2!CH83=999999,"NA",[1]Sheet2!CH83)</f>
        <v>0</v>
      </c>
      <c r="CA84" s="14">
        <f>IF([1]Sheet2!CI83=999999,"NA",[1]Sheet2!CI83)</f>
        <v>0</v>
      </c>
      <c r="CB84" s="14">
        <f>IF([1]Sheet2!CJ83=999999,"NA",[1]Sheet2!CJ83)</f>
        <v>0</v>
      </c>
      <c r="CC84" s="14">
        <f>IF([1]Sheet2!CK83=999999,"NA",[1]Sheet2!CK83)</f>
        <v>0</v>
      </c>
      <c r="CD84" s="14">
        <f>[1]Sheet2!BH83</f>
        <v>0</v>
      </c>
      <c r="CE84" s="14">
        <f>[1]Sheet2!BI83</f>
        <v>0</v>
      </c>
      <c r="CF84" s="14">
        <f>[1]Sheet2!BJ83</f>
        <v>0</v>
      </c>
      <c r="CG84" s="14">
        <f>[1]Sheet2!BK83</f>
        <v>0</v>
      </c>
      <c r="CH84" s="14">
        <f>[1]Sheet2!BL83</f>
        <v>0</v>
      </c>
      <c r="CI84" s="14">
        <f>[1]Sheet2!BM83</f>
        <v>0</v>
      </c>
      <c r="CJ84" s="14">
        <f>[1]Sheet2!BN83</f>
        <v>0</v>
      </c>
      <c r="CK84" s="14">
        <f>[1]Sheet2!BO83</f>
        <v>0</v>
      </c>
      <c r="CL84" s="14">
        <f>[1]Sheet2!BP83</f>
        <v>0</v>
      </c>
      <c r="CM84" s="14">
        <f>[1]Sheet2!BQ83</f>
        <v>0</v>
      </c>
      <c r="CN84" s="16">
        <f>Demand_SW!B$5/31</f>
        <v>138.46153846153845</v>
      </c>
      <c r="CO84" s="16">
        <f>Demand_SW!C$5/31</f>
        <v>29.776674937965261</v>
      </c>
      <c r="CP84" s="16">
        <f>Demand_SW!D$5/31</f>
        <v>0</v>
      </c>
      <c r="CQ84" s="16">
        <f>Demand_SW!E$5/31</f>
        <v>0</v>
      </c>
      <c r="CR84" s="16">
        <f>Demand_SW!F$5/31</f>
        <v>0</v>
      </c>
      <c r="CS84" s="16">
        <f>Demand_SW!G$5/31</f>
        <v>138.70967741935485</v>
      </c>
      <c r="CT84" s="16">
        <f>Demand_SW!H$5/31</f>
        <v>29.776674937965261</v>
      </c>
      <c r="CU84" s="16">
        <f>Demand_SW!I$5/31</f>
        <v>0</v>
      </c>
      <c r="CV84" s="16">
        <f>Demand_SW!J$5/31</f>
        <v>0</v>
      </c>
      <c r="CW84" s="16">
        <f>Demand_SW!K$5/31</f>
        <v>0</v>
      </c>
      <c r="CX84" s="16">
        <f t="shared" si="56"/>
        <v>-5024.6153846153838</v>
      </c>
      <c r="CY84" s="16">
        <f t="shared" si="57"/>
        <v>344.91315136476442</v>
      </c>
      <c r="CZ84" s="16">
        <f t="shared" si="58"/>
        <v>0</v>
      </c>
      <c r="DA84" s="16">
        <f t="shared" si="59"/>
        <v>0</v>
      </c>
      <c r="DB84" s="16">
        <f t="shared" si="60"/>
        <v>0</v>
      </c>
      <c r="DC84" s="16">
        <f t="shared" si="61"/>
        <v>-4551.6129032257995</v>
      </c>
      <c r="DD84" s="16">
        <f t="shared" si="62"/>
        <v>344.91315136476442</v>
      </c>
      <c r="DE84" s="16">
        <f t="shared" si="63"/>
        <v>0</v>
      </c>
      <c r="DF84" s="16">
        <f t="shared" si="64"/>
        <v>0</v>
      </c>
      <c r="DG84" s="16">
        <f t="shared" si="65"/>
        <v>0</v>
      </c>
      <c r="DH84" s="14">
        <f>IF([1]Sheet2!DS83=999999,"NA",[1]Sheet2!DS83)</f>
        <v>0</v>
      </c>
      <c r="DI84" s="14">
        <f>IF([1]Sheet2!DT83=999999,"NA",[1]Sheet2!DT83)</f>
        <v>284</v>
      </c>
      <c r="DJ84" s="14" t="str">
        <f>IF([1]Sheet2!DU83=999999,"NA",[1]Sheet2!DU83)</f>
        <v>NA</v>
      </c>
      <c r="DK84" s="14" t="str">
        <f>IF([1]Sheet2!DV83=999999,"NA",[1]Sheet2!DV83)</f>
        <v>NA</v>
      </c>
      <c r="DL84" s="14" t="str">
        <f>IF([1]Sheet2!DW83=999999,"NA",[1]Sheet2!DW83)</f>
        <v>NA</v>
      </c>
      <c r="DM84" s="14">
        <f>IF([1]Sheet2!DX83=999999,"NA",[1]Sheet2!DX83)</f>
        <v>0</v>
      </c>
      <c r="DN84" s="14">
        <f>IF([1]Sheet2!DY83=999999,"NA",[1]Sheet2!DY83)</f>
        <v>284</v>
      </c>
      <c r="DO84" s="14" t="str">
        <f>IF([1]Sheet2!DZ83=999999,"NA",[1]Sheet2!DZ83)</f>
        <v>NA</v>
      </c>
      <c r="DP84" s="14" t="str">
        <f>IF([1]Sheet2!EA83=999999,"NA",[1]Sheet2!EA83)</f>
        <v>NA</v>
      </c>
      <c r="DQ84" s="14" t="str">
        <f>IF([1]Sheet2!EB83=999999,"NA",[1]Sheet2!EB83)</f>
        <v>NA</v>
      </c>
      <c r="DR84" s="14">
        <f>[1]Sheet2!CY83</f>
        <v>0</v>
      </c>
      <c r="DS84" s="14">
        <f>[1]Sheet2!CZ83</f>
        <v>0</v>
      </c>
      <c r="DT84" s="14">
        <f>[1]Sheet2!DA83</f>
        <v>0</v>
      </c>
      <c r="DU84" s="14">
        <f>[1]Sheet2!DB83</f>
        <v>0</v>
      </c>
      <c r="DV84" s="14">
        <f>[1]Sheet2!DC83</f>
        <v>0</v>
      </c>
      <c r="DW84" s="14">
        <f>[1]Sheet2!DD83</f>
        <v>0</v>
      </c>
      <c r="DX84" s="14">
        <f>[1]Sheet2!DE83</f>
        <v>0</v>
      </c>
      <c r="DY84" s="14">
        <f>[1]Sheet2!DF83</f>
        <v>0</v>
      </c>
      <c r="DZ84" s="14">
        <f>[1]Sheet2!DG83</f>
        <v>0</v>
      </c>
      <c r="EA84" s="14">
        <f>[1]Sheet2!DH83</f>
        <v>0</v>
      </c>
      <c r="EB84" s="6">
        <f>[1]Sheet2!EC83</f>
        <v>0</v>
      </c>
      <c r="EC84" s="6">
        <f>[1]Sheet2!ED83</f>
        <v>0</v>
      </c>
      <c r="ED84" s="6">
        <f>[1]Sheet2!EE83</f>
        <v>0</v>
      </c>
      <c r="EE84" s="6">
        <f>[1]Sheet2!EF83</f>
        <v>0</v>
      </c>
      <c r="EF84" s="6">
        <f>[1]Sheet2!EG83</f>
        <v>0</v>
      </c>
      <c r="EG84" s="6">
        <f>[1]Sheet2!EH83</f>
        <v>0</v>
      </c>
      <c r="EH84" s="6">
        <f>[1]Sheet2!EI83</f>
        <v>0</v>
      </c>
      <c r="EI84" s="6">
        <f>[1]Sheet2!EJ83</f>
        <v>0</v>
      </c>
      <c r="EJ84" s="6">
        <f>[1]Sheet2!EK83</f>
        <v>0</v>
      </c>
      <c r="EK84" s="6">
        <f>[1]Sheet2!EL83</f>
        <v>0</v>
      </c>
      <c r="EL84" s="6" t="str">
        <f>[1]Sheet2!EM83</f>
        <v/>
      </c>
      <c r="EM84" s="6" t="str">
        <f>[1]Sheet2!EN83</f>
        <v/>
      </c>
      <c r="EN84" s="6" t="str">
        <f>[1]Sheet2!EO83</f>
        <v/>
      </c>
      <c r="EO84" s="6" t="str">
        <f>[1]Sheet2!EP83</f>
        <v/>
      </c>
      <c r="EP84" s="6" t="str">
        <f>[1]Sheet2!EQ83</f>
        <v/>
      </c>
      <c r="EQ84" s="6" t="str">
        <f>[1]Sheet2!ER83</f>
        <v/>
      </c>
      <c r="ER84" s="6" t="str">
        <f>[1]Sheet2!ES83</f>
        <v/>
      </c>
      <c r="ES84" s="6" t="str">
        <f>[1]Sheet2!ET83</f>
        <v/>
      </c>
      <c r="ET84" s="6" t="str">
        <f>[1]Sheet2!EU83</f>
        <v/>
      </c>
      <c r="EU84" s="6" t="str">
        <f>[1]Sheet2!EV83</f>
        <v/>
      </c>
      <c r="EV84" s="6" t="str">
        <f>[1]Sheet2!EW83</f>
        <v/>
      </c>
      <c r="EW84" s="6" t="str">
        <f>[1]Sheet2!EX83</f>
        <v/>
      </c>
      <c r="EX84" s="6" t="str">
        <f>[1]Sheet2!EY83</f>
        <v/>
      </c>
      <c r="EY84" s="6" t="str">
        <f>[1]Sheet2!EZ83</f>
        <v/>
      </c>
      <c r="EZ84" s="6" t="str">
        <f>[1]Sheet2!FA83</f>
        <v/>
      </c>
      <c r="FA84" s="6" t="str">
        <f>[1]Sheet2!FB83</f>
        <v/>
      </c>
      <c r="FB84" s="6" t="str">
        <f>[1]Sheet2!FC83</f>
        <v/>
      </c>
      <c r="FC84" s="6" t="str">
        <f>[1]Sheet2!FD83</f>
        <v/>
      </c>
      <c r="FD84" s="6" t="str">
        <f>[1]Sheet2!FE83</f>
        <v/>
      </c>
      <c r="FE84" s="6" t="str">
        <f>[1]Sheet2!FF83</f>
        <v/>
      </c>
      <c r="FF84" s="6" t="str">
        <f>[1]Sheet2!FG83</f>
        <v/>
      </c>
      <c r="FG84" s="6" t="str">
        <f>[1]Sheet2!FH83</f>
        <v/>
      </c>
      <c r="FH84" s="6" t="str">
        <f>[1]Sheet2!FI83</f>
        <v/>
      </c>
      <c r="FI84" s="6" t="str">
        <f>[1]Sheet2!FJ83</f>
        <v/>
      </c>
      <c r="FJ84" s="6" t="str">
        <f>[1]Sheet2!FK83</f>
        <v/>
      </c>
      <c r="FK84" s="6" t="str">
        <f>[1]Sheet2!FL83</f>
        <v/>
      </c>
      <c r="FL84" s="6" t="str">
        <f>[1]Sheet2!FM83</f>
        <v/>
      </c>
      <c r="FM84" s="6" t="str">
        <f>[1]Sheet2!FN83</f>
        <v/>
      </c>
      <c r="FN84" s="6" t="str">
        <f>[1]Sheet2!FO83</f>
        <v/>
      </c>
      <c r="FO84" s="6" t="str">
        <f>[1]Sheet2!FP83</f>
        <v/>
      </c>
    </row>
    <row r="85" spans="1:171" x14ac:dyDescent="0.25">
      <c r="A85" s="15">
        <v>43547</v>
      </c>
      <c r="B85" s="1"/>
      <c r="C85" s="1"/>
      <c r="D85" s="1"/>
      <c r="E85" s="14">
        <f>[1]Sheet2!N84</f>
        <v>0</v>
      </c>
      <c r="F85" s="14">
        <f>[1]Sheet2!BE84</f>
        <v>0</v>
      </c>
      <c r="G85" s="14">
        <f>[1]Sheet2!CW84</f>
        <v>0</v>
      </c>
      <c r="H85" s="1"/>
      <c r="I85" s="1"/>
      <c r="J85" s="1"/>
      <c r="K85" s="16"/>
      <c r="L85" s="16">
        <f>Demand_CWRS!B$5/31</f>
        <v>131.679370700757</v>
      </c>
      <c r="M85" s="16">
        <f>Demand_CWRS!C$5/31</f>
        <v>537.20942928039699</v>
      </c>
      <c r="N85" s="16">
        <f>Demand_CWRS!D$5/31</f>
        <v>0</v>
      </c>
      <c r="O85" s="16">
        <f>Demand_CWRS!E$5/31</f>
        <v>121.5961418056559</v>
      </c>
      <c r="P85" s="16">
        <f>Demand_CWRS!F$5/31</f>
        <v>245.08227837631262</v>
      </c>
      <c r="Q85" s="16">
        <f>Demand_CWRS!G$5/31</f>
        <v>131.679370700757</v>
      </c>
      <c r="R85" s="16">
        <f>Demand_CWRS!H$5/31</f>
        <v>245.08227837631262</v>
      </c>
      <c r="S85" s="16">
        <f>Demand_CWRS!I$5/31</f>
        <v>245.08227837631262</v>
      </c>
      <c r="T85" s="16">
        <f>Demand_CWRS!J$5/31</f>
        <v>245.08227837631262</v>
      </c>
      <c r="U85" s="16">
        <f>Demand_CWRS!K$5/31</f>
        <v>245.08227837631262</v>
      </c>
      <c r="V85" s="16">
        <f t="shared" si="36"/>
        <v>-9425.5693362135662</v>
      </c>
      <c r="W85" s="16">
        <f t="shared" si="37"/>
        <v>-28884.447642679868</v>
      </c>
      <c r="X85" s="16">
        <f t="shared" si="38"/>
        <v>0</v>
      </c>
      <c r="Y85" s="16">
        <f t="shared" si="39"/>
        <v>-506.63562050443625</v>
      </c>
      <c r="Z85" s="16">
        <f t="shared" si="40"/>
        <v>-14148.858989193648</v>
      </c>
      <c r="AA85" s="16">
        <f t="shared" si="41"/>
        <v>-8208.6255261174192</v>
      </c>
      <c r="AB85" s="16">
        <f t="shared" si="42"/>
        <v>-18629.902659065454</v>
      </c>
      <c r="AC85" s="16">
        <f t="shared" si="43"/>
        <v>-12836.89240265519</v>
      </c>
      <c r="AD85" s="16">
        <f t="shared" si="44"/>
        <v>-12936.892402655183</v>
      </c>
      <c r="AE85" s="16">
        <f t="shared" si="45"/>
        <v>-13536.892402655187</v>
      </c>
      <c r="AF85" s="14">
        <f>IF([1]Sheet2!AJ84=999999,"NA",[1]Sheet2!AJ84)</f>
        <v>0</v>
      </c>
      <c r="AG85" s="14">
        <f>IF([1]Sheet2!AK84=999999,"NA",[1]Sheet2!AK84)</f>
        <v>0</v>
      </c>
      <c r="AH85" s="14" t="str">
        <f>IF([1]Sheet2!AL84=999999,"NA",[1]Sheet2!AL84)</f>
        <v>NA</v>
      </c>
      <c r="AI85" s="14">
        <f>IF([1]Sheet2!AM84=999999,"NA",[1]Sheet2!AM84)</f>
        <v>0</v>
      </c>
      <c r="AJ85" s="14">
        <f>IF([1]Sheet2!AN84=999999,"NA",[1]Sheet2!AN84)</f>
        <v>0</v>
      </c>
      <c r="AK85" s="14">
        <f>IF([1]Sheet2!AO84=999999,"NA",[1]Sheet2!AO84)</f>
        <v>0</v>
      </c>
      <c r="AL85" s="14">
        <f>IF([1]Sheet2!AP84=999999,"NA",[1]Sheet2!AP84)</f>
        <v>0</v>
      </c>
      <c r="AM85" s="14">
        <f>IF([1]Sheet2!AQ84=999999,"NA",[1]Sheet2!AQ84)</f>
        <v>0</v>
      </c>
      <c r="AN85" s="14">
        <f>IF([1]Sheet2!AR84=999999,"NA",[1]Sheet2!AR84)</f>
        <v>0</v>
      </c>
      <c r="AO85" s="14">
        <f>IF([1]Sheet2!AS84=999999,"NA",[1]Sheet2!AS84)</f>
        <v>0</v>
      </c>
      <c r="AP85" s="14">
        <f>[1]Sheet2!P84</f>
        <v>0</v>
      </c>
      <c r="AQ85" s="14">
        <f>[1]Sheet2!Q84</f>
        <v>0</v>
      </c>
      <c r="AR85" s="14">
        <f>[1]Sheet2!R84</f>
        <v>0</v>
      </c>
      <c r="AS85" s="14">
        <f>[1]Sheet2!S84</f>
        <v>0</v>
      </c>
      <c r="AT85" s="14">
        <f>[1]Sheet2!T84</f>
        <v>0</v>
      </c>
      <c r="AU85" s="14">
        <f>[1]Sheet2!U84</f>
        <v>0</v>
      </c>
      <c r="AV85" s="14">
        <f>[1]Sheet2!V84</f>
        <v>0</v>
      </c>
      <c r="AW85" s="14">
        <f>[1]Sheet2!W84</f>
        <v>0</v>
      </c>
      <c r="AX85" s="14">
        <f>[1]Sheet2!X84</f>
        <v>0</v>
      </c>
      <c r="AY85" s="14">
        <f>[1]Sheet2!Y84</f>
        <v>0</v>
      </c>
      <c r="AZ85" s="16">
        <f>Demand_LP!B$5/31</f>
        <v>754.78140345091151</v>
      </c>
      <c r="BA85" s="16">
        <f>Demand_LP!C$5/31</f>
        <v>547.55235732009919</v>
      </c>
      <c r="BB85" s="16">
        <f>Demand_LP!D$5/31</f>
        <v>312.75612076095945</v>
      </c>
      <c r="BC85" s="16">
        <f>Demand_LP!E$5/31</f>
        <v>772.29437499345636</v>
      </c>
      <c r="BD85" s="16">
        <f>Demand_LP!F$5/31</f>
        <v>471.74248526347748</v>
      </c>
      <c r="BE85" s="16">
        <f>Demand_LP!G$5/31</f>
        <v>451.61290322580646</v>
      </c>
      <c r="BF85" s="16">
        <f>Demand_LP!H$5/31</f>
        <v>547.55235732009919</v>
      </c>
      <c r="BG85" s="16">
        <f>Demand_LP!I$5/31</f>
        <v>451.61290322580646</v>
      </c>
      <c r="BH85" s="16">
        <f>Demand_LP!J$5/31</f>
        <v>451.61290322580646</v>
      </c>
      <c r="BI85" s="16">
        <f>Demand_LP!K$5/31</f>
        <v>451.61290322580646</v>
      </c>
      <c r="BJ85" s="16">
        <f t="shared" si="46"/>
        <v>-45663.773501326134</v>
      </c>
      <c r="BK85" s="16">
        <f t="shared" si="47"/>
        <v>-41236.124731182754</v>
      </c>
      <c r="BL85" s="16">
        <f t="shared" si="48"/>
        <v>-12271.916418527715</v>
      </c>
      <c r="BM85" s="16">
        <f t="shared" si="49"/>
        <v>-50628.192419721301</v>
      </c>
      <c r="BN85" s="16">
        <f t="shared" si="50"/>
        <v>-29668.376199521481</v>
      </c>
      <c r="BO85" s="16">
        <f t="shared" si="51"/>
        <v>-28287.096774193553</v>
      </c>
      <c r="BP85" s="16">
        <f t="shared" si="52"/>
        <v>-35593.704218362291</v>
      </c>
      <c r="BQ85" s="16">
        <f t="shared" si="53"/>
        <v>-28287.096774193553</v>
      </c>
      <c r="BR85" s="16">
        <f t="shared" si="54"/>
        <v>-25887.096774193553</v>
      </c>
      <c r="BS85" s="16">
        <f t="shared" si="55"/>
        <v>-26587.096774193546</v>
      </c>
      <c r="BT85" s="14">
        <f>IF([1]Sheet2!CB84=999999,"NA",[1]Sheet2!CB84)</f>
        <v>0</v>
      </c>
      <c r="BU85" s="14">
        <f>IF([1]Sheet2!CC84=999999,"NA",[1]Sheet2!CC84)</f>
        <v>0</v>
      </c>
      <c r="BV85" s="14">
        <f>IF([1]Sheet2!CD84=999999,"NA",[1]Sheet2!CD84)</f>
        <v>0</v>
      </c>
      <c r="BW85" s="14">
        <f>IF([1]Sheet2!CE84=999999,"NA",[1]Sheet2!CE84)</f>
        <v>0</v>
      </c>
      <c r="BX85" s="14">
        <f>IF([1]Sheet2!CF84=999999,"NA",[1]Sheet2!CF84)</f>
        <v>0</v>
      </c>
      <c r="BY85" s="14">
        <f>IF([1]Sheet2!CG84=999999,"NA",[1]Sheet2!CG84)</f>
        <v>0</v>
      </c>
      <c r="BZ85" s="14">
        <f>IF([1]Sheet2!CH84=999999,"NA",[1]Sheet2!CH84)</f>
        <v>0</v>
      </c>
      <c r="CA85" s="14">
        <f>IF([1]Sheet2!CI84=999999,"NA",[1]Sheet2!CI84)</f>
        <v>0</v>
      </c>
      <c r="CB85" s="14">
        <f>IF([1]Sheet2!CJ84=999999,"NA",[1]Sheet2!CJ84)</f>
        <v>0</v>
      </c>
      <c r="CC85" s="14">
        <f>IF([1]Sheet2!CK84=999999,"NA",[1]Sheet2!CK84)</f>
        <v>0</v>
      </c>
      <c r="CD85" s="14">
        <f>[1]Sheet2!BH84</f>
        <v>0</v>
      </c>
      <c r="CE85" s="14">
        <f>[1]Sheet2!BI84</f>
        <v>0</v>
      </c>
      <c r="CF85" s="14">
        <f>[1]Sheet2!BJ84</f>
        <v>0</v>
      </c>
      <c r="CG85" s="14">
        <f>[1]Sheet2!BK84</f>
        <v>0</v>
      </c>
      <c r="CH85" s="14">
        <f>[1]Sheet2!BL84</f>
        <v>0</v>
      </c>
      <c r="CI85" s="14">
        <f>[1]Sheet2!BM84</f>
        <v>0</v>
      </c>
      <c r="CJ85" s="14">
        <f>[1]Sheet2!BN84</f>
        <v>0</v>
      </c>
      <c r="CK85" s="14">
        <f>[1]Sheet2!BO84</f>
        <v>0</v>
      </c>
      <c r="CL85" s="14">
        <f>[1]Sheet2!BP84</f>
        <v>0</v>
      </c>
      <c r="CM85" s="14">
        <f>[1]Sheet2!BQ84</f>
        <v>0</v>
      </c>
      <c r="CN85" s="16">
        <f>Demand_SW!B$5/31</f>
        <v>138.46153846153845</v>
      </c>
      <c r="CO85" s="16">
        <f>Demand_SW!C$5/31</f>
        <v>29.776674937965261</v>
      </c>
      <c r="CP85" s="16">
        <f>Demand_SW!D$5/31</f>
        <v>0</v>
      </c>
      <c r="CQ85" s="16">
        <f>Demand_SW!E$5/31</f>
        <v>0</v>
      </c>
      <c r="CR85" s="16">
        <f>Demand_SW!F$5/31</f>
        <v>0</v>
      </c>
      <c r="CS85" s="16">
        <f>Demand_SW!G$5/31</f>
        <v>138.70967741935485</v>
      </c>
      <c r="CT85" s="16">
        <f>Demand_SW!H$5/31</f>
        <v>29.776674937965261</v>
      </c>
      <c r="CU85" s="16">
        <f>Demand_SW!I$5/31</f>
        <v>0</v>
      </c>
      <c r="CV85" s="16">
        <f>Demand_SW!J$5/31</f>
        <v>0</v>
      </c>
      <c r="CW85" s="16">
        <f>Demand_SW!K$5/31</f>
        <v>0</v>
      </c>
      <c r="CX85" s="16">
        <f t="shared" si="56"/>
        <v>-5163.076923076922</v>
      </c>
      <c r="CY85" s="16">
        <f t="shared" si="57"/>
        <v>315.13647642679916</v>
      </c>
      <c r="CZ85" s="16">
        <f t="shared" si="58"/>
        <v>0</v>
      </c>
      <c r="DA85" s="16">
        <f t="shared" si="59"/>
        <v>0</v>
      </c>
      <c r="DB85" s="16">
        <f t="shared" si="60"/>
        <v>0</v>
      </c>
      <c r="DC85" s="16">
        <f t="shared" si="61"/>
        <v>-4690.3225806451546</v>
      </c>
      <c r="DD85" s="16">
        <f t="shared" si="62"/>
        <v>315.13647642679916</v>
      </c>
      <c r="DE85" s="16">
        <f t="shared" si="63"/>
        <v>0</v>
      </c>
      <c r="DF85" s="16">
        <f t="shared" si="64"/>
        <v>0</v>
      </c>
      <c r="DG85" s="16">
        <f t="shared" si="65"/>
        <v>0</v>
      </c>
      <c r="DH85" s="14">
        <f>IF([1]Sheet2!DS84=999999,"NA",[1]Sheet2!DS84)</f>
        <v>0</v>
      </c>
      <c r="DI85" s="14">
        <f>IF([1]Sheet2!DT84=999999,"NA",[1]Sheet2!DT84)</f>
        <v>283</v>
      </c>
      <c r="DJ85" s="14" t="str">
        <f>IF([1]Sheet2!DU84=999999,"NA",[1]Sheet2!DU84)</f>
        <v>NA</v>
      </c>
      <c r="DK85" s="14" t="str">
        <f>IF([1]Sheet2!DV84=999999,"NA",[1]Sheet2!DV84)</f>
        <v>NA</v>
      </c>
      <c r="DL85" s="14" t="str">
        <f>IF([1]Sheet2!DW84=999999,"NA",[1]Sheet2!DW84)</f>
        <v>NA</v>
      </c>
      <c r="DM85" s="14">
        <f>IF([1]Sheet2!DX84=999999,"NA",[1]Sheet2!DX84)</f>
        <v>0</v>
      </c>
      <c r="DN85" s="14">
        <f>IF([1]Sheet2!DY84=999999,"NA",[1]Sheet2!DY84)</f>
        <v>283</v>
      </c>
      <c r="DO85" s="14" t="str">
        <f>IF([1]Sheet2!DZ84=999999,"NA",[1]Sheet2!DZ84)</f>
        <v>NA</v>
      </c>
      <c r="DP85" s="14" t="str">
        <f>IF([1]Sheet2!EA84=999999,"NA",[1]Sheet2!EA84)</f>
        <v>NA</v>
      </c>
      <c r="DQ85" s="14" t="str">
        <f>IF([1]Sheet2!EB84=999999,"NA",[1]Sheet2!EB84)</f>
        <v>NA</v>
      </c>
      <c r="DR85" s="14">
        <f>[1]Sheet2!CY84</f>
        <v>0</v>
      </c>
      <c r="DS85" s="14">
        <f>[1]Sheet2!CZ84</f>
        <v>0</v>
      </c>
      <c r="DT85" s="14">
        <f>[1]Sheet2!DA84</f>
        <v>0</v>
      </c>
      <c r="DU85" s="14">
        <f>[1]Sheet2!DB84</f>
        <v>0</v>
      </c>
      <c r="DV85" s="14">
        <f>[1]Sheet2!DC84</f>
        <v>0</v>
      </c>
      <c r="DW85" s="14">
        <f>[1]Sheet2!DD84</f>
        <v>0</v>
      </c>
      <c r="DX85" s="14">
        <f>[1]Sheet2!DE84</f>
        <v>0</v>
      </c>
      <c r="DY85" s="14">
        <f>[1]Sheet2!DF84</f>
        <v>0</v>
      </c>
      <c r="DZ85" s="14">
        <f>[1]Sheet2!DG84</f>
        <v>0</v>
      </c>
      <c r="EA85" s="14">
        <f>[1]Sheet2!DH84</f>
        <v>0</v>
      </c>
      <c r="EB85" s="6">
        <f>[1]Sheet2!EC84</f>
        <v>0</v>
      </c>
      <c r="EC85" s="6">
        <f>[1]Sheet2!ED84</f>
        <v>0</v>
      </c>
      <c r="ED85" s="6">
        <f>[1]Sheet2!EE84</f>
        <v>0</v>
      </c>
      <c r="EE85" s="6">
        <f>[1]Sheet2!EF84</f>
        <v>0</v>
      </c>
      <c r="EF85" s="6">
        <f>[1]Sheet2!EG84</f>
        <v>0</v>
      </c>
      <c r="EG85" s="6">
        <f>[1]Sheet2!EH84</f>
        <v>0</v>
      </c>
      <c r="EH85" s="6">
        <f>[1]Sheet2!EI84</f>
        <v>0</v>
      </c>
      <c r="EI85" s="6">
        <f>[1]Sheet2!EJ84</f>
        <v>0</v>
      </c>
      <c r="EJ85" s="6">
        <f>[1]Sheet2!EK84</f>
        <v>0</v>
      </c>
      <c r="EK85" s="6">
        <f>[1]Sheet2!EL84</f>
        <v>0</v>
      </c>
      <c r="EL85" s="6" t="str">
        <f>[1]Sheet2!EM84</f>
        <v/>
      </c>
      <c r="EM85" s="6" t="str">
        <f>[1]Sheet2!EN84</f>
        <v/>
      </c>
      <c r="EN85" s="6" t="str">
        <f>[1]Sheet2!EO84</f>
        <v/>
      </c>
      <c r="EO85" s="6" t="str">
        <f>[1]Sheet2!EP84</f>
        <v/>
      </c>
      <c r="EP85" s="6" t="str">
        <f>[1]Sheet2!EQ84</f>
        <v/>
      </c>
      <c r="EQ85" s="6" t="str">
        <f>[1]Sheet2!ER84</f>
        <v/>
      </c>
      <c r="ER85" s="6" t="str">
        <f>[1]Sheet2!ES84</f>
        <v/>
      </c>
      <c r="ES85" s="6" t="str">
        <f>[1]Sheet2!ET84</f>
        <v/>
      </c>
      <c r="ET85" s="6" t="str">
        <f>[1]Sheet2!EU84</f>
        <v/>
      </c>
      <c r="EU85" s="6" t="str">
        <f>[1]Sheet2!EV84</f>
        <v/>
      </c>
      <c r="EV85" s="6" t="str">
        <f>[1]Sheet2!EW84</f>
        <v/>
      </c>
      <c r="EW85" s="6" t="str">
        <f>[1]Sheet2!EX84</f>
        <v/>
      </c>
      <c r="EX85" s="6" t="str">
        <f>[1]Sheet2!EY84</f>
        <v/>
      </c>
      <c r="EY85" s="6" t="str">
        <f>[1]Sheet2!EZ84</f>
        <v/>
      </c>
      <c r="EZ85" s="6" t="str">
        <f>[1]Sheet2!FA84</f>
        <v/>
      </c>
      <c r="FA85" s="6" t="str">
        <f>[1]Sheet2!FB84</f>
        <v/>
      </c>
      <c r="FB85" s="6" t="str">
        <f>[1]Sheet2!FC84</f>
        <v/>
      </c>
      <c r="FC85" s="6" t="str">
        <f>[1]Sheet2!FD84</f>
        <v/>
      </c>
      <c r="FD85" s="6" t="str">
        <f>[1]Sheet2!FE84</f>
        <v/>
      </c>
      <c r="FE85" s="6" t="str">
        <f>[1]Sheet2!FF84</f>
        <v/>
      </c>
      <c r="FF85" s="6" t="str">
        <f>[1]Sheet2!FG84</f>
        <v/>
      </c>
      <c r="FG85" s="6" t="str">
        <f>[1]Sheet2!FH84</f>
        <v/>
      </c>
      <c r="FH85" s="6" t="str">
        <f>[1]Sheet2!FI84</f>
        <v/>
      </c>
      <c r="FI85" s="6" t="str">
        <f>[1]Sheet2!FJ84</f>
        <v/>
      </c>
      <c r="FJ85" s="6" t="str">
        <f>[1]Sheet2!FK84</f>
        <v/>
      </c>
      <c r="FK85" s="6" t="str">
        <f>[1]Sheet2!FL84</f>
        <v/>
      </c>
      <c r="FL85" s="6" t="str">
        <f>[1]Sheet2!FM84</f>
        <v/>
      </c>
      <c r="FM85" s="6" t="str">
        <f>[1]Sheet2!FN84</f>
        <v/>
      </c>
      <c r="FN85" s="6" t="str">
        <f>[1]Sheet2!FO84</f>
        <v/>
      </c>
      <c r="FO85" s="6" t="str">
        <f>[1]Sheet2!FP84</f>
        <v/>
      </c>
    </row>
    <row r="86" spans="1:171" x14ac:dyDescent="0.25">
      <c r="A86" s="15">
        <v>43548</v>
      </c>
      <c r="B86" s="1"/>
      <c r="C86" s="1"/>
      <c r="D86" s="1"/>
      <c r="E86" s="14">
        <f>[1]Sheet2!N85</f>
        <v>0</v>
      </c>
      <c r="F86" s="14">
        <f>[1]Sheet2!BE85</f>
        <v>0</v>
      </c>
      <c r="G86" s="14">
        <f>[1]Sheet2!CW85</f>
        <v>0</v>
      </c>
      <c r="H86" s="1"/>
      <c r="I86" s="1"/>
      <c r="J86" s="1"/>
      <c r="K86" s="16"/>
      <c r="L86" s="16">
        <f>Demand_CWRS!B$5/31</f>
        <v>131.679370700757</v>
      </c>
      <c r="M86" s="16">
        <f>Demand_CWRS!C$5/31</f>
        <v>537.20942928039699</v>
      </c>
      <c r="N86" s="16">
        <f>Demand_CWRS!D$5/31</f>
        <v>0</v>
      </c>
      <c r="O86" s="16">
        <f>Demand_CWRS!E$5/31</f>
        <v>121.5961418056559</v>
      </c>
      <c r="P86" s="16">
        <f>Demand_CWRS!F$5/31</f>
        <v>245.08227837631262</v>
      </c>
      <c r="Q86" s="16">
        <f>Demand_CWRS!G$5/31</f>
        <v>131.679370700757</v>
      </c>
      <c r="R86" s="16">
        <f>Demand_CWRS!H$5/31</f>
        <v>245.08227837631262</v>
      </c>
      <c r="S86" s="16">
        <f>Demand_CWRS!I$5/31</f>
        <v>245.08227837631262</v>
      </c>
      <c r="T86" s="16">
        <f>Demand_CWRS!J$5/31</f>
        <v>245.08227837631262</v>
      </c>
      <c r="U86" s="16">
        <f>Demand_CWRS!K$5/31</f>
        <v>245.08227837631262</v>
      </c>
      <c r="V86" s="16">
        <f t="shared" si="36"/>
        <v>-9557.2487069143226</v>
      </c>
      <c r="W86" s="16">
        <f t="shared" si="37"/>
        <v>-29421.657071960264</v>
      </c>
      <c r="X86" s="16">
        <f t="shared" si="38"/>
        <v>0</v>
      </c>
      <c r="Y86" s="16">
        <f t="shared" si="39"/>
        <v>-628.23176231009211</v>
      </c>
      <c r="Z86" s="16">
        <f t="shared" si="40"/>
        <v>-14393.94126756996</v>
      </c>
      <c r="AA86" s="16">
        <f t="shared" si="41"/>
        <v>-8340.3048968181756</v>
      </c>
      <c r="AB86" s="16">
        <f t="shared" si="42"/>
        <v>-18874.984937441768</v>
      </c>
      <c r="AC86" s="16">
        <f t="shared" si="43"/>
        <v>-13081.974681031503</v>
      </c>
      <c r="AD86" s="16">
        <f t="shared" si="44"/>
        <v>-13181.974681031495</v>
      </c>
      <c r="AE86" s="16">
        <f t="shared" si="45"/>
        <v>-13781.974681031499</v>
      </c>
      <c r="AF86" s="14">
        <f>IF([1]Sheet2!AJ85=999999,"NA",[1]Sheet2!AJ85)</f>
        <v>0</v>
      </c>
      <c r="AG86" s="14">
        <f>IF([1]Sheet2!AK85=999999,"NA",[1]Sheet2!AK85)</f>
        <v>0</v>
      </c>
      <c r="AH86" s="14" t="str">
        <f>IF([1]Sheet2!AL85=999999,"NA",[1]Sheet2!AL85)</f>
        <v>NA</v>
      </c>
      <c r="AI86" s="14">
        <f>IF([1]Sheet2!AM85=999999,"NA",[1]Sheet2!AM85)</f>
        <v>0</v>
      </c>
      <c r="AJ86" s="14">
        <f>IF([1]Sheet2!AN85=999999,"NA",[1]Sheet2!AN85)</f>
        <v>0</v>
      </c>
      <c r="AK86" s="14">
        <f>IF([1]Sheet2!AO85=999999,"NA",[1]Sheet2!AO85)</f>
        <v>0</v>
      </c>
      <c r="AL86" s="14">
        <f>IF([1]Sheet2!AP85=999999,"NA",[1]Sheet2!AP85)</f>
        <v>0</v>
      </c>
      <c r="AM86" s="14">
        <f>IF([1]Sheet2!AQ85=999999,"NA",[1]Sheet2!AQ85)</f>
        <v>0</v>
      </c>
      <c r="AN86" s="14">
        <f>IF([1]Sheet2!AR85=999999,"NA",[1]Sheet2!AR85)</f>
        <v>0</v>
      </c>
      <c r="AO86" s="14">
        <f>IF([1]Sheet2!AS85=999999,"NA",[1]Sheet2!AS85)</f>
        <v>0</v>
      </c>
      <c r="AP86" s="14">
        <f>[1]Sheet2!P85</f>
        <v>0</v>
      </c>
      <c r="AQ86" s="14">
        <f>[1]Sheet2!Q85</f>
        <v>0</v>
      </c>
      <c r="AR86" s="14">
        <f>[1]Sheet2!R85</f>
        <v>0</v>
      </c>
      <c r="AS86" s="14">
        <f>[1]Sheet2!S85</f>
        <v>0</v>
      </c>
      <c r="AT86" s="14">
        <f>[1]Sheet2!T85</f>
        <v>0</v>
      </c>
      <c r="AU86" s="14">
        <f>[1]Sheet2!U85</f>
        <v>0</v>
      </c>
      <c r="AV86" s="14">
        <f>[1]Sheet2!V85</f>
        <v>0</v>
      </c>
      <c r="AW86" s="14">
        <f>[1]Sheet2!W85</f>
        <v>0</v>
      </c>
      <c r="AX86" s="14">
        <f>[1]Sheet2!X85</f>
        <v>0</v>
      </c>
      <c r="AY86" s="14">
        <f>[1]Sheet2!Y85</f>
        <v>0</v>
      </c>
      <c r="AZ86" s="16">
        <f>Demand_LP!B$5/31</f>
        <v>754.78140345091151</v>
      </c>
      <c r="BA86" s="16">
        <f>Demand_LP!C$5/31</f>
        <v>547.55235732009919</v>
      </c>
      <c r="BB86" s="16">
        <f>Demand_LP!D$5/31</f>
        <v>312.75612076095945</v>
      </c>
      <c r="BC86" s="16">
        <f>Demand_LP!E$5/31</f>
        <v>772.29437499345636</v>
      </c>
      <c r="BD86" s="16">
        <f>Demand_LP!F$5/31</f>
        <v>471.74248526347748</v>
      </c>
      <c r="BE86" s="16">
        <f>Demand_LP!G$5/31</f>
        <v>451.61290322580646</v>
      </c>
      <c r="BF86" s="16">
        <f>Demand_LP!H$5/31</f>
        <v>547.55235732009919</v>
      </c>
      <c r="BG86" s="16">
        <f>Demand_LP!I$5/31</f>
        <v>451.61290322580646</v>
      </c>
      <c r="BH86" s="16">
        <f>Demand_LP!J$5/31</f>
        <v>451.61290322580646</v>
      </c>
      <c r="BI86" s="16">
        <f>Demand_LP!K$5/31</f>
        <v>451.61290322580646</v>
      </c>
      <c r="BJ86" s="16">
        <f t="shared" si="46"/>
        <v>-46418.554904777047</v>
      </c>
      <c r="BK86" s="16">
        <f t="shared" si="47"/>
        <v>-41783.677088502853</v>
      </c>
      <c r="BL86" s="16">
        <f t="shared" si="48"/>
        <v>-12584.672539288675</v>
      </c>
      <c r="BM86" s="16">
        <f t="shared" si="49"/>
        <v>-51400.486794714758</v>
      </c>
      <c r="BN86" s="16">
        <f t="shared" si="50"/>
        <v>-30140.118684784957</v>
      </c>
      <c r="BO86" s="16">
        <f t="shared" si="51"/>
        <v>-28738.70967741936</v>
      </c>
      <c r="BP86" s="16">
        <f t="shared" si="52"/>
        <v>-36141.25657568239</v>
      </c>
      <c r="BQ86" s="16">
        <f t="shared" si="53"/>
        <v>-28738.70967741936</v>
      </c>
      <c r="BR86" s="16">
        <f t="shared" si="54"/>
        <v>-26338.70967741936</v>
      </c>
      <c r="BS86" s="16">
        <f t="shared" si="55"/>
        <v>-27038.709677419352</v>
      </c>
      <c r="BT86" s="14">
        <f>IF([1]Sheet2!CB85=999999,"NA",[1]Sheet2!CB85)</f>
        <v>0</v>
      </c>
      <c r="BU86" s="14">
        <f>IF([1]Sheet2!CC85=999999,"NA",[1]Sheet2!CC85)</f>
        <v>0</v>
      </c>
      <c r="BV86" s="14">
        <f>IF([1]Sheet2!CD85=999999,"NA",[1]Sheet2!CD85)</f>
        <v>0</v>
      </c>
      <c r="BW86" s="14">
        <f>IF([1]Sheet2!CE85=999999,"NA",[1]Sheet2!CE85)</f>
        <v>0</v>
      </c>
      <c r="BX86" s="14">
        <f>IF([1]Sheet2!CF85=999999,"NA",[1]Sheet2!CF85)</f>
        <v>0</v>
      </c>
      <c r="BY86" s="14">
        <f>IF([1]Sheet2!CG85=999999,"NA",[1]Sheet2!CG85)</f>
        <v>0</v>
      </c>
      <c r="BZ86" s="14">
        <f>IF([1]Sheet2!CH85=999999,"NA",[1]Sheet2!CH85)</f>
        <v>0</v>
      </c>
      <c r="CA86" s="14">
        <f>IF([1]Sheet2!CI85=999999,"NA",[1]Sheet2!CI85)</f>
        <v>0</v>
      </c>
      <c r="CB86" s="14">
        <f>IF([1]Sheet2!CJ85=999999,"NA",[1]Sheet2!CJ85)</f>
        <v>0</v>
      </c>
      <c r="CC86" s="14">
        <f>IF([1]Sheet2!CK85=999999,"NA",[1]Sheet2!CK85)</f>
        <v>0</v>
      </c>
      <c r="CD86" s="14">
        <f>[1]Sheet2!BH85</f>
        <v>0</v>
      </c>
      <c r="CE86" s="14">
        <f>[1]Sheet2!BI85</f>
        <v>0</v>
      </c>
      <c r="CF86" s="14">
        <f>[1]Sheet2!BJ85</f>
        <v>0</v>
      </c>
      <c r="CG86" s="14">
        <f>[1]Sheet2!BK85</f>
        <v>0</v>
      </c>
      <c r="CH86" s="14">
        <f>[1]Sheet2!BL85</f>
        <v>0</v>
      </c>
      <c r="CI86" s="14">
        <f>[1]Sheet2!BM85</f>
        <v>0</v>
      </c>
      <c r="CJ86" s="14">
        <f>[1]Sheet2!BN85</f>
        <v>0</v>
      </c>
      <c r="CK86" s="14">
        <f>[1]Sheet2!BO85</f>
        <v>0</v>
      </c>
      <c r="CL86" s="14">
        <f>[1]Sheet2!BP85</f>
        <v>0</v>
      </c>
      <c r="CM86" s="14">
        <f>[1]Sheet2!BQ85</f>
        <v>0</v>
      </c>
      <c r="CN86" s="16">
        <f>Demand_SW!B$5/31</f>
        <v>138.46153846153845</v>
      </c>
      <c r="CO86" s="16">
        <f>Demand_SW!C$5/31</f>
        <v>29.776674937965261</v>
      </c>
      <c r="CP86" s="16">
        <f>Demand_SW!D$5/31</f>
        <v>0</v>
      </c>
      <c r="CQ86" s="16">
        <f>Demand_SW!E$5/31</f>
        <v>0</v>
      </c>
      <c r="CR86" s="16">
        <f>Demand_SW!F$5/31</f>
        <v>0</v>
      </c>
      <c r="CS86" s="16">
        <f>Demand_SW!G$5/31</f>
        <v>138.70967741935485</v>
      </c>
      <c r="CT86" s="16">
        <f>Demand_SW!H$5/31</f>
        <v>29.776674937965261</v>
      </c>
      <c r="CU86" s="16">
        <f>Demand_SW!I$5/31</f>
        <v>0</v>
      </c>
      <c r="CV86" s="16">
        <f>Demand_SW!J$5/31</f>
        <v>0</v>
      </c>
      <c r="CW86" s="16">
        <f>Demand_SW!K$5/31</f>
        <v>0</v>
      </c>
      <c r="CX86" s="16">
        <f t="shared" si="56"/>
        <v>-5301.5384615384601</v>
      </c>
      <c r="CY86" s="16">
        <f t="shared" si="57"/>
        <v>285.35980148883391</v>
      </c>
      <c r="CZ86" s="16">
        <f t="shared" si="58"/>
        <v>0</v>
      </c>
      <c r="DA86" s="16">
        <f t="shared" si="59"/>
        <v>0</v>
      </c>
      <c r="DB86" s="16">
        <f t="shared" si="60"/>
        <v>0</v>
      </c>
      <c r="DC86" s="16">
        <f t="shared" si="61"/>
        <v>-4829.0322580645097</v>
      </c>
      <c r="DD86" s="16">
        <f t="shared" si="62"/>
        <v>285.35980148883391</v>
      </c>
      <c r="DE86" s="16">
        <f t="shared" si="63"/>
        <v>0</v>
      </c>
      <c r="DF86" s="16">
        <f t="shared" si="64"/>
        <v>0</v>
      </c>
      <c r="DG86" s="16">
        <f t="shared" si="65"/>
        <v>0</v>
      </c>
      <c r="DH86" s="14">
        <f>IF([1]Sheet2!DS85=999999,"NA",[1]Sheet2!DS85)</f>
        <v>0</v>
      </c>
      <c r="DI86" s="14">
        <f>IF([1]Sheet2!DT85=999999,"NA",[1]Sheet2!DT85)</f>
        <v>282</v>
      </c>
      <c r="DJ86" s="14" t="str">
        <f>IF([1]Sheet2!DU85=999999,"NA",[1]Sheet2!DU85)</f>
        <v>NA</v>
      </c>
      <c r="DK86" s="14" t="str">
        <f>IF([1]Sheet2!DV85=999999,"NA",[1]Sheet2!DV85)</f>
        <v>NA</v>
      </c>
      <c r="DL86" s="14" t="str">
        <f>IF([1]Sheet2!DW85=999999,"NA",[1]Sheet2!DW85)</f>
        <v>NA</v>
      </c>
      <c r="DM86" s="14">
        <f>IF([1]Sheet2!DX85=999999,"NA",[1]Sheet2!DX85)</f>
        <v>0</v>
      </c>
      <c r="DN86" s="14">
        <f>IF([1]Sheet2!DY85=999999,"NA",[1]Sheet2!DY85)</f>
        <v>282</v>
      </c>
      <c r="DO86" s="14" t="str">
        <f>IF([1]Sheet2!DZ85=999999,"NA",[1]Sheet2!DZ85)</f>
        <v>NA</v>
      </c>
      <c r="DP86" s="14" t="str">
        <f>IF([1]Sheet2!EA85=999999,"NA",[1]Sheet2!EA85)</f>
        <v>NA</v>
      </c>
      <c r="DQ86" s="14" t="str">
        <f>IF([1]Sheet2!EB85=999999,"NA",[1]Sheet2!EB85)</f>
        <v>NA</v>
      </c>
      <c r="DR86" s="14">
        <f>[1]Sheet2!CY85</f>
        <v>0</v>
      </c>
      <c r="DS86" s="14">
        <f>[1]Sheet2!CZ85</f>
        <v>0</v>
      </c>
      <c r="DT86" s="14">
        <f>[1]Sheet2!DA85</f>
        <v>0</v>
      </c>
      <c r="DU86" s="14">
        <f>[1]Sheet2!DB85</f>
        <v>0</v>
      </c>
      <c r="DV86" s="14">
        <f>[1]Sheet2!DC85</f>
        <v>0</v>
      </c>
      <c r="DW86" s="14">
        <f>[1]Sheet2!DD85</f>
        <v>0</v>
      </c>
      <c r="DX86" s="14">
        <f>[1]Sheet2!DE85</f>
        <v>0</v>
      </c>
      <c r="DY86" s="14">
        <f>[1]Sheet2!DF85</f>
        <v>0</v>
      </c>
      <c r="DZ86" s="14">
        <f>[1]Sheet2!DG85</f>
        <v>0</v>
      </c>
      <c r="EA86" s="14">
        <f>[1]Sheet2!DH85</f>
        <v>0</v>
      </c>
      <c r="EB86" s="6">
        <f>[1]Sheet2!EC85</f>
        <v>0</v>
      </c>
      <c r="EC86" s="6">
        <f>[1]Sheet2!ED85</f>
        <v>0</v>
      </c>
      <c r="ED86" s="6">
        <f>[1]Sheet2!EE85</f>
        <v>0</v>
      </c>
      <c r="EE86" s="6">
        <f>[1]Sheet2!EF85</f>
        <v>0</v>
      </c>
      <c r="EF86" s="6">
        <f>[1]Sheet2!EG85</f>
        <v>0</v>
      </c>
      <c r="EG86" s="6">
        <f>[1]Sheet2!EH85</f>
        <v>0</v>
      </c>
      <c r="EH86" s="6">
        <f>[1]Sheet2!EI85</f>
        <v>0</v>
      </c>
      <c r="EI86" s="6">
        <f>[1]Sheet2!EJ85</f>
        <v>0</v>
      </c>
      <c r="EJ86" s="6">
        <f>[1]Sheet2!EK85</f>
        <v>0</v>
      </c>
      <c r="EK86" s="6">
        <f>[1]Sheet2!EL85</f>
        <v>0</v>
      </c>
      <c r="EL86" s="6" t="str">
        <f>[1]Sheet2!EM85</f>
        <v/>
      </c>
      <c r="EM86" s="6" t="str">
        <f>[1]Sheet2!EN85</f>
        <v/>
      </c>
      <c r="EN86" s="6" t="str">
        <f>[1]Sheet2!EO85</f>
        <v/>
      </c>
      <c r="EO86" s="6" t="str">
        <f>[1]Sheet2!EP85</f>
        <v/>
      </c>
      <c r="EP86" s="6" t="str">
        <f>[1]Sheet2!EQ85</f>
        <v/>
      </c>
      <c r="EQ86" s="6" t="str">
        <f>[1]Sheet2!ER85</f>
        <v/>
      </c>
      <c r="ER86" s="6" t="str">
        <f>[1]Sheet2!ES85</f>
        <v/>
      </c>
      <c r="ES86" s="6" t="str">
        <f>[1]Sheet2!ET85</f>
        <v/>
      </c>
      <c r="ET86" s="6" t="str">
        <f>[1]Sheet2!EU85</f>
        <v/>
      </c>
      <c r="EU86" s="6" t="str">
        <f>[1]Sheet2!EV85</f>
        <v/>
      </c>
      <c r="EV86" s="6" t="str">
        <f>[1]Sheet2!EW85</f>
        <v/>
      </c>
      <c r="EW86" s="6" t="str">
        <f>[1]Sheet2!EX85</f>
        <v/>
      </c>
      <c r="EX86" s="6" t="str">
        <f>[1]Sheet2!EY85</f>
        <v/>
      </c>
      <c r="EY86" s="6" t="str">
        <f>[1]Sheet2!EZ85</f>
        <v/>
      </c>
      <c r="EZ86" s="6" t="str">
        <f>[1]Sheet2!FA85</f>
        <v/>
      </c>
      <c r="FA86" s="6" t="str">
        <f>[1]Sheet2!FB85</f>
        <v/>
      </c>
      <c r="FB86" s="6" t="str">
        <f>[1]Sheet2!FC85</f>
        <v/>
      </c>
      <c r="FC86" s="6" t="str">
        <f>[1]Sheet2!FD85</f>
        <v/>
      </c>
      <c r="FD86" s="6" t="str">
        <f>[1]Sheet2!FE85</f>
        <v/>
      </c>
      <c r="FE86" s="6" t="str">
        <f>[1]Sheet2!FF85</f>
        <v/>
      </c>
      <c r="FF86" s="6" t="str">
        <f>[1]Sheet2!FG85</f>
        <v/>
      </c>
      <c r="FG86" s="6" t="str">
        <f>[1]Sheet2!FH85</f>
        <v/>
      </c>
      <c r="FH86" s="6" t="str">
        <f>[1]Sheet2!FI85</f>
        <v/>
      </c>
      <c r="FI86" s="6" t="str">
        <f>[1]Sheet2!FJ85</f>
        <v/>
      </c>
      <c r="FJ86" s="6" t="str">
        <f>[1]Sheet2!FK85</f>
        <v/>
      </c>
      <c r="FK86" s="6" t="str">
        <f>[1]Sheet2!FL85</f>
        <v/>
      </c>
      <c r="FL86" s="6" t="str">
        <f>[1]Sheet2!FM85</f>
        <v/>
      </c>
      <c r="FM86" s="6" t="str">
        <f>[1]Sheet2!FN85</f>
        <v/>
      </c>
      <c r="FN86" s="6" t="str">
        <f>[1]Sheet2!FO85</f>
        <v/>
      </c>
      <c r="FO86" s="6" t="str">
        <f>[1]Sheet2!FP85</f>
        <v/>
      </c>
    </row>
    <row r="87" spans="1:171" x14ac:dyDescent="0.25">
      <c r="A87" s="15">
        <v>43549</v>
      </c>
      <c r="B87" s="1"/>
      <c r="C87" s="1"/>
      <c r="D87" s="1"/>
      <c r="E87" s="14">
        <f>[1]Sheet2!N86</f>
        <v>0</v>
      </c>
      <c r="F87" s="14">
        <f>[1]Sheet2!BE86</f>
        <v>0</v>
      </c>
      <c r="G87" s="14">
        <f>[1]Sheet2!CW86</f>
        <v>0</v>
      </c>
      <c r="H87" s="1"/>
      <c r="I87" s="1"/>
      <c r="J87" s="1"/>
      <c r="K87" s="16"/>
      <c r="L87" s="16">
        <f>Demand_CWRS!B$5/31</f>
        <v>131.679370700757</v>
      </c>
      <c r="M87" s="16">
        <f>Demand_CWRS!C$5/31</f>
        <v>537.20942928039699</v>
      </c>
      <c r="N87" s="16">
        <f>Demand_CWRS!D$5/31</f>
        <v>0</v>
      </c>
      <c r="O87" s="16">
        <f>Demand_CWRS!E$5/31</f>
        <v>121.5961418056559</v>
      </c>
      <c r="P87" s="16">
        <f>Demand_CWRS!F$5/31</f>
        <v>245.08227837631262</v>
      </c>
      <c r="Q87" s="16">
        <f>Demand_CWRS!G$5/31</f>
        <v>131.679370700757</v>
      </c>
      <c r="R87" s="16">
        <f>Demand_CWRS!H$5/31</f>
        <v>245.08227837631262</v>
      </c>
      <c r="S87" s="16">
        <f>Demand_CWRS!I$5/31</f>
        <v>245.08227837631262</v>
      </c>
      <c r="T87" s="16">
        <f>Demand_CWRS!J$5/31</f>
        <v>245.08227837631262</v>
      </c>
      <c r="U87" s="16">
        <f>Demand_CWRS!K$5/31</f>
        <v>245.08227837631262</v>
      </c>
      <c r="V87" s="16">
        <f t="shared" si="36"/>
        <v>-9688.928077615079</v>
      </c>
      <c r="W87" s="16">
        <f t="shared" si="37"/>
        <v>-29958.86650124066</v>
      </c>
      <c r="X87" s="16">
        <f t="shared" si="38"/>
        <v>0</v>
      </c>
      <c r="Y87" s="16">
        <f t="shared" si="39"/>
        <v>-749.82790411574797</v>
      </c>
      <c r="Z87" s="16">
        <f t="shared" si="40"/>
        <v>-14639.023545946273</v>
      </c>
      <c r="AA87" s="16">
        <f t="shared" si="41"/>
        <v>-8471.984267518932</v>
      </c>
      <c r="AB87" s="16">
        <f t="shared" si="42"/>
        <v>-19120.067215818082</v>
      </c>
      <c r="AC87" s="16">
        <f t="shared" si="43"/>
        <v>-13327.056959407815</v>
      </c>
      <c r="AD87" s="16">
        <f t="shared" si="44"/>
        <v>-13427.056959407808</v>
      </c>
      <c r="AE87" s="16">
        <f t="shared" si="45"/>
        <v>-14027.056959407812</v>
      </c>
      <c r="AF87" s="14">
        <f>IF([1]Sheet2!AJ86=999999,"NA",[1]Sheet2!AJ86)</f>
        <v>0</v>
      </c>
      <c r="AG87" s="14">
        <f>IF([1]Sheet2!AK86=999999,"NA",[1]Sheet2!AK86)</f>
        <v>0</v>
      </c>
      <c r="AH87" s="14" t="str">
        <f>IF([1]Sheet2!AL86=999999,"NA",[1]Sheet2!AL86)</f>
        <v>NA</v>
      </c>
      <c r="AI87" s="14">
        <f>IF([1]Sheet2!AM86=999999,"NA",[1]Sheet2!AM86)</f>
        <v>0</v>
      </c>
      <c r="AJ87" s="14">
        <f>IF([1]Sheet2!AN86=999999,"NA",[1]Sheet2!AN86)</f>
        <v>0</v>
      </c>
      <c r="AK87" s="14">
        <f>IF([1]Sheet2!AO86=999999,"NA",[1]Sheet2!AO86)</f>
        <v>0</v>
      </c>
      <c r="AL87" s="14">
        <f>IF([1]Sheet2!AP86=999999,"NA",[1]Sheet2!AP86)</f>
        <v>0</v>
      </c>
      <c r="AM87" s="14">
        <f>IF([1]Sheet2!AQ86=999999,"NA",[1]Sheet2!AQ86)</f>
        <v>0</v>
      </c>
      <c r="AN87" s="14">
        <f>IF([1]Sheet2!AR86=999999,"NA",[1]Sheet2!AR86)</f>
        <v>0</v>
      </c>
      <c r="AO87" s="14">
        <f>IF([1]Sheet2!AS86=999999,"NA",[1]Sheet2!AS86)</f>
        <v>0</v>
      </c>
      <c r="AP87" s="14">
        <f>[1]Sheet2!P86</f>
        <v>0</v>
      </c>
      <c r="AQ87" s="14">
        <f>[1]Sheet2!Q86</f>
        <v>0</v>
      </c>
      <c r="AR87" s="14">
        <f>[1]Sheet2!R86</f>
        <v>0</v>
      </c>
      <c r="AS87" s="14">
        <f>[1]Sheet2!S86</f>
        <v>0</v>
      </c>
      <c r="AT87" s="14">
        <f>[1]Sheet2!T86</f>
        <v>0</v>
      </c>
      <c r="AU87" s="14">
        <f>[1]Sheet2!U86</f>
        <v>0</v>
      </c>
      <c r="AV87" s="14">
        <f>[1]Sheet2!V86</f>
        <v>0</v>
      </c>
      <c r="AW87" s="14">
        <f>[1]Sheet2!W86</f>
        <v>0</v>
      </c>
      <c r="AX87" s="14">
        <f>[1]Sheet2!X86</f>
        <v>0</v>
      </c>
      <c r="AY87" s="14">
        <f>[1]Sheet2!Y86</f>
        <v>0</v>
      </c>
      <c r="AZ87" s="16">
        <f>Demand_LP!B$5/31</f>
        <v>754.78140345091151</v>
      </c>
      <c r="BA87" s="16">
        <f>Demand_LP!C$5/31</f>
        <v>547.55235732009919</v>
      </c>
      <c r="BB87" s="16">
        <f>Demand_LP!D$5/31</f>
        <v>312.75612076095945</v>
      </c>
      <c r="BC87" s="16">
        <f>Demand_LP!E$5/31</f>
        <v>772.29437499345636</v>
      </c>
      <c r="BD87" s="16">
        <f>Demand_LP!F$5/31</f>
        <v>471.74248526347748</v>
      </c>
      <c r="BE87" s="16">
        <f>Demand_LP!G$5/31</f>
        <v>451.61290322580646</v>
      </c>
      <c r="BF87" s="16">
        <f>Demand_LP!H$5/31</f>
        <v>547.55235732009919</v>
      </c>
      <c r="BG87" s="16">
        <f>Demand_LP!I$5/31</f>
        <v>451.61290322580646</v>
      </c>
      <c r="BH87" s="16">
        <f>Demand_LP!J$5/31</f>
        <v>451.61290322580646</v>
      </c>
      <c r="BI87" s="16">
        <f>Demand_LP!K$5/31</f>
        <v>451.61290322580646</v>
      </c>
      <c r="BJ87" s="16">
        <f t="shared" si="46"/>
        <v>-47173.336308227961</v>
      </c>
      <c r="BK87" s="16">
        <f t="shared" si="47"/>
        <v>-42331.229445822952</v>
      </c>
      <c r="BL87" s="16">
        <f t="shared" si="48"/>
        <v>-12897.428660049634</v>
      </c>
      <c r="BM87" s="16">
        <f t="shared" si="49"/>
        <v>-52172.781169708214</v>
      </c>
      <c r="BN87" s="16">
        <f t="shared" si="50"/>
        <v>-30611.861170048433</v>
      </c>
      <c r="BO87" s="16">
        <f t="shared" si="51"/>
        <v>-29190.322580645166</v>
      </c>
      <c r="BP87" s="16">
        <f t="shared" si="52"/>
        <v>-36688.808933002489</v>
      </c>
      <c r="BQ87" s="16">
        <f t="shared" si="53"/>
        <v>-29190.322580645166</v>
      </c>
      <c r="BR87" s="16">
        <f t="shared" si="54"/>
        <v>-26790.322580645166</v>
      </c>
      <c r="BS87" s="16">
        <f t="shared" si="55"/>
        <v>-27490.322580645159</v>
      </c>
      <c r="BT87" s="14">
        <f>IF([1]Sheet2!CB86=999999,"NA",[1]Sheet2!CB86)</f>
        <v>0</v>
      </c>
      <c r="BU87" s="14">
        <f>IF([1]Sheet2!CC86=999999,"NA",[1]Sheet2!CC86)</f>
        <v>0</v>
      </c>
      <c r="BV87" s="14">
        <f>IF([1]Sheet2!CD86=999999,"NA",[1]Sheet2!CD86)</f>
        <v>0</v>
      </c>
      <c r="BW87" s="14">
        <f>IF([1]Sheet2!CE86=999999,"NA",[1]Sheet2!CE86)</f>
        <v>0</v>
      </c>
      <c r="BX87" s="14">
        <f>IF([1]Sheet2!CF86=999999,"NA",[1]Sheet2!CF86)</f>
        <v>0</v>
      </c>
      <c r="BY87" s="14">
        <f>IF([1]Sheet2!CG86=999999,"NA",[1]Sheet2!CG86)</f>
        <v>0</v>
      </c>
      <c r="BZ87" s="14">
        <f>IF([1]Sheet2!CH86=999999,"NA",[1]Sheet2!CH86)</f>
        <v>0</v>
      </c>
      <c r="CA87" s="14">
        <f>IF([1]Sheet2!CI86=999999,"NA",[1]Sheet2!CI86)</f>
        <v>0</v>
      </c>
      <c r="CB87" s="14">
        <f>IF([1]Sheet2!CJ86=999999,"NA",[1]Sheet2!CJ86)</f>
        <v>0</v>
      </c>
      <c r="CC87" s="14">
        <f>IF([1]Sheet2!CK86=999999,"NA",[1]Sheet2!CK86)</f>
        <v>0</v>
      </c>
      <c r="CD87" s="14">
        <f>[1]Sheet2!BH86</f>
        <v>0</v>
      </c>
      <c r="CE87" s="14">
        <f>[1]Sheet2!BI86</f>
        <v>0</v>
      </c>
      <c r="CF87" s="14">
        <f>[1]Sheet2!BJ86</f>
        <v>0</v>
      </c>
      <c r="CG87" s="14">
        <f>[1]Sheet2!BK86</f>
        <v>0</v>
      </c>
      <c r="CH87" s="14">
        <f>[1]Sheet2!BL86</f>
        <v>0</v>
      </c>
      <c r="CI87" s="14">
        <f>[1]Sheet2!BM86</f>
        <v>0</v>
      </c>
      <c r="CJ87" s="14">
        <f>[1]Sheet2!BN86</f>
        <v>0</v>
      </c>
      <c r="CK87" s="14">
        <f>[1]Sheet2!BO86</f>
        <v>0</v>
      </c>
      <c r="CL87" s="14">
        <f>[1]Sheet2!BP86</f>
        <v>0</v>
      </c>
      <c r="CM87" s="14">
        <f>[1]Sheet2!BQ86</f>
        <v>0</v>
      </c>
      <c r="CN87" s="16">
        <f>Demand_SW!B$5/31</f>
        <v>138.46153846153845</v>
      </c>
      <c r="CO87" s="16">
        <f>Demand_SW!C$5/31</f>
        <v>29.776674937965261</v>
      </c>
      <c r="CP87" s="16">
        <f>Demand_SW!D$5/31</f>
        <v>0</v>
      </c>
      <c r="CQ87" s="16">
        <f>Demand_SW!E$5/31</f>
        <v>0</v>
      </c>
      <c r="CR87" s="16">
        <f>Demand_SW!F$5/31</f>
        <v>0</v>
      </c>
      <c r="CS87" s="16">
        <f>Demand_SW!G$5/31</f>
        <v>138.70967741935485</v>
      </c>
      <c r="CT87" s="16">
        <f>Demand_SW!H$5/31</f>
        <v>29.776674937965261</v>
      </c>
      <c r="CU87" s="16">
        <f>Demand_SW!I$5/31</f>
        <v>0</v>
      </c>
      <c r="CV87" s="16">
        <f>Demand_SW!J$5/31</f>
        <v>0</v>
      </c>
      <c r="CW87" s="16">
        <f>Demand_SW!K$5/31</f>
        <v>0</v>
      </c>
      <c r="CX87" s="16">
        <f t="shared" si="56"/>
        <v>-5439.9999999999982</v>
      </c>
      <c r="CY87" s="16">
        <f t="shared" si="57"/>
        <v>255.58312655086866</v>
      </c>
      <c r="CZ87" s="16">
        <f t="shared" si="58"/>
        <v>0</v>
      </c>
      <c r="DA87" s="16">
        <f t="shared" si="59"/>
        <v>0</v>
      </c>
      <c r="DB87" s="16">
        <f t="shared" si="60"/>
        <v>0</v>
      </c>
      <c r="DC87" s="16">
        <f t="shared" si="61"/>
        <v>-4967.7419354838648</v>
      </c>
      <c r="DD87" s="16">
        <f t="shared" si="62"/>
        <v>255.58312655086866</v>
      </c>
      <c r="DE87" s="16">
        <f t="shared" si="63"/>
        <v>0</v>
      </c>
      <c r="DF87" s="16">
        <f t="shared" si="64"/>
        <v>0</v>
      </c>
      <c r="DG87" s="16">
        <f t="shared" si="65"/>
        <v>0</v>
      </c>
      <c r="DH87" s="14">
        <f>IF([1]Sheet2!DS86=999999,"NA",[1]Sheet2!DS86)</f>
        <v>0</v>
      </c>
      <c r="DI87" s="14">
        <f>IF([1]Sheet2!DT86=999999,"NA",[1]Sheet2!DT86)</f>
        <v>281</v>
      </c>
      <c r="DJ87" s="14" t="str">
        <f>IF([1]Sheet2!DU86=999999,"NA",[1]Sheet2!DU86)</f>
        <v>NA</v>
      </c>
      <c r="DK87" s="14" t="str">
        <f>IF([1]Sheet2!DV86=999999,"NA",[1]Sheet2!DV86)</f>
        <v>NA</v>
      </c>
      <c r="DL87" s="14" t="str">
        <f>IF([1]Sheet2!DW86=999999,"NA",[1]Sheet2!DW86)</f>
        <v>NA</v>
      </c>
      <c r="DM87" s="14">
        <f>IF([1]Sheet2!DX86=999999,"NA",[1]Sheet2!DX86)</f>
        <v>0</v>
      </c>
      <c r="DN87" s="14">
        <f>IF([1]Sheet2!DY86=999999,"NA",[1]Sheet2!DY86)</f>
        <v>281</v>
      </c>
      <c r="DO87" s="14" t="str">
        <f>IF([1]Sheet2!DZ86=999999,"NA",[1]Sheet2!DZ86)</f>
        <v>NA</v>
      </c>
      <c r="DP87" s="14" t="str">
        <f>IF([1]Sheet2!EA86=999999,"NA",[1]Sheet2!EA86)</f>
        <v>NA</v>
      </c>
      <c r="DQ87" s="14" t="str">
        <f>IF([1]Sheet2!EB86=999999,"NA",[1]Sheet2!EB86)</f>
        <v>NA</v>
      </c>
      <c r="DR87" s="14">
        <f>[1]Sheet2!CY86</f>
        <v>0</v>
      </c>
      <c r="DS87" s="14">
        <f>[1]Sheet2!CZ86</f>
        <v>0</v>
      </c>
      <c r="DT87" s="14">
        <f>[1]Sheet2!DA86</f>
        <v>0</v>
      </c>
      <c r="DU87" s="14">
        <f>[1]Sheet2!DB86</f>
        <v>0</v>
      </c>
      <c r="DV87" s="14">
        <f>[1]Sheet2!DC86</f>
        <v>0</v>
      </c>
      <c r="DW87" s="14">
        <f>[1]Sheet2!DD86</f>
        <v>0</v>
      </c>
      <c r="DX87" s="14">
        <f>[1]Sheet2!DE86</f>
        <v>0</v>
      </c>
      <c r="DY87" s="14">
        <f>[1]Sheet2!DF86</f>
        <v>0</v>
      </c>
      <c r="DZ87" s="14">
        <f>[1]Sheet2!DG86</f>
        <v>0</v>
      </c>
      <c r="EA87" s="14">
        <f>[1]Sheet2!DH86</f>
        <v>0</v>
      </c>
      <c r="EB87" s="6">
        <f>[1]Sheet2!EC86</f>
        <v>0</v>
      </c>
      <c r="EC87" s="6">
        <f>[1]Sheet2!ED86</f>
        <v>0</v>
      </c>
      <c r="ED87" s="6">
        <f>[1]Sheet2!EE86</f>
        <v>0</v>
      </c>
      <c r="EE87" s="6">
        <f>[1]Sheet2!EF86</f>
        <v>0</v>
      </c>
      <c r="EF87" s="6">
        <f>[1]Sheet2!EG86</f>
        <v>0</v>
      </c>
      <c r="EG87" s="6">
        <f>[1]Sheet2!EH86</f>
        <v>0</v>
      </c>
      <c r="EH87" s="6">
        <f>[1]Sheet2!EI86</f>
        <v>0</v>
      </c>
      <c r="EI87" s="6">
        <f>[1]Sheet2!EJ86</f>
        <v>0</v>
      </c>
      <c r="EJ87" s="6">
        <f>[1]Sheet2!EK86</f>
        <v>0</v>
      </c>
      <c r="EK87" s="6">
        <f>[1]Sheet2!EL86</f>
        <v>0</v>
      </c>
      <c r="EL87" s="6" t="str">
        <f>[1]Sheet2!EM86</f>
        <v/>
      </c>
      <c r="EM87" s="6" t="str">
        <f>[1]Sheet2!EN86</f>
        <v/>
      </c>
      <c r="EN87" s="6" t="str">
        <f>[1]Sheet2!EO86</f>
        <v/>
      </c>
      <c r="EO87" s="6" t="str">
        <f>[1]Sheet2!EP86</f>
        <v/>
      </c>
      <c r="EP87" s="6" t="str">
        <f>[1]Sheet2!EQ86</f>
        <v/>
      </c>
      <c r="EQ87" s="6" t="str">
        <f>[1]Sheet2!ER86</f>
        <v/>
      </c>
      <c r="ER87" s="6" t="str">
        <f>[1]Sheet2!ES86</f>
        <v/>
      </c>
      <c r="ES87" s="6" t="str">
        <f>[1]Sheet2!ET86</f>
        <v/>
      </c>
      <c r="ET87" s="6" t="str">
        <f>[1]Sheet2!EU86</f>
        <v/>
      </c>
      <c r="EU87" s="6" t="str">
        <f>[1]Sheet2!EV86</f>
        <v/>
      </c>
      <c r="EV87" s="6" t="str">
        <f>[1]Sheet2!EW86</f>
        <v/>
      </c>
      <c r="EW87" s="6" t="str">
        <f>[1]Sheet2!EX86</f>
        <v/>
      </c>
      <c r="EX87" s="6" t="str">
        <f>[1]Sheet2!EY86</f>
        <v/>
      </c>
      <c r="EY87" s="6" t="str">
        <f>[1]Sheet2!EZ86</f>
        <v/>
      </c>
      <c r="EZ87" s="6" t="str">
        <f>[1]Sheet2!FA86</f>
        <v/>
      </c>
      <c r="FA87" s="6" t="str">
        <f>[1]Sheet2!FB86</f>
        <v/>
      </c>
      <c r="FB87" s="6" t="str">
        <f>[1]Sheet2!FC86</f>
        <v/>
      </c>
      <c r="FC87" s="6" t="str">
        <f>[1]Sheet2!FD86</f>
        <v/>
      </c>
      <c r="FD87" s="6" t="str">
        <f>[1]Sheet2!FE86</f>
        <v/>
      </c>
      <c r="FE87" s="6" t="str">
        <f>[1]Sheet2!FF86</f>
        <v/>
      </c>
      <c r="FF87" s="6" t="str">
        <f>[1]Sheet2!FG86</f>
        <v/>
      </c>
      <c r="FG87" s="6" t="str">
        <f>[1]Sheet2!FH86</f>
        <v/>
      </c>
      <c r="FH87" s="6" t="str">
        <f>[1]Sheet2!FI86</f>
        <v/>
      </c>
      <c r="FI87" s="6" t="str">
        <f>[1]Sheet2!FJ86</f>
        <v/>
      </c>
      <c r="FJ87" s="6" t="str">
        <f>[1]Sheet2!FK86</f>
        <v/>
      </c>
      <c r="FK87" s="6" t="str">
        <f>[1]Sheet2!FL86</f>
        <v/>
      </c>
      <c r="FL87" s="6" t="str">
        <f>[1]Sheet2!FM86</f>
        <v/>
      </c>
      <c r="FM87" s="6" t="str">
        <f>[1]Sheet2!FN86</f>
        <v/>
      </c>
      <c r="FN87" s="6" t="str">
        <f>[1]Sheet2!FO86</f>
        <v/>
      </c>
      <c r="FO87" s="6" t="str">
        <f>[1]Sheet2!FP86</f>
        <v/>
      </c>
    </row>
    <row r="88" spans="1:171" x14ac:dyDescent="0.25">
      <c r="A88" s="15">
        <v>43550</v>
      </c>
      <c r="B88" s="1"/>
      <c r="C88" s="1"/>
      <c r="D88" s="1"/>
      <c r="E88" s="14">
        <f>[1]Sheet2!N87</f>
        <v>0</v>
      </c>
      <c r="F88" s="14">
        <f>[1]Sheet2!BE87</f>
        <v>0</v>
      </c>
      <c r="G88" s="14">
        <f>[1]Sheet2!CW87</f>
        <v>0</v>
      </c>
      <c r="H88" s="1"/>
      <c r="I88" s="1"/>
      <c r="J88" s="1"/>
      <c r="K88" s="16"/>
      <c r="L88" s="16">
        <f>Demand_CWRS!B$5/31</f>
        <v>131.679370700757</v>
      </c>
      <c r="M88" s="16">
        <f>Demand_CWRS!C$5/31</f>
        <v>537.20942928039699</v>
      </c>
      <c r="N88" s="16">
        <f>Demand_CWRS!D$5/31</f>
        <v>0</v>
      </c>
      <c r="O88" s="16">
        <f>Demand_CWRS!E$5/31</f>
        <v>121.5961418056559</v>
      </c>
      <c r="P88" s="16">
        <f>Demand_CWRS!F$5/31</f>
        <v>245.08227837631262</v>
      </c>
      <c r="Q88" s="16">
        <f>Demand_CWRS!G$5/31</f>
        <v>131.679370700757</v>
      </c>
      <c r="R88" s="16">
        <f>Demand_CWRS!H$5/31</f>
        <v>245.08227837631262</v>
      </c>
      <c r="S88" s="16">
        <f>Demand_CWRS!I$5/31</f>
        <v>245.08227837631262</v>
      </c>
      <c r="T88" s="16">
        <f>Demand_CWRS!J$5/31</f>
        <v>245.08227837631262</v>
      </c>
      <c r="U88" s="16">
        <f>Demand_CWRS!K$5/31</f>
        <v>245.08227837631262</v>
      </c>
      <c r="V88" s="16">
        <f t="shared" si="36"/>
        <v>-9820.6074483158354</v>
      </c>
      <c r="W88" s="16">
        <f t="shared" si="37"/>
        <v>-30496.075930521056</v>
      </c>
      <c r="X88" s="16">
        <f t="shared" si="38"/>
        <v>0</v>
      </c>
      <c r="Y88" s="16">
        <f t="shared" si="39"/>
        <v>-871.42404592140383</v>
      </c>
      <c r="Z88" s="16">
        <f t="shared" si="40"/>
        <v>-14884.105824322585</v>
      </c>
      <c r="AA88" s="16">
        <f t="shared" si="41"/>
        <v>-8603.6636382196884</v>
      </c>
      <c r="AB88" s="16">
        <f t="shared" si="42"/>
        <v>-19365.149494194397</v>
      </c>
      <c r="AC88" s="16">
        <f t="shared" si="43"/>
        <v>-13572.139237784128</v>
      </c>
      <c r="AD88" s="16">
        <f t="shared" si="44"/>
        <v>-13672.13923778412</v>
      </c>
      <c r="AE88" s="16">
        <f t="shared" si="45"/>
        <v>-14272.139237784124</v>
      </c>
      <c r="AF88" s="14">
        <f>IF([1]Sheet2!AJ87=999999,"NA",[1]Sheet2!AJ87)</f>
        <v>0</v>
      </c>
      <c r="AG88" s="14">
        <f>IF([1]Sheet2!AK87=999999,"NA",[1]Sheet2!AK87)</f>
        <v>0</v>
      </c>
      <c r="AH88" s="14" t="str">
        <f>IF([1]Sheet2!AL87=999999,"NA",[1]Sheet2!AL87)</f>
        <v>NA</v>
      </c>
      <c r="AI88" s="14">
        <f>IF([1]Sheet2!AM87=999999,"NA",[1]Sheet2!AM87)</f>
        <v>0</v>
      </c>
      <c r="AJ88" s="14">
        <f>IF([1]Sheet2!AN87=999999,"NA",[1]Sheet2!AN87)</f>
        <v>0</v>
      </c>
      <c r="AK88" s="14">
        <f>IF([1]Sheet2!AO87=999999,"NA",[1]Sheet2!AO87)</f>
        <v>0</v>
      </c>
      <c r="AL88" s="14">
        <f>IF([1]Sheet2!AP87=999999,"NA",[1]Sheet2!AP87)</f>
        <v>0</v>
      </c>
      <c r="AM88" s="14">
        <f>IF([1]Sheet2!AQ87=999999,"NA",[1]Sheet2!AQ87)</f>
        <v>0</v>
      </c>
      <c r="AN88" s="14">
        <f>IF([1]Sheet2!AR87=999999,"NA",[1]Sheet2!AR87)</f>
        <v>0</v>
      </c>
      <c r="AO88" s="14">
        <f>IF([1]Sheet2!AS87=999999,"NA",[1]Sheet2!AS87)</f>
        <v>0</v>
      </c>
      <c r="AP88" s="14">
        <f>[1]Sheet2!P87</f>
        <v>0</v>
      </c>
      <c r="AQ88" s="14">
        <f>[1]Sheet2!Q87</f>
        <v>0</v>
      </c>
      <c r="AR88" s="14">
        <f>[1]Sheet2!R87</f>
        <v>0</v>
      </c>
      <c r="AS88" s="14">
        <f>[1]Sheet2!S87</f>
        <v>0</v>
      </c>
      <c r="AT88" s="14">
        <f>[1]Sheet2!T87</f>
        <v>0</v>
      </c>
      <c r="AU88" s="14">
        <f>[1]Sheet2!U87</f>
        <v>0</v>
      </c>
      <c r="AV88" s="14">
        <f>[1]Sheet2!V87</f>
        <v>0</v>
      </c>
      <c r="AW88" s="14">
        <f>[1]Sheet2!W87</f>
        <v>0</v>
      </c>
      <c r="AX88" s="14">
        <f>[1]Sheet2!X87</f>
        <v>0</v>
      </c>
      <c r="AY88" s="14">
        <f>[1]Sheet2!Y87</f>
        <v>0</v>
      </c>
      <c r="AZ88" s="16">
        <f>Demand_LP!B$5/31</f>
        <v>754.78140345091151</v>
      </c>
      <c r="BA88" s="16">
        <f>Demand_LP!C$5/31</f>
        <v>547.55235732009919</v>
      </c>
      <c r="BB88" s="16">
        <f>Demand_LP!D$5/31</f>
        <v>312.75612076095945</v>
      </c>
      <c r="BC88" s="16">
        <f>Demand_LP!E$5/31</f>
        <v>772.29437499345636</v>
      </c>
      <c r="BD88" s="16">
        <f>Demand_LP!F$5/31</f>
        <v>471.74248526347748</v>
      </c>
      <c r="BE88" s="16">
        <f>Demand_LP!G$5/31</f>
        <v>451.61290322580646</v>
      </c>
      <c r="BF88" s="16">
        <f>Demand_LP!H$5/31</f>
        <v>547.55235732009919</v>
      </c>
      <c r="BG88" s="16">
        <f>Demand_LP!I$5/31</f>
        <v>451.61290322580646</v>
      </c>
      <c r="BH88" s="16">
        <f>Demand_LP!J$5/31</f>
        <v>451.61290322580646</v>
      </c>
      <c r="BI88" s="16">
        <f>Demand_LP!K$5/31</f>
        <v>451.61290322580646</v>
      </c>
      <c r="BJ88" s="16">
        <f t="shared" si="46"/>
        <v>-47928.117711678875</v>
      </c>
      <c r="BK88" s="16">
        <f t="shared" si="47"/>
        <v>-42878.781803143051</v>
      </c>
      <c r="BL88" s="16">
        <f t="shared" si="48"/>
        <v>-13210.184780810594</v>
      </c>
      <c r="BM88" s="16">
        <f t="shared" si="49"/>
        <v>-52945.075544701671</v>
      </c>
      <c r="BN88" s="16">
        <f t="shared" si="50"/>
        <v>-31083.603655311908</v>
      </c>
      <c r="BO88" s="16">
        <f t="shared" si="51"/>
        <v>-29641.935483870973</v>
      </c>
      <c r="BP88" s="16">
        <f t="shared" si="52"/>
        <v>-37236.361290322588</v>
      </c>
      <c r="BQ88" s="16">
        <f t="shared" si="53"/>
        <v>-29641.935483870973</v>
      </c>
      <c r="BR88" s="16">
        <f t="shared" si="54"/>
        <v>-27241.935483870973</v>
      </c>
      <c r="BS88" s="16">
        <f t="shared" si="55"/>
        <v>-27941.935483870966</v>
      </c>
      <c r="BT88" s="14">
        <f>IF([1]Sheet2!CB87=999999,"NA",[1]Sheet2!CB87)</f>
        <v>0</v>
      </c>
      <c r="BU88" s="14">
        <f>IF([1]Sheet2!CC87=999999,"NA",[1]Sheet2!CC87)</f>
        <v>0</v>
      </c>
      <c r="BV88" s="14">
        <f>IF([1]Sheet2!CD87=999999,"NA",[1]Sheet2!CD87)</f>
        <v>0</v>
      </c>
      <c r="BW88" s="14">
        <f>IF([1]Sheet2!CE87=999999,"NA",[1]Sheet2!CE87)</f>
        <v>0</v>
      </c>
      <c r="BX88" s="14">
        <f>IF([1]Sheet2!CF87=999999,"NA",[1]Sheet2!CF87)</f>
        <v>0</v>
      </c>
      <c r="BY88" s="14">
        <f>IF([1]Sheet2!CG87=999999,"NA",[1]Sheet2!CG87)</f>
        <v>0</v>
      </c>
      <c r="BZ88" s="14">
        <f>IF([1]Sheet2!CH87=999999,"NA",[1]Sheet2!CH87)</f>
        <v>0</v>
      </c>
      <c r="CA88" s="14">
        <f>IF([1]Sheet2!CI87=999999,"NA",[1]Sheet2!CI87)</f>
        <v>0</v>
      </c>
      <c r="CB88" s="14">
        <f>IF([1]Sheet2!CJ87=999999,"NA",[1]Sheet2!CJ87)</f>
        <v>0</v>
      </c>
      <c r="CC88" s="14">
        <f>IF([1]Sheet2!CK87=999999,"NA",[1]Sheet2!CK87)</f>
        <v>0</v>
      </c>
      <c r="CD88" s="14">
        <f>[1]Sheet2!BH87</f>
        <v>0</v>
      </c>
      <c r="CE88" s="14">
        <f>[1]Sheet2!BI87</f>
        <v>0</v>
      </c>
      <c r="CF88" s="14">
        <f>[1]Sheet2!BJ87</f>
        <v>0</v>
      </c>
      <c r="CG88" s="14">
        <f>[1]Sheet2!BK87</f>
        <v>0</v>
      </c>
      <c r="CH88" s="14">
        <f>[1]Sheet2!BL87</f>
        <v>0</v>
      </c>
      <c r="CI88" s="14">
        <f>[1]Sheet2!BM87</f>
        <v>0</v>
      </c>
      <c r="CJ88" s="14">
        <f>[1]Sheet2!BN87</f>
        <v>0</v>
      </c>
      <c r="CK88" s="14">
        <f>[1]Sheet2!BO87</f>
        <v>0</v>
      </c>
      <c r="CL88" s="14">
        <f>[1]Sheet2!BP87</f>
        <v>0</v>
      </c>
      <c r="CM88" s="14">
        <f>[1]Sheet2!BQ87</f>
        <v>0</v>
      </c>
      <c r="CN88" s="16">
        <f>Demand_SW!B$5/31</f>
        <v>138.46153846153845</v>
      </c>
      <c r="CO88" s="16">
        <f>Demand_SW!C$5/31</f>
        <v>29.776674937965261</v>
      </c>
      <c r="CP88" s="16">
        <f>Demand_SW!D$5/31</f>
        <v>0</v>
      </c>
      <c r="CQ88" s="16">
        <f>Demand_SW!E$5/31</f>
        <v>0</v>
      </c>
      <c r="CR88" s="16">
        <f>Demand_SW!F$5/31</f>
        <v>0</v>
      </c>
      <c r="CS88" s="16">
        <f>Demand_SW!G$5/31</f>
        <v>138.70967741935485</v>
      </c>
      <c r="CT88" s="16">
        <f>Demand_SW!H$5/31</f>
        <v>29.776674937965261</v>
      </c>
      <c r="CU88" s="16">
        <f>Demand_SW!I$5/31</f>
        <v>0</v>
      </c>
      <c r="CV88" s="16">
        <f>Demand_SW!J$5/31</f>
        <v>0</v>
      </c>
      <c r="CW88" s="16">
        <f>Demand_SW!K$5/31</f>
        <v>0</v>
      </c>
      <c r="CX88" s="16">
        <f t="shared" si="56"/>
        <v>-5578.4615384615363</v>
      </c>
      <c r="CY88" s="16">
        <f t="shared" si="57"/>
        <v>225.8064516129034</v>
      </c>
      <c r="CZ88" s="16">
        <f t="shared" si="58"/>
        <v>0</v>
      </c>
      <c r="DA88" s="16">
        <f t="shared" si="59"/>
        <v>0</v>
      </c>
      <c r="DB88" s="16">
        <f t="shared" si="60"/>
        <v>0</v>
      </c>
      <c r="DC88" s="16">
        <f t="shared" si="61"/>
        <v>-5106.4516129032199</v>
      </c>
      <c r="DD88" s="16">
        <f t="shared" si="62"/>
        <v>225.8064516129034</v>
      </c>
      <c r="DE88" s="16">
        <f t="shared" si="63"/>
        <v>0</v>
      </c>
      <c r="DF88" s="16">
        <f t="shared" si="64"/>
        <v>0</v>
      </c>
      <c r="DG88" s="16">
        <f t="shared" si="65"/>
        <v>0</v>
      </c>
      <c r="DH88" s="14">
        <f>IF([1]Sheet2!DS87=999999,"NA",[1]Sheet2!DS87)</f>
        <v>0</v>
      </c>
      <c r="DI88" s="14">
        <f>IF([1]Sheet2!DT87=999999,"NA",[1]Sheet2!DT87)</f>
        <v>280</v>
      </c>
      <c r="DJ88" s="14" t="str">
        <f>IF([1]Sheet2!DU87=999999,"NA",[1]Sheet2!DU87)</f>
        <v>NA</v>
      </c>
      <c r="DK88" s="14" t="str">
        <f>IF([1]Sheet2!DV87=999999,"NA",[1]Sheet2!DV87)</f>
        <v>NA</v>
      </c>
      <c r="DL88" s="14" t="str">
        <f>IF([1]Sheet2!DW87=999999,"NA",[1]Sheet2!DW87)</f>
        <v>NA</v>
      </c>
      <c r="DM88" s="14">
        <f>IF([1]Sheet2!DX87=999999,"NA",[1]Sheet2!DX87)</f>
        <v>0</v>
      </c>
      <c r="DN88" s="14">
        <f>IF([1]Sheet2!DY87=999999,"NA",[1]Sheet2!DY87)</f>
        <v>280</v>
      </c>
      <c r="DO88" s="14" t="str">
        <f>IF([1]Sheet2!DZ87=999999,"NA",[1]Sheet2!DZ87)</f>
        <v>NA</v>
      </c>
      <c r="DP88" s="14" t="str">
        <f>IF([1]Sheet2!EA87=999999,"NA",[1]Sheet2!EA87)</f>
        <v>NA</v>
      </c>
      <c r="DQ88" s="14" t="str">
        <f>IF([1]Sheet2!EB87=999999,"NA",[1]Sheet2!EB87)</f>
        <v>NA</v>
      </c>
      <c r="DR88" s="14">
        <f>[1]Sheet2!CY87</f>
        <v>0</v>
      </c>
      <c r="DS88" s="14">
        <f>[1]Sheet2!CZ87</f>
        <v>0</v>
      </c>
      <c r="DT88" s="14">
        <f>[1]Sheet2!DA87</f>
        <v>0</v>
      </c>
      <c r="DU88" s="14">
        <f>[1]Sheet2!DB87</f>
        <v>0</v>
      </c>
      <c r="DV88" s="14">
        <f>[1]Sheet2!DC87</f>
        <v>0</v>
      </c>
      <c r="DW88" s="14">
        <f>[1]Sheet2!DD87</f>
        <v>0</v>
      </c>
      <c r="DX88" s="14">
        <f>[1]Sheet2!DE87</f>
        <v>0</v>
      </c>
      <c r="DY88" s="14">
        <f>[1]Sheet2!DF87</f>
        <v>0</v>
      </c>
      <c r="DZ88" s="14">
        <f>[1]Sheet2!DG87</f>
        <v>0</v>
      </c>
      <c r="EA88" s="14">
        <f>[1]Sheet2!DH87</f>
        <v>0</v>
      </c>
      <c r="EB88" s="6">
        <f>[1]Sheet2!EC87</f>
        <v>0</v>
      </c>
      <c r="EC88" s="6">
        <f>[1]Sheet2!ED87</f>
        <v>0</v>
      </c>
      <c r="ED88" s="6">
        <f>[1]Sheet2!EE87</f>
        <v>0</v>
      </c>
      <c r="EE88" s="6">
        <f>[1]Sheet2!EF87</f>
        <v>0</v>
      </c>
      <c r="EF88" s="6">
        <f>[1]Sheet2!EG87</f>
        <v>0</v>
      </c>
      <c r="EG88" s="6">
        <f>[1]Sheet2!EH87</f>
        <v>0</v>
      </c>
      <c r="EH88" s="6">
        <f>[1]Sheet2!EI87</f>
        <v>0</v>
      </c>
      <c r="EI88" s="6">
        <f>[1]Sheet2!EJ87</f>
        <v>0</v>
      </c>
      <c r="EJ88" s="6">
        <f>[1]Sheet2!EK87</f>
        <v>0</v>
      </c>
      <c r="EK88" s="6">
        <f>[1]Sheet2!EL87</f>
        <v>0</v>
      </c>
      <c r="EL88" s="6" t="str">
        <f>[1]Sheet2!EM87</f>
        <v/>
      </c>
      <c r="EM88" s="6" t="str">
        <f>[1]Sheet2!EN87</f>
        <v/>
      </c>
      <c r="EN88" s="6" t="str">
        <f>[1]Sheet2!EO87</f>
        <v/>
      </c>
      <c r="EO88" s="6" t="str">
        <f>[1]Sheet2!EP87</f>
        <v/>
      </c>
      <c r="EP88" s="6" t="str">
        <f>[1]Sheet2!EQ87</f>
        <v/>
      </c>
      <c r="EQ88" s="6" t="str">
        <f>[1]Sheet2!ER87</f>
        <v/>
      </c>
      <c r="ER88" s="6" t="str">
        <f>[1]Sheet2!ES87</f>
        <v/>
      </c>
      <c r="ES88" s="6" t="str">
        <f>[1]Sheet2!ET87</f>
        <v/>
      </c>
      <c r="ET88" s="6" t="str">
        <f>[1]Sheet2!EU87</f>
        <v/>
      </c>
      <c r="EU88" s="6" t="str">
        <f>[1]Sheet2!EV87</f>
        <v/>
      </c>
      <c r="EV88" s="6" t="str">
        <f>[1]Sheet2!EW87</f>
        <v/>
      </c>
      <c r="EW88" s="6" t="str">
        <f>[1]Sheet2!EX87</f>
        <v/>
      </c>
      <c r="EX88" s="6" t="str">
        <f>[1]Sheet2!EY87</f>
        <v/>
      </c>
      <c r="EY88" s="6" t="str">
        <f>[1]Sheet2!EZ87</f>
        <v/>
      </c>
      <c r="EZ88" s="6" t="str">
        <f>[1]Sheet2!FA87</f>
        <v/>
      </c>
      <c r="FA88" s="6" t="str">
        <f>[1]Sheet2!FB87</f>
        <v/>
      </c>
      <c r="FB88" s="6" t="str">
        <f>[1]Sheet2!FC87</f>
        <v/>
      </c>
      <c r="FC88" s="6" t="str">
        <f>[1]Sheet2!FD87</f>
        <v/>
      </c>
      <c r="FD88" s="6" t="str">
        <f>[1]Sheet2!FE87</f>
        <v/>
      </c>
      <c r="FE88" s="6" t="str">
        <f>[1]Sheet2!FF87</f>
        <v/>
      </c>
      <c r="FF88" s="6" t="str">
        <f>[1]Sheet2!FG87</f>
        <v/>
      </c>
      <c r="FG88" s="6" t="str">
        <f>[1]Sheet2!FH87</f>
        <v/>
      </c>
      <c r="FH88" s="6" t="str">
        <f>[1]Sheet2!FI87</f>
        <v/>
      </c>
      <c r="FI88" s="6" t="str">
        <f>[1]Sheet2!FJ87</f>
        <v/>
      </c>
      <c r="FJ88" s="6" t="str">
        <f>[1]Sheet2!FK87</f>
        <v/>
      </c>
      <c r="FK88" s="6" t="str">
        <f>[1]Sheet2!FL87</f>
        <v/>
      </c>
      <c r="FL88" s="6" t="str">
        <f>[1]Sheet2!FM87</f>
        <v/>
      </c>
      <c r="FM88" s="6" t="str">
        <f>[1]Sheet2!FN87</f>
        <v/>
      </c>
      <c r="FN88" s="6" t="str">
        <f>[1]Sheet2!FO87</f>
        <v/>
      </c>
      <c r="FO88" s="6" t="str">
        <f>[1]Sheet2!FP87</f>
        <v/>
      </c>
    </row>
    <row r="89" spans="1:171" x14ac:dyDescent="0.25">
      <c r="A89" s="15">
        <v>43551</v>
      </c>
      <c r="B89" s="1"/>
      <c r="C89" s="1"/>
      <c r="D89" s="1"/>
      <c r="E89" s="14">
        <f>[1]Sheet2!N88</f>
        <v>0</v>
      </c>
      <c r="F89" s="14">
        <f>[1]Sheet2!BE88</f>
        <v>0</v>
      </c>
      <c r="G89" s="14">
        <f>[1]Sheet2!CW88</f>
        <v>0</v>
      </c>
      <c r="H89" s="1"/>
      <c r="I89" s="1"/>
      <c r="J89" s="1"/>
      <c r="K89" s="16"/>
      <c r="L89" s="16">
        <f>Demand_CWRS!B$5/31</f>
        <v>131.679370700757</v>
      </c>
      <c r="M89" s="16">
        <f>Demand_CWRS!C$5/31</f>
        <v>537.20942928039699</v>
      </c>
      <c r="N89" s="16">
        <f>Demand_CWRS!D$5/31</f>
        <v>0</v>
      </c>
      <c r="O89" s="16">
        <f>Demand_CWRS!E$5/31</f>
        <v>121.5961418056559</v>
      </c>
      <c r="P89" s="16">
        <f>Demand_CWRS!F$5/31</f>
        <v>245.08227837631262</v>
      </c>
      <c r="Q89" s="16">
        <f>Demand_CWRS!G$5/31</f>
        <v>131.679370700757</v>
      </c>
      <c r="R89" s="16">
        <f>Demand_CWRS!H$5/31</f>
        <v>245.08227837631262</v>
      </c>
      <c r="S89" s="16">
        <f>Demand_CWRS!I$5/31</f>
        <v>245.08227837631262</v>
      </c>
      <c r="T89" s="16">
        <f>Demand_CWRS!J$5/31</f>
        <v>245.08227837631262</v>
      </c>
      <c r="U89" s="16">
        <f>Demand_CWRS!K$5/31</f>
        <v>245.08227837631262</v>
      </c>
      <c r="V89" s="16">
        <f t="shared" si="36"/>
        <v>-9952.2868190165918</v>
      </c>
      <c r="W89" s="16">
        <f t="shared" si="37"/>
        <v>-31033.285359801452</v>
      </c>
      <c r="X89" s="16">
        <f t="shared" si="38"/>
        <v>0</v>
      </c>
      <c r="Y89" s="16">
        <f t="shared" si="39"/>
        <v>-993.02018772705969</v>
      </c>
      <c r="Z89" s="16">
        <f t="shared" si="40"/>
        <v>-15129.188102698898</v>
      </c>
      <c r="AA89" s="16">
        <f t="shared" si="41"/>
        <v>-8735.3430089204448</v>
      </c>
      <c r="AB89" s="16">
        <f t="shared" si="42"/>
        <v>-19610.231772570711</v>
      </c>
      <c r="AC89" s="16">
        <f t="shared" si="43"/>
        <v>-13817.22151616044</v>
      </c>
      <c r="AD89" s="16">
        <f t="shared" si="44"/>
        <v>-13917.221516160433</v>
      </c>
      <c r="AE89" s="16">
        <f t="shared" si="45"/>
        <v>-14517.221516160436</v>
      </c>
      <c r="AF89" s="14">
        <f>IF([1]Sheet2!AJ88=999999,"NA",[1]Sheet2!AJ88)</f>
        <v>0</v>
      </c>
      <c r="AG89" s="14">
        <f>IF([1]Sheet2!AK88=999999,"NA",[1]Sheet2!AK88)</f>
        <v>0</v>
      </c>
      <c r="AH89" s="14" t="str">
        <f>IF([1]Sheet2!AL88=999999,"NA",[1]Sheet2!AL88)</f>
        <v>NA</v>
      </c>
      <c r="AI89" s="14">
        <f>IF([1]Sheet2!AM88=999999,"NA",[1]Sheet2!AM88)</f>
        <v>0</v>
      </c>
      <c r="AJ89" s="14">
        <f>IF([1]Sheet2!AN88=999999,"NA",[1]Sheet2!AN88)</f>
        <v>0</v>
      </c>
      <c r="AK89" s="14">
        <f>IF([1]Sheet2!AO88=999999,"NA",[1]Sheet2!AO88)</f>
        <v>0</v>
      </c>
      <c r="AL89" s="14">
        <f>IF([1]Sheet2!AP88=999999,"NA",[1]Sheet2!AP88)</f>
        <v>0</v>
      </c>
      <c r="AM89" s="14">
        <f>IF([1]Sheet2!AQ88=999999,"NA",[1]Sheet2!AQ88)</f>
        <v>0</v>
      </c>
      <c r="AN89" s="14">
        <f>IF([1]Sheet2!AR88=999999,"NA",[1]Sheet2!AR88)</f>
        <v>0</v>
      </c>
      <c r="AO89" s="14">
        <f>IF([1]Sheet2!AS88=999999,"NA",[1]Sheet2!AS88)</f>
        <v>0</v>
      </c>
      <c r="AP89" s="14">
        <f>[1]Sheet2!P88</f>
        <v>0</v>
      </c>
      <c r="AQ89" s="14">
        <f>[1]Sheet2!Q88</f>
        <v>0</v>
      </c>
      <c r="AR89" s="14">
        <f>[1]Sheet2!R88</f>
        <v>0</v>
      </c>
      <c r="AS89" s="14">
        <f>[1]Sheet2!S88</f>
        <v>0</v>
      </c>
      <c r="AT89" s="14">
        <f>[1]Sheet2!T88</f>
        <v>0</v>
      </c>
      <c r="AU89" s="14">
        <f>[1]Sheet2!U88</f>
        <v>0</v>
      </c>
      <c r="AV89" s="14">
        <f>[1]Sheet2!V88</f>
        <v>0</v>
      </c>
      <c r="AW89" s="14">
        <f>[1]Sheet2!W88</f>
        <v>0</v>
      </c>
      <c r="AX89" s="14">
        <f>[1]Sheet2!X88</f>
        <v>0</v>
      </c>
      <c r="AY89" s="14">
        <f>[1]Sheet2!Y88</f>
        <v>0</v>
      </c>
      <c r="AZ89" s="16">
        <f>Demand_LP!B$5/31</f>
        <v>754.78140345091151</v>
      </c>
      <c r="BA89" s="16">
        <f>Demand_LP!C$5/31</f>
        <v>547.55235732009919</v>
      </c>
      <c r="BB89" s="16">
        <f>Demand_LP!D$5/31</f>
        <v>312.75612076095945</v>
      </c>
      <c r="BC89" s="16">
        <f>Demand_LP!E$5/31</f>
        <v>772.29437499345636</v>
      </c>
      <c r="BD89" s="16">
        <f>Demand_LP!F$5/31</f>
        <v>471.74248526347748</v>
      </c>
      <c r="BE89" s="16">
        <f>Demand_LP!G$5/31</f>
        <v>451.61290322580646</v>
      </c>
      <c r="BF89" s="16">
        <f>Demand_LP!H$5/31</f>
        <v>547.55235732009919</v>
      </c>
      <c r="BG89" s="16">
        <f>Demand_LP!I$5/31</f>
        <v>451.61290322580646</v>
      </c>
      <c r="BH89" s="16">
        <f>Demand_LP!J$5/31</f>
        <v>451.61290322580646</v>
      </c>
      <c r="BI89" s="16">
        <f>Demand_LP!K$5/31</f>
        <v>451.61290322580646</v>
      </c>
      <c r="BJ89" s="16">
        <f t="shared" si="46"/>
        <v>-48682.899115129789</v>
      </c>
      <c r="BK89" s="16">
        <f t="shared" si="47"/>
        <v>-43426.33416046315</v>
      </c>
      <c r="BL89" s="16">
        <f t="shared" si="48"/>
        <v>-13522.940901571554</v>
      </c>
      <c r="BM89" s="16">
        <f t="shared" si="49"/>
        <v>-53717.369919695127</v>
      </c>
      <c r="BN89" s="16">
        <f t="shared" si="50"/>
        <v>-31555.346140575384</v>
      </c>
      <c r="BO89" s="16">
        <f t="shared" si="51"/>
        <v>-30093.54838709678</v>
      </c>
      <c r="BP89" s="16">
        <f t="shared" si="52"/>
        <v>-37783.913647642687</v>
      </c>
      <c r="BQ89" s="16">
        <f t="shared" si="53"/>
        <v>-30093.54838709678</v>
      </c>
      <c r="BR89" s="16">
        <f t="shared" si="54"/>
        <v>-27693.54838709678</v>
      </c>
      <c r="BS89" s="16">
        <f t="shared" si="55"/>
        <v>-28393.548387096773</v>
      </c>
      <c r="BT89" s="14">
        <f>IF([1]Sheet2!CB88=999999,"NA",[1]Sheet2!CB88)</f>
        <v>0</v>
      </c>
      <c r="BU89" s="14">
        <f>IF([1]Sheet2!CC88=999999,"NA",[1]Sheet2!CC88)</f>
        <v>0</v>
      </c>
      <c r="BV89" s="14">
        <f>IF([1]Sheet2!CD88=999999,"NA",[1]Sheet2!CD88)</f>
        <v>0</v>
      </c>
      <c r="BW89" s="14">
        <f>IF([1]Sheet2!CE88=999999,"NA",[1]Sheet2!CE88)</f>
        <v>0</v>
      </c>
      <c r="BX89" s="14">
        <f>IF([1]Sheet2!CF88=999999,"NA",[1]Sheet2!CF88)</f>
        <v>0</v>
      </c>
      <c r="BY89" s="14">
        <f>IF([1]Sheet2!CG88=999999,"NA",[1]Sheet2!CG88)</f>
        <v>0</v>
      </c>
      <c r="BZ89" s="14">
        <f>IF([1]Sheet2!CH88=999999,"NA",[1]Sheet2!CH88)</f>
        <v>0</v>
      </c>
      <c r="CA89" s="14">
        <f>IF([1]Sheet2!CI88=999999,"NA",[1]Sheet2!CI88)</f>
        <v>0</v>
      </c>
      <c r="CB89" s="14">
        <f>IF([1]Sheet2!CJ88=999999,"NA",[1]Sheet2!CJ88)</f>
        <v>0</v>
      </c>
      <c r="CC89" s="14">
        <f>IF([1]Sheet2!CK88=999999,"NA",[1]Sheet2!CK88)</f>
        <v>0</v>
      </c>
      <c r="CD89" s="14">
        <f>[1]Sheet2!BH88</f>
        <v>0</v>
      </c>
      <c r="CE89" s="14">
        <f>[1]Sheet2!BI88</f>
        <v>0</v>
      </c>
      <c r="CF89" s="14">
        <f>[1]Sheet2!BJ88</f>
        <v>0</v>
      </c>
      <c r="CG89" s="14">
        <f>[1]Sheet2!BK88</f>
        <v>0</v>
      </c>
      <c r="CH89" s="14">
        <f>[1]Sheet2!BL88</f>
        <v>0</v>
      </c>
      <c r="CI89" s="14">
        <f>[1]Sheet2!BM88</f>
        <v>0</v>
      </c>
      <c r="CJ89" s="14">
        <f>[1]Sheet2!BN88</f>
        <v>0</v>
      </c>
      <c r="CK89" s="14">
        <f>[1]Sheet2!BO88</f>
        <v>0</v>
      </c>
      <c r="CL89" s="14">
        <f>[1]Sheet2!BP88</f>
        <v>0</v>
      </c>
      <c r="CM89" s="14">
        <f>[1]Sheet2!BQ88</f>
        <v>0</v>
      </c>
      <c r="CN89" s="16">
        <f>Demand_SW!B$5/31</f>
        <v>138.46153846153845</v>
      </c>
      <c r="CO89" s="16">
        <f>Demand_SW!C$5/31</f>
        <v>29.776674937965261</v>
      </c>
      <c r="CP89" s="16">
        <f>Demand_SW!D$5/31</f>
        <v>0</v>
      </c>
      <c r="CQ89" s="16">
        <f>Demand_SW!E$5/31</f>
        <v>0</v>
      </c>
      <c r="CR89" s="16">
        <f>Demand_SW!F$5/31</f>
        <v>0</v>
      </c>
      <c r="CS89" s="16">
        <f>Demand_SW!G$5/31</f>
        <v>138.70967741935485</v>
      </c>
      <c r="CT89" s="16">
        <f>Demand_SW!H$5/31</f>
        <v>29.776674937965261</v>
      </c>
      <c r="CU89" s="16">
        <f>Demand_SW!I$5/31</f>
        <v>0</v>
      </c>
      <c r="CV89" s="16">
        <f>Demand_SW!J$5/31</f>
        <v>0</v>
      </c>
      <c r="CW89" s="16">
        <f>Demand_SW!K$5/31</f>
        <v>0</v>
      </c>
      <c r="CX89" s="16">
        <f t="shared" si="56"/>
        <v>-5716.9230769230744</v>
      </c>
      <c r="CY89" s="16">
        <f t="shared" si="57"/>
        <v>196.02977667493815</v>
      </c>
      <c r="CZ89" s="16">
        <f t="shared" si="58"/>
        <v>0</v>
      </c>
      <c r="DA89" s="16">
        <f t="shared" si="59"/>
        <v>0</v>
      </c>
      <c r="DB89" s="16">
        <f t="shared" si="60"/>
        <v>0</v>
      </c>
      <c r="DC89" s="16">
        <f t="shared" si="61"/>
        <v>-5245.161290322575</v>
      </c>
      <c r="DD89" s="16">
        <f t="shared" si="62"/>
        <v>196.02977667493815</v>
      </c>
      <c r="DE89" s="16">
        <f t="shared" si="63"/>
        <v>0</v>
      </c>
      <c r="DF89" s="16">
        <f t="shared" si="64"/>
        <v>0</v>
      </c>
      <c r="DG89" s="16">
        <f t="shared" si="65"/>
        <v>0</v>
      </c>
      <c r="DH89" s="14">
        <f>IF([1]Sheet2!DS88=999999,"NA",[1]Sheet2!DS88)</f>
        <v>0</v>
      </c>
      <c r="DI89" s="14">
        <f>IF([1]Sheet2!DT88=999999,"NA",[1]Sheet2!DT88)</f>
        <v>279</v>
      </c>
      <c r="DJ89" s="14" t="str">
        <f>IF([1]Sheet2!DU88=999999,"NA",[1]Sheet2!DU88)</f>
        <v>NA</v>
      </c>
      <c r="DK89" s="14" t="str">
        <f>IF([1]Sheet2!DV88=999999,"NA",[1]Sheet2!DV88)</f>
        <v>NA</v>
      </c>
      <c r="DL89" s="14" t="str">
        <f>IF([1]Sheet2!DW88=999999,"NA",[1]Sheet2!DW88)</f>
        <v>NA</v>
      </c>
      <c r="DM89" s="14">
        <f>IF([1]Sheet2!DX88=999999,"NA",[1]Sheet2!DX88)</f>
        <v>0</v>
      </c>
      <c r="DN89" s="14">
        <f>IF([1]Sheet2!DY88=999999,"NA",[1]Sheet2!DY88)</f>
        <v>279</v>
      </c>
      <c r="DO89" s="14" t="str">
        <f>IF([1]Sheet2!DZ88=999999,"NA",[1]Sheet2!DZ88)</f>
        <v>NA</v>
      </c>
      <c r="DP89" s="14" t="str">
        <f>IF([1]Sheet2!EA88=999999,"NA",[1]Sheet2!EA88)</f>
        <v>NA</v>
      </c>
      <c r="DQ89" s="14" t="str">
        <f>IF([1]Sheet2!EB88=999999,"NA",[1]Sheet2!EB88)</f>
        <v>NA</v>
      </c>
      <c r="DR89" s="14">
        <f>[1]Sheet2!CY88</f>
        <v>0</v>
      </c>
      <c r="DS89" s="14">
        <f>[1]Sheet2!CZ88</f>
        <v>0</v>
      </c>
      <c r="DT89" s="14">
        <f>[1]Sheet2!DA88</f>
        <v>0</v>
      </c>
      <c r="DU89" s="14">
        <f>[1]Sheet2!DB88</f>
        <v>0</v>
      </c>
      <c r="DV89" s="14">
        <f>[1]Sheet2!DC88</f>
        <v>0</v>
      </c>
      <c r="DW89" s="14">
        <f>[1]Sheet2!DD88</f>
        <v>0</v>
      </c>
      <c r="DX89" s="14">
        <f>[1]Sheet2!DE88</f>
        <v>0</v>
      </c>
      <c r="DY89" s="14">
        <f>[1]Sheet2!DF88</f>
        <v>0</v>
      </c>
      <c r="DZ89" s="14">
        <f>[1]Sheet2!DG88</f>
        <v>0</v>
      </c>
      <c r="EA89" s="14">
        <f>[1]Sheet2!DH88</f>
        <v>0</v>
      </c>
      <c r="EB89" s="6">
        <f>[1]Sheet2!EC88</f>
        <v>0</v>
      </c>
      <c r="EC89" s="6">
        <f>[1]Sheet2!ED88</f>
        <v>0</v>
      </c>
      <c r="ED89" s="6">
        <f>[1]Sheet2!EE88</f>
        <v>0</v>
      </c>
      <c r="EE89" s="6">
        <f>[1]Sheet2!EF88</f>
        <v>0</v>
      </c>
      <c r="EF89" s="6">
        <f>[1]Sheet2!EG88</f>
        <v>0</v>
      </c>
      <c r="EG89" s="6">
        <f>[1]Sheet2!EH88</f>
        <v>0</v>
      </c>
      <c r="EH89" s="6">
        <f>[1]Sheet2!EI88</f>
        <v>0</v>
      </c>
      <c r="EI89" s="6">
        <f>[1]Sheet2!EJ88</f>
        <v>0</v>
      </c>
      <c r="EJ89" s="6">
        <f>[1]Sheet2!EK88</f>
        <v>0</v>
      </c>
      <c r="EK89" s="6">
        <f>[1]Sheet2!EL88</f>
        <v>0</v>
      </c>
      <c r="EL89" s="6" t="str">
        <f>[1]Sheet2!EM88</f>
        <v/>
      </c>
      <c r="EM89" s="6" t="str">
        <f>[1]Sheet2!EN88</f>
        <v/>
      </c>
      <c r="EN89" s="6" t="str">
        <f>[1]Sheet2!EO88</f>
        <v/>
      </c>
      <c r="EO89" s="6" t="str">
        <f>[1]Sheet2!EP88</f>
        <v/>
      </c>
      <c r="EP89" s="6" t="str">
        <f>[1]Sheet2!EQ88</f>
        <v/>
      </c>
      <c r="EQ89" s="6" t="str">
        <f>[1]Sheet2!ER88</f>
        <v/>
      </c>
      <c r="ER89" s="6" t="str">
        <f>[1]Sheet2!ES88</f>
        <v/>
      </c>
      <c r="ES89" s="6" t="str">
        <f>[1]Sheet2!ET88</f>
        <v/>
      </c>
      <c r="ET89" s="6" t="str">
        <f>[1]Sheet2!EU88</f>
        <v/>
      </c>
      <c r="EU89" s="6" t="str">
        <f>[1]Sheet2!EV88</f>
        <v/>
      </c>
      <c r="EV89" s="6" t="str">
        <f>[1]Sheet2!EW88</f>
        <v/>
      </c>
      <c r="EW89" s="6" t="str">
        <f>[1]Sheet2!EX88</f>
        <v/>
      </c>
      <c r="EX89" s="6" t="str">
        <f>[1]Sheet2!EY88</f>
        <v/>
      </c>
      <c r="EY89" s="6" t="str">
        <f>[1]Sheet2!EZ88</f>
        <v/>
      </c>
      <c r="EZ89" s="6" t="str">
        <f>[1]Sheet2!FA88</f>
        <v/>
      </c>
      <c r="FA89" s="6" t="str">
        <f>[1]Sheet2!FB88</f>
        <v/>
      </c>
      <c r="FB89" s="6" t="str">
        <f>[1]Sheet2!FC88</f>
        <v/>
      </c>
      <c r="FC89" s="6" t="str">
        <f>[1]Sheet2!FD88</f>
        <v/>
      </c>
      <c r="FD89" s="6" t="str">
        <f>[1]Sheet2!FE88</f>
        <v/>
      </c>
      <c r="FE89" s="6" t="str">
        <f>[1]Sheet2!FF88</f>
        <v/>
      </c>
      <c r="FF89" s="6" t="str">
        <f>[1]Sheet2!FG88</f>
        <v/>
      </c>
      <c r="FG89" s="6" t="str">
        <f>[1]Sheet2!FH88</f>
        <v/>
      </c>
      <c r="FH89" s="6" t="str">
        <f>[1]Sheet2!FI88</f>
        <v/>
      </c>
      <c r="FI89" s="6" t="str">
        <f>[1]Sheet2!FJ88</f>
        <v/>
      </c>
      <c r="FJ89" s="6" t="str">
        <f>[1]Sheet2!FK88</f>
        <v/>
      </c>
      <c r="FK89" s="6" t="str">
        <f>[1]Sheet2!FL88</f>
        <v/>
      </c>
      <c r="FL89" s="6" t="str">
        <f>[1]Sheet2!FM88</f>
        <v/>
      </c>
      <c r="FM89" s="6" t="str">
        <f>[1]Sheet2!FN88</f>
        <v/>
      </c>
      <c r="FN89" s="6" t="str">
        <f>[1]Sheet2!FO88</f>
        <v/>
      </c>
      <c r="FO89" s="6" t="str">
        <f>[1]Sheet2!FP88</f>
        <v/>
      </c>
    </row>
    <row r="90" spans="1:171" x14ac:dyDescent="0.25">
      <c r="A90" s="15">
        <v>43552</v>
      </c>
      <c r="B90" s="1"/>
      <c r="C90" s="1"/>
      <c r="D90" s="1"/>
      <c r="E90" s="14">
        <f>[1]Sheet2!N89</f>
        <v>0</v>
      </c>
      <c r="F90" s="14">
        <f>[1]Sheet2!BE89</f>
        <v>0</v>
      </c>
      <c r="G90" s="14">
        <f>[1]Sheet2!CW89</f>
        <v>0</v>
      </c>
      <c r="H90" s="1"/>
      <c r="I90" s="1"/>
      <c r="J90" s="1"/>
      <c r="K90" s="16"/>
      <c r="L90" s="16">
        <f>Demand_CWRS!B$5/31</f>
        <v>131.679370700757</v>
      </c>
      <c r="M90" s="16">
        <f>Demand_CWRS!C$5/31</f>
        <v>537.20942928039699</v>
      </c>
      <c r="N90" s="16">
        <f>Demand_CWRS!D$5/31</f>
        <v>0</v>
      </c>
      <c r="O90" s="16">
        <f>Demand_CWRS!E$5/31</f>
        <v>121.5961418056559</v>
      </c>
      <c r="P90" s="16">
        <f>Demand_CWRS!F$5/31</f>
        <v>245.08227837631262</v>
      </c>
      <c r="Q90" s="16">
        <f>Demand_CWRS!G$5/31</f>
        <v>131.679370700757</v>
      </c>
      <c r="R90" s="16">
        <f>Demand_CWRS!H$5/31</f>
        <v>245.08227837631262</v>
      </c>
      <c r="S90" s="16">
        <f>Demand_CWRS!I$5/31</f>
        <v>245.08227837631262</v>
      </c>
      <c r="T90" s="16">
        <f>Demand_CWRS!J$5/31</f>
        <v>245.08227837631262</v>
      </c>
      <c r="U90" s="16">
        <f>Demand_CWRS!K$5/31</f>
        <v>245.08227837631262</v>
      </c>
      <c r="V90" s="16">
        <f t="shared" si="36"/>
        <v>-10083.966189717348</v>
      </c>
      <c r="W90" s="16">
        <f t="shared" si="37"/>
        <v>-31570.494789081848</v>
      </c>
      <c r="X90" s="16">
        <f t="shared" si="38"/>
        <v>0</v>
      </c>
      <c r="Y90" s="16">
        <f t="shared" si="39"/>
        <v>-1114.6163295327156</v>
      </c>
      <c r="Z90" s="16">
        <f t="shared" si="40"/>
        <v>-15374.27038107521</v>
      </c>
      <c r="AA90" s="16">
        <f t="shared" si="41"/>
        <v>-8867.0223796212013</v>
      </c>
      <c r="AB90" s="16">
        <f t="shared" si="42"/>
        <v>-19855.314050947025</v>
      </c>
      <c r="AC90" s="16">
        <f t="shared" si="43"/>
        <v>-14062.303794536752</v>
      </c>
      <c r="AD90" s="16">
        <f t="shared" si="44"/>
        <v>-14162.303794536745</v>
      </c>
      <c r="AE90" s="16">
        <f t="shared" si="45"/>
        <v>-14762.303794536749</v>
      </c>
      <c r="AF90" s="14">
        <f>IF([1]Sheet2!AJ89=999999,"NA",[1]Sheet2!AJ89)</f>
        <v>0</v>
      </c>
      <c r="AG90" s="14">
        <f>IF([1]Sheet2!AK89=999999,"NA",[1]Sheet2!AK89)</f>
        <v>0</v>
      </c>
      <c r="AH90" s="14" t="str">
        <f>IF([1]Sheet2!AL89=999999,"NA",[1]Sheet2!AL89)</f>
        <v>NA</v>
      </c>
      <c r="AI90" s="14">
        <f>IF([1]Sheet2!AM89=999999,"NA",[1]Sheet2!AM89)</f>
        <v>0</v>
      </c>
      <c r="AJ90" s="14">
        <f>IF([1]Sheet2!AN89=999999,"NA",[1]Sheet2!AN89)</f>
        <v>0</v>
      </c>
      <c r="AK90" s="14">
        <f>IF([1]Sheet2!AO89=999999,"NA",[1]Sheet2!AO89)</f>
        <v>0</v>
      </c>
      <c r="AL90" s="14">
        <f>IF([1]Sheet2!AP89=999999,"NA",[1]Sheet2!AP89)</f>
        <v>0</v>
      </c>
      <c r="AM90" s="14">
        <f>IF([1]Sheet2!AQ89=999999,"NA",[1]Sheet2!AQ89)</f>
        <v>0</v>
      </c>
      <c r="AN90" s="14">
        <f>IF([1]Sheet2!AR89=999999,"NA",[1]Sheet2!AR89)</f>
        <v>0</v>
      </c>
      <c r="AO90" s="14">
        <f>IF([1]Sheet2!AS89=999999,"NA",[1]Sheet2!AS89)</f>
        <v>0</v>
      </c>
      <c r="AP90" s="14">
        <f>[1]Sheet2!P89</f>
        <v>0</v>
      </c>
      <c r="AQ90" s="14">
        <f>[1]Sheet2!Q89</f>
        <v>0</v>
      </c>
      <c r="AR90" s="14">
        <f>[1]Sheet2!R89</f>
        <v>0</v>
      </c>
      <c r="AS90" s="14">
        <f>[1]Sheet2!S89</f>
        <v>0</v>
      </c>
      <c r="AT90" s="14">
        <f>[1]Sheet2!T89</f>
        <v>0</v>
      </c>
      <c r="AU90" s="14">
        <f>[1]Sheet2!U89</f>
        <v>0</v>
      </c>
      <c r="AV90" s="14">
        <f>[1]Sheet2!V89</f>
        <v>0</v>
      </c>
      <c r="AW90" s="14">
        <f>[1]Sheet2!W89</f>
        <v>0</v>
      </c>
      <c r="AX90" s="14">
        <f>[1]Sheet2!X89</f>
        <v>0</v>
      </c>
      <c r="AY90" s="14">
        <f>[1]Sheet2!Y89</f>
        <v>0</v>
      </c>
      <c r="AZ90" s="16">
        <f>Demand_LP!B$5/31</f>
        <v>754.78140345091151</v>
      </c>
      <c r="BA90" s="16">
        <f>Demand_LP!C$5/31</f>
        <v>547.55235732009919</v>
      </c>
      <c r="BB90" s="16">
        <f>Demand_LP!D$5/31</f>
        <v>312.75612076095945</v>
      </c>
      <c r="BC90" s="16">
        <f>Demand_LP!E$5/31</f>
        <v>772.29437499345636</v>
      </c>
      <c r="BD90" s="16">
        <f>Demand_LP!F$5/31</f>
        <v>471.74248526347748</v>
      </c>
      <c r="BE90" s="16">
        <f>Demand_LP!G$5/31</f>
        <v>451.61290322580646</v>
      </c>
      <c r="BF90" s="16">
        <f>Demand_LP!H$5/31</f>
        <v>547.55235732009919</v>
      </c>
      <c r="BG90" s="16">
        <f>Demand_LP!I$5/31</f>
        <v>451.61290322580646</v>
      </c>
      <c r="BH90" s="16">
        <f>Demand_LP!J$5/31</f>
        <v>451.61290322580646</v>
      </c>
      <c r="BI90" s="16">
        <f>Demand_LP!K$5/31</f>
        <v>451.61290322580646</v>
      </c>
      <c r="BJ90" s="16">
        <f t="shared" si="46"/>
        <v>-49437.680518580702</v>
      </c>
      <c r="BK90" s="16">
        <f t="shared" si="47"/>
        <v>-43973.886517783249</v>
      </c>
      <c r="BL90" s="16">
        <f t="shared" si="48"/>
        <v>-13835.697022332513</v>
      </c>
      <c r="BM90" s="16">
        <f t="shared" si="49"/>
        <v>-54489.664294688584</v>
      </c>
      <c r="BN90" s="16">
        <f t="shared" si="50"/>
        <v>-32027.08862583886</v>
      </c>
      <c r="BO90" s="16">
        <f t="shared" si="51"/>
        <v>-30545.161290322587</v>
      </c>
      <c r="BP90" s="16">
        <f t="shared" si="52"/>
        <v>-38331.466004962786</v>
      </c>
      <c r="BQ90" s="16">
        <f t="shared" si="53"/>
        <v>-30545.161290322587</v>
      </c>
      <c r="BR90" s="16">
        <f t="shared" si="54"/>
        <v>-28145.161290322587</v>
      </c>
      <c r="BS90" s="16">
        <f t="shared" si="55"/>
        <v>-28845.16129032258</v>
      </c>
      <c r="BT90" s="14">
        <f>IF([1]Sheet2!CB89=999999,"NA",[1]Sheet2!CB89)</f>
        <v>0</v>
      </c>
      <c r="BU90" s="14">
        <f>IF([1]Sheet2!CC89=999999,"NA",[1]Sheet2!CC89)</f>
        <v>0</v>
      </c>
      <c r="BV90" s="14">
        <f>IF([1]Sheet2!CD89=999999,"NA",[1]Sheet2!CD89)</f>
        <v>0</v>
      </c>
      <c r="BW90" s="14">
        <f>IF([1]Sheet2!CE89=999999,"NA",[1]Sheet2!CE89)</f>
        <v>0</v>
      </c>
      <c r="BX90" s="14">
        <f>IF([1]Sheet2!CF89=999999,"NA",[1]Sheet2!CF89)</f>
        <v>0</v>
      </c>
      <c r="BY90" s="14">
        <f>IF([1]Sheet2!CG89=999999,"NA",[1]Sheet2!CG89)</f>
        <v>0</v>
      </c>
      <c r="BZ90" s="14">
        <f>IF([1]Sheet2!CH89=999999,"NA",[1]Sheet2!CH89)</f>
        <v>0</v>
      </c>
      <c r="CA90" s="14">
        <f>IF([1]Sheet2!CI89=999999,"NA",[1]Sheet2!CI89)</f>
        <v>0</v>
      </c>
      <c r="CB90" s="14">
        <f>IF([1]Sheet2!CJ89=999999,"NA",[1]Sheet2!CJ89)</f>
        <v>0</v>
      </c>
      <c r="CC90" s="14">
        <f>IF([1]Sheet2!CK89=999999,"NA",[1]Sheet2!CK89)</f>
        <v>0</v>
      </c>
      <c r="CD90" s="14">
        <f>[1]Sheet2!BH89</f>
        <v>0</v>
      </c>
      <c r="CE90" s="14">
        <f>[1]Sheet2!BI89</f>
        <v>0</v>
      </c>
      <c r="CF90" s="14">
        <f>[1]Sheet2!BJ89</f>
        <v>0</v>
      </c>
      <c r="CG90" s="14">
        <f>[1]Sheet2!BK89</f>
        <v>0</v>
      </c>
      <c r="CH90" s="14">
        <f>[1]Sheet2!BL89</f>
        <v>0</v>
      </c>
      <c r="CI90" s="14">
        <f>[1]Sheet2!BM89</f>
        <v>0</v>
      </c>
      <c r="CJ90" s="14">
        <f>[1]Sheet2!BN89</f>
        <v>0</v>
      </c>
      <c r="CK90" s="14">
        <f>[1]Sheet2!BO89</f>
        <v>0</v>
      </c>
      <c r="CL90" s="14">
        <f>[1]Sheet2!BP89</f>
        <v>0</v>
      </c>
      <c r="CM90" s="14">
        <f>[1]Sheet2!BQ89</f>
        <v>0</v>
      </c>
      <c r="CN90" s="16">
        <f>Demand_SW!B$5/31</f>
        <v>138.46153846153845</v>
      </c>
      <c r="CO90" s="16">
        <f>Demand_SW!C$5/31</f>
        <v>29.776674937965261</v>
      </c>
      <c r="CP90" s="16">
        <f>Demand_SW!D$5/31</f>
        <v>0</v>
      </c>
      <c r="CQ90" s="16">
        <f>Demand_SW!E$5/31</f>
        <v>0</v>
      </c>
      <c r="CR90" s="16">
        <f>Demand_SW!F$5/31</f>
        <v>0</v>
      </c>
      <c r="CS90" s="16">
        <f>Demand_SW!G$5/31</f>
        <v>138.70967741935485</v>
      </c>
      <c r="CT90" s="16">
        <f>Demand_SW!H$5/31</f>
        <v>29.776674937965261</v>
      </c>
      <c r="CU90" s="16">
        <f>Demand_SW!I$5/31</f>
        <v>0</v>
      </c>
      <c r="CV90" s="16">
        <f>Demand_SW!J$5/31</f>
        <v>0</v>
      </c>
      <c r="CW90" s="16">
        <f>Demand_SW!K$5/31</f>
        <v>0</v>
      </c>
      <c r="CX90" s="16">
        <f t="shared" si="56"/>
        <v>-5855.3846153846125</v>
      </c>
      <c r="CY90" s="16">
        <f t="shared" si="57"/>
        <v>166.25310173697289</v>
      </c>
      <c r="CZ90" s="16">
        <f t="shared" si="58"/>
        <v>0</v>
      </c>
      <c r="DA90" s="16">
        <f t="shared" si="59"/>
        <v>0</v>
      </c>
      <c r="DB90" s="16">
        <f t="shared" si="60"/>
        <v>0</v>
      </c>
      <c r="DC90" s="16">
        <f t="shared" si="61"/>
        <v>-5383.8709677419301</v>
      </c>
      <c r="DD90" s="16">
        <f t="shared" si="62"/>
        <v>166.25310173697289</v>
      </c>
      <c r="DE90" s="16">
        <f t="shared" si="63"/>
        <v>0</v>
      </c>
      <c r="DF90" s="16">
        <f t="shared" si="64"/>
        <v>0</v>
      </c>
      <c r="DG90" s="16">
        <f t="shared" si="65"/>
        <v>0</v>
      </c>
      <c r="DH90" s="14">
        <f>IF([1]Sheet2!DS89=999999,"NA",[1]Sheet2!DS89)</f>
        <v>0</v>
      </c>
      <c r="DI90" s="14">
        <f>IF([1]Sheet2!DT89=999999,"NA",[1]Sheet2!DT89)</f>
        <v>278</v>
      </c>
      <c r="DJ90" s="14" t="str">
        <f>IF([1]Sheet2!DU89=999999,"NA",[1]Sheet2!DU89)</f>
        <v>NA</v>
      </c>
      <c r="DK90" s="14" t="str">
        <f>IF([1]Sheet2!DV89=999999,"NA",[1]Sheet2!DV89)</f>
        <v>NA</v>
      </c>
      <c r="DL90" s="14" t="str">
        <f>IF([1]Sheet2!DW89=999999,"NA",[1]Sheet2!DW89)</f>
        <v>NA</v>
      </c>
      <c r="DM90" s="14">
        <f>IF([1]Sheet2!DX89=999999,"NA",[1]Sheet2!DX89)</f>
        <v>0</v>
      </c>
      <c r="DN90" s="14">
        <f>IF([1]Sheet2!DY89=999999,"NA",[1]Sheet2!DY89)</f>
        <v>278</v>
      </c>
      <c r="DO90" s="14" t="str">
        <f>IF([1]Sheet2!DZ89=999999,"NA",[1]Sheet2!DZ89)</f>
        <v>NA</v>
      </c>
      <c r="DP90" s="14" t="str">
        <f>IF([1]Sheet2!EA89=999999,"NA",[1]Sheet2!EA89)</f>
        <v>NA</v>
      </c>
      <c r="DQ90" s="14" t="str">
        <f>IF([1]Sheet2!EB89=999999,"NA",[1]Sheet2!EB89)</f>
        <v>NA</v>
      </c>
      <c r="DR90" s="14">
        <f>[1]Sheet2!CY89</f>
        <v>0</v>
      </c>
      <c r="DS90" s="14">
        <f>[1]Sheet2!CZ89</f>
        <v>0</v>
      </c>
      <c r="DT90" s="14">
        <f>[1]Sheet2!DA89</f>
        <v>0</v>
      </c>
      <c r="DU90" s="14">
        <f>[1]Sheet2!DB89</f>
        <v>0</v>
      </c>
      <c r="DV90" s="14">
        <f>[1]Sheet2!DC89</f>
        <v>0</v>
      </c>
      <c r="DW90" s="14">
        <f>[1]Sheet2!DD89</f>
        <v>0</v>
      </c>
      <c r="DX90" s="14">
        <f>[1]Sheet2!DE89</f>
        <v>0</v>
      </c>
      <c r="DY90" s="14">
        <f>[1]Sheet2!DF89</f>
        <v>0</v>
      </c>
      <c r="DZ90" s="14">
        <f>[1]Sheet2!DG89</f>
        <v>0</v>
      </c>
      <c r="EA90" s="14">
        <f>[1]Sheet2!DH89</f>
        <v>0</v>
      </c>
      <c r="EB90" s="6">
        <f>[1]Sheet2!EC89</f>
        <v>0</v>
      </c>
      <c r="EC90" s="6">
        <f>[1]Sheet2!ED89</f>
        <v>0</v>
      </c>
      <c r="ED90" s="6">
        <f>[1]Sheet2!EE89</f>
        <v>0</v>
      </c>
      <c r="EE90" s="6">
        <f>[1]Sheet2!EF89</f>
        <v>0</v>
      </c>
      <c r="EF90" s="6">
        <f>[1]Sheet2!EG89</f>
        <v>0</v>
      </c>
      <c r="EG90" s="6">
        <f>[1]Sheet2!EH89</f>
        <v>0</v>
      </c>
      <c r="EH90" s="6">
        <f>[1]Sheet2!EI89</f>
        <v>0</v>
      </c>
      <c r="EI90" s="6">
        <f>[1]Sheet2!EJ89</f>
        <v>0</v>
      </c>
      <c r="EJ90" s="6">
        <f>[1]Sheet2!EK89</f>
        <v>0</v>
      </c>
      <c r="EK90" s="6">
        <f>[1]Sheet2!EL89</f>
        <v>0</v>
      </c>
      <c r="EL90" s="6" t="str">
        <f>[1]Sheet2!EM89</f>
        <v/>
      </c>
      <c r="EM90" s="6" t="str">
        <f>[1]Sheet2!EN89</f>
        <v/>
      </c>
      <c r="EN90" s="6" t="str">
        <f>[1]Sheet2!EO89</f>
        <v/>
      </c>
      <c r="EO90" s="6" t="str">
        <f>[1]Sheet2!EP89</f>
        <v/>
      </c>
      <c r="EP90" s="6" t="str">
        <f>[1]Sheet2!EQ89</f>
        <v/>
      </c>
      <c r="EQ90" s="6" t="str">
        <f>[1]Sheet2!ER89</f>
        <v/>
      </c>
      <c r="ER90" s="6" t="str">
        <f>[1]Sheet2!ES89</f>
        <v/>
      </c>
      <c r="ES90" s="6" t="str">
        <f>[1]Sheet2!ET89</f>
        <v/>
      </c>
      <c r="ET90" s="6" t="str">
        <f>[1]Sheet2!EU89</f>
        <v/>
      </c>
      <c r="EU90" s="6" t="str">
        <f>[1]Sheet2!EV89</f>
        <v/>
      </c>
      <c r="EV90" s="6" t="str">
        <f>[1]Sheet2!EW89</f>
        <v/>
      </c>
      <c r="EW90" s="6" t="str">
        <f>[1]Sheet2!EX89</f>
        <v/>
      </c>
      <c r="EX90" s="6" t="str">
        <f>[1]Sheet2!EY89</f>
        <v/>
      </c>
      <c r="EY90" s="6" t="str">
        <f>[1]Sheet2!EZ89</f>
        <v/>
      </c>
      <c r="EZ90" s="6" t="str">
        <f>[1]Sheet2!FA89</f>
        <v/>
      </c>
      <c r="FA90" s="6" t="str">
        <f>[1]Sheet2!FB89</f>
        <v/>
      </c>
      <c r="FB90" s="6" t="str">
        <f>[1]Sheet2!FC89</f>
        <v/>
      </c>
      <c r="FC90" s="6" t="str">
        <f>[1]Sheet2!FD89</f>
        <v/>
      </c>
      <c r="FD90" s="6" t="str">
        <f>[1]Sheet2!FE89</f>
        <v/>
      </c>
      <c r="FE90" s="6" t="str">
        <f>[1]Sheet2!FF89</f>
        <v/>
      </c>
      <c r="FF90" s="6" t="str">
        <f>[1]Sheet2!FG89</f>
        <v/>
      </c>
      <c r="FG90" s="6" t="str">
        <f>[1]Sheet2!FH89</f>
        <v/>
      </c>
      <c r="FH90" s="6" t="str">
        <f>[1]Sheet2!FI89</f>
        <v/>
      </c>
      <c r="FI90" s="6" t="str">
        <f>[1]Sheet2!FJ89</f>
        <v/>
      </c>
      <c r="FJ90" s="6" t="str">
        <f>[1]Sheet2!FK89</f>
        <v/>
      </c>
      <c r="FK90" s="6" t="str">
        <f>[1]Sheet2!FL89</f>
        <v/>
      </c>
      <c r="FL90" s="6" t="str">
        <f>[1]Sheet2!FM89</f>
        <v/>
      </c>
      <c r="FM90" s="6" t="str">
        <f>[1]Sheet2!FN89</f>
        <v/>
      </c>
      <c r="FN90" s="6" t="str">
        <f>[1]Sheet2!FO89</f>
        <v/>
      </c>
      <c r="FO90" s="6" t="str">
        <f>[1]Sheet2!FP89</f>
        <v/>
      </c>
    </row>
    <row r="91" spans="1:171" x14ac:dyDescent="0.25">
      <c r="A91" s="15">
        <v>43553</v>
      </c>
      <c r="B91" s="1"/>
      <c r="C91" s="1"/>
      <c r="D91" s="1"/>
      <c r="E91" s="14">
        <f>[1]Sheet2!N90</f>
        <v>0</v>
      </c>
      <c r="F91" s="14">
        <f>[1]Sheet2!BE90</f>
        <v>0</v>
      </c>
      <c r="G91" s="14">
        <f>[1]Sheet2!CW90</f>
        <v>0</v>
      </c>
      <c r="H91" s="1"/>
      <c r="I91" s="1"/>
      <c r="J91" s="1"/>
      <c r="K91" s="16"/>
      <c r="L91" s="16">
        <f>Demand_CWRS!B$5/31</f>
        <v>131.679370700757</v>
      </c>
      <c r="M91" s="16">
        <f>Demand_CWRS!C$5/31</f>
        <v>537.20942928039699</v>
      </c>
      <c r="N91" s="16">
        <f>Demand_CWRS!D$5/31</f>
        <v>0</v>
      </c>
      <c r="O91" s="16">
        <f>Demand_CWRS!E$5/31</f>
        <v>121.5961418056559</v>
      </c>
      <c r="P91" s="16">
        <f>Demand_CWRS!F$5/31</f>
        <v>245.08227837631262</v>
      </c>
      <c r="Q91" s="16">
        <f>Demand_CWRS!G$5/31</f>
        <v>131.679370700757</v>
      </c>
      <c r="R91" s="16">
        <f>Demand_CWRS!H$5/31</f>
        <v>245.08227837631262</v>
      </c>
      <c r="S91" s="16">
        <f>Demand_CWRS!I$5/31</f>
        <v>245.08227837631262</v>
      </c>
      <c r="T91" s="16">
        <f>Demand_CWRS!J$5/31</f>
        <v>245.08227837631262</v>
      </c>
      <c r="U91" s="16">
        <f>Demand_CWRS!K$5/31</f>
        <v>245.08227837631262</v>
      </c>
      <c r="V91" s="16">
        <f t="shared" si="36"/>
        <v>-10215.645560418105</v>
      </c>
      <c r="W91" s="16">
        <f t="shared" si="37"/>
        <v>-32107.704218362243</v>
      </c>
      <c r="X91" s="16">
        <f t="shared" si="38"/>
        <v>0</v>
      </c>
      <c r="Y91" s="16">
        <f t="shared" si="39"/>
        <v>-1236.2124713383714</v>
      </c>
      <c r="Z91" s="16">
        <f t="shared" si="40"/>
        <v>-15619.352659451522</v>
      </c>
      <c r="AA91" s="16">
        <f t="shared" si="41"/>
        <v>-8998.7017503219577</v>
      </c>
      <c r="AB91" s="16">
        <f t="shared" si="42"/>
        <v>-20100.396329323339</v>
      </c>
      <c r="AC91" s="16">
        <f t="shared" si="43"/>
        <v>-14307.386072913065</v>
      </c>
      <c r="AD91" s="16">
        <f t="shared" si="44"/>
        <v>-14407.386072913057</v>
      </c>
      <c r="AE91" s="16">
        <f t="shared" si="45"/>
        <v>-15007.386072913061</v>
      </c>
      <c r="AF91" s="14">
        <f>IF([1]Sheet2!AJ90=999999,"NA",[1]Sheet2!AJ90)</f>
        <v>0</v>
      </c>
      <c r="AG91" s="14">
        <f>IF([1]Sheet2!AK90=999999,"NA",[1]Sheet2!AK90)</f>
        <v>0</v>
      </c>
      <c r="AH91" s="14" t="str">
        <f>IF([1]Sheet2!AL90=999999,"NA",[1]Sheet2!AL90)</f>
        <v>NA</v>
      </c>
      <c r="AI91" s="14">
        <f>IF([1]Sheet2!AM90=999999,"NA",[1]Sheet2!AM90)</f>
        <v>0</v>
      </c>
      <c r="AJ91" s="14">
        <f>IF([1]Sheet2!AN90=999999,"NA",[1]Sheet2!AN90)</f>
        <v>0</v>
      </c>
      <c r="AK91" s="14">
        <f>IF([1]Sheet2!AO90=999999,"NA",[1]Sheet2!AO90)</f>
        <v>0</v>
      </c>
      <c r="AL91" s="14">
        <f>IF([1]Sheet2!AP90=999999,"NA",[1]Sheet2!AP90)</f>
        <v>0</v>
      </c>
      <c r="AM91" s="14">
        <f>IF([1]Sheet2!AQ90=999999,"NA",[1]Sheet2!AQ90)</f>
        <v>0</v>
      </c>
      <c r="AN91" s="14">
        <f>IF([1]Sheet2!AR90=999999,"NA",[1]Sheet2!AR90)</f>
        <v>0</v>
      </c>
      <c r="AO91" s="14">
        <f>IF([1]Sheet2!AS90=999999,"NA",[1]Sheet2!AS90)</f>
        <v>0</v>
      </c>
      <c r="AP91" s="14">
        <f>[1]Sheet2!P90</f>
        <v>0</v>
      </c>
      <c r="AQ91" s="14">
        <f>[1]Sheet2!Q90</f>
        <v>0</v>
      </c>
      <c r="AR91" s="14">
        <f>[1]Sheet2!R90</f>
        <v>0</v>
      </c>
      <c r="AS91" s="14">
        <f>[1]Sheet2!S90</f>
        <v>0</v>
      </c>
      <c r="AT91" s="14">
        <f>[1]Sheet2!T90</f>
        <v>0</v>
      </c>
      <c r="AU91" s="14">
        <f>[1]Sheet2!U90</f>
        <v>0</v>
      </c>
      <c r="AV91" s="14">
        <f>[1]Sheet2!V90</f>
        <v>0</v>
      </c>
      <c r="AW91" s="14">
        <f>[1]Sheet2!W90</f>
        <v>0</v>
      </c>
      <c r="AX91" s="14">
        <f>[1]Sheet2!X90</f>
        <v>0</v>
      </c>
      <c r="AY91" s="14">
        <f>[1]Sheet2!Y90</f>
        <v>0</v>
      </c>
      <c r="AZ91" s="16">
        <f>Demand_LP!B$5/31</f>
        <v>754.78140345091151</v>
      </c>
      <c r="BA91" s="16">
        <f>Demand_LP!C$5/31</f>
        <v>547.55235732009919</v>
      </c>
      <c r="BB91" s="16">
        <f>Demand_LP!D$5/31</f>
        <v>312.75612076095945</v>
      </c>
      <c r="BC91" s="16">
        <f>Demand_LP!E$5/31</f>
        <v>772.29437499345636</v>
      </c>
      <c r="BD91" s="16">
        <f>Demand_LP!F$5/31</f>
        <v>471.74248526347748</v>
      </c>
      <c r="BE91" s="16">
        <f>Demand_LP!G$5/31</f>
        <v>451.61290322580646</v>
      </c>
      <c r="BF91" s="16">
        <f>Demand_LP!H$5/31</f>
        <v>547.55235732009919</v>
      </c>
      <c r="BG91" s="16">
        <f>Demand_LP!I$5/31</f>
        <v>451.61290322580646</v>
      </c>
      <c r="BH91" s="16">
        <f>Demand_LP!J$5/31</f>
        <v>451.61290322580646</v>
      </c>
      <c r="BI91" s="16">
        <f>Demand_LP!K$5/31</f>
        <v>451.61290322580646</v>
      </c>
      <c r="BJ91" s="16">
        <f t="shared" si="46"/>
        <v>-50192.461922031616</v>
      </c>
      <c r="BK91" s="16">
        <f t="shared" si="47"/>
        <v>-44521.438875103348</v>
      </c>
      <c r="BL91" s="16">
        <f t="shared" si="48"/>
        <v>-14148.453143093473</v>
      </c>
      <c r="BM91" s="16">
        <f t="shared" si="49"/>
        <v>-55261.958669682041</v>
      </c>
      <c r="BN91" s="16">
        <f t="shared" si="50"/>
        <v>-32498.831111102336</v>
      </c>
      <c r="BO91" s="16">
        <f t="shared" si="51"/>
        <v>-30996.774193548394</v>
      </c>
      <c r="BP91" s="16">
        <f t="shared" si="52"/>
        <v>-38879.018362282884</v>
      </c>
      <c r="BQ91" s="16">
        <f t="shared" si="53"/>
        <v>-30996.774193548394</v>
      </c>
      <c r="BR91" s="16">
        <f t="shared" si="54"/>
        <v>-28596.774193548394</v>
      </c>
      <c r="BS91" s="16">
        <f t="shared" si="55"/>
        <v>-29296.774193548386</v>
      </c>
      <c r="BT91" s="14">
        <f>IF([1]Sheet2!CB90=999999,"NA",[1]Sheet2!CB90)</f>
        <v>0</v>
      </c>
      <c r="BU91" s="14">
        <f>IF([1]Sheet2!CC90=999999,"NA",[1]Sheet2!CC90)</f>
        <v>0</v>
      </c>
      <c r="BV91" s="14">
        <f>IF([1]Sheet2!CD90=999999,"NA",[1]Sheet2!CD90)</f>
        <v>0</v>
      </c>
      <c r="BW91" s="14">
        <f>IF([1]Sheet2!CE90=999999,"NA",[1]Sheet2!CE90)</f>
        <v>0</v>
      </c>
      <c r="BX91" s="14">
        <f>IF([1]Sheet2!CF90=999999,"NA",[1]Sheet2!CF90)</f>
        <v>0</v>
      </c>
      <c r="BY91" s="14">
        <f>IF([1]Sheet2!CG90=999999,"NA",[1]Sheet2!CG90)</f>
        <v>0</v>
      </c>
      <c r="BZ91" s="14">
        <f>IF([1]Sheet2!CH90=999999,"NA",[1]Sheet2!CH90)</f>
        <v>0</v>
      </c>
      <c r="CA91" s="14">
        <f>IF([1]Sheet2!CI90=999999,"NA",[1]Sheet2!CI90)</f>
        <v>0</v>
      </c>
      <c r="CB91" s="14">
        <f>IF([1]Sheet2!CJ90=999999,"NA",[1]Sheet2!CJ90)</f>
        <v>0</v>
      </c>
      <c r="CC91" s="14">
        <f>IF([1]Sheet2!CK90=999999,"NA",[1]Sheet2!CK90)</f>
        <v>0</v>
      </c>
      <c r="CD91" s="14">
        <f>[1]Sheet2!BH90</f>
        <v>0</v>
      </c>
      <c r="CE91" s="14">
        <f>[1]Sheet2!BI90</f>
        <v>0</v>
      </c>
      <c r="CF91" s="14">
        <f>[1]Sheet2!BJ90</f>
        <v>0</v>
      </c>
      <c r="CG91" s="14">
        <f>[1]Sheet2!BK90</f>
        <v>0</v>
      </c>
      <c r="CH91" s="14">
        <f>[1]Sheet2!BL90</f>
        <v>0</v>
      </c>
      <c r="CI91" s="14">
        <f>[1]Sheet2!BM90</f>
        <v>0</v>
      </c>
      <c r="CJ91" s="14">
        <f>[1]Sheet2!BN90</f>
        <v>0</v>
      </c>
      <c r="CK91" s="14">
        <f>[1]Sheet2!BO90</f>
        <v>0</v>
      </c>
      <c r="CL91" s="14">
        <f>[1]Sheet2!BP90</f>
        <v>0</v>
      </c>
      <c r="CM91" s="14">
        <f>[1]Sheet2!BQ90</f>
        <v>0</v>
      </c>
      <c r="CN91" s="16">
        <f>Demand_SW!B$5/31</f>
        <v>138.46153846153845</v>
      </c>
      <c r="CO91" s="16">
        <f>Demand_SW!C$5/31</f>
        <v>29.776674937965261</v>
      </c>
      <c r="CP91" s="16">
        <f>Demand_SW!D$5/31</f>
        <v>0</v>
      </c>
      <c r="CQ91" s="16">
        <f>Demand_SW!E$5/31</f>
        <v>0</v>
      </c>
      <c r="CR91" s="16">
        <f>Demand_SW!F$5/31</f>
        <v>0</v>
      </c>
      <c r="CS91" s="16">
        <f>Demand_SW!G$5/31</f>
        <v>138.70967741935485</v>
      </c>
      <c r="CT91" s="16">
        <f>Demand_SW!H$5/31</f>
        <v>29.776674937965261</v>
      </c>
      <c r="CU91" s="16">
        <f>Demand_SW!I$5/31</f>
        <v>0</v>
      </c>
      <c r="CV91" s="16">
        <f>Demand_SW!J$5/31</f>
        <v>0</v>
      </c>
      <c r="CW91" s="16">
        <f>Demand_SW!K$5/31</f>
        <v>0</v>
      </c>
      <c r="CX91" s="16">
        <f t="shared" si="56"/>
        <v>-5993.8461538461506</v>
      </c>
      <c r="CY91" s="16">
        <f t="shared" si="57"/>
        <v>136.47642679900764</v>
      </c>
      <c r="CZ91" s="16">
        <f t="shared" si="58"/>
        <v>0</v>
      </c>
      <c r="DA91" s="16">
        <f t="shared" si="59"/>
        <v>0</v>
      </c>
      <c r="DB91" s="16">
        <f t="shared" si="60"/>
        <v>0</v>
      </c>
      <c r="DC91" s="16">
        <f t="shared" si="61"/>
        <v>-5522.5806451612852</v>
      </c>
      <c r="DD91" s="16">
        <f t="shared" si="62"/>
        <v>136.47642679900764</v>
      </c>
      <c r="DE91" s="16">
        <f t="shared" si="63"/>
        <v>0</v>
      </c>
      <c r="DF91" s="16">
        <f t="shared" si="64"/>
        <v>0</v>
      </c>
      <c r="DG91" s="16">
        <f t="shared" si="65"/>
        <v>0</v>
      </c>
      <c r="DH91" s="14">
        <f>IF([1]Sheet2!DS90=999999,"NA",[1]Sheet2!DS90)</f>
        <v>0</v>
      </c>
      <c r="DI91" s="14">
        <f>IF([1]Sheet2!DT90=999999,"NA",[1]Sheet2!DT90)</f>
        <v>277</v>
      </c>
      <c r="DJ91" s="14" t="str">
        <f>IF([1]Sheet2!DU90=999999,"NA",[1]Sheet2!DU90)</f>
        <v>NA</v>
      </c>
      <c r="DK91" s="14" t="str">
        <f>IF([1]Sheet2!DV90=999999,"NA",[1]Sheet2!DV90)</f>
        <v>NA</v>
      </c>
      <c r="DL91" s="14" t="str">
        <f>IF([1]Sheet2!DW90=999999,"NA",[1]Sheet2!DW90)</f>
        <v>NA</v>
      </c>
      <c r="DM91" s="14">
        <f>IF([1]Sheet2!DX90=999999,"NA",[1]Sheet2!DX90)</f>
        <v>0</v>
      </c>
      <c r="DN91" s="14">
        <f>IF([1]Sheet2!DY90=999999,"NA",[1]Sheet2!DY90)</f>
        <v>277</v>
      </c>
      <c r="DO91" s="14" t="str">
        <f>IF([1]Sheet2!DZ90=999999,"NA",[1]Sheet2!DZ90)</f>
        <v>NA</v>
      </c>
      <c r="DP91" s="14" t="str">
        <f>IF([1]Sheet2!EA90=999999,"NA",[1]Sheet2!EA90)</f>
        <v>NA</v>
      </c>
      <c r="DQ91" s="14" t="str">
        <f>IF([1]Sheet2!EB90=999999,"NA",[1]Sheet2!EB90)</f>
        <v>NA</v>
      </c>
      <c r="DR91" s="14">
        <f>[1]Sheet2!CY90</f>
        <v>0</v>
      </c>
      <c r="DS91" s="14">
        <f>[1]Sheet2!CZ90</f>
        <v>0</v>
      </c>
      <c r="DT91" s="14">
        <f>[1]Sheet2!DA90</f>
        <v>0</v>
      </c>
      <c r="DU91" s="14">
        <f>[1]Sheet2!DB90</f>
        <v>0</v>
      </c>
      <c r="DV91" s="14">
        <f>[1]Sheet2!DC90</f>
        <v>0</v>
      </c>
      <c r="DW91" s="14">
        <f>[1]Sheet2!DD90</f>
        <v>0</v>
      </c>
      <c r="DX91" s="14">
        <f>[1]Sheet2!DE90</f>
        <v>0</v>
      </c>
      <c r="DY91" s="14">
        <f>[1]Sheet2!DF90</f>
        <v>0</v>
      </c>
      <c r="DZ91" s="14">
        <f>[1]Sheet2!DG90</f>
        <v>0</v>
      </c>
      <c r="EA91" s="14">
        <f>[1]Sheet2!DH90</f>
        <v>0</v>
      </c>
      <c r="EB91" s="6">
        <f>[1]Sheet2!EC90</f>
        <v>0</v>
      </c>
      <c r="EC91" s="6">
        <f>[1]Sheet2!ED90</f>
        <v>0</v>
      </c>
      <c r="ED91" s="6">
        <f>[1]Sheet2!EE90</f>
        <v>0</v>
      </c>
      <c r="EE91" s="6">
        <f>[1]Sheet2!EF90</f>
        <v>0</v>
      </c>
      <c r="EF91" s="6">
        <f>[1]Sheet2!EG90</f>
        <v>0</v>
      </c>
      <c r="EG91" s="6">
        <f>[1]Sheet2!EH90</f>
        <v>0</v>
      </c>
      <c r="EH91" s="6">
        <f>[1]Sheet2!EI90</f>
        <v>0</v>
      </c>
      <c r="EI91" s="6">
        <f>[1]Sheet2!EJ90</f>
        <v>0</v>
      </c>
      <c r="EJ91" s="6">
        <f>[1]Sheet2!EK90</f>
        <v>0</v>
      </c>
      <c r="EK91" s="6">
        <f>[1]Sheet2!EL90</f>
        <v>0</v>
      </c>
      <c r="EL91" s="6" t="str">
        <f>[1]Sheet2!EM90</f>
        <v/>
      </c>
      <c r="EM91" s="6" t="str">
        <f>[1]Sheet2!EN90</f>
        <v/>
      </c>
      <c r="EN91" s="6" t="str">
        <f>[1]Sheet2!EO90</f>
        <v/>
      </c>
      <c r="EO91" s="6" t="str">
        <f>[1]Sheet2!EP90</f>
        <v/>
      </c>
      <c r="EP91" s="6" t="str">
        <f>[1]Sheet2!EQ90</f>
        <v/>
      </c>
      <c r="EQ91" s="6" t="str">
        <f>[1]Sheet2!ER90</f>
        <v/>
      </c>
      <c r="ER91" s="6" t="str">
        <f>[1]Sheet2!ES90</f>
        <v/>
      </c>
      <c r="ES91" s="6" t="str">
        <f>[1]Sheet2!ET90</f>
        <v/>
      </c>
      <c r="ET91" s="6" t="str">
        <f>[1]Sheet2!EU90</f>
        <v/>
      </c>
      <c r="EU91" s="6" t="str">
        <f>[1]Sheet2!EV90</f>
        <v/>
      </c>
      <c r="EV91" s="6" t="str">
        <f>[1]Sheet2!EW90</f>
        <v/>
      </c>
      <c r="EW91" s="6" t="str">
        <f>[1]Sheet2!EX90</f>
        <v/>
      </c>
      <c r="EX91" s="6" t="str">
        <f>[1]Sheet2!EY90</f>
        <v/>
      </c>
      <c r="EY91" s="6" t="str">
        <f>[1]Sheet2!EZ90</f>
        <v/>
      </c>
      <c r="EZ91" s="6" t="str">
        <f>[1]Sheet2!FA90</f>
        <v/>
      </c>
      <c r="FA91" s="6" t="str">
        <f>[1]Sheet2!FB90</f>
        <v/>
      </c>
      <c r="FB91" s="6" t="str">
        <f>[1]Sheet2!FC90</f>
        <v/>
      </c>
      <c r="FC91" s="6" t="str">
        <f>[1]Sheet2!FD90</f>
        <v/>
      </c>
      <c r="FD91" s="6" t="str">
        <f>[1]Sheet2!FE90</f>
        <v/>
      </c>
      <c r="FE91" s="6" t="str">
        <f>[1]Sheet2!FF90</f>
        <v/>
      </c>
      <c r="FF91" s="6" t="str">
        <f>[1]Sheet2!FG90</f>
        <v/>
      </c>
      <c r="FG91" s="6" t="str">
        <f>[1]Sheet2!FH90</f>
        <v/>
      </c>
      <c r="FH91" s="6" t="str">
        <f>[1]Sheet2!FI90</f>
        <v/>
      </c>
      <c r="FI91" s="6" t="str">
        <f>[1]Sheet2!FJ90</f>
        <v/>
      </c>
      <c r="FJ91" s="6" t="str">
        <f>[1]Sheet2!FK90</f>
        <v/>
      </c>
      <c r="FK91" s="6" t="str">
        <f>[1]Sheet2!FL90</f>
        <v/>
      </c>
      <c r="FL91" s="6" t="str">
        <f>[1]Sheet2!FM90</f>
        <v/>
      </c>
      <c r="FM91" s="6" t="str">
        <f>[1]Sheet2!FN90</f>
        <v/>
      </c>
      <c r="FN91" s="6" t="str">
        <f>[1]Sheet2!FO90</f>
        <v/>
      </c>
      <c r="FO91" s="6" t="str">
        <f>[1]Sheet2!FP90</f>
        <v/>
      </c>
    </row>
    <row r="92" spans="1:171" x14ac:dyDescent="0.25">
      <c r="A92" s="15">
        <v>43554</v>
      </c>
      <c r="B92" s="1"/>
      <c r="C92" s="1"/>
      <c r="D92" s="1"/>
      <c r="E92" s="14">
        <f>[1]Sheet2!N91</f>
        <v>0</v>
      </c>
      <c r="F92" s="14">
        <f>[1]Sheet2!BE91</f>
        <v>48000</v>
      </c>
      <c r="G92" s="14">
        <f>[1]Sheet2!CW91</f>
        <v>0</v>
      </c>
      <c r="H92" s="1"/>
      <c r="I92" s="1"/>
      <c r="J92" s="1"/>
      <c r="K92" s="16"/>
      <c r="L92" s="16">
        <f>Demand_CWRS!B$5/31</f>
        <v>131.679370700757</v>
      </c>
      <c r="M92" s="16">
        <f>Demand_CWRS!C$5/31</f>
        <v>537.20942928039699</v>
      </c>
      <c r="N92" s="16">
        <f>Demand_CWRS!D$5/31</f>
        <v>0</v>
      </c>
      <c r="O92" s="16">
        <f>Demand_CWRS!E$5/31</f>
        <v>121.5961418056559</v>
      </c>
      <c r="P92" s="16">
        <f>Demand_CWRS!F$5/31</f>
        <v>245.08227837631262</v>
      </c>
      <c r="Q92" s="16">
        <f>Demand_CWRS!G$5/31</f>
        <v>131.679370700757</v>
      </c>
      <c r="R92" s="16">
        <f>Demand_CWRS!H$5/31</f>
        <v>245.08227837631262</v>
      </c>
      <c r="S92" s="16">
        <f>Demand_CWRS!I$5/31</f>
        <v>245.08227837631262</v>
      </c>
      <c r="T92" s="16">
        <f>Demand_CWRS!J$5/31</f>
        <v>245.08227837631262</v>
      </c>
      <c r="U92" s="16">
        <f>Demand_CWRS!K$5/31</f>
        <v>245.08227837631262</v>
      </c>
      <c r="V92" s="16">
        <f t="shared" si="36"/>
        <v>-10347.324931118861</v>
      </c>
      <c r="W92" s="16">
        <f t="shared" si="37"/>
        <v>-32644.913647642639</v>
      </c>
      <c r="X92" s="16">
        <f t="shared" si="38"/>
        <v>0</v>
      </c>
      <c r="Y92" s="16">
        <f t="shared" si="39"/>
        <v>-1357.8086131440273</v>
      </c>
      <c r="Z92" s="16">
        <f t="shared" si="40"/>
        <v>-15864.434937827835</v>
      </c>
      <c r="AA92" s="16">
        <f t="shared" si="41"/>
        <v>-9130.3811210227141</v>
      </c>
      <c r="AB92" s="16">
        <f t="shared" si="42"/>
        <v>-20345.478607699653</v>
      </c>
      <c r="AC92" s="16">
        <f t="shared" si="43"/>
        <v>-14552.468351289377</v>
      </c>
      <c r="AD92" s="16">
        <f t="shared" si="44"/>
        <v>-14652.46835128937</v>
      </c>
      <c r="AE92" s="16">
        <f t="shared" si="45"/>
        <v>-15252.468351289373</v>
      </c>
      <c r="AF92" s="14">
        <f>IF([1]Sheet2!AJ91=999999,"NA",[1]Sheet2!AJ91)</f>
        <v>0</v>
      </c>
      <c r="AG92" s="14">
        <f>IF([1]Sheet2!AK91=999999,"NA",[1]Sheet2!AK91)</f>
        <v>0</v>
      </c>
      <c r="AH92" s="14" t="str">
        <f>IF([1]Sheet2!AL91=999999,"NA",[1]Sheet2!AL91)</f>
        <v>NA</v>
      </c>
      <c r="AI92" s="14">
        <f>IF([1]Sheet2!AM91=999999,"NA",[1]Sheet2!AM91)</f>
        <v>0</v>
      </c>
      <c r="AJ92" s="14">
        <f>IF([1]Sheet2!AN91=999999,"NA",[1]Sheet2!AN91)</f>
        <v>0</v>
      </c>
      <c r="AK92" s="14">
        <f>IF([1]Sheet2!AO91=999999,"NA",[1]Sheet2!AO91)</f>
        <v>0</v>
      </c>
      <c r="AL92" s="14">
        <f>IF([1]Sheet2!AP91=999999,"NA",[1]Sheet2!AP91)</f>
        <v>0</v>
      </c>
      <c r="AM92" s="14">
        <f>IF([1]Sheet2!AQ91=999999,"NA",[1]Sheet2!AQ91)</f>
        <v>0</v>
      </c>
      <c r="AN92" s="14">
        <f>IF([1]Sheet2!AR91=999999,"NA",[1]Sheet2!AR91)</f>
        <v>0</v>
      </c>
      <c r="AO92" s="14">
        <f>IF([1]Sheet2!AS91=999999,"NA",[1]Sheet2!AS91)</f>
        <v>0</v>
      </c>
      <c r="AP92" s="14">
        <f>[1]Sheet2!P91</f>
        <v>0</v>
      </c>
      <c r="AQ92" s="14">
        <f>[1]Sheet2!Q91</f>
        <v>0</v>
      </c>
      <c r="AR92" s="14">
        <f>[1]Sheet2!R91</f>
        <v>0</v>
      </c>
      <c r="AS92" s="14">
        <f>[1]Sheet2!S91</f>
        <v>0</v>
      </c>
      <c r="AT92" s="14">
        <f>[1]Sheet2!T91</f>
        <v>0</v>
      </c>
      <c r="AU92" s="14">
        <f>[1]Sheet2!U91</f>
        <v>0</v>
      </c>
      <c r="AV92" s="14">
        <f>[1]Sheet2!V91</f>
        <v>0</v>
      </c>
      <c r="AW92" s="14">
        <f>[1]Sheet2!W91</f>
        <v>0</v>
      </c>
      <c r="AX92" s="14">
        <f>[1]Sheet2!X91</f>
        <v>0</v>
      </c>
      <c r="AY92" s="14">
        <f>[1]Sheet2!Y91</f>
        <v>0</v>
      </c>
      <c r="AZ92" s="16">
        <f>Demand_LP!B$5/31</f>
        <v>754.78140345091151</v>
      </c>
      <c r="BA92" s="16">
        <f>Demand_LP!C$5/31</f>
        <v>547.55235732009919</v>
      </c>
      <c r="BB92" s="16">
        <f>Demand_LP!D$5/31</f>
        <v>312.75612076095945</v>
      </c>
      <c r="BC92" s="16">
        <f>Demand_LP!E$5/31</f>
        <v>772.29437499345636</v>
      </c>
      <c r="BD92" s="16">
        <f>Demand_LP!F$5/31</f>
        <v>471.74248526347748</v>
      </c>
      <c r="BE92" s="16">
        <f>Demand_LP!G$5/31</f>
        <v>451.61290322580646</v>
      </c>
      <c r="BF92" s="16">
        <f>Demand_LP!H$5/31</f>
        <v>547.55235732009919</v>
      </c>
      <c r="BG92" s="16">
        <f>Demand_LP!I$5/31</f>
        <v>451.61290322580646</v>
      </c>
      <c r="BH92" s="16">
        <f>Demand_LP!J$5/31</f>
        <v>451.61290322580646</v>
      </c>
      <c r="BI92" s="16">
        <f>Demand_LP!K$5/31</f>
        <v>451.61290322580646</v>
      </c>
      <c r="BJ92" s="16">
        <f t="shared" si="46"/>
        <v>-50947.24332548253</v>
      </c>
      <c r="BK92" s="16">
        <f t="shared" si="47"/>
        <v>-45068.991232423446</v>
      </c>
      <c r="BL92" s="16">
        <f t="shared" si="48"/>
        <v>-14461.209263854433</v>
      </c>
      <c r="BM92" s="16">
        <f t="shared" si="49"/>
        <v>-56034.253044675497</v>
      </c>
      <c r="BN92" s="16">
        <f t="shared" si="50"/>
        <v>-32970.573596365815</v>
      </c>
      <c r="BO92" s="16">
        <f t="shared" si="51"/>
        <v>-31448.3870967742</v>
      </c>
      <c r="BP92" s="16">
        <f t="shared" si="52"/>
        <v>-39426.570719602983</v>
      </c>
      <c r="BQ92" s="16">
        <f t="shared" si="53"/>
        <v>-31448.3870967742</v>
      </c>
      <c r="BR92" s="16">
        <f t="shared" si="54"/>
        <v>-29048.3870967742</v>
      </c>
      <c r="BS92" s="16">
        <f t="shared" si="55"/>
        <v>-29748.387096774193</v>
      </c>
      <c r="BT92" s="14">
        <f>IF([1]Sheet2!CB91=999999,"NA",[1]Sheet2!CB91)</f>
        <v>0</v>
      </c>
      <c r="BU92" s="14">
        <f>IF([1]Sheet2!CC91=999999,"NA",[1]Sheet2!CC91)</f>
        <v>0</v>
      </c>
      <c r="BV92" s="14">
        <f>IF([1]Sheet2!CD91=999999,"NA",[1]Sheet2!CD91)</f>
        <v>0</v>
      </c>
      <c r="BW92" s="14">
        <f>IF([1]Sheet2!CE91=999999,"NA",[1]Sheet2!CE91)</f>
        <v>0</v>
      </c>
      <c r="BX92" s="14">
        <f>IF([1]Sheet2!CF91=999999,"NA",[1]Sheet2!CF91)</f>
        <v>0</v>
      </c>
      <c r="BY92" s="14">
        <f>IF([1]Sheet2!CG91=999999,"NA",[1]Sheet2!CG91)</f>
        <v>0</v>
      </c>
      <c r="BZ92" s="14">
        <f>IF([1]Sheet2!CH91=999999,"NA",[1]Sheet2!CH91)</f>
        <v>0</v>
      </c>
      <c r="CA92" s="14">
        <f>IF([1]Sheet2!CI91=999999,"NA",[1]Sheet2!CI91)</f>
        <v>0</v>
      </c>
      <c r="CB92" s="14">
        <f>IF([1]Sheet2!CJ91=999999,"NA",[1]Sheet2!CJ91)</f>
        <v>0</v>
      </c>
      <c r="CC92" s="14">
        <f>IF([1]Sheet2!CK91=999999,"NA",[1]Sheet2!CK91)</f>
        <v>0</v>
      </c>
      <c r="CD92" s="14">
        <f>[1]Sheet2!BH91</f>
        <v>0</v>
      </c>
      <c r="CE92" s="14">
        <f>[1]Sheet2!BI91</f>
        <v>0</v>
      </c>
      <c r="CF92" s="14">
        <f>[1]Sheet2!BJ91</f>
        <v>0</v>
      </c>
      <c r="CG92" s="14">
        <f>[1]Sheet2!BK91</f>
        <v>0</v>
      </c>
      <c r="CH92" s="14">
        <f>[1]Sheet2!BL91</f>
        <v>0</v>
      </c>
      <c r="CI92" s="14">
        <f>[1]Sheet2!BM91</f>
        <v>0</v>
      </c>
      <c r="CJ92" s="14">
        <f>[1]Sheet2!BN91</f>
        <v>0</v>
      </c>
      <c r="CK92" s="14">
        <f>[1]Sheet2!BO91</f>
        <v>0</v>
      </c>
      <c r="CL92" s="14">
        <f>[1]Sheet2!BP91</f>
        <v>0</v>
      </c>
      <c r="CM92" s="14">
        <f>[1]Sheet2!BQ91</f>
        <v>0</v>
      </c>
      <c r="CN92" s="16">
        <f>Demand_SW!B$5/31</f>
        <v>138.46153846153845</v>
      </c>
      <c r="CO92" s="16">
        <f>Demand_SW!C$5/31</f>
        <v>29.776674937965261</v>
      </c>
      <c r="CP92" s="16">
        <f>Demand_SW!D$5/31</f>
        <v>0</v>
      </c>
      <c r="CQ92" s="16">
        <f>Demand_SW!E$5/31</f>
        <v>0</v>
      </c>
      <c r="CR92" s="16">
        <f>Demand_SW!F$5/31</f>
        <v>0</v>
      </c>
      <c r="CS92" s="16">
        <f>Demand_SW!G$5/31</f>
        <v>138.70967741935485</v>
      </c>
      <c r="CT92" s="16">
        <f>Demand_SW!H$5/31</f>
        <v>29.776674937965261</v>
      </c>
      <c r="CU92" s="16">
        <f>Demand_SW!I$5/31</f>
        <v>0</v>
      </c>
      <c r="CV92" s="16">
        <f>Demand_SW!J$5/31</f>
        <v>0</v>
      </c>
      <c r="CW92" s="16">
        <f>Demand_SW!K$5/31</f>
        <v>0</v>
      </c>
      <c r="CX92" s="16">
        <f t="shared" si="56"/>
        <v>-6132.3076923076887</v>
      </c>
      <c r="CY92" s="16">
        <f t="shared" si="57"/>
        <v>106.69975186104239</v>
      </c>
      <c r="CZ92" s="16">
        <f t="shared" si="58"/>
        <v>0</v>
      </c>
      <c r="DA92" s="16">
        <f t="shared" si="59"/>
        <v>0</v>
      </c>
      <c r="DB92" s="16">
        <f t="shared" si="60"/>
        <v>0</v>
      </c>
      <c r="DC92" s="16">
        <f t="shared" si="61"/>
        <v>-5661.2903225806403</v>
      </c>
      <c r="DD92" s="16">
        <f t="shared" si="62"/>
        <v>106.69975186104239</v>
      </c>
      <c r="DE92" s="16">
        <f t="shared" si="63"/>
        <v>0</v>
      </c>
      <c r="DF92" s="16">
        <f t="shared" si="64"/>
        <v>0</v>
      </c>
      <c r="DG92" s="16">
        <f t="shared" si="65"/>
        <v>0</v>
      </c>
      <c r="DH92" s="14">
        <f>IF([1]Sheet2!DS91=999999,"NA",[1]Sheet2!DS91)</f>
        <v>0</v>
      </c>
      <c r="DI92" s="14">
        <f>IF([1]Sheet2!DT91=999999,"NA",[1]Sheet2!DT91)</f>
        <v>276</v>
      </c>
      <c r="DJ92" s="14" t="str">
        <f>IF([1]Sheet2!DU91=999999,"NA",[1]Sheet2!DU91)</f>
        <v>NA</v>
      </c>
      <c r="DK92" s="14" t="str">
        <f>IF([1]Sheet2!DV91=999999,"NA",[1]Sheet2!DV91)</f>
        <v>NA</v>
      </c>
      <c r="DL92" s="14" t="str">
        <f>IF([1]Sheet2!DW91=999999,"NA",[1]Sheet2!DW91)</f>
        <v>NA</v>
      </c>
      <c r="DM92" s="14">
        <f>IF([1]Sheet2!DX91=999999,"NA",[1]Sheet2!DX91)</f>
        <v>0</v>
      </c>
      <c r="DN92" s="14">
        <f>IF([1]Sheet2!DY91=999999,"NA",[1]Sheet2!DY91)</f>
        <v>276</v>
      </c>
      <c r="DO92" s="14" t="str">
        <f>IF([1]Sheet2!DZ91=999999,"NA",[1]Sheet2!DZ91)</f>
        <v>NA</v>
      </c>
      <c r="DP92" s="14" t="str">
        <f>IF([1]Sheet2!EA91=999999,"NA",[1]Sheet2!EA91)</f>
        <v>NA</v>
      </c>
      <c r="DQ92" s="14" t="str">
        <f>IF([1]Sheet2!EB91=999999,"NA",[1]Sheet2!EB91)</f>
        <v>NA</v>
      </c>
      <c r="DR92" s="14">
        <f>[1]Sheet2!CY91</f>
        <v>0</v>
      </c>
      <c r="DS92" s="14">
        <f>[1]Sheet2!CZ91</f>
        <v>0</v>
      </c>
      <c r="DT92" s="14">
        <f>[1]Sheet2!DA91</f>
        <v>0</v>
      </c>
      <c r="DU92" s="14">
        <f>[1]Sheet2!DB91</f>
        <v>0</v>
      </c>
      <c r="DV92" s="14">
        <f>[1]Sheet2!DC91</f>
        <v>0</v>
      </c>
      <c r="DW92" s="14">
        <f>[1]Sheet2!DD91</f>
        <v>0</v>
      </c>
      <c r="DX92" s="14">
        <f>[1]Sheet2!DE91</f>
        <v>0</v>
      </c>
      <c r="DY92" s="14">
        <f>[1]Sheet2!DF91</f>
        <v>0</v>
      </c>
      <c r="DZ92" s="14">
        <f>[1]Sheet2!DG91</f>
        <v>0</v>
      </c>
      <c r="EA92" s="14">
        <f>[1]Sheet2!DH91</f>
        <v>0</v>
      </c>
      <c r="EB92" s="6">
        <f>[1]Sheet2!EC91</f>
        <v>0</v>
      </c>
      <c r="EC92" s="6">
        <f>[1]Sheet2!ED91</f>
        <v>0</v>
      </c>
      <c r="ED92" s="6">
        <f>[1]Sheet2!EE91</f>
        <v>0</v>
      </c>
      <c r="EE92" s="6">
        <f>[1]Sheet2!EF91</f>
        <v>0</v>
      </c>
      <c r="EF92" s="6">
        <f>[1]Sheet2!EG91</f>
        <v>0</v>
      </c>
      <c r="EG92" s="6">
        <f>[1]Sheet2!EH91</f>
        <v>0</v>
      </c>
      <c r="EH92" s="6">
        <f>[1]Sheet2!EI91</f>
        <v>0</v>
      </c>
      <c r="EI92" s="6">
        <f>[1]Sheet2!EJ91</f>
        <v>0</v>
      </c>
      <c r="EJ92" s="6">
        <f>[1]Sheet2!EK91</f>
        <v>0</v>
      </c>
      <c r="EK92" s="6">
        <f>[1]Sheet2!EL91</f>
        <v>0</v>
      </c>
      <c r="EL92" s="6" t="str">
        <f>[1]Sheet2!EM91</f>
        <v/>
      </c>
      <c r="EM92" s="6" t="str">
        <f>[1]Sheet2!EN91</f>
        <v/>
      </c>
      <c r="EN92" s="6" t="str">
        <f>[1]Sheet2!EO91</f>
        <v/>
      </c>
      <c r="EO92" s="6" t="str">
        <f>[1]Sheet2!EP91</f>
        <v/>
      </c>
      <c r="EP92" s="6" t="str">
        <f>[1]Sheet2!EQ91</f>
        <v/>
      </c>
      <c r="EQ92" s="6" t="str">
        <f>[1]Sheet2!ER91</f>
        <v/>
      </c>
      <c r="ER92" s="6" t="str">
        <f>[1]Sheet2!ES91</f>
        <v/>
      </c>
      <c r="ES92" s="6" t="str">
        <f>[1]Sheet2!ET91</f>
        <v/>
      </c>
      <c r="ET92" s="6" t="str">
        <f>[1]Sheet2!EU91</f>
        <v/>
      </c>
      <c r="EU92" s="6" t="str">
        <f>[1]Sheet2!EV91</f>
        <v/>
      </c>
      <c r="EV92" s="6" t="str">
        <f>[1]Sheet2!EW91</f>
        <v/>
      </c>
      <c r="EW92" s="6" t="str">
        <f>[1]Sheet2!EX91</f>
        <v/>
      </c>
      <c r="EX92" s="6" t="str">
        <f>[1]Sheet2!EY91</f>
        <v/>
      </c>
      <c r="EY92" s="6" t="str">
        <f>[1]Sheet2!EZ91</f>
        <v/>
      </c>
      <c r="EZ92" s="6" t="str">
        <f>[1]Sheet2!FA91</f>
        <v/>
      </c>
      <c r="FA92" s="6" t="str">
        <f>[1]Sheet2!FB91</f>
        <v/>
      </c>
      <c r="FB92" s="6" t="str">
        <f>[1]Sheet2!FC91</f>
        <v/>
      </c>
      <c r="FC92" s="6" t="str">
        <f>[1]Sheet2!FD91</f>
        <v/>
      </c>
      <c r="FD92" s="6" t="str">
        <f>[1]Sheet2!FE91</f>
        <v/>
      </c>
      <c r="FE92" s="6" t="str">
        <f>[1]Sheet2!FF91</f>
        <v/>
      </c>
      <c r="FF92" s="6" t="str">
        <f>[1]Sheet2!FG91</f>
        <v/>
      </c>
      <c r="FG92" s="6" t="str">
        <f>[1]Sheet2!FH91</f>
        <v/>
      </c>
      <c r="FH92" s="6" t="str">
        <f>[1]Sheet2!FI91</f>
        <v/>
      </c>
      <c r="FI92" s="6" t="str">
        <f>[1]Sheet2!FJ91</f>
        <v/>
      </c>
      <c r="FJ92" s="6" t="str">
        <f>[1]Sheet2!FK91</f>
        <v/>
      </c>
      <c r="FK92" s="6" t="str">
        <f>[1]Sheet2!FL91</f>
        <v/>
      </c>
      <c r="FL92" s="6" t="str">
        <f>[1]Sheet2!FM91</f>
        <v/>
      </c>
      <c r="FM92" s="6" t="str">
        <f>[1]Sheet2!FN91</f>
        <v/>
      </c>
      <c r="FN92" s="6" t="str">
        <f>[1]Sheet2!FO91</f>
        <v/>
      </c>
      <c r="FO92" s="6" t="str">
        <f>[1]Sheet2!FP91</f>
        <v/>
      </c>
    </row>
    <row r="93" spans="1:171" x14ac:dyDescent="0.25">
      <c r="A93" s="15">
        <v>43555</v>
      </c>
      <c r="B93" s="1"/>
      <c r="C93" s="1"/>
      <c r="D93" s="1"/>
      <c r="E93" s="14">
        <f>[1]Sheet2!N92</f>
        <v>0</v>
      </c>
      <c r="F93" s="14">
        <f>[1]Sheet2!BE92</f>
        <v>0</v>
      </c>
      <c r="G93" s="14">
        <f>[1]Sheet2!CW92</f>
        <v>0</v>
      </c>
      <c r="H93" s="1"/>
      <c r="I93" s="1"/>
      <c r="J93" s="1"/>
      <c r="K93" s="16"/>
      <c r="L93" s="16">
        <f>Demand_CWRS!B$5/31</f>
        <v>131.679370700757</v>
      </c>
      <c r="M93" s="16">
        <f>Demand_CWRS!C$5/31</f>
        <v>537.20942928039699</v>
      </c>
      <c r="N93" s="16">
        <f>Demand_CWRS!D$5/31</f>
        <v>0</v>
      </c>
      <c r="O93" s="16">
        <f>Demand_CWRS!E$5/31</f>
        <v>121.5961418056559</v>
      </c>
      <c r="P93" s="16">
        <f>Demand_CWRS!F$5/31</f>
        <v>245.08227837631262</v>
      </c>
      <c r="Q93" s="16">
        <f>Demand_CWRS!G$5/31</f>
        <v>131.679370700757</v>
      </c>
      <c r="R93" s="16">
        <f>Demand_CWRS!H$5/31</f>
        <v>245.08227837631262</v>
      </c>
      <c r="S93" s="16">
        <f>Demand_CWRS!I$5/31</f>
        <v>245.08227837631262</v>
      </c>
      <c r="T93" s="16">
        <f>Demand_CWRS!J$5/31</f>
        <v>245.08227837631262</v>
      </c>
      <c r="U93" s="16">
        <f>Demand_CWRS!K$5/31</f>
        <v>245.08227837631262</v>
      </c>
      <c r="V93" s="16">
        <f t="shared" si="36"/>
        <v>-10479.004301819617</v>
      </c>
      <c r="W93" s="16">
        <f t="shared" si="37"/>
        <v>-33182.123076923039</v>
      </c>
      <c r="X93" s="16">
        <f t="shared" si="38"/>
        <v>0</v>
      </c>
      <c r="Y93" s="16">
        <f t="shared" si="39"/>
        <v>-1479.4047549496831</v>
      </c>
      <c r="Z93" s="16">
        <f t="shared" si="40"/>
        <v>-16109.517216204147</v>
      </c>
      <c r="AA93" s="16">
        <f t="shared" si="41"/>
        <v>-9262.0604917234705</v>
      </c>
      <c r="AB93" s="16">
        <f t="shared" si="42"/>
        <v>-20590.560886075968</v>
      </c>
      <c r="AC93" s="16">
        <f t="shared" si="43"/>
        <v>-14797.550629665689</v>
      </c>
      <c r="AD93" s="16">
        <f t="shared" si="44"/>
        <v>-14897.550629665682</v>
      </c>
      <c r="AE93" s="16">
        <f t="shared" si="45"/>
        <v>-15497.550629665686</v>
      </c>
      <c r="AF93" s="14">
        <f>IF([1]Sheet2!AJ92=999999,"NA",[1]Sheet2!AJ92)</f>
        <v>0</v>
      </c>
      <c r="AG93" s="14">
        <f>IF([1]Sheet2!AK92=999999,"NA",[1]Sheet2!AK92)</f>
        <v>0</v>
      </c>
      <c r="AH93" s="14" t="str">
        <f>IF([1]Sheet2!AL92=999999,"NA",[1]Sheet2!AL92)</f>
        <v>NA</v>
      </c>
      <c r="AI93" s="14">
        <f>IF([1]Sheet2!AM92=999999,"NA",[1]Sheet2!AM92)</f>
        <v>0</v>
      </c>
      <c r="AJ93" s="14">
        <f>IF([1]Sheet2!AN92=999999,"NA",[1]Sheet2!AN92)</f>
        <v>0</v>
      </c>
      <c r="AK93" s="14">
        <f>IF([1]Sheet2!AO92=999999,"NA",[1]Sheet2!AO92)</f>
        <v>0</v>
      </c>
      <c r="AL93" s="14">
        <f>IF([1]Sheet2!AP92=999999,"NA",[1]Sheet2!AP92)</f>
        <v>0</v>
      </c>
      <c r="AM93" s="14">
        <f>IF([1]Sheet2!AQ92=999999,"NA",[1]Sheet2!AQ92)</f>
        <v>0</v>
      </c>
      <c r="AN93" s="14">
        <f>IF([1]Sheet2!AR92=999999,"NA",[1]Sheet2!AR92)</f>
        <v>0</v>
      </c>
      <c r="AO93" s="14">
        <f>IF([1]Sheet2!AS92=999999,"NA",[1]Sheet2!AS92)</f>
        <v>0</v>
      </c>
      <c r="AP93" s="14">
        <f>[1]Sheet2!P92</f>
        <v>0</v>
      </c>
      <c r="AQ93" s="14">
        <f>[1]Sheet2!Q92</f>
        <v>0</v>
      </c>
      <c r="AR93" s="14">
        <f>[1]Sheet2!R92</f>
        <v>0</v>
      </c>
      <c r="AS93" s="14">
        <f>[1]Sheet2!S92</f>
        <v>0</v>
      </c>
      <c r="AT93" s="14">
        <f>[1]Sheet2!T92</f>
        <v>0</v>
      </c>
      <c r="AU93" s="14">
        <f>[1]Sheet2!U92</f>
        <v>0</v>
      </c>
      <c r="AV93" s="14">
        <f>[1]Sheet2!V92</f>
        <v>0</v>
      </c>
      <c r="AW93" s="14">
        <f>[1]Sheet2!W92</f>
        <v>0</v>
      </c>
      <c r="AX93" s="14">
        <f>[1]Sheet2!X92</f>
        <v>0</v>
      </c>
      <c r="AY93" s="14">
        <f>[1]Sheet2!Y92</f>
        <v>0</v>
      </c>
      <c r="AZ93" s="16">
        <f>Demand_LP!B$5/31</f>
        <v>754.78140345091151</v>
      </c>
      <c r="BA93" s="16">
        <f>Demand_LP!C$5/31</f>
        <v>547.55235732009919</v>
      </c>
      <c r="BB93" s="16">
        <f>Demand_LP!D$5/31</f>
        <v>312.75612076095945</v>
      </c>
      <c r="BC93" s="16">
        <f>Demand_LP!E$5/31</f>
        <v>772.29437499345636</v>
      </c>
      <c r="BD93" s="16">
        <f>Demand_LP!F$5/31</f>
        <v>471.74248526347748</v>
      </c>
      <c r="BE93" s="16">
        <f>Demand_LP!G$5/31</f>
        <v>451.61290322580646</v>
      </c>
      <c r="BF93" s="16">
        <f>Demand_LP!H$5/31</f>
        <v>547.55235732009919</v>
      </c>
      <c r="BG93" s="16">
        <f>Demand_LP!I$5/31</f>
        <v>451.61290322580646</v>
      </c>
      <c r="BH93" s="16">
        <f>Demand_LP!J$5/31</f>
        <v>451.61290322580646</v>
      </c>
      <c r="BI93" s="16">
        <f>Demand_LP!K$5/31</f>
        <v>451.61290322580646</v>
      </c>
      <c r="BJ93" s="16">
        <f t="shared" si="46"/>
        <v>-51702.024728933444</v>
      </c>
      <c r="BK93" s="16">
        <f t="shared" si="47"/>
        <v>-45616.543589743545</v>
      </c>
      <c r="BL93" s="16">
        <f t="shared" si="48"/>
        <v>-14773.965384615392</v>
      </c>
      <c r="BM93" s="16">
        <f t="shared" si="49"/>
        <v>-56806.547419668954</v>
      </c>
      <c r="BN93" s="16">
        <f t="shared" si="50"/>
        <v>-33442.316081629295</v>
      </c>
      <c r="BO93" s="16">
        <f t="shared" si="51"/>
        <v>-31900.000000000007</v>
      </c>
      <c r="BP93" s="16">
        <f t="shared" si="52"/>
        <v>-39974.123076923082</v>
      </c>
      <c r="BQ93" s="16">
        <f t="shared" si="53"/>
        <v>-31900.000000000007</v>
      </c>
      <c r="BR93" s="16">
        <f t="shared" si="54"/>
        <v>-29500.000000000007</v>
      </c>
      <c r="BS93" s="16">
        <f t="shared" si="55"/>
        <v>-30200</v>
      </c>
      <c r="BT93" s="14">
        <f>IF([1]Sheet2!CB92=999999,"NA",[1]Sheet2!CB92)</f>
        <v>0</v>
      </c>
      <c r="BU93" s="14">
        <f>IF([1]Sheet2!CC92=999999,"NA",[1]Sheet2!CC92)</f>
        <v>0</v>
      </c>
      <c r="BV93" s="14">
        <f>IF([1]Sheet2!CD92=999999,"NA",[1]Sheet2!CD92)</f>
        <v>0</v>
      </c>
      <c r="BW93" s="14">
        <f>IF([1]Sheet2!CE92=999999,"NA",[1]Sheet2!CE92)</f>
        <v>0</v>
      </c>
      <c r="BX93" s="14">
        <f>IF([1]Sheet2!CF92=999999,"NA",[1]Sheet2!CF92)</f>
        <v>0</v>
      </c>
      <c r="BY93" s="14">
        <f>IF([1]Sheet2!CG92=999999,"NA",[1]Sheet2!CG92)</f>
        <v>0</v>
      </c>
      <c r="BZ93" s="14">
        <f>IF([1]Sheet2!CH92=999999,"NA",[1]Sheet2!CH92)</f>
        <v>0</v>
      </c>
      <c r="CA93" s="14">
        <f>IF([1]Sheet2!CI92=999999,"NA",[1]Sheet2!CI92)</f>
        <v>0</v>
      </c>
      <c r="CB93" s="14">
        <f>IF([1]Sheet2!CJ92=999999,"NA",[1]Sheet2!CJ92)</f>
        <v>0</v>
      </c>
      <c r="CC93" s="14">
        <f>IF([1]Sheet2!CK92=999999,"NA",[1]Sheet2!CK92)</f>
        <v>0</v>
      </c>
      <c r="CD93" s="14">
        <f>[1]Sheet2!BH92</f>
        <v>0</v>
      </c>
      <c r="CE93" s="14">
        <f>[1]Sheet2!BI92</f>
        <v>0</v>
      </c>
      <c r="CF93" s="14">
        <f>[1]Sheet2!BJ92</f>
        <v>0</v>
      </c>
      <c r="CG93" s="14">
        <f>[1]Sheet2!BK92</f>
        <v>0</v>
      </c>
      <c r="CH93" s="14">
        <f>[1]Sheet2!BL92</f>
        <v>0</v>
      </c>
      <c r="CI93" s="14">
        <f>[1]Sheet2!BM92</f>
        <v>0</v>
      </c>
      <c r="CJ93" s="14">
        <f>[1]Sheet2!BN92</f>
        <v>0</v>
      </c>
      <c r="CK93" s="14">
        <f>[1]Sheet2!BO92</f>
        <v>0</v>
      </c>
      <c r="CL93" s="14">
        <f>[1]Sheet2!BP92</f>
        <v>0</v>
      </c>
      <c r="CM93" s="14">
        <f>[1]Sheet2!BQ92</f>
        <v>0</v>
      </c>
      <c r="CN93" s="16">
        <f>Demand_SW!B$5/31</f>
        <v>138.46153846153845</v>
      </c>
      <c r="CO93" s="16">
        <f>Demand_SW!C$5/31</f>
        <v>29.776674937965261</v>
      </c>
      <c r="CP93" s="16">
        <f>Demand_SW!D$5/31</f>
        <v>0</v>
      </c>
      <c r="CQ93" s="16">
        <f>Demand_SW!E$5/31</f>
        <v>0</v>
      </c>
      <c r="CR93" s="16">
        <f>Demand_SW!F$5/31</f>
        <v>0</v>
      </c>
      <c r="CS93" s="16">
        <f>Demand_SW!G$5/31</f>
        <v>138.70967741935485</v>
      </c>
      <c r="CT93" s="16">
        <f>Demand_SW!H$5/31</f>
        <v>29.776674937965261</v>
      </c>
      <c r="CU93" s="16">
        <f>Demand_SW!I$5/31</f>
        <v>0</v>
      </c>
      <c r="CV93" s="16">
        <f>Demand_SW!J$5/31</f>
        <v>0</v>
      </c>
      <c r="CW93" s="16">
        <f>Demand_SW!K$5/31</f>
        <v>0</v>
      </c>
      <c r="CX93" s="16">
        <f t="shared" si="56"/>
        <v>-6270.7692307692269</v>
      </c>
      <c r="CY93" s="16">
        <f t="shared" si="57"/>
        <v>76.923076923077133</v>
      </c>
      <c r="CZ93" s="16">
        <f t="shared" si="58"/>
        <v>0</v>
      </c>
      <c r="DA93" s="16">
        <f t="shared" si="59"/>
        <v>0</v>
      </c>
      <c r="DB93" s="16">
        <f t="shared" si="60"/>
        <v>0</v>
      </c>
      <c r="DC93" s="16">
        <f t="shared" si="61"/>
        <v>-5799.9999999999955</v>
      </c>
      <c r="DD93" s="16">
        <f t="shared" si="62"/>
        <v>76.923076923077133</v>
      </c>
      <c r="DE93" s="16">
        <f t="shared" si="63"/>
        <v>0</v>
      </c>
      <c r="DF93" s="16">
        <f t="shared" si="64"/>
        <v>0</v>
      </c>
      <c r="DG93" s="16">
        <f t="shared" si="65"/>
        <v>0</v>
      </c>
      <c r="DH93" s="14">
        <f>IF([1]Sheet2!DS92=999999,"NA",[1]Sheet2!DS92)</f>
        <v>0</v>
      </c>
      <c r="DI93" s="14">
        <f>IF([1]Sheet2!DT92=999999,"NA",[1]Sheet2!DT92)</f>
        <v>275</v>
      </c>
      <c r="DJ93" s="14" t="str">
        <f>IF([1]Sheet2!DU92=999999,"NA",[1]Sheet2!DU92)</f>
        <v>NA</v>
      </c>
      <c r="DK93" s="14" t="str">
        <f>IF([1]Sheet2!DV92=999999,"NA",[1]Sheet2!DV92)</f>
        <v>NA</v>
      </c>
      <c r="DL93" s="14" t="str">
        <f>IF([1]Sheet2!DW92=999999,"NA",[1]Sheet2!DW92)</f>
        <v>NA</v>
      </c>
      <c r="DM93" s="14">
        <f>IF([1]Sheet2!DX92=999999,"NA",[1]Sheet2!DX92)</f>
        <v>0</v>
      </c>
      <c r="DN93" s="14">
        <f>IF([1]Sheet2!DY92=999999,"NA",[1]Sheet2!DY92)</f>
        <v>275</v>
      </c>
      <c r="DO93" s="14" t="str">
        <f>IF([1]Sheet2!DZ92=999999,"NA",[1]Sheet2!DZ92)</f>
        <v>NA</v>
      </c>
      <c r="DP93" s="14" t="str">
        <f>IF([1]Sheet2!EA92=999999,"NA",[1]Sheet2!EA92)</f>
        <v>NA</v>
      </c>
      <c r="DQ93" s="14" t="str">
        <f>IF([1]Sheet2!EB92=999999,"NA",[1]Sheet2!EB92)</f>
        <v>NA</v>
      </c>
      <c r="DR93" s="14">
        <f>[1]Sheet2!CY92</f>
        <v>0</v>
      </c>
      <c r="DS93" s="14">
        <f>[1]Sheet2!CZ92</f>
        <v>0</v>
      </c>
      <c r="DT93" s="14">
        <f>[1]Sheet2!DA92</f>
        <v>0</v>
      </c>
      <c r="DU93" s="14">
        <f>[1]Sheet2!DB92</f>
        <v>0</v>
      </c>
      <c r="DV93" s="14">
        <f>[1]Sheet2!DC92</f>
        <v>0</v>
      </c>
      <c r="DW93" s="14">
        <f>[1]Sheet2!DD92</f>
        <v>0</v>
      </c>
      <c r="DX93" s="14">
        <f>[1]Sheet2!DE92</f>
        <v>0</v>
      </c>
      <c r="DY93" s="14">
        <f>[1]Sheet2!DF92</f>
        <v>0</v>
      </c>
      <c r="DZ93" s="14">
        <f>[1]Sheet2!DG92</f>
        <v>0</v>
      </c>
      <c r="EA93" s="14">
        <f>[1]Sheet2!DH92</f>
        <v>0</v>
      </c>
      <c r="EB93" s="6">
        <f>[1]Sheet2!EC92</f>
        <v>0</v>
      </c>
      <c r="EC93" s="6">
        <f>[1]Sheet2!ED92</f>
        <v>0</v>
      </c>
      <c r="ED93" s="6">
        <f>[1]Sheet2!EE92</f>
        <v>0</v>
      </c>
      <c r="EE93" s="6">
        <f>[1]Sheet2!EF92</f>
        <v>0</v>
      </c>
      <c r="EF93" s="6">
        <f>[1]Sheet2!EG92</f>
        <v>0</v>
      </c>
      <c r="EG93" s="6">
        <f>[1]Sheet2!EH92</f>
        <v>0</v>
      </c>
      <c r="EH93" s="6">
        <f>[1]Sheet2!EI92</f>
        <v>0</v>
      </c>
      <c r="EI93" s="6">
        <f>[1]Sheet2!EJ92</f>
        <v>0</v>
      </c>
      <c r="EJ93" s="6">
        <f>[1]Sheet2!EK92</f>
        <v>0</v>
      </c>
      <c r="EK93" s="6">
        <f>[1]Sheet2!EL92</f>
        <v>0</v>
      </c>
      <c r="EL93" s="6" t="str">
        <f>[1]Sheet2!EM92</f>
        <v/>
      </c>
      <c r="EM93" s="6" t="str">
        <f>[1]Sheet2!EN92</f>
        <v/>
      </c>
      <c r="EN93" s="6" t="str">
        <f>[1]Sheet2!EO92</f>
        <v/>
      </c>
      <c r="EO93" s="6" t="str">
        <f>[1]Sheet2!EP92</f>
        <v/>
      </c>
      <c r="EP93" s="6" t="str">
        <f>[1]Sheet2!EQ92</f>
        <v/>
      </c>
      <c r="EQ93" s="6" t="str">
        <f>[1]Sheet2!ER92</f>
        <v/>
      </c>
      <c r="ER93" s="6" t="str">
        <f>[1]Sheet2!ES92</f>
        <v/>
      </c>
      <c r="ES93" s="6" t="str">
        <f>[1]Sheet2!ET92</f>
        <v/>
      </c>
      <c r="ET93" s="6" t="str">
        <f>[1]Sheet2!EU92</f>
        <v/>
      </c>
      <c r="EU93" s="6" t="str">
        <f>[1]Sheet2!EV92</f>
        <v/>
      </c>
      <c r="EV93" s="6" t="str">
        <f>[1]Sheet2!EW92</f>
        <v/>
      </c>
      <c r="EW93" s="6" t="str">
        <f>[1]Sheet2!EX92</f>
        <v/>
      </c>
      <c r="EX93" s="6" t="str">
        <f>[1]Sheet2!EY92</f>
        <v/>
      </c>
      <c r="EY93" s="6" t="str">
        <f>[1]Sheet2!EZ92</f>
        <v/>
      </c>
      <c r="EZ93" s="6" t="str">
        <f>[1]Sheet2!FA92</f>
        <v/>
      </c>
      <c r="FA93" s="6" t="str">
        <f>[1]Sheet2!FB92</f>
        <v/>
      </c>
      <c r="FB93" s="6" t="str">
        <f>[1]Sheet2!FC92</f>
        <v/>
      </c>
      <c r="FC93" s="6" t="str">
        <f>[1]Sheet2!FD92</f>
        <v/>
      </c>
      <c r="FD93" s="6" t="str">
        <f>[1]Sheet2!FE92</f>
        <v/>
      </c>
      <c r="FE93" s="6" t="str">
        <f>[1]Sheet2!FF92</f>
        <v/>
      </c>
      <c r="FF93" s="6" t="str">
        <f>[1]Sheet2!FG92</f>
        <v/>
      </c>
      <c r="FG93" s="6" t="str">
        <f>[1]Sheet2!FH92</f>
        <v/>
      </c>
      <c r="FH93" s="6" t="str">
        <f>[1]Sheet2!FI92</f>
        <v/>
      </c>
      <c r="FI93" s="6" t="str">
        <f>[1]Sheet2!FJ92</f>
        <v/>
      </c>
      <c r="FJ93" s="6" t="str">
        <f>[1]Sheet2!FK92</f>
        <v/>
      </c>
      <c r="FK93" s="6" t="str">
        <f>[1]Sheet2!FL92</f>
        <v/>
      </c>
      <c r="FL93" s="6" t="str">
        <f>[1]Sheet2!FM92</f>
        <v/>
      </c>
      <c r="FM93" s="6" t="str">
        <f>[1]Sheet2!FN92</f>
        <v/>
      </c>
      <c r="FN93" s="6" t="str">
        <f>[1]Sheet2!FO92</f>
        <v/>
      </c>
      <c r="FO93" s="6" t="str">
        <f>[1]Sheet2!FP92</f>
        <v/>
      </c>
    </row>
    <row r="94" spans="1:171" x14ac:dyDescent="0.25">
      <c r="A94" s="15">
        <v>43556</v>
      </c>
      <c r="B94" s="1"/>
      <c r="C94" s="1"/>
      <c r="D94" s="1"/>
      <c r="E94" s="14">
        <f>[1]Sheet2!N93</f>
        <v>0</v>
      </c>
      <c r="F94" s="14">
        <f>[1]Sheet2!BE93</f>
        <v>0</v>
      </c>
      <c r="G94" s="14">
        <f>[1]Sheet2!CW93</f>
        <v>0</v>
      </c>
      <c r="H94" s="1"/>
      <c r="I94" s="1"/>
      <c r="J94" s="1"/>
      <c r="K94" s="16"/>
      <c r="L94" s="16">
        <f>Demand_CWRS!B$6/30</f>
        <v>136.96097796474356</v>
      </c>
      <c r="M94" s="16">
        <f>Demand_CWRS!C$6/30</f>
        <v>544.43376068376062</v>
      </c>
      <c r="N94" s="16">
        <f>Demand_CWRS!D$6/30</f>
        <v>0</v>
      </c>
      <c r="O94" s="16">
        <f>Demand_CWRS!E$6/30</f>
        <v>108.97435897435896</v>
      </c>
      <c r="P94" s="16">
        <f>Demand_CWRS!F$6/30</f>
        <v>213.3621347489316</v>
      </c>
      <c r="Q94" s="16">
        <f>Demand_CWRS!G$6/30</f>
        <v>133.33333333333334</v>
      </c>
      <c r="R94" s="16">
        <f>Demand_CWRS!H$6/30</f>
        <v>213.3621347489316</v>
      </c>
      <c r="S94" s="16">
        <f>Demand_CWRS!I$6/30</f>
        <v>213.3621347489316</v>
      </c>
      <c r="T94" s="16">
        <f>Demand_CWRS!J$6/30</f>
        <v>213.3621347489316</v>
      </c>
      <c r="U94" s="16">
        <f>Demand_CWRS!K$6/30</f>
        <v>213.3621347489316</v>
      </c>
      <c r="V94" s="16">
        <f t="shared" si="36"/>
        <v>-10615.965279784361</v>
      </c>
      <c r="W94" s="16">
        <f t="shared" si="37"/>
        <v>-33726.556837606797</v>
      </c>
      <c r="X94" s="16">
        <f t="shared" si="38"/>
        <v>0</v>
      </c>
      <c r="Y94" s="16">
        <f t="shared" si="39"/>
        <v>-1588.379113924042</v>
      </c>
      <c r="Z94" s="16">
        <f t="shared" si="40"/>
        <v>-16322.879350953079</v>
      </c>
      <c r="AA94" s="16">
        <f t="shared" si="41"/>
        <v>-9395.3938250568044</v>
      </c>
      <c r="AB94" s="16">
        <f t="shared" si="42"/>
        <v>-20803.923020824899</v>
      </c>
      <c r="AC94" s="16">
        <f t="shared" si="43"/>
        <v>-15010.912764414621</v>
      </c>
      <c r="AD94" s="16">
        <f t="shared" si="44"/>
        <v>-15110.912764414614</v>
      </c>
      <c r="AE94" s="16">
        <f t="shared" si="45"/>
        <v>-15710.912764414617</v>
      </c>
      <c r="AF94" s="14">
        <f>IF([1]Sheet2!AJ93=999999,"NA",[1]Sheet2!AJ93)</f>
        <v>0</v>
      </c>
      <c r="AG94" s="14">
        <f>IF([1]Sheet2!AK93=999999,"NA",[1]Sheet2!AK93)</f>
        <v>0</v>
      </c>
      <c r="AH94" s="14" t="str">
        <f>IF([1]Sheet2!AL93=999999,"NA",[1]Sheet2!AL93)</f>
        <v>NA</v>
      </c>
      <c r="AI94" s="14">
        <f>IF([1]Sheet2!AM93=999999,"NA",[1]Sheet2!AM93)</f>
        <v>0</v>
      </c>
      <c r="AJ94" s="14">
        <f>IF([1]Sheet2!AN93=999999,"NA",[1]Sheet2!AN93)</f>
        <v>0</v>
      </c>
      <c r="AK94" s="14">
        <f>IF([1]Sheet2!AO93=999999,"NA",[1]Sheet2!AO93)</f>
        <v>0</v>
      </c>
      <c r="AL94" s="14">
        <f>IF([1]Sheet2!AP93=999999,"NA",[1]Sheet2!AP93)</f>
        <v>0</v>
      </c>
      <c r="AM94" s="14">
        <f>IF([1]Sheet2!AQ93=999999,"NA",[1]Sheet2!AQ93)</f>
        <v>0</v>
      </c>
      <c r="AN94" s="14">
        <f>IF([1]Sheet2!AR93=999999,"NA",[1]Sheet2!AR93)</f>
        <v>0</v>
      </c>
      <c r="AO94" s="14">
        <f>IF([1]Sheet2!AS93=999999,"NA",[1]Sheet2!AS93)</f>
        <v>0</v>
      </c>
      <c r="AP94" s="14">
        <f>[1]Sheet2!P93</f>
        <v>0</v>
      </c>
      <c r="AQ94" s="14">
        <f>[1]Sheet2!Q93</f>
        <v>0</v>
      </c>
      <c r="AR94" s="14">
        <f>[1]Sheet2!R93</f>
        <v>0</v>
      </c>
      <c r="AS94" s="14">
        <f>[1]Sheet2!S93</f>
        <v>0</v>
      </c>
      <c r="AT94" s="14">
        <f>[1]Sheet2!T93</f>
        <v>0</v>
      </c>
      <c r="AU94" s="14">
        <f>[1]Sheet2!U93</f>
        <v>0</v>
      </c>
      <c r="AV94" s="14">
        <f>[1]Sheet2!V93</f>
        <v>0</v>
      </c>
      <c r="AW94" s="14">
        <f>[1]Sheet2!W93</f>
        <v>0</v>
      </c>
      <c r="AX94" s="14">
        <f>[1]Sheet2!X93</f>
        <v>0</v>
      </c>
      <c r="AY94" s="14">
        <f>[1]Sheet2!Y93</f>
        <v>0</v>
      </c>
      <c r="AZ94" s="16">
        <f>Demand_LP!B$6/30</f>
        <v>790.61612406517088</v>
      </c>
      <c r="BA94" s="16">
        <f>Demand_LP!C$6/30</f>
        <v>816.46367521367517</v>
      </c>
      <c r="BB94" s="16">
        <f>Demand_LP!D$6/30</f>
        <v>346.63461538461536</v>
      </c>
      <c r="BC94" s="16">
        <f>Demand_LP!E$6/30</f>
        <v>795.48076923076928</v>
      </c>
      <c r="BD94" s="16">
        <f>Demand_LP!F$6/30</f>
        <v>472.52230168269227</v>
      </c>
      <c r="BE94" s="16">
        <f>Demand_LP!G$6/30</f>
        <v>472.52230168269227</v>
      </c>
      <c r="BF94" s="16">
        <f>Demand_LP!H$6/30</f>
        <v>816.46367521367517</v>
      </c>
      <c r="BG94" s="16">
        <f>Demand_LP!I$6/30</f>
        <v>472.52230168269227</v>
      </c>
      <c r="BH94" s="16">
        <f>Demand_LP!J$6/30</f>
        <v>472.52230168269227</v>
      </c>
      <c r="BI94" s="16">
        <f>Demand_LP!K$6/30</f>
        <v>472.52230168269227</v>
      </c>
      <c r="BJ94" s="16">
        <f t="shared" si="46"/>
        <v>-52492.640852998615</v>
      </c>
      <c r="BK94" s="16">
        <f t="shared" si="47"/>
        <v>-46433.007264957218</v>
      </c>
      <c r="BL94" s="16">
        <f t="shared" si="48"/>
        <v>-15120.600000000008</v>
      </c>
      <c r="BM94" s="16">
        <f t="shared" si="49"/>
        <v>-57602.02818889972</v>
      </c>
      <c r="BN94" s="16">
        <f t="shared" si="50"/>
        <v>-33914.838383311988</v>
      </c>
      <c r="BO94" s="16">
        <f t="shared" si="51"/>
        <v>-32372.5223016827</v>
      </c>
      <c r="BP94" s="16">
        <f t="shared" si="52"/>
        <v>-40790.586752136755</v>
      </c>
      <c r="BQ94" s="16">
        <f t="shared" si="53"/>
        <v>-32372.5223016827</v>
      </c>
      <c r="BR94" s="16">
        <f t="shared" si="54"/>
        <v>-29972.5223016827</v>
      </c>
      <c r="BS94" s="16">
        <f t="shared" si="55"/>
        <v>-30672.522301682693</v>
      </c>
      <c r="BT94" s="14">
        <f>IF([1]Sheet2!CB93=999999,"NA",[1]Sheet2!CB93)</f>
        <v>0</v>
      </c>
      <c r="BU94" s="14">
        <f>IF([1]Sheet2!CC93=999999,"NA",[1]Sheet2!CC93)</f>
        <v>0</v>
      </c>
      <c r="BV94" s="14">
        <f>IF([1]Sheet2!CD93=999999,"NA",[1]Sheet2!CD93)</f>
        <v>0</v>
      </c>
      <c r="BW94" s="14">
        <f>IF([1]Sheet2!CE93=999999,"NA",[1]Sheet2!CE93)</f>
        <v>0</v>
      </c>
      <c r="BX94" s="14">
        <f>IF([1]Sheet2!CF93=999999,"NA",[1]Sheet2!CF93)</f>
        <v>0</v>
      </c>
      <c r="BY94" s="14">
        <f>IF([1]Sheet2!CG93=999999,"NA",[1]Sheet2!CG93)</f>
        <v>0</v>
      </c>
      <c r="BZ94" s="14">
        <f>IF([1]Sheet2!CH93=999999,"NA",[1]Sheet2!CH93)</f>
        <v>0</v>
      </c>
      <c r="CA94" s="14">
        <f>IF([1]Sheet2!CI93=999999,"NA",[1]Sheet2!CI93)</f>
        <v>0</v>
      </c>
      <c r="CB94" s="14">
        <f>IF([1]Sheet2!CJ93=999999,"NA",[1]Sheet2!CJ93)</f>
        <v>0</v>
      </c>
      <c r="CC94" s="14">
        <f>IF([1]Sheet2!CK93=999999,"NA",[1]Sheet2!CK93)</f>
        <v>0</v>
      </c>
      <c r="CD94" s="14">
        <f>[1]Sheet2!BH93</f>
        <v>0</v>
      </c>
      <c r="CE94" s="14">
        <f>[1]Sheet2!BI93</f>
        <v>0</v>
      </c>
      <c r="CF94" s="14">
        <f>[1]Sheet2!BJ93</f>
        <v>0</v>
      </c>
      <c r="CG94" s="14">
        <f>[1]Sheet2!BK93</f>
        <v>0</v>
      </c>
      <c r="CH94" s="14">
        <f>[1]Sheet2!BL93</f>
        <v>0</v>
      </c>
      <c r="CI94" s="14">
        <f>[1]Sheet2!BM93</f>
        <v>0</v>
      </c>
      <c r="CJ94" s="14">
        <f>[1]Sheet2!BN93</f>
        <v>0</v>
      </c>
      <c r="CK94" s="14">
        <f>[1]Sheet2!BO93</f>
        <v>0</v>
      </c>
      <c r="CL94" s="14">
        <f>[1]Sheet2!BP93</f>
        <v>0</v>
      </c>
      <c r="CM94" s="14">
        <f>[1]Sheet2!BQ93</f>
        <v>0</v>
      </c>
      <c r="CN94" s="16">
        <f>Demand_SW!B$6/30</f>
        <v>173.07692307692304</v>
      </c>
      <c r="CO94" s="16">
        <f>Demand_SW!C$6/30</f>
        <v>0</v>
      </c>
      <c r="CP94" s="16">
        <f>Demand_SW!D$6/30</f>
        <v>0</v>
      </c>
      <c r="CQ94" s="16">
        <f>Demand_SW!E$6/30</f>
        <v>0</v>
      </c>
      <c r="CR94" s="16">
        <f>Demand_SW!F$6/30</f>
        <v>0</v>
      </c>
      <c r="CS94" s="16">
        <f>Demand_SW!G$6/30</f>
        <v>173.07692307692304</v>
      </c>
      <c r="CT94" s="16">
        <f>Demand_SW!H$6/30</f>
        <v>0</v>
      </c>
      <c r="CU94" s="16">
        <f>Demand_SW!I$6/30</f>
        <v>0</v>
      </c>
      <c r="CV94" s="16">
        <f>Demand_SW!J$6/30</f>
        <v>0</v>
      </c>
      <c r="CW94" s="16">
        <f>Demand_SW!K$6/30</f>
        <v>0</v>
      </c>
      <c r="CX94" s="16">
        <f t="shared" si="56"/>
        <v>-6443.8461538461497</v>
      </c>
      <c r="CY94" s="16">
        <f t="shared" si="57"/>
        <v>76.923076923077133</v>
      </c>
      <c r="CZ94" s="16">
        <f t="shared" si="58"/>
        <v>0</v>
      </c>
      <c r="DA94" s="16">
        <f t="shared" si="59"/>
        <v>0</v>
      </c>
      <c r="DB94" s="16">
        <f t="shared" si="60"/>
        <v>0</v>
      </c>
      <c r="DC94" s="16">
        <f t="shared" si="61"/>
        <v>-5973.0769230769183</v>
      </c>
      <c r="DD94" s="16">
        <f t="shared" si="62"/>
        <v>76.923076923077133</v>
      </c>
      <c r="DE94" s="16">
        <f t="shared" si="63"/>
        <v>0</v>
      </c>
      <c r="DF94" s="16">
        <f t="shared" si="64"/>
        <v>0</v>
      </c>
      <c r="DG94" s="16">
        <f t="shared" si="65"/>
        <v>0</v>
      </c>
      <c r="DH94" s="14">
        <f>IF([1]Sheet2!DS93=999999,"NA",[1]Sheet2!DS93)</f>
        <v>0</v>
      </c>
      <c r="DI94" s="14">
        <f>IF([1]Sheet2!DT93=999999,"NA",[1]Sheet2!DT93)</f>
        <v>274</v>
      </c>
      <c r="DJ94" s="14" t="str">
        <f>IF([1]Sheet2!DU93=999999,"NA",[1]Sheet2!DU93)</f>
        <v>NA</v>
      </c>
      <c r="DK94" s="14" t="str">
        <f>IF([1]Sheet2!DV93=999999,"NA",[1]Sheet2!DV93)</f>
        <v>NA</v>
      </c>
      <c r="DL94" s="14" t="str">
        <f>IF([1]Sheet2!DW93=999999,"NA",[1]Sheet2!DW93)</f>
        <v>NA</v>
      </c>
      <c r="DM94" s="14">
        <f>IF([1]Sheet2!DX93=999999,"NA",[1]Sheet2!DX93)</f>
        <v>0</v>
      </c>
      <c r="DN94" s="14">
        <f>IF([1]Sheet2!DY93=999999,"NA",[1]Sheet2!DY93)</f>
        <v>274</v>
      </c>
      <c r="DO94" s="14" t="str">
        <f>IF([1]Sheet2!DZ93=999999,"NA",[1]Sheet2!DZ93)</f>
        <v>NA</v>
      </c>
      <c r="DP94" s="14" t="str">
        <f>IF([1]Sheet2!EA93=999999,"NA",[1]Sheet2!EA93)</f>
        <v>NA</v>
      </c>
      <c r="DQ94" s="14" t="str">
        <f>IF([1]Sheet2!EB93=999999,"NA",[1]Sheet2!EB93)</f>
        <v>NA</v>
      </c>
      <c r="DR94" s="14">
        <f>[1]Sheet2!CY93</f>
        <v>0</v>
      </c>
      <c r="DS94" s="14">
        <f>[1]Sheet2!CZ93</f>
        <v>0</v>
      </c>
      <c r="DT94" s="14">
        <f>[1]Sheet2!DA93</f>
        <v>0</v>
      </c>
      <c r="DU94" s="14">
        <f>[1]Sheet2!DB93</f>
        <v>0</v>
      </c>
      <c r="DV94" s="14">
        <f>[1]Sheet2!DC93</f>
        <v>0</v>
      </c>
      <c r="DW94" s="14">
        <f>[1]Sheet2!DD93</f>
        <v>0</v>
      </c>
      <c r="DX94" s="14">
        <f>[1]Sheet2!DE93</f>
        <v>0</v>
      </c>
      <c r="DY94" s="14">
        <f>[1]Sheet2!DF93</f>
        <v>0</v>
      </c>
      <c r="DZ94" s="14">
        <f>[1]Sheet2!DG93</f>
        <v>0</v>
      </c>
      <c r="EA94" s="14">
        <f>[1]Sheet2!DH93</f>
        <v>0</v>
      </c>
      <c r="EB94" s="6">
        <f>[1]Sheet2!EC93</f>
        <v>0</v>
      </c>
      <c r="EC94" s="6">
        <f>[1]Sheet2!ED93</f>
        <v>0</v>
      </c>
      <c r="ED94" s="6">
        <f>[1]Sheet2!EE93</f>
        <v>0</v>
      </c>
      <c r="EE94" s="6">
        <f>[1]Sheet2!EF93</f>
        <v>0</v>
      </c>
      <c r="EF94" s="6">
        <f>[1]Sheet2!EG93</f>
        <v>0</v>
      </c>
      <c r="EG94" s="6">
        <f>[1]Sheet2!EH93</f>
        <v>0</v>
      </c>
      <c r="EH94" s="6">
        <f>[1]Sheet2!EI93</f>
        <v>0</v>
      </c>
      <c r="EI94" s="6">
        <f>[1]Sheet2!EJ93</f>
        <v>0</v>
      </c>
      <c r="EJ94" s="6">
        <f>[1]Sheet2!EK93</f>
        <v>0</v>
      </c>
      <c r="EK94" s="6">
        <f>[1]Sheet2!EL93</f>
        <v>0</v>
      </c>
      <c r="EL94" s="6" t="str">
        <f>[1]Sheet2!EM93</f>
        <v/>
      </c>
      <c r="EM94" s="6" t="str">
        <f>[1]Sheet2!EN93</f>
        <v/>
      </c>
      <c r="EN94" s="6" t="str">
        <f>[1]Sheet2!EO93</f>
        <v/>
      </c>
      <c r="EO94" s="6" t="str">
        <f>[1]Sheet2!EP93</f>
        <v/>
      </c>
      <c r="EP94" s="6" t="str">
        <f>[1]Sheet2!EQ93</f>
        <v/>
      </c>
      <c r="EQ94" s="6" t="str">
        <f>[1]Sheet2!ER93</f>
        <v/>
      </c>
      <c r="ER94" s="6" t="str">
        <f>[1]Sheet2!ES93</f>
        <v/>
      </c>
      <c r="ES94" s="6" t="str">
        <f>[1]Sheet2!ET93</f>
        <v/>
      </c>
      <c r="ET94" s="6" t="str">
        <f>[1]Sheet2!EU93</f>
        <v/>
      </c>
      <c r="EU94" s="6" t="str">
        <f>[1]Sheet2!EV93</f>
        <v/>
      </c>
      <c r="EV94" s="6" t="str">
        <f>[1]Sheet2!EW93</f>
        <v/>
      </c>
      <c r="EW94" s="6" t="str">
        <f>[1]Sheet2!EX93</f>
        <v/>
      </c>
      <c r="EX94" s="6" t="str">
        <f>[1]Sheet2!EY93</f>
        <v/>
      </c>
      <c r="EY94" s="6" t="str">
        <f>[1]Sheet2!EZ93</f>
        <v/>
      </c>
      <c r="EZ94" s="6" t="str">
        <f>[1]Sheet2!FA93</f>
        <v/>
      </c>
      <c r="FA94" s="6" t="str">
        <f>[1]Sheet2!FB93</f>
        <v/>
      </c>
      <c r="FB94" s="6" t="str">
        <f>[1]Sheet2!FC93</f>
        <v/>
      </c>
      <c r="FC94" s="6" t="str">
        <f>[1]Sheet2!FD93</f>
        <v/>
      </c>
      <c r="FD94" s="6" t="str">
        <f>[1]Sheet2!FE93</f>
        <v/>
      </c>
      <c r="FE94" s="6" t="str">
        <f>[1]Sheet2!FF93</f>
        <v/>
      </c>
      <c r="FF94" s="6" t="str">
        <f>[1]Sheet2!FG93</f>
        <v/>
      </c>
      <c r="FG94" s="6" t="str">
        <f>[1]Sheet2!FH93</f>
        <v/>
      </c>
      <c r="FH94" s="6" t="str">
        <f>[1]Sheet2!FI93</f>
        <v/>
      </c>
      <c r="FI94" s="6" t="str">
        <f>[1]Sheet2!FJ93</f>
        <v/>
      </c>
      <c r="FJ94" s="6" t="str">
        <f>[1]Sheet2!FK93</f>
        <v/>
      </c>
      <c r="FK94" s="6" t="str">
        <f>[1]Sheet2!FL93</f>
        <v/>
      </c>
      <c r="FL94" s="6" t="str">
        <f>[1]Sheet2!FM93</f>
        <v/>
      </c>
      <c r="FM94" s="6" t="str">
        <f>[1]Sheet2!FN93</f>
        <v/>
      </c>
      <c r="FN94" s="6" t="str">
        <f>[1]Sheet2!FO93</f>
        <v/>
      </c>
      <c r="FO94" s="6" t="str">
        <f>[1]Sheet2!FP93</f>
        <v/>
      </c>
    </row>
    <row r="95" spans="1:171" x14ac:dyDescent="0.25">
      <c r="A95" s="15">
        <v>43557</v>
      </c>
      <c r="B95" s="1"/>
      <c r="C95" s="1"/>
      <c r="D95" s="1"/>
      <c r="E95" s="14">
        <f>[1]Sheet2!N94</f>
        <v>48000</v>
      </c>
      <c r="F95" s="14">
        <f>[1]Sheet2!BE94</f>
        <v>0</v>
      </c>
      <c r="G95" s="14">
        <f>[1]Sheet2!CW94</f>
        <v>0</v>
      </c>
      <c r="H95" s="1"/>
      <c r="I95" s="1"/>
      <c r="J95" s="1"/>
      <c r="K95" s="16"/>
      <c r="L95" s="16">
        <f>Demand_CWRS!B$6/30</f>
        <v>136.96097796474356</v>
      </c>
      <c r="M95" s="16">
        <f>Demand_CWRS!C$6/30</f>
        <v>544.43376068376062</v>
      </c>
      <c r="N95" s="16">
        <f>Demand_CWRS!D$6/30</f>
        <v>0</v>
      </c>
      <c r="O95" s="16">
        <f>Demand_CWRS!E$6/30</f>
        <v>108.97435897435896</v>
      </c>
      <c r="P95" s="16">
        <f>Demand_CWRS!F$6/30</f>
        <v>213.3621347489316</v>
      </c>
      <c r="Q95" s="16">
        <f>Demand_CWRS!G$6/30</f>
        <v>133.33333333333334</v>
      </c>
      <c r="R95" s="16">
        <f>Demand_CWRS!H$6/30</f>
        <v>213.3621347489316</v>
      </c>
      <c r="S95" s="16">
        <f>Demand_CWRS!I$6/30</f>
        <v>213.3621347489316</v>
      </c>
      <c r="T95" s="16">
        <f>Demand_CWRS!J$6/30</f>
        <v>213.3621347489316</v>
      </c>
      <c r="U95" s="16">
        <f>Demand_CWRS!K$6/30</f>
        <v>213.3621347489316</v>
      </c>
      <c r="V95" s="16">
        <f t="shared" si="36"/>
        <v>-10752.926257749104</v>
      </c>
      <c r="W95" s="16">
        <f t="shared" si="37"/>
        <v>-34270.990598290555</v>
      </c>
      <c r="X95" s="16">
        <f t="shared" si="38"/>
        <v>0</v>
      </c>
      <c r="Y95" s="16">
        <f t="shared" si="39"/>
        <v>-1697.3534728984009</v>
      </c>
      <c r="Z95" s="16">
        <f t="shared" si="40"/>
        <v>-16536.241485702012</v>
      </c>
      <c r="AA95" s="16">
        <f t="shared" si="41"/>
        <v>-9528.7271583901384</v>
      </c>
      <c r="AB95" s="16">
        <f t="shared" si="42"/>
        <v>-21017.285155573831</v>
      </c>
      <c r="AC95" s="16">
        <f t="shared" si="43"/>
        <v>-15224.274899163553</v>
      </c>
      <c r="AD95" s="16">
        <f t="shared" si="44"/>
        <v>-15324.274899163545</v>
      </c>
      <c r="AE95" s="16">
        <f t="shared" si="45"/>
        <v>-15924.274899163549</v>
      </c>
      <c r="AF95" s="14">
        <f>IF([1]Sheet2!AJ94=999999,"NA",[1]Sheet2!AJ94)</f>
        <v>0</v>
      </c>
      <c r="AG95" s="14">
        <f>IF([1]Sheet2!AK94=999999,"NA",[1]Sheet2!AK94)</f>
        <v>0</v>
      </c>
      <c r="AH95" s="14" t="str">
        <f>IF([1]Sheet2!AL94=999999,"NA",[1]Sheet2!AL94)</f>
        <v>NA</v>
      </c>
      <c r="AI95" s="14">
        <f>IF([1]Sheet2!AM94=999999,"NA",[1]Sheet2!AM94)</f>
        <v>0</v>
      </c>
      <c r="AJ95" s="14">
        <f>IF([1]Sheet2!AN94=999999,"NA",[1]Sheet2!AN94)</f>
        <v>0</v>
      </c>
      <c r="AK95" s="14">
        <f>IF([1]Sheet2!AO94=999999,"NA",[1]Sheet2!AO94)</f>
        <v>0</v>
      </c>
      <c r="AL95" s="14">
        <f>IF([1]Sheet2!AP94=999999,"NA",[1]Sheet2!AP94)</f>
        <v>0</v>
      </c>
      <c r="AM95" s="14">
        <f>IF([1]Sheet2!AQ94=999999,"NA",[1]Sheet2!AQ94)</f>
        <v>0</v>
      </c>
      <c r="AN95" s="14">
        <f>IF([1]Sheet2!AR94=999999,"NA",[1]Sheet2!AR94)</f>
        <v>0</v>
      </c>
      <c r="AO95" s="14">
        <f>IF([1]Sheet2!AS94=999999,"NA",[1]Sheet2!AS94)</f>
        <v>0</v>
      </c>
      <c r="AP95" s="14">
        <f>[1]Sheet2!P94</f>
        <v>0</v>
      </c>
      <c r="AQ95" s="14">
        <f>[1]Sheet2!Q94</f>
        <v>0</v>
      </c>
      <c r="AR95" s="14">
        <f>[1]Sheet2!R94</f>
        <v>0</v>
      </c>
      <c r="AS95" s="14">
        <f>[1]Sheet2!S94</f>
        <v>0</v>
      </c>
      <c r="AT95" s="14">
        <f>[1]Sheet2!T94</f>
        <v>0</v>
      </c>
      <c r="AU95" s="14">
        <f>[1]Sheet2!U94</f>
        <v>0</v>
      </c>
      <c r="AV95" s="14">
        <f>[1]Sheet2!V94</f>
        <v>0</v>
      </c>
      <c r="AW95" s="14">
        <f>[1]Sheet2!W94</f>
        <v>0</v>
      </c>
      <c r="AX95" s="14">
        <f>[1]Sheet2!X94</f>
        <v>0</v>
      </c>
      <c r="AY95" s="14">
        <f>[1]Sheet2!Y94</f>
        <v>0</v>
      </c>
      <c r="AZ95" s="16">
        <f>Demand_LP!B$6/30</f>
        <v>790.61612406517088</v>
      </c>
      <c r="BA95" s="16">
        <f>Demand_LP!C$6/30</f>
        <v>816.46367521367517</v>
      </c>
      <c r="BB95" s="16">
        <f>Demand_LP!D$6/30</f>
        <v>346.63461538461536</v>
      </c>
      <c r="BC95" s="16">
        <f>Demand_LP!E$6/30</f>
        <v>795.48076923076928</v>
      </c>
      <c r="BD95" s="16">
        <f>Demand_LP!F$6/30</f>
        <v>472.52230168269227</v>
      </c>
      <c r="BE95" s="16">
        <f>Demand_LP!G$6/30</f>
        <v>472.52230168269227</v>
      </c>
      <c r="BF95" s="16">
        <f>Demand_LP!H$6/30</f>
        <v>816.46367521367517</v>
      </c>
      <c r="BG95" s="16">
        <f>Demand_LP!I$6/30</f>
        <v>472.52230168269227</v>
      </c>
      <c r="BH95" s="16">
        <f>Demand_LP!J$6/30</f>
        <v>472.52230168269227</v>
      </c>
      <c r="BI95" s="16">
        <f>Demand_LP!K$6/30</f>
        <v>472.52230168269227</v>
      </c>
      <c r="BJ95" s="16">
        <f t="shared" si="46"/>
        <v>-53283.256977063786</v>
      </c>
      <c r="BK95" s="16">
        <f t="shared" si="47"/>
        <v>-47249.47094017089</v>
      </c>
      <c r="BL95" s="16">
        <f t="shared" si="48"/>
        <v>-15467.234615384623</v>
      </c>
      <c r="BM95" s="16">
        <f t="shared" si="49"/>
        <v>-58397.508958130486</v>
      </c>
      <c r="BN95" s="16">
        <f t="shared" si="50"/>
        <v>-34387.360684994681</v>
      </c>
      <c r="BO95" s="16">
        <f t="shared" si="51"/>
        <v>-32845.044603365393</v>
      </c>
      <c r="BP95" s="16">
        <f t="shared" si="52"/>
        <v>-41607.050427350427</v>
      </c>
      <c r="BQ95" s="16">
        <f t="shared" si="53"/>
        <v>-32845.044603365393</v>
      </c>
      <c r="BR95" s="16">
        <f t="shared" si="54"/>
        <v>-30445.044603365393</v>
      </c>
      <c r="BS95" s="16">
        <f t="shared" si="55"/>
        <v>-31145.044603365386</v>
      </c>
      <c r="BT95" s="14">
        <f>IF([1]Sheet2!CB94=999999,"NA",[1]Sheet2!CB94)</f>
        <v>0</v>
      </c>
      <c r="BU95" s="14">
        <f>IF([1]Sheet2!CC94=999999,"NA",[1]Sheet2!CC94)</f>
        <v>0</v>
      </c>
      <c r="BV95" s="14">
        <f>IF([1]Sheet2!CD94=999999,"NA",[1]Sheet2!CD94)</f>
        <v>0</v>
      </c>
      <c r="BW95" s="14">
        <f>IF([1]Sheet2!CE94=999999,"NA",[1]Sheet2!CE94)</f>
        <v>0</v>
      </c>
      <c r="BX95" s="14">
        <f>IF([1]Sheet2!CF94=999999,"NA",[1]Sheet2!CF94)</f>
        <v>0</v>
      </c>
      <c r="BY95" s="14">
        <f>IF([1]Sheet2!CG94=999999,"NA",[1]Sheet2!CG94)</f>
        <v>0</v>
      </c>
      <c r="BZ95" s="14">
        <f>IF([1]Sheet2!CH94=999999,"NA",[1]Sheet2!CH94)</f>
        <v>0</v>
      </c>
      <c r="CA95" s="14">
        <f>IF([1]Sheet2!CI94=999999,"NA",[1]Sheet2!CI94)</f>
        <v>0</v>
      </c>
      <c r="CB95" s="14">
        <f>IF([1]Sheet2!CJ94=999999,"NA",[1]Sheet2!CJ94)</f>
        <v>0</v>
      </c>
      <c r="CC95" s="14">
        <f>IF([1]Sheet2!CK94=999999,"NA",[1]Sheet2!CK94)</f>
        <v>0</v>
      </c>
      <c r="CD95" s="14">
        <f>[1]Sheet2!BH94</f>
        <v>0</v>
      </c>
      <c r="CE95" s="14">
        <f>[1]Sheet2!BI94</f>
        <v>0</v>
      </c>
      <c r="CF95" s="14">
        <f>[1]Sheet2!BJ94</f>
        <v>0</v>
      </c>
      <c r="CG95" s="14">
        <f>[1]Sheet2!BK94</f>
        <v>0</v>
      </c>
      <c r="CH95" s="14">
        <f>[1]Sheet2!BL94</f>
        <v>0</v>
      </c>
      <c r="CI95" s="14">
        <f>[1]Sheet2!BM94</f>
        <v>0</v>
      </c>
      <c r="CJ95" s="14">
        <f>[1]Sheet2!BN94</f>
        <v>0</v>
      </c>
      <c r="CK95" s="14">
        <f>[1]Sheet2!BO94</f>
        <v>0</v>
      </c>
      <c r="CL95" s="14">
        <f>[1]Sheet2!BP94</f>
        <v>0</v>
      </c>
      <c r="CM95" s="14">
        <f>[1]Sheet2!BQ94</f>
        <v>0</v>
      </c>
      <c r="CN95" s="16">
        <f>Demand_SW!B$6/30</f>
        <v>173.07692307692304</v>
      </c>
      <c r="CO95" s="16">
        <f>Demand_SW!C$6/30</f>
        <v>0</v>
      </c>
      <c r="CP95" s="16">
        <f>Demand_SW!D$6/30</f>
        <v>0</v>
      </c>
      <c r="CQ95" s="16">
        <f>Demand_SW!E$6/30</f>
        <v>0</v>
      </c>
      <c r="CR95" s="16">
        <f>Demand_SW!F$6/30</f>
        <v>0</v>
      </c>
      <c r="CS95" s="16">
        <f>Demand_SW!G$6/30</f>
        <v>173.07692307692304</v>
      </c>
      <c r="CT95" s="16">
        <f>Demand_SW!H$6/30</f>
        <v>0</v>
      </c>
      <c r="CU95" s="16">
        <f>Demand_SW!I$6/30</f>
        <v>0</v>
      </c>
      <c r="CV95" s="16">
        <f>Demand_SW!J$6/30</f>
        <v>0</v>
      </c>
      <c r="CW95" s="16">
        <f>Demand_SW!K$6/30</f>
        <v>0</v>
      </c>
      <c r="CX95" s="16">
        <f t="shared" si="56"/>
        <v>-6616.9230769230726</v>
      </c>
      <c r="CY95" s="16">
        <f t="shared" si="57"/>
        <v>76.923076923077133</v>
      </c>
      <c r="CZ95" s="16">
        <f t="shared" si="58"/>
        <v>0</v>
      </c>
      <c r="DA95" s="16">
        <f t="shared" si="59"/>
        <v>0</v>
      </c>
      <c r="DB95" s="16">
        <f t="shared" si="60"/>
        <v>0</v>
      </c>
      <c r="DC95" s="16">
        <f t="shared" si="61"/>
        <v>-6146.1538461538412</v>
      </c>
      <c r="DD95" s="16">
        <f t="shared" si="62"/>
        <v>76.923076923077133</v>
      </c>
      <c r="DE95" s="16">
        <f t="shared" si="63"/>
        <v>0</v>
      </c>
      <c r="DF95" s="16">
        <f t="shared" si="64"/>
        <v>0</v>
      </c>
      <c r="DG95" s="16">
        <f t="shared" si="65"/>
        <v>0</v>
      </c>
      <c r="DH95" s="14">
        <f>IF([1]Sheet2!DS94=999999,"NA",[1]Sheet2!DS94)</f>
        <v>0</v>
      </c>
      <c r="DI95" s="14">
        <f>IF([1]Sheet2!DT94=999999,"NA",[1]Sheet2!DT94)</f>
        <v>273</v>
      </c>
      <c r="DJ95" s="14" t="str">
        <f>IF([1]Sheet2!DU94=999999,"NA",[1]Sheet2!DU94)</f>
        <v>NA</v>
      </c>
      <c r="DK95" s="14" t="str">
        <f>IF([1]Sheet2!DV94=999999,"NA",[1]Sheet2!DV94)</f>
        <v>NA</v>
      </c>
      <c r="DL95" s="14" t="str">
        <f>IF([1]Sheet2!DW94=999999,"NA",[1]Sheet2!DW94)</f>
        <v>NA</v>
      </c>
      <c r="DM95" s="14">
        <f>IF([1]Sheet2!DX94=999999,"NA",[1]Sheet2!DX94)</f>
        <v>0</v>
      </c>
      <c r="DN95" s="14">
        <f>IF([1]Sheet2!DY94=999999,"NA",[1]Sheet2!DY94)</f>
        <v>273</v>
      </c>
      <c r="DO95" s="14" t="str">
        <f>IF([1]Sheet2!DZ94=999999,"NA",[1]Sheet2!DZ94)</f>
        <v>NA</v>
      </c>
      <c r="DP95" s="14" t="str">
        <f>IF([1]Sheet2!EA94=999999,"NA",[1]Sheet2!EA94)</f>
        <v>NA</v>
      </c>
      <c r="DQ95" s="14" t="str">
        <f>IF([1]Sheet2!EB94=999999,"NA",[1]Sheet2!EB94)</f>
        <v>NA</v>
      </c>
      <c r="DR95" s="14">
        <f>[1]Sheet2!CY94</f>
        <v>0</v>
      </c>
      <c r="DS95" s="14">
        <f>[1]Sheet2!CZ94</f>
        <v>0</v>
      </c>
      <c r="DT95" s="14">
        <f>[1]Sheet2!DA94</f>
        <v>0</v>
      </c>
      <c r="DU95" s="14">
        <f>[1]Sheet2!DB94</f>
        <v>0</v>
      </c>
      <c r="DV95" s="14">
        <f>[1]Sheet2!DC94</f>
        <v>0</v>
      </c>
      <c r="DW95" s="14">
        <f>[1]Sheet2!DD94</f>
        <v>0</v>
      </c>
      <c r="DX95" s="14">
        <f>[1]Sheet2!DE94</f>
        <v>0</v>
      </c>
      <c r="DY95" s="14">
        <f>[1]Sheet2!DF94</f>
        <v>0</v>
      </c>
      <c r="DZ95" s="14">
        <f>[1]Sheet2!DG94</f>
        <v>0</v>
      </c>
      <c r="EA95" s="14">
        <f>[1]Sheet2!DH94</f>
        <v>0</v>
      </c>
      <c r="EB95" s="6">
        <f>[1]Sheet2!EC94</f>
        <v>0</v>
      </c>
      <c r="EC95" s="6">
        <f>[1]Sheet2!ED94</f>
        <v>0</v>
      </c>
      <c r="ED95" s="6">
        <f>[1]Sheet2!EE94</f>
        <v>0</v>
      </c>
      <c r="EE95" s="6">
        <f>[1]Sheet2!EF94</f>
        <v>0</v>
      </c>
      <c r="EF95" s="6">
        <f>[1]Sheet2!EG94</f>
        <v>0</v>
      </c>
      <c r="EG95" s="6">
        <f>[1]Sheet2!EH94</f>
        <v>0</v>
      </c>
      <c r="EH95" s="6">
        <f>[1]Sheet2!EI94</f>
        <v>0</v>
      </c>
      <c r="EI95" s="6">
        <f>[1]Sheet2!EJ94</f>
        <v>0</v>
      </c>
      <c r="EJ95" s="6">
        <f>[1]Sheet2!EK94</f>
        <v>0</v>
      </c>
      <c r="EK95" s="6">
        <f>[1]Sheet2!EL94</f>
        <v>0</v>
      </c>
      <c r="EL95" s="6" t="str">
        <f>[1]Sheet2!EM94</f>
        <v/>
      </c>
      <c r="EM95" s="6" t="str">
        <f>[1]Sheet2!EN94</f>
        <v/>
      </c>
      <c r="EN95" s="6" t="str">
        <f>[1]Sheet2!EO94</f>
        <v/>
      </c>
      <c r="EO95" s="6" t="str">
        <f>[1]Sheet2!EP94</f>
        <v/>
      </c>
      <c r="EP95" s="6" t="str">
        <f>[1]Sheet2!EQ94</f>
        <v/>
      </c>
      <c r="EQ95" s="6" t="str">
        <f>[1]Sheet2!ER94</f>
        <v/>
      </c>
      <c r="ER95" s="6" t="str">
        <f>[1]Sheet2!ES94</f>
        <v/>
      </c>
      <c r="ES95" s="6" t="str">
        <f>[1]Sheet2!ET94</f>
        <v/>
      </c>
      <c r="ET95" s="6" t="str">
        <f>[1]Sheet2!EU94</f>
        <v/>
      </c>
      <c r="EU95" s="6" t="str">
        <f>[1]Sheet2!EV94</f>
        <v/>
      </c>
      <c r="EV95" s="6" t="str">
        <f>[1]Sheet2!EW94</f>
        <v/>
      </c>
      <c r="EW95" s="6" t="str">
        <f>[1]Sheet2!EX94</f>
        <v/>
      </c>
      <c r="EX95" s="6" t="str">
        <f>[1]Sheet2!EY94</f>
        <v/>
      </c>
      <c r="EY95" s="6" t="str">
        <f>[1]Sheet2!EZ94</f>
        <v/>
      </c>
      <c r="EZ95" s="6" t="str">
        <f>[1]Sheet2!FA94</f>
        <v/>
      </c>
      <c r="FA95" s="6" t="str">
        <f>[1]Sheet2!FB94</f>
        <v/>
      </c>
      <c r="FB95" s="6" t="str">
        <f>[1]Sheet2!FC94</f>
        <v/>
      </c>
      <c r="FC95" s="6" t="str">
        <f>[1]Sheet2!FD94</f>
        <v/>
      </c>
      <c r="FD95" s="6" t="str">
        <f>[1]Sheet2!FE94</f>
        <v/>
      </c>
      <c r="FE95" s="6" t="str">
        <f>[1]Sheet2!FF94</f>
        <v/>
      </c>
      <c r="FF95" s="6" t="str">
        <f>[1]Sheet2!FG94</f>
        <v/>
      </c>
      <c r="FG95" s="6" t="str">
        <f>[1]Sheet2!FH94</f>
        <v/>
      </c>
      <c r="FH95" s="6" t="str">
        <f>[1]Sheet2!FI94</f>
        <v/>
      </c>
      <c r="FI95" s="6" t="str">
        <f>[1]Sheet2!FJ94</f>
        <v/>
      </c>
      <c r="FJ95" s="6" t="str">
        <f>[1]Sheet2!FK94</f>
        <v/>
      </c>
      <c r="FK95" s="6" t="str">
        <f>[1]Sheet2!FL94</f>
        <v/>
      </c>
      <c r="FL95" s="6" t="str">
        <f>[1]Sheet2!FM94</f>
        <v/>
      </c>
      <c r="FM95" s="6" t="str">
        <f>[1]Sheet2!FN94</f>
        <v/>
      </c>
      <c r="FN95" s="6" t="str">
        <f>[1]Sheet2!FO94</f>
        <v/>
      </c>
      <c r="FO95" s="6" t="str">
        <f>[1]Sheet2!FP94</f>
        <v/>
      </c>
    </row>
    <row r="96" spans="1:171" x14ac:dyDescent="0.25">
      <c r="A96" s="15">
        <v>43558</v>
      </c>
      <c r="B96" s="1"/>
      <c r="C96" s="1"/>
      <c r="D96" s="1"/>
      <c r="E96" s="14">
        <f>[1]Sheet2!N95</f>
        <v>0</v>
      </c>
      <c r="F96" s="14">
        <f>[1]Sheet2!BE95</f>
        <v>0</v>
      </c>
      <c r="G96" s="14">
        <f>[1]Sheet2!CW95</f>
        <v>0</v>
      </c>
      <c r="H96" s="1"/>
      <c r="I96" s="1"/>
      <c r="J96" s="1"/>
      <c r="K96" s="16"/>
      <c r="L96" s="16">
        <f>Demand_CWRS!B$6/30</f>
        <v>136.96097796474356</v>
      </c>
      <c r="M96" s="16">
        <f>Demand_CWRS!C$6/30</f>
        <v>544.43376068376062</v>
      </c>
      <c r="N96" s="16">
        <f>Demand_CWRS!D$6/30</f>
        <v>0</v>
      </c>
      <c r="O96" s="16">
        <f>Demand_CWRS!E$6/30</f>
        <v>108.97435897435896</v>
      </c>
      <c r="P96" s="16">
        <f>Demand_CWRS!F$6/30</f>
        <v>213.3621347489316</v>
      </c>
      <c r="Q96" s="16">
        <f>Demand_CWRS!G$6/30</f>
        <v>133.33333333333334</v>
      </c>
      <c r="R96" s="16">
        <f>Demand_CWRS!H$6/30</f>
        <v>213.3621347489316</v>
      </c>
      <c r="S96" s="16">
        <f>Demand_CWRS!I$6/30</f>
        <v>213.3621347489316</v>
      </c>
      <c r="T96" s="16">
        <f>Demand_CWRS!J$6/30</f>
        <v>213.3621347489316</v>
      </c>
      <c r="U96" s="16">
        <f>Demand_CWRS!K$6/30</f>
        <v>213.3621347489316</v>
      </c>
      <c r="V96" s="16">
        <f t="shared" si="36"/>
        <v>-10889.887235713848</v>
      </c>
      <c r="W96" s="16">
        <f t="shared" si="37"/>
        <v>-34815.424358974313</v>
      </c>
      <c r="X96" s="16">
        <f t="shared" si="38"/>
        <v>0</v>
      </c>
      <c r="Y96" s="16">
        <f t="shared" si="39"/>
        <v>-1806.3278318727598</v>
      </c>
      <c r="Z96" s="16">
        <f t="shared" si="40"/>
        <v>-16749.603620450944</v>
      </c>
      <c r="AA96" s="16">
        <f t="shared" si="41"/>
        <v>-9662.0604917234723</v>
      </c>
      <c r="AB96" s="16">
        <f t="shared" si="42"/>
        <v>-21230.647290322762</v>
      </c>
      <c r="AC96" s="16">
        <f t="shared" si="43"/>
        <v>-15437.637033912484</v>
      </c>
      <c r="AD96" s="16">
        <f t="shared" si="44"/>
        <v>-15537.637033912477</v>
      </c>
      <c r="AE96" s="16">
        <f t="shared" si="45"/>
        <v>-16137.637033912481</v>
      </c>
      <c r="AF96" s="14">
        <f>IF([1]Sheet2!AJ95=999999,"NA",[1]Sheet2!AJ95)</f>
        <v>0</v>
      </c>
      <c r="AG96" s="14">
        <f>IF([1]Sheet2!AK95=999999,"NA",[1]Sheet2!AK95)</f>
        <v>0</v>
      </c>
      <c r="AH96" s="14" t="str">
        <f>IF([1]Sheet2!AL95=999999,"NA",[1]Sheet2!AL95)</f>
        <v>NA</v>
      </c>
      <c r="AI96" s="14">
        <f>IF([1]Sheet2!AM95=999999,"NA",[1]Sheet2!AM95)</f>
        <v>0</v>
      </c>
      <c r="AJ96" s="14">
        <f>IF([1]Sheet2!AN95=999999,"NA",[1]Sheet2!AN95)</f>
        <v>0</v>
      </c>
      <c r="AK96" s="14">
        <f>IF([1]Sheet2!AO95=999999,"NA",[1]Sheet2!AO95)</f>
        <v>0</v>
      </c>
      <c r="AL96" s="14">
        <f>IF([1]Sheet2!AP95=999999,"NA",[1]Sheet2!AP95)</f>
        <v>0</v>
      </c>
      <c r="AM96" s="14">
        <f>IF([1]Sheet2!AQ95=999999,"NA",[1]Sheet2!AQ95)</f>
        <v>0</v>
      </c>
      <c r="AN96" s="14">
        <f>IF([1]Sheet2!AR95=999999,"NA",[1]Sheet2!AR95)</f>
        <v>0</v>
      </c>
      <c r="AO96" s="14">
        <f>IF([1]Sheet2!AS95=999999,"NA",[1]Sheet2!AS95)</f>
        <v>0</v>
      </c>
      <c r="AP96" s="14">
        <f>[1]Sheet2!P95</f>
        <v>0</v>
      </c>
      <c r="AQ96" s="14">
        <f>[1]Sheet2!Q95</f>
        <v>0</v>
      </c>
      <c r="AR96" s="14">
        <f>[1]Sheet2!R95</f>
        <v>0</v>
      </c>
      <c r="AS96" s="14">
        <f>[1]Sheet2!S95</f>
        <v>0</v>
      </c>
      <c r="AT96" s="14">
        <f>[1]Sheet2!T95</f>
        <v>0</v>
      </c>
      <c r="AU96" s="14">
        <f>[1]Sheet2!U95</f>
        <v>0</v>
      </c>
      <c r="AV96" s="14">
        <f>[1]Sheet2!V95</f>
        <v>0</v>
      </c>
      <c r="AW96" s="14">
        <f>[1]Sheet2!W95</f>
        <v>0</v>
      </c>
      <c r="AX96" s="14">
        <f>[1]Sheet2!X95</f>
        <v>0</v>
      </c>
      <c r="AY96" s="14">
        <f>[1]Sheet2!Y95</f>
        <v>0</v>
      </c>
      <c r="AZ96" s="16">
        <f>Demand_LP!B$6/30</f>
        <v>790.61612406517088</v>
      </c>
      <c r="BA96" s="16">
        <f>Demand_LP!C$6/30</f>
        <v>816.46367521367517</v>
      </c>
      <c r="BB96" s="16">
        <f>Demand_LP!D$6/30</f>
        <v>346.63461538461536</v>
      </c>
      <c r="BC96" s="16">
        <f>Demand_LP!E$6/30</f>
        <v>795.48076923076928</v>
      </c>
      <c r="BD96" s="16">
        <f>Demand_LP!F$6/30</f>
        <v>472.52230168269227</v>
      </c>
      <c r="BE96" s="16">
        <f>Demand_LP!G$6/30</f>
        <v>472.52230168269227</v>
      </c>
      <c r="BF96" s="16">
        <f>Demand_LP!H$6/30</f>
        <v>816.46367521367517</v>
      </c>
      <c r="BG96" s="16">
        <f>Demand_LP!I$6/30</f>
        <v>472.52230168269227</v>
      </c>
      <c r="BH96" s="16">
        <f>Demand_LP!J$6/30</f>
        <v>472.52230168269227</v>
      </c>
      <c r="BI96" s="16">
        <f>Demand_LP!K$6/30</f>
        <v>472.52230168269227</v>
      </c>
      <c r="BJ96" s="16">
        <f t="shared" si="46"/>
        <v>-54073.873101128956</v>
      </c>
      <c r="BK96" s="16">
        <f t="shared" si="47"/>
        <v>-48065.934615384562</v>
      </c>
      <c r="BL96" s="16">
        <f t="shared" si="48"/>
        <v>-15813.869230769238</v>
      </c>
      <c r="BM96" s="16">
        <f t="shared" si="49"/>
        <v>-59192.989727361251</v>
      </c>
      <c r="BN96" s="16">
        <f t="shared" si="50"/>
        <v>-34859.882986677374</v>
      </c>
      <c r="BO96" s="16">
        <f t="shared" si="51"/>
        <v>-33317.566905048086</v>
      </c>
      <c r="BP96" s="16">
        <f t="shared" si="52"/>
        <v>-42423.514102564099</v>
      </c>
      <c r="BQ96" s="16">
        <f t="shared" si="53"/>
        <v>-33317.566905048086</v>
      </c>
      <c r="BR96" s="16">
        <f t="shared" si="54"/>
        <v>-30917.566905048086</v>
      </c>
      <c r="BS96" s="16">
        <f t="shared" si="55"/>
        <v>-31617.566905048079</v>
      </c>
      <c r="BT96" s="14">
        <f>IF([1]Sheet2!CB95=999999,"NA",[1]Sheet2!CB95)</f>
        <v>0</v>
      </c>
      <c r="BU96" s="14">
        <f>IF([1]Sheet2!CC95=999999,"NA",[1]Sheet2!CC95)</f>
        <v>0</v>
      </c>
      <c r="BV96" s="14">
        <f>IF([1]Sheet2!CD95=999999,"NA",[1]Sheet2!CD95)</f>
        <v>0</v>
      </c>
      <c r="BW96" s="14">
        <f>IF([1]Sheet2!CE95=999999,"NA",[1]Sheet2!CE95)</f>
        <v>0</v>
      </c>
      <c r="BX96" s="14">
        <f>IF([1]Sheet2!CF95=999999,"NA",[1]Sheet2!CF95)</f>
        <v>0</v>
      </c>
      <c r="BY96" s="14">
        <f>IF([1]Sheet2!CG95=999999,"NA",[1]Sheet2!CG95)</f>
        <v>0</v>
      </c>
      <c r="BZ96" s="14">
        <f>IF([1]Sheet2!CH95=999999,"NA",[1]Sheet2!CH95)</f>
        <v>0</v>
      </c>
      <c r="CA96" s="14">
        <f>IF([1]Sheet2!CI95=999999,"NA",[1]Sheet2!CI95)</f>
        <v>0</v>
      </c>
      <c r="CB96" s="14">
        <f>IF([1]Sheet2!CJ95=999999,"NA",[1]Sheet2!CJ95)</f>
        <v>0</v>
      </c>
      <c r="CC96" s="14">
        <f>IF([1]Sheet2!CK95=999999,"NA",[1]Sheet2!CK95)</f>
        <v>0</v>
      </c>
      <c r="CD96" s="14">
        <f>[1]Sheet2!BH95</f>
        <v>0</v>
      </c>
      <c r="CE96" s="14">
        <f>[1]Sheet2!BI95</f>
        <v>0</v>
      </c>
      <c r="CF96" s="14">
        <f>[1]Sheet2!BJ95</f>
        <v>0</v>
      </c>
      <c r="CG96" s="14">
        <f>[1]Sheet2!BK95</f>
        <v>0</v>
      </c>
      <c r="CH96" s="14">
        <f>[1]Sheet2!BL95</f>
        <v>0</v>
      </c>
      <c r="CI96" s="14">
        <f>[1]Sheet2!BM95</f>
        <v>0</v>
      </c>
      <c r="CJ96" s="14">
        <f>[1]Sheet2!BN95</f>
        <v>0</v>
      </c>
      <c r="CK96" s="14">
        <f>[1]Sheet2!BO95</f>
        <v>0</v>
      </c>
      <c r="CL96" s="14">
        <f>[1]Sheet2!BP95</f>
        <v>0</v>
      </c>
      <c r="CM96" s="14">
        <f>[1]Sheet2!BQ95</f>
        <v>0</v>
      </c>
      <c r="CN96" s="16">
        <f>Demand_SW!B$6/30</f>
        <v>173.07692307692304</v>
      </c>
      <c r="CO96" s="16">
        <f>Demand_SW!C$6/30</f>
        <v>0</v>
      </c>
      <c r="CP96" s="16">
        <f>Demand_SW!D$6/30</f>
        <v>0</v>
      </c>
      <c r="CQ96" s="16">
        <f>Demand_SW!E$6/30</f>
        <v>0</v>
      </c>
      <c r="CR96" s="16">
        <f>Demand_SW!F$6/30</f>
        <v>0</v>
      </c>
      <c r="CS96" s="16">
        <f>Demand_SW!G$6/30</f>
        <v>173.07692307692304</v>
      </c>
      <c r="CT96" s="16">
        <f>Demand_SW!H$6/30</f>
        <v>0</v>
      </c>
      <c r="CU96" s="16">
        <f>Demand_SW!I$6/30</f>
        <v>0</v>
      </c>
      <c r="CV96" s="16">
        <f>Demand_SW!J$6/30</f>
        <v>0</v>
      </c>
      <c r="CW96" s="16">
        <f>Demand_SW!K$6/30</f>
        <v>0</v>
      </c>
      <c r="CX96" s="16">
        <f t="shared" si="56"/>
        <v>-6789.9999999999955</v>
      </c>
      <c r="CY96" s="16">
        <f t="shared" si="57"/>
        <v>76.923076923077133</v>
      </c>
      <c r="CZ96" s="16">
        <f t="shared" si="58"/>
        <v>0</v>
      </c>
      <c r="DA96" s="16">
        <f t="shared" si="59"/>
        <v>0</v>
      </c>
      <c r="DB96" s="16">
        <f t="shared" si="60"/>
        <v>0</v>
      </c>
      <c r="DC96" s="16">
        <f t="shared" si="61"/>
        <v>-6319.2307692307641</v>
      </c>
      <c r="DD96" s="16">
        <f t="shared" si="62"/>
        <v>76.923076923077133</v>
      </c>
      <c r="DE96" s="16">
        <f t="shared" si="63"/>
        <v>0</v>
      </c>
      <c r="DF96" s="16">
        <f t="shared" si="64"/>
        <v>0</v>
      </c>
      <c r="DG96" s="16">
        <f t="shared" si="65"/>
        <v>0</v>
      </c>
      <c r="DH96" s="14">
        <f>IF([1]Sheet2!DS95=999999,"NA",[1]Sheet2!DS95)</f>
        <v>0</v>
      </c>
      <c r="DI96" s="14">
        <f>IF([1]Sheet2!DT95=999999,"NA",[1]Sheet2!DT95)</f>
        <v>272</v>
      </c>
      <c r="DJ96" s="14" t="str">
        <f>IF([1]Sheet2!DU95=999999,"NA",[1]Sheet2!DU95)</f>
        <v>NA</v>
      </c>
      <c r="DK96" s="14" t="str">
        <f>IF([1]Sheet2!DV95=999999,"NA",[1]Sheet2!DV95)</f>
        <v>NA</v>
      </c>
      <c r="DL96" s="14" t="str">
        <f>IF([1]Sheet2!DW95=999999,"NA",[1]Sheet2!DW95)</f>
        <v>NA</v>
      </c>
      <c r="DM96" s="14">
        <f>IF([1]Sheet2!DX95=999999,"NA",[1]Sheet2!DX95)</f>
        <v>0</v>
      </c>
      <c r="DN96" s="14">
        <f>IF([1]Sheet2!DY95=999999,"NA",[1]Sheet2!DY95)</f>
        <v>272</v>
      </c>
      <c r="DO96" s="14" t="str">
        <f>IF([1]Sheet2!DZ95=999999,"NA",[1]Sheet2!DZ95)</f>
        <v>NA</v>
      </c>
      <c r="DP96" s="14" t="str">
        <f>IF([1]Sheet2!EA95=999999,"NA",[1]Sheet2!EA95)</f>
        <v>NA</v>
      </c>
      <c r="DQ96" s="14" t="str">
        <f>IF([1]Sheet2!EB95=999999,"NA",[1]Sheet2!EB95)</f>
        <v>NA</v>
      </c>
      <c r="DR96" s="14">
        <f>[1]Sheet2!CY95</f>
        <v>0</v>
      </c>
      <c r="DS96" s="14">
        <f>[1]Sheet2!CZ95</f>
        <v>0</v>
      </c>
      <c r="DT96" s="14">
        <f>[1]Sheet2!DA95</f>
        <v>0</v>
      </c>
      <c r="DU96" s="14">
        <f>[1]Sheet2!DB95</f>
        <v>0</v>
      </c>
      <c r="DV96" s="14">
        <f>[1]Sheet2!DC95</f>
        <v>0</v>
      </c>
      <c r="DW96" s="14">
        <f>[1]Sheet2!DD95</f>
        <v>0</v>
      </c>
      <c r="DX96" s="14">
        <f>[1]Sheet2!DE95</f>
        <v>0</v>
      </c>
      <c r="DY96" s="14">
        <f>[1]Sheet2!DF95</f>
        <v>0</v>
      </c>
      <c r="DZ96" s="14">
        <f>[1]Sheet2!DG95</f>
        <v>0</v>
      </c>
      <c r="EA96" s="14">
        <f>[1]Sheet2!DH95</f>
        <v>0</v>
      </c>
      <c r="EB96" s="6">
        <f>[1]Sheet2!EC95</f>
        <v>0</v>
      </c>
      <c r="EC96" s="6">
        <f>[1]Sheet2!ED95</f>
        <v>0</v>
      </c>
      <c r="ED96" s="6">
        <f>[1]Sheet2!EE95</f>
        <v>0</v>
      </c>
      <c r="EE96" s="6">
        <f>[1]Sheet2!EF95</f>
        <v>0</v>
      </c>
      <c r="EF96" s="6">
        <f>[1]Sheet2!EG95</f>
        <v>0</v>
      </c>
      <c r="EG96" s="6">
        <f>[1]Sheet2!EH95</f>
        <v>0</v>
      </c>
      <c r="EH96" s="6">
        <f>[1]Sheet2!EI95</f>
        <v>0</v>
      </c>
      <c r="EI96" s="6">
        <f>[1]Sheet2!EJ95</f>
        <v>0</v>
      </c>
      <c r="EJ96" s="6">
        <f>[1]Sheet2!EK95</f>
        <v>0</v>
      </c>
      <c r="EK96" s="6">
        <f>[1]Sheet2!EL95</f>
        <v>0</v>
      </c>
      <c r="EL96" s="6" t="str">
        <f>[1]Sheet2!EM95</f>
        <v/>
      </c>
      <c r="EM96" s="6" t="str">
        <f>[1]Sheet2!EN95</f>
        <v/>
      </c>
      <c r="EN96" s="6" t="str">
        <f>[1]Sheet2!EO95</f>
        <v/>
      </c>
      <c r="EO96" s="6" t="str">
        <f>[1]Sheet2!EP95</f>
        <v/>
      </c>
      <c r="EP96" s="6" t="str">
        <f>[1]Sheet2!EQ95</f>
        <v/>
      </c>
      <c r="EQ96" s="6" t="str">
        <f>[1]Sheet2!ER95</f>
        <v/>
      </c>
      <c r="ER96" s="6" t="str">
        <f>[1]Sheet2!ES95</f>
        <v/>
      </c>
      <c r="ES96" s="6" t="str">
        <f>[1]Sheet2!ET95</f>
        <v/>
      </c>
      <c r="ET96" s="6" t="str">
        <f>[1]Sheet2!EU95</f>
        <v/>
      </c>
      <c r="EU96" s="6" t="str">
        <f>[1]Sheet2!EV95</f>
        <v/>
      </c>
      <c r="EV96" s="6" t="str">
        <f>[1]Sheet2!EW95</f>
        <v/>
      </c>
      <c r="EW96" s="6" t="str">
        <f>[1]Sheet2!EX95</f>
        <v/>
      </c>
      <c r="EX96" s="6" t="str">
        <f>[1]Sheet2!EY95</f>
        <v/>
      </c>
      <c r="EY96" s="6" t="str">
        <f>[1]Sheet2!EZ95</f>
        <v/>
      </c>
      <c r="EZ96" s="6" t="str">
        <f>[1]Sheet2!FA95</f>
        <v/>
      </c>
      <c r="FA96" s="6" t="str">
        <f>[1]Sheet2!FB95</f>
        <v/>
      </c>
      <c r="FB96" s="6" t="str">
        <f>[1]Sheet2!FC95</f>
        <v/>
      </c>
      <c r="FC96" s="6" t="str">
        <f>[1]Sheet2!FD95</f>
        <v/>
      </c>
      <c r="FD96" s="6" t="str">
        <f>[1]Sheet2!FE95</f>
        <v/>
      </c>
      <c r="FE96" s="6" t="str">
        <f>[1]Sheet2!FF95</f>
        <v/>
      </c>
      <c r="FF96" s="6" t="str">
        <f>[1]Sheet2!FG95</f>
        <v/>
      </c>
      <c r="FG96" s="6" t="str">
        <f>[1]Sheet2!FH95</f>
        <v/>
      </c>
      <c r="FH96" s="6" t="str">
        <f>[1]Sheet2!FI95</f>
        <v/>
      </c>
      <c r="FI96" s="6" t="str">
        <f>[1]Sheet2!FJ95</f>
        <v/>
      </c>
      <c r="FJ96" s="6" t="str">
        <f>[1]Sheet2!FK95</f>
        <v/>
      </c>
      <c r="FK96" s="6" t="str">
        <f>[1]Sheet2!FL95</f>
        <v/>
      </c>
      <c r="FL96" s="6" t="str">
        <f>[1]Sheet2!FM95</f>
        <v/>
      </c>
      <c r="FM96" s="6" t="str">
        <f>[1]Sheet2!FN95</f>
        <v/>
      </c>
      <c r="FN96" s="6" t="str">
        <f>[1]Sheet2!FO95</f>
        <v/>
      </c>
      <c r="FO96" s="6" t="str">
        <f>[1]Sheet2!FP95</f>
        <v/>
      </c>
    </row>
    <row r="97" spans="1:171" x14ac:dyDescent="0.25">
      <c r="A97" s="15">
        <v>43559</v>
      </c>
      <c r="B97" s="1"/>
      <c r="C97" s="1"/>
      <c r="D97" s="1"/>
      <c r="E97" s="14">
        <f>[1]Sheet2!N96</f>
        <v>0</v>
      </c>
      <c r="F97" s="14">
        <f>[1]Sheet2!BE96</f>
        <v>0</v>
      </c>
      <c r="G97" s="14">
        <f>[1]Sheet2!CW96</f>
        <v>0</v>
      </c>
      <c r="H97" s="1"/>
      <c r="I97" s="1"/>
      <c r="J97" s="1"/>
      <c r="K97" s="16"/>
      <c r="L97" s="16">
        <f>Demand_CWRS!B$6/30</f>
        <v>136.96097796474356</v>
      </c>
      <c r="M97" s="16">
        <f>Demand_CWRS!C$6/30</f>
        <v>544.43376068376062</v>
      </c>
      <c r="N97" s="16">
        <f>Demand_CWRS!D$6/30</f>
        <v>0</v>
      </c>
      <c r="O97" s="16">
        <f>Demand_CWRS!E$6/30</f>
        <v>108.97435897435896</v>
      </c>
      <c r="P97" s="16">
        <f>Demand_CWRS!F$6/30</f>
        <v>213.3621347489316</v>
      </c>
      <c r="Q97" s="16">
        <f>Demand_CWRS!G$6/30</f>
        <v>133.33333333333334</v>
      </c>
      <c r="R97" s="16">
        <f>Demand_CWRS!H$6/30</f>
        <v>213.3621347489316</v>
      </c>
      <c r="S97" s="16">
        <f>Demand_CWRS!I$6/30</f>
        <v>213.3621347489316</v>
      </c>
      <c r="T97" s="16">
        <f>Demand_CWRS!J$6/30</f>
        <v>213.3621347489316</v>
      </c>
      <c r="U97" s="16">
        <f>Demand_CWRS!K$6/30</f>
        <v>213.3621347489316</v>
      </c>
      <c r="V97" s="16">
        <f t="shared" si="36"/>
        <v>-11026.848213678591</v>
      </c>
      <c r="W97" s="16">
        <f t="shared" si="37"/>
        <v>-35359.858119658071</v>
      </c>
      <c r="X97" s="16">
        <f t="shared" si="38"/>
        <v>0</v>
      </c>
      <c r="Y97" s="16">
        <f t="shared" si="39"/>
        <v>-1915.3021908471187</v>
      </c>
      <c r="Z97" s="16">
        <f t="shared" si="40"/>
        <v>-16962.965755199875</v>
      </c>
      <c r="AA97" s="16">
        <f t="shared" si="41"/>
        <v>-9795.3938250568062</v>
      </c>
      <c r="AB97" s="16">
        <f t="shared" si="42"/>
        <v>-21444.009425071694</v>
      </c>
      <c r="AC97" s="16">
        <f t="shared" si="43"/>
        <v>-15650.999168661416</v>
      </c>
      <c r="AD97" s="16">
        <f t="shared" si="44"/>
        <v>-15750.999168661408</v>
      </c>
      <c r="AE97" s="16">
        <f t="shared" si="45"/>
        <v>-16350.999168661412</v>
      </c>
      <c r="AF97" s="14">
        <f>IF([1]Sheet2!AJ96=999999,"NA",[1]Sheet2!AJ96)</f>
        <v>0</v>
      </c>
      <c r="AG97" s="14">
        <f>IF([1]Sheet2!AK96=999999,"NA",[1]Sheet2!AK96)</f>
        <v>0</v>
      </c>
      <c r="AH97" s="14" t="str">
        <f>IF([1]Sheet2!AL96=999999,"NA",[1]Sheet2!AL96)</f>
        <v>NA</v>
      </c>
      <c r="AI97" s="14">
        <f>IF([1]Sheet2!AM96=999999,"NA",[1]Sheet2!AM96)</f>
        <v>0</v>
      </c>
      <c r="AJ97" s="14">
        <f>IF([1]Sheet2!AN96=999999,"NA",[1]Sheet2!AN96)</f>
        <v>0</v>
      </c>
      <c r="AK97" s="14">
        <f>IF([1]Sheet2!AO96=999999,"NA",[1]Sheet2!AO96)</f>
        <v>0</v>
      </c>
      <c r="AL97" s="14">
        <f>IF([1]Sheet2!AP96=999999,"NA",[1]Sheet2!AP96)</f>
        <v>0</v>
      </c>
      <c r="AM97" s="14">
        <f>IF([1]Sheet2!AQ96=999999,"NA",[1]Sheet2!AQ96)</f>
        <v>0</v>
      </c>
      <c r="AN97" s="14">
        <f>IF([1]Sheet2!AR96=999999,"NA",[1]Sheet2!AR96)</f>
        <v>0</v>
      </c>
      <c r="AO97" s="14">
        <f>IF([1]Sheet2!AS96=999999,"NA",[1]Sheet2!AS96)</f>
        <v>0</v>
      </c>
      <c r="AP97" s="14">
        <f>[1]Sheet2!P96</f>
        <v>0</v>
      </c>
      <c r="AQ97" s="14">
        <f>[1]Sheet2!Q96</f>
        <v>0</v>
      </c>
      <c r="AR97" s="14">
        <f>[1]Sheet2!R96</f>
        <v>0</v>
      </c>
      <c r="AS97" s="14">
        <f>[1]Sheet2!S96</f>
        <v>0</v>
      </c>
      <c r="AT97" s="14">
        <f>[1]Sheet2!T96</f>
        <v>0</v>
      </c>
      <c r="AU97" s="14">
        <f>[1]Sheet2!U96</f>
        <v>0</v>
      </c>
      <c r="AV97" s="14">
        <f>[1]Sheet2!V96</f>
        <v>0</v>
      </c>
      <c r="AW97" s="14">
        <f>[1]Sheet2!W96</f>
        <v>0</v>
      </c>
      <c r="AX97" s="14">
        <f>[1]Sheet2!X96</f>
        <v>0</v>
      </c>
      <c r="AY97" s="14">
        <f>[1]Sheet2!Y96</f>
        <v>0</v>
      </c>
      <c r="AZ97" s="16">
        <f>Demand_LP!B$6/30</f>
        <v>790.61612406517088</v>
      </c>
      <c r="BA97" s="16">
        <f>Demand_LP!C$6/30</f>
        <v>816.46367521367517</v>
      </c>
      <c r="BB97" s="16">
        <f>Demand_LP!D$6/30</f>
        <v>346.63461538461536</v>
      </c>
      <c r="BC97" s="16">
        <f>Demand_LP!E$6/30</f>
        <v>795.48076923076928</v>
      </c>
      <c r="BD97" s="16">
        <f>Demand_LP!F$6/30</f>
        <v>472.52230168269227</v>
      </c>
      <c r="BE97" s="16">
        <f>Demand_LP!G$6/30</f>
        <v>472.52230168269227</v>
      </c>
      <c r="BF97" s="16">
        <f>Demand_LP!H$6/30</f>
        <v>816.46367521367517</v>
      </c>
      <c r="BG97" s="16">
        <f>Demand_LP!I$6/30</f>
        <v>472.52230168269227</v>
      </c>
      <c r="BH97" s="16">
        <f>Demand_LP!J$6/30</f>
        <v>472.52230168269227</v>
      </c>
      <c r="BI97" s="16">
        <f>Demand_LP!K$6/30</f>
        <v>472.52230168269227</v>
      </c>
      <c r="BJ97" s="16">
        <f t="shared" si="46"/>
        <v>-54864.489225194127</v>
      </c>
      <c r="BK97" s="16">
        <f t="shared" si="47"/>
        <v>-48882.398290598234</v>
      </c>
      <c r="BL97" s="16">
        <f t="shared" si="48"/>
        <v>-16160.503846153853</v>
      </c>
      <c r="BM97" s="16">
        <f t="shared" si="49"/>
        <v>-59988.470496592017</v>
      </c>
      <c r="BN97" s="16">
        <f t="shared" si="50"/>
        <v>-35332.405288360067</v>
      </c>
      <c r="BO97" s="16">
        <f t="shared" si="51"/>
        <v>-33790.08920673078</v>
      </c>
      <c r="BP97" s="16">
        <f t="shared" si="52"/>
        <v>-43239.977777777771</v>
      </c>
      <c r="BQ97" s="16">
        <f t="shared" si="53"/>
        <v>-33790.08920673078</v>
      </c>
      <c r="BR97" s="16">
        <f t="shared" si="54"/>
        <v>-31390.08920673078</v>
      </c>
      <c r="BS97" s="16">
        <f t="shared" si="55"/>
        <v>-32090.089206730772</v>
      </c>
      <c r="BT97" s="14">
        <f>IF([1]Sheet2!CB96=999999,"NA",[1]Sheet2!CB96)</f>
        <v>0</v>
      </c>
      <c r="BU97" s="14">
        <f>IF([1]Sheet2!CC96=999999,"NA",[1]Sheet2!CC96)</f>
        <v>0</v>
      </c>
      <c r="BV97" s="14">
        <f>IF([1]Sheet2!CD96=999999,"NA",[1]Sheet2!CD96)</f>
        <v>0</v>
      </c>
      <c r="BW97" s="14">
        <f>IF([1]Sheet2!CE96=999999,"NA",[1]Sheet2!CE96)</f>
        <v>0</v>
      </c>
      <c r="BX97" s="14">
        <f>IF([1]Sheet2!CF96=999999,"NA",[1]Sheet2!CF96)</f>
        <v>0</v>
      </c>
      <c r="BY97" s="14">
        <f>IF([1]Sheet2!CG96=999999,"NA",[1]Sheet2!CG96)</f>
        <v>0</v>
      </c>
      <c r="BZ97" s="14">
        <f>IF([1]Sheet2!CH96=999999,"NA",[1]Sheet2!CH96)</f>
        <v>0</v>
      </c>
      <c r="CA97" s="14">
        <f>IF([1]Sheet2!CI96=999999,"NA",[1]Sheet2!CI96)</f>
        <v>0</v>
      </c>
      <c r="CB97" s="14">
        <f>IF([1]Sheet2!CJ96=999999,"NA",[1]Sheet2!CJ96)</f>
        <v>0</v>
      </c>
      <c r="CC97" s="14">
        <f>IF([1]Sheet2!CK96=999999,"NA",[1]Sheet2!CK96)</f>
        <v>0</v>
      </c>
      <c r="CD97" s="14">
        <f>[1]Sheet2!BH96</f>
        <v>0</v>
      </c>
      <c r="CE97" s="14">
        <f>[1]Sheet2!BI96</f>
        <v>0</v>
      </c>
      <c r="CF97" s="14">
        <f>[1]Sheet2!BJ96</f>
        <v>0</v>
      </c>
      <c r="CG97" s="14">
        <f>[1]Sheet2!BK96</f>
        <v>0</v>
      </c>
      <c r="CH97" s="14">
        <f>[1]Sheet2!BL96</f>
        <v>0</v>
      </c>
      <c r="CI97" s="14">
        <f>[1]Sheet2!BM96</f>
        <v>0</v>
      </c>
      <c r="CJ97" s="14">
        <f>[1]Sheet2!BN96</f>
        <v>0</v>
      </c>
      <c r="CK97" s="14">
        <f>[1]Sheet2!BO96</f>
        <v>0</v>
      </c>
      <c r="CL97" s="14">
        <f>[1]Sheet2!BP96</f>
        <v>0</v>
      </c>
      <c r="CM97" s="14">
        <f>[1]Sheet2!BQ96</f>
        <v>0</v>
      </c>
      <c r="CN97" s="16">
        <f>Demand_SW!B$6/30</f>
        <v>173.07692307692304</v>
      </c>
      <c r="CO97" s="16">
        <f>Demand_SW!C$6/30</f>
        <v>0</v>
      </c>
      <c r="CP97" s="16">
        <f>Demand_SW!D$6/30</f>
        <v>0</v>
      </c>
      <c r="CQ97" s="16">
        <f>Demand_SW!E$6/30</f>
        <v>0</v>
      </c>
      <c r="CR97" s="16">
        <f>Demand_SW!F$6/30</f>
        <v>0</v>
      </c>
      <c r="CS97" s="16">
        <f>Demand_SW!G$6/30</f>
        <v>173.07692307692304</v>
      </c>
      <c r="CT97" s="16">
        <f>Demand_SW!H$6/30</f>
        <v>0</v>
      </c>
      <c r="CU97" s="16">
        <f>Demand_SW!I$6/30</f>
        <v>0</v>
      </c>
      <c r="CV97" s="16">
        <f>Demand_SW!J$6/30</f>
        <v>0</v>
      </c>
      <c r="CW97" s="16">
        <f>Demand_SW!K$6/30</f>
        <v>0</v>
      </c>
      <c r="CX97" s="16">
        <f t="shared" si="56"/>
        <v>-6963.0769230769183</v>
      </c>
      <c r="CY97" s="16">
        <f t="shared" si="57"/>
        <v>76.923076923077133</v>
      </c>
      <c r="CZ97" s="16">
        <f t="shared" si="58"/>
        <v>0</v>
      </c>
      <c r="DA97" s="16">
        <f t="shared" si="59"/>
        <v>0</v>
      </c>
      <c r="DB97" s="16">
        <f t="shared" si="60"/>
        <v>0</v>
      </c>
      <c r="DC97" s="16">
        <f t="shared" si="61"/>
        <v>-6492.3076923076869</v>
      </c>
      <c r="DD97" s="16">
        <f t="shared" si="62"/>
        <v>76.923076923077133</v>
      </c>
      <c r="DE97" s="16">
        <f t="shared" si="63"/>
        <v>0</v>
      </c>
      <c r="DF97" s="16">
        <f t="shared" si="64"/>
        <v>0</v>
      </c>
      <c r="DG97" s="16">
        <f t="shared" si="65"/>
        <v>0</v>
      </c>
      <c r="DH97" s="14">
        <f>IF([1]Sheet2!DS96=999999,"NA",[1]Sheet2!DS96)</f>
        <v>0</v>
      </c>
      <c r="DI97" s="14">
        <f>IF([1]Sheet2!DT96=999999,"NA",[1]Sheet2!DT96)</f>
        <v>271</v>
      </c>
      <c r="DJ97" s="14" t="str">
        <f>IF([1]Sheet2!DU96=999999,"NA",[1]Sheet2!DU96)</f>
        <v>NA</v>
      </c>
      <c r="DK97" s="14" t="str">
        <f>IF([1]Sheet2!DV96=999999,"NA",[1]Sheet2!DV96)</f>
        <v>NA</v>
      </c>
      <c r="DL97" s="14" t="str">
        <f>IF([1]Sheet2!DW96=999999,"NA",[1]Sheet2!DW96)</f>
        <v>NA</v>
      </c>
      <c r="DM97" s="14">
        <f>IF([1]Sheet2!DX96=999999,"NA",[1]Sheet2!DX96)</f>
        <v>0</v>
      </c>
      <c r="DN97" s="14">
        <f>IF([1]Sheet2!DY96=999999,"NA",[1]Sheet2!DY96)</f>
        <v>271</v>
      </c>
      <c r="DO97" s="14" t="str">
        <f>IF([1]Sheet2!DZ96=999999,"NA",[1]Sheet2!DZ96)</f>
        <v>NA</v>
      </c>
      <c r="DP97" s="14" t="str">
        <f>IF([1]Sheet2!EA96=999999,"NA",[1]Sheet2!EA96)</f>
        <v>NA</v>
      </c>
      <c r="DQ97" s="14" t="str">
        <f>IF([1]Sheet2!EB96=999999,"NA",[1]Sheet2!EB96)</f>
        <v>NA</v>
      </c>
      <c r="DR97" s="14">
        <f>[1]Sheet2!CY96</f>
        <v>0</v>
      </c>
      <c r="DS97" s="14">
        <f>[1]Sheet2!CZ96</f>
        <v>0</v>
      </c>
      <c r="DT97" s="14">
        <f>[1]Sheet2!DA96</f>
        <v>0</v>
      </c>
      <c r="DU97" s="14">
        <f>[1]Sheet2!DB96</f>
        <v>0</v>
      </c>
      <c r="DV97" s="14">
        <f>[1]Sheet2!DC96</f>
        <v>0</v>
      </c>
      <c r="DW97" s="14">
        <f>[1]Sheet2!DD96</f>
        <v>0</v>
      </c>
      <c r="DX97" s="14">
        <f>[1]Sheet2!DE96</f>
        <v>0</v>
      </c>
      <c r="DY97" s="14">
        <f>[1]Sheet2!DF96</f>
        <v>0</v>
      </c>
      <c r="DZ97" s="14">
        <f>[1]Sheet2!DG96</f>
        <v>0</v>
      </c>
      <c r="EA97" s="14">
        <f>[1]Sheet2!DH96</f>
        <v>0</v>
      </c>
      <c r="EB97" s="6">
        <f>[1]Sheet2!EC96</f>
        <v>0</v>
      </c>
      <c r="EC97" s="6">
        <f>[1]Sheet2!ED96</f>
        <v>0</v>
      </c>
      <c r="ED97" s="6">
        <f>[1]Sheet2!EE96</f>
        <v>0</v>
      </c>
      <c r="EE97" s="6">
        <f>[1]Sheet2!EF96</f>
        <v>0</v>
      </c>
      <c r="EF97" s="6">
        <f>[1]Sheet2!EG96</f>
        <v>0</v>
      </c>
      <c r="EG97" s="6">
        <f>[1]Sheet2!EH96</f>
        <v>0</v>
      </c>
      <c r="EH97" s="6">
        <f>[1]Sheet2!EI96</f>
        <v>0</v>
      </c>
      <c r="EI97" s="6">
        <f>[1]Sheet2!EJ96</f>
        <v>0</v>
      </c>
      <c r="EJ97" s="6">
        <f>[1]Sheet2!EK96</f>
        <v>0</v>
      </c>
      <c r="EK97" s="6">
        <f>[1]Sheet2!EL96</f>
        <v>0</v>
      </c>
      <c r="EL97" s="6" t="str">
        <f>[1]Sheet2!EM96</f>
        <v/>
      </c>
      <c r="EM97" s="6" t="str">
        <f>[1]Sheet2!EN96</f>
        <v/>
      </c>
      <c r="EN97" s="6" t="str">
        <f>[1]Sheet2!EO96</f>
        <v/>
      </c>
      <c r="EO97" s="6" t="str">
        <f>[1]Sheet2!EP96</f>
        <v/>
      </c>
      <c r="EP97" s="6" t="str">
        <f>[1]Sheet2!EQ96</f>
        <v/>
      </c>
      <c r="EQ97" s="6" t="str">
        <f>[1]Sheet2!ER96</f>
        <v/>
      </c>
      <c r="ER97" s="6" t="str">
        <f>[1]Sheet2!ES96</f>
        <v/>
      </c>
      <c r="ES97" s="6" t="str">
        <f>[1]Sheet2!ET96</f>
        <v/>
      </c>
      <c r="ET97" s="6" t="str">
        <f>[1]Sheet2!EU96</f>
        <v/>
      </c>
      <c r="EU97" s="6" t="str">
        <f>[1]Sheet2!EV96</f>
        <v/>
      </c>
      <c r="EV97" s="6" t="str">
        <f>[1]Sheet2!EW96</f>
        <v/>
      </c>
      <c r="EW97" s="6" t="str">
        <f>[1]Sheet2!EX96</f>
        <v/>
      </c>
      <c r="EX97" s="6" t="str">
        <f>[1]Sheet2!EY96</f>
        <v/>
      </c>
      <c r="EY97" s="6" t="str">
        <f>[1]Sheet2!EZ96</f>
        <v/>
      </c>
      <c r="EZ97" s="6" t="str">
        <f>[1]Sheet2!FA96</f>
        <v/>
      </c>
      <c r="FA97" s="6" t="str">
        <f>[1]Sheet2!FB96</f>
        <v/>
      </c>
      <c r="FB97" s="6" t="str">
        <f>[1]Sheet2!FC96</f>
        <v/>
      </c>
      <c r="FC97" s="6" t="str">
        <f>[1]Sheet2!FD96</f>
        <v/>
      </c>
      <c r="FD97" s="6" t="str">
        <f>[1]Sheet2!FE96</f>
        <v/>
      </c>
      <c r="FE97" s="6" t="str">
        <f>[1]Sheet2!FF96</f>
        <v/>
      </c>
      <c r="FF97" s="6" t="str">
        <f>[1]Sheet2!FG96</f>
        <v/>
      </c>
      <c r="FG97" s="6" t="str">
        <f>[1]Sheet2!FH96</f>
        <v/>
      </c>
      <c r="FH97" s="6" t="str">
        <f>[1]Sheet2!FI96</f>
        <v/>
      </c>
      <c r="FI97" s="6" t="str">
        <f>[1]Sheet2!FJ96</f>
        <v/>
      </c>
      <c r="FJ97" s="6" t="str">
        <f>[1]Sheet2!FK96</f>
        <v/>
      </c>
      <c r="FK97" s="6" t="str">
        <f>[1]Sheet2!FL96</f>
        <v/>
      </c>
      <c r="FL97" s="6" t="str">
        <f>[1]Sheet2!FM96</f>
        <v/>
      </c>
      <c r="FM97" s="6" t="str">
        <f>[1]Sheet2!FN96</f>
        <v/>
      </c>
      <c r="FN97" s="6" t="str">
        <f>[1]Sheet2!FO96</f>
        <v/>
      </c>
      <c r="FO97" s="6" t="str">
        <f>[1]Sheet2!FP96</f>
        <v/>
      </c>
    </row>
    <row r="98" spans="1:171" x14ac:dyDescent="0.25">
      <c r="A98" s="15">
        <v>43560</v>
      </c>
      <c r="B98" s="1"/>
      <c r="C98" s="1"/>
      <c r="D98" s="1"/>
      <c r="E98" s="14">
        <f>[1]Sheet2!N97</f>
        <v>0</v>
      </c>
      <c r="F98" s="14">
        <f>[1]Sheet2!BE97</f>
        <v>0</v>
      </c>
      <c r="G98" s="14">
        <f>[1]Sheet2!CW97</f>
        <v>0</v>
      </c>
      <c r="H98" s="1"/>
      <c r="I98" s="1"/>
      <c r="J98" s="1"/>
      <c r="K98" s="16"/>
      <c r="L98" s="16">
        <f>Demand_CWRS!B$6/30</f>
        <v>136.96097796474356</v>
      </c>
      <c r="M98" s="16">
        <f>Demand_CWRS!C$6/30</f>
        <v>544.43376068376062</v>
      </c>
      <c r="N98" s="16">
        <f>Demand_CWRS!D$6/30</f>
        <v>0</v>
      </c>
      <c r="O98" s="16">
        <f>Demand_CWRS!E$6/30</f>
        <v>108.97435897435896</v>
      </c>
      <c r="P98" s="16">
        <f>Demand_CWRS!F$6/30</f>
        <v>213.3621347489316</v>
      </c>
      <c r="Q98" s="16">
        <f>Demand_CWRS!G$6/30</f>
        <v>133.33333333333334</v>
      </c>
      <c r="R98" s="16">
        <f>Demand_CWRS!H$6/30</f>
        <v>213.3621347489316</v>
      </c>
      <c r="S98" s="16">
        <f>Demand_CWRS!I$6/30</f>
        <v>213.3621347489316</v>
      </c>
      <c r="T98" s="16">
        <f>Demand_CWRS!J$6/30</f>
        <v>213.3621347489316</v>
      </c>
      <c r="U98" s="16">
        <f>Demand_CWRS!K$6/30</f>
        <v>213.3621347489316</v>
      </c>
      <c r="V98" s="16">
        <f t="shared" si="36"/>
        <v>-11163.809191643335</v>
      </c>
      <c r="W98" s="16">
        <f t="shared" si="37"/>
        <v>-35904.291880341829</v>
      </c>
      <c r="X98" s="16">
        <f t="shared" si="38"/>
        <v>0</v>
      </c>
      <c r="Y98" s="16">
        <f t="shared" si="39"/>
        <v>-2024.2765498214776</v>
      </c>
      <c r="Z98" s="16">
        <f t="shared" si="40"/>
        <v>-17176.327889948807</v>
      </c>
      <c r="AA98" s="16">
        <f t="shared" si="41"/>
        <v>-9928.7271583901402</v>
      </c>
      <c r="AB98" s="16">
        <f t="shared" si="42"/>
        <v>-21657.371559820625</v>
      </c>
      <c r="AC98" s="16">
        <f t="shared" si="43"/>
        <v>-15864.361303410347</v>
      </c>
      <c r="AD98" s="16">
        <f t="shared" si="44"/>
        <v>-15964.36130341034</v>
      </c>
      <c r="AE98" s="16">
        <f t="shared" si="45"/>
        <v>-16564.361303410344</v>
      </c>
      <c r="AF98" s="14">
        <f>IF([1]Sheet2!AJ97=999999,"NA",[1]Sheet2!AJ97)</f>
        <v>0</v>
      </c>
      <c r="AG98" s="14">
        <f>IF([1]Sheet2!AK97=999999,"NA",[1]Sheet2!AK97)</f>
        <v>0</v>
      </c>
      <c r="AH98" s="14" t="str">
        <f>IF([1]Sheet2!AL97=999999,"NA",[1]Sheet2!AL97)</f>
        <v>NA</v>
      </c>
      <c r="AI98" s="14">
        <f>IF([1]Sheet2!AM97=999999,"NA",[1]Sheet2!AM97)</f>
        <v>0</v>
      </c>
      <c r="AJ98" s="14">
        <f>IF([1]Sheet2!AN97=999999,"NA",[1]Sheet2!AN97)</f>
        <v>0</v>
      </c>
      <c r="AK98" s="14">
        <f>IF([1]Sheet2!AO97=999999,"NA",[1]Sheet2!AO97)</f>
        <v>0</v>
      </c>
      <c r="AL98" s="14">
        <f>IF([1]Sheet2!AP97=999999,"NA",[1]Sheet2!AP97)</f>
        <v>0</v>
      </c>
      <c r="AM98" s="14">
        <f>IF([1]Sheet2!AQ97=999999,"NA",[1]Sheet2!AQ97)</f>
        <v>0</v>
      </c>
      <c r="AN98" s="14">
        <f>IF([1]Sheet2!AR97=999999,"NA",[1]Sheet2!AR97)</f>
        <v>0</v>
      </c>
      <c r="AO98" s="14">
        <f>IF([1]Sheet2!AS97=999999,"NA",[1]Sheet2!AS97)</f>
        <v>0</v>
      </c>
      <c r="AP98" s="14">
        <f>[1]Sheet2!P97</f>
        <v>0</v>
      </c>
      <c r="AQ98" s="14">
        <f>[1]Sheet2!Q97</f>
        <v>0</v>
      </c>
      <c r="AR98" s="14">
        <f>[1]Sheet2!R97</f>
        <v>0</v>
      </c>
      <c r="AS98" s="14">
        <f>[1]Sheet2!S97</f>
        <v>0</v>
      </c>
      <c r="AT98" s="14">
        <f>[1]Sheet2!T97</f>
        <v>0</v>
      </c>
      <c r="AU98" s="14">
        <f>[1]Sheet2!U97</f>
        <v>0</v>
      </c>
      <c r="AV98" s="14">
        <f>[1]Sheet2!V97</f>
        <v>0</v>
      </c>
      <c r="AW98" s="14">
        <f>[1]Sheet2!W97</f>
        <v>0</v>
      </c>
      <c r="AX98" s="14">
        <f>[1]Sheet2!X97</f>
        <v>0</v>
      </c>
      <c r="AY98" s="14">
        <f>[1]Sheet2!Y97</f>
        <v>0</v>
      </c>
      <c r="AZ98" s="16">
        <f>Demand_LP!B$6/30</f>
        <v>790.61612406517088</v>
      </c>
      <c r="BA98" s="16">
        <f>Demand_LP!C$6/30</f>
        <v>816.46367521367517</v>
      </c>
      <c r="BB98" s="16">
        <f>Demand_LP!D$6/30</f>
        <v>346.63461538461536</v>
      </c>
      <c r="BC98" s="16">
        <f>Demand_LP!E$6/30</f>
        <v>795.48076923076928</v>
      </c>
      <c r="BD98" s="16">
        <f>Demand_LP!F$6/30</f>
        <v>472.52230168269227</v>
      </c>
      <c r="BE98" s="16">
        <f>Demand_LP!G$6/30</f>
        <v>472.52230168269227</v>
      </c>
      <c r="BF98" s="16">
        <f>Demand_LP!H$6/30</f>
        <v>816.46367521367517</v>
      </c>
      <c r="BG98" s="16">
        <f>Demand_LP!I$6/30</f>
        <v>472.52230168269227</v>
      </c>
      <c r="BH98" s="16">
        <f>Demand_LP!J$6/30</f>
        <v>472.52230168269227</v>
      </c>
      <c r="BI98" s="16">
        <f>Demand_LP!K$6/30</f>
        <v>472.52230168269227</v>
      </c>
      <c r="BJ98" s="16">
        <f t="shared" si="46"/>
        <v>-55655.105349259298</v>
      </c>
      <c r="BK98" s="16">
        <f t="shared" si="47"/>
        <v>-49698.861965811906</v>
      </c>
      <c r="BL98" s="16">
        <f t="shared" si="48"/>
        <v>-16507.13846153847</v>
      </c>
      <c r="BM98" s="16">
        <f t="shared" si="49"/>
        <v>-60783.951265822783</v>
      </c>
      <c r="BN98" s="16">
        <f t="shared" si="50"/>
        <v>-35804.92759004276</v>
      </c>
      <c r="BO98" s="16">
        <f t="shared" si="51"/>
        <v>-34262.611508413473</v>
      </c>
      <c r="BP98" s="16">
        <f t="shared" si="52"/>
        <v>-44056.441452991443</v>
      </c>
      <c r="BQ98" s="16">
        <f t="shared" si="53"/>
        <v>-34262.611508413473</v>
      </c>
      <c r="BR98" s="16">
        <f t="shared" si="54"/>
        <v>-31862.611508413473</v>
      </c>
      <c r="BS98" s="16">
        <f t="shared" si="55"/>
        <v>-32562.611508413465</v>
      </c>
      <c r="BT98" s="14">
        <f>IF([1]Sheet2!CB97=999999,"NA",[1]Sheet2!CB97)</f>
        <v>0</v>
      </c>
      <c r="BU98" s="14">
        <f>IF([1]Sheet2!CC97=999999,"NA",[1]Sheet2!CC97)</f>
        <v>0</v>
      </c>
      <c r="BV98" s="14">
        <f>IF([1]Sheet2!CD97=999999,"NA",[1]Sheet2!CD97)</f>
        <v>0</v>
      </c>
      <c r="BW98" s="14">
        <f>IF([1]Sheet2!CE97=999999,"NA",[1]Sheet2!CE97)</f>
        <v>0</v>
      </c>
      <c r="BX98" s="14">
        <f>IF([1]Sheet2!CF97=999999,"NA",[1]Sheet2!CF97)</f>
        <v>0</v>
      </c>
      <c r="BY98" s="14">
        <f>IF([1]Sheet2!CG97=999999,"NA",[1]Sheet2!CG97)</f>
        <v>0</v>
      </c>
      <c r="BZ98" s="14">
        <f>IF([1]Sheet2!CH97=999999,"NA",[1]Sheet2!CH97)</f>
        <v>0</v>
      </c>
      <c r="CA98" s="14">
        <f>IF([1]Sheet2!CI97=999999,"NA",[1]Sheet2!CI97)</f>
        <v>0</v>
      </c>
      <c r="CB98" s="14">
        <f>IF([1]Sheet2!CJ97=999999,"NA",[1]Sheet2!CJ97)</f>
        <v>0</v>
      </c>
      <c r="CC98" s="14">
        <f>IF([1]Sheet2!CK97=999999,"NA",[1]Sheet2!CK97)</f>
        <v>0</v>
      </c>
      <c r="CD98" s="14">
        <f>[1]Sheet2!BH97</f>
        <v>0</v>
      </c>
      <c r="CE98" s="14">
        <f>[1]Sheet2!BI97</f>
        <v>0</v>
      </c>
      <c r="CF98" s="14">
        <f>[1]Sheet2!BJ97</f>
        <v>0</v>
      </c>
      <c r="CG98" s="14">
        <f>[1]Sheet2!BK97</f>
        <v>0</v>
      </c>
      <c r="CH98" s="14">
        <f>[1]Sheet2!BL97</f>
        <v>0</v>
      </c>
      <c r="CI98" s="14">
        <f>[1]Sheet2!BM97</f>
        <v>0</v>
      </c>
      <c r="CJ98" s="14">
        <f>[1]Sheet2!BN97</f>
        <v>0</v>
      </c>
      <c r="CK98" s="14">
        <f>[1]Sheet2!BO97</f>
        <v>0</v>
      </c>
      <c r="CL98" s="14">
        <f>[1]Sheet2!BP97</f>
        <v>0</v>
      </c>
      <c r="CM98" s="14">
        <f>[1]Sheet2!BQ97</f>
        <v>0</v>
      </c>
      <c r="CN98" s="16">
        <f>Demand_SW!B$6/30</f>
        <v>173.07692307692304</v>
      </c>
      <c r="CO98" s="16">
        <f>Demand_SW!C$6/30</f>
        <v>0</v>
      </c>
      <c r="CP98" s="16">
        <f>Demand_SW!D$6/30</f>
        <v>0</v>
      </c>
      <c r="CQ98" s="16">
        <f>Demand_SW!E$6/30</f>
        <v>0</v>
      </c>
      <c r="CR98" s="16">
        <f>Demand_SW!F$6/30</f>
        <v>0</v>
      </c>
      <c r="CS98" s="16">
        <f>Demand_SW!G$6/30</f>
        <v>173.07692307692304</v>
      </c>
      <c r="CT98" s="16">
        <f>Demand_SW!H$6/30</f>
        <v>0</v>
      </c>
      <c r="CU98" s="16">
        <f>Demand_SW!I$6/30</f>
        <v>0</v>
      </c>
      <c r="CV98" s="16">
        <f>Demand_SW!J$6/30</f>
        <v>0</v>
      </c>
      <c r="CW98" s="16">
        <f>Demand_SW!K$6/30</f>
        <v>0</v>
      </c>
      <c r="CX98" s="16">
        <f t="shared" si="56"/>
        <v>-7136.1538461538412</v>
      </c>
      <c r="CY98" s="16">
        <f t="shared" si="57"/>
        <v>76.923076923077133</v>
      </c>
      <c r="CZ98" s="16">
        <f t="shared" si="58"/>
        <v>0</v>
      </c>
      <c r="DA98" s="16">
        <f t="shared" si="59"/>
        <v>0</v>
      </c>
      <c r="DB98" s="16">
        <f t="shared" si="60"/>
        <v>0</v>
      </c>
      <c r="DC98" s="16">
        <f t="shared" si="61"/>
        <v>-6665.3846153846098</v>
      </c>
      <c r="DD98" s="16">
        <f t="shared" si="62"/>
        <v>76.923076923077133</v>
      </c>
      <c r="DE98" s="16">
        <f t="shared" si="63"/>
        <v>0</v>
      </c>
      <c r="DF98" s="16">
        <f t="shared" si="64"/>
        <v>0</v>
      </c>
      <c r="DG98" s="16">
        <f t="shared" si="65"/>
        <v>0</v>
      </c>
      <c r="DH98" s="14">
        <f>IF([1]Sheet2!DS97=999999,"NA",[1]Sheet2!DS97)</f>
        <v>0</v>
      </c>
      <c r="DI98" s="14">
        <f>IF([1]Sheet2!DT97=999999,"NA",[1]Sheet2!DT97)</f>
        <v>270</v>
      </c>
      <c r="DJ98" s="14" t="str">
        <f>IF([1]Sheet2!DU97=999999,"NA",[1]Sheet2!DU97)</f>
        <v>NA</v>
      </c>
      <c r="DK98" s="14" t="str">
        <f>IF([1]Sheet2!DV97=999999,"NA",[1]Sheet2!DV97)</f>
        <v>NA</v>
      </c>
      <c r="DL98" s="14" t="str">
        <f>IF([1]Sheet2!DW97=999999,"NA",[1]Sheet2!DW97)</f>
        <v>NA</v>
      </c>
      <c r="DM98" s="14">
        <f>IF([1]Sheet2!DX97=999999,"NA",[1]Sheet2!DX97)</f>
        <v>0</v>
      </c>
      <c r="DN98" s="14">
        <f>IF([1]Sheet2!DY97=999999,"NA",[1]Sheet2!DY97)</f>
        <v>270</v>
      </c>
      <c r="DO98" s="14" t="str">
        <f>IF([1]Sheet2!DZ97=999999,"NA",[1]Sheet2!DZ97)</f>
        <v>NA</v>
      </c>
      <c r="DP98" s="14" t="str">
        <f>IF([1]Sheet2!EA97=999999,"NA",[1]Sheet2!EA97)</f>
        <v>NA</v>
      </c>
      <c r="DQ98" s="14" t="str">
        <f>IF([1]Sheet2!EB97=999999,"NA",[1]Sheet2!EB97)</f>
        <v>NA</v>
      </c>
      <c r="DR98" s="14">
        <f>[1]Sheet2!CY97</f>
        <v>0</v>
      </c>
      <c r="DS98" s="14">
        <f>[1]Sheet2!CZ97</f>
        <v>0</v>
      </c>
      <c r="DT98" s="14">
        <f>[1]Sheet2!DA97</f>
        <v>0</v>
      </c>
      <c r="DU98" s="14">
        <f>[1]Sheet2!DB97</f>
        <v>0</v>
      </c>
      <c r="DV98" s="14">
        <f>[1]Sheet2!DC97</f>
        <v>0</v>
      </c>
      <c r="DW98" s="14">
        <f>[1]Sheet2!DD97</f>
        <v>0</v>
      </c>
      <c r="DX98" s="14">
        <f>[1]Sheet2!DE97</f>
        <v>0</v>
      </c>
      <c r="DY98" s="14">
        <f>[1]Sheet2!DF97</f>
        <v>0</v>
      </c>
      <c r="DZ98" s="14">
        <f>[1]Sheet2!DG97</f>
        <v>0</v>
      </c>
      <c r="EA98" s="14">
        <f>[1]Sheet2!DH97</f>
        <v>0</v>
      </c>
      <c r="EB98" s="6">
        <f>[1]Sheet2!EC97</f>
        <v>0</v>
      </c>
      <c r="EC98" s="6">
        <f>[1]Sheet2!ED97</f>
        <v>0</v>
      </c>
      <c r="ED98" s="6">
        <f>[1]Sheet2!EE97</f>
        <v>0</v>
      </c>
      <c r="EE98" s="6">
        <f>[1]Sheet2!EF97</f>
        <v>0</v>
      </c>
      <c r="EF98" s="6">
        <f>[1]Sheet2!EG97</f>
        <v>0</v>
      </c>
      <c r="EG98" s="6">
        <f>[1]Sheet2!EH97</f>
        <v>0</v>
      </c>
      <c r="EH98" s="6">
        <f>[1]Sheet2!EI97</f>
        <v>0</v>
      </c>
      <c r="EI98" s="6">
        <f>[1]Sheet2!EJ97</f>
        <v>0</v>
      </c>
      <c r="EJ98" s="6">
        <f>[1]Sheet2!EK97</f>
        <v>0</v>
      </c>
      <c r="EK98" s="6">
        <f>[1]Sheet2!EL97</f>
        <v>0</v>
      </c>
      <c r="EL98" s="6" t="str">
        <f>[1]Sheet2!EM97</f>
        <v/>
      </c>
      <c r="EM98" s="6" t="str">
        <f>[1]Sheet2!EN97</f>
        <v/>
      </c>
      <c r="EN98" s="6" t="str">
        <f>[1]Sheet2!EO97</f>
        <v/>
      </c>
      <c r="EO98" s="6" t="str">
        <f>[1]Sheet2!EP97</f>
        <v/>
      </c>
      <c r="EP98" s="6" t="str">
        <f>[1]Sheet2!EQ97</f>
        <v/>
      </c>
      <c r="EQ98" s="6" t="str">
        <f>[1]Sheet2!ER97</f>
        <v/>
      </c>
      <c r="ER98" s="6" t="str">
        <f>[1]Sheet2!ES97</f>
        <v/>
      </c>
      <c r="ES98" s="6" t="str">
        <f>[1]Sheet2!ET97</f>
        <v/>
      </c>
      <c r="ET98" s="6" t="str">
        <f>[1]Sheet2!EU97</f>
        <v/>
      </c>
      <c r="EU98" s="6" t="str">
        <f>[1]Sheet2!EV97</f>
        <v/>
      </c>
      <c r="EV98" s="6" t="str">
        <f>[1]Sheet2!EW97</f>
        <v/>
      </c>
      <c r="EW98" s="6" t="str">
        <f>[1]Sheet2!EX97</f>
        <v/>
      </c>
      <c r="EX98" s="6" t="str">
        <f>[1]Sheet2!EY97</f>
        <v/>
      </c>
      <c r="EY98" s="6" t="str">
        <f>[1]Sheet2!EZ97</f>
        <v/>
      </c>
      <c r="EZ98" s="6" t="str">
        <f>[1]Sheet2!FA97</f>
        <v/>
      </c>
      <c r="FA98" s="6" t="str">
        <f>[1]Sheet2!FB97</f>
        <v/>
      </c>
      <c r="FB98" s="6" t="str">
        <f>[1]Sheet2!FC97</f>
        <v/>
      </c>
      <c r="FC98" s="6" t="str">
        <f>[1]Sheet2!FD97</f>
        <v/>
      </c>
      <c r="FD98" s="6" t="str">
        <f>[1]Sheet2!FE97</f>
        <v/>
      </c>
      <c r="FE98" s="6" t="str">
        <f>[1]Sheet2!FF97</f>
        <v/>
      </c>
      <c r="FF98" s="6" t="str">
        <f>[1]Sheet2!FG97</f>
        <v/>
      </c>
      <c r="FG98" s="6" t="str">
        <f>[1]Sheet2!FH97</f>
        <v/>
      </c>
      <c r="FH98" s="6" t="str">
        <f>[1]Sheet2!FI97</f>
        <v/>
      </c>
      <c r="FI98" s="6" t="str">
        <f>[1]Sheet2!FJ97</f>
        <v/>
      </c>
      <c r="FJ98" s="6" t="str">
        <f>[1]Sheet2!FK97</f>
        <v/>
      </c>
      <c r="FK98" s="6" t="str">
        <f>[1]Sheet2!FL97</f>
        <v/>
      </c>
      <c r="FL98" s="6" t="str">
        <f>[1]Sheet2!FM97</f>
        <v/>
      </c>
      <c r="FM98" s="6" t="str">
        <f>[1]Sheet2!FN97</f>
        <v/>
      </c>
      <c r="FN98" s="6" t="str">
        <f>[1]Sheet2!FO97</f>
        <v/>
      </c>
      <c r="FO98" s="6" t="str">
        <f>[1]Sheet2!FP97</f>
        <v/>
      </c>
    </row>
    <row r="99" spans="1:171" x14ac:dyDescent="0.25">
      <c r="A99" s="15">
        <v>43561</v>
      </c>
      <c r="B99" s="1"/>
      <c r="C99" s="1"/>
      <c r="D99" s="1"/>
      <c r="E99" s="14">
        <f>[1]Sheet2!N98</f>
        <v>0</v>
      </c>
      <c r="F99" s="14">
        <f>[1]Sheet2!BE98</f>
        <v>0</v>
      </c>
      <c r="G99" s="14">
        <f>[1]Sheet2!CW98</f>
        <v>0</v>
      </c>
      <c r="H99" s="1"/>
      <c r="I99" s="1"/>
      <c r="J99" s="1"/>
      <c r="K99" s="16"/>
      <c r="L99" s="16">
        <f>Demand_CWRS!B$6/30</f>
        <v>136.96097796474356</v>
      </c>
      <c r="M99" s="16">
        <f>Demand_CWRS!C$6/30</f>
        <v>544.43376068376062</v>
      </c>
      <c r="N99" s="16">
        <f>Demand_CWRS!D$6/30</f>
        <v>0</v>
      </c>
      <c r="O99" s="16">
        <f>Demand_CWRS!E$6/30</f>
        <v>108.97435897435896</v>
      </c>
      <c r="P99" s="16">
        <f>Demand_CWRS!F$6/30</f>
        <v>213.3621347489316</v>
      </c>
      <c r="Q99" s="16">
        <f>Demand_CWRS!G$6/30</f>
        <v>133.33333333333334</v>
      </c>
      <c r="R99" s="16">
        <f>Demand_CWRS!H$6/30</f>
        <v>213.3621347489316</v>
      </c>
      <c r="S99" s="16">
        <f>Demand_CWRS!I$6/30</f>
        <v>213.3621347489316</v>
      </c>
      <c r="T99" s="16">
        <f>Demand_CWRS!J$6/30</f>
        <v>213.3621347489316</v>
      </c>
      <c r="U99" s="16">
        <f>Demand_CWRS!K$6/30</f>
        <v>213.3621347489316</v>
      </c>
      <c r="V99" s="16">
        <f t="shared" si="36"/>
        <v>-11300.770169608079</v>
      </c>
      <c r="W99" s="16">
        <f t="shared" si="37"/>
        <v>-36448.725641025587</v>
      </c>
      <c r="X99" s="16">
        <f t="shared" si="38"/>
        <v>0</v>
      </c>
      <c r="Y99" s="16">
        <f t="shared" si="39"/>
        <v>-2133.2509087958365</v>
      </c>
      <c r="Z99" s="16">
        <f t="shared" si="40"/>
        <v>-17389.690024697738</v>
      </c>
      <c r="AA99" s="16">
        <f t="shared" si="41"/>
        <v>-10062.060491723474</v>
      </c>
      <c r="AB99" s="16">
        <f t="shared" si="42"/>
        <v>-21870.733694569557</v>
      </c>
      <c r="AC99" s="16">
        <f t="shared" si="43"/>
        <v>-16077.723438159279</v>
      </c>
      <c r="AD99" s="16">
        <f t="shared" si="44"/>
        <v>-16177.723438159272</v>
      </c>
      <c r="AE99" s="16">
        <f t="shared" si="45"/>
        <v>-16777.723438159275</v>
      </c>
      <c r="AF99" s="14">
        <f>IF([1]Sheet2!AJ98=999999,"NA",[1]Sheet2!AJ98)</f>
        <v>0</v>
      </c>
      <c r="AG99" s="14">
        <f>IF([1]Sheet2!AK98=999999,"NA",[1]Sheet2!AK98)</f>
        <v>0</v>
      </c>
      <c r="AH99" s="14" t="str">
        <f>IF([1]Sheet2!AL98=999999,"NA",[1]Sheet2!AL98)</f>
        <v>NA</v>
      </c>
      <c r="AI99" s="14">
        <f>IF([1]Sheet2!AM98=999999,"NA",[1]Sheet2!AM98)</f>
        <v>0</v>
      </c>
      <c r="AJ99" s="14">
        <f>IF([1]Sheet2!AN98=999999,"NA",[1]Sheet2!AN98)</f>
        <v>0</v>
      </c>
      <c r="AK99" s="14">
        <f>IF([1]Sheet2!AO98=999999,"NA",[1]Sheet2!AO98)</f>
        <v>0</v>
      </c>
      <c r="AL99" s="14">
        <f>IF([1]Sheet2!AP98=999999,"NA",[1]Sheet2!AP98)</f>
        <v>0</v>
      </c>
      <c r="AM99" s="14">
        <f>IF([1]Sheet2!AQ98=999999,"NA",[1]Sheet2!AQ98)</f>
        <v>0</v>
      </c>
      <c r="AN99" s="14">
        <f>IF([1]Sheet2!AR98=999999,"NA",[1]Sheet2!AR98)</f>
        <v>0</v>
      </c>
      <c r="AO99" s="14">
        <f>IF([1]Sheet2!AS98=999999,"NA",[1]Sheet2!AS98)</f>
        <v>0</v>
      </c>
      <c r="AP99" s="14">
        <f>[1]Sheet2!P98</f>
        <v>0</v>
      </c>
      <c r="AQ99" s="14">
        <f>[1]Sheet2!Q98</f>
        <v>0</v>
      </c>
      <c r="AR99" s="14">
        <f>[1]Sheet2!R98</f>
        <v>0</v>
      </c>
      <c r="AS99" s="14">
        <f>[1]Sheet2!S98</f>
        <v>0</v>
      </c>
      <c r="AT99" s="14">
        <f>[1]Sheet2!T98</f>
        <v>0</v>
      </c>
      <c r="AU99" s="14">
        <f>[1]Sheet2!U98</f>
        <v>0</v>
      </c>
      <c r="AV99" s="14">
        <f>[1]Sheet2!V98</f>
        <v>0</v>
      </c>
      <c r="AW99" s="14">
        <f>[1]Sheet2!W98</f>
        <v>0</v>
      </c>
      <c r="AX99" s="14">
        <f>[1]Sheet2!X98</f>
        <v>0</v>
      </c>
      <c r="AY99" s="14">
        <f>[1]Sheet2!Y98</f>
        <v>0</v>
      </c>
      <c r="AZ99" s="16">
        <f>Demand_LP!B$6/30</f>
        <v>790.61612406517088</v>
      </c>
      <c r="BA99" s="16">
        <f>Demand_LP!C$6/30</f>
        <v>816.46367521367517</v>
      </c>
      <c r="BB99" s="16">
        <f>Demand_LP!D$6/30</f>
        <v>346.63461538461536</v>
      </c>
      <c r="BC99" s="16">
        <f>Demand_LP!E$6/30</f>
        <v>795.48076923076928</v>
      </c>
      <c r="BD99" s="16">
        <f>Demand_LP!F$6/30</f>
        <v>472.52230168269227</v>
      </c>
      <c r="BE99" s="16">
        <f>Demand_LP!G$6/30</f>
        <v>472.52230168269227</v>
      </c>
      <c r="BF99" s="16">
        <f>Demand_LP!H$6/30</f>
        <v>816.46367521367517</v>
      </c>
      <c r="BG99" s="16">
        <f>Demand_LP!I$6/30</f>
        <v>472.52230168269227</v>
      </c>
      <c r="BH99" s="16">
        <f>Demand_LP!J$6/30</f>
        <v>472.52230168269227</v>
      </c>
      <c r="BI99" s="16">
        <f>Demand_LP!K$6/30</f>
        <v>472.52230168269227</v>
      </c>
      <c r="BJ99" s="16">
        <f t="shared" si="46"/>
        <v>-56445.721473324469</v>
      </c>
      <c r="BK99" s="16">
        <f t="shared" si="47"/>
        <v>-50515.325641025578</v>
      </c>
      <c r="BL99" s="16">
        <f t="shared" si="48"/>
        <v>-16853.773076923088</v>
      </c>
      <c r="BM99" s="16">
        <f t="shared" si="49"/>
        <v>-61579.432035053549</v>
      </c>
      <c r="BN99" s="16">
        <f t="shared" si="50"/>
        <v>-36277.449891725453</v>
      </c>
      <c r="BO99" s="16">
        <f t="shared" si="51"/>
        <v>-34735.133810096166</v>
      </c>
      <c r="BP99" s="16">
        <f t="shared" si="52"/>
        <v>-44872.905128205115</v>
      </c>
      <c r="BQ99" s="16">
        <f t="shared" si="53"/>
        <v>-34735.133810096166</v>
      </c>
      <c r="BR99" s="16">
        <f t="shared" si="54"/>
        <v>-32335.133810096166</v>
      </c>
      <c r="BS99" s="16">
        <f t="shared" si="55"/>
        <v>-33035.133810096158</v>
      </c>
      <c r="BT99" s="14">
        <f>IF([1]Sheet2!CB98=999999,"NA",[1]Sheet2!CB98)</f>
        <v>0</v>
      </c>
      <c r="BU99" s="14">
        <f>IF([1]Sheet2!CC98=999999,"NA",[1]Sheet2!CC98)</f>
        <v>0</v>
      </c>
      <c r="BV99" s="14">
        <f>IF([1]Sheet2!CD98=999999,"NA",[1]Sheet2!CD98)</f>
        <v>0</v>
      </c>
      <c r="BW99" s="14">
        <f>IF([1]Sheet2!CE98=999999,"NA",[1]Sheet2!CE98)</f>
        <v>0</v>
      </c>
      <c r="BX99" s="14">
        <f>IF([1]Sheet2!CF98=999999,"NA",[1]Sheet2!CF98)</f>
        <v>0</v>
      </c>
      <c r="BY99" s="14">
        <f>IF([1]Sheet2!CG98=999999,"NA",[1]Sheet2!CG98)</f>
        <v>0</v>
      </c>
      <c r="BZ99" s="14">
        <f>IF([1]Sheet2!CH98=999999,"NA",[1]Sheet2!CH98)</f>
        <v>0</v>
      </c>
      <c r="CA99" s="14">
        <f>IF([1]Sheet2!CI98=999999,"NA",[1]Sheet2!CI98)</f>
        <v>0</v>
      </c>
      <c r="CB99" s="14">
        <f>IF([1]Sheet2!CJ98=999999,"NA",[1]Sheet2!CJ98)</f>
        <v>0</v>
      </c>
      <c r="CC99" s="14">
        <f>IF([1]Sheet2!CK98=999999,"NA",[1]Sheet2!CK98)</f>
        <v>0</v>
      </c>
      <c r="CD99" s="14">
        <f>[1]Sheet2!BH98</f>
        <v>0</v>
      </c>
      <c r="CE99" s="14">
        <f>[1]Sheet2!BI98</f>
        <v>0</v>
      </c>
      <c r="CF99" s="14">
        <f>[1]Sheet2!BJ98</f>
        <v>0</v>
      </c>
      <c r="CG99" s="14">
        <f>[1]Sheet2!BK98</f>
        <v>0</v>
      </c>
      <c r="CH99" s="14">
        <f>[1]Sheet2!BL98</f>
        <v>0</v>
      </c>
      <c r="CI99" s="14">
        <f>[1]Sheet2!BM98</f>
        <v>0</v>
      </c>
      <c r="CJ99" s="14">
        <f>[1]Sheet2!BN98</f>
        <v>0</v>
      </c>
      <c r="CK99" s="14">
        <f>[1]Sheet2!BO98</f>
        <v>0</v>
      </c>
      <c r="CL99" s="14">
        <f>[1]Sheet2!BP98</f>
        <v>0</v>
      </c>
      <c r="CM99" s="14">
        <f>[1]Sheet2!BQ98</f>
        <v>0</v>
      </c>
      <c r="CN99" s="16">
        <f>Demand_SW!B$6/30</f>
        <v>173.07692307692304</v>
      </c>
      <c r="CO99" s="16">
        <f>Demand_SW!C$6/30</f>
        <v>0</v>
      </c>
      <c r="CP99" s="16">
        <f>Demand_SW!D$6/30</f>
        <v>0</v>
      </c>
      <c r="CQ99" s="16">
        <f>Demand_SW!E$6/30</f>
        <v>0</v>
      </c>
      <c r="CR99" s="16">
        <f>Demand_SW!F$6/30</f>
        <v>0</v>
      </c>
      <c r="CS99" s="16">
        <f>Demand_SW!G$6/30</f>
        <v>173.07692307692304</v>
      </c>
      <c r="CT99" s="16">
        <f>Demand_SW!H$6/30</f>
        <v>0</v>
      </c>
      <c r="CU99" s="16">
        <f>Demand_SW!I$6/30</f>
        <v>0</v>
      </c>
      <c r="CV99" s="16">
        <f>Demand_SW!J$6/30</f>
        <v>0</v>
      </c>
      <c r="CW99" s="16">
        <f>Demand_SW!K$6/30</f>
        <v>0</v>
      </c>
      <c r="CX99" s="16">
        <f t="shared" si="56"/>
        <v>-7309.2307692307641</v>
      </c>
      <c r="CY99" s="16">
        <f t="shared" si="57"/>
        <v>76.923076923077133</v>
      </c>
      <c r="CZ99" s="16">
        <f t="shared" si="58"/>
        <v>0</v>
      </c>
      <c r="DA99" s="16">
        <f t="shared" si="59"/>
        <v>0</v>
      </c>
      <c r="DB99" s="16">
        <f t="shared" si="60"/>
        <v>0</v>
      </c>
      <c r="DC99" s="16">
        <f t="shared" si="61"/>
        <v>-6838.4615384615327</v>
      </c>
      <c r="DD99" s="16">
        <f t="shared" si="62"/>
        <v>76.923076923077133</v>
      </c>
      <c r="DE99" s="16">
        <f t="shared" si="63"/>
        <v>0</v>
      </c>
      <c r="DF99" s="16">
        <f t="shared" si="64"/>
        <v>0</v>
      </c>
      <c r="DG99" s="16">
        <f t="shared" si="65"/>
        <v>0</v>
      </c>
      <c r="DH99" s="14">
        <f>IF([1]Sheet2!DS98=999999,"NA",[1]Sheet2!DS98)</f>
        <v>0</v>
      </c>
      <c r="DI99" s="14">
        <f>IF([1]Sheet2!DT98=999999,"NA",[1]Sheet2!DT98)</f>
        <v>269</v>
      </c>
      <c r="DJ99" s="14" t="str">
        <f>IF([1]Sheet2!DU98=999999,"NA",[1]Sheet2!DU98)</f>
        <v>NA</v>
      </c>
      <c r="DK99" s="14" t="str">
        <f>IF([1]Sheet2!DV98=999999,"NA",[1]Sheet2!DV98)</f>
        <v>NA</v>
      </c>
      <c r="DL99" s="14" t="str">
        <f>IF([1]Sheet2!DW98=999999,"NA",[1]Sheet2!DW98)</f>
        <v>NA</v>
      </c>
      <c r="DM99" s="14">
        <f>IF([1]Sheet2!DX98=999999,"NA",[1]Sheet2!DX98)</f>
        <v>0</v>
      </c>
      <c r="DN99" s="14">
        <f>IF([1]Sheet2!DY98=999999,"NA",[1]Sheet2!DY98)</f>
        <v>269</v>
      </c>
      <c r="DO99" s="14" t="str">
        <f>IF([1]Sheet2!DZ98=999999,"NA",[1]Sheet2!DZ98)</f>
        <v>NA</v>
      </c>
      <c r="DP99" s="14" t="str">
        <f>IF([1]Sheet2!EA98=999999,"NA",[1]Sheet2!EA98)</f>
        <v>NA</v>
      </c>
      <c r="DQ99" s="14" t="str">
        <f>IF([1]Sheet2!EB98=999999,"NA",[1]Sheet2!EB98)</f>
        <v>NA</v>
      </c>
      <c r="DR99" s="14">
        <f>[1]Sheet2!CY98</f>
        <v>0</v>
      </c>
      <c r="DS99" s="14">
        <f>[1]Sheet2!CZ98</f>
        <v>0</v>
      </c>
      <c r="DT99" s="14">
        <f>[1]Sheet2!DA98</f>
        <v>0</v>
      </c>
      <c r="DU99" s="14">
        <f>[1]Sheet2!DB98</f>
        <v>0</v>
      </c>
      <c r="DV99" s="14">
        <f>[1]Sheet2!DC98</f>
        <v>0</v>
      </c>
      <c r="DW99" s="14">
        <f>[1]Sheet2!DD98</f>
        <v>0</v>
      </c>
      <c r="DX99" s="14">
        <f>[1]Sheet2!DE98</f>
        <v>0</v>
      </c>
      <c r="DY99" s="14">
        <f>[1]Sheet2!DF98</f>
        <v>0</v>
      </c>
      <c r="DZ99" s="14">
        <f>[1]Sheet2!DG98</f>
        <v>0</v>
      </c>
      <c r="EA99" s="14">
        <f>[1]Sheet2!DH98</f>
        <v>0</v>
      </c>
      <c r="EB99" s="6">
        <f>[1]Sheet2!EC98</f>
        <v>0</v>
      </c>
      <c r="EC99" s="6">
        <f>[1]Sheet2!ED98</f>
        <v>0</v>
      </c>
      <c r="ED99" s="6">
        <f>[1]Sheet2!EE98</f>
        <v>0</v>
      </c>
      <c r="EE99" s="6">
        <f>[1]Sheet2!EF98</f>
        <v>0</v>
      </c>
      <c r="EF99" s="6">
        <f>[1]Sheet2!EG98</f>
        <v>0</v>
      </c>
      <c r="EG99" s="6">
        <f>[1]Sheet2!EH98</f>
        <v>0</v>
      </c>
      <c r="EH99" s="6">
        <f>[1]Sheet2!EI98</f>
        <v>0</v>
      </c>
      <c r="EI99" s="6">
        <f>[1]Sheet2!EJ98</f>
        <v>0</v>
      </c>
      <c r="EJ99" s="6">
        <f>[1]Sheet2!EK98</f>
        <v>0</v>
      </c>
      <c r="EK99" s="6">
        <f>[1]Sheet2!EL98</f>
        <v>0</v>
      </c>
      <c r="EL99" s="6" t="str">
        <f>[1]Sheet2!EM98</f>
        <v/>
      </c>
      <c r="EM99" s="6" t="str">
        <f>[1]Sheet2!EN98</f>
        <v/>
      </c>
      <c r="EN99" s="6" t="str">
        <f>[1]Sheet2!EO98</f>
        <v/>
      </c>
      <c r="EO99" s="6" t="str">
        <f>[1]Sheet2!EP98</f>
        <v/>
      </c>
      <c r="EP99" s="6" t="str">
        <f>[1]Sheet2!EQ98</f>
        <v/>
      </c>
      <c r="EQ99" s="6" t="str">
        <f>[1]Sheet2!ER98</f>
        <v/>
      </c>
      <c r="ER99" s="6" t="str">
        <f>[1]Sheet2!ES98</f>
        <v/>
      </c>
      <c r="ES99" s="6" t="str">
        <f>[1]Sheet2!ET98</f>
        <v/>
      </c>
      <c r="ET99" s="6" t="str">
        <f>[1]Sheet2!EU98</f>
        <v/>
      </c>
      <c r="EU99" s="6" t="str">
        <f>[1]Sheet2!EV98</f>
        <v/>
      </c>
      <c r="EV99" s="6" t="str">
        <f>[1]Sheet2!EW98</f>
        <v/>
      </c>
      <c r="EW99" s="6" t="str">
        <f>[1]Sheet2!EX98</f>
        <v/>
      </c>
      <c r="EX99" s="6" t="str">
        <f>[1]Sheet2!EY98</f>
        <v/>
      </c>
      <c r="EY99" s="6" t="str">
        <f>[1]Sheet2!EZ98</f>
        <v/>
      </c>
      <c r="EZ99" s="6" t="str">
        <f>[1]Sheet2!FA98</f>
        <v/>
      </c>
      <c r="FA99" s="6" t="str">
        <f>[1]Sheet2!FB98</f>
        <v/>
      </c>
      <c r="FB99" s="6" t="str">
        <f>[1]Sheet2!FC98</f>
        <v/>
      </c>
      <c r="FC99" s="6" t="str">
        <f>[1]Sheet2!FD98</f>
        <v/>
      </c>
      <c r="FD99" s="6" t="str">
        <f>[1]Sheet2!FE98</f>
        <v/>
      </c>
      <c r="FE99" s="6" t="str">
        <f>[1]Sheet2!FF98</f>
        <v/>
      </c>
      <c r="FF99" s="6" t="str">
        <f>[1]Sheet2!FG98</f>
        <v/>
      </c>
      <c r="FG99" s="6" t="str">
        <f>[1]Sheet2!FH98</f>
        <v/>
      </c>
      <c r="FH99" s="6" t="str">
        <f>[1]Sheet2!FI98</f>
        <v/>
      </c>
      <c r="FI99" s="6" t="str">
        <f>[1]Sheet2!FJ98</f>
        <v/>
      </c>
      <c r="FJ99" s="6" t="str">
        <f>[1]Sheet2!FK98</f>
        <v/>
      </c>
      <c r="FK99" s="6" t="str">
        <f>[1]Sheet2!FL98</f>
        <v/>
      </c>
      <c r="FL99" s="6" t="str">
        <f>[1]Sheet2!FM98</f>
        <v/>
      </c>
      <c r="FM99" s="6" t="str">
        <f>[1]Sheet2!FN98</f>
        <v/>
      </c>
      <c r="FN99" s="6" t="str">
        <f>[1]Sheet2!FO98</f>
        <v/>
      </c>
      <c r="FO99" s="6" t="str">
        <f>[1]Sheet2!FP98</f>
        <v/>
      </c>
    </row>
    <row r="100" spans="1:171" x14ac:dyDescent="0.25">
      <c r="A100" s="15">
        <v>43562</v>
      </c>
      <c r="B100" s="1"/>
      <c r="C100" s="1"/>
      <c r="D100" s="1"/>
      <c r="E100" s="14">
        <f>[1]Sheet2!N99</f>
        <v>0</v>
      </c>
      <c r="F100" s="14">
        <f>[1]Sheet2!BE99</f>
        <v>48000</v>
      </c>
      <c r="G100" s="14">
        <f>[1]Sheet2!CW99</f>
        <v>0</v>
      </c>
      <c r="H100" s="1"/>
      <c r="I100" s="1"/>
      <c r="J100" s="1"/>
      <c r="K100" s="16"/>
      <c r="L100" s="16">
        <f>Demand_CWRS!B$6/30</f>
        <v>136.96097796474356</v>
      </c>
      <c r="M100" s="16">
        <f>Demand_CWRS!C$6/30</f>
        <v>544.43376068376062</v>
      </c>
      <c r="N100" s="16">
        <f>Demand_CWRS!D$6/30</f>
        <v>0</v>
      </c>
      <c r="O100" s="16">
        <f>Demand_CWRS!E$6/30</f>
        <v>108.97435897435896</v>
      </c>
      <c r="P100" s="16">
        <f>Demand_CWRS!F$6/30</f>
        <v>213.3621347489316</v>
      </c>
      <c r="Q100" s="16">
        <f>Demand_CWRS!G$6/30</f>
        <v>133.33333333333334</v>
      </c>
      <c r="R100" s="16">
        <f>Demand_CWRS!H$6/30</f>
        <v>213.3621347489316</v>
      </c>
      <c r="S100" s="16">
        <f>Demand_CWRS!I$6/30</f>
        <v>213.3621347489316</v>
      </c>
      <c r="T100" s="16">
        <f>Demand_CWRS!J$6/30</f>
        <v>213.3621347489316</v>
      </c>
      <c r="U100" s="16">
        <f>Demand_CWRS!K$6/30</f>
        <v>213.3621347489316</v>
      </c>
      <c r="V100" s="16">
        <f t="shared" si="36"/>
        <v>-11437.731147572822</v>
      </c>
      <c r="W100" s="16">
        <f t="shared" si="37"/>
        <v>-36993.159401709345</v>
      </c>
      <c r="X100" s="16">
        <f t="shared" si="38"/>
        <v>0</v>
      </c>
      <c r="Y100" s="16">
        <f t="shared" si="39"/>
        <v>-2242.2252677701954</v>
      </c>
      <c r="Z100" s="16">
        <f t="shared" si="40"/>
        <v>-17603.05215944667</v>
      </c>
      <c r="AA100" s="16">
        <f t="shared" si="41"/>
        <v>-10195.393825056808</v>
      </c>
      <c r="AB100" s="16">
        <f t="shared" si="42"/>
        <v>-22084.095829318489</v>
      </c>
      <c r="AC100" s="16">
        <f t="shared" si="43"/>
        <v>-16291.08557290821</v>
      </c>
      <c r="AD100" s="16">
        <f t="shared" si="44"/>
        <v>-16391.085572908203</v>
      </c>
      <c r="AE100" s="16">
        <f t="shared" si="45"/>
        <v>-16991.085572908207</v>
      </c>
      <c r="AF100" s="14">
        <f>IF([1]Sheet2!AJ99=999999,"NA",[1]Sheet2!AJ99)</f>
        <v>0</v>
      </c>
      <c r="AG100" s="14">
        <f>IF([1]Sheet2!AK99=999999,"NA",[1]Sheet2!AK99)</f>
        <v>0</v>
      </c>
      <c r="AH100" s="14" t="str">
        <f>IF([1]Sheet2!AL99=999999,"NA",[1]Sheet2!AL99)</f>
        <v>NA</v>
      </c>
      <c r="AI100" s="14">
        <f>IF([1]Sheet2!AM99=999999,"NA",[1]Sheet2!AM99)</f>
        <v>0</v>
      </c>
      <c r="AJ100" s="14">
        <f>IF([1]Sheet2!AN99=999999,"NA",[1]Sheet2!AN99)</f>
        <v>0</v>
      </c>
      <c r="AK100" s="14">
        <f>IF([1]Sheet2!AO99=999999,"NA",[1]Sheet2!AO99)</f>
        <v>0</v>
      </c>
      <c r="AL100" s="14">
        <f>IF([1]Sheet2!AP99=999999,"NA",[1]Sheet2!AP99)</f>
        <v>0</v>
      </c>
      <c r="AM100" s="14">
        <f>IF([1]Sheet2!AQ99=999999,"NA",[1]Sheet2!AQ99)</f>
        <v>0</v>
      </c>
      <c r="AN100" s="14">
        <f>IF([1]Sheet2!AR99=999999,"NA",[1]Sheet2!AR99)</f>
        <v>0</v>
      </c>
      <c r="AO100" s="14">
        <f>IF([1]Sheet2!AS99=999999,"NA",[1]Sheet2!AS99)</f>
        <v>0</v>
      </c>
      <c r="AP100" s="14">
        <f>[1]Sheet2!P99</f>
        <v>0</v>
      </c>
      <c r="AQ100" s="14">
        <f>[1]Sheet2!Q99</f>
        <v>0</v>
      </c>
      <c r="AR100" s="14">
        <f>[1]Sheet2!R99</f>
        <v>0</v>
      </c>
      <c r="AS100" s="14">
        <f>[1]Sheet2!S99</f>
        <v>0</v>
      </c>
      <c r="AT100" s="14">
        <f>[1]Sheet2!T99</f>
        <v>0</v>
      </c>
      <c r="AU100" s="14">
        <f>[1]Sheet2!U99</f>
        <v>0</v>
      </c>
      <c r="AV100" s="14">
        <f>[1]Sheet2!V99</f>
        <v>0</v>
      </c>
      <c r="AW100" s="14">
        <f>[1]Sheet2!W99</f>
        <v>0</v>
      </c>
      <c r="AX100" s="14">
        <f>[1]Sheet2!X99</f>
        <v>0</v>
      </c>
      <c r="AY100" s="14">
        <f>[1]Sheet2!Y99</f>
        <v>0</v>
      </c>
      <c r="AZ100" s="16">
        <f>Demand_LP!B$6/30</f>
        <v>790.61612406517088</v>
      </c>
      <c r="BA100" s="16">
        <f>Demand_LP!C$6/30</f>
        <v>816.46367521367517</v>
      </c>
      <c r="BB100" s="16">
        <f>Demand_LP!D$6/30</f>
        <v>346.63461538461536</v>
      </c>
      <c r="BC100" s="16">
        <f>Demand_LP!E$6/30</f>
        <v>795.48076923076928</v>
      </c>
      <c r="BD100" s="16">
        <f>Demand_LP!F$6/30</f>
        <v>472.52230168269227</v>
      </c>
      <c r="BE100" s="16">
        <f>Demand_LP!G$6/30</f>
        <v>472.52230168269227</v>
      </c>
      <c r="BF100" s="16">
        <f>Demand_LP!H$6/30</f>
        <v>816.46367521367517</v>
      </c>
      <c r="BG100" s="16">
        <f>Demand_LP!I$6/30</f>
        <v>472.52230168269227</v>
      </c>
      <c r="BH100" s="16">
        <f>Demand_LP!J$6/30</f>
        <v>472.52230168269227</v>
      </c>
      <c r="BI100" s="16">
        <f>Demand_LP!K$6/30</f>
        <v>472.52230168269227</v>
      </c>
      <c r="BJ100" s="16">
        <f t="shared" si="46"/>
        <v>-57236.33759738964</v>
      </c>
      <c r="BK100" s="16">
        <f t="shared" si="47"/>
        <v>-51331.78931623925</v>
      </c>
      <c r="BL100" s="16">
        <f t="shared" si="48"/>
        <v>-17200.407692307705</v>
      </c>
      <c r="BM100" s="16">
        <f t="shared" si="49"/>
        <v>-62374.912804284315</v>
      </c>
      <c r="BN100" s="16">
        <f t="shared" si="50"/>
        <v>-36749.972193408146</v>
      </c>
      <c r="BO100" s="16">
        <f t="shared" si="51"/>
        <v>-35207.656111778859</v>
      </c>
      <c r="BP100" s="16">
        <f t="shared" si="52"/>
        <v>-45689.368803418787</v>
      </c>
      <c r="BQ100" s="16">
        <f t="shared" si="53"/>
        <v>-35207.656111778859</v>
      </c>
      <c r="BR100" s="16">
        <f t="shared" si="54"/>
        <v>-32807.656111778859</v>
      </c>
      <c r="BS100" s="16">
        <f t="shared" si="55"/>
        <v>-33507.656111778851</v>
      </c>
      <c r="BT100" s="14">
        <f>IF([1]Sheet2!CB99=999999,"NA",[1]Sheet2!CB99)</f>
        <v>0</v>
      </c>
      <c r="BU100" s="14">
        <f>IF([1]Sheet2!CC99=999999,"NA",[1]Sheet2!CC99)</f>
        <v>0</v>
      </c>
      <c r="BV100" s="14">
        <f>IF([1]Sheet2!CD99=999999,"NA",[1]Sheet2!CD99)</f>
        <v>0</v>
      </c>
      <c r="BW100" s="14">
        <f>IF([1]Sheet2!CE99=999999,"NA",[1]Sheet2!CE99)</f>
        <v>0</v>
      </c>
      <c r="BX100" s="14">
        <f>IF([1]Sheet2!CF99=999999,"NA",[1]Sheet2!CF99)</f>
        <v>0</v>
      </c>
      <c r="BY100" s="14">
        <f>IF([1]Sheet2!CG99=999999,"NA",[1]Sheet2!CG99)</f>
        <v>0</v>
      </c>
      <c r="BZ100" s="14">
        <f>IF([1]Sheet2!CH99=999999,"NA",[1]Sheet2!CH99)</f>
        <v>0</v>
      </c>
      <c r="CA100" s="14">
        <f>IF([1]Sheet2!CI99=999999,"NA",[1]Sheet2!CI99)</f>
        <v>0</v>
      </c>
      <c r="CB100" s="14">
        <f>IF([1]Sheet2!CJ99=999999,"NA",[1]Sheet2!CJ99)</f>
        <v>0</v>
      </c>
      <c r="CC100" s="14">
        <f>IF([1]Sheet2!CK99=999999,"NA",[1]Sheet2!CK99)</f>
        <v>0</v>
      </c>
      <c r="CD100" s="14">
        <f>[1]Sheet2!BH99</f>
        <v>0</v>
      </c>
      <c r="CE100" s="14">
        <f>[1]Sheet2!BI99</f>
        <v>0</v>
      </c>
      <c r="CF100" s="14">
        <f>[1]Sheet2!BJ99</f>
        <v>0</v>
      </c>
      <c r="CG100" s="14">
        <f>[1]Sheet2!BK99</f>
        <v>0</v>
      </c>
      <c r="CH100" s="14">
        <f>[1]Sheet2!BL99</f>
        <v>0</v>
      </c>
      <c r="CI100" s="14">
        <f>[1]Sheet2!BM99</f>
        <v>0</v>
      </c>
      <c r="CJ100" s="14">
        <f>[1]Sheet2!BN99</f>
        <v>0</v>
      </c>
      <c r="CK100" s="14">
        <f>[1]Sheet2!BO99</f>
        <v>0</v>
      </c>
      <c r="CL100" s="14">
        <f>[1]Sheet2!BP99</f>
        <v>0</v>
      </c>
      <c r="CM100" s="14">
        <f>[1]Sheet2!BQ99</f>
        <v>0</v>
      </c>
      <c r="CN100" s="16">
        <f>Demand_SW!B$6/30</f>
        <v>173.07692307692304</v>
      </c>
      <c r="CO100" s="16">
        <f>Demand_SW!C$6/30</f>
        <v>0</v>
      </c>
      <c r="CP100" s="16">
        <f>Demand_SW!D$6/30</f>
        <v>0</v>
      </c>
      <c r="CQ100" s="16">
        <f>Demand_SW!E$6/30</f>
        <v>0</v>
      </c>
      <c r="CR100" s="16">
        <f>Demand_SW!F$6/30</f>
        <v>0</v>
      </c>
      <c r="CS100" s="16">
        <f>Demand_SW!G$6/30</f>
        <v>173.07692307692304</v>
      </c>
      <c r="CT100" s="16">
        <f>Demand_SW!H$6/30</f>
        <v>0</v>
      </c>
      <c r="CU100" s="16">
        <f>Demand_SW!I$6/30</f>
        <v>0</v>
      </c>
      <c r="CV100" s="16">
        <f>Demand_SW!J$6/30</f>
        <v>0</v>
      </c>
      <c r="CW100" s="16">
        <f>Demand_SW!K$6/30</f>
        <v>0</v>
      </c>
      <c r="CX100" s="16">
        <f t="shared" si="56"/>
        <v>-7482.3076923076869</v>
      </c>
      <c r="CY100" s="16">
        <f t="shared" si="57"/>
        <v>76.923076923077133</v>
      </c>
      <c r="CZ100" s="16">
        <f t="shared" si="58"/>
        <v>0</v>
      </c>
      <c r="DA100" s="16">
        <f t="shared" si="59"/>
        <v>0</v>
      </c>
      <c r="DB100" s="16">
        <f t="shared" si="60"/>
        <v>0</v>
      </c>
      <c r="DC100" s="16">
        <f t="shared" si="61"/>
        <v>-7011.5384615384555</v>
      </c>
      <c r="DD100" s="16">
        <f t="shared" si="62"/>
        <v>76.923076923077133</v>
      </c>
      <c r="DE100" s="16">
        <f t="shared" si="63"/>
        <v>0</v>
      </c>
      <c r="DF100" s="16">
        <f t="shared" si="64"/>
        <v>0</v>
      </c>
      <c r="DG100" s="16">
        <f t="shared" si="65"/>
        <v>0</v>
      </c>
      <c r="DH100" s="14">
        <f>IF([1]Sheet2!DS99=999999,"NA",[1]Sheet2!DS99)</f>
        <v>0</v>
      </c>
      <c r="DI100" s="14">
        <f>IF([1]Sheet2!DT99=999999,"NA",[1]Sheet2!DT99)</f>
        <v>268</v>
      </c>
      <c r="DJ100" s="14" t="str">
        <f>IF([1]Sheet2!DU99=999999,"NA",[1]Sheet2!DU99)</f>
        <v>NA</v>
      </c>
      <c r="DK100" s="14" t="str">
        <f>IF([1]Sheet2!DV99=999999,"NA",[1]Sheet2!DV99)</f>
        <v>NA</v>
      </c>
      <c r="DL100" s="14" t="str">
        <f>IF([1]Sheet2!DW99=999999,"NA",[1]Sheet2!DW99)</f>
        <v>NA</v>
      </c>
      <c r="DM100" s="14">
        <f>IF([1]Sheet2!DX99=999999,"NA",[1]Sheet2!DX99)</f>
        <v>0</v>
      </c>
      <c r="DN100" s="14">
        <f>IF([1]Sheet2!DY99=999999,"NA",[1]Sheet2!DY99)</f>
        <v>268</v>
      </c>
      <c r="DO100" s="14" t="str">
        <f>IF([1]Sheet2!DZ99=999999,"NA",[1]Sheet2!DZ99)</f>
        <v>NA</v>
      </c>
      <c r="DP100" s="14" t="str">
        <f>IF([1]Sheet2!EA99=999999,"NA",[1]Sheet2!EA99)</f>
        <v>NA</v>
      </c>
      <c r="DQ100" s="14" t="str">
        <f>IF([1]Sheet2!EB99=999999,"NA",[1]Sheet2!EB99)</f>
        <v>NA</v>
      </c>
      <c r="DR100" s="14">
        <f>[1]Sheet2!CY99</f>
        <v>0</v>
      </c>
      <c r="DS100" s="14">
        <f>[1]Sheet2!CZ99</f>
        <v>0</v>
      </c>
      <c r="DT100" s="14">
        <f>[1]Sheet2!DA99</f>
        <v>0</v>
      </c>
      <c r="DU100" s="14">
        <f>[1]Sheet2!DB99</f>
        <v>0</v>
      </c>
      <c r="DV100" s="14">
        <f>[1]Sheet2!DC99</f>
        <v>0</v>
      </c>
      <c r="DW100" s="14">
        <f>[1]Sheet2!DD99</f>
        <v>0</v>
      </c>
      <c r="DX100" s="14">
        <f>[1]Sheet2!DE99</f>
        <v>0</v>
      </c>
      <c r="DY100" s="14">
        <f>[1]Sheet2!DF99</f>
        <v>0</v>
      </c>
      <c r="DZ100" s="14">
        <f>[1]Sheet2!DG99</f>
        <v>0</v>
      </c>
      <c r="EA100" s="14">
        <f>[1]Sheet2!DH99</f>
        <v>0</v>
      </c>
      <c r="EB100" s="6">
        <f>[1]Sheet2!EC99</f>
        <v>0</v>
      </c>
      <c r="EC100" s="6">
        <f>[1]Sheet2!ED99</f>
        <v>0</v>
      </c>
      <c r="ED100" s="6">
        <f>[1]Sheet2!EE99</f>
        <v>0</v>
      </c>
      <c r="EE100" s="6">
        <f>[1]Sheet2!EF99</f>
        <v>0</v>
      </c>
      <c r="EF100" s="6">
        <f>[1]Sheet2!EG99</f>
        <v>0</v>
      </c>
      <c r="EG100" s="6">
        <f>[1]Sheet2!EH99</f>
        <v>0</v>
      </c>
      <c r="EH100" s="6">
        <f>[1]Sheet2!EI99</f>
        <v>0</v>
      </c>
      <c r="EI100" s="6">
        <f>[1]Sheet2!EJ99</f>
        <v>0</v>
      </c>
      <c r="EJ100" s="6">
        <f>[1]Sheet2!EK99</f>
        <v>0</v>
      </c>
      <c r="EK100" s="6">
        <f>[1]Sheet2!EL99</f>
        <v>0</v>
      </c>
      <c r="EL100" s="6" t="str">
        <f>[1]Sheet2!EM99</f>
        <v/>
      </c>
      <c r="EM100" s="6" t="str">
        <f>[1]Sheet2!EN99</f>
        <v/>
      </c>
      <c r="EN100" s="6" t="str">
        <f>[1]Sheet2!EO99</f>
        <v/>
      </c>
      <c r="EO100" s="6" t="str">
        <f>[1]Sheet2!EP99</f>
        <v/>
      </c>
      <c r="EP100" s="6" t="str">
        <f>[1]Sheet2!EQ99</f>
        <v/>
      </c>
      <c r="EQ100" s="6" t="str">
        <f>[1]Sheet2!ER99</f>
        <v/>
      </c>
      <c r="ER100" s="6" t="str">
        <f>[1]Sheet2!ES99</f>
        <v/>
      </c>
      <c r="ES100" s="6" t="str">
        <f>[1]Sheet2!ET99</f>
        <v/>
      </c>
      <c r="ET100" s="6" t="str">
        <f>[1]Sheet2!EU99</f>
        <v/>
      </c>
      <c r="EU100" s="6" t="str">
        <f>[1]Sheet2!EV99</f>
        <v/>
      </c>
      <c r="EV100" s="6" t="str">
        <f>[1]Sheet2!EW99</f>
        <v/>
      </c>
      <c r="EW100" s="6" t="str">
        <f>[1]Sheet2!EX99</f>
        <v/>
      </c>
      <c r="EX100" s="6" t="str">
        <f>[1]Sheet2!EY99</f>
        <v/>
      </c>
      <c r="EY100" s="6" t="str">
        <f>[1]Sheet2!EZ99</f>
        <v/>
      </c>
      <c r="EZ100" s="6" t="str">
        <f>[1]Sheet2!FA99</f>
        <v/>
      </c>
      <c r="FA100" s="6" t="str">
        <f>[1]Sheet2!FB99</f>
        <v/>
      </c>
      <c r="FB100" s="6" t="str">
        <f>[1]Sheet2!FC99</f>
        <v/>
      </c>
      <c r="FC100" s="6" t="str">
        <f>[1]Sheet2!FD99</f>
        <v/>
      </c>
      <c r="FD100" s="6" t="str">
        <f>[1]Sheet2!FE99</f>
        <v/>
      </c>
      <c r="FE100" s="6" t="str">
        <f>[1]Sheet2!FF99</f>
        <v/>
      </c>
      <c r="FF100" s="6" t="str">
        <f>[1]Sheet2!FG99</f>
        <v/>
      </c>
      <c r="FG100" s="6" t="str">
        <f>[1]Sheet2!FH99</f>
        <v/>
      </c>
      <c r="FH100" s="6" t="str">
        <f>[1]Sheet2!FI99</f>
        <v/>
      </c>
      <c r="FI100" s="6" t="str">
        <f>[1]Sheet2!FJ99</f>
        <v/>
      </c>
      <c r="FJ100" s="6" t="str">
        <f>[1]Sheet2!FK99</f>
        <v/>
      </c>
      <c r="FK100" s="6" t="str">
        <f>[1]Sheet2!FL99</f>
        <v/>
      </c>
      <c r="FL100" s="6" t="str">
        <f>[1]Sheet2!FM99</f>
        <v/>
      </c>
      <c r="FM100" s="6" t="str">
        <f>[1]Sheet2!FN99</f>
        <v/>
      </c>
      <c r="FN100" s="6" t="str">
        <f>[1]Sheet2!FO99</f>
        <v/>
      </c>
      <c r="FO100" s="6" t="str">
        <f>[1]Sheet2!FP99</f>
        <v/>
      </c>
    </row>
    <row r="101" spans="1:171" x14ac:dyDescent="0.25">
      <c r="A101" s="15">
        <v>43563</v>
      </c>
      <c r="B101" s="1"/>
      <c r="C101" s="1"/>
      <c r="D101" s="1"/>
      <c r="E101" s="14">
        <f>[1]Sheet2!N100</f>
        <v>0</v>
      </c>
      <c r="F101" s="14">
        <f>[1]Sheet2!BE100</f>
        <v>0</v>
      </c>
      <c r="G101" s="14">
        <f>[1]Sheet2!CW100</f>
        <v>0</v>
      </c>
      <c r="H101" s="1"/>
      <c r="I101" s="1"/>
      <c r="J101" s="1"/>
      <c r="K101" s="16"/>
      <c r="L101" s="16">
        <f>Demand_CWRS!B$6/30</f>
        <v>136.96097796474356</v>
      </c>
      <c r="M101" s="16">
        <f>Demand_CWRS!C$6/30</f>
        <v>544.43376068376062</v>
      </c>
      <c r="N101" s="16">
        <f>Demand_CWRS!D$6/30</f>
        <v>0</v>
      </c>
      <c r="O101" s="16">
        <f>Demand_CWRS!E$6/30</f>
        <v>108.97435897435896</v>
      </c>
      <c r="P101" s="16">
        <f>Demand_CWRS!F$6/30</f>
        <v>213.3621347489316</v>
      </c>
      <c r="Q101" s="16">
        <f>Demand_CWRS!G$6/30</f>
        <v>133.33333333333334</v>
      </c>
      <c r="R101" s="16">
        <f>Demand_CWRS!H$6/30</f>
        <v>213.3621347489316</v>
      </c>
      <c r="S101" s="16">
        <f>Demand_CWRS!I$6/30</f>
        <v>213.3621347489316</v>
      </c>
      <c r="T101" s="16">
        <f>Demand_CWRS!J$6/30</f>
        <v>213.3621347489316</v>
      </c>
      <c r="U101" s="16">
        <f>Demand_CWRS!K$6/30</f>
        <v>213.3621347489316</v>
      </c>
      <c r="V101" s="16">
        <f t="shared" si="36"/>
        <v>-11574.692125537566</v>
      </c>
      <c r="W101" s="16">
        <f t="shared" si="37"/>
        <v>-37537.593162393103</v>
      </c>
      <c r="X101" s="16">
        <f t="shared" si="38"/>
        <v>0</v>
      </c>
      <c r="Y101" s="16">
        <f t="shared" si="39"/>
        <v>-2351.1996267445543</v>
      </c>
      <c r="Z101" s="16">
        <f t="shared" si="40"/>
        <v>-17816.414294195602</v>
      </c>
      <c r="AA101" s="16">
        <f t="shared" si="41"/>
        <v>-10328.727158390142</v>
      </c>
      <c r="AB101" s="16">
        <f t="shared" si="42"/>
        <v>-22297.45796406742</v>
      </c>
      <c r="AC101" s="16">
        <f t="shared" si="43"/>
        <v>-16504.447707657142</v>
      </c>
      <c r="AD101" s="16">
        <f t="shared" si="44"/>
        <v>-16604.447707657135</v>
      </c>
      <c r="AE101" s="16">
        <f t="shared" si="45"/>
        <v>-17204.447707657138</v>
      </c>
      <c r="AF101" s="14">
        <f>IF([1]Sheet2!AJ100=999999,"NA",[1]Sheet2!AJ100)</f>
        <v>0</v>
      </c>
      <c r="AG101" s="14">
        <f>IF([1]Sheet2!AK100=999999,"NA",[1]Sheet2!AK100)</f>
        <v>0</v>
      </c>
      <c r="AH101" s="14" t="str">
        <f>IF([1]Sheet2!AL100=999999,"NA",[1]Sheet2!AL100)</f>
        <v>NA</v>
      </c>
      <c r="AI101" s="14">
        <f>IF([1]Sheet2!AM100=999999,"NA",[1]Sheet2!AM100)</f>
        <v>0</v>
      </c>
      <c r="AJ101" s="14">
        <f>IF([1]Sheet2!AN100=999999,"NA",[1]Sheet2!AN100)</f>
        <v>0</v>
      </c>
      <c r="AK101" s="14">
        <f>IF([1]Sheet2!AO100=999999,"NA",[1]Sheet2!AO100)</f>
        <v>0</v>
      </c>
      <c r="AL101" s="14">
        <f>IF([1]Sheet2!AP100=999999,"NA",[1]Sheet2!AP100)</f>
        <v>0</v>
      </c>
      <c r="AM101" s="14">
        <f>IF([1]Sheet2!AQ100=999999,"NA",[1]Sheet2!AQ100)</f>
        <v>0</v>
      </c>
      <c r="AN101" s="14">
        <f>IF([1]Sheet2!AR100=999999,"NA",[1]Sheet2!AR100)</f>
        <v>0</v>
      </c>
      <c r="AO101" s="14">
        <f>IF([1]Sheet2!AS100=999999,"NA",[1]Sheet2!AS100)</f>
        <v>0</v>
      </c>
      <c r="AP101" s="14">
        <f>[1]Sheet2!P100</f>
        <v>0</v>
      </c>
      <c r="AQ101" s="14">
        <f>[1]Sheet2!Q100</f>
        <v>0</v>
      </c>
      <c r="AR101" s="14">
        <f>[1]Sheet2!R100</f>
        <v>0</v>
      </c>
      <c r="AS101" s="14">
        <f>[1]Sheet2!S100</f>
        <v>0</v>
      </c>
      <c r="AT101" s="14">
        <f>[1]Sheet2!T100</f>
        <v>0</v>
      </c>
      <c r="AU101" s="14">
        <f>[1]Sheet2!U100</f>
        <v>0</v>
      </c>
      <c r="AV101" s="14">
        <f>[1]Sheet2!V100</f>
        <v>0</v>
      </c>
      <c r="AW101" s="14">
        <f>[1]Sheet2!W100</f>
        <v>0</v>
      </c>
      <c r="AX101" s="14">
        <f>[1]Sheet2!X100</f>
        <v>0</v>
      </c>
      <c r="AY101" s="14">
        <f>[1]Sheet2!Y100</f>
        <v>0</v>
      </c>
      <c r="AZ101" s="16">
        <f>Demand_LP!B$6/30</f>
        <v>790.61612406517088</v>
      </c>
      <c r="BA101" s="16">
        <f>Demand_LP!C$6/30</f>
        <v>816.46367521367517</v>
      </c>
      <c r="BB101" s="16">
        <f>Demand_LP!D$6/30</f>
        <v>346.63461538461536</v>
      </c>
      <c r="BC101" s="16">
        <f>Demand_LP!E$6/30</f>
        <v>795.48076923076928</v>
      </c>
      <c r="BD101" s="16">
        <f>Demand_LP!F$6/30</f>
        <v>472.52230168269227</v>
      </c>
      <c r="BE101" s="16">
        <f>Demand_LP!G$6/30</f>
        <v>472.52230168269227</v>
      </c>
      <c r="BF101" s="16">
        <f>Demand_LP!H$6/30</f>
        <v>816.46367521367517</v>
      </c>
      <c r="BG101" s="16">
        <f>Demand_LP!I$6/30</f>
        <v>472.52230168269227</v>
      </c>
      <c r="BH101" s="16">
        <f>Demand_LP!J$6/30</f>
        <v>472.52230168269227</v>
      </c>
      <c r="BI101" s="16">
        <f>Demand_LP!K$6/30</f>
        <v>472.52230168269227</v>
      </c>
      <c r="BJ101" s="16">
        <f t="shared" si="46"/>
        <v>-58026.953721454811</v>
      </c>
      <c r="BK101" s="16">
        <f t="shared" si="47"/>
        <v>-52148.252991452922</v>
      </c>
      <c r="BL101" s="16">
        <f t="shared" si="48"/>
        <v>-17547.042307692322</v>
      </c>
      <c r="BM101" s="16">
        <f t="shared" si="49"/>
        <v>-63170.393573515081</v>
      </c>
      <c r="BN101" s="16">
        <f t="shared" si="50"/>
        <v>-37222.494495090839</v>
      </c>
      <c r="BO101" s="16">
        <f t="shared" si="51"/>
        <v>-35680.178413461552</v>
      </c>
      <c r="BP101" s="16">
        <f t="shared" si="52"/>
        <v>-46505.832478632459</v>
      </c>
      <c r="BQ101" s="16">
        <f t="shared" si="53"/>
        <v>-35680.178413461552</v>
      </c>
      <c r="BR101" s="16">
        <f t="shared" si="54"/>
        <v>-33280.178413461552</v>
      </c>
      <c r="BS101" s="16">
        <f t="shared" si="55"/>
        <v>-33980.178413461545</v>
      </c>
      <c r="BT101" s="14">
        <f>IF([1]Sheet2!CB100=999999,"NA",[1]Sheet2!CB100)</f>
        <v>0</v>
      </c>
      <c r="BU101" s="14">
        <f>IF([1]Sheet2!CC100=999999,"NA",[1]Sheet2!CC100)</f>
        <v>0</v>
      </c>
      <c r="BV101" s="14">
        <f>IF([1]Sheet2!CD100=999999,"NA",[1]Sheet2!CD100)</f>
        <v>0</v>
      </c>
      <c r="BW101" s="14">
        <f>IF([1]Sheet2!CE100=999999,"NA",[1]Sheet2!CE100)</f>
        <v>0</v>
      </c>
      <c r="BX101" s="14">
        <f>IF([1]Sheet2!CF100=999999,"NA",[1]Sheet2!CF100)</f>
        <v>0</v>
      </c>
      <c r="BY101" s="14">
        <f>IF([1]Sheet2!CG100=999999,"NA",[1]Sheet2!CG100)</f>
        <v>0</v>
      </c>
      <c r="BZ101" s="14">
        <f>IF([1]Sheet2!CH100=999999,"NA",[1]Sheet2!CH100)</f>
        <v>0</v>
      </c>
      <c r="CA101" s="14">
        <f>IF([1]Sheet2!CI100=999999,"NA",[1]Sheet2!CI100)</f>
        <v>0</v>
      </c>
      <c r="CB101" s="14">
        <f>IF([1]Sheet2!CJ100=999999,"NA",[1]Sheet2!CJ100)</f>
        <v>0</v>
      </c>
      <c r="CC101" s="14">
        <f>IF([1]Sheet2!CK100=999999,"NA",[1]Sheet2!CK100)</f>
        <v>0</v>
      </c>
      <c r="CD101" s="14">
        <f>[1]Sheet2!BH100</f>
        <v>0</v>
      </c>
      <c r="CE101" s="14">
        <f>[1]Sheet2!BI100</f>
        <v>0</v>
      </c>
      <c r="CF101" s="14">
        <f>[1]Sheet2!BJ100</f>
        <v>0</v>
      </c>
      <c r="CG101" s="14">
        <f>[1]Sheet2!BK100</f>
        <v>0</v>
      </c>
      <c r="CH101" s="14">
        <f>[1]Sheet2!BL100</f>
        <v>0</v>
      </c>
      <c r="CI101" s="14">
        <f>[1]Sheet2!BM100</f>
        <v>0</v>
      </c>
      <c r="CJ101" s="14">
        <f>[1]Sheet2!BN100</f>
        <v>0</v>
      </c>
      <c r="CK101" s="14">
        <f>[1]Sheet2!BO100</f>
        <v>0</v>
      </c>
      <c r="CL101" s="14">
        <f>[1]Sheet2!BP100</f>
        <v>0</v>
      </c>
      <c r="CM101" s="14">
        <f>[1]Sheet2!BQ100</f>
        <v>0</v>
      </c>
      <c r="CN101" s="16">
        <f>Demand_SW!B$6/30</f>
        <v>173.07692307692304</v>
      </c>
      <c r="CO101" s="16">
        <f>Demand_SW!C$6/30</f>
        <v>0</v>
      </c>
      <c r="CP101" s="16">
        <f>Demand_SW!D$6/30</f>
        <v>0</v>
      </c>
      <c r="CQ101" s="16">
        <f>Demand_SW!E$6/30</f>
        <v>0</v>
      </c>
      <c r="CR101" s="16">
        <f>Demand_SW!F$6/30</f>
        <v>0</v>
      </c>
      <c r="CS101" s="16">
        <f>Demand_SW!G$6/30</f>
        <v>173.07692307692304</v>
      </c>
      <c r="CT101" s="16">
        <f>Demand_SW!H$6/30</f>
        <v>0</v>
      </c>
      <c r="CU101" s="16">
        <f>Demand_SW!I$6/30</f>
        <v>0</v>
      </c>
      <c r="CV101" s="16">
        <f>Demand_SW!J$6/30</f>
        <v>0</v>
      </c>
      <c r="CW101" s="16">
        <f>Demand_SW!K$6/30</f>
        <v>0</v>
      </c>
      <c r="CX101" s="16">
        <f t="shared" si="56"/>
        <v>-7655.3846153846098</v>
      </c>
      <c r="CY101" s="16">
        <f t="shared" si="57"/>
        <v>76.923076923077133</v>
      </c>
      <c r="CZ101" s="16">
        <f t="shared" si="58"/>
        <v>0</v>
      </c>
      <c r="DA101" s="16">
        <f t="shared" si="59"/>
        <v>0</v>
      </c>
      <c r="DB101" s="16">
        <f t="shared" si="60"/>
        <v>0</v>
      </c>
      <c r="DC101" s="16">
        <f t="shared" si="61"/>
        <v>-7184.6153846153784</v>
      </c>
      <c r="DD101" s="16">
        <f t="shared" si="62"/>
        <v>76.923076923077133</v>
      </c>
      <c r="DE101" s="16">
        <f t="shared" si="63"/>
        <v>0</v>
      </c>
      <c r="DF101" s="16">
        <f t="shared" si="64"/>
        <v>0</v>
      </c>
      <c r="DG101" s="16">
        <f t="shared" si="65"/>
        <v>0</v>
      </c>
      <c r="DH101" s="14">
        <f>IF([1]Sheet2!DS100=999999,"NA",[1]Sheet2!DS100)</f>
        <v>0</v>
      </c>
      <c r="DI101" s="14">
        <f>IF([1]Sheet2!DT100=999999,"NA",[1]Sheet2!DT100)</f>
        <v>267</v>
      </c>
      <c r="DJ101" s="14" t="str">
        <f>IF([1]Sheet2!DU100=999999,"NA",[1]Sheet2!DU100)</f>
        <v>NA</v>
      </c>
      <c r="DK101" s="14" t="str">
        <f>IF([1]Sheet2!DV100=999999,"NA",[1]Sheet2!DV100)</f>
        <v>NA</v>
      </c>
      <c r="DL101" s="14" t="str">
        <f>IF([1]Sheet2!DW100=999999,"NA",[1]Sheet2!DW100)</f>
        <v>NA</v>
      </c>
      <c r="DM101" s="14">
        <f>IF([1]Sheet2!DX100=999999,"NA",[1]Sheet2!DX100)</f>
        <v>0</v>
      </c>
      <c r="DN101" s="14">
        <f>IF([1]Sheet2!DY100=999999,"NA",[1]Sheet2!DY100)</f>
        <v>267</v>
      </c>
      <c r="DO101" s="14" t="str">
        <f>IF([1]Sheet2!DZ100=999999,"NA",[1]Sheet2!DZ100)</f>
        <v>NA</v>
      </c>
      <c r="DP101" s="14" t="str">
        <f>IF([1]Sheet2!EA100=999999,"NA",[1]Sheet2!EA100)</f>
        <v>NA</v>
      </c>
      <c r="DQ101" s="14" t="str">
        <f>IF([1]Sheet2!EB100=999999,"NA",[1]Sheet2!EB100)</f>
        <v>NA</v>
      </c>
      <c r="DR101" s="14">
        <f>[1]Sheet2!CY100</f>
        <v>0</v>
      </c>
      <c r="DS101" s="14">
        <f>[1]Sheet2!CZ100</f>
        <v>0</v>
      </c>
      <c r="DT101" s="14">
        <f>[1]Sheet2!DA100</f>
        <v>0</v>
      </c>
      <c r="DU101" s="14">
        <f>[1]Sheet2!DB100</f>
        <v>0</v>
      </c>
      <c r="DV101" s="14">
        <f>[1]Sheet2!DC100</f>
        <v>0</v>
      </c>
      <c r="DW101" s="14">
        <f>[1]Sheet2!DD100</f>
        <v>0</v>
      </c>
      <c r="DX101" s="14">
        <f>[1]Sheet2!DE100</f>
        <v>0</v>
      </c>
      <c r="DY101" s="14">
        <f>[1]Sheet2!DF100</f>
        <v>0</v>
      </c>
      <c r="DZ101" s="14">
        <f>[1]Sheet2!DG100</f>
        <v>0</v>
      </c>
      <c r="EA101" s="14">
        <f>[1]Sheet2!DH100</f>
        <v>0</v>
      </c>
      <c r="EB101" s="6">
        <f>[1]Sheet2!EC100</f>
        <v>0</v>
      </c>
      <c r="EC101" s="6">
        <f>[1]Sheet2!ED100</f>
        <v>0</v>
      </c>
      <c r="ED101" s="6">
        <f>[1]Sheet2!EE100</f>
        <v>0</v>
      </c>
      <c r="EE101" s="6">
        <f>[1]Sheet2!EF100</f>
        <v>0</v>
      </c>
      <c r="EF101" s="6">
        <f>[1]Sheet2!EG100</f>
        <v>0</v>
      </c>
      <c r="EG101" s="6">
        <f>[1]Sheet2!EH100</f>
        <v>0</v>
      </c>
      <c r="EH101" s="6">
        <f>[1]Sheet2!EI100</f>
        <v>0</v>
      </c>
      <c r="EI101" s="6">
        <f>[1]Sheet2!EJ100</f>
        <v>0</v>
      </c>
      <c r="EJ101" s="6">
        <f>[1]Sheet2!EK100</f>
        <v>0</v>
      </c>
      <c r="EK101" s="6">
        <f>[1]Sheet2!EL100</f>
        <v>0</v>
      </c>
      <c r="EL101" s="6" t="str">
        <f>[1]Sheet2!EM100</f>
        <v/>
      </c>
      <c r="EM101" s="6" t="str">
        <f>[1]Sheet2!EN100</f>
        <v/>
      </c>
      <c r="EN101" s="6" t="str">
        <f>[1]Sheet2!EO100</f>
        <v/>
      </c>
      <c r="EO101" s="6" t="str">
        <f>[1]Sheet2!EP100</f>
        <v/>
      </c>
      <c r="EP101" s="6" t="str">
        <f>[1]Sheet2!EQ100</f>
        <v/>
      </c>
      <c r="EQ101" s="6" t="str">
        <f>[1]Sheet2!ER100</f>
        <v/>
      </c>
      <c r="ER101" s="6" t="str">
        <f>[1]Sheet2!ES100</f>
        <v/>
      </c>
      <c r="ES101" s="6" t="str">
        <f>[1]Sheet2!ET100</f>
        <v/>
      </c>
      <c r="ET101" s="6" t="str">
        <f>[1]Sheet2!EU100</f>
        <v/>
      </c>
      <c r="EU101" s="6" t="str">
        <f>[1]Sheet2!EV100</f>
        <v/>
      </c>
      <c r="EV101" s="6" t="str">
        <f>[1]Sheet2!EW100</f>
        <v/>
      </c>
      <c r="EW101" s="6" t="str">
        <f>[1]Sheet2!EX100</f>
        <v/>
      </c>
      <c r="EX101" s="6" t="str">
        <f>[1]Sheet2!EY100</f>
        <v/>
      </c>
      <c r="EY101" s="6" t="str">
        <f>[1]Sheet2!EZ100</f>
        <v/>
      </c>
      <c r="EZ101" s="6" t="str">
        <f>[1]Sheet2!FA100</f>
        <v/>
      </c>
      <c r="FA101" s="6" t="str">
        <f>[1]Sheet2!FB100</f>
        <v/>
      </c>
      <c r="FB101" s="6" t="str">
        <f>[1]Sheet2!FC100</f>
        <v/>
      </c>
      <c r="FC101" s="6" t="str">
        <f>[1]Sheet2!FD100</f>
        <v/>
      </c>
      <c r="FD101" s="6" t="str">
        <f>[1]Sheet2!FE100</f>
        <v/>
      </c>
      <c r="FE101" s="6" t="str">
        <f>[1]Sheet2!FF100</f>
        <v/>
      </c>
      <c r="FF101" s="6" t="str">
        <f>[1]Sheet2!FG100</f>
        <v/>
      </c>
      <c r="FG101" s="6" t="str">
        <f>[1]Sheet2!FH100</f>
        <v/>
      </c>
      <c r="FH101" s="6" t="str">
        <f>[1]Sheet2!FI100</f>
        <v/>
      </c>
      <c r="FI101" s="6" t="str">
        <f>[1]Sheet2!FJ100</f>
        <v/>
      </c>
      <c r="FJ101" s="6" t="str">
        <f>[1]Sheet2!FK100</f>
        <v/>
      </c>
      <c r="FK101" s="6" t="str">
        <f>[1]Sheet2!FL100</f>
        <v/>
      </c>
      <c r="FL101" s="6" t="str">
        <f>[1]Sheet2!FM100</f>
        <v/>
      </c>
      <c r="FM101" s="6" t="str">
        <f>[1]Sheet2!FN100</f>
        <v/>
      </c>
      <c r="FN101" s="6" t="str">
        <f>[1]Sheet2!FO100</f>
        <v/>
      </c>
      <c r="FO101" s="6" t="str">
        <f>[1]Sheet2!FP100</f>
        <v/>
      </c>
    </row>
    <row r="102" spans="1:171" x14ac:dyDescent="0.25">
      <c r="A102" s="15">
        <v>43564</v>
      </c>
      <c r="B102" s="1"/>
      <c r="C102" s="1"/>
      <c r="D102" s="1"/>
      <c r="E102" s="14">
        <f>[1]Sheet2!N101</f>
        <v>0</v>
      </c>
      <c r="F102" s="14">
        <f>[1]Sheet2!BE101</f>
        <v>0</v>
      </c>
      <c r="G102" s="14">
        <f>[1]Sheet2!CW101</f>
        <v>0</v>
      </c>
      <c r="H102" s="1"/>
      <c r="I102" s="1"/>
      <c r="J102" s="1"/>
      <c r="K102" s="16"/>
      <c r="L102" s="16">
        <f>Demand_CWRS!B$6/30</f>
        <v>136.96097796474356</v>
      </c>
      <c r="M102" s="16">
        <f>Demand_CWRS!C$6/30</f>
        <v>544.43376068376062</v>
      </c>
      <c r="N102" s="16">
        <f>Demand_CWRS!D$6/30</f>
        <v>0</v>
      </c>
      <c r="O102" s="16">
        <f>Demand_CWRS!E$6/30</f>
        <v>108.97435897435896</v>
      </c>
      <c r="P102" s="16">
        <f>Demand_CWRS!F$6/30</f>
        <v>213.3621347489316</v>
      </c>
      <c r="Q102" s="16">
        <f>Demand_CWRS!G$6/30</f>
        <v>133.33333333333334</v>
      </c>
      <c r="R102" s="16">
        <f>Demand_CWRS!H$6/30</f>
        <v>213.3621347489316</v>
      </c>
      <c r="S102" s="16">
        <f>Demand_CWRS!I$6/30</f>
        <v>213.3621347489316</v>
      </c>
      <c r="T102" s="16">
        <f>Demand_CWRS!J$6/30</f>
        <v>213.3621347489316</v>
      </c>
      <c r="U102" s="16">
        <f>Demand_CWRS!K$6/30</f>
        <v>213.3621347489316</v>
      </c>
      <c r="V102" s="16">
        <f t="shared" si="36"/>
        <v>-11711.653103502309</v>
      </c>
      <c r="W102" s="16">
        <f t="shared" si="37"/>
        <v>-38082.026923076861</v>
      </c>
      <c r="X102" s="16">
        <f t="shared" si="38"/>
        <v>0</v>
      </c>
      <c r="Y102" s="16">
        <f t="shared" si="39"/>
        <v>-2460.1739857189132</v>
      </c>
      <c r="Z102" s="16">
        <f t="shared" si="40"/>
        <v>-18029.776428944533</v>
      </c>
      <c r="AA102" s="16">
        <f t="shared" si="41"/>
        <v>-10462.060491723476</v>
      </c>
      <c r="AB102" s="16">
        <f t="shared" si="42"/>
        <v>-22510.820098816352</v>
      </c>
      <c r="AC102" s="16">
        <f t="shared" si="43"/>
        <v>-16717.809842406074</v>
      </c>
      <c r="AD102" s="16">
        <f t="shared" si="44"/>
        <v>-16817.809842406066</v>
      </c>
      <c r="AE102" s="16">
        <f t="shared" si="45"/>
        <v>-17417.80984240607</v>
      </c>
      <c r="AF102" s="14">
        <f>IF([1]Sheet2!AJ101=999999,"NA",[1]Sheet2!AJ101)</f>
        <v>0</v>
      </c>
      <c r="AG102" s="14">
        <f>IF([1]Sheet2!AK101=999999,"NA",[1]Sheet2!AK101)</f>
        <v>0</v>
      </c>
      <c r="AH102" s="14" t="str">
        <f>IF([1]Sheet2!AL101=999999,"NA",[1]Sheet2!AL101)</f>
        <v>NA</v>
      </c>
      <c r="AI102" s="14">
        <f>IF([1]Sheet2!AM101=999999,"NA",[1]Sheet2!AM101)</f>
        <v>0</v>
      </c>
      <c r="AJ102" s="14">
        <f>IF([1]Sheet2!AN101=999999,"NA",[1]Sheet2!AN101)</f>
        <v>0</v>
      </c>
      <c r="AK102" s="14">
        <f>IF([1]Sheet2!AO101=999999,"NA",[1]Sheet2!AO101)</f>
        <v>0</v>
      </c>
      <c r="AL102" s="14">
        <f>IF([1]Sheet2!AP101=999999,"NA",[1]Sheet2!AP101)</f>
        <v>0</v>
      </c>
      <c r="AM102" s="14">
        <f>IF([1]Sheet2!AQ101=999999,"NA",[1]Sheet2!AQ101)</f>
        <v>0</v>
      </c>
      <c r="AN102" s="14">
        <f>IF([1]Sheet2!AR101=999999,"NA",[1]Sheet2!AR101)</f>
        <v>0</v>
      </c>
      <c r="AO102" s="14">
        <f>IF([1]Sheet2!AS101=999999,"NA",[1]Sheet2!AS101)</f>
        <v>0</v>
      </c>
      <c r="AP102" s="14">
        <f>[1]Sheet2!P101</f>
        <v>0</v>
      </c>
      <c r="AQ102" s="14">
        <f>[1]Sheet2!Q101</f>
        <v>0</v>
      </c>
      <c r="AR102" s="14">
        <f>[1]Sheet2!R101</f>
        <v>0</v>
      </c>
      <c r="AS102" s="14">
        <f>[1]Sheet2!S101</f>
        <v>0</v>
      </c>
      <c r="AT102" s="14">
        <f>[1]Sheet2!T101</f>
        <v>0</v>
      </c>
      <c r="AU102" s="14">
        <f>[1]Sheet2!U101</f>
        <v>0</v>
      </c>
      <c r="AV102" s="14">
        <f>[1]Sheet2!V101</f>
        <v>0</v>
      </c>
      <c r="AW102" s="14">
        <f>[1]Sheet2!W101</f>
        <v>0</v>
      </c>
      <c r="AX102" s="14">
        <f>[1]Sheet2!X101</f>
        <v>0</v>
      </c>
      <c r="AY102" s="14">
        <f>[1]Sheet2!Y101</f>
        <v>0</v>
      </c>
      <c r="AZ102" s="16">
        <f>Demand_LP!B$6/30</f>
        <v>790.61612406517088</v>
      </c>
      <c r="BA102" s="16">
        <f>Demand_LP!C$6/30</f>
        <v>816.46367521367517</v>
      </c>
      <c r="BB102" s="16">
        <f>Demand_LP!D$6/30</f>
        <v>346.63461538461536</v>
      </c>
      <c r="BC102" s="16">
        <f>Demand_LP!E$6/30</f>
        <v>795.48076923076928</v>
      </c>
      <c r="BD102" s="16">
        <f>Demand_LP!F$6/30</f>
        <v>472.52230168269227</v>
      </c>
      <c r="BE102" s="16">
        <f>Demand_LP!G$6/30</f>
        <v>472.52230168269227</v>
      </c>
      <c r="BF102" s="16">
        <f>Demand_LP!H$6/30</f>
        <v>816.46367521367517</v>
      </c>
      <c r="BG102" s="16">
        <f>Demand_LP!I$6/30</f>
        <v>472.52230168269227</v>
      </c>
      <c r="BH102" s="16">
        <f>Demand_LP!J$6/30</f>
        <v>472.52230168269227</v>
      </c>
      <c r="BI102" s="16">
        <f>Demand_LP!K$6/30</f>
        <v>472.52230168269227</v>
      </c>
      <c r="BJ102" s="16">
        <f t="shared" si="46"/>
        <v>-58817.569845519982</v>
      </c>
      <c r="BK102" s="16">
        <f t="shared" si="47"/>
        <v>-52964.716666666594</v>
      </c>
      <c r="BL102" s="16">
        <f t="shared" si="48"/>
        <v>-17893.676923076939</v>
      </c>
      <c r="BM102" s="16">
        <f t="shared" si="49"/>
        <v>-63965.874342745847</v>
      </c>
      <c r="BN102" s="16">
        <f t="shared" si="50"/>
        <v>-37695.016796773532</v>
      </c>
      <c r="BO102" s="16">
        <f t="shared" si="51"/>
        <v>-36152.700715144245</v>
      </c>
      <c r="BP102" s="16">
        <f t="shared" si="52"/>
        <v>-47322.296153846131</v>
      </c>
      <c r="BQ102" s="16">
        <f t="shared" si="53"/>
        <v>-36152.700715144245</v>
      </c>
      <c r="BR102" s="16">
        <f t="shared" si="54"/>
        <v>-33752.700715144245</v>
      </c>
      <c r="BS102" s="16">
        <f t="shared" si="55"/>
        <v>-34452.700715144238</v>
      </c>
      <c r="BT102" s="14">
        <f>IF([1]Sheet2!CB101=999999,"NA",[1]Sheet2!CB101)</f>
        <v>0</v>
      </c>
      <c r="BU102" s="14">
        <f>IF([1]Sheet2!CC101=999999,"NA",[1]Sheet2!CC101)</f>
        <v>0</v>
      </c>
      <c r="BV102" s="14">
        <f>IF([1]Sheet2!CD101=999999,"NA",[1]Sheet2!CD101)</f>
        <v>0</v>
      </c>
      <c r="BW102" s="14">
        <f>IF([1]Sheet2!CE101=999999,"NA",[1]Sheet2!CE101)</f>
        <v>0</v>
      </c>
      <c r="BX102" s="14">
        <f>IF([1]Sheet2!CF101=999999,"NA",[1]Sheet2!CF101)</f>
        <v>0</v>
      </c>
      <c r="BY102" s="14">
        <f>IF([1]Sheet2!CG101=999999,"NA",[1]Sheet2!CG101)</f>
        <v>0</v>
      </c>
      <c r="BZ102" s="14">
        <f>IF([1]Sheet2!CH101=999999,"NA",[1]Sheet2!CH101)</f>
        <v>0</v>
      </c>
      <c r="CA102" s="14">
        <f>IF([1]Sheet2!CI101=999999,"NA",[1]Sheet2!CI101)</f>
        <v>0</v>
      </c>
      <c r="CB102" s="14">
        <f>IF([1]Sheet2!CJ101=999999,"NA",[1]Sheet2!CJ101)</f>
        <v>0</v>
      </c>
      <c r="CC102" s="14">
        <f>IF([1]Sheet2!CK101=999999,"NA",[1]Sheet2!CK101)</f>
        <v>0</v>
      </c>
      <c r="CD102" s="14">
        <f>[1]Sheet2!BH101</f>
        <v>0</v>
      </c>
      <c r="CE102" s="14">
        <f>[1]Sheet2!BI101</f>
        <v>0</v>
      </c>
      <c r="CF102" s="14">
        <f>[1]Sheet2!BJ101</f>
        <v>0</v>
      </c>
      <c r="CG102" s="14">
        <f>[1]Sheet2!BK101</f>
        <v>0</v>
      </c>
      <c r="CH102" s="14">
        <f>[1]Sheet2!BL101</f>
        <v>0</v>
      </c>
      <c r="CI102" s="14">
        <f>[1]Sheet2!BM101</f>
        <v>0</v>
      </c>
      <c r="CJ102" s="14">
        <f>[1]Sheet2!BN101</f>
        <v>0</v>
      </c>
      <c r="CK102" s="14">
        <f>[1]Sheet2!BO101</f>
        <v>0</v>
      </c>
      <c r="CL102" s="14">
        <f>[1]Sheet2!BP101</f>
        <v>0</v>
      </c>
      <c r="CM102" s="14">
        <f>[1]Sheet2!BQ101</f>
        <v>0</v>
      </c>
      <c r="CN102" s="16">
        <f>Demand_SW!B$6/30</f>
        <v>173.07692307692304</v>
      </c>
      <c r="CO102" s="16">
        <f>Demand_SW!C$6/30</f>
        <v>0</v>
      </c>
      <c r="CP102" s="16">
        <f>Demand_SW!D$6/30</f>
        <v>0</v>
      </c>
      <c r="CQ102" s="16">
        <f>Demand_SW!E$6/30</f>
        <v>0</v>
      </c>
      <c r="CR102" s="16">
        <f>Demand_SW!F$6/30</f>
        <v>0</v>
      </c>
      <c r="CS102" s="16">
        <f>Demand_SW!G$6/30</f>
        <v>173.07692307692304</v>
      </c>
      <c r="CT102" s="16">
        <f>Demand_SW!H$6/30</f>
        <v>0</v>
      </c>
      <c r="CU102" s="16">
        <f>Demand_SW!I$6/30</f>
        <v>0</v>
      </c>
      <c r="CV102" s="16">
        <f>Demand_SW!J$6/30</f>
        <v>0</v>
      </c>
      <c r="CW102" s="16">
        <f>Demand_SW!K$6/30</f>
        <v>0</v>
      </c>
      <c r="CX102" s="16">
        <f t="shared" si="56"/>
        <v>-7828.4615384615327</v>
      </c>
      <c r="CY102" s="16">
        <f t="shared" si="57"/>
        <v>76.923076923077133</v>
      </c>
      <c r="CZ102" s="16">
        <f t="shared" si="58"/>
        <v>0</v>
      </c>
      <c r="DA102" s="16">
        <f t="shared" si="59"/>
        <v>0</v>
      </c>
      <c r="DB102" s="16">
        <f t="shared" si="60"/>
        <v>0</v>
      </c>
      <c r="DC102" s="16">
        <f t="shared" si="61"/>
        <v>-7357.6923076923013</v>
      </c>
      <c r="DD102" s="16">
        <f t="shared" si="62"/>
        <v>76.923076923077133</v>
      </c>
      <c r="DE102" s="16">
        <f t="shared" si="63"/>
        <v>0</v>
      </c>
      <c r="DF102" s="16">
        <f t="shared" si="64"/>
        <v>0</v>
      </c>
      <c r="DG102" s="16">
        <f t="shared" si="65"/>
        <v>0</v>
      </c>
      <c r="DH102" s="14">
        <f>IF([1]Sheet2!DS101=999999,"NA",[1]Sheet2!DS101)</f>
        <v>0</v>
      </c>
      <c r="DI102" s="14">
        <f>IF([1]Sheet2!DT101=999999,"NA",[1]Sheet2!DT101)</f>
        <v>266</v>
      </c>
      <c r="DJ102" s="14" t="str">
        <f>IF([1]Sheet2!DU101=999999,"NA",[1]Sheet2!DU101)</f>
        <v>NA</v>
      </c>
      <c r="DK102" s="14" t="str">
        <f>IF([1]Sheet2!DV101=999999,"NA",[1]Sheet2!DV101)</f>
        <v>NA</v>
      </c>
      <c r="DL102" s="14" t="str">
        <f>IF([1]Sheet2!DW101=999999,"NA",[1]Sheet2!DW101)</f>
        <v>NA</v>
      </c>
      <c r="DM102" s="14">
        <f>IF([1]Sheet2!DX101=999999,"NA",[1]Sheet2!DX101)</f>
        <v>0</v>
      </c>
      <c r="DN102" s="14">
        <f>IF([1]Sheet2!DY101=999999,"NA",[1]Sheet2!DY101)</f>
        <v>266</v>
      </c>
      <c r="DO102" s="14" t="str">
        <f>IF([1]Sheet2!DZ101=999999,"NA",[1]Sheet2!DZ101)</f>
        <v>NA</v>
      </c>
      <c r="DP102" s="14" t="str">
        <f>IF([1]Sheet2!EA101=999999,"NA",[1]Sheet2!EA101)</f>
        <v>NA</v>
      </c>
      <c r="DQ102" s="14" t="str">
        <f>IF([1]Sheet2!EB101=999999,"NA",[1]Sheet2!EB101)</f>
        <v>NA</v>
      </c>
      <c r="DR102" s="14">
        <f>[1]Sheet2!CY101</f>
        <v>0</v>
      </c>
      <c r="DS102" s="14">
        <f>[1]Sheet2!CZ101</f>
        <v>0</v>
      </c>
      <c r="DT102" s="14">
        <f>[1]Sheet2!DA101</f>
        <v>0</v>
      </c>
      <c r="DU102" s="14">
        <f>[1]Sheet2!DB101</f>
        <v>0</v>
      </c>
      <c r="DV102" s="14">
        <f>[1]Sheet2!DC101</f>
        <v>0</v>
      </c>
      <c r="DW102" s="14">
        <f>[1]Sheet2!DD101</f>
        <v>0</v>
      </c>
      <c r="DX102" s="14">
        <f>[1]Sheet2!DE101</f>
        <v>0</v>
      </c>
      <c r="DY102" s="14">
        <f>[1]Sheet2!DF101</f>
        <v>0</v>
      </c>
      <c r="DZ102" s="14">
        <f>[1]Sheet2!DG101</f>
        <v>0</v>
      </c>
      <c r="EA102" s="14">
        <f>[1]Sheet2!DH101</f>
        <v>0</v>
      </c>
      <c r="EB102" s="6">
        <f>[1]Sheet2!EC101</f>
        <v>0</v>
      </c>
      <c r="EC102" s="6">
        <f>[1]Sheet2!ED101</f>
        <v>0</v>
      </c>
      <c r="ED102" s="6">
        <f>[1]Sheet2!EE101</f>
        <v>0</v>
      </c>
      <c r="EE102" s="6">
        <f>[1]Sheet2!EF101</f>
        <v>0</v>
      </c>
      <c r="EF102" s="6">
        <f>[1]Sheet2!EG101</f>
        <v>0</v>
      </c>
      <c r="EG102" s="6">
        <f>[1]Sheet2!EH101</f>
        <v>0</v>
      </c>
      <c r="EH102" s="6">
        <f>[1]Sheet2!EI101</f>
        <v>0</v>
      </c>
      <c r="EI102" s="6">
        <f>[1]Sheet2!EJ101</f>
        <v>0</v>
      </c>
      <c r="EJ102" s="6">
        <f>[1]Sheet2!EK101</f>
        <v>0</v>
      </c>
      <c r="EK102" s="6">
        <f>[1]Sheet2!EL101</f>
        <v>0</v>
      </c>
      <c r="EL102" s="6" t="str">
        <f>[1]Sheet2!EM101</f>
        <v/>
      </c>
      <c r="EM102" s="6" t="str">
        <f>[1]Sheet2!EN101</f>
        <v/>
      </c>
      <c r="EN102" s="6" t="str">
        <f>[1]Sheet2!EO101</f>
        <v/>
      </c>
      <c r="EO102" s="6" t="str">
        <f>[1]Sheet2!EP101</f>
        <v/>
      </c>
      <c r="EP102" s="6" t="str">
        <f>[1]Sheet2!EQ101</f>
        <v/>
      </c>
      <c r="EQ102" s="6" t="str">
        <f>[1]Sheet2!ER101</f>
        <v/>
      </c>
      <c r="ER102" s="6" t="str">
        <f>[1]Sheet2!ES101</f>
        <v/>
      </c>
      <c r="ES102" s="6" t="str">
        <f>[1]Sheet2!ET101</f>
        <v/>
      </c>
      <c r="ET102" s="6" t="str">
        <f>[1]Sheet2!EU101</f>
        <v/>
      </c>
      <c r="EU102" s="6" t="str">
        <f>[1]Sheet2!EV101</f>
        <v/>
      </c>
      <c r="EV102" s="6" t="str">
        <f>[1]Sheet2!EW101</f>
        <v/>
      </c>
      <c r="EW102" s="6" t="str">
        <f>[1]Sheet2!EX101</f>
        <v/>
      </c>
      <c r="EX102" s="6" t="str">
        <f>[1]Sheet2!EY101</f>
        <v/>
      </c>
      <c r="EY102" s="6" t="str">
        <f>[1]Sheet2!EZ101</f>
        <v/>
      </c>
      <c r="EZ102" s="6" t="str">
        <f>[1]Sheet2!FA101</f>
        <v/>
      </c>
      <c r="FA102" s="6" t="str">
        <f>[1]Sheet2!FB101</f>
        <v/>
      </c>
      <c r="FB102" s="6" t="str">
        <f>[1]Sheet2!FC101</f>
        <v/>
      </c>
      <c r="FC102" s="6" t="str">
        <f>[1]Sheet2!FD101</f>
        <v/>
      </c>
      <c r="FD102" s="6" t="str">
        <f>[1]Sheet2!FE101</f>
        <v/>
      </c>
      <c r="FE102" s="6" t="str">
        <f>[1]Sheet2!FF101</f>
        <v/>
      </c>
      <c r="FF102" s="6" t="str">
        <f>[1]Sheet2!FG101</f>
        <v/>
      </c>
      <c r="FG102" s="6" t="str">
        <f>[1]Sheet2!FH101</f>
        <v/>
      </c>
      <c r="FH102" s="6" t="str">
        <f>[1]Sheet2!FI101</f>
        <v/>
      </c>
      <c r="FI102" s="6" t="str">
        <f>[1]Sheet2!FJ101</f>
        <v/>
      </c>
      <c r="FJ102" s="6" t="str">
        <f>[1]Sheet2!FK101</f>
        <v/>
      </c>
      <c r="FK102" s="6" t="str">
        <f>[1]Sheet2!FL101</f>
        <v/>
      </c>
      <c r="FL102" s="6" t="str">
        <f>[1]Sheet2!FM101</f>
        <v/>
      </c>
      <c r="FM102" s="6" t="str">
        <f>[1]Sheet2!FN101</f>
        <v/>
      </c>
      <c r="FN102" s="6" t="str">
        <f>[1]Sheet2!FO101</f>
        <v/>
      </c>
      <c r="FO102" s="6" t="str">
        <f>[1]Sheet2!FP101</f>
        <v/>
      </c>
    </row>
    <row r="103" spans="1:171" x14ac:dyDescent="0.25">
      <c r="A103" s="15">
        <v>43565</v>
      </c>
      <c r="B103" s="1"/>
      <c r="C103" s="1"/>
      <c r="D103" s="1"/>
      <c r="E103" s="14">
        <f>[1]Sheet2!N102</f>
        <v>0</v>
      </c>
      <c r="F103" s="14">
        <f>[1]Sheet2!BE102</f>
        <v>0</v>
      </c>
      <c r="G103" s="14">
        <f>[1]Sheet2!CW102</f>
        <v>0</v>
      </c>
      <c r="H103" s="1"/>
      <c r="I103" s="1"/>
      <c r="J103" s="1"/>
      <c r="K103" s="16"/>
      <c r="L103" s="16">
        <f>Demand_CWRS!B$6/30</f>
        <v>136.96097796474356</v>
      </c>
      <c r="M103" s="16">
        <f>Demand_CWRS!C$6/30</f>
        <v>544.43376068376062</v>
      </c>
      <c r="N103" s="16">
        <f>Demand_CWRS!D$6/30</f>
        <v>0</v>
      </c>
      <c r="O103" s="16">
        <f>Demand_CWRS!E$6/30</f>
        <v>108.97435897435896</v>
      </c>
      <c r="P103" s="16">
        <f>Demand_CWRS!F$6/30</f>
        <v>213.3621347489316</v>
      </c>
      <c r="Q103" s="16">
        <f>Demand_CWRS!G$6/30</f>
        <v>133.33333333333334</v>
      </c>
      <c r="R103" s="16">
        <f>Demand_CWRS!H$6/30</f>
        <v>213.3621347489316</v>
      </c>
      <c r="S103" s="16">
        <f>Demand_CWRS!I$6/30</f>
        <v>213.3621347489316</v>
      </c>
      <c r="T103" s="16">
        <f>Demand_CWRS!J$6/30</f>
        <v>213.3621347489316</v>
      </c>
      <c r="U103" s="16">
        <f>Demand_CWRS!K$6/30</f>
        <v>213.3621347489316</v>
      </c>
      <c r="V103" s="16">
        <f t="shared" si="36"/>
        <v>-11848.614081467053</v>
      </c>
      <c r="W103" s="16">
        <f t="shared" si="37"/>
        <v>-38626.460683760619</v>
      </c>
      <c r="X103" s="16">
        <f t="shared" si="38"/>
        <v>0</v>
      </c>
      <c r="Y103" s="16">
        <f t="shared" si="39"/>
        <v>-2569.1483446932721</v>
      </c>
      <c r="Z103" s="16">
        <f t="shared" si="40"/>
        <v>-18243.138563693465</v>
      </c>
      <c r="AA103" s="16">
        <f t="shared" si="41"/>
        <v>-10595.39382505681</v>
      </c>
      <c r="AB103" s="16">
        <f t="shared" si="42"/>
        <v>-22724.182233565283</v>
      </c>
      <c r="AC103" s="16">
        <f t="shared" si="43"/>
        <v>-16931.171977155005</v>
      </c>
      <c r="AD103" s="16">
        <f t="shared" si="44"/>
        <v>-17031.171977154998</v>
      </c>
      <c r="AE103" s="16">
        <f t="shared" si="45"/>
        <v>-17631.171977155002</v>
      </c>
      <c r="AF103" s="14">
        <f>IF([1]Sheet2!AJ102=999999,"NA",[1]Sheet2!AJ102)</f>
        <v>0</v>
      </c>
      <c r="AG103" s="14">
        <f>IF([1]Sheet2!AK102=999999,"NA",[1]Sheet2!AK102)</f>
        <v>0</v>
      </c>
      <c r="AH103" s="14" t="str">
        <f>IF([1]Sheet2!AL102=999999,"NA",[1]Sheet2!AL102)</f>
        <v>NA</v>
      </c>
      <c r="AI103" s="14">
        <f>IF([1]Sheet2!AM102=999999,"NA",[1]Sheet2!AM102)</f>
        <v>0</v>
      </c>
      <c r="AJ103" s="14">
        <f>IF([1]Sheet2!AN102=999999,"NA",[1]Sheet2!AN102)</f>
        <v>0</v>
      </c>
      <c r="AK103" s="14">
        <f>IF([1]Sheet2!AO102=999999,"NA",[1]Sheet2!AO102)</f>
        <v>0</v>
      </c>
      <c r="AL103" s="14">
        <f>IF([1]Sheet2!AP102=999999,"NA",[1]Sheet2!AP102)</f>
        <v>0</v>
      </c>
      <c r="AM103" s="14">
        <f>IF([1]Sheet2!AQ102=999999,"NA",[1]Sheet2!AQ102)</f>
        <v>0</v>
      </c>
      <c r="AN103" s="14">
        <f>IF([1]Sheet2!AR102=999999,"NA",[1]Sheet2!AR102)</f>
        <v>0</v>
      </c>
      <c r="AO103" s="14">
        <f>IF([1]Sheet2!AS102=999999,"NA",[1]Sheet2!AS102)</f>
        <v>0</v>
      </c>
      <c r="AP103" s="14">
        <f>[1]Sheet2!P102</f>
        <v>0</v>
      </c>
      <c r="AQ103" s="14">
        <f>[1]Sheet2!Q102</f>
        <v>0</v>
      </c>
      <c r="AR103" s="14">
        <f>[1]Sheet2!R102</f>
        <v>0</v>
      </c>
      <c r="AS103" s="14">
        <f>[1]Sheet2!S102</f>
        <v>0</v>
      </c>
      <c r="AT103" s="14">
        <f>[1]Sheet2!T102</f>
        <v>0</v>
      </c>
      <c r="AU103" s="14">
        <f>[1]Sheet2!U102</f>
        <v>0</v>
      </c>
      <c r="AV103" s="14">
        <f>[1]Sheet2!V102</f>
        <v>0</v>
      </c>
      <c r="AW103" s="14">
        <f>[1]Sheet2!W102</f>
        <v>0</v>
      </c>
      <c r="AX103" s="14">
        <f>[1]Sheet2!X102</f>
        <v>0</v>
      </c>
      <c r="AY103" s="14">
        <f>[1]Sheet2!Y102</f>
        <v>0</v>
      </c>
      <c r="AZ103" s="16">
        <f>Demand_LP!B$6/30</f>
        <v>790.61612406517088</v>
      </c>
      <c r="BA103" s="16">
        <f>Demand_LP!C$6/30</f>
        <v>816.46367521367517</v>
      </c>
      <c r="BB103" s="16">
        <f>Demand_LP!D$6/30</f>
        <v>346.63461538461536</v>
      </c>
      <c r="BC103" s="16">
        <f>Demand_LP!E$6/30</f>
        <v>795.48076923076928</v>
      </c>
      <c r="BD103" s="16">
        <f>Demand_LP!F$6/30</f>
        <v>472.52230168269227</v>
      </c>
      <c r="BE103" s="16">
        <f>Demand_LP!G$6/30</f>
        <v>472.52230168269227</v>
      </c>
      <c r="BF103" s="16">
        <f>Demand_LP!H$6/30</f>
        <v>816.46367521367517</v>
      </c>
      <c r="BG103" s="16">
        <f>Demand_LP!I$6/30</f>
        <v>472.52230168269227</v>
      </c>
      <c r="BH103" s="16">
        <f>Demand_LP!J$6/30</f>
        <v>472.52230168269227</v>
      </c>
      <c r="BI103" s="16">
        <f>Demand_LP!K$6/30</f>
        <v>472.52230168269227</v>
      </c>
      <c r="BJ103" s="16">
        <f t="shared" si="46"/>
        <v>-59608.185969585153</v>
      </c>
      <c r="BK103" s="16">
        <f t="shared" si="47"/>
        <v>-53781.180341880266</v>
      </c>
      <c r="BL103" s="16">
        <f t="shared" si="48"/>
        <v>-18240.311538461556</v>
      </c>
      <c r="BM103" s="16">
        <f t="shared" si="49"/>
        <v>-64761.355111976613</v>
      </c>
      <c r="BN103" s="16">
        <f t="shared" si="50"/>
        <v>-38167.539098456225</v>
      </c>
      <c r="BO103" s="16">
        <f t="shared" si="51"/>
        <v>-36625.223016826938</v>
      </c>
      <c r="BP103" s="16">
        <f t="shared" si="52"/>
        <v>-48138.759829059803</v>
      </c>
      <c r="BQ103" s="16">
        <f t="shared" si="53"/>
        <v>-36625.223016826938</v>
      </c>
      <c r="BR103" s="16">
        <f t="shared" si="54"/>
        <v>-34225.223016826938</v>
      </c>
      <c r="BS103" s="16">
        <f t="shared" si="55"/>
        <v>-34925.223016826931</v>
      </c>
      <c r="BT103" s="14">
        <f>IF([1]Sheet2!CB102=999999,"NA",[1]Sheet2!CB102)</f>
        <v>0</v>
      </c>
      <c r="BU103" s="14">
        <f>IF([1]Sheet2!CC102=999999,"NA",[1]Sheet2!CC102)</f>
        <v>0</v>
      </c>
      <c r="BV103" s="14">
        <f>IF([1]Sheet2!CD102=999999,"NA",[1]Sheet2!CD102)</f>
        <v>0</v>
      </c>
      <c r="BW103" s="14">
        <f>IF([1]Sheet2!CE102=999999,"NA",[1]Sheet2!CE102)</f>
        <v>0</v>
      </c>
      <c r="BX103" s="14">
        <f>IF([1]Sheet2!CF102=999999,"NA",[1]Sheet2!CF102)</f>
        <v>0</v>
      </c>
      <c r="BY103" s="14">
        <f>IF([1]Sheet2!CG102=999999,"NA",[1]Sheet2!CG102)</f>
        <v>0</v>
      </c>
      <c r="BZ103" s="14">
        <f>IF([1]Sheet2!CH102=999999,"NA",[1]Sheet2!CH102)</f>
        <v>0</v>
      </c>
      <c r="CA103" s="14">
        <f>IF([1]Sheet2!CI102=999999,"NA",[1]Sheet2!CI102)</f>
        <v>0</v>
      </c>
      <c r="CB103" s="14">
        <f>IF([1]Sheet2!CJ102=999999,"NA",[1]Sheet2!CJ102)</f>
        <v>0</v>
      </c>
      <c r="CC103" s="14">
        <f>IF([1]Sheet2!CK102=999999,"NA",[1]Sheet2!CK102)</f>
        <v>0</v>
      </c>
      <c r="CD103" s="14">
        <f>[1]Sheet2!BH102</f>
        <v>0</v>
      </c>
      <c r="CE103" s="14">
        <f>[1]Sheet2!BI102</f>
        <v>0</v>
      </c>
      <c r="CF103" s="14">
        <f>[1]Sheet2!BJ102</f>
        <v>0</v>
      </c>
      <c r="CG103" s="14">
        <f>[1]Sheet2!BK102</f>
        <v>0</v>
      </c>
      <c r="CH103" s="14">
        <f>[1]Sheet2!BL102</f>
        <v>0</v>
      </c>
      <c r="CI103" s="14">
        <f>[1]Sheet2!BM102</f>
        <v>0</v>
      </c>
      <c r="CJ103" s="14">
        <f>[1]Sheet2!BN102</f>
        <v>0</v>
      </c>
      <c r="CK103" s="14">
        <f>[1]Sheet2!BO102</f>
        <v>0</v>
      </c>
      <c r="CL103" s="14">
        <f>[1]Sheet2!BP102</f>
        <v>0</v>
      </c>
      <c r="CM103" s="14">
        <f>[1]Sheet2!BQ102</f>
        <v>0</v>
      </c>
      <c r="CN103" s="16">
        <f>Demand_SW!B$6/30</f>
        <v>173.07692307692304</v>
      </c>
      <c r="CO103" s="16">
        <f>Demand_SW!C$6/30</f>
        <v>0</v>
      </c>
      <c r="CP103" s="16">
        <f>Demand_SW!D$6/30</f>
        <v>0</v>
      </c>
      <c r="CQ103" s="16">
        <f>Demand_SW!E$6/30</f>
        <v>0</v>
      </c>
      <c r="CR103" s="16">
        <f>Demand_SW!F$6/30</f>
        <v>0</v>
      </c>
      <c r="CS103" s="16">
        <f>Demand_SW!G$6/30</f>
        <v>173.07692307692304</v>
      </c>
      <c r="CT103" s="16">
        <f>Demand_SW!H$6/30</f>
        <v>0</v>
      </c>
      <c r="CU103" s="16">
        <f>Demand_SW!I$6/30</f>
        <v>0</v>
      </c>
      <c r="CV103" s="16">
        <f>Demand_SW!J$6/30</f>
        <v>0</v>
      </c>
      <c r="CW103" s="16">
        <f>Demand_SW!K$6/30</f>
        <v>0</v>
      </c>
      <c r="CX103" s="16">
        <f t="shared" si="56"/>
        <v>-8001.5384615384555</v>
      </c>
      <c r="CY103" s="16">
        <f t="shared" si="57"/>
        <v>76.923076923077133</v>
      </c>
      <c r="CZ103" s="16">
        <f t="shared" si="58"/>
        <v>0</v>
      </c>
      <c r="DA103" s="16">
        <f t="shared" si="59"/>
        <v>0</v>
      </c>
      <c r="DB103" s="16">
        <f t="shared" si="60"/>
        <v>0</v>
      </c>
      <c r="DC103" s="16">
        <f t="shared" si="61"/>
        <v>-7530.7692307692241</v>
      </c>
      <c r="DD103" s="16">
        <f t="shared" si="62"/>
        <v>76.923076923077133</v>
      </c>
      <c r="DE103" s="16">
        <f t="shared" si="63"/>
        <v>0</v>
      </c>
      <c r="DF103" s="16">
        <f t="shared" si="64"/>
        <v>0</v>
      </c>
      <c r="DG103" s="16">
        <f t="shared" si="65"/>
        <v>0</v>
      </c>
      <c r="DH103" s="14">
        <f>IF([1]Sheet2!DS102=999999,"NA",[1]Sheet2!DS102)</f>
        <v>0</v>
      </c>
      <c r="DI103" s="14">
        <f>IF([1]Sheet2!DT102=999999,"NA",[1]Sheet2!DT102)</f>
        <v>265</v>
      </c>
      <c r="DJ103" s="14" t="str">
        <f>IF([1]Sheet2!DU102=999999,"NA",[1]Sheet2!DU102)</f>
        <v>NA</v>
      </c>
      <c r="DK103" s="14" t="str">
        <f>IF([1]Sheet2!DV102=999999,"NA",[1]Sheet2!DV102)</f>
        <v>NA</v>
      </c>
      <c r="DL103" s="14" t="str">
        <f>IF([1]Sheet2!DW102=999999,"NA",[1]Sheet2!DW102)</f>
        <v>NA</v>
      </c>
      <c r="DM103" s="14">
        <f>IF([1]Sheet2!DX102=999999,"NA",[1]Sheet2!DX102)</f>
        <v>0</v>
      </c>
      <c r="DN103" s="14">
        <f>IF([1]Sheet2!DY102=999999,"NA",[1]Sheet2!DY102)</f>
        <v>265</v>
      </c>
      <c r="DO103" s="14" t="str">
        <f>IF([1]Sheet2!DZ102=999999,"NA",[1]Sheet2!DZ102)</f>
        <v>NA</v>
      </c>
      <c r="DP103" s="14" t="str">
        <f>IF([1]Sheet2!EA102=999999,"NA",[1]Sheet2!EA102)</f>
        <v>NA</v>
      </c>
      <c r="DQ103" s="14" t="str">
        <f>IF([1]Sheet2!EB102=999999,"NA",[1]Sheet2!EB102)</f>
        <v>NA</v>
      </c>
      <c r="DR103" s="14">
        <f>[1]Sheet2!CY102</f>
        <v>0</v>
      </c>
      <c r="DS103" s="14">
        <f>[1]Sheet2!CZ102</f>
        <v>0</v>
      </c>
      <c r="DT103" s="14">
        <f>[1]Sheet2!DA102</f>
        <v>0</v>
      </c>
      <c r="DU103" s="14">
        <f>[1]Sheet2!DB102</f>
        <v>0</v>
      </c>
      <c r="DV103" s="14">
        <f>[1]Sheet2!DC102</f>
        <v>0</v>
      </c>
      <c r="DW103" s="14">
        <f>[1]Sheet2!DD102</f>
        <v>0</v>
      </c>
      <c r="DX103" s="14">
        <f>[1]Sheet2!DE102</f>
        <v>0</v>
      </c>
      <c r="DY103" s="14">
        <f>[1]Sheet2!DF102</f>
        <v>0</v>
      </c>
      <c r="DZ103" s="14">
        <f>[1]Sheet2!DG102</f>
        <v>0</v>
      </c>
      <c r="EA103" s="14">
        <f>[1]Sheet2!DH102</f>
        <v>0</v>
      </c>
      <c r="EB103" s="6">
        <f>[1]Sheet2!EC102</f>
        <v>0</v>
      </c>
      <c r="EC103" s="6">
        <f>[1]Sheet2!ED102</f>
        <v>0</v>
      </c>
      <c r="ED103" s="6">
        <f>[1]Sheet2!EE102</f>
        <v>0</v>
      </c>
      <c r="EE103" s="6">
        <f>[1]Sheet2!EF102</f>
        <v>0</v>
      </c>
      <c r="EF103" s="6">
        <f>[1]Sheet2!EG102</f>
        <v>0</v>
      </c>
      <c r="EG103" s="6">
        <f>[1]Sheet2!EH102</f>
        <v>0</v>
      </c>
      <c r="EH103" s="6">
        <f>[1]Sheet2!EI102</f>
        <v>0</v>
      </c>
      <c r="EI103" s="6">
        <f>[1]Sheet2!EJ102</f>
        <v>0</v>
      </c>
      <c r="EJ103" s="6">
        <f>[1]Sheet2!EK102</f>
        <v>0</v>
      </c>
      <c r="EK103" s="6">
        <f>[1]Sheet2!EL102</f>
        <v>0</v>
      </c>
      <c r="EL103" s="6" t="str">
        <f>[1]Sheet2!EM102</f>
        <v/>
      </c>
      <c r="EM103" s="6" t="str">
        <f>[1]Sheet2!EN102</f>
        <v/>
      </c>
      <c r="EN103" s="6" t="str">
        <f>[1]Sheet2!EO102</f>
        <v/>
      </c>
      <c r="EO103" s="6" t="str">
        <f>[1]Sheet2!EP102</f>
        <v/>
      </c>
      <c r="EP103" s="6" t="str">
        <f>[1]Sheet2!EQ102</f>
        <v/>
      </c>
      <c r="EQ103" s="6" t="str">
        <f>[1]Sheet2!ER102</f>
        <v/>
      </c>
      <c r="ER103" s="6" t="str">
        <f>[1]Sheet2!ES102</f>
        <v/>
      </c>
      <c r="ES103" s="6" t="str">
        <f>[1]Sheet2!ET102</f>
        <v/>
      </c>
      <c r="ET103" s="6" t="str">
        <f>[1]Sheet2!EU102</f>
        <v/>
      </c>
      <c r="EU103" s="6" t="str">
        <f>[1]Sheet2!EV102</f>
        <v/>
      </c>
      <c r="EV103" s="6" t="str">
        <f>[1]Sheet2!EW102</f>
        <v/>
      </c>
      <c r="EW103" s="6" t="str">
        <f>[1]Sheet2!EX102</f>
        <v/>
      </c>
      <c r="EX103" s="6" t="str">
        <f>[1]Sheet2!EY102</f>
        <v/>
      </c>
      <c r="EY103" s="6" t="str">
        <f>[1]Sheet2!EZ102</f>
        <v/>
      </c>
      <c r="EZ103" s="6" t="str">
        <f>[1]Sheet2!FA102</f>
        <v/>
      </c>
      <c r="FA103" s="6" t="str">
        <f>[1]Sheet2!FB102</f>
        <v/>
      </c>
      <c r="FB103" s="6" t="str">
        <f>[1]Sheet2!FC102</f>
        <v/>
      </c>
      <c r="FC103" s="6" t="str">
        <f>[1]Sheet2!FD102</f>
        <v/>
      </c>
      <c r="FD103" s="6" t="str">
        <f>[1]Sheet2!FE102</f>
        <v/>
      </c>
      <c r="FE103" s="6" t="str">
        <f>[1]Sheet2!FF102</f>
        <v/>
      </c>
      <c r="FF103" s="6" t="str">
        <f>[1]Sheet2!FG102</f>
        <v/>
      </c>
      <c r="FG103" s="6" t="str">
        <f>[1]Sheet2!FH102</f>
        <v/>
      </c>
      <c r="FH103" s="6" t="str">
        <f>[1]Sheet2!FI102</f>
        <v/>
      </c>
      <c r="FI103" s="6" t="str">
        <f>[1]Sheet2!FJ102</f>
        <v/>
      </c>
      <c r="FJ103" s="6" t="str">
        <f>[1]Sheet2!FK102</f>
        <v/>
      </c>
      <c r="FK103" s="6" t="str">
        <f>[1]Sheet2!FL102</f>
        <v/>
      </c>
      <c r="FL103" s="6" t="str">
        <f>[1]Sheet2!FM102</f>
        <v/>
      </c>
      <c r="FM103" s="6" t="str">
        <f>[1]Sheet2!FN102</f>
        <v/>
      </c>
      <c r="FN103" s="6" t="str">
        <f>[1]Sheet2!FO102</f>
        <v/>
      </c>
      <c r="FO103" s="6" t="str">
        <f>[1]Sheet2!FP102</f>
        <v/>
      </c>
    </row>
    <row r="104" spans="1:171" x14ac:dyDescent="0.25">
      <c r="A104" s="15">
        <v>43566</v>
      </c>
      <c r="B104" s="1"/>
      <c r="C104" s="1"/>
      <c r="D104" s="1"/>
      <c r="E104" s="14">
        <f>[1]Sheet2!N103</f>
        <v>0</v>
      </c>
      <c r="F104" s="14">
        <f>[1]Sheet2!BE103</f>
        <v>0</v>
      </c>
      <c r="G104" s="14">
        <f>[1]Sheet2!CW103</f>
        <v>0</v>
      </c>
      <c r="H104" s="1"/>
      <c r="I104" s="1"/>
      <c r="J104" s="1"/>
      <c r="K104" s="16"/>
      <c r="L104" s="16">
        <f>Demand_CWRS!B$6/30</f>
        <v>136.96097796474356</v>
      </c>
      <c r="M104" s="16">
        <f>Demand_CWRS!C$6/30</f>
        <v>544.43376068376062</v>
      </c>
      <c r="N104" s="16">
        <f>Demand_CWRS!D$6/30</f>
        <v>0</v>
      </c>
      <c r="O104" s="16">
        <f>Demand_CWRS!E$6/30</f>
        <v>108.97435897435896</v>
      </c>
      <c r="P104" s="16">
        <f>Demand_CWRS!F$6/30</f>
        <v>213.3621347489316</v>
      </c>
      <c r="Q104" s="16">
        <f>Demand_CWRS!G$6/30</f>
        <v>133.33333333333334</v>
      </c>
      <c r="R104" s="16">
        <f>Demand_CWRS!H$6/30</f>
        <v>213.3621347489316</v>
      </c>
      <c r="S104" s="16">
        <f>Demand_CWRS!I$6/30</f>
        <v>213.3621347489316</v>
      </c>
      <c r="T104" s="16">
        <f>Demand_CWRS!J$6/30</f>
        <v>213.3621347489316</v>
      </c>
      <c r="U104" s="16">
        <f>Demand_CWRS!K$6/30</f>
        <v>213.3621347489316</v>
      </c>
      <c r="V104" s="16">
        <f t="shared" si="36"/>
        <v>-11985.575059431796</v>
      </c>
      <c r="W104" s="16">
        <f t="shared" si="37"/>
        <v>-39170.894444444377</v>
      </c>
      <c r="X104" s="16">
        <f t="shared" si="38"/>
        <v>0</v>
      </c>
      <c r="Y104" s="16">
        <f t="shared" si="39"/>
        <v>-2678.122703667631</v>
      </c>
      <c r="Z104" s="16">
        <f t="shared" si="40"/>
        <v>-18456.500698442396</v>
      </c>
      <c r="AA104" s="16">
        <f t="shared" si="41"/>
        <v>-10728.727158390144</v>
      </c>
      <c r="AB104" s="16">
        <f t="shared" si="42"/>
        <v>-22937.544368314215</v>
      </c>
      <c r="AC104" s="16">
        <f t="shared" si="43"/>
        <v>-17144.534111903937</v>
      </c>
      <c r="AD104" s="16">
        <f t="shared" si="44"/>
        <v>-17244.534111903929</v>
      </c>
      <c r="AE104" s="16">
        <f t="shared" si="45"/>
        <v>-17844.534111903933</v>
      </c>
      <c r="AF104" s="14">
        <f>IF([1]Sheet2!AJ103=999999,"NA",[1]Sheet2!AJ103)</f>
        <v>0</v>
      </c>
      <c r="AG104" s="14">
        <f>IF([1]Sheet2!AK103=999999,"NA",[1]Sheet2!AK103)</f>
        <v>0</v>
      </c>
      <c r="AH104" s="14" t="str">
        <f>IF([1]Sheet2!AL103=999999,"NA",[1]Sheet2!AL103)</f>
        <v>NA</v>
      </c>
      <c r="AI104" s="14">
        <f>IF([1]Sheet2!AM103=999999,"NA",[1]Sheet2!AM103)</f>
        <v>0</v>
      </c>
      <c r="AJ104" s="14">
        <f>IF([1]Sheet2!AN103=999999,"NA",[1]Sheet2!AN103)</f>
        <v>0</v>
      </c>
      <c r="AK104" s="14">
        <f>IF([1]Sheet2!AO103=999999,"NA",[1]Sheet2!AO103)</f>
        <v>0</v>
      </c>
      <c r="AL104" s="14">
        <f>IF([1]Sheet2!AP103=999999,"NA",[1]Sheet2!AP103)</f>
        <v>0</v>
      </c>
      <c r="AM104" s="14">
        <f>IF([1]Sheet2!AQ103=999999,"NA",[1]Sheet2!AQ103)</f>
        <v>0</v>
      </c>
      <c r="AN104" s="14">
        <f>IF([1]Sheet2!AR103=999999,"NA",[1]Sheet2!AR103)</f>
        <v>0</v>
      </c>
      <c r="AO104" s="14">
        <f>IF([1]Sheet2!AS103=999999,"NA",[1]Sheet2!AS103)</f>
        <v>0</v>
      </c>
      <c r="AP104" s="14">
        <f>[1]Sheet2!P103</f>
        <v>0</v>
      </c>
      <c r="AQ104" s="14">
        <f>[1]Sheet2!Q103</f>
        <v>0</v>
      </c>
      <c r="AR104" s="14">
        <f>[1]Sheet2!R103</f>
        <v>0</v>
      </c>
      <c r="AS104" s="14">
        <f>[1]Sheet2!S103</f>
        <v>0</v>
      </c>
      <c r="AT104" s="14">
        <f>[1]Sheet2!T103</f>
        <v>0</v>
      </c>
      <c r="AU104" s="14">
        <f>[1]Sheet2!U103</f>
        <v>0</v>
      </c>
      <c r="AV104" s="14">
        <f>[1]Sheet2!V103</f>
        <v>0</v>
      </c>
      <c r="AW104" s="14">
        <f>[1]Sheet2!W103</f>
        <v>0</v>
      </c>
      <c r="AX104" s="14">
        <f>[1]Sheet2!X103</f>
        <v>0</v>
      </c>
      <c r="AY104" s="14">
        <f>[1]Sheet2!Y103</f>
        <v>0</v>
      </c>
      <c r="AZ104" s="16">
        <f>Demand_LP!B$6/30</f>
        <v>790.61612406517088</v>
      </c>
      <c r="BA104" s="16">
        <f>Demand_LP!C$6/30</f>
        <v>816.46367521367517</v>
      </c>
      <c r="BB104" s="16">
        <f>Demand_LP!D$6/30</f>
        <v>346.63461538461536</v>
      </c>
      <c r="BC104" s="16">
        <f>Demand_LP!E$6/30</f>
        <v>795.48076923076928</v>
      </c>
      <c r="BD104" s="16">
        <f>Demand_LP!F$6/30</f>
        <v>472.52230168269227</v>
      </c>
      <c r="BE104" s="16">
        <f>Demand_LP!G$6/30</f>
        <v>472.52230168269227</v>
      </c>
      <c r="BF104" s="16">
        <f>Demand_LP!H$6/30</f>
        <v>816.46367521367517</v>
      </c>
      <c r="BG104" s="16">
        <f>Demand_LP!I$6/30</f>
        <v>472.52230168269227</v>
      </c>
      <c r="BH104" s="16">
        <f>Demand_LP!J$6/30</f>
        <v>472.52230168269227</v>
      </c>
      <c r="BI104" s="16">
        <f>Demand_LP!K$6/30</f>
        <v>472.52230168269227</v>
      </c>
      <c r="BJ104" s="16">
        <f t="shared" si="46"/>
        <v>-60398.802093650324</v>
      </c>
      <c r="BK104" s="16">
        <f t="shared" si="47"/>
        <v>-54597.644017093939</v>
      </c>
      <c r="BL104" s="16">
        <f t="shared" si="48"/>
        <v>-18586.946153846173</v>
      </c>
      <c r="BM104" s="16">
        <f t="shared" si="49"/>
        <v>-65556.835881207386</v>
      </c>
      <c r="BN104" s="16">
        <f t="shared" si="50"/>
        <v>-38640.061400138919</v>
      </c>
      <c r="BO104" s="16">
        <f t="shared" si="51"/>
        <v>-37097.745318509631</v>
      </c>
      <c r="BP104" s="16">
        <f t="shared" si="52"/>
        <v>-48955.223504273476</v>
      </c>
      <c r="BQ104" s="16">
        <f t="shared" si="53"/>
        <v>-37097.745318509631</v>
      </c>
      <c r="BR104" s="16">
        <f t="shared" si="54"/>
        <v>-34697.745318509631</v>
      </c>
      <c r="BS104" s="16">
        <f t="shared" si="55"/>
        <v>-35397.745318509624</v>
      </c>
      <c r="BT104" s="14">
        <f>IF([1]Sheet2!CB103=999999,"NA",[1]Sheet2!CB103)</f>
        <v>0</v>
      </c>
      <c r="BU104" s="14">
        <f>IF([1]Sheet2!CC103=999999,"NA",[1]Sheet2!CC103)</f>
        <v>0</v>
      </c>
      <c r="BV104" s="14">
        <f>IF([1]Sheet2!CD103=999999,"NA",[1]Sheet2!CD103)</f>
        <v>0</v>
      </c>
      <c r="BW104" s="14">
        <f>IF([1]Sheet2!CE103=999999,"NA",[1]Sheet2!CE103)</f>
        <v>0</v>
      </c>
      <c r="BX104" s="14">
        <f>IF([1]Sheet2!CF103=999999,"NA",[1]Sheet2!CF103)</f>
        <v>0</v>
      </c>
      <c r="BY104" s="14">
        <f>IF([1]Sheet2!CG103=999999,"NA",[1]Sheet2!CG103)</f>
        <v>0</v>
      </c>
      <c r="BZ104" s="14">
        <f>IF([1]Sheet2!CH103=999999,"NA",[1]Sheet2!CH103)</f>
        <v>0</v>
      </c>
      <c r="CA104" s="14">
        <f>IF([1]Sheet2!CI103=999999,"NA",[1]Sheet2!CI103)</f>
        <v>0</v>
      </c>
      <c r="CB104" s="14">
        <f>IF([1]Sheet2!CJ103=999999,"NA",[1]Sheet2!CJ103)</f>
        <v>0</v>
      </c>
      <c r="CC104" s="14">
        <f>IF([1]Sheet2!CK103=999999,"NA",[1]Sheet2!CK103)</f>
        <v>0</v>
      </c>
      <c r="CD104" s="14">
        <f>[1]Sheet2!BH103</f>
        <v>0</v>
      </c>
      <c r="CE104" s="14">
        <f>[1]Sheet2!BI103</f>
        <v>0</v>
      </c>
      <c r="CF104" s="14">
        <f>[1]Sheet2!BJ103</f>
        <v>0</v>
      </c>
      <c r="CG104" s="14">
        <f>[1]Sheet2!BK103</f>
        <v>0</v>
      </c>
      <c r="CH104" s="14">
        <f>[1]Sheet2!BL103</f>
        <v>0</v>
      </c>
      <c r="CI104" s="14">
        <f>[1]Sheet2!BM103</f>
        <v>0</v>
      </c>
      <c r="CJ104" s="14">
        <f>[1]Sheet2!BN103</f>
        <v>0</v>
      </c>
      <c r="CK104" s="14">
        <f>[1]Sheet2!BO103</f>
        <v>0</v>
      </c>
      <c r="CL104" s="14">
        <f>[1]Sheet2!BP103</f>
        <v>0</v>
      </c>
      <c r="CM104" s="14">
        <f>[1]Sheet2!BQ103</f>
        <v>0</v>
      </c>
      <c r="CN104" s="16">
        <f>Demand_SW!B$6/30</f>
        <v>173.07692307692304</v>
      </c>
      <c r="CO104" s="16">
        <f>Demand_SW!C$6/30</f>
        <v>0</v>
      </c>
      <c r="CP104" s="16">
        <f>Demand_SW!D$6/30</f>
        <v>0</v>
      </c>
      <c r="CQ104" s="16">
        <f>Demand_SW!E$6/30</f>
        <v>0</v>
      </c>
      <c r="CR104" s="16">
        <f>Demand_SW!F$6/30</f>
        <v>0</v>
      </c>
      <c r="CS104" s="16">
        <f>Demand_SW!G$6/30</f>
        <v>173.07692307692304</v>
      </c>
      <c r="CT104" s="16">
        <f>Demand_SW!H$6/30</f>
        <v>0</v>
      </c>
      <c r="CU104" s="16">
        <f>Demand_SW!I$6/30</f>
        <v>0</v>
      </c>
      <c r="CV104" s="16">
        <f>Demand_SW!J$6/30</f>
        <v>0</v>
      </c>
      <c r="CW104" s="16">
        <f>Demand_SW!K$6/30</f>
        <v>0</v>
      </c>
      <c r="CX104" s="16">
        <f t="shared" si="56"/>
        <v>-8174.6153846153784</v>
      </c>
      <c r="CY104" s="16">
        <f t="shared" si="57"/>
        <v>76.923076923077133</v>
      </c>
      <c r="CZ104" s="16">
        <f t="shared" si="58"/>
        <v>0</v>
      </c>
      <c r="DA104" s="16">
        <f t="shared" si="59"/>
        <v>0</v>
      </c>
      <c r="DB104" s="16">
        <f t="shared" si="60"/>
        <v>0</v>
      </c>
      <c r="DC104" s="16">
        <f t="shared" si="61"/>
        <v>-7703.846153846147</v>
      </c>
      <c r="DD104" s="16">
        <f t="shared" si="62"/>
        <v>76.923076923077133</v>
      </c>
      <c r="DE104" s="16">
        <f t="shared" si="63"/>
        <v>0</v>
      </c>
      <c r="DF104" s="16">
        <f t="shared" si="64"/>
        <v>0</v>
      </c>
      <c r="DG104" s="16">
        <f t="shared" si="65"/>
        <v>0</v>
      </c>
      <c r="DH104" s="14">
        <f>IF([1]Sheet2!DS103=999999,"NA",[1]Sheet2!DS103)</f>
        <v>0</v>
      </c>
      <c r="DI104" s="14">
        <f>IF([1]Sheet2!DT103=999999,"NA",[1]Sheet2!DT103)</f>
        <v>264</v>
      </c>
      <c r="DJ104" s="14" t="str">
        <f>IF([1]Sheet2!DU103=999999,"NA",[1]Sheet2!DU103)</f>
        <v>NA</v>
      </c>
      <c r="DK104" s="14" t="str">
        <f>IF([1]Sheet2!DV103=999999,"NA",[1]Sheet2!DV103)</f>
        <v>NA</v>
      </c>
      <c r="DL104" s="14" t="str">
        <f>IF([1]Sheet2!DW103=999999,"NA",[1]Sheet2!DW103)</f>
        <v>NA</v>
      </c>
      <c r="DM104" s="14">
        <f>IF([1]Sheet2!DX103=999999,"NA",[1]Sheet2!DX103)</f>
        <v>0</v>
      </c>
      <c r="DN104" s="14">
        <f>IF([1]Sheet2!DY103=999999,"NA",[1]Sheet2!DY103)</f>
        <v>264</v>
      </c>
      <c r="DO104" s="14" t="str">
        <f>IF([1]Sheet2!DZ103=999999,"NA",[1]Sheet2!DZ103)</f>
        <v>NA</v>
      </c>
      <c r="DP104" s="14" t="str">
        <f>IF([1]Sheet2!EA103=999999,"NA",[1]Sheet2!EA103)</f>
        <v>NA</v>
      </c>
      <c r="DQ104" s="14" t="str">
        <f>IF([1]Sheet2!EB103=999999,"NA",[1]Sheet2!EB103)</f>
        <v>NA</v>
      </c>
      <c r="DR104" s="14">
        <f>[1]Sheet2!CY103</f>
        <v>0</v>
      </c>
      <c r="DS104" s="14">
        <f>[1]Sheet2!CZ103</f>
        <v>0</v>
      </c>
      <c r="DT104" s="14">
        <f>[1]Sheet2!DA103</f>
        <v>0</v>
      </c>
      <c r="DU104" s="14">
        <f>[1]Sheet2!DB103</f>
        <v>0</v>
      </c>
      <c r="DV104" s="14">
        <f>[1]Sheet2!DC103</f>
        <v>0</v>
      </c>
      <c r="DW104" s="14">
        <f>[1]Sheet2!DD103</f>
        <v>0</v>
      </c>
      <c r="DX104" s="14">
        <f>[1]Sheet2!DE103</f>
        <v>0</v>
      </c>
      <c r="DY104" s="14">
        <f>[1]Sheet2!DF103</f>
        <v>0</v>
      </c>
      <c r="DZ104" s="14">
        <f>[1]Sheet2!DG103</f>
        <v>0</v>
      </c>
      <c r="EA104" s="14">
        <f>[1]Sheet2!DH103</f>
        <v>0</v>
      </c>
      <c r="EB104" s="6">
        <f>[1]Sheet2!EC103</f>
        <v>0</v>
      </c>
      <c r="EC104" s="6">
        <f>[1]Sheet2!ED103</f>
        <v>0</v>
      </c>
      <c r="ED104" s="6">
        <f>[1]Sheet2!EE103</f>
        <v>0</v>
      </c>
      <c r="EE104" s="6">
        <f>[1]Sheet2!EF103</f>
        <v>0</v>
      </c>
      <c r="EF104" s="6">
        <f>[1]Sheet2!EG103</f>
        <v>0</v>
      </c>
      <c r="EG104" s="6">
        <f>[1]Sheet2!EH103</f>
        <v>0</v>
      </c>
      <c r="EH104" s="6">
        <f>[1]Sheet2!EI103</f>
        <v>0</v>
      </c>
      <c r="EI104" s="6">
        <f>[1]Sheet2!EJ103</f>
        <v>0</v>
      </c>
      <c r="EJ104" s="6">
        <f>[1]Sheet2!EK103</f>
        <v>0</v>
      </c>
      <c r="EK104" s="6">
        <f>[1]Sheet2!EL103</f>
        <v>0</v>
      </c>
      <c r="EL104" s="6" t="str">
        <f>[1]Sheet2!EM103</f>
        <v/>
      </c>
      <c r="EM104" s="6" t="str">
        <f>[1]Sheet2!EN103</f>
        <v/>
      </c>
      <c r="EN104" s="6" t="str">
        <f>[1]Sheet2!EO103</f>
        <v/>
      </c>
      <c r="EO104" s="6" t="str">
        <f>[1]Sheet2!EP103</f>
        <v/>
      </c>
      <c r="EP104" s="6" t="str">
        <f>[1]Sheet2!EQ103</f>
        <v/>
      </c>
      <c r="EQ104" s="6" t="str">
        <f>[1]Sheet2!ER103</f>
        <v/>
      </c>
      <c r="ER104" s="6" t="str">
        <f>[1]Sheet2!ES103</f>
        <v/>
      </c>
      <c r="ES104" s="6" t="str">
        <f>[1]Sheet2!ET103</f>
        <v/>
      </c>
      <c r="ET104" s="6" t="str">
        <f>[1]Sheet2!EU103</f>
        <v/>
      </c>
      <c r="EU104" s="6" t="str">
        <f>[1]Sheet2!EV103</f>
        <v/>
      </c>
      <c r="EV104" s="6" t="str">
        <f>[1]Sheet2!EW103</f>
        <v/>
      </c>
      <c r="EW104" s="6" t="str">
        <f>[1]Sheet2!EX103</f>
        <v/>
      </c>
      <c r="EX104" s="6" t="str">
        <f>[1]Sheet2!EY103</f>
        <v/>
      </c>
      <c r="EY104" s="6" t="str">
        <f>[1]Sheet2!EZ103</f>
        <v/>
      </c>
      <c r="EZ104" s="6" t="str">
        <f>[1]Sheet2!FA103</f>
        <v/>
      </c>
      <c r="FA104" s="6" t="str">
        <f>[1]Sheet2!FB103</f>
        <v/>
      </c>
      <c r="FB104" s="6" t="str">
        <f>[1]Sheet2!FC103</f>
        <v/>
      </c>
      <c r="FC104" s="6" t="str">
        <f>[1]Sheet2!FD103</f>
        <v/>
      </c>
      <c r="FD104" s="6" t="str">
        <f>[1]Sheet2!FE103</f>
        <v/>
      </c>
      <c r="FE104" s="6" t="str">
        <f>[1]Sheet2!FF103</f>
        <v/>
      </c>
      <c r="FF104" s="6" t="str">
        <f>[1]Sheet2!FG103</f>
        <v/>
      </c>
      <c r="FG104" s="6" t="str">
        <f>[1]Sheet2!FH103</f>
        <v/>
      </c>
      <c r="FH104" s="6" t="str">
        <f>[1]Sheet2!FI103</f>
        <v/>
      </c>
      <c r="FI104" s="6" t="str">
        <f>[1]Sheet2!FJ103</f>
        <v/>
      </c>
      <c r="FJ104" s="6" t="str">
        <f>[1]Sheet2!FK103</f>
        <v/>
      </c>
      <c r="FK104" s="6" t="str">
        <f>[1]Sheet2!FL103</f>
        <v/>
      </c>
      <c r="FL104" s="6" t="str">
        <f>[1]Sheet2!FM103</f>
        <v/>
      </c>
      <c r="FM104" s="6" t="str">
        <f>[1]Sheet2!FN103</f>
        <v/>
      </c>
      <c r="FN104" s="6" t="str">
        <f>[1]Sheet2!FO103</f>
        <v/>
      </c>
      <c r="FO104" s="6" t="str">
        <f>[1]Sheet2!FP103</f>
        <v/>
      </c>
    </row>
    <row r="105" spans="1:171" x14ac:dyDescent="0.25">
      <c r="A105" s="15">
        <v>43567</v>
      </c>
      <c r="B105" s="1"/>
      <c r="C105" s="1"/>
      <c r="D105" s="1"/>
      <c r="E105" s="14">
        <f>[1]Sheet2!N104</f>
        <v>0</v>
      </c>
      <c r="F105" s="14">
        <f>[1]Sheet2!BE104</f>
        <v>0</v>
      </c>
      <c r="G105" s="14">
        <f>[1]Sheet2!CW104</f>
        <v>0</v>
      </c>
      <c r="H105" s="1"/>
      <c r="I105" s="1"/>
      <c r="J105" s="1"/>
      <c r="K105" s="16"/>
      <c r="L105" s="16">
        <f>Demand_CWRS!B$6/30</f>
        <v>136.96097796474356</v>
      </c>
      <c r="M105" s="16">
        <f>Demand_CWRS!C$6/30</f>
        <v>544.43376068376062</v>
      </c>
      <c r="N105" s="16">
        <f>Demand_CWRS!D$6/30</f>
        <v>0</v>
      </c>
      <c r="O105" s="16">
        <f>Demand_CWRS!E$6/30</f>
        <v>108.97435897435896</v>
      </c>
      <c r="P105" s="16">
        <f>Demand_CWRS!F$6/30</f>
        <v>213.3621347489316</v>
      </c>
      <c r="Q105" s="16">
        <f>Demand_CWRS!G$6/30</f>
        <v>133.33333333333334</v>
      </c>
      <c r="R105" s="16">
        <f>Demand_CWRS!H$6/30</f>
        <v>213.3621347489316</v>
      </c>
      <c r="S105" s="16">
        <f>Demand_CWRS!I$6/30</f>
        <v>213.3621347489316</v>
      </c>
      <c r="T105" s="16">
        <f>Demand_CWRS!J$6/30</f>
        <v>213.3621347489316</v>
      </c>
      <c r="U105" s="16">
        <f>Demand_CWRS!K$6/30</f>
        <v>213.3621347489316</v>
      </c>
      <c r="V105" s="16">
        <f t="shared" si="36"/>
        <v>-12122.53603739654</v>
      </c>
      <c r="W105" s="16">
        <f t="shared" si="37"/>
        <v>-39715.328205128135</v>
      </c>
      <c r="X105" s="16">
        <f t="shared" si="38"/>
        <v>0</v>
      </c>
      <c r="Y105" s="16">
        <f t="shared" si="39"/>
        <v>-2787.0970626419899</v>
      </c>
      <c r="Z105" s="16">
        <f t="shared" si="40"/>
        <v>-18669.862833191328</v>
      </c>
      <c r="AA105" s="16">
        <f t="shared" si="41"/>
        <v>-10862.060491723478</v>
      </c>
      <c r="AB105" s="16">
        <f t="shared" si="42"/>
        <v>-23150.906503063146</v>
      </c>
      <c r="AC105" s="16">
        <f t="shared" si="43"/>
        <v>-17357.896246652868</v>
      </c>
      <c r="AD105" s="16">
        <f t="shared" si="44"/>
        <v>-17457.896246652861</v>
      </c>
      <c r="AE105" s="16">
        <f t="shared" si="45"/>
        <v>-18057.896246652865</v>
      </c>
      <c r="AF105" s="14">
        <f>IF([1]Sheet2!AJ104=999999,"NA",[1]Sheet2!AJ104)</f>
        <v>0</v>
      </c>
      <c r="AG105" s="14">
        <f>IF([1]Sheet2!AK104=999999,"NA",[1]Sheet2!AK104)</f>
        <v>0</v>
      </c>
      <c r="AH105" s="14" t="str">
        <f>IF([1]Sheet2!AL104=999999,"NA",[1]Sheet2!AL104)</f>
        <v>NA</v>
      </c>
      <c r="AI105" s="14">
        <f>IF([1]Sheet2!AM104=999999,"NA",[1]Sheet2!AM104)</f>
        <v>0</v>
      </c>
      <c r="AJ105" s="14">
        <f>IF([1]Sheet2!AN104=999999,"NA",[1]Sheet2!AN104)</f>
        <v>0</v>
      </c>
      <c r="AK105" s="14">
        <f>IF([1]Sheet2!AO104=999999,"NA",[1]Sheet2!AO104)</f>
        <v>0</v>
      </c>
      <c r="AL105" s="14">
        <f>IF([1]Sheet2!AP104=999999,"NA",[1]Sheet2!AP104)</f>
        <v>0</v>
      </c>
      <c r="AM105" s="14">
        <f>IF([1]Sheet2!AQ104=999999,"NA",[1]Sheet2!AQ104)</f>
        <v>0</v>
      </c>
      <c r="AN105" s="14">
        <f>IF([1]Sheet2!AR104=999999,"NA",[1]Sheet2!AR104)</f>
        <v>0</v>
      </c>
      <c r="AO105" s="14">
        <f>IF([1]Sheet2!AS104=999999,"NA",[1]Sheet2!AS104)</f>
        <v>0</v>
      </c>
      <c r="AP105" s="14">
        <f>[1]Sheet2!P104</f>
        <v>0</v>
      </c>
      <c r="AQ105" s="14">
        <f>[1]Sheet2!Q104</f>
        <v>0</v>
      </c>
      <c r="AR105" s="14">
        <f>[1]Sheet2!R104</f>
        <v>0</v>
      </c>
      <c r="AS105" s="14">
        <f>[1]Sheet2!S104</f>
        <v>0</v>
      </c>
      <c r="AT105" s="14">
        <f>[1]Sheet2!T104</f>
        <v>0</v>
      </c>
      <c r="AU105" s="14">
        <f>[1]Sheet2!U104</f>
        <v>0</v>
      </c>
      <c r="AV105" s="14">
        <f>[1]Sheet2!V104</f>
        <v>0</v>
      </c>
      <c r="AW105" s="14">
        <f>[1]Sheet2!W104</f>
        <v>0</v>
      </c>
      <c r="AX105" s="14">
        <f>[1]Sheet2!X104</f>
        <v>0</v>
      </c>
      <c r="AY105" s="14">
        <f>[1]Sheet2!Y104</f>
        <v>0</v>
      </c>
      <c r="AZ105" s="16">
        <f>Demand_LP!B$6/30</f>
        <v>790.61612406517088</v>
      </c>
      <c r="BA105" s="16">
        <f>Demand_LP!C$6/30</f>
        <v>816.46367521367517</v>
      </c>
      <c r="BB105" s="16">
        <f>Demand_LP!D$6/30</f>
        <v>346.63461538461536</v>
      </c>
      <c r="BC105" s="16">
        <f>Demand_LP!E$6/30</f>
        <v>795.48076923076928</v>
      </c>
      <c r="BD105" s="16">
        <f>Demand_LP!F$6/30</f>
        <v>472.52230168269227</v>
      </c>
      <c r="BE105" s="16">
        <f>Demand_LP!G$6/30</f>
        <v>472.52230168269227</v>
      </c>
      <c r="BF105" s="16">
        <f>Demand_LP!H$6/30</f>
        <v>816.46367521367517</v>
      </c>
      <c r="BG105" s="16">
        <f>Demand_LP!I$6/30</f>
        <v>472.52230168269227</v>
      </c>
      <c r="BH105" s="16">
        <f>Demand_LP!J$6/30</f>
        <v>472.52230168269227</v>
      </c>
      <c r="BI105" s="16">
        <f>Demand_LP!K$6/30</f>
        <v>472.52230168269227</v>
      </c>
      <c r="BJ105" s="16">
        <f t="shared" si="46"/>
        <v>-61189.418217715494</v>
      </c>
      <c r="BK105" s="16">
        <f t="shared" si="47"/>
        <v>-55414.107692307611</v>
      </c>
      <c r="BL105" s="16">
        <f t="shared" si="48"/>
        <v>-18933.58076923079</v>
      </c>
      <c r="BM105" s="16">
        <f t="shared" si="49"/>
        <v>-66352.316650438152</v>
      </c>
      <c r="BN105" s="16">
        <f t="shared" si="50"/>
        <v>-39112.583701821612</v>
      </c>
      <c r="BO105" s="16">
        <f t="shared" si="51"/>
        <v>-37570.267620192324</v>
      </c>
      <c r="BP105" s="16">
        <f t="shared" si="52"/>
        <v>-49771.687179487148</v>
      </c>
      <c r="BQ105" s="16">
        <f t="shared" si="53"/>
        <v>-37570.267620192324</v>
      </c>
      <c r="BR105" s="16">
        <f t="shared" si="54"/>
        <v>-35170.267620192324</v>
      </c>
      <c r="BS105" s="16">
        <f t="shared" si="55"/>
        <v>-35870.267620192317</v>
      </c>
      <c r="BT105" s="14">
        <f>IF([1]Sheet2!CB104=999999,"NA",[1]Sheet2!CB104)</f>
        <v>0</v>
      </c>
      <c r="BU105" s="14">
        <f>IF([1]Sheet2!CC104=999999,"NA",[1]Sheet2!CC104)</f>
        <v>0</v>
      </c>
      <c r="BV105" s="14">
        <f>IF([1]Sheet2!CD104=999999,"NA",[1]Sheet2!CD104)</f>
        <v>0</v>
      </c>
      <c r="BW105" s="14">
        <f>IF([1]Sheet2!CE104=999999,"NA",[1]Sheet2!CE104)</f>
        <v>0</v>
      </c>
      <c r="BX105" s="14">
        <f>IF([1]Sheet2!CF104=999999,"NA",[1]Sheet2!CF104)</f>
        <v>0</v>
      </c>
      <c r="BY105" s="14">
        <f>IF([1]Sheet2!CG104=999999,"NA",[1]Sheet2!CG104)</f>
        <v>0</v>
      </c>
      <c r="BZ105" s="14">
        <f>IF([1]Sheet2!CH104=999999,"NA",[1]Sheet2!CH104)</f>
        <v>0</v>
      </c>
      <c r="CA105" s="14">
        <f>IF([1]Sheet2!CI104=999999,"NA",[1]Sheet2!CI104)</f>
        <v>0</v>
      </c>
      <c r="CB105" s="14">
        <f>IF([1]Sheet2!CJ104=999999,"NA",[1]Sheet2!CJ104)</f>
        <v>0</v>
      </c>
      <c r="CC105" s="14">
        <f>IF([1]Sheet2!CK104=999999,"NA",[1]Sheet2!CK104)</f>
        <v>0</v>
      </c>
      <c r="CD105" s="14">
        <f>[1]Sheet2!BH104</f>
        <v>0</v>
      </c>
      <c r="CE105" s="14">
        <f>[1]Sheet2!BI104</f>
        <v>0</v>
      </c>
      <c r="CF105" s="14">
        <f>[1]Sheet2!BJ104</f>
        <v>0</v>
      </c>
      <c r="CG105" s="14">
        <f>[1]Sheet2!BK104</f>
        <v>0</v>
      </c>
      <c r="CH105" s="14">
        <f>[1]Sheet2!BL104</f>
        <v>0</v>
      </c>
      <c r="CI105" s="14">
        <f>[1]Sheet2!BM104</f>
        <v>0</v>
      </c>
      <c r="CJ105" s="14">
        <f>[1]Sheet2!BN104</f>
        <v>0</v>
      </c>
      <c r="CK105" s="14">
        <f>[1]Sheet2!BO104</f>
        <v>0</v>
      </c>
      <c r="CL105" s="14">
        <f>[1]Sheet2!BP104</f>
        <v>0</v>
      </c>
      <c r="CM105" s="14">
        <f>[1]Sheet2!BQ104</f>
        <v>0</v>
      </c>
      <c r="CN105" s="16">
        <f>Demand_SW!B$6/30</f>
        <v>173.07692307692304</v>
      </c>
      <c r="CO105" s="16">
        <f>Demand_SW!C$6/30</f>
        <v>0</v>
      </c>
      <c r="CP105" s="16">
        <f>Demand_SW!D$6/30</f>
        <v>0</v>
      </c>
      <c r="CQ105" s="16">
        <f>Demand_SW!E$6/30</f>
        <v>0</v>
      </c>
      <c r="CR105" s="16">
        <f>Demand_SW!F$6/30</f>
        <v>0</v>
      </c>
      <c r="CS105" s="16">
        <f>Demand_SW!G$6/30</f>
        <v>173.07692307692304</v>
      </c>
      <c r="CT105" s="16">
        <f>Demand_SW!H$6/30</f>
        <v>0</v>
      </c>
      <c r="CU105" s="16">
        <f>Demand_SW!I$6/30</f>
        <v>0</v>
      </c>
      <c r="CV105" s="16">
        <f>Demand_SW!J$6/30</f>
        <v>0</v>
      </c>
      <c r="CW105" s="16">
        <f>Demand_SW!K$6/30</f>
        <v>0</v>
      </c>
      <c r="CX105" s="16">
        <f t="shared" si="56"/>
        <v>-8347.6923076923013</v>
      </c>
      <c r="CY105" s="16">
        <f t="shared" si="57"/>
        <v>76.923076923077133</v>
      </c>
      <c r="CZ105" s="16">
        <f t="shared" si="58"/>
        <v>0</v>
      </c>
      <c r="DA105" s="16">
        <f t="shared" si="59"/>
        <v>0</v>
      </c>
      <c r="DB105" s="16">
        <f t="shared" si="60"/>
        <v>0</v>
      </c>
      <c r="DC105" s="16">
        <f t="shared" si="61"/>
        <v>-7876.9230769230699</v>
      </c>
      <c r="DD105" s="16">
        <f t="shared" si="62"/>
        <v>76.923076923077133</v>
      </c>
      <c r="DE105" s="16">
        <f t="shared" si="63"/>
        <v>0</v>
      </c>
      <c r="DF105" s="16">
        <f t="shared" si="64"/>
        <v>0</v>
      </c>
      <c r="DG105" s="16">
        <f t="shared" si="65"/>
        <v>0</v>
      </c>
      <c r="DH105" s="14">
        <f>IF([1]Sheet2!DS104=999999,"NA",[1]Sheet2!DS104)</f>
        <v>0</v>
      </c>
      <c r="DI105" s="14">
        <f>IF([1]Sheet2!DT104=999999,"NA",[1]Sheet2!DT104)</f>
        <v>263</v>
      </c>
      <c r="DJ105" s="14" t="str">
        <f>IF([1]Sheet2!DU104=999999,"NA",[1]Sheet2!DU104)</f>
        <v>NA</v>
      </c>
      <c r="DK105" s="14" t="str">
        <f>IF([1]Sheet2!DV104=999999,"NA",[1]Sheet2!DV104)</f>
        <v>NA</v>
      </c>
      <c r="DL105" s="14" t="str">
        <f>IF([1]Sheet2!DW104=999999,"NA",[1]Sheet2!DW104)</f>
        <v>NA</v>
      </c>
      <c r="DM105" s="14">
        <f>IF([1]Sheet2!DX104=999999,"NA",[1]Sheet2!DX104)</f>
        <v>0</v>
      </c>
      <c r="DN105" s="14">
        <f>IF([1]Sheet2!DY104=999999,"NA",[1]Sheet2!DY104)</f>
        <v>263</v>
      </c>
      <c r="DO105" s="14" t="str">
        <f>IF([1]Sheet2!DZ104=999999,"NA",[1]Sheet2!DZ104)</f>
        <v>NA</v>
      </c>
      <c r="DP105" s="14" t="str">
        <f>IF([1]Sheet2!EA104=999999,"NA",[1]Sheet2!EA104)</f>
        <v>NA</v>
      </c>
      <c r="DQ105" s="14" t="str">
        <f>IF([1]Sheet2!EB104=999999,"NA",[1]Sheet2!EB104)</f>
        <v>NA</v>
      </c>
      <c r="DR105" s="14">
        <f>[1]Sheet2!CY104</f>
        <v>0</v>
      </c>
      <c r="DS105" s="14">
        <f>[1]Sheet2!CZ104</f>
        <v>0</v>
      </c>
      <c r="DT105" s="14">
        <f>[1]Sheet2!DA104</f>
        <v>0</v>
      </c>
      <c r="DU105" s="14">
        <f>[1]Sheet2!DB104</f>
        <v>0</v>
      </c>
      <c r="DV105" s="14">
        <f>[1]Sheet2!DC104</f>
        <v>0</v>
      </c>
      <c r="DW105" s="14">
        <f>[1]Sheet2!DD104</f>
        <v>0</v>
      </c>
      <c r="DX105" s="14">
        <f>[1]Sheet2!DE104</f>
        <v>0</v>
      </c>
      <c r="DY105" s="14">
        <f>[1]Sheet2!DF104</f>
        <v>0</v>
      </c>
      <c r="DZ105" s="14">
        <f>[1]Sheet2!DG104</f>
        <v>0</v>
      </c>
      <c r="EA105" s="14">
        <f>[1]Sheet2!DH104</f>
        <v>0</v>
      </c>
      <c r="EB105" s="6">
        <f>[1]Sheet2!EC104</f>
        <v>0</v>
      </c>
      <c r="EC105" s="6">
        <f>[1]Sheet2!ED104</f>
        <v>0</v>
      </c>
      <c r="ED105" s="6">
        <f>[1]Sheet2!EE104</f>
        <v>0</v>
      </c>
      <c r="EE105" s="6">
        <f>[1]Sheet2!EF104</f>
        <v>0</v>
      </c>
      <c r="EF105" s="6">
        <f>[1]Sheet2!EG104</f>
        <v>0</v>
      </c>
      <c r="EG105" s="6">
        <f>[1]Sheet2!EH104</f>
        <v>0</v>
      </c>
      <c r="EH105" s="6">
        <f>[1]Sheet2!EI104</f>
        <v>0</v>
      </c>
      <c r="EI105" s="6">
        <f>[1]Sheet2!EJ104</f>
        <v>0</v>
      </c>
      <c r="EJ105" s="6">
        <f>[1]Sheet2!EK104</f>
        <v>0</v>
      </c>
      <c r="EK105" s="6">
        <f>[1]Sheet2!EL104</f>
        <v>0</v>
      </c>
      <c r="EL105" s="6" t="str">
        <f>[1]Sheet2!EM104</f>
        <v/>
      </c>
      <c r="EM105" s="6" t="str">
        <f>[1]Sheet2!EN104</f>
        <v/>
      </c>
      <c r="EN105" s="6" t="str">
        <f>[1]Sheet2!EO104</f>
        <v/>
      </c>
      <c r="EO105" s="6" t="str">
        <f>[1]Sheet2!EP104</f>
        <v/>
      </c>
      <c r="EP105" s="6" t="str">
        <f>[1]Sheet2!EQ104</f>
        <v/>
      </c>
      <c r="EQ105" s="6" t="str">
        <f>[1]Sheet2!ER104</f>
        <v/>
      </c>
      <c r="ER105" s="6" t="str">
        <f>[1]Sheet2!ES104</f>
        <v/>
      </c>
      <c r="ES105" s="6" t="str">
        <f>[1]Sheet2!ET104</f>
        <v/>
      </c>
      <c r="ET105" s="6" t="str">
        <f>[1]Sheet2!EU104</f>
        <v/>
      </c>
      <c r="EU105" s="6" t="str">
        <f>[1]Sheet2!EV104</f>
        <v/>
      </c>
      <c r="EV105" s="6" t="str">
        <f>[1]Sheet2!EW104</f>
        <v/>
      </c>
      <c r="EW105" s="6" t="str">
        <f>[1]Sheet2!EX104</f>
        <v/>
      </c>
      <c r="EX105" s="6" t="str">
        <f>[1]Sheet2!EY104</f>
        <v/>
      </c>
      <c r="EY105" s="6" t="str">
        <f>[1]Sheet2!EZ104</f>
        <v/>
      </c>
      <c r="EZ105" s="6" t="str">
        <f>[1]Sheet2!FA104</f>
        <v/>
      </c>
      <c r="FA105" s="6" t="str">
        <f>[1]Sheet2!FB104</f>
        <v/>
      </c>
      <c r="FB105" s="6" t="str">
        <f>[1]Sheet2!FC104</f>
        <v/>
      </c>
      <c r="FC105" s="6" t="str">
        <f>[1]Sheet2!FD104</f>
        <v/>
      </c>
      <c r="FD105" s="6" t="str">
        <f>[1]Sheet2!FE104</f>
        <v/>
      </c>
      <c r="FE105" s="6" t="str">
        <f>[1]Sheet2!FF104</f>
        <v/>
      </c>
      <c r="FF105" s="6" t="str">
        <f>[1]Sheet2!FG104</f>
        <v/>
      </c>
      <c r="FG105" s="6" t="str">
        <f>[1]Sheet2!FH104</f>
        <v/>
      </c>
      <c r="FH105" s="6" t="str">
        <f>[1]Sheet2!FI104</f>
        <v/>
      </c>
      <c r="FI105" s="6" t="str">
        <f>[1]Sheet2!FJ104</f>
        <v/>
      </c>
      <c r="FJ105" s="6" t="str">
        <f>[1]Sheet2!FK104</f>
        <v/>
      </c>
      <c r="FK105" s="6" t="str">
        <f>[1]Sheet2!FL104</f>
        <v/>
      </c>
      <c r="FL105" s="6" t="str">
        <f>[1]Sheet2!FM104</f>
        <v/>
      </c>
      <c r="FM105" s="6" t="str">
        <f>[1]Sheet2!FN104</f>
        <v/>
      </c>
      <c r="FN105" s="6" t="str">
        <f>[1]Sheet2!FO104</f>
        <v/>
      </c>
      <c r="FO105" s="6" t="str">
        <f>[1]Sheet2!FP104</f>
        <v/>
      </c>
    </row>
    <row r="106" spans="1:171" x14ac:dyDescent="0.25">
      <c r="A106" s="15">
        <v>43568</v>
      </c>
      <c r="B106" s="1"/>
      <c r="C106" s="1"/>
      <c r="D106" s="1"/>
      <c r="E106" s="14">
        <f>[1]Sheet2!N105</f>
        <v>0</v>
      </c>
      <c r="F106" s="14">
        <f>[1]Sheet2!BE105</f>
        <v>0</v>
      </c>
      <c r="G106" s="14">
        <f>[1]Sheet2!CW105</f>
        <v>0</v>
      </c>
      <c r="H106" s="1"/>
      <c r="I106" s="1"/>
      <c r="J106" s="1"/>
      <c r="K106" s="16"/>
      <c r="L106" s="16">
        <f>Demand_CWRS!B$6/30</f>
        <v>136.96097796474356</v>
      </c>
      <c r="M106" s="16">
        <f>Demand_CWRS!C$6/30</f>
        <v>544.43376068376062</v>
      </c>
      <c r="N106" s="16">
        <f>Demand_CWRS!D$6/30</f>
        <v>0</v>
      </c>
      <c r="O106" s="16">
        <f>Demand_CWRS!E$6/30</f>
        <v>108.97435897435896</v>
      </c>
      <c r="P106" s="16">
        <f>Demand_CWRS!F$6/30</f>
        <v>213.3621347489316</v>
      </c>
      <c r="Q106" s="16">
        <f>Demand_CWRS!G$6/30</f>
        <v>133.33333333333334</v>
      </c>
      <c r="R106" s="16">
        <f>Demand_CWRS!H$6/30</f>
        <v>213.3621347489316</v>
      </c>
      <c r="S106" s="16">
        <f>Demand_CWRS!I$6/30</f>
        <v>213.3621347489316</v>
      </c>
      <c r="T106" s="16">
        <f>Demand_CWRS!J$6/30</f>
        <v>213.3621347489316</v>
      </c>
      <c r="U106" s="16">
        <f>Demand_CWRS!K$6/30</f>
        <v>213.3621347489316</v>
      </c>
      <c r="V106" s="16">
        <f t="shared" si="36"/>
        <v>-12259.497015361283</v>
      </c>
      <c r="W106" s="16">
        <f t="shared" si="37"/>
        <v>-40259.761965811893</v>
      </c>
      <c r="X106" s="16">
        <f t="shared" si="38"/>
        <v>0</v>
      </c>
      <c r="Y106" s="16">
        <f t="shared" si="39"/>
        <v>-2896.0714216163487</v>
      </c>
      <c r="Z106" s="16">
        <f t="shared" si="40"/>
        <v>-18883.224967940259</v>
      </c>
      <c r="AA106" s="16">
        <f t="shared" si="41"/>
        <v>-10995.393825056812</v>
      </c>
      <c r="AB106" s="16">
        <f t="shared" si="42"/>
        <v>-23364.268637812078</v>
      </c>
      <c r="AC106" s="16">
        <f t="shared" si="43"/>
        <v>-17571.2583814018</v>
      </c>
      <c r="AD106" s="16">
        <f t="shared" si="44"/>
        <v>-17671.258381401793</v>
      </c>
      <c r="AE106" s="16">
        <f t="shared" si="45"/>
        <v>-18271.258381401796</v>
      </c>
      <c r="AF106" s="14">
        <f>IF([1]Sheet2!AJ105=999999,"NA",[1]Sheet2!AJ105)</f>
        <v>0</v>
      </c>
      <c r="AG106" s="14">
        <f>IF([1]Sheet2!AK105=999999,"NA",[1]Sheet2!AK105)</f>
        <v>0</v>
      </c>
      <c r="AH106" s="14" t="str">
        <f>IF([1]Sheet2!AL105=999999,"NA",[1]Sheet2!AL105)</f>
        <v>NA</v>
      </c>
      <c r="AI106" s="14">
        <f>IF([1]Sheet2!AM105=999999,"NA",[1]Sheet2!AM105)</f>
        <v>0</v>
      </c>
      <c r="AJ106" s="14">
        <f>IF([1]Sheet2!AN105=999999,"NA",[1]Sheet2!AN105)</f>
        <v>0</v>
      </c>
      <c r="AK106" s="14">
        <f>IF([1]Sheet2!AO105=999999,"NA",[1]Sheet2!AO105)</f>
        <v>0</v>
      </c>
      <c r="AL106" s="14">
        <f>IF([1]Sheet2!AP105=999999,"NA",[1]Sheet2!AP105)</f>
        <v>0</v>
      </c>
      <c r="AM106" s="14">
        <f>IF([1]Sheet2!AQ105=999999,"NA",[1]Sheet2!AQ105)</f>
        <v>0</v>
      </c>
      <c r="AN106" s="14">
        <f>IF([1]Sheet2!AR105=999999,"NA",[1]Sheet2!AR105)</f>
        <v>0</v>
      </c>
      <c r="AO106" s="14">
        <f>IF([1]Sheet2!AS105=999999,"NA",[1]Sheet2!AS105)</f>
        <v>0</v>
      </c>
      <c r="AP106" s="14">
        <f>[1]Sheet2!P105</f>
        <v>0</v>
      </c>
      <c r="AQ106" s="14">
        <f>[1]Sheet2!Q105</f>
        <v>0</v>
      </c>
      <c r="AR106" s="14">
        <f>[1]Sheet2!R105</f>
        <v>0</v>
      </c>
      <c r="AS106" s="14">
        <f>[1]Sheet2!S105</f>
        <v>0</v>
      </c>
      <c r="AT106" s="14">
        <f>[1]Sheet2!T105</f>
        <v>0</v>
      </c>
      <c r="AU106" s="14">
        <f>[1]Sheet2!U105</f>
        <v>0</v>
      </c>
      <c r="AV106" s="14">
        <f>[1]Sheet2!V105</f>
        <v>0</v>
      </c>
      <c r="AW106" s="14">
        <f>[1]Sheet2!W105</f>
        <v>0</v>
      </c>
      <c r="AX106" s="14">
        <f>[1]Sheet2!X105</f>
        <v>0</v>
      </c>
      <c r="AY106" s="14">
        <f>[1]Sheet2!Y105</f>
        <v>0</v>
      </c>
      <c r="AZ106" s="16">
        <f>Demand_LP!B$6/30</f>
        <v>790.61612406517088</v>
      </c>
      <c r="BA106" s="16">
        <f>Demand_LP!C$6/30</f>
        <v>816.46367521367517</v>
      </c>
      <c r="BB106" s="16">
        <f>Demand_LP!D$6/30</f>
        <v>346.63461538461536</v>
      </c>
      <c r="BC106" s="16">
        <f>Demand_LP!E$6/30</f>
        <v>795.48076923076928</v>
      </c>
      <c r="BD106" s="16">
        <f>Demand_LP!F$6/30</f>
        <v>472.52230168269227</v>
      </c>
      <c r="BE106" s="16">
        <f>Demand_LP!G$6/30</f>
        <v>472.52230168269227</v>
      </c>
      <c r="BF106" s="16">
        <f>Demand_LP!H$6/30</f>
        <v>816.46367521367517</v>
      </c>
      <c r="BG106" s="16">
        <f>Demand_LP!I$6/30</f>
        <v>472.52230168269227</v>
      </c>
      <c r="BH106" s="16">
        <f>Demand_LP!J$6/30</f>
        <v>472.52230168269227</v>
      </c>
      <c r="BI106" s="16">
        <f>Demand_LP!K$6/30</f>
        <v>472.52230168269227</v>
      </c>
      <c r="BJ106" s="16">
        <f t="shared" si="46"/>
        <v>-61980.034341780665</v>
      </c>
      <c r="BK106" s="16">
        <f t="shared" si="47"/>
        <v>-56230.571367521283</v>
      </c>
      <c r="BL106" s="16">
        <f t="shared" si="48"/>
        <v>-19280.215384615407</v>
      </c>
      <c r="BM106" s="16">
        <f t="shared" si="49"/>
        <v>-67147.797419668917</v>
      </c>
      <c r="BN106" s="16">
        <f t="shared" si="50"/>
        <v>-39585.106003504305</v>
      </c>
      <c r="BO106" s="16">
        <f t="shared" si="51"/>
        <v>-38042.789921875017</v>
      </c>
      <c r="BP106" s="16">
        <f t="shared" si="52"/>
        <v>-50588.15085470082</v>
      </c>
      <c r="BQ106" s="16">
        <f t="shared" si="53"/>
        <v>-38042.789921875017</v>
      </c>
      <c r="BR106" s="16">
        <f t="shared" si="54"/>
        <v>-35642.789921875017</v>
      </c>
      <c r="BS106" s="16">
        <f t="shared" si="55"/>
        <v>-36342.78992187501</v>
      </c>
      <c r="BT106" s="14">
        <f>IF([1]Sheet2!CB105=999999,"NA",[1]Sheet2!CB105)</f>
        <v>0</v>
      </c>
      <c r="BU106" s="14">
        <f>IF([1]Sheet2!CC105=999999,"NA",[1]Sheet2!CC105)</f>
        <v>0</v>
      </c>
      <c r="BV106" s="14">
        <f>IF([1]Sheet2!CD105=999999,"NA",[1]Sheet2!CD105)</f>
        <v>0</v>
      </c>
      <c r="BW106" s="14">
        <f>IF([1]Sheet2!CE105=999999,"NA",[1]Sheet2!CE105)</f>
        <v>0</v>
      </c>
      <c r="BX106" s="14">
        <f>IF([1]Sheet2!CF105=999999,"NA",[1]Sheet2!CF105)</f>
        <v>0</v>
      </c>
      <c r="BY106" s="14">
        <f>IF([1]Sheet2!CG105=999999,"NA",[1]Sheet2!CG105)</f>
        <v>0</v>
      </c>
      <c r="BZ106" s="14">
        <f>IF([1]Sheet2!CH105=999999,"NA",[1]Sheet2!CH105)</f>
        <v>0</v>
      </c>
      <c r="CA106" s="14">
        <f>IF([1]Sheet2!CI105=999999,"NA",[1]Sheet2!CI105)</f>
        <v>0</v>
      </c>
      <c r="CB106" s="14">
        <f>IF([1]Sheet2!CJ105=999999,"NA",[1]Sheet2!CJ105)</f>
        <v>0</v>
      </c>
      <c r="CC106" s="14">
        <f>IF([1]Sheet2!CK105=999999,"NA",[1]Sheet2!CK105)</f>
        <v>0</v>
      </c>
      <c r="CD106" s="14">
        <f>[1]Sheet2!BH105</f>
        <v>0</v>
      </c>
      <c r="CE106" s="14">
        <f>[1]Sheet2!BI105</f>
        <v>0</v>
      </c>
      <c r="CF106" s="14">
        <f>[1]Sheet2!BJ105</f>
        <v>0</v>
      </c>
      <c r="CG106" s="14">
        <f>[1]Sheet2!BK105</f>
        <v>0</v>
      </c>
      <c r="CH106" s="14">
        <f>[1]Sheet2!BL105</f>
        <v>0</v>
      </c>
      <c r="CI106" s="14">
        <f>[1]Sheet2!BM105</f>
        <v>0</v>
      </c>
      <c r="CJ106" s="14">
        <f>[1]Sheet2!BN105</f>
        <v>0</v>
      </c>
      <c r="CK106" s="14">
        <f>[1]Sheet2!BO105</f>
        <v>0</v>
      </c>
      <c r="CL106" s="14">
        <f>[1]Sheet2!BP105</f>
        <v>0</v>
      </c>
      <c r="CM106" s="14">
        <f>[1]Sheet2!BQ105</f>
        <v>0</v>
      </c>
      <c r="CN106" s="16">
        <f>Demand_SW!B$6/30</f>
        <v>173.07692307692304</v>
      </c>
      <c r="CO106" s="16">
        <f>Demand_SW!C$6/30</f>
        <v>0</v>
      </c>
      <c r="CP106" s="16">
        <f>Demand_SW!D$6/30</f>
        <v>0</v>
      </c>
      <c r="CQ106" s="16">
        <f>Demand_SW!E$6/30</f>
        <v>0</v>
      </c>
      <c r="CR106" s="16">
        <f>Demand_SW!F$6/30</f>
        <v>0</v>
      </c>
      <c r="CS106" s="16">
        <f>Demand_SW!G$6/30</f>
        <v>173.07692307692304</v>
      </c>
      <c r="CT106" s="16">
        <f>Demand_SW!H$6/30</f>
        <v>0</v>
      </c>
      <c r="CU106" s="16">
        <f>Demand_SW!I$6/30</f>
        <v>0</v>
      </c>
      <c r="CV106" s="16">
        <f>Demand_SW!J$6/30</f>
        <v>0</v>
      </c>
      <c r="CW106" s="16">
        <f>Demand_SW!K$6/30</f>
        <v>0</v>
      </c>
      <c r="CX106" s="16">
        <f t="shared" si="56"/>
        <v>-8520.769230769225</v>
      </c>
      <c r="CY106" s="16">
        <f t="shared" si="57"/>
        <v>76.923076923077133</v>
      </c>
      <c r="CZ106" s="16">
        <f t="shared" si="58"/>
        <v>0</v>
      </c>
      <c r="DA106" s="16">
        <f t="shared" si="59"/>
        <v>0</v>
      </c>
      <c r="DB106" s="16">
        <f t="shared" si="60"/>
        <v>0</v>
      </c>
      <c r="DC106" s="16">
        <f t="shared" si="61"/>
        <v>-8049.9999999999927</v>
      </c>
      <c r="DD106" s="16">
        <f t="shared" si="62"/>
        <v>76.923076923077133</v>
      </c>
      <c r="DE106" s="16">
        <f t="shared" si="63"/>
        <v>0</v>
      </c>
      <c r="DF106" s="16">
        <f t="shared" si="64"/>
        <v>0</v>
      </c>
      <c r="DG106" s="16">
        <f t="shared" si="65"/>
        <v>0</v>
      </c>
      <c r="DH106" s="14">
        <f>IF([1]Sheet2!DS105=999999,"NA",[1]Sheet2!DS105)</f>
        <v>0</v>
      </c>
      <c r="DI106" s="14">
        <f>IF([1]Sheet2!DT105=999999,"NA",[1]Sheet2!DT105)</f>
        <v>262</v>
      </c>
      <c r="DJ106" s="14" t="str">
        <f>IF([1]Sheet2!DU105=999999,"NA",[1]Sheet2!DU105)</f>
        <v>NA</v>
      </c>
      <c r="DK106" s="14" t="str">
        <f>IF([1]Sheet2!DV105=999999,"NA",[1]Sheet2!DV105)</f>
        <v>NA</v>
      </c>
      <c r="DL106" s="14" t="str">
        <f>IF([1]Sheet2!DW105=999999,"NA",[1]Sheet2!DW105)</f>
        <v>NA</v>
      </c>
      <c r="DM106" s="14">
        <f>IF([1]Sheet2!DX105=999999,"NA",[1]Sheet2!DX105)</f>
        <v>0</v>
      </c>
      <c r="DN106" s="14">
        <f>IF([1]Sheet2!DY105=999999,"NA",[1]Sheet2!DY105)</f>
        <v>262</v>
      </c>
      <c r="DO106" s="14" t="str">
        <f>IF([1]Sheet2!DZ105=999999,"NA",[1]Sheet2!DZ105)</f>
        <v>NA</v>
      </c>
      <c r="DP106" s="14" t="str">
        <f>IF([1]Sheet2!EA105=999999,"NA",[1]Sheet2!EA105)</f>
        <v>NA</v>
      </c>
      <c r="DQ106" s="14" t="str">
        <f>IF([1]Sheet2!EB105=999999,"NA",[1]Sheet2!EB105)</f>
        <v>NA</v>
      </c>
      <c r="DR106" s="14">
        <f>[1]Sheet2!CY105</f>
        <v>0</v>
      </c>
      <c r="DS106" s="14">
        <f>[1]Sheet2!CZ105</f>
        <v>0</v>
      </c>
      <c r="DT106" s="14">
        <f>[1]Sheet2!DA105</f>
        <v>0</v>
      </c>
      <c r="DU106" s="14">
        <f>[1]Sheet2!DB105</f>
        <v>0</v>
      </c>
      <c r="DV106" s="14">
        <f>[1]Sheet2!DC105</f>
        <v>0</v>
      </c>
      <c r="DW106" s="14">
        <f>[1]Sheet2!DD105</f>
        <v>0</v>
      </c>
      <c r="DX106" s="14">
        <f>[1]Sheet2!DE105</f>
        <v>0</v>
      </c>
      <c r="DY106" s="14">
        <f>[1]Sheet2!DF105</f>
        <v>0</v>
      </c>
      <c r="DZ106" s="14">
        <f>[1]Sheet2!DG105</f>
        <v>0</v>
      </c>
      <c r="EA106" s="14">
        <f>[1]Sheet2!DH105</f>
        <v>0</v>
      </c>
      <c r="EB106" s="6">
        <f>[1]Sheet2!EC105</f>
        <v>0</v>
      </c>
      <c r="EC106" s="6">
        <f>[1]Sheet2!ED105</f>
        <v>0</v>
      </c>
      <c r="ED106" s="6">
        <f>[1]Sheet2!EE105</f>
        <v>0</v>
      </c>
      <c r="EE106" s="6">
        <f>[1]Sheet2!EF105</f>
        <v>0</v>
      </c>
      <c r="EF106" s="6">
        <f>[1]Sheet2!EG105</f>
        <v>0</v>
      </c>
      <c r="EG106" s="6">
        <f>[1]Sheet2!EH105</f>
        <v>0</v>
      </c>
      <c r="EH106" s="6">
        <f>[1]Sheet2!EI105</f>
        <v>0</v>
      </c>
      <c r="EI106" s="6">
        <f>[1]Sheet2!EJ105</f>
        <v>0</v>
      </c>
      <c r="EJ106" s="6">
        <f>[1]Sheet2!EK105</f>
        <v>0</v>
      </c>
      <c r="EK106" s="6">
        <f>[1]Sheet2!EL105</f>
        <v>0</v>
      </c>
      <c r="EL106" s="6" t="str">
        <f>[1]Sheet2!EM105</f>
        <v/>
      </c>
      <c r="EM106" s="6" t="str">
        <f>[1]Sheet2!EN105</f>
        <v/>
      </c>
      <c r="EN106" s="6" t="str">
        <f>[1]Sheet2!EO105</f>
        <v/>
      </c>
      <c r="EO106" s="6" t="str">
        <f>[1]Sheet2!EP105</f>
        <v/>
      </c>
      <c r="EP106" s="6" t="str">
        <f>[1]Sheet2!EQ105</f>
        <v/>
      </c>
      <c r="EQ106" s="6" t="str">
        <f>[1]Sheet2!ER105</f>
        <v/>
      </c>
      <c r="ER106" s="6" t="str">
        <f>[1]Sheet2!ES105</f>
        <v/>
      </c>
      <c r="ES106" s="6" t="str">
        <f>[1]Sheet2!ET105</f>
        <v/>
      </c>
      <c r="ET106" s="6" t="str">
        <f>[1]Sheet2!EU105</f>
        <v/>
      </c>
      <c r="EU106" s="6" t="str">
        <f>[1]Sheet2!EV105</f>
        <v/>
      </c>
      <c r="EV106" s="6" t="str">
        <f>[1]Sheet2!EW105</f>
        <v/>
      </c>
      <c r="EW106" s="6" t="str">
        <f>[1]Sheet2!EX105</f>
        <v/>
      </c>
      <c r="EX106" s="6" t="str">
        <f>[1]Sheet2!EY105</f>
        <v/>
      </c>
      <c r="EY106" s="6" t="str">
        <f>[1]Sheet2!EZ105</f>
        <v/>
      </c>
      <c r="EZ106" s="6" t="str">
        <f>[1]Sheet2!FA105</f>
        <v/>
      </c>
      <c r="FA106" s="6" t="str">
        <f>[1]Sheet2!FB105</f>
        <v/>
      </c>
      <c r="FB106" s="6" t="str">
        <f>[1]Sheet2!FC105</f>
        <v/>
      </c>
      <c r="FC106" s="6" t="str">
        <f>[1]Sheet2!FD105</f>
        <v/>
      </c>
      <c r="FD106" s="6" t="str">
        <f>[1]Sheet2!FE105</f>
        <v/>
      </c>
      <c r="FE106" s="6" t="str">
        <f>[1]Sheet2!FF105</f>
        <v/>
      </c>
      <c r="FF106" s="6" t="str">
        <f>[1]Sheet2!FG105</f>
        <v/>
      </c>
      <c r="FG106" s="6" t="str">
        <f>[1]Sheet2!FH105</f>
        <v/>
      </c>
      <c r="FH106" s="6" t="str">
        <f>[1]Sheet2!FI105</f>
        <v/>
      </c>
      <c r="FI106" s="6" t="str">
        <f>[1]Sheet2!FJ105</f>
        <v/>
      </c>
      <c r="FJ106" s="6" t="str">
        <f>[1]Sheet2!FK105</f>
        <v/>
      </c>
      <c r="FK106" s="6" t="str">
        <f>[1]Sheet2!FL105</f>
        <v/>
      </c>
      <c r="FL106" s="6" t="str">
        <f>[1]Sheet2!FM105</f>
        <v/>
      </c>
      <c r="FM106" s="6" t="str">
        <f>[1]Sheet2!FN105</f>
        <v/>
      </c>
      <c r="FN106" s="6" t="str">
        <f>[1]Sheet2!FO105</f>
        <v/>
      </c>
      <c r="FO106" s="6" t="str">
        <f>[1]Sheet2!FP105</f>
        <v/>
      </c>
    </row>
    <row r="107" spans="1:171" x14ac:dyDescent="0.25">
      <c r="A107" s="15">
        <v>43569</v>
      </c>
      <c r="B107" s="1"/>
      <c r="C107" s="1"/>
      <c r="D107" s="1"/>
      <c r="E107" s="14">
        <f>[1]Sheet2!N106</f>
        <v>0</v>
      </c>
      <c r="F107" s="14">
        <f>[1]Sheet2!BE106</f>
        <v>0</v>
      </c>
      <c r="G107" s="14">
        <f>[1]Sheet2!CW106</f>
        <v>0</v>
      </c>
      <c r="H107" s="1"/>
      <c r="I107" s="1"/>
      <c r="J107" s="1"/>
      <c r="K107" s="16"/>
      <c r="L107" s="16">
        <f>Demand_CWRS!B$6/30</f>
        <v>136.96097796474356</v>
      </c>
      <c r="M107" s="16">
        <f>Demand_CWRS!C$6/30</f>
        <v>544.43376068376062</v>
      </c>
      <c r="N107" s="16">
        <f>Demand_CWRS!D$6/30</f>
        <v>0</v>
      </c>
      <c r="O107" s="16">
        <f>Demand_CWRS!E$6/30</f>
        <v>108.97435897435896</v>
      </c>
      <c r="P107" s="16">
        <f>Demand_CWRS!F$6/30</f>
        <v>213.3621347489316</v>
      </c>
      <c r="Q107" s="16">
        <f>Demand_CWRS!G$6/30</f>
        <v>133.33333333333334</v>
      </c>
      <c r="R107" s="16">
        <f>Demand_CWRS!H$6/30</f>
        <v>213.3621347489316</v>
      </c>
      <c r="S107" s="16">
        <f>Demand_CWRS!I$6/30</f>
        <v>213.3621347489316</v>
      </c>
      <c r="T107" s="16">
        <f>Demand_CWRS!J$6/30</f>
        <v>213.3621347489316</v>
      </c>
      <c r="U107" s="16">
        <f>Demand_CWRS!K$6/30</f>
        <v>213.3621347489316</v>
      </c>
      <c r="V107" s="16">
        <f t="shared" si="36"/>
        <v>-12396.457993326027</v>
      </c>
      <c r="W107" s="16">
        <f t="shared" si="37"/>
        <v>-40804.195726495651</v>
      </c>
      <c r="X107" s="16">
        <f t="shared" si="38"/>
        <v>0</v>
      </c>
      <c r="Y107" s="16">
        <f t="shared" si="39"/>
        <v>-3005.0457805907076</v>
      </c>
      <c r="Z107" s="16">
        <f t="shared" si="40"/>
        <v>-19096.587102689191</v>
      </c>
      <c r="AA107" s="16">
        <f t="shared" si="41"/>
        <v>-11128.727158390146</v>
      </c>
      <c r="AB107" s="16">
        <f t="shared" si="42"/>
        <v>-23577.63077256101</v>
      </c>
      <c r="AC107" s="16">
        <f t="shared" si="43"/>
        <v>-17784.620516150731</v>
      </c>
      <c r="AD107" s="16">
        <f t="shared" si="44"/>
        <v>-17884.620516150724</v>
      </c>
      <c r="AE107" s="16">
        <f t="shared" si="45"/>
        <v>-18484.620516150728</v>
      </c>
      <c r="AF107" s="14">
        <f>IF([1]Sheet2!AJ106=999999,"NA",[1]Sheet2!AJ106)</f>
        <v>0</v>
      </c>
      <c r="AG107" s="14">
        <f>IF([1]Sheet2!AK106=999999,"NA",[1]Sheet2!AK106)</f>
        <v>0</v>
      </c>
      <c r="AH107" s="14" t="str">
        <f>IF([1]Sheet2!AL106=999999,"NA",[1]Sheet2!AL106)</f>
        <v>NA</v>
      </c>
      <c r="AI107" s="14">
        <f>IF([1]Sheet2!AM106=999999,"NA",[1]Sheet2!AM106)</f>
        <v>0</v>
      </c>
      <c r="AJ107" s="14">
        <f>IF([1]Sheet2!AN106=999999,"NA",[1]Sheet2!AN106)</f>
        <v>0</v>
      </c>
      <c r="AK107" s="14">
        <f>IF([1]Sheet2!AO106=999999,"NA",[1]Sheet2!AO106)</f>
        <v>0</v>
      </c>
      <c r="AL107" s="14">
        <f>IF([1]Sheet2!AP106=999999,"NA",[1]Sheet2!AP106)</f>
        <v>0</v>
      </c>
      <c r="AM107" s="14">
        <f>IF([1]Sheet2!AQ106=999999,"NA",[1]Sheet2!AQ106)</f>
        <v>0</v>
      </c>
      <c r="AN107" s="14">
        <f>IF([1]Sheet2!AR106=999999,"NA",[1]Sheet2!AR106)</f>
        <v>0</v>
      </c>
      <c r="AO107" s="14">
        <f>IF([1]Sheet2!AS106=999999,"NA",[1]Sheet2!AS106)</f>
        <v>0</v>
      </c>
      <c r="AP107" s="14">
        <f>[1]Sheet2!P106</f>
        <v>0</v>
      </c>
      <c r="AQ107" s="14">
        <f>[1]Sheet2!Q106</f>
        <v>0</v>
      </c>
      <c r="AR107" s="14">
        <f>[1]Sheet2!R106</f>
        <v>0</v>
      </c>
      <c r="AS107" s="14">
        <f>[1]Sheet2!S106</f>
        <v>0</v>
      </c>
      <c r="AT107" s="14">
        <f>[1]Sheet2!T106</f>
        <v>0</v>
      </c>
      <c r="AU107" s="14">
        <f>[1]Sheet2!U106</f>
        <v>0</v>
      </c>
      <c r="AV107" s="14">
        <f>[1]Sheet2!V106</f>
        <v>0</v>
      </c>
      <c r="AW107" s="14">
        <f>[1]Sheet2!W106</f>
        <v>0</v>
      </c>
      <c r="AX107" s="14">
        <f>[1]Sheet2!X106</f>
        <v>0</v>
      </c>
      <c r="AY107" s="14">
        <f>[1]Sheet2!Y106</f>
        <v>0</v>
      </c>
      <c r="AZ107" s="16">
        <f>Demand_LP!B$6/30</f>
        <v>790.61612406517088</v>
      </c>
      <c r="BA107" s="16">
        <f>Demand_LP!C$6/30</f>
        <v>816.46367521367517</v>
      </c>
      <c r="BB107" s="16">
        <f>Demand_LP!D$6/30</f>
        <v>346.63461538461536</v>
      </c>
      <c r="BC107" s="16">
        <f>Demand_LP!E$6/30</f>
        <v>795.48076923076928</v>
      </c>
      <c r="BD107" s="16">
        <f>Demand_LP!F$6/30</f>
        <v>472.52230168269227</v>
      </c>
      <c r="BE107" s="16">
        <f>Demand_LP!G$6/30</f>
        <v>472.52230168269227</v>
      </c>
      <c r="BF107" s="16">
        <f>Demand_LP!H$6/30</f>
        <v>816.46367521367517</v>
      </c>
      <c r="BG107" s="16">
        <f>Demand_LP!I$6/30</f>
        <v>472.52230168269227</v>
      </c>
      <c r="BH107" s="16">
        <f>Demand_LP!J$6/30</f>
        <v>472.52230168269227</v>
      </c>
      <c r="BI107" s="16">
        <f>Demand_LP!K$6/30</f>
        <v>472.52230168269227</v>
      </c>
      <c r="BJ107" s="16">
        <f t="shared" si="46"/>
        <v>-62770.650465845836</v>
      </c>
      <c r="BK107" s="16">
        <f t="shared" si="47"/>
        <v>-57047.035042734955</v>
      </c>
      <c r="BL107" s="16">
        <f t="shared" si="48"/>
        <v>-19626.850000000024</v>
      </c>
      <c r="BM107" s="16">
        <f t="shared" si="49"/>
        <v>-67943.278188899683</v>
      </c>
      <c r="BN107" s="16">
        <f t="shared" si="50"/>
        <v>-40057.628305186998</v>
      </c>
      <c r="BO107" s="16">
        <f t="shared" si="51"/>
        <v>-38515.31222355771</v>
      </c>
      <c r="BP107" s="16">
        <f t="shared" si="52"/>
        <v>-51404.614529914492</v>
      </c>
      <c r="BQ107" s="16">
        <f t="shared" si="53"/>
        <v>-38515.31222355771</v>
      </c>
      <c r="BR107" s="16">
        <f t="shared" si="54"/>
        <v>-36115.31222355771</v>
      </c>
      <c r="BS107" s="16">
        <f t="shared" si="55"/>
        <v>-36815.312223557703</v>
      </c>
      <c r="BT107" s="14">
        <f>IF([1]Sheet2!CB106=999999,"NA",[1]Sheet2!CB106)</f>
        <v>0</v>
      </c>
      <c r="BU107" s="14">
        <f>IF([1]Sheet2!CC106=999999,"NA",[1]Sheet2!CC106)</f>
        <v>0</v>
      </c>
      <c r="BV107" s="14">
        <f>IF([1]Sheet2!CD106=999999,"NA",[1]Sheet2!CD106)</f>
        <v>0</v>
      </c>
      <c r="BW107" s="14">
        <f>IF([1]Sheet2!CE106=999999,"NA",[1]Sheet2!CE106)</f>
        <v>0</v>
      </c>
      <c r="BX107" s="14">
        <f>IF([1]Sheet2!CF106=999999,"NA",[1]Sheet2!CF106)</f>
        <v>0</v>
      </c>
      <c r="BY107" s="14">
        <f>IF([1]Sheet2!CG106=999999,"NA",[1]Sheet2!CG106)</f>
        <v>0</v>
      </c>
      <c r="BZ107" s="14">
        <f>IF([1]Sheet2!CH106=999999,"NA",[1]Sheet2!CH106)</f>
        <v>0</v>
      </c>
      <c r="CA107" s="14">
        <f>IF([1]Sheet2!CI106=999999,"NA",[1]Sheet2!CI106)</f>
        <v>0</v>
      </c>
      <c r="CB107" s="14">
        <f>IF([1]Sheet2!CJ106=999999,"NA",[1]Sheet2!CJ106)</f>
        <v>0</v>
      </c>
      <c r="CC107" s="14">
        <f>IF([1]Sheet2!CK106=999999,"NA",[1]Sheet2!CK106)</f>
        <v>0</v>
      </c>
      <c r="CD107" s="14">
        <f>[1]Sheet2!BH106</f>
        <v>0</v>
      </c>
      <c r="CE107" s="14">
        <f>[1]Sheet2!BI106</f>
        <v>0</v>
      </c>
      <c r="CF107" s="14">
        <f>[1]Sheet2!BJ106</f>
        <v>0</v>
      </c>
      <c r="CG107" s="14">
        <f>[1]Sheet2!BK106</f>
        <v>0</v>
      </c>
      <c r="CH107" s="14">
        <f>[1]Sheet2!BL106</f>
        <v>0</v>
      </c>
      <c r="CI107" s="14">
        <f>[1]Sheet2!BM106</f>
        <v>0</v>
      </c>
      <c r="CJ107" s="14">
        <f>[1]Sheet2!BN106</f>
        <v>0</v>
      </c>
      <c r="CK107" s="14">
        <f>[1]Sheet2!BO106</f>
        <v>0</v>
      </c>
      <c r="CL107" s="14">
        <f>[1]Sheet2!BP106</f>
        <v>0</v>
      </c>
      <c r="CM107" s="14">
        <f>[1]Sheet2!BQ106</f>
        <v>0</v>
      </c>
      <c r="CN107" s="16">
        <f>Demand_SW!B$6/30</f>
        <v>173.07692307692304</v>
      </c>
      <c r="CO107" s="16">
        <f>Demand_SW!C$6/30</f>
        <v>0</v>
      </c>
      <c r="CP107" s="16">
        <f>Demand_SW!D$6/30</f>
        <v>0</v>
      </c>
      <c r="CQ107" s="16">
        <f>Demand_SW!E$6/30</f>
        <v>0</v>
      </c>
      <c r="CR107" s="16">
        <f>Demand_SW!F$6/30</f>
        <v>0</v>
      </c>
      <c r="CS107" s="16">
        <f>Demand_SW!G$6/30</f>
        <v>173.07692307692304</v>
      </c>
      <c r="CT107" s="16">
        <f>Demand_SW!H$6/30</f>
        <v>0</v>
      </c>
      <c r="CU107" s="16">
        <f>Demand_SW!I$6/30</f>
        <v>0</v>
      </c>
      <c r="CV107" s="16">
        <f>Demand_SW!J$6/30</f>
        <v>0</v>
      </c>
      <c r="CW107" s="16">
        <f>Demand_SW!K$6/30</f>
        <v>0</v>
      </c>
      <c r="CX107" s="16">
        <f t="shared" si="56"/>
        <v>-8693.8461538461488</v>
      </c>
      <c r="CY107" s="16">
        <f t="shared" si="57"/>
        <v>76.923076923077133</v>
      </c>
      <c r="CZ107" s="16">
        <f t="shared" si="58"/>
        <v>0</v>
      </c>
      <c r="DA107" s="16">
        <f t="shared" si="59"/>
        <v>0</v>
      </c>
      <c r="DB107" s="16">
        <f t="shared" si="60"/>
        <v>0</v>
      </c>
      <c r="DC107" s="16">
        <f t="shared" si="61"/>
        <v>-8223.0769230769165</v>
      </c>
      <c r="DD107" s="16">
        <f t="shared" si="62"/>
        <v>76.923076923077133</v>
      </c>
      <c r="DE107" s="16">
        <f t="shared" si="63"/>
        <v>0</v>
      </c>
      <c r="DF107" s="16">
        <f t="shared" si="64"/>
        <v>0</v>
      </c>
      <c r="DG107" s="16">
        <f t="shared" si="65"/>
        <v>0</v>
      </c>
      <c r="DH107" s="14">
        <f>IF([1]Sheet2!DS106=999999,"NA",[1]Sheet2!DS106)</f>
        <v>0</v>
      </c>
      <c r="DI107" s="14">
        <f>IF([1]Sheet2!DT106=999999,"NA",[1]Sheet2!DT106)</f>
        <v>261</v>
      </c>
      <c r="DJ107" s="14" t="str">
        <f>IF([1]Sheet2!DU106=999999,"NA",[1]Sheet2!DU106)</f>
        <v>NA</v>
      </c>
      <c r="DK107" s="14" t="str">
        <f>IF([1]Sheet2!DV106=999999,"NA",[1]Sheet2!DV106)</f>
        <v>NA</v>
      </c>
      <c r="DL107" s="14" t="str">
        <f>IF([1]Sheet2!DW106=999999,"NA",[1]Sheet2!DW106)</f>
        <v>NA</v>
      </c>
      <c r="DM107" s="14">
        <f>IF([1]Sheet2!DX106=999999,"NA",[1]Sheet2!DX106)</f>
        <v>0</v>
      </c>
      <c r="DN107" s="14">
        <f>IF([1]Sheet2!DY106=999999,"NA",[1]Sheet2!DY106)</f>
        <v>261</v>
      </c>
      <c r="DO107" s="14" t="str">
        <f>IF([1]Sheet2!DZ106=999999,"NA",[1]Sheet2!DZ106)</f>
        <v>NA</v>
      </c>
      <c r="DP107" s="14" t="str">
        <f>IF([1]Sheet2!EA106=999999,"NA",[1]Sheet2!EA106)</f>
        <v>NA</v>
      </c>
      <c r="DQ107" s="14" t="str">
        <f>IF([1]Sheet2!EB106=999999,"NA",[1]Sheet2!EB106)</f>
        <v>NA</v>
      </c>
      <c r="DR107" s="14">
        <f>[1]Sheet2!CY106</f>
        <v>0</v>
      </c>
      <c r="DS107" s="14">
        <f>[1]Sheet2!CZ106</f>
        <v>0</v>
      </c>
      <c r="DT107" s="14">
        <f>[1]Sheet2!DA106</f>
        <v>0</v>
      </c>
      <c r="DU107" s="14">
        <f>[1]Sheet2!DB106</f>
        <v>0</v>
      </c>
      <c r="DV107" s="14">
        <f>[1]Sheet2!DC106</f>
        <v>0</v>
      </c>
      <c r="DW107" s="14">
        <f>[1]Sheet2!DD106</f>
        <v>0</v>
      </c>
      <c r="DX107" s="14">
        <f>[1]Sheet2!DE106</f>
        <v>0</v>
      </c>
      <c r="DY107" s="14">
        <f>[1]Sheet2!DF106</f>
        <v>0</v>
      </c>
      <c r="DZ107" s="14">
        <f>[1]Sheet2!DG106</f>
        <v>0</v>
      </c>
      <c r="EA107" s="14">
        <f>[1]Sheet2!DH106</f>
        <v>0</v>
      </c>
      <c r="EB107" s="6">
        <f>[1]Sheet2!EC106</f>
        <v>0</v>
      </c>
      <c r="EC107" s="6">
        <f>[1]Sheet2!ED106</f>
        <v>0</v>
      </c>
      <c r="ED107" s="6">
        <f>[1]Sheet2!EE106</f>
        <v>0</v>
      </c>
      <c r="EE107" s="6">
        <f>[1]Sheet2!EF106</f>
        <v>0</v>
      </c>
      <c r="EF107" s="6">
        <f>[1]Sheet2!EG106</f>
        <v>0</v>
      </c>
      <c r="EG107" s="6">
        <f>[1]Sheet2!EH106</f>
        <v>0</v>
      </c>
      <c r="EH107" s="6">
        <f>[1]Sheet2!EI106</f>
        <v>0</v>
      </c>
      <c r="EI107" s="6">
        <f>[1]Sheet2!EJ106</f>
        <v>0</v>
      </c>
      <c r="EJ107" s="6">
        <f>[1]Sheet2!EK106</f>
        <v>0</v>
      </c>
      <c r="EK107" s="6">
        <f>[1]Sheet2!EL106</f>
        <v>0</v>
      </c>
      <c r="EL107" s="6" t="str">
        <f>[1]Sheet2!EM106</f>
        <v/>
      </c>
      <c r="EM107" s="6" t="str">
        <f>[1]Sheet2!EN106</f>
        <v/>
      </c>
      <c r="EN107" s="6" t="str">
        <f>[1]Sheet2!EO106</f>
        <v/>
      </c>
      <c r="EO107" s="6" t="str">
        <f>[1]Sheet2!EP106</f>
        <v/>
      </c>
      <c r="EP107" s="6" t="str">
        <f>[1]Sheet2!EQ106</f>
        <v/>
      </c>
      <c r="EQ107" s="6" t="str">
        <f>[1]Sheet2!ER106</f>
        <v/>
      </c>
      <c r="ER107" s="6" t="str">
        <f>[1]Sheet2!ES106</f>
        <v/>
      </c>
      <c r="ES107" s="6" t="str">
        <f>[1]Sheet2!ET106</f>
        <v/>
      </c>
      <c r="ET107" s="6" t="str">
        <f>[1]Sheet2!EU106</f>
        <v/>
      </c>
      <c r="EU107" s="6" t="str">
        <f>[1]Sheet2!EV106</f>
        <v/>
      </c>
      <c r="EV107" s="6" t="str">
        <f>[1]Sheet2!EW106</f>
        <v/>
      </c>
      <c r="EW107" s="6" t="str">
        <f>[1]Sheet2!EX106</f>
        <v/>
      </c>
      <c r="EX107" s="6" t="str">
        <f>[1]Sheet2!EY106</f>
        <v/>
      </c>
      <c r="EY107" s="6" t="str">
        <f>[1]Sheet2!EZ106</f>
        <v/>
      </c>
      <c r="EZ107" s="6" t="str">
        <f>[1]Sheet2!FA106</f>
        <v/>
      </c>
      <c r="FA107" s="6" t="str">
        <f>[1]Sheet2!FB106</f>
        <v/>
      </c>
      <c r="FB107" s="6" t="str">
        <f>[1]Sheet2!FC106</f>
        <v/>
      </c>
      <c r="FC107" s="6" t="str">
        <f>[1]Sheet2!FD106</f>
        <v/>
      </c>
      <c r="FD107" s="6" t="str">
        <f>[1]Sheet2!FE106</f>
        <v/>
      </c>
      <c r="FE107" s="6" t="str">
        <f>[1]Sheet2!FF106</f>
        <v/>
      </c>
      <c r="FF107" s="6" t="str">
        <f>[1]Sheet2!FG106</f>
        <v/>
      </c>
      <c r="FG107" s="6" t="str">
        <f>[1]Sheet2!FH106</f>
        <v/>
      </c>
      <c r="FH107" s="6" t="str">
        <f>[1]Sheet2!FI106</f>
        <v/>
      </c>
      <c r="FI107" s="6" t="str">
        <f>[1]Sheet2!FJ106</f>
        <v/>
      </c>
      <c r="FJ107" s="6" t="str">
        <f>[1]Sheet2!FK106</f>
        <v/>
      </c>
      <c r="FK107" s="6" t="str">
        <f>[1]Sheet2!FL106</f>
        <v/>
      </c>
      <c r="FL107" s="6" t="str">
        <f>[1]Sheet2!FM106</f>
        <v/>
      </c>
      <c r="FM107" s="6" t="str">
        <f>[1]Sheet2!FN106</f>
        <v/>
      </c>
      <c r="FN107" s="6" t="str">
        <f>[1]Sheet2!FO106</f>
        <v/>
      </c>
      <c r="FO107" s="6" t="str">
        <f>[1]Sheet2!FP106</f>
        <v/>
      </c>
    </row>
    <row r="108" spans="1:171" x14ac:dyDescent="0.25">
      <c r="A108" s="15">
        <v>43570</v>
      </c>
      <c r="B108" s="1"/>
      <c r="C108" s="1"/>
      <c r="D108" s="1"/>
      <c r="E108" s="14">
        <f>[1]Sheet2!N107</f>
        <v>0</v>
      </c>
      <c r="F108" s="14">
        <f>[1]Sheet2!BE107</f>
        <v>48000</v>
      </c>
      <c r="G108" s="14">
        <f>[1]Sheet2!CW107</f>
        <v>0</v>
      </c>
      <c r="H108" s="1"/>
      <c r="I108" s="1"/>
      <c r="J108" s="1"/>
      <c r="K108" s="16"/>
      <c r="L108" s="16">
        <f>Demand_CWRS!B$6/30</f>
        <v>136.96097796474356</v>
      </c>
      <c r="M108" s="16">
        <f>Demand_CWRS!C$6/30</f>
        <v>544.43376068376062</v>
      </c>
      <c r="N108" s="16">
        <f>Demand_CWRS!D$6/30</f>
        <v>0</v>
      </c>
      <c r="O108" s="16">
        <f>Demand_CWRS!E$6/30</f>
        <v>108.97435897435896</v>
      </c>
      <c r="P108" s="16">
        <f>Demand_CWRS!F$6/30</f>
        <v>213.3621347489316</v>
      </c>
      <c r="Q108" s="16">
        <f>Demand_CWRS!G$6/30</f>
        <v>133.33333333333334</v>
      </c>
      <c r="R108" s="16">
        <f>Demand_CWRS!H$6/30</f>
        <v>213.3621347489316</v>
      </c>
      <c r="S108" s="16">
        <f>Demand_CWRS!I$6/30</f>
        <v>213.3621347489316</v>
      </c>
      <c r="T108" s="16">
        <f>Demand_CWRS!J$6/30</f>
        <v>213.3621347489316</v>
      </c>
      <c r="U108" s="16">
        <f>Demand_CWRS!K$6/30</f>
        <v>213.3621347489316</v>
      </c>
      <c r="V108" s="16">
        <f t="shared" si="36"/>
        <v>-12533.41897129077</v>
      </c>
      <c r="W108" s="16">
        <f t="shared" si="37"/>
        <v>-41348.629487179409</v>
      </c>
      <c r="X108" s="16">
        <f t="shared" si="38"/>
        <v>0</v>
      </c>
      <c r="Y108" s="16">
        <f t="shared" si="39"/>
        <v>-3114.0201395650665</v>
      </c>
      <c r="Z108" s="16">
        <f t="shared" si="40"/>
        <v>-19309.949237438123</v>
      </c>
      <c r="AA108" s="16">
        <f t="shared" si="41"/>
        <v>-11262.06049172348</v>
      </c>
      <c r="AB108" s="16">
        <f t="shared" si="42"/>
        <v>-23790.992907309941</v>
      </c>
      <c r="AC108" s="16">
        <f t="shared" si="43"/>
        <v>-17997.982650899663</v>
      </c>
      <c r="AD108" s="16">
        <f t="shared" si="44"/>
        <v>-18097.982650899656</v>
      </c>
      <c r="AE108" s="16">
        <f t="shared" si="45"/>
        <v>-18697.982650899659</v>
      </c>
      <c r="AF108" s="14">
        <f>IF([1]Sheet2!AJ107=999999,"NA",[1]Sheet2!AJ107)</f>
        <v>0</v>
      </c>
      <c r="AG108" s="14">
        <f>IF([1]Sheet2!AK107=999999,"NA",[1]Sheet2!AK107)</f>
        <v>0</v>
      </c>
      <c r="AH108" s="14" t="str">
        <f>IF([1]Sheet2!AL107=999999,"NA",[1]Sheet2!AL107)</f>
        <v>NA</v>
      </c>
      <c r="AI108" s="14">
        <f>IF([1]Sheet2!AM107=999999,"NA",[1]Sheet2!AM107)</f>
        <v>0</v>
      </c>
      <c r="AJ108" s="14">
        <f>IF([1]Sheet2!AN107=999999,"NA",[1]Sheet2!AN107)</f>
        <v>0</v>
      </c>
      <c r="AK108" s="14">
        <f>IF([1]Sheet2!AO107=999999,"NA",[1]Sheet2!AO107)</f>
        <v>0</v>
      </c>
      <c r="AL108" s="14">
        <f>IF([1]Sheet2!AP107=999999,"NA",[1]Sheet2!AP107)</f>
        <v>0</v>
      </c>
      <c r="AM108" s="14">
        <f>IF([1]Sheet2!AQ107=999999,"NA",[1]Sheet2!AQ107)</f>
        <v>0</v>
      </c>
      <c r="AN108" s="14">
        <f>IF([1]Sheet2!AR107=999999,"NA",[1]Sheet2!AR107)</f>
        <v>0</v>
      </c>
      <c r="AO108" s="14">
        <f>IF([1]Sheet2!AS107=999999,"NA",[1]Sheet2!AS107)</f>
        <v>0</v>
      </c>
      <c r="AP108" s="14">
        <f>[1]Sheet2!P107</f>
        <v>0</v>
      </c>
      <c r="AQ108" s="14">
        <f>[1]Sheet2!Q107</f>
        <v>0</v>
      </c>
      <c r="AR108" s="14">
        <f>[1]Sheet2!R107</f>
        <v>0</v>
      </c>
      <c r="AS108" s="14">
        <f>[1]Sheet2!S107</f>
        <v>0</v>
      </c>
      <c r="AT108" s="14">
        <f>[1]Sheet2!T107</f>
        <v>0</v>
      </c>
      <c r="AU108" s="14">
        <f>[1]Sheet2!U107</f>
        <v>0</v>
      </c>
      <c r="AV108" s="14">
        <f>[1]Sheet2!V107</f>
        <v>0</v>
      </c>
      <c r="AW108" s="14">
        <f>[1]Sheet2!W107</f>
        <v>0</v>
      </c>
      <c r="AX108" s="14">
        <f>[1]Sheet2!X107</f>
        <v>0</v>
      </c>
      <c r="AY108" s="14">
        <f>[1]Sheet2!Y107</f>
        <v>0</v>
      </c>
      <c r="AZ108" s="16">
        <f>Demand_LP!B$6/30</f>
        <v>790.61612406517088</v>
      </c>
      <c r="BA108" s="16">
        <f>Demand_LP!C$6/30</f>
        <v>816.46367521367517</v>
      </c>
      <c r="BB108" s="16">
        <f>Demand_LP!D$6/30</f>
        <v>346.63461538461536</v>
      </c>
      <c r="BC108" s="16">
        <f>Demand_LP!E$6/30</f>
        <v>795.48076923076928</v>
      </c>
      <c r="BD108" s="16">
        <f>Demand_LP!F$6/30</f>
        <v>472.52230168269227</v>
      </c>
      <c r="BE108" s="16">
        <f>Demand_LP!G$6/30</f>
        <v>472.52230168269227</v>
      </c>
      <c r="BF108" s="16">
        <f>Demand_LP!H$6/30</f>
        <v>816.46367521367517</v>
      </c>
      <c r="BG108" s="16">
        <f>Demand_LP!I$6/30</f>
        <v>472.52230168269227</v>
      </c>
      <c r="BH108" s="16">
        <f>Demand_LP!J$6/30</f>
        <v>472.52230168269227</v>
      </c>
      <c r="BI108" s="16">
        <f>Demand_LP!K$6/30</f>
        <v>472.52230168269227</v>
      </c>
      <c r="BJ108" s="16">
        <f t="shared" si="46"/>
        <v>-63561.266589911007</v>
      </c>
      <c r="BK108" s="16">
        <f t="shared" si="47"/>
        <v>-57863.498717948627</v>
      </c>
      <c r="BL108" s="16">
        <f t="shared" si="48"/>
        <v>-19973.484615384641</v>
      </c>
      <c r="BM108" s="16">
        <f t="shared" si="49"/>
        <v>-68738.758958130449</v>
      </c>
      <c r="BN108" s="16">
        <f t="shared" si="50"/>
        <v>-40530.150606869691</v>
      </c>
      <c r="BO108" s="16">
        <f t="shared" si="51"/>
        <v>-38987.834525240403</v>
      </c>
      <c r="BP108" s="16">
        <f t="shared" si="52"/>
        <v>-52221.078205128164</v>
      </c>
      <c r="BQ108" s="16">
        <f t="shared" si="53"/>
        <v>-38987.834525240403</v>
      </c>
      <c r="BR108" s="16">
        <f t="shared" si="54"/>
        <v>-36587.834525240403</v>
      </c>
      <c r="BS108" s="16">
        <f t="shared" si="55"/>
        <v>-37287.834525240396</v>
      </c>
      <c r="BT108" s="14">
        <f>IF([1]Sheet2!CB107=999999,"NA",[1]Sheet2!CB107)</f>
        <v>0</v>
      </c>
      <c r="BU108" s="14">
        <f>IF([1]Sheet2!CC107=999999,"NA",[1]Sheet2!CC107)</f>
        <v>0</v>
      </c>
      <c r="BV108" s="14">
        <f>IF([1]Sheet2!CD107=999999,"NA",[1]Sheet2!CD107)</f>
        <v>0</v>
      </c>
      <c r="BW108" s="14">
        <f>IF([1]Sheet2!CE107=999999,"NA",[1]Sheet2!CE107)</f>
        <v>0</v>
      </c>
      <c r="BX108" s="14">
        <f>IF([1]Sheet2!CF107=999999,"NA",[1]Sheet2!CF107)</f>
        <v>0</v>
      </c>
      <c r="BY108" s="14">
        <f>IF([1]Sheet2!CG107=999999,"NA",[1]Sheet2!CG107)</f>
        <v>0</v>
      </c>
      <c r="BZ108" s="14">
        <f>IF([1]Sheet2!CH107=999999,"NA",[1]Sheet2!CH107)</f>
        <v>0</v>
      </c>
      <c r="CA108" s="14">
        <f>IF([1]Sheet2!CI107=999999,"NA",[1]Sheet2!CI107)</f>
        <v>0</v>
      </c>
      <c r="CB108" s="14">
        <f>IF([1]Sheet2!CJ107=999999,"NA",[1]Sheet2!CJ107)</f>
        <v>0</v>
      </c>
      <c r="CC108" s="14">
        <f>IF([1]Sheet2!CK107=999999,"NA",[1]Sheet2!CK107)</f>
        <v>0</v>
      </c>
      <c r="CD108" s="14">
        <f>[1]Sheet2!BH107</f>
        <v>0</v>
      </c>
      <c r="CE108" s="14">
        <f>[1]Sheet2!BI107</f>
        <v>0</v>
      </c>
      <c r="CF108" s="14">
        <f>[1]Sheet2!BJ107</f>
        <v>0</v>
      </c>
      <c r="CG108" s="14">
        <f>[1]Sheet2!BK107</f>
        <v>0</v>
      </c>
      <c r="CH108" s="14">
        <f>[1]Sheet2!BL107</f>
        <v>0</v>
      </c>
      <c r="CI108" s="14">
        <f>[1]Sheet2!BM107</f>
        <v>0</v>
      </c>
      <c r="CJ108" s="14">
        <f>[1]Sheet2!BN107</f>
        <v>0</v>
      </c>
      <c r="CK108" s="14">
        <f>[1]Sheet2!BO107</f>
        <v>0</v>
      </c>
      <c r="CL108" s="14">
        <f>[1]Sheet2!BP107</f>
        <v>0</v>
      </c>
      <c r="CM108" s="14">
        <f>[1]Sheet2!BQ107</f>
        <v>0</v>
      </c>
      <c r="CN108" s="16">
        <f>Demand_SW!B$6/30</f>
        <v>173.07692307692304</v>
      </c>
      <c r="CO108" s="16">
        <f>Demand_SW!C$6/30</f>
        <v>0</v>
      </c>
      <c r="CP108" s="16">
        <f>Demand_SW!D$6/30</f>
        <v>0</v>
      </c>
      <c r="CQ108" s="16">
        <f>Demand_SW!E$6/30</f>
        <v>0</v>
      </c>
      <c r="CR108" s="16">
        <f>Demand_SW!F$6/30</f>
        <v>0</v>
      </c>
      <c r="CS108" s="16">
        <f>Demand_SW!G$6/30</f>
        <v>173.07692307692304</v>
      </c>
      <c r="CT108" s="16">
        <f>Demand_SW!H$6/30</f>
        <v>0</v>
      </c>
      <c r="CU108" s="16">
        <f>Demand_SW!I$6/30</f>
        <v>0</v>
      </c>
      <c r="CV108" s="16">
        <f>Demand_SW!J$6/30</f>
        <v>0</v>
      </c>
      <c r="CW108" s="16">
        <f>Demand_SW!K$6/30</f>
        <v>0</v>
      </c>
      <c r="CX108" s="16">
        <f t="shared" si="56"/>
        <v>-8866.9230769230726</v>
      </c>
      <c r="CY108" s="16">
        <f t="shared" si="57"/>
        <v>76.923076923077133</v>
      </c>
      <c r="CZ108" s="16">
        <f t="shared" si="58"/>
        <v>0</v>
      </c>
      <c r="DA108" s="16">
        <f t="shared" si="59"/>
        <v>0</v>
      </c>
      <c r="DB108" s="16">
        <f t="shared" si="60"/>
        <v>0</v>
      </c>
      <c r="DC108" s="16">
        <f t="shared" si="61"/>
        <v>-8396.1538461538403</v>
      </c>
      <c r="DD108" s="16">
        <f t="shared" si="62"/>
        <v>76.923076923077133</v>
      </c>
      <c r="DE108" s="16">
        <f t="shared" si="63"/>
        <v>0</v>
      </c>
      <c r="DF108" s="16">
        <f t="shared" si="64"/>
        <v>0</v>
      </c>
      <c r="DG108" s="16">
        <f t="shared" si="65"/>
        <v>0</v>
      </c>
      <c r="DH108" s="14">
        <f>IF([1]Sheet2!DS107=999999,"NA",[1]Sheet2!DS107)</f>
        <v>0</v>
      </c>
      <c r="DI108" s="14">
        <f>IF([1]Sheet2!DT107=999999,"NA",[1]Sheet2!DT107)</f>
        <v>260</v>
      </c>
      <c r="DJ108" s="14" t="str">
        <f>IF([1]Sheet2!DU107=999999,"NA",[1]Sheet2!DU107)</f>
        <v>NA</v>
      </c>
      <c r="DK108" s="14" t="str">
        <f>IF([1]Sheet2!DV107=999999,"NA",[1]Sheet2!DV107)</f>
        <v>NA</v>
      </c>
      <c r="DL108" s="14" t="str">
        <f>IF([1]Sheet2!DW107=999999,"NA",[1]Sheet2!DW107)</f>
        <v>NA</v>
      </c>
      <c r="DM108" s="14">
        <f>IF([1]Sheet2!DX107=999999,"NA",[1]Sheet2!DX107)</f>
        <v>0</v>
      </c>
      <c r="DN108" s="14">
        <f>IF([1]Sheet2!DY107=999999,"NA",[1]Sheet2!DY107)</f>
        <v>260</v>
      </c>
      <c r="DO108" s="14" t="str">
        <f>IF([1]Sheet2!DZ107=999999,"NA",[1]Sheet2!DZ107)</f>
        <v>NA</v>
      </c>
      <c r="DP108" s="14" t="str">
        <f>IF([1]Sheet2!EA107=999999,"NA",[1]Sheet2!EA107)</f>
        <v>NA</v>
      </c>
      <c r="DQ108" s="14" t="str">
        <f>IF([1]Sheet2!EB107=999999,"NA",[1]Sheet2!EB107)</f>
        <v>NA</v>
      </c>
      <c r="DR108" s="14">
        <f>[1]Sheet2!CY107</f>
        <v>0</v>
      </c>
      <c r="DS108" s="14">
        <f>[1]Sheet2!CZ107</f>
        <v>0</v>
      </c>
      <c r="DT108" s="14">
        <f>[1]Sheet2!DA107</f>
        <v>0</v>
      </c>
      <c r="DU108" s="14">
        <f>[1]Sheet2!DB107</f>
        <v>0</v>
      </c>
      <c r="DV108" s="14">
        <f>[1]Sheet2!DC107</f>
        <v>0</v>
      </c>
      <c r="DW108" s="14">
        <f>[1]Sheet2!DD107</f>
        <v>0</v>
      </c>
      <c r="DX108" s="14">
        <f>[1]Sheet2!DE107</f>
        <v>0</v>
      </c>
      <c r="DY108" s="14">
        <f>[1]Sheet2!DF107</f>
        <v>0</v>
      </c>
      <c r="DZ108" s="14">
        <f>[1]Sheet2!DG107</f>
        <v>0</v>
      </c>
      <c r="EA108" s="14">
        <f>[1]Sheet2!DH107</f>
        <v>0</v>
      </c>
      <c r="EB108" s="6">
        <f>[1]Sheet2!EC107</f>
        <v>0</v>
      </c>
      <c r="EC108" s="6">
        <f>[1]Sheet2!ED107</f>
        <v>0</v>
      </c>
      <c r="ED108" s="6">
        <f>[1]Sheet2!EE107</f>
        <v>0</v>
      </c>
      <c r="EE108" s="6">
        <f>[1]Sheet2!EF107</f>
        <v>0</v>
      </c>
      <c r="EF108" s="6">
        <f>[1]Sheet2!EG107</f>
        <v>0</v>
      </c>
      <c r="EG108" s="6">
        <f>[1]Sheet2!EH107</f>
        <v>0</v>
      </c>
      <c r="EH108" s="6">
        <f>[1]Sheet2!EI107</f>
        <v>0</v>
      </c>
      <c r="EI108" s="6">
        <f>[1]Sheet2!EJ107</f>
        <v>0</v>
      </c>
      <c r="EJ108" s="6">
        <f>[1]Sheet2!EK107</f>
        <v>0</v>
      </c>
      <c r="EK108" s="6">
        <f>[1]Sheet2!EL107</f>
        <v>0</v>
      </c>
      <c r="EL108" s="6" t="str">
        <f>[1]Sheet2!EM107</f>
        <v/>
      </c>
      <c r="EM108" s="6" t="str">
        <f>[1]Sheet2!EN107</f>
        <v/>
      </c>
      <c r="EN108" s="6" t="str">
        <f>[1]Sheet2!EO107</f>
        <v/>
      </c>
      <c r="EO108" s="6" t="str">
        <f>[1]Sheet2!EP107</f>
        <v/>
      </c>
      <c r="EP108" s="6" t="str">
        <f>[1]Sheet2!EQ107</f>
        <v/>
      </c>
      <c r="EQ108" s="6" t="str">
        <f>[1]Sheet2!ER107</f>
        <v/>
      </c>
      <c r="ER108" s="6" t="str">
        <f>[1]Sheet2!ES107</f>
        <v/>
      </c>
      <c r="ES108" s="6" t="str">
        <f>[1]Sheet2!ET107</f>
        <v/>
      </c>
      <c r="ET108" s="6" t="str">
        <f>[1]Sheet2!EU107</f>
        <v/>
      </c>
      <c r="EU108" s="6" t="str">
        <f>[1]Sheet2!EV107</f>
        <v/>
      </c>
      <c r="EV108" s="6" t="str">
        <f>[1]Sheet2!EW107</f>
        <v/>
      </c>
      <c r="EW108" s="6" t="str">
        <f>[1]Sheet2!EX107</f>
        <v/>
      </c>
      <c r="EX108" s="6" t="str">
        <f>[1]Sheet2!EY107</f>
        <v/>
      </c>
      <c r="EY108" s="6" t="str">
        <f>[1]Sheet2!EZ107</f>
        <v/>
      </c>
      <c r="EZ108" s="6" t="str">
        <f>[1]Sheet2!FA107</f>
        <v/>
      </c>
      <c r="FA108" s="6" t="str">
        <f>[1]Sheet2!FB107</f>
        <v/>
      </c>
      <c r="FB108" s="6" t="str">
        <f>[1]Sheet2!FC107</f>
        <v/>
      </c>
      <c r="FC108" s="6" t="str">
        <f>[1]Sheet2!FD107</f>
        <v/>
      </c>
      <c r="FD108" s="6" t="str">
        <f>[1]Sheet2!FE107</f>
        <v/>
      </c>
      <c r="FE108" s="6" t="str">
        <f>[1]Sheet2!FF107</f>
        <v/>
      </c>
      <c r="FF108" s="6" t="str">
        <f>[1]Sheet2!FG107</f>
        <v/>
      </c>
      <c r="FG108" s="6" t="str">
        <f>[1]Sheet2!FH107</f>
        <v/>
      </c>
      <c r="FH108" s="6" t="str">
        <f>[1]Sheet2!FI107</f>
        <v/>
      </c>
      <c r="FI108" s="6" t="str">
        <f>[1]Sheet2!FJ107</f>
        <v/>
      </c>
      <c r="FJ108" s="6" t="str">
        <f>[1]Sheet2!FK107</f>
        <v/>
      </c>
      <c r="FK108" s="6" t="str">
        <f>[1]Sheet2!FL107</f>
        <v/>
      </c>
      <c r="FL108" s="6" t="str">
        <f>[1]Sheet2!FM107</f>
        <v/>
      </c>
      <c r="FM108" s="6" t="str">
        <f>[1]Sheet2!FN107</f>
        <v/>
      </c>
      <c r="FN108" s="6" t="str">
        <f>[1]Sheet2!FO107</f>
        <v/>
      </c>
      <c r="FO108" s="6" t="str">
        <f>[1]Sheet2!FP107</f>
        <v/>
      </c>
    </row>
    <row r="109" spans="1:171" x14ac:dyDescent="0.25">
      <c r="A109" s="15">
        <v>43571</v>
      </c>
      <c r="B109" s="1"/>
      <c r="C109" s="1"/>
      <c r="D109" s="1"/>
      <c r="E109" s="14">
        <f>[1]Sheet2!N108</f>
        <v>0</v>
      </c>
      <c r="F109" s="14">
        <f>[1]Sheet2!BE108</f>
        <v>0</v>
      </c>
      <c r="G109" s="14">
        <f>[1]Sheet2!CW108</f>
        <v>0</v>
      </c>
      <c r="H109" s="1"/>
      <c r="I109" s="1"/>
      <c r="J109" s="1"/>
      <c r="K109" s="16"/>
      <c r="L109" s="16">
        <f>Demand_CWRS!B$6/30</f>
        <v>136.96097796474356</v>
      </c>
      <c r="M109" s="16">
        <f>Demand_CWRS!C$6/30</f>
        <v>544.43376068376062</v>
      </c>
      <c r="N109" s="16">
        <f>Demand_CWRS!D$6/30</f>
        <v>0</v>
      </c>
      <c r="O109" s="16">
        <f>Demand_CWRS!E$6/30</f>
        <v>108.97435897435896</v>
      </c>
      <c r="P109" s="16">
        <f>Demand_CWRS!F$6/30</f>
        <v>213.3621347489316</v>
      </c>
      <c r="Q109" s="16">
        <f>Demand_CWRS!G$6/30</f>
        <v>133.33333333333334</v>
      </c>
      <c r="R109" s="16">
        <f>Demand_CWRS!H$6/30</f>
        <v>213.3621347489316</v>
      </c>
      <c r="S109" s="16">
        <f>Demand_CWRS!I$6/30</f>
        <v>213.3621347489316</v>
      </c>
      <c r="T109" s="16">
        <f>Demand_CWRS!J$6/30</f>
        <v>213.3621347489316</v>
      </c>
      <c r="U109" s="16">
        <f>Demand_CWRS!K$6/30</f>
        <v>213.3621347489316</v>
      </c>
      <c r="V109" s="16">
        <f t="shared" si="36"/>
        <v>-12670.379949255514</v>
      </c>
      <c r="W109" s="16">
        <f t="shared" si="37"/>
        <v>-41893.063247863167</v>
      </c>
      <c r="X109" s="16">
        <f t="shared" si="38"/>
        <v>0</v>
      </c>
      <c r="Y109" s="16">
        <f t="shared" si="39"/>
        <v>-3222.9944985394254</v>
      </c>
      <c r="Z109" s="16">
        <f t="shared" si="40"/>
        <v>-19523.311372187054</v>
      </c>
      <c r="AA109" s="16">
        <f t="shared" si="41"/>
        <v>-11395.393825056814</v>
      </c>
      <c r="AB109" s="16">
        <f t="shared" si="42"/>
        <v>-24004.355042058873</v>
      </c>
      <c r="AC109" s="16">
        <f t="shared" si="43"/>
        <v>-18211.344785648595</v>
      </c>
      <c r="AD109" s="16">
        <f t="shared" si="44"/>
        <v>-18311.344785648587</v>
      </c>
      <c r="AE109" s="16">
        <f t="shared" si="45"/>
        <v>-18911.344785648591</v>
      </c>
      <c r="AF109" s="14">
        <f>IF([1]Sheet2!AJ108=999999,"NA",[1]Sheet2!AJ108)</f>
        <v>0</v>
      </c>
      <c r="AG109" s="14">
        <f>IF([1]Sheet2!AK108=999999,"NA",[1]Sheet2!AK108)</f>
        <v>0</v>
      </c>
      <c r="AH109" s="14" t="str">
        <f>IF([1]Sheet2!AL108=999999,"NA",[1]Sheet2!AL108)</f>
        <v>NA</v>
      </c>
      <c r="AI109" s="14">
        <f>IF([1]Sheet2!AM108=999999,"NA",[1]Sheet2!AM108)</f>
        <v>0</v>
      </c>
      <c r="AJ109" s="14">
        <f>IF([1]Sheet2!AN108=999999,"NA",[1]Sheet2!AN108)</f>
        <v>0</v>
      </c>
      <c r="AK109" s="14">
        <f>IF([1]Sheet2!AO108=999999,"NA",[1]Sheet2!AO108)</f>
        <v>0</v>
      </c>
      <c r="AL109" s="14">
        <f>IF([1]Sheet2!AP108=999999,"NA",[1]Sheet2!AP108)</f>
        <v>0</v>
      </c>
      <c r="AM109" s="14">
        <f>IF([1]Sheet2!AQ108=999999,"NA",[1]Sheet2!AQ108)</f>
        <v>0</v>
      </c>
      <c r="AN109" s="14">
        <f>IF([1]Sheet2!AR108=999999,"NA",[1]Sheet2!AR108)</f>
        <v>0</v>
      </c>
      <c r="AO109" s="14">
        <f>IF([1]Sheet2!AS108=999999,"NA",[1]Sheet2!AS108)</f>
        <v>0</v>
      </c>
      <c r="AP109" s="14">
        <f>[1]Sheet2!P108</f>
        <v>0</v>
      </c>
      <c r="AQ109" s="14">
        <f>[1]Sheet2!Q108</f>
        <v>0</v>
      </c>
      <c r="AR109" s="14">
        <f>[1]Sheet2!R108</f>
        <v>0</v>
      </c>
      <c r="AS109" s="14">
        <f>[1]Sheet2!S108</f>
        <v>0</v>
      </c>
      <c r="AT109" s="14">
        <f>[1]Sheet2!T108</f>
        <v>0</v>
      </c>
      <c r="AU109" s="14">
        <f>[1]Sheet2!U108</f>
        <v>0</v>
      </c>
      <c r="AV109" s="14">
        <f>[1]Sheet2!V108</f>
        <v>0</v>
      </c>
      <c r="AW109" s="14">
        <f>[1]Sheet2!W108</f>
        <v>0</v>
      </c>
      <c r="AX109" s="14">
        <f>[1]Sheet2!X108</f>
        <v>0</v>
      </c>
      <c r="AY109" s="14">
        <f>[1]Sheet2!Y108</f>
        <v>0</v>
      </c>
      <c r="AZ109" s="16">
        <f>Demand_LP!B$6/30</f>
        <v>790.61612406517088</v>
      </c>
      <c r="BA109" s="16">
        <f>Demand_LP!C$6/30</f>
        <v>816.46367521367517</v>
      </c>
      <c r="BB109" s="16">
        <f>Demand_LP!D$6/30</f>
        <v>346.63461538461536</v>
      </c>
      <c r="BC109" s="16">
        <f>Demand_LP!E$6/30</f>
        <v>795.48076923076928</v>
      </c>
      <c r="BD109" s="16">
        <f>Demand_LP!F$6/30</f>
        <v>472.52230168269227</v>
      </c>
      <c r="BE109" s="16">
        <f>Demand_LP!G$6/30</f>
        <v>472.52230168269227</v>
      </c>
      <c r="BF109" s="16">
        <f>Demand_LP!H$6/30</f>
        <v>816.46367521367517</v>
      </c>
      <c r="BG109" s="16">
        <f>Demand_LP!I$6/30</f>
        <v>472.52230168269227</v>
      </c>
      <c r="BH109" s="16">
        <f>Demand_LP!J$6/30</f>
        <v>472.52230168269227</v>
      </c>
      <c r="BI109" s="16">
        <f>Demand_LP!K$6/30</f>
        <v>472.52230168269227</v>
      </c>
      <c r="BJ109" s="16">
        <f t="shared" si="46"/>
        <v>-64351.882713976178</v>
      </c>
      <c r="BK109" s="16">
        <f t="shared" si="47"/>
        <v>-58679.962393162299</v>
      </c>
      <c r="BL109" s="16">
        <f t="shared" si="48"/>
        <v>-20320.119230769258</v>
      </c>
      <c r="BM109" s="16">
        <f t="shared" si="49"/>
        <v>-69534.239727361215</v>
      </c>
      <c r="BN109" s="16">
        <f t="shared" si="50"/>
        <v>-41002.672908552384</v>
      </c>
      <c r="BO109" s="16">
        <f t="shared" si="51"/>
        <v>-39460.356826923096</v>
      </c>
      <c r="BP109" s="16">
        <f t="shared" si="52"/>
        <v>-53037.541880341836</v>
      </c>
      <c r="BQ109" s="16">
        <f t="shared" si="53"/>
        <v>-39460.356826923096</v>
      </c>
      <c r="BR109" s="16">
        <f t="shared" si="54"/>
        <v>-37060.356826923096</v>
      </c>
      <c r="BS109" s="16">
        <f t="shared" si="55"/>
        <v>-37760.356826923089</v>
      </c>
      <c r="BT109" s="14">
        <f>IF([1]Sheet2!CB108=999999,"NA",[1]Sheet2!CB108)</f>
        <v>0</v>
      </c>
      <c r="BU109" s="14">
        <f>IF([1]Sheet2!CC108=999999,"NA",[1]Sheet2!CC108)</f>
        <v>0</v>
      </c>
      <c r="BV109" s="14">
        <f>IF([1]Sheet2!CD108=999999,"NA",[1]Sheet2!CD108)</f>
        <v>0</v>
      </c>
      <c r="BW109" s="14">
        <f>IF([1]Sheet2!CE108=999999,"NA",[1]Sheet2!CE108)</f>
        <v>0</v>
      </c>
      <c r="BX109" s="14">
        <f>IF([1]Sheet2!CF108=999999,"NA",[1]Sheet2!CF108)</f>
        <v>0</v>
      </c>
      <c r="BY109" s="14">
        <f>IF([1]Sheet2!CG108=999999,"NA",[1]Sheet2!CG108)</f>
        <v>0</v>
      </c>
      <c r="BZ109" s="14">
        <f>IF([1]Sheet2!CH108=999999,"NA",[1]Sheet2!CH108)</f>
        <v>0</v>
      </c>
      <c r="CA109" s="14">
        <f>IF([1]Sheet2!CI108=999999,"NA",[1]Sheet2!CI108)</f>
        <v>0</v>
      </c>
      <c r="CB109" s="14">
        <f>IF([1]Sheet2!CJ108=999999,"NA",[1]Sheet2!CJ108)</f>
        <v>0</v>
      </c>
      <c r="CC109" s="14">
        <f>IF([1]Sheet2!CK108=999999,"NA",[1]Sheet2!CK108)</f>
        <v>0</v>
      </c>
      <c r="CD109" s="14">
        <f>[1]Sheet2!BH108</f>
        <v>0</v>
      </c>
      <c r="CE109" s="14">
        <f>[1]Sheet2!BI108</f>
        <v>0</v>
      </c>
      <c r="CF109" s="14">
        <f>[1]Sheet2!BJ108</f>
        <v>0</v>
      </c>
      <c r="CG109" s="14">
        <f>[1]Sheet2!BK108</f>
        <v>0</v>
      </c>
      <c r="CH109" s="14">
        <f>[1]Sheet2!BL108</f>
        <v>0</v>
      </c>
      <c r="CI109" s="14">
        <f>[1]Sheet2!BM108</f>
        <v>0</v>
      </c>
      <c r="CJ109" s="14">
        <f>[1]Sheet2!BN108</f>
        <v>0</v>
      </c>
      <c r="CK109" s="14">
        <f>[1]Sheet2!BO108</f>
        <v>0</v>
      </c>
      <c r="CL109" s="14">
        <f>[1]Sheet2!BP108</f>
        <v>0</v>
      </c>
      <c r="CM109" s="14">
        <f>[1]Sheet2!BQ108</f>
        <v>0</v>
      </c>
      <c r="CN109" s="16">
        <f>Demand_SW!B$6/30</f>
        <v>173.07692307692304</v>
      </c>
      <c r="CO109" s="16">
        <f>Demand_SW!C$6/30</f>
        <v>0</v>
      </c>
      <c r="CP109" s="16">
        <f>Demand_SW!D$6/30</f>
        <v>0</v>
      </c>
      <c r="CQ109" s="16">
        <f>Demand_SW!E$6/30</f>
        <v>0</v>
      </c>
      <c r="CR109" s="16">
        <f>Demand_SW!F$6/30</f>
        <v>0</v>
      </c>
      <c r="CS109" s="16">
        <f>Demand_SW!G$6/30</f>
        <v>173.07692307692304</v>
      </c>
      <c r="CT109" s="16">
        <f>Demand_SW!H$6/30</f>
        <v>0</v>
      </c>
      <c r="CU109" s="16">
        <f>Demand_SW!I$6/30</f>
        <v>0</v>
      </c>
      <c r="CV109" s="16">
        <f>Demand_SW!J$6/30</f>
        <v>0</v>
      </c>
      <c r="CW109" s="16">
        <f>Demand_SW!K$6/30</f>
        <v>0</v>
      </c>
      <c r="CX109" s="16">
        <f t="shared" si="56"/>
        <v>-9039.9999999999964</v>
      </c>
      <c r="CY109" s="16">
        <f t="shared" si="57"/>
        <v>76.923076923077133</v>
      </c>
      <c r="CZ109" s="16">
        <f t="shared" si="58"/>
        <v>0</v>
      </c>
      <c r="DA109" s="16">
        <f t="shared" si="59"/>
        <v>0</v>
      </c>
      <c r="DB109" s="16">
        <f t="shared" si="60"/>
        <v>0</v>
      </c>
      <c r="DC109" s="16">
        <f t="shared" si="61"/>
        <v>-8569.2307692307641</v>
      </c>
      <c r="DD109" s="16">
        <f t="shared" si="62"/>
        <v>76.923076923077133</v>
      </c>
      <c r="DE109" s="16">
        <f t="shared" si="63"/>
        <v>0</v>
      </c>
      <c r="DF109" s="16">
        <f t="shared" si="64"/>
        <v>0</v>
      </c>
      <c r="DG109" s="16">
        <f t="shared" si="65"/>
        <v>0</v>
      </c>
      <c r="DH109" s="14">
        <f>IF([1]Sheet2!DS108=999999,"NA",[1]Sheet2!DS108)</f>
        <v>0</v>
      </c>
      <c r="DI109" s="14">
        <f>IF([1]Sheet2!DT108=999999,"NA",[1]Sheet2!DT108)</f>
        <v>259</v>
      </c>
      <c r="DJ109" s="14" t="str">
        <f>IF([1]Sheet2!DU108=999999,"NA",[1]Sheet2!DU108)</f>
        <v>NA</v>
      </c>
      <c r="DK109" s="14" t="str">
        <f>IF([1]Sheet2!DV108=999999,"NA",[1]Sheet2!DV108)</f>
        <v>NA</v>
      </c>
      <c r="DL109" s="14" t="str">
        <f>IF([1]Sheet2!DW108=999999,"NA",[1]Sheet2!DW108)</f>
        <v>NA</v>
      </c>
      <c r="DM109" s="14">
        <f>IF([1]Sheet2!DX108=999999,"NA",[1]Sheet2!DX108)</f>
        <v>0</v>
      </c>
      <c r="DN109" s="14">
        <f>IF([1]Sheet2!DY108=999999,"NA",[1]Sheet2!DY108)</f>
        <v>259</v>
      </c>
      <c r="DO109" s="14" t="str">
        <f>IF([1]Sheet2!DZ108=999999,"NA",[1]Sheet2!DZ108)</f>
        <v>NA</v>
      </c>
      <c r="DP109" s="14" t="str">
        <f>IF([1]Sheet2!EA108=999999,"NA",[1]Sheet2!EA108)</f>
        <v>NA</v>
      </c>
      <c r="DQ109" s="14" t="str">
        <f>IF([1]Sheet2!EB108=999999,"NA",[1]Sheet2!EB108)</f>
        <v>NA</v>
      </c>
      <c r="DR109" s="14">
        <f>[1]Sheet2!CY108</f>
        <v>0</v>
      </c>
      <c r="DS109" s="14">
        <f>[1]Sheet2!CZ108</f>
        <v>0</v>
      </c>
      <c r="DT109" s="14">
        <f>[1]Sheet2!DA108</f>
        <v>0</v>
      </c>
      <c r="DU109" s="14">
        <f>[1]Sheet2!DB108</f>
        <v>0</v>
      </c>
      <c r="DV109" s="14">
        <f>[1]Sheet2!DC108</f>
        <v>0</v>
      </c>
      <c r="DW109" s="14">
        <f>[1]Sheet2!DD108</f>
        <v>0</v>
      </c>
      <c r="DX109" s="14">
        <f>[1]Sheet2!DE108</f>
        <v>0</v>
      </c>
      <c r="DY109" s="14">
        <f>[1]Sheet2!DF108</f>
        <v>0</v>
      </c>
      <c r="DZ109" s="14">
        <f>[1]Sheet2!DG108</f>
        <v>0</v>
      </c>
      <c r="EA109" s="14">
        <f>[1]Sheet2!DH108</f>
        <v>0</v>
      </c>
      <c r="EB109" s="6">
        <f>[1]Sheet2!EC108</f>
        <v>0</v>
      </c>
      <c r="EC109" s="6">
        <f>[1]Sheet2!ED108</f>
        <v>0</v>
      </c>
      <c r="ED109" s="6">
        <f>[1]Sheet2!EE108</f>
        <v>0</v>
      </c>
      <c r="EE109" s="6">
        <f>[1]Sheet2!EF108</f>
        <v>0</v>
      </c>
      <c r="EF109" s="6">
        <f>[1]Sheet2!EG108</f>
        <v>0</v>
      </c>
      <c r="EG109" s="6">
        <f>[1]Sheet2!EH108</f>
        <v>0</v>
      </c>
      <c r="EH109" s="6">
        <f>[1]Sheet2!EI108</f>
        <v>0</v>
      </c>
      <c r="EI109" s="6">
        <f>[1]Sheet2!EJ108</f>
        <v>0</v>
      </c>
      <c r="EJ109" s="6">
        <f>[1]Sheet2!EK108</f>
        <v>0</v>
      </c>
      <c r="EK109" s="6">
        <f>[1]Sheet2!EL108</f>
        <v>0</v>
      </c>
      <c r="EL109" s="6" t="str">
        <f>[1]Sheet2!EM108</f>
        <v/>
      </c>
      <c r="EM109" s="6" t="str">
        <f>[1]Sheet2!EN108</f>
        <v/>
      </c>
      <c r="EN109" s="6" t="str">
        <f>[1]Sheet2!EO108</f>
        <v/>
      </c>
      <c r="EO109" s="6" t="str">
        <f>[1]Sheet2!EP108</f>
        <v/>
      </c>
      <c r="EP109" s="6" t="str">
        <f>[1]Sheet2!EQ108</f>
        <v/>
      </c>
      <c r="EQ109" s="6" t="str">
        <f>[1]Sheet2!ER108</f>
        <v/>
      </c>
      <c r="ER109" s="6" t="str">
        <f>[1]Sheet2!ES108</f>
        <v/>
      </c>
      <c r="ES109" s="6" t="str">
        <f>[1]Sheet2!ET108</f>
        <v/>
      </c>
      <c r="ET109" s="6" t="str">
        <f>[1]Sheet2!EU108</f>
        <v/>
      </c>
      <c r="EU109" s="6" t="str">
        <f>[1]Sheet2!EV108</f>
        <v/>
      </c>
      <c r="EV109" s="6" t="str">
        <f>[1]Sheet2!EW108</f>
        <v/>
      </c>
      <c r="EW109" s="6" t="str">
        <f>[1]Sheet2!EX108</f>
        <v/>
      </c>
      <c r="EX109" s="6" t="str">
        <f>[1]Sheet2!EY108</f>
        <v/>
      </c>
      <c r="EY109" s="6" t="str">
        <f>[1]Sheet2!EZ108</f>
        <v/>
      </c>
      <c r="EZ109" s="6" t="str">
        <f>[1]Sheet2!FA108</f>
        <v/>
      </c>
      <c r="FA109" s="6" t="str">
        <f>[1]Sheet2!FB108</f>
        <v/>
      </c>
      <c r="FB109" s="6" t="str">
        <f>[1]Sheet2!FC108</f>
        <v/>
      </c>
      <c r="FC109" s="6" t="str">
        <f>[1]Sheet2!FD108</f>
        <v/>
      </c>
      <c r="FD109" s="6" t="str">
        <f>[1]Sheet2!FE108</f>
        <v/>
      </c>
      <c r="FE109" s="6" t="str">
        <f>[1]Sheet2!FF108</f>
        <v/>
      </c>
      <c r="FF109" s="6" t="str">
        <f>[1]Sheet2!FG108</f>
        <v/>
      </c>
      <c r="FG109" s="6" t="str">
        <f>[1]Sheet2!FH108</f>
        <v/>
      </c>
      <c r="FH109" s="6" t="str">
        <f>[1]Sheet2!FI108</f>
        <v/>
      </c>
      <c r="FI109" s="6" t="str">
        <f>[1]Sheet2!FJ108</f>
        <v/>
      </c>
      <c r="FJ109" s="6" t="str">
        <f>[1]Sheet2!FK108</f>
        <v/>
      </c>
      <c r="FK109" s="6" t="str">
        <f>[1]Sheet2!FL108</f>
        <v/>
      </c>
      <c r="FL109" s="6" t="str">
        <f>[1]Sheet2!FM108</f>
        <v/>
      </c>
      <c r="FM109" s="6" t="str">
        <f>[1]Sheet2!FN108</f>
        <v/>
      </c>
      <c r="FN109" s="6" t="str">
        <f>[1]Sheet2!FO108</f>
        <v/>
      </c>
      <c r="FO109" s="6" t="str">
        <f>[1]Sheet2!FP108</f>
        <v/>
      </c>
    </row>
    <row r="110" spans="1:171" x14ac:dyDescent="0.25">
      <c r="A110" s="15">
        <v>43572</v>
      </c>
      <c r="B110" s="1"/>
      <c r="C110" s="1"/>
      <c r="D110" s="1"/>
      <c r="E110" s="14">
        <f>[1]Sheet2!N109</f>
        <v>0</v>
      </c>
      <c r="F110" s="14">
        <f>[1]Sheet2!BE109</f>
        <v>0</v>
      </c>
      <c r="G110" s="14">
        <f>[1]Sheet2!CW109</f>
        <v>0</v>
      </c>
      <c r="H110" s="1"/>
      <c r="I110" s="1"/>
      <c r="J110" s="1"/>
      <c r="K110" s="16"/>
      <c r="L110" s="16">
        <f>Demand_CWRS!B$6/30</f>
        <v>136.96097796474356</v>
      </c>
      <c r="M110" s="16">
        <f>Demand_CWRS!C$6/30</f>
        <v>544.43376068376062</v>
      </c>
      <c r="N110" s="16">
        <f>Demand_CWRS!D$6/30</f>
        <v>0</v>
      </c>
      <c r="O110" s="16">
        <f>Demand_CWRS!E$6/30</f>
        <v>108.97435897435896</v>
      </c>
      <c r="P110" s="16">
        <f>Demand_CWRS!F$6/30</f>
        <v>213.3621347489316</v>
      </c>
      <c r="Q110" s="16">
        <f>Demand_CWRS!G$6/30</f>
        <v>133.33333333333334</v>
      </c>
      <c r="R110" s="16">
        <f>Demand_CWRS!H$6/30</f>
        <v>213.3621347489316</v>
      </c>
      <c r="S110" s="16">
        <f>Demand_CWRS!I$6/30</f>
        <v>213.3621347489316</v>
      </c>
      <c r="T110" s="16">
        <f>Demand_CWRS!J$6/30</f>
        <v>213.3621347489316</v>
      </c>
      <c r="U110" s="16">
        <f>Demand_CWRS!K$6/30</f>
        <v>213.3621347489316</v>
      </c>
      <c r="V110" s="16">
        <f t="shared" si="36"/>
        <v>-12807.340927220257</v>
      </c>
      <c r="W110" s="16">
        <f t="shared" si="37"/>
        <v>-42437.497008546925</v>
      </c>
      <c r="X110" s="16">
        <f t="shared" si="38"/>
        <v>0</v>
      </c>
      <c r="Y110" s="16">
        <f t="shared" si="39"/>
        <v>-3331.9688575137843</v>
      </c>
      <c r="Z110" s="16">
        <f t="shared" si="40"/>
        <v>-19736.673506935986</v>
      </c>
      <c r="AA110" s="16">
        <f t="shared" si="41"/>
        <v>-11528.727158390147</v>
      </c>
      <c r="AB110" s="16">
        <f t="shared" si="42"/>
        <v>-24217.717176807804</v>
      </c>
      <c r="AC110" s="16">
        <f t="shared" si="43"/>
        <v>-18424.706920397526</v>
      </c>
      <c r="AD110" s="16">
        <f t="shared" si="44"/>
        <v>-18524.706920397519</v>
      </c>
      <c r="AE110" s="16">
        <f t="shared" si="45"/>
        <v>-19124.706920397522</v>
      </c>
      <c r="AF110" s="14">
        <f>IF([1]Sheet2!AJ109=999999,"NA",[1]Sheet2!AJ109)</f>
        <v>0</v>
      </c>
      <c r="AG110" s="14">
        <f>IF([1]Sheet2!AK109=999999,"NA",[1]Sheet2!AK109)</f>
        <v>0</v>
      </c>
      <c r="AH110" s="14" t="str">
        <f>IF([1]Sheet2!AL109=999999,"NA",[1]Sheet2!AL109)</f>
        <v>NA</v>
      </c>
      <c r="AI110" s="14">
        <f>IF([1]Sheet2!AM109=999999,"NA",[1]Sheet2!AM109)</f>
        <v>0</v>
      </c>
      <c r="AJ110" s="14">
        <f>IF([1]Sheet2!AN109=999999,"NA",[1]Sheet2!AN109)</f>
        <v>0</v>
      </c>
      <c r="AK110" s="14">
        <f>IF([1]Sheet2!AO109=999999,"NA",[1]Sheet2!AO109)</f>
        <v>0</v>
      </c>
      <c r="AL110" s="14">
        <f>IF([1]Sheet2!AP109=999999,"NA",[1]Sheet2!AP109)</f>
        <v>0</v>
      </c>
      <c r="AM110" s="14">
        <f>IF([1]Sheet2!AQ109=999999,"NA",[1]Sheet2!AQ109)</f>
        <v>0</v>
      </c>
      <c r="AN110" s="14">
        <f>IF([1]Sheet2!AR109=999999,"NA",[1]Sheet2!AR109)</f>
        <v>0</v>
      </c>
      <c r="AO110" s="14">
        <f>IF([1]Sheet2!AS109=999999,"NA",[1]Sheet2!AS109)</f>
        <v>0</v>
      </c>
      <c r="AP110" s="14">
        <f>[1]Sheet2!P109</f>
        <v>0</v>
      </c>
      <c r="AQ110" s="14">
        <f>[1]Sheet2!Q109</f>
        <v>0</v>
      </c>
      <c r="AR110" s="14">
        <f>[1]Sheet2!R109</f>
        <v>0</v>
      </c>
      <c r="AS110" s="14">
        <f>[1]Sheet2!S109</f>
        <v>0</v>
      </c>
      <c r="AT110" s="14">
        <f>[1]Sheet2!T109</f>
        <v>0</v>
      </c>
      <c r="AU110" s="14">
        <f>[1]Sheet2!U109</f>
        <v>0</v>
      </c>
      <c r="AV110" s="14">
        <f>[1]Sheet2!V109</f>
        <v>0</v>
      </c>
      <c r="AW110" s="14">
        <f>[1]Sheet2!W109</f>
        <v>0</v>
      </c>
      <c r="AX110" s="14">
        <f>[1]Sheet2!X109</f>
        <v>0</v>
      </c>
      <c r="AY110" s="14">
        <f>[1]Sheet2!Y109</f>
        <v>0</v>
      </c>
      <c r="AZ110" s="16">
        <f>Demand_LP!B$6/30</f>
        <v>790.61612406517088</v>
      </c>
      <c r="BA110" s="16">
        <f>Demand_LP!C$6/30</f>
        <v>816.46367521367517</v>
      </c>
      <c r="BB110" s="16">
        <f>Demand_LP!D$6/30</f>
        <v>346.63461538461536</v>
      </c>
      <c r="BC110" s="16">
        <f>Demand_LP!E$6/30</f>
        <v>795.48076923076928</v>
      </c>
      <c r="BD110" s="16">
        <f>Demand_LP!F$6/30</f>
        <v>472.52230168269227</v>
      </c>
      <c r="BE110" s="16">
        <f>Demand_LP!G$6/30</f>
        <v>472.52230168269227</v>
      </c>
      <c r="BF110" s="16">
        <f>Demand_LP!H$6/30</f>
        <v>816.46367521367517</v>
      </c>
      <c r="BG110" s="16">
        <f>Demand_LP!I$6/30</f>
        <v>472.52230168269227</v>
      </c>
      <c r="BH110" s="16">
        <f>Demand_LP!J$6/30</f>
        <v>472.52230168269227</v>
      </c>
      <c r="BI110" s="16">
        <f>Demand_LP!K$6/30</f>
        <v>472.52230168269227</v>
      </c>
      <c r="BJ110" s="16">
        <f t="shared" si="46"/>
        <v>-65142.498838041349</v>
      </c>
      <c r="BK110" s="16">
        <f t="shared" si="47"/>
        <v>-59496.426068375971</v>
      </c>
      <c r="BL110" s="16">
        <f t="shared" si="48"/>
        <v>-20666.753846153875</v>
      </c>
      <c r="BM110" s="16">
        <f t="shared" si="49"/>
        <v>-70329.720496591981</v>
      </c>
      <c r="BN110" s="16">
        <f t="shared" si="50"/>
        <v>-41475.195210235077</v>
      </c>
      <c r="BO110" s="16">
        <f t="shared" si="51"/>
        <v>-39932.879128605789</v>
      </c>
      <c r="BP110" s="16">
        <f t="shared" si="52"/>
        <v>-53854.005555555508</v>
      </c>
      <c r="BQ110" s="16">
        <f t="shared" si="53"/>
        <v>-39932.879128605789</v>
      </c>
      <c r="BR110" s="16">
        <f t="shared" si="54"/>
        <v>-37532.879128605789</v>
      </c>
      <c r="BS110" s="16">
        <f t="shared" si="55"/>
        <v>-38232.879128605782</v>
      </c>
      <c r="BT110" s="14">
        <f>IF([1]Sheet2!CB109=999999,"NA",[1]Sheet2!CB109)</f>
        <v>0</v>
      </c>
      <c r="BU110" s="14">
        <f>IF([1]Sheet2!CC109=999999,"NA",[1]Sheet2!CC109)</f>
        <v>0</v>
      </c>
      <c r="BV110" s="14">
        <f>IF([1]Sheet2!CD109=999999,"NA",[1]Sheet2!CD109)</f>
        <v>0</v>
      </c>
      <c r="BW110" s="14">
        <f>IF([1]Sheet2!CE109=999999,"NA",[1]Sheet2!CE109)</f>
        <v>0</v>
      </c>
      <c r="BX110" s="14">
        <f>IF([1]Sheet2!CF109=999999,"NA",[1]Sheet2!CF109)</f>
        <v>0</v>
      </c>
      <c r="BY110" s="14">
        <f>IF([1]Sheet2!CG109=999999,"NA",[1]Sheet2!CG109)</f>
        <v>0</v>
      </c>
      <c r="BZ110" s="14">
        <f>IF([1]Sheet2!CH109=999999,"NA",[1]Sheet2!CH109)</f>
        <v>0</v>
      </c>
      <c r="CA110" s="14">
        <f>IF([1]Sheet2!CI109=999999,"NA",[1]Sheet2!CI109)</f>
        <v>0</v>
      </c>
      <c r="CB110" s="14">
        <f>IF([1]Sheet2!CJ109=999999,"NA",[1]Sheet2!CJ109)</f>
        <v>0</v>
      </c>
      <c r="CC110" s="14">
        <f>IF([1]Sheet2!CK109=999999,"NA",[1]Sheet2!CK109)</f>
        <v>0</v>
      </c>
      <c r="CD110" s="14">
        <f>[1]Sheet2!BH109</f>
        <v>0</v>
      </c>
      <c r="CE110" s="14">
        <f>[1]Sheet2!BI109</f>
        <v>0</v>
      </c>
      <c r="CF110" s="14">
        <f>[1]Sheet2!BJ109</f>
        <v>0</v>
      </c>
      <c r="CG110" s="14">
        <f>[1]Sheet2!BK109</f>
        <v>0</v>
      </c>
      <c r="CH110" s="14">
        <f>[1]Sheet2!BL109</f>
        <v>0</v>
      </c>
      <c r="CI110" s="14">
        <f>[1]Sheet2!BM109</f>
        <v>0</v>
      </c>
      <c r="CJ110" s="14">
        <f>[1]Sheet2!BN109</f>
        <v>0</v>
      </c>
      <c r="CK110" s="14">
        <f>[1]Sheet2!BO109</f>
        <v>0</v>
      </c>
      <c r="CL110" s="14">
        <f>[1]Sheet2!BP109</f>
        <v>0</v>
      </c>
      <c r="CM110" s="14">
        <f>[1]Sheet2!BQ109</f>
        <v>0</v>
      </c>
      <c r="CN110" s="16">
        <f>Demand_SW!B$6/30</f>
        <v>173.07692307692304</v>
      </c>
      <c r="CO110" s="16">
        <f>Demand_SW!C$6/30</f>
        <v>0</v>
      </c>
      <c r="CP110" s="16">
        <f>Demand_SW!D$6/30</f>
        <v>0</v>
      </c>
      <c r="CQ110" s="16">
        <f>Demand_SW!E$6/30</f>
        <v>0</v>
      </c>
      <c r="CR110" s="16">
        <f>Demand_SW!F$6/30</f>
        <v>0</v>
      </c>
      <c r="CS110" s="16">
        <f>Demand_SW!G$6/30</f>
        <v>173.07692307692304</v>
      </c>
      <c r="CT110" s="16">
        <f>Demand_SW!H$6/30</f>
        <v>0</v>
      </c>
      <c r="CU110" s="16">
        <f>Demand_SW!I$6/30</f>
        <v>0</v>
      </c>
      <c r="CV110" s="16">
        <f>Demand_SW!J$6/30</f>
        <v>0</v>
      </c>
      <c r="CW110" s="16">
        <f>Demand_SW!K$6/30</f>
        <v>0</v>
      </c>
      <c r="CX110" s="16">
        <f t="shared" si="56"/>
        <v>-9213.0769230769201</v>
      </c>
      <c r="CY110" s="16">
        <f t="shared" si="57"/>
        <v>76.923076923077133</v>
      </c>
      <c r="CZ110" s="16">
        <f t="shared" si="58"/>
        <v>0</v>
      </c>
      <c r="DA110" s="16">
        <f t="shared" si="59"/>
        <v>0</v>
      </c>
      <c r="DB110" s="16">
        <f t="shared" si="60"/>
        <v>0</v>
      </c>
      <c r="DC110" s="16">
        <f t="shared" si="61"/>
        <v>-8742.3076923076878</v>
      </c>
      <c r="DD110" s="16">
        <f t="shared" si="62"/>
        <v>76.923076923077133</v>
      </c>
      <c r="DE110" s="16">
        <f t="shared" si="63"/>
        <v>0</v>
      </c>
      <c r="DF110" s="16">
        <f t="shared" si="64"/>
        <v>0</v>
      </c>
      <c r="DG110" s="16">
        <f t="shared" si="65"/>
        <v>0</v>
      </c>
      <c r="DH110" s="14">
        <f>IF([1]Sheet2!DS109=999999,"NA",[1]Sheet2!DS109)</f>
        <v>0</v>
      </c>
      <c r="DI110" s="14">
        <f>IF([1]Sheet2!DT109=999999,"NA",[1]Sheet2!DT109)</f>
        <v>258</v>
      </c>
      <c r="DJ110" s="14" t="str">
        <f>IF([1]Sheet2!DU109=999999,"NA",[1]Sheet2!DU109)</f>
        <v>NA</v>
      </c>
      <c r="DK110" s="14" t="str">
        <f>IF([1]Sheet2!DV109=999999,"NA",[1]Sheet2!DV109)</f>
        <v>NA</v>
      </c>
      <c r="DL110" s="14" t="str">
        <f>IF([1]Sheet2!DW109=999999,"NA",[1]Sheet2!DW109)</f>
        <v>NA</v>
      </c>
      <c r="DM110" s="14">
        <f>IF([1]Sheet2!DX109=999999,"NA",[1]Sheet2!DX109)</f>
        <v>0</v>
      </c>
      <c r="DN110" s="14">
        <f>IF([1]Sheet2!DY109=999999,"NA",[1]Sheet2!DY109)</f>
        <v>258</v>
      </c>
      <c r="DO110" s="14" t="str">
        <f>IF([1]Sheet2!DZ109=999999,"NA",[1]Sheet2!DZ109)</f>
        <v>NA</v>
      </c>
      <c r="DP110" s="14" t="str">
        <f>IF([1]Sheet2!EA109=999999,"NA",[1]Sheet2!EA109)</f>
        <v>NA</v>
      </c>
      <c r="DQ110" s="14" t="str">
        <f>IF([1]Sheet2!EB109=999999,"NA",[1]Sheet2!EB109)</f>
        <v>NA</v>
      </c>
      <c r="DR110" s="14">
        <f>[1]Sheet2!CY109</f>
        <v>0</v>
      </c>
      <c r="DS110" s="14">
        <f>[1]Sheet2!CZ109</f>
        <v>0</v>
      </c>
      <c r="DT110" s="14">
        <f>[1]Sheet2!DA109</f>
        <v>0</v>
      </c>
      <c r="DU110" s="14">
        <f>[1]Sheet2!DB109</f>
        <v>0</v>
      </c>
      <c r="DV110" s="14">
        <f>[1]Sheet2!DC109</f>
        <v>0</v>
      </c>
      <c r="DW110" s="14">
        <f>[1]Sheet2!DD109</f>
        <v>0</v>
      </c>
      <c r="DX110" s="14">
        <f>[1]Sheet2!DE109</f>
        <v>0</v>
      </c>
      <c r="DY110" s="14">
        <f>[1]Sheet2!DF109</f>
        <v>0</v>
      </c>
      <c r="DZ110" s="14">
        <f>[1]Sheet2!DG109</f>
        <v>0</v>
      </c>
      <c r="EA110" s="14">
        <f>[1]Sheet2!DH109</f>
        <v>0</v>
      </c>
      <c r="EB110" s="6">
        <f>[1]Sheet2!EC109</f>
        <v>0</v>
      </c>
      <c r="EC110" s="6">
        <f>[1]Sheet2!ED109</f>
        <v>0</v>
      </c>
      <c r="ED110" s="6">
        <f>[1]Sheet2!EE109</f>
        <v>0</v>
      </c>
      <c r="EE110" s="6">
        <f>[1]Sheet2!EF109</f>
        <v>0</v>
      </c>
      <c r="EF110" s="6">
        <f>[1]Sheet2!EG109</f>
        <v>0</v>
      </c>
      <c r="EG110" s="6">
        <f>[1]Sheet2!EH109</f>
        <v>0</v>
      </c>
      <c r="EH110" s="6">
        <f>[1]Sheet2!EI109</f>
        <v>0</v>
      </c>
      <c r="EI110" s="6">
        <f>[1]Sheet2!EJ109</f>
        <v>0</v>
      </c>
      <c r="EJ110" s="6">
        <f>[1]Sheet2!EK109</f>
        <v>0</v>
      </c>
      <c r="EK110" s="6">
        <f>[1]Sheet2!EL109</f>
        <v>0</v>
      </c>
      <c r="EL110" s="6" t="str">
        <f>[1]Sheet2!EM109</f>
        <v/>
      </c>
      <c r="EM110" s="6" t="str">
        <f>[1]Sheet2!EN109</f>
        <v/>
      </c>
      <c r="EN110" s="6" t="str">
        <f>[1]Sheet2!EO109</f>
        <v/>
      </c>
      <c r="EO110" s="6" t="str">
        <f>[1]Sheet2!EP109</f>
        <v/>
      </c>
      <c r="EP110" s="6" t="str">
        <f>[1]Sheet2!EQ109</f>
        <v/>
      </c>
      <c r="EQ110" s="6" t="str">
        <f>[1]Sheet2!ER109</f>
        <v/>
      </c>
      <c r="ER110" s="6" t="str">
        <f>[1]Sheet2!ES109</f>
        <v/>
      </c>
      <c r="ES110" s="6" t="str">
        <f>[1]Sheet2!ET109</f>
        <v/>
      </c>
      <c r="ET110" s="6" t="str">
        <f>[1]Sheet2!EU109</f>
        <v/>
      </c>
      <c r="EU110" s="6" t="str">
        <f>[1]Sheet2!EV109</f>
        <v/>
      </c>
      <c r="EV110" s="6" t="str">
        <f>[1]Sheet2!EW109</f>
        <v/>
      </c>
      <c r="EW110" s="6" t="str">
        <f>[1]Sheet2!EX109</f>
        <v/>
      </c>
      <c r="EX110" s="6" t="str">
        <f>[1]Sheet2!EY109</f>
        <v/>
      </c>
      <c r="EY110" s="6" t="str">
        <f>[1]Sheet2!EZ109</f>
        <v/>
      </c>
      <c r="EZ110" s="6" t="str">
        <f>[1]Sheet2!FA109</f>
        <v/>
      </c>
      <c r="FA110" s="6" t="str">
        <f>[1]Sheet2!FB109</f>
        <v/>
      </c>
      <c r="FB110" s="6" t="str">
        <f>[1]Sheet2!FC109</f>
        <v/>
      </c>
      <c r="FC110" s="6" t="str">
        <f>[1]Sheet2!FD109</f>
        <v/>
      </c>
      <c r="FD110" s="6" t="str">
        <f>[1]Sheet2!FE109</f>
        <v/>
      </c>
      <c r="FE110" s="6" t="str">
        <f>[1]Sheet2!FF109</f>
        <v/>
      </c>
      <c r="FF110" s="6" t="str">
        <f>[1]Sheet2!FG109</f>
        <v/>
      </c>
      <c r="FG110" s="6" t="str">
        <f>[1]Sheet2!FH109</f>
        <v/>
      </c>
      <c r="FH110" s="6" t="str">
        <f>[1]Sheet2!FI109</f>
        <v/>
      </c>
      <c r="FI110" s="6" t="str">
        <f>[1]Sheet2!FJ109</f>
        <v/>
      </c>
      <c r="FJ110" s="6" t="str">
        <f>[1]Sheet2!FK109</f>
        <v/>
      </c>
      <c r="FK110" s="6" t="str">
        <f>[1]Sheet2!FL109</f>
        <v/>
      </c>
      <c r="FL110" s="6" t="str">
        <f>[1]Sheet2!FM109</f>
        <v/>
      </c>
      <c r="FM110" s="6" t="str">
        <f>[1]Sheet2!FN109</f>
        <v/>
      </c>
      <c r="FN110" s="6" t="str">
        <f>[1]Sheet2!FO109</f>
        <v/>
      </c>
      <c r="FO110" s="6" t="str">
        <f>[1]Sheet2!FP109</f>
        <v/>
      </c>
    </row>
    <row r="111" spans="1:171" x14ac:dyDescent="0.25">
      <c r="A111" s="15">
        <v>43573</v>
      </c>
      <c r="B111" s="1"/>
      <c r="C111" s="1"/>
      <c r="D111" s="1"/>
      <c r="E111" s="14">
        <f>[1]Sheet2!N110</f>
        <v>0</v>
      </c>
      <c r="F111" s="14">
        <f>[1]Sheet2!BE110</f>
        <v>0</v>
      </c>
      <c r="G111" s="14">
        <f>[1]Sheet2!CW110</f>
        <v>0</v>
      </c>
      <c r="H111" s="1"/>
      <c r="I111" s="1"/>
      <c r="J111" s="1"/>
      <c r="K111" s="16"/>
      <c r="L111" s="16">
        <f>Demand_CWRS!B$6/30</f>
        <v>136.96097796474356</v>
      </c>
      <c r="M111" s="16">
        <f>Demand_CWRS!C$6/30</f>
        <v>544.43376068376062</v>
      </c>
      <c r="N111" s="16">
        <f>Demand_CWRS!D$6/30</f>
        <v>0</v>
      </c>
      <c r="O111" s="16">
        <f>Demand_CWRS!E$6/30</f>
        <v>108.97435897435896</v>
      </c>
      <c r="P111" s="16">
        <f>Demand_CWRS!F$6/30</f>
        <v>213.3621347489316</v>
      </c>
      <c r="Q111" s="16">
        <f>Demand_CWRS!G$6/30</f>
        <v>133.33333333333334</v>
      </c>
      <c r="R111" s="16">
        <f>Demand_CWRS!H$6/30</f>
        <v>213.3621347489316</v>
      </c>
      <c r="S111" s="16">
        <f>Demand_CWRS!I$6/30</f>
        <v>213.3621347489316</v>
      </c>
      <c r="T111" s="16">
        <f>Demand_CWRS!J$6/30</f>
        <v>213.3621347489316</v>
      </c>
      <c r="U111" s="16">
        <f>Demand_CWRS!K$6/30</f>
        <v>213.3621347489316</v>
      </c>
      <c r="V111" s="16">
        <f t="shared" si="36"/>
        <v>-12944.301905185001</v>
      </c>
      <c r="W111" s="16">
        <f t="shared" si="37"/>
        <v>-42981.930769230683</v>
      </c>
      <c r="X111" s="16">
        <f t="shared" si="38"/>
        <v>0</v>
      </c>
      <c r="Y111" s="16">
        <f t="shared" si="39"/>
        <v>-3440.9432164881432</v>
      </c>
      <c r="Z111" s="16">
        <f t="shared" si="40"/>
        <v>-19950.035641684917</v>
      </c>
      <c r="AA111" s="16">
        <f t="shared" si="41"/>
        <v>-11662.060491723481</v>
      </c>
      <c r="AB111" s="16">
        <f t="shared" si="42"/>
        <v>-24431.079311556736</v>
      </c>
      <c r="AC111" s="16">
        <f t="shared" si="43"/>
        <v>-18638.069055146458</v>
      </c>
      <c r="AD111" s="16">
        <f t="shared" si="44"/>
        <v>-18738.06905514645</v>
      </c>
      <c r="AE111" s="16">
        <f t="shared" si="45"/>
        <v>-19338.069055146454</v>
      </c>
      <c r="AF111" s="14">
        <f>IF([1]Sheet2!AJ110=999999,"NA",[1]Sheet2!AJ110)</f>
        <v>0</v>
      </c>
      <c r="AG111" s="14">
        <f>IF([1]Sheet2!AK110=999999,"NA",[1]Sheet2!AK110)</f>
        <v>0</v>
      </c>
      <c r="AH111" s="14" t="str">
        <f>IF([1]Sheet2!AL110=999999,"NA",[1]Sheet2!AL110)</f>
        <v>NA</v>
      </c>
      <c r="AI111" s="14">
        <f>IF([1]Sheet2!AM110=999999,"NA",[1]Sheet2!AM110)</f>
        <v>0</v>
      </c>
      <c r="AJ111" s="14">
        <f>IF([1]Sheet2!AN110=999999,"NA",[1]Sheet2!AN110)</f>
        <v>0</v>
      </c>
      <c r="AK111" s="14">
        <f>IF([1]Sheet2!AO110=999999,"NA",[1]Sheet2!AO110)</f>
        <v>0</v>
      </c>
      <c r="AL111" s="14">
        <f>IF([1]Sheet2!AP110=999999,"NA",[1]Sheet2!AP110)</f>
        <v>0</v>
      </c>
      <c r="AM111" s="14">
        <f>IF([1]Sheet2!AQ110=999999,"NA",[1]Sheet2!AQ110)</f>
        <v>0</v>
      </c>
      <c r="AN111" s="14">
        <f>IF([1]Sheet2!AR110=999999,"NA",[1]Sheet2!AR110)</f>
        <v>0</v>
      </c>
      <c r="AO111" s="14">
        <f>IF([1]Sheet2!AS110=999999,"NA",[1]Sheet2!AS110)</f>
        <v>0</v>
      </c>
      <c r="AP111" s="14">
        <f>[1]Sheet2!P110</f>
        <v>0</v>
      </c>
      <c r="AQ111" s="14">
        <f>[1]Sheet2!Q110</f>
        <v>0</v>
      </c>
      <c r="AR111" s="14">
        <f>[1]Sheet2!R110</f>
        <v>0</v>
      </c>
      <c r="AS111" s="14">
        <f>[1]Sheet2!S110</f>
        <v>0</v>
      </c>
      <c r="AT111" s="14">
        <f>[1]Sheet2!T110</f>
        <v>0</v>
      </c>
      <c r="AU111" s="14">
        <f>[1]Sheet2!U110</f>
        <v>0</v>
      </c>
      <c r="AV111" s="14">
        <f>[1]Sheet2!V110</f>
        <v>0</v>
      </c>
      <c r="AW111" s="14">
        <f>[1]Sheet2!W110</f>
        <v>0</v>
      </c>
      <c r="AX111" s="14">
        <f>[1]Sheet2!X110</f>
        <v>0</v>
      </c>
      <c r="AY111" s="14">
        <f>[1]Sheet2!Y110</f>
        <v>0</v>
      </c>
      <c r="AZ111" s="16">
        <f>Demand_LP!B$6/30</f>
        <v>790.61612406517088</v>
      </c>
      <c r="BA111" s="16">
        <f>Demand_LP!C$6/30</f>
        <v>816.46367521367517</v>
      </c>
      <c r="BB111" s="16">
        <f>Demand_LP!D$6/30</f>
        <v>346.63461538461536</v>
      </c>
      <c r="BC111" s="16">
        <f>Demand_LP!E$6/30</f>
        <v>795.48076923076928</v>
      </c>
      <c r="BD111" s="16">
        <f>Demand_LP!F$6/30</f>
        <v>472.52230168269227</v>
      </c>
      <c r="BE111" s="16">
        <f>Demand_LP!G$6/30</f>
        <v>472.52230168269227</v>
      </c>
      <c r="BF111" s="16">
        <f>Demand_LP!H$6/30</f>
        <v>816.46367521367517</v>
      </c>
      <c r="BG111" s="16">
        <f>Demand_LP!I$6/30</f>
        <v>472.52230168269227</v>
      </c>
      <c r="BH111" s="16">
        <f>Demand_LP!J$6/30</f>
        <v>472.52230168269227</v>
      </c>
      <c r="BI111" s="16">
        <f>Demand_LP!K$6/30</f>
        <v>472.52230168269227</v>
      </c>
      <c r="BJ111" s="16">
        <f t="shared" si="46"/>
        <v>-65933.114962106512</v>
      </c>
      <c r="BK111" s="16">
        <f t="shared" si="47"/>
        <v>-60312.889743589643</v>
      </c>
      <c r="BL111" s="16">
        <f t="shared" si="48"/>
        <v>-21013.388461538492</v>
      </c>
      <c r="BM111" s="16">
        <f t="shared" si="49"/>
        <v>-71125.201265822747</v>
      </c>
      <c r="BN111" s="16">
        <f t="shared" si="50"/>
        <v>-41947.71751191777</v>
      </c>
      <c r="BO111" s="16">
        <f t="shared" si="51"/>
        <v>-40405.401430288483</v>
      </c>
      <c r="BP111" s="16">
        <f t="shared" si="52"/>
        <v>-54670.46923076918</v>
      </c>
      <c r="BQ111" s="16">
        <f t="shared" si="53"/>
        <v>-40405.401430288483</v>
      </c>
      <c r="BR111" s="16">
        <f t="shared" si="54"/>
        <v>-38005.401430288483</v>
      </c>
      <c r="BS111" s="16">
        <f t="shared" si="55"/>
        <v>-38705.401430288475</v>
      </c>
      <c r="BT111" s="14">
        <f>IF([1]Sheet2!CB110=999999,"NA",[1]Sheet2!CB110)</f>
        <v>0</v>
      </c>
      <c r="BU111" s="14">
        <f>IF([1]Sheet2!CC110=999999,"NA",[1]Sheet2!CC110)</f>
        <v>0</v>
      </c>
      <c r="BV111" s="14">
        <f>IF([1]Sheet2!CD110=999999,"NA",[1]Sheet2!CD110)</f>
        <v>0</v>
      </c>
      <c r="BW111" s="14">
        <f>IF([1]Sheet2!CE110=999999,"NA",[1]Sheet2!CE110)</f>
        <v>0</v>
      </c>
      <c r="BX111" s="14">
        <f>IF([1]Sheet2!CF110=999999,"NA",[1]Sheet2!CF110)</f>
        <v>0</v>
      </c>
      <c r="BY111" s="14">
        <f>IF([1]Sheet2!CG110=999999,"NA",[1]Sheet2!CG110)</f>
        <v>0</v>
      </c>
      <c r="BZ111" s="14">
        <f>IF([1]Sheet2!CH110=999999,"NA",[1]Sheet2!CH110)</f>
        <v>0</v>
      </c>
      <c r="CA111" s="14">
        <f>IF([1]Sheet2!CI110=999999,"NA",[1]Sheet2!CI110)</f>
        <v>0</v>
      </c>
      <c r="CB111" s="14">
        <f>IF([1]Sheet2!CJ110=999999,"NA",[1]Sheet2!CJ110)</f>
        <v>0</v>
      </c>
      <c r="CC111" s="14">
        <f>IF([1]Sheet2!CK110=999999,"NA",[1]Sheet2!CK110)</f>
        <v>0</v>
      </c>
      <c r="CD111" s="14">
        <f>[1]Sheet2!BH110</f>
        <v>0</v>
      </c>
      <c r="CE111" s="14">
        <f>[1]Sheet2!BI110</f>
        <v>0</v>
      </c>
      <c r="CF111" s="14">
        <f>[1]Sheet2!BJ110</f>
        <v>0</v>
      </c>
      <c r="CG111" s="14">
        <f>[1]Sheet2!BK110</f>
        <v>0</v>
      </c>
      <c r="CH111" s="14">
        <f>[1]Sheet2!BL110</f>
        <v>0</v>
      </c>
      <c r="CI111" s="14">
        <f>[1]Sheet2!BM110</f>
        <v>0</v>
      </c>
      <c r="CJ111" s="14">
        <f>[1]Sheet2!BN110</f>
        <v>0</v>
      </c>
      <c r="CK111" s="14">
        <f>[1]Sheet2!BO110</f>
        <v>0</v>
      </c>
      <c r="CL111" s="14">
        <f>[1]Sheet2!BP110</f>
        <v>0</v>
      </c>
      <c r="CM111" s="14">
        <f>[1]Sheet2!BQ110</f>
        <v>0</v>
      </c>
      <c r="CN111" s="16">
        <f>Demand_SW!B$6/30</f>
        <v>173.07692307692304</v>
      </c>
      <c r="CO111" s="16">
        <f>Demand_SW!C$6/30</f>
        <v>0</v>
      </c>
      <c r="CP111" s="16">
        <f>Demand_SW!D$6/30</f>
        <v>0</v>
      </c>
      <c r="CQ111" s="16">
        <f>Demand_SW!E$6/30</f>
        <v>0</v>
      </c>
      <c r="CR111" s="16">
        <f>Demand_SW!F$6/30</f>
        <v>0</v>
      </c>
      <c r="CS111" s="16">
        <f>Demand_SW!G$6/30</f>
        <v>173.07692307692304</v>
      </c>
      <c r="CT111" s="16">
        <f>Demand_SW!H$6/30</f>
        <v>0</v>
      </c>
      <c r="CU111" s="16">
        <f>Demand_SW!I$6/30</f>
        <v>0</v>
      </c>
      <c r="CV111" s="16">
        <f>Demand_SW!J$6/30</f>
        <v>0</v>
      </c>
      <c r="CW111" s="16">
        <f>Demand_SW!K$6/30</f>
        <v>0</v>
      </c>
      <c r="CX111" s="16">
        <f t="shared" si="56"/>
        <v>-9386.1538461538439</v>
      </c>
      <c r="CY111" s="16">
        <f t="shared" si="57"/>
        <v>76.923076923077133</v>
      </c>
      <c r="CZ111" s="16">
        <f t="shared" si="58"/>
        <v>0</v>
      </c>
      <c r="DA111" s="16">
        <f t="shared" si="59"/>
        <v>0</v>
      </c>
      <c r="DB111" s="16">
        <f t="shared" si="60"/>
        <v>0</v>
      </c>
      <c r="DC111" s="16">
        <f t="shared" si="61"/>
        <v>-8915.3846153846116</v>
      </c>
      <c r="DD111" s="16">
        <f t="shared" si="62"/>
        <v>76.923076923077133</v>
      </c>
      <c r="DE111" s="16">
        <f t="shared" si="63"/>
        <v>0</v>
      </c>
      <c r="DF111" s="16">
        <f t="shared" si="64"/>
        <v>0</v>
      </c>
      <c r="DG111" s="16">
        <f t="shared" si="65"/>
        <v>0</v>
      </c>
      <c r="DH111" s="14">
        <f>IF([1]Sheet2!DS110=999999,"NA",[1]Sheet2!DS110)</f>
        <v>0</v>
      </c>
      <c r="DI111" s="14">
        <f>IF([1]Sheet2!DT110=999999,"NA",[1]Sheet2!DT110)</f>
        <v>257</v>
      </c>
      <c r="DJ111" s="14" t="str">
        <f>IF([1]Sheet2!DU110=999999,"NA",[1]Sheet2!DU110)</f>
        <v>NA</v>
      </c>
      <c r="DK111" s="14" t="str">
        <f>IF([1]Sheet2!DV110=999999,"NA",[1]Sheet2!DV110)</f>
        <v>NA</v>
      </c>
      <c r="DL111" s="14" t="str">
        <f>IF([1]Sheet2!DW110=999999,"NA",[1]Sheet2!DW110)</f>
        <v>NA</v>
      </c>
      <c r="DM111" s="14">
        <f>IF([1]Sheet2!DX110=999999,"NA",[1]Sheet2!DX110)</f>
        <v>0</v>
      </c>
      <c r="DN111" s="14">
        <f>IF([1]Sheet2!DY110=999999,"NA",[1]Sheet2!DY110)</f>
        <v>257</v>
      </c>
      <c r="DO111" s="14" t="str">
        <f>IF([1]Sheet2!DZ110=999999,"NA",[1]Sheet2!DZ110)</f>
        <v>NA</v>
      </c>
      <c r="DP111" s="14" t="str">
        <f>IF([1]Sheet2!EA110=999999,"NA",[1]Sheet2!EA110)</f>
        <v>NA</v>
      </c>
      <c r="DQ111" s="14" t="str">
        <f>IF([1]Sheet2!EB110=999999,"NA",[1]Sheet2!EB110)</f>
        <v>NA</v>
      </c>
      <c r="DR111" s="14">
        <f>[1]Sheet2!CY110</f>
        <v>0</v>
      </c>
      <c r="DS111" s="14">
        <f>[1]Sheet2!CZ110</f>
        <v>0</v>
      </c>
      <c r="DT111" s="14">
        <f>[1]Sheet2!DA110</f>
        <v>0</v>
      </c>
      <c r="DU111" s="14">
        <f>[1]Sheet2!DB110</f>
        <v>0</v>
      </c>
      <c r="DV111" s="14">
        <f>[1]Sheet2!DC110</f>
        <v>0</v>
      </c>
      <c r="DW111" s="14">
        <f>[1]Sheet2!DD110</f>
        <v>0</v>
      </c>
      <c r="DX111" s="14">
        <f>[1]Sheet2!DE110</f>
        <v>0</v>
      </c>
      <c r="DY111" s="14">
        <f>[1]Sheet2!DF110</f>
        <v>0</v>
      </c>
      <c r="DZ111" s="14">
        <f>[1]Sheet2!DG110</f>
        <v>0</v>
      </c>
      <c r="EA111" s="14">
        <f>[1]Sheet2!DH110</f>
        <v>0</v>
      </c>
      <c r="EB111" s="6">
        <f>[1]Sheet2!EC110</f>
        <v>0</v>
      </c>
      <c r="EC111" s="6">
        <f>[1]Sheet2!ED110</f>
        <v>0</v>
      </c>
      <c r="ED111" s="6">
        <f>[1]Sheet2!EE110</f>
        <v>0</v>
      </c>
      <c r="EE111" s="6">
        <f>[1]Sheet2!EF110</f>
        <v>0</v>
      </c>
      <c r="EF111" s="6">
        <f>[1]Sheet2!EG110</f>
        <v>0</v>
      </c>
      <c r="EG111" s="6">
        <f>[1]Sheet2!EH110</f>
        <v>0</v>
      </c>
      <c r="EH111" s="6">
        <f>[1]Sheet2!EI110</f>
        <v>0</v>
      </c>
      <c r="EI111" s="6">
        <f>[1]Sheet2!EJ110</f>
        <v>0</v>
      </c>
      <c r="EJ111" s="6">
        <f>[1]Sheet2!EK110</f>
        <v>0</v>
      </c>
      <c r="EK111" s="6">
        <f>[1]Sheet2!EL110</f>
        <v>0</v>
      </c>
      <c r="EL111" s="6" t="str">
        <f>[1]Sheet2!EM110</f>
        <v/>
      </c>
      <c r="EM111" s="6" t="str">
        <f>[1]Sheet2!EN110</f>
        <v/>
      </c>
      <c r="EN111" s="6" t="str">
        <f>[1]Sheet2!EO110</f>
        <v/>
      </c>
      <c r="EO111" s="6" t="str">
        <f>[1]Sheet2!EP110</f>
        <v/>
      </c>
      <c r="EP111" s="6" t="str">
        <f>[1]Sheet2!EQ110</f>
        <v/>
      </c>
      <c r="EQ111" s="6" t="str">
        <f>[1]Sheet2!ER110</f>
        <v/>
      </c>
      <c r="ER111" s="6" t="str">
        <f>[1]Sheet2!ES110</f>
        <v/>
      </c>
      <c r="ES111" s="6" t="str">
        <f>[1]Sheet2!ET110</f>
        <v/>
      </c>
      <c r="ET111" s="6" t="str">
        <f>[1]Sheet2!EU110</f>
        <v/>
      </c>
      <c r="EU111" s="6" t="str">
        <f>[1]Sheet2!EV110</f>
        <v/>
      </c>
      <c r="EV111" s="6" t="str">
        <f>[1]Sheet2!EW110</f>
        <v/>
      </c>
      <c r="EW111" s="6" t="str">
        <f>[1]Sheet2!EX110</f>
        <v/>
      </c>
      <c r="EX111" s="6" t="str">
        <f>[1]Sheet2!EY110</f>
        <v/>
      </c>
      <c r="EY111" s="6" t="str">
        <f>[1]Sheet2!EZ110</f>
        <v/>
      </c>
      <c r="EZ111" s="6" t="str">
        <f>[1]Sheet2!FA110</f>
        <v/>
      </c>
      <c r="FA111" s="6" t="str">
        <f>[1]Sheet2!FB110</f>
        <v/>
      </c>
      <c r="FB111" s="6" t="str">
        <f>[1]Sheet2!FC110</f>
        <v/>
      </c>
      <c r="FC111" s="6" t="str">
        <f>[1]Sheet2!FD110</f>
        <v/>
      </c>
      <c r="FD111" s="6" t="str">
        <f>[1]Sheet2!FE110</f>
        <v/>
      </c>
      <c r="FE111" s="6" t="str">
        <f>[1]Sheet2!FF110</f>
        <v/>
      </c>
      <c r="FF111" s="6" t="str">
        <f>[1]Sheet2!FG110</f>
        <v/>
      </c>
      <c r="FG111" s="6" t="str">
        <f>[1]Sheet2!FH110</f>
        <v/>
      </c>
      <c r="FH111" s="6" t="str">
        <f>[1]Sheet2!FI110</f>
        <v/>
      </c>
      <c r="FI111" s="6" t="str">
        <f>[1]Sheet2!FJ110</f>
        <v/>
      </c>
      <c r="FJ111" s="6" t="str">
        <f>[1]Sheet2!FK110</f>
        <v/>
      </c>
      <c r="FK111" s="6" t="str">
        <f>[1]Sheet2!FL110</f>
        <v/>
      </c>
      <c r="FL111" s="6" t="str">
        <f>[1]Sheet2!FM110</f>
        <v/>
      </c>
      <c r="FM111" s="6" t="str">
        <f>[1]Sheet2!FN110</f>
        <v/>
      </c>
      <c r="FN111" s="6" t="str">
        <f>[1]Sheet2!FO110</f>
        <v/>
      </c>
      <c r="FO111" s="6" t="str">
        <f>[1]Sheet2!FP110</f>
        <v/>
      </c>
    </row>
    <row r="112" spans="1:171" x14ac:dyDescent="0.25">
      <c r="A112" s="15">
        <v>43574</v>
      </c>
      <c r="B112" s="1"/>
      <c r="C112" s="1"/>
      <c r="D112" s="1"/>
      <c r="E112" s="14">
        <f>[1]Sheet2!N111</f>
        <v>0</v>
      </c>
      <c r="F112" s="14">
        <f>[1]Sheet2!BE111</f>
        <v>0</v>
      </c>
      <c r="G112" s="14">
        <f>[1]Sheet2!CW111</f>
        <v>0</v>
      </c>
      <c r="H112" s="1"/>
      <c r="I112" s="1"/>
      <c r="J112" s="1"/>
      <c r="K112" s="16"/>
      <c r="L112" s="16">
        <f>Demand_CWRS!B$6/30</f>
        <v>136.96097796474356</v>
      </c>
      <c r="M112" s="16">
        <f>Demand_CWRS!C$6/30</f>
        <v>544.43376068376062</v>
      </c>
      <c r="N112" s="16">
        <f>Demand_CWRS!D$6/30</f>
        <v>0</v>
      </c>
      <c r="O112" s="16">
        <f>Demand_CWRS!E$6/30</f>
        <v>108.97435897435896</v>
      </c>
      <c r="P112" s="16">
        <f>Demand_CWRS!F$6/30</f>
        <v>213.3621347489316</v>
      </c>
      <c r="Q112" s="16">
        <f>Demand_CWRS!G$6/30</f>
        <v>133.33333333333334</v>
      </c>
      <c r="R112" s="16">
        <f>Demand_CWRS!H$6/30</f>
        <v>213.3621347489316</v>
      </c>
      <c r="S112" s="16">
        <f>Demand_CWRS!I$6/30</f>
        <v>213.3621347489316</v>
      </c>
      <c r="T112" s="16">
        <f>Demand_CWRS!J$6/30</f>
        <v>213.3621347489316</v>
      </c>
      <c r="U112" s="16">
        <f>Demand_CWRS!K$6/30</f>
        <v>213.3621347489316</v>
      </c>
      <c r="V112" s="16">
        <f t="shared" si="36"/>
        <v>-13081.262883149744</v>
      </c>
      <c r="W112" s="16">
        <f t="shared" si="37"/>
        <v>-43526.364529914441</v>
      </c>
      <c r="X112" s="16">
        <f t="shared" si="38"/>
        <v>0</v>
      </c>
      <c r="Y112" s="16">
        <f t="shared" si="39"/>
        <v>-3549.9175754625021</v>
      </c>
      <c r="Z112" s="16">
        <f t="shared" si="40"/>
        <v>-20163.397776433849</v>
      </c>
      <c r="AA112" s="16">
        <f t="shared" si="41"/>
        <v>-11795.393825056815</v>
      </c>
      <c r="AB112" s="16">
        <f t="shared" si="42"/>
        <v>-24644.441446305667</v>
      </c>
      <c r="AC112" s="16">
        <f t="shared" si="43"/>
        <v>-18851.431189895389</v>
      </c>
      <c r="AD112" s="16">
        <f t="shared" si="44"/>
        <v>-18951.431189895382</v>
      </c>
      <c r="AE112" s="16">
        <f t="shared" si="45"/>
        <v>-19551.431189895386</v>
      </c>
      <c r="AF112" s="14">
        <f>IF([1]Sheet2!AJ111=999999,"NA",[1]Sheet2!AJ111)</f>
        <v>0</v>
      </c>
      <c r="AG112" s="14">
        <f>IF([1]Sheet2!AK111=999999,"NA",[1]Sheet2!AK111)</f>
        <v>0</v>
      </c>
      <c r="AH112" s="14" t="str">
        <f>IF([1]Sheet2!AL111=999999,"NA",[1]Sheet2!AL111)</f>
        <v>NA</v>
      </c>
      <c r="AI112" s="14">
        <f>IF([1]Sheet2!AM111=999999,"NA",[1]Sheet2!AM111)</f>
        <v>0</v>
      </c>
      <c r="AJ112" s="14">
        <f>IF([1]Sheet2!AN111=999999,"NA",[1]Sheet2!AN111)</f>
        <v>0</v>
      </c>
      <c r="AK112" s="14">
        <f>IF([1]Sheet2!AO111=999999,"NA",[1]Sheet2!AO111)</f>
        <v>0</v>
      </c>
      <c r="AL112" s="14">
        <f>IF([1]Sheet2!AP111=999999,"NA",[1]Sheet2!AP111)</f>
        <v>0</v>
      </c>
      <c r="AM112" s="14">
        <f>IF([1]Sheet2!AQ111=999999,"NA",[1]Sheet2!AQ111)</f>
        <v>0</v>
      </c>
      <c r="AN112" s="14">
        <f>IF([1]Sheet2!AR111=999999,"NA",[1]Sheet2!AR111)</f>
        <v>0</v>
      </c>
      <c r="AO112" s="14">
        <f>IF([1]Sheet2!AS111=999999,"NA",[1]Sheet2!AS111)</f>
        <v>0</v>
      </c>
      <c r="AP112" s="14">
        <f>[1]Sheet2!P111</f>
        <v>0</v>
      </c>
      <c r="AQ112" s="14">
        <f>[1]Sheet2!Q111</f>
        <v>0</v>
      </c>
      <c r="AR112" s="14">
        <f>[1]Sheet2!R111</f>
        <v>0</v>
      </c>
      <c r="AS112" s="14">
        <f>[1]Sheet2!S111</f>
        <v>0</v>
      </c>
      <c r="AT112" s="14">
        <f>[1]Sheet2!T111</f>
        <v>0</v>
      </c>
      <c r="AU112" s="14">
        <f>[1]Sheet2!U111</f>
        <v>0</v>
      </c>
      <c r="AV112" s="14">
        <f>[1]Sheet2!V111</f>
        <v>0</v>
      </c>
      <c r="AW112" s="14">
        <f>[1]Sheet2!W111</f>
        <v>0</v>
      </c>
      <c r="AX112" s="14">
        <f>[1]Sheet2!X111</f>
        <v>0</v>
      </c>
      <c r="AY112" s="14">
        <f>[1]Sheet2!Y111</f>
        <v>0</v>
      </c>
      <c r="AZ112" s="16">
        <f>Demand_LP!B$6/30</f>
        <v>790.61612406517088</v>
      </c>
      <c r="BA112" s="16">
        <f>Demand_LP!C$6/30</f>
        <v>816.46367521367517</v>
      </c>
      <c r="BB112" s="16">
        <f>Demand_LP!D$6/30</f>
        <v>346.63461538461536</v>
      </c>
      <c r="BC112" s="16">
        <f>Demand_LP!E$6/30</f>
        <v>795.48076923076928</v>
      </c>
      <c r="BD112" s="16">
        <f>Demand_LP!F$6/30</f>
        <v>472.52230168269227</v>
      </c>
      <c r="BE112" s="16">
        <f>Demand_LP!G$6/30</f>
        <v>472.52230168269227</v>
      </c>
      <c r="BF112" s="16">
        <f>Demand_LP!H$6/30</f>
        <v>816.46367521367517</v>
      </c>
      <c r="BG112" s="16">
        <f>Demand_LP!I$6/30</f>
        <v>472.52230168269227</v>
      </c>
      <c r="BH112" s="16">
        <f>Demand_LP!J$6/30</f>
        <v>472.52230168269227</v>
      </c>
      <c r="BI112" s="16">
        <f>Demand_LP!K$6/30</f>
        <v>472.52230168269227</v>
      </c>
      <c r="BJ112" s="16">
        <f t="shared" si="46"/>
        <v>-66723.731086171683</v>
      </c>
      <c r="BK112" s="16">
        <f t="shared" si="47"/>
        <v>-61129.353418803315</v>
      </c>
      <c r="BL112" s="16">
        <f t="shared" si="48"/>
        <v>-21360.023076923109</v>
      </c>
      <c r="BM112" s="16">
        <f t="shared" si="49"/>
        <v>-71920.682035053513</v>
      </c>
      <c r="BN112" s="16">
        <f t="shared" si="50"/>
        <v>-42420.239813600463</v>
      </c>
      <c r="BO112" s="16">
        <f t="shared" si="51"/>
        <v>-40877.923731971176</v>
      </c>
      <c r="BP112" s="16">
        <f t="shared" si="52"/>
        <v>-55486.932905982852</v>
      </c>
      <c r="BQ112" s="16">
        <f t="shared" si="53"/>
        <v>-40877.923731971176</v>
      </c>
      <c r="BR112" s="16">
        <f t="shared" si="54"/>
        <v>-38477.923731971176</v>
      </c>
      <c r="BS112" s="16">
        <f t="shared" si="55"/>
        <v>-39177.923731971168</v>
      </c>
      <c r="BT112" s="14">
        <f>IF([1]Sheet2!CB111=999999,"NA",[1]Sheet2!CB111)</f>
        <v>0</v>
      </c>
      <c r="BU112" s="14">
        <f>IF([1]Sheet2!CC111=999999,"NA",[1]Sheet2!CC111)</f>
        <v>0</v>
      </c>
      <c r="BV112" s="14">
        <f>IF([1]Sheet2!CD111=999999,"NA",[1]Sheet2!CD111)</f>
        <v>0</v>
      </c>
      <c r="BW112" s="14">
        <f>IF([1]Sheet2!CE111=999999,"NA",[1]Sheet2!CE111)</f>
        <v>0</v>
      </c>
      <c r="BX112" s="14">
        <f>IF([1]Sheet2!CF111=999999,"NA",[1]Sheet2!CF111)</f>
        <v>0</v>
      </c>
      <c r="BY112" s="14">
        <f>IF([1]Sheet2!CG111=999999,"NA",[1]Sheet2!CG111)</f>
        <v>0</v>
      </c>
      <c r="BZ112" s="14">
        <f>IF([1]Sheet2!CH111=999999,"NA",[1]Sheet2!CH111)</f>
        <v>0</v>
      </c>
      <c r="CA112" s="14">
        <f>IF([1]Sheet2!CI111=999999,"NA",[1]Sheet2!CI111)</f>
        <v>0</v>
      </c>
      <c r="CB112" s="14">
        <f>IF([1]Sheet2!CJ111=999999,"NA",[1]Sheet2!CJ111)</f>
        <v>0</v>
      </c>
      <c r="CC112" s="14">
        <f>IF([1]Sheet2!CK111=999999,"NA",[1]Sheet2!CK111)</f>
        <v>0</v>
      </c>
      <c r="CD112" s="14">
        <f>[1]Sheet2!BH111</f>
        <v>0</v>
      </c>
      <c r="CE112" s="14">
        <f>[1]Sheet2!BI111</f>
        <v>0</v>
      </c>
      <c r="CF112" s="14">
        <f>[1]Sheet2!BJ111</f>
        <v>0</v>
      </c>
      <c r="CG112" s="14">
        <f>[1]Sheet2!BK111</f>
        <v>0</v>
      </c>
      <c r="CH112" s="14">
        <f>[1]Sheet2!BL111</f>
        <v>0</v>
      </c>
      <c r="CI112" s="14">
        <f>[1]Sheet2!BM111</f>
        <v>0</v>
      </c>
      <c r="CJ112" s="14">
        <f>[1]Sheet2!BN111</f>
        <v>0</v>
      </c>
      <c r="CK112" s="14">
        <f>[1]Sheet2!BO111</f>
        <v>0</v>
      </c>
      <c r="CL112" s="14">
        <f>[1]Sheet2!BP111</f>
        <v>0</v>
      </c>
      <c r="CM112" s="14">
        <f>[1]Sheet2!BQ111</f>
        <v>0</v>
      </c>
      <c r="CN112" s="16">
        <f>Demand_SW!B$6/30</f>
        <v>173.07692307692304</v>
      </c>
      <c r="CO112" s="16">
        <f>Demand_SW!C$6/30</f>
        <v>0</v>
      </c>
      <c r="CP112" s="16">
        <f>Demand_SW!D$6/30</f>
        <v>0</v>
      </c>
      <c r="CQ112" s="16">
        <f>Demand_SW!E$6/30</f>
        <v>0</v>
      </c>
      <c r="CR112" s="16">
        <f>Demand_SW!F$6/30</f>
        <v>0</v>
      </c>
      <c r="CS112" s="16">
        <f>Demand_SW!G$6/30</f>
        <v>173.07692307692304</v>
      </c>
      <c r="CT112" s="16">
        <f>Demand_SW!H$6/30</f>
        <v>0</v>
      </c>
      <c r="CU112" s="16">
        <f>Demand_SW!I$6/30</f>
        <v>0</v>
      </c>
      <c r="CV112" s="16">
        <f>Demand_SW!J$6/30</f>
        <v>0</v>
      </c>
      <c r="CW112" s="16">
        <f>Demand_SW!K$6/30</f>
        <v>0</v>
      </c>
      <c r="CX112" s="16">
        <f t="shared" si="56"/>
        <v>-9559.2307692307677</v>
      </c>
      <c r="CY112" s="16">
        <f t="shared" si="57"/>
        <v>76.923076923077133</v>
      </c>
      <c r="CZ112" s="16">
        <f t="shared" si="58"/>
        <v>0</v>
      </c>
      <c r="DA112" s="16">
        <f t="shared" si="59"/>
        <v>0</v>
      </c>
      <c r="DB112" s="16">
        <f t="shared" si="60"/>
        <v>0</v>
      </c>
      <c r="DC112" s="16">
        <f t="shared" si="61"/>
        <v>-9088.4615384615354</v>
      </c>
      <c r="DD112" s="16">
        <f t="shared" si="62"/>
        <v>76.923076923077133</v>
      </c>
      <c r="DE112" s="16">
        <f t="shared" si="63"/>
        <v>0</v>
      </c>
      <c r="DF112" s="16">
        <f t="shared" si="64"/>
        <v>0</v>
      </c>
      <c r="DG112" s="16">
        <f t="shared" si="65"/>
        <v>0</v>
      </c>
      <c r="DH112" s="14">
        <f>IF([1]Sheet2!DS111=999999,"NA",[1]Sheet2!DS111)</f>
        <v>0</v>
      </c>
      <c r="DI112" s="14">
        <f>IF([1]Sheet2!DT111=999999,"NA",[1]Sheet2!DT111)</f>
        <v>256</v>
      </c>
      <c r="DJ112" s="14" t="str">
        <f>IF([1]Sheet2!DU111=999999,"NA",[1]Sheet2!DU111)</f>
        <v>NA</v>
      </c>
      <c r="DK112" s="14" t="str">
        <f>IF([1]Sheet2!DV111=999999,"NA",[1]Sheet2!DV111)</f>
        <v>NA</v>
      </c>
      <c r="DL112" s="14" t="str">
        <f>IF([1]Sheet2!DW111=999999,"NA",[1]Sheet2!DW111)</f>
        <v>NA</v>
      </c>
      <c r="DM112" s="14">
        <f>IF([1]Sheet2!DX111=999999,"NA",[1]Sheet2!DX111)</f>
        <v>0</v>
      </c>
      <c r="DN112" s="14">
        <f>IF([1]Sheet2!DY111=999999,"NA",[1]Sheet2!DY111)</f>
        <v>256</v>
      </c>
      <c r="DO112" s="14" t="str">
        <f>IF([1]Sheet2!DZ111=999999,"NA",[1]Sheet2!DZ111)</f>
        <v>NA</v>
      </c>
      <c r="DP112" s="14" t="str">
        <f>IF([1]Sheet2!EA111=999999,"NA",[1]Sheet2!EA111)</f>
        <v>NA</v>
      </c>
      <c r="DQ112" s="14" t="str">
        <f>IF([1]Sheet2!EB111=999999,"NA",[1]Sheet2!EB111)</f>
        <v>NA</v>
      </c>
      <c r="DR112" s="14">
        <f>[1]Sheet2!CY111</f>
        <v>0</v>
      </c>
      <c r="DS112" s="14">
        <f>[1]Sheet2!CZ111</f>
        <v>0</v>
      </c>
      <c r="DT112" s="14">
        <f>[1]Sheet2!DA111</f>
        <v>0</v>
      </c>
      <c r="DU112" s="14">
        <f>[1]Sheet2!DB111</f>
        <v>0</v>
      </c>
      <c r="DV112" s="14">
        <f>[1]Sheet2!DC111</f>
        <v>0</v>
      </c>
      <c r="DW112" s="14">
        <f>[1]Sheet2!DD111</f>
        <v>0</v>
      </c>
      <c r="DX112" s="14">
        <f>[1]Sheet2!DE111</f>
        <v>0</v>
      </c>
      <c r="DY112" s="14">
        <f>[1]Sheet2!DF111</f>
        <v>0</v>
      </c>
      <c r="DZ112" s="14">
        <f>[1]Sheet2!DG111</f>
        <v>0</v>
      </c>
      <c r="EA112" s="14">
        <f>[1]Sheet2!DH111</f>
        <v>0</v>
      </c>
      <c r="EB112" s="6">
        <f>[1]Sheet2!EC111</f>
        <v>0</v>
      </c>
      <c r="EC112" s="6">
        <f>[1]Sheet2!ED111</f>
        <v>0</v>
      </c>
      <c r="ED112" s="6">
        <f>[1]Sheet2!EE111</f>
        <v>0</v>
      </c>
      <c r="EE112" s="6">
        <f>[1]Sheet2!EF111</f>
        <v>0</v>
      </c>
      <c r="EF112" s="6">
        <f>[1]Sheet2!EG111</f>
        <v>0</v>
      </c>
      <c r="EG112" s="6">
        <f>[1]Sheet2!EH111</f>
        <v>0</v>
      </c>
      <c r="EH112" s="6">
        <f>[1]Sheet2!EI111</f>
        <v>0</v>
      </c>
      <c r="EI112" s="6">
        <f>[1]Sheet2!EJ111</f>
        <v>0</v>
      </c>
      <c r="EJ112" s="6">
        <f>[1]Sheet2!EK111</f>
        <v>0</v>
      </c>
      <c r="EK112" s="6">
        <f>[1]Sheet2!EL111</f>
        <v>0</v>
      </c>
      <c r="EL112" s="6" t="str">
        <f>[1]Sheet2!EM111</f>
        <v/>
      </c>
      <c r="EM112" s="6" t="str">
        <f>[1]Sheet2!EN111</f>
        <v/>
      </c>
      <c r="EN112" s="6" t="str">
        <f>[1]Sheet2!EO111</f>
        <v/>
      </c>
      <c r="EO112" s="6" t="str">
        <f>[1]Sheet2!EP111</f>
        <v/>
      </c>
      <c r="EP112" s="6" t="str">
        <f>[1]Sheet2!EQ111</f>
        <v/>
      </c>
      <c r="EQ112" s="6" t="str">
        <f>[1]Sheet2!ER111</f>
        <v/>
      </c>
      <c r="ER112" s="6" t="str">
        <f>[1]Sheet2!ES111</f>
        <v/>
      </c>
      <c r="ES112" s="6" t="str">
        <f>[1]Sheet2!ET111</f>
        <v/>
      </c>
      <c r="ET112" s="6" t="str">
        <f>[1]Sheet2!EU111</f>
        <v/>
      </c>
      <c r="EU112" s="6" t="str">
        <f>[1]Sheet2!EV111</f>
        <v/>
      </c>
      <c r="EV112" s="6" t="str">
        <f>[1]Sheet2!EW111</f>
        <v/>
      </c>
      <c r="EW112" s="6" t="str">
        <f>[1]Sheet2!EX111</f>
        <v/>
      </c>
      <c r="EX112" s="6" t="str">
        <f>[1]Sheet2!EY111</f>
        <v/>
      </c>
      <c r="EY112" s="6" t="str">
        <f>[1]Sheet2!EZ111</f>
        <v/>
      </c>
      <c r="EZ112" s="6" t="str">
        <f>[1]Sheet2!FA111</f>
        <v/>
      </c>
      <c r="FA112" s="6" t="str">
        <f>[1]Sheet2!FB111</f>
        <v/>
      </c>
      <c r="FB112" s="6" t="str">
        <f>[1]Sheet2!FC111</f>
        <v/>
      </c>
      <c r="FC112" s="6" t="str">
        <f>[1]Sheet2!FD111</f>
        <v/>
      </c>
      <c r="FD112" s="6" t="str">
        <f>[1]Sheet2!FE111</f>
        <v/>
      </c>
      <c r="FE112" s="6" t="str">
        <f>[1]Sheet2!FF111</f>
        <v/>
      </c>
      <c r="FF112" s="6" t="str">
        <f>[1]Sheet2!FG111</f>
        <v/>
      </c>
      <c r="FG112" s="6" t="str">
        <f>[1]Sheet2!FH111</f>
        <v/>
      </c>
      <c r="FH112" s="6" t="str">
        <f>[1]Sheet2!FI111</f>
        <v/>
      </c>
      <c r="FI112" s="6" t="str">
        <f>[1]Sheet2!FJ111</f>
        <v/>
      </c>
      <c r="FJ112" s="6" t="str">
        <f>[1]Sheet2!FK111</f>
        <v/>
      </c>
      <c r="FK112" s="6" t="str">
        <f>[1]Sheet2!FL111</f>
        <v/>
      </c>
      <c r="FL112" s="6" t="str">
        <f>[1]Sheet2!FM111</f>
        <v/>
      </c>
      <c r="FM112" s="6" t="str">
        <f>[1]Sheet2!FN111</f>
        <v/>
      </c>
      <c r="FN112" s="6" t="str">
        <f>[1]Sheet2!FO111</f>
        <v/>
      </c>
      <c r="FO112" s="6" t="str">
        <f>[1]Sheet2!FP111</f>
        <v/>
      </c>
    </row>
    <row r="113" spans="1:171" x14ac:dyDescent="0.25">
      <c r="A113" s="15">
        <v>43575</v>
      </c>
      <c r="B113" s="1"/>
      <c r="C113" s="1"/>
      <c r="D113" s="1"/>
      <c r="E113" s="14">
        <f>[1]Sheet2!N112</f>
        <v>0</v>
      </c>
      <c r="F113" s="14">
        <f>[1]Sheet2!BE112</f>
        <v>0</v>
      </c>
      <c r="G113" s="14">
        <f>[1]Sheet2!CW112</f>
        <v>0</v>
      </c>
      <c r="H113" s="1"/>
      <c r="I113" s="1"/>
      <c r="J113" s="1"/>
      <c r="K113" s="16"/>
      <c r="L113" s="16">
        <f>Demand_CWRS!B$6/30</f>
        <v>136.96097796474356</v>
      </c>
      <c r="M113" s="16">
        <f>Demand_CWRS!C$6/30</f>
        <v>544.43376068376062</v>
      </c>
      <c r="N113" s="16">
        <f>Demand_CWRS!D$6/30</f>
        <v>0</v>
      </c>
      <c r="O113" s="16">
        <f>Demand_CWRS!E$6/30</f>
        <v>108.97435897435896</v>
      </c>
      <c r="P113" s="16">
        <f>Demand_CWRS!F$6/30</f>
        <v>213.3621347489316</v>
      </c>
      <c r="Q113" s="16">
        <f>Demand_CWRS!G$6/30</f>
        <v>133.33333333333334</v>
      </c>
      <c r="R113" s="16">
        <f>Demand_CWRS!H$6/30</f>
        <v>213.3621347489316</v>
      </c>
      <c r="S113" s="16">
        <f>Demand_CWRS!I$6/30</f>
        <v>213.3621347489316</v>
      </c>
      <c r="T113" s="16">
        <f>Demand_CWRS!J$6/30</f>
        <v>213.3621347489316</v>
      </c>
      <c r="U113" s="16">
        <f>Demand_CWRS!K$6/30</f>
        <v>213.3621347489316</v>
      </c>
      <c r="V113" s="16">
        <f t="shared" si="36"/>
        <v>-13218.223861114488</v>
      </c>
      <c r="W113" s="16">
        <f t="shared" si="37"/>
        <v>-44070.798290598199</v>
      </c>
      <c r="X113" s="16">
        <f t="shared" si="38"/>
        <v>0</v>
      </c>
      <c r="Y113" s="16">
        <f t="shared" si="39"/>
        <v>-3658.891934436861</v>
      </c>
      <c r="Z113" s="16">
        <f t="shared" si="40"/>
        <v>-20376.75991118278</v>
      </c>
      <c r="AA113" s="16">
        <f t="shared" si="41"/>
        <v>-11928.727158390149</v>
      </c>
      <c r="AB113" s="16">
        <f t="shared" si="42"/>
        <v>-24857.803581054599</v>
      </c>
      <c r="AC113" s="16">
        <f t="shared" si="43"/>
        <v>-19064.793324644321</v>
      </c>
      <c r="AD113" s="16">
        <f t="shared" si="44"/>
        <v>-19164.793324644314</v>
      </c>
      <c r="AE113" s="16">
        <f t="shared" si="45"/>
        <v>-19764.793324644317</v>
      </c>
      <c r="AF113" s="14">
        <f>IF([1]Sheet2!AJ112=999999,"NA",[1]Sheet2!AJ112)</f>
        <v>0</v>
      </c>
      <c r="AG113" s="14">
        <f>IF([1]Sheet2!AK112=999999,"NA",[1]Sheet2!AK112)</f>
        <v>0</v>
      </c>
      <c r="AH113" s="14" t="str">
        <f>IF([1]Sheet2!AL112=999999,"NA",[1]Sheet2!AL112)</f>
        <v>NA</v>
      </c>
      <c r="AI113" s="14">
        <f>IF([1]Sheet2!AM112=999999,"NA",[1]Sheet2!AM112)</f>
        <v>0</v>
      </c>
      <c r="AJ113" s="14">
        <f>IF([1]Sheet2!AN112=999999,"NA",[1]Sheet2!AN112)</f>
        <v>0</v>
      </c>
      <c r="AK113" s="14">
        <f>IF([1]Sheet2!AO112=999999,"NA",[1]Sheet2!AO112)</f>
        <v>0</v>
      </c>
      <c r="AL113" s="14">
        <f>IF([1]Sheet2!AP112=999999,"NA",[1]Sheet2!AP112)</f>
        <v>0</v>
      </c>
      <c r="AM113" s="14">
        <f>IF([1]Sheet2!AQ112=999999,"NA",[1]Sheet2!AQ112)</f>
        <v>0</v>
      </c>
      <c r="AN113" s="14">
        <f>IF([1]Sheet2!AR112=999999,"NA",[1]Sheet2!AR112)</f>
        <v>0</v>
      </c>
      <c r="AO113" s="14">
        <f>IF([1]Sheet2!AS112=999999,"NA",[1]Sheet2!AS112)</f>
        <v>0</v>
      </c>
      <c r="AP113" s="14">
        <f>[1]Sheet2!P112</f>
        <v>0</v>
      </c>
      <c r="AQ113" s="14">
        <f>[1]Sheet2!Q112</f>
        <v>0</v>
      </c>
      <c r="AR113" s="14">
        <f>[1]Sheet2!R112</f>
        <v>0</v>
      </c>
      <c r="AS113" s="14">
        <f>[1]Sheet2!S112</f>
        <v>0</v>
      </c>
      <c r="AT113" s="14">
        <f>[1]Sheet2!T112</f>
        <v>0</v>
      </c>
      <c r="AU113" s="14">
        <f>[1]Sheet2!U112</f>
        <v>0</v>
      </c>
      <c r="AV113" s="14">
        <f>[1]Sheet2!V112</f>
        <v>0</v>
      </c>
      <c r="AW113" s="14">
        <f>[1]Sheet2!W112</f>
        <v>0</v>
      </c>
      <c r="AX113" s="14">
        <f>[1]Sheet2!X112</f>
        <v>0</v>
      </c>
      <c r="AY113" s="14">
        <f>[1]Sheet2!Y112</f>
        <v>0</v>
      </c>
      <c r="AZ113" s="16">
        <f>Demand_LP!B$6/30</f>
        <v>790.61612406517088</v>
      </c>
      <c r="BA113" s="16">
        <f>Demand_LP!C$6/30</f>
        <v>816.46367521367517</v>
      </c>
      <c r="BB113" s="16">
        <f>Demand_LP!D$6/30</f>
        <v>346.63461538461536</v>
      </c>
      <c r="BC113" s="16">
        <f>Demand_LP!E$6/30</f>
        <v>795.48076923076928</v>
      </c>
      <c r="BD113" s="16">
        <f>Demand_LP!F$6/30</f>
        <v>472.52230168269227</v>
      </c>
      <c r="BE113" s="16">
        <f>Demand_LP!G$6/30</f>
        <v>472.52230168269227</v>
      </c>
      <c r="BF113" s="16">
        <f>Demand_LP!H$6/30</f>
        <v>816.46367521367517</v>
      </c>
      <c r="BG113" s="16">
        <f>Demand_LP!I$6/30</f>
        <v>472.52230168269227</v>
      </c>
      <c r="BH113" s="16">
        <f>Demand_LP!J$6/30</f>
        <v>472.52230168269227</v>
      </c>
      <c r="BI113" s="16">
        <f>Demand_LP!K$6/30</f>
        <v>472.52230168269227</v>
      </c>
      <c r="BJ113" s="16">
        <f t="shared" si="46"/>
        <v>-67514.347210236854</v>
      </c>
      <c r="BK113" s="16">
        <f t="shared" si="47"/>
        <v>-61945.817094016988</v>
      </c>
      <c r="BL113" s="16">
        <f t="shared" si="48"/>
        <v>-21706.657692307726</v>
      </c>
      <c r="BM113" s="16">
        <f t="shared" si="49"/>
        <v>-72716.162804284279</v>
      </c>
      <c r="BN113" s="16">
        <f t="shared" si="50"/>
        <v>-42892.762115283156</v>
      </c>
      <c r="BO113" s="16">
        <f t="shared" si="51"/>
        <v>-41350.446033653869</v>
      </c>
      <c r="BP113" s="16">
        <f t="shared" si="52"/>
        <v>-56303.396581196524</v>
      </c>
      <c r="BQ113" s="16">
        <f t="shared" si="53"/>
        <v>-41350.446033653869</v>
      </c>
      <c r="BR113" s="16">
        <f t="shared" si="54"/>
        <v>-38950.446033653869</v>
      </c>
      <c r="BS113" s="16">
        <f t="shared" si="55"/>
        <v>-39650.446033653861</v>
      </c>
      <c r="BT113" s="14">
        <f>IF([1]Sheet2!CB112=999999,"NA",[1]Sheet2!CB112)</f>
        <v>0</v>
      </c>
      <c r="BU113" s="14">
        <f>IF([1]Sheet2!CC112=999999,"NA",[1]Sheet2!CC112)</f>
        <v>0</v>
      </c>
      <c r="BV113" s="14">
        <f>IF([1]Sheet2!CD112=999999,"NA",[1]Sheet2!CD112)</f>
        <v>0</v>
      </c>
      <c r="BW113" s="14">
        <f>IF([1]Sheet2!CE112=999999,"NA",[1]Sheet2!CE112)</f>
        <v>0</v>
      </c>
      <c r="BX113" s="14">
        <f>IF([1]Sheet2!CF112=999999,"NA",[1]Sheet2!CF112)</f>
        <v>0</v>
      </c>
      <c r="BY113" s="14">
        <f>IF([1]Sheet2!CG112=999999,"NA",[1]Sheet2!CG112)</f>
        <v>0</v>
      </c>
      <c r="BZ113" s="14">
        <f>IF([1]Sheet2!CH112=999999,"NA",[1]Sheet2!CH112)</f>
        <v>0</v>
      </c>
      <c r="CA113" s="14">
        <f>IF([1]Sheet2!CI112=999999,"NA",[1]Sheet2!CI112)</f>
        <v>0</v>
      </c>
      <c r="CB113" s="14">
        <f>IF([1]Sheet2!CJ112=999999,"NA",[1]Sheet2!CJ112)</f>
        <v>0</v>
      </c>
      <c r="CC113" s="14">
        <f>IF([1]Sheet2!CK112=999999,"NA",[1]Sheet2!CK112)</f>
        <v>0</v>
      </c>
      <c r="CD113" s="14">
        <f>[1]Sheet2!BH112</f>
        <v>0</v>
      </c>
      <c r="CE113" s="14">
        <f>[1]Sheet2!BI112</f>
        <v>0</v>
      </c>
      <c r="CF113" s="14">
        <f>[1]Sheet2!BJ112</f>
        <v>0</v>
      </c>
      <c r="CG113" s="14">
        <f>[1]Sheet2!BK112</f>
        <v>0</v>
      </c>
      <c r="CH113" s="14">
        <f>[1]Sheet2!BL112</f>
        <v>0</v>
      </c>
      <c r="CI113" s="14">
        <f>[1]Sheet2!BM112</f>
        <v>0</v>
      </c>
      <c r="CJ113" s="14">
        <f>[1]Sheet2!BN112</f>
        <v>0</v>
      </c>
      <c r="CK113" s="14">
        <f>[1]Sheet2!BO112</f>
        <v>0</v>
      </c>
      <c r="CL113" s="14">
        <f>[1]Sheet2!BP112</f>
        <v>0</v>
      </c>
      <c r="CM113" s="14">
        <f>[1]Sheet2!BQ112</f>
        <v>0</v>
      </c>
      <c r="CN113" s="16">
        <f>Demand_SW!B$6/30</f>
        <v>173.07692307692304</v>
      </c>
      <c r="CO113" s="16">
        <f>Demand_SW!C$6/30</f>
        <v>0</v>
      </c>
      <c r="CP113" s="16">
        <f>Demand_SW!D$6/30</f>
        <v>0</v>
      </c>
      <c r="CQ113" s="16">
        <f>Demand_SW!E$6/30</f>
        <v>0</v>
      </c>
      <c r="CR113" s="16">
        <f>Demand_SW!F$6/30</f>
        <v>0</v>
      </c>
      <c r="CS113" s="16">
        <f>Demand_SW!G$6/30</f>
        <v>173.07692307692304</v>
      </c>
      <c r="CT113" s="16">
        <f>Demand_SW!H$6/30</f>
        <v>0</v>
      </c>
      <c r="CU113" s="16">
        <f>Demand_SW!I$6/30</f>
        <v>0</v>
      </c>
      <c r="CV113" s="16">
        <f>Demand_SW!J$6/30</f>
        <v>0</v>
      </c>
      <c r="CW113" s="16">
        <f>Demand_SW!K$6/30</f>
        <v>0</v>
      </c>
      <c r="CX113" s="16">
        <f t="shared" si="56"/>
        <v>-9732.3076923076915</v>
      </c>
      <c r="CY113" s="16">
        <f t="shared" si="57"/>
        <v>76.923076923077133</v>
      </c>
      <c r="CZ113" s="16">
        <f t="shared" si="58"/>
        <v>0</v>
      </c>
      <c r="DA113" s="16">
        <f t="shared" si="59"/>
        <v>0</v>
      </c>
      <c r="DB113" s="16">
        <f t="shared" si="60"/>
        <v>0</v>
      </c>
      <c r="DC113" s="16">
        <f t="shared" si="61"/>
        <v>-9261.5384615384592</v>
      </c>
      <c r="DD113" s="16">
        <f t="shared" si="62"/>
        <v>76.923076923077133</v>
      </c>
      <c r="DE113" s="16">
        <f t="shared" si="63"/>
        <v>0</v>
      </c>
      <c r="DF113" s="16">
        <f t="shared" si="64"/>
        <v>0</v>
      </c>
      <c r="DG113" s="16">
        <f t="shared" si="65"/>
        <v>0</v>
      </c>
      <c r="DH113" s="14">
        <f>IF([1]Sheet2!DS112=999999,"NA",[1]Sheet2!DS112)</f>
        <v>0</v>
      </c>
      <c r="DI113" s="14">
        <f>IF([1]Sheet2!DT112=999999,"NA",[1]Sheet2!DT112)</f>
        <v>255</v>
      </c>
      <c r="DJ113" s="14" t="str">
        <f>IF([1]Sheet2!DU112=999999,"NA",[1]Sheet2!DU112)</f>
        <v>NA</v>
      </c>
      <c r="DK113" s="14" t="str">
        <f>IF([1]Sheet2!DV112=999999,"NA",[1]Sheet2!DV112)</f>
        <v>NA</v>
      </c>
      <c r="DL113" s="14" t="str">
        <f>IF([1]Sheet2!DW112=999999,"NA",[1]Sheet2!DW112)</f>
        <v>NA</v>
      </c>
      <c r="DM113" s="14">
        <f>IF([1]Sheet2!DX112=999999,"NA",[1]Sheet2!DX112)</f>
        <v>0</v>
      </c>
      <c r="DN113" s="14">
        <f>IF([1]Sheet2!DY112=999999,"NA",[1]Sheet2!DY112)</f>
        <v>255</v>
      </c>
      <c r="DO113" s="14" t="str">
        <f>IF([1]Sheet2!DZ112=999999,"NA",[1]Sheet2!DZ112)</f>
        <v>NA</v>
      </c>
      <c r="DP113" s="14" t="str">
        <f>IF([1]Sheet2!EA112=999999,"NA",[1]Sheet2!EA112)</f>
        <v>NA</v>
      </c>
      <c r="DQ113" s="14" t="str">
        <f>IF([1]Sheet2!EB112=999999,"NA",[1]Sheet2!EB112)</f>
        <v>NA</v>
      </c>
      <c r="DR113" s="14">
        <f>[1]Sheet2!CY112</f>
        <v>0</v>
      </c>
      <c r="DS113" s="14">
        <f>[1]Sheet2!CZ112</f>
        <v>0</v>
      </c>
      <c r="DT113" s="14">
        <f>[1]Sheet2!DA112</f>
        <v>0</v>
      </c>
      <c r="DU113" s="14">
        <f>[1]Sheet2!DB112</f>
        <v>0</v>
      </c>
      <c r="DV113" s="14">
        <f>[1]Sheet2!DC112</f>
        <v>0</v>
      </c>
      <c r="DW113" s="14">
        <f>[1]Sheet2!DD112</f>
        <v>0</v>
      </c>
      <c r="DX113" s="14">
        <f>[1]Sheet2!DE112</f>
        <v>0</v>
      </c>
      <c r="DY113" s="14">
        <f>[1]Sheet2!DF112</f>
        <v>0</v>
      </c>
      <c r="DZ113" s="14">
        <f>[1]Sheet2!DG112</f>
        <v>0</v>
      </c>
      <c r="EA113" s="14">
        <f>[1]Sheet2!DH112</f>
        <v>0</v>
      </c>
      <c r="EB113" s="6">
        <f>[1]Sheet2!EC112</f>
        <v>0</v>
      </c>
      <c r="EC113" s="6">
        <f>[1]Sheet2!ED112</f>
        <v>0</v>
      </c>
      <c r="ED113" s="6">
        <f>[1]Sheet2!EE112</f>
        <v>0</v>
      </c>
      <c r="EE113" s="6">
        <f>[1]Sheet2!EF112</f>
        <v>0</v>
      </c>
      <c r="EF113" s="6">
        <f>[1]Sheet2!EG112</f>
        <v>0</v>
      </c>
      <c r="EG113" s="6">
        <f>[1]Sheet2!EH112</f>
        <v>0</v>
      </c>
      <c r="EH113" s="6">
        <f>[1]Sheet2!EI112</f>
        <v>0</v>
      </c>
      <c r="EI113" s="6">
        <f>[1]Sheet2!EJ112</f>
        <v>0</v>
      </c>
      <c r="EJ113" s="6">
        <f>[1]Sheet2!EK112</f>
        <v>0</v>
      </c>
      <c r="EK113" s="6">
        <f>[1]Sheet2!EL112</f>
        <v>0</v>
      </c>
      <c r="EL113" s="6" t="str">
        <f>[1]Sheet2!EM112</f>
        <v/>
      </c>
      <c r="EM113" s="6" t="str">
        <f>[1]Sheet2!EN112</f>
        <v/>
      </c>
      <c r="EN113" s="6" t="str">
        <f>[1]Sheet2!EO112</f>
        <v/>
      </c>
      <c r="EO113" s="6" t="str">
        <f>[1]Sheet2!EP112</f>
        <v/>
      </c>
      <c r="EP113" s="6" t="str">
        <f>[1]Sheet2!EQ112</f>
        <v/>
      </c>
      <c r="EQ113" s="6" t="str">
        <f>[1]Sheet2!ER112</f>
        <v/>
      </c>
      <c r="ER113" s="6" t="str">
        <f>[1]Sheet2!ES112</f>
        <v/>
      </c>
      <c r="ES113" s="6" t="str">
        <f>[1]Sheet2!ET112</f>
        <v/>
      </c>
      <c r="ET113" s="6" t="str">
        <f>[1]Sheet2!EU112</f>
        <v/>
      </c>
      <c r="EU113" s="6" t="str">
        <f>[1]Sheet2!EV112</f>
        <v/>
      </c>
      <c r="EV113" s="6" t="str">
        <f>[1]Sheet2!EW112</f>
        <v/>
      </c>
      <c r="EW113" s="6" t="str">
        <f>[1]Sheet2!EX112</f>
        <v/>
      </c>
      <c r="EX113" s="6" t="str">
        <f>[1]Sheet2!EY112</f>
        <v/>
      </c>
      <c r="EY113" s="6" t="str">
        <f>[1]Sheet2!EZ112</f>
        <v/>
      </c>
      <c r="EZ113" s="6" t="str">
        <f>[1]Sheet2!FA112</f>
        <v/>
      </c>
      <c r="FA113" s="6" t="str">
        <f>[1]Sheet2!FB112</f>
        <v/>
      </c>
      <c r="FB113" s="6" t="str">
        <f>[1]Sheet2!FC112</f>
        <v/>
      </c>
      <c r="FC113" s="6" t="str">
        <f>[1]Sheet2!FD112</f>
        <v/>
      </c>
      <c r="FD113" s="6" t="str">
        <f>[1]Sheet2!FE112</f>
        <v/>
      </c>
      <c r="FE113" s="6" t="str">
        <f>[1]Sheet2!FF112</f>
        <v/>
      </c>
      <c r="FF113" s="6" t="str">
        <f>[1]Sheet2!FG112</f>
        <v/>
      </c>
      <c r="FG113" s="6" t="str">
        <f>[1]Sheet2!FH112</f>
        <v/>
      </c>
      <c r="FH113" s="6" t="str">
        <f>[1]Sheet2!FI112</f>
        <v/>
      </c>
      <c r="FI113" s="6" t="str">
        <f>[1]Sheet2!FJ112</f>
        <v/>
      </c>
      <c r="FJ113" s="6" t="str">
        <f>[1]Sheet2!FK112</f>
        <v/>
      </c>
      <c r="FK113" s="6" t="str">
        <f>[1]Sheet2!FL112</f>
        <v/>
      </c>
      <c r="FL113" s="6" t="str">
        <f>[1]Sheet2!FM112</f>
        <v/>
      </c>
      <c r="FM113" s="6" t="str">
        <f>[1]Sheet2!FN112</f>
        <v/>
      </c>
      <c r="FN113" s="6" t="str">
        <f>[1]Sheet2!FO112</f>
        <v/>
      </c>
      <c r="FO113" s="6" t="str">
        <f>[1]Sheet2!FP112</f>
        <v/>
      </c>
    </row>
    <row r="114" spans="1:171" x14ac:dyDescent="0.25">
      <c r="A114" s="15">
        <v>43576</v>
      </c>
      <c r="B114" s="1"/>
      <c r="C114" s="1"/>
      <c r="D114" s="1"/>
      <c r="E114" s="14">
        <f>[1]Sheet2!N113</f>
        <v>0</v>
      </c>
      <c r="F114" s="14">
        <f>[1]Sheet2!BE113</f>
        <v>0</v>
      </c>
      <c r="G114" s="14">
        <f>[1]Sheet2!CW113</f>
        <v>0</v>
      </c>
      <c r="H114" s="1"/>
      <c r="I114" s="1"/>
      <c r="J114" s="1"/>
      <c r="K114" s="16"/>
      <c r="L114" s="16">
        <f>Demand_CWRS!B$6/30</f>
        <v>136.96097796474356</v>
      </c>
      <c r="M114" s="16">
        <f>Demand_CWRS!C$6/30</f>
        <v>544.43376068376062</v>
      </c>
      <c r="N114" s="16">
        <f>Demand_CWRS!D$6/30</f>
        <v>0</v>
      </c>
      <c r="O114" s="16">
        <f>Demand_CWRS!E$6/30</f>
        <v>108.97435897435896</v>
      </c>
      <c r="P114" s="16">
        <f>Demand_CWRS!F$6/30</f>
        <v>213.3621347489316</v>
      </c>
      <c r="Q114" s="16">
        <f>Demand_CWRS!G$6/30</f>
        <v>133.33333333333334</v>
      </c>
      <c r="R114" s="16">
        <f>Demand_CWRS!H$6/30</f>
        <v>213.3621347489316</v>
      </c>
      <c r="S114" s="16">
        <f>Demand_CWRS!I$6/30</f>
        <v>213.3621347489316</v>
      </c>
      <c r="T114" s="16">
        <f>Demand_CWRS!J$6/30</f>
        <v>213.3621347489316</v>
      </c>
      <c r="U114" s="16">
        <f>Demand_CWRS!K$6/30</f>
        <v>213.3621347489316</v>
      </c>
      <c r="V114" s="16">
        <f t="shared" si="36"/>
        <v>-13355.184839079231</v>
      </c>
      <c r="W114" s="16">
        <f t="shared" si="37"/>
        <v>-44615.232051281957</v>
      </c>
      <c r="X114" s="16">
        <f t="shared" si="38"/>
        <v>0</v>
      </c>
      <c r="Y114" s="16">
        <f t="shared" si="39"/>
        <v>-3767.8662934112199</v>
      </c>
      <c r="Z114" s="16">
        <f t="shared" si="40"/>
        <v>-20590.122045931712</v>
      </c>
      <c r="AA114" s="16">
        <f t="shared" si="41"/>
        <v>-12062.060491723483</v>
      </c>
      <c r="AB114" s="16">
        <f t="shared" si="42"/>
        <v>-25071.16571580353</v>
      </c>
      <c r="AC114" s="16">
        <f t="shared" si="43"/>
        <v>-19278.155459393252</v>
      </c>
      <c r="AD114" s="16">
        <f t="shared" si="44"/>
        <v>-19378.155459393245</v>
      </c>
      <c r="AE114" s="16">
        <f t="shared" si="45"/>
        <v>-19978.155459393249</v>
      </c>
      <c r="AF114" s="14">
        <f>IF([1]Sheet2!AJ113=999999,"NA",[1]Sheet2!AJ113)</f>
        <v>0</v>
      </c>
      <c r="AG114" s="14">
        <f>IF([1]Sheet2!AK113=999999,"NA",[1]Sheet2!AK113)</f>
        <v>0</v>
      </c>
      <c r="AH114" s="14" t="str">
        <f>IF([1]Sheet2!AL113=999999,"NA",[1]Sheet2!AL113)</f>
        <v>NA</v>
      </c>
      <c r="AI114" s="14">
        <f>IF([1]Sheet2!AM113=999999,"NA",[1]Sheet2!AM113)</f>
        <v>0</v>
      </c>
      <c r="AJ114" s="14">
        <f>IF([1]Sheet2!AN113=999999,"NA",[1]Sheet2!AN113)</f>
        <v>0</v>
      </c>
      <c r="AK114" s="14">
        <f>IF([1]Sheet2!AO113=999999,"NA",[1]Sheet2!AO113)</f>
        <v>0</v>
      </c>
      <c r="AL114" s="14">
        <f>IF([1]Sheet2!AP113=999999,"NA",[1]Sheet2!AP113)</f>
        <v>0</v>
      </c>
      <c r="AM114" s="14">
        <f>IF([1]Sheet2!AQ113=999999,"NA",[1]Sheet2!AQ113)</f>
        <v>0</v>
      </c>
      <c r="AN114" s="14">
        <f>IF([1]Sheet2!AR113=999999,"NA",[1]Sheet2!AR113)</f>
        <v>0</v>
      </c>
      <c r="AO114" s="14">
        <f>IF([1]Sheet2!AS113=999999,"NA",[1]Sheet2!AS113)</f>
        <v>0</v>
      </c>
      <c r="AP114" s="14">
        <f>[1]Sheet2!P113</f>
        <v>0</v>
      </c>
      <c r="AQ114" s="14">
        <f>[1]Sheet2!Q113</f>
        <v>0</v>
      </c>
      <c r="AR114" s="14">
        <f>[1]Sheet2!R113</f>
        <v>0</v>
      </c>
      <c r="AS114" s="14">
        <f>[1]Sheet2!S113</f>
        <v>0</v>
      </c>
      <c r="AT114" s="14">
        <f>[1]Sheet2!T113</f>
        <v>0</v>
      </c>
      <c r="AU114" s="14">
        <f>[1]Sheet2!U113</f>
        <v>0</v>
      </c>
      <c r="AV114" s="14">
        <f>[1]Sheet2!V113</f>
        <v>0</v>
      </c>
      <c r="AW114" s="14">
        <f>[1]Sheet2!W113</f>
        <v>0</v>
      </c>
      <c r="AX114" s="14">
        <f>[1]Sheet2!X113</f>
        <v>0</v>
      </c>
      <c r="AY114" s="14">
        <f>[1]Sheet2!Y113</f>
        <v>0</v>
      </c>
      <c r="AZ114" s="16">
        <f>Demand_LP!B$6/30</f>
        <v>790.61612406517088</v>
      </c>
      <c r="BA114" s="16">
        <f>Demand_LP!C$6/30</f>
        <v>816.46367521367517</v>
      </c>
      <c r="BB114" s="16">
        <f>Demand_LP!D$6/30</f>
        <v>346.63461538461536</v>
      </c>
      <c r="BC114" s="16">
        <f>Demand_LP!E$6/30</f>
        <v>795.48076923076928</v>
      </c>
      <c r="BD114" s="16">
        <f>Demand_LP!F$6/30</f>
        <v>472.52230168269227</v>
      </c>
      <c r="BE114" s="16">
        <f>Demand_LP!G$6/30</f>
        <v>472.52230168269227</v>
      </c>
      <c r="BF114" s="16">
        <f>Demand_LP!H$6/30</f>
        <v>816.46367521367517</v>
      </c>
      <c r="BG114" s="16">
        <f>Demand_LP!I$6/30</f>
        <v>472.52230168269227</v>
      </c>
      <c r="BH114" s="16">
        <f>Demand_LP!J$6/30</f>
        <v>472.52230168269227</v>
      </c>
      <c r="BI114" s="16">
        <f>Demand_LP!K$6/30</f>
        <v>472.52230168269227</v>
      </c>
      <c r="BJ114" s="16">
        <f t="shared" si="46"/>
        <v>-68304.963334302025</v>
      </c>
      <c r="BK114" s="16">
        <f t="shared" si="47"/>
        <v>-62762.28076923066</v>
      </c>
      <c r="BL114" s="16">
        <f t="shared" si="48"/>
        <v>-22053.292307692343</v>
      </c>
      <c r="BM114" s="16">
        <f t="shared" si="49"/>
        <v>-73511.643573515044</v>
      </c>
      <c r="BN114" s="16">
        <f t="shared" si="50"/>
        <v>-43365.284416965849</v>
      </c>
      <c r="BO114" s="16">
        <f t="shared" si="51"/>
        <v>-41822.968335336562</v>
      </c>
      <c r="BP114" s="16">
        <f t="shared" si="52"/>
        <v>-57119.860256410197</v>
      </c>
      <c r="BQ114" s="16">
        <f t="shared" si="53"/>
        <v>-41822.968335336562</v>
      </c>
      <c r="BR114" s="16">
        <f t="shared" si="54"/>
        <v>-39422.968335336562</v>
      </c>
      <c r="BS114" s="16">
        <f t="shared" si="55"/>
        <v>-40122.968335336554</v>
      </c>
      <c r="BT114" s="14">
        <f>IF([1]Sheet2!CB113=999999,"NA",[1]Sheet2!CB113)</f>
        <v>0</v>
      </c>
      <c r="BU114" s="14">
        <f>IF([1]Sheet2!CC113=999999,"NA",[1]Sheet2!CC113)</f>
        <v>0</v>
      </c>
      <c r="BV114" s="14">
        <f>IF([1]Sheet2!CD113=999999,"NA",[1]Sheet2!CD113)</f>
        <v>0</v>
      </c>
      <c r="BW114" s="14">
        <f>IF([1]Sheet2!CE113=999999,"NA",[1]Sheet2!CE113)</f>
        <v>0</v>
      </c>
      <c r="BX114" s="14">
        <f>IF([1]Sheet2!CF113=999999,"NA",[1]Sheet2!CF113)</f>
        <v>0</v>
      </c>
      <c r="BY114" s="14">
        <f>IF([1]Sheet2!CG113=999999,"NA",[1]Sheet2!CG113)</f>
        <v>0</v>
      </c>
      <c r="BZ114" s="14">
        <f>IF([1]Sheet2!CH113=999999,"NA",[1]Sheet2!CH113)</f>
        <v>0</v>
      </c>
      <c r="CA114" s="14">
        <f>IF([1]Sheet2!CI113=999999,"NA",[1]Sheet2!CI113)</f>
        <v>0</v>
      </c>
      <c r="CB114" s="14">
        <f>IF([1]Sheet2!CJ113=999999,"NA",[1]Sheet2!CJ113)</f>
        <v>0</v>
      </c>
      <c r="CC114" s="14">
        <f>IF([1]Sheet2!CK113=999999,"NA",[1]Sheet2!CK113)</f>
        <v>0</v>
      </c>
      <c r="CD114" s="14">
        <f>[1]Sheet2!BH113</f>
        <v>0</v>
      </c>
      <c r="CE114" s="14">
        <f>[1]Sheet2!BI113</f>
        <v>0</v>
      </c>
      <c r="CF114" s="14">
        <f>[1]Sheet2!BJ113</f>
        <v>0</v>
      </c>
      <c r="CG114" s="14">
        <f>[1]Sheet2!BK113</f>
        <v>0</v>
      </c>
      <c r="CH114" s="14">
        <f>[1]Sheet2!BL113</f>
        <v>0</v>
      </c>
      <c r="CI114" s="14">
        <f>[1]Sheet2!BM113</f>
        <v>0</v>
      </c>
      <c r="CJ114" s="14">
        <f>[1]Sheet2!BN113</f>
        <v>0</v>
      </c>
      <c r="CK114" s="14">
        <f>[1]Sheet2!BO113</f>
        <v>0</v>
      </c>
      <c r="CL114" s="14">
        <f>[1]Sheet2!BP113</f>
        <v>0</v>
      </c>
      <c r="CM114" s="14">
        <f>[1]Sheet2!BQ113</f>
        <v>0</v>
      </c>
      <c r="CN114" s="16">
        <f>Demand_SW!B$6/30</f>
        <v>173.07692307692304</v>
      </c>
      <c r="CO114" s="16">
        <f>Demand_SW!C$6/30</f>
        <v>0</v>
      </c>
      <c r="CP114" s="16">
        <f>Demand_SW!D$6/30</f>
        <v>0</v>
      </c>
      <c r="CQ114" s="16">
        <f>Demand_SW!E$6/30</f>
        <v>0</v>
      </c>
      <c r="CR114" s="16">
        <f>Demand_SW!F$6/30</f>
        <v>0</v>
      </c>
      <c r="CS114" s="16">
        <f>Demand_SW!G$6/30</f>
        <v>173.07692307692304</v>
      </c>
      <c r="CT114" s="16">
        <f>Demand_SW!H$6/30</f>
        <v>0</v>
      </c>
      <c r="CU114" s="16">
        <f>Demand_SW!I$6/30</f>
        <v>0</v>
      </c>
      <c r="CV114" s="16">
        <f>Demand_SW!J$6/30</f>
        <v>0</v>
      </c>
      <c r="CW114" s="16">
        <f>Demand_SW!K$6/30</f>
        <v>0</v>
      </c>
      <c r="CX114" s="16">
        <f t="shared" si="56"/>
        <v>-9905.3846153846152</v>
      </c>
      <c r="CY114" s="16">
        <f t="shared" si="57"/>
        <v>76.923076923077133</v>
      </c>
      <c r="CZ114" s="16">
        <f t="shared" si="58"/>
        <v>0</v>
      </c>
      <c r="DA114" s="16">
        <f t="shared" si="59"/>
        <v>0</v>
      </c>
      <c r="DB114" s="16">
        <f t="shared" si="60"/>
        <v>0</v>
      </c>
      <c r="DC114" s="16">
        <f t="shared" si="61"/>
        <v>-9434.6153846153829</v>
      </c>
      <c r="DD114" s="16">
        <f t="shared" si="62"/>
        <v>76.923076923077133</v>
      </c>
      <c r="DE114" s="16">
        <f t="shared" si="63"/>
        <v>0</v>
      </c>
      <c r="DF114" s="16">
        <f t="shared" si="64"/>
        <v>0</v>
      </c>
      <c r="DG114" s="16">
        <f t="shared" si="65"/>
        <v>0</v>
      </c>
      <c r="DH114" s="14">
        <f>IF([1]Sheet2!DS113=999999,"NA",[1]Sheet2!DS113)</f>
        <v>0</v>
      </c>
      <c r="DI114" s="14">
        <f>IF([1]Sheet2!DT113=999999,"NA",[1]Sheet2!DT113)</f>
        <v>254</v>
      </c>
      <c r="DJ114" s="14" t="str">
        <f>IF([1]Sheet2!DU113=999999,"NA",[1]Sheet2!DU113)</f>
        <v>NA</v>
      </c>
      <c r="DK114" s="14" t="str">
        <f>IF([1]Sheet2!DV113=999999,"NA",[1]Sheet2!DV113)</f>
        <v>NA</v>
      </c>
      <c r="DL114" s="14" t="str">
        <f>IF([1]Sheet2!DW113=999999,"NA",[1]Sheet2!DW113)</f>
        <v>NA</v>
      </c>
      <c r="DM114" s="14">
        <f>IF([1]Sheet2!DX113=999999,"NA",[1]Sheet2!DX113)</f>
        <v>0</v>
      </c>
      <c r="DN114" s="14">
        <f>IF([1]Sheet2!DY113=999999,"NA",[1]Sheet2!DY113)</f>
        <v>254</v>
      </c>
      <c r="DO114" s="14" t="str">
        <f>IF([1]Sheet2!DZ113=999999,"NA",[1]Sheet2!DZ113)</f>
        <v>NA</v>
      </c>
      <c r="DP114" s="14" t="str">
        <f>IF([1]Sheet2!EA113=999999,"NA",[1]Sheet2!EA113)</f>
        <v>NA</v>
      </c>
      <c r="DQ114" s="14" t="str">
        <f>IF([1]Sheet2!EB113=999999,"NA",[1]Sheet2!EB113)</f>
        <v>NA</v>
      </c>
      <c r="DR114" s="14">
        <f>[1]Sheet2!CY113</f>
        <v>0</v>
      </c>
      <c r="DS114" s="14">
        <f>[1]Sheet2!CZ113</f>
        <v>0</v>
      </c>
      <c r="DT114" s="14">
        <f>[1]Sheet2!DA113</f>
        <v>0</v>
      </c>
      <c r="DU114" s="14">
        <f>[1]Sheet2!DB113</f>
        <v>0</v>
      </c>
      <c r="DV114" s="14">
        <f>[1]Sheet2!DC113</f>
        <v>0</v>
      </c>
      <c r="DW114" s="14">
        <f>[1]Sheet2!DD113</f>
        <v>0</v>
      </c>
      <c r="DX114" s="14">
        <f>[1]Sheet2!DE113</f>
        <v>0</v>
      </c>
      <c r="DY114" s="14">
        <f>[1]Sheet2!DF113</f>
        <v>0</v>
      </c>
      <c r="DZ114" s="14">
        <f>[1]Sheet2!DG113</f>
        <v>0</v>
      </c>
      <c r="EA114" s="14">
        <f>[1]Sheet2!DH113</f>
        <v>0</v>
      </c>
      <c r="EB114" s="6">
        <f>[1]Sheet2!EC113</f>
        <v>0</v>
      </c>
      <c r="EC114" s="6">
        <f>[1]Sheet2!ED113</f>
        <v>0</v>
      </c>
      <c r="ED114" s="6">
        <f>[1]Sheet2!EE113</f>
        <v>0</v>
      </c>
      <c r="EE114" s="6">
        <f>[1]Sheet2!EF113</f>
        <v>0</v>
      </c>
      <c r="EF114" s="6">
        <f>[1]Sheet2!EG113</f>
        <v>0</v>
      </c>
      <c r="EG114" s="6">
        <f>[1]Sheet2!EH113</f>
        <v>0</v>
      </c>
      <c r="EH114" s="6">
        <f>[1]Sheet2!EI113</f>
        <v>0</v>
      </c>
      <c r="EI114" s="6">
        <f>[1]Sheet2!EJ113</f>
        <v>0</v>
      </c>
      <c r="EJ114" s="6">
        <f>[1]Sheet2!EK113</f>
        <v>0</v>
      </c>
      <c r="EK114" s="6">
        <f>[1]Sheet2!EL113</f>
        <v>0</v>
      </c>
      <c r="EL114" s="6" t="str">
        <f>[1]Sheet2!EM113</f>
        <v/>
      </c>
      <c r="EM114" s="6" t="str">
        <f>[1]Sheet2!EN113</f>
        <v/>
      </c>
      <c r="EN114" s="6" t="str">
        <f>[1]Sheet2!EO113</f>
        <v/>
      </c>
      <c r="EO114" s="6" t="str">
        <f>[1]Sheet2!EP113</f>
        <v/>
      </c>
      <c r="EP114" s="6" t="str">
        <f>[1]Sheet2!EQ113</f>
        <v/>
      </c>
      <c r="EQ114" s="6" t="str">
        <f>[1]Sheet2!ER113</f>
        <v/>
      </c>
      <c r="ER114" s="6" t="str">
        <f>[1]Sheet2!ES113</f>
        <v/>
      </c>
      <c r="ES114" s="6" t="str">
        <f>[1]Sheet2!ET113</f>
        <v/>
      </c>
      <c r="ET114" s="6" t="str">
        <f>[1]Sheet2!EU113</f>
        <v/>
      </c>
      <c r="EU114" s="6" t="str">
        <f>[1]Sheet2!EV113</f>
        <v/>
      </c>
      <c r="EV114" s="6" t="str">
        <f>[1]Sheet2!EW113</f>
        <v/>
      </c>
      <c r="EW114" s="6" t="str">
        <f>[1]Sheet2!EX113</f>
        <v/>
      </c>
      <c r="EX114" s="6" t="str">
        <f>[1]Sheet2!EY113</f>
        <v/>
      </c>
      <c r="EY114" s="6" t="str">
        <f>[1]Sheet2!EZ113</f>
        <v/>
      </c>
      <c r="EZ114" s="6" t="str">
        <f>[1]Sheet2!FA113</f>
        <v/>
      </c>
      <c r="FA114" s="6" t="str">
        <f>[1]Sheet2!FB113</f>
        <v/>
      </c>
      <c r="FB114" s="6" t="str">
        <f>[1]Sheet2!FC113</f>
        <v/>
      </c>
      <c r="FC114" s="6" t="str">
        <f>[1]Sheet2!FD113</f>
        <v/>
      </c>
      <c r="FD114" s="6" t="str">
        <f>[1]Sheet2!FE113</f>
        <v/>
      </c>
      <c r="FE114" s="6" t="str">
        <f>[1]Sheet2!FF113</f>
        <v/>
      </c>
      <c r="FF114" s="6" t="str">
        <f>[1]Sheet2!FG113</f>
        <v/>
      </c>
      <c r="FG114" s="6" t="str">
        <f>[1]Sheet2!FH113</f>
        <v/>
      </c>
      <c r="FH114" s="6" t="str">
        <f>[1]Sheet2!FI113</f>
        <v/>
      </c>
      <c r="FI114" s="6" t="str">
        <f>[1]Sheet2!FJ113</f>
        <v/>
      </c>
      <c r="FJ114" s="6" t="str">
        <f>[1]Sheet2!FK113</f>
        <v/>
      </c>
      <c r="FK114" s="6" t="str">
        <f>[1]Sheet2!FL113</f>
        <v/>
      </c>
      <c r="FL114" s="6" t="str">
        <f>[1]Sheet2!FM113</f>
        <v/>
      </c>
      <c r="FM114" s="6" t="str">
        <f>[1]Sheet2!FN113</f>
        <v/>
      </c>
      <c r="FN114" s="6" t="str">
        <f>[1]Sheet2!FO113</f>
        <v/>
      </c>
      <c r="FO114" s="6" t="str">
        <f>[1]Sheet2!FP113</f>
        <v/>
      </c>
    </row>
    <row r="115" spans="1:171" x14ac:dyDescent="0.25">
      <c r="A115" s="15">
        <v>43577</v>
      </c>
      <c r="B115" s="1"/>
      <c r="C115" s="1"/>
      <c r="D115" s="1"/>
      <c r="E115" s="14">
        <f>[1]Sheet2!N114</f>
        <v>0</v>
      </c>
      <c r="F115" s="14">
        <f>[1]Sheet2!BE114</f>
        <v>0</v>
      </c>
      <c r="G115" s="14">
        <f>[1]Sheet2!CW114</f>
        <v>0</v>
      </c>
      <c r="H115" s="1"/>
      <c r="I115" s="1"/>
      <c r="J115" s="1"/>
      <c r="K115" s="16"/>
      <c r="L115" s="16">
        <f>Demand_CWRS!B$6/30</f>
        <v>136.96097796474356</v>
      </c>
      <c r="M115" s="16">
        <f>Demand_CWRS!C$6/30</f>
        <v>544.43376068376062</v>
      </c>
      <c r="N115" s="16">
        <f>Demand_CWRS!D$6/30</f>
        <v>0</v>
      </c>
      <c r="O115" s="16">
        <f>Demand_CWRS!E$6/30</f>
        <v>108.97435897435896</v>
      </c>
      <c r="P115" s="16">
        <f>Demand_CWRS!F$6/30</f>
        <v>213.3621347489316</v>
      </c>
      <c r="Q115" s="16">
        <f>Demand_CWRS!G$6/30</f>
        <v>133.33333333333334</v>
      </c>
      <c r="R115" s="16">
        <f>Demand_CWRS!H$6/30</f>
        <v>213.3621347489316</v>
      </c>
      <c r="S115" s="16">
        <f>Demand_CWRS!I$6/30</f>
        <v>213.3621347489316</v>
      </c>
      <c r="T115" s="16">
        <f>Demand_CWRS!J$6/30</f>
        <v>213.3621347489316</v>
      </c>
      <c r="U115" s="16">
        <f>Demand_CWRS!K$6/30</f>
        <v>213.3621347489316</v>
      </c>
      <c r="V115" s="16">
        <f t="shared" si="36"/>
        <v>-13492.145817043975</v>
      </c>
      <c r="W115" s="16">
        <f t="shared" si="37"/>
        <v>-45159.665811965715</v>
      </c>
      <c r="X115" s="16">
        <f t="shared" si="38"/>
        <v>0</v>
      </c>
      <c r="Y115" s="16">
        <f t="shared" si="39"/>
        <v>-3876.8406523855788</v>
      </c>
      <c r="Z115" s="16">
        <f t="shared" si="40"/>
        <v>-20803.484180680643</v>
      </c>
      <c r="AA115" s="16">
        <f t="shared" si="41"/>
        <v>-12195.393825056817</v>
      </c>
      <c r="AB115" s="16">
        <f t="shared" si="42"/>
        <v>-25284.527850552462</v>
      </c>
      <c r="AC115" s="16">
        <f t="shared" si="43"/>
        <v>-19491.517594142184</v>
      </c>
      <c r="AD115" s="16">
        <f t="shared" si="44"/>
        <v>-19591.517594142177</v>
      </c>
      <c r="AE115" s="16">
        <f t="shared" si="45"/>
        <v>-20191.51759414218</v>
      </c>
      <c r="AF115" s="14">
        <f>IF([1]Sheet2!AJ114=999999,"NA",[1]Sheet2!AJ114)</f>
        <v>0</v>
      </c>
      <c r="AG115" s="14">
        <f>IF([1]Sheet2!AK114=999999,"NA",[1]Sheet2!AK114)</f>
        <v>0</v>
      </c>
      <c r="AH115" s="14" t="str">
        <f>IF([1]Sheet2!AL114=999999,"NA",[1]Sheet2!AL114)</f>
        <v>NA</v>
      </c>
      <c r="AI115" s="14">
        <f>IF([1]Sheet2!AM114=999999,"NA",[1]Sheet2!AM114)</f>
        <v>0</v>
      </c>
      <c r="AJ115" s="14">
        <f>IF([1]Sheet2!AN114=999999,"NA",[1]Sheet2!AN114)</f>
        <v>0</v>
      </c>
      <c r="AK115" s="14">
        <f>IF([1]Sheet2!AO114=999999,"NA",[1]Sheet2!AO114)</f>
        <v>0</v>
      </c>
      <c r="AL115" s="14">
        <f>IF([1]Sheet2!AP114=999999,"NA",[1]Sheet2!AP114)</f>
        <v>0</v>
      </c>
      <c r="AM115" s="14">
        <f>IF([1]Sheet2!AQ114=999999,"NA",[1]Sheet2!AQ114)</f>
        <v>0</v>
      </c>
      <c r="AN115" s="14">
        <f>IF([1]Sheet2!AR114=999999,"NA",[1]Sheet2!AR114)</f>
        <v>0</v>
      </c>
      <c r="AO115" s="14">
        <f>IF([1]Sheet2!AS114=999999,"NA",[1]Sheet2!AS114)</f>
        <v>0</v>
      </c>
      <c r="AP115" s="14">
        <f>[1]Sheet2!P114</f>
        <v>0</v>
      </c>
      <c r="AQ115" s="14">
        <f>[1]Sheet2!Q114</f>
        <v>0</v>
      </c>
      <c r="AR115" s="14">
        <f>[1]Sheet2!R114</f>
        <v>0</v>
      </c>
      <c r="AS115" s="14">
        <f>[1]Sheet2!S114</f>
        <v>0</v>
      </c>
      <c r="AT115" s="14">
        <f>[1]Sheet2!T114</f>
        <v>0</v>
      </c>
      <c r="AU115" s="14">
        <f>[1]Sheet2!U114</f>
        <v>0</v>
      </c>
      <c r="AV115" s="14">
        <f>[1]Sheet2!V114</f>
        <v>0</v>
      </c>
      <c r="AW115" s="14">
        <f>[1]Sheet2!W114</f>
        <v>0</v>
      </c>
      <c r="AX115" s="14">
        <f>[1]Sheet2!X114</f>
        <v>0</v>
      </c>
      <c r="AY115" s="14">
        <f>[1]Sheet2!Y114</f>
        <v>0</v>
      </c>
      <c r="AZ115" s="16">
        <f>Demand_LP!B$6/30</f>
        <v>790.61612406517088</v>
      </c>
      <c r="BA115" s="16">
        <f>Demand_LP!C$6/30</f>
        <v>816.46367521367517</v>
      </c>
      <c r="BB115" s="16">
        <f>Demand_LP!D$6/30</f>
        <v>346.63461538461536</v>
      </c>
      <c r="BC115" s="16">
        <f>Demand_LP!E$6/30</f>
        <v>795.48076923076928</v>
      </c>
      <c r="BD115" s="16">
        <f>Demand_LP!F$6/30</f>
        <v>472.52230168269227</v>
      </c>
      <c r="BE115" s="16">
        <f>Demand_LP!G$6/30</f>
        <v>472.52230168269227</v>
      </c>
      <c r="BF115" s="16">
        <f>Demand_LP!H$6/30</f>
        <v>816.46367521367517</v>
      </c>
      <c r="BG115" s="16">
        <f>Demand_LP!I$6/30</f>
        <v>472.52230168269227</v>
      </c>
      <c r="BH115" s="16">
        <f>Demand_LP!J$6/30</f>
        <v>472.52230168269227</v>
      </c>
      <c r="BI115" s="16">
        <f>Demand_LP!K$6/30</f>
        <v>472.52230168269227</v>
      </c>
      <c r="BJ115" s="16">
        <f t="shared" si="46"/>
        <v>-69095.579458367196</v>
      </c>
      <c r="BK115" s="16">
        <f t="shared" si="47"/>
        <v>-63578.744444444332</v>
      </c>
      <c r="BL115" s="16">
        <f t="shared" si="48"/>
        <v>-22399.926923076961</v>
      </c>
      <c r="BM115" s="16">
        <f t="shared" si="49"/>
        <v>-74307.12434274581</v>
      </c>
      <c r="BN115" s="16">
        <f t="shared" si="50"/>
        <v>-43837.806718648542</v>
      </c>
      <c r="BO115" s="16">
        <f t="shared" si="51"/>
        <v>-42295.490637019255</v>
      </c>
      <c r="BP115" s="16">
        <f t="shared" si="52"/>
        <v>-57936.323931623869</v>
      </c>
      <c r="BQ115" s="16">
        <f t="shared" si="53"/>
        <v>-42295.490637019255</v>
      </c>
      <c r="BR115" s="16">
        <f t="shared" si="54"/>
        <v>-39895.490637019255</v>
      </c>
      <c r="BS115" s="16">
        <f t="shared" si="55"/>
        <v>-40595.490637019248</v>
      </c>
      <c r="BT115" s="14">
        <f>IF([1]Sheet2!CB114=999999,"NA",[1]Sheet2!CB114)</f>
        <v>0</v>
      </c>
      <c r="BU115" s="14">
        <f>IF([1]Sheet2!CC114=999999,"NA",[1]Sheet2!CC114)</f>
        <v>0</v>
      </c>
      <c r="BV115" s="14">
        <f>IF([1]Sheet2!CD114=999999,"NA",[1]Sheet2!CD114)</f>
        <v>0</v>
      </c>
      <c r="BW115" s="14">
        <f>IF([1]Sheet2!CE114=999999,"NA",[1]Sheet2!CE114)</f>
        <v>0</v>
      </c>
      <c r="BX115" s="14">
        <f>IF([1]Sheet2!CF114=999999,"NA",[1]Sheet2!CF114)</f>
        <v>0</v>
      </c>
      <c r="BY115" s="14">
        <f>IF([1]Sheet2!CG114=999999,"NA",[1]Sheet2!CG114)</f>
        <v>0</v>
      </c>
      <c r="BZ115" s="14">
        <f>IF([1]Sheet2!CH114=999999,"NA",[1]Sheet2!CH114)</f>
        <v>0</v>
      </c>
      <c r="CA115" s="14">
        <f>IF([1]Sheet2!CI114=999999,"NA",[1]Sheet2!CI114)</f>
        <v>0</v>
      </c>
      <c r="CB115" s="14">
        <f>IF([1]Sheet2!CJ114=999999,"NA",[1]Sheet2!CJ114)</f>
        <v>0</v>
      </c>
      <c r="CC115" s="14">
        <f>IF([1]Sheet2!CK114=999999,"NA",[1]Sheet2!CK114)</f>
        <v>0</v>
      </c>
      <c r="CD115" s="14">
        <f>[1]Sheet2!BH114</f>
        <v>0</v>
      </c>
      <c r="CE115" s="14">
        <f>[1]Sheet2!BI114</f>
        <v>0</v>
      </c>
      <c r="CF115" s="14">
        <f>[1]Sheet2!BJ114</f>
        <v>0</v>
      </c>
      <c r="CG115" s="14">
        <f>[1]Sheet2!BK114</f>
        <v>0</v>
      </c>
      <c r="CH115" s="14">
        <f>[1]Sheet2!BL114</f>
        <v>0</v>
      </c>
      <c r="CI115" s="14">
        <f>[1]Sheet2!BM114</f>
        <v>0</v>
      </c>
      <c r="CJ115" s="14">
        <f>[1]Sheet2!BN114</f>
        <v>0</v>
      </c>
      <c r="CK115" s="14">
        <f>[1]Sheet2!BO114</f>
        <v>0</v>
      </c>
      <c r="CL115" s="14">
        <f>[1]Sheet2!BP114</f>
        <v>0</v>
      </c>
      <c r="CM115" s="14">
        <f>[1]Sheet2!BQ114</f>
        <v>0</v>
      </c>
      <c r="CN115" s="16">
        <f>Demand_SW!B$6/30</f>
        <v>173.07692307692304</v>
      </c>
      <c r="CO115" s="16">
        <f>Demand_SW!C$6/30</f>
        <v>0</v>
      </c>
      <c r="CP115" s="16">
        <f>Demand_SW!D$6/30</f>
        <v>0</v>
      </c>
      <c r="CQ115" s="16">
        <f>Demand_SW!E$6/30</f>
        <v>0</v>
      </c>
      <c r="CR115" s="16">
        <f>Demand_SW!F$6/30</f>
        <v>0</v>
      </c>
      <c r="CS115" s="16">
        <f>Demand_SW!G$6/30</f>
        <v>173.07692307692304</v>
      </c>
      <c r="CT115" s="16">
        <f>Demand_SW!H$6/30</f>
        <v>0</v>
      </c>
      <c r="CU115" s="16">
        <f>Demand_SW!I$6/30</f>
        <v>0</v>
      </c>
      <c r="CV115" s="16">
        <f>Demand_SW!J$6/30</f>
        <v>0</v>
      </c>
      <c r="CW115" s="16">
        <f>Demand_SW!K$6/30</f>
        <v>0</v>
      </c>
      <c r="CX115" s="16">
        <f t="shared" si="56"/>
        <v>-10078.461538461539</v>
      </c>
      <c r="CY115" s="16">
        <f t="shared" si="57"/>
        <v>76.923076923077133</v>
      </c>
      <c r="CZ115" s="16">
        <f t="shared" si="58"/>
        <v>0</v>
      </c>
      <c r="DA115" s="16">
        <f t="shared" si="59"/>
        <v>0</v>
      </c>
      <c r="DB115" s="16">
        <f t="shared" si="60"/>
        <v>0</v>
      </c>
      <c r="DC115" s="16">
        <f t="shared" si="61"/>
        <v>-9607.6923076923067</v>
      </c>
      <c r="DD115" s="16">
        <f t="shared" si="62"/>
        <v>76.923076923077133</v>
      </c>
      <c r="DE115" s="16">
        <f t="shared" si="63"/>
        <v>0</v>
      </c>
      <c r="DF115" s="16">
        <f t="shared" si="64"/>
        <v>0</v>
      </c>
      <c r="DG115" s="16">
        <f t="shared" si="65"/>
        <v>0</v>
      </c>
      <c r="DH115" s="14">
        <f>IF([1]Sheet2!DS114=999999,"NA",[1]Sheet2!DS114)</f>
        <v>0</v>
      </c>
      <c r="DI115" s="14">
        <f>IF([1]Sheet2!DT114=999999,"NA",[1]Sheet2!DT114)</f>
        <v>253</v>
      </c>
      <c r="DJ115" s="14" t="str">
        <f>IF([1]Sheet2!DU114=999999,"NA",[1]Sheet2!DU114)</f>
        <v>NA</v>
      </c>
      <c r="DK115" s="14" t="str">
        <f>IF([1]Sheet2!DV114=999999,"NA",[1]Sheet2!DV114)</f>
        <v>NA</v>
      </c>
      <c r="DL115" s="14" t="str">
        <f>IF([1]Sheet2!DW114=999999,"NA",[1]Sheet2!DW114)</f>
        <v>NA</v>
      </c>
      <c r="DM115" s="14">
        <f>IF([1]Sheet2!DX114=999999,"NA",[1]Sheet2!DX114)</f>
        <v>0</v>
      </c>
      <c r="DN115" s="14">
        <f>IF([1]Sheet2!DY114=999999,"NA",[1]Sheet2!DY114)</f>
        <v>253</v>
      </c>
      <c r="DO115" s="14" t="str">
        <f>IF([1]Sheet2!DZ114=999999,"NA",[1]Sheet2!DZ114)</f>
        <v>NA</v>
      </c>
      <c r="DP115" s="14" t="str">
        <f>IF([1]Sheet2!EA114=999999,"NA",[1]Sheet2!EA114)</f>
        <v>NA</v>
      </c>
      <c r="DQ115" s="14" t="str">
        <f>IF([1]Sheet2!EB114=999999,"NA",[1]Sheet2!EB114)</f>
        <v>NA</v>
      </c>
      <c r="DR115" s="14">
        <f>[1]Sheet2!CY114</f>
        <v>0</v>
      </c>
      <c r="DS115" s="14">
        <f>[1]Sheet2!CZ114</f>
        <v>0</v>
      </c>
      <c r="DT115" s="14">
        <f>[1]Sheet2!DA114</f>
        <v>0</v>
      </c>
      <c r="DU115" s="14">
        <f>[1]Sheet2!DB114</f>
        <v>0</v>
      </c>
      <c r="DV115" s="14">
        <f>[1]Sheet2!DC114</f>
        <v>0</v>
      </c>
      <c r="DW115" s="14">
        <f>[1]Sheet2!DD114</f>
        <v>0</v>
      </c>
      <c r="DX115" s="14">
        <f>[1]Sheet2!DE114</f>
        <v>0</v>
      </c>
      <c r="DY115" s="14">
        <f>[1]Sheet2!DF114</f>
        <v>0</v>
      </c>
      <c r="DZ115" s="14">
        <f>[1]Sheet2!DG114</f>
        <v>0</v>
      </c>
      <c r="EA115" s="14">
        <f>[1]Sheet2!DH114</f>
        <v>0</v>
      </c>
      <c r="EB115" s="6">
        <f>[1]Sheet2!EC114</f>
        <v>0</v>
      </c>
      <c r="EC115" s="6">
        <f>[1]Sheet2!ED114</f>
        <v>0</v>
      </c>
      <c r="ED115" s="6">
        <f>[1]Sheet2!EE114</f>
        <v>0</v>
      </c>
      <c r="EE115" s="6">
        <f>[1]Sheet2!EF114</f>
        <v>0</v>
      </c>
      <c r="EF115" s="6">
        <f>[1]Sheet2!EG114</f>
        <v>0</v>
      </c>
      <c r="EG115" s="6">
        <f>[1]Sheet2!EH114</f>
        <v>0</v>
      </c>
      <c r="EH115" s="6">
        <f>[1]Sheet2!EI114</f>
        <v>0</v>
      </c>
      <c r="EI115" s="6">
        <f>[1]Sheet2!EJ114</f>
        <v>0</v>
      </c>
      <c r="EJ115" s="6">
        <f>[1]Sheet2!EK114</f>
        <v>0</v>
      </c>
      <c r="EK115" s="6">
        <f>[1]Sheet2!EL114</f>
        <v>0</v>
      </c>
      <c r="EL115" s="6" t="str">
        <f>[1]Sheet2!EM114</f>
        <v/>
      </c>
      <c r="EM115" s="6" t="str">
        <f>[1]Sheet2!EN114</f>
        <v/>
      </c>
      <c r="EN115" s="6" t="str">
        <f>[1]Sheet2!EO114</f>
        <v/>
      </c>
      <c r="EO115" s="6" t="str">
        <f>[1]Sheet2!EP114</f>
        <v/>
      </c>
      <c r="EP115" s="6" t="str">
        <f>[1]Sheet2!EQ114</f>
        <v/>
      </c>
      <c r="EQ115" s="6" t="str">
        <f>[1]Sheet2!ER114</f>
        <v/>
      </c>
      <c r="ER115" s="6" t="str">
        <f>[1]Sheet2!ES114</f>
        <v/>
      </c>
      <c r="ES115" s="6" t="str">
        <f>[1]Sheet2!ET114</f>
        <v/>
      </c>
      <c r="ET115" s="6" t="str">
        <f>[1]Sheet2!EU114</f>
        <v/>
      </c>
      <c r="EU115" s="6" t="str">
        <f>[1]Sheet2!EV114</f>
        <v/>
      </c>
      <c r="EV115" s="6" t="str">
        <f>[1]Sheet2!EW114</f>
        <v/>
      </c>
      <c r="EW115" s="6" t="str">
        <f>[1]Sheet2!EX114</f>
        <v/>
      </c>
      <c r="EX115" s="6" t="str">
        <f>[1]Sheet2!EY114</f>
        <v/>
      </c>
      <c r="EY115" s="6" t="str">
        <f>[1]Sheet2!EZ114</f>
        <v/>
      </c>
      <c r="EZ115" s="6" t="str">
        <f>[1]Sheet2!FA114</f>
        <v/>
      </c>
      <c r="FA115" s="6" t="str">
        <f>[1]Sheet2!FB114</f>
        <v/>
      </c>
      <c r="FB115" s="6" t="str">
        <f>[1]Sheet2!FC114</f>
        <v/>
      </c>
      <c r="FC115" s="6" t="str">
        <f>[1]Sheet2!FD114</f>
        <v/>
      </c>
      <c r="FD115" s="6" t="str">
        <f>[1]Sheet2!FE114</f>
        <v/>
      </c>
      <c r="FE115" s="6" t="str">
        <f>[1]Sheet2!FF114</f>
        <v/>
      </c>
      <c r="FF115" s="6" t="str">
        <f>[1]Sheet2!FG114</f>
        <v/>
      </c>
      <c r="FG115" s="6" t="str">
        <f>[1]Sheet2!FH114</f>
        <v/>
      </c>
      <c r="FH115" s="6" t="str">
        <f>[1]Sheet2!FI114</f>
        <v/>
      </c>
      <c r="FI115" s="6" t="str">
        <f>[1]Sheet2!FJ114</f>
        <v/>
      </c>
      <c r="FJ115" s="6" t="str">
        <f>[1]Sheet2!FK114</f>
        <v/>
      </c>
      <c r="FK115" s="6" t="str">
        <f>[1]Sheet2!FL114</f>
        <v/>
      </c>
      <c r="FL115" s="6" t="str">
        <f>[1]Sheet2!FM114</f>
        <v/>
      </c>
      <c r="FM115" s="6" t="str">
        <f>[1]Sheet2!FN114</f>
        <v/>
      </c>
      <c r="FN115" s="6" t="str">
        <f>[1]Sheet2!FO114</f>
        <v/>
      </c>
      <c r="FO115" s="6" t="str">
        <f>[1]Sheet2!FP114</f>
        <v/>
      </c>
    </row>
    <row r="116" spans="1:171" x14ac:dyDescent="0.25">
      <c r="A116" s="15">
        <v>43578</v>
      </c>
      <c r="B116" s="1"/>
      <c r="C116" s="1"/>
      <c r="D116" s="1"/>
      <c r="E116" s="14">
        <f>[1]Sheet2!N115</f>
        <v>0</v>
      </c>
      <c r="F116" s="14">
        <f>[1]Sheet2!BE115</f>
        <v>48000</v>
      </c>
      <c r="G116" s="14">
        <f>[1]Sheet2!CW115</f>
        <v>0</v>
      </c>
      <c r="H116" s="1"/>
      <c r="I116" s="1"/>
      <c r="J116" s="1"/>
      <c r="K116" s="16"/>
      <c r="L116" s="16">
        <f>Demand_CWRS!B$6/30</f>
        <v>136.96097796474356</v>
      </c>
      <c r="M116" s="16">
        <f>Demand_CWRS!C$6/30</f>
        <v>544.43376068376062</v>
      </c>
      <c r="N116" s="16">
        <f>Demand_CWRS!D$6/30</f>
        <v>0</v>
      </c>
      <c r="O116" s="16">
        <f>Demand_CWRS!E$6/30</f>
        <v>108.97435897435896</v>
      </c>
      <c r="P116" s="16">
        <f>Demand_CWRS!F$6/30</f>
        <v>213.3621347489316</v>
      </c>
      <c r="Q116" s="16">
        <f>Demand_CWRS!G$6/30</f>
        <v>133.33333333333334</v>
      </c>
      <c r="R116" s="16">
        <f>Demand_CWRS!H$6/30</f>
        <v>213.3621347489316</v>
      </c>
      <c r="S116" s="16">
        <f>Demand_CWRS!I$6/30</f>
        <v>213.3621347489316</v>
      </c>
      <c r="T116" s="16">
        <f>Demand_CWRS!J$6/30</f>
        <v>213.3621347489316</v>
      </c>
      <c r="U116" s="16">
        <f>Demand_CWRS!K$6/30</f>
        <v>213.3621347489316</v>
      </c>
      <c r="V116" s="16">
        <f t="shared" si="36"/>
        <v>-13629.106795008718</v>
      </c>
      <c r="W116" s="16">
        <f t="shared" si="37"/>
        <v>-45704.099572649473</v>
      </c>
      <c r="X116" s="16">
        <f t="shared" si="38"/>
        <v>0</v>
      </c>
      <c r="Y116" s="16">
        <f t="shared" si="39"/>
        <v>-3985.8150113599377</v>
      </c>
      <c r="Z116" s="16">
        <f t="shared" si="40"/>
        <v>-21016.846315429575</v>
      </c>
      <c r="AA116" s="16">
        <f t="shared" si="41"/>
        <v>-12328.727158390151</v>
      </c>
      <c r="AB116" s="16">
        <f t="shared" si="42"/>
        <v>-25497.889985301394</v>
      </c>
      <c r="AC116" s="16">
        <f t="shared" si="43"/>
        <v>-19704.879728891116</v>
      </c>
      <c r="AD116" s="16">
        <f t="shared" si="44"/>
        <v>-19804.879728891108</v>
      </c>
      <c r="AE116" s="16">
        <f t="shared" si="45"/>
        <v>-20404.879728891112</v>
      </c>
      <c r="AF116" s="14">
        <f>IF([1]Sheet2!AJ115=999999,"NA",[1]Sheet2!AJ115)</f>
        <v>0</v>
      </c>
      <c r="AG116" s="14">
        <f>IF([1]Sheet2!AK115=999999,"NA",[1]Sheet2!AK115)</f>
        <v>0</v>
      </c>
      <c r="AH116" s="14" t="str">
        <f>IF([1]Sheet2!AL115=999999,"NA",[1]Sheet2!AL115)</f>
        <v>NA</v>
      </c>
      <c r="AI116" s="14">
        <f>IF([1]Sheet2!AM115=999999,"NA",[1]Sheet2!AM115)</f>
        <v>0</v>
      </c>
      <c r="AJ116" s="14">
        <f>IF([1]Sheet2!AN115=999999,"NA",[1]Sheet2!AN115)</f>
        <v>0</v>
      </c>
      <c r="AK116" s="14">
        <f>IF([1]Sheet2!AO115=999999,"NA",[1]Sheet2!AO115)</f>
        <v>0</v>
      </c>
      <c r="AL116" s="14">
        <f>IF([1]Sheet2!AP115=999999,"NA",[1]Sheet2!AP115)</f>
        <v>0</v>
      </c>
      <c r="AM116" s="14">
        <f>IF([1]Sheet2!AQ115=999999,"NA",[1]Sheet2!AQ115)</f>
        <v>0</v>
      </c>
      <c r="AN116" s="14">
        <f>IF([1]Sheet2!AR115=999999,"NA",[1]Sheet2!AR115)</f>
        <v>0</v>
      </c>
      <c r="AO116" s="14">
        <f>IF([1]Sheet2!AS115=999999,"NA",[1]Sheet2!AS115)</f>
        <v>0</v>
      </c>
      <c r="AP116" s="14">
        <f>[1]Sheet2!P115</f>
        <v>0</v>
      </c>
      <c r="AQ116" s="14">
        <f>[1]Sheet2!Q115</f>
        <v>0</v>
      </c>
      <c r="AR116" s="14">
        <f>[1]Sheet2!R115</f>
        <v>0</v>
      </c>
      <c r="AS116" s="14">
        <f>[1]Sheet2!S115</f>
        <v>0</v>
      </c>
      <c r="AT116" s="14">
        <f>[1]Sheet2!T115</f>
        <v>0</v>
      </c>
      <c r="AU116" s="14">
        <f>[1]Sheet2!U115</f>
        <v>0</v>
      </c>
      <c r="AV116" s="14">
        <f>[1]Sheet2!V115</f>
        <v>0</v>
      </c>
      <c r="AW116" s="14">
        <f>[1]Sheet2!W115</f>
        <v>0</v>
      </c>
      <c r="AX116" s="14">
        <f>[1]Sheet2!X115</f>
        <v>0</v>
      </c>
      <c r="AY116" s="14">
        <f>[1]Sheet2!Y115</f>
        <v>0</v>
      </c>
      <c r="AZ116" s="16">
        <f>Demand_LP!B$6/30</f>
        <v>790.61612406517088</v>
      </c>
      <c r="BA116" s="16">
        <f>Demand_LP!C$6/30</f>
        <v>816.46367521367517</v>
      </c>
      <c r="BB116" s="16">
        <f>Demand_LP!D$6/30</f>
        <v>346.63461538461536</v>
      </c>
      <c r="BC116" s="16">
        <f>Demand_LP!E$6/30</f>
        <v>795.48076923076928</v>
      </c>
      <c r="BD116" s="16">
        <f>Demand_LP!F$6/30</f>
        <v>472.52230168269227</v>
      </c>
      <c r="BE116" s="16">
        <f>Demand_LP!G$6/30</f>
        <v>472.52230168269227</v>
      </c>
      <c r="BF116" s="16">
        <f>Demand_LP!H$6/30</f>
        <v>816.46367521367517</v>
      </c>
      <c r="BG116" s="16">
        <f>Demand_LP!I$6/30</f>
        <v>472.52230168269227</v>
      </c>
      <c r="BH116" s="16">
        <f>Demand_LP!J$6/30</f>
        <v>472.52230168269227</v>
      </c>
      <c r="BI116" s="16">
        <f>Demand_LP!K$6/30</f>
        <v>472.52230168269227</v>
      </c>
      <c r="BJ116" s="16">
        <f t="shared" si="46"/>
        <v>-69886.195582432367</v>
      </c>
      <c r="BK116" s="16">
        <f t="shared" si="47"/>
        <v>-64395.208119658004</v>
      </c>
      <c r="BL116" s="16">
        <f t="shared" si="48"/>
        <v>-22746.561538461578</v>
      </c>
      <c r="BM116" s="16">
        <f t="shared" si="49"/>
        <v>-75102.605111976576</v>
      </c>
      <c r="BN116" s="16">
        <f t="shared" si="50"/>
        <v>-44310.329020331235</v>
      </c>
      <c r="BO116" s="16">
        <f t="shared" si="51"/>
        <v>-42768.012938701948</v>
      </c>
      <c r="BP116" s="16">
        <f t="shared" si="52"/>
        <v>-58752.787606837541</v>
      </c>
      <c r="BQ116" s="16">
        <f t="shared" si="53"/>
        <v>-42768.012938701948</v>
      </c>
      <c r="BR116" s="16">
        <f t="shared" si="54"/>
        <v>-40368.012938701948</v>
      </c>
      <c r="BS116" s="16">
        <f t="shared" si="55"/>
        <v>-41068.012938701941</v>
      </c>
      <c r="BT116" s="14">
        <f>IF([1]Sheet2!CB115=999999,"NA",[1]Sheet2!CB115)</f>
        <v>0</v>
      </c>
      <c r="BU116" s="14">
        <f>IF([1]Sheet2!CC115=999999,"NA",[1]Sheet2!CC115)</f>
        <v>0</v>
      </c>
      <c r="BV116" s="14">
        <f>IF([1]Sheet2!CD115=999999,"NA",[1]Sheet2!CD115)</f>
        <v>0</v>
      </c>
      <c r="BW116" s="14">
        <f>IF([1]Sheet2!CE115=999999,"NA",[1]Sheet2!CE115)</f>
        <v>0</v>
      </c>
      <c r="BX116" s="14">
        <f>IF([1]Sheet2!CF115=999999,"NA",[1]Sheet2!CF115)</f>
        <v>0</v>
      </c>
      <c r="BY116" s="14">
        <f>IF([1]Sheet2!CG115=999999,"NA",[1]Sheet2!CG115)</f>
        <v>0</v>
      </c>
      <c r="BZ116" s="14">
        <f>IF([1]Sheet2!CH115=999999,"NA",[1]Sheet2!CH115)</f>
        <v>0</v>
      </c>
      <c r="CA116" s="14">
        <f>IF([1]Sheet2!CI115=999999,"NA",[1]Sheet2!CI115)</f>
        <v>0</v>
      </c>
      <c r="CB116" s="14">
        <f>IF([1]Sheet2!CJ115=999999,"NA",[1]Sheet2!CJ115)</f>
        <v>0</v>
      </c>
      <c r="CC116" s="14">
        <f>IF([1]Sheet2!CK115=999999,"NA",[1]Sheet2!CK115)</f>
        <v>0</v>
      </c>
      <c r="CD116" s="14">
        <f>[1]Sheet2!BH115</f>
        <v>0</v>
      </c>
      <c r="CE116" s="14">
        <f>[1]Sheet2!BI115</f>
        <v>0</v>
      </c>
      <c r="CF116" s="14">
        <f>[1]Sheet2!BJ115</f>
        <v>0</v>
      </c>
      <c r="CG116" s="14">
        <f>[1]Sheet2!BK115</f>
        <v>0</v>
      </c>
      <c r="CH116" s="14">
        <f>[1]Sheet2!BL115</f>
        <v>0</v>
      </c>
      <c r="CI116" s="14">
        <f>[1]Sheet2!BM115</f>
        <v>0</v>
      </c>
      <c r="CJ116" s="14">
        <f>[1]Sheet2!BN115</f>
        <v>0</v>
      </c>
      <c r="CK116" s="14">
        <f>[1]Sheet2!BO115</f>
        <v>0</v>
      </c>
      <c r="CL116" s="14">
        <f>[1]Sheet2!BP115</f>
        <v>0</v>
      </c>
      <c r="CM116" s="14">
        <f>[1]Sheet2!BQ115</f>
        <v>0</v>
      </c>
      <c r="CN116" s="16">
        <f>Demand_SW!B$6/30</f>
        <v>173.07692307692304</v>
      </c>
      <c r="CO116" s="16">
        <f>Demand_SW!C$6/30</f>
        <v>0</v>
      </c>
      <c r="CP116" s="16">
        <f>Demand_SW!D$6/30</f>
        <v>0</v>
      </c>
      <c r="CQ116" s="16">
        <f>Demand_SW!E$6/30</f>
        <v>0</v>
      </c>
      <c r="CR116" s="16">
        <f>Demand_SW!F$6/30</f>
        <v>0</v>
      </c>
      <c r="CS116" s="16">
        <f>Demand_SW!G$6/30</f>
        <v>173.07692307692304</v>
      </c>
      <c r="CT116" s="16">
        <f>Demand_SW!H$6/30</f>
        <v>0</v>
      </c>
      <c r="CU116" s="16">
        <f>Demand_SW!I$6/30</f>
        <v>0</v>
      </c>
      <c r="CV116" s="16">
        <f>Demand_SW!J$6/30</f>
        <v>0</v>
      </c>
      <c r="CW116" s="16">
        <f>Demand_SW!K$6/30</f>
        <v>0</v>
      </c>
      <c r="CX116" s="16">
        <f t="shared" si="56"/>
        <v>-10251.538461538463</v>
      </c>
      <c r="CY116" s="16">
        <f t="shared" si="57"/>
        <v>76.923076923077133</v>
      </c>
      <c r="CZ116" s="16">
        <f t="shared" si="58"/>
        <v>0</v>
      </c>
      <c r="DA116" s="16">
        <f t="shared" si="59"/>
        <v>0</v>
      </c>
      <c r="DB116" s="16">
        <f t="shared" si="60"/>
        <v>0</v>
      </c>
      <c r="DC116" s="16">
        <f t="shared" si="61"/>
        <v>-9780.7692307692305</v>
      </c>
      <c r="DD116" s="16">
        <f t="shared" si="62"/>
        <v>76.923076923077133</v>
      </c>
      <c r="DE116" s="16">
        <f t="shared" si="63"/>
        <v>0</v>
      </c>
      <c r="DF116" s="16">
        <f t="shared" si="64"/>
        <v>0</v>
      </c>
      <c r="DG116" s="16">
        <f t="shared" si="65"/>
        <v>0</v>
      </c>
      <c r="DH116" s="14">
        <f>IF([1]Sheet2!DS115=999999,"NA",[1]Sheet2!DS115)</f>
        <v>0</v>
      </c>
      <c r="DI116" s="14">
        <f>IF([1]Sheet2!DT115=999999,"NA",[1]Sheet2!DT115)</f>
        <v>252</v>
      </c>
      <c r="DJ116" s="14" t="str">
        <f>IF([1]Sheet2!DU115=999999,"NA",[1]Sheet2!DU115)</f>
        <v>NA</v>
      </c>
      <c r="DK116" s="14" t="str">
        <f>IF([1]Sheet2!DV115=999999,"NA",[1]Sheet2!DV115)</f>
        <v>NA</v>
      </c>
      <c r="DL116" s="14" t="str">
        <f>IF([1]Sheet2!DW115=999999,"NA",[1]Sheet2!DW115)</f>
        <v>NA</v>
      </c>
      <c r="DM116" s="14">
        <f>IF([1]Sheet2!DX115=999999,"NA",[1]Sheet2!DX115)</f>
        <v>0</v>
      </c>
      <c r="DN116" s="14">
        <f>IF([1]Sheet2!DY115=999999,"NA",[1]Sheet2!DY115)</f>
        <v>252</v>
      </c>
      <c r="DO116" s="14" t="str">
        <f>IF([1]Sheet2!DZ115=999999,"NA",[1]Sheet2!DZ115)</f>
        <v>NA</v>
      </c>
      <c r="DP116" s="14" t="str">
        <f>IF([1]Sheet2!EA115=999999,"NA",[1]Sheet2!EA115)</f>
        <v>NA</v>
      </c>
      <c r="DQ116" s="14" t="str">
        <f>IF([1]Sheet2!EB115=999999,"NA",[1]Sheet2!EB115)</f>
        <v>NA</v>
      </c>
      <c r="DR116" s="14">
        <f>[1]Sheet2!CY115</f>
        <v>0</v>
      </c>
      <c r="DS116" s="14">
        <f>[1]Sheet2!CZ115</f>
        <v>0</v>
      </c>
      <c r="DT116" s="14">
        <f>[1]Sheet2!DA115</f>
        <v>0</v>
      </c>
      <c r="DU116" s="14">
        <f>[1]Sheet2!DB115</f>
        <v>0</v>
      </c>
      <c r="DV116" s="14">
        <f>[1]Sheet2!DC115</f>
        <v>0</v>
      </c>
      <c r="DW116" s="14">
        <f>[1]Sheet2!DD115</f>
        <v>0</v>
      </c>
      <c r="DX116" s="14">
        <f>[1]Sheet2!DE115</f>
        <v>0</v>
      </c>
      <c r="DY116" s="14">
        <f>[1]Sheet2!DF115</f>
        <v>0</v>
      </c>
      <c r="DZ116" s="14">
        <f>[1]Sheet2!DG115</f>
        <v>0</v>
      </c>
      <c r="EA116" s="14">
        <f>[1]Sheet2!DH115</f>
        <v>0</v>
      </c>
      <c r="EB116" s="6">
        <f>[1]Sheet2!EC115</f>
        <v>0</v>
      </c>
      <c r="EC116" s="6">
        <f>[1]Sheet2!ED115</f>
        <v>0</v>
      </c>
      <c r="ED116" s="6">
        <f>[1]Sheet2!EE115</f>
        <v>0</v>
      </c>
      <c r="EE116" s="6">
        <f>[1]Sheet2!EF115</f>
        <v>0</v>
      </c>
      <c r="EF116" s="6">
        <f>[1]Sheet2!EG115</f>
        <v>0</v>
      </c>
      <c r="EG116" s="6">
        <f>[1]Sheet2!EH115</f>
        <v>0</v>
      </c>
      <c r="EH116" s="6">
        <f>[1]Sheet2!EI115</f>
        <v>0</v>
      </c>
      <c r="EI116" s="6">
        <f>[1]Sheet2!EJ115</f>
        <v>0</v>
      </c>
      <c r="EJ116" s="6">
        <f>[1]Sheet2!EK115</f>
        <v>0</v>
      </c>
      <c r="EK116" s="6">
        <f>[1]Sheet2!EL115</f>
        <v>0</v>
      </c>
      <c r="EL116" s="6" t="str">
        <f>[1]Sheet2!EM115</f>
        <v/>
      </c>
      <c r="EM116" s="6" t="str">
        <f>[1]Sheet2!EN115</f>
        <v/>
      </c>
      <c r="EN116" s="6" t="str">
        <f>[1]Sheet2!EO115</f>
        <v/>
      </c>
      <c r="EO116" s="6" t="str">
        <f>[1]Sheet2!EP115</f>
        <v/>
      </c>
      <c r="EP116" s="6" t="str">
        <f>[1]Sheet2!EQ115</f>
        <v/>
      </c>
      <c r="EQ116" s="6" t="str">
        <f>[1]Sheet2!ER115</f>
        <v/>
      </c>
      <c r="ER116" s="6" t="str">
        <f>[1]Sheet2!ES115</f>
        <v/>
      </c>
      <c r="ES116" s="6" t="str">
        <f>[1]Sheet2!ET115</f>
        <v/>
      </c>
      <c r="ET116" s="6" t="str">
        <f>[1]Sheet2!EU115</f>
        <v/>
      </c>
      <c r="EU116" s="6" t="str">
        <f>[1]Sheet2!EV115</f>
        <v/>
      </c>
      <c r="EV116" s="6" t="str">
        <f>[1]Sheet2!EW115</f>
        <v/>
      </c>
      <c r="EW116" s="6" t="str">
        <f>[1]Sheet2!EX115</f>
        <v/>
      </c>
      <c r="EX116" s="6" t="str">
        <f>[1]Sheet2!EY115</f>
        <v/>
      </c>
      <c r="EY116" s="6" t="str">
        <f>[1]Sheet2!EZ115</f>
        <v/>
      </c>
      <c r="EZ116" s="6" t="str">
        <f>[1]Sheet2!FA115</f>
        <v/>
      </c>
      <c r="FA116" s="6" t="str">
        <f>[1]Sheet2!FB115</f>
        <v/>
      </c>
      <c r="FB116" s="6" t="str">
        <f>[1]Sheet2!FC115</f>
        <v/>
      </c>
      <c r="FC116" s="6" t="str">
        <f>[1]Sheet2!FD115</f>
        <v/>
      </c>
      <c r="FD116" s="6" t="str">
        <f>[1]Sheet2!FE115</f>
        <v/>
      </c>
      <c r="FE116" s="6" t="str">
        <f>[1]Sheet2!FF115</f>
        <v/>
      </c>
      <c r="FF116" s="6" t="str">
        <f>[1]Sheet2!FG115</f>
        <v/>
      </c>
      <c r="FG116" s="6" t="str">
        <f>[1]Sheet2!FH115</f>
        <v/>
      </c>
      <c r="FH116" s="6" t="str">
        <f>[1]Sheet2!FI115</f>
        <v/>
      </c>
      <c r="FI116" s="6" t="str">
        <f>[1]Sheet2!FJ115</f>
        <v/>
      </c>
      <c r="FJ116" s="6" t="str">
        <f>[1]Sheet2!FK115</f>
        <v/>
      </c>
      <c r="FK116" s="6" t="str">
        <f>[1]Sheet2!FL115</f>
        <v/>
      </c>
      <c r="FL116" s="6" t="str">
        <f>[1]Sheet2!FM115</f>
        <v/>
      </c>
      <c r="FM116" s="6" t="str">
        <f>[1]Sheet2!FN115</f>
        <v/>
      </c>
      <c r="FN116" s="6" t="str">
        <f>[1]Sheet2!FO115</f>
        <v/>
      </c>
      <c r="FO116" s="6" t="str">
        <f>[1]Sheet2!FP115</f>
        <v/>
      </c>
    </row>
    <row r="117" spans="1:171" x14ac:dyDescent="0.25">
      <c r="A117" s="15">
        <v>43579</v>
      </c>
      <c r="B117" s="1"/>
      <c r="C117" s="1"/>
      <c r="D117" s="1"/>
      <c r="E117" s="14">
        <f>[1]Sheet2!N116</f>
        <v>0</v>
      </c>
      <c r="F117" s="14">
        <f>[1]Sheet2!BE116</f>
        <v>0</v>
      </c>
      <c r="G117" s="14">
        <f>[1]Sheet2!CW116</f>
        <v>0</v>
      </c>
      <c r="H117" s="1"/>
      <c r="I117" s="1"/>
      <c r="J117" s="1"/>
      <c r="K117" s="16"/>
      <c r="L117" s="16">
        <f>Demand_CWRS!B$6/30</f>
        <v>136.96097796474356</v>
      </c>
      <c r="M117" s="16">
        <f>Demand_CWRS!C$6/30</f>
        <v>544.43376068376062</v>
      </c>
      <c r="N117" s="16">
        <f>Demand_CWRS!D$6/30</f>
        <v>0</v>
      </c>
      <c r="O117" s="16">
        <f>Demand_CWRS!E$6/30</f>
        <v>108.97435897435896</v>
      </c>
      <c r="P117" s="16">
        <f>Demand_CWRS!F$6/30</f>
        <v>213.3621347489316</v>
      </c>
      <c r="Q117" s="16">
        <f>Demand_CWRS!G$6/30</f>
        <v>133.33333333333334</v>
      </c>
      <c r="R117" s="16">
        <f>Demand_CWRS!H$6/30</f>
        <v>213.3621347489316</v>
      </c>
      <c r="S117" s="16">
        <f>Demand_CWRS!I$6/30</f>
        <v>213.3621347489316</v>
      </c>
      <c r="T117" s="16">
        <f>Demand_CWRS!J$6/30</f>
        <v>213.3621347489316</v>
      </c>
      <c r="U117" s="16">
        <f>Demand_CWRS!K$6/30</f>
        <v>213.3621347489316</v>
      </c>
      <c r="V117" s="16">
        <f t="shared" si="36"/>
        <v>-13766.067772973462</v>
      </c>
      <c r="W117" s="16">
        <f t="shared" si="37"/>
        <v>-46248.533333333231</v>
      </c>
      <c r="X117" s="16">
        <f t="shared" si="38"/>
        <v>0</v>
      </c>
      <c r="Y117" s="16">
        <f t="shared" si="39"/>
        <v>-4094.7893703342966</v>
      </c>
      <c r="Z117" s="16">
        <f t="shared" si="40"/>
        <v>-21230.208450178507</v>
      </c>
      <c r="AA117" s="16">
        <f t="shared" si="41"/>
        <v>-12462.060491723485</v>
      </c>
      <c r="AB117" s="16">
        <f t="shared" si="42"/>
        <v>-25711.252120050325</v>
      </c>
      <c r="AC117" s="16">
        <f t="shared" si="43"/>
        <v>-19918.241863640047</v>
      </c>
      <c r="AD117" s="16">
        <f t="shared" si="44"/>
        <v>-20018.24186364004</v>
      </c>
      <c r="AE117" s="16">
        <f t="shared" si="45"/>
        <v>-20618.241863640043</v>
      </c>
      <c r="AF117" s="14">
        <f>IF([1]Sheet2!AJ116=999999,"NA",[1]Sheet2!AJ116)</f>
        <v>0</v>
      </c>
      <c r="AG117" s="14">
        <f>IF([1]Sheet2!AK116=999999,"NA",[1]Sheet2!AK116)</f>
        <v>0</v>
      </c>
      <c r="AH117" s="14" t="str">
        <f>IF([1]Sheet2!AL116=999999,"NA",[1]Sheet2!AL116)</f>
        <v>NA</v>
      </c>
      <c r="AI117" s="14">
        <f>IF([1]Sheet2!AM116=999999,"NA",[1]Sheet2!AM116)</f>
        <v>0</v>
      </c>
      <c r="AJ117" s="14">
        <f>IF([1]Sheet2!AN116=999999,"NA",[1]Sheet2!AN116)</f>
        <v>0</v>
      </c>
      <c r="AK117" s="14">
        <f>IF([1]Sheet2!AO116=999999,"NA",[1]Sheet2!AO116)</f>
        <v>0</v>
      </c>
      <c r="AL117" s="14">
        <f>IF([1]Sheet2!AP116=999999,"NA",[1]Sheet2!AP116)</f>
        <v>0</v>
      </c>
      <c r="AM117" s="14">
        <f>IF([1]Sheet2!AQ116=999999,"NA",[1]Sheet2!AQ116)</f>
        <v>0</v>
      </c>
      <c r="AN117" s="14">
        <f>IF([1]Sheet2!AR116=999999,"NA",[1]Sheet2!AR116)</f>
        <v>0</v>
      </c>
      <c r="AO117" s="14">
        <f>IF([1]Sheet2!AS116=999999,"NA",[1]Sheet2!AS116)</f>
        <v>0</v>
      </c>
      <c r="AP117" s="14">
        <f>[1]Sheet2!P116</f>
        <v>0</v>
      </c>
      <c r="AQ117" s="14">
        <f>[1]Sheet2!Q116</f>
        <v>0</v>
      </c>
      <c r="AR117" s="14">
        <f>[1]Sheet2!R116</f>
        <v>0</v>
      </c>
      <c r="AS117" s="14">
        <f>[1]Sheet2!S116</f>
        <v>0</v>
      </c>
      <c r="AT117" s="14">
        <f>[1]Sheet2!T116</f>
        <v>0</v>
      </c>
      <c r="AU117" s="14">
        <f>[1]Sheet2!U116</f>
        <v>0</v>
      </c>
      <c r="AV117" s="14">
        <f>[1]Sheet2!V116</f>
        <v>0</v>
      </c>
      <c r="AW117" s="14">
        <f>[1]Sheet2!W116</f>
        <v>0</v>
      </c>
      <c r="AX117" s="14">
        <f>[1]Sheet2!X116</f>
        <v>0</v>
      </c>
      <c r="AY117" s="14">
        <f>[1]Sheet2!Y116</f>
        <v>0</v>
      </c>
      <c r="AZ117" s="16">
        <f>Demand_LP!B$6/30</f>
        <v>790.61612406517088</v>
      </c>
      <c r="BA117" s="16">
        <f>Demand_LP!C$6/30</f>
        <v>816.46367521367517</v>
      </c>
      <c r="BB117" s="16">
        <f>Demand_LP!D$6/30</f>
        <v>346.63461538461536</v>
      </c>
      <c r="BC117" s="16">
        <f>Demand_LP!E$6/30</f>
        <v>795.48076923076928</v>
      </c>
      <c r="BD117" s="16">
        <f>Demand_LP!F$6/30</f>
        <v>472.52230168269227</v>
      </c>
      <c r="BE117" s="16">
        <f>Demand_LP!G$6/30</f>
        <v>472.52230168269227</v>
      </c>
      <c r="BF117" s="16">
        <f>Demand_LP!H$6/30</f>
        <v>816.46367521367517</v>
      </c>
      <c r="BG117" s="16">
        <f>Demand_LP!I$6/30</f>
        <v>472.52230168269227</v>
      </c>
      <c r="BH117" s="16">
        <f>Demand_LP!J$6/30</f>
        <v>472.52230168269227</v>
      </c>
      <c r="BI117" s="16">
        <f>Demand_LP!K$6/30</f>
        <v>472.52230168269227</v>
      </c>
      <c r="BJ117" s="16">
        <f t="shared" si="46"/>
        <v>-70676.811706497538</v>
      </c>
      <c r="BK117" s="16">
        <f t="shared" si="47"/>
        <v>-65211.671794871676</v>
      </c>
      <c r="BL117" s="16">
        <f t="shared" si="48"/>
        <v>-23093.196153846195</v>
      </c>
      <c r="BM117" s="16">
        <f t="shared" si="49"/>
        <v>-75898.085881207342</v>
      </c>
      <c r="BN117" s="16">
        <f t="shared" si="50"/>
        <v>-44782.851322013928</v>
      </c>
      <c r="BO117" s="16">
        <f t="shared" si="51"/>
        <v>-43240.535240384641</v>
      </c>
      <c r="BP117" s="16">
        <f t="shared" si="52"/>
        <v>-59569.251282051213</v>
      </c>
      <c r="BQ117" s="16">
        <f t="shared" si="53"/>
        <v>-43240.535240384641</v>
      </c>
      <c r="BR117" s="16">
        <f t="shared" si="54"/>
        <v>-40840.535240384641</v>
      </c>
      <c r="BS117" s="16">
        <f t="shared" si="55"/>
        <v>-41540.535240384634</v>
      </c>
      <c r="BT117" s="14">
        <f>IF([1]Sheet2!CB116=999999,"NA",[1]Sheet2!CB116)</f>
        <v>0</v>
      </c>
      <c r="BU117" s="14">
        <f>IF([1]Sheet2!CC116=999999,"NA",[1]Sheet2!CC116)</f>
        <v>0</v>
      </c>
      <c r="BV117" s="14">
        <f>IF([1]Sheet2!CD116=999999,"NA",[1]Sheet2!CD116)</f>
        <v>0</v>
      </c>
      <c r="BW117" s="14">
        <f>IF([1]Sheet2!CE116=999999,"NA",[1]Sheet2!CE116)</f>
        <v>0</v>
      </c>
      <c r="BX117" s="14">
        <f>IF([1]Sheet2!CF116=999999,"NA",[1]Sheet2!CF116)</f>
        <v>0</v>
      </c>
      <c r="BY117" s="14">
        <f>IF([1]Sheet2!CG116=999999,"NA",[1]Sheet2!CG116)</f>
        <v>0</v>
      </c>
      <c r="BZ117" s="14">
        <f>IF([1]Sheet2!CH116=999999,"NA",[1]Sheet2!CH116)</f>
        <v>0</v>
      </c>
      <c r="CA117" s="14">
        <f>IF([1]Sheet2!CI116=999999,"NA",[1]Sheet2!CI116)</f>
        <v>0</v>
      </c>
      <c r="CB117" s="14">
        <f>IF([1]Sheet2!CJ116=999999,"NA",[1]Sheet2!CJ116)</f>
        <v>0</v>
      </c>
      <c r="CC117" s="14">
        <f>IF([1]Sheet2!CK116=999999,"NA",[1]Sheet2!CK116)</f>
        <v>0</v>
      </c>
      <c r="CD117" s="14">
        <f>[1]Sheet2!BH116</f>
        <v>0</v>
      </c>
      <c r="CE117" s="14">
        <f>[1]Sheet2!BI116</f>
        <v>0</v>
      </c>
      <c r="CF117" s="14">
        <f>[1]Sheet2!BJ116</f>
        <v>0</v>
      </c>
      <c r="CG117" s="14">
        <f>[1]Sheet2!BK116</f>
        <v>0</v>
      </c>
      <c r="CH117" s="14">
        <f>[1]Sheet2!BL116</f>
        <v>0</v>
      </c>
      <c r="CI117" s="14">
        <f>[1]Sheet2!BM116</f>
        <v>0</v>
      </c>
      <c r="CJ117" s="14">
        <f>[1]Sheet2!BN116</f>
        <v>0</v>
      </c>
      <c r="CK117" s="14">
        <f>[1]Sheet2!BO116</f>
        <v>0</v>
      </c>
      <c r="CL117" s="14">
        <f>[1]Sheet2!BP116</f>
        <v>0</v>
      </c>
      <c r="CM117" s="14">
        <f>[1]Sheet2!BQ116</f>
        <v>0</v>
      </c>
      <c r="CN117" s="16">
        <f>Demand_SW!B$6/30</f>
        <v>173.07692307692304</v>
      </c>
      <c r="CO117" s="16">
        <f>Demand_SW!C$6/30</f>
        <v>0</v>
      </c>
      <c r="CP117" s="16">
        <f>Demand_SW!D$6/30</f>
        <v>0</v>
      </c>
      <c r="CQ117" s="16">
        <f>Demand_SW!E$6/30</f>
        <v>0</v>
      </c>
      <c r="CR117" s="16">
        <f>Demand_SW!F$6/30</f>
        <v>0</v>
      </c>
      <c r="CS117" s="16">
        <f>Demand_SW!G$6/30</f>
        <v>173.07692307692304</v>
      </c>
      <c r="CT117" s="16">
        <f>Demand_SW!H$6/30</f>
        <v>0</v>
      </c>
      <c r="CU117" s="16">
        <f>Demand_SW!I$6/30</f>
        <v>0</v>
      </c>
      <c r="CV117" s="16">
        <f>Demand_SW!J$6/30</f>
        <v>0</v>
      </c>
      <c r="CW117" s="16">
        <f>Demand_SW!K$6/30</f>
        <v>0</v>
      </c>
      <c r="CX117" s="16">
        <f t="shared" si="56"/>
        <v>-10424.615384615387</v>
      </c>
      <c r="CY117" s="16">
        <f t="shared" si="57"/>
        <v>76.923076923077133</v>
      </c>
      <c r="CZ117" s="16">
        <f t="shared" si="58"/>
        <v>0</v>
      </c>
      <c r="DA117" s="16">
        <f t="shared" si="59"/>
        <v>0</v>
      </c>
      <c r="DB117" s="16">
        <f t="shared" si="60"/>
        <v>0</v>
      </c>
      <c r="DC117" s="16">
        <f t="shared" si="61"/>
        <v>-9953.8461538461543</v>
      </c>
      <c r="DD117" s="16">
        <f t="shared" si="62"/>
        <v>76.923076923077133</v>
      </c>
      <c r="DE117" s="16">
        <f t="shared" si="63"/>
        <v>0</v>
      </c>
      <c r="DF117" s="16">
        <f t="shared" si="64"/>
        <v>0</v>
      </c>
      <c r="DG117" s="16">
        <f t="shared" si="65"/>
        <v>0</v>
      </c>
      <c r="DH117" s="14">
        <f>IF([1]Sheet2!DS116=999999,"NA",[1]Sheet2!DS116)</f>
        <v>0</v>
      </c>
      <c r="DI117" s="14">
        <f>IF([1]Sheet2!DT116=999999,"NA",[1]Sheet2!DT116)</f>
        <v>251</v>
      </c>
      <c r="DJ117" s="14" t="str">
        <f>IF([1]Sheet2!DU116=999999,"NA",[1]Sheet2!DU116)</f>
        <v>NA</v>
      </c>
      <c r="DK117" s="14" t="str">
        <f>IF([1]Sheet2!DV116=999999,"NA",[1]Sheet2!DV116)</f>
        <v>NA</v>
      </c>
      <c r="DL117" s="14" t="str">
        <f>IF([1]Sheet2!DW116=999999,"NA",[1]Sheet2!DW116)</f>
        <v>NA</v>
      </c>
      <c r="DM117" s="14">
        <f>IF([1]Sheet2!DX116=999999,"NA",[1]Sheet2!DX116)</f>
        <v>0</v>
      </c>
      <c r="DN117" s="14">
        <f>IF([1]Sheet2!DY116=999999,"NA",[1]Sheet2!DY116)</f>
        <v>251</v>
      </c>
      <c r="DO117" s="14" t="str">
        <f>IF([1]Sheet2!DZ116=999999,"NA",[1]Sheet2!DZ116)</f>
        <v>NA</v>
      </c>
      <c r="DP117" s="14" t="str">
        <f>IF([1]Sheet2!EA116=999999,"NA",[1]Sheet2!EA116)</f>
        <v>NA</v>
      </c>
      <c r="DQ117" s="14" t="str">
        <f>IF([1]Sheet2!EB116=999999,"NA",[1]Sheet2!EB116)</f>
        <v>NA</v>
      </c>
      <c r="DR117" s="14">
        <f>[1]Sheet2!CY116</f>
        <v>0</v>
      </c>
      <c r="DS117" s="14">
        <f>[1]Sheet2!CZ116</f>
        <v>0</v>
      </c>
      <c r="DT117" s="14">
        <f>[1]Sheet2!DA116</f>
        <v>0</v>
      </c>
      <c r="DU117" s="14">
        <f>[1]Sheet2!DB116</f>
        <v>0</v>
      </c>
      <c r="DV117" s="14">
        <f>[1]Sheet2!DC116</f>
        <v>0</v>
      </c>
      <c r="DW117" s="14">
        <f>[1]Sheet2!DD116</f>
        <v>0</v>
      </c>
      <c r="DX117" s="14">
        <f>[1]Sheet2!DE116</f>
        <v>0</v>
      </c>
      <c r="DY117" s="14">
        <f>[1]Sheet2!DF116</f>
        <v>0</v>
      </c>
      <c r="DZ117" s="14">
        <f>[1]Sheet2!DG116</f>
        <v>0</v>
      </c>
      <c r="EA117" s="14">
        <f>[1]Sheet2!DH116</f>
        <v>0</v>
      </c>
      <c r="EB117" s="6">
        <f>[1]Sheet2!EC116</f>
        <v>0</v>
      </c>
      <c r="EC117" s="6">
        <f>[1]Sheet2!ED116</f>
        <v>0</v>
      </c>
      <c r="ED117" s="6">
        <f>[1]Sheet2!EE116</f>
        <v>0</v>
      </c>
      <c r="EE117" s="6">
        <f>[1]Sheet2!EF116</f>
        <v>0</v>
      </c>
      <c r="EF117" s="6">
        <f>[1]Sheet2!EG116</f>
        <v>0</v>
      </c>
      <c r="EG117" s="6">
        <f>[1]Sheet2!EH116</f>
        <v>0</v>
      </c>
      <c r="EH117" s="6">
        <f>[1]Sheet2!EI116</f>
        <v>0</v>
      </c>
      <c r="EI117" s="6">
        <f>[1]Sheet2!EJ116</f>
        <v>0</v>
      </c>
      <c r="EJ117" s="6">
        <f>[1]Sheet2!EK116</f>
        <v>0</v>
      </c>
      <c r="EK117" s="6">
        <f>[1]Sheet2!EL116</f>
        <v>0</v>
      </c>
      <c r="EL117" s="6" t="str">
        <f>[1]Sheet2!EM116</f>
        <v/>
      </c>
      <c r="EM117" s="6" t="str">
        <f>[1]Sheet2!EN116</f>
        <v/>
      </c>
      <c r="EN117" s="6" t="str">
        <f>[1]Sheet2!EO116</f>
        <v/>
      </c>
      <c r="EO117" s="6" t="str">
        <f>[1]Sheet2!EP116</f>
        <v/>
      </c>
      <c r="EP117" s="6" t="str">
        <f>[1]Sheet2!EQ116</f>
        <v/>
      </c>
      <c r="EQ117" s="6" t="str">
        <f>[1]Sheet2!ER116</f>
        <v/>
      </c>
      <c r="ER117" s="6" t="str">
        <f>[1]Sheet2!ES116</f>
        <v/>
      </c>
      <c r="ES117" s="6" t="str">
        <f>[1]Sheet2!ET116</f>
        <v/>
      </c>
      <c r="ET117" s="6" t="str">
        <f>[1]Sheet2!EU116</f>
        <v/>
      </c>
      <c r="EU117" s="6" t="str">
        <f>[1]Sheet2!EV116</f>
        <v/>
      </c>
      <c r="EV117" s="6" t="str">
        <f>[1]Sheet2!EW116</f>
        <v/>
      </c>
      <c r="EW117" s="6" t="str">
        <f>[1]Sheet2!EX116</f>
        <v/>
      </c>
      <c r="EX117" s="6" t="str">
        <f>[1]Sheet2!EY116</f>
        <v/>
      </c>
      <c r="EY117" s="6" t="str">
        <f>[1]Sheet2!EZ116</f>
        <v/>
      </c>
      <c r="EZ117" s="6" t="str">
        <f>[1]Sheet2!FA116</f>
        <v/>
      </c>
      <c r="FA117" s="6" t="str">
        <f>[1]Sheet2!FB116</f>
        <v/>
      </c>
      <c r="FB117" s="6" t="str">
        <f>[1]Sheet2!FC116</f>
        <v/>
      </c>
      <c r="FC117" s="6" t="str">
        <f>[1]Sheet2!FD116</f>
        <v/>
      </c>
      <c r="FD117" s="6" t="str">
        <f>[1]Sheet2!FE116</f>
        <v/>
      </c>
      <c r="FE117" s="6" t="str">
        <f>[1]Sheet2!FF116</f>
        <v/>
      </c>
      <c r="FF117" s="6" t="str">
        <f>[1]Sheet2!FG116</f>
        <v/>
      </c>
      <c r="FG117" s="6" t="str">
        <f>[1]Sheet2!FH116</f>
        <v/>
      </c>
      <c r="FH117" s="6" t="str">
        <f>[1]Sheet2!FI116</f>
        <v/>
      </c>
      <c r="FI117" s="6" t="str">
        <f>[1]Sheet2!FJ116</f>
        <v/>
      </c>
      <c r="FJ117" s="6" t="str">
        <f>[1]Sheet2!FK116</f>
        <v/>
      </c>
      <c r="FK117" s="6" t="str">
        <f>[1]Sheet2!FL116</f>
        <v/>
      </c>
      <c r="FL117" s="6" t="str">
        <f>[1]Sheet2!FM116</f>
        <v/>
      </c>
      <c r="FM117" s="6" t="str">
        <f>[1]Sheet2!FN116</f>
        <v/>
      </c>
      <c r="FN117" s="6" t="str">
        <f>[1]Sheet2!FO116</f>
        <v/>
      </c>
      <c r="FO117" s="6" t="str">
        <f>[1]Sheet2!FP116</f>
        <v/>
      </c>
    </row>
    <row r="118" spans="1:171" x14ac:dyDescent="0.25">
      <c r="A118" s="15">
        <v>43580</v>
      </c>
      <c r="B118" s="1"/>
      <c r="C118" s="1"/>
      <c r="D118" s="1"/>
      <c r="E118" s="14">
        <f>[1]Sheet2!N117</f>
        <v>0</v>
      </c>
      <c r="F118" s="14">
        <f>[1]Sheet2!BE117</f>
        <v>0</v>
      </c>
      <c r="G118" s="14">
        <f>[1]Sheet2!CW117</f>
        <v>0</v>
      </c>
      <c r="H118" s="1"/>
      <c r="I118" s="1"/>
      <c r="J118" s="1"/>
      <c r="K118" s="16"/>
      <c r="L118" s="16">
        <f>Demand_CWRS!B$6/30</f>
        <v>136.96097796474356</v>
      </c>
      <c r="M118" s="16">
        <f>Demand_CWRS!C$6/30</f>
        <v>544.43376068376062</v>
      </c>
      <c r="N118" s="16">
        <f>Demand_CWRS!D$6/30</f>
        <v>0</v>
      </c>
      <c r="O118" s="16">
        <f>Demand_CWRS!E$6/30</f>
        <v>108.97435897435896</v>
      </c>
      <c r="P118" s="16">
        <f>Demand_CWRS!F$6/30</f>
        <v>213.3621347489316</v>
      </c>
      <c r="Q118" s="16">
        <f>Demand_CWRS!G$6/30</f>
        <v>133.33333333333334</v>
      </c>
      <c r="R118" s="16">
        <f>Demand_CWRS!H$6/30</f>
        <v>213.3621347489316</v>
      </c>
      <c r="S118" s="16">
        <f>Demand_CWRS!I$6/30</f>
        <v>213.3621347489316</v>
      </c>
      <c r="T118" s="16">
        <f>Demand_CWRS!J$6/30</f>
        <v>213.3621347489316</v>
      </c>
      <c r="U118" s="16">
        <f>Demand_CWRS!K$6/30</f>
        <v>213.3621347489316</v>
      </c>
      <c r="V118" s="16">
        <f t="shared" si="36"/>
        <v>-13903.028750938205</v>
      </c>
      <c r="W118" s="16">
        <f t="shared" si="37"/>
        <v>-46792.967094016989</v>
      </c>
      <c r="X118" s="16">
        <f t="shared" si="38"/>
        <v>0</v>
      </c>
      <c r="Y118" s="16">
        <f t="shared" si="39"/>
        <v>-4203.7637293086555</v>
      </c>
      <c r="Z118" s="16">
        <f t="shared" si="40"/>
        <v>-21443.570584927438</v>
      </c>
      <c r="AA118" s="16">
        <f t="shared" si="41"/>
        <v>-12595.393825056819</v>
      </c>
      <c r="AB118" s="16">
        <f t="shared" si="42"/>
        <v>-25924.614254799257</v>
      </c>
      <c r="AC118" s="16">
        <f t="shared" si="43"/>
        <v>-20131.603998388979</v>
      </c>
      <c r="AD118" s="16">
        <f t="shared" si="44"/>
        <v>-20231.603998388971</v>
      </c>
      <c r="AE118" s="16">
        <f t="shared" si="45"/>
        <v>-20831.603998388975</v>
      </c>
      <c r="AF118" s="14">
        <f>IF([1]Sheet2!AJ117=999999,"NA",[1]Sheet2!AJ117)</f>
        <v>0</v>
      </c>
      <c r="AG118" s="14">
        <f>IF([1]Sheet2!AK117=999999,"NA",[1]Sheet2!AK117)</f>
        <v>0</v>
      </c>
      <c r="AH118" s="14" t="str">
        <f>IF([1]Sheet2!AL117=999999,"NA",[1]Sheet2!AL117)</f>
        <v>NA</v>
      </c>
      <c r="AI118" s="14">
        <f>IF([1]Sheet2!AM117=999999,"NA",[1]Sheet2!AM117)</f>
        <v>0</v>
      </c>
      <c r="AJ118" s="14">
        <f>IF([1]Sheet2!AN117=999999,"NA",[1]Sheet2!AN117)</f>
        <v>0</v>
      </c>
      <c r="AK118" s="14">
        <f>IF([1]Sheet2!AO117=999999,"NA",[1]Sheet2!AO117)</f>
        <v>0</v>
      </c>
      <c r="AL118" s="14">
        <f>IF([1]Sheet2!AP117=999999,"NA",[1]Sheet2!AP117)</f>
        <v>0</v>
      </c>
      <c r="AM118" s="14">
        <f>IF([1]Sheet2!AQ117=999999,"NA",[1]Sheet2!AQ117)</f>
        <v>0</v>
      </c>
      <c r="AN118" s="14">
        <f>IF([1]Sheet2!AR117=999999,"NA",[1]Sheet2!AR117)</f>
        <v>0</v>
      </c>
      <c r="AO118" s="14">
        <f>IF([1]Sheet2!AS117=999999,"NA",[1]Sheet2!AS117)</f>
        <v>0</v>
      </c>
      <c r="AP118" s="14">
        <f>[1]Sheet2!P117</f>
        <v>0</v>
      </c>
      <c r="AQ118" s="14">
        <f>[1]Sheet2!Q117</f>
        <v>0</v>
      </c>
      <c r="AR118" s="14">
        <f>[1]Sheet2!R117</f>
        <v>0</v>
      </c>
      <c r="AS118" s="14">
        <f>[1]Sheet2!S117</f>
        <v>0</v>
      </c>
      <c r="AT118" s="14">
        <f>[1]Sheet2!T117</f>
        <v>0</v>
      </c>
      <c r="AU118" s="14">
        <f>[1]Sheet2!U117</f>
        <v>0</v>
      </c>
      <c r="AV118" s="14">
        <f>[1]Sheet2!V117</f>
        <v>0</v>
      </c>
      <c r="AW118" s="14">
        <f>[1]Sheet2!W117</f>
        <v>0</v>
      </c>
      <c r="AX118" s="14">
        <f>[1]Sheet2!X117</f>
        <v>0</v>
      </c>
      <c r="AY118" s="14">
        <f>[1]Sheet2!Y117</f>
        <v>0</v>
      </c>
      <c r="AZ118" s="16">
        <f>Demand_LP!B$6/30</f>
        <v>790.61612406517088</v>
      </c>
      <c r="BA118" s="16">
        <f>Demand_LP!C$6/30</f>
        <v>816.46367521367517</v>
      </c>
      <c r="BB118" s="16">
        <f>Demand_LP!D$6/30</f>
        <v>346.63461538461536</v>
      </c>
      <c r="BC118" s="16">
        <f>Demand_LP!E$6/30</f>
        <v>795.48076923076928</v>
      </c>
      <c r="BD118" s="16">
        <f>Demand_LP!F$6/30</f>
        <v>472.52230168269227</v>
      </c>
      <c r="BE118" s="16">
        <f>Demand_LP!G$6/30</f>
        <v>472.52230168269227</v>
      </c>
      <c r="BF118" s="16">
        <f>Demand_LP!H$6/30</f>
        <v>816.46367521367517</v>
      </c>
      <c r="BG118" s="16">
        <f>Demand_LP!I$6/30</f>
        <v>472.52230168269227</v>
      </c>
      <c r="BH118" s="16">
        <f>Demand_LP!J$6/30</f>
        <v>472.52230168269227</v>
      </c>
      <c r="BI118" s="16">
        <f>Demand_LP!K$6/30</f>
        <v>472.52230168269227</v>
      </c>
      <c r="BJ118" s="16">
        <f t="shared" si="46"/>
        <v>-71467.427830562709</v>
      </c>
      <c r="BK118" s="16">
        <f t="shared" si="47"/>
        <v>-66028.135470085355</v>
      </c>
      <c r="BL118" s="16">
        <f t="shared" si="48"/>
        <v>-23439.830769230812</v>
      </c>
      <c r="BM118" s="16">
        <f t="shared" si="49"/>
        <v>-76693.566650438108</v>
      </c>
      <c r="BN118" s="16">
        <f t="shared" si="50"/>
        <v>-45255.373623696622</v>
      </c>
      <c r="BO118" s="16">
        <f t="shared" si="51"/>
        <v>-43713.057542067334</v>
      </c>
      <c r="BP118" s="16">
        <f t="shared" si="52"/>
        <v>-60385.714957264885</v>
      </c>
      <c r="BQ118" s="16">
        <f t="shared" si="53"/>
        <v>-43713.057542067334</v>
      </c>
      <c r="BR118" s="16">
        <f t="shared" si="54"/>
        <v>-41313.057542067334</v>
      </c>
      <c r="BS118" s="16">
        <f t="shared" si="55"/>
        <v>-42013.057542067327</v>
      </c>
      <c r="BT118" s="14">
        <f>IF([1]Sheet2!CB117=999999,"NA",[1]Sheet2!CB117)</f>
        <v>0</v>
      </c>
      <c r="BU118" s="14">
        <f>IF([1]Sheet2!CC117=999999,"NA",[1]Sheet2!CC117)</f>
        <v>0</v>
      </c>
      <c r="BV118" s="14">
        <f>IF([1]Sheet2!CD117=999999,"NA",[1]Sheet2!CD117)</f>
        <v>0</v>
      </c>
      <c r="BW118" s="14">
        <f>IF([1]Sheet2!CE117=999999,"NA",[1]Sheet2!CE117)</f>
        <v>0</v>
      </c>
      <c r="BX118" s="14">
        <f>IF([1]Sheet2!CF117=999999,"NA",[1]Sheet2!CF117)</f>
        <v>0</v>
      </c>
      <c r="BY118" s="14">
        <f>IF([1]Sheet2!CG117=999999,"NA",[1]Sheet2!CG117)</f>
        <v>0</v>
      </c>
      <c r="BZ118" s="14">
        <f>IF([1]Sheet2!CH117=999999,"NA",[1]Sheet2!CH117)</f>
        <v>0</v>
      </c>
      <c r="CA118" s="14">
        <f>IF([1]Sheet2!CI117=999999,"NA",[1]Sheet2!CI117)</f>
        <v>0</v>
      </c>
      <c r="CB118" s="14">
        <f>IF([1]Sheet2!CJ117=999999,"NA",[1]Sheet2!CJ117)</f>
        <v>0</v>
      </c>
      <c r="CC118" s="14">
        <f>IF([1]Sheet2!CK117=999999,"NA",[1]Sheet2!CK117)</f>
        <v>0</v>
      </c>
      <c r="CD118" s="14">
        <f>[1]Sheet2!BH117</f>
        <v>0</v>
      </c>
      <c r="CE118" s="14">
        <f>[1]Sheet2!BI117</f>
        <v>0</v>
      </c>
      <c r="CF118" s="14">
        <f>[1]Sheet2!BJ117</f>
        <v>0</v>
      </c>
      <c r="CG118" s="14">
        <f>[1]Sheet2!BK117</f>
        <v>0</v>
      </c>
      <c r="CH118" s="14">
        <f>[1]Sheet2!BL117</f>
        <v>0</v>
      </c>
      <c r="CI118" s="14">
        <f>[1]Sheet2!BM117</f>
        <v>0</v>
      </c>
      <c r="CJ118" s="14">
        <f>[1]Sheet2!BN117</f>
        <v>0</v>
      </c>
      <c r="CK118" s="14">
        <f>[1]Sheet2!BO117</f>
        <v>0</v>
      </c>
      <c r="CL118" s="14">
        <f>[1]Sheet2!BP117</f>
        <v>0</v>
      </c>
      <c r="CM118" s="14">
        <f>[1]Sheet2!BQ117</f>
        <v>0</v>
      </c>
      <c r="CN118" s="16">
        <f>Demand_SW!B$6/30</f>
        <v>173.07692307692304</v>
      </c>
      <c r="CO118" s="16">
        <f>Demand_SW!C$6/30</f>
        <v>0</v>
      </c>
      <c r="CP118" s="16">
        <f>Demand_SW!D$6/30</f>
        <v>0</v>
      </c>
      <c r="CQ118" s="16">
        <f>Demand_SW!E$6/30</f>
        <v>0</v>
      </c>
      <c r="CR118" s="16">
        <f>Demand_SW!F$6/30</f>
        <v>0</v>
      </c>
      <c r="CS118" s="16">
        <f>Demand_SW!G$6/30</f>
        <v>173.07692307692304</v>
      </c>
      <c r="CT118" s="16">
        <f>Demand_SW!H$6/30</f>
        <v>0</v>
      </c>
      <c r="CU118" s="16">
        <f>Demand_SW!I$6/30</f>
        <v>0</v>
      </c>
      <c r="CV118" s="16">
        <f>Demand_SW!J$6/30</f>
        <v>0</v>
      </c>
      <c r="CW118" s="16">
        <f>Demand_SW!K$6/30</f>
        <v>0</v>
      </c>
      <c r="CX118" s="16">
        <f t="shared" si="56"/>
        <v>-10597.69230769231</v>
      </c>
      <c r="CY118" s="16">
        <f t="shared" si="57"/>
        <v>76.923076923077133</v>
      </c>
      <c r="CZ118" s="16">
        <f t="shared" si="58"/>
        <v>0</v>
      </c>
      <c r="DA118" s="16">
        <f t="shared" si="59"/>
        <v>0</v>
      </c>
      <c r="DB118" s="16">
        <f t="shared" si="60"/>
        <v>0</v>
      </c>
      <c r="DC118" s="16">
        <f t="shared" si="61"/>
        <v>-10126.923076923078</v>
      </c>
      <c r="DD118" s="16">
        <f t="shared" si="62"/>
        <v>76.923076923077133</v>
      </c>
      <c r="DE118" s="16">
        <f t="shared" si="63"/>
        <v>0</v>
      </c>
      <c r="DF118" s="16">
        <f t="shared" si="64"/>
        <v>0</v>
      </c>
      <c r="DG118" s="16">
        <f t="shared" si="65"/>
        <v>0</v>
      </c>
      <c r="DH118" s="14">
        <f>IF([1]Sheet2!DS117=999999,"NA",[1]Sheet2!DS117)</f>
        <v>0</v>
      </c>
      <c r="DI118" s="14">
        <f>IF([1]Sheet2!DT117=999999,"NA",[1]Sheet2!DT117)</f>
        <v>250</v>
      </c>
      <c r="DJ118" s="14" t="str">
        <f>IF([1]Sheet2!DU117=999999,"NA",[1]Sheet2!DU117)</f>
        <v>NA</v>
      </c>
      <c r="DK118" s="14" t="str">
        <f>IF([1]Sheet2!DV117=999999,"NA",[1]Sheet2!DV117)</f>
        <v>NA</v>
      </c>
      <c r="DL118" s="14" t="str">
        <f>IF([1]Sheet2!DW117=999999,"NA",[1]Sheet2!DW117)</f>
        <v>NA</v>
      </c>
      <c r="DM118" s="14">
        <f>IF([1]Sheet2!DX117=999999,"NA",[1]Sheet2!DX117)</f>
        <v>0</v>
      </c>
      <c r="DN118" s="14">
        <f>IF([1]Sheet2!DY117=999999,"NA",[1]Sheet2!DY117)</f>
        <v>250</v>
      </c>
      <c r="DO118" s="14" t="str">
        <f>IF([1]Sheet2!DZ117=999999,"NA",[1]Sheet2!DZ117)</f>
        <v>NA</v>
      </c>
      <c r="DP118" s="14" t="str">
        <f>IF([1]Sheet2!EA117=999999,"NA",[1]Sheet2!EA117)</f>
        <v>NA</v>
      </c>
      <c r="DQ118" s="14" t="str">
        <f>IF([1]Sheet2!EB117=999999,"NA",[1]Sheet2!EB117)</f>
        <v>NA</v>
      </c>
      <c r="DR118" s="14">
        <f>[1]Sheet2!CY117</f>
        <v>0</v>
      </c>
      <c r="DS118" s="14">
        <f>[1]Sheet2!CZ117</f>
        <v>0</v>
      </c>
      <c r="DT118" s="14">
        <f>[1]Sheet2!DA117</f>
        <v>0</v>
      </c>
      <c r="DU118" s="14">
        <f>[1]Sheet2!DB117</f>
        <v>0</v>
      </c>
      <c r="DV118" s="14">
        <f>[1]Sheet2!DC117</f>
        <v>0</v>
      </c>
      <c r="DW118" s="14">
        <f>[1]Sheet2!DD117</f>
        <v>0</v>
      </c>
      <c r="DX118" s="14">
        <f>[1]Sheet2!DE117</f>
        <v>0</v>
      </c>
      <c r="DY118" s="14">
        <f>[1]Sheet2!DF117</f>
        <v>0</v>
      </c>
      <c r="DZ118" s="14">
        <f>[1]Sheet2!DG117</f>
        <v>0</v>
      </c>
      <c r="EA118" s="14">
        <f>[1]Sheet2!DH117</f>
        <v>0</v>
      </c>
      <c r="EB118" s="6">
        <f>[1]Sheet2!EC117</f>
        <v>0</v>
      </c>
      <c r="EC118" s="6">
        <f>[1]Sheet2!ED117</f>
        <v>0</v>
      </c>
      <c r="ED118" s="6">
        <f>[1]Sheet2!EE117</f>
        <v>0</v>
      </c>
      <c r="EE118" s="6">
        <f>[1]Sheet2!EF117</f>
        <v>0</v>
      </c>
      <c r="EF118" s="6">
        <f>[1]Sheet2!EG117</f>
        <v>0</v>
      </c>
      <c r="EG118" s="6">
        <f>[1]Sheet2!EH117</f>
        <v>0</v>
      </c>
      <c r="EH118" s="6">
        <f>[1]Sheet2!EI117</f>
        <v>0</v>
      </c>
      <c r="EI118" s="6">
        <f>[1]Sheet2!EJ117</f>
        <v>0</v>
      </c>
      <c r="EJ118" s="6">
        <f>[1]Sheet2!EK117</f>
        <v>0</v>
      </c>
      <c r="EK118" s="6">
        <f>[1]Sheet2!EL117</f>
        <v>0</v>
      </c>
      <c r="EL118" s="6" t="str">
        <f>[1]Sheet2!EM117</f>
        <v/>
      </c>
      <c r="EM118" s="6" t="str">
        <f>[1]Sheet2!EN117</f>
        <v/>
      </c>
      <c r="EN118" s="6" t="str">
        <f>[1]Sheet2!EO117</f>
        <v/>
      </c>
      <c r="EO118" s="6" t="str">
        <f>[1]Sheet2!EP117</f>
        <v/>
      </c>
      <c r="EP118" s="6" t="str">
        <f>[1]Sheet2!EQ117</f>
        <v/>
      </c>
      <c r="EQ118" s="6" t="str">
        <f>[1]Sheet2!ER117</f>
        <v/>
      </c>
      <c r="ER118" s="6" t="str">
        <f>[1]Sheet2!ES117</f>
        <v/>
      </c>
      <c r="ES118" s="6" t="str">
        <f>[1]Sheet2!ET117</f>
        <v/>
      </c>
      <c r="ET118" s="6" t="str">
        <f>[1]Sheet2!EU117</f>
        <v/>
      </c>
      <c r="EU118" s="6" t="str">
        <f>[1]Sheet2!EV117</f>
        <v/>
      </c>
      <c r="EV118" s="6" t="str">
        <f>[1]Sheet2!EW117</f>
        <v/>
      </c>
      <c r="EW118" s="6" t="str">
        <f>[1]Sheet2!EX117</f>
        <v/>
      </c>
      <c r="EX118" s="6" t="str">
        <f>[1]Sheet2!EY117</f>
        <v/>
      </c>
      <c r="EY118" s="6" t="str">
        <f>[1]Sheet2!EZ117</f>
        <v/>
      </c>
      <c r="EZ118" s="6" t="str">
        <f>[1]Sheet2!FA117</f>
        <v/>
      </c>
      <c r="FA118" s="6" t="str">
        <f>[1]Sheet2!FB117</f>
        <v/>
      </c>
      <c r="FB118" s="6" t="str">
        <f>[1]Sheet2!FC117</f>
        <v/>
      </c>
      <c r="FC118" s="6" t="str">
        <f>[1]Sheet2!FD117</f>
        <v/>
      </c>
      <c r="FD118" s="6" t="str">
        <f>[1]Sheet2!FE117</f>
        <v/>
      </c>
      <c r="FE118" s="6" t="str">
        <f>[1]Sheet2!FF117</f>
        <v/>
      </c>
      <c r="FF118" s="6" t="str">
        <f>[1]Sheet2!FG117</f>
        <v/>
      </c>
      <c r="FG118" s="6" t="str">
        <f>[1]Sheet2!FH117</f>
        <v/>
      </c>
      <c r="FH118" s="6" t="str">
        <f>[1]Sheet2!FI117</f>
        <v/>
      </c>
      <c r="FI118" s="6" t="str">
        <f>[1]Sheet2!FJ117</f>
        <v/>
      </c>
      <c r="FJ118" s="6" t="str">
        <f>[1]Sheet2!FK117</f>
        <v/>
      </c>
      <c r="FK118" s="6" t="str">
        <f>[1]Sheet2!FL117</f>
        <v/>
      </c>
      <c r="FL118" s="6" t="str">
        <f>[1]Sheet2!FM117</f>
        <v/>
      </c>
      <c r="FM118" s="6" t="str">
        <f>[1]Sheet2!FN117</f>
        <v/>
      </c>
      <c r="FN118" s="6" t="str">
        <f>[1]Sheet2!FO117</f>
        <v/>
      </c>
      <c r="FO118" s="6" t="str">
        <f>[1]Sheet2!FP117</f>
        <v/>
      </c>
    </row>
    <row r="119" spans="1:171" x14ac:dyDescent="0.25">
      <c r="A119" s="15">
        <v>43581</v>
      </c>
      <c r="B119" s="1"/>
      <c r="C119" s="1"/>
      <c r="D119" s="1"/>
      <c r="E119" s="14">
        <f>[1]Sheet2!N118</f>
        <v>48000</v>
      </c>
      <c r="F119" s="14">
        <f>[1]Sheet2!BE118</f>
        <v>0</v>
      </c>
      <c r="G119" s="14">
        <f>[1]Sheet2!CW118</f>
        <v>0</v>
      </c>
      <c r="H119" s="1"/>
      <c r="I119" s="1"/>
      <c r="J119" s="1"/>
      <c r="K119" s="16"/>
      <c r="L119" s="16">
        <f>Demand_CWRS!B$6/30</f>
        <v>136.96097796474356</v>
      </c>
      <c r="M119" s="16">
        <f>Demand_CWRS!C$6/30</f>
        <v>544.43376068376062</v>
      </c>
      <c r="N119" s="16">
        <f>Demand_CWRS!D$6/30</f>
        <v>0</v>
      </c>
      <c r="O119" s="16">
        <f>Demand_CWRS!E$6/30</f>
        <v>108.97435897435896</v>
      </c>
      <c r="P119" s="16">
        <f>Demand_CWRS!F$6/30</f>
        <v>213.3621347489316</v>
      </c>
      <c r="Q119" s="16">
        <f>Demand_CWRS!G$6/30</f>
        <v>133.33333333333334</v>
      </c>
      <c r="R119" s="16">
        <f>Demand_CWRS!H$6/30</f>
        <v>213.3621347489316</v>
      </c>
      <c r="S119" s="16">
        <f>Demand_CWRS!I$6/30</f>
        <v>213.3621347489316</v>
      </c>
      <c r="T119" s="16">
        <f>Demand_CWRS!J$6/30</f>
        <v>213.3621347489316</v>
      </c>
      <c r="U119" s="16">
        <f>Demand_CWRS!K$6/30</f>
        <v>213.3621347489316</v>
      </c>
      <c r="V119" s="16">
        <f t="shared" si="36"/>
        <v>-14039.989728902949</v>
      </c>
      <c r="W119" s="16">
        <f t="shared" si="37"/>
        <v>-47337.400854700747</v>
      </c>
      <c r="X119" s="16">
        <f t="shared" si="38"/>
        <v>0</v>
      </c>
      <c r="Y119" s="16">
        <f t="shared" si="39"/>
        <v>-4312.7380882830148</v>
      </c>
      <c r="Z119" s="16">
        <f t="shared" si="40"/>
        <v>-21656.93271967637</v>
      </c>
      <c r="AA119" s="16">
        <f t="shared" si="41"/>
        <v>-12728.727158390153</v>
      </c>
      <c r="AB119" s="16">
        <f t="shared" si="42"/>
        <v>-26137.976389548188</v>
      </c>
      <c r="AC119" s="16">
        <f t="shared" si="43"/>
        <v>-20344.96613313791</v>
      </c>
      <c r="AD119" s="16">
        <f t="shared" si="44"/>
        <v>-20444.966133137903</v>
      </c>
      <c r="AE119" s="16">
        <f t="shared" si="45"/>
        <v>-21044.966133137907</v>
      </c>
      <c r="AF119" s="14">
        <f>IF([1]Sheet2!AJ118=999999,"NA",[1]Sheet2!AJ118)</f>
        <v>0</v>
      </c>
      <c r="AG119" s="14">
        <f>IF([1]Sheet2!AK118=999999,"NA",[1]Sheet2!AK118)</f>
        <v>0</v>
      </c>
      <c r="AH119" s="14" t="str">
        <f>IF([1]Sheet2!AL118=999999,"NA",[1]Sheet2!AL118)</f>
        <v>NA</v>
      </c>
      <c r="AI119" s="14">
        <f>IF([1]Sheet2!AM118=999999,"NA",[1]Sheet2!AM118)</f>
        <v>0</v>
      </c>
      <c r="AJ119" s="14">
        <f>IF([1]Sheet2!AN118=999999,"NA",[1]Sheet2!AN118)</f>
        <v>0</v>
      </c>
      <c r="AK119" s="14">
        <f>IF([1]Sheet2!AO118=999999,"NA",[1]Sheet2!AO118)</f>
        <v>0</v>
      </c>
      <c r="AL119" s="14">
        <f>IF([1]Sheet2!AP118=999999,"NA",[1]Sheet2!AP118)</f>
        <v>0</v>
      </c>
      <c r="AM119" s="14">
        <f>IF([1]Sheet2!AQ118=999999,"NA",[1]Sheet2!AQ118)</f>
        <v>0</v>
      </c>
      <c r="AN119" s="14">
        <f>IF([1]Sheet2!AR118=999999,"NA",[1]Sheet2!AR118)</f>
        <v>0</v>
      </c>
      <c r="AO119" s="14">
        <f>IF([1]Sheet2!AS118=999999,"NA",[1]Sheet2!AS118)</f>
        <v>0</v>
      </c>
      <c r="AP119" s="14">
        <f>[1]Sheet2!P118</f>
        <v>0</v>
      </c>
      <c r="AQ119" s="14">
        <f>[1]Sheet2!Q118</f>
        <v>0</v>
      </c>
      <c r="AR119" s="14">
        <f>[1]Sheet2!R118</f>
        <v>0</v>
      </c>
      <c r="AS119" s="14">
        <f>[1]Sheet2!S118</f>
        <v>0</v>
      </c>
      <c r="AT119" s="14">
        <f>[1]Sheet2!T118</f>
        <v>0</v>
      </c>
      <c r="AU119" s="14">
        <f>[1]Sheet2!U118</f>
        <v>0</v>
      </c>
      <c r="AV119" s="14">
        <f>[1]Sheet2!V118</f>
        <v>0</v>
      </c>
      <c r="AW119" s="14">
        <f>[1]Sheet2!W118</f>
        <v>0</v>
      </c>
      <c r="AX119" s="14">
        <f>[1]Sheet2!X118</f>
        <v>0</v>
      </c>
      <c r="AY119" s="14">
        <f>[1]Sheet2!Y118</f>
        <v>0</v>
      </c>
      <c r="AZ119" s="16">
        <f>Demand_LP!B$6/30</f>
        <v>790.61612406517088</v>
      </c>
      <c r="BA119" s="16">
        <f>Demand_LP!C$6/30</f>
        <v>816.46367521367517</v>
      </c>
      <c r="BB119" s="16">
        <f>Demand_LP!D$6/30</f>
        <v>346.63461538461536</v>
      </c>
      <c r="BC119" s="16">
        <f>Demand_LP!E$6/30</f>
        <v>795.48076923076928</v>
      </c>
      <c r="BD119" s="16">
        <f>Demand_LP!F$6/30</f>
        <v>472.52230168269227</v>
      </c>
      <c r="BE119" s="16">
        <f>Demand_LP!G$6/30</f>
        <v>472.52230168269227</v>
      </c>
      <c r="BF119" s="16">
        <f>Demand_LP!H$6/30</f>
        <v>816.46367521367517</v>
      </c>
      <c r="BG119" s="16">
        <f>Demand_LP!I$6/30</f>
        <v>472.52230168269227</v>
      </c>
      <c r="BH119" s="16">
        <f>Demand_LP!J$6/30</f>
        <v>472.52230168269227</v>
      </c>
      <c r="BI119" s="16">
        <f>Demand_LP!K$6/30</f>
        <v>472.52230168269227</v>
      </c>
      <c r="BJ119" s="16">
        <f t="shared" si="46"/>
        <v>-72258.043954627879</v>
      </c>
      <c r="BK119" s="16">
        <f t="shared" si="47"/>
        <v>-66844.599145299027</v>
      </c>
      <c r="BL119" s="16">
        <f t="shared" si="48"/>
        <v>-23786.465384615429</v>
      </c>
      <c r="BM119" s="16">
        <f t="shared" si="49"/>
        <v>-77489.047419668874</v>
      </c>
      <c r="BN119" s="16">
        <f t="shared" si="50"/>
        <v>-45727.895925379315</v>
      </c>
      <c r="BO119" s="16">
        <f t="shared" si="51"/>
        <v>-44185.579843750027</v>
      </c>
      <c r="BP119" s="16">
        <f t="shared" si="52"/>
        <v>-61202.178632478557</v>
      </c>
      <c r="BQ119" s="16">
        <f t="shared" si="53"/>
        <v>-44185.579843750027</v>
      </c>
      <c r="BR119" s="16">
        <f t="shared" si="54"/>
        <v>-41785.579843750027</v>
      </c>
      <c r="BS119" s="16">
        <f t="shared" si="55"/>
        <v>-42485.57984375002</v>
      </c>
      <c r="BT119" s="14">
        <f>IF([1]Sheet2!CB118=999999,"NA",[1]Sheet2!CB118)</f>
        <v>0</v>
      </c>
      <c r="BU119" s="14">
        <f>IF([1]Sheet2!CC118=999999,"NA",[1]Sheet2!CC118)</f>
        <v>0</v>
      </c>
      <c r="BV119" s="14">
        <f>IF([1]Sheet2!CD118=999999,"NA",[1]Sheet2!CD118)</f>
        <v>0</v>
      </c>
      <c r="BW119" s="14">
        <f>IF([1]Sheet2!CE118=999999,"NA",[1]Sheet2!CE118)</f>
        <v>0</v>
      </c>
      <c r="BX119" s="14">
        <f>IF([1]Sheet2!CF118=999999,"NA",[1]Sheet2!CF118)</f>
        <v>0</v>
      </c>
      <c r="BY119" s="14">
        <f>IF([1]Sheet2!CG118=999999,"NA",[1]Sheet2!CG118)</f>
        <v>0</v>
      </c>
      <c r="BZ119" s="14">
        <f>IF([1]Sheet2!CH118=999999,"NA",[1]Sheet2!CH118)</f>
        <v>0</v>
      </c>
      <c r="CA119" s="14">
        <f>IF([1]Sheet2!CI118=999999,"NA",[1]Sheet2!CI118)</f>
        <v>0</v>
      </c>
      <c r="CB119" s="14">
        <f>IF([1]Sheet2!CJ118=999999,"NA",[1]Sheet2!CJ118)</f>
        <v>0</v>
      </c>
      <c r="CC119" s="14">
        <f>IF([1]Sheet2!CK118=999999,"NA",[1]Sheet2!CK118)</f>
        <v>0</v>
      </c>
      <c r="CD119" s="14">
        <f>[1]Sheet2!BH118</f>
        <v>0</v>
      </c>
      <c r="CE119" s="14">
        <f>[1]Sheet2!BI118</f>
        <v>0</v>
      </c>
      <c r="CF119" s="14">
        <f>[1]Sheet2!BJ118</f>
        <v>0</v>
      </c>
      <c r="CG119" s="14">
        <f>[1]Sheet2!BK118</f>
        <v>0</v>
      </c>
      <c r="CH119" s="14">
        <f>[1]Sheet2!BL118</f>
        <v>0</v>
      </c>
      <c r="CI119" s="14">
        <f>[1]Sheet2!BM118</f>
        <v>0</v>
      </c>
      <c r="CJ119" s="14">
        <f>[1]Sheet2!BN118</f>
        <v>0</v>
      </c>
      <c r="CK119" s="14">
        <f>[1]Sheet2!BO118</f>
        <v>0</v>
      </c>
      <c r="CL119" s="14">
        <f>[1]Sheet2!BP118</f>
        <v>0</v>
      </c>
      <c r="CM119" s="14">
        <f>[1]Sheet2!BQ118</f>
        <v>0</v>
      </c>
      <c r="CN119" s="16">
        <f>Demand_SW!B$6/30</f>
        <v>173.07692307692304</v>
      </c>
      <c r="CO119" s="16">
        <f>Demand_SW!C$6/30</f>
        <v>0</v>
      </c>
      <c r="CP119" s="16">
        <f>Demand_SW!D$6/30</f>
        <v>0</v>
      </c>
      <c r="CQ119" s="16">
        <f>Demand_SW!E$6/30</f>
        <v>0</v>
      </c>
      <c r="CR119" s="16">
        <f>Demand_SW!F$6/30</f>
        <v>0</v>
      </c>
      <c r="CS119" s="16">
        <f>Demand_SW!G$6/30</f>
        <v>173.07692307692304</v>
      </c>
      <c r="CT119" s="16">
        <f>Demand_SW!H$6/30</f>
        <v>0</v>
      </c>
      <c r="CU119" s="16">
        <f>Demand_SW!I$6/30</f>
        <v>0</v>
      </c>
      <c r="CV119" s="16">
        <f>Demand_SW!J$6/30</f>
        <v>0</v>
      </c>
      <c r="CW119" s="16">
        <f>Demand_SW!K$6/30</f>
        <v>0</v>
      </c>
      <c r="CX119" s="16">
        <f t="shared" si="56"/>
        <v>-10770.769230769234</v>
      </c>
      <c r="CY119" s="16">
        <f t="shared" si="57"/>
        <v>76.923076923077133</v>
      </c>
      <c r="CZ119" s="16">
        <f t="shared" si="58"/>
        <v>0</v>
      </c>
      <c r="DA119" s="16">
        <f t="shared" si="59"/>
        <v>0</v>
      </c>
      <c r="DB119" s="16">
        <f t="shared" si="60"/>
        <v>0</v>
      </c>
      <c r="DC119" s="16">
        <f t="shared" si="61"/>
        <v>-10300.000000000002</v>
      </c>
      <c r="DD119" s="16">
        <f t="shared" si="62"/>
        <v>76.923076923077133</v>
      </c>
      <c r="DE119" s="16">
        <f t="shared" si="63"/>
        <v>0</v>
      </c>
      <c r="DF119" s="16">
        <f t="shared" si="64"/>
        <v>0</v>
      </c>
      <c r="DG119" s="16">
        <f t="shared" si="65"/>
        <v>0</v>
      </c>
      <c r="DH119" s="14">
        <f>IF([1]Sheet2!DS118=999999,"NA",[1]Sheet2!DS118)</f>
        <v>0</v>
      </c>
      <c r="DI119" s="14">
        <f>IF([1]Sheet2!DT118=999999,"NA",[1]Sheet2!DT118)</f>
        <v>249</v>
      </c>
      <c r="DJ119" s="14" t="str">
        <f>IF([1]Sheet2!DU118=999999,"NA",[1]Sheet2!DU118)</f>
        <v>NA</v>
      </c>
      <c r="DK119" s="14" t="str">
        <f>IF([1]Sheet2!DV118=999999,"NA",[1]Sheet2!DV118)</f>
        <v>NA</v>
      </c>
      <c r="DL119" s="14" t="str">
        <f>IF([1]Sheet2!DW118=999999,"NA",[1]Sheet2!DW118)</f>
        <v>NA</v>
      </c>
      <c r="DM119" s="14">
        <f>IF([1]Sheet2!DX118=999999,"NA",[1]Sheet2!DX118)</f>
        <v>0</v>
      </c>
      <c r="DN119" s="14">
        <f>IF([1]Sheet2!DY118=999999,"NA",[1]Sheet2!DY118)</f>
        <v>249</v>
      </c>
      <c r="DO119" s="14" t="str">
        <f>IF([1]Sheet2!DZ118=999999,"NA",[1]Sheet2!DZ118)</f>
        <v>NA</v>
      </c>
      <c r="DP119" s="14" t="str">
        <f>IF([1]Sheet2!EA118=999999,"NA",[1]Sheet2!EA118)</f>
        <v>NA</v>
      </c>
      <c r="DQ119" s="14" t="str">
        <f>IF([1]Sheet2!EB118=999999,"NA",[1]Sheet2!EB118)</f>
        <v>NA</v>
      </c>
      <c r="DR119" s="14">
        <f>[1]Sheet2!CY118</f>
        <v>0</v>
      </c>
      <c r="DS119" s="14">
        <f>[1]Sheet2!CZ118</f>
        <v>0</v>
      </c>
      <c r="DT119" s="14">
        <f>[1]Sheet2!DA118</f>
        <v>0</v>
      </c>
      <c r="DU119" s="14">
        <f>[1]Sheet2!DB118</f>
        <v>0</v>
      </c>
      <c r="DV119" s="14">
        <f>[1]Sheet2!DC118</f>
        <v>0</v>
      </c>
      <c r="DW119" s="14">
        <f>[1]Sheet2!DD118</f>
        <v>0</v>
      </c>
      <c r="DX119" s="14">
        <f>[1]Sheet2!DE118</f>
        <v>0</v>
      </c>
      <c r="DY119" s="14">
        <f>[1]Sheet2!DF118</f>
        <v>0</v>
      </c>
      <c r="DZ119" s="14">
        <f>[1]Sheet2!DG118</f>
        <v>0</v>
      </c>
      <c r="EA119" s="14">
        <f>[1]Sheet2!DH118</f>
        <v>0</v>
      </c>
      <c r="EB119" s="6">
        <f>[1]Sheet2!EC118</f>
        <v>0</v>
      </c>
      <c r="EC119" s="6">
        <f>[1]Sheet2!ED118</f>
        <v>0</v>
      </c>
      <c r="ED119" s="6">
        <f>[1]Sheet2!EE118</f>
        <v>0</v>
      </c>
      <c r="EE119" s="6">
        <f>[1]Sheet2!EF118</f>
        <v>0</v>
      </c>
      <c r="EF119" s="6">
        <f>[1]Sheet2!EG118</f>
        <v>0</v>
      </c>
      <c r="EG119" s="6">
        <f>[1]Sheet2!EH118</f>
        <v>0</v>
      </c>
      <c r="EH119" s="6">
        <f>[1]Sheet2!EI118</f>
        <v>0</v>
      </c>
      <c r="EI119" s="6">
        <f>[1]Sheet2!EJ118</f>
        <v>0</v>
      </c>
      <c r="EJ119" s="6">
        <f>[1]Sheet2!EK118</f>
        <v>0</v>
      </c>
      <c r="EK119" s="6">
        <f>[1]Sheet2!EL118</f>
        <v>0</v>
      </c>
      <c r="EL119" s="6" t="str">
        <f>[1]Sheet2!EM118</f>
        <v/>
      </c>
      <c r="EM119" s="6" t="str">
        <f>[1]Sheet2!EN118</f>
        <v/>
      </c>
      <c r="EN119" s="6" t="str">
        <f>[1]Sheet2!EO118</f>
        <v/>
      </c>
      <c r="EO119" s="6" t="str">
        <f>[1]Sheet2!EP118</f>
        <v/>
      </c>
      <c r="EP119" s="6" t="str">
        <f>[1]Sheet2!EQ118</f>
        <v/>
      </c>
      <c r="EQ119" s="6" t="str">
        <f>[1]Sheet2!ER118</f>
        <v/>
      </c>
      <c r="ER119" s="6" t="str">
        <f>[1]Sheet2!ES118</f>
        <v/>
      </c>
      <c r="ES119" s="6" t="str">
        <f>[1]Sheet2!ET118</f>
        <v/>
      </c>
      <c r="ET119" s="6" t="str">
        <f>[1]Sheet2!EU118</f>
        <v/>
      </c>
      <c r="EU119" s="6" t="str">
        <f>[1]Sheet2!EV118</f>
        <v/>
      </c>
      <c r="EV119" s="6" t="str">
        <f>[1]Sheet2!EW118</f>
        <v/>
      </c>
      <c r="EW119" s="6" t="str">
        <f>[1]Sheet2!EX118</f>
        <v/>
      </c>
      <c r="EX119" s="6" t="str">
        <f>[1]Sheet2!EY118</f>
        <v/>
      </c>
      <c r="EY119" s="6" t="str">
        <f>[1]Sheet2!EZ118</f>
        <v/>
      </c>
      <c r="EZ119" s="6" t="str">
        <f>[1]Sheet2!FA118</f>
        <v/>
      </c>
      <c r="FA119" s="6" t="str">
        <f>[1]Sheet2!FB118</f>
        <v/>
      </c>
      <c r="FB119" s="6" t="str">
        <f>[1]Sheet2!FC118</f>
        <v/>
      </c>
      <c r="FC119" s="6" t="str">
        <f>[1]Sheet2!FD118</f>
        <v/>
      </c>
      <c r="FD119" s="6" t="str">
        <f>[1]Sheet2!FE118</f>
        <v/>
      </c>
      <c r="FE119" s="6" t="str">
        <f>[1]Sheet2!FF118</f>
        <v/>
      </c>
      <c r="FF119" s="6" t="str">
        <f>[1]Sheet2!FG118</f>
        <v/>
      </c>
      <c r="FG119" s="6" t="str">
        <f>[1]Sheet2!FH118</f>
        <v/>
      </c>
      <c r="FH119" s="6" t="str">
        <f>[1]Sheet2!FI118</f>
        <v/>
      </c>
      <c r="FI119" s="6" t="str">
        <f>[1]Sheet2!FJ118</f>
        <v/>
      </c>
      <c r="FJ119" s="6" t="str">
        <f>[1]Sheet2!FK118</f>
        <v/>
      </c>
      <c r="FK119" s="6" t="str">
        <f>[1]Sheet2!FL118</f>
        <v/>
      </c>
      <c r="FL119" s="6" t="str">
        <f>[1]Sheet2!FM118</f>
        <v/>
      </c>
      <c r="FM119" s="6" t="str">
        <f>[1]Sheet2!FN118</f>
        <v/>
      </c>
      <c r="FN119" s="6" t="str">
        <f>[1]Sheet2!FO118</f>
        <v/>
      </c>
      <c r="FO119" s="6" t="str">
        <f>[1]Sheet2!FP118</f>
        <v/>
      </c>
    </row>
    <row r="120" spans="1:171" x14ac:dyDescent="0.25">
      <c r="A120" s="15">
        <v>43582</v>
      </c>
      <c r="B120" s="1"/>
      <c r="C120" s="1"/>
      <c r="D120" s="1"/>
      <c r="E120" s="14">
        <f>[1]Sheet2!N119</f>
        <v>0</v>
      </c>
      <c r="F120" s="14">
        <f>[1]Sheet2!BE119</f>
        <v>0</v>
      </c>
      <c r="G120" s="14">
        <f>[1]Sheet2!CW119</f>
        <v>0</v>
      </c>
      <c r="H120" s="1"/>
      <c r="I120" s="1"/>
      <c r="J120" s="1"/>
      <c r="K120" s="16"/>
      <c r="L120" s="16">
        <f>Demand_CWRS!B$6/30</f>
        <v>136.96097796474356</v>
      </c>
      <c r="M120" s="16">
        <f>Demand_CWRS!C$6/30</f>
        <v>544.43376068376062</v>
      </c>
      <c r="N120" s="16">
        <f>Demand_CWRS!D$6/30</f>
        <v>0</v>
      </c>
      <c r="O120" s="16">
        <f>Demand_CWRS!E$6/30</f>
        <v>108.97435897435896</v>
      </c>
      <c r="P120" s="16">
        <f>Demand_CWRS!F$6/30</f>
        <v>213.3621347489316</v>
      </c>
      <c r="Q120" s="16">
        <f>Demand_CWRS!G$6/30</f>
        <v>133.33333333333334</v>
      </c>
      <c r="R120" s="16">
        <f>Demand_CWRS!H$6/30</f>
        <v>213.3621347489316</v>
      </c>
      <c r="S120" s="16">
        <f>Demand_CWRS!I$6/30</f>
        <v>213.3621347489316</v>
      </c>
      <c r="T120" s="16">
        <f>Demand_CWRS!J$6/30</f>
        <v>213.3621347489316</v>
      </c>
      <c r="U120" s="16">
        <f>Demand_CWRS!K$6/30</f>
        <v>213.3621347489316</v>
      </c>
      <c r="V120" s="16">
        <f t="shared" si="36"/>
        <v>-14176.950706867692</v>
      </c>
      <c r="W120" s="16">
        <f t="shared" si="37"/>
        <v>-47881.834615384505</v>
      </c>
      <c r="X120" s="16">
        <f t="shared" si="38"/>
        <v>0</v>
      </c>
      <c r="Y120" s="16">
        <f t="shared" si="39"/>
        <v>-4421.7124472573742</v>
      </c>
      <c r="Z120" s="16">
        <f t="shared" si="40"/>
        <v>-21870.294854425301</v>
      </c>
      <c r="AA120" s="16">
        <f t="shared" si="41"/>
        <v>-12862.060491723487</v>
      </c>
      <c r="AB120" s="16">
        <f t="shared" si="42"/>
        <v>-26351.33852429712</v>
      </c>
      <c r="AC120" s="16">
        <f t="shared" si="43"/>
        <v>-20558.328267886842</v>
      </c>
      <c r="AD120" s="16">
        <f t="shared" si="44"/>
        <v>-20658.328267886835</v>
      </c>
      <c r="AE120" s="16">
        <f t="shared" si="45"/>
        <v>-21258.328267886838</v>
      </c>
      <c r="AF120" s="14">
        <f>IF([1]Sheet2!AJ119=999999,"NA",[1]Sheet2!AJ119)</f>
        <v>0</v>
      </c>
      <c r="AG120" s="14">
        <f>IF([1]Sheet2!AK119=999999,"NA",[1]Sheet2!AK119)</f>
        <v>0</v>
      </c>
      <c r="AH120" s="14" t="str">
        <f>IF([1]Sheet2!AL119=999999,"NA",[1]Sheet2!AL119)</f>
        <v>NA</v>
      </c>
      <c r="AI120" s="14">
        <f>IF([1]Sheet2!AM119=999999,"NA",[1]Sheet2!AM119)</f>
        <v>0</v>
      </c>
      <c r="AJ120" s="14">
        <f>IF([1]Sheet2!AN119=999999,"NA",[1]Sheet2!AN119)</f>
        <v>0</v>
      </c>
      <c r="AK120" s="14">
        <f>IF([1]Sheet2!AO119=999999,"NA",[1]Sheet2!AO119)</f>
        <v>0</v>
      </c>
      <c r="AL120" s="14">
        <f>IF([1]Sheet2!AP119=999999,"NA",[1]Sheet2!AP119)</f>
        <v>0</v>
      </c>
      <c r="AM120" s="14">
        <f>IF([1]Sheet2!AQ119=999999,"NA",[1]Sheet2!AQ119)</f>
        <v>0</v>
      </c>
      <c r="AN120" s="14">
        <f>IF([1]Sheet2!AR119=999999,"NA",[1]Sheet2!AR119)</f>
        <v>0</v>
      </c>
      <c r="AO120" s="14">
        <f>IF([1]Sheet2!AS119=999999,"NA",[1]Sheet2!AS119)</f>
        <v>0</v>
      </c>
      <c r="AP120" s="14">
        <f>[1]Sheet2!P119</f>
        <v>0</v>
      </c>
      <c r="AQ120" s="14">
        <f>[1]Sheet2!Q119</f>
        <v>0</v>
      </c>
      <c r="AR120" s="14">
        <f>[1]Sheet2!R119</f>
        <v>0</v>
      </c>
      <c r="AS120" s="14">
        <f>[1]Sheet2!S119</f>
        <v>0</v>
      </c>
      <c r="AT120" s="14">
        <f>[1]Sheet2!T119</f>
        <v>0</v>
      </c>
      <c r="AU120" s="14">
        <f>[1]Sheet2!U119</f>
        <v>0</v>
      </c>
      <c r="AV120" s="14">
        <f>[1]Sheet2!V119</f>
        <v>0</v>
      </c>
      <c r="AW120" s="14">
        <f>[1]Sheet2!W119</f>
        <v>0</v>
      </c>
      <c r="AX120" s="14">
        <f>[1]Sheet2!X119</f>
        <v>0</v>
      </c>
      <c r="AY120" s="14">
        <f>[1]Sheet2!Y119</f>
        <v>0</v>
      </c>
      <c r="AZ120" s="16">
        <f>Demand_LP!B$6/30</f>
        <v>790.61612406517088</v>
      </c>
      <c r="BA120" s="16">
        <f>Demand_LP!C$6/30</f>
        <v>816.46367521367517</v>
      </c>
      <c r="BB120" s="16">
        <f>Demand_LP!D$6/30</f>
        <v>346.63461538461536</v>
      </c>
      <c r="BC120" s="16">
        <f>Demand_LP!E$6/30</f>
        <v>795.48076923076928</v>
      </c>
      <c r="BD120" s="16">
        <f>Demand_LP!F$6/30</f>
        <v>472.52230168269227</v>
      </c>
      <c r="BE120" s="16">
        <f>Demand_LP!G$6/30</f>
        <v>472.52230168269227</v>
      </c>
      <c r="BF120" s="16">
        <f>Demand_LP!H$6/30</f>
        <v>816.46367521367517</v>
      </c>
      <c r="BG120" s="16">
        <f>Demand_LP!I$6/30</f>
        <v>472.52230168269227</v>
      </c>
      <c r="BH120" s="16">
        <f>Demand_LP!J$6/30</f>
        <v>472.52230168269227</v>
      </c>
      <c r="BI120" s="16">
        <f>Demand_LP!K$6/30</f>
        <v>472.52230168269227</v>
      </c>
      <c r="BJ120" s="16">
        <f t="shared" si="46"/>
        <v>-73048.66007869305</v>
      </c>
      <c r="BK120" s="16">
        <f t="shared" si="47"/>
        <v>-67661.0628205127</v>
      </c>
      <c r="BL120" s="16">
        <f t="shared" si="48"/>
        <v>-24133.100000000046</v>
      </c>
      <c r="BM120" s="16">
        <f t="shared" si="49"/>
        <v>-78284.52818889964</v>
      </c>
      <c r="BN120" s="16">
        <f t="shared" si="50"/>
        <v>-46200.418227062008</v>
      </c>
      <c r="BO120" s="16">
        <f t="shared" si="51"/>
        <v>-44658.10214543272</v>
      </c>
      <c r="BP120" s="16">
        <f t="shared" si="52"/>
        <v>-62018.642307692229</v>
      </c>
      <c r="BQ120" s="16">
        <f t="shared" si="53"/>
        <v>-44658.10214543272</v>
      </c>
      <c r="BR120" s="16">
        <f t="shared" si="54"/>
        <v>-42258.10214543272</v>
      </c>
      <c r="BS120" s="16">
        <f t="shared" si="55"/>
        <v>-42958.102145432713</v>
      </c>
      <c r="BT120" s="14">
        <f>IF([1]Sheet2!CB119=999999,"NA",[1]Sheet2!CB119)</f>
        <v>0</v>
      </c>
      <c r="BU120" s="14">
        <f>IF([1]Sheet2!CC119=999999,"NA",[1]Sheet2!CC119)</f>
        <v>0</v>
      </c>
      <c r="BV120" s="14">
        <f>IF([1]Sheet2!CD119=999999,"NA",[1]Sheet2!CD119)</f>
        <v>0</v>
      </c>
      <c r="BW120" s="14">
        <f>IF([1]Sheet2!CE119=999999,"NA",[1]Sheet2!CE119)</f>
        <v>0</v>
      </c>
      <c r="BX120" s="14">
        <f>IF([1]Sheet2!CF119=999999,"NA",[1]Sheet2!CF119)</f>
        <v>0</v>
      </c>
      <c r="BY120" s="14">
        <f>IF([1]Sheet2!CG119=999999,"NA",[1]Sheet2!CG119)</f>
        <v>0</v>
      </c>
      <c r="BZ120" s="14">
        <f>IF([1]Sheet2!CH119=999999,"NA",[1]Sheet2!CH119)</f>
        <v>0</v>
      </c>
      <c r="CA120" s="14">
        <f>IF([1]Sheet2!CI119=999999,"NA",[1]Sheet2!CI119)</f>
        <v>0</v>
      </c>
      <c r="CB120" s="14">
        <f>IF([1]Sheet2!CJ119=999999,"NA",[1]Sheet2!CJ119)</f>
        <v>0</v>
      </c>
      <c r="CC120" s="14">
        <f>IF([1]Sheet2!CK119=999999,"NA",[1]Sheet2!CK119)</f>
        <v>0</v>
      </c>
      <c r="CD120" s="14">
        <f>[1]Sheet2!BH119</f>
        <v>0</v>
      </c>
      <c r="CE120" s="14">
        <f>[1]Sheet2!BI119</f>
        <v>0</v>
      </c>
      <c r="CF120" s="14">
        <f>[1]Sheet2!BJ119</f>
        <v>0</v>
      </c>
      <c r="CG120" s="14">
        <f>[1]Sheet2!BK119</f>
        <v>0</v>
      </c>
      <c r="CH120" s="14">
        <f>[1]Sheet2!BL119</f>
        <v>0</v>
      </c>
      <c r="CI120" s="14">
        <f>[1]Sheet2!BM119</f>
        <v>0</v>
      </c>
      <c r="CJ120" s="14">
        <f>[1]Sheet2!BN119</f>
        <v>0</v>
      </c>
      <c r="CK120" s="14">
        <f>[1]Sheet2!BO119</f>
        <v>0</v>
      </c>
      <c r="CL120" s="14">
        <f>[1]Sheet2!BP119</f>
        <v>0</v>
      </c>
      <c r="CM120" s="14">
        <f>[1]Sheet2!BQ119</f>
        <v>0</v>
      </c>
      <c r="CN120" s="16">
        <f>Demand_SW!B$6/30</f>
        <v>173.07692307692304</v>
      </c>
      <c r="CO120" s="16">
        <f>Demand_SW!C$6/30</f>
        <v>0</v>
      </c>
      <c r="CP120" s="16">
        <f>Demand_SW!D$6/30</f>
        <v>0</v>
      </c>
      <c r="CQ120" s="16">
        <f>Demand_SW!E$6/30</f>
        <v>0</v>
      </c>
      <c r="CR120" s="16">
        <f>Demand_SW!F$6/30</f>
        <v>0</v>
      </c>
      <c r="CS120" s="16">
        <f>Demand_SW!G$6/30</f>
        <v>173.07692307692304</v>
      </c>
      <c r="CT120" s="16">
        <f>Demand_SW!H$6/30</f>
        <v>0</v>
      </c>
      <c r="CU120" s="16">
        <f>Demand_SW!I$6/30</f>
        <v>0</v>
      </c>
      <c r="CV120" s="16">
        <f>Demand_SW!J$6/30</f>
        <v>0</v>
      </c>
      <c r="CW120" s="16">
        <f>Demand_SW!K$6/30</f>
        <v>0</v>
      </c>
      <c r="CX120" s="16">
        <f t="shared" si="56"/>
        <v>-10943.846153846158</v>
      </c>
      <c r="CY120" s="16">
        <f t="shared" si="57"/>
        <v>76.923076923077133</v>
      </c>
      <c r="CZ120" s="16">
        <f t="shared" si="58"/>
        <v>0</v>
      </c>
      <c r="DA120" s="16">
        <f t="shared" si="59"/>
        <v>0</v>
      </c>
      <c r="DB120" s="16">
        <f t="shared" si="60"/>
        <v>0</v>
      </c>
      <c r="DC120" s="16">
        <f t="shared" si="61"/>
        <v>-10473.076923076926</v>
      </c>
      <c r="DD120" s="16">
        <f t="shared" si="62"/>
        <v>76.923076923077133</v>
      </c>
      <c r="DE120" s="16">
        <f t="shared" si="63"/>
        <v>0</v>
      </c>
      <c r="DF120" s="16">
        <f t="shared" si="64"/>
        <v>0</v>
      </c>
      <c r="DG120" s="16">
        <f t="shared" si="65"/>
        <v>0</v>
      </c>
      <c r="DH120" s="14">
        <f>IF([1]Sheet2!DS119=999999,"NA",[1]Sheet2!DS119)</f>
        <v>0</v>
      </c>
      <c r="DI120" s="14">
        <f>IF([1]Sheet2!DT119=999999,"NA",[1]Sheet2!DT119)</f>
        <v>248</v>
      </c>
      <c r="DJ120" s="14" t="str">
        <f>IF([1]Sheet2!DU119=999999,"NA",[1]Sheet2!DU119)</f>
        <v>NA</v>
      </c>
      <c r="DK120" s="14" t="str">
        <f>IF([1]Sheet2!DV119=999999,"NA",[1]Sheet2!DV119)</f>
        <v>NA</v>
      </c>
      <c r="DL120" s="14" t="str">
        <f>IF([1]Sheet2!DW119=999999,"NA",[1]Sheet2!DW119)</f>
        <v>NA</v>
      </c>
      <c r="DM120" s="14">
        <f>IF([1]Sheet2!DX119=999999,"NA",[1]Sheet2!DX119)</f>
        <v>0</v>
      </c>
      <c r="DN120" s="14">
        <f>IF([1]Sheet2!DY119=999999,"NA",[1]Sheet2!DY119)</f>
        <v>248</v>
      </c>
      <c r="DO120" s="14" t="str">
        <f>IF([1]Sheet2!DZ119=999999,"NA",[1]Sheet2!DZ119)</f>
        <v>NA</v>
      </c>
      <c r="DP120" s="14" t="str">
        <f>IF([1]Sheet2!EA119=999999,"NA",[1]Sheet2!EA119)</f>
        <v>NA</v>
      </c>
      <c r="DQ120" s="14" t="str">
        <f>IF([1]Sheet2!EB119=999999,"NA",[1]Sheet2!EB119)</f>
        <v>NA</v>
      </c>
      <c r="DR120" s="14">
        <f>[1]Sheet2!CY119</f>
        <v>0</v>
      </c>
      <c r="DS120" s="14">
        <f>[1]Sheet2!CZ119</f>
        <v>0</v>
      </c>
      <c r="DT120" s="14">
        <f>[1]Sheet2!DA119</f>
        <v>0</v>
      </c>
      <c r="DU120" s="14">
        <f>[1]Sheet2!DB119</f>
        <v>0</v>
      </c>
      <c r="DV120" s="14">
        <f>[1]Sheet2!DC119</f>
        <v>0</v>
      </c>
      <c r="DW120" s="14">
        <f>[1]Sheet2!DD119</f>
        <v>0</v>
      </c>
      <c r="DX120" s="14">
        <f>[1]Sheet2!DE119</f>
        <v>0</v>
      </c>
      <c r="DY120" s="14">
        <f>[1]Sheet2!DF119</f>
        <v>0</v>
      </c>
      <c r="DZ120" s="14">
        <f>[1]Sheet2!DG119</f>
        <v>0</v>
      </c>
      <c r="EA120" s="14">
        <f>[1]Sheet2!DH119</f>
        <v>0</v>
      </c>
      <c r="EB120" s="6">
        <f>[1]Sheet2!EC119</f>
        <v>0</v>
      </c>
      <c r="EC120" s="6">
        <f>[1]Sheet2!ED119</f>
        <v>0</v>
      </c>
      <c r="ED120" s="6">
        <f>[1]Sheet2!EE119</f>
        <v>0</v>
      </c>
      <c r="EE120" s="6">
        <f>[1]Sheet2!EF119</f>
        <v>0</v>
      </c>
      <c r="EF120" s="6">
        <f>[1]Sheet2!EG119</f>
        <v>0</v>
      </c>
      <c r="EG120" s="6">
        <f>[1]Sheet2!EH119</f>
        <v>0</v>
      </c>
      <c r="EH120" s="6">
        <f>[1]Sheet2!EI119</f>
        <v>0</v>
      </c>
      <c r="EI120" s="6">
        <f>[1]Sheet2!EJ119</f>
        <v>0</v>
      </c>
      <c r="EJ120" s="6">
        <f>[1]Sheet2!EK119</f>
        <v>0</v>
      </c>
      <c r="EK120" s="6">
        <f>[1]Sheet2!EL119</f>
        <v>0</v>
      </c>
      <c r="EL120" s="6" t="str">
        <f>[1]Sheet2!EM119</f>
        <v/>
      </c>
      <c r="EM120" s="6" t="str">
        <f>[1]Sheet2!EN119</f>
        <v/>
      </c>
      <c r="EN120" s="6" t="str">
        <f>[1]Sheet2!EO119</f>
        <v/>
      </c>
      <c r="EO120" s="6" t="str">
        <f>[1]Sheet2!EP119</f>
        <v/>
      </c>
      <c r="EP120" s="6" t="str">
        <f>[1]Sheet2!EQ119</f>
        <v/>
      </c>
      <c r="EQ120" s="6" t="str">
        <f>[1]Sheet2!ER119</f>
        <v/>
      </c>
      <c r="ER120" s="6" t="str">
        <f>[1]Sheet2!ES119</f>
        <v/>
      </c>
      <c r="ES120" s="6" t="str">
        <f>[1]Sheet2!ET119</f>
        <v/>
      </c>
      <c r="ET120" s="6" t="str">
        <f>[1]Sheet2!EU119</f>
        <v/>
      </c>
      <c r="EU120" s="6" t="str">
        <f>[1]Sheet2!EV119</f>
        <v/>
      </c>
      <c r="EV120" s="6" t="str">
        <f>[1]Sheet2!EW119</f>
        <v/>
      </c>
      <c r="EW120" s="6" t="str">
        <f>[1]Sheet2!EX119</f>
        <v/>
      </c>
      <c r="EX120" s="6" t="str">
        <f>[1]Sheet2!EY119</f>
        <v/>
      </c>
      <c r="EY120" s="6" t="str">
        <f>[1]Sheet2!EZ119</f>
        <v/>
      </c>
      <c r="EZ120" s="6" t="str">
        <f>[1]Sheet2!FA119</f>
        <v/>
      </c>
      <c r="FA120" s="6" t="str">
        <f>[1]Sheet2!FB119</f>
        <v/>
      </c>
      <c r="FB120" s="6" t="str">
        <f>[1]Sheet2!FC119</f>
        <v/>
      </c>
      <c r="FC120" s="6" t="str">
        <f>[1]Sheet2!FD119</f>
        <v/>
      </c>
      <c r="FD120" s="6" t="str">
        <f>[1]Sheet2!FE119</f>
        <v/>
      </c>
      <c r="FE120" s="6" t="str">
        <f>[1]Sheet2!FF119</f>
        <v/>
      </c>
      <c r="FF120" s="6" t="str">
        <f>[1]Sheet2!FG119</f>
        <v/>
      </c>
      <c r="FG120" s="6" t="str">
        <f>[1]Sheet2!FH119</f>
        <v/>
      </c>
      <c r="FH120" s="6" t="str">
        <f>[1]Sheet2!FI119</f>
        <v/>
      </c>
      <c r="FI120" s="6" t="str">
        <f>[1]Sheet2!FJ119</f>
        <v/>
      </c>
      <c r="FJ120" s="6" t="str">
        <f>[1]Sheet2!FK119</f>
        <v/>
      </c>
      <c r="FK120" s="6" t="str">
        <f>[1]Sheet2!FL119</f>
        <v/>
      </c>
      <c r="FL120" s="6" t="str">
        <f>[1]Sheet2!FM119</f>
        <v/>
      </c>
      <c r="FM120" s="6" t="str">
        <f>[1]Sheet2!FN119</f>
        <v/>
      </c>
      <c r="FN120" s="6" t="str">
        <f>[1]Sheet2!FO119</f>
        <v/>
      </c>
      <c r="FO120" s="6" t="str">
        <f>[1]Sheet2!FP119</f>
        <v/>
      </c>
    </row>
    <row r="121" spans="1:171" x14ac:dyDescent="0.25">
      <c r="A121" s="15">
        <v>43583</v>
      </c>
      <c r="B121" s="1"/>
      <c r="C121" s="1"/>
      <c r="D121" s="1"/>
      <c r="E121" s="14">
        <f>[1]Sheet2!N120</f>
        <v>0</v>
      </c>
      <c r="F121" s="14">
        <f>[1]Sheet2!BE120</f>
        <v>0</v>
      </c>
      <c r="G121" s="14">
        <f>[1]Sheet2!CW120</f>
        <v>0</v>
      </c>
      <c r="H121" s="1"/>
      <c r="I121" s="1"/>
      <c r="J121" s="1"/>
      <c r="K121" s="16"/>
      <c r="L121" s="16">
        <f>Demand_CWRS!B$6/30</f>
        <v>136.96097796474356</v>
      </c>
      <c r="M121" s="16">
        <f>Demand_CWRS!C$6/30</f>
        <v>544.43376068376062</v>
      </c>
      <c r="N121" s="16">
        <f>Demand_CWRS!D$6/30</f>
        <v>0</v>
      </c>
      <c r="O121" s="16">
        <f>Demand_CWRS!E$6/30</f>
        <v>108.97435897435896</v>
      </c>
      <c r="P121" s="16">
        <f>Demand_CWRS!F$6/30</f>
        <v>213.3621347489316</v>
      </c>
      <c r="Q121" s="16">
        <f>Demand_CWRS!G$6/30</f>
        <v>133.33333333333334</v>
      </c>
      <c r="R121" s="16">
        <f>Demand_CWRS!H$6/30</f>
        <v>213.3621347489316</v>
      </c>
      <c r="S121" s="16">
        <f>Demand_CWRS!I$6/30</f>
        <v>213.3621347489316</v>
      </c>
      <c r="T121" s="16">
        <f>Demand_CWRS!J$6/30</f>
        <v>213.3621347489316</v>
      </c>
      <c r="U121" s="16">
        <f>Demand_CWRS!K$6/30</f>
        <v>213.3621347489316</v>
      </c>
      <c r="V121" s="16">
        <f t="shared" si="36"/>
        <v>-14313.911684832436</v>
      </c>
      <c r="W121" s="16">
        <f t="shared" si="37"/>
        <v>-48426.268376068263</v>
      </c>
      <c r="X121" s="16">
        <f t="shared" si="38"/>
        <v>0</v>
      </c>
      <c r="Y121" s="16">
        <f t="shared" si="39"/>
        <v>-4530.6868062317335</v>
      </c>
      <c r="Z121" s="16">
        <f t="shared" si="40"/>
        <v>-22083.656989174233</v>
      </c>
      <c r="AA121" s="16">
        <f t="shared" si="41"/>
        <v>-12995.393825056821</v>
      </c>
      <c r="AB121" s="16">
        <f t="shared" si="42"/>
        <v>-26564.700659046051</v>
      </c>
      <c r="AC121" s="16">
        <f t="shared" si="43"/>
        <v>-20771.690402635773</v>
      </c>
      <c r="AD121" s="16">
        <f t="shared" si="44"/>
        <v>-20871.690402635766</v>
      </c>
      <c r="AE121" s="16">
        <f t="shared" si="45"/>
        <v>-21471.69040263577</v>
      </c>
      <c r="AF121" s="14">
        <f>IF([1]Sheet2!AJ120=999999,"NA",[1]Sheet2!AJ120)</f>
        <v>0</v>
      </c>
      <c r="AG121" s="14">
        <f>IF([1]Sheet2!AK120=999999,"NA",[1]Sheet2!AK120)</f>
        <v>0</v>
      </c>
      <c r="AH121" s="14" t="str">
        <f>IF([1]Sheet2!AL120=999999,"NA",[1]Sheet2!AL120)</f>
        <v>NA</v>
      </c>
      <c r="AI121" s="14">
        <f>IF([1]Sheet2!AM120=999999,"NA",[1]Sheet2!AM120)</f>
        <v>0</v>
      </c>
      <c r="AJ121" s="14">
        <f>IF([1]Sheet2!AN120=999999,"NA",[1]Sheet2!AN120)</f>
        <v>0</v>
      </c>
      <c r="AK121" s="14">
        <f>IF([1]Sheet2!AO120=999999,"NA",[1]Sheet2!AO120)</f>
        <v>0</v>
      </c>
      <c r="AL121" s="14">
        <f>IF([1]Sheet2!AP120=999999,"NA",[1]Sheet2!AP120)</f>
        <v>0</v>
      </c>
      <c r="AM121" s="14">
        <f>IF([1]Sheet2!AQ120=999999,"NA",[1]Sheet2!AQ120)</f>
        <v>0</v>
      </c>
      <c r="AN121" s="14">
        <f>IF([1]Sheet2!AR120=999999,"NA",[1]Sheet2!AR120)</f>
        <v>0</v>
      </c>
      <c r="AO121" s="14">
        <f>IF([1]Sheet2!AS120=999999,"NA",[1]Sheet2!AS120)</f>
        <v>0</v>
      </c>
      <c r="AP121" s="14">
        <f>[1]Sheet2!P120</f>
        <v>0</v>
      </c>
      <c r="AQ121" s="14">
        <f>[1]Sheet2!Q120</f>
        <v>0</v>
      </c>
      <c r="AR121" s="14">
        <f>[1]Sheet2!R120</f>
        <v>0</v>
      </c>
      <c r="AS121" s="14">
        <f>[1]Sheet2!S120</f>
        <v>0</v>
      </c>
      <c r="AT121" s="14">
        <f>[1]Sheet2!T120</f>
        <v>0</v>
      </c>
      <c r="AU121" s="14">
        <f>[1]Sheet2!U120</f>
        <v>0</v>
      </c>
      <c r="AV121" s="14">
        <f>[1]Sheet2!V120</f>
        <v>0</v>
      </c>
      <c r="AW121" s="14">
        <f>[1]Sheet2!W120</f>
        <v>0</v>
      </c>
      <c r="AX121" s="14">
        <f>[1]Sheet2!X120</f>
        <v>0</v>
      </c>
      <c r="AY121" s="14">
        <f>[1]Sheet2!Y120</f>
        <v>0</v>
      </c>
      <c r="AZ121" s="16">
        <f>Demand_LP!B$6/30</f>
        <v>790.61612406517088</v>
      </c>
      <c r="BA121" s="16">
        <f>Demand_LP!C$6/30</f>
        <v>816.46367521367517</v>
      </c>
      <c r="BB121" s="16">
        <f>Demand_LP!D$6/30</f>
        <v>346.63461538461536</v>
      </c>
      <c r="BC121" s="16">
        <f>Demand_LP!E$6/30</f>
        <v>795.48076923076928</v>
      </c>
      <c r="BD121" s="16">
        <f>Demand_LP!F$6/30</f>
        <v>472.52230168269227</v>
      </c>
      <c r="BE121" s="16">
        <f>Demand_LP!G$6/30</f>
        <v>472.52230168269227</v>
      </c>
      <c r="BF121" s="16">
        <f>Demand_LP!H$6/30</f>
        <v>816.46367521367517</v>
      </c>
      <c r="BG121" s="16">
        <f>Demand_LP!I$6/30</f>
        <v>472.52230168269227</v>
      </c>
      <c r="BH121" s="16">
        <f>Demand_LP!J$6/30</f>
        <v>472.52230168269227</v>
      </c>
      <c r="BI121" s="16">
        <f>Demand_LP!K$6/30</f>
        <v>472.52230168269227</v>
      </c>
      <c r="BJ121" s="16">
        <f t="shared" si="46"/>
        <v>-73839.276202758221</v>
      </c>
      <c r="BK121" s="16">
        <f t="shared" si="47"/>
        <v>-68477.526495726372</v>
      </c>
      <c r="BL121" s="16">
        <f t="shared" si="48"/>
        <v>-24479.734615384663</v>
      </c>
      <c r="BM121" s="16">
        <f t="shared" si="49"/>
        <v>-79080.008958130406</v>
      </c>
      <c r="BN121" s="16">
        <f t="shared" si="50"/>
        <v>-46672.940528744701</v>
      </c>
      <c r="BO121" s="16">
        <f t="shared" si="51"/>
        <v>-45130.624447115413</v>
      </c>
      <c r="BP121" s="16">
        <f t="shared" si="52"/>
        <v>-62835.105982905901</v>
      </c>
      <c r="BQ121" s="16">
        <f t="shared" si="53"/>
        <v>-45130.624447115413</v>
      </c>
      <c r="BR121" s="16">
        <f t="shared" si="54"/>
        <v>-42730.624447115413</v>
      </c>
      <c r="BS121" s="16">
        <f t="shared" si="55"/>
        <v>-43430.624447115406</v>
      </c>
      <c r="BT121" s="14">
        <f>IF([1]Sheet2!CB120=999999,"NA",[1]Sheet2!CB120)</f>
        <v>0</v>
      </c>
      <c r="BU121" s="14">
        <f>IF([1]Sheet2!CC120=999999,"NA",[1]Sheet2!CC120)</f>
        <v>0</v>
      </c>
      <c r="BV121" s="14">
        <f>IF([1]Sheet2!CD120=999999,"NA",[1]Sheet2!CD120)</f>
        <v>0</v>
      </c>
      <c r="BW121" s="14">
        <f>IF([1]Sheet2!CE120=999999,"NA",[1]Sheet2!CE120)</f>
        <v>0</v>
      </c>
      <c r="BX121" s="14">
        <f>IF([1]Sheet2!CF120=999999,"NA",[1]Sheet2!CF120)</f>
        <v>0</v>
      </c>
      <c r="BY121" s="14">
        <f>IF([1]Sheet2!CG120=999999,"NA",[1]Sheet2!CG120)</f>
        <v>0</v>
      </c>
      <c r="BZ121" s="14">
        <f>IF([1]Sheet2!CH120=999999,"NA",[1]Sheet2!CH120)</f>
        <v>0</v>
      </c>
      <c r="CA121" s="14">
        <f>IF([1]Sheet2!CI120=999999,"NA",[1]Sheet2!CI120)</f>
        <v>0</v>
      </c>
      <c r="CB121" s="14">
        <f>IF([1]Sheet2!CJ120=999999,"NA",[1]Sheet2!CJ120)</f>
        <v>0</v>
      </c>
      <c r="CC121" s="14">
        <f>IF([1]Sheet2!CK120=999999,"NA",[1]Sheet2!CK120)</f>
        <v>0</v>
      </c>
      <c r="CD121" s="14">
        <f>[1]Sheet2!BH120</f>
        <v>0</v>
      </c>
      <c r="CE121" s="14">
        <f>[1]Sheet2!BI120</f>
        <v>0</v>
      </c>
      <c r="CF121" s="14">
        <f>[1]Sheet2!BJ120</f>
        <v>0</v>
      </c>
      <c r="CG121" s="14">
        <f>[1]Sheet2!BK120</f>
        <v>0</v>
      </c>
      <c r="CH121" s="14">
        <f>[1]Sheet2!BL120</f>
        <v>0</v>
      </c>
      <c r="CI121" s="14">
        <f>[1]Sheet2!BM120</f>
        <v>0</v>
      </c>
      <c r="CJ121" s="14">
        <f>[1]Sheet2!BN120</f>
        <v>0</v>
      </c>
      <c r="CK121" s="14">
        <f>[1]Sheet2!BO120</f>
        <v>0</v>
      </c>
      <c r="CL121" s="14">
        <f>[1]Sheet2!BP120</f>
        <v>0</v>
      </c>
      <c r="CM121" s="14">
        <f>[1]Sheet2!BQ120</f>
        <v>0</v>
      </c>
      <c r="CN121" s="16">
        <f>Demand_SW!B$6/30</f>
        <v>173.07692307692304</v>
      </c>
      <c r="CO121" s="16">
        <f>Demand_SW!C$6/30</f>
        <v>0</v>
      </c>
      <c r="CP121" s="16">
        <f>Demand_SW!D$6/30</f>
        <v>0</v>
      </c>
      <c r="CQ121" s="16">
        <f>Demand_SW!E$6/30</f>
        <v>0</v>
      </c>
      <c r="CR121" s="16">
        <f>Demand_SW!F$6/30</f>
        <v>0</v>
      </c>
      <c r="CS121" s="16">
        <f>Demand_SW!G$6/30</f>
        <v>173.07692307692304</v>
      </c>
      <c r="CT121" s="16">
        <f>Demand_SW!H$6/30</f>
        <v>0</v>
      </c>
      <c r="CU121" s="16">
        <f>Demand_SW!I$6/30</f>
        <v>0</v>
      </c>
      <c r="CV121" s="16">
        <f>Demand_SW!J$6/30</f>
        <v>0</v>
      </c>
      <c r="CW121" s="16">
        <f>Demand_SW!K$6/30</f>
        <v>0</v>
      </c>
      <c r="CX121" s="16">
        <f t="shared" si="56"/>
        <v>-11116.923076923082</v>
      </c>
      <c r="CY121" s="16">
        <f t="shared" si="57"/>
        <v>76.923076923077133</v>
      </c>
      <c r="CZ121" s="16">
        <f t="shared" si="58"/>
        <v>0</v>
      </c>
      <c r="DA121" s="16">
        <f t="shared" si="59"/>
        <v>0</v>
      </c>
      <c r="DB121" s="16">
        <f t="shared" si="60"/>
        <v>0</v>
      </c>
      <c r="DC121" s="16">
        <f t="shared" si="61"/>
        <v>-10646.153846153849</v>
      </c>
      <c r="DD121" s="16">
        <f t="shared" si="62"/>
        <v>76.923076923077133</v>
      </c>
      <c r="DE121" s="16">
        <f t="shared" si="63"/>
        <v>0</v>
      </c>
      <c r="DF121" s="16">
        <f t="shared" si="64"/>
        <v>0</v>
      </c>
      <c r="DG121" s="16">
        <f t="shared" si="65"/>
        <v>0</v>
      </c>
      <c r="DH121" s="14">
        <f>IF([1]Sheet2!DS120=999999,"NA",[1]Sheet2!DS120)</f>
        <v>0</v>
      </c>
      <c r="DI121" s="14">
        <f>IF([1]Sheet2!DT120=999999,"NA",[1]Sheet2!DT120)</f>
        <v>247</v>
      </c>
      <c r="DJ121" s="14" t="str">
        <f>IF([1]Sheet2!DU120=999999,"NA",[1]Sheet2!DU120)</f>
        <v>NA</v>
      </c>
      <c r="DK121" s="14" t="str">
        <f>IF([1]Sheet2!DV120=999999,"NA",[1]Sheet2!DV120)</f>
        <v>NA</v>
      </c>
      <c r="DL121" s="14" t="str">
        <f>IF([1]Sheet2!DW120=999999,"NA",[1]Sheet2!DW120)</f>
        <v>NA</v>
      </c>
      <c r="DM121" s="14">
        <f>IF([1]Sheet2!DX120=999999,"NA",[1]Sheet2!DX120)</f>
        <v>0</v>
      </c>
      <c r="DN121" s="14">
        <f>IF([1]Sheet2!DY120=999999,"NA",[1]Sheet2!DY120)</f>
        <v>247</v>
      </c>
      <c r="DO121" s="14" t="str">
        <f>IF([1]Sheet2!DZ120=999999,"NA",[1]Sheet2!DZ120)</f>
        <v>NA</v>
      </c>
      <c r="DP121" s="14" t="str">
        <f>IF([1]Sheet2!EA120=999999,"NA",[1]Sheet2!EA120)</f>
        <v>NA</v>
      </c>
      <c r="DQ121" s="14" t="str">
        <f>IF([1]Sheet2!EB120=999999,"NA",[1]Sheet2!EB120)</f>
        <v>NA</v>
      </c>
      <c r="DR121" s="14">
        <f>[1]Sheet2!CY120</f>
        <v>0</v>
      </c>
      <c r="DS121" s="14">
        <f>[1]Sheet2!CZ120</f>
        <v>0</v>
      </c>
      <c r="DT121" s="14">
        <f>[1]Sheet2!DA120</f>
        <v>0</v>
      </c>
      <c r="DU121" s="14">
        <f>[1]Sheet2!DB120</f>
        <v>0</v>
      </c>
      <c r="DV121" s="14">
        <f>[1]Sheet2!DC120</f>
        <v>0</v>
      </c>
      <c r="DW121" s="14">
        <f>[1]Sheet2!DD120</f>
        <v>0</v>
      </c>
      <c r="DX121" s="14">
        <f>[1]Sheet2!DE120</f>
        <v>0</v>
      </c>
      <c r="DY121" s="14">
        <f>[1]Sheet2!DF120</f>
        <v>0</v>
      </c>
      <c r="DZ121" s="14">
        <f>[1]Sheet2!DG120</f>
        <v>0</v>
      </c>
      <c r="EA121" s="14">
        <f>[1]Sheet2!DH120</f>
        <v>0</v>
      </c>
      <c r="EB121" s="6">
        <f>[1]Sheet2!EC120</f>
        <v>0</v>
      </c>
      <c r="EC121" s="6">
        <f>[1]Sheet2!ED120</f>
        <v>0</v>
      </c>
      <c r="ED121" s="6">
        <f>[1]Sheet2!EE120</f>
        <v>0</v>
      </c>
      <c r="EE121" s="6">
        <f>[1]Sheet2!EF120</f>
        <v>0</v>
      </c>
      <c r="EF121" s="6">
        <f>[1]Sheet2!EG120</f>
        <v>0</v>
      </c>
      <c r="EG121" s="6">
        <f>[1]Sheet2!EH120</f>
        <v>0</v>
      </c>
      <c r="EH121" s="6">
        <f>[1]Sheet2!EI120</f>
        <v>0</v>
      </c>
      <c r="EI121" s="6">
        <f>[1]Sheet2!EJ120</f>
        <v>0</v>
      </c>
      <c r="EJ121" s="6">
        <f>[1]Sheet2!EK120</f>
        <v>0</v>
      </c>
      <c r="EK121" s="6">
        <f>[1]Sheet2!EL120</f>
        <v>0</v>
      </c>
      <c r="EL121" s="6" t="str">
        <f>[1]Sheet2!EM120</f>
        <v/>
      </c>
      <c r="EM121" s="6" t="str">
        <f>[1]Sheet2!EN120</f>
        <v/>
      </c>
      <c r="EN121" s="6" t="str">
        <f>[1]Sheet2!EO120</f>
        <v/>
      </c>
      <c r="EO121" s="6" t="str">
        <f>[1]Sheet2!EP120</f>
        <v/>
      </c>
      <c r="EP121" s="6" t="str">
        <f>[1]Sheet2!EQ120</f>
        <v/>
      </c>
      <c r="EQ121" s="6" t="str">
        <f>[1]Sheet2!ER120</f>
        <v/>
      </c>
      <c r="ER121" s="6" t="str">
        <f>[1]Sheet2!ES120</f>
        <v/>
      </c>
      <c r="ES121" s="6" t="str">
        <f>[1]Sheet2!ET120</f>
        <v/>
      </c>
      <c r="ET121" s="6" t="str">
        <f>[1]Sheet2!EU120</f>
        <v/>
      </c>
      <c r="EU121" s="6" t="str">
        <f>[1]Sheet2!EV120</f>
        <v/>
      </c>
      <c r="EV121" s="6" t="str">
        <f>[1]Sheet2!EW120</f>
        <v/>
      </c>
      <c r="EW121" s="6" t="str">
        <f>[1]Sheet2!EX120</f>
        <v/>
      </c>
      <c r="EX121" s="6" t="str">
        <f>[1]Sheet2!EY120</f>
        <v/>
      </c>
      <c r="EY121" s="6" t="str">
        <f>[1]Sheet2!EZ120</f>
        <v/>
      </c>
      <c r="EZ121" s="6" t="str">
        <f>[1]Sheet2!FA120</f>
        <v/>
      </c>
      <c r="FA121" s="6" t="str">
        <f>[1]Sheet2!FB120</f>
        <v/>
      </c>
      <c r="FB121" s="6" t="str">
        <f>[1]Sheet2!FC120</f>
        <v/>
      </c>
      <c r="FC121" s="6" t="str">
        <f>[1]Sheet2!FD120</f>
        <v/>
      </c>
      <c r="FD121" s="6" t="str">
        <f>[1]Sheet2!FE120</f>
        <v/>
      </c>
      <c r="FE121" s="6" t="str">
        <f>[1]Sheet2!FF120</f>
        <v/>
      </c>
      <c r="FF121" s="6" t="str">
        <f>[1]Sheet2!FG120</f>
        <v/>
      </c>
      <c r="FG121" s="6" t="str">
        <f>[1]Sheet2!FH120</f>
        <v/>
      </c>
      <c r="FH121" s="6" t="str">
        <f>[1]Sheet2!FI120</f>
        <v/>
      </c>
      <c r="FI121" s="6" t="str">
        <f>[1]Sheet2!FJ120</f>
        <v/>
      </c>
      <c r="FJ121" s="6" t="str">
        <f>[1]Sheet2!FK120</f>
        <v/>
      </c>
      <c r="FK121" s="6" t="str">
        <f>[1]Sheet2!FL120</f>
        <v/>
      </c>
      <c r="FL121" s="6" t="str">
        <f>[1]Sheet2!FM120</f>
        <v/>
      </c>
      <c r="FM121" s="6" t="str">
        <f>[1]Sheet2!FN120</f>
        <v/>
      </c>
      <c r="FN121" s="6" t="str">
        <f>[1]Sheet2!FO120</f>
        <v/>
      </c>
      <c r="FO121" s="6" t="str">
        <f>[1]Sheet2!FP120</f>
        <v/>
      </c>
    </row>
    <row r="122" spans="1:171" x14ac:dyDescent="0.25">
      <c r="A122" s="15">
        <v>43584</v>
      </c>
      <c r="B122" s="1"/>
      <c r="C122" s="1"/>
      <c r="D122" s="1"/>
      <c r="E122" s="14">
        <f>[1]Sheet2!N121</f>
        <v>0</v>
      </c>
      <c r="F122" s="14">
        <f>[1]Sheet2!BE121</f>
        <v>0</v>
      </c>
      <c r="G122" s="14">
        <f>[1]Sheet2!CW121</f>
        <v>0</v>
      </c>
      <c r="H122" s="1"/>
      <c r="I122" s="1"/>
      <c r="J122" s="1"/>
      <c r="K122" s="16"/>
      <c r="L122" s="16">
        <f>Demand_CWRS!B$6/30</f>
        <v>136.96097796474356</v>
      </c>
      <c r="M122" s="16">
        <f>Demand_CWRS!C$6/30</f>
        <v>544.43376068376062</v>
      </c>
      <c r="N122" s="16">
        <f>Demand_CWRS!D$6/30</f>
        <v>0</v>
      </c>
      <c r="O122" s="16">
        <f>Demand_CWRS!E$6/30</f>
        <v>108.97435897435896</v>
      </c>
      <c r="P122" s="16">
        <f>Demand_CWRS!F$6/30</f>
        <v>213.3621347489316</v>
      </c>
      <c r="Q122" s="16">
        <f>Demand_CWRS!G$6/30</f>
        <v>133.33333333333334</v>
      </c>
      <c r="R122" s="16">
        <f>Demand_CWRS!H$6/30</f>
        <v>213.3621347489316</v>
      </c>
      <c r="S122" s="16">
        <f>Demand_CWRS!I$6/30</f>
        <v>213.3621347489316</v>
      </c>
      <c r="T122" s="16">
        <f>Demand_CWRS!J$6/30</f>
        <v>213.3621347489316</v>
      </c>
      <c r="U122" s="16">
        <f>Demand_CWRS!K$6/30</f>
        <v>213.3621347489316</v>
      </c>
      <c r="V122" s="16">
        <f t="shared" si="36"/>
        <v>-14450.872662797179</v>
      </c>
      <c r="W122" s="16">
        <f t="shared" si="37"/>
        <v>-48970.702136752021</v>
      </c>
      <c r="X122" s="16">
        <f t="shared" si="38"/>
        <v>0</v>
      </c>
      <c r="Y122" s="16">
        <f t="shared" si="39"/>
        <v>-4639.6611652060928</v>
      </c>
      <c r="Z122" s="16">
        <f t="shared" si="40"/>
        <v>-22297.019123923164</v>
      </c>
      <c r="AA122" s="16">
        <f t="shared" si="41"/>
        <v>-13128.727158390155</v>
      </c>
      <c r="AB122" s="16">
        <f t="shared" si="42"/>
        <v>-26778.062793794983</v>
      </c>
      <c r="AC122" s="16">
        <f t="shared" si="43"/>
        <v>-20985.052537384705</v>
      </c>
      <c r="AD122" s="16">
        <f t="shared" si="44"/>
        <v>-21085.052537384698</v>
      </c>
      <c r="AE122" s="16">
        <f t="shared" si="45"/>
        <v>-21685.052537384701</v>
      </c>
      <c r="AF122" s="14">
        <f>IF([1]Sheet2!AJ121=999999,"NA",[1]Sheet2!AJ121)</f>
        <v>0</v>
      </c>
      <c r="AG122" s="14">
        <f>IF([1]Sheet2!AK121=999999,"NA",[1]Sheet2!AK121)</f>
        <v>0</v>
      </c>
      <c r="AH122" s="14" t="str">
        <f>IF([1]Sheet2!AL121=999999,"NA",[1]Sheet2!AL121)</f>
        <v>NA</v>
      </c>
      <c r="AI122" s="14">
        <f>IF([1]Sheet2!AM121=999999,"NA",[1]Sheet2!AM121)</f>
        <v>0</v>
      </c>
      <c r="AJ122" s="14">
        <f>IF([1]Sheet2!AN121=999999,"NA",[1]Sheet2!AN121)</f>
        <v>0</v>
      </c>
      <c r="AK122" s="14">
        <f>IF([1]Sheet2!AO121=999999,"NA",[1]Sheet2!AO121)</f>
        <v>0</v>
      </c>
      <c r="AL122" s="14">
        <f>IF([1]Sheet2!AP121=999999,"NA",[1]Sheet2!AP121)</f>
        <v>0</v>
      </c>
      <c r="AM122" s="14">
        <f>IF([1]Sheet2!AQ121=999999,"NA",[1]Sheet2!AQ121)</f>
        <v>0</v>
      </c>
      <c r="AN122" s="14">
        <f>IF([1]Sheet2!AR121=999999,"NA",[1]Sheet2!AR121)</f>
        <v>0</v>
      </c>
      <c r="AO122" s="14">
        <f>IF([1]Sheet2!AS121=999999,"NA",[1]Sheet2!AS121)</f>
        <v>0</v>
      </c>
      <c r="AP122" s="14">
        <f>[1]Sheet2!P121</f>
        <v>0</v>
      </c>
      <c r="AQ122" s="14">
        <f>[1]Sheet2!Q121</f>
        <v>0</v>
      </c>
      <c r="AR122" s="14">
        <f>[1]Sheet2!R121</f>
        <v>0</v>
      </c>
      <c r="AS122" s="14">
        <f>[1]Sheet2!S121</f>
        <v>0</v>
      </c>
      <c r="AT122" s="14">
        <f>[1]Sheet2!T121</f>
        <v>0</v>
      </c>
      <c r="AU122" s="14">
        <f>[1]Sheet2!U121</f>
        <v>0</v>
      </c>
      <c r="AV122" s="14">
        <f>[1]Sheet2!V121</f>
        <v>0</v>
      </c>
      <c r="AW122" s="14">
        <f>[1]Sheet2!W121</f>
        <v>0</v>
      </c>
      <c r="AX122" s="14">
        <f>[1]Sheet2!X121</f>
        <v>0</v>
      </c>
      <c r="AY122" s="14">
        <f>[1]Sheet2!Y121</f>
        <v>0</v>
      </c>
      <c r="AZ122" s="16">
        <f>Demand_LP!B$6/30</f>
        <v>790.61612406517088</v>
      </c>
      <c r="BA122" s="16">
        <f>Demand_LP!C$6/30</f>
        <v>816.46367521367517</v>
      </c>
      <c r="BB122" s="16">
        <f>Demand_LP!D$6/30</f>
        <v>346.63461538461536</v>
      </c>
      <c r="BC122" s="16">
        <f>Demand_LP!E$6/30</f>
        <v>795.48076923076928</v>
      </c>
      <c r="BD122" s="16">
        <f>Demand_LP!F$6/30</f>
        <v>472.52230168269227</v>
      </c>
      <c r="BE122" s="16">
        <f>Demand_LP!G$6/30</f>
        <v>472.52230168269227</v>
      </c>
      <c r="BF122" s="16">
        <f>Demand_LP!H$6/30</f>
        <v>816.46367521367517</v>
      </c>
      <c r="BG122" s="16">
        <f>Demand_LP!I$6/30</f>
        <v>472.52230168269227</v>
      </c>
      <c r="BH122" s="16">
        <f>Demand_LP!J$6/30</f>
        <v>472.52230168269227</v>
      </c>
      <c r="BI122" s="16">
        <f>Demand_LP!K$6/30</f>
        <v>472.52230168269227</v>
      </c>
      <c r="BJ122" s="16">
        <f t="shared" si="46"/>
        <v>-74629.892326823392</v>
      </c>
      <c r="BK122" s="16">
        <f t="shared" si="47"/>
        <v>-69293.990170940044</v>
      </c>
      <c r="BL122" s="16">
        <f t="shared" si="48"/>
        <v>-24826.36923076928</v>
      </c>
      <c r="BM122" s="16">
        <f t="shared" si="49"/>
        <v>-79875.489727361171</v>
      </c>
      <c r="BN122" s="16">
        <f t="shared" si="50"/>
        <v>-47145.462830427394</v>
      </c>
      <c r="BO122" s="16">
        <f t="shared" si="51"/>
        <v>-45603.146748798106</v>
      </c>
      <c r="BP122" s="16">
        <f t="shared" si="52"/>
        <v>-63651.569658119573</v>
      </c>
      <c r="BQ122" s="16">
        <f t="shared" si="53"/>
        <v>-45603.146748798106</v>
      </c>
      <c r="BR122" s="16">
        <f t="shared" si="54"/>
        <v>-43203.146748798106</v>
      </c>
      <c r="BS122" s="16">
        <f t="shared" si="55"/>
        <v>-43903.146748798099</v>
      </c>
      <c r="BT122" s="14">
        <f>IF([1]Sheet2!CB121=999999,"NA",[1]Sheet2!CB121)</f>
        <v>0</v>
      </c>
      <c r="BU122" s="14">
        <f>IF([1]Sheet2!CC121=999999,"NA",[1]Sheet2!CC121)</f>
        <v>0</v>
      </c>
      <c r="BV122" s="14">
        <f>IF([1]Sheet2!CD121=999999,"NA",[1]Sheet2!CD121)</f>
        <v>0</v>
      </c>
      <c r="BW122" s="14">
        <f>IF([1]Sheet2!CE121=999999,"NA",[1]Sheet2!CE121)</f>
        <v>0</v>
      </c>
      <c r="BX122" s="14">
        <f>IF([1]Sheet2!CF121=999999,"NA",[1]Sheet2!CF121)</f>
        <v>0</v>
      </c>
      <c r="BY122" s="14">
        <f>IF([1]Sheet2!CG121=999999,"NA",[1]Sheet2!CG121)</f>
        <v>0</v>
      </c>
      <c r="BZ122" s="14">
        <f>IF([1]Sheet2!CH121=999999,"NA",[1]Sheet2!CH121)</f>
        <v>0</v>
      </c>
      <c r="CA122" s="14">
        <f>IF([1]Sheet2!CI121=999999,"NA",[1]Sheet2!CI121)</f>
        <v>0</v>
      </c>
      <c r="CB122" s="14">
        <f>IF([1]Sheet2!CJ121=999999,"NA",[1]Sheet2!CJ121)</f>
        <v>0</v>
      </c>
      <c r="CC122" s="14">
        <f>IF([1]Sheet2!CK121=999999,"NA",[1]Sheet2!CK121)</f>
        <v>0</v>
      </c>
      <c r="CD122" s="14">
        <f>[1]Sheet2!BH121</f>
        <v>0</v>
      </c>
      <c r="CE122" s="14">
        <f>[1]Sheet2!BI121</f>
        <v>0</v>
      </c>
      <c r="CF122" s="14">
        <f>[1]Sheet2!BJ121</f>
        <v>0</v>
      </c>
      <c r="CG122" s="14">
        <f>[1]Sheet2!BK121</f>
        <v>0</v>
      </c>
      <c r="CH122" s="14">
        <f>[1]Sheet2!BL121</f>
        <v>0</v>
      </c>
      <c r="CI122" s="14">
        <f>[1]Sheet2!BM121</f>
        <v>0</v>
      </c>
      <c r="CJ122" s="14">
        <f>[1]Sheet2!BN121</f>
        <v>0</v>
      </c>
      <c r="CK122" s="14">
        <f>[1]Sheet2!BO121</f>
        <v>0</v>
      </c>
      <c r="CL122" s="14">
        <f>[1]Sheet2!BP121</f>
        <v>0</v>
      </c>
      <c r="CM122" s="14">
        <f>[1]Sheet2!BQ121</f>
        <v>0</v>
      </c>
      <c r="CN122" s="16">
        <f>Demand_SW!B$6/30</f>
        <v>173.07692307692304</v>
      </c>
      <c r="CO122" s="16">
        <f>Demand_SW!C$6/30</f>
        <v>0</v>
      </c>
      <c r="CP122" s="16">
        <f>Demand_SW!D$6/30</f>
        <v>0</v>
      </c>
      <c r="CQ122" s="16">
        <f>Demand_SW!E$6/30</f>
        <v>0</v>
      </c>
      <c r="CR122" s="16">
        <f>Demand_SW!F$6/30</f>
        <v>0</v>
      </c>
      <c r="CS122" s="16">
        <f>Demand_SW!G$6/30</f>
        <v>173.07692307692304</v>
      </c>
      <c r="CT122" s="16">
        <f>Demand_SW!H$6/30</f>
        <v>0</v>
      </c>
      <c r="CU122" s="16">
        <f>Demand_SW!I$6/30</f>
        <v>0</v>
      </c>
      <c r="CV122" s="16">
        <f>Demand_SW!J$6/30</f>
        <v>0</v>
      </c>
      <c r="CW122" s="16">
        <f>Demand_SW!K$6/30</f>
        <v>0</v>
      </c>
      <c r="CX122" s="16">
        <f t="shared" si="56"/>
        <v>-11290.000000000005</v>
      </c>
      <c r="CY122" s="16">
        <f t="shared" si="57"/>
        <v>76.923076923077133</v>
      </c>
      <c r="CZ122" s="16">
        <f t="shared" si="58"/>
        <v>0</v>
      </c>
      <c r="DA122" s="16">
        <f t="shared" si="59"/>
        <v>0</v>
      </c>
      <c r="DB122" s="16">
        <f t="shared" si="60"/>
        <v>0</v>
      </c>
      <c r="DC122" s="16">
        <f t="shared" si="61"/>
        <v>-10819.230769230773</v>
      </c>
      <c r="DD122" s="16">
        <f t="shared" si="62"/>
        <v>76.923076923077133</v>
      </c>
      <c r="DE122" s="16">
        <f t="shared" si="63"/>
        <v>0</v>
      </c>
      <c r="DF122" s="16">
        <f t="shared" si="64"/>
        <v>0</v>
      </c>
      <c r="DG122" s="16">
        <f t="shared" si="65"/>
        <v>0</v>
      </c>
      <c r="DH122" s="14">
        <f>IF([1]Sheet2!DS121=999999,"NA",[1]Sheet2!DS121)</f>
        <v>0</v>
      </c>
      <c r="DI122" s="14">
        <f>IF([1]Sheet2!DT121=999999,"NA",[1]Sheet2!DT121)</f>
        <v>246</v>
      </c>
      <c r="DJ122" s="14" t="str">
        <f>IF([1]Sheet2!DU121=999999,"NA",[1]Sheet2!DU121)</f>
        <v>NA</v>
      </c>
      <c r="DK122" s="14" t="str">
        <f>IF([1]Sheet2!DV121=999999,"NA",[1]Sheet2!DV121)</f>
        <v>NA</v>
      </c>
      <c r="DL122" s="14" t="str">
        <f>IF([1]Sheet2!DW121=999999,"NA",[1]Sheet2!DW121)</f>
        <v>NA</v>
      </c>
      <c r="DM122" s="14">
        <f>IF([1]Sheet2!DX121=999999,"NA",[1]Sheet2!DX121)</f>
        <v>0</v>
      </c>
      <c r="DN122" s="14">
        <f>IF([1]Sheet2!DY121=999999,"NA",[1]Sheet2!DY121)</f>
        <v>246</v>
      </c>
      <c r="DO122" s="14" t="str">
        <f>IF([1]Sheet2!DZ121=999999,"NA",[1]Sheet2!DZ121)</f>
        <v>NA</v>
      </c>
      <c r="DP122" s="14" t="str">
        <f>IF([1]Sheet2!EA121=999999,"NA",[1]Sheet2!EA121)</f>
        <v>NA</v>
      </c>
      <c r="DQ122" s="14" t="str">
        <f>IF([1]Sheet2!EB121=999999,"NA",[1]Sheet2!EB121)</f>
        <v>NA</v>
      </c>
      <c r="DR122" s="14">
        <f>[1]Sheet2!CY121</f>
        <v>0</v>
      </c>
      <c r="DS122" s="14">
        <f>[1]Sheet2!CZ121</f>
        <v>0</v>
      </c>
      <c r="DT122" s="14">
        <f>[1]Sheet2!DA121</f>
        <v>0</v>
      </c>
      <c r="DU122" s="14">
        <f>[1]Sheet2!DB121</f>
        <v>0</v>
      </c>
      <c r="DV122" s="14">
        <f>[1]Sheet2!DC121</f>
        <v>0</v>
      </c>
      <c r="DW122" s="14">
        <f>[1]Sheet2!DD121</f>
        <v>0</v>
      </c>
      <c r="DX122" s="14">
        <f>[1]Sheet2!DE121</f>
        <v>0</v>
      </c>
      <c r="DY122" s="14">
        <f>[1]Sheet2!DF121</f>
        <v>0</v>
      </c>
      <c r="DZ122" s="14">
        <f>[1]Sheet2!DG121</f>
        <v>0</v>
      </c>
      <c r="EA122" s="14">
        <f>[1]Sheet2!DH121</f>
        <v>0</v>
      </c>
      <c r="EB122" s="6">
        <f>[1]Sheet2!EC121</f>
        <v>0</v>
      </c>
      <c r="EC122" s="6">
        <f>[1]Sheet2!ED121</f>
        <v>0</v>
      </c>
      <c r="ED122" s="6">
        <f>[1]Sheet2!EE121</f>
        <v>0</v>
      </c>
      <c r="EE122" s="6">
        <f>[1]Sheet2!EF121</f>
        <v>0</v>
      </c>
      <c r="EF122" s="6">
        <f>[1]Sheet2!EG121</f>
        <v>0</v>
      </c>
      <c r="EG122" s="6">
        <f>[1]Sheet2!EH121</f>
        <v>0</v>
      </c>
      <c r="EH122" s="6">
        <f>[1]Sheet2!EI121</f>
        <v>0</v>
      </c>
      <c r="EI122" s="6">
        <f>[1]Sheet2!EJ121</f>
        <v>0</v>
      </c>
      <c r="EJ122" s="6">
        <f>[1]Sheet2!EK121</f>
        <v>0</v>
      </c>
      <c r="EK122" s="6">
        <f>[1]Sheet2!EL121</f>
        <v>0</v>
      </c>
      <c r="EL122" s="6" t="str">
        <f>[1]Sheet2!EM121</f>
        <v/>
      </c>
      <c r="EM122" s="6" t="str">
        <f>[1]Sheet2!EN121</f>
        <v/>
      </c>
      <c r="EN122" s="6" t="str">
        <f>[1]Sheet2!EO121</f>
        <v/>
      </c>
      <c r="EO122" s="6" t="str">
        <f>[1]Sheet2!EP121</f>
        <v/>
      </c>
      <c r="EP122" s="6" t="str">
        <f>[1]Sheet2!EQ121</f>
        <v/>
      </c>
      <c r="EQ122" s="6" t="str">
        <f>[1]Sheet2!ER121</f>
        <v/>
      </c>
      <c r="ER122" s="6" t="str">
        <f>[1]Sheet2!ES121</f>
        <v/>
      </c>
      <c r="ES122" s="6" t="str">
        <f>[1]Sheet2!ET121</f>
        <v/>
      </c>
      <c r="ET122" s="6" t="str">
        <f>[1]Sheet2!EU121</f>
        <v/>
      </c>
      <c r="EU122" s="6" t="str">
        <f>[1]Sheet2!EV121</f>
        <v/>
      </c>
      <c r="EV122" s="6" t="str">
        <f>[1]Sheet2!EW121</f>
        <v/>
      </c>
      <c r="EW122" s="6" t="str">
        <f>[1]Sheet2!EX121</f>
        <v/>
      </c>
      <c r="EX122" s="6" t="str">
        <f>[1]Sheet2!EY121</f>
        <v/>
      </c>
      <c r="EY122" s="6" t="str">
        <f>[1]Sheet2!EZ121</f>
        <v/>
      </c>
      <c r="EZ122" s="6" t="str">
        <f>[1]Sheet2!FA121</f>
        <v/>
      </c>
      <c r="FA122" s="6" t="str">
        <f>[1]Sheet2!FB121</f>
        <v/>
      </c>
      <c r="FB122" s="6" t="str">
        <f>[1]Sheet2!FC121</f>
        <v/>
      </c>
      <c r="FC122" s="6" t="str">
        <f>[1]Sheet2!FD121</f>
        <v/>
      </c>
      <c r="FD122" s="6" t="str">
        <f>[1]Sheet2!FE121</f>
        <v/>
      </c>
      <c r="FE122" s="6" t="str">
        <f>[1]Sheet2!FF121</f>
        <v/>
      </c>
      <c r="FF122" s="6" t="str">
        <f>[1]Sheet2!FG121</f>
        <v/>
      </c>
      <c r="FG122" s="6" t="str">
        <f>[1]Sheet2!FH121</f>
        <v/>
      </c>
      <c r="FH122" s="6" t="str">
        <f>[1]Sheet2!FI121</f>
        <v/>
      </c>
      <c r="FI122" s="6" t="str">
        <f>[1]Sheet2!FJ121</f>
        <v/>
      </c>
      <c r="FJ122" s="6" t="str">
        <f>[1]Sheet2!FK121</f>
        <v/>
      </c>
      <c r="FK122" s="6" t="str">
        <f>[1]Sheet2!FL121</f>
        <v/>
      </c>
      <c r="FL122" s="6" t="str">
        <f>[1]Sheet2!FM121</f>
        <v/>
      </c>
      <c r="FM122" s="6" t="str">
        <f>[1]Sheet2!FN121</f>
        <v/>
      </c>
      <c r="FN122" s="6" t="str">
        <f>[1]Sheet2!FO121</f>
        <v/>
      </c>
      <c r="FO122" s="6" t="str">
        <f>[1]Sheet2!FP121</f>
        <v/>
      </c>
    </row>
    <row r="123" spans="1:171" x14ac:dyDescent="0.25">
      <c r="A123" s="15">
        <v>43585</v>
      </c>
      <c r="B123" s="1"/>
      <c r="C123" s="1"/>
      <c r="D123" s="1"/>
      <c r="E123" s="14">
        <f>[1]Sheet2!N122</f>
        <v>0</v>
      </c>
      <c r="F123" s="14">
        <f>[1]Sheet2!BE122</f>
        <v>0</v>
      </c>
      <c r="G123" s="14">
        <f>[1]Sheet2!CW122</f>
        <v>0</v>
      </c>
      <c r="H123" s="1"/>
      <c r="I123" s="1"/>
      <c r="J123" s="1"/>
      <c r="K123" s="16"/>
      <c r="L123" s="16">
        <f>Demand_CWRS!B$6/30</f>
        <v>136.96097796474356</v>
      </c>
      <c r="M123" s="16">
        <f>Demand_CWRS!C$6/30</f>
        <v>544.43376068376062</v>
      </c>
      <c r="N123" s="16">
        <f>Demand_CWRS!D$6/30</f>
        <v>0</v>
      </c>
      <c r="O123" s="16">
        <f>Demand_CWRS!E$6/30</f>
        <v>108.97435897435896</v>
      </c>
      <c r="P123" s="16">
        <f>Demand_CWRS!F$6/30</f>
        <v>213.3621347489316</v>
      </c>
      <c r="Q123" s="16">
        <f>Demand_CWRS!G$6/30</f>
        <v>133.33333333333334</v>
      </c>
      <c r="R123" s="16">
        <f>Demand_CWRS!H$6/30</f>
        <v>213.3621347489316</v>
      </c>
      <c r="S123" s="16">
        <f>Demand_CWRS!I$6/30</f>
        <v>213.3621347489316</v>
      </c>
      <c r="T123" s="16">
        <f>Demand_CWRS!J$6/30</f>
        <v>213.3621347489316</v>
      </c>
      <c r="U123" s="16">
        <f>Demand_CWRS!K$6/30</f>
        <v>213.3621347489316</v>
      </c>
      <c r="V123" s="16">
        <f t="shared" si="36"/>
        <v>-14587.833640761923</v>
      </c>
      <c r="W123" s="16">
        <f t="shared" si="37"/>
        <v>-49515.135897435779</v>
      </c>
      <c r="X123" s="16">
        <f t="shared" si="38"/>
        <v>0</v>
      </c>
      <c r="Y123" s="16">
        <f t="shared" si="39"/>
        <v>-4748.6355241804522</v>
      </c>
      <c r="Z123" s="16">
        <f t="shared" si="40"/>
        <v>-22510.381258672096</v>
      </c>
      <c r="AA123" s="16">
        <f t="shared" si="41"/>
        <v>-13262.060491723489</v>
      </c>
      <c r="AB123" s="16">
        <f t="shared" si="42"/>
        <v>-26991.424928543915</v>
      </c>
      <c r="AC123" s="16">
        <f t="shared" si="43"/>
        <v>-21198.414672133636</v>
      </c>
      <c r="AD123" s="16">
        <f t="shared" si="44"/>
        <v>-21298.414672133629</v>
      </c>
      <c r="AE123" s="16">
        <f t="shared" si="45"/>
        <v>-21898.414672133633</v>
      </c>
      <c r="AF123" s="14">
        <f>IF([1]Sheet2!AJ122=999999,"NA",[1]Sheet2!AJ122)</f>
        <v>0</v>
      </c>
      <c r="AG123" s="14">
        <f>IF([1]Sheet2!AK122=999999,"NA",[1]Sheet2!AK122)</f>
        <v>0</v>
      </c>
      <c r="AH123" s="14" t="str">
        <f>IF([1]Sheet2!AL122=999999,"NA",[1]Sheet2!AL122)</f>
        <v>NA</v>
      </c>
      <c r="AI123" s="14">
        <f>IF([1]Sheet2!AM122=999999,"NA",[1]Sheet2!AM122)</f>
        <v>0</v>
      </c>
      <c r="AJ123" s="14">
        <f>IF([1]Sheet2!AN122=999999,"NA",[1]Sheet2!AN122)</f>
        <v>0</v>
      </c>
      <c r="AK123" s="14">
        <f>IF([1]Sheet2!AO122=999999,"NA",[1]Sheet2!AO122)</f>
        <v>0</v>
      </c>
      <c r="AL123" s="14">
        <f>IF([1]Sheet2!AP122=999999,"NA",[1]Sheet2!AP122)</f>
        <v>0</v>
      </c>
      <c r="AM123" s="14">
        <f>IF([1]Sheet2!AQ122=999999,"NA",[1]Sheet2!AQ122)</f>
        <v>0</v>
      </c>
      <c r="AN123" s="14">
        <f>IF([1]Sheet2!AR122=999999,"NA",[1]Sheet2!AR122)</f>
        <v>0</v>
      </c>
      <c r="AO123" s="14">
        <f>IF([1]Sheet2!AS122=999999,"NA",[1]Sheet2!AS122)</f>
        <v>0</v>
      </c>
      <c r="AP123" s="14">
        <f>[1]Sheet2!P122</f>
        <v>0</v>
      </c>
      <c r="AQ123" s="14">
        <f>[1]Sheet2!Q122</f>
        <v>0</v>
      </c>
      <c r="AR123" s="14">
        <f>[1]Sheet2!R122</f>
        <v>0</v>
      </c>
      <c r="AS123" s="14">
        <f>[1]Sheet2!S122</f>
        <v>0</v>
      </c>
      <c r="AT123" s="14">
        <f>[1]Sheet2!T122</f>
        <v>0</v>
      </c>
      <c r="AU123" s="14">
        <f>[1]Sheet2!U122</f>
        <v>0</v>
      </c>
      <c r="AV123" s="14">
        <f>[1]Sheet2!V122</f>
        <v>0</v>
      </c>
      <c r="AW123" s="14">
        <f>[1]Sheet2!W122</f>
        <v>0</v>
      </c>
      <c r="AX123" s="14">
        <f>[1]Sheet2!X122</f>
        <v>0</v>
      </c>
      <c r="AY123" s="14">
        <f>[1]Sheet2!Y122</f>
        <v>0</v>
      </c>
      <c r="AZ123" s="16">
        <f>Demand_LP!B$6/30</f>
        <v>790.61612406517088</v>
      </c>
      <c r="BA123" s="16">
        <f>Demand_LP!C$6/30</f>
        <v>816.46367521367517</v>
      </c>
      <c r="BB123" s="16">
        <f>Demand_LP!D$6/30</f>
        <v>346.63461538461536</v>
      </c>
      <c r="BC123" s="16">
        <f>Demand_LP!E$6/30</f>
        <v>795.48076923076928</v>
      </c>
      <c r="BD123" s="16">
        <f>Demand_LP!F$6/30</f>
        <v>472.52230168269227</v>
      </c>
      <c r="BE123" s="16">
        <f>Demand_LP!G$6/30</f>
        <v>472.52230168269227</v>
      </c>
      <c r="BF123" s="16">
        <f>Demand_LP!H$6/30</f>
        <v>816.46367521367517</v>
      </c>
      <c r="BG123" s="16">
        <f>Demand_LP!I$6/30</f>
        <v>472.52230168269227</v>
      </c>
      <c r="BH123" s="16">
        <f>Demand_LP!J$6/30</f>
        <v>472.52230168269227</v>
      </c>
      <c r="BI123" s="16">
        <f>Demand_LP!K$6/30</f>
        <v>472.52230168269227</v>
      </c>
      <c r="BJ123" s="16">
        <f t="shared" si="46"/>
        <v>-75420.508450888563</v>
      </c>
      <c r="BK123" s="16">
        <f t="shared" si="47"/>
        <v>-70110.453846153716</v>
      </c>
      <c r="BL123" s="16">
        <f t="shared" si="48"/>
        <v>-25173.003846153897</v>
      </c>
      <c r="BM123" s="16">
        <f t="shared" si="49"/>
        <v>-80670.970496591937</v>
      </c>
      <c r="BN123" s="16">
        <f t="shared" si="50"/>
        <v>-47617.985132110087</v>
      </c>
      <c r="BO123" s="16">
        <f t="shared" si="51"/>
        <v>-46075.669050480799</v>
      </c>
      <c r="BP123" s="16">
        <f t="shared" si="52"/>
        <v>-64468.033333333246</v>
      </c>
      <c r="BQ123" s="16">
        <f t="shared" si="53"/>
        <v>-46075.669050480799</v>
      </c>
      <c r="BR123" s="16">
        <f t="shared" si="54"/>
        <v>-43675.669050480799</v>
      </c>
      <c r="BS123" s="16">
        <f t="shared" si="55"/>
        <v>-44375.669050480792</v>
      </c>
      <c r="BT123" s="14">
        <f>IF([1]Sheet2!CB122=999999,"NA",[1]Sheet2!CB122)</f>
        <v>0</v>
      </c>
      <c r="BU123" s="14">
        <f>IF([1]Sheet2!CC122=999999,"NA",[1]Sheet2!CC122)</f>
        <v>0</v>
      </c>
      <c r="BV123" s="14">
        <f>IF([1]Sheet2!CD122=999999,"NA",[1]Sheet2!CD122)</f>
        <v>0</v>
      </c>
      <c r="BW123" s="14">
        <f>IF([1]Sheet2!CE122=999999,"NA",[1]Sheet2!CE122)</f>
        <v>0</v>
      </c>
      <c r="BX123" s="14">
        <f>IF([1]Sheet2!CF122=999999,"NA",[1]Sheet2!CF122)</f>
        <v>0</v>
      </c>
      <c r="BY123" s="14">
        <f>IF([1]Sheet2!CG122=999999,"NA",[1]Sheet2!CG122)</f>
        <v>0</v>
      </c>
      <c r="BZ123" s="14">
        <f>IF([1]Sheet2!CH122=999999,"NA",[1]Sheet2!CH122)</f>
        <v>0</v>
      </c>
      <c r="CA123" s="14">
        <f>IF([1]Sheet2!CI122=999999,"NA",[1]Sheet2!CI122)</f>
        <v>0</v>
      </c>
      <c r="CB123" s="14">
        <f>IF([1]Sheet2!CJ122=999999,"NA",[1]Sheet2!CJ122)</f>
        <v>0</v>
      </c>
      <c r="CC123" s="14">
        <f>IF([1]Sheet2!CK122=999999,"NA",[1]Sheet2!CK122)</f>
        <v>0</v>
      </c>
      <c r="CD123" s="14">
        <f>[1]Sheet2!BH122</f>
        <v>0</v>
      </c>
      <c r="CE123" s="14">
        <f>[1]Sheet2!BI122</f>
        <v>0</v>
      </c>
      <c r="CF123" s="14">
        <f>[1]Sheet2!BJ122</f>
        <v>0</v>
      </c>
      <c r="CG123" s="14">
        <f>[1]Sheet2!BK122</f>
        <v>0</v>
      </c>
      <c r="CH123" s="14">
        <f>[1]Sheet2!BL122</f>
        <v>0</v>
      </c>
      <c r="CI123" s="14">
        <f>[1]Sheet2!BM122</f>
        <v>0</v>
      </c>
      <c r="CJ123" s="14">
        <f>[1]Sheet2!BN122</f>
        <v>0</v>
      </c>
      <c r="CK123" s="14">
        <f>[1]Sheet2!BO122</f>
        <v>0</v>
      </c>
      <c r="CL123" s="14">
        <f>[1]Sheet2!BP122</f>
        <v>0</v>
      </c>
      <c r="CM123" s="14">
        <f>[1]Sheet2!BQ122</f>
        <v>0</v>
      </c>
      <c r="CN123" s="16">
        <f>Demand_SW!B$6/30</f>
        <v>173.07692307692304</v>
      </c>
      <c r="CO123" s="16">
        <f>Demand_SW!C$6/30</f>
        <v>0</v>
      </c>
      <c r="CP123" s="16">
        <f>Demand_SW!D$6/30</f>
        <v>0</v>
      </c>
      <c r="CQ123" s="16">
        <f>Demand_SW!E$6/30</f>
        <v>0</v>
      </c>
      <c r="CR123" s="16">
        <f>Demand_SW!F$6/30</f>
        <v>0</v>
      </c>
      <c r="CS123" s="16">
        <f>Demand_SW!G$6/30</f>
        <v>173.07692307692304</v>
      </c>
      <c r="CT123" s="16">
        <f>Demand_SW!H$6/30</f>
        <v>0</v>
      </c>
      <c r="CU123" s="16">
        <f>Demand_SW!I$6/30</f>
        <v>0</v>
      </c>
      <c r="CV123" s="16">
        <f>Demand_SW!J$6/30</f>
        <v>0</v>
      </c>
      <c r="CW123" s="16">
        <f>Demand_SW!K$6/30</f>
        <v>0</v>
      </c>
      <c r="CX123" s="16">
        <f t="shared" si="56"/>
        <v>-11463.076923076929</v>
      </c>
      <c r="CY123" s="16">
        <f t="shared" si="57"/>
        <v>76.923076923077133</v>
      </c>
      <c r="CZ123" s="16">
        <f t="shared" si="58"/>
        <v>0</v>
      </c>
      <c r="DA123" s="16">
        <f t="shared" si="59"/>
        <v>0</v>
      </c>
      <c r="DB123" s="16">
        <f t="shared" si="60"/>
        <v>0</v>
      </c>
      <c r="DC123" s="16">
        <f t="shared" si="61"/>
        <v>-10992.307692307697</v>
      </c>
      <c r="DD123" s="16">
        <f t="shared" si="62"/>
        <v>76.923076923077133</v>
      </c>
      <c r="DE123" s="16">
        <f t="shared" si="63"/>
        <v>0</v>
      </c>
      <c r="DF123" s="16">
        <f t="shared" si="64"/>
        <v>0</v>
      </c>
      <c r="DG123" s="16">
        <f t="shared" si="65"/>
        <v>0</v>
      </c>
      <c r="DH123" s="14">
        <f>IF([1]Sheet2!DS122=999999,"NA",[1]Sheet2!DS122)</f>
        <v>0</v>
      </c>
      <c r="DI123" s="14">
        <f>IF([1]Sheet2!DT122=999999,"NA",[1]Sheet2!DT122)</f>
        <v>245</v>
      </c>
      <c r="DJ123" s="14" t="str">
        <f>IF([1]Sheet2!DU122=999999,"NA",[1]Sheet2!DU122)</f>
        <v>NA</v>
      </c>
      <c r="DK123" s="14" t="str">
        <f>IF([1]Sheet2!DV122=999999,"NA",[1]Sheet2!DV122)</f>
        <v>NA</v>
      </c>
      <c r="DL123" s="14" t="str">
        <f>IF([1]Sheet2!DW122=999999,"NA",[1]Sheet2!DW122)</f>
        <v>NA</v>
      </c>
      <c r="DM123" s="14">
        <f>IF([1]Sheet2!DX122=999999,"NA",[1]Sheet2!DX122)</f>
        <v>0</v>
      </c>
      <c r="DN123" s="14">
        <f>IF([1]Sheet2!DY122=999999,"NA",[1]Sheet2!DY122)</f>
        <v>245</v>
      </c>
      <c r="DO123" s="14" t="str">
        <f>IF([1]Sheet2!DZ122=999999,"NA",[1]Sheet2!DZ122)</f>
        <v>NA</v>
      </c>
      <c r="DP123" s="14" t="str">
        <f>IF([1]Sheet2!EA122=999999,"NA",[1]Sheet2!EA122)</f>
        <v>NA</v>
      </c>
      <c r="DQ123" s="14" t="str">
        <f>IF([1]Sheet2!EB122=999999,"NA",[1]Sheet2!EB122)</f>
        <v>NA</v>
      </c>
      <c r="DR123" s="14">
        <f>[1]Sheet2!CY122</f>
        <v>0</v>
      </c>
      <c r="DS123" s="14">
        <f>[1]Sheet2!CZ122</f>
        <v>0</v>
      </c>
      <c r="DT123" s="14">
        <f>[1]Sheet2!DA122</f>
        <v>0</v>
      </c>
      <c r="DU123" s="14">
        <f>[1]Sheet2!DB122</f>
        <v>0</v>
      </c>
      <c r="DV123" s="14">
        <f>[1]Sheet2!DC122</f>
        <v>0</v>
      </c>
      <c r="DW123" s="14">
        <f>[1]Sheet2!DD122</f>
        <v>0</v>
      </c>
      <c r="DX123" s="14">
        <f>[1]Sheet2!DE122</f>
        <v>0</v>
      </c>
      <c r="DY123" s="14">
        <f>[1]Sheet2!DF122</f>
        <v>0</v>
      </c>
      <c r="DZ123" s="14">
        <f>[1]Sheet2!DG122</f>
        <v>0</v>
      </c>
      <c r="EA123" s="14">
        <f>[1]Sheet2!DH122</f>
        <v>0</v>
      </c>
      <c r="EB123" s="6">
        <f>[1]Sheet2!EC122</f>
        <v>0</v>
      </c>
      <c r="EC123" s="6">
        <f>[1]Sheet2!ED122</f>
        <v>0</v>
      </c>
      <c r="ED123" s="6">
        <f>[1]Sheet2!EE122</f>
        <v>0</v>
      </c>
      <c r="EE123" s="6">
        <f>[1]Sheet2!EF122</f>
        <v>0</v>
      </c>
      <c r="EF123" s="6">
        <f>[1]Sheet2!EG122</f>
        <v>0</v>
      </c>
      <c r="EG123" s="6">
        <f>[1]Sheet2!EH122</f>
        <v>0</v>
      </c>
      <c r="EH123" s="6">
        <f>[1]Sheet2!EI122</f>
        <v>0</v>
      </c>
      <c r="EI123" s="6">
        <f>[1]Sheet2!EJ122</f>
        <v>0</v>
      </c>
      <c r="EJ123" s="6">
        <f>[1]Sheet2!EK122</f>
        <v>0</v>
      </c>
      <c r="EK123" s="6">
        <f>[1]Sheet2!EL122</f>
        <v>0</v>
      </c>
      <c r="EL123" s="6" t="str">
        <f>[1]Sheet2!EM122</f>
        <v/>
      </c>
      <c r="EM123" s="6" t="str">
        <f>[1]Sheet2!EN122</f>
        <v/>
      </c>
      <c r="EN123" s="6" t="str">
        <f>[1]Sheet2!EO122</f>
        <v/>
      </c>
      <c r="EO123" s="6" t="str">
        <f>[1]Sheet2!EP122</f>
        <v/>
      </c>
      <c r="EP123" s="6" t="str">
        <f>[1]Sheet2!EQ122</f>
        <v/>
      </c>
      <c r="EQ123" s="6" t="str">
        <f>[1]Sheet2!ER122</f>
        <v/>
      </c>
      <c r="ER123" s="6" t="str">
        <f>[1]Sheet2!ES122</f>
        <v/>
      </c>
      <c r="ES123" s="6" t="str">
        <f>[1]Sheet2!ET122</f>
        <v/>
      </c>
      <c r="ET123" s="6" t="str">
        <f>[1]Sheet2!EU122</f>
        <v/>
      </c>
      <c r="EU123" s="6" t="str">
        <f>[1]Sheet2!EV122</f>
        <v/>
      </c>
      <c r="EV123" s="6" t="str">
        <f>[1]Sheet2!EW122</f>
        <v/>
      </c>
      <c r="EW123" s="6" t="str">
        <f>[1]Sheet2!EX122</f>
        <v/>
      </c>
      <c r="EX123" s="6" t="str">
        <f>[1]Sheet2!EY122</f>
        <v/>
      </c>
      <c r="EY123" s="6" t="str">
        <f>[1]Sheet2!EZ122</f>
        <v/>
      </c>
      <c r="EZ123" s="6" t="str">
        <f>[1]Sheet2!FA122</f>
        <v/>
      </c>
      <c r="FA123" s="6" t="str">
        <f>[1]Sheet2!FB122</f>
        <v/>
      </c>
      <c r="FB123" s="6" t="str">
        <f>[1]Sheet2!FC122</f>
        <v/>
      </c>
      <c r="FC123" s="6" t="str">
        <f>[1]Sheet2!FD122</f>
        <v/>
      </c>
      <c r="FD123" s="6" t="str">
        <f>[1]Sheet2!FE122</f>
        <v/>
      </c>
      <c r="FE123" s="6" t="str">
        <f>[1]Sheet2!FF122</f>
        <v/>
      </c>
      <c r="FF123" s="6" t="str">
        <f>[1]Sheet2!FG122</f>
        <v/>
      </c>
      <c r="FG123" s="6" t="str">
        <f>[1]Sheet2!FH122</f>
        <v/>
      </c>
      <c r="FH123" s="6" t="str">
        <f>[1]Sheet2!FI122</f>
        <v/>
      </c>
      <c r="FI123" s="6" t="str">
        <f>[1]Sheet2!FJ122</f>
        <v/>
      </c>
      <c r="FJ123" s="6" t="str">
        <f>[1]Sheet2!FK122</f>
        <v/>
      </c>
      <c r="FK123" s="6" t="str">
        <f>[1]Sheet2!FL122</f>
        <v/>
      </c>
      <c r="FL123" s="6" t="str">
        <f>[1]Sheet2!FM122</f>
        <v/>
      </c>
      <c r="FM123" s="6" t="str">
        <f>[1]Sheet2!FN122</f>
        <v/>
      </c>
      <c r="FN123" s="6" t="str">
        <f>[1]Sheet2!FO122</f>
        <v/>
      </c>
      <c r="FO123" s="6" t="str">
        <f>[1]Sheet2!FP122</f>
        <v/>
      </c>
    </row>
    <row r="124" spans="1:171" x14ac:dyDescent="0.25">
      <c r="A124" s="15">
        <v>43586</v>
      </c>
      <c r="B124" s="1"/>
      <c r="C124" s="1"/>
      <c r="D124" s="1"/>
      <c r="E124" s="14">
        <f>[1]Sheet2!N123</f>
        <v>0</v>
      </c>
      <c r="F124" s="14">
        <f>[1]Sheet2!BE123</f>
        <v>48000</v>
      </c>
      <c r="G124" s="14">
        <f>[1]Sheet2!CW123</f>
        <v>0</v>
      </c>
      <c r="H124" s="1"/>
      <c r="I124" s="1"/>
      <c r="J124" s="1"/>
      <c r="K124" s="16"/>
      <c r="L124" s="16">
        <f>Demand_CWRS!B$7/31</f>
        <v>129.8994219137717</v>
      </c>
      <c r="M124" s="16">
        <f>Demand_CWRS!C$7/31</f>
        <v>543.3829611248965</v>
      </c>
      <c r="N124" s="16">
        <f>Demand_CWRS!D$7/31</f>
        <v>0</v>
      </c>
      <c r="O124" s="16">
        <f>Demand_CWRS!E$7/31</f>
        <v>131.84491315136475</v>
      </c>
      <c r="P124" s="16">
        <f>Demand_CWRS!F$7/31</f>
        <v>232.12592522229113</v>
      </c>
      <c r="Q124" s="16">
        <f>Demand_CWRS!G$7/31</f>
        <v>129.8994219137717</v>
      </c>
      <c r="R124" s="16">
        <f>Demand_CWRS!H$7/31</f>
        <v>232.12592522229113</v>
      </c>
      <c r="S124" s="16">
        <f>Demand_CWRS!I$7/31</f>
        <v>232.12592522229113</v>
      </c>
      <c r="T124" s="16">
        <f>Demand_CWRS!J$7/31</f>
        <v>232.12592522229113</v>
      </c>
      <c r="U124" s="16">
        <f>Demand_CWRS!K$7/31</f>
        <v>232.12592522229113</v>
      </c>
      <c r="V124" s="16">
        <f t="shared" si="36"/>
        <v>-14717.733062675694</v>
      </c>
      <c r="W124" s="16">
        <f t="shared" si="37"/>
        <v>-50058.518858560674</v>
      </c>
      <c r="X124" s="16">
        <f t="shared" si="38"/>
        <v>0</v>
      </c>
      <c r="Y124" s="16">
        <f t="shared" si="39"/>
        <v>-4880.4804373318166</v>
      </c>
      <c r="Z124" s="16">
        <f t="shared" si="40"/>
        <v>-22742.507183894388</v>
      </c>
      <c r="AA124" s="16">
        <f t="shared" si="41"/>
        <v>-13391.95991363726</v>
      </c>
      <c r="AB124" s="16">
        <f t="shared" si="42"/>
        <v>-27223.550853766206</v>
      </c>
      <c r="AC124" s="16">
        <f t="shared" si="43"/>
        <v>-21430.540597355928</v>
      </c>
      <c r="AD124" s="16">
        <f t="shared" si="44"/>
        <v>-21530.540597355921</v>
      </c>
      <c r="AE124" s="16">
        <f t="shared" si="45"/>
        <v>-22130.540597355925</v>
      </c>
      <c r="AF124" s="14">
        <f>IF([1]Sheet2!AJ123=999999,"NA",[1]Sheet2!AJ123)</f>
        <v>0</v>
      </c>
      <c r="AG124" s="14">
        <f>IF([1]Sheet2!AK123=999999,"NA",[1]Sheet2!AK123)</f>
        <v>0</v>
      </c>
      <c r="AH124" s="14" t="str">
        <f>IF([1]Sheet2!AL123=999999,"NA",[1]Sheet2!AL123)</f>
        <v>NA</v>
      </c>
      <c r="AI124" s="14">
        <f>IF([1]Sheet2!AM123=999999,"NA",[1]Sheet2!AM123)</f>
        <v>0</v>
      </c>
      <c r="AJ124" s="14">
        <f>IF([1]Sheet2!AN123=999999,"NA",[1]Sheet2!AN123)</f>
        <v>0</v>
      </c>
      <c r="AK124" s="14">
        <f>IF([1]Sheet2!AO123=999999,"NA",[1]Sheet2!AO123)</f>
        <v>0</v>
      </c>
      <c r="AL124" s="14">
        <f>IF([1]Sheet2!AP123=999999,"NA",[1]Sheet2!AP123)</f>
        <v>0</v>
      </c>
      <c r="AM124" s="14">
        <f>IF([1]Sheet2!AQ123=999999,"NA",[1]Sheet2!AQ123)</f>
        <v>0</v>
      </c>
      <c r="AN124" s="14">
        <f>IF([1]Sheet2!AR123=999999,"NA",[1]Sheet2!AR123)</f>
        <v>0</v>
      </c>
      <c r="AO124" s="14">
        <f>IF([1]Sheet2!AS123=999999,"NA",[1]Sheet2!AS123)</f>
        <v>0</v>
      </c>
      <c r="AP124" s="14">
        <f>[1]Sheet2!P123</f>
        <v>0</v>
      </c>
      <c r="AQ124" s="14">
        <f>[1]Sheet2!Q123</f>
        <v>0</v>
      </c>
      <c r="AR124" s="14">
        <f>[1]Sheet2!R123</f>
        <v>0</v>
      </c>
      <c r="AS124" s="14">
        <f>[1]Sheet2!S123</f>
        <v>0</v>
      </c>
      <c r="AT124" s="14">
        <f>[1]Sheet2!T123</f>
        <v>0</v>
      </c>
      <c r="AU124" s="14">
        <f>[1]Sheet2!U123</f>
        <v>0</v>
      </c>
      <c r="AV124" s="14">
        <f>[1]Sheet2!V123</f>
        <v>0</v>
      </c>
      <c r="AW124" s="14">
        <f>[1]Sheet2!W123</f>
        <v>0</v>
      </c>
      <c r="AX124" s="14">
        <f>[1]Sheet2!X123</f>
        <v>0</v>
      </c>
      <c r="AY124" s="14">
        <f>[1]Sheet2!Y123</f>
        <v>0</v>
      </c>
      <c r="AZ124" s="16">
        <f>Demand_LP!B$7/31</f>
        <v>855.82964911600493</v>
      </c>
      <c r="BA124" s="16">
        <f>Demand_LP!C$7/31</f>
        <v>478.74276261373035</v>
      </c>
      <c r="BB124" s="16">
        <f>Demand_LP!D$7/31</f>
        <v>366.03598014888337</v>
      </c>
      <c r="BC124" s="16">
        <f>Demand_LP!E$7/31</f>
        <v>837.96277915632766</v>
      </c>
      <c r="BD124" s="16">
        <f>Demand_LP!F$7/31</f>
        <v>447.19049589019846</v>
      </c>
      <c r="BE124" s="16">
        <f>Demand_LP!G$7/31</f>
        <v>447.19049589019846</v>
      </c>
      <c r="BF124" s="16">
        <f>Demand_LP!H$7/31</f>
        <v>478.74276261373035</v>
      </c>
      <c r="BG124" s="16">
        <f>Demand_LP!I$7/31</f>
        <v>447.19049589019846</v>
      </c>
      <c r="BH124" s="16">
        <f>Demand_LP!J$7/31</f>
        <v>447.19049589019846</v>
      </c>
      <c r="BI124" s="16">
        <f>Demand_LP!K$7/31</f>
        <v>447.19049589019846</v>
      </c>
      <c r="BJ124" s="16">
        <f t="shared" si="46"/>
        <v>-76276.338100004563</v>
      </c>
      <c r="BK124" s="16">
        <f t="shared" si="47"/>
        <v>-70589.196608767452</v>
      </c>
      <c r="BL124" s="16">
        <f t="shared" si="48"/>
        <v>-25539.039826302782</v>
      </c>
      <c r="BM124" s="16">
        <f t="shared" si="49"/>
        <v>-81508.933275748263</v>
      </c>
      <c r="BN124" s="16">
        <f t="shared" si="50"/>
        <v>-48065.175628000288</v>
      </c>
      <c r="BO124" s="16">
        <f t="shared" si="51"/>
        <v>-46522.859546371001</v>
      </c>
      <c r="BP124" s="16">
        <f t="shared" si="52"/>
        <v>-64946.776095946974</v>
      </c>
      <c r="BQ124" s="16">
        <f t="shared" si="53"/>
        <v>-46522.859546371001</v>
      </c>
      <c r="BR124" s="16">
        <f t="shared" si="54"/>
        <v>-44122.859546371001</v>
      </c>
      <c r="BS124" s="16">
        <f t="shared" si="55"/>
        <v>-44822.859546370993</v>
      </c>
      <c r="BT124" s="14">
        <f>IF([1]Sheet2!CB123=999999,"NA",[1]Sheet2!CB123)</f>
        <v>0</v>
      </c>
      <c r="BU124" s="14">
        <f>IF([1]Sheet2!CC123=999999,"NA",[1]Sheet2!CC123)</f>
        <v>0</v>
      </c>
      <c r="BV124" s="14">
        <f>IF([1]Sheet2!CD123=999999,"NA",[1]Sheet2!CD123)</f>
        <v>0</v>
      </c>
      <c r="BW124" s="14">
        <f>IF([1]Sheet2!CE123=999999,"NA",[1]Sheet2!CE123)</f>
        <v>0</v>
      </c>
      <c r="BX124" s="14">
        <f>IF([1]Sheet2!CF123=999999,"NA",[1]Sheet2!CF123)</f>
        <v>0</v>
      </c>
      <c r="BY124" s="14">
        <f>IF([1]Sheet2!CG123=999999,"NA",[1]Sheet2!CG123)</f>
        <v>0</v>
      </c>
      <c r="BZ124" s="14">
        <f>IF([1]Sheet2!CH123=999999,"NA",[1]Sheet2!CH123)</f>
        <v>0</v>
      </c>
      <c r="CA124" s="14">
        <f>IF([1]Sheet2!CI123=999999,"NA",[1]Sheet2!CI123)</f>
        <v>0</v>
      </c>
      <c r="CB124" s="14">
        <f>IF([1]Sheet2!CJ123=999999,"NA",[1]Sheet2!CJ123)</f>
        <v>0</v>
      </c>
      <c r="CC124" s="14">
        <f>IF([1]Sheet2!CK123=999999,"NA",[1]Sheet2!CK123)</f>
        <v>0</v>
      </c>
      <c r="CD124" s="14">
        <f>[1]Sheet2!BH123</f>
        <v>0</v>
      </c>
      <c r="CE124" s="14">
        <f>[1]Sheet2!BI123</f>
        <v>0</v>
      </c>
      <c r="CF124" s="14">
        <f>[1]Sheet2!BJ123</f>
        <v>0</v>
      </c>
      <c r="CG124" s="14">
        <f>[1]Sheet2!BK123</f>
        <v>0</v>
      </c>
      <c r="CH124" s="14">
        <f>[1]Sheet2!BL123</f>
        <v>0</v>
      </c>
      <c r="CI124" s="14">
        <f>[1]Sheet2!BM123</f>
        <v>0</v>
      </c>
      <c r="CJ124" s="14">
        <f>[1]Sheet2!BN123</f>
        <v>0</v>
      </c>
      <c r="CK124" s="14">
        <f>[1]Sheet2!BO123</f>
        <v>0</v>
      </c>
      <c r="CL124" s="14">
        <f>[1]Sheet2!BP123</f>
        <v>0</v>
      </c>
      <c r="CM124" s="14">
        <f>[1]Sheet2!BQ123</f>
        <v>0</v>
      </c>
      <c r="CN124" s="16">
        <f>Demand_SW!B$7/31</f>
        <v>122.8287841191067</v>
      </c>
      <c r="CO124" s="16">
        <f>Demand_SW!C$7/31</f>
        <v>0</v>
      </c>
      <c r="CP124" s="16">
        <f>Demand_SW!D$7/31</f>
        <v>0</v>
      </c>
      <c r="CQ124" s="16">
        <f>Demand_SW!E$7/31</f>
        <v>0</v>
      </c>
      <c r="CR124" s="16">
        <f>Demand_SW!F$7/31</f>
        <v>0</v>
      </c>
      <c r="CS124" s="16">
        <f>Demand_SW!G$7/31</f>
        <v>122.8287841191067</v>
      </c>
      <c r="CT124" s="16">
        <f>Demand_SW!H$7/31</f>
        <v>0</v>
      </c>
      <c r="CU124" s="16">
        <f>Demand_SW!I$7/31</f>
        <v>0</v>
      </c>
      <c r="CV124" s="16">
        <f>Demand_SW!J$7/31</f>
        <v>0</v>
      </c>
      <c r="CW124" s="16">
        <f>Demand_SW!K$7/31</f>
        <v>0</v>
      </c>
      <c r="CX124" s="16">
        <f t="shared" si="56"/>
        <v>-11585.905707196036</v>
      </c>
      <c r="CY124" s="16">
        <f t="shared" si="57"/>
        <v>76.923076923077133</v>
      </c>
      <c r="CZ124" s="16">
        <f t="shared" si="58"/>
        <v>0</v>
      </c>
      <c r="DA124" s="16">
        <f t="shared" si="59"/>
        <v>0</v>
      </c>
      <c r="DB124" s="16">
        <f t="shared" si="60"/>
        <v>0</v>
      </c>
      <c r="DC124" s="16">
        <f t="shared" si="61"/>
        <v>-11115.136476426804</v>
      </c>
      <c r="DD124" s="16">
        <f t="shared" si="62"/>
        <v>76.923076923077133</v>
      </c>
      <c r="DE124" s="16">
        <f t="shared" si="63"/>
        <v>0</v>
      </c>
      <c r="DF124" s="16">
        <f t="shared" si="64"/>
        <v>0</v>
      </c>
      <c r="DG124" s="16">
        <f t="shared" si="65"/>
        <v>0</v>
      </c>
      <c r="DH124" s="14">
        <f>IF([1]Sheet2!DS123=999999,"NA",[1]Sheet2!DS123)</f>
        <v>0</v>
      </c>
      <c r="DI124" s="14">
        <f>IF([1]Sheet2!DT123=999999,"NA",[1]Sheet2!DT123)</f>
        <v>244</v>
      </c>
      <c r="DJ124" s="14" t="str">
        <f>IF([1]Sheet2!DU123=999999,"NA",[1]Sheet2!DU123)</f>
        <v>NA</v>
      </c>
      <c r="DK124" s="14" t="str">
        <f>IF([1]Sheet2!DV123=999999,"NA",[1]Sheet2!DV123)</f>
        <v>NA</v>
      </c>
      <c r="DL124" s="14" t="str">
        <f>IF([1]Sheet2!DW123=999999,"NA",[1]Sheet2!DW123)</f>
        <v>NA</v>
      </c>
      <c r="DM124" s="14">
        <f>IF([1]Sheet2!DX123=999999,"NA",[1]Sheet2!DX123)</f>
        <v>0</v>
      </c>
      <c r="DN124" s="14">
        <f>IF([1]Sheet2!DY123=999999,"NA",[1]Sheet2!DY123)</f>
        <v>244</v>
      </c>
      <c r="DO124" s="14" t="str">
        <f>IF([1]Sheet2!DZ123=999999,"NA",[1]Sheet2!DZ123)</f>
        <v>NA</v>
      </c>
      <c r="DP124" s="14" t="str">
        <f>IF([1]Sheet2!EA123=999999,"NA",[1]Sheet2!EA123)</f>
        <v>NA</v>
      </c>
      <c r="DQ124" s="14" t="str">
        <f>IF([1]Sheet2!EB123=999999,"NA",[1]Sheet2!EB123)</f>
        <v>NA</v>
      </c>
      <c r="DR124" s="14">
        <f>[1]Sheet2!CY123</f>
        <v>0</v>
      </c>
      <c r="DS124" s="14">
        <f>[1]Sheet2!CZ123</f>
        <v>0</v>
      </c>
      <c r="DT124" s="14">
        <f>[1]Sheet2!DA123</f>
        <v>0</v>
      </c>
      <c r="DU124" s="14">
        <f>[1]Sheet2!DB123</f>
        <v>0</v>
      </c>
      <c r="DV124" s="14">
        <f>[1]Sheet2!DC123</f>
        <v>0</v>
      </c>
      <c r="DW124" s="14">
        <f>[1]Sheet2!DD123</f>
        <v>0</v>
      </c>
      <c r="DX124" s="14">
        <f>[1]Sheet2!DE123</f>
        <v>0</v>
      </c>
      <c r="DY124" s="14">
        <f>[1]Sheet2!DF123</f>
        <v>0</v>
      </c>
      <c r="DZ124" s="14">
        <f>[1]Sheet2!DG123</f>
        <v>0</v>
      </c>
      <c r="EA124" s="14">
        <f>[1]Sheet2!DH123</f>
        <v>0</v>
      </c>
      <c r="EB124" s="6">
        <f>[1]Sheet2!EC123</f>
        <v>0</v>
      </c>
      <c r="EC124" s="6">
        <f>[1]Sheet2!ED123</f>
        <v>0</v>
      </c>
      <c r="ED124" s="6">
        <f>[1]Sheet2!EE123</f>
        <v>0</v>
      </c>
      <c r="EE124" s="6">
        <f>[1]Sheet2!EF123</f>
        <v>0</v>
      </c>
      <c r="EF124" s="6">
        <f>[1]Sheet2!EG123</f>
        <v>0</v>
      </c>
      <c r="EG124" s="6">
        <f>[1]Sheet2!EH123</f>
        <v>0</v>
      </c>
      <c r="EH124" s="6">
        <f>[1]Sheet2!EI123</f>
        <v>0</v>
      </c>
      <c r="EI124" s="6">
        <f>[1]Sheet2!EJ123</f>
        <v>0</v>
      </c>
      <c r="EJ124" s="6">
        <f>[1]Sheet2!EK123</f>
        <v>0</v>
      </c>
      <c r="EK124" s="6">
        <f>[1]Sheet2!EL123</f>
        <v>0</v>
      </c>
      <c r="EL124" s="6" t="str">
        <f>[1]Sheet2!EM123</f>
        <v/>
      </c>
      <c r="EM124" s="6" t="str">
        <f>[1]Sheet2!EN123</f>
        <v/>
      </c>
      <c r="EN124" s="6" t="str">
        <f>[1]Sheet2!EO123</f>
        <v/>
      </c>
      <c r="EO124" s="6" t="str">
        <f>[1]Sheet2!EP123</f>
        <v/>
      </c>
      <c r="EP124" s="6" t="str">
        <f>[1]Sheet2!EQ123</f>
        <v/>
      </c>
      <c r="EQ124" s="6" t="str">
        <f>[1]Sheet2!ER123</f>
        <v/>
      </c>
      <c r="ER124" s="6" t="str">
        <f>[1]Sheet2!ES123</f>
        <v/>
      </c>
      <c r="ES124" s="6" t="str">
        <f>[1]Sheet2!ET123</f>
        <v/>
      </c>
      <c r="ET124" s="6" t="str">
        <f>[1]Sheet2!EU123</f>
        <v/>
      </c>
      <c r="EU124" s="6" t="str">
        <f>[1]Sheet2!EV123</f>
        <v/>
      </c>
      <c r="EV124" s="6" t="str">
        <f>[1]Sheet2!EW123</f>
        <v/>
      </c>
      <c r="EW124" s="6" t="str">
        <f>[1]Sheet2!EX123</f>
        <v/>
      </c>
      <c r="EX124" s="6" t="str">
        <f>[1]Sheet2!EY123</f>
        <v/>
      </c>
      <c r="EY124" s="6" t="str">
        <f>[1]Sheet2!EZ123</f>
        <v/>
      </c>
      <c r="EZ124" s="6" t="str">
        <f>[1]Sheet2!FA123</f>
        <v/>
      </c>
      <c r="FA124" s="6" t="str">
        <f>[1]Sheet2!FB123</f>
        <v/>
      </c>
      <c r="FB124" s="6" t="str">
        <f>[1]Sheet2!FC123</f>
        <v/>
      </c>
      <c r="FC124" s="6" t="str">
        <f>[1]Sheet2!FD123</f>
        <v/>
      </c>
      <c r="FD124" s="6" t="str">
        <f>[1]Sheet2!FE123</f>
        <v/>
      </c>
      <c r="FE124" s="6" t="str">
        <f>[1]Sheet2!FF123</f>
        <v/>
      </c>
      <c r="FF124" s="6" t="str">
        <f>[1]Sheet2!FG123</f>
        <v/>
      </c>
      <c r="FG124" s="6" t="str">
        <f>[1]Sheet2!FH123</f>
        <v/>
      </c>
      <c r="FH124" s="6" t="str">
        <f>[1]Sheet2!FI123</f>
        <v/>
      </c>
      <c r="FI124" s="6" t="str">
        <f>[1]Sheet2!FJ123</f>
        <v/>
      </c>
      <c r="FJ124" s="6" t="str">
        <f>[1]Sheet2!FK123</f>
        <v/>
      </c>
      <c r="FK124" s="6" t="str">
        <f>[1]Sheet2!FL123</f>
        <v/>
      </c>
      <c r="FL124" s="6" t="str">
        <f>[1]Sheet2!FM123</f>
        <v/>
      </c>
      <c r="FM124" s="6" t="str">
        <f>[1]Sheet2!FN123</f>
        <v/>
      </c>
      <c r="FN124" s="6" t="str">
        <f>[1]Sheet2!FO123</f>
        <v/>
      </c>
      <c r="FO124" s="6" t="str">
        <f>[1]Sheet2!FP123</f>
        <v/>
      </c>
    </row>
    <row r="125" spans="1:171" x14ac:dyDescent="0.25">
      <c r="A125" s="15">
        <v>43587</v>
      </c>
      <c r="B125" s="1"/>
      <c r="C125" s="1"/>
      <c r="D125" s="1"/>
      <c r="E125" s="14">
        <f>[1]Sheet2!N124</f>
        <v>0</v>
      </c>
      <c r="F125" s="14">
        <f>[1]Sheet2!BE124</f>
        <v>0</v>
      </c>
      <c r="G125" s="14">
        <f>[1]Sheet2!CW124</f>
        <v>0</v>
      </c>
      <c r="H125" s="1"/>
      <c r="I125" s="1"/>
      <c r="J125" s="1"/>
      <c r="K125" s="16"/>
      <c r="L125" s="16">
        <f>Demand_CWRS!B$7/31</f>
        <v>129.8994219137717</v>
      </c>
      <c r="M125" s="16">
        <f>Demand_CWRS!C$7/31</f>
        <v>543.3829611248965</v>
      </c>
      <c r="N125" s="16">
        <f>Demand_CWRS!D$7/31</f>
        <v>0</v>
      </c>
      <c r="O125" s="16">
        <f>Demand_CWRS!E$7/31</f>
        <v>131.84491315136475</v>
      </c>
      <c r="P125" s="16">
        <f>Demand_CWRS!F$7/31</f>
        <v>232.12592522229113</v>
      </c>
      <c r="Q125" s="16">
        <f>Demand_CWRS!G$7/31</f>
        <v>129.8994219137717</v>
      </c>
      <c r="R125" s="16">
        <f>Demand_CWRS!H$7/31</f>
        <v>232.12592522229113</v>
      </c>
      <c r="S125" s="16">
        <f>Demand_CWRS!I$7/31</f>
        <v>232.12592522229113</v>
      </c>
      <c r="T125" s="16">
        <f>Demand_CWRS!J$7/31</f>
        <v>232.12592522229113</v>
      </c>
      <c r="U125" s="16">
        <f>Demand_CWRS!K$7/31</f>
        <v>232.12592522229113</v>
      </c>
      <c r="V125" s="16">
        <f t="shared" si="36"/>
        <v>-14847.632484589465</v>
      </c>
      <c r="W125" s="16">
        <f t="shared" si="37"/>
        <v>-50601.901819685569</v>
      </c>
      <c r="X125" s="16">
        <f t="shared" si="38"/>
        <v>0</v>
      </c>
      <c r="Y125" s="16">
        <f t="shared" si="39"/>
        <v>-5012.325350483181</v>
      </c>
      <c r="Z125" s="16">
        <f t="shared" si="40"/>
        <v>-22974.633109116679</v>
      </c>
      <c r="AA125" s="16">
        <f t="shared" si="41"/>
        <v>-13521.859335551031</v>
      </c>
      <c r="AB125" s="16">
        <f t="shared" si="42"/>
        <v>-27455.676778988498</v>
      </c>
      <c r="AC125" s="16">
        <f t="shared" si="43"/>
        <v>-21662.66652257822</v>
      </c>
      <c r="AD125" s="16">
        <f t="shared" si="44"/>
        <v>-21762.666522578213</v>
      </c>
      <c r="AE125" s="16">
        <f t="shared" si="45"/>
        <v>-22362.666522578216</v>
      </c>
      <c r="AF125" s="14">
        <f>IF([1]Sheet2!AJ124=999999,"NA",[1]Sheet2!AJ124)</f>
        <v>0</v>
      </c>
      <c r="AG125" s="14">
        <f>IF([1]Sheet2!AK124=999999,"NA",[1]Sheet2!AK124)</f>
        <v>0</v>
      </c>
      <c r="AH125" s="14" t="str">
        <f>IF([1]Sheet2!AL124=999999,"NA",[1]Sheet2!AL124)</f>
        <v>NA</v>
      </c>
      <c r="AI125" s="14">
        <f>IF([1]Sheet2!AM124=999999,"NA",[1]Sheet2!AM124)</f>
        <v>0</v>
      </c>
      <c r="AJ125" s="14">
        <f>IF([1]Sheet2!AN124=999999,"NA",[1]Sheet2!AN124)</f>
        <v>0</v>
      </c>
      <c r="AK125" s="14">
        <f>IF([1]Sheet2!AO124=999999,"NA",[1]Sheet2!AO124)</f>
        <v>0</v>
      </c>
      <c r="AL125" s="14">
        <f>IF([1]Sheet2!AP124=999999,"NA",[1]Sheet2!AP124)</f>
        <v>0</v>
      </c>
      <c r="AM125" s="14">
        <f>IF([1]Sheet2!AQ124=999999,"NA",[1]Sheet2!AQ124)</f>
        <v>0</v>
      </c>
      <c r="AN125" s="14">
        <f>IF([1]Sheet2!AR124=999999,"NA",[1]Sheet2!AR124)</f>
        <v>0</v>
      </c>
      <c r="AO125" s="14">
        <f>IF([1]Sheet2!AS124=999999,"NA",[1]Sheet2!AS124)</f>
        <v>0</v>
      </c>
      <c r="AP125" s="14">
        <f>[1]Sheet2!P124</f>
        <v>0</v>
      </c>
      <c r="AQ125" s="14">
        <f>[1]Sheet2!Q124</f>
        <v>0</v>
      </c>
      <c r="AR125" s="14">
        <f>[1]Sheet2!R124</f>
        <v>0</v>
      </c>
      <c r="AS125" s="14">
        <f>[1]Sheet2!S124</f>
        <v>0</v>
      </c>
      <c r="AT125" s="14">
        <f>[1]Sheet2!T124</f>
        <v>0</v>
      </c>
      <c r="AU125" s="14">
        <f>[1]Sheet2!U124</f>
        <v>0</v>
      </c>
      <c r="AV125" s="14">
        <f>[1]Sheet2!V124</f>
        <v>0</v>
      </c>
      <c r="AW125" s="14">
        <f>[1]Sheet2!W124</f>
        <v>0</v>
      </c>
      <c r="AX125" s="14">
        <f>[1]Sheet2!X124</f>
        <v>0</v>
      </c>
      <c r="AY125" s="14">
        <f>[1]Sheet2!Y124</f>
        <v>0</v>
      </c>
      <c r="AZ125" s="16">
        <f>Demand_LP!B$7/31</f>
        <v>855.82964911600493</v>
      </c>
      <c r="BA125" s="16">
        <f>Demand_LP!C$7/31</f>
        <v>478.74276261373035</v>
      </c>
      <c r="BB125" s="16">
        <f>Demand_LP!D$7/31</f>
        <v>366.03598014888337</v>
      </c>
      <c r="BC125" s="16">
        <f>Demand_LP!E$7/31</f>
        <v>837.96277915632766</v>
      </c>
      <c r="BD125" s="16">
        <f>Demand_LP!F$7/31</f>
        <v>447.19049589019846</v>
      </c>
      <c r="BE125" s="16">
        <f>Demand_LP!G$7/31</f>
        <v>447.19049589019846</v>
      </c>
      <c r="BF125" s="16">
        <f>Demand_LP!H$7/31</f>
        <v>478.74276261373035</v>
      </c>
      <c r="BG125" s="16">
        <f>Demand_LP!I$7/31</f>
        <v>447.19049589019846</v>
      </c>
      <c r="BH125" s="16">
        <f>Demand_LP!J$7/31</f>
        <v>447.19049589019846</v>
      </c>
      <c r="BI125" s="16">
        <f>Demand_LP!K$7/31</f>
        <v>447.19049589019846</v>
      </c>
      <c r="BJ125" s="16">
        <f t="shared" si="46"/>
        <v>-77132.167749120563</v>
      </c>
      <c r="BK125" s="16">
        <f t="shared" si="47"/>
        <v>-71067.939371381188</v>
      </c>
      <c r="BL125" s="16">
        <f t="shared" si="48"/>
        <v>-25905.075806451667</v>
      </c>
      <c r="BM125" s="16">
        <f t="shared" si="49"/>
        <v>-82346.896054904588</v>
      </c>
      <c r="BN125" s="16">
        <f t="shared" si="50"/>
        <v>-48512.36612389049</v>
      </c>
      <c r="BO125" s="16">
        <f t="shared" si="51"/>
        <v>-46970.050042261202</v>
      </c>
      <c r="BP125" s="16">
        <f t="shared" si="52"/>
        <v>-65425.518858560703</v>
      </c>
      <c r="BQ125" s="16">
        <f t="shared" si="53"/>
        <v>-46970.050042261202</v>
      </c>
      <c r="BR125" s="16">
        <f t="shared" si="54"/>
        <v>-44570.050042261202</v>
      </c>
      <c r="BS125" s="16">
        <f t="shared" si="55"/>
        <v>-45270.050042261195</v>
      </c>
      <c r="BT125" s="14">
        <f>IF([1]Sheet2!CB124=999999,"NA",[1]Sheet2!CB124)</f>
        <v>0</v>
      </c>
      <c r="BU125" s="14">
        <f>IF([1]Sheet2!CC124=999999,"NA",[1]Sheet2!CC124)</f>
        <v>0</v>
      </c>
      <c r="BV125" s="14">
        <f>IF([1]Sheet2!CD124=999999,"NA",[1]Sheet2!CD124)</f>
        <v>0</v>
      </c>
      <c r="BW125" s="14">
        <f>IF([1]Sheet2!CE124=999999,"NA",[1]Sheet2!CE124)</f>
        <v>0</v>
      </c>
      <c r="BX125" s="14">
        <f>IF([1]Sheet2!CF124=999999,"NA",[1]Sheet2!CF124)</f>
        <v>0</v>
      </c>
      <c r="BY125" s="14">
        <f>IF([1]Sheet2!CG124=999999,"NA",[1]Sheet2!CG124)</f>
        <v>0</v>
      </c>
      <c r="BZ125" s="14">
        <f>IF([1]Sheet2!CH124=999999,"NA",[1]Sheet2!CH124)</f>
        <v>0</v>
      </c>
      <c r="CA125" s="14">
        <f>IF([1]Sheet2!CI124=999999,"NA",[1]Sheet2!CI124)</f>
        <v>0</v>
      </c>
      <c r="CB125" s="14">
        <f>IF([1]Sheet2!CJ124=999999,"NA",[1]Sheet2!CJ124)</f>
        <v>0</v>
      </c>
      <c r="CC125" s="14">
        <f>IF([1]Sheet2!CK124=999999,"NA",[1]Sheet2!CK124)</f>
        <v>0</v>
      </c>
      <c r="CD125" s="14">
        <f>[1]Sheet2!BH124</f>
        <v>0</v>
      </c>
      <c r="CE125" s="14">
        <f>[1]Sheet2!BI124</f>
        <v>0</v>
      </c>
      <c r="CF125" s="14">
        <f>[1]Sheet2!BJ124</f>
        <v>0</v>
      </c>
      <c r="CG125" s="14">
        <f>[1]Sheet2!BK124</f>
        <v>0</v>
      </c>
      <c r="CH125" s="14">
        <f>[1]Sheet2!BL124</f>
        <v>0</v>
      </c>
      <c r="CI125" s="14">
        <f>[1]Sheet2!BM124</f>
        <v>0</v>
      </c>
      <c r="CJ125" s="14">
        <f>[1]Sheet2!BN124</f>
        <v>0</v>
      </c>
      <c r="CK125" s="14">
        <f>[1]Sheet2!BO124</f>
        <v>0</v>
      </c>
      <c r="CL125" s="14">
        <f>[1]Sheet2!BP124</f>
        <v>0</v>
      </c>
      <c r="CM125" s="14">
        <f>[1]Sheet2!BQ124</f>
        <v>0</v>
      </c>
      <c r="CN125" s="16">
        <f>Demand_SW!B$7/31</f>
        <v>122.8287841191067</v>
      </c>
      <c r="CO125" s="16">
        <f>Demand_SW!C$7/31</f>
        <v>0</v>
      </c>
      <c r="CP125" s="16">
        <f>Demand_SW!D$7/31</f>
        <v>0</v>
      </c>
      <c r="CQ125" s="16">
        <f>Demand_SW!E$7/31</f>
        <v>0</v>
      </c>
      <c r="CR125" s="16">
        <f>Demand_SW!F$7/31</f>
        <v>0</v>
      </c>
      <c r="CS125" s="16">
        <f>Demand_SW!G$7/31</f>
        <v>122.8287841191067</v>
      </c>
      <c r="CT125" s="16">
        <f>Demand_SW!H$7/31</f>
        <v>0</v>
      </c>
      <c r="CU125" s="16">
        <f>Demand_SW!I$7/31</f>
        <v>0</v>
      </c>
      <c r="CV125" s="16">
        <f>Demand_SW!J$7/31</f>
        <v>0</v>
      </c>
      <c r="CW125" s="16">
        <f>Demand_SW!K$7/31</f>
        <v>0</v>
      </c>
      <c r="CX125" s="16">
        <f t="shared" si="56"/>
        <v>-11708.734491315143</v>
      </c>
      <c r="CY125" s="16">
        <f t="shared" si="57"/>
        <v>76.923076923077133</v>
      </c>
      <c r="CZ125" s="16">
        <f t="shared" si="58"/>
        <v>0</v>
      </c>
      <c r="DA125" s="16">
        <f t="shared" si="59"/>
        <v>0</v>
      </c>
      <c r="DB125" s="16">
        <f t="shared" si="60"/>
        <v>0</v>
      </c>
      <c r="DC125" s="16">
        <f t="shared" si="61"/>
        <v>-11237.96526054591</v>
      </c>
      <c r="DD125" s="16">
        <f t="shared" si="62"/>
        <v>76.923076923077133</v>
      </c>
      <c r="DE125" s="16">
        <f t="shared" si="63"/>
        <v>0</v>
      </c>
      <c r="DF125" s="16">
        <f t="shared" si="64"/>
        <v>0</v>
      </c>
      <c r="DG125" s="16">
        <f t="shared" si="65"/>
        <v>0</v>
      </c>
      <c r="DH125" s="14">
        <f>IF([1]Sheet2!DS124=999999,"NA",[1]Sheet2!DS124)</f>
        <v>0</v>
      </c>
      <c r="DI125" s="14">
        <f>IF([1]Sheet2!DT124=999999,"NA",[1]Sheet2!DT124)</f>
        <v>243</v>
      </c>
      <c r="DJ125" s="14" t="str">
        <f>IF([1]Sheet2!DU124=999999,"NA",[1]Sheet2!DU124)</f>
        <v>NA</v>
      </c>
      <c r="DK125" s="14" t="str">
        <f>IF([1]Sheet2!DV124=999999,"NA",[1]Sheet2!DV124)</f>
        <v>NA</v>
      </c>
      <c r="DL125" s="14" t="str">
        <f>IF([1]Sheet2!DW124=999999,"NA",[1]Sheet2!DW124)</f>
        <v>NA</v>
      </c>
      <c r="DM125" s="14">
        <f>IF([1]Sheet2!DX124=999999,"NA",[1]Sheet2!DX124)</f>
        <v>0</v>
      </c>
      <c r="DN125" s="14">
        <f>IF([1]Sheet2!DY124=999999,"NA",[1]Sheet2!DY124)</f>
        <v>243</v>
      </c>
      <c r="DO125" s="14" t="str">
        <f>IF([1]Sheet2!DZ124=999999,"NA",[1]Sheet2!DZ124)</f>
        <v>NA</v>
      </c>
      <c r="DP125" s="14" t="str">
        <f>IF([1]Sheet2!EA124=999999,"NA",[1]Sheet2!EA124)</f>
        <v>NA</v>
      </c>
      <c r="DQ125" s="14" t="str">
        <f>IF([1]Sheet2!EB124=999999,"NA",[1]Sheet2!EB124)</f>
        <v>NA</v>
      </c>
      <c r="DR125" s="14">
        <f>[1]Sheet2!CY124</f>
        <v>0</v>
      </c>
      <c r="DS125" s="14">
        <f>[1]Sheet2!CZ124</f>
        <v>0</v>
      </c>
      <c r="DT125" s="14">
        <f>[1]Sheet2!DA124</f>
        <v>0</v>
      </c>
      <c r="DU125" s="14">
        <f>[1]Sheet2!DB124</f>
        <v>0</v>
      </c>
      <c r="DV125" s="14">
        <f>[1]Sheet2!DC124</f>
        <v>0</v>
      </c>
      <c r="DW125" s="14">
        <f>[1]Sheet2!DD124</f>
        <v>0</v>
      </c>
      <c r="DX125" s="14">
        <f>[1]Sheet2!DE124</f>
        <v>0</v>
      </c>
      <c r="DY125" s="14">
        <f>[1]Sheet2!DF124</f>
        <v>0</v>
      </c>
      <c r="DZ125" s="14">
        <f>[1]Sheet2!DG124</f>
        <v>0</v>
      </c>
      <c r="EA125" s="14">
        <f>[1]Sheet2!DH124</f>
        <v>0</v>
      </c>
      <c r="EB125" s="6">
        <f>[1]Sheet2!EC124</f>
        <v>0</v>
      </c>
      <c r="EC125" s="6">
        <f>[1]Sheet2!ED124</f>
        <v>0</v>
      </c>
      <c r="ED125" s="6">
        <f>[1]Sheet2!EE124</f>
        <v>0</v>
      </c>
      <c r="EE125" s="6">
        <f>[1]Sheet2!EF124</f>
        <v>0</v>
      </c>
      <c r="EF125" s="6">
        <f>[1]Sheet2!EG124</f>
        <v>0</v>
      </c>
      <c r="EG125" s="6">
        <f>[1]Sheet2!EH124</f>
        <v>0</v>
      </c>
      <c r="EH125" s="6">
        <f>[1]Sheet2!EI124</f>
        <v>0</v>
      </c>
      <c r="EI125" s="6">
        <f>[1]Sheet2!EJ124</f>
        <v>0</v>
      </c>
      <c r="EJ125" s="6">
        <f>[1]Sheet2!EK124</f>
        <v>0</v>
      </c>
      <c r="EK125" s="6">
        <f>[1]Sheet2!EL124</f>
        <v>0</v>
      </c>
      <c r="EL125" s="6" t="str">
        <f>[1]Sheet2!EM124</f>
        <v/>
      </c>
      <c r="EM125" s="6" t="str">
        <f>[1]Sheet2!EN124</f>
        <v/>
      </c>
      <c r="EN125" s="6" t="str">
        <f>[1]Sheet2!EO124</f>
        <v/>
      </c>
      <c r="EO125" s="6" t="str">
        <f>[1]Sheet2!EP124</f>
        <v/>
      </c>
      <c r="EP125" s="6" t="str">
        <f>[1]Sheet2!EQ124</f>
        <v/>
      </c>
      <c r="EQ125" s="6" t="str">
        <f>[1]Sheet2!ER124</f>
        <v/>
      </c>
      <c r="ER125" s="6" t="str">
        <f>[1]Sheet2!ES124</f>
        <v/>
      </c>
      <c r="ES125" s="6" t="str">
        <f>[1]Sheet2!ET124</f>
        <v/>
      </c>
      <c r="ET125" s="6" t="str">
        <f>[1]Sheet2!EU124</f>
        <v/>
      </c>
      <c r="EU125" s="6" t="str">
        <f>[1]Sheet2!EV124</f>
        <v/>
      </c>
      <c r="EV125" s="6" t="str">
        <f>[1]Sheet2!EW124</f>
        <v/>
      </c>
      <c r="EW125" s="6" t="str">
        <f>[1]Sheet2!EX124</f>
        <v/>
      </c>
      <c r="EX125" s="6" t="str">
        <f>[1]Sheet2!EY124</f>
        <v/>
      </c>
      <c r="EY125" s="6" t="str">
        <f>[1]Sheet2!EZ124</f>
        <v/>
      </c>
      <c r="EZ125" s="6" t="str">
        <f>[1]Sheet2!FA124</f>
        <v/>
      </c>
      <c r="FA125" s="6" t="str">
        <f>[1]Sheet2!FB124</f>
        <v/>
      </c>
      <c r="FB125" s="6" t="str">
        <f>[1]Sheet2!FC124</f>
        <v/>
      </c>
      <c r="FC125" s="6" t="str">
        <f>[1]Sheet2!FD124</f>
        <v/>
      </c>
      <c r="FD125" s="6" t="str">
        <f>[1]Sheet2!FE124</f>
        <v/>
      </c>
      <c r="FE125" s="6" t="str">
        <f>[1]Sheet2!FF124</f>
        <v/>
      </c>
      <c r="FF125" s="6" t="str">
        <f>[1]Sheet2!FG124</f>
        <v/>
      </c>
      <c r="FG125" s="6" t="str">
        <f>[1]Sheet2!FH124</f>
        <v/>
      </c>
      <c r="FH125" s="6" t="str">
        <f>[1]Sheet2!FI124</f>
        <v/>
      </c>
      <c r="FI125" s="6" t="str">
        <f>[1]Sheet2!FJ124</f>
        <v/>
      </c>
      <c r="FJ125" s="6" t="str">
        <f>[1]Sheet2!FK124</f>
        <v/>
      </c>
      <c r="FK125" s="6" t="str">
        <f>[1]Sheet2!FL124</f>
        <v/>
      </c>
      <c r="FL125" s="6" t="str">
        <f>[1]Sheet2!FM124</f>
        <v/>
      </c>
      <c r="FM125" s="6" t="str">
        <f>[1]Sheet2!FN124</f>
        <v/>
      </c>
      <c r="FN125" s="6" t="str">
        <f>[1]Sheet2!FO124</f>
        <v/>
      </c>
      <c r="FO125" s="6" t="str">
        <f>[1]Sheet2!FP124</f>
        <v/>
      </c>
    </row>
    <row r="126" spans="1:171" x14ac:dyDescent="0.25">
      <c r="A126" s="15">
        <v>43588</v>
      </c>
      <c r="B126" s="1"/>
      <c r="C126" s="1"/>
      <c r="D126" s="1"/>
      <c r="E126" s="14">
        <f>[1]Sheet2!N125</f>
        <v>0</v>
      </c>
      <c r="F126" s="14">
        <f>[1]Sheet2!BE125</f>
        <v>0</v>
      </c>
      <c r="G126" s="14">
        <f>[1]Sheet2!CW125</f>
        <v>0</v>
      </c>
      <c r="H126" s="1"/>
      <c r="I126" s="1"/>
      <c r="J126" s="1"/>
      <c r="K126" s="16"/>
      <c r="L126" s="16">
        <f>Demand_CWRS!B$7/31</f>
        <v>129.8994219137717</v>
      </c>
      <c r="M126" s="16">
        <f>Demand_CWRS!C$7/31</f>
        <v>543.3829611248965</v>
      </c>
      <c r="N126" s="16">
        <f>Demand_CWRS!D$7/31</f>
        <v>0</v>
      </c>
      <c r="O126" s="16">
        <f>Demand_CWRS!E$7/31</f>
        <v>131.84491315136475</v>
      </c>
      <c r="P126" s="16">
        <f>Demand_CWRS!F$7/31</f>
        <v>232.12592522229113</v>
      </c>
      <c r="Q126" s="16">
        <f>Demand_CWRS!G$7/31</f>
        <v>129.8994219137717</v>
      </c>
      <c r="R126" s="16">
        <f>Demand_CWRS!H$7/31</f>
        <v>232.12592522229113</v>
      </c>
      <c r="S126" s="16">
        <f>Demand_CWRS!I$7/31</f>
        <v>232.12592522229113</v>
      </c>
      <c r="T126" s="16">
        <f>Demand_CWRS!J$7/31</f>
        <v>232.12592522229113</v>
      </c>
      <c r="U126" s="16">
        <f>Demand_CWRS!K$7/31</f>
        <v>232.12592522229113</v>
      </c>
      <c r="V126" s="16">
        <f t="shared" si="36"/>
        <v>-14977.531906503236</v>
      </c>
      <c r="W126" s="16">
        <f t="shared" si="37"/>
        <v>-51145.284780810463</v>
      </c>
      <c r="X126" s="16">
        <f t="shared" si="38"/>
        <v>0</v>
      </c>
      <c r="Y126" s="16">
        <f t="shared" si="39"/>
        <v>-5144.1702636345453</v>
      </c>
      <c r="Z126" s="16">
        <f t="shared" si="40"/>
        <v>-23206.759034338971</v>
      </c>
      <c r="AA126" s="16">
        <f t="shared" si="41"/>
        <v>-13651.758757464802</v>
      </c>
      <c r="AB126" s="16">
        <f t="shared" si="42"/>
        <v>-27687.80270421079</v>
      </c>
      <c r="AC126" s="16">
        <f t="shared" si="43"/>
        <v>-21894.792447800512</v>
      </c>
      <c r="AD126" s="16">
        <f t="shared" si="44"/>
        <v>-21994.792447800504</v>
      </c>
      <c r="AE126" s="16">
        <f t="shared" si="45"/>
        <v>-22594.792447800508</v>
      </c>
      <c r="AF126" s="14">
        <f>IF([1]Sheet2!AJ125=999999,"NA",[1]Sheet2!AJ125)</f>
        <v>0</v>
      </c>
      <c r="AG126" s="14">
        <f>IF([1]Sheet2!AK125=999999,"NA",[1]Sheet2!AK125)</f>
        <v>0</v>
      </c>
      <c r="AH126" s="14" t="str">
        <f>IF([1]Sheet2!AL125=999999,"NA",[1]Sheet2!AL125)</f>
        <v>NA</v>
      </c>
      <c r="AI126" s="14">
        <f>IF([1]Sheet2!AM125=999999,"NA",[1]Sheet2!AM125)</f>
        <v>0</v>
      </c>
      <c r="AJ126" s="14">
        <f>IF([1]Sheet2!AN125=999999,"NA",[1]Sheet2!AN125)</f>
        <v>0</v>
      </c>
      <c r="AK126" s="14">
        <f>IF([1]Sheet2!AO125=999999,"NA",[1]Sheet2!AO125)</f>
        <v>0</v>
      </c>
      <c r="AL126" s="14">
        <f>IF([1]Sheet2!AP125=999999,"NA",[1]Sheet2!AP125)</f>
        <v>0</v>
      </c>
      <c r="AM126" s="14">
        <f>IF([1]Sheet2!AQ125=999999,"NA",[1]Sheet2!AQ125)</f>
        <v>0</v>
      </c>
      <c r="AN126" s="14">
        <f>IF([1]Sheet2!AR125=999999,"NA",[1]Sheet2!AR125)</f>
        <v>0</v>
      </c>
      <c r="AO126" s="14">
        <f>IF([1]Sheet2!AS125=999999,"NA",[1]Sheet2!AS125)</f>
        <v>0</v>
      </c>
      <c r="AP126" s="14">
        <f>[1]Sheet2!P125</f>
        <v>0</v>
      </c>
      <c r="AQ126" s="14">
        <f>[1]Sheet2!Q125</f>
        <v>0</v>
      </c>
      <c r="AR126" s="14">
        <f>[1]Sheet2!R125</f>
        <v>0</v>
      </c>
      <c r="AS126" s="14">
        <f>[1]Sheet2!S125</f>
        <v>0</v>
      </c>
      <c r="AT126" s="14">
        <f>[1]Sheet2!T125</f>
        <v>0</v>
      </c>
      <c r="AU126" s="14">
        <f>[1]Sheet2!U125</f>
        <v>0</v>
      </c>
      <c r="AV126" s="14">
        <f>[1]Sheet2!V125</f>
        <v>0</v>
      </c>
      <c r="AW126" s="14">
        <f>[1]Sheet2!W125</f>
        <v>0</v>
      </c>
      <c r="AX126" s="14">
        <f>[1]Sheet2!X125</f>
        <v>0</v>
      </c>
      <c r="AY126" s="14">
        <f>[1]Sheet2!Y125</f>
        <v>0</v>
      </c>
      <c r="AZ126" s="16">
        <f>Demand_LP!B$7/31</f>
        <v>855.82964911600493</v>
      </c>
      <c r="BA126" s="16">
        <f>Demand_LP!C$7/31</f>
        <v>478.74276261373035</v>
      </c>
      <c r="BB126" s="16">
        <f>Demand_LP!D$7/31</f>
        <v>366.03598014888337</v>
      </c>
      <c r="BC126" s="16">
        <f>Demand_LP!E$7/31</f>
        <v>837.96277915632766</v>
      </c>
      <c r="BD126" s="16">
        <f>Demand_LP!F$7/31</f>
        <v>447.19049589019846</v>
      </c>
      <c r="BE126" s="16">
        <f>Demand_LP!G$7/31</f>
        <v>447.19049589019846</v>
      </c>
      <c r="BF126" s="16">
        <f>Demand_LP!H$7/31</f>
        <v>478.74276261373035</v>
      </c>
      <c r="BG126" s="16">
        <f>Demand_LP!I$7/31</f>
        <v>447.19049589019846</v>
      </c>
      <c r="BH126" s="16">
        <f>Demand_LP!J$7/31</f>
        <v>447.19049589019846</v>
      </c>
      <c r="BI126" s="16">
        <f>Demand_LP!K$7/31</f>
        <v>447.19049589019846</v>
      </c>
      <c r="BJ126" s="16">
        <f t="shared" si="46"/>
        <v>-77987.997398236563</v>
      </c>
      <c r="BK126" s="16">
        <f t="shared" si="47"/>
        <v>-71546.682133994924</v>
      </c>
      <c r="BL126" s="16">
        <f t="shared" si="48"/>
        <v>-26271.111786600552</v>
      </c>
      <c r="BM126" s="16">
        <f t="shared" si="49"/>
        <v>-83184.858834060913</v>
      </c>
      <c r="BN126" s="16">
        <f t="shared" si="50"/>
        <v>-48959.556619780691</v>
      </c>
      <c r="BO126" s="16">
        <f t="shared" si="51"/>
        <v>-47417.240538151404</v>
      </c>
      <c r="BP126" s="16">
        <f t="shared" si="52"/>
        <v>-65904.261621174432</v>
      </c>
      <c r="BQ126" s="16">
        <f t="shared" si="53"/>
        <v>-47417.240538151404</v>
      </c>
      <c r="BR126" s="16">
        <f t="shared" si="54"/>
        <v>-45017.240538151404</v>
      </c>
      <c r="BS126" s="16">
        <f t="shared" si="55"/>
        <v>-45717.240538151396</v>
      </c>
      <c r="BT126" s="14">
        <f>IF([1]Sheet2!CB125=999999,"NA",[1]Sheet2!CB125)</f>
        <v>0</v>
      </c>
      <c r="BU126" s="14">
        <f>IF([1]Sheet2!CC125=999999,"NA",[1]Sheet2!CC125)</f>
        <v>0</v>
      </c>
      <c r="BV126" s="14">
        <f>IF([1]Sheet2!CD125=999999,"NA",[1]Sheet2!CD125)</f>
        <v>0</v>
      </c>
      <c r="BW126" s="14">
        <f>IF([1]Sheet2!CE125=999999,"NA",[1]Sheet2!CE125)</f>
        <v>0</v>
      </c>
      <c r="BX126" s="14">
        <f>IF([1]Sheet2!CF125=999999,"NA",[1]Sheet2!CF125)</f>
        <v>0</v>
      </c>
      <c r="BY126" s="14">
        <f>IF([1]Sheet2!CG125=999999,"NA",[1]Sheet2!CG125)</f>
        <v>0</v>
      </c>
      <c r="BZ126" s="14">
        <f>IF([1]Sheet2!CH125=999999,"NA",[1]Sheet2!CH125)</f>
        <v>0</v>
      </c>
      <c r="CA126" s="14">
        <f>IF([1]Sheet2!CI125=999999,"NA",[1]Sheet2!CI125)</f>
        <v>0</v>
      </c>
      <c r="CB126" s="14">
        <f>IF([1]Sheet2!CJ125=999999,"NA",[1]Sheet2!CJ125)</f>
        <v>0</v>
      </c>
      <c r="CC126" s="14">
        <f>IF([1]Sheet2!CK125=999999,"NA",[1]Sheet2!CK125)</f>
        <v>0</v>
      </c>
      <c r="CD126" s="14">
        <f>[1]Sheet2!BH125</f>
        <v>0</v>
      </c>
      <c r="CE126" s="14">
        <f>[1]Sheet2!BI125</f>
        <v>0</v>
      </c>
      <c r="CF126" s="14">
        <f>[1]Sheet2!BJ125</f>
        <v>0</v>
      </c>
      <c r="CG126" s="14">
        <f>[1]Sheet2!BK125</f>
        <v>0</v>
      </c>
      <c r="CH126" s="14">
        <f>[1]Sheet2!BL125</f>
        <v>0</v>
      </c>
      <c r="CI126" s="14">
        <f>[1]Sheet2!BM125</f>
        <v>0</v>
      </c>
      <c r="CJ126" s="14">
        <f>[1]Sheet2!BN125</f>
        <v>0</v>
      </c>
      <c r="CK126" s="14">
        <f>[1]Sheet2!BO125</f>
        <v>0</v>
      </c>
      <c r="CL126" s="14">
        <f>[1]Sheet2!BP125</f>
        <v>0</v>
      </c>
      <c r="CM126" s="14">
        <f>[1]Sheet2!BQ125</f>
        <v>0</v>
      </c>
      <c r="CN126" s="16">
        <f>Demand_SW!B$7/31</f>
        <v>122.8287841191067</v>
      </c>
      <c r="CO126" s="16">
        <f>Demand_SW!C$7/31</f>
        <v>0</v>
      </c>
      <c r="CP126" s="16">
        <f>Demand_SW!D$7/31</f>
        <v>0</v>
      </c>
      <c r="CQ126" s="16">
        <f>Demand_SW!E$7/31</f>
        <v>0</v>
      </c>
      <c r="CR126" s="16">
        <f>Demand_SW!F$7/31</f>
        <v>0</v>
      </c>
      <c r="CS126" s="16">
        <f>Demand_SW!G$7/31</f>
        <v>122.8287841191067</v>
      </c>
      <c r="CT126" s="16">
        <f>Demand_SW!H$7/31</f>
        <v>0</v>
      </c>
      <c r="CU126" s="16">
        <f>Demand_SW!I$7/31</f>
        <v>0</v>
      </c>
      <c r="CV126" s="16">
        <f>Demand_SW!J$7/31</f>
        <v>0</v>
      </c>
      <c r="CW126" s="16">
        <f>Demand_SW!K$7/31</f>
        <v>0</v>
      </c>
      <c r="CX126" s="16">
        <f t="shared" si="56"/>
        <v>-11831.56327543425</v>
      </c>
      <c r="CY126" s="16">
        <f t="shared" si="57"/>
        <v>76.923076923077133</v>
      </c>
      <c r="CZ126" s="16">
        <f t="shared" si="58"/>
        <v>0</v>
      </c>
      <c r="DA126" s="16">
        <f t="shared" si="59"/>
        <v>0</v>
      </c>
      <c r="DB126" s="16">
        <f t="shared" si="60"/>
        <v>0</v>
      </c>
      <c r="DC126" s="16">
        <f t="shared" si="61"/>
        <v>-11360.794044665017</v>
      </c>
      <c r="DD126" s="16">
        <f t="shared" si="62"/>
        <v>76.923076923077133</v>
      </c>
      <c r="DE126" s="16">
        <f t="shared" si="63"/>
        <v>0</v>
      </c>
      <c r="DF126" s="16">
        <f t="shared" si="64"/>
        <v>0</v>
      </c>
      <c r="DG126" s="16">
        <f t="shared" si="65"/>
        <v>0</v>
      </c>
      <c r="DH126" s="14">
        <f>IF([1]Sheet2!DS125=999999,"NA",[1]Sheet2!DS125)</f>
        <v>0</v>
      </c>
      <c r="DI126" s="14">
        <f>IF([1]Sheet2!DT125=999999,"NA",[1]Sheet2!DT125)</f>
        <v>242</v>
      </c>
      <c r="DJ126" s="14" t="str">
        <f>IF([1]Sheet2!DU125=999999,"NA",[1]Sheet2!DU125)</f>
        <v>NA</v>
      </c>
      <c r="DK126" s="14" t="str">
        <f>IF([1]Sheet2!DV125=999999,"NA",[1]Sheet2!DV125)</f>
        <v>NA</v>
      </c>
      <c r="DL126" s="14" t="str">
        <f>IF([1]Sheet2!DW125=999999,"NA",[1]Sheet2!DW125)</f>
        <v>NA</v>
      </c>
      <c r="DM126" s="14">
        <f>IF([1]Sheet2!DX125=999999,"NA",[1]Sheet2!DX125)</f>
        <v>0</v>
      </c>
      <c r="DN126" s="14">
        <f>IF([1]Sheet2!DY125=999999,"NA",[1]Sheet2!DY125)</f>
        <v>242</v>
      </c>
      <c r="DO126" s="14" t="str">
        <f>IF([1]Sheet2!DZ125=999999,"NA",[1]Sheet2!DZ125)</f>
        <v>NA</v>
      </c>
      <c r="DP126" s="14" t="str">
        <f>IF([1]Sheet2!EA125=999999,"NA",[1]Sheet2!EA125)</f>
        <v>NA</v>
      </c>
      <c r="DQ126" s="14" t="str">
        <f>IF([1]Sheet2!EB125=999999,"NA",[1]Sheet2!EB125)</f>
        <v>NA</v>
      </c>
      <c r="DR126" s="14">
        <f>[1]Sheet2!CY125</f>
        <v>0</v>
      </c>
      <c r="DS126" s="14">
        <f>[1]Sheet2!CZ125</f>
        <v>0</v>
      </c>
      <c r="DT126" s="14">
        <f>[1]Sheet2!DA125</f>
        <v>0</v>
      </c>
      <c r="DU126" s="14">
        <f>[1]Sheet2!DB125</f>
        <v>0</v>
      </c>
      <c r="DV126" s="14">
        <f>[1]Sheet2!DC125</f>
        <v>0</v>
      </c>
      <c r="DW126" s="14">
        <f>[1]Sheet2!DD125</f>
        <v>0</v>
      </c>
      <c r="DX126" s="14">
        <f>[1]Sheet2!DE125</f>
        <v>0</v>
      </c>
      <c r="DY126" s="14">
        <f>[1]Sheet2!DF125</f>
        <v>0</v>
      </c>
      <c r="DZ126" s="14">
        <f>[1]Sheet2!DG125</f>
        <v>0</v>
      </c>
      <c r="EA126" s="14">
        <f>[1]Sheet2!DH125</f>
        <v>0</v>
      </c>
      <c r="EB126" s="6">
        <f>[1]Sheet2!EC125</f>
        <v>0</v>
      </c>
      <c r="EC126" s="6">
        <f>[1]Sheet2!ED125</f>
        <v>0</v>
      </c>
      <c r="ED126" s="6">
        <f>[1]Sheet2!EE125</f>
        <v>0</v>
      </c>
      <c r="EE126" s="6">
        <f>[1]Sheet2!EF125</f>
        <v>0</v>
      </c>
      <c r="EF126" s="6">
        <f>[1]Sheet2!EG125</f>
        <v>0</v>
      </c>
      <c r="EG126" s="6">
        <f>[1]Sheet2!EH125</f>
        <v>0</v>
      </c>
      <c r="EH126" s="6">
        <f>[1]Sheet2!EI125</f>
        <v>0</v>
      </c>
      <c r="EI126" s="6">
        <f>[1]Sheet2!EJ125</f>
        <v>0</v>
      </c>
      <c r="EJ126" s="6">
        <f>[1]Sheet2!EK125</f>
        <v>0</v>
      </c>
      <c r="EK126" s="6">
        <f>[1]Sheet2!EL125</f>
        <v>0</v>
      </c>
      <c r="EL126" s="6" t="str">
        <f>[1]Sheet2!EM125</f>
        <v/>
      </c>
      <c r="EM126" s="6" t="str">
        <f>[1]Sheet2!EN125</f>
        <v/>
      </c>
      <c r="EN126" s="6" t="str">
        <f>[1]Sheet2!EO125</f>
        <v/>
      </c>
      <c r="EO126" s="6" t="str">
        <f>[1]Sheet2!EP125</f>
        <v/>
      </c>
      <c r="EP126" s="6" t="str">
        <f>[1]Sheet2!EQ125</f>
        <v/>
      </c>
      <c r="EQ126" s="6" t="str">
        <f>[1]Sheet2!ER125</f>
        <v/>
      </c>
      <c r="ER126" s="6" t="str">
        <f>[1]Sheet2!ES125</f>
        <v/>
      </c>
      <c r="ES126" s="6" t="str">
        <f>[1]Sheet2!ET125</f>
        <v/>
      </c>
      <c r="ET126" s="6" t="str">
        <f>[1]Sheet2!EU125</f>
        <v/>
      </c>
      <c r="EU126" s="6" t="str">
        <f>[1]Sheet2!EV125</f>
        <v/>
      </c>
      <c r="EV126" s="6" t="str">
        <f>[1]Sheet2!EW125</f>
        <v/>
      </c>
      <c r="EW126" s="6" t="str">
        <f>[1]Sheet2!EX125</f>
        <v/>
      </c>
      <c r="EX126" s="6" t="str">
        <f>[1]Sheet2!EY125</f>
        <v/>
      </c>
      <c r="EY126" s="6" t="str">
        <f>[1]Sheet2!EZ125</f>
        <v/>
      </c>
      <c r="EZ126" s="6" t="str">
        <f>[1]Sheet2!FA125</f>
        <v/>
      </c>
      <c r="FA126" s="6" t="str">
        <f>[1]Sheet2!FB125</f>
        <v/>
      </c>
      <c r="FB126" s="6" t="str">
        <f>[1]Sheet2!FC125</f>
        <v/>
      </c>
      <c r="FC126" s="6" t="str">
        <f>[1]Sheet2!FD125</f>
        <v/>
      </c>
      <c r="FD126" s="6" t="str">
        <f>[1]Sheet2!FE125</f>
        <v/>
      </c>
      <c r="FE126" s="6" t="str">
        <f>[1]Sheet2!FF125</f>
        <v/>
      </c>
      <c r="FF126" s="6" t="str">
        <f>[1]Sheet2!FG125</f>
        <v/>
      </c>
      <c r="FG126" s="6" t="str">
        <f>[1]Sheet2!FH125</f>
        <v/>
      </c>
      <c r="FH126" s="6" t="str">
        <f>[1]Sheet2!FI125</f>
        <v/>
      </c>
      <c r="FI126" s="6" t="str">
        <f>[1]Sheet2!FJ125</f>
        <v/>
      </c>
      <c r="FJ126" s="6" t="str">
        <f>[1]Sheet2!FK125</f>
        <v/>
      </c>
      <c r="FK126" s="6" t="str">
        <f>[1]Sheet2!FL125</f>
        <v/>
      </c>
      <c r="FL126" s="6" t="str">
        <f>[1]Sheet2!FM125</f>
        <v/>
      </c>
      <c r="FM126" s="6" t="str">
        <f>[1]Sheet2!FN125</f>
        <v/>
      </c>
      <c r="FN126" s="6" t="str">
        <f>[1]Sheet2!FO125</f>
        <v/>
      </c>
      <c r="FO126" s="6" t="str">
        <f>[1]Sheet2!FP125</f>
        <v/>
      </c>
    </row>
    <row r="127" spans="1:171" x14ac:dyDescent="0.25">
      <c r="A127" s="15">
        <v>43589</v>
      </c>
      <c r="B127" s="1"/>
      <c r="C127" s="1"/>
      <c r="D127" s="1"/>
      <c r="E127" s="14">
        <f>[1]Sheet2!N126</f>
        <v>0</v>
      </c>
      <c r="F127" s="14">
        <f>[1]Sheet2!BE126</f>
        <v>0</v>
      </c>
      <c r="G127" s="14">
        <f>[1]Sheet2!CW126</f>
        <v>0</v>
      </c>
      <c r="H127" s="1"/>
      <c r="I127" s="1"/>
      <c r="J127" s="1"/>
      <c r="K127" s="16"/>
      <c r="L127" s="16">
        <f>Demand_CWRS!B$7/31</f>
        <v>129.8994219137717</v>
      </c>
      <c r="M127" s="16">
        <f>Demand_CWRS!C$7/31</f>
        <v>543.3829611248965</v>
      </c>
      <c r="N127" s="16">
        <f>Demand_CWRS!D$7/31</f>
        <v>0</v>
      </c>
      <c r="O127" s="16">
        <f>Demand_CWRS!E$7/31</f>
        <v>131.84491315136475</v>
      </c>
      <c r="P127" s="16">
        <f>Demand_CWRS!F$7/31</f>
        <v>232.12592522229113</v>
      </c>
      <c r="Q127" s="16">
        <f>Demand_CWRS!G$7/31</f>
        <v>129.8994219137717</v>
      </c>
      <c r="R127" s="16">
        <f>Demand_CWRS!H$7/31</f>
        <v>232.12592522229113</v>
      </c>
      <c r="S127" s="16">
        <f>Demand_CWRS!I$7/31</f>
        <v>232.12592522229113</v>
      </c>
      <c r="T127" s="16">
        <f>Demand_CWRS!J$7/31</f>
        <v>232.12592522229113</v>
      </c>
      <c r="U127" s="16">
        <f>Demand_CWRS!K$7/31</f>
        <v>232.12592522229113</v>
      </c>
      <c r="V127" s="16">
        <f t="shared" si="36"/>
        <v>-15107.431328417008</v>
      </c>
      <c r="W127" s="16">
        <f t="shared" si="37"/>
        <v>-51688.667741935358</v>
      </c>
      <c r="X127" s="16">
        <f t="shared" si="38"/>
        <v>0</v>
      </c>
      <c r="Y127" s="16">
        <f t="shared" si="39"/>
        <v>-5276.0151767859097</v>
      </c>
      <c r="Z127" s="16">
        <f t="shared" si="40"/>
        <v>-23438.884959561263</v>
      </c>
      <c r="AA127" s="16">
        <f t="shared" si="41"/>
        <v>-13781.658179378574</v>
      </c>
      <c r="AB127" s="16">
        <f t="shared" si="42"/>
        <v>-27919.928629433081</v>
      </c>
      <c r="AC127" s="16">
        <f t="shared" si="43"/>
        <v>-22126.918373022803</v>
      </c>
      <c r="AD127" s="16">
        <f t="shared" si="44"/>
        <v>-22226.918373022796</v>
      </c>
      <c r="AE127" s="16">
        <f t="shared" si="45"/>
        <v>-22826.9183730228</v>
      </c>
      <c r="AF127" s="14">
        <f>IF([1]Sheet2!AJ126=999999,"NA",[1]Sheet2!AJ126)</f>
        <v>0</v>
      </c>
      <c r="AG127" s="14">
        <f>IF([1]Sheet2!AK126=999999,"NA",[1]Sheet2!AK126)</f>
        <v>0</v>
      </c>
      <c r="AH127" s="14" t="str">
        <f>IF([1]Sheet2!AL126=999999,"NA",[1]Sheet2!AL126)</f>
        <v>NA</v>
      </c>
      <c r="AI127" s="14">
        <f>IF([1]Sheet2!AM126=999999,"NA",[1]Sheet2!AM126)</f>
        <v>0</v>
      </c>
      <c r="AJ127" s="14">
        <f>IF([1]Sheet2!AN126=999999,"NA",[1]Sheet2!AN126)</f>
        <v>0</v>
      </c>
      <c r="AK127" s="14">
        <f>IF([1]Sheet2!AO126=999999,"NA",[1]Sheet2!AO126)</f>
        <v>0</v>
      </c>
      <c r="AL127" s="14">
        <f>IF([1]Sheet2!AP126=999999,"NA",[1]Sheet2!AP126)</f>
        <v>0</v>
      </c>
      <c r="AM127" s="14">
        <f>IF([1]Sheet2!AQ126=999999,"NA",[1]Sheet2!AQ126)</f>
        <v>0</v>
      </c>
      <c r="AN127" s="14">
        <f>IF([1]Sheet2!AR126=999999,"NA",[1]Sheet2!AR126)</f>
        <v>0</v>
      </c>
      <c r="AO127" s="14">
        <f>IF([1]Sheet2!AS126=999999,"NA",[1]Sheet2!AS126)</f>
        <v>0</v>
      </c>
      <c r="AP127" s="14">
        <f>[1]Sheet2!P126</f>
        <v>0</v>
      </c>
      <c r="AQ127" s="14">
        <f>[1]Sheet2!Q126</f>
        <v>0</v>
      </c>
      <c r="AR127" s="14">
        <f>[1]Sheet2!R126</f>
        <v>0</v>
      </c>
      <c r="AS127" s="14">
        <f>[1]Sheet2!S126</f>
        <v>0</v>
      </c>
      <c r="AT127" s="14">
        <f>[1]Sheet2!T126</f>
        <v>0</v>
      </c>
      <c r="AU127" s="14">
        <f>[1]Sheet2!U126</f>
        <v>0</v>
      </c>
      <c r="AV127" s="14">
        <f>[1]Sheet2!V126</f>
        <v>0</v>
      </c>
      <c r="AW127" s="14">
        <f>[1]Sheet2!W126</f>
        <v>0</v>
      </c>
      <c r="AX127" s="14">
        <f>[1]Sheet2!X126</f>
        <v>0</v>
      </c>
      <c r="AY127" s="14">
        <f>[1]Sheet2!Y126</f>
        <v>0</v>
      </c>
      <c r="AZ127" s="16">
        <f>Demand_LP!B$7/31</f>
        <v>855.82964911600493</v>
      </c>
      <c r="BA127" s="16">
        <f>Demand_LP!C$7/31</f>
        <v>478.74276261373035</v>
      </c>
      <c r="BB127" s="16">
        <f>Demand_LP!D$7/31</f>
        <v>366.03598014888337</v>
      </c>
      <c r="BC127" s="16">
        <f>Demand_LP!E$7/31</f>
        <v>837.96277915632766</v>
      </c>
      <c r="BD127" s="16">
        <f>Demand_LP!F$7/31</f>
        <v>447.19049589019846</v>
      </c>
      <c r="BE127" s="16">
        <f>Demand_LP!G$7/31</f>
        <v>447.19049589019846</v>
      </c>
      <c r="BF127" s="16">
        <f>Demand_LP!H$7/31</f>
        <v>478.74276261373035</v>
      </c>
      <c r="BG127" s="16">
        <f>Demand_LP!I$7/31</f>
        <v>447.19049589019846</v>
      </c>
      <c r="BH127" s="16">
        <f>Demand_LP!J$7/31</f>
        <v>447.19049589019846</v>
      </c>
      <c r="BI127" s="16">
        <f>Demand_LP!K$7/31</f>
        <v>447.19049589019846</v>
      </c>
      <c r="BJ127" s="16">
        <f t="shared" si="46"/>
        <v>-78843.827047352563</v>
      </c>
      <c r="BK127" s="16">
        <f t="shared" si="47"/>
        <v>-72025.42489660866</v>
      </c>
      <c r="BL127" s="16">
        <f t="shared" si="48"/>
        <v>-26637.147766749436</v>
      </c>
      <c r="BM127" s="16">
        <f t="shared" si="49"/>
        <v>-84022.821613217238</v>
      </c>
      <c r="BN127" s="16">
        <f t="shared" si="50"/>
        <v>-49406.747115670893</v>
      </c>
      <c r="BO127" s="16">
        <f t="shared" si="51"/>
        <v>-47864.431034041605</v>
      </c>
      <c r="BP127" s="16">
        <f t="shared" si="52"/>
        <v>-66383.004383788168</v>
      </c>
      <c r="BQ127" s="16">
        <f t="shared" si="53"/>
        <v>-47864.431034041605</v>
      </c>
      <c r="BR127" s="16">
        <f t="shared" si="54"/>
        <v>-45464.431034041605</v>
      </c>
      <c r="BS127" s="16">
        <f t="shared" si="55"/>
        <v>-46164.431034041598</v>
      </c>
      <c r="BT127" s="14">
        <f>IF([1]Sheet2!CB126=999999,"NA",[1]Sheet2!CB126)</f>
        <v>0</v>
      </c>
      <c r="BU127" s="14">
        <f>IF([1]Sheet2!CC126=999999,"NA",[1]Sheet2!CC126)</f>
        <v>0</v>
      </c>
      <c r="BV127" s="14">
        <f>IF([1]Sheet2!CD126=999999,"NA",[1]Sheet2!CD126)</f>
        <v>0</v>
      </c>
      <c r="BW127" s="14">
        <f>IF([1]Sheet2!CE126=999999,"NA",[1]Sheet2!CE126)</f>
        <v>0</v>
      </c>
      <c r="BX127" s="14">
        <f>IF([1]Sheet2!CF126=999999,"NA",[1]Sheet2!CF126)</f>
        <v>0</v>
      </c>
      <c r="BY127" s="14">
        <f>IF([1]Sheet2!CG126=999999,"NA",[1]Sheet2!CG126)</f>
        <v>0</v>
      </c>
      <c r="BZ127" s="14">
        <f>IF([1]Sheet2!CH126=999999,"NA",[1]Sheet2!CH126)</f>
        <v>0</v>
      </c>
      <c r="CA127" s="14">
        <f>IF([1]Sheet2!CI126=999999,"NA",[1]Sheet2!CI126)</f>
        <v>0</v>
      </c>
      <c r="CB127" s="14">
        <f>IF([1]Sheet2!CJ126=999999,"NA",[1]Sheet2!CJ126)</f>
        <v>0</v>
      </c>
      <c r="CC127" s="14">
        <f>IF([1]Sheet2!CK126=999999,"NA",[1]Sheet2!CK126)</f>
        <v>0</v>
      </c>
      <c r="CD127" s="14">
        <f>[1]Sheet2!BH126</f>
        <v>0</v>
      </c>
      <c r="CE127" s="14">
        <f>[1]Sheet2!BI126</f>
        <v>0</v>
      </c>
      <c r="CF127" s="14">
        <f>[1]Sheet2!BJ126</f>
        <v>0</v>
      </c>
      <c r="CG127" s="14">
        <f>[1]Sheet2!BK126</f>
        <v>0</v>
      </c>
      <c r="CH127" s="14">
        <f>[1]Sheet2!BL126</f>
        <v>0</v>
      </c>
      <c r="CI127" s="14">
        <f>[1]Sheet2!BM126</f>
        <v>0</v>
      </c>
      <c r="CJ127" s="14">
        <f>[1]Sheet2!BN126</f>
        <v>0</v>
      </c>
      <c r="CK127" s="14">
        <f>[1]Sheet2!BO126</f>
        <v>0</v>
      </c>
      <c r="CL127" s="14">
        <f>[1]Sheet2!BP126</f>
        <v>0</v>
      </c>
      <c r="CM127" s="14">
        <f>[1]Sheet2!BQ126</f>
        <v>0</v>
      </c>
      <c r="CN127" s="16">
        <f>Demand_SW!B$7/31</f>
        <v>122.8287841191067</v>
      </c>
      <c r="CO127" s="16">
        <f>Demand_SW!C$7/31</f>
        <v>0</v>
      </c>
      <c r="CP127" s="16">
        <f>Demand_SW!D$7/31</f>
        <v>0</v>
      </c>
      <c r="CQ127" s="16">
        <f>Demand_SW!E$7/31</f>
        <v>0</v>
      </c>
      <c r="CR127" s="16">
        <f>Demand_SW!F$7/31</f>
        <v>0</v>
      </c>
      <c r="CS127" s="16">
        <f>Demand_SW!G$7/31</f>
        <v>122.8287841191067</v>
      </c>
      <c r="CT127" s="16">
        <f>Demand_SW!H$7/31</f>
        <v>0</v>
      </c>
      <c r="CU127" s="16">
        <f>Demand_SW!I$7/31</f>
        <v>0</v>
      </c>
      <c r="CV127" s="16">
        <f>Demand_SW!J$7/31</f>
        <v>0</v>
      </c>
      <c r="CW127" s="16">
        <f>Demand_SW!K$7/31</f>
        <v>0</v>
      </c>
      <c r="CX127" s="16">
        <f t="shared" si="56"/>
        <v>-11954.392059553356</v>
      </c>
      <c r="CY127" s="16">
        <f t="shared" si="57"/>
        <v>76.923076923077133</v>
      </c>
      <c r="CZ127" s="16">
        <f t="shared" si="58"/>
        <v>0</v>
      </c>
      <c r="DA127" s="16">
        <f t="shared" si="59"/>
        <v>0</v>
      </c>
      <c r="DB127" s="16">
        <f t="shared" si="60"/>
        <v>0</v>
      </c>
      <c r="DC127" s="16">
        <f t="shared" si="61"/>
        <v>-11483.622828784124</v>
      </c>
      <c r="DD127" s="16">
        <f t="shared" si="62"/>
        <v>76.923076923077133</v>
      </c>
      <c r="DE127" s="16">
        <f t="shared" si="63"/>
        <v>0</v>
      </c>
      <c r="DF127" s="16">
        <f t="shared" si="64"/>
        <v>0</v>
      </c>
      <c r="DG127" s="16">
        <f t="shared" si="65"/>
        <v>0</v>
      </c>
      <c r="DH127" s="14">
        <f>IF([1]Sheet2!DS126=999999,"NA",[1]Sheet2!DS126)</f>
        <v>0</v>
      </c>
      <c r="DI127" s="14">
        <f>IF([1]Sheet2!DT126=999999,"NA",[1]Sheet2!DT126)</f>
        <v>241</v>
      </c>
      <c r="DJ127" s="14" t="str">
        <f>IF([1]Sheet2!DU126=999999,"NA",[1]Sheet2!DU126)</f>
        <v>NA</v>
      </c>
      <c r="DK127" s="14" t="str">
        <f>IF([1]Sheet2!DV126=999999,"NA",[1]Sheet2!DV126)</f>
        <v>NA</v>
      </c>
      <c r="DL127" s="14" t="str">
        <f>IF([1]Sheet2!DW126=999999,"NA",[1]Sheet2!DW126)</f>
        <v>NA</v>
      </c>
      <c r="DM127" s="14">
        <f>IF([1]Sheet2!DX126=999999,"NA",[1]Sheet2!DX126)</f>
        <v>0</v>
      </c>
      <c r="DN127" s="14">
        <f>IF([1]Sheet2!DY126=999999,"NA",[1]Sheet2!DY126)</f>
        <v>241</v>
      </c>
      <c r="DO127" s="14" t="str">
        <f>IF([1]Sheet2!DZ126=999999,"NA",[1]Sheet2!DZ126)</f>
        <v>NA</v>
      </c>
      <c r="DP127" s="14" t="str">
        <f>IF([1]Sheet2!EA126=999999,"NA",[1]Sheet2!EA126)</f>
        <v>NA</v>
      </c>
      <c r="DQ127" s="14" t="str">
        <f>IF([1]Sheet2!EB126=999999,"NA",[1]Sheet2!EB126)</f>
        <v>NA</v>
      </c>
      <c r="DR127" s="14">
        <f>[1]Sheet2!CY126</f>
        <v>0</v>
      </c>
      <c r="DS127" s="14">
        <f>[1]Sheet2!CZ126</f>
        <v>0</v>
      </c>
      <c r="DT127" s="14">
        <f>[1]Sheet2!DA126</f>
        <v>0</v>
      </c>
      <c r="DU127" s="14">
        <f>[1]Sheet2!DB126</f>
        <v>0</v>
      </c>
      <c r="DV127" s="14">
        <f>[1]Sheet2!DC126</f>
        <v>0</v>
      </c>
      <c r="DW127" s="14">
        <f>[1]Sheet2!DD126</f>
        <v>0</v>
      </c>
      <c r="DX127" s="14">
        <f>[1]Sheet2!DE126</f>
        <v>0</v>
      </c>
      <c r="DY127" s="14">
        <f>[1]Sheet2!DF126</f>
        <v>0</v>
      </c>
      <c r="DZ127" s="14">
        <f>[1]Sheet2!DG126</f>
        <v>0</v>
      </c>
      <c r="EA127" s="14">
        <f>[1]Sheet2!DH126</f>
        <v>0</v>
      </c>
      <c r="EB127" s="6">
        <f>[1]Sheet2!EC126</f>
        <v>0</v>
      </c>
      <c r="EC127" s="6">
        <f>[1]Sheet2!ED126</f>
        <v>0</v>
      </c>
      <c r="ED127" s="6">
        <f>[1]Sheet2!EE126</f>
        <v>0</v>
      </c>
      <c r="EE127" s="6">
        <f>[1]Sheet2!EF126</f>
        <v>0</v>
      </c>
      <c r="EF127" s="6">
        <f>[1]Sheet2!EG126</f>
        <v>0</v>
      </c>
      <c r="EG127" s="6">
        <f>[1]Sheet2!EH126</f>
        <v>0</v>
      </c>
      <c r="EH127" s="6">
        <f>[1]Sheet2!EI126</f>
        <v>0</v>
      </c>
      <c r="EI127" s="6">
        <f>[1]Sheet2!EJ126</f>
        <v>0</v>
      </c>
      <c r="EJ127" s="6">
        <f>[1]Sheet2!EK126</f>
        <v>0</v>
      </c>
      <c r="EK127" s="6">
        <f>[1]Sheet2!EL126</f>
        <v>0</v>
      </c>
      <c r="EL127" s="6" t="str">
        <f>[1]Sheet2!EM126</f>
        <v/>
      </c>
      <c r="EM127" s="6" t="str">
        <f>[1]Sheet2!EN126</f>
        <v/>
      </c>
      <c r="EN127" s="6" t="str">
        <f>[1]Sheet2!EO126</f>
        <v/>
      </c>
      <c r="EO127" s="6" t="str">
        <f>[1]Sheet2!EP126</f>
        <v/>
      </c>
      <c r="EP127" s="6" t="str">
        <f>[1]Sheet2!EQ126</f>
        <v/>
      </c>
      <c r="EQ127" s="6" t="str">
        <f>[1]Sheet2!ER126</f>
        <v/>
      </c>
      <c r="ER127" s="6" t="str">
        <f>[1]Sheet2!ES126</f>
        <v/>
      </c>
      <c r="ES127" s="6" t="str">
        <f>[1]Sheet2!ET126</f>
        <v/>
      </c>
      <c r="ET127" s="6" t="str">
        <f>[1]Sheet2!EU126</f>
        <v/>
      </c>
      <c r="EU127" s="6" t="str">
        <f>[1]Sheet2!EV126</f>
        <v/>
      </c>
      <c r="EV127" s="6" t="str">
        <f>[1]Sheet2!EW126</f>
        <v/>
      </c>
      <c r="EW127" s="6" t="str">
        <f>[1]Sheet2!EX126</f>
        <v/>
      </c>
      <c r="EX127" s="6" t="str">
        <f>[1]Sheet2!EY126</f>
        <v/>
      </c>
      <c r="EY127" s="6" t="str">
        <f>[1]Sheet2!EZ126</f>
        <v/>
      </c>
      <c r="EZ127" s="6" t="str">
        <f>[1]Sheet2!FA126</f>
        <v/>
      </c>
      <c r="FA127" s="6" t="str">
        <f>[1]Sheet2!FB126</f>
        <v/>
      </c>
      <c r="FB127" s="6" t="str">
        <f>[1]Sheet2!FC126</f>
        <v/>
      </c>
      <c r="FC127" s="6" t="str">
        <f>[1]Sheet2!FD126</f>
        <v/>
      </c>
      <c r="FD127" s="6" t="str">
        <f>[1]Sheet2!FE126</f>
        <v/>
      </c>
      <c r="FE127" s="6" t="str">
        <f>[1]Sheet2!FF126</f>
        <v/>
      </c>
      <c r="FF127" s="6" t="str">
        <f>[1]Sheet2!FG126</f>
        <v/>
      </c>
      <c r="FG127" s="6" t="str">
        <f>[1]Sheet2!FH126</f>
        <v/>
      </c>
      <c r="FH127" s="6" t="str">
        <f>[1]Sheet2!FI126</f>
        <v/>
      </c>
      <c r="FI127" s="6" t="str">
        <f>[1]Sheet2!FJ126</f>
        <v/>
      </c>
      <c r="FJ127" s="6" t="str">
        <f>[1]Sheet2!FK126</f>
        <v/>
      </c>
      <c r="FK127" s="6" t="str">
        <f>[1]Sheet2!FL126</f>
        <v/>
      </c>
      <c r="FL127" s="6" t="str">
        <f>[1]Sheet2!FM126</f>
        <v/>
      </c>
      <c r="FM127" s="6" t="str">
        <f>[1]Sheet2!FN126</f>
        <v/>
      </c>
      <c r="FN127" s="6" t="str">
        <f>[1]Sheet2!FO126</f>
        <v/>
      </c>
      <c r="FO127" s="6" t="str">
        <f>[1]Sheet2!FP126</f>
        <v/>
      </c>
    </row>
    <row r="128" spans="1:171" x14ac:dyDescent="0.25">
      <c r="A128" s="15">
        <v>43590</v>
      </c>
      <c r="B128" s="1"/>
      <c r="C128" s="1"/>
      <c r="D128" s="1"/>
      <c r="E128" s="14">
        <f>[1]Sheet2!N127</f>
        <v>0</v>
      </c>
      <c r="F128" s="14">
        <f>[1]Sheet2!BE127</f>
        <v>0</v>
      </c>
      <c r="G128" s="14">
        <f>[1]Sheet2!CW127</f>
        <v>0</v>
      </c>
      <c r="H128" s="1"/>
      <c r="I128" s="1"/>
      <c r="J128" s="1"/>
      <c r="K128" s="16"/>
      <c r="L128" s="16">
        <f>Demand_CWRS!B$7/31</f>
        <v>129.8994219137717</v>
      </c>
      <c r="M128" s="16">
        <f>Demand_CWRS!C$7/31</f>
        <v>543.3829611248965</v>
      </c>
      <c r="N128" s="16">
        <f>Demand_CWRS!D$7/31</f>
        <v>0</v>
      </c>
      <c r="O128" s="16">
        <f>Demand_CWRS!E$7/31</f>
        <v>131.84491315136475</v>
      </c>
      <c r="P128" s="16">
        <f>Demand_CWRS!F$7/31</f>
        <v>232.12592522229113</v>
      </c>
      <c r="Q128" s="16">
        <f>Demand_CWRS!G$7/31</f>
        <v>129.8994219137717</v>
      </c>
      <c r="R128" s="16">
        <f>Demand_CWRS!H$7/31</f>
        <v>232.12592522229113</v>
      </c>
      <c r="S128" s="16">
        <f>Demand_CWRS!I$7/31</f>
        <v>232.12592522229113</v>
      </c>
      <c r="T128" s="16">
        <f>Demand_CWRS!J$7/31</f>
        <v>232.12592522229113</v>
      </c>
      <c r="U128" s="16">
        <f>Demand_CWRS!K$7/31</f>
        <v>232.12592522229113</v>
      </c>
      <c r="V128" s="16">
        <f t="shared" si="36"/>
        <v>-15237.330750330779</v>
      </c>
      <c r="W128" s="16">
        <f t="shared" si="37"/>
        <v>-52232.050703060253</v>
      </c>
      <c r="X128" s="16">
        <f t="shared" si="38"/>
        <v>0</v>
      </c>
      <c r="Y128" s="16">
        <f t="shared" si="39"/>
        <v>-5407.8600899372741</v>
      </c>
      <c r="Z128" s="16">
        <f t="shared" si="40"/>
        <v>-23671.010884783555</v>
      </c>
      <c r="AA128" s="16">
        <f t="shared" si="41"/>
        <v>-13911.557601292345</v>
      </c>
      <c r="AB128" s="16">
        <f t="shared" si="42"/>
        <v>-28152.054554655373</v>
      </c>
      <c r="AC128" s="16">
        <f t="shared" si="43"/>
        <v>-22359.044298245095</v>
      </c>
      <c r="AD128" s="16">
        <f t="shared" si="44"/>
        <v>-22459.044298245088</v>
      </c>
      <c r="AE128" s="16">
        <f t="shared" si="45"/>
        <v>-23059.044298245091</v>
      </c>
      <c r="AF128" s="14">
        <f>IF([1]Sheet2!AJ127=999999,"NA",[1]Sheet2!AJ127)</f>
        <v>0</v>
      </c>
      <c r="AG128" s="14">
        <f>IF([1]Sheet2!AK127=999999,"NA",[1]Sheet2!AK127)</f>
        <v>0</v>
      </c>
      <c r="AH128" s="14" t="str">
        <f>IF([1]Sheet2!AL127=999999,"NA",[1]Sheet2!AL127)</f>
        <v>NA</v>
      </c>
      <c r="AI128" s="14">
        <f>IF([1]Sheet2!AM127=999999,"NA",[1]Sheet2!AM127)</f>
        <v>0</v>
      </c>
      <c r="AJ128" s="14">
        <f>IF([1]Sheet2!AN127=999999,"NA",[1]Sheet2!AN127)</f>
        <v>0</v>
      </c>
      <c r="AK128" s="14">
        <f>IF([1]Sheet2!AO127=999999,"NA",[1]Sheet2!AO127)</f>
        <v>0</v>
      </c>
      <c r="AL128" s="14">
        <f>IF([1]Sheet2!AP127=999999,"NA",[1]Sheet2!AP127)</f>
        <v>0</v>
      </c>
      <c r="AM128" s="14">
        <f>IF([1]Sheet2!AQ127=999999,"NA",[1]Sheet2!AQ127)</f>
        <v>0</v>
      </c>
      <c r="AN128" s="14">
        <f>IF([1]Sheet2!AR127=999999,"NA",[1]Sheet2!AR127)</f>
        <v>0</v>
      </c>
      <c r="AO128" s="14">
        <f>IF([1]Sheet2!AS127=999999,"NA",[1]Sheet2!AS127)</f>
        <v>0</v>
      </c>
      <c r="AP128" s="14">
        <f>[1]Sheet2!P127</f>
        <v>0</v>
      </c>
      <c r="AQ128" s="14">
        <f>[1]Sheet2!Q127</f>
        <v>0</v>
      </c>
      <c r="AR128" s="14">
        <f>[1]Sheet2!R127</f>
        <v>0</v>
      </c>
      <c r="AS128" s="14">
        <f>[1]Sheet2!S127</f>
        <v>0</v>
      </c>
      <c r="AT128" s="14">
        <f>[1]Sheet2!T127</f>
        <v>0</v>
      </c>
      <c r="AU128" s="14">
        <f>[1]Sheet2!U127</f>
        <v>0</v>
      </c>
      <c r="AV128" s="14">
        <f>[1]Sheet2!V127</f>
        <v>0</v>
      </c>
      <c r="AW128" s="14">
        <f>[1]Sheet2!W127</f>
        <v>0</v>
      </c>
      <c r="AX128" s="14">
        <f>[1]Sheet2!X127</f>
        <v>0</v>
      </c>
      <c r="AY128" s="14">
        <f>[1]Sheet2!Y127</f>
        <v>0</v>
      </c>
      <c r="AZ128" s="16">
        <f>Demand_LP!B$7/31</f>
        <v>855.82964911600493</v>
      </c>
      <c r="BA128" s="16">
        <f>Demand_LP!C$7/31</f>
        <v>478.74276261373035</v>
      </c>
      <c r="BB128" s="16">
        <f>Demand_LP!D$7/31</f>
        <v>366.03598014888337</v>
      </c>
      <c r="BC128" s="16">
        <f>Demand_LP!E$7/31</f>
        <v>837.96277915632766</v>
      </c>
      <c r="BD128" s="16">
        <f>Demand_LP!F$7/31</f>
        <v>447.19049589019846</v>
      </c>
      <c r="BE128" s="16">
        <f>Demand_LP!G$7/31</f>
        <v>447.19049589019846</v>
      </c>
      <c r="BF128" s="16">
        <f>Demand_LP!H$7/31</f>
        <v>478.74276261373035</v>
      </c>
      <c r="BG128" s="16">
        <f>Demand_LP!I$7/31</f>
        <v>447.19049589019846</v>
      </c>
      <c r="BH128" s="16">
        <f>Demand_LP!J$7/31</f>
        <v>447.19049589019846</v>
      </c>
      <c r="BI128" s="16">
        <f>Demand_LP!K$7/31</f>
        <v>447.19049589019846</v>
      </c>
      <c r="BJ128" s="16">
        <f t="shared" si="46"/>
        <v>-79699.656696468563</v>
      </c>
      <c r="BK128" s="16">
        <f t="shared" si="47"/>
        <v>-72504.167659222396</v>
      </c>
      <c r="BL128" s="16">
        <f t="shared" si="48"/>
        <v>-27003.183746898321</v>
      </c>
      <c r="BM128" s="16">
        <f t="shared" si="49"/>
        <v>-84860.784392373564</v>
      </c>
      <c r="BN128" s="16">
        <f t="shared" si="50"/>
        <v>-49853.937611561094</v>
      </c>
      <c r="BO128" s="16">
        <f t="shared" si="51"/>
        <v>-48311.621529931806</v>
      </c>
      <c r="BP128" s="16">
        <f t="shared" si="52"/>
        <v>-66861.747146401904</v>
      </c>
      <c r="BQ128" s="16">
        <f t="shared" si="53"/>
        <v>-48311.621529931806</v>
      </c>
      <c r="BR128" s="16">
        <f t="shared" si="54"/>
        <v>-45911.621529931806</v>
      </c>
      <c r="BS128" s="16">
        <f t="shared" si="55"/>
        <v>-46611.621529931799</v>
      </c>
      <c r="BT128" s="14">
        <f>IF([1]Sheet2!CB127=999999,"NA",[1]Sheet2!CB127)</f>
        <v>0</v>
      </c>
      <c r="BU128" s="14">
        <f>IF([1]Sheet2!CC127=999999,"NA",[1]Sheet2!CC127)</f>
        <v>0</v>
      </c>
      <c r="BV128" s="14">
        <f>IF([1]Sheet2!CD127=999999,"NA",[1]Sheet2!CD127)</f>
        <v>0</v>
      </c>
      <c r="BW128" s="14">
        <f>IF([1]Sheet2!CE127=999999,"NA",[1]Sheet2!CE127)</f>
        <v>0</v>
      </c>
      <c r="BX128" s="14">
        <f>IF([1]Sheet2!CF127=999999,"NA",[1]Sheet2!CF127)</f>
        <v>0</v>
      </c>
      <c r="BY128" s="14">
        <f>IF([1]Sheet2!CG127=999999,"NA",[1]Sheet2!CG127)</f>
        <v>0</v>
      </c>
      <c r="BZ128" s="14">
        <f>IF([1]Sheet2!CH127=999999,"NA",[1]Sheet2!CH127)</f>
        <v>0</v>
      </c>
      <c r="CA128" s="14">
        <f>IF([1]Sheet2!CI127=999999,"NA",[1]Sheet2!CI127)</f>
        <v>0</v>
      </c>
      <c r="CB128" s="14">
        <f>IF([1]Sheet2!CJ127=999999,"NA",[1]Sheet2!CJ127)</f>
        <v>0</v>
      </c>
      <c r="CC128" s="14">
        <f>IF([1]Sheet2!CK127=999999,"NA",[1]Sheet2!CK127)</f>
        <v>0</v>
      </c>
      <c r="CD128" s="14">
        <f>[1]Sheet2!BH127</f>
        <v>0</v>
      </c>
      <c r="CE128" s="14">
        <f>[1]Sheet2!BI127</f>
        <v>0</v>
      </c>
      <c r="CF128" s="14">
        <f>[1]Sheet2!BJ127</f>
        <v>0</v>
      </c>
      <c r="CG128" s="14">
        <f>[1]Sheet2!BK127</f>
        <v>0</v>
      </c>
      <c r="CH128" s="14">
        <f>[1]Sheet2!BL127</f>
        <v>0</v>
      </c>
      <c r="CI128" s="14">
        <f>[1]Sheet2!BM127</f>
        <v>0</v>
      </c>
      <c r="CJ128" s="14">
        <f>[1]Sheet2!BN127</f>
        <v>0</v>
      </c>
      <c r="CK128" s="14">
        <f>[1]Sheet2!BO127</f>
        <v>0</v>
      </c>
      <c r="CL128" s="14">
        <f>[1]Sheet2!BP127</f>
        <v>0</v>
      </c>
      <c r="CM128" s="14">
        <f>[1]Sheet2!BQ127</f>
        <v>0</v>
      </c>
      <c r="CN128" s="16">
        <f>Demand_SW!B$7/31</f>
        <v>122.8287841191067</v>
      </c>
      <c r="CO128" s="16">
        <f>Demand_SW!C$7/31</f>
        <v>0</v>
      </c>
      <c r="CP128" s="16">
        <f>Demand_SW!D$7/31</f>
        <v>0</v>
      </c>
      <c r="CQ128" s="16">
        <f>Demand_SW!E$7/31</f>
        <v>0</v>
      </c>
      <c r="CR128" s="16">
        <f>Demand_SW!F$7/31</f>
        <v>0</v>
      </c>
      <c r="CS128" s="16">
        <f>Demand_SW!G$7/31</f>
        <v>122.8287841191067</v>
      </c>
      <c r="CT128" s="16">
        <f>Demand_SW!H$7/31</f>
        <v>0</v>
      </c>
      <c r="CU128" s="16">
        <f>Demand_SW!I$7/31</f>
        <v>0</v>
      </c>
      <c r="CV128" s="16">
        <f>Demand_SW!J$7/31</f>
        <v>0</v>
      </c>
      <c r="CW128" s="16">
        <f>Demand_SW!K$7/31</f>
        <v>0</v>
      </c>
      <c r="CX128" s="16">
        <f t="shared" si="56"/>
        <v>-12077.220843672463</v>
      </c>
      <c r="CY128" s="16">
        <f t="shared" si="57"/>
        <v>76.923076923077133</v>
      </c>
      <c r="CZ128" s="16">
        <f t="shared" si="58"/>
        <v>0</v>
      </c>
      <c r="DA128" s="16">
        <f t="shared" si="59"/>
        <v>0</v>
      </c>
      <c r="DB128" s="16">
        <f t="shared" si="60"/>
        <v>0</v>
      </c>
      <c r="DC128" s="16">
        <f t="shared" si="61"/>
        <v>-11606.451612903231</v>
      </c>
      <c r="DD128" s="16">
        <f t="shared" si="62"/>
        <v>76.923076923077133</v>
      </c>
      <c r="DE128" s="16">
        <f t="shared" si="63"/>
        <v>0</v>
      </c>
      <c r="DF128" s="16">
        <f t="shared" si="64"/>
        <v>0</v>
      </c>
      <c r="DG128" s="16">
        <f t="shared" si="65"/>
        <v>0</v>
      </c>
      <c r="DH128" s="14">
        <f>IF([1]Sheet2!DS127=999999,"NA",[1]Sheet2!DS127)</f>
        <v>0</v>
      </c>
      <c r="DI128" s="14">
        <f>IF([1]Sheet2!DT127=999999,"NA",[1]Sheet2!DT127)</f>
        <v>240</v>
      </c>
      <c r="DJ128" s="14" t="str">
        <f>IF([1]Sheet2!DU127=999999,"NA",[1]Sheet2!DU127)</f>
        <v>NA</v>
      </c>
      <c r="DK128" s="14" t="str">
        <f>IF([1]Sheet2!DV127=999999,"NA",[1]Sheet2!DV127)</f>
        <v>NA</v>
      </c>
      <c r="DL128" s="14" t="str">
        <f>IF([1]Sheet2!DW127=999999,"NA",[1]Sheet2!DW127)</f>
        <v>NA</v>
      </c>
      <c r="DM128" s="14">
        <f>IF([1]Sheet2!DX127=999999,"NA",[1]Sheet2!DX127)</f>
        <v>0</v>
      </c>
      <c r="DN128" s="14">
        <f>IF([1]Sheet2!DY127=999999,"NA",[1]Sheet2!DY127)</f>
        <v>240</v>
      </c>
      <c r="DO128" s="14" t="str">
        <f>IF([1]Sheet2!DZ127=999999,"NA",[1]Sheet2!DZ127)</f>
        <v>NA</v>
      </c>
      <c r="DP128" s="14" t="str">
        <f>IF([1]Sheet2!EA127=999999,"NA",[1]Sheet2!EA127)</f>
        <v>NA</v>
      </c>
      <c r="DQ128" s="14" t="str">
        <f>IF([1]Sheet2!EB127=999999,"NA",[1]Sheet2!EB127)</f>
        <v>NA</v>
      </c>
      <c r="DR128" s="14">
        <f>[1]Sheet2!CY127</f>
        <v>0</v>
      </c>
      <c r="DS128" s="14">
        <f>[1]Sheet2!CZ127</f>
        <v>0</v>
      </c>
      <c r="DT128" s="14">
        <f>[1]Sheet2!DA127</f>
        <v>0</v>
      </c>
      <c r="DU128" s="14">
        <f>[1]Sheet2!DB127</f>
        <v>0</v>
      </c>
      <c r="DV128" s="14">
        <f>[1]Sheet2!DC127</f>
        <v>0</v>
      </c>
      <c r="DW128" s="14">
        <f>[1]Sheet2!DD127</f>
        <v>0</v>
      </c>
      <c r="DX128" s="14">
        <f>[1]Sheet2!DE127</f>
        <v>0</v>
      </c>
      <c r="DY128" s="14">
        <f>[1]Sheet2!DF127</f>
        <v>0</v>
      </c>
      <c r="DZ128" s="14">
        <f>[1]Sheet2!DG127</f>
        <v>0</v>
      </c>
      <c r="EA128" s="14">
        <f>[1]Sheet2!DH127</f>
        <v>0</v>
      </c>
      <c r="EB128" s="6">
        <f>[1]Sheet2!EC127</f>
        <v>0</v>
      </c>
      <c r="EC128" s="6">
        <f>[1]Sheet2!ED127</f>
        <v>0</v>
      </c>
      <c r="ED128" s="6">
        <f>[1]Sheet2!EE127</f>
        <v>0</v>
      </c>
      <c r="EE128" s="6">
        <f>[1]Sheet2!EF127</f>
        <v>0</v>
      </c>
      <c r="EF128" s="6">
        <f>[1]Sheet2!EG127</f>
        <v>0</v>
      </c>
      <c r="EG128" s="6">
        <f>[1]Sheet2!EH127</f>
        <v>0</v>
      </c>
      <c r="EH128" s="6">
        <f>[1]Sheet2!EI127</f>
        <v>0</v>
      </c>
      <c r="EI128" s="6">
        <f>[1]Sheet2!EJ127</f>
        <v>0</v>
      </c>
      <c r="EJ128" s="6">
        <f>[1]Sheet2!EK127</f>
        <v>0</v>
      </c>
      <c r="EK128" s="6">
        <f>[1]Sheet2!EL127</f>
        <v>0</v>
      </c>
      <c r="EL128" s="6" t="str">
        <f>[1]Sheet2!EM127</f>
        <v/>
      </c>
      <c r="EM128" s="6" t="str">
        <f>[1]Sheet2!EN127</f>
        <v/>
      </c>
      <c r="EN128" s="6" t="str">
        <f>[1]Sheet2!EO127</f>
        <v/>
      </c>
      <c r="EO128" s="6" t="str">
        <f>[1]Sheet2!EP127</f>
        <v/>
      </c>
      <c r="EP128" s="6" t="str">
        <f>[1]Sheet2!EQ127</f>
        <v/>
      </c>
      <c r="EQ128" s="6" t="str">
        <f>[1]Sheet2!ER127</f>
        <v/>
      </c>
      <c r="ER128" s="6" t="str">
        <f>[1]Sheet2!ES127</f>
        <v/>
      </c>
      <c r="ES128" s="6" t="str">
        <f>[1]Sheet2!ET127</f>
        <v/>
      </c>
      <c r="ET128" s="6" t="str">
        <f>[1]Sheet2!EU127</f>
        <v/>
      </c>
      <c r="EU128" s="6" t="str">
        <f>[1]Sheet2!EV127</f>
        <v/>
      </c>
      <c r="EV128" s="6" t="str">
        <f>[1]Sheet2!EW127</f>
        <v/>
      </c>
      <c r="EW128" s="6" t="str">
        <f>[1]Sheet2!EX127</f>
        <v/>
      </c>
      <c r="EX128" s="6" t="str">
        <f>[1]Sheet2!EY127</f>
        <v/>
      </c>
      <c r="EY128" s="6" t="str">
        <f>[1]Sheet2!EZ127</f>
        <v/>
      </c>
      <c r="EZ128" s="6" t="str">
        <f>[1]Sheet2!FA127</f>
        <v/>
      </c>
      <c r="FA128" s="6" t="str">
        <f>[1]Sheet2!FB127</f>
        <v/>
      </c>
      <c r="FB128" s="6" t="str">
        <f>[1]Sheet2!FC127</f>
        <v/>
      </c>
      <c r="FC128" s="6" t="str">
        <f>[1]Sheet2!FD127</f>
        <v/>
      </c>
      <c r="FD128" s="6" t="str">
        <f>[1]Sheet2!FE127</f>
        <v/>
      </c>
      <c r="FE128" s="6" t="str">
        <f>[1]Sheet2!FF127</f>
        <v/>
      </c>
      <c r="FF128" s="6" t="str">
        <f>[1]Sheet2!FG127</f>
        <v/>
      </c>
      <c r="FG128" s="6" t="str">
        <f>[1]Sheet2!FH127</f>
        <v/>
      </c>
      <c r="FH128" s="6" t="str">
        <f>[1]Sheet2!FI127</f>
        <v/>
      </c>
      <c r="FI128" s="6" t="str">
        <f>[1]Sheet2!FJ127</f>
        <v/>
      </c>
      <c r="FJ128" s="6" t="str">
        <f>[1]Sheet2!FK127</f>
        <v/>
      </c>
      <c r="FK128" s="6" t="str">
        <f>[1]Sheet2!FL127</f>
        <v/>
      </c>
      <c r="FL128" s="6" t="str">
        <f>[1]Sheet2!FM127</f>
        <v/>
      </c>
      <c r="FM128" s="6" t="str">
        <f>[1]Sheet2!FN127</f>
        <v/>
      </c>
      <c r="FN128" s="6" t="str">
        <f>[1]Sheet2!FO127</f>
        <v/>
      </c>
      <c r="FO128" s="6" t="str">
        <f>[1]Sheet2!FP127</f>
        <v/>
      </c>
    </row>
    <row r="129" spans="1:171" x14ac:dyDescent="0.25">
      <c r="A129" s="15">
        <v>43591</v>
      </c>
      <c r="B129" s="1"/>
      <c r="C129" s="1"/>
      <c r="D129" s="1"/>
      <c r="E129" s="14">
        <f>[1]Sheet2!N128</f>
        <v>0</v>
      </c>
      <c r="F129" s="14">
        <f>[1]Sheet2!BE128</f>
        <v>0</v>
      </c>
      <c r="G129" s="14">
        <f>[1]Sheet2!CW128</f>
        <v>0</v>
      </c>
      <c r="H129" s="1"/>
      <c r="I129" s="1"/>
      <c r="J129" s="1"/>
      <c r="K129" s="16"/>
      <c r="L129" s="16">
        <f>Demand_CWRS!B$7/31</f>
        <v>129.8994219137717</v>
      </c>
      <c r="M129" s="16">
        <f>Demand_CWRS!C$7/31</f>
        <v>543.3829611248965</v>
      </c>
      <c r="N129" s="16">
        <f>Demand_CWRS!D$7/31</f>
        <v>0</v>
      </c>
      <c r="O129" s="16">
        <f>Demand_CWRS!E$7/31</f>
        <v>131.84491315136475</v>
      </c>
      <c r="P129" s="16">
        <f>Demand_CWRS!F$7/31</f>
        <v>232.12592522229113</v>
      </c>
      <c r="Q129" s="16">
        <f>Demand_CWRS!G$7/31</f>
        <v>129.8994219137717</v>
      </c>
      <c r="R129" s="16">
        <f>Demand_CWRS!H$7/31</f>
        <v>232.12592522229113</v>
      </c>
      <c r="S129" s="16">
        <f>Demand_CWRS!I$7/31</f>
        <v>232.12592522229113</v>
      </c>
      <c r="T129" s="16">
        <f>Demand_CWRS!J$7/31</f>
        <v>232.12592522229113</v>
      </c>
      <c r="U129" s="16">
        <f>Demand_CWRS!K$7/31</f>
        <v>232.12592522229113</v>
      </c>
      <c r="V129" s="16">
        <f t="shared" si="36"/>
        <v>-15367.23017224455</v>
      </c>
      <c r="W129" s="16">
        <f t="shared" si="37"/>
        <v>-52775.433664185148</v>
      </c>
      <c r="X129" s="16">
        <f t="shared" si="38"/>
        <v>0</v>
      </c>
      <c r="Y129" s="16">
        <f t="shared" si="39"/>
        <v>-5539.7050030886385</v>
      </c>
      <c r="Z129" s="16">
        <f t="shared" si="40"/>
        <v>-23903.136810005846</v>
      </c>
      <c r="AA129" s="16">
        <f t="shared" si="41"/>
        <v>-14041.457023206116</v>
      </c>
      <c r="AB129" s="16">
        <f t="shared" si="42"/>
        <v>-28384.180479877665</v>
      </c>
      <c r="AC129" s="16">
        <f t="shared" si="43"/>
        <v>-22591.170223467387</v>
      </c>
      <c r="AD129" s="16">
        <f t="shared" si="44"/>
        <v>-22691.170223467379</v>
      </c>
      <c r="AE129" s="16">
        <f t="shared" si="45"/>
        <v>-23291.170223467383</v>
      </c>
      <c r="AF129" s="14">
        <f>IF([1]Sheet2!AJ128=999999,"NA",[1]Sheet2!AJ128)</f>
        <v>0</v>
      </c>
      <c r="AG129" s="14">
        <f>IF([1]Sheet2!AK128=999999,"NA",[1]Sheet2!AK128)</f>
        <v>0</v>
      </c>
      <c r="AH129" s="14" t="str">
        <f>IF([1]Sheet2!AL128=999999,"NA",[1]Sheet2!AL128)</f>
        <v>NA</v>
      </c>
      <c r="AI129" s="14">
        <f>IF([1]Sheet2!AM128=999999,"NA",[1]Sheet2!AM128)</f>
        <v>0</v>
      </c>
      <c r="AJ129" s="14">
        <f>IF([1]Sheet2!AN128=999999,"NA",[1]Sheet2!AN128)</f>
        <v>0</v>
      </c>
      <c r="AK129" s="14">
        <f>IF([1]Sheet2!AO128=999999,"NA",[1]Sheet2!AO128)</f>
        <v>0</v>
      </c>
      <c r="AL129" s="14">
        <f>IF([1]Sheet2!AP128=999999,"NA",[1]Sheet2!AP128)</f>
        <v>0</v>
      </c>
      <c r="AM129" s="14">
        <f>IF([1]Sheet2!AQ128=999999,"NA",[1]Sheet2!AQ128)</f>
        <v>0</v>
      </c>
      <c r="AN129" s="14">
        <f>IF([1]Sheet2!AR128=999999,"NA",[1]Sheet2!AR128)</f>
        <v>0</v>
      </c>
      <c r="AO129" s="14">
        <f>IF([1]Sheet2!AS128=999999,"NA",[1]Sheet2!AS128)</f>
        <v>0</v>
      </c>
      <c r="AP129" s="14">
        <f>[1]Sheet2!P128</f>
        <v>0</v>
      </c>
      <c r="AQ129" s="14">
        <f>[1]Sheet2!Q128</f>
        <v>0</v>
      </c>
      <c r="AR129" s="14">
        <f>[1]Sheet2!R128</f>
        <v>0</v>
      </c>
      <c r="AS129" s="14">
        <f>[1]Sheet2!S128</f>
        <v>0</v>
      </c>
      <c r="AT129" s="14">
        <f>[1]Sheet2!T128</f>
        <v>0</v>
      </c>
      <c r="AU129" s="14">
        <f>[1]Sheet2!U128</f>
        <v>0</v>
      </c>
      <c r="AV129" s="14">
        <f>[1]Sheet2!V128</f>
        <v>0</v>
      </c>
      <c r="AW129" s="14">
        <f>[1]Sheet2!W128</f>
        <v>0</v>
      </c>
      <c r="AX129" s="14">
        <f>[1]Sheet2!X128</f>
        <v>0</v>
      </c>
      <c r="AY129" s="14">
        <f>[1]Sheet2!Y128</f>
        <v>0</v>
      </c>
      <c r="AZ129" s="16">
        <f>Demand_LP!B$7/31</f>
        <v>855.82964911600493</v>
      </c>
      <c r="BA129" s="16">
        <f>Demand_LP!C$7/31</f>
        <v>478.74276261373035</v>
      </c>
      <c r="BB129" s="16">
        <f>Demand_LP!D$7/31</f>
        <v>366.03598014888337</v>
      </c>
      <c r="BC129" s="16">
        <f>Demand_LP!E$7/31</f>
        <v>837.96277915632766</v>
      </c>
      <c r="BD129" s="16">
        <f>Demand_LP!F$7/31</f>
        <v>447.19049589019846</v>
      </c>
      <c r="BE129" s="16">
        <f>Demand_LP!G$7/31</f>
        <v>447.19049589019846</v>
      </c>
      <c r="BF129" s="16">
        <f>Demand_LP!H$7/31</f>
        <v>478.74276261373035</v>
      </c>
      <c r="BG129" s="16">
        <f>Demand_LP!I$7/31</f>
        <v>447.19049589019846</v>
      </c>
      <c r="BH129" s="16">
        <f>Demand_LP!J$7/31</f>
        <v>447.19049589019846</v>
      </c>
      <c r="BI129" s="16">
        <f>Demand_LP!K$7/31</f>
        <v>447.19049589019846</v>
      </c>
      <c r="BJ129" s="16">
        <f t="shared" si="46"/>
        <v>-80555.486345584563</v>
      </c>
      <c r="BK129" s="16">
        <f t="shared" si="47"/>
        <v>-72982.910421836132</v>
      </c>
      <c r="BL129" s="16">
        <f t="shared" si="48"/>
        <v>-27369.219727047206</v>
      </c>
      <c r="BM129" s="16">
        <f t="shared" si="49"/>
        <v>-85698.747171529889</v>
      </c>
      <c r="BN129" s="16">
        <f t="shared" si="50"/>
        <v>-50301.128107451295</v>
      </c>
      <c r="BO129" s="16">
        <f t="shared" si="51"/>
        <v>-48758.812025822008</v>
      </c>
      <c r="BP129" s="16">
        <f t="shared" si="52"/>
        <v>-67340.48990901564</v>
      </c>
      <c r="BQ129" s="16">
        <f t="shared" si="53"/>
        <v>-48758.812025822008</v>
      </c>
      <c r="BR129" s="16">
        <f t="shared" si="54"/>
        <v>-46358.812025822008</v>
      </c>
      <c r="BS129" s="16">
        <f t="shared" si="55"/>
        <v>-47058.812025822001</v>
      </c>
      <c r="BT129" s="14">
        <f>IF([1]Sheet2!CB128=999999,"NA",[1]Sheet2!CB128)</f>
        <v>0</v>
      </c>
      <c r="BU129" s="14">
        <f>IF([1]Sheet2!CC128=999999,"NA",[1]Sheet2!CC128)</f>
        <v>0</v>
      </c>
      <c r="BV129" s="14">
        <f>IF([1]Sheet2!CD128=999999,"NA",[1]Sheet2!CD128)</f>
        <v>0</v>
      </c>
      <c r="BW129" s="14">
        <f>IF([1]Sheet2!CE128=999999,"NA",[1]Sheet2!CE128)</f>
        <v>0</v>
      </c>
      <c r="BX129" s="14">
        <f>IF([1]Sheet2!CF128=999999,"NA",[1]Sheet2!CF128)</f>
        <v>0</v>
      </c>
      <c r="BY129" s="14">
        <f>IF([1]Sheet2!CG128=999999,"NA",[1]Sheet2!CG128)</f>
        <v>0</v>
      </c>
      <c r="BZ129" s="14">
        <f>IF([1]Sheet2!CH128=999999,"NA",[1]Sheet2!CH128)</f>
        <v>0</v>
      </c>
      <c r="CA129" s="14">
        <f>IF([1]Sheet2!CI128=999999,"NA",[1]Sheet2!CI128)</f>
        <v>0</v>
      </c>
      <c r="CB129" s="14">
        <f>IF([1]Sheet2!CJ128=999999,"NA",[1]Sheet2!CJ128)</f>
        <v>0</v>
      </c>
      <c r="CC129" s="14">
        <f>IF([1]Sheet2!CK128=999999,"NA",[1]Sheet2!CK128)</f>
        <v>0</v>
      </c>
      <c r="CD129" s="14">
        <f>[1]Sheet2!BH128</f>
        <v>0</v>
      </c>
      <c r="CE129" s="14">
        <f>[1]Sheet2!BI128</f>
        <v>0</v>
      </c>
      <c r="CF129" s="14">
        <f>[1]Sheet2!BJ128</f>
        <v>0</v>
      </c>
      <c r="CG129" s="14">
        <f>[1]Sheet2!BK128</f>
        <v>0</v>
      </c>
      <c r="CH129" s="14">
        <f>[1]Sheet2!BL128</f>
        <v>0</v>
      </c>
      <c r="CI129" s="14">
        <f>[1]Sheet2!BM128</f>
        <v>0</v>
      </c>
      <c r="CJ129" s="14">
        <f>[1]Sheet2!BN128</f>
        <v>0</v>
      </c>
      <c r="CK129" s="14">
        <f>[1]Sheet2!BO128</f>
        <v>0</v>
      </c>
      <c r="CL129" s="14">
        <f>[1]Sheet2!BP128</f>
        <v>0</v>
      </c>
      <c r="CM129" s="14">
        <f>[1]Sheet2!BQ128</f>
        <v>0</v>
      </c>
      <c r="CN129" s="16">
        <f>Demand_SW!B$7/31</f>
        <v>122.8287841191067</v>
      </c>
      <c r="CO129" s="16">
        <f>Demand_SW!C$7/31</f>
        <v>0</v>
      </c>
      <c r="CP129" s="16">
        <f>Demand_SW!D$7/31</f>
        <v>0</v>
      </c>
      <c r="CQ129" s="16">
        <f>Demand_SW!E$7/31</f>
        <v>0</v>
      </c>
      <c r="CR129" s="16">
        <f>Demand_SW!F$7/31</f>
        <v>0</v>
      </c>
      <c r="CS129" s="16">
        <f>Demand_SW!G$7/31</f>
        <v>122.8287841191067</v>
      </c>
      <c r="CT129" s="16">
        <f>Demand_SW!H$7/31</f>
        <v>0</v>
      </c>
      <c r="CU129" s="16">
        <f>Demand_SW!I$7/31</f>
        <v>0</v>
      </c>
      <c r="CV129" s="16">
        <f>Demand_SW!J$7/31</f>
        <v>0</v>
      </c>
      <c r="CW129" s="16">
        <f>Demand_SW!K$7/31</f>
        <v>0</v>
      </c>
      <c r="CX129" s="16">
        <f t="shared" si="56"/>
        <v>-12200.04962779157</v>
      </c>
      <c r="CY129" s="16">
        <f t="shared" si="57"/>
        <v>76.923076923077133</v>
      </c>
      <c r="CZ129" s="16">
        <f t="shared" si="58"/>
        <v>0</v>
      </c>
      <c r="DA129" s="16">
        <f t="shared" si="59"/>
        <v>0</v>
      </c>
      <c r="DB129" s="16">
        <f t="shared" si="60"/>
        <v>0</v>
      </c>
      <c r="DC129" s="16">
        <f t="shared" si="61"/>
        <v>-11729.280397022338</v>
      </c>
      <c r="DD129" s="16">
        <f t="shared" si="62"/>
        <v>76.923076923077133</v>
      </c>
      <c r="DE129" s="16">
        <f t="shared" si="63"/>
        <v>0</v>
      </c>
      <c r="DF129" s="16">
        <f t="shared" si="64"/>
        <v>0</v>
      </c>
      <c r="DG129" s="16">
        <f t="shared" si="65"/>
        <v>0</v>
      </c>
      <c r="DH129" s="14">
        <f>IF([1]Sheet2!DS128=999999,"NA",[1]Sheet2!DS128)</f>
        <v>0</v>
      </c>
      <c r="DI129" s="14">
        <f>IF([1]Sheet2!DT128=999999,"NA",[1]Sheet2!DT128)</f>
        <v>239</v>
      </c>
      <c r="DJ129" s="14" t="str">
        <f>IF([1]Sheet2!DU128=999999,"NA",[1]Sheet2!DU128)</f>
        <v>NA</v>
      </c>
      <c r="DK129" s="14" t="str">
        <f>IF([1]Sheet2!DV128=999999,"NA",[1]Sheet2!DV128)</f>
        <v>NA</v>
      </c>
      <c r="DL129" s="14" t="str">
        <f>IF([1]Sheet2!DW128=999999,"NA",[1]Sheet2!DW128)</f>
        <v>NA</v>
      </c>
      <c r="DM129" s="14">
        <f>IF([1]Sheet2!DX128=999999,"NA",[1]Sheet2!DX128)</f>
        <v>0</v>
      </c>
      <c r="DN129" s="14">
        <f>IF([1]Sheet2!DY128=999999,"NA",[1]Sheet2!DY128)</f>
        <v>239</v>
      </c>
      <c r="DO129" s="14" t="str">
        <f>IF([1]Sheet2!DZ128=999999,"NA",[1]Sheet2!DZ128)</f>
        <v>NA</v>
      </c>
      <c r="DP129" s="14" t="str">
        <f>IF([1]Sheet2!EA128=999999,"NA",[1]Sheet2!EA128)</f>
        <v>NA</v>
      </c>
      <c r="DQ129" s="14" t="str">
        <f>IF([1]Sheet2!EB128=999999,"NA",[1]Sheet2!EB128)</f>
        <v>NA</v>
      </c>
      <c r="DR129" s="14">
        <f>[1]Sheet2!CY128</f>
        <v>0</v>
      </c>
      <c r="DS129" s="14">
        <f>[1]Sheet2!CZ128</f>
        <v>0</v>
      </c>
      <c r="DT129" s="14">
        <f>[1]Sheet2!DA128</f>
        <v>0</v>
      </c>
      <c r="DU129" s="14">
        <f>[1]Sheet2!DB128</f>
        <v>0</v>
      </c>
      <c r="DV129" s="14">
        <f>[1]Sheet2!DC128</f>
        <v>0</v>
      </c>
      <c r="DW129" s="14">
        <f>[1]Sheet2!DD128</f>
        <v>0</v>
      </c>
      <c r="DX129" s="14">
        <f>[1]Sheet2!DE128</f>
        <v>0</v>
      </c>
      <c r="DY129" s="14">
        <f>[1]Sheet2!DF128</f>
        <v>0</v>
      </c>
      <c r="DZ129" s="14">
        <f>[1]Sheet2!DG128</f>
        <v>0</v>
      </c>
      <c r="EA129" s="14">
        <f>[1]Sheet2!DH128</f>
        <v>0</v>
      </c>
      <c r="EB129" s="6">
        <f>[1]Sheet2!EC128</f>
        <v>0</v>
      </c>
      <c r="EC129" s="6">
        <f>[1]Sheet2!ED128</f>
        <v>0</v>
      </c>
      <c r="ED129" s="6">
        <f>[1]Sheet2!EE128</f>
        <v>0</v>
      </c>
      <c r="EE129" s="6">
        <f>[1]Sheet2!EF128</f>
        <v>0</v>
      </c>
      <c r="EF129" s="6">
        <f>[1]Sheet2!EG128</f>
        <v>0</v>
      </c>
      <c r="EG129" s="6">
        <f>[1]Sheet2!EH128</f>
        <v>0</v>
      </c>
      <c r="EH129" s="6">
        <f>[1]Sheet2!EI128</f>
        <v>0</v>
      </c>
      <c r="EI129" s="6">
        <f>[1]Sheet2!EJ128</f>
        <v>0</v>
      </c>
      <c r="EJ129" s="6">
        <f>[1]Sheet2!EK128</f>
        <v>0</v>
      </c>
      <c r="EK129" s="6">
        <f>[1]Sheet2!EL128</f>
        <v>0</v>
      </c>
      <c r="EL129" s="6" t="str">
        <f>[1]Sheet2!EM128</f>
        <v/>
      </c>
      <c r="EM129" s="6" t="str">
        <f>[1]Sheet2!EN128</f>
        <v/>
      </c>
      <c r="EN129" s="6" t="str">
        <f>[1]Sheet2!EO128</f>
        <v/>
      </c>
      <c r="EO129" s="6" t="str">
        <f>[1]Sheet2!EP128</f>
        <v/>
      </c>
      <c r="EP129" s="6" t="str">
        <f>[1]Sheet2!EQ128</f>
        <v/>
      </c>
      <c r="EQ129" s="6" t="str">
        <f>[1]Sheet2!ER128</f>
        <v/>
      </c>
      <c r="ER129" s="6" t="str">
        <f>[1]Sheet2!ES128</f>
        <v/>
      </c>
      <c r="ES129" s="6" t="str">
        <f>[1]Sheet2!ET128</f>
        <v/>
      </c>
      <c r="ET129" s="6" t="str">
        <f>[1]Sheet2!EU128</f>
        <v/>
      </c>
      <c r="EU129" s="6" t="str">
        <f>[1]Sheet2!EV128</f>
        <v/>
      </c>
      <c r="EV129" s="6" t="str">
        <f>[1]Sheet2!EW128</f>
        <v/>
      </c>
      <c r="EW129" s="6" t="str">
        <f>[1]Sheet2!EX128</f>
        <v/>
      </c>
      <c r="EX129" s="6" t="str">
        <f>[1]Sheet2!EY128</f>
        <v/>
      </c>
      <c r="EY129" s="6" t="str">
        <f>[1]Sheet2!EZ128</f>
        <v/>
      </c>
      <c r="EZ129" s="6" t="str">
        <f>[1]Sheet2!FA128</f>
        <v/>
      </c>
      <c r="FA129" s="6" t="str">
        <f>[1]Sheet2!FB128</f>
        <v/>
      </c>
      <c r="FB129" s="6" t="str">
        <f>[1]Sheet2!FC128</f>
        <v/>
      </c>
      <c r="FC129" s="6" t="str">
        <f>[1]Sheet2!FD128</f>
        <v/>
      </c>
      <c r="FD129" s="6" t="str">
        <f>[1]Sheet2!FE128</f>
        <v/>
      </c>
      <c r="FE129" s="6" t="str">
        <f>[1]Sheet2!FF128</f>
        <v/>
      </c>
      <c r="FF129" s="6" t="str">
        <f>[1]Sheet2!FG128</f>
        <v/>
      </c>
      <c r="FG129" s="6" t="str">
        <f>[1]Sheet2!FH128</f>
        <v/>
      </c>
      <c r="FH129" s="6" t="str">
        <f>[1]Sheet2!FI128</f>
        <v/>
      </c>
      <c r="FI129" s="6" t="str">
        <f>[1]Sheet2!FJ128</f>
        <v/>
      </c>
      <c r="FJ129" s="6" t="str">
        <f>[1]Sheet2!FK128</f>
        <v/>
      </c>
      <c r="FK129" s="6" t="str">
        <f>[1]Sheet2!FL128</f>
        <v/>
      </c>
      <c r="FL129" s="6" t="str">
        <f>[1]Sheet2!FM128</f>
        <v/>
      </c>
      <c r="FM129" s="6" t="str">
        <f>[1]Sheet2!FN128</f>
        <v/>
      </c>
      <c r="FN129" s="6" t="str">
        <f>[1]Sheet2!FO128</f>
        <v/>
      </c>
      <c r="FO129" s="6" t="str">
        <f>[1]Sheet2!FP128</f>
        <v/>
      </c>
    </row>
    <row r="130" spans="1:171" x14ac:dyDescent="0.25">
      <c r="A130" s="15">
        <v>43592</v>
      </c>
      <c r="B130" s="1"/>
      <c r="C130" s="1"/>
      <c r="D130" s="1"/>
      <c r="E130" s="14">
        <f>[1]Sheet2!N129</f>
        <v>0</v>
      </c>
      <c r="F130" s="14">
        <f>[1]Sheet2!BE129</f>
        <v>0</v>
      </c>
      <c r="G130" s="14">
        <f>[1]Sheet2!CW129</f>
        <v>0</v>
      </c>
      <c r="H130" s="1"/>
      <c r="I130" s="1"/>
      <c r="J130" s="1"/>
      <c r="K130" s="16"/>
      <c r="L130" s="16">
        <f>Demand_CWRS!B$7/31</f>
        <v>129.8994219137717</v>
      </c>
      <c r="M130" s="16">
        <f>Demand_CWRS!C$7/31</f>
        <v>543.3829611248965</v>
      </c>
      <c r="N130" s="16">
        <f>Demand_CWRS!D$7/31</f>
        <v>0</v>
      </c>
      <c r="O130" s="16">
        <f>Demand_CWRS!E$7/31</f>
        <v>131.84491315136475</v>
      </c>
      <c r="P130" s="16">
        <f>Demand_CWRS!F$7/31</f>
        <v>232.12592522229113</v>
      </c>
      <c r="Q130" s="16">
        <f>Demand_CWRS!G$7/31</f>
        <v>129.8994219137717</v>
      </c>
      <c r="R130" s="16">
        <f>Demand_CWRS!H$7/31</f>
        <v>232.12592522229113</v>
      </c>
      <c r="S130" s="16">
        <f>Demand_CWRS!I$7/31</f>
        <v>232.12592522229113</v>
      </c>
      <c r="T130" s="16">
        <f>Demand_CWRS!J$7/31</f>
        <v>232.12592522229113</v>
      </c>
      <c r="U130" s="16">
        <f>Demand_CWRS!K$7/31</f>
        <v>232.12592522229113</v>
      </c>
      <c r="V130" s="16">
        <f t="shared" si="36"/>
        <v>-15497.129594158321</v>
      </c>
      <c r="W130" s="16">
        <f t="shared" si="37"/>
        <v>-53318.816625310043</v>
      </c>
      <c r="X130" s="16">
        <f t="shared" si="38"/>
        <v>0</v>
      </c>
      <c r="Y130" s="16">
        <f t="shared" si="39"/>
        <v>-5671.5499162400029</v>
      </c>
      <c r="Z130" s="16">
        <f t="shared" si="40"/>
        <v>-24135.262735228138</v>
      </c>
      <c r="AA130" s="16">
        <f t="shared" si="41"/>
        <v>-14171.356445119887</v>
      </c>
      <c r="AB130" s="16">
        <f t="shared" si="42"/>
        <v>-28616.306405099956</v>
      </c>
      <c r="AC130" s="16">
        <f t="shared" si="43"/>
        <v>-22823.296148689678</v>
      </c>
      <c r="AD130" s="16">
        <f t="shared" si="44"/>
        <v>-22923.296148689671</v>
      </c>
      <c r="AE130" s="16">
        <f t="shared" si="45"/>
        <v>-23523.296148689675</v>
      </c>
      <c r="AF130" s="14">
        <f>IF([1]Sheet2!AJ129=999999,"NA",[1]Sheet2!AJ129)</f>
        <v>0</v>
      </c>
      <c r="AG130" s="14">
        <f>IF([1]Sheet2!AK129=999999,"NA",[1]Sheet2!AK129)</f>
        <v>0</v>
      </c>
      <c r="AH130" s="14" t="str">
        <f>IF([1]Sheet2!AL129=999999,"NA",[1]Sheet2!AL129)</f>
        <v>NA</v>
      </c>
      <c r="AI130" s="14">
        <f>IF([1]Sheet2!AM129=999999,"NA",[1]Sheet2!AM129)</f>
        <v>0</v>
      </c>
      <c r="AJ130" s="14">
        <f>IF([1]Sheet2!AN129=999999,"NA",[1]Sheet2!AN129)</f>
        <v>0</v>
      </c>
      <c r="AK130" s="14">
        <f>IF([1]Sheet2!AO129=999999,"NA",[1]Sheet2!AO129)</f>
        <v>0</v>
      </c>
      <c r="AL130" s="14">
        <f>IF([1]Sheet2!AP129=999999,"NA",[1]Sheet2!AP129)</f>
        <v>0</v>
      </c>
      <c r="AM130" s="14">
        <f>IF([1]Sheet2!AQ129=999999,"NA",[1]Sheet2!AQ129)</f>
        <v>0</v>
      </c>
      <c r="AN130" s="14">
        <f>IF([1]Sheet2!AR129=999999,"NA",[1]Sheet2!AR129)</f>
        <v>0</v>
      </c>
      <c r="AO130" s="14">
        <f>IF([1]Sheet2!AS129=999999,"NA",[1]Sheet2!AS129)</f>
        <v>0</v>
      </c>
      <c r="AP130" s="14">
        <f>[1]Sheet2!P129</f>
        <v>0</v>
      </c>
      <c r="AQ130" s="14">
        <f>[1]Sheet2!Q129</f>
        <v>0</v>
      </c>
      <c r="AR130" s="14">
        <f>[1]Sheet2!R129</f>
        <v>0</v>
      </c>
      <c r="AS130" s="14">
        <f>[1]Sheet2!S129</f>
        <v>0</v>
      </c>
      <c r="AT130" s="14">
        <f>[1]Sheet2!T129</f>
        <v>0</v>
      </c>
      <c r="AU130" s="14">
        <f>[1]Sheet2!U129</f>
        <v>0</v>
      </c>
      <c r="AV130" s="14">
        <f>[1]Sheet2!V129</f>
        <v>0</v>
      </c>
      <c r="AW130" s="14">
        <f>[1]Sheet2!W129</f>
        <v>0</v>
      </c>
      <c r="AX130" s="14">
        <f>[1]Sheet2!X129</f>
        <v>0</v>
      </c>
      <c r="AY130" s="14">
        <f>[1]Sheet2!Y129</f>
        <v>0</v>
      </c>
      <c r="AZ130" s="16">
        <f>Demand_LP!B$7/31</f>
        <v>855.82964911600493</v>
      </c>
      <c r="BA130" s="16">
        <f>Demand_LP!C$7/31</f>
        <v>478.74276261373035</v>
      </c>
      <c r="BB130" s="16">
        <f>Demand_LP!D$7/31</f>
        <v>366.03598014888337</v>
      </c>
      <c r="BC130" s="16">
        <f>Demand_LP!E$7/31</f>
        <v>837.96277915632766</v>
      </c>
      <c r="BD130" s="16">
        <f>Demand_LP!F$7/31</f>
        <v>447.19049589019846</v>
      </c>
      <c r="BE130" s="16">
        <f>Demand_LP!G$7/31</f>
        <v>447.19049589019846</v>
      </c>
      <c r="BF130" s="16">
        <f>Demand_LP!H$7/31</f>
        <v>478.74276261373035</v>
      </c>
      <c r="BG130" s="16">
        <f>Demand_LP!I$7/31</f>
        <v>447.19049589019846</v>
      </c>
      <c r="BH130" s="16">
        <f>Demand_LP!J$7/31</f>
        <v>447.19049589019846</v>
      </c>
      <c r="BI130" s="16">
        <f>Demand_LP!K$7/31</f>
        <v>447.19049589019846</v>
      </c>
      <c r="BJ130" s="16">
        <f t="shared" si="46"/>
        <v>-81411.315994700562</v>
      </c>
      <c r="BK130" s="16">
        <f t="shared" si="47"/>
        <v>-73461.653184449868</v>
      </c>
      <c r="BL130" s="16">
        <f t="shared" si="48"/>
        <v>-27735.255707196091</v>
      </c>
      <c r="BM130" s="16">
        <f t="shared" si="49"/>
        <v>-86536.709950686214</v>
      </c>
      <c r="BN130" s="16">
        <f t="shared" si="50"/>
        <v>-50748.318603341497</v>
      </c>
      <c r="BO130" s="16">
        <f t="shared" si="51"/>
        <v>-49206.002521712209</v>
      </c>
      <c r="BP130" s="16">
        <f t="shared" si="52"/>
        <v>-67819.232671629376</v>
      </c>
      <c r="BQ130" s="16">
        <f t="shared" si="53"/>
        <v>-49206.002521712209</v>
      </c>
      <c r="BR130" s="16">
        <f t="shared" si="54"/>
        <v>-46806.002521712209</v>
      </c>
      <c r="BS130" s="16">
        <f t="shared" si="55"/>
        <v>-47506.002521712202</v>
      </c>
      <c r="BT130" s="14">
        <f>IF([1]Sheet2!CB129=999999,"NA",[1]Sheet2!CB129)</f>
        <v>0</v>
      </c>
      <c r="BU130" s="14">
        <f>IF([1]Sheet2!CC129=999999,"NA",[1]Sheet2!CC129)</f>
        <v>0</v>
      </c>
      <c r="BV130" s="14">
        <f>IF([1]Sheet2!CD129=999999,"NA",[1]Sheet2!CD129)</f>
        <v>0</v>
      </c>
      <c r="BW130" s="14">
        <f>IF([1]Sheet2!CE129=999999,"NA",[1]Sheet2!CE129)</f>
        <v>0</v>
      </c>
      <c r="BX130" s="14">
        <f>IF([1]Sheet2!CF129=999999,"NA",[1]Sheet2!CF129)</f>
        <v>0</v>
      </c>
      <c r="BY130" s="14">
        <f>IF([1]Sheet2!CG129=999999,"NA",[1]Sheet2!CG129)</f>
        <v>0</v>
      </c>
      <c r="BZ130" s="14">
        <f>IF([1]Sheet2!CH129=999999,"NA",[1]Sheet2!CH129)</f>
        <v>0</v>
      </c>
      <c r="CA130" s="14">
        <f>IF([1]Sheet2!CI129=999999,"NA",[1]Sheet2!CI129)</f>
        <v>0</v>
      </c>
      <c r="CB130" s="14">
        <f>IF([1]Sheet2!CJ129=999999,"NA",[1]Sheet2!CJ129)</f>
        <v>0</v>
      </c>
      <c r="CC130" s="14">
        <f>IF([1]Sheet2!CK129=999999,"NA",[1]Sheet2!CK129)</f>
        <v>0</v>
      </c>
      <c r="CD130" s="14">
        <f>[1]Sheet2!BH129</f>
        <v>0</v>
      </c>
      <c r="CE130" s="14">
        <f>[1]Sheet2!BI129</f>
        <v>0</v>
      </c>
      <c r="CF130" s="14">
        <f>[1]Sheet2!BJ129</f>
        <v>0</v>
      </c>
      <c r="CG130" s="14">
        <f>[1]Sheet2!BK129</f>
        <v>0</v>
      </c>
      <c r="CH130" s="14">
        <f>[1]Sheet2!BL129</f>
        <v>0</v>
      </c>
      <c r="CI130" s="14">
        <f>[1]Sheet2!BM129</f>
        <v>0</v>
      </c>
      <c r="CJ130" s="14">
        <f>[1]Sheet2!BN129</f>
        <v>0</v>
      </c>
      <c r="CK130" s="14">
        <f>[1]Sheet2!BO129</f>
        <v>0</v>
      </c>
      <c r="CL130" s="14">
        <f>[1]Sheet2!BP129</f>
        <v>0</v>
      </c>
      <c r="CM130" s="14">
        <f>[1]Sheet2!BQ129</f>
        <v>0</v>
      </c>
      <c r="CN130" s="16">
        <f>Demand_SW!B$7/31</f>
        <v>122.8287841191067</v>
      </c>
      <c r="CO130" s="16">
        <f>Demand_SW!C$7/31</f>
        <v>0</v>
      </c>
      <c r="CP130" s="16">
        <f>Demand_SW!D$7/31</f>
        <v>0</v>
      </c>
      <c r="CQ130" s="16">
        <f>Demand_SW!E$7/31</f>
        <v>0</v>
      </c>
      <c r="CR130" s="16">
        <f>Demand_SW!F$7/31</f>
        <v>0</v>
      </c>
      <c r="CS130" s="16">
        <f>Demand_SW!G$7/31</f>
        <v>122.8287841191067</v>
      </c>
      <c r="CT130" s="16">
        <f>Demand_SW!H$7/31</f>
        <v>0</v>
      </c>
      <c r="CU130" s="16">
        <f>Demand_SW!I$7/31</f>
        <v>0</v>
      </c>
      <c r="CV130" s="16">
        <f>Demand_SW!J$7/31</f>
        <v>0</v>
      </c>
      <c r="CW130" s="16">
        <f>Demand_SW!K$7/31</f>
        <v>0</v>
      </c>
      <c r="CX130" s="16">
        <f t="shared" si="56"/>
        <v>-12322.878411910677</v>
      </c>
      <c r="CY130" s="16">
        <f t="shared" si="57"/>
        <v>76.923076923077133</v>
      </c>
      <c r="CZ130" s="16">
        <f t="shared" si="58"/>
        <v>0</v>
      </c>
      <c r="DA130" s="16">
        <f t="shared" si="59"/>
        <v>0</v>
      </c>
      <c r="DB130" s="16">
        <f t="shared" si="60"/>
        <v>0</v>
      </c>
      <c r="DC130" s="16">
        <f t="shared" si="61"/>
        <v>-11852.109181141444</v>
      </c>
      <c r="DD130" s="16">
        <f t="shared" si="62"/>
        <v>76.923076923077133</v>
      </c>
      <c r="DE130" s="16">
        <f t="shared" si="63"/>
        <v>0</v>
      </c>
      <c r="DF130" s="16">
        <f t="shared" si="64"/>
        <v>0</v>
      </c>
      <c r="DG130" s="16">
        <f t="shared" si="65"/>
        <v>0</v>
      </c>
      <c r="DH130" s="14">
        <f>IF([1]Sheet2!DS129=999999,"NA",[1]Sheet2!DS129)</f>
        <v>0</v>
      </c>
      <c r="DI130" s="14">
        <f>IF([1]Sheet2!DT129=999999,"NA",[1]Sheet2!DT129)</f>
        <v>238</v>
      </c>
      <c r="DJ130" s="14" t="str">
        <f>IF([1]Sheet2!DU129=999999,"NA",[1]Sheet2!DU129)</f>
        <v>NA</v>
      </c>
      <c r="DK130" s="14" t="str">
        <f>IF([1]Sheet2!DV129=999999,"NA",[1]Sheet2!DV129)</f>
        <v>NA</v>
      </c>
      <c r="DL130" s="14" t="str">
        <f>IF([1]Sheet2!DW129=999999,"NA",[1]Sheet2!DW129)</f>
        <v>NA</v>
      </c>
      <c r="DM130" s="14">
        <f>IF([1]Sheet2!DX129=999999,"NA",[1]Sheet2!DX129)</f>
        <v>0</v>
      </c>
      <c r="DN130" s="14">
        <f>IF([1]Sheet2!DY129=999999,"NA",[1]Sheet2!DY129)</f>
        <v>238</v>
      </c>
      <c r="DO130" s="14" t="str">
        <f>IF([1]Sheet2!DZ129=999999,"NA",[1]Sheet2!DZ129)</f>
        <v>NA</v>
      </c>
      <c r="DP130" s="14" t="str">
        <f>IF([1]Sheet2!EA129=999999,"NA",[1]Sheet2!EA129)</f>
        <v>NA</v>
      </c>
      <c r="DQ130" s="14" t="str">
        <f>IF([1]Sheet2!EB129=999999,"NA",[1]Sheet2!EB129)</f>
        <v>NA</v>
      </c>
      <c r="DR130" s="14">
        <f>[1]Sheet2!CY129</f>
        <v>0</v>
      </c>
      <c r="DS130" s="14">
        <f>[1]Sheet2!CZ129</f>
        <v>0</v>
      </c>
      <c r="DT130" s="14">
        <f>[1]Sheet2!DA129</f>
        <v>0</v>
      </c>
      <c r="DU130" s="14">
        <f>[1]Sheet2!DB129</f>
        <v>0</v>
      </c>
      <c r="DV130" s="14">
        <f>[1]Sheet2!DC129</f>
        <v>0</v>
      </c>
      <c r="DW130" s="14">
        <f>[1]Sheet2!DD129</f>
        <v>0</v>
      </c>
      <c r="DX130" s="14">
        <f>[1]Sheet2!DE129</f>
        <v>0</v>
      </c>
      <c r="DY130" s="14">
        <f>[1]Sheet2!DF129</f>
        <v>0</v>
      </c>
      <c r="DZ130" s="14">
        <f>[1]Sheet2!DG129</f>
        <v>0</v>
      </c>
      <c r="EA130" s="14">
        <f>[1]Sheet2!DH129</f>
        <v>0</v>
      </c>
      <c r="EB130" s="6">
        <f>[1]Sheet2!EC129</f>
        <v>0</v>
      </c>
      <c r="EC130" s="6">
        <f>[1]Sheet2!ED129</f>
        <v>0</v>
      </c>
      <c r="ED130" s="6">
        <f>[1]Sheet2!EE129</f>
        <v>0</v>
      </c>
      <c r="EE130" s="6">
        <f>[1]Sheet2!EF129</f>
        <v>0</v>
      </c>
      <c r="EF130" s="6">
        <f>[1]Sheet2!EG129</f>
        <v>0</v>
      </c>
      <c r="EG130" s="6">
        <f>[1]Sheet2!EH129</f>
        <v>0</v>
      </c>
      <c r="EH130" s="6">
        <f>[1]Sheet2!EI129</f>
        <v>0</v>
      </c>
      <c r="EI130" s="6">
        <f>[1]Sheet2!EJ129</f>
        <v>0</v>
      </c>
      <c r="EJ130" s="6">
        <f>[1]Sheet2!EK129</f>
        <v>0</v>
      </c>
      <c r="EK130" s="6">
        <f>[1]Sheet2!EL129</f>
        <v>0</v>
      </c>
      <c r="EL130" s="6" t="str">
        <f>[1]Sheet2!EM129</f>
        <v/>
      </c>
      <c r="EM130" s="6" t="str">
        <f>[1]Sheet2!EN129</f>
        <v/>
      </c>
      <c r="EN130" s="6" t="str">
        <f>[1]Sheet2!EO129</f>
        <v/>
      </c>
      <c r="EO130" s="6" t="str">
        <f>[1]Sheet2!EP129</f>
        <v/>
      </c>
      <c r="EP130" s="6" t="str">
        <f>[1]Sheet2!EQ129</f>
        <v/>
      </c>
      <c r="EQ130" s="6" t="str">
        <f>[1]Sheet2!ER129</f>
        <v/>
      </c>
      <c r="ER130" s="6" t="str">
        <f>[1]Sheet2!ES129</f>
        <v/>
      </c>
      <c r="ES130" s="6" t="str">
        <f>[1]Sheet2!ET129</f>
        <v/>
      </c>
      <c r="ET130" s="6" t="str">
        <f>[1]Sheet2!EU129</f>
        <v/>
      </c>
      <c r="EU130" s="6" t="str">
        <f>[1]Sheet2!EV129</f>
        <v/>
      </c>
      <c r="EV130" s="6" t="str">
        <f>[1]Sheet2!EW129</f>
        <v/>
      </c>
      <c r="EW130" s="6" t="str">
        <f>[1]Sheet2!EX129</f>
        <v/>
      </c>
      <c r="EX130" s="6" t="str">
        <f>[1]Sheet2!EY129</f>
        <v/>
      </c>
      <c r="EY130" s="6" t="str">
        <f>[1]Sheet2!EZ129</f>
        <v/>
      </c>
      <c r="EZ130" s="6" t="str">
        <f>[1]Sheet2!FA129</f>
        <v/>
      </c>
      <c r="FA130" s="6" t="str">
        <f>[1]Sheet2!FB129</f>
        <v/>
      </c>
      <c r="FB130" s="6" t="str">
        <f>[1]Sheet2!FC129</f>
        <v/>
      </c>
      <c r="FC130" s="6" t="str">
        <f>[1]Sheet2!FD129</f>
        <v/>
      </c>
      <c r="FD130" s="6" t="str">
        <f>[1]Sheet2!FE129</f>
        <v/>
      </c>
      <c r="FE130" s="6" t="str">
        <f>[1]Sheet2!FF129</f>
        <v/>
      </c>
      <c r="FF130" s="6" t="str">
        <f>[1]Sheet2!FG129</f>
        <v/>
      </c>
      <c r="FG130" s="6" t="str">
        <f>[1]Sheet2!FH129</f>
        <v/>
      </c>
      <c r="FH130" s="6" t="str">
        <f>[1]Sheet2!FI129</f>
        <v/>
      </c>
      <c r="FI130" s="6" t="str">
        <f>[1]Sheet2!FJ129</f>
        <v/>
      </c>
      <c r="FJ130" s="6" t="str">
        <f>[1]Sheet2!FK129</f>
        <v/>
      </c>
      <c r="FK130" s="6" t="str">
        <f>[1]Sheet2!FL129</f>
        <v/>
      </c>
      <c r="FL130" s="6" t="str">
        <f>[1]Sheet2!FM129</f>
        <v/>
      </c>
      <c r="FM130" s="6" t="str">
        <f>[1]Sheet2!FN129</f>
        <v/>
      </c>
      <c r="FN130" s="6" t="str">
        <f>[1]Sheet2!FO129</f>
        <v/>
      </c>
      <c r="FO130" s="6" t="str">
        <f>[1]Sheet2!FP129</f>
        <v/>
      </c>
    </row>
    <row r="131" spans="1:171" x14ac:dyDescent="0.25">
      <c r="A131" s="15">
        <v>43593</v>
      </c>
      <c r="B131" s="1"/>
      <c r="C131" s="1"/>
      <c r="D131" s="1"/>
      <c r="E131" s="14">
        <f>[1]Sheet2!N130</f>
        <v>0</v>
      </c>
      <c r="F131" s="14">
        <f>[1]Sheet2!BE130</f>
        <v>0</v>
      </c>
      <c r="G131" s="14">
        <f>[1]Sheet2!CW130</f>
        <v>0</v>
      </c>
      <c r="H131" s="1"/>
      <c r="I131" s="1"/>
      <c r="J131" s="1"/>
      <c r="K131" s="16"/>
      <c r="L131" s="16">
        <f>Demand_CWRS!B$7/31</f>
        <v>129.8994219137717</v>
      </c>
      <c r="M131" s="16">
        <f>Demand_CWRS!C$7/31</f>
        <v>543.3829611248965</v>
      </c>
      <c r="N131" s="16">
        <f>Demand_CWRS!D$7/31</f>
        <v>0</v>
      </c>
      <c r="O131" s="16">
        <f>Demand_CWRS!E$7/31</f>
        <v>131.84491315136475</v>
      </c>
      <c r="P131" s="16">
        <f>Demand_CWRS!F$7/31</f>
        <v>232.12592522229113</v>
      </c>
      <c r="Q131" s="16">
        <f>Demand_CWRS!G$7/31</f>
        <v>129.8994219137717</v>
      </c>
      <c r="R131" s="16">
        <f>Demand_CWRS!H$7/31</f>
        <v>232.12592522229113</v>
      </c>
      <c r="S131" s="16">
        <f>Demand_CWRS!I$7/31</f>
        <v>232.12592522229113</v>
      </c>
      <c r="T131" s="16">
        <f>Demand_CWRS!J$7/31</f>
        <v>232.12592522229113</v>
      </c>
      <c r="U131" s="16">
        <f>Demand_CWRS!K$7/31</f>
        <v>232.12592522229113</v>
      </c>
      <c r="V131" s="16">
        <f t="shared" si="36"/>
        <v>-15627.029016072092</v>
      </c>
      <c r="W131" s="16">
        <f t="shared" si="37"/>
        <v>-53862.199586434937</v>
      </c>
      <c r="X131" s="16">
        <f t="shared" si="38"/>
        <v>0</v>
      </c>
      <c r="Y131" s="16">
        <f t="shared" si="39"/>
        <v>-5803.3948293913672</v>
      </c>
      <c r="Z131" s="16">
        <f t="shared" si="40"/>
        <v>-24367.38866045043</v>
      </c>
      <c r="AA131" s="16">
        <f t="shared" si="41"/>
        <v>-14301.255867033658</v>
      </c>
      <c r="AB131" s="16">
        <f t="shared" si="42"/>
        <v>-28848.432330322248</v>
      </c>
      <c r="AC131" s="16">
        <f t="shared" si="43"/>
        <v>-23055.42207391197</v>
      </c>
      <c r="AD131" s="16">
        <f t="shared" si="44"/>
        <v>-23155.422073911963</v>
      </c>
      <c r="AE131" s="16">
        <f t="shared" si="45"/>
        <v>-23755.422073911966</v>
      </c>
      <c r="AF131" s="14">
        <f>IF([1]Sheet2!AJ130=999999,"NA",[1]Sheet2!AJ130)</f>
        <v>0</v>
      </c>
      <c r="AG131" s="14">
        <f>IF([1]Sheet2!AK130=999999,"NA",[1]Sheet2!AK130)</f>
        <v>0</v>
      </c>
      <c r="AH131" s="14" t="str">
        <f>IF([1]Sheet2!AL130=999999,"NA",[1]Sheet2!AL130)</f>
        <v>NA</v>
      </c>
      <c r="AI131" s="14">
        <f>IF([1]Sheet2!AM130=999999,"NA",[1]Sheet2!AM130)</f>
        <v>0</v>
      </c>
      <c r="AJ131" s="14">
        <f>IF([1]Sheet2!AN130=999999,"NA",[1]Sheet2!AN130)</f>
        <v>0</v>
      </c>
      <c r="AK131" s="14">
        <f>IF([1]Sheet2!AO130=999999,"NA",[1]Sheet2!AO130)</f>
        <v>0</v>
      </c>
      <c r="AL131" s="14">
        <f>IF([1]Sheet2!AP130=999999,"NA",[1]Sheet2!AP130)</f>
        <v>0</v>
      </c>
      <c r="AM131" s="14">
        <f>IF([1]Sheet2!AQ130=999999,"NA",[1]Sheet2!AQ130)</f>
        <v>0</v>
      </c>
      <c r="AN131" s="14">
        <f>IF([1]Sheet2!AR130=999999,"NA",[1]Sheet2!AR130)</f>
        <v>0</v>
      </c>
      <c r="AO131" s="14">
        <f>IF([1]Sheet2!AS130=999999,"NA",[1]Sheet2!AS130)</f>
        <v>0</v>
      </c>
      <c r="AP131" s="14">
        <f>[1]Sheet2!P130</f>
        <v>0</v>
      </c>
      <c r="AQ131" s="14">
        <f>[1]Sheet2!Q130</f>
        <v>0</v>
      </c>
      <c r="AR131" s="14">
        <f>[1]Sheet2!R130</f>
        <v>0</v>
      </c>
      <c r="AS131" s="14">
        <f>[1]Sheet2!S130</f>
        <v>0</v>
      </c>
      <c r="AT131" s="14">
        <f>[1]Sheet2!T130</f>
        <v>0</v>
      </c>
      <c r="AU131" s="14">
        <f>[1]Sheet2!U130</f>
        <v>0</v>
      </c>
      <c r="AV131" s="14">
        <f>[1]Sheet2!V130</f>
        <v>0</v>
      </c>
      <c r="AW131" s="14">
        <f>[1]Sheet2!W130</f>
        <v>0</v>
      </c>
      <c r="AX131" s="14">
        <f>[1]Sheet2!X130</f>
        <v>0</v>
      </c>
      <c r="AY131" s="14">
        <f>[1]Sheet2!Y130</f>
        <v>0</v>
      </c>
      <c r="AZ131" s="16">
        <f>Demand_LP!B$7/31</f>
        <v>855.82964911600493</v>
      </c>
      <c r="BA131" s="16">
        <f>Demand_LP!C$7/31</f>
        <v>478.74276261373035</v>
      </c>
      <c r="BB131" s="16">
        <f>Demand_LP!D$7/31</f>
        <v>366.03598014888337</v>
      </c>
      <c r="BC131" s="16">
        <f>Demand_LP!E$7/31</f>
        <v>837.96277915632766</v>
      </c>
      <c r="BD131" s="16">
        <f>Demand_LP!F$7/31</f>
        <v>447.19049589019846</v>
      </c>
      <c r="BE131" s="16">
        <f>Demand_LP!G$7/31</f>
        <v>447.19049589019846</v>
      </c>
      <c r="BF131" s="16">
        <f>Demand_LP!H$7/31</f>
        <v>478.74276261373035</v>
      </c>
      <c r="BG131" s="16">
        <f>Demand_LP!I$7/31</f>
        <v>447.19049589019846</v>
      </c>
      <c r="BH131" s="16">
        <f>Demand_LP!J$7/31</f>
        <v>447.19049589019846</v>
      </c>
      <c r="BI131" s="16">
        <f>Demand_LP!K$7/31</f>
        <v>447.19049589019846</v>
      </c>
      <c r="BJ131" s="16">
        <f t="shared" si="46"/>
        <v>-82267.145643816562</v>
      </c>
      <c r="BK131" s="16">
        <f t="shared" si="47"/>
        <v>-73940.395947063604</v>
      </c>
      <c r="BL131" s="16">
        <f t="shared" si="48"/>
        <v>-28101.291687344976</v>
      </c>
      <c r="BM131" s="16">
        <f t="shared" si="49"/>
        <v>-87374.672729842539</v>
      </c>
      <c r="BN131" s="16">
        <f t="shared" si="50"/>
        <v>-51195.509099231698</v>
      </c>
      <c r="BO131" s="16">
        <f t="shared" si="51"/>
        <v>-49653.193017602411</v>
      </c>
      <c r="BP131" s="16">
        <f t="shared" si="52"/>
        <v>-68297.975434243112</v>
      </c>
      <c r="BQ131" s="16">
        <f t="shared" si="53"/>
        <v>-49653.193017602411</v>
      </c>
      <c r="BR131" s="16">
        <f t="shared" si="54"/>
        <v>-47253.193017602411</v>
      </c>
      <c r="BS131" s="16">
        <f t="shared" si="55"/>
        <v>-47953.193017602403</v>
      </c>
      <c r="BT131" s="14">
        <f>IF([1]Sheet2!CB130=999999,"NA",[1]Sheet2!CB130)</f>
        <v>0</v>
      </c>
      <c r="BU131" s="14">
        <f>IF([1]Sheet2!CC130=999999,"NA",[1]Sheet2!CC130)</f>
        <v>0</v>
      </c>
      <c r="BV131" s="14">
        <f>IF([1]Sheet2!CD130=999999,"NA",[1]Sheet2!CD130)</f>
        <v>0</v>
      </c>
      <c r="BW131" s="14">
        <f>IF([1]Sheet2!CE130=999999,"NA",[1]Sheet2!CE130)</f>
        <v>0</v>
      </c>
      <c r="BX131" s="14">
        <f>IF([1]Sheet2!CF130=999999,"NA",[1]Sheet2!CF130)</f>
        <v>0</v>
      </c>
      <c r="BY131" s="14">
        <f>IF([1]Sheet2!CG130=999999,"NA",[1]Sheet2!CG130)</f>
        <v>0</v>
      </c>
      <c r="BZ131" s="14">
        <f>IF([1]Sheet2!CH130=999999,"NA",[1]Sheet2!CH130)</f>
        <v>0</v>
      </c>
      <c r="CA131" s="14">
        <f>IF([1]Sheet2!CI130=999999,"NA",[1]Sheet2!CI130)</f>
        <v>0</v>
      </c>
      <c r="CB131" s="14">
        <f>IF([1]Sheet2!CJ130=999999,"NA",[1]Sheet2!CJ130)</f>
        <v>0</v>
      </c>
      <c r="CC131" s="14">
        <f>IF([1]Sheet2!CK130=999999,"NA",[1]Sheet2!CK130)</f>
        <v>0</v>
      </c>
      <c r="CD131" s="14">
        <f>[1]Sheet2!BH130</f>
        <v>0</v>
      </c>
      <c r="CE131" s="14">
        <f>[1]Sheet2!BI130</f>
        <v>0</v>
      </c>
      <c r="CF131" s="14">
        <f>[1]Sheet2!BJ130</f>
        <v>0</v>
      </c>
      <c r="CG131" s="14">
        <f>[1]Sheet2!BK130</f>
        <v>0</v>
      </c>
      <c r="CH131" s="14">
        <f>[1]Sheet2!BL130</f>
        <v>0</v>
      </c>
      <c r="CI131" s="14">
        <f>[1]Sheet2!BM130</f>
        <v>0</v>
      </c>
      <c r="CJ131" s="14">
        <f>[1]Sheet2!BN130</f>
        <v>0</v>
      </c>
      <c r="CK131" s="14">
        <f>[1]Sheet2!BO130</f>
        <v>0</v>
      </c>
      <c r="CL131" s="14">
        <f>[1]Sheet2!BP130</f>
        <v>0</v>
      </c>
      <c r="CM131" s="14">
        <f>[1]Sheet2!BQ130</f>
        <v>0</v>
      </c>
      <c r="CN131" s="16">
        <f>Demand_SW!B$7/31</f>
        <v>122.8287841191067</v>
      </c>
      <c r="CO131" s="16">
        <f>Demand_SW!C$7/31</f>
        <v>0</v>
      </c>
      <c r="CP131" s="16">
        <f>Demand_SW!D$7/31</f>
        <v>0</v>
      </c>
      <c r="CQ131" s="16">
        <f>Demand_SW!E$7/31</f>
        <v>0</v>
      </c>
      <c r="CR131" s="16">
        <f>Demand_SW!F$7/31</f>
        <v>0</v>
      </c>
      <c r="CS131" s="16">
        <f>Demand_SW!G$7/31</f>
        <v>122.8287841191067</v>
      </c>
      <c r="CT131" s="16">
        <f>Demand_SW!H$7/31</f>
        <v>0</v>
      </c>
      <c r="CU131" s="16">
        <f>Demand_SW!I$7/31</f>
        <v>0</v>
      </c>
      <c r="CV131" s="16">
        <f>Demand_SW!J$7/31</f>
        <v>0</v>
      </c>
      <c r="CW131" s="16">
        <f>Demand_SW!K$7/31</f>
        <v>0</v>
      </c>
      <c r="CX131" s="16">
        <f t="shared" si="56"/>
        <v>-12445.707196029784</v>
      </c>
      <c r="CY131" s="16">
        <f t="shared" si="57"/>
        <v>76.923076923077133</v>
      </c>
      <c r="CZ131" s="16">
        <f t="shared" si="58"/>
        <v>0</v>
      </c>
      <c r="DA131" s="16">
        <f t="shared" si="59"/>
        <v>0</v>
      </c>
      <c r="DB131" s="16">
        <f t="shared" si="60"/>
        <v>0</v>
      </c>
      <c r="DC131" s="16">
        <f t="shared" si="61"/>
        <v>-11974.937965260551</v>
      </c>
      <c r="DD131" s="16">
        <f t="shared" si="62"/>
        <v>76.923076923077133</v>
      </c>
      <c r="DE131" s="16">
        <f t="shared" si="63"/>
        <v>0</v>
      </c>
      <c r="DF131" s="16">
        <f t="shared" si="64"/>
        <v>0</v>
      </c>
      <c r="DG131" s="16">
        <f t="shared" si="65"/>
        <v>0</v>
      </c>
      <c r="DH131" s="14">
        <f>IF([1]Sheet2!DS130=999999,"NA",[1]Sheet2!DS130)</f>
        <v>0</v>
      </c>
      <c r="DI131" s="14">
        <f>IF([1]Sheet2!DT130=999999,"NA",[1]Sheet2!DT130)</f>
        <v>237</v>
      </c>
      <c r="DJ131" s="14" t="str">
        <f>IF([1]Sheet2!DU130=999999,"NA",[1]Sheet2!DU130)</f>
        <v>NA</v>
      </c>
      <c r="DK131" s="14" t="str">
        <f>IF([1]Sheet2!DV130=999999,"NA",[1]Sheet2!DV130)</f>
        <v>NA</v>
      </c>
      <c r="DL131" s="14" t="str">
        <f>IF([1]Sheet2!DW130=999999,"NA",[1]Sheet2!DW130)</f>
        <v>NA</v>
      </c>
      <c r="DM131" s="14">
        <f>IF([1]Sheet2!DX130=999999,"NA",[1]Sheet2!DX130)</f>
        <v>0</v>
      </c>
      <c r="DN131" s="14">
        <f>IF([1]Sheet2!DY130=999999,"NA",[1]Sheet2!DY130)</f>
        <v>237</v>
      </c>
      <c r="DO131" s="14" t="str">
        <f>IF([1]Sheet2!DZ130=999999,"NA",[1]Sheet2!DZ130)</f>
        <v>NA</v>
      </c>
      <c r="DP131" s="14" t="str">
        <f>IF([1]Sheet2!EA130=999999,"NA",[1]Sheet2!EA130)</f>
        <v>NA</v>
      </c>
      <c r="DQ131" s="14" t="str">
        <f>IF([1]Sheet2!EB130=999999,"NA",[1]Sheet2!EB130)</f>
        <v>NA</v>
      </c>
      <c r="DR131" s="14">
        <f>[1]Sheet2!CY130</f>
        <v>0</v>
      </c>
      <c r="DS131" s="14">
        <f>[1]Sheet2!CZ130</f>
        <v>0</v>
      </c>
      <c r="DT131" s="14">
        <f>[1]Sheet2!DA130</f>
        <v>0</v>
      </c>
      <c r="DU131" s="14">
        <f>[1]Sheet2!DB130</f>
        <v>0</v>
      </c>
      <c r="DV131" s="14">
        <f>[1]Sheet2!DC130</f>
        <v>0</v>
      </c>
      <c r="DW131" s="14">
        <f>[1]Sheet2!DD130</f>
        <v>0</v>
      </c>
      <c r="DX131" s="14">
        <f>[1]Sheet2!DE130</f>
        <v>0</v>
      </c>
      <c r="DY131" s="14">
        <f>[1]Sheet2!DF130</f>
        <v>0</v>
      </c>
      <c r="DZ131" s="14">
        <f>[1]Sheet2!DG130</f>
        <v>0</v>
      </c>
      <c r="EA131" s="14">
        <f>[1]Sheet2!DH130</f>
        <v>0</v>
      </c>
      <c r="EB131" s="6">
        <f>[1]Sheet2!EC130</f>
        <v>0</v>
      </c>
      <c r="EC131" s="6">
        <f>[1]Sheet2!ED130</f>
        <v>0</v>
      </c>
      <c r="ED131" s="6">
        <f>[1]Sheet2!EE130</f>
        <v>0</v>
      </c>
      <c r="EE131" s="6">
        <f>[1]Sheet2!EF130</f>
        <v>0</v>
      </c>
      <c r="EF131" s="6">
        <f>[1]Sheet2!EG130</f>
        <v>0</v>
      </c>
      <c r="EG131" s="6">
        <f>[1]Sheet2!EH130</f>
        <v>0</v>
      </c>
      <c r="EH131" s="6">
        <f>[1]Sheet2!EI130</f>
        <v>0</v>
      </c>
      <c r="EI131" s="6">
        <f>[1]Sheet2!EJ130</f>
        <v>0</v>
      </c>
      <c r="EJ131" s="6">
        <f>[1]Sheet2!EK130</f>
        <v>0</v>
      </c>
      <c r="EK131" s="6">
        <f>[1]Sheet2!EL130</f>
        <v>0</v>
      </c>
      <c r="EL131" s="6" t="str">
        <f>[1]Sheet2!EM130</f>
        <v/>
      </c>
      <c r="EM131" s="6" t="str">
        <f>[1]Sheet2!EN130</f>
        <v/>
      </c>
      <c r="EN131" s="6" t="str">
        <f>[1]Sheet2!EO130</f>
        <v/>
      </c>
      <c r="EO131" s="6" t="str">
        <f>[1]Sheet2!EP130</f>
        <v/>
      </c>
      <c r="EP131" s="6" t="str">
        <f>[1]Sheet2!EQ130</f>
        <v/>
      </c>
      <c r="EQ131" s="6" t="str">
        <f>[1]Sheet2!ER130</f>
        <v/>
      </c>
      <c r="ER131" s="6" t="str">
        <f>[1]Sheet2!ES130</f>
        <v/>
      </c>
      <c r="ES131" s="6" t="str">
        <f>[1]Sheet2!ET130</f>
        <v/>
      </c>
      <c r="ET131" s="6" t="str">
        <f>[1]Sheet2!EU130</f>
        <v/>
      </c>
      <c r="EU131" s="6" t="str">
        <f>[1]Sheet2!EV130</f>
        <v/>
      </c>
      <c r="EV131" s="6" t="str">
        <f>[1]Sheet2!EW130</f>
        <v/>
      </c>
      <c r="EW131" s="6" t="str">
        <f>[1]Sheet2!EX130</f>
        <v/>
      </c>
      <c r="EX131" s="6" t="str">
        <f>[1]Sheet2!EY130</f>
        <v/>
      </c>
      <c r="EY131" s="6" t="str">
        <f>[1]Sheet2!EZ130</f>
        <v/>
      </c>
      <c r="EZ131" s="6" t="str">
        <f>[1]Sheet2!FA130</f>
        <v/>
      </c>
      <c r="FA131" s="6" t="str">
        <f>[1]Sheet2!FB130</f>
        <v/>
      </c>
      <c r="FB131" s="6" t="str">
        <f>[1]Sheet2!FC130</f>
        <v/>
      </c>
      <c r="FC131" s="6" t="str">
        <f>[1]Sheet2!FD130</f>
        <v/>
      </c>
      <c r="FD131" s="6" t="str">
        <f>[1]Sheet2!FE130</f>
        <v/>
      </c>
      <c r="FE131" s="6" t="str">
        <f>[1]Sheet2!FF130</f>
        <v/>
      </c>
      <c r="FF131" s="6" t="str">
        <f>[1]Sheet2!FG130</f>
        <v/>
      </c>
      <c r="FG131" s="6" t="str">
        <f>[1]Sheet2!FH130</f>
        <v/>
      </c>
      <c r="FH131" s="6" t="str">
        <f>[1]Sheet2!FI130</f>
        <v/>
      </c>
      <c r="FI131" s="6" t="str">
        <f>[1]Sheet2!FJ130</f>
        <v/>
      </c>
      <c r="FJ131" s="6" t="str">
        <f>[1]Sheet2!FK130</f>
        <v/>
      </c>
      <c r="FK131" s="6" t="str">
        <f>[1]Sheet2!FL130</f>
        <v/>
      </c>
      <c r="FL131" s="6" t="str">
        <f>[1]Sheet2!FM130</f>
        <v/>
      </c>
      <c r="FM131" s="6" t="str">
        <f>[1]Sheet2!FN130</f>
        <v/>
      </c>
      <c r="FN131" s="6" t="str">
        <f>[1]Sheet2!FO130</f>
        <v/>
      </c>
      <c r="FO131" s="6" t="str">
        <f>[1]Sheet2!FP130</f>
        <v/>
      </c>
    </row>
    <row r="132" spans="1:171" x14ac:dyDescent="0.25">
      <c r="A132" s="15">
        <v>43594</v>
      </c>
      <c r="B132" s="1"/>
      <c r="C132" s="1"/>
      <c r="D132" s="1"/>
      <c r="E132" s="14">
        <f>[1]Sheet2!N131</f>
        <v>0</v>
      </c>
      <c r="F132" s="14">
        <f>[1]Sheet2!BE131</f>
        <v>0</v>
      </c>
      <c r="G132" s="14">
        <f>[1]Sheet2!CW131</f>
        <v>0</v>
      </c>
      <c r="H132" s="1"/>
      <c r="I132" s="1"/>
      <c r="J132" s="1"/>
      <c r="K132" s="16"/>
      <c r="L132" s="16">
        <f>Demand_CWRS!B$7/31</f>
        <v>129.8994219137717</v>
      </c>
      <c r="M132" s="16">
        <f>Demand_CWRS!C$7/31</f>
        <v>543.3829611248965</v>
      </c>
      <c r="N132" s="16">
        <f>Demand_CWRS!D$7/31</f>
        <v>0</v>
      </c>
      <c r="O132" s="16">
        <f>Demand_CWRS!E$7/31</f>
        <v>131.84491315136475</v>
      </c>
      <c r="P132" s="16">
        <f>Demand_CWRS!F$7/31</f>
        <v>232.12592522229113</v>
      </c>
      <c r="Q132" s="16">
        <f>Demand_CWRS!G$7/31</f>
        <v>129.8994219137717</v>
      </c>
      <c r="R132" s="16">
        <f>Demand_CWRS!H$7/31</f>
        <v>232.12592522229113</v>
      </c>
      <c r="S132" s="16">
        <f>Demand_CWRS!I$7/31</f>
        <v>232.12592522229113</v>
      </c>
      <c r="T132" s="16">
        <f>Demand_CWRS!J$7/31</f>
        <v>232.12592522229113</v>
      </c>
      <c r="U132" s="16">
        <f>Demand_CWRS!K$7/31</f>
        <v>232.12592522229113</v>
      </c>
      <c r="V132" s="16">
        <f t="shared" si="36"/>
        <v>-15756.928437985864</v>
      </c>
      <c r="W132" s="16">
        <f t="shared" si="37"/>
        <v>-54405.582547559832</v>
      </c>
      <c r="X132" s="16">
        <f t="shared" si="38"/>
        <v>0</v>
      </c>
      <c r="Y132" s="16">
        <f t="shared" si="39"/>
        <v>-5935.2397425427316</v>
      </c>
      <c r="Z132" s="16">
        <f t="shared" si="40"/>
        <v>-24599.514585672721</v>
      </c>
      <c r="AA132" s="16">
        <f t="shared" si="41"/>
        <v>-14431.15528894743</v>
      </c>
      <c r="AB132" s="16">
        <f t="shared" si="42"/>
        <v>-29080.55825554454</v>
      </c>
      <c r="AC132" s="16">
        <f t="shared" si="43"/>
        <v>-23287.547999134262</v>
      </c>
      <c r="AD132" s="16">
        <f t="shared" si="44"/>
        <v>-23387.547999134254</v>
      </c>
      <c r="AE132" s="16">
        <f t="shared" si="45"/>
        <v>-23987.547999134258</v>
      </c>
      <c r="AF132" s="14">
        <f>IF([1]Sheet2!AJ131=999999,"NA",[1]Sheet2!AJ131)</f>
        <v>0</v>
      </c>
      <c r="AG132" s="14">
        <f>IF([1]Sheet2!AK131=999999,"NA",[1]Sheet2!AK131)</f>
        <v>0</v>
      </c>
      <c r="AH132" s="14" t="str">
        <f>IF([1]Sheet2!AL131=999999,"NA",[1]Sheet2!AL131)</f>
        <v>NA</v>
      </c>
      <c r="AI132" s="14">
        <f>IF([1]Sheet2!AM131=999999,"NA",[1]Sheet2!AM131)</f>
        <v>0</v>
      </c>
      <c r="AJ132" s="14">
        <f>IF([1]Sheet2!AN131=999999,"NA",[1]Sheet2!AN131)</f>
        <v>0</v>
      </c>
      <c r="AK132" s="14">
        <f>IF([1]Sheet2!AO131=999999,"NA",[1]Sheet2!AO131)</f>
        <v>0</v>
      </c>
      <c r="AL132" s="14">
        <f>IF([1]Sheet2!AP131=999999,"NA",[1]Sheet2!AP131)</f>
        <v>0</v>
      </c>
      <c r="AM132" s="14">
        <f>IF([1]Sheet2!AQ131=999999,"NA",[1]Sheet2!AQ131)</f>
        <v>0</v>
      </c>
      <c r="AN132" s="14">
        <f>IF([1]Sheet2!AR131=999999,"NA",[1]Sheet2!AR131)</f>
        <v>0</v>
      </c>
      <c r="AO132" s="14">
        <f>IF([1]Sheet2!AS131=999999,"NA",[1]Sheet2!AS131)</f>
        <v>0</v>
      </c>
      <c r="AP132" s="14">
        <f>[1]Sheet2!P131</f>
        <v>0</v>
      </c>
      <c r="AQ132" s="14">
        <f>[1]Sheet2!Q131</f>
        <v>0</v>
      </c>
      <c r="AR132" s="14">
        <f>[1]Sheet2!R131</f>
        <v>0</v>
      </c>
      <c r="AS132" s="14">
        <f>[1]Sheet2!S131</f>
        <v>0</v>
      </c>
      <c r="AT132" s="14">
        <f>[1]Sheet2!T131</f>
        <v>0</v>
      </c>
      <c r="AU132" s="14">
        <f>[1]Sheet2!U131</f>
        <v>0</v>
      </c>
      <c r="AV132" s="14">
        <f>[1]Sheet2!V131</f>
        <v>0</v>
      </c>
      <c r="AW132" s="14">
        <f>[1]Sheet2!W131</f>
        <v>0</v>
      </c>
      <c r="AX132" s="14">
        <f>[1]Sheet2!X131</f>
        <v>0</v>
      </c>
      <c r="AY132" s="14">
        <f>[1]Sheet2!Y131</f>
        <v>0</v>
      </c>
      <c r="AZ132" s="16">
        <f>Demand_LP!B$7/31</f>
        <v>855.82964911600493</v>
      </c>
      <c r="BA132" s="16">
        <f>Demand_LP!C$7/31</f>
        <v>478.74276261373035</v>
      </c>
      <c r="BB132" s="16">
        <f>Demand_LP!D$7/31</f>
        <v>366.03598014888337</v>
      </c>
      <c r="BC132" s="16">
        <f>Demand_LP!E$7/31</f>
        <v>837.96277915632766</v>
      </c>
      <c r="BD132" s="16">
        <f>Demand_LP!F$7/31</f>
        <v>447.19049589019846</v>
      </c>
      <c r="BE132" s="16">
        <f>Demand_LP!G$7/31</f>
        <v>447.19049589019846</v>
      </c>
      <c r="BF132" s="16">
        <f>Demand_LP!H$7/31</f>
        <v>478.74276261373035</v>
      </c>
      <c r="BG132" s="16">
        <f>Demand_LP!I$7/31</f>
        <v>447.19049589019846</v>
      </c>
      <c r="BH132" s="16">
        <f>Demand_LP!J$7/31</f>
        <v>447.19049589019846</v>
      </c>
      <c r="BI132" s="16">
        <f>Demand_LP!K$7/31</f>
        <v>447.19049589019846</v>
      </c>
      <c r="BJ132" s="16">
        <f t="shared" si="46"/>
        <v>-83122.975292932562</v>
      </c>
      <c r="BK132" s="16">
        <f t="shared" si="47"/>
        <v>-74419.13870967734</v>
      </c>
      <c r="BL132" s="16">
        <f t="shared" si="48"/>
        <v>-28467.327667493861</v>
      </c>
      <c r="BM132" s="16">
        <f t="shared" si="49"/>
        <v>-88212.635508998865</v>
      </c>
      <c r="BN132" s="16">
        <f t="shared" si="50"/>
        <v>-51642.6995951219</v>
      </c>
      <c r="BO132" s="16">
        <f t="shared" si="51"/>
        <v>-50100.383513492612</v>
      </c>
      <c r="BP132" s="16">
        <f t="shared" si="52"/>
        <v>-68776.718196856847</v>
      </c>
      <c r="BQ132" s="16">
        <f t="shared" si="53"/>
        <v>-50100.383513492612</v>
      </c>
      <c r="BR132" s="16">
        <f t="shared" si="54"/>
        <v>-47700.383513492612</v>
      </c>
      <c r="BS132" s="16">
        <f t="shared" si="55"/>
        <v>-48400.383513492605</v>
      </c>
      <c r="BT132" s="14">
        <f>IF([1]Sheet2!CB131=999999,"NA",[1]Sheet2!CB131)</f>
        <v>0</v>
      </c>
      <c r="BU132" s="14">
        <f>IF([1]Sheet2!CC131=999999,"NA",[1]Sheet2!CC131)</f>
        <v>0</v>
      </c>
      <c r="BV132" s="14">
        <f>IF([1]Sheet2!CD131=999999,"NA",[1]Sheet2!CD131)</f>
        <v>0</v>
      </c>
      <c r="BW132" s="14">
        <f>IF([1]Sheet2!CE131=999999,"NA",[1]Sheet2!CE131)</f>
        <v>0</v>
      </c>
      <c r="BX132" s="14">
        <f>IF([1]Sheet2!CF131=999999,"NA",[1]Sheet2!CF131)</f>
        <v>0</v>
      </c>
      <c r="BY132" s="14">
        <f>IF([1]Sheet2!CG131=999999,"NA",[1]Sheet2!CG131)</f>
        <v>0</v>
      </c>
      <c r="BZ132" s="14">
        <f>IF([1]Sheet2!CH131=999999,"NA",[1]Sheet2!CH131)</f>
        <v>0</v>
      </c>
      <c r="CA132" s="14">
        <f>IF([1]Sheet2!CI131=999999,"NA",[1]Sheet2!CI131)</f>
        <v>0</v>
      </c>
      <c r="CB132" s="14">
        <f>IF([1]Sheet2!CJ131=999999,"NA",[1]Sheet2!CJ131)</f>
        <v>0</v>
      </c>
      <c r="CC132" s="14">
        <f>IF([1]Sheet2!CK131=999999,"NA",[1]Sheet2!CK131)</f>
        <v>0</v>
      </c>
      <c r="CD132" s="14">
        <f>[1]Sheet2!BH131</f>
        <v>0</v>
      </c>
      <c r="CE132" s="14">
        <f>[1]Sheet2!BI131</f>
        <v>0</v>
      </c>
      <c r="CF132" s="14">
        <f>[1]Sheet2!BJ131</f>
        <v>0</v>
      </c>
      <c r="CG132" s="14">
        <f>[1]Sheet2!BK131</f>
        <v>0</v>
      </c>
      <c r="CH132" s="14">
        <f>[1]Sheet2!BL131</f>
        <v>0</v>
      </c>
      <c r="CI132" s="14">
        <f>[1]Sheet2!BM131</f>
        <v>0</v>
      </c>
      <c r="CJ132" s="14">
        <f>[1]Sheet2!BN131</f>
        <v>0</v>
      </c>
      <c r="CK132" s="14">
        <f>[1]Sheet2!BO131</f>
        <v>0</v>
      </c>
      <c r="CL132" s="14">
        <f>[1]Sheet2!BP131</f>
        <v>0</v>
      </c>
      <c r="CM132" s="14">
        <f>[1]Sheet2!BQ131</f>
        <v>0</v>
      </c>
      <c r="CN132" s="16">
        <f>Demand_SW!B$7/31</f>
        <v>122.8287841191067</v>
      </c>
      <c r="CO132" s="16">
        <f>Demand_SW!C$7/31</f>
        <v>0</v>
      </c>
      <c r="CP132" s="16">
        <f>Demand_SW!D$7/31</f>
        <v>0</v>
      </c>
      <c r="CQ132" s="16">
        <f>Demand_SW!E$7/31</f>
        <v>0</v>
      </c>
      <c r="CR132" s="16">
        <f>Demand_SW!F$7/31</f>
        <v>0</v>
      </c>
      <c r="CS132" s="16">
        <f>Demand_SW!G$7/31</f>
        <v>122.8287841191067</v>
      </c>
      <c r="CT132" s="16">
        <f>Demand_SW!H$7/31</f>
        <v>0</v>
      </c>
      <c r="CU132" s="16">
        <f>Demand_SW!I$7/31</f>
        <v>0</v>
      </c>
      <c r="CV132" s="16">
        <f>Demand_SW!J$7/31</f>
        <v>0</v>
      </c>
      <c r="CW132" s="16">
        <f>Demand_SW!K$7/31</f>
        <v>0</v>
      </c>
      <c r="CX132" s="16">
        <f t="shared" si="56"/>
        <v>-12568.53598014889</v>
      </c>
      <c r="CY132" s="16">
        <f t="shared" si="57"/>
        <v>76.923076923077133</v>
      </c>
      <c r="CZ132" s="16">
        <f t="shared" si="58"/>
        <v>0</v>
      </c>
      <c r="DA132" s="16">
        <f t="shared" si="59"/>
        <v>0</v>
      </c>
      <c r="DB132" s="16">
        <f t="shared" si="60"/>
        <v>0</v>
      </c>
      <c r="DC132" s="16">
        <f t="shared" si="61"/>
        <v>-12097.766749379658</v>
      </c>
      <c r="DD132" s="16">
        <f t="shared" si="62"/>
        <v>76.923076923077133</v>
      </c>
      <c r="DE132" s="16">
        <f t="shared" si="63"/>
        <v>0</v>
      </c>
      <c r="DF132" s="16">
        <f t="shared" si="64"/>
        <v>0</v>
      </c>
      <c r="DG132" s="16">
        <f t="shared" si="65"/>
        <v>0</v>
      </c>
      <c r="DH132" s="14">
        <f>IF([1]Sheet2!DS131=999999,"NA",[1]Sheet2!DS131)</f>
        <v>0</v>
      </c>
      <c r="DI132" s="14">
        <f>IF([1]Sheet2!DT131=999999,"NA",[1]Sheet2!DT131)</f>
        <v>236</v>
      </c>
      <c r="DJ132" s="14" t="str">
        <f>IF([1]Sheet2!DU131=999999,"NA",[1]Sheet2!DU131)</f>
        <v>NA</v>
      </c>
      <c r="DK132" s="14" t="str">
        <f>IF([1]Sheet2!DV131=999999,"NA",[1]Sheet2!DV131)</f>
        <v>NA</v>
      </c>
      <c r="DL132" s="14" t="str">
        <f>IF([1]Sheet2!DW131=999999,"NA",[1]Sheet2!DW131)</f>
        <v>NA</v>
      </c>
      <c r="DM132" s="14">
        <f>IF([1]Sheet2!DX131=999999,"NA",[1]Sheet2!DX131)</f>
        <v>0</v>
      </c>
      <c r="DN132" s="14">
        <f>IF([1]Sheet2!DY131=999999,"NA",[1]Sheet2!DY131)</f>
        <v>236</v>
      </c>
      <c r="DO132" s="14" t="str">
        <f>IF([1]Sheet2!DZ131=999999,"NA",[1]Sheet2!DZ131)</f>
        <v>NA</v>
      </c>
      <c r="DP132" s="14" t="str">
        <f>IF([1]Sheet2!EA131=999999,"NA",[1]Sheet2!EA131)</f>
        <v>NA</v>
      </c>
      <c r="DQ132" s="14" t="str">
        <f>IF([1]Sheet2!EB131=999999,"NA",[1]Sheet2!EB131)</f>
        <v>NA</v>
      </c>
      <c r="DR132" s="14">
        <f>[1]Sheet2!CY131</f>
        <v>0</v>
      </c>
      <c r="DS132" s="14">
        <f>[1]Sheet2!CZ131</f>
        <v>0</v>
      </c>
      <c r="DT132" s="14">
        <f>[1]Sheet2!DA131</f>
        <v>0</v>
      </c>
      <c r="DU132" s="14">
        <f>[1]Sheet2!DB131</f>
        <v>0</v>
      </c>
      <c r="DV132" s="14">
        <f>[1]Sheet2!DC131</f>
        <v>0</v>
      </c>
      <c r="DW132" s="14">
        <f>[1]Sheet2!DD131</f>
        <v>0</v>
      </c>
      <c r="DX132" s="14">
        <f>[1]Sheet2!DE131</f>
        <v>0</v>
      </c>
      <c r="DY132" s="14">
        <f>[1]Sheet2!DF131</f>
        <v>0</v>
      </c>
      <c r="DZ132" s="14">
        <f>[1]Sheet2!DG131</f>
        <v>0</v>
      </c>
      <c r="EA132" s="14">
        <f>[1]Sheet2!DH131</f>
        <v>0</v>
      </c>
      <c r="EB132" s="6">
        <f>[1]Sheet2!EC131</f>
        <v>0</v>
      </c>
      <c r="EC132" s="6">
        <f>[1]Sheet2!ED131</f>
        <v>0</v>
      </c>
      <c r="ED132" s="6">
        <f>[1]Sheet2!EE131</f>
        <v>0</v>
      </c>
      <c r="EE132" s="6">
        <f>[1]Sheet2!EF131</f>
        <v>0</v>
      </c>
      <c r="EF132" s="6">
        <f>[1]Sheet2!EG131</f>
        <v>0</v>
      </c>
      <c r="EG132" s="6">
        <f>[1]Sheet2!EH131</f>
        <v>0</v>
      </c>
      <c r="EH132" s="6">
        <f>[1]Sheet2!EI131</f>
        <v>0</v>
      </c>
      <c r="EI132" s="6">
        <f>[1]Sheet2!EJ131</f>
        <v>0</v>
      </c>
      <c r="EJ132" s="6">
        <f>[1]Sheet2!EK131</f>
        <v>0</v>
      </c>
      <c r="EK132" s="6">
        <f>[1]Sheet2!EL131</f>
        <v>0</v>
      </c>
      <c r="EL132" s="6" t="str">
        <f>[1]Sheet2!EM131</f>
        <v/>
      </c>
      <c r="EM132" s="6" t="str">
        <f>[1]Sheet2!EN131</f>
        <v/>
      </c>
      <c r="EN132" s="6" t="str">
        <f>[1]Sheet2!EO131</f>
        <v/>
      </c>
      <c r="EO132" s="6" t="str">
        <f>[1]Sheet2!EP131</f>
        <v/>
      </c>
      <c r="EP132" s="6" t="str">
        <f>[1]Sheet2!EQ131</f>
        <v/>
      </c>
      <c r="EQ132" s="6" t="str">
        <f>[1]Sheet2!ER131</f>
        <v/>
      </c>
      <c r="ER132" s="6" t="str">
        <f>[1]Sheet2!ES131</f>
        <v/>
      </c>
      <c r="ES132" s="6" t="str">
        <f>[1]Sheet2!ET131</f>
        <v/>
      </c>
      <c r="ET132" s="6" t="str">
        <f>[1]Sheet2!EU131</f>
        <v/>
      </c>
      <c r="EU132" s="6" t="str">
        <f>[1]Sheet2!EV131</f>
        <v/>
      </c>
      <c r="EV132" s="6" t="str">
        <f>[1]Sheet2!EW131</f>
        <v/>
      </c>
      <c r="EW132" s="6" t="str">
        <f>[1]Sheet2!EX131</f>
        <v/>
      </c>
      <c r="EX132" s="6" t="str">
        <f>[1]Sheet2!EY131</f>
        <v/>
      </c>
      <c r="EY132" s="6" t="str">
        <f>[1]Sheet2!EZ131</f>
        <v/>
      </c>
      <c r="EZ132" s="6" t="str">
        <f>[1]Sheet2!FA131</f>
        <v/>
      </c>
      <c r="FA132" s="6" t="str">
        <f>[1]Sheet2!FB131</f>
        <v/>
      </c>
      <c r="FB132" s="6" t="str">
        <f>[1]Sheet2!FC131</f>
        <v/>
      </c>
      <c r="FC132" s="6" t="str">
        <f>[1]Sheet2!FD131</f>
        <v/>
      </c>
      <c r="FD132" s="6" t="str">
        <f>[1]Sheet2!FE131</f>
        <v/>
      </c>
      <c r="FE132" s="6" t="str">
        <f>[1]Sheet2!FF131</f>
        <v/>
      </c>
      <c r="FF132" s="6" t="str">
        <f>[1]Sheet2!FG131</f>
        <v/>
      </c>
      <c r="FG132" s="6" t="str">
        <f>[1]Sheet2!FH131</f>
        <v/>
      </c>
      <c r="FH132" s="6" t="str">
        <f>[1]Sheet2!FI131</f>
        <v/>
      </c>
      <c r="FI132" s="6" t="str">
        <f>[1]Sheet2!FJ131</f>
        <v/>
      </c>
      <c r="FJ132" s="6" t="str">
        <f>[1]Sheet2!FK131</f>
        <v/>
      </c>
      <c r="FK132" s="6" t="str">
        <f>[1]Sheet2!FL131</f>
        <v/>
      </c>
      <c r="FL132" s="6" t="str">
        <f>[1]Sheet2!FM131</f>
        <v/>
      </c>
      <c r="FM132" s="6" t="str">
        <f>[1]Sheet2!FN131</f>
        <v/>
      </c>
      <c r="FN132" s="6" t="str">
        <f>[1]Sheet2!FO131</f>
        <v/>
      </c>
      <c r="FO132" s="6" t="str">
        <f>[1]Sheet2!FP131</f>
        <v/>
      </c>
    </row>
    <row r="133" spans="1:171" x14ac:dyDescent="0.25">
      <c r="A133" s="15">
        <v>43595</v>
      </c>
      <c r="B133" s="1"/>
      <c r="C133" s="1"/>
      <c r="D133" s="1"/>
      <c r="E133" s="14">
        <f>[1]Sheet2!N132</f>
        <v>0</v>
      </c>
      <c r="F133" s="14">
        <f>[1]Sheet2!BE132</f>
        <v>48000</v>
      </c>
      <c r="G133" s="14">
        <f>[1]Sheet2!CW132</f>
        <v>0</v>
      </c>
      <c r="H133" s="1"/>
      <c r="I133" s="1"/>
      <c r="J133" s="1"/>
      <c r="K133" s="16"/>
      <c r="L133" s="16">
        <f>Demand_CWRS!B$7/31</f>
        <v>129.8994219137717</v>
      </c>
      <c r="M133" s="16">
        <f>Demand_CWRS!C$7/31</f>
        <v>543.3829611248965</v>
      </c>
      <c r="N133" s="16">
        <f>Demand_CWRS!D$7/31</f>
        <v>0</v>
      </c>
      <c r="O133" s="16">
        <f>Demand_CWRS!E$7/31</f>
        <v>131.84491315136475</v>
      </c>
      <c r="P133" s="16">
        <f>Demand_CWRS!F$7/31</f>
        <v>232.12592522229113</v>
      </c>
      <c r="Q133" s="16">
        <f>Demand_CWRS!G$7/31</f>
        <v>129.8994219137717</v>
      </c>
      <c r="R133" s="16">
        <f>Demand_CWRS!H$7/31</f>
        <v>232.12592522229113</v>
      </c>
      <c r="S133" s="16">
        <f>Demand_CWRS!I$7/31</f>
        <v>232.12592522229113</v>
      </c>
      <c r="T133" s="16">
        <f>Demand_CWRS!J$7/31</f>
        <v>232.12592522229113</v>
      </c>
      <c r="U133" s="16">
        <f>Demand_CWRS!K$7/31</f>
        <v>232.12592522229113</v>
      </c>
      <c r="V133" s="16">
        <f t="shared" ref="V133:V196" si="66">IF(EL133="",V132-L133+AP133,EL133)</f>
        <v>-15886.827859899635</v>
      </c>
      <c r="W133" s="16">
        <f t="shared" ref="W133:W196" si="67">IF(EM133="",W132-M133+AQ133,EM133)</f>
        <v>-54948.965508684727</v>
      </c>
      <c r="X133" s="16">
        <f t="shared" ref="X133:X196" si="68">IF(EN133="",X132-N133+AR133,EN133)</f>
        <v>0</v>
      </c>
      <c r="Y133" s="16">
        <f t="shared" ref="Y133:Y196" si="69">IF(EO133="",Y132-O133+AS133,EO133)</f>
        <v>-6067.084655694096</v>
      </c>
      <c r="Z133" s="16">
        <f t="shared" ref="Z133:Z196" si="70">IF(EP133="",Z132-P133+AT133,EP133)</f>
        <v>-24831.640510895013</v>
      </c>
      <c r="AA133" s="16">
        <f t="shared" ref="AA133:AA196" si="71">IF(EQ133="",AA132-Q133+AU133,EQ133)</f>
        <v>-14561.054710861201</v>
      </c>
      <c r="AB133" s="16">
        <f t="shared" ref="AB133:AB196" si="72">IF(ER133="",AB132-R133+AV133,ER133)</f>
        <v>-29312.684180766832</v>
      </c>
      <c r="AC133" s="16">
        <f t="shared" ref="AC133:AC196" si="73">IF(ES133="",AC132-S133+AW133,ES133)</f>
        <v>-23519.673924356553</v>
      </c>
      <c r="AD133" s="16">
        <f t="shared" ref="AD133:AD196" si="74">IF(ET133="",AD132-T133+AX133,ET133)</f>
        <v>-23619.673924356546</v>
      </c>
      <c r="AE133" s="16">
        <f t="shared" ref="AE133:AE196" si="75">IF(EU133="",AE132-U133+AY133,EU133)</f>
        <v>-24219.67392435655</v>
      </c>
      <c r="AF133" s="14">
        <f>IF([1]Sheet2!AJ132=999999,"NA",[1]Sheet2!AJ132)</f>
        <v>0</v>
      </c>
      <c r="AG133" s="14">
        <f>IF([1]Sheet2!AK132=999999,"NA",[1]Sheet2!AK132)</f>
        <v>0</v>
      </c>
      <c r="AH133" s="14" t="str">
        <f>IF([1]Sheet2!AL132=999999,"NA",[1]Sheet2!AL132)</f>
        <v>NA</v>
      </c>
      <c r="AI133" s="14">
        <f>IF([1]Sheet2!AM132=999999,"NA",[1]Sheet2!AM132)</f>
        <v>0</v>
      </c>
      <c r="AJ133" s="14">
        <f>IF([1]Sheet2!AN132=999999,"NA",[1]Sheet2!AN132)</f>
        <v>0</v>
      </c>
      <c r="AK133" s="14">
        <f>IF([1]Sheet2!AO132=999999,"NA",[1]Sheet2!AO132)</f>
        <v>0</v>
      </c>
      <c r="AL133" s="14">
        <f>IF([1]Sheet2!AP132=999999,"NA",[1]Sheet2!AP132)</f>
        <v>0</v>
      </c>
      <c r="AM133" s="14">
        <f>IF([1]Sheet2!AQ132=999999,"NA",[1]Sheet2!AQ132)</f>
        <v>0</v>
      </c>
      <c r="AN133" s="14">
        <f>IF([1]Sheet2!AR132=999999,"NA",[1]Sheet2!AR132)</f>
        <v>0</v>
      </c>
      <c r="AO133" s="14">
        <f>IF([1]Sheet2!AS132=999999,"NA",[1]Sheet2!AS132)</f>
        <v>0</v>
      </c>
      <c r="AP133" s="14">
        <f>[1]Sheet2!P132</f>
        <v>0</v>
      </c>
      <c r="AQ133" s="14">
        <f>[1]Sheet2!Q132</f>
        <v>0</v>
      </c>
      <c r="AR133" s="14">
        <f>[1]Sheet2!R132</f>
        <v>0</v>
      </c>
      <c r="AS133" s="14">
        <f>[1]Sheet2!S132</f>
        <v>0</v>
      </c>
      <c r="AT133" s="14">
        <f>[1]Sheet2!T132</f>
        <v>0</v>
      </c>
      <c r="AU133" s="14">
        <f>[1]Sheet2!U132</f>
        <v>0</v>
      </c>
      <c r="AV133" s="14">
        <f>[1]Sheet2!V132</f>
        <v>0</v>
      </c>
      <c r="AW133" s="14">
        <f>[1]Sheet2!W132</f>
        <v>0</v>
      </c>
      <c r="AX133" s="14">
        <f>[1]Sheet2!X132</f>
        <v>0</v>
      </c>
      <c r="AY133" s="14">
        <f>[1]Sheet2!Y132</f>
        <v>0</v>
      </c>
      <c r="AZ133" s="16">
        <f>Demand_LP!B$7/31</f>
        <v>855.82964911600493</v>
      </c>
      <c r="BA133" s="16">
        <f>Demand_LP!C$7/31</f>
        <v>478.74276261373035</v>
      </c>
      <c r="BB133" s="16">
        <f>Demand_LP!D$7/31</f>
        <v>366.03598014888337</v>
      </c>
      <c r="BC133" s="16">
        <f>Demand_LP!E$7/31</f>
        <v>837.96277915632766</v>
      </c>
      <c r="BD133" s="16">
        <f>Demand_LP!F$7/31</f>
        <v>447.19049589019846</v>
      </c>
      <c r="BE133" s="16">
        <f>Demand_LP!G$7/31</f>
        <v>447.19049589019846</v>
      </c>
      <c r="BF133" s="16">
        <f>Demand_LP!H$7/31</f>
        <v>478.74276261373035</v>
      </c>
      <c r="BG133" s="16">
        <f>Demand_LP!I$7/31</f>
        <v>447.19049589019846</v>
      </c>
      <c r="BH133" s="16">
        <f>Demand_LP!J$7/31</f>
        <v>447.19049589019846</v>
      </c>
      <c r="BI133" s="16">
        <f>Demand_LP!K$7/31</f>
        <v>447.19049589019846</v>
      </c>
      <c r="BJ133" s="16">
        <f t="shared" ref="BJ133:BJ196" si="76">IF(EV133="",BJ132-AZ133+CD133,EV133)</f>
        <v>-83978.804942048562</v>
      </c>
      <c r="BK133" s="16">
        <f t="shared" ref="BK133:BK196" si="77">IF(EW133="",BK132-BA133+CE133,EW133)</f>
        <v>-74897.881472291076</v>
      </c>
      <c r="BL133" s="16">
        <f t="shared" ref="BL133:BL196" si="78">IF(EX133="",BL132-BB133+CF133,EX133)</f>
        <v>-28833.363647642745</v>
      </c>
      <c r="BM133" s="16">
        <f t="shared" ref="BM133:BM196" si="79">IF(EY133="",BM132-BC133+CG133,EY133)</f>
        <v>-89050.59828815519</v>
      </c>
      <c r="BN133" s="16">
        <f t="shared" ref="BN133:BN196" si="80">IF(EZ133="",BN132-BD133+CH133,EZ133)</f>
        <v>-52089.890091012101</v>
      </c>
      <c r="BO133" s="16">
        <f t="shared" ref="BO133:BO196" si="81">IF(FA133="",BO132-BE133+CI133,FA133)</f>
        <v>-50547.574009382814</v>
      </c>
      <c r="BP133" s="16">
        <f t="shared" ref="BP133:BP196" si="82">IF(FB133="",BP132-BF133+CJ133,FB133)</f>
        <v>-69255.460959470583</v>
      </c>
      <c r="BQ133" s="16">
        <f t="shared" ref="BQ133:BQ196" si="83">IF(FC133="",BQ132-BG133+CK133,FC133)</f>
        <v>-50547.574009382814</v>
      </c>
      <c r="BR133" s="16">
        <f t="shared" ref="BR133:BR196" si="84">IF(FD133="",BR132-BH133+CL133,FD133)</f>
        <v>-48147.574009382814</v>
      </c>
      <c r="BS133" s="16">
        <f t="shared" ref="BS133:BS196" si="85">IF(FE133="",BS132-BI133+CM133,FE133)</f>
        <v>-48847.574009382806</v>
      </c>
      <c r="BT133" s="14">
        <f>IF([1]Sheet2!CB132=999999,"NA",[1]Sheet2!CB132)</f>
        <v>0</v>
      </c>
      <c r="BU133" s="14">
        <f>IF([1]Sheet2!CC132=999999,"NA",[1]Sheet2!CC132)</f>
        <v>0</v>
      </c>
      <c r="BV133" s="14">
        <f>IF([1]Sheet2!CD132=999999,"NA",[1]Sheet2!CD132)</f>
        <v>0</v>
      </c>
      <c r="BW133" s="14">
        <f>IF([1]Sheet2!CE132=999999,"NA",[1]Sheet2!CE132)</f>
        <v>0</v>
      </c>
      <c r="BX133" s="14">
        <f>IF([1]Sheet2!CF132=999999,"NA",[1]Sheet2!CF132)</f>
        <v>0</v>
      </c>
      <c r="BY133" s="14">
        <f>IF([1]Sheet2!CG132=999999,"NA",[1]Sheet2!CG132)</f>
        <v>0</v>
      </c>
      <c r="BZ133" s="14">
        <f>IF([1]Sheet2!CH132=999999,"NA",[1]Sheet2!CH132)</f>
        <v>0</v>
      </c>
      <c r="CA133" s="14">
        <f>IF([1]Sheet2!CI132=999999,"NA",[1]Sheet2!CI132)</f>
        <v>0</v>
      </c>
      <c r="CB133" s="14">
        <f>IF([1]Sheet2!CJ132=999999,"NA",[1]Sheet2!CJ132)</f>
        <v>0</v>
      </c>
      <c r="CC133" s="14">
        <f>IF([1]Sheet2!CK132=999999,"NA",[1]Sheet2!CK132)</f>
        <v>0</v>
      </c>
      <c r="CD133" s="14">
        <f>[1]Sheet2!BH132</f>
        <v>0</v>
      </c>
      <c r="CE133" s="14">
        <f>[1]Sheet2!BI132</f>
        <v>0</v>
      </c>
      <c r="CF133" s="14">
        <f>[1]Sheet2!BJ132</f>
        <v>0</v>
      </c>
      <c r="CG133" s="14">
        <f>[1]Sheet2!BK132</f>
        <v>0</v>
      </c>
      <c r="CH133" s="14">
        <f>[1]Sheet2!BL132</f>
        <v>0</v>
      </c>
      <c r="CI133" s="14">
        <f>[1]Sheet2!BM132</f>
        <v>0</v>
      </c>
      <c r="CJ133" s="14">
        <f>[1]Sheet2!BN132</f>
        <v>0</v>
      </c>
      <c r="CK133" s="14">
        <f>[1]Sheet2!BO132</f>
        <v>0</v>
      </c>
      <c r="CL133" s="14">
        <f>[1]Sheet2!BP132</f>
        <v>0</v>
      </c>
      <c r="CM133" s="14">
        <f>[1]Sheet2!BQ132</f>
        <v>0</v>
      </c>
      <c r="CN133" s="16">
        <f>Demand_SW!B$7/31</f>
        <v>122.8287841191067</v>
      </c>
      <c r="CO133" s="16">
        <f>Demand_SW!C$7/31</f>
        <v>0</v>
      </c>
      <c r="CP133" s="16">
        <f>Demand_SW!D$7/31</f>
        <v>0</v>
      </c>
      <c r="CQ133" s="16">
        <f>Demand_SW!E$7/31</f>
        <v>0</v>
      </c>
      <c r="CR133" s="16">
        <f>Demand_SW!F$7/31</f>
        <v>0</v>
      </c>
      <c r="CS133" s="16">
        <f>Demand_SW!G$7/31</f>
        <v>122.8287841191067</v>
      </c>
      <c r="CT133" s="16">
        <f>Demand_SW!H$7/31</f>
        <v>0</v>
      </c>
      <c r="CU133" s="16">
        <f>Demand_SW!I$7/31</f>
        <v>0</v>
      </c>
      <c r="CV133" s="16">
        <f>Demand_SW!J$7/31</f>
        <v>0</v>
      </c>
      <c r="CW133" s="16">
        <f>Demand_SW!K$7/31</f>
        <v>0</v>
      </c>
      <c r="CX133" s="16">
        <f t="shared" ref="CX133:CX196" si="86">IF(FF133="",CX132-CN133+DR133,FF133)</f>
        <v>-12691.364764267997</v>
      </c>
      <c r="CY133" s="16">
        <f t="shared" ref="CY133:CY196" si="87">IF(FG133="",CY132-CO133+DS133,FG133)</f>
        <v>76.923076923077133</v>
      </c>
      <c r="CZ133" s="16">
        <f t="shared" ref="CZ133:CZ196" si="88">IF(FH133="",CZ132-CP133+DT133,FH133)</f>
        <v>0</v>
      </c>
      <c r="DA133" s="16">
        <f t="shared" ref="DA133:DA196" si="89">IF(FI133="",DA132-CQ133+DU133,FI133)</f>
        <v>0</v>
      </c>
      <c r="DB133" s="16">
        <f t="shared" ref="DB133:DB196" si="90">IF(FJ133="",DB132-CR133+DV133,FJ133)</f>
        <v>0</v>
      </c>
      <c r="DC133" s="16">
        <f t="shared" ref="DC133:DC196" si="91">IF(FK133="",DC132-CS133+DW133,FK133)</f>
        <v>-12220.595533498765</v>
      </c>
      <c r="DD133" s="16">
        <f t="shared" ref="DD133:DD196" si="92">IF(FL133="",DD132-CT133+DX133,FL133)</f>
        <v>76.923076923077133</v>
      </c>
      <c r="DE133" s="16">
        <f t="shared" ref="DE133:DE196" si="93">IF(FM133="",DE132-CU133+DY133,FM133)</f>
        <v>0</v>
      </c>
      <c r="DF133" s="16">
        <f t="shared" ref="DF133:DF196" si="94">IF(FN133="",DF132-CV133+DZ133,FN133)</f>
        <v>0</v>
      </c>
      <c r="DG133" s="16">
        <f t="shared" ref="DG133:DG196" si="95">IF(FO133="",DG132-CW133+EA133,FO133)</f>
        <v>0</v>
      </c>
      <c r="DH133" s="14">
        <f>IF([1]Sheet2!DS132=999999,"NA",[1]Sheet2!DS132)</f>
        <v>0</v>
      </c>
      <c r="DI133" s="14">
        <f>IF([1]Sheet2!DT132=999999,"NA",[1]Sheet2!DT132)</f>
        <v>235</v>
      </c>
      <c r="DJ133" s="14" t="str">
        <f>IF([1]Sheet2!DU132=999999,"NA",[1]Sheet2!DU132)</f>
        <v>NA</v>
      </c>
      <c r="DK133" s="14" t="str">
        <f>IF([1]Sheet2!DV132=999999,"NA",[1]Sheet2!DV132)</f>
        <v>NA</v>
      </c>
      <c r="DL133" s="14" t="str">
        <f>IF([1]Sheet2!DW132=999999,"NA",[1]Sheet2!DW132)</f>
        <v>NA</v>
      </c>
      <c r="DM133" s="14">
        <f>IF([1]Sheet2!DX132=999999,"NA",[1]Sheet2!DX132)</f>
        <v>0</v>
      </c>
      <c r="DN133" s="14">
        <f>IF([1]Sheet2!DY132=999999,"NA",[1]Sheet2!DY132)</f>
        <v>235</v>
      </c>
      <c r="DO133" s="14" t="str">
        <f>IF([1]Sheet2!DZ132=999999,"NA",[1]Sheet2!DZ132)</f>
        <v>NA</v>
      </c>
      <c r="DP133" s="14" t="str">
        <f>IF([1]Sheet2!EA132=999999,"NA",[1]Sheet2!EA132)</f>
        <v>NA</v>
      </c>
      <c r="DQ133" s="14" t="str">
        <f>IF([1]Sheet2!EB132=999999,"NA",[1]Sheet2!EB132)</f>
        <v>NA</v>
      </c>
      <c r="DR133" s="14">
        <f>[1]Sheet2!CY132</f>
        <v>0</v>
      </c>
      <c r="DS133" s="14">
        <f>[1]Sheet2!CZ132</f>
        <v>0</v>
      </c>
      <c r="DT133" s="14">
        <f>[1]Sheet2!DA132</f>
        <v>0</v>
      </c>
      <c r="DU133" s="14">
        <f>[1]Sheet2!DB132</f>
        <v>0</v>
      </c>
      <c r="DV133" s="14">
        <f>[1]Sheet2!DC132</f>
        <v>0</v>
      </c>
      <c r="DW133" s="14">
        <f>[1]Sheet2!DD132</f>
        <v>0</v>
      </c>
      <c r="DX133" s="14">
        <f>[1]Sheet2!DE132</f>
        <v>0</v>
      </c>
      <c r="DY133" s="14">
        <f>[1]Sheet2!DF132</f>
        <v>0</v>
      </c>
      <c r="DZ133" s="14">
        <f>[1]Sheet2!DG132</f>
        <v>0</v>
      </c>
      <c r="EA133" s="14">
        <f>[1]Sheet2!DH132</f>
        <v>0</v>
      </c>
      <c r="EB133" s="6">
        <f>[1]Sheet2!EC132</f>
        <v>0</v>
      </c>
      <c r="EC133" s="6">
        <f>[1]Sheet2!ED132</f>
        <v>0</v>
      </c>
      <c r="ED133" s="6">
        <f>[1]Sheet2!EE132</f>
        <v>0</v>
      </c>
      <c r="EE133" s="6">
        <f>[1]Sheet2!EF132</f>
        <v>0</v>
      </c>
      <c r="EF133" s="6">
        <f>[1]Sheet2!EG132</f>
        <v>0</v>
      </c>
      <c r="EG133" s="6">
        <f>[1]Sheet2!EH132</f>
        <v>0</v>
      </c>
      <c r="EH133" s="6">
        <f>[1]Sheet2!EI132</f>
        <v>0</v>
      </c>
      <c r="EI133" s="6">
        <f>[1]Sheet2!EJ132</f>
        <v>0</v>
      </c>
      <c r="EJ133" s="6">
        <f>[1]Sheet2!EK132</f>
        <v>0</v>
      </c>
      <c r="EK133" s="6">
        <f>[1]Sheet2!EL132</f>
        <v>0</v>
      </c>
      <c r="EL133" s="6" t="str">
        <f>[1]Sheet2!EM132</f>
        <v/>
      </c>
      <c r="EM133" s="6" t="str">
        <f>[1]Sheet2!EN132</f>
        <v/>
      </c>
      <c r="EN133" s="6" t="str">
        <f>[1]Sheet2!EO132</f>
        <v/>
      </c>
      <c r="EO133" s="6" t="str">
        <f>[1]Sheet2!EP132</f>
        <v/>
      </c>
      <c r="EP133" s="6" t="str">
        <f>[1]Sheet2!EQ132</f>
        <v/>
      </c>
      <c r="EQ133" s="6" t="str">
        <f>[1]Sheet2!ER132</f>
        <v/>
      </c>
      <c r="ER133" s="6" t="str">
        <f>[1]Sheet2!ES132</f>
        <v/>
      </c>
      <c r="ES133" s="6" t="str">
        <f>[1]Sheet2!ET132</f>
        <v/>
      </c>
      <c r="ET133" s="6" t="str">
        <f>[1]Sheet2!EU132</f>
        <v/>
      </c>
      <c r="EU133" s="6" t="str">
        <f>[1]Sheet2!EV132</f>
        <v/>
      </c>
      <c r="EV133" s="6" t="str">
        <f>[1]Sheet2!EW132</f>
        <v/>
      </c>
      <c r="EW133" s="6" t="str">
        <f>[1]Sheet2!EX132</f>
        <v/>
      </c>
      <c r="EX133" s="6" t="str">
        <f>[1]Sheet2!EY132</f>
        <v/>
      </c>
      <c r="EY133" s="6" t="str">
        <f>[1]Sheet2!EZ132</f>
        <v/>
      </c>
      <c r="EZ133" s="6" t="str">
        <f>[1]Sheet2!FA132</f>
        <v/>
      </c>
      <c r="FA133" s="6" t="str">
        <f>[1]Sheet2!FB132</f>
        <v/>
      </c>
      <c r="FB133" s="6" t="str">
        <f>[1]Sheet2!FC132</f>
        <v/>
      </c>
      <c r="FC133" s="6" t="str">
        <f>[1]Sheet2!FD132</f>
        <v/>
      </c>
      <c r="FD133" s="6" t="str">
        <f>[1]Sheet2!FE132</f>
        <v/>
      </c>
      <c r="FE133" s="6" t="str">
        <f>[1]Sheet2!FF132</f>
        <v/>
      </c>
      <c r="FF133" s="6" t="str">
        <f>[1]Sheet2!FG132</f>
        <v/>
      </c>
      <c r="FG133" s="6" t="str">
        <f>[1]Sheet2!FH132</f>
        <v/>
      </c>
      <c r="FH133" s="6" t="str">
        <f>[1]Sheet2!FI132</f>
        <v/>
      </c>
      <c r="FI133" s="6" t="str">
        <f>[1]Sheet2!FJ132</f>
        <v/>
      </c>
      <c r="FJ133" s="6" t="str">
        <f>[1]Sheet2!FK132</f>
        <v/>
      </c>
      <c r="FK133" s="6" t="str">
        <f>[1]Sheet2!FL132</f>
        <v/>
      </c>
      <c r="FL133" s="6" t="str">
        <f>[1]Sheet2!FM132</f>
        <v/>
      </c>
      <c r="FM133" s="6" t="str">
        <f>[1]Sheet2!FN132</f>
        <v/>
      </c>
      <c r="FN133" s="6" t="str">
        <f>[1]Sheet2!FO132</f>
        <v/>
      </c>
      <c r="FO133" s="6" t="str">
        <f>[1]Sheet2!FP132</f>
        <v/>
      </c>
    </row>
    <row r="134" spans="1:171" x14ac:dyDescent="0.25">
      <c r="A134" s="15">
        <v>43596</v>
      </c>
      <c r="B134" s="1"/>
      <c r="C134" s="1"/>
      <c r="D134" s="1"/>
      <c r="E134" s="14">
        <f>[1]Sheet2!N133</f>
        <v>0</v>
      </c>
      <c r="F134" s="14">
        <f>[1]Sheet2!BE133</f>
        <v>0</v>
      </c>
      <c r="G134" s="14">
        <f>[1]Sheet2!CW133</f>
        <v>0</v>
      </c>
      <c r="H134" s="1"/>
      <c r="I134" s="1"/>
      <c r="J134" s="1"/>
      <c r="K134" s="16"/>
      <c r="L134" s="16">
        <f>Demand_CWRS!B$7/31</f>
        <v>129.8994219137717</v>
      </c>
      <c r="M134" s="16">
        <f>Demand_CWRS!C$7/31</f>
        <v>543.3829611248965</v>
      </c>
      <c r="N134" s="16">
        <f>Demand_CWRS!D$7/31</f>
        <v>0</v>
      </c>
      <c r="O134" s="16">
        <f>Demand_CWRS!E$7/31</f>
        <v>131.84491315136475</v>
      </c>
      <c r="P134" s="16">
        <f>Demand_CWRS!F$7/31</f>
        <v>232.12592522229113</v>
      </c>
      <c r="Q134" s="16">
        <f>Demand_CWRS!G$7/31</f>
        <v>129.8994219137717</v>
      </c>
      <c r="R134" s="16">
        <f>Demand_CWRS!H$7/31</f>
        <v>232.12592522229113</v>
      </c>
      <c r="S134" s="16">
        <f>Demand_CWRS!I$7/31</f>
        <v>232.12592522229113</v>
      </c>
      <c r="T134" s="16">
        <f>Demand_CWRS!J$7/31</f>
        <v>232.12592522229113</v>
      </c>
      <c r="U134" s="16">
        <f>Demand_CWRS!K$7/31</f>
        <v>232.12592522229113</v>
      </c>
      <c r="V134" s="16">
        <f t="shared" si="66"/>
        <v>-16016.727281813406</v>
      </c>
      <c r="W134" s="16">
        <f t="shared" si="67"/>
        <v>-55492.348469809622</v>
      </c>
      <c r="X134" s="16">
        <f t="shared" si="68"/>
        <v>0</v>
      </c>
      <c r="Y134" s="16">
        <f t="shared" si="69"/>
        <v>-6198.9295688454604</v>
      </c>
      <c r="Z134" s="16">
        <f t="shared" si="70"/>
        <v>-25063.766436117305</v>
      </c>
      <c r="AA134" s="16">
        <f t="shared" si="71"/>
        <v>-14690.954132774972</v>
      </c>
      <c r="AB134" s="16">
        <f t="shared" si="72"/>
        <v>-29544.810105989123</v>
      </c>
      <c r="AC134" s="16">
        <f t="shared" si="73"/>
        <v>-23751.799849578845</v>
      </c>
      <c r="AD134" s="16">
        <f t="shared" si="74"/>
        <v>-23851.799849578838</v>
      </c>
      <c r="AE134" s="16">
        <f t="shared" si="75"/>
        <v>-24451.799849578842</v>
      </c>
      <c r="AF134" s="14">
        <f>IF([1]Sheet2!AJ133=999999,"NA",[1]Sheet2!AJ133)</f>
        <v>0</v>
      </c>
      <c r="AG134" s="14">
        <f>IF([1]Sheet2!AK133=999999,"NA",[1]Sheet2!AK133)</f>
        <v>0</v>
      </c>
      <c r="AH134" s="14" t="str">
        <f>IF([1]Sheet2!AL133=999999,"NA",[1]Sheet2!AL133)</f>
        <v>NA</v>
      </c>
      <c r="AI134" s="14">
        <f>IF([1]Sheet2!AM133=999999,"NA",[1]Sheet2!AM133)</f>
        <v>0</v>
      </c>
      <c r="AJ134" s="14">
        <f>IF([1]Sheet2!AN133=999999,"NA",[1]Sheet2!AN133)</f>
        <v>0</v>
      </c>
      <c r="AK134" s="14">
        <f>IF([1]Sheet2!AO133=999999,"NA",[1]Sheet2!AO133)</f>
        <v>0</v>
      </c>
      <c r="AL134" s="14">
        <f>IF([1]Sheet2!AP133=999999,"NA",[1]Sheet2!AP133)</f>
        <v>0</v>
      </c>
      <c r="AM134" s="14">
        <f>IF([1]Sheet2!AQ133=999999,"NA",[1]Sheet2!AQ133)</f>
        <v>0</v>
      </c>
      <c r="AN134" s="14">
        <f>IF([1]Sheet2!AR133=999999,"NA",[1]Sheet2!AR133)</f>
        <v>0</v>
      </c>
      <c r="AO134" s="14">
        <f>IF([1]Sheet2!AS133=999999,"NA",[1]Sheet2!AS133)</f>
        <v>0</v>
      </c>
      <c r="AP134" s="14">
        <f>[1]Sheet2!P133</f>
        <v>0</v>
      </c>
      <c r="AQ134" s="14">
        <f>[1]Sheet2!Q133</f>
        <v>0</v>
      </c>
      <c r="AR134" s="14">
        <f>[1]Sheet2!R133</f>
        <v>0</v>
      </c>
      <c r="AS134" s="14">
        <f>[1]Sheet2!S133</f>
        <v>0</v>
      </c>
      <c r="AT134" s="14">
        <f>[1]Sheet2!T133</f>
        <v>0</v>
      </c>
      <c r="AU134" s="14">
        <f>[1]Sheet2!U133</f>
        <v>0</v>
      </c>
      <c r="AV134" s="14">
        <f>[1]Sheet2!V133</f>
        <v>0</v>
      </c>
      <c r="AW134" s="14">
        <f>[1]Sheet2!W133</f>
        <v>0</v>
      </c>
      <c r="AX134" s="14">
        <f>[1]Sheet2!X133</f>
        <v>0</v>
      </c>
      <c r="AY134" s="14">
        <f>[1]Sheet2!Y133</f>
        <v>0</v>
      </c>
      <c r="AZ134" s="16">
        <f>Demand_LP!B$7/31</f>
        <v>855.82964911600493</v>
      </c>
      <c r="BA134" s="16">
        <f>Demand_LP!C$7/31</f>
        <v>478.74276261373035</v>
      </c>
      <c r="BB134" s="16">
        <f>Demand_LP!D$7/31</f>
        <v>366.03598014888337</v>
      </c>
      <c r="BC134" s="16">
        <f>Demand_LP!E$7/31</f>
        <v>837.96277915632766</v>
      </c>
      <c r="BD134" s="16">
        <f>Demand_LP!F$7/31</f>
        <v>447.19049589019846</v>
      </c>
      <c r="BE134" s="16">
        <f>Demand_LP!G$7/31</f>
        <v>447.19049589019846</v>
      </c>
      <c r="BF134" s="16">
        <f>Demand_LP!H$7/31</f>
        <v>478.74276261373035</v>
      </c>
      <c r="BG134" s="16">
        <f>Demand_LP!I$7/31</f>
        <v>447.19049589019846</v>
      </c>
      <c r="BH134" s="16">
        <f>Demand_LP!J$7/31</f>
        <v>447.19049589019846</v>
      </c>
      <c r="BI134" s="16">
        <f>Demand_LP!K$7/31</f>
        <v>447.19049589019846</v>
      </c>
      <c r="BJ134" s="16">
        <f t="shared" si="76"/>
        <v>-84834.634591164562</v>
      </c>
      <c r="BK134" s="16">
        <f t="shared" si="77"/>
        <v>-75376.624234904812</v>
      </c>
      <c r="BL134" s="16">
        <f t="shared" si="78"/>
        <v>-29199.39962779163</v>
      </c>
      <c r="BM134" s="16">
        <f t="shared" si="79"/>
        <v>-89888.561067311515</v>
      </c>
      <c r="BN134" s="16">
        <f t="shared" si="80"/>
        <v>-52537.080586902302</v>
      </c>
      <c r="BO134" s="16">
        <f t="shared" si="81"/>
        <v>-50994.764505273015</v>
      </c>
      <c r="BP134" s="16">
        <f t="shared" si="82"/>
        <v>-69734.203722084319</v>
      </c>
      <c r="BQ134" s="16">
        <f t="shared" si="83"/>
        <v>-50994.764505273015</v>
      </c>
      <c r="BR134" s="16">
        <f t="shared" si="84"/>
        <v>-48594.764505273015</v>
      </c>
      <c r="BS134" s="16">
        <f t="shared" si="85"/>
        <v>-49294.764505273008</v>
      </c>
      <c r="BT134" s="14">
        <f>IF([1]Sheet2!CB133=999999,"NA",[1]Sheet2!CB133)</f>
        <v>0</v>
      </c>
      <c r="BU134" s="14">
        <f>IF([1]Sheet2!CC133=999999,"NA",[1]Sheet2!CC133)</f>
        <v>0</v>
      </c>
      <c r="BV134" s="14">
        <f>IF([1]Sheet2!CD133=999999,"NA",[1]Sheet2!CD133)</f>
        <v>0</v>
      </c>
      <c r="BW134" s="14">
        <f>IF([1]Sheet2!CE133=999999,"NA",[1]Sheet2!CE133)</f>
        <v>0</v>
      </c>
      <c r="BX134" s="14">
        <f>IF([1]Sheet2!CF133=999999,"NA",[1]Sheet2!CF133)</f>
        <v>0</v>
      </c>
      <c r="BY134" s="14">
        <f>IF([1]Sheet2!CG133=999999,"NA",[1]Sheet2!CG133)</f>
        <v>0</v>
      </c>
      <c r="BZ134" s="14">
        <f>IF([1]Sheet2!CH133=999999,"NA",[1]Sheet2!CH133)</f>
        <v>0</v>
      </c>
      <c r="CA134" s="14">
        <f>IF([1]Sheet2!CI133=999999,"NA",[1]Sheet2!CI133)</f>
        <v>0</v>
      </c>
      <c r="CB134" s="14">
        <f>IF([1]Sheet2!CJ133=999999,"NA",[1]Sheet2!CJ133)</f>
        <v>0</v>
      </c>
      <c r="CC134" s="14">
        <f>IF([1]Sheet2!CK133=999999,"NA",[1]Sheet2!CK133)</f>
        <v>0</v>
      </c>
      <c r="CD134" s="14">
        <f>[1]Sheet2!BH133</f>
        <v>0</v>
      </c>
      <c r="CE134" s="14">
        <f>[1]Sheet2!BI133</f>
        <v>0</v>
      </c>
      <c r="CF134" s="14">
        <f>[1]Sheet2!BJ133</f>
        <v>0</v>
      </c>
      <c r="CG134" s="14">
        <f>[1]Sheet2!BK133</f>
        <v>0</v>
      </c>
      <c r="CH134" s="14">
        <f>[1]Sheet2!BL133</f>
        <v>0</v>
      </c>
      <c r="CI134" s="14">
        <f>[1]Sheet2!BM133</f>
        <v>0</v>
      </c>
      <c r="CJ134" s="14">
        <f>[1]Sheet2!BN133</f>
        <v>0</v>
      </c>
      <c r="CK134" s="14">
        <f>[1]Sheet2!BO133</f>
        <v>0</v>
      </c>
      <c r="CL134" s="14">
        <f>[1]Sheet2!BP133</f>
        <v>0</v>
      </c>
      <c r="CM134" s="14">
        <f>[1]Sheet2!BQ133</f>
        <v>0</v>
      </c>
      <c r="CN134" s="16">
        <f>Demand_SW!B$7/31</f>
        <v>122.8287841191067</v>
      </c>
      <c r="CO134" s="16">
        <f>Demand_SW!C$7/31</f>
        <v>0</v>
      </c>
      <c r="CP134" s="16">
        <f>Demand_SW!D$7/31</f>
        <v>0</v>
      </c>
      <c r="CQ134" s="16">
        <f>Demand_SW!E$7/31</f>
        <v>0</v>
      </c>
      <c r="CR134" s="16">
        <f>Demand_SW!F$7/31</f>
        <v>0</v>
      </c>
      <c r="CS134" s="16">
        <f>Demand_SW!G$7/31</f>
        <v>122.8287841191067</v>
      </c>
      <c r="CT134" s="16">
        <f>Demand_SW!H$7/31</f>
        <v>0</v>
      </c>
      <c r="CU134" s="16">
        <f>Demand_SW!I$7/31</f>
        <v>0</v>
      </c>
      <c r="CV134" s="16">
        <f>Demand_SW!J$7/31</f>
        <v>0</v>
      </c>
      <c r="CW134" s="16">
        <f>Demand_SW!K$7/31</f>
        <v>0</v>
      </c>
      <c r="CX134" s="16">
        <f t="shared" si="86"/>
        <v>-12814.193548387104</v>
      </c>
      <c r="CY134" s="16">
        <f t="shared" si="87"/>
        <v>76.923076923077133</v>
      </c>
      <c r="CZ134" s="16">
        <f t="shared" si="88"/>
        <v>0</v>
      </c>
      <c r="DA134" s="16">
        <f t="shared" si="89"/>
        <v>0</v>
      </c>
      <c r="DB134" s="16">
        <f t="shared" si="90"/>
        <v>0</v>
      </c>
      <c r="DC134" s="16">
        <f t="shared" si="91"/>
        <v>-12343.424317617872</v>
      </c>
      <c r="DD134" s="16">
        <f t="shared" si="92"/>
        <v>76.923076923077133</v>
      </c>
      <c r="DE134" s="16">
        <f t="shared" si="93"/>
        <v>0</v>
      </c>
      <c r="DF134" s="16">
        <f t="shared" si="94"/>
        <v>0</v>
      </c>
      <c r="DG134" s="16">
        <f t="shared" si="95"/>
        <v>0</v>
      </c>
      <c r="DH134" s="14">
        <f>IF([1]Sheet2!DS133=999999,"NA",[1]Sheet2!DS133)</f>
        <v>0</v>
      </c>
      <c r="DI134" s="14">
        <f>IF([1]Sheet2!DT133=999999,"NA",[1]Sheet2!DT133)</f>
        <v>234</v>
      </c>
      <c r="DJ134" s="14" t="str">
        <f>IF([1]Sheet2!DU133=999999,"NA",[1]Sheet2!DU133)</f>
        <v>NA</v>
      </c>
      <c r="DK134" s="14" t="str">
        <f>IF([1]Sheet2!DV133=999999,"NA",[1]Sheet2!DV133)</f>
        <v>NA</v>
      </c>
      <c r="DL134" s="14" t="str">
        <f>IF([1]Sheet2!DW133=999999,"NA",[1]Sheet2!DW133)</f>
        <v>NA</v>
      </c>
      <c r="DM134" s="14">
        <f>IF([1]Sheet2!DX133=999999,"NA",[1]Sheet2!DX133)</f>
        <v>0</v>
      </c>
      <c r="DN134" s="14">
        <f>IF([1]Sheet2!DY133=999999,"NA",[1]Sheet2!DY133)</f>
        <v>234</v>
      </c>
      <c r="DO134" s="14" t="str">
        <f>IF([1]Sheet2!DZ133=999999,"NA",[1]Sheet2!DZ133)</f>
        <v>NA</v>
      </c>
      <c r="DP134" s="14" t="str">
        <f>IF([1]Sheet2!EA133=999999,"NA",[1]Sheet2!EA133)</f>
        <v>NA</v>
      </c>
      <c r="DQ134" s="14" t="str">
        <f>IF([1]Sheet2!EB133=999999,"NA",[1]Sheet2!EB133)</f>
        <v>NA</v>
      </c>
      <c r="DR134" s="14">
        <f>[1]Sheet2!CY133</f>
        <v>0</v>
      </c>
      <c r="DS134" s="14">
        <f>[1]Sheet2!CZ133</f>
        <v>0</v>
      </c>
      <c r="DT134" s="14">
        <f>[1]Sheet2!DA133</f>
        <v>0</v>
      </c>
      <c r="DU134" s="14">
        <f>[1]Sheet2!DB133</f>
        <v>0</v>
      </c>
      <c r="DV134" s="14">
        <f>[1]Sheet2!DC133</f>
        <v>0</v>
      </c>
      <c r="DW134" s="14">
        <f>[1]Sheet2!DD133</f>
        <v>0</v>
      </c>
      <c r="DX134" s="14">
        <f>[1]Sheet2!DE133</f>
        <v>0</v>
      </c>
      <c r="DY134" s="14">
        <f>[1]Sheet2!DF133</f>
        <v>0</v>
      </c>
      <c r="DZ134" s="14">
        <f>[1]Sheet2!DG133</f>
        <v>0</v>
      </c>
      <c r="EA134" s="14">
        <f>[1]Sheet2!DH133</f>
        <v>0</v>
      </c>
      <c r="EB134" s="6">
        <f>[1]Sheet2!EC133</f>
        <v>0</v>
      </c>
      <c r="EC134" s="6">
        <f>[1]Sheet2!ED133</f>
        <v>0</v>
      </c>
      <c r="ED134" s="6">
        <f>[1]Sheet2!EE133</f>
        <v>0</v>
      </c>
      <c r="EE134" s="6">
        <f>[1]Sheet2!EF133</f>
        <v>0</v>
      </c>
      <c r="EF134" s="6">
        <f>[1]Sheet2!EG133</f>
        <v>0</v>
      </c>
      <c r="EG134" s="6">
        <f>[1]Sheet2!EH133</f>
        <v>0</v>
      </c>
      <c r="EH134" s="6">
        <f>[1]Sheet2!EI133</f>
        <v>0</v>
      </c>
      <c r="EI134" s="6">
        <f>[1]Sheet2!EJ133</f>
        <v>0</v>
      </c>
      <c r="EJ134" s="6">
        <f>[1]Sheet2!EK133</f>
        <v>0</v>
      </c>
      <c r="EK134" s="6">
        <f>[1]Sheet2!EL133</f>
        <v>0</v>
      </c>
      <c r="EL134" s="6" t="str">
        <f>[1]Sheet2!EM133</f>
        <v/>
      </c>
      <c r="EM134" s="6" t="str">
        <f>[1]Sheet2!EN133</f>
        <v/>
      </c>
      <c r="EN134" s="6" t="str">
        <f>[1]Sheet2!EO133</f>
        <v/>
      </c>
      <c r="EO134" s="6" t="str">
        <f>[1]Sheet2!EP133</f>
        <v/>
      </c>
      <c r="EP134" s="6" t="str">
        <f>[1]Sheet2!EQ133</f>
        <v/>
      </c>
      <c r="EQ134" s="6" t="str">
        <f>[1]Sheet2!ER133</f>
        <v/>
      </c>
      <c r="ER134" s="6" t="str">
        <f>[1]Sheet2!ES133</f>
        <v/>
      </c>
      <c r="ES134" s="6" t="str">
        <f>[1]Sheet2!ET133</f>
        <v/>
      </c>
      <c r="ET134" s="6" t="str">
        <f>[1]Sheet2!EU133</f>
        <v/>
      </c>
      <c r="EU134" s="6" t="str">
        <f>[1]Sheet2!EV133</f>
        <v/>
      </c>
      <c r="EV134" s="6" t="str">
        <f>[1]Sheet2!EW133</f>
        <v/>
      </c>
      <c r="EW134" s="6" t="str">
        <f>[1]Sheet2!EX133</f>
        <v/>
      </c>
      <c r="EX134" s="6" t="str">
        <f>[1]Sheet2!EY133</f>
        <v/>
      </c>
      <c r="EY134" s="6" t="str">
        <f>[1]Sheet2!EZ133</f>
        <v/>
      </c>
      <c r="EZ134" s="6" t="str">
        <f>[1]Sheet2!FA133</f>
        <v/>
      </c>
      <c r="FA134" s="6" t="str">
        <f>[1]Sheet2!FB133</f>
        <v/>
      </c>
      <c r="FB134" s="6" t="str">
        <f>[1]Sheet2!FC133</f>
        <v/>
      </c>
      <c r="FC134" s="6" t="str">
        <f>[1]Sheet2!FD133</f>
        <v/>
      </c>
      <c r="FD134" s="6" t="str">
        <f>[1]Sheet2!FE133</f>
        <v/>
      </c>
      <c r="FE134" s="6" t="str">
        <f>[1]Sheet2!FF133</f>
        <v/>
      </c>
      <c r="FF134" s="6" t="str">
        <f>[1]Sheet2!FG133</f>
        <v/>
      </c>
      <c r="FG134" s="6" t="str">
        <f>[1]Sheet2!FH133</f>
        <v/>
      </c>
      <c r="FH134" s="6" t="str">
        <f>[1]Sheet2!FI133</f>
        <v/>
      </c>
      <c r="FI134" s="6" t="str">
        <f>[1]Sheet2!FJ133</f>
        <v/>
      </c>
      <c r="FJ134" s="6" t="str">
        <f>[1]Sheet2!FK133</f>
        <v/>
      </c>
      <c r="FK134" s="6" t="str">
        <f>[1]Sheet2!FL133</f>
        <v/>
      </c>
      <c r="FL134" s="6" t="str">
        <f>[1]Sheet2!FM133</f>
        <v/>
      </c>
      <c r="FM134" s="6" t="str">
        <f>[1]Sheet2!FN133</f>
        <v/>
      </c>
      <c r="FN134" s="6" t="str">
        <f>[1]Sheet2!FO133</f>
        <v/>
      </c>
      <c r="FO134" s="6" t="str">
        <f>[1]Sheet2!FP133</f>
        <v/>
      </c>
    </row>
    <row r="135" spans="1:171" x14ac:dyDescent="0.25">
      <c r="A135" s="15">
        <v>43597</v>
      </c>
      <c r="B135" s="1"/>
      <c r="C135" s="1"/>
      <c r="D135" s="1"/>
      <c r="E135" s="14">
        <f>[1]Sheet2!N134</f>
        <v>0</v>
      </c>
      <c r="F135" s="14">
        <f>[1]Sheet2!BE134</f>
        <v>0</v>
      </c>
      <c r="G135" s="14">
        <f>[1]Sheet2!CW134</f>
        <v>0</v>
      </c>
      <c r="H135" s="1"/>
      <c r="I135" s="1"/>
      <c r="J135" s="1"/>
      <c r="K135" s="16"/>
      <c r="L135" s="16">
        <f>Demand_CWRS!B$7/31</f>
        <v>129.8994219137717</v>
      </c>
      <c r="M135" s="16">
        <f>Demand_CWRS!C$7/31</f>
        <v>543.3829611248965</v>
      </c>
      <c r="N135" s="16">
        <f>Demand_CWRS!D$7/31</f>
        <v>0</v>
      </c>
      <c r="O135" s="16">
        <f>Demand_CWRS!E$7/31</f>
        <v>131.84491315136475</v>
      </c>
      <c r="P135" s="16">
        <f>Demand_CWRS!F$7/31</f>
        <v>232.12592522229113</v>
      </c>
      <c r="Q135" s="16">
        <f>Demand_CWRS!G$7/31</f>
        <v>129.8994219137717</v>
      </c>
      <c r="R135" s="16">
        <f>Demand_CWRS!H$7/31</f>
        <v>232.12592522229113</v>
      </c>
      <c r="S135" s="16">
        <f>Demand_CWRS!I$7/31</f>
        <v>232.12592522229113</v>
      </c>
      <c r="T135" s="16">
        <f>Demand_CWRS!J$7/31</f>
        <v>232.12592522229113</v>
      </c>
      <c r="U135" s="16">
        <f>Demand_CWRS!K$7/31</f>
        <v>232.12592522229113</v>
      </c>
      <c r="V135" s="16">
        <f t="shared" si="66"/>
        <v>-16146.626703727177</v>
      </c>
      <c r="W135" s="16">
        <f t="shared" si="67"/>
        <v>-56035.731430934517</v>
      </c>
      <c r="X135" s="16">
        <f t="shared" si="68"/>
        <v>0</v>
      </c>
      <c r="Y135" s="16">
        <f t="shared" si="69"/>
        <v>-6330.7744819968248</v>
      </c>
      <c r="Z135" s="16">
        <f t="shared" si="70"/>
        <v>-25295.892361339596</v>
      </c>
      <c r="AA135" s="16">
        <f t="shared" si="71"/>
        <v>-14820.853554688743</v>
      </c>
      <c r="AB135" s="16">
        <f t="shared" si="72"/>
        <v>-29776.936031211415</v>
      </c>
      <c r="AC135" s="16">
        <f t="shared" si="73"/>
        <v>-23983.925774801137</v>
      </c>
      <c r="AD135" s="16">
        <f t="shared" si="74"/>
        <v>-24083.92577480113</v>
      </c>
      <c r="AE135" s="16">
        <f t="shared" si="75"/>
        <v>-24683.925774801133</v>
      </c>
      <c r="AF135" s="14">
        <f>IF([1]Sheet2!AJ134=999999,"NA",[1]Sheet2!AJ134)</f>
        <v>0</v>
      </c>
      <c r="AG135" s="14">
        <f>IF([1]Sheet2!AK134=999999,"NA",[1]Sheet2!AK134)</f>
        <v>0</v>
      </c>
      <c r="AH135" s="14" t="str">
        <f>IF([1]Sheet2!AL134=999999,"NA",[1]Sheet2!AL134)</f>
        <v>NA</v>
      </c>
      <c r="AI135" s="14">
        <f>IF([1]Sheet2!AM134=999999,"NA",[1]Sheet2!AM134)</f>
        <v>0</v>
      </c>
      <c r="AJ135" s="14">
        <f>IF([1]Sheet2!AN134=999999,"NA",[1]Sheet2!AN134)</f>
        <v>0</v>
      </c>
      <c r="AK135" s="14">
        <f>IF([1]Sheet2!AO134=999999,"NA",[1]Sheet2!AO134)</f>
        <v>0</v>
      </c>
      <c r="AL135" s="14">
        <f>IF([1]Sheet2!AP134=999999,"NA",[1]Sheet2!AP134)</f>
        <v>0</v>
      </c>
      <c r="AM135" s="14">
        <f>IF([1]Sheet2!AQ134=999999,"NA",[1]Sheet2!AQ134)</f>
        <v>0</v>
      </c>
      <c r="AN135" s="14">
        <f>IF([1]Sheet2!AR134=999999,"NA",[1]Sheet2!AR134)</f>
        <v>0</v>
      </c>
      <c r="AO135" s="14">
        <f>IF([1]Sheet2!AS134=999999,"NA",[1]Sheet2!AS134)</f>
        <v>0</v>
      </c>
      <c r="AP135" s="14">
        <f>[1]Sheet2!P134</f>
        <v>0</v>
      </c>
      <c r="AQ135" s="14">
        <f>[1]Sheet2!Q134</f>
        <v>0</v>
      </c>
      <c r="AR135" s="14">
        <f>[1]Sheet2!R134</f>
        <v>0</v>
      </c>
      <c r="AS135" s="14">
        <f>[1]Sheet2!S134</f>
        <v>0</v>
      </c>
      <c r="AT135" s="14">
        <f>[1]Sheet2!T134</f>
        <v>0</v>
      </c>
      <c r="AU135" s="14">
        <f>[1]Sheet2!U134</f>
        <v>0</v>
      </c>
      <c r="AV135" s="14">
        <f>[1]Sheet2!V134</f>
        <v>0</v>
      </c>
      <c r="AW135" s="14">
        <f>[1]Sheet2!W134</f>
        <v>0</v>
      </c>
      <c r="AX135" s="14">
        <f>[1]Sheet2!X134</f>
        <v>0</v>
      </c>
      <c r="AY135" s="14">
        <f>[1]Sheet2!Y134</f>
        <v>0</v>
      </c>
      <c r="AZ135" s="16">
        <f>Demand_LP!B$7/31</f>
        <v>855.82964911600493</v>
      </c>
      <c r="BA135" s="16">
        <f>Demand_LP!C$7/31</f>
        <v>478.74276261373035</v>
      </c>
      <c r="BB135" s="16">
        <f>Demand_LP!D$7/31</f>
        <v>366.03598014888337</v>
      </c>
      <c r="BC135" s="16">
        <f>Demand_LP!E$7/31</f>
        <v>837.96277915632766</v>
      </c>
      <c r="BD135" s="16">
        <f>Demand_LP!F$7/31</f>
        <v>447.19049589019846</v>
      </c>
      <c r="BE135" s="16">
        <f>Demand_LP!G$7/31</f>
        <v>447.19049589019846</v>
      </c>
      <c r="BF135" s="16">
        <f>Demand_LP!H$7/31</f>
        <v>478.74276261373035</v>
      </c>
      <c r="BG135" s="16">
        <f>Demand_LP!I$7/31</f>
        <v>447.19049589019846</v>
      </c>
      <c r="BH135" s="16">
        <f>Demand_LP!J$7/31</f>
        <v>447.19049589019846</v>
      </c>
      <c r="BI135" s="16">
        <f>Demand_LP!K$7/31</f>
        <v>447.19049589019846</v>
      </c>
      <c r="BJ135" s="16">
        <f t="shared" si="76"/>
        <v>-85690.464240280562</v>
      </c>
      <c r="BK135" s="16">
        <f t="shared" si="77"/>
        <v>-75855.366997518548</v>
      </c>
      <c r="BL135" s="16">
        <f t="shared" si="78"/>
        <v>-29565.435607940515</v>
      </c>
      <c r="BM135" s="16">
        <f t="shared" si="79"/>
        <v>-90726.52384646784</v>
      </c>
      <c r="BN135" s="16">
        <f t="shared" si="80"/>
        <v>-52984.271082792504</v>
      </c>
      <c r="BO135" s="16">
        <f t="shared" si="81"/>
        <v>-51441.955001163216</v>
      </c>
      <c r="BP135" s="16">
        <f t="shared" si="82"/>
        <v>-70212.946484698055</v>
      </c>
      <c r="BQ135" s="16">
        <f t="shared" si="83"/>
        <v>-51441.955001163216</v>
      </c>
      <c r="BR135" s="16">
        <f t="shared" si="84"/>
        <v>-49041.955001163216</v>
      </c>
      <c r="BS135" s="16">
        <f t="shared" si="85"/>
        <v>-49741.955001163209</v>
      </c>
      <c r="BT135" s="14">
        <f>IF([1]Sheet2!CB134=999999,"NA",[1]Sheet2!CB134)</f>
        <v>0</v>
      </c>
      <c r="BU135" s="14">
        <f>IF([1]Sheet2!CC134=999999,"NA",[1]Sheet2!CC134)</f>
        <v>0</v>
      </c>
      <c r="BV135" s="14">
        <f>IF([1]Sheet2!CD134=999999,"NA",[1]Sheet2!CD134)</f>
        <v>0</v>
      </c>
      <c r="BW135" s="14">
        <f>IF([1]Sheet2!CE134=999999,"NA",[1]Sheet2!CE134)</f>
        <v>0</v>
      </c>
      <c r="BX135" s="14">
        <f>IF([1]Sheet2!CF134=999999,"NA",[1]Sheet2!CF134)</f>
        <v>0</v>
      </c>
      <c r="BY135" s="14">
        <f>IF([1]Sheet2!CG134=999999,"NA",[1]Sheet2!CG134)</f>
        <v>0</v>
      </c>
      <c r="BZ135" s="14">
        <f>IF([1]Sheet2!CH134=999999,"NA",[1]Sheet2!CH134)</f>
        <v>0</v>
      </c>
      <c r="CA135" s="14">
        <f>IF([1]Sheet2!CI134=999999,"NA",[1]Sheet2!CI134)</f>
        <v>0</v>
      </c>
      <c r="CB135" s="14">
        <f>IF([1]Sheet2!CJ134=999999,"NA",[1]Sheet2!CJ134)</f>
        <v>0</v>
      </c>
      <c r="CC135" s="14">
        <f>IF([1]Sheet2!CK134=999999,"NA",[1]Sheet2!CK134)</f>
        <v>0</v>
      </c>
      <c r="CD135" s="14">
        <f>[1]Sheet2!BH134</f>
        <v>0</v>
      </c>
      <c r="CE135" s="14">
        <f>[1]Sheet2!BI134</f>
        <v>0</v>
      </c>
      <c r="CF135" s="14">
        <f>[1]Sheet2!BJ134</f>
        <v>0</v>
      </c>
      <c r="CG135" s="14">
        <f>[1]Sheet2!BK134</f>
        <v>0</v>
      </c>
      <c r="CH135" s="14">
        <f>[1]Sheet2!BL134</f>
        <v>0</v>
      </c>
      <c r="CI135" s="14">
        <f>[1]Sheet2!BM134</f>
        <v>0</v>
      </c>
      <c r="CJ135" s="14">
        <f>[1]Sheet2!BN134</f>
        <v>0</v>
      </c>
      <c r="CK135" s="14">
        <f>[1]Sheet2!BO134</f>
        <v>0</v>
      </c>
      <c r="CL135" s="14">
        <f>[1]Sheet2!BP134</f>
        <v>0</v>
      </c>
      <c r="CM135" s="14">
        <f>[1]Sheet2!BQ134</f>
        <v>0</v>
      </c>
      <c r="CN135" s="16">
        <f>Demand_SW!B$7/31</f>
        <v>122.8287841191067</v>
      </c>
      <c r="CO135" s="16">
        <f>Demand_SW!C$7/31</f>
        <v>0</v>
      </c>
      <c r="CP135" s="16">
        <f>Demand_SW!D$7/31</f>
        <v>0</v>
      </c>
      <c r="CQ135" s="16">
        <f>Demand_SW!E$7/31</f>
        <v>0</v>
      </c>
      <c r="CR135" s="16">
        <f>Demand_SW!F$7/31</f>
        <v>0</v>
      </c>
      <c r="CS135" s="16">
        <f>Demand_SW!G$7/31</f>
        <v>122.8287841191067</v>
      </c>
      <c r="CT135" s="16">
        <f>Demand_SW!H$7/31</f>
        <v>0</v>
      </c>
      <c r="CU135" s="16">
        <f>Demand_SW!I$7/31</f>
        <v>0</v>
      </c>
      <c r="CV135" s="16">
        <f>Demand_SW!J$7/31</f>
        <v>0</v>
      </c>
      <c r="CW135" s="16">
        <f>Demand_SW!K$7/31</f>
        <v>0</v>
      </c>
      <c r="CX135" s="16">
        <f t="shared" si="86"/>
        <v>-12937.022332506211</v>
      </c>
      <c r="CY135" s="16">
        <f t="shared" si="87"/>
        <v>76.923076923077133</v>
      </c>
      <c r="CZ135" s="16">
        <f t="shared" si="88"/>
        <v>0</v>
      </c>
      <c r="DA135" s="16">
        <f t="shared" si="89"/>
        <v>0</v>
      </c>
      <c r="DB135" s="16">
        <f t="shared" si="90"/>
        <v>0</v>
      </c>
      <c r="DC135" s="16">
        <f t="shared" si="91"/>
        <v>-12466.253101736978</v>
      </c>
      <c r="DD135" s="16">
        <f t="shared" si="92"/>
        <v>76.923076923077133</v>
      </c>
      <c r="DE135" s="16">
        <f t="shared" si="93"/>
        <v>0</v>
      </c>
      <c r="DF135" s="16">
        <f t="shared" si="94"/>
        <v>0</v>
      </c>
      <c r="DG135" s="16">
        <f t="shared" si="95"/>
        <v>0</v>
      </c>
      <c r="DH135" s="14">
        <f>IF([1]Sheet2!DS134=999999,"NA",[1]Sheet2!DS134)</f>
        <v>0</v>
      </c>
      <c r="DI135" s="14">
        <f>IF([1]Sheet2!DT134=999999,"NA",[1]Sheet2!DT134)</f>
        <v>233</v>
      </c>
      <c r="DJ135" s="14" t="str">
        <f>IF([1]Sheet2!DU134=999999,"NA",[1]Sheet2!DU134)</f>
        <v>NA</v>
      </c>
      <c r="DK135" s="14" t="str">
        <f>IF([1]Sheet2!DV134=999999,"NA",[1]Sheet2!DV134)</f>
        <v>NA</v>
      </c>
      <c r="DL135" s="14" t="str">
        <f>IF([1]Sheet2!DW134=999999,"NA",[1]Sheet2!DW134)</f>
        <v>NA</v>
      </c>
      <c r="DM135" s="14">
        <f>IF([1]Sheet2!DX134=999999,"NA",[1]Sheet2!DX134)</f>
        <v>0</v>
      </c>
      <c r="DN135" s="14">
        <f>IF([1]Sheet2!DY134=999999,"NA",[1]Sheet2!DY134)</f>
        <v>233</v>
      </c>
      <c r="DO135" s="14" t="str">
        <f>IF([1]Sheet2!DZ134=999999,"NA",[1]Sheet2!DZ134)</f>
        <v>NA</v>
      </c>
      <c r="DP135" s="14" t="str">
        <f>IF([1]Sheet2!EA134=999999,"NA",[1]Sheet2!EA134)</f>
        <v>NA</v>
      </c>
      <c r="DQ135" s="14" t="str">
        <f>IF([1]Sheet2!EB134=999999,"NA",[1]Sheet2!EB134)</f>
        <v>NA</v>
      </c>
      <c r="DR135" s="14">
        <f>[1]Sheet2!CY134</f>
        <v>0</v>
      </c>
      <c r="DS135" s="14">
        <f>[1]Sheet2!CZ134</f>
        <v>0</v>
      </c>
      <c r="DT135" s="14">
        <f>[1]Sheet2!DA134</f>
        <v>0</v>
      </c>
      <c r="DU135" s="14">
        <f>[1]Sheet2!DB134</f>
        <v>0</v>
      </c>
      <c r="DV135" s="14">
        <f>[1]Sheet2!DC134</f>
        <v>0</v>
      </c>
      <c r="DW135" s="14">
        <f>[1]Sheet2!DD134</f>
        <v>0</v>
      </c>
      <c r="DX135" s="14">
        <f>[1]Sheet2!DE134</f>
        <v>0</v>
      </c>
      <c r="DY135" s="14">
        <f>[1]Sheet2!DF134</f>
        <v>0</v>
      </c>
      <c r="DZ135" s="14">
        <f>[1]Sheet2!DG134</f>
        <v>0</v>
      </c>
      <c r="EA135" s="14">
        <f>[1]Sheet2!DH134</f>
        <v>0</v>
      </c>
      <c r="EB135" s="6">
        <f>[1]Sheet2!EC134</f>
        <v>0</v>
      </c>
      <c r="EC135" s="6">
        <f>[1]Sheet2!ED134</f>
        <v>0</v>
      </c>
      <c r="ED135" s="6">
        <f>[1]Sheet2!EE134</f>
        <v>0</v>
      </c>
      <c r="EE135" s="6">
        <f>[1]Sheet2!EF134</f>
        <v>0</v>
      </c>
      <c r="EF135" s="6">
        <f>[1]Sheet2!EG134</f>
        <v>0</v>
      </c>
      <c r="EG135" s="6">
        <f>[1]Sheet2!EH134</f>
        <v>0</v>
      </c>
      <c r="EH135" s="6">
        <f>[1]Sheet2!EI134</f>
        <v>0</v>
      </c>
      <c r="EI135" s="6">
        <f>[1]Sheet2!EJ134</f>
        <v>0</v>
      </c>
      <c r="EJ135" s="6">
        <f>[1]Sheet2!EK134</f>
        <v>0</v>
      </c>
      <c r="EK135" s="6">
        <f>[1]Sheet2!EL134</f>
        <v>0</v>
      </c>
      <c r="EL135" s="6" t="str">
        <f>[1]Sheet2!EM134</f>
        <v/>
      </c>
      <c r="EM135" s="6" t="str">
        <f>[1]Sheet2!EN134</f>
        <v/>
      </c>
      <c r="EN135" s="6" t="str">
        <f>[1]Sheet2!EO134</f>
        <v/>
      </c>
      <c r="EO135" s="6" t="str">
        <f>[1]Sheet2!EP134</f>
        <v/>
      </c>
      <c r="EP135" s="6" t="str">
        <f>[1]Sheet2!EQ134</f>
        <v/>
      </c>
      <c r="EQ135" s="6" t="str">
        <f>[1]Sheet2!ER134</f>
        <v/>
      </c>
      <c r="ER135" s="6" t="str">
        <f>[1]Sheet2!ES134</f>
        <v/>
      </c>
      <c r="ES135" s="6" t="str">
        <f>[1]Sheet2!ET134</f>
        <v/>
      </c>
      <c r="ET135" s="6" t="str">
        <f>[1]Sheet2!EU134</f>
        <v/>
      </c>
      <c r="EU135" s="6" t="str">
        <f>[1]Sheet2!EV134</f>
        <v/>
      </c>
      <c r="EV135" s="6" t="str">
        <f>[1]Sheet2!EW134</f>
        <v/>
      </c>
      <c r="EW135" s="6" t="str">
        <f>[1]Sheet2!EX134</f>
        <v/>
      </c>
      <c r="EX135" s="6" t="str">
        <f>[1]Sheet2!EY134</f>
        <v/>
      </c>
      <c r="EY135" s="6" t="str">
        <f>[1]Sheet2!EZ134</f>
        <v/>
      </c>
      <c r="EZ135" s="6" t="str">
        <f>[1]Sheet2!FA134</f>
        <v/>
      </c>
      <c r="FA135" s="6" t="str">
        <f>[1]Sheet2!FB134</f>
        <v/>
      </c>
      <c r="FB135" s="6" t="str">
        <f>[1]Sheet2!FC134</f>
        <v/>
      </c>
      <c r="FC135" s="6" t="str">
        <f>[1]Sheet2!FD134</f>
        <v/>
      </c>
      <c r="FD135" s="6" t="str">
        <f>[1]Sheet2!FE134</f>
        <v/>
      </c>
      <c r="FE135" s="6" t="str">
        <f>[1]Sheet2!FF134</f>
        <v/>
      </c>
      <c r="FF135" s="6" t="str">
        <f>[1]Sheet2!FG134</f>
        <v/>
      </c>
      <c r="FG135" s="6" t="str">
        <f>[1]Sheet2!FH134</f>
        <v/>
      </c>
      <c r="FH135" s="6" t="str">
        <f>[1]Sheet2!FI134</f>
        <v/>
      </c>
      <c r="FI135" s="6" t="str">
        <f>[1]Sheet2!FJ134</f>
        <v/>
      </c>
      <c r="FJ135" s="6" t="str">
        <f>[1]Sheet2!FK134</f>
        <v/>
      </c>
      <c r="FK135" s="6" t="str">
        <f>[1]Sheet2!FL134</f>
        <v/>
      </c>
      <c r="FL135" s="6" t="str">
        <f>[1]Sheet2!FM134</f>
        <v/>
      </c>
      <c r="FM135" s="6" t="str">
        <f>[1]Sheet2!FN134</f>
        <v/>
      </c>
      <c r="FN135" s="6" t="str">
        <f>[1]Sheet2!FO134</f>
        <v/>
      </c>
      <c r="FO135" s="6" t="str">
        <f>[1]Sheet2!FP134</f>
        <v/>
      </c>
    </row>
    <row r="136" spans="1:171" x14ac:dyDescent="0.25">
      <c r="A136" s="15">
        <v>43598</v>
      </c>
      <c r="B136" s="1"/>
      <c r="C136" s="1"/>
      <c r="D136" s="1"/>
      <c r="E136" s="14">
        <f>[1]Sheet2!N135</f>
        <v>0</v>
      </c>
      <c r="F136" s="14">
        <f>[1]Sheet2!BE135</f>
        <v>0</v>
      </c>
      <c r="G136" s="14">
        <f>[1]Sheet2!CW135</f>
        <v>0</v>
      </c>
      <c r="H136" s="1"/>
      <c r="I136" s="1"/>
      <c r="J136" s="1"/>
      <c r="K136" s="16"/>
      <c r="L136" s="16">
        <f>Demand_CWRS!B$7/31</f>
        <v>129.8994219137717</v>
      </c>
      <c r="M136" s="16">
        <f>Demand_CWRS!C$7/31</f>
        <v>543.3829611248965</v>
      </c>
      <c r="N136" s="16">
        <f>Demand_CWRS!D$7/31</f>
        <v>0</v>
      </c>
      <c r="O136" s="16">
        <f>Demand_CWRS!E$7/31</f>
        <v>131.84491315136475</v>
      </c>
      <c r="P136" s="16">
        <f>Demand_CWRS!F$7/31</f>
        <v>232.12592522229113</v>
      </c>
      <c r="Q136" s="16">
        <f>Demand_CWRS!G$7/31</f>
        <v>129.8994219137717</v>
      </c>
      <c r="R136" s="16">
        <f>Demand_CWRS!H$7/31</f>
        <v>232.12592522229113</v>
      </c>
      <c r="S136" s="16">
        <f>Demand_CWRS!I$7/31</f>
        <v>232.12592522229113</v>
      </c>
      <c r="T136" s="16">
        <f>Demand_CWRS!J$7/31</f>
        <v>232.12592522229113</v>
      </c>
      <c r="U136" s="16">
        <f>Demand_CWRS!K$7/31</f>
        <v>232.12592522229113</v>
      </c>
      <c r="V136" s="16">
        <f t="shared" si="66"/>
        <v>-16276.526125640949</v>
      </c>
      <c r="W136" s="16">
        <f t="shared" si="67"/>
        <v>-56579.114392059411</v>
      </c>
      <c r="X136" s="16">
        <f t="shared" si="68"/>
        <v>0</v>
      </c>
      <c r="Y136" s="16">
        <f t="shared" si="69"/>
        <v>-6462.6193951481891</v>
      </c>
      <c r="Z136" s="16">
        <f t="shared" si="70"/>
        <v>-25528.018286561888</v>
      </c>
      <c r="AA136" s="16">
        <f t="shared" si="71"/>
        <v>-14950.752976602515</v>
      </c>
      <c r="AB136" s="16">
        <f t="shared" si="72"/>
        <v>-30009.061956433707</v>
      </c>
      <c r="AC136" s="16">
        <f t="shared" si="73"/>
        <v>-24216.051700023429</v>
      </c>
      <c r="AD136" s="16">
        <f t="shared" si="74"/>
        <v>-24316.051700023421</v>
      </c>
      <c r="AE136" s="16">
        <f t="shared" si="75"/>
        <v>-24916.051700023425</v>
      </c>
      <c r="AF136" s="14">
        <f>IF([1]Sheet2!AJ135=999999,"NA",[1]Sheet2!AJ135)</f>
        <v>0</v>
      </c>
      <c r="AG136" s="14">
        <f>IF([1]Sheet2!AK135=999999,"NA",[1]Sheet2!AK135)</f>
        <v>0</v>
      </c>
      <c r="AH136" s="14" t="str">
        <f>IF([1]Sheet2!AL135=999999,"NA",[1]Sheet2!AL135)</f>
        <v>NA</v>
      </c>
      <c r="AI136" s="14">
        <f>IF([1]Sheet2!AM135=999999,"NA",[1]Sheet2!AM135)</f>
        <v>0</v>
      </c>
      <c r="AJ136" s="14">
        <f>IF([1]Sheet2!AN135=999999,"NA",[1]Sheet2!AN135)</f>
        <v>0</v>
      </c>
      <c r="AK136" s="14">
        <f>IF([1]Sheet2!AO135=999999,"NA",[1]Sheet2!AO135)</f>
        <v>0</v>
      </c>
      <c r="AL136" s="14">
        <f>IF([1]Sheet2!AP135=999999,"NA",[1]Sheet2!AP135)</f>
        <v>0</v>
      </c>
      <c r="AM136" s="14">
        <f>IF([1]Sheet2!AQ135=999999,"NA",[1]Sheet2!AQ135)</f>
        <v>0</v>
      </c>
      <c r="AN136" s="14">
        <f>IF([1]Sheet2!AR135=999999,"NA",[1]Sheet2!AR135)</f>
        <v>0</v>
      </c>
      <c r="AO136" s="14">
        <f>IF([1]Sheet2!AS135=999999,"NA",[1]Sheet2!AS135)</f>
        <v>0</v>
      </c>
      <c r="AP136" s="14">
        <f>[1]Sheet2!P135</f>
        <v>0</v>
      </c>
      <c r="AQ136" s="14">
        <f>[1]Sheet2!Q135</f>
        <v>0</v>
      </c>
      <c r="AR136" s="14">
        <f>[1]Sheet2!R135</f>
        <v>0</v>
      </c>
      <c r="AS136" s="14">
        <f>[1]Sheet2!S135</f>
        <v>0</v>
      </c>
      <c r="AT136" s="14">
        <f>[1]Sheet2!T135</f>
        <v>0</v>
      </c>
      <c r="AU136" s="14">
        <f>[1]Sheet2!U135</f>
        <v>0</v>
      </c>
      <c r="AV136" s="14">
        <f>[1]Sheet2!V135</f>
        <v>0</v>
      </c>
      <c r="AW136" s="14">
        <f>[1]Sheet2!W135</f>
        <v>0</v>
      </c>
      <c r="AX136" s="14">
        <f>[1]Sheet2!X135</f>
        <v>0</v>
      </c>
      <c r="AY136" s="14">
        <f>[1]Sheet2!Y135</f>
        <v>0</v>
      </c>
      <c r="AZ136" s="16">
        <f>Demand_LP!B$7/31</f>
        <v>855.82964911600493</v>
      </c>
      <c r="BA136" s="16">
        <f>Demand_LP!C$7/31</f>
        <v>478.74276261373035</v>
      </c>
      <c r="BB136" s="16">
        <f>Demand_LP!D$7/31</f>
        <v>366.03598014888337</v>
      </c>
      <c r="BC136" s="16">
        <f>Demand_LP!E$7/31</f>
        <v>837.96277915632766</v>
      </c>
      <c r="BD136" s="16">
        <f>Demand_LP!F$7/31</f>
        <v>447.19049589019846</v>
      </c>
      <c r="BE136" s="16">
        <f>Demand_LP!G$7/31</f>
        <v>447.19049589019846</v>
      </c>
      <c r="BF136" s="16">
        <f>Demand_LP!H$7/31</f>
        <v>478.74276261373035</v>
      </c>
      <c r="BG136" s="16">
        <f>Demand_LP!I$7/31</f>
        <v>447.19049589019846</v>
      </c>
      <c r="BH136" s="16">
        <f>Demand_LP!J$7/31</f>
        <v>447.19049589019846</v>
      </c>
      <c r="BI136" s="16">
        <f>Demand_LP!K$7/31</f>
        <v>447.19049589019846</v>
      </c>
      <c r="BJ136" s="16">
        <f t="shared" si="76"/>
        <v>-86546.293889396562</v>
      </c>
      <c r="BK136" s="16">
        <f t="shared" si="77"/>
        <v>-76334.109760132284</v>
      </c>
      <c r="BL136" s="16">
        <f t="shared" si="78"/>
        <v>-29931.4715880894</v>
      </c>
      <c r="BM136" s="16">
        <f t="shared" si="79"/>
        <v>-91564.486625624166</v>
      </c>
      <c r="BN136" s="16">
        <f t="shared" si="80"/>
        <v>-53431.461578682705</v>
      </c>
      <c r="BO136" s="16">
        <f t="shared" si="81"/>
        <v>-51889.145497053418</v>
      </c>
      <c r="BP136" s="16">
        <f t="shared" si="82"/>
        <v>-70691.689247311791</v>
      </c>
      <c r="BQ136" s="16">
        <f t="shared" si="83"/>
        <v>-51889.145497053418</v>
      </c>
      <c r="BR136" s="16">
        <f t="shared" si="84"/>
        <v>-49489.145497053418</v>
      </c>
      <c r="BS136" s="16">
        <f t="shared" si="85"/>
        <v>-50189.145497053411</v>
      </c>
      <c r="BT136" s="14">
        <f>IF([1]Sheet2!CB135=999999,"NA",[1]Sheet2!CB135)</f>
        <v>0</v>
      </c>
      <c r="BU136" s="14">
        <f>IF([1]Sheet2!CC135=999999,"NA",[1]Sheet2!CC135)</f>
        <v>0</v>
      </c>
      <c r="BV136" s="14">
        <f>IF([1]Sheet2!CD135=999999,"NA",[1]Sheet2!CD135)</f>
        <v>0</v>
      </c>
      <c r="BW136" s="14">
        <f>IF([1]Sheet2!CE135=999999,"NA",[1]Sheet2!CE135)</f>
        <v>0</v>
      </c>
      <c r="BX136" s="14">
        <f>IF([1]Sheet2!CF135=999999,"NA",[1]Sheet2!CF135)</f>
        <v>0</v>
      </c>
      <c r="BY136" s="14">
        <f>IF([1]Sheet2!CG135=999999,"NA",[1]Sheet2!CG135)</f>
        <v>0</v>
      </c>
      <c r="BZ136" s="14">
        <f>IF([1]Sheet2!CH135=999999,"NA",[1]Sheet2!CH135)</f>
        <v>0</v>
      </c>
      <c r="CA136" s="14">
        <f>IF([1]Sheet2!CI135=999999,"NA",[1]Sheet2!CI135)</f>
        <v>0</v>
      </c>
      <c r="CB136" s="14">
        <f>IF([1]Sheet2!CJ135=999999,"NA",[1]Sheet2!CJ135)</f>
        <v>0</v>
      </c>
      <c r="CC136" s="14">
        <f>IF([1]Sheet2!CK135=999999,"NA",[1]Sheet2!CK135)</f>
        <v>0</v>
      </c>
      <c r="CD136" s="14">
        <f>[1]Sheet2!BH135</f>
        <v>0</v>
      </c>
      <c r="CE136" s="14">
        <f>[1]Sheet2!BI135</f>
        <v>0</v>
      </c>
      <c r="CF136" s="14">
        <f>[1]Sheet2!BJ135</f>
        <v>0</v>
      </c>
      <c r="CG136" s="14">
        <f>[1]Sheet2!BK135</f>
        <v>0</v>
      </c>
      <c r="CH136" s="14">
        <f>[1]Sheet2!BL135</f>
        <v>0</v>
      </c>
      <c r="CI136" s="14">
        <f>[1]Sheet2!BM135</f>
        <v>0</v>
      </c>
      <c r="CJ136" s="14">
        <f>[1]Sheet2!BN135</f>
        <v>0</v>
      </c>
      <c r="CK136" s="14">
        <f>[1]Sheet2!BO135</f>
        <v>0</v>
      </c>
      <c r="CL136" s="14">
        <f>[1]Sheet2!BP135</f>
        <v>0</v>
      </c>
      <c r="CM136" s="14">
        <f>[1]Sheet2!BQ135</f>
        <v>0</v>
      </c>
      <c r="CN136" s="16">
        <f>Demand_SW!B$7/31</f>
        <v>122.8287841191067</v>
      </c>
      <c r="CO136" s="16">
        <f>Demand_SW!C$7/31</f>
        <v>0</v>
      </c>
      <c r="CP136" s="16">
        <f>Demand_SW!D$7/31</f>
        <v>0</v>
      </c>
      <c r="CQ136" s="16">
        <f>Demand_SW!E$7/31</f>
        <v>0</v>
      </c>
      <c r="CR136" s="16">
        <f>Demand_SW!F$7/31</f>
        <v>0</v>
      </c>
      <c r="CS136" s="16">
        <f>Demand_SW!G$7/31</f>
        <v>122.8287841191067</v>
      </c>
      <c r="CT136" s="16">
        <f>Demand_SW!H$7/31</f>
        <v>0</v>
      </c>
      <c r="CU136" s="16">
        <f>Demand_SW!I$7/31</f>
        <v>0</v>
      </c>
      <c r="CV136" s="16">
        <f>Demand_SW!J$7/31</f>
        <v>0</v>
      </c>
      <c r="CW136" s="16">
        <f>Demand_SW!K$7/31</f>
        <v>0</v>
      </c>
      <c r="CX136" s="16">
        <f t="shared" si="86"/>
        <v>-13059.851116625317</v>
      </c>
      <c r="CY136" s="16">
        <f t="shared" si="87"/>
        <v>76.923076923077133</v>
      </c>
      <c r="CZ136" s="16">
        <f t="shared" si="88"/>
        <v>0</v>
      </c>
      <c r="DA136" s="16">
        <f t="shared" si="89"/>
        <v>0</v>
      </c>
      <c r="DB136" s="16">
        <f t="shared" si="90"/>
        <v>0</v>
      </c>
      <c r="DC136" s="16">
        <f t="shared" si="91"/>
        <v>-12589.081885856085</v>
      </c>
      <c r="DD136" s="16">
        <f t="shared" si="92"/>
        <v>76.923076923077133</v>
      </c>
      <c r="DE136" s="16">
        <f t="shared" si="93"/>
        <v>0</v>
      </c>
      <c r="DF136" s="16">
        <f t="shared" si="94"/>
        <v>0</v>
      </c>
      <c r="DG136" s="16">
        <f t="shared" si="95"/>
        <v>0</v>
      </c>
      <c r="DH136" s="14">
        <f>IF([1]Sheet2!DS135=999999,"NA",[1]Sheet2!DS135)</f>
        <v>0</v>
      </c>
      <c r="DI136" s="14">
        <f>IF([1]Sheet2!DT135=999999,"NA",[1]Sheet2!DT135)</f>
        <v>232</v>
      </c>
      <c r="DJ136" s="14" t="str">
        <f>IF([1]Sheet2!DU135=999999,"NA",[1]Sheet2!DU135)</f>
        <v>NA</v>
      </c>
      <c r="DK136" s="14" t="str">
        <f>IF([1]Sheet2!DV135=999999,"NA",[1]Sheet2!DV135)</f>
        <v>NA</v>
      </c>
      <c r="DL136" s="14" t="str">
        <f>IF([1]Sheet2!DW135=999999,"NA",[1]Sheet2!DW135)</f>
        <v>NA</v>
      </c>
      <c r="DM136" s="14">
        <f>IF([1]Sheet2!DX135=999999,"NA",[1]Sheet2!DX135)</f>
        <v>0</v>
      </c>
      <c r="DN136" s="14">
        <f>IF([1]Sheet2!DY135=999999,"NA",[1]Sheet2!DY135)</f>
        <v>232</v>
      </c>
      <c r="DO136" s="14" t="str">
        <f>IF([1]Sheet2!DZ135=999999,"NA",[1]Sheet2!DZ135)</f>
        <v>NA</v>
      </c>
      <c r="DP136" s="14" t="str">
        <f>IF([1]Sheet2!EA135=999999,"NA",[1]Sheet2!EA135)</f>
        <v>NA</v>
      </c>
      <c r="DQ136" s="14" t="str">
        <f>IF([1]Sheet2!EB135=999999,"NA",[1]Sheet2!EB135)</f>
        <v>NA</v>
      </c>
      <c r="DR136" s="14">
        <f>[1]Sheet2!CY135</f>
        <v>0</v>
      </c>
      <c r="DS136" s="14">
        <f>[1]Sheet2!CZ135</f>
        <v>0</v>
      </c>
      <c r="DT136" s="14">
        <f>[1]Sheet2!DA135</f>
        <v>0</v>
      </c>
      <c r="DU136" s="14">
        <f>[1]Sheet2!DB135</f>
        <v>0</v>
      </c>
      <c r="DV136" s="14">
        <f>[1]Sheet2!DC135</f>
        <v>0</v>
      </c>
      <c r="DW136" s="14">
        <f>[1]Sheet2!DD135</f>
        <v>0</v>
      </c>
      <c r="DX136" s="14">
        <f>[1]Sheet2!DE135</f>
        <v>0</v>
      </c>
      <c r="DY136" s="14">
        <f>[1]Sheet2!DF135</f>
        <v>0</v>
      </c>
      <c r="DZ136" s="14">
        <f>[1]Sheet2!DG135</f>
        <v>0</v>
      </c>
      <c r="EA136" s="14">
        <f>[1]Sheet2!DH135</f>
        <v>0</v>
      </c>
      <c r="EB136" s="6">
        <f>[1]Sheet2!EC135</f>
        <v>0</v>
      </c>
      <c r="EC136" s="6">
        <f>[1]Sheet2!ED135</f>
        <v>0</v>
      </c>
      <c r="ED136" s="6">
        <f>[1]Sheet2!EE135</f>
        <v>0</v>
      </c>
      <c r="EE136" s="6">
        <f>[1]Sheet2!EF135</f>
        <v>0</v>
      </c>
      <c r="EF136" s="6">
        <f>[1]Sheet2!EG135</f>
        <v>0</v>
      </c>
      <c r="EG136" s="6">
        <f>[1]Sheet2!EH135</f>
        <v>0</v>
      </c>
      <c r="EH136" s="6">
        <f>[1]Sheet2!EI135</f>
        <v>0</v>
      </c>
      <c r="EI136" s="6">
        <f>[1]Sheet2!EJ135</f>
        <v>0</v>
      </c>
      <c r="EJ136" s="6">
        <f>[1]Sheet2!EK135</f>
        <v>0</v>
      </c>
      <c r="EK136" s="6">
        <f>[1]Sheet2!EL135</f>
        <v>0</v>
      </c>
      <c r="EL136" s="6" t="str">
        <f>[1]Sheet2!EM135</f>
        <v/>
      </c>
      <c r="EM136" s="6" t="str">
        <f>[1]Sheet2!EN135</f>
        <v/>
      </c>
      <c r="EN136" s="6" t="str">
        <f>[1]Sheet2!EO135</f>
        <v/>
      </c>
      <c r="EO136" s="6" t="str">
        <f>[1]Sheet2!EP135</f>
        <v/>
      </c>
      <c r="EP136" s="6" t="str">
        <f>[1]Sheet2!EQ135</f>
        <v/>
      </c>
      <c r="EQ136" s="6" t="str">
        <f>[1]Sheet2!ER135</f>
        <v/>
      </c>
      <c r="ER136" s="6" t="str">
        <f>[1]Sheet2!ES135</f>
        <v/>
      </c>
      <c r="ES136" s="6" t="str">
        <f>[1]Sheet2!ET135</f>
        <v/>
      </c>
      <c r="ET136" s="6" t="str">
        <f>[1]Sheet2!EU135</f>
        <v/>
      </c>
      <c r="EU136" s="6" t="str">
        <f>[1]Sheet2!EV135</f>
        <v/>
      </c>
      <c r="EV136" s="6" t="str">
        <f>[1]Sheet2!EW135</f>
        <v/>
      </c>
      <c r="EW136" s="6" t="str">
        <f>[1]Sheet2!EX135</f>
        <v/>
      </c>
      <c r="EX136" s="6" t="str">
        <f>[1]Sheet2!EY135</f>
        <v/>
      </c>
      <c r="EY136" s="6" t="str">
        <f>[1]Sheet2!EZ135</f>
        <v/>
      </c>
      <c r="EZ136" s="6" t="str">
        <f>[1]Sheet2!FA135</f>
        <v/>
      </c>
      <c r="FA136" s="6" t="str">
        <f>[1]Sheet2!FB135</f>
        <v/>
      </c>
      <c r="FB136" s="6" t="str">
        <f>[1]Sheet2!FC135</f>
        <v/>
      </c>
      <c r="FC136" s="6" t="str">
        <f>[1]Sheet2!FD135</f>
        <v/>
      </c>
      <c r="FD136" s="6" t="str">
        <f>[1]Sheet2!FE135</f>
        <v/>
      </c>
      <c r="FE136" s="6" t="str">
        <f>[1]Sheet2!FF135</f>
        <v/>
      </c>
      <c r="FF136" s="6" t="str">
        <f>[1]Sheet2!FG135</f>
        <v/>
      </c>
      <c r="FG136" s="6" t="str">
        <f>[1]Sheet2!FH135</f>
        <v/>
      </c>
      <c r="FH136" s="6" t="str">
        <f>[1]Sheet2!FI135</f>
        <v/>
      </c>
      <c r="FI136" s="6" t="str">
        <f>[1]Sheet2!FJ135</f>
        <v/>
      </c>
      <c r="FJ136" s="6" t="str">
        <f>[1]Sheet2!FK135</f>
        <v/>
      </c>
      <c r="FK136" s="6" t="str">
        <f>[1]Sheet2!FL135</f>
        <v/>
      </c>
      <c r="FL136" s="6" t="str">
        <f>[1]Sheet2!FM135</f>
        <v/>
      </c>
      <c r="FM136" s="6" t="str">
        <f>[1]Sheet2!FN135</f>
        <v/>
      </c>
      <c r="FN136" s="6" t="str">
        <f>[1]Sheet2!FO135</f>
        <v/>
      </c>
      <c r="FO136" s="6" t="str">
        <f>[1]Sheet2!FP135</f>
        <v/>
      </c>
    </row>
    <row r="137" spans="1:171" x14ac:dyDescent="0.25">
      <c r="A137" s="15">
        <v>43599</v>
      </c>
      <c r="B137" s="1"/>
      <c r="C137" s="1"/>
      <c r="D137" s="1"/>
      <c r="E137" s="14">
        <f>[1]Sheet2!N136</f>
        <v>0</v>
      </c>
      <c r="F137" s="14">
        <f>[1]Sheet2!BE136</f>
        <v>0</v>
      </c>
      <c r="G137" s="14">
        <f>[1]Sheet2!CW136</f>
        <v>0</v>
      </c>
      <c r="H137" s="1"/>
      <c r="I137" s="1"/>
      <c r="J137" s="1"/>
      <c r="K137" s="16"/>
      <c r="L137" s="16">
        <f>Demand_CWRS!B$7/31</f>
        <v>129.8994219137717</v>
      </c>
      <c r="M137" s="16">
        <f>Demand_CWRS!C$7/31</f>
        <v>543.3829611248965</v>
      </c>
      <c r="N137" s="16">
        <f>Demand_CWRS!D$7/31</f>
        <v>0</v>
      </c>
      <c r="O137" s="16">
        <f>Demand_CWRS!E$7/31</f>
        <v>131.84491315136475</v>
      </c>
      <c r="P137" s="16">
        <f>Demand_CWRS!F$7/31</f>
        <v>232.12592522229113</v>
      </c>
      <c r="Q137" s="16">
        <f>Demand_CWRS!G$7/31</f>
        <v>129.8994219137717</v>
      </c>
      <c r="R137" s="16">
        <f>Demand_CWRS!H$7/31</f>
        <v>232.12592522229113</v>
      </c>
      <c r="S137" s="16">
        <f>Demand_CWRS!I$7/31</f>
        <v>232.12592522229113</v>
      </c>
      <c r="T137" s="16">
        <f>Demand_CWRS!J$7/31</f>
        <v>232.12592522229113</v>
      </c>
      <c r="U137" s="16">
        <f>Demand_CWRS!K$7/31</f>
        <v>232.12592522229113</v>
      </c>
      <c r="V137" s="16">
        <f t="shared" si="66"/>
        <v>-16406.425547554722</v>
      </c>
      <c r="W137" s="16">
        <f t="shared" si="67"/>
        <v>-57122.497353184306</v>
      </c>
      <c r="X137" s="16">
        <f t="shared" si="68"/>
        <v>0</v>
      </c>
      <c r="Y137" s="16">
        <f t="shared" si="69"/>
        <v>-6594.4643082995535</v>
      </c>
      <c r="Z137" s="16">
        <f t="shared" si="70"/>
        <v>-25760.14421178418</v>
      </c>
      <c r="AA137" s="16">
        <f t="shared" si="71"/>
        <v>-15080.652398516286</v>
      </c>
      <c r="AB137" s="16">
        <f t="shared" si="72"/>
        <v>-30241.187881655998</v>
      </c>
      <c r="AC137" s="16">
        <f t="shared" si="73"/>
        <v>-24448.17762524572</v>
      </c>
      <c r="AD137" s="16">
        <f t="shared" si="74"/>
        <v>-24548.177625245713</v>
      </c>
      <c r="AE137" s="16">
        <f t="shared" si="75"/>
        <v>-25148.177625245717</v>
      </c>
      <c r="AF137" s="14">
        <f>IF([1]Sheet2!AJ136=999999,"NA",[1]Sheet2!AJ136)</f>
        <v>0</v>
      </c>
      <c r="AG137" s="14">
        <f>IF([1]Sheet2!AK136=999999,"NA",[1]Sheet2!AK136)</f>
        <v>0</v>
      </c>
      <c r="AH137" s="14" t="str">
        <f>IF([1]Sheet2!AL136=999999,"NA",[1]Sheet2!AL136)</f>
        <v>NA</v>
      </c>
      <c r="AI137" s="14">
        <f>IF([1]Sheet2!AM136=999999,"NA",[1]Sheet2!AM136)</f>
        <v>0</v>
      </c>
      <c r="AJ137" s="14">
        <f>IF([1]Sheet2!AN136=999999,"NA",[1]Sheet2!AN136)</f>
        <v>0</v>
      </c>
      <c r="AK137" s="14">
        <f>IF([1]Sheet2!AO136=999999,"NA",[1]Sheet2!AO136)</f>
        <v>0</v>
      </c>
      <c r="AL137" s="14">
        <f>IF([1]Sheet2!AP136=999999,"NA",[1]Sheet2!AP136)</f>
        <v>0</v>
      </c>
      <c r="AM137" s="14">
        <f>IF([1]Sheet2!AQ136=999999,"NA",[1]Sheet2!AQ136)</f>
        <v>0</v>
      </c>
      <c r="AN137" s="14">
        <f>IF([1]Sheet2!AR136=999999,"NA",[1]Sheet2!AR136)</f>
        <v>0</v>
      </c>
      <c r="AO137" s="14">
        <f>IF([1]Sheet2!AS136=999999,"NA",[1]Sheet2!AS136)</f>
        <v>0</v>
      </c>
      <c r="AP137" s="14">
        <f>[1]Sheet2!P136</f>
        <v>0</v>
      </c>
      <c r="AQ137" s="14">
        <f>[1]Sheet2!Q136</f>
        <v>0</v>
      </c>
      <c r="AR137" s="14">
        <f>[1]Sheet2!R136</f>
        <v>0</v>
      </c>
      <c r="AS137" s="14">
        <f>[1]Sheet2!S136</f>
        <v>0</v>
      </c>
      <c r="AT137" s="14">
        <f>[1]Sheet2!T136</f>
        <v>0</v>
      </c>
      <c r="AU137" s="14">
        <f>[1]Sheet2!U136</f>
        <v>0</v>
      </c>
      <c r="AV137" s="14">
        <f>[1]Sheet2!V136</f>
        <v>0</v>
      </c>
      <c r="AW137" s="14">
        <f>[1]Sheet2!W136</f>
        <v>0</v>
      </c>
      <c r="AX137" s="14">
        <f>[1]Sheet2!X136</f>
        <v>0</v>
      </c>
      <c r="AY137" s="14">
        <f>[1]Sheet2!Y136</f>
        <v>0</v>
      </c>
      <c r="AZ137" s="16">
        <f>Demand_LP!B$7/31</f>
        <v>855.82964911600493</v>
      </c>
      <c r="BA137" s="16">
        <f>Demand_LP!C$7/31</f>
        <v>478.74276261373035</v>
      </c>
      <c r="BB137" s="16">
        <f>Demand_LP!D$7/31</f>
        <v>366.03598014888337</v>
      </c>
      <c r="BC137" s="16">
        <f>Demand_LP!E$7/31</f>
        <v>837.96277915632766</v>
      </c>
      <c r="BD137" s="16">
        <f>Demand_LP!F$7/31</f>
        <v>447.19049589019846</v>
      </c>
      <c r="BE137" s="16">
        <f>Demand_LP!G$7/31</f>
        <v>447.19049589019846</v>
      </c>
      <c r="BF137" s="16">
        <f>Demand_LP!H$7/31</f>
        <v>478.74276261373035</v>
      </c>
      <c r="BG137" s="16">
        <f>Demand_LP!I$7/31</f>
        <v>447.19049589019846</v>
      </c>
      <c r="BH137" s="16">
        <f>Demand_LP!J$7/31</f>
        <v>447.19049589019846</v>
      </c>
      <c r="BI137" s="16">
        <f>Demand_LP!K$7/31</f>
        <v>447.19049589019846</v>
      </c>
      <c r="BJ137" s="16">
        <f t="shared" si="76"/>
        <v>-87402.123538512562</v>
      </c>
      <c r="BK137" s="16">
        <f t="shared" si="77"/>
        <v>-76812.85252274602</v>
      </c>
      <c r="BL137" s="16">
        <f t="shared" si="78"/>
        <v>-30297.507568238285</v>
      </c>
      <c r="BM137" s="16">
        <f t="shared" si="79"/>
        <v>-92402.449404780491</v>
      </c>
      <c r="BN137" s="16">
        <f t="shared" si="80"/>
        <v>-53878.652074572907</v>
      </c>
      <c r="BO137" s="16">
        <f t="shared" si="81"/>
        <v>-52336.335992943619</v>
      </c>
      <c r="BP137" s="16">
        <f t="shared" si="82"/>
        <v>-71170.432009925527</v>
      </c>
      <c r="BQ137" s="16">
        <f t="shared" si="83"/>
        <v>-52336.335992943619</v>
      </c>
      <c r="BR137" s="16">
        <f t="shared" si="84"/>
        <v>-49936.335992943619</v>
      </c>
      <c r="BS137" s="16">
        <f t="shared" si="85"/>
        <v>-50636.335992943612</v>
      </c>
      <c r="BT137" s="14">
        <f>IF([1]Sheet2!CB136=999999,"NA",[1]Sheet2!CB136)</f>
        <v>0</v>
      </c>
      <c r="BU137" s="14">
        <f>IF([1]Sheet2!CC136=999999,"NA",[1]Sheet2!CC136)</f>
        <v>0</v>
      </c>
      <c r="BV137" s="14">
        <f>IF([1]Sheet2!CD136=999999,"NA",[1]Sheet2!CD136)</f>
        <v>0</v>
      </c>
      <c r="BW137" s="14">
        <f>IF([1]Sheet2!CE136=999999,"NA",[1]Sheet2!CE136)</f>
        <v>0</v>
      </c>
      <c r="BX137" s="14">
        <f>IF([1]Sheet2!CF136=999999,"NA",[1]Sheet2!CF136)</f>
        <v>0</v>
      </c>
      <c r="BY137" s="14">
        <f>IF([1]Sheet2!CG136=999999,"NA",[1]Sheet2!CG136)</f>
        <v>0</v>
      </c>
      <c r="BZ137" s="14">
        <f>IF([1]Sheet2!CH136=999999,"NA",[1]Sheet2!CH136)</f>
        <v>0</v>
      </c>
      <c r="CA137" s="14">
        <f>IF([1]Sheet2!CI136=999999,"NA",[1]Sheet2!CI136)</f>
        <v>0</v>
      </c>
      <c r="CB137" s="14">
        <f>IF([1]Sheet2!CJ136=999999,"NA",[1]Sheet2!CJ136)</f>
        <v>0</v>
      </c>
      <c r="CC137" s="14">
        <f>IF([1]Sheet2!CK136=999999,"NA",[1]Sheet2!CK136)</f>
        <v>0</v>
      </c>
      <c r="CD137" s="14">
        <f>[1]Sheet2!BH136</f>
        <v>0</v>
      </c>
      <c r="CE137" s="14">
        <f>[1]Sheet2!BI136</f>
        <v>0</v>
      </c>
      <c r="CF137" s="14">
        <f>[1]Sheet2!BJ136</f>
        <v>0</v>
      </c>
      <c r="CG137" s="14">
        <f>[1]Sheet2!BK136</f>
        <v>0</v>
      </c>
      <c r="CH137" s="14">
        <f>[1]Sheet2!BL136</f>
        <v>0</v>
      </c>
      <c r="CI137" s="14">
        <f>[1]Sheet2!BM136</f>
        <v>0</v>
      </c>
      <c r="CJ137" s="14">
        <f>[1]Sheet2!BN136</f>
        <v>0</v>
      </c>
      <c r="CK137" s="14">
        <f>[1]Sheet2!BO136</f>
        <v>0</v>
      </c>
      <c r="CL137" s="14">
        <f>[1]Sheet2!BP136</f>
        <v>0</v>
      </c>
      <c r="CM137" s="14">
        <f>[1]Sheet2!BQ136</f>
        <v>0</v>
      </c>
      <c r="CN137" s="16">
        <f>Demand_SW!B$7/31</f>
        <v>122.8287841191067</v>
      </c>
      <c r="CO137" s="16">
        <f>Demand_SW!C$7/31</f>
        <v>0</v>
      </c>
      <c r="CP137" s="16">
        <f>Demand_SW!D$7/31</f>
        <v>0</v>
      </c>
      <c r="CQ137" s="16">
        <f>Demand_SW!E$7/31</f>
        <v>0</v>
      </c>
      <c r="CR137" s="16">
        <f>Demand_SW!F$7/31</f>
        <v>0</v>
      </c>
      <c r="CS137" s="16">
        <f>Demand_SW!G$7/31</f>
        <v>122.8287841191067</v>
      </c>
      <c r="CT137" s="16">
        <f>Demand_SW!H$7/31</f>
        <v>0</v>
      </c>
      <c r="CU137" s="16">
        <f>Demand_SW!I$7/31</f>
        <v>0</v>
      </c>
      <c r="CV137" s="16">
        <f>Demand_SW!J$7/31</f>
        <v>0</v>
      </c>
      <c r="CW137" s="16">
        <f>Demand_SW!K$7/31</f>
        <v>0</v>
      </c>
      <c r="CX137" s="16">
        <f t="shared" si="86"/>
        <v>-13182.679900744424</v>
      </c>
      <c r="CY137" s="16">
        <f t="shared" si="87"/>
        <v>76.923076923077133</v>
      </c>
      <c r="CZ137" s="16">
        <f t="shared" si="88"/>
        <v>0</v>
      </c>
      <c r="DA137" s="16">
        <f t="shared" si="89"/>
        <v>0</v>
      </c>
      <c r="DB137" s="16">
        <f t="shared" si="90"/>
        <v>0</v>
      </c>
      <c r="DC137" s="16">
        <f t="shared" si="91"/>
        <v>-12711.910669975192</v>
      </c>
      <c r="DD137" s="16">
        <f t="shared" si="92"/>
        <v>76.923076923077133</v>
      </c>
      <c r="DE137" s="16">
        <f t="shared" si="93"/>
        <v>0</v>
      </c>
      <c r="DF137" s="16">
        <f t="shared" si="94"/>
        <v>0</v>
      </c>
      <c r="DG137" s="16">
        <f t="shared" si="95"/>
        <v>0</v>
      </c>
      <c r="DH137" s="14">
        <f>IF([1]Sheet2!DS136=999999,"NA",[1]Sheet2!DS136)</f>
        <v>0</v>
      </c>
      <c r="DI137" s="14">
        <f>IF([1]Sheet2!DT136=999999,"NA",[1]Sheet2!DT136)</f>
        <v>231</v>
      </c>
      <c r="DJ137" s="14" t="str">
        <f>IF([1]Sheet2!DU136=999999,"NA",[1]Sheet2!DU136)</f>
        <v>NA</v>
      </c>
      <c r="DK137" s="14" t="str">
        <f>IF([1]Sheet2!DV136=999999,"NA",[1]Sheet2!DV136)</f>
        <v>NA</v>
      </c>
      <c r="DL137" s="14" t="str">
        <f>IF([1]Sheet2!DW136=999999,"NA",[1]Sheet2!DW136)</f>
        <v>NA</v>
      </c>
      <c r="DM137" s="14">
        <f>IF([1]Sheet2!DX136=999999,"NA",[1]Sheet2!DX136)</f>
        <v>0</v>
      </c>
      <c r="DN137" s="14">
        <f>IF([1]Sheet2!DY136=999999,"NA",[1]Sheet2!DY136)</f>
        <v>231</v>
      </c>
      <c r="DO137" s="14" t="str">
        <f>IF([1]Sheet2!DZ136=999999,"NA",[1]Sheet2!DZ136)</f>
        <v>NA</v>
      </c>
      <c r="DP137" s="14" t="str">
        <f>IF([1]Sheet2!EA136=999999,"NA",[1]Sheet2!EA136)</f>
        <v>NA</v>
      </c>
      <c r="DQ137" s="14" t="str">
        <f>IF([1]Sheet2!EB136=999999,"NA",[1]Sheet2!EB136)</f>
        <v>NA</v>
      </c>
      <c r="DR137" s="14">
        <f>[1]Sheet2!CY136</f>
        <v>0</v>
      </c>
      <c r="DS137" s="14">
        <f>[1]Sheet2!CZ136</f>
        <v>0</v>
      </c>
      <c r="DT137" s="14">
        <f>[1]Sheet2!DA136</f>
        <v>0</v>
      </c>
      <c r="DU137" s="14">
        <f>[1]Sheet2!DB136</f>
        <v>0</v>
      </c>
      <c r="DV137" s="14">
        <f>[1]Sheet2!DC136</f>
        <v>0</v>
      </c>
      <c r="DW137" s="14">
        <f>[1]Sheet2!DD136</f>
        <v>0</v>
      </c>
      <c r="DX137" s="14">
        <f>[1]Sheet2!DE136</f>
        <v>0</v>
      </c>
      <c r="DY137" s="14">
        <f>[1]Sheet2!DF136</f>
        <v>0</v>
      </c>
      <c r="DZ137" s="14">
        <f>[1]Sheet2!DG136</f>
        <v>0</v>
      </c>
      <c r="EA137" s="14">
        <f>[1]Sheet2!DH136</f>
        <v>0</v>
      </c>
      <c r="EB137" s="6">
        <f>[1]Sheet2!EC136</f>
        <v>0</v>
      </c>
      <c r="EC137" s="6">
        <f>[1]Sheet2!ED136</f>
        <v>0</v>
      </c>
      <c r="ED137" s="6">
        <f>[1]Sheet2!EE136</f>
        <v>0</v>
      </c>
      <c r="EE137" s="6">
        <f>[1]Sheet2!EF136</f>
        <v>0</v>
      </c>
      <c r="EF137" s="6">
        <f>[1]Sheet2!EG136</f>
        <v>0</v>
      </c>
      <c r="EG137" s="6">
        <f>[1]Sheet2!EH136</f>
        <v>0</v>
      </c>
      <c r="EH137" s="6">
        <f>[1]Sheet2!EI136</f>
        <v>0</v>
      </c>
      <c r="EI137" s="6">
        <f>[1]Sheet2!EJ136</f>
        <v>0</v>
      </c>
      <c r="EJ137" s="6">
        <f>[1]Sheet2!EK136</f>
        <v>0</v>
      </c>
      <c r="EK137" s="6">
        <f>[1]Sheet2!EL136</f>
        <v>0</v>
      </c>
      <c r="EL137" s="6" t="str">
        <f>[1]Sheet2!EM136</f>
        <v/>
      </c>
      <c r="EM137" s="6" t="str">
        <f>[1]Sheet2!EN136</f>
        <v/>
      </c>
      <c r="EN137" s="6" t="str">
        <f>[1]Sheet2!EO136</f>
        <v/>
      </c>
      <c r="EO137" s="6" t="str">
        <f>[1]Sheet2!EP136</f>
        <v/>
      </c>
      <c r="EP137" s="6" t="str">
        <f>[1]Sheet2!EQ136</f>
        <v/>
      </c>
      <c r="EQ137" s="6" t="str">
        <f>[1]Sheet2!ER136</f>
        <v/>
      </c>
      <c r="ER137" s="6" t="str">
        <f>[1]Sheet2!ES136</f>
        <v/>
      </c>
      <c r="ES137" s="6" t="str">
        <f>[1]Sheet2!ET136</f>
        <v/>
      </c>
      <c r="ET137" s="6" t="str">
        <f>[1]Sheet2!EU136</f>
        <v/>
      </c>
      <c r="EU137" s="6" t="str">
        <f>[1]Sheet2!EV136</f>
        <v/>
      </c>
      <c r="EV137" s="6" t="str">
        <f>[1]Sheet2!EW136</f>
        <v/>
      </c>
      <c r="EW137" s="6" t="str">
        <f>[1]Sheet2!EX136</f>
        <v/>
      </c>
      <c r="EX137" s="6" t="str">
        <f>[1]Sheet2!EY136</f>
        <v/>
      </c>
      <c r="EY137" s="6" t="str">
        <f>[1]Sheet2!EZ136</f>
        <v/>
      </c>
      <c r="EZ137" s="6" t="str">
        <f>[1]Sheet2!FA136</f>
        <v/>
      </c>
      <c r="FA137" s="6" t="str">
        <f>[1]Sheet2!FB136</f>
        <v/>
      </c>
      <c r="FB137" s="6" t="str">
        <f>[1]Sheet2!FC136</f>
        <v/>
      </c>
      <c r="FC137" s="6" t="str">
        <f>[1]Sheet2!FD136</f>
        <v/>
      </c>
      <c r="FD137" s="6" t="str">
        <f>[1]Sheet2!FE136</f>
        <v/>
      </c>
      <c r="FE137" s="6" t="str">
        <f>[1]Sheet2!FF136</f>
        <v/>
      </c>
      <c r="FF137" s="6" t="str">
        <f>[1]Sheet2!FG136</f>
        <v/>
      </c>
      <c r="FG137" s="6" t="str">
        <f>[1]Sheet2!FH136</f>
        <v/>
      </c>
      <c r="FH137" s="6" t="str">
        <f>[1]Sheet2!FI136</f>
        <v/>
      </c>
      <c r="FI137" s="6" t="str">
        <f>[1]Sheet2!FJ136</f>
        <v/>
      </c>
      <c r="FJ137" s="6" t="str">
        <f>[1]Sheet2!FK136</f>
        <v/>
      </c>
      <c r="FK137" s="6" t="str">
        <f>[1]Sheet2!FL136</f>
        <v/>
      </c>
      <c r="FL137" s="6" t="str">
        <f>[1]Sheet2!FM136</f>
        <v/>
      </c>
      <c r="FM137" s="6" t="str">
        <f>[1]Sheet2!FN136</f>
        <v/>
      </c>
      <c r="FN137" s="6" t="str">
        <f>[1]Sheet2!FO136</f>
        <v/>
      </c>
      <c r="FO137" s="6" t="str">
        <f>[1]Sheet2!FP136</f>
        <v/>
      </c>
    </row>
    <row r="138" spans="1:171" x14ac:dyDescent="0.25">
      <c r="A138" s="15">
        <v>43600</v>
      </c>
      <c r="B138" s="1"/>
      <c r="C138" s="1"/>
      <c r="D138" s="1"/>
      <c r="E138" s="14">
        <f>[1]Sheet2!N137</f>
        <v>0</v>
      </c>
      <c r="F138" s="14">
        <f>[1]Sheet2!BE137</f>
        <v>0</v>
      </c>
      <c r="G138" s="14">
        <f>[1]Sheet2!CW137</f>
        <v>0</v>
      </c>
      <c r="H138" s="1"/>
      <c r="I138" s="1"/>
      <c r="J138" s="1"/>
      <c r="K138" s="16"/>
      <c r="L138" s="16">
        <f>Demand_CWRS!B$7/31</f>
        <v>129.8994219137717</v>
      </c>
      <c r="M138" s="16">
        <f>Demand_CWRS!C$7/31</f>
        <v>543.3829611248965</v>
      </c>
      <c r="N138" s="16">
        <f>Demand_CWRS!D$7/31</f>
        <v>0</v>
      </c>
      <c r="O138" s="16">
        <f>Demand_CWRS!E$7/31</f>
        <v>131.84491315136475</v>
      </c>
      <c r="P138" s="16">
        <f>Demand_CWRS!F$7/31</f>
        <v>232.12592522229113</v>
      </c>
      <c r="Q138" s="16">
        <f>Demand_CWRS!G$7/31</f>
        <v>129.8994219137717</v>
      </c>
      <c r="R138" s="16">
        <f>Demand_CWRS!H$7/31</f>
        <v>232.12592522229113</v>
      </c>
      <c r="S138" s="16">
        <f>Demand_CWRS!I$7/31</f>
        <v>232.12592522229113</v>
      </c>
      <c r="T138" s="16">
        <f>Demand_CWRS!J$7/31</f>
        <v>232.12592522229113</v>
      </c>
      <c r="U138" s="16">
        <f>Demand_CWRS!K$7/31</f>
        <v>232.12592522229113</v>
      </c>
      <c r="V138" s="16">
        <f t="shared" si="66"/>
        <v>-16536.324969468493</v>
      </c>
      <c r="W138" s="16">
        <f t="shared" si="67"/>
        <v>-57665.880314309201</v>
      </c>
      <c r="X138" s="16">
        <f t="shared" si="68"/>
        <v>0</v>
      </c>
      <c r="Y138" s="16">
        <f t="shared" si="69"/>
        <v>-6726.3092214509179</v>
      </c>
      <c r="Z138" s="16">
        <f t="shared" si="70"/>
        <v>-25992.270137006471</v>
      </c>
      <c r="AA138" s="16">
        <f t="shared" si="71"/>
        <v>-15210.551820430057</v>
      </c>
      <c r="AB138" s="16">
        <f t="shared" si="72"/>
        <v>-30473.31380687829</v>
      </c>
      <c r="AC138" s="16">
        <f t="shared" si="73"/>
        <v>-24680.303550468012</v>
      </c>
      <c r="AD138" s="16">
        <f t="shared" si="74"/>
        <v>-24780.303550468005</v>
      </c>
      <c r="AE138" s="16">
        <f t="shared" si="75"/>
        <v>-25380.303550468008</v>
      </c>
      <c r="AF138" s="14">
        <f>IF([1]Sheet2!AJ137=999999,"NA",[1]Sheet2!AJ137)</f>
        <v>0</v>
      </c>
      <c r="AG138" s="14">
        <f>IF([1]Sheet2!AK137=999999,"NA",[1]Sheet2!AK137)</f>
        <v>0</v>
      </c>
      <c r="AH138" s="14" t="str">
        <f>IF([1]Sheet2!AL137=999999,"NA",[1]Sheet2!AL137)</f>
        <v>NA</v>
      </c>
      <c r="AI138" s="14">
        <f>IF([1]Sheet2!AM137=999999,"NA",[1]Sheet2!AM137)</f>
        <v>0</v>
      </c>
      <c r="AJ138" s="14">
        <f>IF([1]Sheet2!AN137=999999,"NA",[1]Sheet2!AN137)</f>
        <v>0</v>
      </c>
      <c r="AK138" s="14">
        <f>IF([1]Sheet2!AO137=999999,"NA",[1]Sheet2!AO137)</f>
        <v>0</v>
      </c>
      <c r="AL138" s="14">
        <f>IF([1]Sheet2!AP137=999999,"NA",[1]Sheet2!AP137)</f>
        <v>0</v>
      </c>
      <c r="AM138" s="14">
        <f>IF([1]Sheet2!AQ137=999999,"NA",[1]Sheet2!AQ137)</f>
        <v>0</v>
      </c>
      <c r="AN138" s="14">
        <f>IF([1]Sheet2!AR137=999999,"NA",[1]Sheet2!AR137)</f>
        <v>0</v>
      </c>
      <c r="AO138" s="14">
        <f>IF([1]Sheet2!AS137=999999,"NA",[1]Sheet2!AS137)</f>
        <v>0</v>
      </c>
      <c r="AP138" s="14">
        <f>[1]Sheet2!P137</f>
        <v>0</v>
      </c>
      <c r="AQ138" s="14">
        <f>[1]Sheet2!Q137</f>
        <v>0</v>
      </c>
      <c r="AR138" s="14">
        <f>[1]Sheet2!R137</f>
        <v>0</v>
      </c>
      <c r="AS138" s="14">
        <f>[1]Sheet2!S137</f>
        <v>0</v>
      </c>
      <c r="AT138" s="14">
        <f>[1]Sheet2!T137</f>
        <v>0</v>
      </c>
      <c r="AU138" s="14">
        <f>[1]Sheet2!U137</f>
        <v>0</v>
      </c>
      <c r="AV138" s="14">
        <f>[1]Sheet2!V137</f>
        <v>0</v>
      </c>
      <c r="AW138" s="14">
        <f>[1]Sheet2!W137</f>
        <v>0</v>
      </c>
      <c r="AX138" s="14">
        <f>[1]Sheet2!X137</f>
        <v>0</v>
      </c>
      <c r="AY138" s="14">
        <f>[1]Sheet2!Y137</f>
        <v>0</v>
      </c>
      <c r="AZ138" s="16">
        <f>Demand_LP!B$7/31</f>
        <v>855.82964911600493</v>
      </c>
      <c r="BA138" s="16">
        <f>Demand_LP!C$7/31</f>
        <v>478.74276261373035</v>
      </c>
      <c r="BB138" s="16">
        <f>Demand_LP!D$7/31</f>
        <v>366.03598014888337</v>
      </c>
      <c r="BC138" s="16">
        <f>Demand_LP!E$7/31</f>
        <v>837.96277915632766</v>
      </c>
      <c r="BD138" s="16">
        <f>Demand_LP!F$7/31</f>
        <v>447.19049589019846</v>
      </c>
      <c r="BE138" s="16">
        <f>Demand_LP!G$7/31</f>
        <v>447.19049589019846</v>
      </c>
      <c r="BF138" s="16">
        <f>Demand_LP!H$7/31</f>
        <v>478.74276261373035</v>
      </c>
      <c r="BG138" s="16">
        <f>Demand_LP!I$7/31</f>
        <v>447.19049589019846</v>
      </c>
      <c r="BH138" s="16">
        <f>Demand_LP!J$7/31</f>
        <v>447.19049589019846</v>
      </c>
      <c r="BI138" s="16">
        <f>Demand_LP!K$7/31</f>
        <v>447.19049589019846</v>
      </c>
      <c r="BJ138" s="16">
        <f t="shared" si="76"/>
        <v>-88257.953187628562</v>
      </c>
      <c r="BK138" s="16">
        <f t="shared" si="77"/>
        <v>-77291.595285359756</v>
      </c>
      <c r="BL138" s="16">
        <f t="shared" si="78"/>
        <v>-30663.54354838717</v>
      </c>
      <c r="BM138" s="16">
        <f t="shared" si="79"/>
        <v>-93240.412183936816</v>
      </c>
      <c r="BN138" s="16">
        <f t="shared" si="80"/>
        <v>-54325.842570463108</v>
      </c>
      <c r="BO138" s="16">
        <f t="shared" si="81"/>
        <v>-52783.526488833821</v>
      </c>
      <c r="BP138" s="16">
        <f t="shared" si="82"/>
        <v>-71649.174772539263</v>
      </c>
      <c r="BQ138" s="16">
        <f t="shared" si="83"/>
        <v>-52783.526488833821</v>
      </c>
      <c r="BR138" s="16">
        <f t="shared" si="84"/>
        <v>-50383.526488833821</v>
      </c>
      <c r="BS138" s="16">
        <f t="shared" si="85"/>
        <v>-51083.526488833813</v>
      </c>
      <c r="BT138" s="14">
        <f>IF([1]Sheet2!CB137=999999,"NA",[1]Sheet2!CB137)</f>
        <v>0</v>
      </c>
      <c r="BU138" s="14">
        <f>IF([1]Sheet2!CC137=999999,"NA",[1]Sheet2!CC137)</f>
        <v>0</v>
      </c>
      <c r="BV138" s="14">
        <f>IF([1]Sheet2!CD137=999999,"NA",[1]Sheet2!CD137)</f>
        <v>0</v>
      </c>
      <c r="BW138" s="14">
        <f>IF([1]Sheet2!CE137=999999,"NA",[1]Sheet2!CE137)</f>
        <v>0</v>
      </c>
      <c r="BX138" s="14">
        <f>IF([1]Sheet2!CF137=999999,"NA",[1]Sheet2!CF137)</f>
        <v>0</v>
      </c>
      <c r="BY138" s="14">
        <f>IF([1]Sheet2!CG137=999999,"NA",[1]Sheet2!CG137)</f>
        <v>0</v>
      </c>
      <c r="BZ138" s="14">
        <f>IF([1]Sheet2!CH137=999999,"NA",[1]Sheet2!CH137)</f>
        <v>0</v>
      </c>
      <c r="CA138" s="14">
        <f>IF([1]Sheet2!CI137=999999,"NA",[1]Sheet2!CI137)</f>
        <v>0</v>
      </c>
      <c r="CB138" s="14">
        <f>IF([1]Sheet2!CJ137=999999,"NA",[1]Sheet2!CJ137)</f>
        <v>0</v>
      </c>
      <c r="CC138" s="14">
        <f>IF([1]Sheet2!CK137=999999,"NA",[1]Sheet2!CK137)</f>
        <v>0</v>
      </c>
      <c r="CD138" s="14">
        <f>[1]Sheet2!BH137</f>
        <v>0</v>
      </c>
      <c r="CE138" s="14">
        <f>[1]Sheet2!BI137</f>
        <v>0</v>
      </c>
      <c r="CF138" s="14">
        <f>[1]Sheet2!BJ137</f>
        <v>0</v>
      </c>
      <c r="CG138" s="14">
        <f>[1]Sheet2!BK137</f>
        <v>0</v>
      </c>
      <c r="CH138" s="14">
        <f>[1]Sheet2!BL137</f>
        <v>0</v>
      </c>
      <c r="CI138" s="14">
        <f>[1]Sheet2!BM137</f>
        <v>0</v>
      </c>
      <c r="CJ138" s="14">
        <f>[1]Sheet2!BN137</f>
        <v>0</v>
      </c>
      <c r="CK138" s="14">
        <f>[1]Sheet2!BO137</f>
        <v>0</v>
      </c>
      <c r="CL138" s="14">
        <f>[1]Sheet2!BP137</f>
        <v>0</v>
      </c>
      <c r="CM138" s="14">
        <f>[1]Sheet2!BQ137</f>
        <v>0</v>
      </c>
      <c r="CN138" s="16">
        <f>Demand_SW!B$7/31</f>
        <v>122.8287841191067</v>
      </c>
      <c r="CO138" s="16">
        <f>Demand_SW!C$7/31</f>
        <v>0</v>
      </c>
      <c r="CP138" s="16">
        <f>Demand_SW!D$7/31</f>
        <v>0</v>
      </c>
      <c r="CQ138" s="16">
        <f>Demand_SW!E$7/31</f>
        <v>0</v>
      </c>
      <c r="CR138" s="16">
        <f>Demand_SW!F$7/31</f>
        <v>0</v>
      </c>
      <c r="CS138" s="16">
        <f>Demand_SW!G$7/31</f>
        <v>122.8287841191067</v>
      </c>
      <c r="CT138" s="16">
        <f>Demand_SW!H$7/31</f>
        <v>0</v>
      </c>
      <c r="CU138" s="16">
        <f>Demand_SW!I$7/31</f>
        <v>0</v>
      </c>
      <c r="CV138" s="16">
        <f>Demand_SW!J$7/31</f>
        <v>0</v>
      </c>
      <c r="CW138" s="16">
        <f>Demand_SW!K$7/31</f>
        <v>0</v>
      </c>
      <c r="CX138" s="16">
        <f t="shared" si="86"/>
        <v>-13305.508684863531</v>
      </c>
      <c r="CY138" s="16">
        <f t="shared" si="87"/>
        <v>76.923076923077133</v>
      </c>
      <c r="CZ138" s="16">
        <f t="shared" si="88"/>
        <v>0</v>
      </c>
      <c r="DA138" s="16">
        <f t="shared" si="89"/>
        <v>0</v>
      </c>
      <c r="DB138" s="16">
        <f t="shared" si="90"/>
        <v>0</v>
      </c>
      <c r="DC138" s="16">
        <f t="shared" si="91"/>
        <v>-12834.739454094299</v>
      </c>
      <c r="DD138" s="16">
        <f t="shared" si="92"/>
        <v>76.923076923077133</v>
      </c>
      <c r="DE138" s="16">
        <f t="shared" si="93"/>
        <v>0</v>
      </c>
      <c r="DF138" s="16">
        <f t="shared" si="94"/>
        <v>0</v>
      </c>
      <c r="DG138" s="16">
        <f t="shared" si="95"/>
        <v>0</v>
      </c>
      <c r="DH138" s="14">
        <f>IF([1]Sheet2!DS137=999999,"NA",[1]Sheet2!DS137)</f>
        <v>0</v>
      </c>
      <c r="DI138" s="14">
        <f>IF([1]Sheet2!DT137=999999,"NA",[1]Sheet2!DT137)</f>
        <v>230</v>
      </c>
      <c r="DJ138" s="14" t="str">
        <f>IF([1]Sheet2!DU137=999999,"NA",[1]Sheet2!DU137)</f>
        <v>NA</v>
      </c>
      <c r="DK138" s="14" t="str">
        <f>IF([1]Sheet2!DV137=999999,"NA",[1]Sheet2!DV137)</f>
        <v>NA</v>
      </c>
      <c r="DL138" s="14" t="str">
        <f>IF([1]Sheet2!DW137=999999,"NA",[1]Sheet2!DW137)</f>
        <v>NA</v>
      </c>
      <c r="DM138" s="14">
        <f>IF([1]Sheet2!DX137=999999,"NA",[1]Sheet2!DX137)</f>
        <v>0</v>
      </c>
      <c r="DN138" s="14">
        <f>IF([1]Sheet2!DY137=999999,"NA",[1]Sheet2!DY137)</f>
        <v>230</v>
      </c>
      <c r="DO138" s="14" t="str">
        <f>IF([1]Sheet2!DZ137=999999,"NA",[1]Sheet2!DZ137)</f>
        <v>NA</v>
      </c>
      <c r="DP138" s="14" t="str">
        <f>IF([1]Sheet2!EA137=999999,"NA",[1]Sheet2!EA137)</f>
        <v>NA</v>
      </c>
      <c r="DQ138" s="14" t="str">
        <f>IF([1]Sheet2!EB137=999999,"NA",[1]Sheet2!EB137)</f>
        <v>NA</v>
      </c>
      <c r="DR138" s="14">
        <f>[1]Sheet2!CY137</f>
        <v>0</v>
      </c>
      <c r="DS138" s="14">
        <f>[1]Sheet2!CZ137</f>
        <v>0</v>
      </c>
      <c r="DT138" s="14">
        <f>[1]Sheet2!DA137</f>
        <v>0</v>
      </c>
      <c r="DU138" s="14">
        <f>[1]Sheet2!DB137</f>
        <v>0</v>
      </c>
      <c r="DV138" s="14">
        <f>[1]Sheet2!DC137</f>
        <v>0</v>
      </c>
      <c r="DW138" s="14">
        <f>[1]Sheet2!DD137</f>
        <v>0</v>
      </c>
      <c r="DX138" s="14">
        <f>[1]Sheet2!DE137</f>
        <v>0</v>
      </c>
      <c r="DY138" s="14">
        <f>[1]Sheet2!DF137</f>
        <v>0</v>
      </c>
      <c r="DZ138" s="14">
        <f>[1]Sheet2!DG137</f>
        <v>0</v>
      </c>
      <c r="EA138" s="14">
        <f>[1]Sheet2!DH137</f>
        <v>0</v>
      </c>
      <c r="EB138" s="6">
        <f>[1]Sheet2!EC137</f>
        <v>0</v>
      </c>
      <c r="EC138" s="6">
        <f>[1]Sheet2!ED137</f>
        <v>0</v>
      </c>
      <c r="ED138" s="6">
        <f>[1]Sheet2!EE137</f>
        <v>0</v>
      </c>
      <c r="EE138" s="6">
        <f>[1]Sheet2!EF137</f>
        <v>0</v>
      </c>
      <c r="EF138" s="6">
        <f>[1]Sheet2!EG137</f>
        <v>0</v>
      </c>
      <c r="EG138" s="6">
        <f>[1]Sheet2!EH137</f>
        <v>0</v>
      </c>
      <c r="EH138" s="6">
        <f>[1]Sheet2!EI137</f>
        <v>0</v>
      </c>
      <c r="EI138" s="6">
        <f>[1]Sheet2!EJ137</f>
        <v>0</v>
      </c>
      <c r="EJ138" s="6">
        <f>[1]Sheet2!EK137</f>
        <v>0</v>
      </c>
      <c r="EK138" s="6">
        <f>[1]Sheet2!EL137</f>
        <v>0</v>
      </c>
      <c r="EL138" s="6" t="str">
        <f>[1]Sheet2!EM137</f>
        <v/>
      </c>
      <c r="EM138" s="6" t="str">
        <f>[1]Sheet2!EN137</f>
        <v/>
      </c>
      <c r="EN138" s="6" t="str">
        <f>[1]Sheet2!EO137</f>
        <v/>
      </c>
      <c r="EO138" s="6" t="str">
        <f>[1]Sheet2!EP137</f>
        <v/>
      </c>
      <c r="EP138" s="6" t="str">
        <f>[1]Sheet2!EQ137</f>
        <v/>
      </c>
      <c r="EQ138" s="6" t="str">
        <f>[1]Sheet2!ER137</f>
        <v/>
      </c>
      <c r="ER138" s="6" t="str">
        <f>[1]Sheet2!ES137</f>
        <v/>
      </c>
      <c r="ES138" s="6" t="str">
        <f>[1]Sheet2!ET137</f>
        <v/>
      </c>
      <c r="ET138" s="6" t="str">
        <f>[1]Sheet2!EU137</f>
        <v/>
      </c>
      <c r="EU138" s="6" t="str">
        <f>[1]Sheet2!EV137</f>
        <v/>
      </c>
      <c r="EV138" s="6" t="str">
        <f>[1]Sheet2!EW137</f>
        <v/>
      </c>
      <c r="EW138" s="6" t="str">
        <f>[1]Sheet2!EX137</f>
        <v/>
      </c>
      <c r="EX138" s="6" t="str">
        <f>[1]Sheet2!EY137</f>
        <v/>
      </c>
      <c r="EY138" s="6" t="str">
        <f>[1]Sheet2!EZ137</f>
        <v/>
      </c>
      <c r="EZ138" s="6" t="str">
        <f>[1]Sheet2!FA137</f>
        <v/>
      </c>
      <c r="FA138" s="6" t="str">
        <f>[1]Sheet2!FB137</f>
        <v/>
      </c>
      <c r="FB138" s="6" t="str">
        <f>[1]Sheet2!FC137</f>
        <v/>
      </c>
      <c r="FC138" s="6" t="str">
        <f>[1]Sheet2!FD137</f>
        <v/>
      </c>
      <c r="FD138" s="6" t="str">
        <f>[1]Sheet2!FE137</f>
        <v/>
      </c>
      <c r="FE138" s="6" t="str">
        <f>[1]Sheet2!FF137</f>
        <v/>
      </c>
      <c r="FF138" s="6" t="str">
        <f>[1]Sheet2!FG137</f>
        <v/>
      </c>
      <c r="FG138" s="6" t="str">
        <f>[1]Sheet2!FH137</f>
        <v/>
      </c>
      <c r="FH138" s="6" t="str">
        <f>[1]Sheet2!FI137</f>
        <v/>
      </c>
      <c r="FI138" s="6" t="str">
        <f>[1]Sheet2!FJ137</f>
        <v/>
      </c>
      <c r="FJ138" s="6" t="str">
        <f>[1]Sheet2!FK137</f>
        <v/>
      </c>
      <c r="FK138" s="6" t="str">
        <f>[1]Sheet2!FL137</f>
        <v/>
      </c>
      <c r="FL138" s="6" t="str">
        <f>[1]Sheet2!FM137</f>
        <v/>
      </c>
      <c r="FM138" s="6" t="str">
        <f>[1]Sheet2!FN137</f>
        <v/>
      </c>
      <c r="FN138" s="6" t="str">
        <f>[1]Sheet2!FO137</f>
        <v/>
      </c>
      <c r="FO138" s="6" t="str">
        <f>[1]Sheet2!FP137</f>
        <v/>
      </c>
    </row>
    <row r="139" spans="1:171" x14ac:dyDescent="0.25">
      <c r="A139" s="15">
        <v>43601</v>
      </c>
      <c r="B139" s="1"/>
      <c r="C139" s="1"/>
      <c r="D139" s="1"/>
      <c r="E139" s="14">
        <f>[1]Sheet2!N138</f>
        <v>0</v>
      </c>
      <c r="F139" s="14">
        <f>[1]Sheet2!BE138</f>
        <v>0</v>
      </c>
      <c r="G139" s="14">
        <f>[1]Sheet2!CW138</f>
        <v>0</v>
      </c>
      <c r="H139" s="1"/>
      <c r="I139" s="1"/>
      <c r="J139" s="1"/>
      <c r="K139" s="16"/>
      <c r="L139" s="16">
        <f>Demand_CWRS!B$7/31</f>
        <v>129.8994219137717</v>
      </c>
      <c r="M139" s="16">
        <f>Demand_CWRS!C$7/31</f>
        <v>543.3829611248965</v>
      </c>
      <c r="N139" s="16">
        <f>Demand_CWRS!D$7/31</f>
        <v>0</v>
      </c>
      <c r="O139" s="16">
        <f>Demand_CWRS!E$7/31</f>
        <v>131.84491315136475</v>
      </c>
      <c r="P139" s="16">
        <f>Demand_CWRS!F$7/31</f>
        <v>232.12592522229113</v>
      </c>
      <c r="Q139" s="16">
        <f>Demand_CWRS!G$7/31</f>
        <v>129.8994219137717</v>
      </c>
      <c r="R139" s="16">
        <f>Demand_CWRS!H$7/31</f>
        <v>232.12592522229113</v>
      </c>
      <c r="S139" s="16">
        <f>Demand_CWRS!I$7/31</f>
        <v>232.12592522229113</v>
      </c>
      <c r="T139" s="16">
        <f>Demand_CWRS!J$7/31</f>
        <v>232.12592522229113</v>
      </c>
      <c r="U139" s="16">
        <f>Demand_CWRS!K$7/31</f>
        <v>232.12592522229113</v>
      </c>
      <c r="V139" s="16">
        <f t="shared" si="66"/>
        <v>-16666.224391382264</v>
      </c>
      <c r="W139" s="16">
        <f t="shared" si="67"/>
        <v>-58209.263275434096</v>
      </c>
      <c r="X139" s="16">
        <f t="shared" si="68"/>
        <v>0</v>
      </c>
      <c r="Y139" s="16">
        <f t="shared" si="69"/>
        <v>-6858.1541346022823</v>
      </c>
      <c r="Z139" s="16">
        <f t="shared" si="70"/>
        <v>-26224.396062228763</v>
      </c>
      <c r="AA139" s="16">
        <f t="shared" si="71"/>
        <v>-15340.451242343828</v>
      </c>
      <c r="AB139" s="16">
        <f t="shared" si="72"/>
        <v>-30705.439732100582</v>
      </c>
      <c r="AC139" s="16">
        <f t="shared" si="73"/>
        <v>-24912.429475690304</v>
      </c>
      <c r="AD139" s="16">
        <f t="shared" si="74"/>
        <v>-25012.429475690296</v>
      </c>
      <c r="AE139" s="16">
        <f t="shared" si="75"/>
        <v>-25612.4294756903</v>
      </c>
      <c r="AF139" s="14">
        <f>IF([1]Sheet2!AJ138=999999,"NA",[1]Sheet2!AJ138)</f>
        <v>0</v>
      </c>
      <c r="AG139" s="14">
        <f>IF([1]Sheet2!AK138=999999,"NA",[1]Sheet2!AK138)</f>
        <v>0</v>
      </c>
      <c r="AH139" s="14" t="str">
        <f>IF([1]Sheet2!AL138=999999,"NA",[1]Sheet2!AL138)</f>
        <v>NA</v>
      </c>
      <c r="AI139" s="14">
        <f>IF([1]Sheet2!AM138=999999,"NA",[1]Sheet2!AM138)</f>
        <v>0</v>
      </c>
      <c r="AJ139" s="14">
        <f>IF([1]Sheet2!AN138=999999,"NA",[1]Sheet2!AN138)</f>
        <v>0</v>
      </c>
      <c r="AK139" s="14">
        <f>IF([1]Sheet2!AO138=999999,"NA",[1]Sheet2!AO138)</f>
        <v>0</v>
      </c>
      <c r="AL139" s="14">
        <f>IF([1]Sheet2!AP138=999999,"NA",[1]Sheet2!AP138)</f>
        <v>0</v>
      </c>
      <c r="AM139" s="14">
        <f>IF([1]Sheet2!AQ138=999999,"NA",[1]Sheet2!AQ138)</f>
        <v>0</v>
      </c>
      <c r="AN139" s="14">
        <f>IF([1]Sheet2!AR138=999999,"NA",[1]Sheet2!AR138)</f>
        <v>0</v>
      </c>
      <c r="AO139" s="14">
        <f>IF([1]Sheet2!AS138=999999,"NA",[1]Sheet2!AS138)</f>
        <v>0</v>
      </c>
      <c r="AP139" s="14">
        <f>[1]Sheet2!P138</f>
        <v>0</v>
      </c>
      <c r="AQ139" s="14">
        <f>[1]Sheet2!Q138</f>
        <v>0</v>
      </c>
      <c r="AR139" s="14">
        <f>[1]Sheet2!R138</f>
        <v>0</v>
      </c>
      <c r="AS139" s="14">
        <f>[1]Sheet2!S138</f>
        <v>0</v>
      </c>
      <c r="AT139" s="14">
        <f>[1]Sheet2!T138</f>
        <v>0</v>
      </c>
      <c r="AU139" s="14">
        <f>[1]Sheet2!U138</f>
        <v>0</v>
      </c>
      <c r="AV139" s="14">
        <f>[1]Sheet2!V138</f>
        <v>0</v>
      </c>
      <c r="AW139" s="14">
        <f>[1]Sheet2!W138</f>
        <v>0</v>
      </c>
      <c r="AX139" s="14">
        <f>[1]Sheet2!X138</f>
        <v>0</v>
      </c>
      <c r="AY139" s="14">
        <f>[1]Sheet2!Y138</f>
        <v>0</v>
      </c>
      <c r="AZ139" s="16">
        <f>Demand_LP!B$7/31</f>
        <v>855.82964911600493</v>
      </c>
      <c r="BA139" s="16">
        <f>Demand_LP!C$7/31</f>
        <v>478.74276261373035</v>
      </c>
      <c r="BB139" s="16">
        <f>Demand_LP!D$7/31</f>
        <v>366.03598014888337</v>
      </c>
      <c r="BC139" s="16">
        <f>Demand_LP!E$7/31</f>
        <v>837.96277915632766</v>
      </c>
      <c r="BD139" s="16">
        <f>Demand_LP!F$7/31</f>
        <v>447.19049589019846</v>
      </c>
      <c r="BE139" s="16">
        <f>Demand_LP!G$7/31</f>
        <v>447.19049589019846</v>
      </c>
      <c r="BF139" s="16">
        <f>Demand_LP!H$7/31</f>
        <v>478.74276261373035</v>
      </c>
      <c r="BG139" s="16">
        <f>Demand_LP!I$7/31</f>
        <v>447.19049589019846</v>
      </c>
      <c r="BH139" s="16">
        <f>Demand_LP!J$7/31</f>
        <v>447.19049589019846</v>
      </c>
      <c r="BI139" s="16">
        <f>Demand_LP!K$7/31</f>
        <v>447.19049589019846</v>
      </c>
      <c r="BJ139" s="16">
        <f t="shared" si="76"/>
        <v>-89113.782836744562</v>
      </c>
      <c r="BK139" s="16">
        <f t="shared" si="77"/>
        <v>-77770.338047973491</v>
      </c>
      <c r="BL139" s="16">
        <f t="shared" si="78"/>
        <v>-31029.579528536055</v>
      </c>
      <c r="BM139" s="16">
        <f t="shared" si="79"/>
        <v>-94078.374963093142</v>
      </c>
      <c r="BN139" s="16">
        <f t="shared" si="80"/>
        <v>-54773.03306635331</v>
      </c>
      <c r="BO139" s="16">
        <f t="shared" si="81"/>
        <v>-53230.716984724022</v>
      </c>
      <c r="BP139" s="16">
        <f t="shared" si="82"/>
        <v>-72127.917535152999</v>
      </c>
      <c r="BQ139" s="16">
        <f t="shared" si="83"/>
        <v>-53230.716984724022</v>
      </c>
      <c r="BR139" s="16">
        <f t="shared" si="84"/>
        <v>-50830.716984724022</v>
      </c>
      <c r="BS139" s="16">
        <f t="shared" si="85"/>
        <v>-51530.716984724015</v>
      </c>
      <c r="BT139" s="14">
        <f>IF([1]Sheet2!CB138=999999,"NA",[1]Sheet2!CB138)</f>
        <v>0</v>
      </c>
      <c r="BU139" s="14">
        <f>IF([1]Sheet2!CC138=999999,"NA",[1]Sheet2!CC138)</f>
        <v>0</v>
      </c>
      <c r="BV139" s="14">
        <f>IF([1]Sheet2!CD138=999999,"NA",[1]Sheet2!CD138)</f>
        <v>0</v>
      </c>
      <c r="BW139" s="14">
        <f>IF([1]Sheet2!CE138=999999,"NA",[1]Sheet2!CE138)</f>
        <v>0</v>
      </c>
      <c r="BX139" s="14">
        <f>IF([1]Sheet2!CF138=999999,"NA",[1]Sheet2!CF138)</f>
        <v>0</v>
      </c>
      <c r="BY139" s="14">
        <f>IF([1]Sheet2!CG138=999999,"NA",[1]Sheet2!CG138)</f>
        <v>0</v>
      </c>
      <c r="BZ139" s="14">
        <f>IF([1]Sheet2!CH138=999999,"NA",[1]Sheet2!CH138)</f>
        <v>0</v>
      </c>
      <c r="CA139" s="14">
        <f>IF([1]Sheet2!CI138=999999,"NA",[1]Sheet2!CI138)</f>
        <v>0</v>
      </c>
      <c r="CB139" s="14">
        <f>IF([1]Sheet2!CJ138=999999,"NA",[1]Sheet2!CJ138)</f>
        <v>0</v>
      </c>
      <c r="CC139" s="14">
        <f>IF([1]Sheet2!CK138=999999,"NA",[1]Sheet2!CK138)</f>
        <v>0</v>
      </c>
      <c r="CD139" s="14">
        <f>[1]Sheet2!BH138</f>
        <v>0</v>
      </c>
      <c r="CE139" s="14">
        <f>[1]Sheet2!BI138</f>
        <v>0</v>
      </c>
      <c r="CF139" s="14">
        <f>[1]Sheet2!BJ138</f>
        <v>0</v>
      </c>
      <c r="CG139" s="14">
        <f>[1]Sheet2!BK138</f>
        <v>0</v>
      </c>
      <c r="CH139" s="14">
        <f>[1]Sheet2!BL138</f>
        <v>0</v>
      </c>
      <c r="CI139" s="14">
        <f>[1]Sheet2!BM138</f>
        <v>0</v>
      </c>
      <c r="CJ139" s="14">
        <f>[1]Sheet2!BN138</f>
        <v>0</v>
      </c>
      <c r="CK139" s="14">
        <f>[1]Sheet2!BO138</f>
        <v>0</v>
      </c>
      <c r="CL139" s="14">
        <f>[1]Sheet2!BP138</f>
        <v>0</v>
      </c>
      <c r="CM139" s="14">
        <f>[1]Sheet2!BQ138</f>
        <v>0</v>
      </c>
      <c r="CN139" s="16">
        <f>Demand_SW!B$7/31</f>
        <v>122.8287841191067</v>
      </c>
      <c r="CO139" s="16">
        <f>Demand_SW!C$7/31</f>
        <v>0</v>
      </c>
      <c r="CP139" s="16">
        <f>Demand_SW!D$7/31</f>
        <v>0</v>
      </c>
      <c r="CQ139" s="16">
        <f>Demand_SW!E$7/31</f>
        <v>0</v>
      </c>
      <c r="CR139" s="16">
        <f>Demand_SW!F$7/31</f>
        <v>0</v>
      </c>
      <c r="CS139" s="16">
        <f>Demand_SW!G$7/31</f>
        <v>122.8287841191067</v>
      </c>
      <c r="CT139" s="16">
        <f>Demand_SW!H$7/31</f>
        <v>0</v>
      </c>
      <c r="CU139" s="16">
        <f>Demand_SW!I$7/31</f>
        <v>0</v>
      </c>
      <c r="CV139" s="16">
        <f>Demand_SW!J$7/31</f>
        <v>0</v>
      </c>
      <c r="CW139" s="16">
        <f>Demand_SW!K$7/31</f>
        <v>0</v>
      </c>
      <c r="CX139" s="16">
        <f t="shared" si="86"/>
        <v>-13428.337468982638</v>
      </c>
      <c r="CY139" s="16">
        <f t="shared" si="87"/>
        <v>76.923076923077133</v>
      </c>
      <c r="CZ139" s="16">
        <f t="shared" si="88"/>
        <v>0</v>
      </c>
      <c r="DA139" s="16">
        <f t="shared" si="89"/>
        <v>0</v>
      </c>
      <c r="DB139" s="16">
        <f t="shared" si="90"/>
        <v>0</v>
      </c>
      <c r="DC139" s="16">
        <f t="shared" si="91"/>
        <v>-12957.568238213405</v>
      </c>
      <c r="DD139" s="16">
        <f t="shared" si="92"/>
        <v>76.923076923077133</v>
      </c>
      <c r="DE139" s="16">
        <f t="shared" si="93"/>
        <v>0</v>
      </c>
      <c r="DF139" s="16">
        <f t="shared" si="94"/>
        <v>0</v>
      </c>
      <c r="DG139" s="16">
        <f t="shared" si="95"/>
        <v>0</v>
      </c>
      <c r="DH139" s="14">
        <f>IF([1]Sheet2!DS138=999999,"NA",[1]Sheet2!DS138)</f>
        <v>0</v>
      </c>
      <c r="DI139" s="14">
        <f>IF([1]Sheet2!DT138=999999,"NA",[1]Sheet2!DT138)</f>
        <v>229</v>
      </c>
      <c r="DJ139" s="14" t="str">
        <f>IF([1]Sheet2!DU138=999999,"NA",[1]Sheet2!DU138)</f>
        <v>NA</v>
      </c>
      <c r="DK139" s="14" t="str">
        <f>IF([1]Sheet2!DV138=999999,"NA",[1]Sheet2!DV138)</f>
        <v>NA</v>
      </c>
      <c r="DL139" s="14" t="str">
        <f>IF([1]Sheet2!DW138=999999,"NA",[1]Sheet2!DW138)</f>
        <v>NA</v>
      </c>
      <c r="DM139" s="14">
        <f>IF([1]Sheet2!DX138=999999,"NA",[1]Sheet2!DX138)</f>
        <v>0</v>
      </c>
      <c r="DN139" s="14">
        <f>IF([1]Sheet2!DY138=999999,"NA",[1]Sheet2!DY138)</f>
        <v>229</v>
      </c>
      <c r="DO139" s="14" t="str">
        <f>IF([1]Sheet2!DZ138=999999,"NA",[1]Sheet2!DZ138)</f>
        <v>NA</v>
      </c>
      <c r="DP139" s="14" t="str">
        <f>IF([1]Sheet2!EA138=999999,"NA",[1]Sheet2!EA138)</f>
        <v>NA</v>
      </c>
      <c r="DQ139" s="14" t="str">
        <f>IF([1]Sheet2!EB138=999999,"NA",[1]Sheet2!EB138)</f>
        <v>NA</v>
      </c>
      <c r="DR139" s="14">
        <f>[1]Sheet2!CY138</f>
        <v>0</v>
      </c>
      <c r="DS139" s="14">
        <f>[1]Sheet2!CZ138</f>
        <v>0</v>
      </c>
      <c r="DT139" s="14">
        <f>[1]Sheet2!DA138</f>
        <v>0</v>
      </c>
      <c r="DU139" s="14">
        <f>[1]Sheet2!DB138</f>
        <v>0</v>
      </c>
      <c r="DV139" s="14">
        <f>[1]Sheet2!DC138</f>
        <v>0</v>
      </c>
      <c r="DW139" s="14">
        <f>[1]Sheet2!DD138</f>
        <v>0</v>
      </c>
      <c r="DX139" s="14">
        <f>[1]Sheet2!DE138</f>
        <v>0</v>
      </c>
      <c r="DY139" s="14">
        <f>[1]Sheet2!DF138</f>
        <v>0</v>
      </c>
      <c r="DZ139" s="14">
        <f>[1]Sheet2!DG138</f>
        <v>0</v>
      </c>
      <c r="EA139" s="14">
        <f>[1]Sheet2!DH138</f>
        <v>0</v>
      </c>
      <c r="EB139" s="6">
        <f>[1]Sheet2!EC138</f>
        <v>0</v>
      </c>
      <c r="EC139" s="6">
        <f>[1]Sheet2!ED138</f>
        <v>0</v>
      </c>
      <c r="ED139" s="6">
        <f>[1]Sheet2!EE138</f>
        <v>0</v>
      </c>
      <c r="EE139" s="6">
        <f>[1]Sheet2!EF138</f>
        <v>0</v>
      </c>
      <c r="EF139" s="6">
        <f>[1]Sheet2!EG138</f>
        <v>0</v>
      </c>
      <c r="EG139" s="6">
        <f>[1]Sheet2!EH138</f>
        <v>0</v>
      </c>
      <c r="EH139" s="6">
        <f>[1]Sheet2!EI138</f>
        <v>0</v>
      </c>
      <c r="EI139" s="6">
        <f>[1]Sheet2!EJ138</f>
        <v>0</v>
      </c>
      <c r="EJ139" s="6">
        <f>[1]Sheet2!EK138</f>
        <v>0</v>
      </c>
      <c r="EK139" s="6">
        <f>[1]Sheet2!EL138</f>
        <v>0</v>
      </c>
      <c r="EL139" s="6" t="str">
        <f>[1]Sheet2!EM138</f>
        <v/>
      </c>
      <c r="EM139" s="6" t="str">
        <f>[1]Sheet2!EN138</f>
        <v/>
      </c>
      <c r="EN139" s="6" t="str">
        <f>[1]Sheet2!EO138</f>
        <v/>
      </c>
      <c r="EO139" s="6" t="str">
        <f>[1]Sheet2!EP138</f>
        <v/>
      </c>
      <c r="EP139" s="6" t="str">
        <f>[1]Sheet2!EQ138</f>
        <v/>
      </c>
      <c r="EQ139" s="6" t="str">
        <f>[1]Sheet2!ER138</f>
        <v/>
      </c>
      <c r="ER139" s="6" t="str">
        <f>[1]Sheet2!ES138</f>
        <v/>
      </c>
      <c r="ES139" s="6" t="str">
        <f>[1]Sheet2!ET138</f>
        <v/>
      </c>
      <c r="ET139" s="6" t="str">
        <f>[1]Sheet2!EU138</f>
        <v/>
      </c>
      <c r="EU139" s="6" t="str">
        <f>[1]Sheet2!EV138</f>
        <v/>
      </c>
      <c r="EV139" s="6" t="str">
        <f>[1]Sheet2!EW138</f>
        <v/>
      </c>
      <c r="EW139" s="6" t="str">
        <f>[1]Sheet2!EX138</f>
        <v/>
      </c>
      <c r="EX139" s="6" t="str">
        <f>[1]Sheet2!EY138</f>
        <v/>
      </c>
      <c r="EY139" s="6" t="str">
        <f>[1]Sheet2!EZ138</f>
        <v/>
      </c>
      <c r="EZ139" s="6" t="str">
        <f>[1]Sheet2!FA138</f>
        <v/>
      </c>
      <c r="FA139" s="6" t="str">
        <f>[1]Sheet2!FB138</f>
        <v/>
      </c>
      <c r="FB139" s="6" t="str">
        <f>[1]Sheet2!FC138</f>
        <v/>
      </c>
      <c r="FC139" s="6" t="str">
        <f>[1]Sheet2!FD138</f>
        <v/>
      </c>
      <c r="FD139" s="6" t="str">
        <f>[1]Sheet2!FE138</f>
        <v/>
      </c>
      <c r="FE139" s="6" t="str">
        <f>[1]Sheet2!FF138</f>
        <v/>
      </c>
      <c r="FF139" s="6" t="str">
        <f>[1]Sheet2!FG138</f>
        <v/>
      </c>
      <c r="FG139" s="6" t="str">
        <f>[1]Sheet2!FH138</f>
        <v/>
      </c>
      <c r="FH139" s="6" t="str">
        <f>[1]Sheet2!FI138</f>
        <v/>
      </c>
      <c r="FI139" s="6" t="str">
        <f>[1]Sheet2!FJ138</f>
        <v/>
      </c>
      <c r="FJ139" s="6" t="str">
        <f>[1]Sheet2!FK138</f>
        <v/>
      </c>
      <c r="FK139" s="6" t="str">
        <f>[1]Sheet2!FL138</f>
        <v/>
      </c>
      <c r="FL139" s="6" t="str">
        <f>[1]Sheet2!FM138</f>
        <v/>
      </c>
      <c r="FM139" s="6" t="str">
        <f>[1]Sheet2!FN138</f>
        <v/>
      </c>
      <c r="FN139" s="6" t="str">
        <f>[1]Sheet2!FO138</f>
        <v/>
      </c>
      <c r="FO139" s="6" t="str">
        <f>[1]Sheet2!FP138</f>
        <v/>
      </c>
    </row>
    <row r="140" spans="1:171" x14ac:dyDescent="0.25">
      <c r="A140" s="15">
        <v>43602</v>
      </c>
      <c r="B140" s="1"/>
      <c r="C140" s="1"/>
      <c r="D140" s="1"/>
      <c r="E140" s="14">
        <f>[1]Sheet2!N139</f>
        <v>0</v>
      </c>
      <c r="F140" s="14">
        <f>[1]Sheet2!BE139</f>
        <v>0</v>
      </c>
      <c r="G140" s="14">
        <f>[1]Sheet2!CW139</f>
        <v>0</v>
      </c>
      <c r="H140" s="1"/>
      <c r="I140" s="1"/>
      <c r="J140" s="1"/>
      <c r="K140" s="16"/>
      <c r="L140" s="16">
        <f>Demand_CWRS!B$7/31</f>
        <v>129.8994219137717</v>
      </c>
      <c r="M140" s="16">
        <f>Demand_CWRS!C$7/31</f>
        <v>543.3829611248965</v>
      </c>
      <c r="N140" s="16">
        <f>Demand_CWRS!D$7/31</f>
        <v>0</v>
      </c>
      <c r="O140" s="16">
        <f>Demand_CWRS!E$7/31</f>
        <v>131.84491315136475</v>
      </c>
      <c r="P140" s="16">
        <f>Demand_CWRS!F$7/31</f>
        <v>232.12592522229113</v>
      </c>
      <c r="Q140" s="16">
        <f>Demand_CWRS!G$7/31</f>
        <v>129.8994219137717</v>
      </c>
      <c r="R140" s="16">
        <f>Demand_CWRS!H$7/31</f>
        <v>232.12592522229113</v>
      </c>
      <c r="S140" s="16">
        <f>Demand_CWRS!I$7/31</f>
        <v>232.12592522229113</v>
      </c>
      <c r="T140" s="16">
        <f>Demand_CWRS!J$7/31</f>
        <v>232.12592522229113</v>
      </c>
      <c r="U140" s="16">
        <f>Demand_CWRS!K$7/31</f>
        <v>232.12592522229113</v>
      </c>
      <c r="V140" s="16">
        <f t="shared" si="66"/>
        <v>-16796.123813296035</v>
      </c>
      <c r="W140" s="16">
        <f t="shared" si="67"/>
        <v>-58752.64623655899</v>
      </c>
      <c r="X140" s="16">
        <f t="shared" si="68"/>
        <v>0</v>
      </c>
      <c r="Y140" s="16">
        <f t="shared" si="69"/>
        <v>-6989.9990477536467</v>
      </c>
      <c r="Z140" s="16">
        <f t="shared" si="70"/>
        <v>-26456.521987451055</v>
      </c>
      <c r="AA140" s="16">
        <f t="shared" si="71"/>
        <v>-15470.350664257599</v>
      </c>
      <c r="AB140" s="16">
        <f t="shared" si="72"/>
        <v>-30937.565657322873</v>
      </c>
      <c r="AC140" s="16">
        <f t="shared" si="73"/>
        <v>-25144.555400912595</v>
      </c>
      <c r="AD140" s="16">
        <f t="shared" si="74"/>
        <v>-25244.555400912588</v>
      </c>
      <c r="AE140" s="16">
        <f t="shared" si="75"/>
        <v>-25844.555400912592</v>
      </c>
      <c r="AF140" s="14">
        <f>IF([1]Sheet2!AJ139=999999,"NA",[1]Sheet2!AJ139)</f>
        <v>0</v>
      </c>
      <c r="AG140" s="14">
        <f>IF([1]Sheet2!AK139=999999,"NA",[1]Sheet2!AK139)</f>
        <v>0</v>
      </c>
      <c r="AH140" s="14" t="str">
        <f>IF([1]Sheet2!AL139=999999,"NA",[1]Sheet2!AL139)</f>
        <v>NA</v>
      </c>
      <c r="AI140" s="14">
        <f>IF([1]Sheet2!AM139=999999,"NA",[1]Sheet2!AM139)</f>
        <v>0</v>
      </c>
      <c r="AJ140" s="14">
        <f>IF([1]Sheet2!AN139=999999,"NA",[1]Sheet2!AN139)</f>
        <v>0</v>
      </c>
      <c r="AK140" s="14">
        <f>IF([1]Sheet2!AO139=999999,"NA",[1]Sheet2!AO139)</f>
        <v>0</v>
      </c>
      <c r="AL140" s="14">
        <f>IF([1]Sheet2!AP139=999999,"NA",[1]Sheet2!AP139)</f>
        <v>0</v>
      </c>
      <c r="AM140" s="14">
        <f>IF([1]Sheet2!AQ139=999999,"NA",[1]Sheet2!AQ139)</f>
        <v>0</v>
      </c>
      <c r="AN140" s="14">
        <f>IF([1]Sheet2!AR139=999999,"NA",[1]Sheet2!AR139)</f>
        <v>0</v>
      </c>
      <c r="AO140" s="14">
        <f>IF([1]Sheet2!AS139=999999,"NA",[1]Sheet2!AS139)</f>
        <v>0</v>
      </c>
      <c r="AP140" s="14">
        <f>[1]Sheet2!P139</f>
        <v>0</v>
      </c>
      <c r="AQ140" s="14">
        <f>[1]Sheet2!Q139</f>
        <v>0</v>
      </c>
      <c r="AR140" s="14">
        <f>[1]Sheet2!R139</f>
        <v>0</v>
      </c>
      <c r="AS140" s="14">
        <f>[1]Sheet2!S139</f>
        <v>0</v>
      </c>
      <c r="AT140" s="14">
        <f>[1]Sheet2!T139</f>
        <v>0</v>
      </c>
      <c r="AU140" s="14">
        <f>[1]Sheet2!U139</f>
        <v>0</v>
      </c>
      <c r="AV140" s="14">
        <f>[1]Sheet2!V139</f>
        <v>0</v>
      </c>
      <c r="AW140" s="14">
        <f>[1]Sheet2!W139</f>
        <v>0</v>
      </c>
      <c r="AX140" s="14">
        <f>[1]Sheet2!X139</f>
        <v>0</v>
      </c>
      <c r="AY140" s="14">
        <f>[1]Sheet2!Y139</f>
        <v>0</v>
      </c>
      <c r="AZ140" s="16">
        <f>Demand_LP!B$7/31</f>
        <v>855.82964911600493</v>
      </c>
      <c r="BA140" s="16">
        <f>Demand_LP!C$7/31</f>
        <v>478.74276261373035</v>
      </c>
      <c r="BB140" s="16">
        <f>Demand_LP!D$7/31</f>
        <v>366.03598014888337</v>
      </c>
      <c r="BC140" s="16">
        <f>Demand_LP!E$7/31</f>
        <v>837.96277915632766</v>
      </c>
      <c r="BD140" s="16">
        <f>Demand_LP!F$7/31</f>
        <v>447.19049589019846</v>
      </c>
      <c r="BE140" s="16">
        <f>Demand_LP!G$7/31</f>
        <v>447.19049589019846</v>
      </c>
      <c r="BF140" s="16">
        <f>Demand_LP!H$7/31</f>
        <v>478.74276261373035</v>
      </c>
      <c r="BG140" s="16">
        <f>Demand_LP!I$7/31</f>
        <v>447.19049589019846</v>
      </c>
      <c r="BH140" s="16">
        <f>Demand_LP!J$7/31</f>
        <v>447.19049589019846</v>
      </c>
      <c r="BI140" s="16">
        <f>Demand_LP!K$7/31</f>
        <v>447.19049589019846</v>
      </c>
      <c r="BJ140" s="16">
        <f t="shared" si="76"/>
        <v>-89969.612485860562</v>
      </c>
      <c r="BK140" s="16">
        <f t="shared" si="77"/>
        <v>-78249.080810587227</v>
      </c>
      <c r="BL140" s="16">
        <f t="shared" si="78"/>
        <v>-31395.615508684939</v>
      </c>
      <c r="BM140" s="16">
        <f t="shared" si="79"/>
        <v>-94916.337742249467</v>
      </c>
      <c r="BN140" s="16">
        <f t="shared" si="80"/>
        <v>-55220.223562243511</v>
      </c>
      <c r="BO140" s="16">
        <f t="shared" si="81"/>
        <v>-53677.907480614223</v>
      </c>
      <c r="BP140" s="16">
        <f t="shared" si="82"/>
        <v>-72606.660297766735</v>
      </c>
      <c r="BQ140" s="16">
        <f t="shared" si="83"/>
        <v>-53677.907480614223</v>
      </c>
      <c r="BR140" s="16">
        <f t="shared" si="84"/>
        <v>-51277.907480614223</v>
      </c>
      <c r="BS140" s="16">
        <f t="shared" si="85"/>
        <v>-51977.907480614216</v>
      </c>
      <c r="BT140" s="14">
        <f>IF([1]Sheet2!CB139=999999,"NA",[1]Sheet2!CB139)</f>
        <v>0</v>
      </c>
      <c r="BU140" s="14">
        <f>IF([1]Sheet2!CC139=999999,"NA",[1]Sheet2!CC139)</f>
        <v>0</v>
      </c>
      <c r="BV140" s="14">
        <f>IF([1]Sheet2!CD139=999999,"NA",[1]Sheet2!CD139)</f>
        <v>0</v>
      </c>
      <c r="BW140" s="14">
        <f>IF([1]Sheet2!CE139=999999,"NA",[1]Sheet2!CE139)</f>
        <v>0</v>
      </c>
      <c r="BX140" s="14">
        <f>IF([1]Sheet2!CF139=999999,"NA",[1]Sheet2!CF139)</f>
        <v>0</v>
      </c>
      <c r="BY140" s="14">
        <f>IF([1]Sheet2!CG139=999999,"NA",[1]Sheet2!CG139)</f>
        <v>0</v>
      </c>
      <c r="BZ140" s="14">
        <f>IF([1]Sheet2!CH139=999999,"NA",[1]Sheet2!CH139)</f>
        <v>0</v>
      </c>
      <c r="CA140" s="14">
        <f>IF([1]Sheet2!CI139=999999,"NA",[1]Sheet2!CI139)</f>
        <v>0</v>
      </c>
      <c r="CB140" s="14">
        <f>IF([1]Sheet2!CJ139=999999,"NA",[1]Sheet2!CJ139)</f>
        <v>0</v>
      </c>
      <c r="CC140" s="14">
        <f>IF([1]Sheet2!CK139=999999,"NA",[1]Sheet2!CK139)</f>
        <v>0</v>
      </c>
      <c r="CD140" s="14">
        <f>[1]Sheet2!BH139</f>
        <v>0</v>
      </c>
      <c r="CE140" s="14">
        <f>[1]Sheet2!BI139</f>
        <v>0</v>
      </c>
      <c r="CF140" s="14">
        <f>[1]Sheet2!BJ139</f>
        <v>0</v>
      </c>
      <c r="CG140" s="14">
        <f>[1]Sheet2!BK139</f>
        <v>0</v>
      </c>
      <c r="CH140" s="14">
        <f>[1]Sheet2!BL139</f>
        <v>0</v>
      </c>
      <c r="CI140" s="14">
        <f>[1]Sheet2!BM139</f>
        <v>0</v>
      </c>
      <c r="CJ140" s="14">
        <f>[1]Sheet2!BN139</f>
        <v>0</v>
      </c>
      <c r="CK140" s="14">
        <f>[1]Sheet2!BO139</f>
        <v>0</v>
      </c>
      <c r="CL140" s="14">
        <f>[1]Sheet2!BP139</f>
        <v>0</v>
      </c>
      <c r="CM140" s="14">
        <f>[1]Sheet2!BQ139</f>
        <v>0</v>
      </c>
      <c r="CN140" s="16">
        <f>Demand_SW!B$7/31</f>
        <v>122.8287841191067</v>
      </c>
      <c r="CO140" s="16">
        <f>Demand_SW!C$7/31</f>
        <v>0</v>
      </c>
      <c r="CP140" s="16">
        <f>Demand_SW!D$7/31</f>
        <v>0</v>
      </c>
      <c r="CQ140" s="16">
        <f>Demand_SW!E$7/31</f>
        <v>0</v>
      </c>
      <c r="CR140" s="16">
        <f>Demand_SW!F$7/31</f>
        <v>0</v>
      </c>
      <c r="CS140" s="16">
        <f>Demand_SW!G$7/31</f>
        <v>122.8287841191067</v>
      </c>
      <c r="CT140" s="16">
        <f>Demand_SW!H$7/31</f>
        <v>0</v>
      </c>
      <c r="CU140" s="16">
        <f>Demand_SW!I$7/31</f>
        <v>0</v>
      </c>
      <c r="CV140" s="16">
        <f>Demand_SW!J$7/31</f>
        <v>0</v>
      </c>
      <c r="CW140" s="16">
        <f>Demand_SW!K$7/31</f>
        <v>0</v>
      </c>
      <c r="CX140" s="16">
        <f t="shared" si="86"/>
        <v>-13551.166253101745</v>
      </c>
      <c r="CY140" s="16">
        <f t="shared" si="87"/>
        <v>76.923076923077133</v>
      </c>
      <c r="CZ140" s="16">
        <f t="shared" si="88"/>
        <v>0</v>
      </c>
      <c r="DA140" s="16">
        <f t="shared" si="89"/>
        <v>0</v>
      </c>
      <c r="DB140" s="16">
        <f t="shared" si="90"/>
        <v>0</v>
      </c>
      <c r="DC140" s="16">
        <f t="shared" si="91"/>
        <v>-13080.397022332512</v>
      </c>
      <c r="DD140" s="16">
        <f t="shared" si="92"/>
        <v>76.923076923077133</v>
      </c>
      <c r="DE140" s="16">
        <f t="shared" si="93"/>
        <v>0</v>
      </c>
      <c r="DF140" s="16">
        <f t="shared" si="94"/>
        <v>0</v>
      </c>
      <c r="DG140" s="16">
        <f t="shared" si="95"/>
        <v>0</v>
      </c>
      <c r="DH140" s="14">
        <f>IF([1]Sheet2!DS139=999999,"NA",[1]Sheet2!DS139)</f>
        <v>0</v>
      </c>
      <c r="DI140" s="14">
        <f>IF([1]Sheet2!DT139=999999,"NA",[1]Sheet2!DT139)</f>
        <v>228</v>
      </c>
      <c r="DJ140" s="14" t="str">
        <f>IF([1]Sheet2!DU139=999999,"NA",[1]Sheet2!DU139)</f>
        <v>NA</v>
      </c>
      <c r="DK140" s="14" t="str">
        <f>IF([1]Sheet2!DV139=999999,"NA",[1]Sheet2!DV139)</f>
        <v>NA</v>
      </c>
      <c r="DL140" s="14" t="str">
        <f>IF([1]Sheet2!DW139=999999,"NA",[1]Sheet2!DW139)</f>
        <v>NA</v>
      </c>
      <c r="DM140" s="14">
        <f>IF([1]Sheet2!DX139=999999,"NA",[1]Sheet2!DX139)</f>
        <v>0</v>
      </c>
      <c r="DN140" s="14">
        <f>IF([1]Sheet2!DY139=999999,"NA",[1]Sheet2!DY139)</f>
        <v>228</v>
      </c>
      <c r="DO140" s="14" t="str">
        <f>IF([1]Sheet2!DZ139=999999,"NA",[1]Sheet2!DZ139)</f>
        <v>NA</v>
      </c>
      <c r="DP140" s="14" t="str">
        <f>IF([1]Sheet2!EA139=999999,"NA",[1]Sheet2!EA139)</f>
        <v>NA</v>
      </c>
      <c r="DQ140" s="14" t="str">
        <f>IF([1]Sheet2!EB139=999999,"NA",[1]Sheet2!EB139)</f>
        <v>NA</v>
      </c>
      <c r="DR140" s="14">
        <f>[1]Sheet2!CY139</f>
        <v>0</v>
      </c>
      <c r="DS140" s="14">
        <f>[1]Sheet2!CZ139</f>
        <v>0</v>
      </c>
      <c r="DT140" s="14">
        <f>[1]Sheet2!DA139</f>
        <v>0</v>
      </c>
      <c r="DU140" s="14">
        <f>[1]Sheet2!DB139</f>
        <v>0</v>
      </c>
      <c r="DV140" s="14">
        <f>[1]Sheet2!DC139</f>
        <v>0</v>
      </c>
      <c r="DW140" s="14">
        <f>[1]Sheet2!DD139</f>
        <v>0</v>
      </c>
      <c r="DX140" s="14">
        <f>[1]Sheet2!DE139</f>
        <v>0</v>
      </c>
      <c r="DY140" s="14">
        <f>[1]Sheet2!DF139</f>
        <v>0</v>
      </c>
      <c r="DZ140" s="14">
        <f>[1]Sheet2!DG139</f>
        <v>0</v>
      </c>
      <c r="EA140" s="14">
        <f>[1]Sheet2!DH139</f>
        <v>0</v>
      </c>
      <c r="EB140" s="6">
        <f>[1]Sheet2!EC139</f>
        <v>0</v>
      </c>
      <c r="EC140" s="6">
        <f>[1]Sheet2!ED139</f>
        <v>0</v>
      </c>
      <c r="ED140" s="6">
        <f>[1]Sheet2!EE139</f>
        <v>0</v>
      </c>
      <c r="EE140" s="6">
        <f>[1]Sheet2!EF139</f>
        <v>0</v>
      </c>
      <c r="EF140" s="6">
        <f>[1]Sheet2!EG139</f>
        <v>0</v>
      </c>
      <c r="EG140" s="6">
        <f>[1]Sheet2!EH139</f>
        <v>0</v>
      </c>
      <c r="EH140" s="6">
        <f>[1]Sheet2!EI139</f>
        <v>0</v>
      </c>
      <c r="EI140" s="6">
        <f>[1]Sheet2!EJ139</f>
        <v>0</v>
      </c>
      <c r="EJ140" s="6">
        <f>[1]Sheet2!EK139</f>
        <v>0</v>
      </c>
      <c r="EK140" s="6">
        <f>[1]Sheet2!EL139</f>
        <v>0</v>
      </c>
      <c r="EL140" s="6" t="str">
        <f>[1]Sheet2!EM139</f>
        <v/>
      </c>
      <c r="EM140" s="6" t="str">
        <f>[1]Sheet2!EN139</f>
        <v/>
      </c>
      <c r="EN140" s="6" t="str">
        <f>[1]Sheet2!EO139</f>
        <v/>
      </c>
      <c r="EO140" s="6" t="str">
        <f>[1]Sheet2!EP139</f>
        <v/>
      </c>
      <c r="EP140" s="6" t="str">
        <f>[1]Sheet2!EQ139</f>
        <v/>
      </c>
      <c r="EQ140" s="6" t="str">
        <f>[1]Sheet2!ER139</f>
        <v/>
      </c>
      <c r="ER140" s="6" t="str">
        <f>[1]Sheet2!ES139</f>
        <v/>
      </c>
      <c r="ES140" s="6" t="str">
        <f>[1]Sheet2!ET139</f>
        <v/>
      </c>
      <c r="ET140" s="6" t="str">
        <f>[1]Sheet2!EU139</f>
        <v/>
      </c>
      <c r="EU140" s="6" t="str">
        <f>[1]Sheet2!EV139</f>
        <v/>
      </c>
      <c r="EV140" s="6" t="str">
        <f>[1]Sheet2!EW139</f>
        <v/>
      </c>
      <c r="EW140" s="6" t="str">
        <f>[1]Sheet2!EX139</f>
        <v/>
      </c>
      <c r="EX140" s="6" t="str">
        <f>[1]Sheet2!EY139</f>
        <v/>
      </c>
      <c r="EY140" s="6" t="str">
        <f>[1]Sheet2!EZ139</f>
        <v/>
      </c>
      <c r="EZ140" s="6" t="str">
        <f>[1]Sheet2!FA139</f>
        <v/>
      </c>
      <c r="FA140" s="6" t="str">
        <f>[1]Sheet2!FB139</f>
        <v/>
      </c>
      <c r="FB140" s="6" t="str">
        <f>[1]Sheet2!FC139</f>
        <v/>
      </c>
      <c r="FC140" s="6" t="str">
        <f>[1]Sheet2!FD139</f>
        <v/>
      </c>
      <c r="FD140" s="6" t="str">
        <f>[1]Sheet2!FE139</f>
        <v/>
      </c>
      <c r="FE140" s="6" t="str">
        <f>[1]Sheet2!FF139</f>
        <v/>
      </c>
      <c r="FF140" s="6" t="str">
        <f>[1]Sheet2!FG139</f>
        <v/>
      </c>
      <c r="FG140" s="6" t="str">
        <f>[1]Sheet2!FH139</f>
        <v/>
      </c>
      <c r="FH140" s="6" t="str">
        <f>[1]Sheet2!FI139</f>
        <v/>
      </c>
      <c r="FI140" s="6" t="str">
        <f>[1]Sheet2!FJ139</f>
        <v/>
      </c>
      <c r="FJ140" s="6" t="str">
        <f>[1]Sheet2!FK139</f>
        <v/>
      </c>
      <c r="FK140" s="6" t="str">
        <f>[1]Sheet2!FL139</f>
        <v/>
      </c>
      <c r="FL140" s="6" t="str">
        <f>[1]Sheet2!FM139</f>
        <v/>
      </c>
      <c r="FM140" s="6" t="str">
        <f>[1]Sheet2!FN139</f>
        <v/>
      </c>
      <c r="FN140" s="6" t="str">
        <f>[1]Sheet2!FO139</f>
        <v/>
      </c>
      <c r="FO140" s="6" t="str">
        <f>[1]Sheet2!FP139</f>
        <v/>
      </c>
    </row>
    <row r="141" spans="1:171" x14ac:dyDescent="0.25">
      <c r="A141" s="15">
        <v>43603</v>
      </c>
      <c r="B141" s="1"/>
      <c r="C141" s="1"/>
      <c r="D141" s="1"/>
      <c r="E141" s="14">
        <f>[1]Sheet2!N140</f>
        <v>0</v>
      </c>
      <c r="F141" s="14">
        <f>[1]Sheet2!BE140</f>
        <v>0</v>
      </c>
      <c r="G141" s="14">
        <f>[1]Sheet2!CW140</f>
        <v>0</v>
      </c>
      <c r="H141" s="1"/>
      <c r="I141" s="1"/>
      <c r="J141" s="1"/>
      <c r="K141" s="16"/>
      <c r="L141" s="16">
        <f>Demand_CWRS!B$7/31</f>
        <v>129.8994219137717</v>
      </c>
      <c r="M141" s="16">
        <f>Demand_CWRS!C$7/31</f>
        <v>543.3829611248965</v>
      </c>
      <c r="N141" s="16">
        <f>Demand_CWRS!D$7/31</f>
        <v>0</v>
      </c>
      <c r="O141" s="16">
        <f>Demand_CWRS!E$7/31</f>
        <v>131.84491315136475</v>
      </c>
      <c r="P141" s="16">
        <f>Demand_CWRS!F$7/31</f>
        <v>232.12592522229113</v>
      </c>
      <c r="Q141" s="16">
        <f>Demand_CWRS!G$7/31</f>
        <v>129.8994219137717</v>
      </c>
      <c r="R141" s="16">
        <f>Demand_CWRS!H$7/31</f>
        <v>232.12592522229113</v>
      </c>
      <c r="S141" s="16">
        <f>Demand_CWRS!I$7/31</f>
        <v>232.12592522229113</v>
      </c>
      <c r="T141" s="16">
        <f>Demand_CWRS!J$7/31</f>
        <v>232.12592522229113</v>
      </c>
      <c r="U141" s="16">
        <f>Demand_CWRS!K$7/31</f>
        <v>232.12592522229113</v>
      </c>
      <c r="V141" s="16">
        <f t="shared" si="66"/>
        <v>-16926.023235209806</v>
      </c>
      <c r="W141" s="16">
        <f t="shared" si="67"/>
        <v>-59296.029197683885</v>
      </c>
      <c r="X141" s="16">
        <f t="shared" si="68"/>
        <v>0</v>
      </c>
      <c r="Y141" s="16">
        <f t="shared" si="69"/>
        <v>-7121.843960905011</v>
      </c>
      <c r="Z141" s="16">
        <f t="shared" si="70"/>
        <v>-26688.647912673347</v>
      </c>
      <c r="AA141" s="16">
        <f t="shared" si="71"/>
        <v>-15600.250086171371</v>
      </c>
      <c r="AB141" s="16">
        <f t="shared" si="72"/>
        <v>-31169.691582545165</v>
      </c>
      <c r="AC141" s="16">
        <f t="shared" si="73"/>
        <v>-25376.681326134887</v>
      </c>
      <c r="AD141" s="16">
        <f t="shared" si="74"/>
        <v>-25476.68132613488</v>
      </c>
      <c r="AE141" s="16">
        <f t="shared" si="75"/>
        <v>-26076.681326134883</v>
      </c>
      <c r="AF141" s="14">
        <f>IF([1]Sheet2!AJ140=999999,"NA",[1]Sheet2!AJ140)</f>
        <v>0</v>
      </c>
      <c r="AG141" s="14">
        <f>IF([1]Sheet2!AK140=999999,"NA",[1]Sheet2!AK140)</f>
        <v>0</v>
      </c>
      <c r="AH141" s="14" t="str">
        <f>IF([1]Sheet2!AL140=999999,"NA",[1]Sheet2!AL140)</f>
        <v>NA</v>
      </c>
      <c r="AI141" s="14">
        <f>IF([1]Sheet2!AM140=999999,"NA",[1]Sheet2!AM140)</f>
        <v>0</v>
      </c>
      <c r="AJ141" s="14">
        <f>IF([1]Sheet2!AN140=999999,"NA",[1]Sheet2!AN140)</f>
        <v>0</v>
      </c>
      <c r="AK141" s="14">
        <f>IF([1]Sheet2!AO140=999999,"NA",[1]Sheet2!AO140)</f>
        <v>0</v>
      </c>
      <c r="AL141" s="14">
        <f>IF([1]Sheet2!AP140=999999,"NA",[1]Sheet2!AP140)</f>
        <v>0</v>
      </c>
      <c r="AM141" s="14">
        <f>IF([1]Sheet2!AQ140=999999,"NA",[1]Sheet2!AQ140)</f>
        <v>0</v>
      </c>
      <c r="AN141" s="14">
        <f>IF([1]Sheet2!AR140=999999,"NA",[1]Sheet2!AR140)</f>
        <v>0</v>
      </c>
      <c r="AO141" s="14">
        <f>IF([1]Sheet2!AS140=999999,"NA",[1]Sheet2!AS140)</f>
        <v>0</v>
      </c>
      <c r="AP141" s="14">
        <f>[1]Sheet2!P140</f>
        <v>0</v>
      </c>
      <c r="AQ141" s="14">
        <f>[1]Sheet2!Q140</f>
        <v>0</v>
      </c>
      <c r="AR141" s="14">
        <f>[1]Sheet2!R140</f>
        <v>0</v>
      </c>
      <c r="AS141" s="14">
        <f>[1]Sheet2!S140</f>
        <v>0</v>
      </c>
      <c r="AT141" s="14">
        <f>[1]Sheet2!T140</f>
        <v>0</v>
      </c>
      <c r="AU141" s="14">
        <f>[1]Sheet2!U140</f>
        <v>0</v>
      </c>
      <c r="AV141" s="14">
        <f>[1]Sheet2!V140</f>
        <v>0</v>
      </c>
      <c r="AW141" s="14">
        <f>[1]Sheet2!W140</f>
        <v>0</v>
      </c>
      <c r="AX141" s="14">
        <f>[1]Sheet2!X140</f>
        <v>0</v>
      </c>
      <c r="AY141" s="14">
        <f>[1]Sheet2!Y140</f>
        <v>0</v>
      </c>
      <c r="AZ141" s="16">
        <f>Demand_LP!B$7/31</f>
        <v>855.82964911600493</v>
      </c>
      <c r="BA141" s="16">
        <f>Demand_LP!C$7/31</f>
        <v>478.74276261373035</v>
      </c>
      <c r="BB141" s="16">
        <f>Demand_LP!D$7/31</f>
        <v>366.03598014888337</v>
      </c>
      <c r="BC141" s="16">
        <f>Demand_LP!E$7/31</f>
        <v>837.96277915632766</v>
      </c>
      <c r="BD141" s="16">
        <f>Demand_LP!F$7/31</f>
        <v>447.19049589019846</v>
      </c>
      <c r="BE141" s="16">
        <f>Demand_LP!G$7/31</f>
        <v>447.19049589019846</v>
      </c>
      <c r="BF141" s="16">
        <f>Demand_LP!H$7/31</f>
        <v>478.74276261373035</v>
      </c>
      <c r="BG141" s="16">
        <f>Demand_LP!I$7/31</f>
        <v>447.19049589019846</v>
      </c>
      <c r="BH141" s="16">
        <f>Demand_LP!J$7/31</f>
        <v>447.19049589019846</v>
      </c>
      <c r="BI141" s="16">
        <f>Demand_LP!K$7/31</f>
        <v>447.19049589019846</v>
      </c>
      <c r="BJ141" s="16">
        <f t="shared" si="76"/>
        <v>-90825.442134976562</v>
      </c>
      <c r="BK141" s="16">
        <f t="shared" si="77"/>
        <v>-78727.823573200963</v>
      </c>
      <c r="BL141" s="16">
        <f t="shared" si="78"/>
        <v>-31761.651488833824</v>
      </c>
      <c r="BM141" s="16">
        <f t="shared" si="79"/>
        <v>-95754.300521405792</v>
      </c>
      <c r="BN141" s="16">
        <f t="shared" si="80"/>
        <v>-55667.414058133712</v>
      </c>
      <c r="BO141" s="16">
        <f t="shared" si="81"/>
        <v>-54125.097976504425</v>
      </c>
      <c r="BP141" s="16">
        <f t="shared" si="82"/>
        <v>-73085.403060380471</v>
      </c>
      <c r="BQ141" s="16">
        <f t="shared" si="83"/>
        <v>-54125.097976504425</v>
      </c>
      <c r="BR141" s="16">
        <f t="shared" si="84"/>
        <v>-51725.097976504425</v>
      </c>
      <c r="BS141" s="16">
        <f t="shared" si="85"/>
        <v>-52425.097976504418</v>
      </c>
      <c r="BT141" s="14">
        <f>IF([1]Sheet2!CB140=999999,"NA",[1]Sheet2!CB140)</f>
        <v>0</v>
      </c>
      <c r="BU141" s="14">
        <f>IF([1]Sheet2!CC140=999999,"NA",[1]Sheet2!CC140)</f>
        <v>0</v>
      </c>
      <c r="BV141" s="14">
        <f>IF([1]Sheet2!CD140=999999,"NA",[1]Sheet2!CD140)</f>
        <v>0</v>
      </c>
      <c r="BW141" s="14">
        <f>IF([1]Sheet2!CE140=999999,"NA",[1]Sheet2!CE140)</f>
        <v>0</v>
      </c>
      <c r="BX141" s="14">
        <f>IF([1]Sheet2!CF140=999999,"NA",[1]Sheet2!CF140)</f>
        <v>0</v>
      </c>
      <c r="BY141" s="14">
        <f>IF([1]Sheet2!CG140=999999,"NA",[1]Sheet2!CG140)</f>
        <v>0</v>
      </c>
      <c r="BZ141" s="14">
        <f>IF([1]Sheet2!CH140=999999,"NA",[1]Sheet2!CH140)</f>
        <v>0</v>
      </c>
      <c r="CA141" s="14">
        <f>IF([1]Sheet2!CI140=999999,"NA",[1]Sheet2!CI140)</f>
        <v>0</v>
      </c>
      <c r="CB141" s="14">
        <f>IF([1]Sheet2!CJ140=999999,"NA",[1]Sheet2!CJ140)</f>
        <v>0</v>
      </c>
      <c r="CC141" s="14">
        <f>IF([1]Sheet2!CK140=999999,"NA",[1]Sheet2!CK140)</f>
        <v>0</v>
      </c>
      <c r="CD141" s="14">
        <f>[1]Sheet2!BH140</f>
        <v>0</v>
      </c>
      <c r="CE141" s="14">
        <f>[1]Sheet2!BI140</f>
        <v>0</v>
      </c>
      <c r="CF141" s="14">
        <f>[1]Sheet2!BJ140</f>
        <v>0</v>
      </c>
      <c r="CG141" s="14">
        <f>[1]Sheet2!BK140</f>
        <v>0</v>
      </c>
      <c r="CH141" s="14">
        <f>[1]Sheet2!BL140</f>
        <v>0</v>
      </c>
      <c r="CI141" s="14">
        <f>[1]Sheet2!BM140</f>
        <v>0</v>
      </c>
      <c r="CJ141" s="14">
        <f>[1]Sheet2!BN140</f>
        <v>0</v>
      </c>
      <c r="CK141" s="14">
        <f>[1]Sheet2!BO140</f>
        <v>0</v>
      </c>
      <c r="CL141" s="14">
        <f>[1]Sheet2!BP140</f>
        <v>0</v>
      </c>
      <c r="CM141" s="14">
        <f>[1]Sheet2!BQ140</f>
        <v>0</v>
      </c>
      <c r="CN141" s="16">
        <f>Demand_SW!B$7/31</f>
        <v>122.8287841191067</v>
      </c>
      <c r="CO141" s="16">
        <f>Demand_SW!C$7/31</f>
        <v>0</v>
      </c>
      <c r="CP141" s="16">
        <f>Demand_SW!D$7/31</f>
        <v>0</v>
      </c>
      <c r="CQ141" s="16">
        <f>Demand_SW!E$7/31</f>
        <v>0</v>
      </c>
      <c r="CR141" s="16">
        <f>Demand_SW!F$7/31</f>
        <v>0</v>
      </c>
      <c r="CS141" s="16">
        <f>Demand_SW!G$7/31</f>
        <v>122.8287841191067</v>
      </c>
      <c r="CT141" s="16">
        <f>Demand_SW!H$7/31</f>
        <v>0</v>
      </c>
      <c r="CU141" s="16">
        <f>Demand_SW!I$7/31</f>
        <v>0</v>
      </c>
      <c r="CV141" s="16">
        <f>Demand_SW!J$7/31</f>
        <v>0</v>
      </c>
      <c r="CW141" s="16">
        <f>Demand_SW!K$7/31</f>
        <v>0</v>
      </c>
      <c r="CX141" s="16">
        <f t="shared" si="86"/>
        <v>-13673.995037220851</v>
      </c>
      <c r="CY141" s="16">
        <f t="shared" si="87"/>
        <v>76.923076923077133</v>
      </c>
      <c r="CZ141" s="16">
        <f t="shared" si="88"/>
        <v>0</v>
      </c>
      <c r="DA141" s="16">
        <f t="shared" si="89"/>
        <v>0</v>
      </c>
      <c r="DB141" s="16">
        <f t="shared" si="90"/>
        <v>0</v>
      </c>
      <c r="DC141" s="16">
        <f t="shared" si="91"/>
        <v>-13203.225806451619</v>
      </c>
      <c r="DD141" s="16">
        <f t="shared" si="92"/>
        <v>76.923076923077133</v>
      </c>
      <c r="DE141" s="16">
        <f t="shared" si="93"/>
        <v>0</v>
      </c>
      <c r="DF141" s="16">
        <f t="shared" si="94"/>
        <v>0</v>
      </c>
      <c r="DG141" s="16">
        <f t="shared" si="95"/>
        <v>0</v>
      </c>
      <c r="DH141" s="14">
        <f>IF([1]Sheet2!DS140=999999,"NA",[1]Sheet2!DS140)</f>
        <v>0</v>
      </c>
      <c r="DI141" s="14">
        <f>IF([1]Sheet2!DT140=999999,"NA",[1]Sheet2!DT140)</f>
        <v>227</v>
      </c>
      <c r="DJ141" s="14" t="str">
        <f>IF([1]Sheet2!DU140=999999,"NA",[1]Sheet2!DU140)</f>
        <v>NA</v>
      </c>
      <c r="DK141" s="14" t="str">
        <f>IF([1]Sheet2!DV140=999999,"NA",[1]Sheet2!DV140)</f>
        <v>NA</v>
      </c>
      <c r="DL141" s="14" t="str">
        <f>IF([1]Sheet2!DW140=999999,"NA",[1]Sheet2!DW140)</f>
        <v>NA</v>
      </c>
      <c r="DM141" s="14">
        <f>IF([1]Sheet2!DX140=999999,"NA",[1]Sheet2!DX140)</f>
        <v>0</v>
      </c>
      <c r="DN141" s="14">
        <f>IF([1]Sheet2!DY140=999999,"NA",[1]Sheet2!DY140)</f>
        <v>227</v>
      </c>
      <c r="DO141" s="14" t="str">
        <f>IF([1]Sheet2!DZ140=999999,"NA",[1]Sheet2!DZ140)</f>
        <v>NA</v>
      </c>
      <c r="DP141" s="14" t="str">
        <f>IF([1]Sheet2!EA140=999999,"NA",[1]Sheet2!EA140)</f>
        <v>NA</v>
      </c>
      <c r="DQ141" s="14" t="str">
        <f>IF([1]Sheet2!EB140=999999,"NA",[1]Sheet2!EB140)</f>
        <v>NA</v>
      </c>
      <c r="DR141" s="14">
        <f>[1]Sheet2!CY140</f>
        <v>0</v>
      </c>
      <c r="DS141" s="14">
        <f>[1]Sheet2!CZ140</f>
        <v>0</v>
      </c>
      <c r="DT141" s="14">
        <f>[1]Sheet2!DA140</f>
        <v>0</v>
      </c>
      <c r="DU141" s="14">
        <f>[1]Sheet2!DB140</f>
        <v>0</v>
      </c>
      <c r="DV141" s="14">
        <f>[1]Sheet2!DC140</f>
        <v>0</v>
      </c>
      <c r="DW141" s="14">
        <f>[1]Sheet2!DD140</f>
        <v>0</v>
      </c>
      <c r="DX141" s="14">
        <f>[1]Sheet2!DE140</f>
        <v>0</v>
      </c>
      <c r="DY141" s="14">
        <f>[1]Sheet2!DF140</f>
        <v>0</v>
      </c>
      <c r="DZ141" s="14">
        <f>[1]Sheet2!DG140</f>
        <v>0</v>
      </c>
      <c r="EA141" s="14">
        <f>[1]Sheet2!DH140</f>
        <v>0</v>
      </c>
      <c r="EB141" s="6">
        <f>[1]Sheet2!EC140</f>
        <v>0</v>
      </c>
      <c r="EC141" s="6">
        <f>[1]Sheet2!ED140</f>
        <v>0</v>
      </c>
      <c r="ED141" s="6">
        <f>[1]Sheet2!EE140</f>
        <v>0</v>
      </c>
      <c r="EE141" s="6">
        <f>[1]Sheet2!EF140</f>
        <v>0</v>
      </c>
      <c r="EF141" s="6">
        <f>[1]Sheet2!EG140</f>
        <v>0</v>
      </c>
      <c r="EG141" s="6">
        <f>[1]Sheet2!EH140</f>
        <v>0</v>
      </c>
      <c r="EH141" s="6">
        <f>[1]Sheet2!EI140</f>
        <v>0</v>
      </c>
      <c r="EI141" s="6">
        <f>[1]Sheet2!EJ140</f>
        <v>0</v>
      </c>
      <c r="EJ141" s="6">
        <f>[1]Sheet2!EK140</f>
        <v>0</v>
      </c>
      <c r="EK141" s="6">
        <f>[1]Sheet2!EL140</f>
        <v>0</v>
      </c>
      <c r="EL141" s="6" t="str">
        <f>[1]Sheet2!EM140</f>
        <v/>
      </c>
      <c r="EM141" s="6" t="str">
        <f>[1]Sheet2!EN140</f>
        <v/>
      </c>
      <c r="EN141" s="6" t="str">
        <f>[1]Sheet2!EO140</f>
        <v/>
      </c>
      <c r="EO141" s="6" t="str">
        <f>[1]Sheet2!EP140</f>
        <v/>
      </c>
      <c r="EP141" s="6" t="str">
        <f>[1]Sheet2!EQ140</f>
        <v/>
      </c>
      <c r="EQ141" s="6" t="str">
        <f>[1]Sheet2!ER140</f>
        <v/>
      </c>
      <c r="ER141" s="6" t="str">
        <f>[1]Sheet2!ES140</f>
        <v/>
      </c>
      <c r="ES141" s="6" t="str">
        <f>[1]Sheet2!ET140</f>
        <v/>
      </c>
      <c r="ET141" s="6" t="str">
        <f>[1]Sheet2!EU140</f>
        <v/>
      </c>
      <c r="EU141" s="6" t="str">
        <f>[1]Sheet2!EV140</f>
        <v/>
      </c>
      <c r="EV141" s="6" t="str">
        <f>[1]Sheet2!EW140</f>
        <v/>
      </c>
      <c r="EW141" s="6" t="str">
        <f>[1]Sheet2!EX140</f>
        <v/>
      </c>
      <c r="EX141" s="6" t="str">
        <f>[1]Sheet2!EY140</f>
        <v/>
      </c>
      <c r="EY141" s="6" t="str">
        <f>[1]Sheet2!EZ140</f>
        <v/>
      </c>
      <c r="EZ141" s="6" t="str">
        <f>[1]Sheet2!FA140</f>
        <v/>
      </c>
      <c r="FA141" s="6" t="str">
        <f>[1]Sheet2!FB140</f>
        <v/>
      </c>
      <c r="FB141" s="6" t="str">
        <f>[1]Sheet2!FC140</f>
        <v/>
      </c>
      <c r="FC141" s="6" t="str">
        <f>[1]Sheet2!FD140</f>
        <v/>
      </c>
      <c r="FD141" s="6" t="str">
        <f>[1]Sheet2!FE140</f>
        <v/>
      </c>
      <c r="FE141" s="6" t="str">
        <f>[1]Sheet2!FF140</f>
        <v/>
      </c>
      <c r="FF141" s="6" t="str">
        <f>[1]Sheet2!FG140</f>
        <v/>
      </c>
      <c r="FG141" s="6" t="str">
        <f>[1]Sheet2!FH140</f>
        <v/>
      </c>
      <c r="FH141" s="6" t="str">
        <f>[1]Sheet2!FI140</f>
        <v/>
      </c>
      <c r="FI141" s="6" t="str">
        <f>[1]Sheet2!FJ140</f>
        <v/>
      </c>
      <c r="FJ141" s="6" t="str">
        <f>[1]Sheet2!FK140</f>
        <v/>
      </c>
      <c r="FK141" s="6" t="str">
        <f>[1]Sheet2!FL140</f>
        <v/>
      </c>
      <c r="FL141" s="6" t="str">
        <f>[1]Sheet2!FM140</f>
        <v/>
      </c>
      <c r="FM141" s="6" t="str">
        <f>[1]Sheet2!FN140</f>
        <v/>
      </c>
      <c r="FN141" s="6" t="str">
        <f>[1]Sheet2!FO140</f>
        <v/>
      </c>
      <c r="FO141" s="6" t="str">
        <f>[1]Sheet2!FP140</f>
        <v/>
      </c>
    </row>
    <row r="142" spans="1:171" x14ac:dyDescent="0.25">
      <c r="A142" s="15">
        <v>43604</v>
      </c>
      <c r="B142" s="1"/>
      <c r="C142" s="1"/>
      <c r="D142" s="1"/>
      <c r="E142" s="14">
        <f>[1]Sheet2!N141</f>
        <v>48000</v>
      </c>
      <c r="F142" s="14">
        <f>[1]Sheet2!BE141</f>
        <v>48000</v>
      </c>
      <c r="G142" s="14">
        <f>[1]Sheet2!CW141</f>
        <v>0</v>
      </c>
      <c r="H142" s="1"/>
      <c r="I142" s="1"/>
      <c r="J142" s="1"/>
      <c r="K142" s="16"/>
      <c r="L142" s="16">
        <f>Demand_CWRS!B$7/31</f>
        <v>129.8994219137717</v>
      </c>
      <c r="M142" s="16">
        <f>Demand_CWRS!C$7/31</f>
        <v>543.3829611248965</v>
      </c>
      <c r="N142" s="16">
        <f>Demand_CWRS!D$7/31</f>
        <v>0</v>
      </c>
      <c r="O142" s="16">
        <f>Demand_CWRS!E$7/31</f>
        <v>131.84491315136475</v>
      </c>
      <c r="P142" s="16">
        <f>Demand_CWRS!F$7/31</f>
        <v>232.12592522229113</v>
      </c>
      <c r="Q142" s="16">
        <f>Demand_CWRS!G$7/31</f>
        <v>129.8994219137717</v>
      </c>
      <c r="R142" s="16">
        <f>Demand_CWRS!H$7/31</f>
        <v>232.12592522229113</v>
      </c>
      <c r="S142" s="16">
        <f>Demand_CWRS!I$7/31</f>
        <v>232.12592522229113</v>
      </c>
      <c r="T142" s="16">
        <f>Demand_CWRS!J$7/31</f>
        <v>232.12592522229113</v>
      </c>
      <c r="U142" s="16">
        <f>Demand_CWRS!K$7/31</f>
        <v>232.12592522229113</v>
      </c>
      <c r="V142" s="16">
        <f t="shared" si="66"/>
        <v>-17055.922657123578</v>
      </c>
      <c r="W142" s="16">
        <f t="shared" si="67"/>
        <v>-59839.41215880878</v>
      </c>
      <c r="X142" s="16">
        <f t="shared" si="68"/>
        <v>0</v>
      </c>
      <c r="Y142" s="16">
        <f t="shared" si="69"/>
        <v>-7253.6888740563754</v>
      </c>
      <c r="Z142" s="16">
        <f t="shared" si="70"/>
        <v>-26920.773837895638</v>
      </c>
      <c r="AA142" s="16">
        <f t="shared" si="71"/>
        <v>-15730.149508085142</v>
      </c>
      <c r="AB142" s="16">
        <f t="shared" si="72"/>
        <v>-31401.817507767457</v>
      </c>
      <c r="AC142" s="16">
        <f t="shared" si="73"/>
        <v>-25608.807251357179</v>
      </c>
      <c r="AD142" s="16">
        <f t="shared" si="74"/>
        <v>-25708.807251357171</v>
      </c>
      <c r="AE142" s="16">
        <f t="shared" si="75"/>
        <v>-26308.807251357175</v>
      </c>
      <c r="AF142" s="14">
        <f>IF([1]Sheet2!AJ141=999999,"NA",[1]Sheet2!AJ141)</f>
        <v>0</v>
      </c>
      <c r="AG142" s="14">
        <f>IF([1]Sheet2!AK141=999999,"NA",[1]Sheet2!AK141)</f>
        <v>0</v>
      </c>
      <c r="AH142" s="14" t="str">
        <f>IF([1]Sheet2!AL141=999999,"NA",[1]Sheet2!AL141)</f>
        <v>NA</v>
      </c>
      <c r="AI142" s="14">
        <f>IF([1]Sheet2!AM141=999999,"NA",[1]Sheet2!AM141)</f>
        <v>0</v>
      </c>
      <c r="AJ142" s="14">
        <f>IF([1]Sheet2!AN141=999999,"NA",[1]Sheet2!AN141)</f>
        <v>0</v>
      </c>
      <c r="AK142" s="14">
        <f>IF([1]Sheet2!AO141=999999,"NA",[1]Sheet2!AO141)</f>
        <v>0</v>
      </c>
      <c r="AL142" s="14">
        <f>IF([1]Sheet2!AP141=999999,"NA",[1]Sheet2!AP141)</f>
        <v>0</v>
      </c>
      <c r="AM142" s="14">
        <f>IF([1]Sheet2!AQ141=999999,"NA",[1]Sheet2!AQ141)</f>
        <v>0</v>
      </c>
      <c r="AN142" s="14">
        <f>IF([1]Sheet2!AR141=999999,"NA",[1]Sheet2!AR141)</f>
        <v>0</v>
      </c>
      <c r="AO142" s="14">
        <f>IF([1]Sheet2!AS141=999999,"NA",[1]Sheet2!AS141)</f>
        <v>0</v>
      </c>
      <c r="AP142" s="14">
        <f>[1]Sheet2!P141</f>
        <v>0</v>
      </c>
      <c r="AQ142" s="14">
        <f>[1]Sheet2!Q141</f>
        <v>0</v>
      </c>
      <c r="AR142" s="14">
        <f>[1]Sheet2!R141</f>
        <v>0</v>
      </c>
      <c r="AS142" s="14">
        <f>[1]Sheet2!S141</f>
        <v>0</v>
      </c>
      <c r="AT142" s="14">
        <f>[1]Sheet2!T141</f>
        <v>0</v>
      </c>
      <c r="AU142" s="14">
        <f>[1]Sheet2!U141</f>
        <v>0</v>
      </c>
      <c r="AV142" s="14">
        <f>[1]Sheet2!V141</f>
        <v>0</v>
      </c>
      <c r="AW142" s="14">
        <f>[1]Sheet2!W141</f>
        <v>0</v>
      </c>
      <c r="AX142" s="14">
        <f>[1]Sheet2!X141</f>
        <v>0</v>
      </c>
      <c r="AY142" s="14">
        <f>[1]Sheet2!Y141</f>
        <v>0</v>
      </c>
      <c r="AZ142" s="16">
        <f>Demand_LP!B$7/31</f>
        <v>855.82964911600493</v>
      </c>
      <c r="BA142" s="16">
        <f>Demand_LP!C$7/31</f>
        <v>478.74276261373035</v>
      </c>
      <c r="BB142" s="16">
        <f>Demand_LP!D$7/31</f>
        <v>366.03598014888337</v>
      </c>
      <c r="BC142" s="16">
        <f>Demand_LP!E$7/31</f>
        <v>837.96277915632766</v>
      </c>
      <c r="BD142" s="16">
        <f>Demand_LP!F$7/31</f>
        <v>447.19049589019846</v>
      </c>
      <c r="BE142" s="16">
        <f>Demand_LP!G$7/31</f>
        <v>447.19049589019846</v>
      </c>
      <c r="BF142" s="16">
        <f>Demand_LP!H$7/31</f>
        <v>478.74276261373035</v>
      </c>
      <c r="BG142" s="16">
        <f>Demand_LP!I$7/31</f>
        <v>447.19049589019846</v>
      </c>
      <c r="BH142" s="16">
        <f>Demand_LP!J$7/31</f>
        <v>447.19049589019846</v>
      </c>
      <c r="BI142" s="16">
        <f>Demand_LP!K$7/31</f>
        <v>447.19049589019846</v>
      </c>
      <c r="BJ142" s="16">
        <f t="shared" si="76"/>
        <v>-91681.271784092562</v>
      </c>
      <c r="BK142" s="16">
        <f t="shared" si="77"/>
        <v>-79206.566335814699</v>
      </c>
      <c r="BL142" s="16">
        <f t="shared" si="78"/>
        <v>-32127.687468982709</v>
      </c>
      <c r="BM142" s="16">
        <f t="shared" si="79"/>
        <v>-96592.263300562117</v>
      </c>
      <c r="BN142" s="16">
        <f t="shared" si="80"/>
        <v>-56114.604554023914</v>
      </c>
      <c r="BO142" s="16">
        <f t="shared" si="81"/>
        <v>-54572.288472394626</v>
      </c>
      <c r="BP142" s="16">
        <f t="shared" si="82"/>
        <v>-73564.145822994207</v>
      </c>
      <c r="BQ142" s="16">
        <f t="shared" si="83"/>
        <v>-54572.288472394626</v>
      </c>
      <c r="BR142" s="16">
        <f t="shared" si="84"/>
        <v>-52172.288472394626</v>
      </c>
      <c r="BS142" s="16">
        <f t="shared" si="85"/>
        <v>-52872.288472394619</v>
      </c>
      <c r="BT142" s="14">
        <f>IF([1]Sheet2!CB141=999999,"NA",[1]Sheet2!CB141)</f>
        <v>0</v>
      </c>
      <c r="BU142" s="14">
        <f>IF([1]Sheet2!CC141=999999,"NA",[1]Sheet2!CC141)</f>
        <v>0</v>
      </c>
      <c r="BV142" s="14">
        <f>IF([1]Sheet2!CD141=999999,"NA",[1]Sheet2!CD141)</f>
        <v>0</v>
      </c>
      <c r="BW142" s="14">
        <f>IF([1]Sheet2!CE141=999999,"NA",[1]Sheet2!CE141)</f>
        <v>0</v>
      </c>
      <c r="BX142" s="14">
        <f>IF([1]Sheet2!CF141=999999,"NA",[1]Sheet2!CF141)</f>
        <v>0</v>
      </c>
      <c r="BY142" s="14">
        <f>IF([1]Sheet2!CG141=999999,"NA",[1]Sheet2!CG141)</f>
        <v>0</v>
      </c>
      <c r="BZ142" s="14">
        <f>IF([1]Sheet2!CH141=999999,"NA",[1]Sheet2!CH141)</f>
        <v>0</v>
      </c>
      <c r="CA142" s="14">
        <f>IF([1]Sheet2!CI141=999999,"NA",[1]Sheet2!CI141)</f>
        <v>0</v>
      </c>
      <c r="CB142" s="14">
        <f>IF([1]Sheet2!CJ141=999999,"NA",[1]Sheet2!CJ141)</f>
        <v>0</v>
      </c>
      <c r="CC142" s="14">
        <f>IF([1]Sheet2!CK141=999999,"NA",[1]Sheet2!CK141)</f>
        <v>0</v>
      </c>
      <c r="CD142" s="14">
        <f>[1]Sheet2!BH141</f>
        <v>0</v>
      </c>
      <c r="CE142" s="14">
        <f>[1]Sheet2!BI141</f>
        <v>0</v>
      </c>
      <c r="CF142" s="14">
        <f>[1]Sheet2!BJ141</f>
        <v>0</v>
      </c>
      <c r="CG142" s="14">
        <f>[1]Sheet2!BK141</f>
        <v>0</v>
      </c>
      <c r="CH142" s="14">
        <f>[1]Sheet2!BL141</f>
        <v>0</v>
      </c>
      <c r="CI142" s="14">
        <f>[1]Sheet2!BM141</f>
        <v>0</v>
      </c>
      <c r="CJ142" s="14">
        <f>[1]Sheet2!BN141</f>
        <v>0</v>
      </c>
      <c r="CK142" s="14">
        <f>[1]Sheet2!BO141</f>
        <v>0</v>
      </c>
      <c r="CL142" s="14">
        <f>[1]Sheet2!BP141</f>
        <v>0</v>
      </c>
      <c r="CM142" s="14">
        <f>[1]Sheet2!BQ141</f>
        <v>0</v>
      </c>
      <c r="CN142" s="16">
        <f>Demand_SW!B$7/31</f>
        <v>122.8287841191067</v>
      </c>
      <c r="CO142" s="16">
        <f>Demand_SW!C$7/31</f>
        <v>0</v>
      </c>
      <c r="CP142" s="16">
        <f>Demand_SW!D$7/31</f>
        <v>0</v>
      </c>
      <c r="CQ142" s="16">
        <f>Demand_SW!E$7/31</f>
        <v>0</v>
      </c>
      <c r="CR142" s="16">
        <f>Demand_SW!F$7/31</f>
        <v>0</v>
      </c>
      <c r="CS142" s="16">
        <f>Demand_SW!G$7/31</f>
        <v>122.8287841191067</v>
      </c>
      <c r="CT142" s="16">
        <f>Demand_SW!H$7/31</f>
        <v>0</v>
      </c>
      <c r="CU142" s="16">
        <f>Demand_SW!I$7/31</f>
        <v>0</v>
      </c>
      <c r="CV142" s="16">
        <f>Demand_SW!J$7/31</f>
        <v>0</v>
      </c>
      <c r="CW142" s="16">
        <f>Demand_SW!K$7/31</f>
        <v>0</v>
      </c>
      <c r="CX142" s="16">
        <f t="shared" si="86"/>
        <v>-13796.823821339958</v>
      </c>
      <c r="CY142" s="16">
        <f t="shared" si="87"/>
        <v>76.923076923077133</v>
      </c>
      <c r="CZ142" s="16">
        <f t="shared" si="88"/>
        <v>0</v>
      </c>
      <c r="DA142" s="16">
        <f t="shared" si="89"/>
        <v>0</v>
      </c>
      <c r="DB142" s="16">
        <f t="shared" si="90"/>
        <v>0</v>
      </c>
      <c r="DC142" s="16">
        <f t="shared" si="91"/>
        <v>-13326.054590570726</v>
      </c>
      <c r="DD142" s="16">
        <f t="shared" si="92"/>
        <v>76.923076923077133</v>
      </c>
      <c r="DE142" s="16">
        <f t="shared" si="93"/>
        <v>0</v>
      </c>
      <c r="DF142" s="16">
        <f t="shared" si="94"/>
        <v>0</v>
      </c>
      <c r="DG142" s="16">
        <f t="shared" si="95"/>
        <v>0</v>
      </c>
      <c r="DH142" s="14">
        <f>IF([1]Sheet2!DS141=999999,"NA",[1]Sheet2!DS141)</f>
        <v>0</v>
      </c>
      <c r="DI142" s="14">
        <f>IF([1]Sheet2!DT141=999999,"NA",[1]Sheet2!DT141)</f>
        <v>226</v>
      </c>
      <c r="DJ142" s="14" t="str">
        <f>IF([1]Sheet2!DU141=999999,"NA",[1]Sheet2!DU141)</f>
        <v>NA</v>
      </c>
      <c r="DK142" s="14" t="str">
        <f>IF([1]Sheet2!DV141=999999,"NA",[1]Sheet2!DV141)</f>
        <v>NA</v>
      </c>
      <c r="DL142" s="14" t="str">
        <f>IF([1]Sheet2!DW141=999999,"NA",[1]Sheet2!DW141)</f>
        <v>NA</v>
      </c>
      <c r="DM142" s="14">
        <f>IF([1]Sheet2!DX141=999999,"NA",[1]Sheet2!DX141)</f>
        <v>0</v>
      </c>
      <c r="DN142" s="14">
        <f>IF([1]Sheet2!DY141=999999,"NA",[1]Sheet2!DY141)</f>
        <v>226</v>
      </c>
      <c r="DO142" s="14" t="str">
        <f>IF([1]Sheet2!DZ141=999999,"NA",[1]Sheet2!DZ141)</f>
        <v>NA</v>
      </c>
      <c r="DP142" s="14" t="str">
        <f>IF([1]Sheet2!EA141=999999,"NA",[1]Sheet2!EA141)</f>
        <v>NA</v>
      </c>
      <c r="DQ142" s="14" t="str">
        <f>IF([1]Sheet2!EB141=999999,"NA",[1]Sheet2!EB141)</f>
        <v>NA</v>
      </c>
      <c r="DR142" s="14">
        <f>[1]Sheet2!CY141</f>
        <v>0</v>
      </c>
      <c r="DS142" s="14">
        <f>[1]Sheet2!CZ141</f>
        <v>0</v>
      </c>
      <c r="DT142" s="14">
        <f>[1]Sheet2!DA141</f>
        <v>0</v>
      </c>
      <c r="DU142" s="14">
        <f>[1]Sheet2!DB141</f>
        <v>0</v>
      </c>
      <c r="DV142" s="14">
        <f>[1]Sheet2!DC141</f>
        <v>0</v>
      </c>
      <c r="DW142" s="14">
        <f>[1]Sheet2!DD141</f>
        <v>0</v>
      </c>
      <c r="DX142" s="14">
        <f>[1]Sheet2!DE141</f>
        <v>0</v>
      </c>
      <c r="DY142" s="14">
        <f>[1]Sheet2!DF141</f>
        <v>0</v>
      </c>
      <c r="DZ142" s="14">
        <f>[1]Sheet2!DG141</f>
        <v>0</v>
      </c>
      <c r="EA142" s="14">
        <f>[1]Sheet2!DH141</f>
        <v>0</v>
      </c>
      <c r="EB142" s="6">
        <f>[1]Sheet2!EC141</f>
        <v>0</v>
      </c>
      <c r="EC142" s="6">
        <f>[1]Sheet2!ED141</f>
        <v>0</v>
      </c>
      <c r="ED142" s="6">
        <f>[1]Sheet2!EE141</f>
        <v>0</v>
      </c>
      <c r="EE142" s="6">
        <f>[1]Sheet2!EF141</f>
        <v>0</v>
      </c>
      <c r="EF142" s="6">
        <f>[1]Sheet2!EG141</f>
        <v>0</v>
      </c>
      <c r="EG142" s="6">
        <f>[1]Sheet2!EH141</f>
        <v>0</v>
      </c>
      <c r="EH142" s="6">
        <f>[1]Sheet2!EI141</f>
        <v>0</v>
      </c>
      <c r="EI142" s="6">
        <f>[1]Sheet2!EJ141</f>
        <v>0</v>
      </c>
      <c r="EJ142" s="6">
        <f>[1]Sheet2!EK141</f>
        <v>0</v>
      </c>
      <c r="EK142" s="6">
        <f>[1]Sheet2!EL141</f>
        <v>0</v>
      </c>
      <c r="EL142" s="6" t="str">
        <f>[1]Sheet2!EM141</f>
        <v/>
      </c>
      <c r="EM142" s="6" t="str">
        <f>[1]Sheet2!EN141</f>
        <v/>
      </c>
      <c r="EN142" s="6" t="str">
        <f>[1]Sheet2!EO141</f>
        <v/>
      </c>
      <c r="EO142" s="6" t="str">
        <f>[1]Sheet2!EP141</f>
        <v/>
      </c>
      <c r="EP142" s="6" t="str">
        <f>[1]Sheet2!EQ141</f>
        <v/>
      </c>
      <c r="EQ142" s="6" t="str">
        <f>[1]Sheet2!ER141</f>
        <v/>
      </c>
      <c r="ER142" s="6" t="str">
        <f>[1]Sheet2!ES141</f>
        <v/>
      </c>
      <c r="ES142" s="6" t="str">
        <f>[1]Sheet2!ET141</f>
        <v/>
      </c>
      <c r="ET142" s="6" t="str">
        <f>[1]Sheet2!EU141</f>
        <v/>
      </c>
      <c r="EU142" s="6" t="str">
        <f>[1]Sheet2!EV141</f>
        <v/>
      </c>
      <c r="EV142" s="6" t="str">
        <f>[1]Sheet2!EW141</f>
        <v/>
      </c>
      <c r="EW142" s="6" t="str">
        <f>[1]Sheet2!EX141</f>
        <v/>
      </c>
      <c r="EX142" s="6" t="str">
        <f>[1]Sheet2!EY141</f>
        <v/>
      </c>
      <c r="EY142" s="6" t="str">
        <f>[1]Sheet2!EZ141</f>
        <v/>
      </c>
      <c r="EZ142" s="6" t="str">
        <f>[1]Sheet2!FA141</f>
        <v/>
      </c>
      <c r="FA142" s="6" t="str">
        <f>[1]Sheet2!FB141</f>
        <v/>
      </c>
      <c r="FB142" s="6" t="str">
        <f>[1]Sheet2!FC141</f>
        <v/>
      </c>
      <c r="FC142" s="6" t="str">
        <f>[1]Sheet2!FD141</f>
        <v/>
      </c>
      <c r="FD142" s="6" t="str">
        <f>[1]Sheet2!FE141</f>
        <v/>
      </c>
      <c r="FE142" s="6" t="str">
        <f>[1]Sheet2!FF141</f>
        <v/>
      </c>
      <c r="FF142" s="6" t="str">
        <f>[1]Sheet2!FG141</f>
        <v/>
      </c>
      <c r="FG142" s="6" t="str">
        <f>[1]Sheet2!FH141</f>
        <v/>
      </c>
      <c r="FH142" s="6" t="str">
        <f>[1]Sheet2!FI141</f>
        <v/>
      </c>
      <c r="FI142" s="6" t="str">
        <f>[1]Sheet2!FJ141</f>
        <v/>
      </c>
      <c r="FJ142" s="6" t="str">
        <f>[1]Sheet2!FK141</f>
        <v/>
      </c>
      <c r="FK142" s="6" t="str">
        <f>[1]Sheet2!FL141</f>
        <v/>
      </c>
      <c r="FL142" s="6" t="str">
        <f>[1]Sheet2!FM141</f>
        <v/>
      </c>
      <c r="FM142" s="6" t="str">
        <f>[1]Sheet2!FN141</f>
        <v/>
      </c>
      <c r="FN142" s="6" t="str">
        <f>[1]Sheet2!FO141</f>
        <v/>
      </c>
      <c r="FO142" s="6" t="str">
        <f>[1]Sheet2!FP141</f>
        <v/>
      </c>
    </row>
    <row r="143" spans="1:171" x14ac:dyDescent="0.25">
      <c r="A143" s="15">
        <v>43605</v>
      </c>
      <c r="B143" s="1"/>
      <c r="C143" s="1"/>
      <c r="D143" s="1"/>
      <c r="E143" s="14">
        <f>[1]Sheet2!N142</f>
        <v>0</v>
      </c>
      <c r="F143" s="14">
        <f>[1]Sheet2!BE142</f>
        <v>0</v>
      </c>
      <c r="G143" s="14">
        <f>[1]Sheet2!CW142</f>
        <v>0</v>
      </c>
      <c r="H143" s="1"/>
      <c r="I143" s="1"/>
      <c r="J143" s="1"/>
      <c r="K143" s="16"/>
      <c r="L143" s="16">
        <f>Demand_CWRS!B$7/31</f>
        <v>129.8994219137717</v>
      </c>
      <c r="M143" s="16">
        <f>Demand_CWRS!C$7/31</f>
        <v>543.3829611248965</v>
      </c>
      <c r="N143" s="16">
        <f>Demand_CWRS!D$7/31</f>
        <v>0</v>
      </c>
      <c r="O143" s="16">
        <f>Demand_CWRS!E$7/31</f>
        <v>131.84491315136475</v>
      </c>
      <c r="P143" s="16">
        <f>Demand_CWRS!F$7/31</f>
        <v>232.12592522229113</v>
      </c>
      <c r="Q143" s="16">
        <f>Demand_CWRS!G$7/31</f>
        <v>129.8994219137717</v>
      </c>
      <c r="R143" s="16">
        <f>Demand_CWRS!H$7/31</f>
        <v>232.12592522229113</v>
      </c>
      <c r="S143" s="16">
        <f>Demand_CWRS!I$7/31</f>
        <v>232.12592522229113</v>
      </c>
      <c r="T143" s="16">
        <f>Demand_CWRS!J$7/31</f>
        <v>232.12592522229113</v>
      </c>
      <c r="U143" s="16">
        <f>Demand_CWRS!K$7/31</f>
        <v>232.12592522229113</v>
      </c>
      <c r="V143" s="16">
        <f t="shared" si="66"/>
        <v>-17185.822079037349</v>
      </c>
      <c r="W143" s="16">
        <f t="shared" si="67"/>
        <v>-60382.795119933675</v>
      </c>
      <c r="X143" s="16">
        <f t="shared" si="68"/>
        <v>0</v>
      </c>
      <c r="Y143" s="16">
        <f t="shared" si="69"/>
        <v>-7385.5337872077398</v>
      </c>
      <c r="Z143" s="16">
        <f t="shared" si="70"/>
        <v>-27152.89976311793</v>
      </c>
      <c r="AA143" s="16">
        <f t="shared" si="71"/>
        <v>-15860.048929998913</v>
      </c>
      <c r="AB143" s="16">
        <f t="shared" si="72"/>
        <v>-31633.943432989749</v>
      </c>
      <c r="AC143" s="16">
        <f t="shared" si="73"/>
        <v>-25840.93317657947</v>
      </c>
      <c r="AD143" s="16">
        <f t="shared" si="74"/>
        <v>-25940.933176579463</v>
      </c>
      <c r="AE143" s="16">
        <f t="shared" si="75"/>
        <v>-26540.933176579467</v>
      </c>
      <c r="AF143" s="14">
        <f>IF([1]Sheet2!AJ142=999999,"NA",[1]Sheet2!AJ142)</f>
        <v>0</v>
      </c>
      <c r="AG143" s="14">
        <f>IF([1]Sheet2!AK142=999999,"NA",[1]Sheet2!AK142)</f>
        <v>0</v>
      </c>
      <c r="AH143" s="14" t="str">
        <f>IF([1]Sheet2!AL142=999999,"NA",[1]Sheet2!AL142)</f>
        <v>NA</v>
      </c>
      <c r="AI143" s="14">
        <f>IF([1]Sheet2!AM142=999999,"NA",[1]Sheet2!AM142)</f>
        <v>0</v>
      </c>
      <c r="AJ143" s="14">
        <f>IF([1]Sheet2!AN142=999999,"NA",[1]Sheet2!AN142)</f>
        <v>0</v>
      </c>
      <c r="AK143" s="14">
        <f>IF([1]Sheet2!AO142=999999,"NA",[1]Sheet2!AO142)</f>
        <v>0</v>
      </c>
      <c r="AL143" s="14">
        <f>IF([1]Sheet2!AP142=999999,"NA",[1]Sheet2!AP142)</f>
        <v>0</v>
      </c>
      <c r="AM143" s="14">
        <f>IF([1]Sheet2!AQ142=999999,"NA",[1]Sheet2!AQ142)</f>
        <v>0</v>
      </c>
      <c r="AN143" s="14">
        <f>IF([1]Sheet2!AR142=999999,"NA",[1]Sheet2!AR142)</f>
        <v>0</v>
      </c>
      <c r="AO143" s="14">
        <f>IF([1]Sheet2!AS142=999999,"NA",[1]Sheet2!AS142)</f>
        <v>0</v>
      </c>
      <c r="AP143" s="14">
        <f>[1]Sheet2!P142</f>
        <v>0</v>
      </c>
      <c r="AQ143" s="14">
        <f>[1]Sheet2!Q142</f>
        <v>0</v>
      </c>
      <c r="AR143" s="14">
        <f>[1]Sheet2!R142</f>
        <v>0</v>
      </c>
      <c r="AS143" s="14">
        <f>[1]Sheet2!S142</f>
        <v>0</v>
      </c>
      <c r="AT143" s="14">
        <f>[1]Sheet2!T142</f>
        <v>0</v>
      </c>
      <c r="AU143" s="14">
        <f>[1]Sheet2!U142</f>
        <v>0</v>
      </c>
      <c r="AV143" s="14">
        <f>[1]Sheet2!V142</f>
        <v>0</v>
      </c>
      <c r="AW143" s="14">
        <f>[1]Sheet2!W142</f>
        <v>0</v>
      </c>
      <c r="AX143" s="14">
        <f>[1]Sheet2!X142</f>
        <v>0</v>
      </c>
      <c r="AY143" s="14">
        <f>[1]Sheet2!Y142</f>
        <v>0</v>
      </c>
      <c r="AZ143" s="16">
        <f>Demand_LP!B$7/31</f>
        <v>855.82964911600493</v>
      </c>
      <c r="BA143" s="16">
        <f>Demand_LP!C$7/31</f>
        <v>478.74276261373035</v>
      </c>
      <c r="BB143" s="16">
        <f>Demand_LP!D$7/31</f>
        <v>366.03598014888337</v>
      </c>
      <c r="BC143" s="16">
        <f>Demand_LP!E$7/31</f>
        <v>837.96277915632766</v>
      </c>
      <c r="BD143" s="16">
        <f>Demand_LP!F$7/31</f>
        <v>447.19049589019846</v>
      </c>
      <c r="BE143" s="16">
        <f>Demand_LP!G$7/31</f>
        <v>447.19049589019846</v>
      </c>
      <c r="BF143" s="16">
        <f>Demand_LP!H$7/31</f>
        <v>478.74276261373035</v>
      </c>
      <c r="BG143" s="16">
        <f>Demand_LP!I$7/31</f>
        <v>447.19049589019846</v>
      </c>
      <c r="BH143" s="16">
        <f>Demand_LP!J$7/31</f>
        <v>447.19049589019846</v>
      </c>
      <c r="BI143" s="16">
        <f>Demand_LP!K$7/31</f>
        <v>447.19049589019846</v>
      </c>
      <c r="BJ143" s="16">
        <f t="shared" si="76"/>
        <v>-92537.101433208562</v>
      </c>
      <c r="BK143" s="16">
        <f t="shared" si="77"/>
        <v>-79685.309098428435</v>
      </c>
      <c r="BL143" s="16">
        <f t="shared" si="78"/>
        <v>-32493.723449131594</v>
      </c>
      <c r="BM143" s="16">
        <f t="shared" si="79"/>
        <v>-97430.226079718443</v>
      </c>
      <c r="BN143" s="16">
        <f t="shared" si="80"/>
        <v>-56561.795049914115</v>
      </c>
      <c r="BO143" s="16">
        <f t="shared" si="81"/>
        <v>-55019.478968284828</v>
      </c>
      <c r="BP143" s="16">
        <f t="shared" si="82"/>
        <v>-74042.888585607943</v>
      </c>
      <c r="BQ143" s="16">
        <f t="shared" si="83"/>
        <v>-55019.478968284828</v>
      </c>
      <c r="BR143" s="16">
        <f t="shared" si="84"/>
        <v>-52619.478968284828</v>
      </c>
      <c r="BS143" s="16">
        <f t="shared" si="85"/>
        <v>-53319.47896828482</v>
      </c>
      <c r="BT143" s="14">
        <f>IF([1]Sheet2!CB142=999999,"NA",[1]Sheet2!CB142)</f>
        <v>0</v>
      </c>
      <c r="BU143" s="14">
        <f>IF([1]Sheet2!CC142=999999,"NA",[1]Sheet2!CC142)</f>
        <v>0</v>
      </c>
      <c r="BV143" s="14">
        <f>IF([1]Sheet2!CD142=999999,"NA",[1]Sheet2!CD142)</f>
        <v>0</v>
      </c>
      <c r="BW143" s="14">
        <f>IF([1]Sheet2!CE142=999999,"NA",[1]Sheet2!CE142)</f>
        <v>0</v>
      </c>
      <c r="BX143" s="14">
        <f>IF([1]Sheet2!CF142=999999,"NA",[1]Sheet2!CF142)</f>
        <v>0</v>
      </c>
      <c r="BY143" s="14">
        <f>IF([1]Sheet2!CG142=999999,"NA",[1]Sheet2!CG142)</f>
        <v>0</v>
      </c>
      <c r="BZ143" s="14">
        <f>IF([1]Sheet2!CH142=999999,"NA",[1]Sheet2!CH142)</f>
        <v>0</v>
      </c>
      <c r="CA143" s="14">
        <f>IF([1]Sheet2!CI142=999999,"NA",[1]Sheet2!CI142)</f>
        <v>0</v>
      </c>
      <c r="CB143" s="14">
        <f>IF([1]Sheet2!CJ142=999999,"NA",[1]Sheet2!CJ142)</f>
        <v>0</v>
      </c>
      <c r="CC143" s="14">
        <f>IF([1]Sheet2!CK142=999999,"NA",[1]Sheet2!CK142)</f>
        <v>0</v>
      </c>
      <c r="CD143" s="14">
        <f>[1]Sheet2!BH142</f>
        <v>0</v>
      </c>
      <c r="CE143" s="14">
        <f>[1]Sheet2!BI142</f>
        <v>0</v>
      </c>
      <c r="CF143" s="14">
        <f>[1]Sheet2!BJ142</f>
        <v>0</v>
      </c>
      <c r="CG143" s="14">
        <f>[1]Sheet2!BK142</f>
        <v>0</v>
      </c>
      <c r="CH143" s="14">
        <f>[1]Sheet2!BL142</f>
        <v>0</v>
      </c>
      <c r="CI143" s="14">
        <f>[1]Sheet2!BM142</f>
        <v>0</v>
      </c>
      <c r="CJ143" s="14">
        <f>[1]Sheet2!BN142</f>
        <v>0</v>
      </c>
      <c r="CK143" s="14">
        <f>[1]Sheet2!BO142</f>
        <v>0</v>
      </c>
      <c r="CL143" s="14">
        <f>[1]Sheet2!BP142</f>
        <v>0</v>
      </c>
      <c r="CM143" s="14">
        <f>[1]Sheet2!BQ142</f>
        <v>0</v>
      </c>
      <c r="CN143" s="16">
        <f>Demand_SW!B$7/31</f>
        <v>122.8287841191067</v>
      </c>
      <c r="CO143" s="16">
        <f>Demand_SW!C$7/31</f>
        <v>0</v>
      </c>
      <c r="CP143" s="16">
        <f>Demand_SW!D$7/31</f>
        <v>0</v>
      </c>
      <c r="CQ143" s="16">
        <f>Demand_SW!E$7/31</f>
        <v>0</v>
      </c>
      <c r="CR143" s="16">
        <f>Demand_SW!F$7/31</f>
        <v>0</v>
      </c>
      <c r="CS143" s="16">
        <f>Demand_SW!G$7/31</f>
        <v>122.8287841191067</v>
      </c>
      <c r="CT143" s="16">
        <f>Demand_SW!H$7/31</f>
        <v>0</v>
      </c>
      <c r="CU143" s="16">
        <f>Demand_SW!I$7/31</f>
        <v>0</v>
      </c>
      <c r="CV143" s="16">
        <f>Demand_SW!J$7/31</f>
        <v>0</v>
      </c>
      <c r="CW143" s="16">
        <f>Demand_SW!K$7/31</f>
        <v>0</v>
      </c>
      <c r="CX143" s="16">
        <f t="shared" si="86"/>
        <v>-13919.652605459065</v>
      </c>
      <c r="CY143" s="16">
        <f t="shared" si="87"/>
        <v>76.923076923077133</v>
      </c>
      <c r="CZ143" s="16">
        <f t="shared" si="88"/>
        <v>0</v>
      </c>
      <c r="DA143" s="16">
        <f t="shared" si="89"/>
        <v>0</v>
      </c>
      <c r="DB143" s="16">
        <f t="shared" si="90"/>
        <v>0</v>
      </c>
      <c r="DC143" s="16">
        <f t="shared" si="91"/>
        <v>-13448.883374689833</v>
      </c>
      <c r="DD143" s="16">
        <f t="shared" si="92"/>
        <v>76.923076923077133</v>
      </c>
      <c r="DE143" s="16">
        <f t="shared" si="93"/>
        <v>0</v>
      </c>
      <c r="DF143" s="16">
        <f t="shared" si="94"/>
        <v>0</v>
      </c>
      <c r="DG143" s="16">
        <f t="shared" si="95"/>
        <v>0</v>
      </c>
      <c r="DH143" s="14">
        <f>IF([1]Sheet2!DS142=999999,"NA",[1]Sheet2!DS142)</f>
        <v>0</v>
      </c>
      <c r="DI143" s="14">
        <f>IF([1]Sheet2!DT142=999999,"NA",[1]Sheet2!DT142)</f>
        <v>225</v>
      </c>
      <c r="DJ143" s="14" t="str">
        <f>IF([1]Sheet2!DU142=999999,"NA",[1]Sheet2!DU142)</f>
        <v>NA</v>
      </c>
      <c r="DK143" s="14" t="str">
        <f>IF([1]Sheet2!DV142=999999,"NA",[1]Sheet2!DV142)</f>
        <v>NA</v>
      </c>
      <c r="DL143" s="14" t="str">
        <f>IF([1]Sheet2!DW142=999999,"NA",[1]Sheet2!DW142)</f>
        <v>NA</v>
      </c>
      <c r="DM143" s="14">
        <f>IF([1]Sheet2!DX142=999999,"NA",[1]Sheet2!DX142)</f>
        <v>0</v>
      </c>
      <c r="DN143" s="14">
        <f>IF([1]Sheet2!DY142=999999,"NA",[1]Sheet2!DY142)</f>
        <v>225</v>
      </c>
      <c r="DO143" s="14" t="str">
        <f>IF([1]Sheet2!DZ142=999999,"NA",[1]Sheet2!DZ142)</f>
        <v>NA</v>
      </c>
      <c r="DP143" s="14" t="str">
        <f>IF([1]Sheet2!EA142=999999,"NA",[1]Sheet2!EA142)</f>
        <v>NA</v>
      </c>
      <c r="DQ143" s="14" t="str">
        <f>IF([1]Sheet2!EB142=999999,"NA",[1]Sheet2!EB142)</f>
        <v>NA</v>
      </c>
      <c r="DR143" s="14">
        <f>[1]Sheet2!CY142</f>
        <v>0</v>
      </c>
      <c r="DS143" s="14">
        <f>[1]Sheet2!CZ142</f>
        <v>0</v>
      </c>
      <c r="DT143" s="14">
        <f>[1]Sheet2!DA142</f>
        <v>0</v>
      </c>
      <c r="DU143" s="14">
        <f>[1]Sheet2!DB142</f>
        <v>0</v>
      </c>
      <c r="DV143" s="14">
        <f>[1]Sheet2!DC142</f>
        <v>0</v>
      </c>
      <c r="DW143" s="14">
        <f>[1]Sheet2!DD142</f>
        <v>0</v>
      </c>
      <c r="DX143" s="14">
        <f>[1]Sheet2!DE142</f>
        <v>0</v>
      </c>
      <c r="DY143" s="14">
        <f>[1]Sheet2!DF142</f>
        <v>0</v>
      </c>
      <c r="DZ143" s="14">
        <f>[1]Sheet2!DG142</f>
        <v>0</v>
      </c>
      <c r="EA143" s="14">
        <f>[1]Sheet2!DH142</f>
        <v>0</v>
      </c>
      <c r="EB143" s="6">
        <f>[1]Sheet2!EC142</f>
        <v>0</v>
      </c>
      <c r="EC143" s="6">
        <f>[1]Sheet2!ED142</f>
        <v>0</v>
      </c>
      <c r="ED143" s="6">
        <f>[1]Sheet2!EE142</f>
        <v>0</v>
      </c>
      <c r="EE143" s="6">
        <f>[1]Sheet2!EF142</f>
        <v>0</v>
      </c>
      <c r="EF143" s="6">
        <f>[1]Sheet2!EG142</f>
        <v>0</v>
      </c>
      <c r="EG143" s="6">
        <f>[1]Sheet2!EH142</f>
        <v>0</v>
      </c>
      <c r="EH143" s="6">
        <f>[1]Sheet2!EI142</f>
        <v>0</v>
      </c>
      <c r="EI143" s="6">
        <f>[1]Sheet2!EJ142</f>
        <v>0</v>
      </c>
      <c r="EJ143" s="6">
        <f>[1]Sheet2!EK142</f>
        <v>0</v>
      </c>
      <c r="EK143" s="6">
        <f>[1]Sheet2!EL142</f>
        <v>0</v>
      </c>
      <c r="EL143" s="6" t="str">
        <f>[1]Sheet2!EM142</f>
        <v/>
      </c>
      <c r="EM143" s="6" t="str">
        <f>[1]Sheet2!EN142</f>
        <v/>
      </c>
      <c r="EN143" s="6" t="str">
        <f>[1]Sheet2!EO142</f>
        <v/>
      </c>
      <c r="EO143" s="6" t="str">
        <f>[1]Sheet2!EP142</f>
        <v/>
      </c>
      <c r="EP143" s="6" t="str">
        <f>[1]Sheet2!EQ142</f>
        <v/>
      </c>
      <c r="EQ143" s="6" t="str">
        <f>[1]Sheet2!ER142</f>
        <v/>
      </c>
      <c r="ER143" s="6" t="str">
        <f>[1]Sheet2!ES142</f>
        <v/>
      </c>
      <c r="ES143" s="6" t="str">
        <f>[1]Sheet2!ET142</f>
        <v/>
      </c>
      <c r="ET143" s="6" t="str">
        <f>[1]Sheet2!EU142</f>
        <v/>
      </c>
      <c r="EU143" s="6" t="str">
        <f>[1]Sheet2!EV142</f>
        <v/>
      </c>
      <c r="EV143" s="6" t="str">
        <f>[1]Sheet2!EW142</f>
        <v/>
      </c>
      <c r="EW143" s="6" t="str">
        <f>[1]Sheet2!EX142</f>
        <v/>
      </c>
      <c r="EX143" s="6" t="str">
        <f>[1]Sheet2!EY142</f>
        <v/>
      </c>
      <c r="EY143" s="6" t="str">
        <f>[1]Sheet2!EZ142</f>
        <v/>
      </c>
      <c r="EZ143" s="6" t="str">
        <f>[1]Sheet2!FA142</f>
        <v/>
      </c>
      <c r="FA143" s="6" t="str">
        <f>[1]Sheet2!FB142</f>
        <v/>
      </c>
      <c r="FB143" s="6" t="str">
        <f>[1]Sheet2!FC142</f>
        <v/>
      </c>
      <c r="FC143" s="6" t="str">
        <f>[1]Sheet2!FD142</f>
        <v/>
      </c>
      <c r="FD143" s="6" t="str">
        <f>[1]Sheet2!FE142</f>
        <v/>
      </c>
      <c r="FE143" s="6" t="str">
        <f>[1]Sheet2!FF142</f>
        <v/>
      </c>
      <c r="FF143" s="6" t="str">
        <f>[1]Sheet2!FG142</f>
        <v/>
      </c>
      <c r="FG143" s="6" t="str">
        <f>[1]Sheet2!FH142</f>
        <v/>
      </c>
      <c r="FH143" s="6" t="str">
        <f>[1]Sheet2!FI142</f>
        <v/>
      </c>
      <c r="FI143" s="6" t="str">
        <f>[1]Sheet2!FJ142</f>
        <v/>
      </c>
      <c r="FJ143" s="6" t="str">
        <f>[1]Sheet2!FK142</f>
        <v/>
      </c>
      <c r="FK143" s="6" t="str">
        <f>[1]Sheet2!FL142</f>
        <v/>
      </c>
      <c r="FL143" s="6" t="str">
        <f>[1]Sheet2!FM142</f>
        <v/>
      </c>
      <c r="FM143" s="6" t="str">
        <f>[1]Sheet2!FN142</f>
        <v/>
      </c>
      <c r="FN143" s="6" t="str">
        <f>[1]Sheet2!FO142</f>
        <v/>
      </c>
      <c r="FO143" s="6" t="str">
        <f>[1]Sheet2!FP142</f>
        <v/>
      </c>
    </row>
    <row r="144" spans="1:171" x14ac:dyDescent="0.25">
      <c r="A144" s="15">
        <v>43606</v>
      </c>
      <c r="B144" s="1"/>
      <c r="C144" s="1"/>
      <c r="D144" s="1"/>
      <c r="E144" s="14">
        <f>[1]Sheet2!N143</f>
        <v>0</v>
      </c>
      <c r="F144" s="14">
        <f>[1]Sheet2!BE143</f>
        <v>0</v>
      </c>
      <c r="G144" s="14">
        <f>[1]Sheet2!CW143</f>
        <v>0</v>
      </c>
      <c r="H144" s="1"/>
      <c r="I144" s="1"/>
      <c r="J144" s="1"/>
      <c r="K144" s="16"/>
      <c r="L144" s="16">
        <f>Demand_CWRS!B$7/31</f>
        <v>129.8994219137717</v>
      </c>
      <c r="M144" s="16">
        <f>Demand_CWRS!C$7/31</f>
        <v>543.3829611248965</v>
      </c>
      <c r="N144" s="16">
        <f>Demand_CWRS!D$7/31</f>
        <v>0</v>
      </c>
      <c r="O144" s="16">
        <f>Demand_CWRS!E$7/31</f>
        <v>131.84491315136475</v>
      </c>
      <c r="P144" s="16">
        <f>Demand_CWRS!F$7/31</f>
        <v>232.12592522229113</v>
      </c>
      <c r="Q144" s="16">
        <f>Demand_CWRS!G$7/31</f>
        <v>129.8994219137717</v>
      </c>
      <c r="R144" s="16">
        <f>Demand_CWRS!H$7/31</f>
        <v>232.12592522229113</v>
      </c>
      <c r="S144" s="16">
        <f>Demand_CWRS!I$7/31</f>
        <v>232.12592522229113</v>
      </c>
      <c r="T144" s="16">
        <f>Demand_CWRS!J$7/31</f>
        <v>232.12592522229113</v>
      </c>
      <c r="U144" s="16">
        <f>Demand_CWRS!K$7/31</f>
        <v>232.12592522229113</v>
      </c>
      <c r="V144" s="16">
        <f t="shared" si="66"/>
        <v>-17315.72150095112</v>
      </c>
      <c r="W144" s="16">
        <f t="shared" si="67"/>
        <v>-60926.17808105857</v>
      </c>
      <c r="X144" s="16">
        <f t="shared" si="68"/>
        <v>0</v>
      </c>
      <c r="Y144" s="16">
        <f t="shared" si="69"/>
        <v>-7517.3787003591042</v>
      </c>
      <c r="Z144" s="16">
        <f t="shared" si="70"/>
        <v>-27385.025688340222</v>
      </c>
      <c r="AA144" s="16">
        <f t="shared" si="71"/>
        <v>-15989.948351912684</v>
      </c>
      <c r="AB144" s="16">
        <f t="shared" si="72"/>
        <v>-31866.06935821204</v>
      </c>
      <c r="AC144" s="16">
        <f t="shared" si="73"/>
        <v>-26073.059101801762</v>
      </c>
      <c r="AD144" s="16">
        <f t="shared" si="74"/>
        <v>-26173.059101801755</v>
      </c>
      <c r="AE144" s="16">
        <f t="shared" si="75"/>
        <v>-26773.059101801759</v>
      </c>
      <c r="AF144" s="14">
        <f>IF([1]Sheet2!AJ143=999999,"NA",[1]Sheet2!AJ143)</f>
        <v>0</v>
      </c>
      <c r="AG144" s="14">
        <f>IF([1]Sheet2!AK143=999999,"NA",[1]Sheet2!AK143)</f>
        <v>0</v>
      </c>
      <c r="AH144" s="14" t="str">
        <f>IF([1]Sheet2!AL143=999999,"NA",[1]Sheet2!AL143)</f>
        <v>NA</v>
      </c>
      <c r="AI144" s="14">
        <f>IF([1]Sheet2!AM143=999999,"NA",[1]Sheet2!AM143)</f>
        <v>0</v>
      </c>
      <c r="AJ144" s="14">
        <f>IF([1]Sheet2!AN143=999999,"NA",[1]Sheet2!AN143)</f>
        <v>0</v>
      </c>
      <c r="AK144" s="14">
        <f>IF([1]Sheet2!AO143=999999,"NA",[1]Sheet2!AO143)</f>
        <v>0</v>
      </c>
      <c r="AL144" s="14">
        <f>IF([1]Sheet2!AP143=999999,"NA",[1]Sheet2!AP143)</f>
        <v>0</v>
      </c>
      <c r="AM144" s="14">
        <f>IF([1]Sheet2!AQ143=999999,"NA",[1]Sheet2!AQ143)</f>
        <v>0</v>
      </c>
      <c r="AN144" s="14">
        <f>IF([1]Sheet2!AR143=999999,"NA",[1]Sheet2!AR143)</f>
        <v>0</v>
      </c>
      <c r="AO144" s="14">
        <f>IF([1]Sheet2!AS143=999999,"NA",[1]Sheet2!AS143)</f>
        <v>0</v>
      </c>
      <c r="AP144" s="14">
        <f>[1]Sheet2!P143</f>
        <v>0</v>
      </c>
      <c r="AQ144" s="14">
        <f>[1]Sheet2!Q143</f>
        <v>0</v>
      </c>
      <c r="AR144" s="14">
        <f>[1]Sheet2!R143</f>
        <v>0</v>
      </c>
      <c r="AS144" s="14">
        <f>[1]Sheet2!S143</f>
        <v>0</v>
      </c>
      <c r="AT144" s="14">
        <f>[1]Sheet2!T143</f>
        <v>0</v>
      </c>
      <c r="AU144" s="14">
        <f>[1]Sheet2!U143</f>
        <v>0</v>
      </c>
      <c r="AV144" s="14">
        <f>[1]Sheet2!V143</f>
        <v>0</v>
      </c>
      <c r="AW144" s="14">
        <f>[1]Sheet2!W143</f>
        <v>0</v>
      </c>
      <c r="AX144" s="14">
        <f>[1]Sheet2!X143</f>
        <v>0</v>
      </c>
      <c r="AY144" s="14">
        <f>[1]Sheet2!Y143</f>
        <v>0</v>
      </c>
      <c r="AZ144" s="16">
        <f>Demand_LP!B$7/31</f>
        <v>855.82964911600493</v>
      </c>
      <c r="BA144" s="16">
        <f>Demand_LP!C$7/31</f>
        <v>478.74276261373035</v>
      </c>
      <c r="BB144" s="16">
        <f>Demand_LP!D$7/31</f>
        <v>366.03598014888337</v>
      </c>
      <c r="BC144" s="16">
        <f>Demand_LP!E$7/31</f>
        <v>837.96277915632766</v>
      </c>
      <c r="BD144" s="16">
        <f>Demand_LP!F$7/31</f>
        <v>447.19049589019846</v>
      </c>
      <c r="BE144" s="16">
        <f>Demand_LP!G$7/31</f>
        <v>447.19049589019846</v>
      </c>
      <c r="BF144" s="16">
        <f>Demand_LP!H$7/31</f>
        <v>478.74276261373035</v>
      </c>
      <c r="BG144" s="16">
        <f>Demand_LP!I$7/31</f>
        <v>447.19049589019846</v>
      </c>
      <c r="BH144" s="16">
        <f>Demand_LP!J$7/31</f>
        <v>447.19049589019846</v>
      </c>
      <c r="BI144" s="16">
        <f>Demand_LP!K$7/31</f>
        <v>447.19049589019846</v>
      </c>
      <c r="BJ144" s="16">
        <f t="shared" si="76"/>
        <v>-93392.931082324561</v>
      </c>
      <c r="BK144" s="16">
        <f t="shared" si="77"/>
        <v>-80164.051861042171</v>
      </c>
      <c r="BL144" s="16">
        <f t="shared" si="78"/>
        <v>-32859.759429280479</v>
      </c>
      <c r="BM144" s="16">
        <f t="shared" si="79"/>
        <v>-98268.188858874768</v>
      </c>
      <c r="BN144" s="16">
        <f t="shared" si="80"/>
        <v>-57008.985545804317</v>
      </c>
      <c r="BO144" s="16">
        <f t="shared" si="81"/>
        <v>-55466.669464175029</v>
      </c>
      <c r="BP144" s="16">
        <f t="shared" si="82"/>
        <v>-74521.631348221679</v>
      </c>
      <c r="BQ144" s="16">
        <f t="shared" si="83"/>
        <v>-55466.669464175029</v>
      </c>
      <c r="BR144" s="16">
        <f t="shared" si="84"/>
        <v>-53066.669464175029</v>
      </c>
      <c r="BS144" s="16">
        <f t="shared" si="85"/>
        <v>-53766.669464175022</v>
      </c>
      <c r="BT144" s="14">
        <f>IF([1]Sheet2!CB143=999999,"NA",[1]Sheet2!CB143)</f>
        <v>0</v>
      </c>
      <c r="BU144" s="14">
        <f>IF([1]Sheet2!CC143=999999,"NA",[1]Sheet2!CC143)</f>
        <v>0</v>
      </c>
      <c r="BV144" s="14">
        <f>IF([1]Sheet2!CD143=999999,"NA",[1]Sheet2!CD143)</f>
        <v>0</v>
      </c>
      <c r="BW144" s="14">
        <f>IF([1]Sheet2!CE143=999999,"NA",[1]Sheet2!CE143)</f>
        <v>0</v>
      </c>
      <c r="BX144" s="14">
        <f>IF([1]Sheet2!CF143=999999,"NA",[1]Sheet2!CF143)</f>
        <v>0</v>
      </c>
      <c r="BY144" s="14">
        <f>IF([1]Sheet2!CG143=999999,"NA",[1]Sheet2!CG143)</f>
        <v>0</v>
      </c>
      <c r="BZ144" s="14">
        <f>IF([1]Sheet2!CH143=999999,"NA",[1]Sheet2!CH143)</f>
        <v>0</v>
      </c>
      <c r="CA144" s="14">
        <f>IF([1]Sheet2!CI143=999999,"NA",[1]Sheet2!CI143)</f>
        <v>0</v>
      </c>
      <c r="CB144" s="14">
        <f>IF([1]Sheet2!CJ143=999999,"NA",[1]Sheet2!CJ143)</f>
        <v>0</v>
      </c>
      <c r="CC144" s="14">
        <f>IF([1]Sheet2!CK143=999999,"NA",[1]Sheet2!CK143)</f>
        <v>0</v>
      </c>
      <c r="CD144" s="14">
        <f>[1]Sheet2!BH143</f>
        <v>0</v>
      </c>
      <c r="CE144" s="14">
        <f>[1]Sheet2!BI143</f>
        <v>0</v>
      </c>
      <c r="CF144" s="14">
        <f>[1]Sheet2!BJ143</f>
        <v>0</v>
      </c>
      <c r="CG144" s="14">
        <f>[1]Sheet2!BK143</f>
        <v>0</v>
      </c>
      <c r="CH144" s="14">
        <f>[1]Sheet2!BL143</f>
        <v>0</v>
      </c>
      <c r="CI144" s="14">
        <f>[1]Sheet2!BM143</f>
        <v>0</v>
      </c>
      <c r="CJ144" s="14">
        <f>[1]Sheet2!BN143</f>
        <v>0</v>
      </c>
      <c r="CK144" s="14">
        <f>[1]Sheet2!BO143</f>
        <v>0</v>
      </c>
      <c r="CL144" s="14">
        <f>[1]Sheet2!BP143</f>
        <v>0</v>
      </c>
      <c r="CM144" s="14">
        <f>[1]Sheet2!BQ143</f>
        <v>0</v>
      </c>
      <c r="CN144" s="16">
        <f>Demand_SW!B$7/31</f>
        <v>122.8287841191067</v>
      </c>
      <c r="CO144" s="16">
        <f>Demand_SW!C$7/31</f>
        <v>0</v>
      </c>
      <c r="CP144" s="16">
        <f>Demand_SW!D$7/31</f>
        <v>0</v>
      </c>
      <c r="CQ144" s="16">
        <f>Demand_SW!E$7/31</f>
        <v>0</v>
      </c>
      <c r="CR144" s="16">
        <f>Demand_SW!F$7/31</f>
        <v>0</v>
      </c>
      <c r="CS144" s="16">
        <f>Demand_SW!G$7/31</f>
        <v>122.8287841191067</v>
      </c>
      <c r="CT144" s="16">
        <f>Demand_SW!H$7/31</f>
        <v>0</v>
      </c>
      <c r="CU144" s="16">
        <f>Demand_SW!I$7/31</f>
        <v>0</v>
      </c>
      <c r="CV144" s="16">
        <f>Demand_SW!J$7/31</f>
        <v>0</v>
      </c>
      <c r="CW144" s="16">
        <f>Demand_SW!K$7/31</f>
        <v>0</v>
      </c>
      <c r="CX144" s="16">
        <f t="shared" si="86"/>
        <v>-14042.481389578172</v>
      </c>
      <c r="CY144" s="16">
        <f t="shared" si="87"/>
        <v>76.923076923077133</v>
      </c>
      <c r="CZ144" s="16">
        <f t="shared" si="88"/>
        <v>0</v>
      </c>
      <c r="DA144" s="16">
        <f t="shared" si="89"/>
        <v>0</v>
      </c>
      <c r="DB144" s="16">
        <f t="shared" si="90"/>
        <v>0</v>
      </c>
      <c r="DC144" s="16">
        <f t="shared" si="91"/>
        <v>-13571.712158808939</v>
      </c>
      <c r="DD144" s="16">
        <f t="shared" si="92"/>
        <v>76.923076923077133</v>
      </c>
      <c r="DE144" s="16">
        <f t="shared" si="93"/>
        <v>0</v>
      </c>
      <c r="DF144" s="16">
        <f t="shared" si="94"/>
        <v>0</v>
      </c>
      <c r="DG144" s="16">
        <f t="shared" si="95"/>
        <v>0</v>
      </c>
      <c r="DH144" s="14">
        <f>IF([1]Sheet2!DS143=999999,"NA",[1]Sheet2!DS143)</f>
        <v>0</v>
      </c>
      <c r="DI144" s="14">
        <f>IF([1]Sheet2!DT143=999999,"NA",[1]Sheet2!DT143)</f>
        <v>224</v>
      </c>
      <c r="DJ144" s="14" t="str">
        <f>IF([1]Sheet2!DU143=999999,"NA",[1]Sheet2!DU143)</f>
        <v>NA</v>
      </c>
      <c r="DK144" s="14" t="str">
        <f>IF([1]Sheet2!DV143=999999,"NA",[1]Sheet2!DV143)</f>
        <v>NA</v>
      </c>
      <c r="DL144" s="14" t="str">
        <f>IF([1]Sheet2!DW143=999999,"NA",[1]Sheet2!DW143)</f>
        <v>NA</v>
      </c>
      <c r="DM144" s="14">
        <f>IF([1]Sheet2!DX143=999999,"NA",[1]Sheet2!DX143)</f>
        <v>0</v>
      </c>
      <c r="DN144" s="14">
        <f>IF([1]Sheet2!DY143=999999,"NA",[1]Sheet2!DY143)</f>
        <v>224</v>
      </c>
      <c r="DO144" s="14" t="str">
        <f>IF([1]Sheet2!DZ143=999999,"NA",[1]Sheet2!DZ143)</f>
        <v>NA</v>
      </c>
      <c r="DP144" s="14" t="str">
        <f>IF([1]Sheet2!EA143=999999,"NA",[1]Sheet2!EA143)</f>
        <v>NA</v>
      </c>
      <c r="DQ144" s="14" t="str">
        <f>IF([1]Sheet2!EB143=999999,"NA",[1]Sheet2!EB143)</f>
        <v>NA</v>
      </c>
      <c r="DR144" s="14">
        <f>[1]Sheet2!CY143</f>
        <v>0</v>
      </c>
      <c r="DS144" s="14">
        <f>[1]Sheet2!CZ143</f>
        <v>0</v>
      </c>
      <c r="DT144" s="14">
        <f>[1]Sheet2!DA143</f>
        <v>0</v>
      </c>
      <c r="DU144" s="14">
        <f>[1]Sheet2!DB143</f>
        <v>0</v>
      </c>
      <c r="DV144" s="14">
        <f>[1]Sheet2!DC143</f>
        <v>0</v>
      </c>
      <c r="DW144" s="14">
        <f>[1]Sheet2!DD143</f>
        <v>0</v>
      </c>
      <c r="DX144" s="14">
        <f>[1]Sheet2!DE143</f>
        <v>0</v>
      </c>
      <c r="DY144" s="14">
        <f>[1]Sheet2!DF143</f>
        <v>0</v>
      </c>
      <c r="DZ144" s="14">
        <f>[1]Sheet2!DG143</f>
        <v>0</v>
      </c>
      <c r="EA144" s="14">
        <f>[1]Sheet2!DH143</f>
        <v>0</v>
      </c>
      <c r="EB144" s="6">
        <f>[1]Sheet2!EC143</f>
        <v>0</v>
      </c>
      <c r="EC144" s="6">
        <f>[1]Sheet2!ED143</f>
        <v>0</v>
      </c>
      <c r="ED144" s="6">
        <f>[1]Sheet2!EE143</f>
        <v>0</v>
      </c>
      <c r="EE144" s="6">
        <f>[1]Sheet2!EF143</f>
        <v>0</v>
      </c>
      <c r="EF144" s="6">
        <f>[1]Sheet2!EG143</f>
        <v>0</v>
      </c>
      <c r="EG144" s="6">
        <f>[1]Sheet2!EH143</f>
        <v>0</v>
      </c>
      <c r="EH144" s="6">
        <f>[1]Sheet2!EI143</f>
        <v>0</v>
      </c>
      <c r="EI144" s="6">
        <f>[1]Sheet2!EJ143</f>
        <v>0</v>
      </c>
      <c r="EJ144" s="6">
        <f>[1]Sheet2!EK143</f>
        <v>0</v>
      </c>
      <c r="EK144" s="6">
        <f>[1]Sheet2!EL143</f>
        <v>0</v>
      </c>
      <c r="EL144" s="6" t="str">
        <f>[1]Sheet2!EM143</f>
        <v/>
      </c>
      <c r="EM144" s="6" t="str">
        <f>[1]Sheet2!EN143</f>
        <v/>
      </c>
      <c r="EN144" s="6" t="str">
        <f>[1]Sheet2!EO143</f>
        <v/>
      </c>
      <c r="EO144" s="6" t="str">
        <f>[1]Sheet2!EP143</f>
        <v/>
      </c>
      <c r="EP144" s="6" t="str">
        <f>[1]Sheet2!EQ143</f>
        <v/>
      </c>
      <c r="EQ144" s="6" t="str">
        <f>[1]Sheet2!ER143</f>
        <v/>
      </c>
      <c r="ER144" s="6" t="str">
        <f>[1]Sheet2!ES143</f>
        <v/>
      </c>
      <c r="ES144" s="6" t="str">
        <f>[1]Sheet2!ET143</f>
        <v/>
      </c>
      <c r="ET144" s="6" t="str">
        <f>[1]Sheet2!EU143</f>
        <v/>
      </c>
      <c r="EU144" s="6" t="str">
        <f>[1]Sheet2!EV143</f>
        <v/>
      </c>
      <c r="EV144" s="6" t="str">
        <f>[1]Sheet2!EW143</f>
        <v/>
      </c>
      <c r="EW144" s="6" t="str">
        <f>[1]Sheet2!EX143</f>
        <v/>
      </c>
      <c r="EX144" s="6" t="str">
        <f>[1]Sheet2!EY143</f>
        <v/>
      </c>
      <c r="EY144" s="6" t="str">
        <f>[1]Sheet2!EZ143</f>
        <v/>
      </c>
      <c r="EZ144" s="6" t="str">
        <f>[1]Sheet2!FA143</f>
        <v/>
      </c>
      <c r="FA144" s="6" t="str">
        <f>[1]Sheet2!FB143</f>
        <v/>
      </c>
      <c r="FB144" s="6" t="str">
        <f>[1]Sheet2!FC143</f>
        <v/>
      </c>
      <c r="FC144" s="6" t="str">
        <f>[1]Sheet2!FD143</f>
        <v/>
      </c>
      <c r="FD144" s="6" t="str">
        <f>[1]Sheet2!FE143</f>
        <v/>
      </c>
      <c r="FE144" s="6" t="str">
        <f>[1]Sheet2!FF143</f>
        <v/>
      </c>
      <c r="FF144" s="6" t="str">
        <f>[1]Sheet2!FG143</f>
        <v/>
      </c>
      <c r="FG144" s="6" t="str">
        <f>[1]Sheet2!FH143</f>
        <v/>
      </c>
      <c r="FH144" s="6" t="str">
        <f>[1]Sheet2!FI143</f>
        <v/>
      </c>
      <c r="FI144" s="6" t="str">
        <f>[1]Sheet2!FJ143</f>
        <v/>
      </c>
      <c r="FJ144" s="6" t="str">
        <f>[1]Sheet2!FK143</f>
        <v/>
      </c>
      <c r="FK144" s="6" t="str">
        <f>[1]Sheet2!FL143</f>
        <v/>
      </c>
      <c r="FL144" s="6" t="str">
        <f>[1]Sheet2!FM143</f>
        <v/>
      </c>
      <c r="FM144" s="6" t="str">
        <f>[1]Sheet2!FN143</f>
        <v/>
      </c>
      <c r="FN144" s="6" t="str">
        <f>[1]Sheet2!FO143</f>
        <v/>
      </c>
      <c r="FO144" s="6" t="str">
        <f>[1]Sheet2!FP143</f>
        <v/>
      </c>
    </row>
    <row r="145" spans="1:171" x14ac:dyDescent="0.25">
      <c r="A145" s="15">
        <v>43607</v>
      </c>
      <c r="B145" s="1"/>
      <c r="C145" s="1"/>
      <c r="D145" s="1"/>
      <c r="E145" s="14">
        <f>[1]Sheet2!N144</f>
        <v>0</v>
      </c>
      <c r="F145" s="14">
        <f>[1]Sheet2!BE144</f>
        <v>0</v>
      </c>
      <c r="G145" s="14">
        <f>[1]Sheet2!CW144</f>
        <v>0</v>
      </c>
      <c r="H145" s="1"/>
      <c r="I145" s="1"/>
      <c r="J145" s="1"/>
      <c r="K145" s="16"/>
      <c r="L145" s="16">
        <f>Demand_CWRS!B$7/31</f>
        <v>129.8994219137717</v>
      </c>
      <c r="M145" s="16">
        <f>Demand_CWRS!C$7/31</f>
        <v>543.3829611248965</v>
      </c>
      <c r="N145" s="16">
        <f>Demand_CWRS!D$7/31</f>
        <v>0</v>
      </c>
      <c r="O145" s="16">
        <f>Demand_CWRS!E$7/31</f>
        <v>131.84491315136475</v>
      </c>
      <c r="P145" s="16">
        <f>Demand_CWRS!F$7/31</f>
        <v>232.12592522229113</v>
      </c>
      <c r="Q145" s="16">
        <f>Demand_CWRS!G$7/31</f>
        <v>129.8994219137717</v>
      </c>
      <c r="R145" s="16">
        <f>Demand_CWRS!H$7/31</f>
        <v>232.12592522229113</v>
      </c>
      <c r="S145" s="16">
        <f>Demand_CWRS!I$7/31</f>
        <v>232.12592522229113</v>
      </c>
      <c r="T145" s="16">
        <f>Demand_CWRS!J$7/31</f>
        <v>232.12592522229113</v>
      </c>
      <c r="U145" s="16">
        <f>Demand_CWRS!K$7/31</f>
        <v>232.12592522229113</v>
      </c>
      <c r="V145" s="16">
        <f t="shared" si="66"/>
        <v>-17445.620922864891</v>
      </c>
      <c r="W145" s="16">
        <f t="shared" si="67"/>
        <v>-61469.561042183464</v>
      </c>
      <c r="X145" s="16">
        <f t="shared" si="68"/>
        <v>0</v>
      </c>
      <c r="Y145" s="16">
        <f t="shared" si="69"/>
        <v>-7649.2236135104686</v>
      </c>
      <c r="Z145" s="16">
        <f t="shared" si="70"/>
        <v>-27617.151613562513</v>
      </c>
      <c r="AA145" s="16">
        <f t="shared" si="71"/>
        <v>-16119.847773826456</v>
      </c>
      <c r="AB145" s="16">
        <f t="shared" si="72"/>
        <v>-32098.195283434332</v>
      </c>
      <c r="AC145" s="16">
        <f t="shared" si="73"/>
        <v>-26305.185027024054</v>
      </c>
      <c r="AD145" s="16">
        <f t="shared" si="74"/>
        <v>-26405.185027024047</v>
      </c>
      <c r="AE145" s="16">
        <f t="shared" si="75"/>
        <v>-27005.18502702405</v>
      </c>
      <c r="AF145" s="14">
        <f>IF([1]Sheet2!AJ144=999999,"NA",[1]Sheet2!AJ144)</f>
        <v>0</v>
      </c>
      <c r="AG145" s="14">
        <f>IF([1]Sheet2!AK144=999999,"NA",[1]Sheet2!AK144)</f>
        <v>0</v>
      </c>
      <c r="AH145" s="14" t="str">
        <f>IF([1]Sheet2!AL144=999999,"NA",[1]Sheet2!AL144)</f>
        <v>NA</v>
      </c>
      <c r="AI145" s="14">
        <f>IF([1]Sheet2!AM144=999999,"NA",[1]Sheet2!AM144)</f>
        <v>0</v>
      </c>
      <c r="AJ145" s="14">
        <f>IF([1]Sheet2!AN144=999999,"NA",[1]Sheet2!AN144)</f>
        <v>0</v>
      </c>
      <c r="AK145" s="14">
        <f>IF([1]Sheet2!AO144=999999,"NA",[1]Sheet2!AO144)</f>
        <v>0</v>
      </c>
      <c r="AL145" s="14">
        <f>IF([1]Sheet2!AP144=999999,"NA",[1]Sheet2!AP144)</f>
        <v>0</v>
      </c>
      <c r="AM145" s="14">
        <f>IF([1]Sheet2!AQ144=999999,"NA",[1]Sheet2!AQ144)</f>
        <v>0</v>
      </c>
      <c r="AN145" s="14">
        <f>IF([1]Sheet2!AR144=999999,"NA",[1]Sheet2!AR144)</f>
        <v>0</v>
      </c>
      <c r="AO145" s="14">
        <f>IF([1]Sheet2!AS144=999999,"NA",[1]Sheet2!AS144)</f>
        <v>0</v>
      </c>
      <c r="AP145" s="14">
        <f>[1]Sheet2!P144</f>
        <v>0</v>
      </c>
      <c r="AQ145" s="14">
        <f>[1]Sheet2!Q144</f>
        <v>0</v>
      </c>
      <c r="AR145" s="14">
        <f>[1]Sheet2!R144</f>
        <v>0</v>
      </c>
      <c r="AS145" s="14">
        <f>[1]Sheet2!S144</f>
        <v>0</v>
      </c>
      <c r="AT145" s="14">
        <f>[1]Sheet2!T144</f>
        <v>0</v>
      </c>
      <c r="AU145" s="14">
        <f>[1]Sheet2!U144</f>
        <v>0</v>
      </c>
      <c r="AV145" s="14">
        <f>[1]Sheet2!V144</f>
        <v>0</v>
      </c>
      <c r="AW145" s="14">
        <f>[1]Sheet2!W144</f>
        <v>0</v>
      </c>
      <c r="AX145" s="14">
        <f>[1]Sheet2!X144</f>
        <v>0</v>
      </c>
      <c r="AY145" s="14">
        <f>[1]Sheet2!Y144</f>
        <v>0</v>
      </c>
      <c r="AZ145" s="16">
        <f>Demand_LP!B$7/31</f>
        <v>855.82964911600493</v>
      </c>
      <c r="BA145" s="16">
        <f>Demand_LP!C$7/31</f>
        <v>478.74276261373035</v>
      </c>
      <c r="BB145" s="16">
        <f>Demand_LP!D$7/31</f>
        <v>366.03598014888337</v>
      </c>
      <c r="BC145" s="16">
        <f>Demand_LP!E$7/31</f>
        <v>837.96277915632766</v>
      </c>
      <c r="BD145" s="16">
        <f>Demand_LP!F$7/31</f>
        <v>447.19049589019846</v>
      </c>
      <c r="BE145" s="16">
        <f>Demand_LP!G$7/31</f>
        <v>447.19049589019846</v>
      </c>
      <c r="BF145" s="16">
        <f>Demand_LP!H$7/31</f>
        <v>478.74276261373035</v>
      </c>
      <c r="BG145" s="16">
        <f>Demand_LP!I$7/31</f>
        <v>447.19049589019846</v>
      </c>
      <c r="BH145" s="16">
        <f>Demand_LP!J$7/31</f>
        <v>447.19049589019846</v>
      </c>
      <c r="BI145" s="16">
        <f>Demand_LP!K$7/31</f>
        <v>447.19049589019846</v>
      </c>
      <c r="BJ145" s="16">
        <f t="shared" si="76"/>
        <v>-94248.760731440561</v>
      </c>
      <c r="BK145" s="16">
        <f t="shared" si="77"/>
        <v>-80642.794623655907</v>
      </c>
      <c r="BL145" s="16">
        <f t="shared" si="78"/>
        <v>-33225.79540942936</v>
      </c>
      <c r="BM145" s="16">
        <f t="shared" si="79"/>
        <v>-99106.151638031093</v>
      </c>
      <c r="BN145" s="16">
        <f t="shared" si="80"/>
        <v>-57456.176041694518</v>
      </c>
      <c r="BO145" s="16">
        <f t="shared" si="81"/>
        <v>-55913.859960065231</v>
      </c>
      <c r="BP145" s="16">
        <f t="shared" si="82"/>
        <v>-75000.374110835415</v>
      </c>
      <c r="BQ145" s="16">
        <f t="shared" si="83"/>
        <v>-55913.859960065231</v>
      </c>
      <c r="BR145" s="16">
        <f t="shared" si="84"/>
        <v>-53513.859960065231</v>
      </c>
      <c r="BS145" s="16">
        <f t="shared" si="85"/>
        <v>-54213.859960065223</v>
      </c>
      <c r="BT145" s="14">
        <f>IF([1]Sheet2!CB144=999999,"NA",[1]Sheet2!CB144)</f>
        <v>0</v>
      </c>
      <c r="BU145" s="14">
        <f>IF([1]Sheet2!CC144=999999,"NA",[1]Sheet2!CC144)</f>
        <v>0</v>
      </c>
      <c r="BV145" s="14">
        <f>IF([1]Sheet2!CD144=999999,"NA",[1]Sheet2!CD144)</f>
        <v>0</v>
      </c>
      <c r="BW145" s="14">
        <f>IF([1]Sheet2!CE144=999999,"NA",[1]Sheet2!CE144)</f>
        <v>0</v>
      </c>
      <c r="BX145" s="14">
        <f>IF([1]Sheet2!CF144=999999,"NA",[1]Sheet2!CF144)</f>
        <v>0</v>
      </c>
      <c r="BY145" s="14">
        <f>IF([1]Sheet2!CG144=999999,"NA",[1]Sheet2!CG144)</f>
        <v>0</v>
      </c>
      <c r="BZ145" s="14">
        <f>IF([1]Sheet2!CH144=999999,"NA",[1]Sheet2!CH144)</f>
        <v>0</v>
      </c>
      <c r="CA145" s="14">
        <f>IF([1]Sheet2!CI144=999999,"NA",[1]Sheet2!CI144)</f>
        <v>0</v>
      </c>
      <c r="CB145" s="14">
        <f>IF([1]Sheet2!CJ144=999999,"NA",[1]Sheet2!CJ144)</f>
        <v>0</v>
      </c>
      <c r="CC145" s="14">
        <f>IF([1]Sheet2!CK144=999999,"NA",[1]Sheet2!CK144)</f>
        <v>0</v>
      </c>
      <c r="CD145" s="14">
        <f>[1]Sheet2!BH144</f>
        <v>0</v>
      </c>
      <c r="CE145" s="14">
        <f>[1]Sheet2!BI144</f>
        <v>0</v>
      </c>
      <c r="CF145" s="14">
        <f>[1]Sheet2!BJ144</f>
        <v>0</v>
      </c>
      <c r="CG145" s="14">
        <f>[1]Sheet2!BK144</f>
        <v>0</v>
      </c>
      <c r="CH145" s="14">
        <f>[1]Sheet2!BL144</f>
        <v>0</v>
      </c>
      <c r="CI145" s="14">
        <f>[1]Sheet2!BM144</f>
        <v>0</v>
      </c>
      <c r="CJ145" s="14">
        <f>[1]Sheet2!BN144</f>
        <v>0</v>
      </c>
      <c r="CK145" s="14">
        <f>[1]Sheet2!BO144</f>
        <v>0</v>
      </c>
      <c r="CL145" s="14">
        <f>[1]Sheet2!BP144</f>
        <v>0</v>
      </c>
      <c r="CM145" s="14">
        <f>[1]Sheet2!BQ144</f>
        <v>0</v>
      </c>
      <c r="CN145" s="16">
        <f>Demand_SW!B$7/31</f>
        <v>122.8287841191067</v>
      </c>
      <c r="CO145" s="16">
        <f>Demand_SW!C$7/31</f>
        <v>0</v>
      </c>
      <c r="CP145" s="16">
        <f>Demand_SW!D$7/31</f>
        <v>0</v>
      </c>
      <c r="CQ145" s="16">
        <f>Demand_SW!E$7/31</f>
        <v>0</v>
      </c>
      <c r="CR145" s="16">
        <f>Demand_SW!F$7/31</f>
        <v>0</v>
      </c>
      <c r="CS145" s="16">
        <f>Demand_SW!G$7/31</f>
        <v>122.8287841191067</v>
      </c>
      <c r="CT145" s="16">
        <f>Demand_SW!H$7/31</f>
        <v>0</v>
      </c>
      <c r="CU145" s="16">
        <f>Demand_SW!I$7/31</f>
        <v>0</v>
      </c>
      <c r="CV145" s="16">
        <f>Demand_SW!J$7/31</f>
        <v>0</v>
      </c>
      <c r="CW145" s="16">
        <f>Demand_SW!K$7/31</f>
        <v>0</v>
      </c>
      <c r="CX145" s="16">
        <f t="shared" si="86"/>
        <v>-14165.310173697279</v>
      </c>
      <c r="CY145" s="16">
        <f t="shared" si="87"/>
        <v>76.923076923077133</v>
      </c>
      <c r="CZ145" s="16">
        <f t="shared" si="88"/>
        <v>0</v>
      </c>
      <c r="DA145" s="16">
        <f t="shared" si="89"/>
        <v>0</v>
      </c>
      <c r="DB145" s="16">
        <f t="shared" si="90"/>
        <v>0</v>
      </c>
      <c r="DC145" s="16">
        <f t="shared" si="91"/>
        <v>-13694.540942928046</v>
      </c>
      <c r="DD145" s="16">
        <f t="shared" si="92"/>
        <v>76.923076923077133</v>
      </c>
      <c r="DE145" s="16">
        <f t="shared" si="93"/>
        <v>0</v>
      </c>
      <c r="DF145" s="16">
        <f t="shared" si="94"/>
        <v>0</v>
      </c>
      <c r="DG145" s="16">
        <f t="shared" si="95"/>
        <v>0</v>
      </c>
      <c r="DH145" s="14">
        <f>IF([1]Sheet2!DS144=999999,"NA",[1]Sheet2!DS144)</f>
        <v>0</v>
      </c>
      <c r="DI145" s="14">
        <f>IF([1]Sheet2!DT144=999999,"NA",[1]Sheet2!DT144)</f>
        <v>223</v>
      </c>
      <c r="DJ145" s="14" t="str">
        <f>IF([1]Sheet2!DU144=999999,"NA",[1]Sheet2!DU144)</f>
        <v>NA</v>
      </c>
      <c r="DK145" s="14" t="str">
        <f>IF([1]Sheet2!DV144=999999,"NA",[1]Sheet2!DV144)</f>
        <v>NA</v>
      </c>
      <c r="DL145" s="14" t="str">
        <f>IF([1]Sheet2!DW144=999999,"NA",[1]Sheet2!DW144)</f>
        <v>NA</v>
      </c>
      <c r="DM145" s="14">
        <f>IF([1]Sheet2!DX144=999999,"NA",[1]Sheet2!DX144)</f>
        <v>0</v>
      </c>
      <c r="DN145" s="14">
        <f>IF([1]Sheet2!DY144=999999,"NA",[1]Sheet2!DY144)</f>
        <v>223</v>
      </c>
      <c r="DO145" s="14" t="str">
        <f>IF([1]Sheet2!DZ144=999999,"NA",[1]Sheet2!DZ144)</f>
        <v>NA</v>
      </c>
      <c r="DP145" s="14" t="str">
        <f>IF([1]Sheet2!EA144=999999,"NA",[1]Sheet2!EA144)</f>
        <v>NA</v>
      </c>
      <c r="DQ145" s="14" t="str">
        <f>IF([1]Sheet2!EB144=999999,"NA",[1]Sheet2!EB144)</f>
        <v>NA</v>
      </c>
      <c r="DR145" s="14">
        <f>[1]Sheet2!CY144</f>
        <v>0</v>
      </c>
      <c r="DS145" s="14">
        <f>[1]Sheet2!CZ144</f>
        <v>0</v>
      </c>
      <c r="DT145" s="14">
        <f>[1]Sheet2!DA144</f>
        <v>0</v>
      </c>
      <c r="DU145" s="14">
        <f>[1]Sheet2!DB144</f>
        <v>0</v>
      </c>
      <c r="DV145" s="14">
        <f>[1]Sheet2!DC144</f>
        <v>0</v>
      </c>
      <c r="DW145" s="14">
        <f>[1]Sheet2!DD144</f>
        <v>0</v>
      </c>
      <c r="DX145" s="14">
        <f>[1]Sheet2!DE144</f>
        <v>0</v>
      </c>
      <c r="DY145" s="14">
        <f>[1]Sheet2!DF144</f>
        <v>0</v>
      </c>
      <c r="DZ145" s="14">
        <f>[1]Sheet2!DG144</f>
        <v>0</v>
      </c>
      <c r="EA145" s="14">
        <f>[1]Sheet2!DH144</f>
        <v>0</v>
      </c>
      <c r="EB145" s="6">
        <f>[1]Sheet2!EC144</f>
        <v>0</v>
      </c>
      <c r="EC145" s="6">
        <f>[1]Sheet2!ED144</f>
        <v>0</v>
      </c>
      <c r="ED145" s="6">
        <f>[1]Sheet2!EE144</f>
        <v>0</v>
      </c>
      <c r="EE145" s="6">
        <f>[1]Sheet2!EF144</f>
        <v>0</v>
      </c>
      <c r="EF145" s="6">
        <f>[1]Sheet2!EG144</f>
        <v>0</v>
      </c>
      <c r="EG145" s="6">
        <f>[1]Sheet2!EH144</f>
        <v>0</v>
      </c>
      <c r="EH145" s="6">
        <f>[1]Sheet2!EI144</f>
        <v>0</v>
      </c>
      <c r="EI145" s="6">
        <f>[1]Sheet2!EJ144</f>
        <v>0</v>
      </c>
      <c r="EJ145" s="6">
        <f>[1]Sheet2!EK144</f>
        <v>0</v>
      </c>
      <c r="EK145" s="6">
        <f>[1]Sheet2!EL144</f>
        <v>0</v>
      </c>
      <c r="EL145" s="6" t="str">
        <f>[1]Sheet2!EM144</f>
        <v/>
      </c>
      <c r="EM145" s="6" t="str">
        <f>[1]Sheet2!EN144</f>
        <v/>
      </c>
      <c r="EN145" s="6" t="str">
        <f>[1]Sheet2!EO144</f>
        <v/>
      </c>
      <c r="EO145" s="6" t="str">
        <f>[1]Sheet2!EP144</f>
        <v/>
      </c>
      <c r="EP145" s="6" t="str">
        <f>[1]Sheet2!EQ144</f>
        <v/>
      </c>
      <c r="EQ145" s="6" t="str">
        <f>[1]Sheet2!ER144</f>
        <v/>
      </c>
      <c r="ER145" s="6" t="str">
        <f>[1]Sheet2!ES144</f>
        <v/>
      </c>
      <c r="ES145" s="6" t="str">
        <f>[1]Sheet2!ET144</f>
        <v/>
      </c>
      <c r="ET145" s="6" t="str">
        <f>[1]Sheet2!EU144</f>
        <v/>
      </c>
      <c r="EU145" s="6" t="str">
        <f>[1]Sheet2!EV144</f>
        <v/>
      </c>
      <c r="EV145" s="6" t="str">
        <f>[1]Sheet2!EW144</f>
        <v/>
      </c>
      <c r="EW145" s="6" t="str">
        <f>[1]Sheet2!EX144</f>
        <v/>
      </c>
      <c r="EX145" s="6" t="str">
        <f>[1]Sheet2!EY144</f>
        <v/>
      </c>
      <c r="EY145" s="6" t="str">
        <f>[1]Sheet2!EZ144</f>
        <v/>
      </c>
      <c r="EZ145" s="6" t="str">
        <f>[1]Sheet2!FA144</f>
        <v/>
      </c>
      <c r="FA145" s="6" t="str">
        <f>[1]Sheet2!FB144</f>
        <v/>
      </c>
      <c r="FB145" s="6" t="str">
        <f>[1]Sheet2!FC144</f>
        <v/>
      </c>
      <c r="FC145" s="6" t="str">
        <f>[1]Sheet2!FD144</f>
        <v/>
      </c>
      <c r="FD145" s="6" t="str">
        <f>[1]Sheet2!FE144</f>
        <v/>
      </c>
      <c r="FE145" s="6" t="str">
        <f>[1]Sheet2!FF144</f>
        <v/>
      </c>
      <c r="FF145" s="6" t="str">
        <f>[1]Sheet2!FG144</f>
        <v/>
      </c>
      <c r="FG145" s="6" t="str">
        <f>[1]Sheet2!FH144</f>
        <v/>
      </c>
      <c r="FH145" s="6" t="str">
        <f>[1]Sheet2!FI144</f>
        <v/>
      </c>
      <c r="FI145" s="6" t="str">
        <f>[1]Sheet2!FJ144</f>
        <v/>
      </c>
      <c r="FJ145" s="6" t="str">
        <f>[1]Sheet2!FK144</f>
        <v/>
      </c>
      <c r="FK145" s="6" t="str">
        <f>[1]Sheet2!FL144</f>
        <v/>
      </c>
      <c r="FL145" s="6" t="str">
        <f>[1]Sheet2!FM144</f>
        <v/>
      </c>
      <c r="FM145" s="6" t="str">
        <f>[1]Sheet2!FN144</f>
        <v/>
      </c>
      <c r="FN145" s="6" t="str">
        <f>[1]Sheet2!FO144</f>
        <v/>
      </c>
      <c r="FO145" s="6" t="str">
        <f>[1]Sheet2!FP144</f>
        <v/>
      </c>
    </row>
    <row r="146" spans="1:171" x14ac:dyDescent="0.25">
      <c r="A146" s="15">
        <v>43608</v>
      </c>
      <c r="B146" s="1"/>
      <c r="C146" s="1"/>
      <c r="D146" s="1"/>
      <c r="E146" s="14">
        <f>[1]Sheet2!N145</f>
        <v>0</v>
      </c>
      <c r="F146" s="14">
        <f>[1]Sheet2!BE145</f>
        <v>0</v>
      </c>
      <c r="G146" s="14">
        <f>[1]Sheet2!CW145</f>
        <v>0</v>
      </c>
      <c r="H146" s="1"/>
      <c r="I146" s="1"/>
      <c r="J146" s="1"/>
      <c r="K146" s="16"/>
      <c r="L146" s="16">
        <f>Demand_CWRS!B$7/31</f>
        <v>129.8994219137717</v>
      </c>
      <c r="M146" s="16">
        <f>Demand_CWRS!C$7/31</f>
        <v>543.3829611248965</v>
      </c>
      <c r="N146" s="16">
        <f>Demand_CWRS!D$7/31</f>
        <v>0</v>
      </c>
      <c r="O146" s="16">
        <f>Demand_CWRS!E$7/31</f>
        <v>131.84491315136475</v>
      </c>
      <c r="P146" s="16">
        <f>Demand_CWRS!F$7/31</f>
        <v>232.12592522229113</v>
      </c>
      <c r="Q146" s="16">
        <f>Demand_CWRS!G$7/31</f>
        <v>129.8994219137717</v>
      </c>
      <c r="R146" s="16">
        <f>Demand_CWRS!H$7/31</f>
        <v>232.12592522229113</v>
      </c>
      <c r="S146" s="16">
        <f>Demand_CWRS!I$7/31</f>
        <v>232.12592522229113</v>
      </c>
      <c r="T146" s="16">
        <f>Demand_CWRS!J$7/31</f>
        <v>232.12592522229113</v>
      </c>
      <c r="U146" s="16">
        <f>Demand_CWRS!K$7/31</f>
        <v>232.12592522229113</v>
      </c>
      <c r="V146" s="16">
        <f t="shared" si="66"/>
        <v>-17575.520344778663</v>
      </c>
      <c r="W146" s="16">
        <f t="shared" si="67"/>
        <v>-62012.944003308359</v>
      </c>
      <c r="X146" s="16">
        <f t="shared" si="68"/>
        <v>0</v>
      </c>
      <c r="Y146" s="16">
        <f t="shared" si="69"/>
        <v>-7781.0685266618329</v>
      </c>
      <c r="Z146" s="16">
        <f t="shared" si="70"/>
        <v>-27849.277538784805</v>
      </c>
      <c r="AA146" s="16">
        <f t="shared" si="71"/>
        <v>-16249.747195740227</v>
      </c>
      <c r="AB146" s="16">
        <f t="shared" si="72"/>
        <v>-32330.321208656624</v>
      </c>
      <c r="AC146" s="16">
        <f t="shared" si="73"/>
        <v>-26537.310952246346</v>
      </c>
      <c r="AD146" s="16">
        <f t="shared" si="74"/>
        <v>-26637.310952246338</v>
      </c>
      <c r="AE146" s="16">
        <f t="shared" si="75"/>
        <v>-27237.310952246342</v>
      </c>
      <c r="AF146" s="14">
        <f>IF([1]Sheet2!AJ145=999999,"NA",[1]Sheet2!AJ145)</f>
        <v>0</v>
      </c>
      <c r="AG146" s="14">
        <f>IF([1]Sheet2!AK145=999999,"NA",[1]Sheet2!AK145)</f>
        <v>0</v>
      </c>
      <c r="AH146" s="14" t="str">
        <f>IF([1]Sheet2!AL145=999999,"NA",[1]Sheet2!AL145)</f>
        <v>NA</v>
      </c>
      <c r="AI146" s="14">
        <f>IF([1]Sheet2!AM145=999999,"NA",[1]Sheet2!AM145)</f>
        <v>0</v>
      </c>
      <c r="AJ146" s="14">
        <f>IF([1]Sheet2!AN145=999999,"NA",[1]Sheet2!AN145)</f>
        <v>0</v>
      </c>
      <c r="AK146" s="14">
        <f>IF([1]Sheet2!AO145=999999,"NA",[1]Sheet2!AO145)</f>
        <v>0</v>
      </c>
      <c r="AL146" s="14">
        <f>IF([1]Sheet2!AP145=999999,"NA",[1]Sheet2!AP145)</f>
        <v>0</v>
      </c>
      <c r="AM146" s="14">
        <f>IF([1]Sheet2!AQ145=999999,"NA",[1]Sheet2!AQ145)</f>
        <v>0</v>
      </c>
      <c r="AN146" s="14">
        <f>IF([1]Sheet2!AR145=999999,"NA",[1]Sheet2!AR145)</f>
        <v>0</v>
      </c>
      <c r="AO146" s="14">
        <f>IF([1]Sheet2!AS145=999999,"NA",[1]Sheet2!AS145)</f>
        <v>0</v>
      </c>
      <c r="AP146" s="14">
        <f>[1]Sheet2!P145</f>
        <v>0</v>
      </c>
      <c r="AQ146" s="14">
        <f>[1]Sheet2!Q145</f>
        <v>0</v>
      </c>
      <c r="AR146" s="14">
        <f>[1]Sheet2!R145</f>
        <v>0</v>
      </c>
      <c r="AS146" s="14">
        <f>[1]Sheet2!S145</f>
        <v>0</v>
      </c>
      <c r="AT146" s="14">
        <f>[1]Sheet2!T145</f>
        <v>0</v>
      </c>
      <c r="AU146" s="14">
        <f>[1]Sheet2!U145</f>
        <v>0</v>
      </c>
      <c r="AV146" s="14">
        <f>[1]Sheet2!V145</f>
        <v>0</v>
      </c>
      <c r="AW146" s="14">
        <f>[1]Sheet2!W145</f>
        <v>0</v>
      </c>
      <c r="AX146" s="14">
        <f>[1]Sheet2!X145</f>
        <v>0</v>
      </c>
      <c r="AY146" s="14">
        <f>[1]Sheet2!Y145</f>
        <v>0</v>
      </c>
      <c r="AZ146" s="16">
        <f>Demand_LP!B$7/31</f>
        <v>855.82964911600493</v>
      </c>
      <c r="BA146" s="16">
        <f>Demand_LP!C$7/31</f>
        <v>478.74276261373035</v>
      </c>
      <c r="BB146" s="16">
        <f>Demand_LP!D$7/31</f>
        <v>366.03598014888337</v>
      </c>
      <c r="BC146" s="16">
        <f>Demand_LP!E$7/31</f>
        <v>837.96277915632766</v>
      </c>
      <c r="BD146" s="16">
        <f>Demand_LP!F$7/31</f>
        <v>447.19049589019846</v>
      </c>
      <c r="BE146" s="16">
        <f>Demand_LP!G$7/31</f>
        <v>447.19049589019846</v>
      </c>
      <c r="BF146" s="16">
        <f>Demand_LP!H$7/31</f>
        <v>478.74276261373035</v>
      </c>
      <c r="BG146" s="16">
        <f>Demand_LP!I$7/31</f>
        <v>447.19049589019846</v>
      </c>
      <c r="BH146" s="16">
        <f>Demand_LP!J$7/31</f>
        <v>447.19049589019846</v>
      </c>
      <c r="BI146" s="16">
        <f>Demand_LP!K$7/31</f>
        <v>447.19049589019846</v>
      </c>
      <c r="BJ146" s="16">
        <f t="shared" si="76"/>
        <v>-95104.590380556561</v>
      </c>
      <c r="BK146" s="16">
        <f t="shared" si="77"/>
        <v>-81121.537386269643</v>
      </c>
      <c r="BL146" s="16">
        <f t="shared" si="78"/>
        <v>-33591.831389578241</v>
      </c>
      <c r="BM146" s="16">
        <f t="shared" si="79"/>
        <v>-99944.114417187418</v>
      </c>
      <c r="BN146" s="16">
        <f t="shared" si="80"/>
        <v>-57903.366537584719</v>
      </c>
      <c r="BO146" s="16">
        <f t="shared" si="81"/>
        <v>-56361.050455955432</v>
      </c>
      <c r="BP146" s="16">
        <f t="shared" si="82"/>
        <v>-75479.116873449151</v>
      </c>
      <c r="BQ146" s="16">
        <f t="shared" si="83"/>
        <v>-56361.050455955432</v>
      </c>
      <c r="BR146" s="16">
        <f t="shared" si="84"/>
        <v>-53961.050455955432</v>
      </c>
      <c r="BS146" s="16">
        <f t="shared" si="85"/>
        <v>-54661.050455955425</v>
      </c>
      <c r="BT146" s="14">
        <f>IF([1]Sheet2!CB145=999999,"NA",[1]Sheet2!CB145)</f>
        <v>0</v>
      </c>
      <c r="BU146" s="14">
        <f>IF([1]Sheet2!CC145=999999,"NA",[1]Sheet2!CC145)</f>
        <v>0</v>
      </c>
      <c r="BV146" s="14">
        <f>IF([1]Sheet2!CD145=999999,"NA",[1]Sheet2!CD145)</f>
        <v>0</v>
      </c>
      <c r="BW146" s="14">
        <f>IF([1]Sheet2!CE145=999999,"NA",[1]Sheet2!CE145)</f>
        <v>0</v>
      </c>
      <c r="BX146" s="14">
        <f>IF([1]Sheet2!CF145=999999,"NA",[1]Sheet2!CF145)</f>
        <v>0</v>
      </c>
      <c r="BY146" s="14">
        <f>IF([1]Sheet2!CG145=999999,"NA",[1]Sheet2!CG145)</f>
        <v>0</v>
      </c>
      <c r="BZ146" s="14">
        <f>IF([1]Sheet2!CH145=999999,"NA",[1]Sheet2!CH145)</f>
        <v>0</v>
      </c>
      <c r="CA146" s="14">
        <f>IF([1]Sheet2!CI145=999999,"NA",[1]Sheet2!CI145)</f>
        <v>0</v>
      </c>
      <c r="CB146" s="14">
        <f>IF([1]Sheet2!CJ145=999999,"NA",[1]Sheet2!CJ145)</f>
        <v>0</v>
      </c>
      <c r="CC146" s="14">
        <f>IF([1]Sheet2!CK145=999999,"NA",[1]Sheet2!CK145)</f>
        <v>0</v>
      </c>
      <c r="CD146" s="14">
        <f>[1]Sheet2!BH145</f>
        <v>0</v>
      </c>
      <c r="CE146" s="14">
        <f>[1]Sheet2!BI145</f>
        <v>0</v>
      </c>
      <c r="CF146" s="14">
        <f>[1]Sheet2!BJ145</f>
        <v>0</v>
      </c>
      <c r="CG146" s="14">
        <f>[1]Sheet2!BK145</f>
        <v>0</v>
      </c>
      <c r="CH146" s="14">
        <f>[1]Sheet2!BL145</f>
        <v>0</v>
      </c>
      <c r="CI146" s="14">
        <f>[1]Sheet2!BM145</f>
        <v>0</v>
      </c>
      <c r="CJ146" s="14">
        <f>[1]Sheet2!BN145</f>
        <v>0</v>
      </c>
      <c r="CK146" s="14">
        <f>[1]Sheet2!BO145</f>
        <v>0</v>
      </c>
      <c r="CL146" s="14">
        <f>[1]Sheet2!BP145</f>
        <v>0</v>
      </c>
      <c r="CM146" s="14">
        <f>[1]Sheet2!BQ145</f>
        <v>0</v>
      </c>
      <c r="CN146" s="16">
        <f>Demand_SW!B$7/31</f>
        <v>122.8287841191067</v>
      </c>
      <c r="CO146" s="16">
        <f>Demand_SW!C$7/31</f>
        <v>0</v>
      </c>
      <c r="CP146" s="16">
        <f>Demand_SW!D$7/31</f>
        <v>0</v>
      </c>
      <c r="CQ146" s="16">
        <f>Demand_SW!E$7/31</f>
        <v>0</v>
      </c>
      <c r="CR146" s="16">
        <f>Demand_SW!F$7/31</f>
        <v>0</v>
      </c>
      <c r="CS146" s="16">
        <f>Demand_SW!G$7/31</f>
        <v>122.8287841191067</v>
      </c>
      <c r="CT146" s="16">
        <f>Demand_SW!H$7/31</f>
        <v>0</v>
      </c>
      <c r="CU146" s="16">
        <f>Demand_SW!I$7/31</f>
        <v>0</v>
      </c>
      <c r="CV146" s="16">
        <f>Demand_SW!J$7/31</f>
        <v>0</v>
      </c>
      <c r="CW146" s="16">
        <f>Demand_SW!K$7/31</f>
        <v>0</v>
      </c>
      <c r="CX146" s="16">
        <f t="shared" si="86"/>
        <v>-14288.138957816385</v>
      </c>
      <c r="CY146" s="16">
        <f t="shared" si="87"/>
        <v>76.923076923077133</v>
      </c>
      <c r="CZ146" s="16">
        <f t="shared" si="88"/>
        <v>0</v>
      </c>
      <c r="DA146" s="16">
        <f t="shared" si="89"/>
        <v>0</v>
      </c>
      <c r="DB146" s="16">
        <f t="shared" si="90"/>
        <v>0</v>
      </c>
      <c r="DC146" s="16">
        <f t="shared" si="91"/>
        <v>-13817.369727047153</v>
      </c>
      <c r="DD146" s="16">
        <f t="shared" si="92"/>
        <v>76.923076923077133</v>
      </c>
      <c r="DE146" s="16">
        <f t="shared" si="93"/>
        <v>0</v>
      </c>
      <c r="DF146" s="16">
        <f t="shared" si="94"/>
        <v>0</v>
      </c>
      <c r="DG146" s="16">
        <f t="shared" si="95"/>
        <v>0</v>
      </c>
      <c r="DH146" s="14">
        <f>IF([1]Sheet2!DS145=999999,"NA",[1]Sheet2!DS145)</f>
        <v>0</v>
      </c>
      <c r="DI146" s="14">
        <f>IF([1]Sheet2!DT145=999999,"NA",[1]Sheet2!DT145)</f>
        <v>222</v>
      </c>
      <c r="DJ146" s="14" t="str">
        <f>IF([1]Sheet2!DU145=999999,"NA",[1]Sheet2!DU145)</f>
        <v>NA</v>
      </c>
      <c r="DK146" s="14" t="str">
        <f>IF([1]Sheet2!DV145=999999,"NA",[1]Sheet2!DV145)</f>
        <v>NA</v>
      </c>
      <c r="DL146" s="14" t="str">
        <f>IF([1]Sheet2!DW145=999999,"NA",[1]Sheet2!DW145)</f>
        <v>NA</v>
      </c>
      <c r="DM146" s="14">
        <f>IF([1]Sheet2!DX145=999999,"NA",[1]Sheet2!DX145)</f>
        <v>0</v>
      </c>
      <c r="DN146" s="14">
        <f>IF([1]Sheet2!DY145=999999,"NA",[1]Sheet2!DY145)</f>
        <v>222</v>
      </c>
      <c r="DO146" s="14" t="str">
        <f>IF([1]Sheet2!DZ145=999999,"NA",[1]Sheet2!DZ145)</f>
        <v>NA</v>
      </c>
      <c r="DP146" s="14" t="str">
        <f>IF([1]Sheet2!EA145=999999,"NA",[1]Sheet2!EA145)</f>
        <v>NA</v>
      </c>
      <c r="DQ146" s="14" t="str">
        <f>IF([1]Sheet2!EB145=999999,"NA",[1]Sheet2!EB145)</f>
        <v>NA</v>
      </c>
      <c r="DR146" s="14">
        <f>[1]Sheet2!CY145</f>
        <v>0</v>
      </c>
      <c r="DS146" s="14">
        <f>[1]Sheet2!CZ145</f>
        <v>0</v>
      </c>
      <c r="DT146" s="14">
        <f>[1]Sheet2!DA145</f>
        <v>0</v>
      </c>
      <c r="DU146" s="14">
        <f>[1]Sheet2!DB145</f>
        <v>0</v>
      </c>
      <c r="DV146" s="14">
        <f>[1]Sheet2!DC145</f>
        <v>0</v>
      </c>
      <c r="DW146" s="14">
        <f>[1]Sheet2!DD145</f>
        <v>0</v>
      </c>
      <c r="DX146" s="14">
        <f>[1]Sheet2!DE145</f>
        <v>0</v>
      </c>
      <c r="DY146" s="14">
        <f>[1]Sheet2!DF145</f>
        <v>0</v>
      </c>
      <c r="DZ146" s="14">
        <f>[1]Sheet2!DG145</f>
        <v>0</v>
      </c>
      <c r="EA146" s="14">
        <f>[1]Sheet2!DH145</f>
        <v>0</v>
      </c>
      <c r="EB146" s="6">
        <f>[1]Sheet2!EC145</f>
        <v>0</v>
      </c>
      <c r="EC146" s="6">
        <f>[1]Sheet2!ED145</f>
        <v>0</v>
      </c>
      <c r="ED146" s="6">
        <f>[1]Sheet2!EE145</f>
        <v>0</v>
      </c>
      <c r="EE146" s="6">
        <f>[1]Sheet2!EF145</f>
        <v>0</v>
      </c>
      <c r="EF146" s="6">
        <f>[1]Sheet2!EG145</f>
        <v>0</v>
      </c>
      <c r="EG146" s="6">
        <f>[1]Sheet2!EH145</f>
        <v>0</v>
      </c>
      <c r="EH146" s="6">
        <f>[1]Sheet2!EI145</f>
        <v>0</v>
      </c>
      <c r="EI146" s="6">
        <f>[1]Sheet2!EJ145</f>
        <v>0</v>
      </c>
      <c r="EJ146" s="6">
        <f>[1]Sheet2!EK145</f>
        <v>0</v>
      </c>
      <c r="EK146" s="6">
        <f>[1]Sheet2!EL145</f>
        <v>0</v>
      </c>
      <c r="EL146" s="6" t="str">
        <f>[1]Sheet2!EM145</f>
        <v/>
      </c>
      <c r="EM146" s="6" t="str">
        <f>[1]Sheet2!EN145</f>
        <v/>
      </c>
      <c r="EN146" s="6" t="str">
        <f>[1]Sheet2!EO145</f>
        <v/>
      </c>
      <c r="EO146" s="6" t="str">
        <f>[1]Sheet2!EP145</f>
        <v/>
      </c>
      <c r="EP146" s="6" t="str">
        <f>[1]Sheet2!EQ145</f>
        <v/>
      </c>
      <c r="EQ146" s="6" t="str">
        <f>[1]Sheet2!ER145</f>
        <v/>
      </c>
      <c r="ER146" s="6" t="str">
        <f>[1]Sheet2!ES145</f>
        <v/>
      </c>
      <c r="ES146" s="6" t="str">
        <f>[1]Sheet2!ET145</f>
        <v/>
      </c>
      <c r="ET146" s="6" t="str">
        <f>[1]Sheet2!EU145</f>
        <v/>
      </c>
      <c r="EU146" s="6" t="str">
        <f>[1]Sheet2!EV145</f>
        <v/>
      </c>
      <c r="EV146" s="6" t="str">
        <f>[1]Sheet2!EW145</f>
        <v/>
      </c>
      <c r="EW146" s="6" t="str">
        <f>[1]Sheet2!EX145</f>
        <v/>
      </c>
      <c r="EX146" s="6" t="str">
        <f>[1]Sheet2!EY145</f>
        <v/>
      </c>
      <c r="EY146" s="6" t="str">
        <f>[1]Sheet2!EZ145</f>
        <v/>
      </c>
      <c r="EZ146" s="6" t="str">
        <f>[1]Sheet2!FA145</f>
        <v/>
      </c>
      <c r="FA146" s="6" t="str">
        <f>[1]Sheet2!FB145</f>
        <v/>
      </c>
      <c r="FB146" s="6" t="str">
        <f>[1]Sheet2!FC145</f>
        <v/>
      </c>
      <c r="FC146" s="6" t="str">
        <f>[1]Sheet2!FD145</f>
        <v/>
      </c>
      <c r="FD146" s="6" t="str">
        <f>[1]Sheet2!FE145</f>
        <v/>
      </c>
      <c r="FE146" s="6" t="str">
        <f>[1]Sheet2!FF145</f>
        <v/>
      </c>
      <c r="FF146" s="6" t="str">
        <f>[1]Sheet2!FG145</f>
        <v/>
      </c>
      <c r="FG146" s="6" t="str">
        <f>[1]Sheet2!FH145</f>
        <v/>
      </c>
      <c r="FH146" s="6" t="str">
        <f>[1]Sheet2!FI145</f>
        <v/>
      </c>
      <c r="FI146" s="6" t="str">
        <f>[1]Sheet2!FJ145</f>
        <v/>
      </c>
      <c r="FJ146" s="6" t="str">
        <f>[1]Sheet2!FK145</f>
        <v/>
      </c>
      <c r="FK146" s="6" t="str">
        <f>[1]Sheet2!FL145</f>
        <v/>
      </c>
      <c r="FL146" s="6" t="str">
        <f>[1]Sheet2!FM145</f>
        <v/>
      </c>
      <c r="FM146" s="6" t="str">
        <f>[1]Sheet2!FN145</f>
        <v/>
      </c>
      <c r="FN146" s="6" t="str">
        <f>[1]Sheet2!FO145</f>
        <v/>
      </c>
      <c r="FO146" s="6" t="str">
        <f>[1]Sheet2!FP145</f>
        <v/>
      </c>
    </row>
    <row r="147" spans="1:171" x14ac:dyDescent="0.25">
      <c r="A147" s="15">
        <v>43609</v>
      </c>
      <c r="B147" s="1"/>
      <c r="C147" s="1"/>
      <c r="D147" s="1"/>
      <c r="E147" s="14">
        <f>[1]Sheet2!N146</f>
        <v>0</v>
      </c>
      <c r="F147" s="14">
        <f>[1]Sheet2!BE146</f>
        <v>0</v>
      </c>
      <c r="G147" s="14">
        <f>[1]Sheet2!CW146</f>
        <v>0</v>
      </c>
      <c r="H147" s="1"/>
      <c r="I147" s="1"/>
      <c r="J147" s="1"/>
      <c r="K147" s="16"/>
      <c r="L147" s="16">
        <f>Demand_CWRS!B$7/31</f>
        <v>129.8994219137717</v>
      </c>
      <c r="M147" s="16">
        <f>Demand_CWRS!C$7/31</f>
        <v>543.3829611248965</v>
      </c>
      <c r="N147" s="16">
        <f>Demand_CWRS!D$7/31</f>
        <v>0</v>
      </c>
      <c r="O147" s="16">
        <f>Demand_CWRS!E$7/31</f>
        <v>131.84491315136475</v>
      </c>
      <c r="P147" s="16">
        <f>Demand_CWRS!F$7/31</f>
        <v>232.12592522229113</v>
      </c>
      <c r="Q147" s="16">
        <f>Demand_CWRS!G$7/31</f>
        <v>129.8994219137717</v>
      </c>
      <c r="R147" s="16">
        <f>Demand_CWRS!H$7/31</f>
        <v>232.12592522229113</v>
      </c>
      <c r="S147" s="16">
        <f>Demand_CWRS!I$7/31</f>
        <v>232.12592522229113</v>
      </c>
      <c r="T147" s="16">
        <f>Demand_CWRS!J$7/31</f>
        <v>232.12592522229113</v>
      </c>
      <c r="U147" s="16">
        <f>Demand_CWRS!K$7/31</f>
        <v>232.12592522229113</v>
      </c>
      <c r="V147" s="16">
        <f t="shared" si="66"/>
        <v>-17705.419766692434</v>
      </c>
      <c r="W147" s="16">
        <f t="shared" si="67"/>
        <v>-62556.326964433254</v>
      </c>
      <c r="X147" s="16">
        <f t="shared" si="68"/>
        <v>0</v>
      </c>
      <c r="Y147" s="16">
        <f t="shared" si="69"/>
        <v>-7912.9134398131973</v>
      </c>
      <c r="Z147" s="16">
        <f t="shared" si="70"/>
        <v>-28081.403464007097</v>
      </c>
      <c r="AA147" s="16">
        <f t="shared" si="71"/>
        <v>-16379.646617653998</v>
      </c>
      <c r="AB147" s="16">
        <f t="shared" si="72"/>
        <v>-32562.447133878915</v>
      </c>
      <c r="AC147" s="16">
        <f t="shared" si="73"/>
        <v>-26769.436877468637</v>
      </c>
      <c r="AD147" s="16">
        <f t="shared" si="74"/>
        <v>-26869.43687746863</v>
      </c>
      <c r="AE147" s="16">
        <f t="shared" si="75"/>
        <v>-27469.436877468634</v>
      </c>
      <c r="AF147" s="14">
        <f>IF([1]Sheet2!AJ146=999999,"NA",[1]Sheet2!AJ146)</f>
        <v>0</v>
      </c>
      <c r="AG147" s="14">
        <f>IF([1]Sheet2!AK146=999999,"NA",[1]Sheet2!AK146)</f>
        <v>0</v>
      </c>
      <c r="AH147" s="14" t="str">
        <f>IF([1]Sheet2!AL146=999999,"NA",[1]Sheet2!AL146)</f>
        <v>NA</v>
      </c>
      <c r="AI147" s="14">
        <f>IF([1]Sheet2!AM146=999999,"NA",[1]Sheet2!AM146)</f>
        <v>0</v>
      </c>
      <c r="AJ147" s="14">
        <f>IF([1]Sheet2!AN146=999999,"NA",[1]Sheet2!AN146)</f>
        <v>0</v>
      </c>
      <c r="AK147" s="14">
        <f>IF([1]Sheet2!AO146=999999,"NA",[1]Sheet2!AO146)</f>
        <v>0</v>
      </c>
      <c r="AL147" s="14">
        <f>IF([1]Sheet2!AP146=999999,"NA",[1]Sheet2!AP146)</f>
        <v>0</v>
      </c>
      <c r="AM147" s="14">
        <f>IF([1]Sheet2!AQ146=999999,"NA",[1]Sheet2!AQ146)</f>
        <v>0</v>
      </c>
      <c r="AN147" s="14">
        <f>IF([1]Sheet2!AR146=999999,"NA",[1]Sheet2!AR146)</f>
        <v>0</v>
      </c>
      <c r="AO147" s="14">
        <f>IF([1]Sheet2!AS146=999999,"NA",[1]Sheet2!AS146)</f>
        <v>0</v>
      </c>
      <c r="AP147" s="14">
        <f>[1]Sheet2!P146</f>
        <v>0</v>
      </c>
      <c r="AQ147" s="14">
        <f>[1]Sheet2!Q146</f>
        <v>0</v>
      </c>
      <c r="AR147" s="14">
        <f>[1]Sheet2!R146</f>
        <v>0</v>
      </c>
      <c r="AS147" s="14">
        <f>[1]Sheet2!S146</f>
        <v>0</v>
      </c>
      <c r="AT147" s="14">
        <f>[1]Sheet2!T146</f>
        <v>0</v>
      </c>
      <c r="AU147" s="14">
        <f>[1]Sheet2!U146</f>
        <v>0</v>
      </c>
      <c r="AV147" s="14">
        <f>[1]Sheet2!V146</f>
        <v>0</v>
      </c>
      <c r="AW147" s="14">
        <f>[1]Sheet2!W146</f>
        <v>0</v>
      </c>
      <c r="AX147" s="14">
        <f>[1]Sheet2!X146</f>
        <v>0</v>
      </c>
      <c r="AY147" s="14">
        <f>[1]Sheet2!Y146</f>
        <v>0</v>
      </c>
      <c r="AZ147" s="16">
        <f>Demand_LP!B$7/31</f>
        <v>855.82964911600493</v>
      </c>
      <c r="BA147" s="16">
        <f>Demand_LP!C$7/31</f>
        <v>478.74276261373035</v>
      </c>
      <c r="BB147" s="16">
        <f>Demand_LP!D$7/31</f>
        <v>366.03598014888337</v>
      </c>
      <c r="BC147" s="16">
        <f>Demand_LP!E$7/31</f>
        <v>837.96277915632766</v>
      </c>
      <c r="BD147" s="16">
        <f>Demand_LP!F$7/31</f>
        <v>447.19049589019846</v>
      </c>
      <c r="BE147" s="16">
        <f>Demand_LP!G$7/31</f>
        <v>447.19049589019846</v>
      </c>
      <c r="BF147" s="16">
        <f>Demand_LP!H$7/31</f>
        <v>478.74276261373035</v>
      </c>
      <c r="BG147" s="16">
        <f>Demand_LP!I$7/31</f>
        <v>447.19049589019846</v>
      </c>
      <c r="BH147" s="16">
        <f>Demand_LP!J$7/31</f>
        <v>447.19049589019846</v>
      </c>
      <c r="BI147" s="16">
        <f>Demand_LP!K$7/31</f>
        <v>447.19049589019846</v>
      </c>
      <c r="BJ147" s="16">
        <f t="shared" si="76"/>
        <v>-95960.420029672561</v>
      </c>
      <c r="BK147" s="16">
        <f t="shared" si="77"/>
        <v>-81600.280148883379</v>
      </c>
      <c r="BL147" s="16">
        <f t="shared" si="78"/>
        <v>-33957.867369727122</v>
      </c>
      <c r="BM147" s="16">
        <f t="shared" si="79"/>
        <v>-100782.07719634374</v>
      </c>
      <c r="BN147" s="16">
        <f t="shared" si="80"/>
        <v>-58350.557033474921</v>
      </c>
      <c r="BO147" s="16">
        <f t="shared" si="81"/>
        <v>-56808.240951845633</v>
      </c>
      <c r="BP147" s="16">
        <f t="shared" si="82"/>
        <v>-75957.859636062887</v>
      </c>
      <c r="BQ147" s="16">
        <f t="shared" si="83"/>
        <v>-56808.240951845633</v>
      </c>
      <c r="BR147" s="16">
        <f t="shared" si="84"/>
        <v>-54408.240951845633</v>
      </c>
      <c r="BS147" s="16">
        <f t="shared" si="85"/>
        <v>-55108.240951845626</v>
      </c>
      <c r="BT147" s="14">
        <f>IF([1]Sheet2!CB146=999999,"NA",[1]Sheet2!CB146)</f>
        <v>0</v>
      </c>
      <c r="BU147" s="14">
        <f>IF([1]Sheet2!CC146=999999,"NA",[1]Sheet2!CC146)</f>
        <v>0</v>
      </c>
      <c r="BV147" s="14">
        <f>IF([1]Sheet2!CD146=999999,"NA",[1]Sheet2!CD146)</f>
        <v>0</v>
      </c>
      <c r="BW147" s="14">
        <f>IF([1]Sheet2!CE146=999999,"NA",[1]Sheet2!CE146)</f>
        <v>0</v>
      </c>
      <c r="BX147" s="14">
        <f>IF([1]Sheet2!CF146=999999,"NA",[1]Sheet2!CF146)</f>
        <v>0</v>
      </c>
      <c r="BY147" s="14">
        <f>IF([1]Sheet2!CG146=999999,"NA",[1]Sheet2!CG146)</f>
        <v>0</v>
      </c>
      <c r="BZ147" s="14">
        <f>IF([1]Sheet2!CH146=999999,"NA",[1]Sheet2!CH146)</f>
        <v>0</v>
      </c>
      <c r="CA147" s="14">
        <f>IF([1]Sheet2!CI146=999999,"NA",[1]Sheet2!CI146)</f>
        <v>0</v>
      </c>
      <c r="CB147" s="14">
        <f>IF([1]Sheet2!CJ146=999999,"NA",[1]Sheet2!CJ146)</f>
        <v>0</v>
      </c>
      <c r="CC147" s="14">
        <f>IF([1]Sheet2!CK146=999999,"NA",[1]Sheet2!CK146)</f>
        <v>0</v>
      </c>
      <c r="CD147" s="14">
        <f>[1]Sheet2!BH146</f>
        <v>0</v>
      </c>
      <c r="CE147" s="14">
        <f>[1]Sheet2!BI146</f>
        <v>0</v>
      </c>
      <c r="CF147" s="14">
        <f>[1]Sheet2!BJ146</f>
        <v>0</v>
      </c>
      <c r="CG147" s="14">
        <f>[1]Sheet2!BK146</f>
        <v>0</v>
      </c>
      <c r="CH147" s="14">
        <f>[1]Sheet2!BL146</f>
        <v>0</v>
      </c>
      <c r="CI147" s="14">
        <f>[1]Sheet2!BM146</f>
        <v>0</v>
      </c>
      <c r="CJ147" s="14">
        <f>[1]Sheet2!BN146</f>
        <v>0</v>
      </c>
      <c r="CK147" s="14">
        <f>[1]Sheet2!BO146</f>
        <v>0</v>
      </c>
      <c r="CL147" s="14">
        <f>[1]Sheet2!BP146</f>
        <v>0</v>
      </c>
      <c r="CM147" s="14">
        <f>[1]Sheet2!BQ146</f>
        <v>0</v>
      </c>
      <c r="CN147" s="16">
        <f>Demand_SW!B$7/31</f>
        <v>122.8287841191067</v>
      </c>
      <c r="CO147" s="16">
        <f>Demand_SW!C$7/31</f>
        <v>0</v>
      </c>
      <c r="CP147" s="16">
        <f>Demand_SW!D$7/31</f>
        <v>0</v>
      </c>
      <c r="CQ147" s="16">
        <f>Demand_SW!E$7/31</f>
        <v>0</v>
      </c>
      <c r="CR147" s="16">
        <f>Demand_SW!F$7/31</f>
        <v>0</v>
      </c>
      <c r="CS147" s="16">
        <f>Demand_SW!G$7/31</f>
        <v>122.8287841191067</v>
      </c>
      <c r="CT147" s="16">
        <f>Demand_SW!H$7/31</f>
        <v>0</v>
      </c>
      <c r="CU147" s="16">
        <f>Demand_SW!I$7/31</f>
        <v>0</v>
      </c>
      <c r="CV147" s="16">
        <f>Demand_SW!J$7/31</f>
        <v>0</v>
      </c>
      <c r="CW147" s="16">
        <f>Demand_SW!K$7/31</f>
        <v>0</v>
      </c>
      <c r="CX147" s="16">
        <f t="shared" si="86"/>
        <v>-14410.967741935492</v>
      </c>
      <c r="CY147" s="16">
        <f t="shared" si="87"/>
        <v>76.923076923077133</v>
      </c>
      <c r="CZ147" s="16">
        <f t="shared" si="88"/>
        <v>0</v>
      </c>
      <c r="DA147" s="16">
        <f t="shared" si="89"/>
        <v>0</v>
      </c>
      <c r="DB147" s="16">
        <f t="shared" si="90"/>
        <v>0</v>
      </c>
      <c r="DC147" s="16">
        <f t="shared" si="91"/>
        <v>-13940.19851116626</v>
      </c>
      <c r="DD147" s="16">
        <f t="shared" si="92"/>
        <v>76.923076923077133</v>
      </c>
      <c r="DE147" s="16">
        <f t="shared" si="93"/>
        <v>0</v>
      </c>
      <c r="DF147" s="16">
        <f t="shared" si="94"/>
        <v>0</v>
      </c>
      <c r="DG147" s="16">
        <f t="shared" si="95"/>
        <v>0</v>
      </c>
      <c r="DH147" s="14">
        <f>IF([1]Sheet2!DS146=999999,"NA",[1]Sheet2!DS146)</f>
        <v>0</v>
      </c>
      <c r="DI147" s="14">
        <f>IF([1]Sheet2!DT146=999999,"NA",[1]Sheet2!DT146)</f>
        <v>221</v>
      </c>
      <c r="DJ147" s="14" t="str">
        <f>IF([1]Sheet2!DU146=999999,"NA",[1]Sheet2!DU146)</f>
        <v>NA</v>
      </c>
      <c r="DK147" s="14" t="str">
        <f>IF([1]Sheet2!DV146=999999,"NA",[1]Sheet2!DV146)</f>
        <v>NA</v>
      </c>
      <c r="DL147" s="14" t="str">
        <f>IF([1]Sheet2!DW146=999999,"NA",[1]Sheet2!DW146)</f>
        <v>NA</v>
      </c>
      <c r="DM147" s="14">
        <f>IF([1]Sheet2!DX146=999999,"NA",[1]Sheet2!DX146)</f>
        <v>0</v>
      </c>
      <c r="DN147" s="14">
        <f>IF([1]Sheet2!DY146=999999,"NA",[1]Sheet2!DY146)</f>
        <v>221</v>
      </c>
      <c r="DO147" s="14" t="str">
        <f>IF([1]Sheet2!DZ146=999999,"NA",[1]Sheet2!DZ146)</f>
        <v>NA</v>
      </c>
      <c r="DP147" s="14" t="str">
        <f>IF([1]Sheet2!EA146=999999,"NA",[1]Sheet2!EA146)</f>
        <v>NA</v>
      </c>
      <c r="DQ147" s="14" t="str">
        <f>IF([1]Sheet2!EB146=999999,"NA",[1]Sheet2!EB146)</f>
        <v>NA</v>
      </c>
      <c r="DR147" s="14">
        <f>[1]Sheet2!CY146</f>
        <v>0</v>
      </c>
      <c r="DS147" s="14">
        <f>[1]Sheet2!CZ146</f>
        <v>0</v>
      </c>
      <c r="DT147" s="14">
        <f>[1]Sheet2!DA146</f>
        <v>0</v>
      </c>
      <c r="DU147" s="14">
        <f>[1]Sheet2!DB146</f>
        <v>0</v>
      </c>
      <c r="DV147" s="14">
        <f>[1]Sheet2!DC146</f>
        <v>0</v>
      </c>
      <c r="DW147" s="14">
        <f>[1]Sheet2!DD146</f>
        <v>0</v>
      </c>
      <c r="DX147" s="14">
        <f>[1]Sheet2!DE146</f>
        <v>0</v>
      </c>
      <c r="DY147" s="14">
        <f>[1]Sheet2!DF146</f>
        <v>0</v>
      </c>
      <c r="DZ147" s="14">
        <f>[1]Sheet2!DG146</f>
        <v>0</v>
      </c>
      <c r="EA147" s="14">
        <f>[1]Sheet2!DH146</f>
        <v>0</v>
      </c>
      <c r="EB147" s="6">
        <f>[1]Sheet2!EC146</f>
        <v>0</v>
      </c>
      <c r="EC147" s="6">
        <f>[1]Sheet2!ED146</f>
        <v>0</v>
      </c>
      <c r="ED147" s="6">
        <f>[1]Sheet2!EE146</f>
        <v>0</v>
      </c>
      <c r="EE147" s="6">
        <f>[1]Sheet2!EF146</f>
        <v>0</v>
      </c>
      <c r="EF147" s="6">
        <f>[1]Sheet2!EG146</f>
        <v>0</v>
      </c>
      <c r="EG147" s="6">
        <f>[1]Sheet2!EH146</f>
        <v>0</v>
      </c>
      <c r="EH147" s="6">
        <f>[1]Sheet2!EI146</f>
        <v>0</v>
      </c>
      <c r="EI147" s="6">
        <f>[1]Sheet2!EJ146</f>
        <v>0</v>
      </c>
      <c r="EJ147" s="6">
        <f>[1]Sheet2!EK146</f>
        <v>0</v>
      </c>
      <c r="EK147" s="6">
        <f>[1]Sheet2!EL146</f>
        <v>0</v>
      </c>
      <c r="EL147" s="6" t="str">
        <f>[1]Sheet2!EM146</f>
        <v/>
      </c>
      <c r="EM147" s="6" t="str">
        <f>[1]Sheet2!EN146</f>
        <v/>
      </c>
      <c r="EN147" s="6" t="str">
        <f>[1]Sheet2!EO146</f>
        <v/>
      </c>
      <c r="EO147" s="6" t="str">
        <f>[1]Sheet2!EP146</f>
        <v/>
      </c>
      <c r="EP147" s="6" t="str">
        <f>[1]Sheet2!EQ146</f>
        <v/>
      </c>
      <c r="EQ147" s="6" t="str">
        <f>[1]Sheet2!ER146</f>
        <v/>
      </c>
      <c r="ER147" s="6" t="str">
        <f>[1]Sheet2!ES146</f>
        <v/>
      </c>
      <c r="ES147" s="6" t="str">
        <f>[1]Sheet2!ET146</f>
        <v/>
      </c>
      <c r="ET147" s="6" t="str">
        <f>[1]Sheet2!EU146</f>
        <v/>
      </c>
      <c r="EU147" s="6" t="str">
        <f>[1]Sheet2!EV146</f>
        <v/>
      </c>
      <c r="EV147" s="6" t="str">
        <f>[1]Sheet2!EW146</f>
        <v/>
      </c>
      <c r="EW147" s="6" t="str">
        <f>[1]Sheet2!EX146</f>
        <v/>
      </c>
      <c r="EX147" s="6" t="str">
        <f>[1]Sheet2!EY146</f>
        <v/>
      </c>
      <c r="EY147" s="6" t="str">
        <f>[1]Sheet2!EZ146</f>
        <v/>
      </c>
      <c r="EZ147" s="6" t="str">
        <f>[1]Sheet2!FA146</f>
        <v/>
      </c>
      <c r="FA147" s="6" t="str">
        <f>[1]Sheet2!FB146</f>
        <v/>
      </c>
      <c r="FB147" s="6" t="str">
        <f>[1]Sheet2!FC146</f>
        <v/>
      </c>
      <c r="FC147" s="6" t="str">
        <f>[1]Sheet2!FD146</f>
        <v/>
      </c>
      <c r="FD147" s="6" t="str">
        <f>[1]Sheet2!FE146</f>
        <v/>
      </c>
      <c r="FE147" s="6" t="str">
        <f>[1]Sheet2!FF146</f>
        <v/>
      </c>
      <c r="FF147" s="6" t="str">
        <f>[1]Sheet2!FG146</f>
        <v/>
      </c>
      <c r="FG147" s="6" t="str">
        <f>[1]Sheet2!FH146</f>
        <v/>
      </c>
      <c r="FH147" s="6" t="str">
        <f>[1]Sheet2!FI146</f>
        <v/>
      </c>
      <c r="FI147" s="6" t="str">
        <f>[1]Sheet2!FJ146</f>
        <v/>
      </c>
      <c r="FJ147" s="6" t="str">
        <f>[1]Sheet2!FK146</f>
        <v/>
      </c>
      <c r="FK147" s="6" t="str">
        <f>[1]Sheet2!FL146</f>
        <v/>
      </c>
      <c r="FL147" s="6" t="str">
        <f>[1]Sheet2!FM146</f>
        <v/>
      </c>
      <c r="FM147" s="6" t="str">
        <f>[1]Sheet2!FN146</f>
        <v/>
      </c>
      <c r="FN147" s="6" t="str">
        <f>[1]Sheet2!FO146</f>
        <v/>
      </c>
      <c r="FO147" s="6" t="str">
        <f>[1]Sheet2!FP146</f>
        <v/>
      </c>
    </row>
    <row r="148" spans="1:171" x14ac:dyDescent="0.25">
      <c r="A148" s="15">
        <v>43610</v>
      </c>
      <c r="B148" s="1"/>
      <c r="C148" s="1"/>
      <c r="D148" s="1"/>
      <c r="E148" s="14">
        <f>[1]Sheet2!N147</f>
        <v>0</v>
      </c>
      <c r="F148" s="14">
        <f>[1]Sheet2!BE147</f>
        <v>0</v>
      </c>
      <c r="G148" s="14">
        <f>[1]Sheet2!CW147</f>
        <v>0</v>
      </c>
      <c r="H148" s="1"/>
      <c r="I148" s="1"/>
      <c r="J148" s="1"/>
      <c r="K148" s="16"/>
      <c r="L148" s="16">
        <f>Demand_CWRS!B$7/31</f>
        <v>129.8994219137717</v>
      </c>
      <c r="M148" s="16">
        <f>Demand_CWRS!C$7/31</f>
        <v>543.3829611248965</v>
      </c>
      <c r="N148" s="16">
        <f>Demand_CWRS!D$7/31</f>
        <v>0</v>
      </c>
      <c r="O148" s="16">
        <f>Demand_CWRS!E$7/31</f>
        <v>131.84491315136475</v>
      </c>
      <c r="P148" s="16">
        <f>Demand_CWRS!F$7/31</f>
        <v>232.12592522229113</v>
      </c>
      <c r="Q148" s="16">
        <f>Demand_CWRS!G$7/31</f>
        <v>129.8994219137717</v>
      </c>
      <c r="R148" s="16">
        <f>Demand_CWRS!H$7/31</f>
        <v>232.12592522229113</v>
      </c>
      <c r="S148" s="16">
        <f>Demand_CWRS!I$7/31</f>
        <v>232.12592522229113</v>
      </c>
      <c r="T148" s="16">
        <f>Demand_CWRS!J$7/31</f>
        <v>232.12592522229113</v>
      </c>
      <c r="U148" s="16">
        <f>Demand_CWRS!K$7/31</f>
        <v>232.12592522229113</v>
      </c>
      <c r="V148" s="16">
        <f t="shared" si="66"/>
        <v>-17835.319188606205</v>
      </c>
      <c r="W148" s="16">
        <f t="shared" si="67"/>
        <v>-63099.709925558149</v>
      </c>
      <c r="X148" s="16">
        <f t="shared" si="68"/>
        <v>0</v>
      </c>
      <c r="Y148" s="16">
        <f t="shared" si="69"/>
        <v>-8044.7583529645617</v>
      </c>
      <c r="Z148" s="16">
        <f t="shared" si="70"/>
        <v>-28313.529389229388</v>
      </c>
      <c r="AA148" s="16">
        <f t="shared" si="71"/>
        <v>-16509.546039567769</v>
      </c>
      <c r="AB148" s="16">
        <f t="shared" si="72"/>
        <v>-32794.573059101203</v>
      </c>
      <c r="AC148" s="16">
        <f t="shared" si="73"/>
        <v>-27001.562802690929</v>
      </c>
      <c r="AD148" s="16">
        <f t="shared" si="74"/>
        <v>-27101.562802690922</v>
      </c>
      <c r="AE148" s="16">
        <f t="shared" si="75"/>
        <v>-27701.562802690925</v>
      </c>
      <c r="AF148" s="14">
        <f>IF([1]Sheet2!AJ147=999999,"NA",[1]Sheet2!AJ147)</f>
        <v>0</v>
      </c>
      <c r="AG148" s="14">
        <f>IF([1]Sheet2!AK147=999999,"NA",[1]Sheet2!AK147)</f>
        <v>0</v>
      </c>
      <c r="AH148" s="14" t="str">
        <f>IF([1]Sheet2!AL147=999999,"NA",[1]Sheet2!AL147)</f>
        <v>NA</v>
      </c>
      <c r="AI148" s="14">
        <f>IF([1]Sheet2!AM147=999999,"NA",[1]Sheet2!AM147)</f>
        <v>0</v>
      </c>
      <c r="AJ148" s="14">
        <f>IF([1]Sheet2!AN147=999999,"NA",[1]Sheet2!AN147)</f>
        <v>0</v>
      </c>
      <c r="AK148" s="14">
        <f>IF([1]Sheet2!AO147=999999,"NA",[1]Sheet2!AO147)</f>
        <v>0</v>
      </c>
      <c r="AL148" s="14">
        <f>IF([1]Sheet2!AP147=999999,"NA",[1]Sheet2!AP147)</f>
        <v>0</v>
      </c>
      <c r="AM148" s="14">
        <f>IF([1]Sheet2!AQ147=999999,"NA",[1]Sheet2!AQ147)</f>
        <v>0</v>
      </c>
      <c r="AN148" s="14">
        <f>IF([1]Sheet2!AR147=999999,"NA",[1]Sheet2!AR147)</f>
        <v>0</v>
      </c>
      <c r="AO148" s="14">
        <f>IF([1]Sheet2!AS147=999999,"NA",[1]Sheet2!AS147)</f>
        <v>0</v>
      </c>
      <c r="AP148" s="14">
        <f>[1]Sheet2!P147</f>
        <v>0</v>
      </c>
      <c r="AQ148" s="14">
        <f>[1]Sheet2!Q147</f>
        <v>0</v>
      </c>
      <c r="AR148" s="14">
        <f>[1]Sheet2!R147</f>
        <v>0</v>
      </c>
      <c r="AS148" s="14">
        <f>[1]Sheet2!S147</f>
        <v>0</v>
      </c>
      <c r="AT148" s="14">
        <f>[1]Sheet2!T147</f>
        <v>0</v>
      </c>
      <c r="AU148" s="14">
        <f>[1]Sheet2!U147</f>
        <v>0</v>
      </c>
      <c r="AV148" s="14">
        <f>[1]Sheet2!V147</f>
        <v>0</v>
      </c>
      <c r="AW148" s="14">
        <f>[1]Sheet2!W147</f>
        <v>0</v>
      </c>
      <c r="AX148" s="14">
        <f>[1]Sheet2!X147</f>
        <v>0</v>
      </c>
      <c r="AY148" s="14">
        <f>[1]Sheet2!Y147</f>
        <v>0</v>
      </c>
      <c r="AZ148" s="16">
        <f>Demand_LP!B$7/31</f>
        <v>855.82964911600493</v>
      </c>
      <c r="BA148" s="16">
        <f>Demand_LP!C$7/31</f>
        <v>478.74276261373035</v>
      </c>
      <c r="BB148" s="16">
        <f>Demand_LP!D$7/31</f>
        <v>366.03598014888337</v>
      </c>
      <c r="BC148" s="16">
        <f>Demand_LP!E$7/31</f>
        <v>837.96277915632766</v>
      </c>
      <c r="BD148" s="16">
        <f>Demand_LP!F$7/31</f>
        <v>447.19049589019846</v>
      </c>
      <c r="BE148" s="16">
        <f>Demand_LP!G$7/31</f>
        <v>447.19049589019846</v>
      </c>
      <c r="BF148" s="16">
        <f>Demand_LP!H$7/31</f>
        <v>478.74276261373035</v>
      </c>
      <c r="BG148" s="16">
        <f>Demand_LP!I$7/31</f>
        <v>447.19049589019846</v>
      </c>
      <c r="BH148" s="16">
        <f>Demand_LP!J$7/31</f>
        <v>447.19049589019846</v>
      </c>
      <c r="BI148" s="16">
        <f>Demand_LP!K$7/31</f>
        <v>447.19049589019846</v>
      </c>
      <c r="BJ148" s="16">
        <f t="shared" si="76"/>
        <v>-96816.249678788561</v>
      </c>
      <c r="BK148" s="16">
        <f t="shared" si="77"/>
        <v>-82079.022911497115</v>
      </c>
      <c r="BL148" s="16">
        <f t="shared" si="78"/>
        <v>-34323.903349876004</v>
      </c>
      <c r="BM148" s="16">
        <f t="shared" si="79"/>
        <v>-101620.03997550007</v>
      </c>
      <c r="BN148" s="16">
        <f t="shared" si="80"/>
        <v>-58797.747529365122</v>
      </c>
      <c r="BO148" s="16">
        <f t="shared" si="81"/>
        <v>-57255.431447735835</v>
      </c>
      <c r="BP148" s="16">
        <f t="shared" si="82"/>
        <v>-76436.602398676623</v>
      </c>
      <c r="BQ148" s="16">
        <f t="shared" si="83"/>
        <v>-57255.431447735835</v>
      </c>
      <c r="BR148" s="16">
        <f t="shared" si="84"/>
        <v>-54855.431447735835</v>
      </c>
      <c r="BS148" s="16">
        <f t="shared" si="85"/>
        <v>-55555.431447735828</v>
      </c>
      <c r="BT148" s="14">
        <f>IF([1]Sheet2!CB147=999999,"NA",[1]Sheet2!CB147)</f>
        <v>0</v>
      </c>
      <c r="BU148" s="14">
        <f>IF([1]Sheet2!CC147=999999,"NA",[1]Sheet2!CC147)</f>
        <v>0</v>
      </c>
      <c r="BV148" s="14">
        <f>IF([1]Sheet2!CD147=999999,"NA",[1]Sheet2!CD147)</f>
        <v>0</v>
      </c>
      <c r="BW148" s="14">
        <f>IF([1]Sheet2!CE147=999999,"NA",[1]Sheet2!CE147)</f>
        <v>0</v>
      </c>
      <c r="BX148" s="14">
        <f>IF([1]Sheet2!CF147=999999,"NA",[1]Sheet2!CF147)</f>
        <v>0</v>
      </c>
      <c r="BY148" s="14">
        <f>IF([1]Sheet2!CG147=999999,"NA",[1]Sheet2!CG147)</f>
        <v>0</v>
      </c>
      <c r="BZ148" s="14">
        <f>IF([1]Sheet2!CH147=999999,"NA",[1]Sheet2!CH147)</f>
        <v>0</v>
      </c>
      <c r="CA148" s="14">
        <f>IF([1]Sheet2!CI147=999999,"NA",[1]Sheet2!CI147)</f>
        <v>0</v>
      </c>
      <c r="CB148" s="14">
        <f>IF([1]Sheet2!CJ147=999999,"NA",[1]Sheet2!CJ147)</f>
        <v>0</v>
      </c>
      <c r="CC148" s="14">
        <f>IF([1]Sheet2!CK147=999999,"NA",[1]Sheet2!CK147)</f>
        <v>0</v>
      </c>
      <c r="CD148" s="14">
        <f>[1]Sheet2!BH147</f>
        <v>0</v>
      </c>
      <c r="CE148" s="14">
        <f>[1]Sheet2!BI147</f>
        <v>0</v>
      </c>
      <c r="CF148" s="14">
        <f>[1]Sheet2!BJ147</f>
        <v>0</v>
      </c>
      <c r="CG148" s="14">
        <f>[1]Sheet2!BK147</f>
        <v>0</v>
      </c>
      <c r="CH148" s="14">
        <f>[1]Sheet2!BL147</f>
        <v>0</v>
      </c>
      <c r="CI148" s="14">
        <f>[1]Sheet2!BM147</f>
        <v>0</v>
      </c>
      <c r="CJ148" s="14">
        <f>[1]Sheet2!BN147</f>
        <v>0</v>
      </c>
      <c r="CK148" s="14">
        <f>[1]Sheet2!BO147</f>
        <v>0</v>
      </c>
      <c r="CL148" s="14">
        <f>[1]Sheet2!BP147</f>
        <v>0</v>
      </c>
      <c r="CM148" s="14">
        <f>[1]Sheet2!BQ147</f>
        <v>0</v>
      </c>
      <c r="CN148" s="16">
        <f>Demand_SW!B$7/31</f>
        <v>122.8287841191067</v>
      </c>
      <c r="CO148" s="16">
        <f>Demand_SW!C$7/31</f>
        <v>0</v>
      </c>
      <c r="CP148" s="16">
        <f>Demand_SW!D$7/31</f>
        <v>0</v>
      </c>
      <c r="CQ148" s="16">
        <f>Demand_SW!E$7/31</f>
        <v>0</v>
      </c>
      <c r="CR148" s="16">
        <f>Demand_SW!F$7/31</f>
        <v>0</v>
      </c>
      <c r="CS148" s="16">
        <f>Demand_SW!G$7/31</f>
        <v>122.8287841191067</v>
      </c>
      <c r="CT148" s="16">
        <f>Demand_SW!H$7/31</f>
        <v>0</v>
      </c>
      <c r="CU148" s="16">
        <f>Demand_SW!I$7/31</f>
        <v>0</v>
      </c>
      <c r="CV148" s="16">
        <f>Demand_SW!J$7/31</f>
        <v>0</v>
      </c>
      <c r="CW148" s="16">
        <f>Demand_SW!K$7/31</f>
        <v>0</v>
      </c>
      <c r="CX148" s="16">
        <f t="shared" si="86"/>
        <v>-14533.796526054599</v>
      </c>
      <c r="CY148" s="16">
        <f t="shared" si="87"/>
        <v>76.923076923077133</v>
      </c>
      <c r="CZ148" s="16">
        <f t="shared" si="88"/>
        <v>0</v>
      </c>
      <c r="DA148" s="16">
        <f t="shared" si="89"/>
        <v>0</v>
      </c>
      <c r="DB148" s="16">
        <f t="shared" si="90"/>
        <v>0</v>
      </c>
      <c r="DC148" s="16">
        <f t="shared" si="91"/>
        <v>-14063.027295285367</v>
      </c>
      <c r="DD148" s="16">
        <f t="shared" si="92"/>
        <v>76.923076923077133</v>
      </c>
      <c r="DE148" s="16">
        <f t="shared" si="93"/>
        <v>0</v>
      </c>
      <c r="DF148" s="16">
        <f t="shared" si="94"/>
        <v>0</v>
      </c>
      <c r="DG148" s="16">
        <f t="shared" si="95"/>
        <v>0</v>
      </c>
      <c r="DH148" s="14">
        <f>IF([1]Sheet2!DS147=999999,"NA",[1]Sheet2!DS147)</f>
        <v>0</v>
      </c>
      <c r="DI148" s="14">
        <f>IF([1]Sheet2!DT147=999999,"NA",[1]Sheet2!DT147)</f>
        <v>220</v>
      </c>
      <c r="DJ148" s="14" t="str">
        <f>IF([1]Sheet2!DU147=999999,"NA",[1]Sheet2!DU147)</f>
        <v>NA</v>
      </c>
      <c r="DK148" s="14" t="str">
        <f>IF([1]Sheet2!DV147=999999,"NA",[1]Sheet2!DV147)</f>
        <v>NA</v>
      </c>
      <c r="DL148" s="14" t="str">
        <f>IF([1]Sheet2!DW147=999999,"NA",[1]Sheet2!DW147)</f>
        <v>NA</v>
      </c>
      <c r="DM148" s="14">
        <f>IF([1]Sheet2!DX147=999999,"NA",[1]Sheet2!DX147)</f>
        <v>0</v>
      </c>
      <c r="DN148" s="14">
        <f>IF([1]Sheet2!DY147=999999,"NA",[1]Sheet2!DY147)</f>
        <v>220</v>
      </c>
      <c r="DO148" s="14" t="str">
        <f>IF([1]Sheet2!DZ147=999999,"NA",[1]Sheet2!DZ147)</f>
        <v>NA</v>
      </c>
      <c r="DP148" s="14" t="str">
        <f>IF([1]Sheet2!EA147=999999,"NA",[1]Sheet2!EA147)</f>
        <v>NA</v>
      </c>
      <c r="DQ148" s="14" t="str">
        <f>IF([1]Sheet2!EB147=999999,"NA",[1]Sheet2!EB147)</f>
        <v>NA</v>
      </c>
      <c r="DR148" s="14">
        <f>[1]Sheet2!CY147</f>
        <v>0</v>
      </c>
      <c r="DS148" s="14">
        <f>[1]Sheet2!CZ147</f>
        <v>0</v>
      </c>
      <c r="DT148" s="14">
        <f>[1]Sheet2!DA147</f>
        <v>0</v>
      </c>
      <c r="DU148" s="14">
        <f>[1]Sheet2!DB147</f>
        <v>0</v>
      </c>
      <c r="DV148" s="14">
        <f>[1]Sheet2!DC147</f>
        <v>0</v>
      </c>
      <c r="DW148" s="14">
        <f>[1]Sheet2!DD147</f>
        <v>0</v>
      </c>
      <c r="DX148" s="14">
        <f>[1]Sheet2!DE147</f>
        <v>0</v>
      </c>
      <c r="DY148" s="14">
        <f>[1]Sheet2!DF147</f>
        <v>0</v>
      </c>
      <c r="DZ148" s="14">
        <f>[1]Sheet2!DG147</f>
        <v>0</v>
      </c>
      <c r="EA148" s="14">
        <f>[1]Sheet2!DH147</f>
        <v>0</v>
      </c>
      <c r="EB148" s="6">
        <f>[1]Sheet2!EC147</f>
        <v>0</v>
      </c>
      <c r="EC148" s="6">
        <f>[1]Sheet2!ED147</f>
        <v>0</v>
      </c>
      <c r="ED148" s="6">
        <f>[1]Sheet2!EE147</f>
        <v>0</v>
      </c>
      <c r="EE148" s="6">
        <f>[1]Sheet2!EF147</f>
        <v>0</v>
      </c>
      <c r="EF148" s="6">
        <f>[1]Sheet2!EG147</f>
        <v>0</v>
      </c>
      <c r="EG148" s="6">
        <f>[1]Sheet2!EH147</f>
        <v>0</v>
      </c>
      <c r="EH148" s="6">
        <f>[1]Sheet2!EI147</f>
        <v>0</v>
      </c>
      <c r="EI148" s="6">
        <f>[1]Sheet2!EJ147</f>
        <v>0</v>
      </c>
      <c r="EJ148" s="6">
        <f>[1]Sheet2!EK147</f>
        <v>0</v>
      </c>
      <c r="EK148" s="6">
        <f>[1]Sheet2!EL147</f>
        <v>0</v>
      </c>
      <c r="EL148" s="6" t="str">
        <f>[1]Sheet2!EM147</f>
        <v/>
      </c>
      <c r="EM148" s="6" t="str">
        <f>[1]Sheet2!EN147</f>
        <v/>
      </c>
      <c r="EN148" s="6" t="str">
        <f>[1]Sheet2!EO147</f>
        <v/>
      </c>
      <c r="EO148" s="6" t="str">
        <f>[1]Sheet2!EP147</f>
        <v/>
      </c>
      <c r="EP148" s="6" t="str">
        <f>[1]Sheet2!EQ147</f>
        <v/>
      </c>
      <c r="EQ148" s="6" t="str">
        <f>[1]Sheet2!ER147</f>
        <v/>
      </c>
      <c r="ER148" s="6" t="str">
        <f>[1]Sheet2!ES147</f>
        <v/>
      </c>
      <c r="ES148" s="6" t="str">
        <f>[1]Sheet2!ET147</f>
        <v/>
      </c>
      <c r="ET148" s="6" t="str">
        <f>[1]Sheet2!EU147</f>
        <v/>
      </c>
      <c r="EU148" s="6" t="str">
        <f>[1]Sheet2!EV147</f>
        <v/>
      </c>
      <c r="EV148" s="6" t="str">
        <f>[1]Sheet2!EW147</f>
        <v/>
      </c>
      <c r="EW148" s="6" t="str">
        <f>[1]Sheet2!EX147</f>
        <v/>
      </c>
      <c r="EX148" s="6" t="str">
        <f>[1]Sheet2!EY147</f>
        <v/>
      </c>
      <c r="EY148" s="6" t="str">
        <f>[1]Sheet2!EZ147</f>
        <v/>
      </c>
      <c r="EZ148" s="6" t="str">
        <f>[1]Sheet2!FA147</f>
        <v/>
      </c>
      <c r="FA148" s="6" t="str">
        <f>[1]Sheet2!FB147</f>
        <v/>
      </c>
      <c r="FB148" s="6" t="str">
        <f>[1]Sheet2!FC147</f>
        <v/>
      </c>
      <c r="FC148" s="6" t="str">
        <f>[1]Sheet2!FD147</f>
        <v/>
      </c>
      <c r="FD148" s="6" t="str">
        <f>[1]Sheet2!FE147</f>
        <v/>
      </c>
      <c r="FE148" s="6" t="str">
        <f>[1]Sheet2!FF147</f>
        <v/>
      </c>
      <c r="FF148" s="6" t="str">
        <f>[1]Sheet2!FG147</f>
        <v/>
      </c>
      <c r="FG148" s="6" t="str">
        <f>[1]Sheet2!FH147</f>
        <v/>
      </c>
      <c r="FH148" s="6" t="str">
        <f>[1]Sheet2!FI147</f>
        <v/>
      </c>
      <c r="FI148" s="6" t="str">
        <f>[1]Sheet2!FJ147</f>
        <v/>
      </c>
      <c r="FJ148" s="6" t="str">
        <f>[1]Sheet2!FK147</f>
        <v/>
      </c>
      <c r="FK148" s="6" t="str">
        <f>[1]Sheet2!FL147</f>
        <v/>
      </c>
      <c r="FL148" s="6" t="str">
        <f>[1]Sheet2!FM147</f>
        <v/>
      </c>
      <c r="FM148" s="6" t="str">
        <f>[1]Sheet2!FN147</f>
        <v/>
      </c>
      <c r="FN148" s="6" t="str">
        <f>[1]Sheet2!FO147</f>
        <v/>
      </c>
      <c r="FO148" s="6" t="str">
        <f>[1]Sheet2!FP147</f>
        <v/>
      </c>
    </row>
    <row r="149" spans="1:171" x14ac:dyDescent="0.25">
      <c r="A149" s="15">
        <v>43611</v>
      </c>
      <c r="B149" s="1"/>
      <c r="C149" s="1"/>
      <c r="D149" s="1"/>
      <c r="E149" s="14">
        <f>[1]Sheet2!N148</f>
        <v>0</v>
      </c>
      <c r="F149" s="14">
        <f>[1]Sheet2!BE148</f>
        <v>0</v>
      </c>
      <c r="G149" s="14">
        <f>[1]Sheet2!CW148</f>
        <v>0</v>
      </c>
      <c r="H149" s="1"/>
      <c r="I149" s="1"/>
      <c r="J149" s="1"/>
      <c r="K149" s="16"/>
      <c r="L149" s="16">
        <f>Demand_CWRS!B$7/31</f>
        <v>129.8994219137717</v>
      </c>
      <c r="M149" s="16">
        <f>Demand_CWRS!C$7/31</f>
        <v>543.3829611248965</v>
      </c>
      <c r="N149" s="16">
        <f>Demand_CWRS!D$7/31</f>
        <v>0</v>
      </c>
      <c r="O149" s="16">
        <f>Demand_CWRS!E$7/31</f>
        <v>131.84491315136475</v>
      </c>
      <c r="P149" s="16">
        <f>Demand_CWRS!F$7/31</f>
        <v>232.12592522229113</v>
      </c>
      <c r="Q149" s="16">
        <f>Demand_CWRS!G$7/31</f>
        <v>129.8994219137717</v>
      </c>
      <c r="R149" s="16">
        <f>Demand_CWRS!H$7/31</f>
        <v>232.12592522229113</v>
      </c>
      <c r="S149" s="16">
        <f>Demand_CWRS!I$7/31</f>
        <v>232.12592522229113</v>
      </c>
      <c r="T149" s="16">
        <f>Demand_CWRS!J$7/31</f>
        <v>232.12592522229113</v>
      </c>
      <c r="U149" s="16">
        <f>Demand_CWRS!K$7/31</f>
        <v>232.12592522229113</v>
      </c>
      <c r="V149" s="16">
        <f t="shared" si="66"/>
        <v>-17965.218610519976</v>
      </c>
      <c r="W149" s="16">
        <f t="shared" si="67"/>
        <v>-63643.092886683044</v>
      </c>
      <c r="X149" s="16">
        <f t="shared" si="68"/>
        <v>0</v>
      </c>
      <c r="Y149" s="16">
        <f t="shared" si="69"/>
        <v>-8176.6032661159261</v>
      </c>
      <c r="Z149" s="16">
        <f t="shared" si="70"/>
        <v>-28545.65531445168</v>
      </c>
      <c r="AA149" s="16">
        <f t="shared" si="71"/>
        <v>-16639.44546148154</v>
      </c>
      <c r="AB149" s="16">
        <f t="shared" si="72"/>
        <v>-33026.698984323491</v>
      </c>
      <c r="AC149" s="16">
        <f t="shared" si="73"/>
        <v>-27233.688727913221</v>
      </c>
      <c r="AD149" s="16">
        <f t="shared" si="74"/>
        <v>-27333.688727913213</v>
      </c>
      <c r="AE149" s="16">
        <f t="shared" si="75"/>
        <v>-27933.688727913217</v>
      </c>
      <c r="AF149" s="14">
        <f>IF([1]Sheet2!AJ148=999999,"NA",[1]Sheet2!AJ148)</f>
        <v>0</v>
      </c>
      <c r="AG149" s="14">
        <f>IF([1]Sheet2!AK148=999999,"NA",[1]Sheet2!AK148)</f>
        <v>0</v>
      </c>
      <c r="AH149" s="14" t="str">
        <f>IF([1]Sheet2!AL148=999999,"NA",[1]Sheet2!AL148)</f>
        <v>NA</v>
      </c>
      <c r="AI149" s="14">
        <f>IF([1]Sheet2!AM148=999999,"NA",[1]Sheet2!AM148)</f>
        <v>0</v>
      </c>
      <c r="AJ149" s="14">
        <f>IF([1]Sheet2!AN148=999999,"NA",[1]Sheet2!AN148)</f>
        <v>0</v>
      </c>
      <c r="AK149" s="14">
        <f>IF([1]Sheet2!AO148=999999,"NA",[1]Sheet2!AO148)</f>
        <v>0</v>
      </c>
      <c r="AL149" s="14">
        <f>IF([1]Sheet2!AP148=999999,"NA",[1]Sheet2!AP148)</f>
        <v>0</v>
      </c>
      <c r="AM149" s="14">
        <f>IF([1]Sheet2!AQ148=999999,"NA",[1]Sheet2!AQ148)</f>
        <v>0</v>
      </c>
      <c r="AN149" s="14">
        <f>IF([1]Sheet2!AR148=999999,"NA",[1]Sheet2!AR148)</f>
        <v>0</v>
      </c>
      <c r="AO149" s="14">
        <f>IF([1]Sheet2!AS148=999999,"NA",[1]Sheet2!AS148)</f>
        <v>0</v>
      </c>
      <c r="AP149" s="14">
        <f>[1]Sheet2!P148</f>
        <v>0</v>
      </c>
      <c r="AQ149" s="14">
        <f>[1]Sheet2!Q148</f>
        <v>0</v>
      </c>
      <c r="AR149" s="14">
        <f>[1]Sheet2!R148</f>
        <v>0</v>
      </c>
      <c r="AS149" s="14">
        <f>[1]Sheet2!S148</f>
        <v>0</v>
      </c>
      <c r="AT149" s="14">
        <f>[1]Sheet2!T148</f>
        <v>0</v>
      </c>
      <c r="AU149" s="14">
        <f>[1]Sheet2!U148</f>
        <v>0</v>
      </c>
      <c r="AV149" s="14">
        <f>[1]Sheet2!V148</f>
        <v>0</v>
      </c>
      <c r="AW149" s="14">
        <f>[1]Sheet2!W148</f>
        <v>0</v>
      </c>
      <c r="AX149" s="14">
        <f>[1]Sheet2!X148</f>
        <v>0</v>
      </c>
      <c r="AY149" s="14">
        <f>[1]Sheet2!Y148</f>
        <v>0</v>
      </c>
      <c r="AZ149" s="16">
        <f>Demand_LP!B$7/31</f>
        <v>855.82964911600493</v>
      </c>
      <c r="BA149" s="16">
        <f>Demand_LP!C$7/31</f>
        <v>478.74276261373035</v>
      </c>
      <c r="BB149" s="16">
        <f>Demand_LP!D$7/31</f>
        <v>366.03598014888337</v>
      </c>
      <c r="BC149" s="16">
        <f>Demand_LP!E$7/31</f>
        <v>837.96277915632766</v>
      </c>
      <c r="BD149" s="16">
        <f>Demand_LP!F$7/31</f>
        <v>447.19049589019846</v>
      </c>
      <c r="BE149" s="16">
        <f>Demand_LP!G$7/31</f>
        <v>447.19049589019846</v>
      </c>
      <c r="BF149" s="16">
        <f>Demand_LP!H$7/31</f>
        <v>478.74276261373035</v>
      </c>
      <c r="BG149" s="16">
        <f>Demand_LP!I$7/31</f>
        <v>447.19049589019846</v>
      </c>
      <c r="BH149" s="16">
        <f>Demand_LP!J$7/31</f>
        <v>447.19049589019846</v>
      </c>
      <c r="BI149" s="16">
        <f>Demand_LP!K$7/31</f>
        <v>447.19049589019846</v>
      </c>
      <c r="BJ149" s="16">
        <f t="shared" si="76"/>
        <v>-97672.079327904561</v>
      </c>
      <c r="BK149" s="16">
        <f t="shared" si="77"/>
        <v>-82557.765674110851</v>
      </c>
      <c r="BL149" s="16">
        <f t="shared" si="78"/>
        <v>-34689.939330024885</v>
      </c>
      <c r="BM149" s="16">
        <f t="shared" si="79"/>
        <v>-102458.00275465639</v>
      </c>
      <c r="BN149" s="16">
        <f t="shared" si="80"/>
        <v>-59244.938025255324</v>
      </c>
      <c r="BO149" s="16">
        <f t="shared" si="81"/>
        <v>-57702.621943626036</v>
      </c>
      <c r="BP149" s="16">
        <f t="shared" si="82"/>
        <v>-76915.345161290359</v>
      </c>
      <c r="BQ149" s="16">
        <f t="shared" si="83"/>
        <v>-57702.621943626036</v>
      </c>
      <c r="BR149" s="16">
        <f t="shared" si="84"/>
        <v>-55302.621943626036</v>
      </c>
      <c r="BS149" s="16">
        <f t="shared" si="85"/>
        <v>-56002.621943626029</v>
      </c>
      <c r="BT149" s="14">
        <f>IF([1]Sheet2!CB148=999999,"NA",[1]Sheet2!CB148)</f>
        <v>0</v>
      </c>
      <c r="BU149" s="14">
        <f>IF([1]Sheet2!CC148=999999,"NA",[1]Sheet2!CC148)</f>
        <v>0</v>
      </c>
      <c r="BV149" s="14">
        <f>IF([1]Sheet2!CD148=999999,"NA",[1]Sheet2!CD148)</f>
        <v>0</v>
      </c>
      <c r="BW149" s="14">
        <f>IF([1]Sheet2!CE148=999999,"NA",[1]Sheet2!CE148)</f>
        <v>0</v>
      </c>
      <c r="BX149" s="14">
        <f>IF([1]Sheet2!CF148=999999,"NA",[1]Sheet2!CF148)</f>
        <v>0</v>
      </c>
      <c r="BY149" s="14">
        <f>IF([1]Sheet2!CG148=999999,"NA",[1]Sheet2!CG148)</f>
        <v>0</v>
      </c>
      <c r="BZ149" s="14">
        <f>IF([1]Sheet2!CH148=999999,"NA",[1]Sheet2!CH148)</f>
        <v>0</v>
      </c>
      <c r="CA149" s="14">
        <f>IF([1]Sheet2!CI148=999999,"NA",[1]Sheet2!CI148)</f>
        <v>0</v>
      </c>
      <c r="CB149" s="14">
        <f>IF([1]Sheet2!CJ148=999999,"NA",[1]Sheet2!CJ148)</f>
        <v>0</v>
      </c>
      <c r="CC149" s="14">
        <f>IF([1]Sheet2!CK148=999999,"NA",[1]Sheet2!CK148)</f>
        <v>0</v>
      </c>
      <c r="CD149" s="14">
        <f>[1]Sheet2!BH148</f>
        <v>0</v>
      </c>
      <c r="CE149" s="14">
        <f>[1]Sheet2!BI148</f>
        <v>0</v>
      </c>
      <c r="CF149" s="14">
        <f>[1]Sheet2!BJ148</f>
        <v>0</v>
      </c>
      <c r="CG149" s="14">
        <f>[1]Sheet2!BK148</f>
        <v>0</v>
      </c>
      <c r="CH149" s="14">
        <f>[1]Sheet2!BL148</f>
        <v>0</v>
      </c>
      <c r="CI149" s="14">
        <f>[1]Sheet2!BM148</f>
        <v>0</v>
      </c>
      <c r="CJ149" s="14">
        <f>[1]Sheet2!BN148</f>
        <v>0</v>
      </c>
      <c r="CK149" s="14">
        <f>[1]Sheet2!BO148</f>
        <v>0</v>
      </c>
      <c r="CL149" s="14">
        <f>[1]Sheet2!BP148</f>
        <v>0</v>
      </c>
      <c r="CM149" s="14">
        <f>[1]Sheet2!BQ148</f>
        <v>0</v>
      </c>
      <c r="CN149" s="16">
        <f>Demand_SW!B$7/31</f>
        <v>122.8287841191067</v>
      </c>
      <c r="CO149" s="16">
        <f>Demand_SW!C$7/31</f>
        <v>0</v>
      </c>
      <c r="CP149" s="16">
        <f>Demand_SW!D$7/31</f>
        <v>0</v>
      </c>
      <c r="CQ149" s="16">
        <f>Demand_SW!E$7/31</f>
        <v>0</v>
      </c>
      <c r="CR149" s="16">
        <f>Demand_SW!F$7/31</f>
        <v>0</v>
      </c>
      <c r="CS149" s="16">
        <f>Demand_SW!G$7/31</f>
        <v>122.8287841191067</v>
      </c>
      <c r="CT149" s="16">
        <f>Demand_SW!H$7/31</f>
        <v>0</v>
      </c>
      <c r="CU149" s="16">
        <f>Demand_SW!I$7/31</f>
        <v>0</v>
      </c>
      <c r="CV149" s="16">
        <f>Demand_SW!J$7/31</f>
        <v>0</v>
      </c>
      <c r="CW149" s="16">
        <f>Demand_SW!K$7/31</f>
        <v>0</v>
      </c>
      <c r="CX149" s="16">
        <f t="shared" si="86"/>
        <v>-14656.625310173706</v>
      </c>
      <c r="CY149" s="16">
        <f t="shared" si="87"/>
        <v>76.923076923077133</v>
      </c>
      <c r="CZ149" s="16">
        <f t="shared" si="88"/>
        <v>0</v>
      </c>
      <c r="DA149" s="16">
        <f t="shared" si="89"/>
        <v>0</v>
      </c>
      <c r="DB149" s="16">
        <f t="shared" si="90"/>
        <v>0</v>
      </c>
      <c r="DC149" s="16">
        <f t="shared" si="91"/>
        <v>-14185.856079404473</v>
      </c>
      <c r="DD149" s="16">
        <f t="shared" si="92"/>
        <v>76.923076923077133</v>
      </c>
      <c r="DE149" s="16">
        <f t="shared" si="93"/>
        <v>0</v>
      </c>
      <c r="DF149" s="16">
        <f t="shared" si="94"/>
        <v>0</v>
      </c>
      <c r="DG149" s="16">
        <f t="shared" si="95"/>
        <v>0</v>
      </c>
      <c r="DH149" s="14">
        <f>IF([1]Sheet2!DS148=999999,"NA",[1]Sheet2!DS148)</f>
        <v>0</v>
      </c>
      <c r="DI149" s="14">
        <f>IF([1]Sheet2!DT148=999999,"NA",[1]Sheet2!DT148)</f>
        <v>219</v>
      </c>
      <c r="DJ149" s="14" t="str">
        <f>IF([1]Sheet2!DU148=999999,"NA",[1]Sheet2!DU148)</f>
        <v>NA</v>
      </c>
      <c r="DK149" s="14" t="str">
        <f>IF([1]Sheet2!DV148=999999,"NA",[1]Sheet2!DV148)</f>
        <v>NA</v>
      </c>
      <c r="DL149" s="14" t="str">
        <f>IF([1]Sheet2!DW148=999999,"NA",[1]Sheet2!DW148)</f>
        <v>NA</v>
      </c>
      <c r="DM149" s="14">
        <f>IF([1]Sheet2!DX148=999999,"NA",[1]Sheet2!DX148)</f>
        <v>0</v>
      </c>
      <c r="DN149" s="14">
        <f>IF([1]Sheet2!DY148=999999,"NA",[1]Sheet2!DY148)</f>
        <v>219</v>
      </c>
      <c r="DO149" s="14" t="str">
        <f>IF([1]Sheet2!DZ148=999999,"NA",[1]Sheet2!DZ148)</f>
        <v>NA</v>
      </c>
      <c r="DP149" s="14" t="str">
        <f>IF([1]Sheet2!EA148=999999,"NA",[1]Sheet2!EA148)</f>
        <v>NA</v>
      </c>
      <c r="DQ149" s="14" t="str">
        <f>IF([1]Sheet2!EB148=999999,"NA",[1]Sheet2!EB148)</f>
        <v>NA</v>
      </c>
      <c r="DR149" s="14">
        <f>[1]Sheet2!CY148</f>
        <v>0</v>
      </c>
      <c r="DS149" s="14">
        <f>[1]Sheet2!CZ148</f>
        <v>0</v>
      </c>
      <c r="DT149" s="14">
        <f>[1]Sheet2!DA148</f>
        <v>0</v>
      </c>
      <c r="DU149" s="14">
        <f>[1]Sheet2!DB148</f>
        <v>0</v>
      </c>
      <c r="DV149" s="14">
        <f>[1]Sheet2!DC148</f>
        <v>0</v>
      </c>
      <c r="DW149" s="14">
        <f>[1]Sheet2!DD148</f>
        <v>0</v>
      </c>
      <c r="DX149" s="14">
        <f>[1]Sheet2!DE148</f>
        <v>0</v>
      </c>
      <c r="DY149" s="14">
        <f>[1]Sheet2!DF148</f>
        <v>0</v>
      </c>
      <c r="DZ149" s="14">
        <f>[1]Sheet2!DG148</f>
        <v>0</v>
      </c>
      <c r="EA149" s="14">
        <f>[1]Sheet2!DH148</f>
        <v>0</v>
      </c>
      <c r="EB149" s="6">
        <f>[1]Sheet2!EC148</f>
        <v>0</v>
      </c>
      <c r="EC149" s="6">
        <f>[1]Sheet2!ED148</f>
        <v>0</v>
      </c>
      <c r="ED149" s="6">
        <f>[1]Sheet2!EE148</f>
        <v>0</v>
      </c>
      <c r="EE149" s="6">
        <f>[1]Sheet2!EF148</f>
        <v>0</v>
      </c>
      <c r="EF149" s="6">
        <f>[1]Sheet2!EG148</f>
        <v>0</v>
      </c>
      <c r="EG149" s="6">
        <f>[1]Sheet2!EH148</f>
        <v>0</v>
      </c>
      <c r="EH149" s="6">
        <f>[1]Sheet2!EI148</f>
        <v>0</v>
      </c>
      <c r="EI149" s="6">
        <f>[1]Sheet2!EJ148</f>
        <v>0</v>
      </c>
      <c r="EJ149" s="6">
        <f>[1]Sheet2!EK148</f>
        <v>0</v>
      </c>
      <c r="EK149" s="6">
        <f>[1]Sheet2!EL148</f>
        <v>0</v>
      </c>
      <c r="EL149" s="6" t="str">
        <f>[1]Sheet2!EM148</f>
        <v/>
      </c>
      <c r="EM149" s="6" t="str">
        <f>[1]Sheet2!EN148</f>
        <v/>
      </c>
      <c r="EN149" s="6" t="str">
        <f>[1]Sheet2!EO148</f>
        <v/>
      </c>
      <c r="EO149" s="6" t="str">
        <f>[1]Sheet2!EP148</f>
        <v/>
      </c>
      <c r="EP149" s="6" t="str">
        <f>[1]Sheet2!EQ148</f>
        <v/>
      </c>
      <c r="EQ149" s="6" t="str">
        <f>[1]Sheet2!ER148</f>
        <v/>
      </c>
      <c r="ER149" s="6" t="str">
        <f>[1]Sheet2!ES148</f>
        <v/>
      </c>
      <c r="ES149" s="6" t="str">
        <f>[1]Sheet2!ET148</f>
        <v/>
      </c>
      <c r="ET149" s="6" t="str">
        <f>[1]Sheet2!EU148</f>
        <v/>
      </c>
      <c r="EU149" s="6" t="str">
        <f>[1]Sheet2!EV148</f>
        <v/>
      </c>
      <c r="EV149" s="6" t="str">
        <f>[1]Sheet2!EW148</f>
        <v/>
      </c>
      <c r="EW149" s="6" t="str">
        <f>[1]Sheet2!EX148</f>
        <v/>
      </c>
      <c r="EX149" s="6" t="str">
        <f>[1]Sheet2!EY148</f>
        <v/>
      </c>
      <c r="EY149" s="6" t="str">
        <f>[1]Sheet2!EZ148</f>
        <v/>
      </c>
      <c r="EZ149" s="6" t="str">
        <f>[1]Sheet2!FA148</f>
        <v/>
      </c>
      <c r="FA149" s="6" t="str">
        <f>[1]Sheet2!FB148</f>
        <v/>
      </c>
      <c r="FB149" s="6" t="str">
        <f>[1]Sheet2!FC148</f>
        <v/>
      </c>
      <c r="FC149" s="6" t="str">
        <f>[1]Sheet2!FD148</f>
        <v/>
      </c>
      <c r="FD149" s="6" t="str">
        <f>[1]Sheet2!FE148</f>
        <v/>
      </c>
      <c r="FE149" s="6" t="str">
        <f>[1]Sheet2!FF148</f>
        <v/>
      </c>
      <c r="FF149" s="6" t="str">
        <f>[1]Sheet2!FG148</f>
        <v/>
      </c>
      <c r="FG149" s="6" t="str">
        <f>[1]Sheet2!FH148</f>
        <v/>
      </c>
      <c r="FH149" s="6" t="str">
        <f>[1]Sheet2!FI148</f>
        <v/>
      </c>
      <c r="FI149" s="6" t="str">
        <f>[1]Sheet2!FJ148</f>
        <v/>
      </c>
      <c r="FJ149" s="6" t="str">
        <f>[1]Sheet2!FK148</f>
        <v/>
      </c>
      <c r="FK149" s="6" t="str">
        <f>[1]Sheet2!FL148</f>
        <v/>
      </c>
      <c r="FL149" s="6" t="str">
        <f>[1]Sheet2!FM148</f>
        <v/>
      </c>
      <c r="FM149" s="6" t="str">
        <f>[1]Sheet2!FN148</f>
        <v/>
      </c>
      <c r="FN149" s="6" t="str">
        <f>[1]Sheet2!FO148</f>
        <v/>
      </c>
      <c r="FO149" s="6" t="str">
        <f>[1]Sheet2!FP148</f>
        <v/>
      </c>
    </row>
    <row r="150" spans="1:171" x14ac:dyDescent="0.25">
      <c r="A150" s="15">
        <v>43612</v>
      </c>
      <c r="B150" s="1"/>
      <c r="C150" s="1"/>
      <c r="D150" s="1"/>
      <c r="E150" s="14">
        <f>[1]Sheet2!N149</f>
        <v>0</v>
      </c>
      <c r="F150" s="14">
        <f>[1]Sheet2!BE149</f>
        <v>0</v>
      </c>
      <c r="G150" s="14">
        <f>[1]Sheet2!CW149</f>
        <v>0</v>
      </c>
      <c r="H150" s="1"/>
      <c r="I150" s="1"/>
      <c r="J150" s="1"/>
      <c r="K150" s="16"/>
      <c r="L150" s="16">
        <f>Demand_CWRS!B$7/31</f>
        <v>129.8994219137717</v>
      </c>
      <c r="M150" s="16">
        <f>Demand_CWRS!C$7/31</f>
        <v>543.3829611248965</v>
      </c>
      <c r="N150" s="16">
        <f>Demand_CWRS!D$7/31</f>
        <v>0</v>
      </c>
      <c r="O150" s="16">
        <f>Demand_CWRS!E$7/31</f>
        <v>131.84491315136475</v>
      </c>
      <c r="P150" s="16">
        <f>Demand_CWRS!F$7/31</f>
        <v>232.12592522229113</v>
      </c>
      <c r="Q150" s="16">
        <f>Demand_CWRS!G$7/31</f>
        <v>129.8994219137717</v>
      </c>
      <c r="R150" s="16">
        <f>Demand_CWRS!H$7/31</f>
        <v>232.12592522229113</v>
      </c>
      <c r="S150" s="16">
        <f>Demand_CWRS!I$7/31</f>
        <v>232.12592522229113</v>
      </c>
      <c r="T150" s="16">
        <f>Demand_CWRS!J$7/31</f>
        <v>232.12592522229113</v>
      </c>
      <c r="U150" s="16">
        <f>Demand_CWRS!K$7/31</f>
        <v>232.12592522229113</v>
      </c>
      <c r="V150" s="16">
        <f t="shared" si="66"/>
        <v>-18095.118032433747</v>
      </c>
      <c r="W150" s="16">
        <f t="shared" si="67"/>
        <v>-64186.475847807938</v>
      </c>
      <c r="X150" s="16">
        <f t="shared" si="68"/>
        <v>0</v>
      </c>
      <c r="Y150" s="16">
        <f t="shared" si="69"/>
        <v>-8308.4481792672905</v>
      </c>
      <c r="Z150" s="16">
        <f t="shared" si="70"/>
        <v>-28777.781239673972</v>
      </c>
      <c r="AA150" s="16">
        <f t="shared" si="71"/>
        <v>-16769.344883395312</v>
      </c>
      <c r="AB150" s="16">
        <f t="shared" si="72"/>
        <v>-33258.82490954578</v>
      </c>
      <c r="AC150" s="16">
        <f t="shared" si="73"/>
        <v>-27465.814653135512</v>
      </c>
      <c r="AD150" s="16">
        <f t="shared" si="74"/>
        <v>-27565.814653135505</v>
      </c>
      <c r="AE150" s="16">
        <f t="shared" si="75"/>
        <v>-28165.814653135509</v>
      </c>
      <c r="AF150" s="14">
        <f>IF([1]Sheet2!AJ149=999999,"NA",[1]Sheet2!AJ149)</f>
        <v>0</v>
      </c>
      <c r="AG150" s="14">
        <f>IF([1]Sheet2!AK149=999999,"NA",[1]Sheet2!AK149)</f>
        <v>0</v>
      </c>
      <c r="AH150" s="14" t="str">
        <f>IF([1]Sheet2!AL149=999999,"NA",[1]Sheet2!AL149)</f>
        <v>NA</v>
      </c>
      <c r="AI150" s="14">
        <f>IF([1]Sheet2!AM149=999999,"NA",[1]Sheet2!AM149)</f>
        <v>0</v>
      </c>
      <c r="AJ150" s="14">
        <f>IF([1]Sheet2!AN149=999999,"NA",[1]Sheet2!AN149)</f>
        <v>0</v>
      </c>
      <c r="AK150" s="14">
        <f>IF([1]Sheet2!AO149=999999,"NA",[1]Sheet2!AO149)</f>
        <v>0</v>
      </c>
      <c r="AL150" s="14">
        <f>IF([1]Sheet2!AP149=999999,"NA",[1]Sheet2!AP149)</f>
        <v>0</v>
      </c>
      <c r="AM150" s="14">
        <f>IF([1]Sheet2!AQ149=999999,"NA",[1]Sheet2!AQ149)</f>
        <v>0</v>
      </c>
      <c r="AN150" s="14">
        <f>IF([1]Sheet2!AR149=999999,"NA",[1]Sheet2!AR149)</f>
        <v>0</v>
      </c>
      <c r="AO150" s="14">
        <f>IF([1]Sheet2!AS149=999999,"NA",[1]Sheet2!AS149)</f>
        <v>0</v>
      </c>
      <c r="AP150" s="14">
        <f>[1]Sheet2!P149</f>
        <v>0</v>
      </c>
      <c r="AQ150" s="14">
        <f>[1]Sheet2!Q149</f>
        <v>0</v>
      </c>
      <c r="AR150" s="14">
        <f>[1]Sheet2!R149</f>
        <v>0</v>
      </c>
      <c r="AS150" s="14">
        <f>[1]Sheet2!S149</f>
        <v>0</v>
      </c>
      <c r="AT150" s="14">
        <f>[1]Sheet2!T149</f>
        <v>0</v>
      </c>
      <c r="AU150" s="14">
        <f>[1]Sheet2!U149</f>
        <v>0</v>
      </c>
      <c r="AV150" s="14">
        <f>[1]Sheet2!V149</f>
        <v>0</v>
      </c>
      <c r="AW150" s="14">
        <f>[1]Sheet2!W149</f>
        <v>0</v>
      </c>
      <c r="AX150" s="14">
        <f>[1]Sheet2!X149</f>
        <v>0</v>
      </c>
      <c r="AY150" s="14">
        <f>[1]Sheet2!Y149</f>
        <v>0</v>
      </c>
      <c r="AZ150" s="16">
        <f>Demand_LP!B$7/31</f>
        <v>855.82964911600493</v>
      </c>
      <c r="BA150" s="16">
        <f>Demand_LP!C$7/31</f>
        <v>478.74276261373035</v>
      </c>
      <c r="BB150" s="16">
        <f>Demand_LP!D$7/31</f>
        <v>366.03598014888337</v>
      </c>
      <c r="BC150" s="16">
        <f>Demand_LP!E$7/31</f>
        <v>837.96277915632766</v>
      </c>
      <c r="BD150" s="16">
        <f>Demand_LP!F$7/31</f>
        <v>447.19049589019846</v>
      </c>
      <c r="BE150" s="16">
        <f>Demand_LP!G$7/31</f>
        <v>447.19049589019846</v>
      </c>
      <c r="BF150" s="16">
        <f>Demand_LP!H$7/31</f>
        <v>478.74276261373035</v>
      </c>
      <c r="BG150" s="16">
        <f>Demand_LP!I$7/31</f>
        <v>447.19049589019846</v>
      </c>
      <c r="BH150" s="16">
        <f>Demand_LP!J$7/31</f>
        <v>447.19049589019846</v>
      </c>
      <c r="BI150" s="16">
        <f>Demand_LP!K$7/31</f>
        <v>447.19049589019846</v>
      </c>
      <c r="BJ150" s="16">
        <f t="shared" si="76"/>
        <v>-98527.908977020561</v>
      </c>
      <c r="BK150" s="16">
        <f t="shared" si="77"/>
        <v>-83036.508436724587</v>
      </c>
      <c r="BL150" s="16">
        <f t="shared" si="78"/>
        <v>-35055.975310173766</v>
      </c>
      <c r="BM150" s="16">
        <f t="shared" si="79"/>
        <v>-103295.96553381272</v>
      </c>
      <c r="BN150" s="16">
        <f t="shared" si="80"/>
        <v>-59692.128521145525</v>
      </c>
      <c r="BO150" s="16">
        <f t="shared" si="81"/>
        <v>-58149.812439516238</v>
      </c>
      <c r="BP150" s="16">
        <f t="shared" si="82"/>
        <v>-77394.087923904095</v>
      </c>
      <c r="BQ150" s="16">
        <f t="shared" si="83"/>
        <v>-58149.812439516238</v>
      </c>
      <c r="BR150" s="16">
        <f t="shared" si="84"/>
        <v>-55749.812439516238</v>
      </c>
      <c r="BS150" s="16">
        <f t="shared" si="85"/>
        <v>-56449.81243951623</v>
      </c>
      <c r="BT150" s="14">
        <f>IF([1]Sheet2!CB149=999999,"NA",[1]Sheet2!CB149)</f>
        <v>0</v>
      </c>
      <c r="BU150" s="14">
        <f>IF([1]Sheet2!CC149=999999,"NA",[1]Sheet2!CC149)</f>
        <v>0</v>
      </c>
      <c r="BV150" s="14">
        <f>IF([1]Sheet2!CD149=999999,"NA",[1]Sheet2!CD149)</f>
        <v>0</v>
      </c>
      <c r="BW150" s="14">
        <f>IF([1]Sheet2!CE149=999999,"NA",[1]Sheet2!CE149)</f>
        <v>0</v>
      </c>
      <c r="BX150" s="14">
        <f>IF([1]Sheet2!CF149=999999,"NA",[1]Sheet2!CF149)</f>
        <v>0</v>
      </c>
      <c r="BY150" s="14">
        <f>IF([1]Sheet2!CG149=999999,"NA",[1]Sheet2!CG149)</f>
        <v>0</v>
      </c>
      <c r="BZ150" s="14">
        <f>IF([1]Sheet2!CH149=999999,"NA",[1]Sheet2!CH149)</f>
        <v>0</v>
      </c>
      <c r="CA150" s="14">
        <f>IF([1]Sheet2!CI149=999999,"NA",[1]Sheet2!CI149)</f>
        <v>0</v>
      </c>
      <c r="CB150" s="14">
        <f>IF([1]Sheet2!CJ149=999999,"NA",[1]Sheet2!CJ149)</f>
        <v>0</v>
      </c>
      <c r="CC150" s="14">
        <f>IF([1]Sheet2!CK149=999999,"NA",[1]Sheet2!CK149)</f>
        <v>0</v>
      </c>
      <c r="CD150" s="14">
        <f>[1]Sheet2!BH149</f>
        <v>0</v>
      </c>
      <c r="CE150" s="14">
        <f>[1]Sheet2!BI149</f>
        <v>0</v>
      </c>
      <c r="CF150" s="14">
        <f>[1]Sheet2!BJ149</f>
        <v>0</v>
      </c>
      <c r="CG150" s="14">
        <f>[1]Sheet2!BK149</f>
        <v>0</v>
      </c>
      <c r="CH150" s="14">
        <f>[1]Sheet2!BL149</f>
        <v>0</v>
      </c>
      <c r="CI150" s="14">
        <f>[1]Sheet2!BM149</f>
        <v>0</v>
      </c>
      <c r="CJ150" s="14">
        <f>[1]Sheet2!BN149</f>
        <v>0</v>
      </c>
      <c r="CK150" s="14">
        <f>[1]Sheet2!BO149</f>
        <v>0</v>
      </c>
      <c r="CL150" s="14">
        <f>[1]Sheet2!BP149</f>
        <v>0</v>
      </c>
      <c r="CM150" s="14">
        <f>[1]Sheet2!BQ149</f>
        <v>0</v>
      </c>
      <c r="CN150" s="16">
        <f>Demand_SW!B$7/31</f>
        <v>122.8287841191067</v>
      </c>
      <c r="CO150" s="16">
        <f>Demand_SW!C$7/31</f>
        <v>0</v>
      </c>
      <c r="CP150" s="16">
        <f>Demand_SW!D$7/31</f>
        <v>0</v>
      </c>
      <c r="CQ150" s="16">
        <f>Demand_SW!E$7/31</f>
        <v>0</v>
      </c>
      <c r="CR150" s="16">
        <f>Demand_SW!F$7/31</f>
        <v>0</v>
      </c>
      <c r="CS150" s="16">
        <f>Demand_SW!G$7/31</f>
        <v>122.8287841191067</v>
      </c>
      <c r="CT150" s="16">
        <f>Demand_SW!H$7/31</f>
        <v>0</v>
      </c>
      <c r="CU150" s="16">
        <f>Demand_SW!I$7/31</f>
        <v>0</v>
      </c>
      <c r="CV150" s="16">
        <f>Demand_SW!J$7/31</f>
        <v>0</v>
      </c>
      <c r="CW150" s="16">
        <f>Demand_SW!K$7/31</f>
        <v>0</v>
      </c>
      <c r="CX150" s="16">
        <f t="shared" si="86"/>
        <v>-14779.454094292812</v>
      </c>
      <c r="CY150" s="16">
        <f t="shared" si="87"/>
        <v>76.923076923077133</v>
      </c>
      <c r="CZ150" s="16">
        <f t="shared" si="88"/>
        <v>0</v>
      </c>
      <c r="DA150" s="16">
        <f t="shared" si="89"/>
        <v>0</v>
      </c>
      <c r="DB150" s="16">
        <f t="shared" si="90"/>
        <v>0</v>
      </c>
      <c r="DC150" s="16">
        <f t="shared" si="91"/>
        <v>-14308.68486352358</v>
      </c>
      <c r="DD150" s="16">
        <f t="shared" si="92"/>
        <v>76.923076923077133</v>
      </c>
      <c r="DE150" s="16">
        <f t="shared" si="93"/>
        <v>0</v>
      </c>
      <c r="DF150" s="16">
        <f t="shared" si="94"/>
        <v>0</v>
      </c>
      <c r="DG150" s="16">
        <f t="shared" si="95"/>
        <v>0</v>
      </c>
      <c r="DH150" s="14">
        <f>IF([1]Sheet2!DS149=999999,"NA",[1]Sheet2!DS149)</f>
        <v>0</v>
      </c>
      <c r="DI150" s="14">
        <f>IF([1]Sheet2!DT149=999999,"NA",[1]Sheet2!DT149)</f>
        <v>218</v>
      </c>
      <c r="DJ150" s="14" t="str">
        <f>IF([1]Sheet2!DU149=999999,"NA",[1]Sheet2!DU149)</f>
        <v>NA</v>
      </c>
      <c r="DK150" s="14" t="str">
        <f>IF([1]Sheet2!DV149=999999,"NA",[1]Sheet2!DV149)</f>
        <v>NA</v>
      </c>
      <c r="DL150" s="14" t="str">
        <f>IF([1]Sheet2!DW149=999999,"NA",[1]Sheet2!DW149)</f>
        <v>NA</v>
      </c>
      <c r="DM150" s="14">
        <f>IF([1]Sheet2!DX149=999999,"NA",[1]Sheet2!DX149)</f>
        <v>0</v>
      </c>
      <c r="DN150" s="14">
        <f>IF([1]Sheet2!DY149=999999,"NA",[1]Sheet2!DY149)</f>
        <v>218</v>
      </c>
      <c r="DO150" s="14" t="str">
        <f>IF([1]Sheet2!DZ149=999999,"NA",[1]Sheet2!DZ149)</f>
        <v>NA</v>
      </c>
      <c r="DP150" s="14" t="str">
        <f>IF([1]Sheet2!EA149=999999,"NA",[1]Sheet2!EA149)</f>
        <v>NA</v>
      </c>
      <c r="DQ150" s="14" t="str">
        <f>IF([1]Sheet2!EB149=999999,"NA",[1]Sheet2!EB149)</f>
        <v>NA</v>
      </c>
      <c r="DR150" s="14">
        <f>[1]Sheet2!CY149</f>
        <v>0</v>
      </c>
      <c r="DS150" s="14">
        <f>[1]Sheet2!CZ149</f>
        <v>0</v>
      </c>
      <c r="DT150" s="14">
        <f>[1]Sheet2!DA149</f>
        <v>0</v>
      </c>
      <c r="DU150" s="14">
        <f>[1]Sheet2!DB149</f>
        <v>0</v>
      </c>
      <c r="DV150" s="14">
        <f>[1]Sheet2!DC149</f>
        <v>0</v>
      </c>
      <c r="DW150" s="14">
        <f>[1]Sheet2!DD149</f>
        <v>0</v>
      </c>
      <c r="DX150" s="14">
        <f>[1]Sheet2!DE149</f>
        <v>0</v>
      </c>
      <c r="DY150" s="14">
        <f>[1]Sheet2!DF149</f>
        <v>0</v>
      </c>
      <c r="DZ150" s="14">
        <f>[1]Sheet2!DG149</f>
        <v>0</v>
      </c>
      <c r="EA150" s="14">
        <f>[1]Sheet2!DH149</f>
        <v>0</v>
      </c>
      <c r="EB150" s="6">
        <f>[1]Sheet2!EC149</f>
        <v>0</v>
      </c>
      <c r="EC150" s="6">
        <f>[1]Sheet2!ED149</f>
        <v>0</v>
      </c>
      <c r="ED150" s="6">
        <f>[1]Sheet2!EE149</f>
        <v>0</v>
      </c>
      <c r="EE150" s="6">
        <f>[1]Sheet2!EF149</f>
        <v>0</v>
      </c>
      <c r="EF150" s="6">
        <f>[1]Sheet2!EG149</f>
        <v>0</v>
      </c>
      <c r="EG150" s="6">
        <f>[1]Sheet2!EH149</f>
        <v>0</v>
      </c>
      <c r="EH150" s="6">
        <f>[1]Sheet2!EI149</f>
        <v>0</v>
      </c>
      <c r="EI150" s="6">
        <f>[1]Sheet2!EJ149</f>
        <v>0</v>
      </c>
      <c r="EJ150" s="6">
        <f>[1]Sheet2!EK149</f>
        <v>0</v>
      </c>
      <c r="EK150" s="6">
        <f>[1]Sheet2!EL149</f>
        <v>0</v>
      </c>
      <c r="EL150" s="6" t="str">
        <f>[1]Sheet2!EM149</f>
        <v/>
      </c>
      <c r="EM150" s="6" t="str">
        <f>[1]Sheet2!EN149</f>
        <v/>
      </c>
      <c r="EN150" s="6" t="str">
        <f>[1]Sheet2!EO149</f>
        <v/>
      </c>
      <c r="EO150" s="6" t="str">
        <f>[1]Sheet2!EP149</f>
        <v/>
      </c>
      <c r="EP150" s="6" t="str">
        <f>[1]Sheet2!EQ149</f>
        <v/>
      </c>
      <c r="EQ150" s="6" t="str">
        <f>[1]Sheet2!ER149</f>
        <v/>
      </c>
      <c r="ER150" s="6" t="str">
        <f>[1]Sheet2!ES149</f>
        <v/>
      </c>
      <c r="ES150" s="6" t="str">
        <f>[1]Sheet2!ET149</f>
        <v/>
      </c>
      <c r="ET150" s="6" t="str">
        <f>[1]Sheet2!EU149</f>
        <v/>
      </c>
      <c r="EU150" s="6" t="str">
        <f>[1]Sheet2!EV149</f>
        <v/>
      </c>
      <c r="EV150" s="6" t="str">
        <f>[1]Sheet2!EW149</f>
        <v/>
      </c>
      <c r="EW150" s="6" t="str">
        <f>[1]Sheet2!EX149</f>
        <v/>
      </c>
      <c r="EX150" s="6" t="str">
        <f>[1]Sheet2!EY149</f>
        <v/>
      </c>
      <c r="EY150" s="6" t="str">
        <f>[1]Sheet2!EZ149</f>
        <v/>
      </c>
      <c r="EZ150" s="6" t="str">
        <f>[1]Sheet2!FA149</f>
        <v/>
      </c>
      <c r="FA150" s="6" t="str">
        <f>[1]Sheet2!FB149</f>
        <v/>
      </c>
      <c r="FB150" s="6" t="str">
        <f>[1]Sheet2!FC149</f>
        <v/>
      </c>
      <c r="FC150" s="6" t="str">
        <f>[1]Sheet2!FD149</f>
        <v/>
      </c>
      <c r="FD150" s="6" t="str">
        <f>[1]Sheet2!FE149</f>
        <v/>
      </c>
      <c r="FE150" s="6" t="str">
        <f>[1]Sheet2!FF149</f>
        <v/>
      </c>
      <c r="FF150" s="6" t="str">
        <f>[1]Sheet2!FG149</f>
        <v/>
      </c>
      <c r="FG150" s="6" t="str">
        <f>[1]Sheet2!FH149</f>
        <v/>
      </c>
      <c r="FH150" s="6" t="str">
        <f>[1]Sheet2!FI149</f>
        <v/>
      </c>
      <c r="FI150" s="6" t="str">
        <f>[1]Sheet2!FJ149</f>
        <v/>
      </c>
      <c r="FJ150" s="6" t="str">
        <f>[1]Sheet2!FK149</f>
        <v/>
      </c>
      <c r="FK150" s="6" t="str">
        <f>[1]Sheet2!FL149</f>
        <v/>
      </c>
      <c r="FL150" s="6" t="str">
        <f>[1]Sheet2!FM149</f>
        <v/>
      </c>
      <c r="FM150" s="6" t="str">
        <f>[1]Sheet2!FN149</f>
        <v/>
      </c>
      <c r="FN150" s="6" t="str">
        <f>[1]Sheet2!FO149</f>
        <v/>
      </c>
      <c r="FO150" s="6" t="str">
        <f>[1]Sheet2!FP149</f>
        <v/>
      </c>
    </row>
    <row r="151" spans="1:171" x14ac:dyDescent="0.25">
      <c r="A151" s="15">
        <v>43613</v>
      </c>
      <c r="B151" s="1"/>
      <c r="C151" s="1"/>
      <c r="D151" s="1"/>
      <c r="E151" s="14">
        <f>[1]Sheet2!N150</f>
        <v>0</v>
      </c>
      <c r="F151" s="14">
        <f>[1]Sheet2!BE150</f>
        <v>48000</v>
      </c>
      <c r="G151" s="14">
        <f>[1]Sheet2!CW150</f>
        <v>0</v>
      </c>
      <c r="H151" s="1"/>
      <c r="I151" s="1"/>
      <c r="J151" s="1"/>
      <c r="K151" s="16"/>
      <c r="L151" s="16">
        <f>Demand_CWRS!B$7/31</f>
        <v>129.8994219137717</v>
      </c>
      <c r="M151" s="16">
        <f>Demand_CWRS!C$7/31</f>
        <v>543.3829611248965</v>
      </c>
      <c r="N151" s="16">
        <f>Demand_CWRS!D$7/31</f>
        <v>0</v>
      </c>
      <c r="O151" s="16">
        <f>Demand_CWRS!E$7/31</f>
        <v>131.84491315136475</v>
      </c>
      <c r="P151" s="16">
        <f>Demand_CWRS!F$7/31</f>
        <v>232.12592522229113</v>
      </c>
      <c r="Q151" s="16">
        <f>Demand_CWRS!G$7/31</f>
        <v>129.8994219137717</v>
      </c>
      <c r="R151" s="16">
        <f>Demand_CWRS!H$7/31</f>
        <v>232.12592522229113</v>
      </c>
      <c r="S151" s="16">
        <f>Demand_CWRS!I$7/31</f>
        <v>232.12592522229113</v>
      </c>
      <c r="T151" s="16">
        <f>Demand_CWRS!J$7/31</f>
        <v>232.12592522229113</v>
      </c>
      <c r="U151" s="16">
        <f>Demand_CWRS!K$7/31</f>
        <v>232.12592522229113</v>
      </c>
      <c r="V151" s="16">
        <f t="shared" si="66"/>
        <v>-18225.017454347519</v>
      </c>
      <c r="W151" s="16">
        <f t="shared" si="67"/>
        <v>-64729.858808932833</v>
      </c>
      <c r="X151" s="16">
        <f t="shared" si="68"/>
        <v>0</v>
      </c>
      <c r="Y151" s="16">
        <f t="shared" si="69"/>
        <v>-8440.2930924186549</v>
      </c>
      <c r="Z151" s="16">
        <f t="shared" si="70"/>
        <v>-29009.907164896264</v>
      </c>
      <c r="AA151" s="16">
        <f t="shared" si="71"/>
        <v>-16899.244305309083</v>
      </c>
      <c r="AB151" s="16">
        <f t="shared" si="72"/>
        <v>-33490.950834768068</v>
      </c>
      <c r="AC151" s="16">
        <f t="shared" si="73"/>
        <v>-27697.940578357804</v>
      </c>
      <c r="AD151" s="16">
        <f t="shared" si="74"/>
        <v>-27797.940578357797</v>
      </c>
      <c r="AE151" s="16">
        <f t="shared" si="75"/>
        <v>-28397.9405783578</v>
      </c>
      <c r="AF151" s="14">
        <f>IF([1]Sheet2!AJ150=999999,"NA",[1]Sheet2!AJ150)</f>
        <v>0</v>
      </c>
      <c r="AG151" s="14">
        <f>IF([1]Sheet2!AK150=999999,"NA",[1]Sheet2!AK150)</f>
        <v>0</v>
      </c>
      <c r="AH151" s="14" t="str">
        <f>IF([1]Sheet2!AL150=999999,"NA",[1]Sheet2!AL150)</f>
        <v>NA</v>
      </c>
      <c r="AI151" s="14">
        <f>IF([1]Sheet2!AM150=999999,"NA",[1]Sheet2!AM150)</f>
        <v>0</v>
      </c>
      <c r="AJ151" s="14">
        <f>IF([1]Sheet2!AN150=999999,"NA",[1]Sheet2!AN150)</f>
        <v>0</v>
      </c>
      <c r="AK151" s="14">
        <f>IF([1]Sheet2!AO150=999999,"NA",[1]Sheet2!AO150)</f>
        <v>0</v>
      </c>
      <c r="AL151" s="14">
        <f>IF([1]Sheet2!AP150=999999,"NA",[1]Sheet2!AP150)</f>
        <v>0</v>
      </c>
      <c r="AM151" s="14">
        <f>IF([1]Sheet2!AQ150=999999,"NA",[1]Sheet2!AQ150)</f>
        <v>0</v>
      </c>
      <c r="AN151" s="14">
        <f>IF([1]Sheet2!AR150=999999,"NA",[1]Sheet2!AR150)</f>
        <v>0</v>
      </c>
      <c r="AO151" s="14">
        <f>IF([1]Sheet2!AS150=999999,"NA",[1]Sheet2!AS150)</f>
        <v>0</v>
      </c>
      <c r="AP151" s="14">
        <f>[1]Sheet2!P150</f>
        <v>0</v>
      </c>
      <c r="AQ151" s="14">
        <f>[1]Sheet2!Q150</f>
        <v>0</v>
      </c>
      <c r="AR151" s="14">
        <f>[1]Sheet2!R150</f>
        <v>0</v>
      </c>
      <c r="AS151" s="14">
        <f>[1]Sheet2!S150</f>
        <v>0</v>
      </c>
      <c r="AT151" s="14">
        <f>[1]Sheet2!T150</f>
        <v>0</v>
      </c>
      <c r="AU151" s="14">
        <f>[1]Sheet2!U150</f>
        <v>0</v>
      </c>
      <c r="AV151" s="14">
        <f>[1]Sheet2!V150</f>
        <v>0</v>
      </c>
      <c r="AW151" s="14">
        <f>[1]Sheet2!W150</f>
        <v>0</v>
      </c>
      <c r="AX151" s="14">
        <f>[1]Sheet2!X150</f>
        <v>0</v>
      </c>
      <c r="AY151" s="14">
        <f>[1]Sheet2!Y150</f>
        <v>0</v>
      </c>
      <c r="AZ151" s="16">
        <f>Demand_LP!B$7/31</f>
        <v>855.82964911600493</v>
      </c>
      <c r="BA151" s="16">
        <f>Demand_LP!C$7/31</f>
        <v>478.74276261373035</v>
      </c>
      <c r="BB151" s="16">
        <f>Demand_LP!D$7/31</f>
        <v>366.03598014888337</v>
      </c>
      <c r="BC151" s="16">
        <f>Demand_LP!E$7/31</f>
        <v>837.96277915632766</v>
      </c>
      <c r="BD151" s="16">
        <f>Demand_LP!F$7/31</f>
        <v>447.19049589019846</v>
      </c>
      <c r="BE151" s="16">
        <f>Demand_LP!G$7/31</f>
        <v>447.19049589019846</v>
      </c>
      <c r="BF151" s="16">
        <f>Demand_LP!H$7/31</f>
        <v>478.74276261373035</v>
      </c>
      <c r="BG151" s="16">
        <f>Demand_LP!I$7/31</f>
        <v>447.19049589019846</v>
      </c>
      <c r="BH151" s="16">
        <f>Demand_LP!J$7/31</f>
        <v>447.19049589019846</v>
      </c>
      <c r="BI151" s="16">
        <f>Demand_LP!K$7/31</f>
        <v>447.19049589019846</v>
      </c>
      <c r="BJ151" s="16">
        <f t="shared" si="76"/>
        <v>-99383.738626136561</v>
      </c>
      <c r="BK151" s="16">
        <f t="shared" si="77"/>
        <v>-83515.251199338323</v>
      </c>
      <c r="BL151" s="16">
        <f t="shared" si="78"/>
        <v>-35422.011290322647</v>
      </c>
      <c r="BM151" s="16">
        <f t="shared" si="79"/>
        <v>-104133.92831296904</v>
      </c>
      <c r="BN151" s="16">
        <f t="shared" si="80"/>
        <v>-60139.319017035727</v>
      </c>
      <c r="BO151" s="16">
        <f t="shared" si="81"/>
        <v>-58597.002935406439</v>
      </c>
      <c r="BP151" s="16">
        <f t="shared" si="82"/>
        <v>-77872.830686517831</v>
      </c>
      <c r="BQ151" s="16">
        <f t="shared" si="83"/>
        <v>-58597.002935406439</v>
      </c>
      <c r="BR151" s="16">
        <f t="shared" si="84"/>
        <v>-56197.002935406439</v>
      </c>
      <c r="BS151" s="16">
        <f t="shared" si="85"/>
        <v>-56897.002935406432</v>
      </c>
      <c r="BT151" s="14">
        <f>IF([1]Sheet2!CB150=999999,"NA",[1]Sheet2!CB150)</f>
        <v>0</v>
      </c>
      <c r="BU151" s="14">
        <f>IF([1]Sheet2!CC150=999999,"NA",[1]Sheet2!CC150)</f>
        <v>0</v>
      </c>
      <c r="BV151" s="14">
        <f>IF([1]Sheet2!CD150=999999,"NA",[1]Sheet2!CD150)</f>
        <v>0</v>
      </c>
      <c r="BW151" s="14">
        <f>IF([1]Sheet2!CE150=999999,"NA",[1]Sheet2!CE150)</f>
        <v>0</v>
      </c>
      <c r="BX151" s="14">
        <f>IF([1]Sheet2!CF150=999999,"NA",[1]Sheet2!CF150)</f>
        <v>0</v>
      </c>
      <c r="BY151" s="14">
        <f>IF([1]Sheet2!CG150=999999,"NA",[1]Sheet2!CG150)</f>
        <v>0</v>
      </c>
      <c r="BZ151" s="14">
        <f>IF([1]Sheet2!CH150=999999,"NA",[1]Sheet2!CH150)</f>
        <v>0</v>
      </c>
      <c r="CA151" s="14">
        <f>IF([1]Sheet2!CI150=999999,"NA",[1]Sheet2!CI150)</f>
        <v>0</v>
      </c>
      <c r="CB151" s="14">
        <f>IF([1]Sheet2!CJ150=999999,"NA",[1]Sheet2!CJ150)</f>
        <v>0</v>
      </c>
      <c r="CC151" s="14">
        <f>IF([1]Sheet2!CK150=999999,"NA",[1]Sheet2!CK150)</f>
        <v>0</v>
      </c>
      <c r="CD151" s="14">
        <f>[1]Sheet2!BH150</f>
        <v>0</v>
      </c>
      <c r="CE151" s="14">
        <f>[1]Sheet2!BI150</f>
        <v>0</v>
      </c>
      <c r="CF151" s="14">
        <f>[1]Sheet2!BJ150</f>
        <v>0</v>
      </c>
      <c r="CG151" s="14">
        <f>[1]Sheet2!BK150</f>
        <v>0</v>
      </c>
      <c r="CH151" s="14">
        <f>[1]Sheet2!BL150</f>
        <v>0</v>
      </c>
      <c r="CI151" s="14">
        <f>[1]Sheet2!BM150</f>
        <v>0</v>
      </c>
      <c r="CJ151" s="14">
        <f>[1]Sheet2!BN150</f>
        <v>0</v>
      </c>
      <c r="CK151" s="14">
        <f>[1]Sheet2!BO150</f>
        <v>0</v>
      </c>
      <c r="CL151" s="14">
        <f>[1]Sheet2!BP150</f>
        <v>0</v>
      </c>
      <c r="CM151" s="14">
        <f>[1]Sheet2!BQ150</f>
        <v>0</v>
      </c>
      <c r="CN151" s="16">
        <f>Demand_SW!B$7/31</f>
        <v>122.8287841191067</v>
      </c>
      <c r="CO151" s="16">
        <f>Demand_SW!C$7/31</f>
        <v>0</v>
      </c>
      <c r="CP151" s="16">
        <f>Demand_SW!D$7/31</f>
        <v>0</v>
      </c>
      <c r="CQ151" s="16">
        <f>Demand_SW!E$7/31</f>
        <v>0</v>
      </c>
      <c r="CR151" s="16">
        <f>Demand_SW!F$7/31</f>
        <v>0</v>
      </c>
      <c r="CS151" s="16">
        <f>Demand_SW!G$7/31</f>
        <v>122.8287841191067</v>
      </c>
      <c r="CT151" s="16">
        <f>Demand_SW!H$7/31</f>
        <v>0</v>
      </c>
      <c r="CU151" s="16">
        <f>Demand_SW!I$7/31</f>
        <v>0</v>
      </c>
      <c r="CV151" s="16">
        <f>Demand_SW!J$7/31</f>
        <v>0</v>
      </c>
      <c r="CW151" s="16">
        <f>Demand_SW!K$7/31</f>
        <v>0</v>
      </c>
      <c r="CX151" s="16">
        <f t="shared" si="86"/>
        <v>-14902.282878411919</v>
      </c>
      <c r="CY151" s="16">
        <f t="shared" si="87"/>
        <v>76.923076923077133</v>
      </c>
      <c r="CZ151" s="16">
        <f t="shared" si="88"/>
        <v>0</v>
      </c>
      <c r="DA151" s="16">
        <f t="shared" si="89"/>
        <v>0</v>
      </c>
      <c r="DB151" s="16">
        <f t="shared" si="90"/>
        <v>0</v>
      </c>
      <c r="DC151" s="16">
        <f t="shared" si="91"/>
        <v>-14431.513647642687</v>
      </c>
      <c r="DD151" s="16">
        <f t="shared" si="92"/>
        <v>76.923076923077133</v>
      </c>
      <c r="DE151" s="16">
        <f t="shared" si="93"/>
        <v>0</v>
      </c>
      <c r="DF151" s="16">
        <f t="shared" si="94"/>
        <v>0</v>
      </c>
      <c r="DG151" s="16">
        <f t="shared" si="95"/>
        <v>0</v>
      </c>
      <c r="DH151" s="14">
        <f>IF([1]Sheet2!DS150=999999,"NA",[1]Sheet2!DS150)</f>
        <v>0</v>
      </c>
      <c r="DI151" s="14">
        <f>IF([1]Sheet2!DT150=999999,"NA",[1]Sheet2!DT150)</f>
        <v>217</v>
      </c>
      <c r="DJ151" s="14" t="str">
        <f>IF([1]Sheet2!DU150=999999,"NA",[1]Sheet2!DU150)</f>
        <v>NA</v>
      </c>
      <c r="DK151" s="14" t="str">
        <f>IF([1]Sheet2!DV150=999999,"NA",[1]Sheet2!DV150)</f>
        <v>NA</v>
      </c>
      <c r="DL151" s="14" t="str">
        <f>IF([1]Sheet2!DW150=999999,"NA",[1]Sheet2!DW150)</f>
        <v>NA</v>
      </c>
      <c r="DM151" s="14">
        <f>IF([1]Sheet2!DX150=999999,"NA",[1]Sheet2!DX150)</f>
        <v>0</v>
      </c>
      <c r="DN151" s="14">
        <f>IF([1]Sheet2!DY150=999999,"NA",[1]Sheet2!DY150)</f>
        <v>217</v>
      </c>
      <c r="DO151" s="14" t="str">
        <f>IF([1]Sheet2!DZ150=999999,"NA",[1]Sheet2!DZ150)</f>
        <v>NA</v>
      </c>
      <c r="DP151" s="14" t="str">
        <f>IF([1]Sheet2!EA150=999999,"NA",[1]Sheet2!EA150)</f>
        <v>NA</v>
      </c>
      <c r="DQ151" s="14" t="str">
        <f>IF([1]Sheet2!EB150=999999,"NA",[1]Sheet2!EB150)</f>
        <v>NA</v>
      </c>
      <c r="DR151" s="14">
        <f>[1]Sheet2!CY150</f>
        <v>0</v>
      </c>
      <c r="DS151" s="14">
        <f>[1]Sheet2!CZ150</f>
        <v>0</v>
      </c>
      <c r="DT151" s="14">
        <f>[1]Sheet2!DA150</f>
        <v>0</v>
      </c>
      <c r="DU151" s="14">
        <f>[1]Sheet2!DB150</f>
        <v>0</v>
      </c>
      <c r="DV151" s="14">
        <f>[1]Sheet2!DC150</f>
        <v>0</v>
      </c>
      <c r="DW151" s="14">
        <f>[1]Sheet2!DD150</f>
        <v>0</v>
      </c>
      <c r="DX151" s="14">
        <f>[1]Sheet2!DE150</f>
        <v>0</v>
      </c>
      <c r="DY151" s="14">
        <f>[1]Sheet2!DF150</f>
        <v>0</v>
      </c>
      <c r="DZ151" s="14">
        <f>[1]Sheet2!DG150</f>
        <v>0</v>
      </c>
      <c r="EA151" s="14">
        <f>[1]Sheet2!DH150</f>
        <v>0</v>
      </c>
      <c r="EB151" s="6">
        <f>[1]Sheet2!EC150</f>
        <v>0</v>
      </c>
      <c r="EC151" s="6">
        <f>[1]Sheet2!ED150</f>
        <v>0</v>
      </c>
      <c r="ED151" s="6">
        <f>[1]Sheet2!EE150</f>
        <v>0</v>
      </c>
      <c r="EE151" s="6">
        <f>[1]Sheet2!EF150</f>
        <v>0</v>
      </c>
      <c r="EF151" s="6">
        <f>[1]Sheet2!EG150</f>
        <v>0</v>
      </c>
      <c r="EG151" s="6">
        <f>[1]Sheet2!EH150</f>
        <v>0</v>
      </c>
      <c r="EH151" s="6">
        <f>[1]Sheet2!EI150</f>
        <v>0</v>
      </c>
      <c r="EI151" s="6">
        <f>[1]Sheet2!EJ150</f>
        <v>0</v>
      </c>
      <c r="EJ151" s="6">
        <f>[1]Sheet2!EK150</f>
        <v>0</v>
      </c>
      <c r="EK151" s="6">
        <f>[1]Sheet2!EL150</f>
        <v>0</v>
      </c>
      <c r="EL151" s="6" t="str">
        <f>[1]Sheet2!EM150</f>
        <v/>
      </c>
      <c r="EM151" s="6" t="str">
        <f>[1]Sheet2!EN150</f>
        <v/>
      </c>
      <c r="EN151" s="6" t="str">
        <f>[1]Sheet2!EO150</f>
        <v/>
      </c>
      <c r="EO151" s="6" t="str">
        <f>[1]Sheet2!EP150</f>
        <v/>
      </c>
      <c r="EP151" s="6" t="str">
        <f>[1]Sheet2!EQ150</f>
        <v/>
      </c>
      <c r="EQ151" s="6" t="str">
        <f>[1]Sheet2!ER150</f>
        <v/>
      </c>
      <c r="ER151" s="6" t="str">
        <f>[1]Sheet2!ES150</f>
        <v/>
      </c>
      <c r="ES151" s="6" t="str">
        <f>[1]Sheet2!ET150</f>
        <v/>
      </c>
      <c r="ET151" s="6" t="str">
        <f>[1]Sheet2!EU150</f>
        <v/>
      </c>
      <c r="EU151" s="6" t="str">
        <f>[1]Sheet2!EV150</f>
        <v/>
      </c>
      <c r="EV151" s="6" t="str">
        <f>[1]Sheet2!EW150</f>
        <v/>
      </c>
      <c r="EW151" s="6" t="str">
        <f>[1]Sheet2!EX150</f>
        <v/>
      </c>
      <c r="EX151" s="6" t="str">
        <f>[1]Sheet2!EY150</f>
        <v/>
      </c>
      <c r="EY151" s="6" t="str">
        <f>[1]Sheet2!EZ150</f>
        <v/>
      </c>
      <c r="EZ151" s="6" t="str">
        <f>[1]Sheet2!FA150</f>
        <v/>
      </c>
      <c r="FA151" s="6" t="str">
        <f>[1]Sheet2!FB150</f>
        <v/>
      </c>
      <c r="FB151" s="6" t="str">
        <f>[1]Sheet2!FC150</f>
        <v/>
      </c>
      <c r="FC151" s="6" t="str">
        <f>[1]Sheet2!FD150</f>
        <v/>
      </c>
      <c r="FD151" s="6" t="str">
        <f>[1]Sheet2!FE150</f>
        <v/>
      </c>
      <c r="FE151" s="6" t="str">
        <f>[1]Sheet2!FF150</f>
        <v/>
      </c>
      <c r="FF151" s="6" t="str">
        <f>[1]Sheet2!FG150</f>
        <v/>
      </c>
      <c r="FG151" s="6" t="str">
        <f>[1]Sheet2!FH150</f>
        <v/>
      </c>
      <c r="FH151" s="6" t="str">
        <f>[1]Sheet2!FI150</f>
        <v/>
      </c>
      <c r="FI151" s="6" t="str">
        <f>[1]Sheet2!FJ150</f>
        <v/>
      </c>
      <c r="FJ151" s="6" t="str">
        <f>[1]Sheet2!FK150</f>
        <v/>
      </c>
      <c r="FK151" s="6" t="str">
        <f>[1]Sheet2!FL150</f>
        <v/>
      </c>
      <c r="FL151" s="6" t="str">
        <f>[1]Sheet2!FM150</f>
        <v/>
      </c>
      <c r="FM151" s="6" t="str">
        <f>[1]Sheet2!FN150</f>
        <v/>
      </c>
      <c r="FN151" s="6" t="str">
        <f>[1]Sheet2!FO150</f>
        <v/>
      </c>
      <c r="FO151" s="6" t="str">
        <f>[1]Sheet2!FP150</f>
        <v/>
      </c>
    </row>
    <row r="152" spans="1:171" x14ac:dyDescent="0.25">
      <c r="A152" s="15">
        <v>43614</v>
      </c>
      <c r="B152" s="1"/>
      <c r="C152" s="1"/>
      <c r="D152" s="1"/>
      <c r="E152" s="14">
        <f>[1]Sheet2!N151</f>
        <v>0</v>
      </c>
      <c r="F152" s="14">
        <f>[1]Sheet2!BE151</f>
        <v>0</v>
      </c>
      <c r="G152" s="14">
        <f>[1]Sheet2!CW151</f>
        <v>0</v>
      </c>
      <c r="H152" s="1"/>
      <c r="I152" s="1"/>
      <c r="J152" s="1"/>
      <c r="K152" s="16"/>
      <c r="L152" s="16">
        <f>Demand_CWRS!B$7/31</f>
        <v>129.8994219137717</v>
      </c>
      <c r="M152" s="16">
        <f>Demand_CWRS!C$7/31</f>
        <v>543.3829611248965</v>
      </c>
      <c r="N152" s="16">
        <f>Demand_CWRS!D$7/31</f>
        <v>0</v>
      </c>
      <c r="O152" s="16">
        <f>Demand_CWRS!E$7/31</f>
        <v>131.84491315136475</v>
      </c>
      <c r="P152" s="16">
        <f>Demand_CWRS!F$7/31</f>
        <v>232.12592522229113</v>
      </c>
      <c r="Q152" s="16">
        <f>Demand_CWRS!G$7/31</f>
        <v>129.8994219137717</v>
      </c>
      <c r="R152" s="16">
        <f>Demand_CWRS!H$7/31</f>
        <v>232.12592522229113</v>
      </c>
      <c r="S152" s="16">
        <f>Demand_CWRS!I$7/31</f>
        <v>232.12592522229113</v>
      </c>
      <c r="T152" s="16">
        <f>Demand_CWRS!J$7/31</f>
        <v>232.12592522229113</v>
      </c>
      <c r="U152" s="16">
        <f>Demand_CWRS!K$7/31</f>
        <v>232.12592522229113</v>
      </c>
      <c r="V152" s="16">
        <f t="shared" si="66"/>
        <v>-18354.91687626129</v>
      </c>
      <c r="W152" s="16">
        <f t="shared" si="67"/>
        <v>-65273.241770057728</v>
      </c>
      <c r="X152" s="16">
        <f t="shared" si="68"/>
        <v>0</v>
      </c>
      <c r="Y152" s="16">
        <f t="shared" si="69"/>
        <v>-8572.1380055700192</v>
      </c>
      <c r="Z152" s="16">
        <f t="shared" si="70"/>
        <v>-29242.033090118555</v>
      </c>
      <c r="AA152" s="16">
        <f t="shared" si="71"/>
        <v>-17029.143727222854</v>
      </c>
      <c r="AB152" s="16">
        <f t="shared" si="72"/>
        <v>-33723.076759990356</v>
      </c>
      <c r="AC152" s="16">
        <f t="shared" si="73"/>
        <v>-27930.066503580096</v>
      </c>
      <c r="AD152" s="16">
        <f t="shared" si="74"/>
        <v>-28030.066503580088</v>
      </c>
      <c r="AE152" s="16">
        <f t="shared" si="75"/>
        <v>-28630.066503580092</v>
      </c>
      <c r="AF152" s="14">
        <f>IF([1]Sheet2!AJ151=999999,"NA",[1]Sheet2!AJ151)</f>
        <v>0</v>
      </c>
      <c r="AG152" s="14">
        <f>IF([1]Sheet2!AK151=999999,"NA",[1]Sheet2!AK151)</f>
        <v>0</v>
      </c>
      <c r="AH152" s="14" t="str">
        <f>IF([1]Sheet2!AL151=999999,"NA",[1]Sheet2!AL151)</f>
        <v>NA</v>
      </c>
      <c r="AI152" s="14">
        <f>IF([1]Sheet2!AM151=999999,"NA",[1]Sheet2!AM151)</f>
        <v>0</v>
      </c>
      <c r="AJ152" s="14">
        <f>IF([1]Sheet2!AN151=999999,"NA",[1]Sheet2!AN151)</f>
        <v>0</v>
      </c>
      <c r="AK152" s="14">
        <f>IF([1]Sheet2!AO151=999999,"NA",[1]Sheet2!AO151)</f>
        <v>0</v>
      </c>
      <c r="AL152" s="14">
        <f>IF([1]Sheet2!AP151=999999,"NA",[1]Sheet2!AP151)</f>
        <v>0</v>
      </c>
      <c r="AM152" s="14">
        <f>IF([1]Sheet2!AQ151=999999,"NA",[1]Sheet2!AQ151)</f>
        <v>0</v>
      </c>
      <c r="AN152" s="14">
        <f>IF([1]Sheet2!AR151=999999,"NA",[1]Sheet2!AR151)</f>
        <v>0</v>
      </c>
      <c r="AO152" s="14">
        <f>IF([1]Sheet2!AS151=999999,"NA",[1]Sheet2!AS151)</f>
        <v>0</v>
      </c>
      <c r="AP152" s="14">
        <f>[1]Sheet2!P151</f>
        <v>0</v>
      </c>
      <c r="AQ152" s="14">
        <f>[1]Sheet2!Q151</f>
        <v>0</v>
      </c>
      <c r="AR152" s="14">
        <f>[1]Sheet2!R151</f>
        <v>0</v>
      </c>
      <c r="AS152" s="14">
        <f>[1]Sheet2!S151</f>
        <v>0</v>
      </c>
      <c r="AT152" s="14">
        <f>[1]Sheet2!T151</f>
        <v>0</v>
      </c>
      <c r="AU152" s="14">
        <f>[1]Sheet2!U151</f>
        <v>0</v>
      </c>
      <c r="AV152" s="14">
        <f>[1]Sheet2!V151</f>
        <v>0</v>
      </c>
      <c r="AW152" s="14">
        <f>[1]Sheet2!W151</f>
        <v>0</v>
      </c>
      <c r="AX152" s="14">
        <f>[1]Sheet2!X151</f>
        <v>0</v>
      </c>
      <c r="AY152" s="14">
        <f>[1]Sheet2!Y151</f>
        <v>0</v>
      </c>
      <c r="AZ152" s="16">
        <f>Demand_LP!B$7/31</f>
        <v>855.82964911600493</v>
      </c>
      <c r="BA152" s="16">
        <f>Demand_LP!C$7/31</f>
        <v>478.74276261373035</v>
      </c>
      <c r="BB152" s="16">
        <f>Demand_LP!D$7/31</f>
        <v>366.03598014888337</v>
      </c>
      <c r="BC152" s="16">
        <f>Demand_LP!E$7/31</f>
        <v>837.96277915632766</v>
      </c>
      <c r="BD152" s="16">
        <f>Demand_LP!F$7/31</f>
        <v>447.19049589019846</v>
      </c>
      <c r="BE152" s="16">
        <f>Demand_LP!G$7/31</f>
        <v>447.19049589019846</v>
      </c>
      <c r="BF152" s="16">
        <f>Demand_LP!H$7/31</f>
        <v>478.74276261373035</v>
      </c>
      <c r="BG152" s="16">
        <f>Demand_LP!I$7/31</f>
        <v>447.19049589019846</v>
      </c>
      <c r="BH152" s="16">
        <f>Demand_LP!J$7/31</f>
        <v>447.19049589019846</v>
      </c>
      <c r="BI152" s="16">
        <f>Demand_LP!K$7/31</f>
        <v>447.19049589019846</v>
      </c>
      <c r="BJ152" s="16">
        <f t="shared" si="76"/>
        <v>-100239.56827525256</v>
      </c>
      <c r="BK152" s="16">
        <f t="shared" si="77"/>
        <v>-83993.993961952059</v>
      </c>
      <c r="BL152" s="16">
        <f t="shared" si="78"/>
        <v>-35788.047270471528</v>
      </c>
      <c r="BM152" s="16">
        <f t="shared" si="79"/>
        <v>-104971.89109212537</v>
      </c>
      <c r="BN152" s="16">
        <f t="shared" si="80"/>
        <v>-60586.509512925928</v>
      </c>
      <c r="BO152" s="16">
        <f t="shared" si="81"/>
        <v>-59044.19343129664</v>
      </c>
      <c r="BP152" s="16">
        <f t="shared" si="82"/>
        <v>-78351.573449131567</v>
      </c>
      <c r="BQ152" s="16">
        <f t="shared" si="83"/>
        <v>-59044.19343129664</v>
      </c>
      <c r="BR152" s="16">
        <f t="shared" si="84"/>
        <v>-56644.19343129664</v>
      </c>
      <c r="BS152" s="16">
        <f t="shared" si="85"/>
        <v>-57344.193431296633</v>
      </c>
      <c r="BT152" s="14">
        <f>IF([1]Sheet2!CB151=999999,"NA",[1]Sheet2!CB151)</f>
        <v>0</v>
      </c>
      <c r="BU152" s="14">
        <f>IF([1]Sheet2!CC151=999999,"NA",[1]Sheet2!CC151)</f>
        <v>0</v>
      </c>
      <c r="BV152" s="14">
        <f>IF([1]Sheet2!CD151=999999,"NA",[1]Sheet2!CD151)</f>
        <v>0</v>
      </c>
      <c r="BW152" s="14">
        <f>IF([1]Sheet2!CE151=999999,"NA",[1]Sheet2!CE151)</f>
        <v>0</v>
      </c>
      <c r="BX152" s="14">
        <f>IF([1]Sheet2!CF151=999999,"NA",[1]Sheet2!CF151)</f>
        <v>0</v>
      </c>
      <c r="BY152" s="14">
        <f>IF([1]Sheet2!CG151=999999,"NA",[1]Sheet2!CG151)</f>
        <v>0</v>
      </c>
      <c r="BZ152" s="14">
        <f>IF([1]Sheet2!CH151=999999,"NA",[1]Sheet2!CH151)</f>
        <v>0</v>
      </c>
      <c r="CA152" s="14">
        <f>IF([1]Sheet2!CI151=999999,"NA",[1]Sheet2!CI151)</f>
        <v>0</v>
      </c>
      <c r="CB152" s="14">
        <f>IF([1]Sheet2!CJ151=999999,"NA",[1]Sheet2!CJ151)</f>
        <v>0</v>
      </c>
      <c r="CC152" s="14">
        <f>IF([1]Sheet2!CK151=999999,"NA",[1]Sheet2!CK151)</f>
        <v>0</v>
      </c>
      <c r="CD152" s="14">
        <f>[1]Sheet2!BH151</f>
        <v>0</v>
      </c>
      <c r="CE152" s="14">
        <f>[1]Sheet2!BI151</f>
        <v>0</v>
      </c>
      <c r="CF152" s="14">
        <f>[1]Sheet2!BJ151</f>
        <v>0</v>
      </c>
      <c r="CG152" s="14">
        <f>[1]Sheet2!BK151</f>
        <v>0</v>
      </c>
      <c r="CH152" s="14">
        <f>[1]Sheet2!BL151</f>
        <v>0</v>
      </c>
      <c r="CI152" s="14">
        <f>[1]Sheet2!BM151</f>
        <v>0</v>
      </c>
      <c r="CJ152" s="14">
        <f>[1]Sheet2!BN151</f>
        <v>0</v>
      </c>
      <c r="CK152" s="14">
        <f>[1]Sheet2!BO151</f>
        <v>0</v>
      </c>
      <c r="CL152" s="14">
        <f>[1]Sheet2!BP151</f>
        <v>0</v>
      </c>
      <c r="CM152" s="14">
        <f>[1]Sheet2!BQ151</f>
        <v>0</v>
      </c>
      <c r="CN152" s="16">
        <f>Demand_SW!B$7/31</f>
        <v>122.8287841191067</v>
      </c>
      <c r="CO152" s="16">
        <f>Demand_SW!C$7/31</f>
        <v>0</v>
      </c>
      <c r="CP152" s="16">
        <f>Demand_SW!D$7/31</f>
        <v>0</v>
      </c>
      <c r="CQ152" s="16">
        <f>Demand_SW!E$7/31</f>
        <v>0</v>
      </c>
      <c r="CR152" s="16">
        <f>Demand_SW!F$7/31</f>
        <v>0</v>
      </c>
      <c r="CS152" s="16">
        <f>Demand_SW!G$7/31</f>
        <v>122.8287841191067</v>
      </c>
      <c r="CT152" s="16">
        <f>Demand_SW!H$7/31</f>
        <v>0</v>
      </c>
      <c r="CU152" s="16">
        <f>Demand_SW!I$7/31</f>
        <v>0</v>
      </c>
      <c r="CV152" s="16">
        <f>Demand_SW!J$7/31</f>
        <v>0</v>
      </c>
      <c r="CW152" s="16">
        <f>Demand_SW!K$7/31</f>
        <v>0</v>
      </c>
      <c r="CX152" s="16">
        <f t="shared" si="86"/>
        <v>-15025.111662531026</v>
      </c>
      <c r="CY152" s="16">
        <f t="shared" si="87"/>
        <v>76.923076923077133</v>
      </c>
      <c r="CZ152" s="16">
        <f t="shared" si="88"/>
        <v>0</v>
      </c>
      <c r="DA152" s="16">
        <f t="shared" si="89"/>
        <v>0</v>
      </c>
      <c r="DB152" s="16">
        <f t="shared" si="90"/>
        <v>0</v>
      </c>
      <c r="DC152" s="16">
        <f t="shared" si="91"/>
        <v>-14554.342431761794</v>
      </c>
      <c r="DD152" s="16">
        <f t="shared" si="92"/>
        <v>76.923076923077133</v>
      </c>
      <c r="DE152" s="16">
        <f t="shared" si="93"/>
        <v>0</v>
      </c>
      <c r="DF152" s="16">
        <f t="shared" si="94"/>
        <v>0</v>
      </c>
      <c r="DG152" s="16">
        <f t="shared" si="95"/>
        <v>0</v>
      </c>
      <c r="DH152" s="14">
        <f>IF([1]Sheet2!DS151=999999,"NA",[1]Sheet2!DS151)</f>
        <v>0</v>
      </c>
      <c r="DI152" s="14">
        <f>IF([1]Sheet2!DT151=999999,"NA",[1]Sheet2!DT151)</f>
        <v>216</v>
      </c>
      <c r="DJ152" s="14" t="str">
        <f>IF([1]Sheet2!DU151=999999,"NA",[1]Sheet2!DU151)</f>
        <v>NA</v>
      </c>
      <c r="DK152" s="14" t="str">
        <f>IF([1]Sheet2!DV151=999999,"NA",[1]Sheet2!DV151)</f>
        <v>NA</v>
      </c>
      <c r="DL152" s="14" t="str">
        <f>IF([1]Sheet2!DW151=999999,"NA",[1]Sheet2!DW151)</f>
        <v>NA</v>
      </c>
      <c r="DM152" s="14">
        <f>IF([1]Sheet2!DX151=999999,"NA",[1]Sheet2!DX151)</f>
        <v>0</v>
      </c>
      <c r="DN152" s="14">
        <f>IF([1]Sheet2!DY151=999999,"NA",[1]Sheet2!DY151)</f>
        <v>216</v>
      </c>
      <c r="DO152" s="14" t="str">
        <f>IF([1]Sheet2!DZ151=999999,"NA",[1]Sheet2!DZ151)</f>
        <v>NA</v>
      </c>
      <c r="DP152" s="14" t="str">
        <f>IF([1]Sheet2!EA151=999999,"NA",[1]Sheet2!EA151)</f>
        <v>NA</v>
      </c>
      <c r="DQ152" s="14" t="str">
        <f>IF([1]Sheet2!EB151=999999,"NA",[1]Sheet2!EB151)</f>
        <v>NA</v>
      </c>
      <c r="DR152" s="14">
        <f>[1]Sheet2!CY151</f>
        <v>0</v>
      </c>
      <c r="DS152" s="14">
        <f>[1]Sheet2!CZ151</f>
        <v>0</v>
      </c>
      <c r="DT152" s="14">
        <f>[1]Sheet2!DA151</f>
        <v>0</v>
      </c>
      <c r="DU152" s="14">
        <f>[1]Sheet2!DB151</f>
        <v>0</v>
      </c>
      <c r="DV152" s="14">
        <f>[1]Sheet2!DC151</f>
        <v>0</v>
      </c>
      <c r="DW152" s="14">
        <f>[1]Sheet2!DD151</f>
        <v>0</v>
      </c>
      <c r="DX152" s="14">
        <f>[1]Sheet2!DE151</f>
        <v>0</v>
      </c>
      <c r="DY152" s="14">
        <f>[1]Sheet2!DF151</f>
        <v>0</v>
      </c>
      <c r="DZ152" s="14">
        <f>[1]Sheet2!DG151</f>
        <v>0</v>
      </c>
      <c r="EA152" s="14">
        <f>[1]Sheet2!DH151</f>
        <v>0</v>
      </c>
      <c r="EB152" s="6">
        <f>[1]Sheet2!EC151</f>
        <v>0</v>
      </c>
      <c r="EC152" s="6">
        <f>[1]Sheet2!ED151</f>
        <v>0</v>
      </c>
      <c r="ED152" s="6">
        <f>[1]Sheet2!EE151</f>
        <v>0</v>
      </c>
      <c r="EE152" s="6">
        <f>[1]Sheet2!EF151</f>
        <v>0</v>
      </c>
      <c r="EF152" s="6">
        <f>[1]Sheet2!EG151</f>
        <v>0</v>
      </c>
      <c r="EG152" s="6">
        <f>[1]Sheet2!EH151</f>
        <v>0</v>
      </c>
      <c r="EH152" s="6">
        <f>[1]Sheet2!EI151</f>
        <v>0</v>
      </c>
      <c r="EI152" s="6">
        <f>[1]Sheet2!EJ151</f>
        <v>0</v>
      </c>
      <c r="EJ152" s="6">
        <f>[1]Sheet2!EK151</f>
        <v>0</v>
      </c>
      <c r="EK152" s="6">
        <f>[1]Sheet2!EL151</f>
        <v>0</v>
      </c>
      <c r="EL152" s="6" t="str">
        <f>[1]Sheet2!EM151</f>
        <v/>
      </c>
      <c r="EM152" s="6" t="str">
        <f>[1]Sheet2!EN151</f>
        <v/>
      </c>
      <c r="EN152" s="6" t="str">
        <f>[1]Sheet2!EO151</f>
        <v/>
      </c>
      <c r="EO152" s="6" t="str">
        <f>[1]Sheet2!EP151</f>
        <v/>
      </c>
      <c r="EP152" s="6" t="str">
        <f>[1]Sheet2!EQ151</f>
        <v/>
      </c>
      <c r="EQ152" s="6" t="str">
        <f>[1]Sheet2!ER151</f>
        <v/>
      </c>
      <c r="ER152" s="6" t="str">
        <f>[1]Sheet2!ES151</f>
        <v/>
      </c>
      <c r="ES152" s="6" t="str">
        <f>[1]Sheet2!ET151</f>
        <v/>
      </c>
      <c r="ET152" s="6" t="str">
        <f>[1]Sheet2!EU151</f>
        <v/>
      </c>
      <c r="EU152" s="6" t="str">
        <f>[1]Sheet2!EV151</f>
        <v/>
      </c>
      <c r="EV152" s="6" t="str">
        <f>[1]Sheet2!EW151</f>
        <v/>
      </c>
      <c r="EW152" s="6" t="str">
        <f>[1]Sheet2!EX151</f>
        <v/>
      </c>
      <c r="EX152" s="6" t="str">
        <f>[1]Sheet2!EY151</f>
        <v/>
      </c>
      <c r="EY152" s="6" t="str">
        <f>[1]Sheet2!EZ151</f>
        <v/>
      </c>
      <c r="EZ152" s="6" t="str">
        <f>[1]Sheet2!FA151</f>
        <v/>
      </c>
      <c r="FA152" s="6" t="str">
        <f>[1]Sheet2!FB151</f>
        <v/>
      </c>
      <c r="FB152" s="6" t="str">
        <f>[1]Sheet2!FC151</f>
        <v/>
      </c>
      <c r="FC152" s="6" t="str">
        <f>[1]Sheet2!FD151</f>
        <v/>
      </c>
      <c r="FD152" s="6" t="str">
        <f>[1]Sheet2!FE151</f>
        <v/>
      </c>
      <c r="FE152" s="6" t="str">
        <f>[1]Sheet2!FF151</f>
        <v/>
      </c>
      <c r="FF152" s="6" t="str">
        <f>[1]Sheet2!FG151</f>
        <v/>
      </c>
      <c r="FG152" s="6" t="str">
        <f>[1]Sheet2!FH151</f>
        <v/>
      </c>
      <c r="FH152" s="6" t="str">
        <f>[1]Sheet2!FI151</f>
        <v/>
      </c>
      <c r="FI152" s="6" t="str">
        <f>[1]Sheet2!FJ151</f>
        <v/>
      </c>
      <c r="FJ152" s="6" t="str">
        <f>[1]Sheet2!FK151</f>
        <v/>
      </c>
      <c r="FK152" s="6" t="str">
        <f>[1]Sheet2!FL151</f>
        <v/>
      </c>
      <c r="FL152" s="6" t="str">
        <f>[1]Sheet2!FM151</f>
        <v/>
      </c>
      <c r="FM152" s="6" t="str">
        <f>[1]Sheet2!FN151</f>
        <v/>
      </c>
      <c r="FN152" s="6" t="str">
        <f>[1]Sheet2!FO151</f>
        <v/>
      </c>
      <c r="FO152" s="6" t="str">
        <f>[1]Sheet2!FP151</f>
        <v/>
      </c>
    </row>
    <row r="153" spans="1:171" x14ac:dyDescent="0.25">
      <c r="A153" s="15">
        <v>43615</v>
      </c>
      <c r="B153" s="1"/>
      <c r="C153" s="1"/>
      <c r="D153" s="1"/>
      <c r="E153" s="14">
        <f>[1]Sheet2!N152</f>
        <v>0</v>
      </c>
      <c r="F153" s="14">
        <f>[1]Sheet2!BE152</f>
        <v>0</v>
      </c>
      <c r="G153" s="14">
        <f>[1]Sheet2!CW152</f>
        <v>0</v>
      </c>
      <c r="H153" s="1"/>
      <c r="I153" s="1"/>
      <c r="J153" s="1"/>
      <c r="K153" s="16"/>
      <c r="L153" s="16">
        <f>Demand_CWRS!B$7/31</f>
        <v>129.8994219137717</v>
      </c>
      <c r="M153" s="16">
        <f>Demand_CWRS!C$7/31</f>
        <v>543.3829611248965</v>
      </c>
      <c r="N153" s="16">
        <f>Demand_CWRS!D$7/31</f>
        <v>0</v>
      </c>
      <c r="O153" s="16">
        <f>Demand_CWRS!E$7/31</f>
        <v>131.84491315136475</v>
      </c>
      <c r="P153" s="16">
        <f>Demand_CWRS!F$7/31</f>
        <v>232.12592522229113</v>
      </c>
      <c r="Q153" s="16">
        <f>Demand_CWRS!G$7/31</f>
        <v>129.8994219137717</v>
      </c>
      <c r="R153" s="16">
        <f>Demand_CWRS!H$7/31</f>
        <v>232.12592522229113</v>
      </c>
      <c r="S153" s="16">
        <f>Demand_CWRS!I$7/31</f>
        <v>232.12592522229113</v>
      </c>
      <c r="T153" s="16">
        <f>Demand_CWRS!J$7/31</f>
        <v>232.12592522229113</v>
      </c>
      <c r="U153" s="16">
        <f>Demand_CWRS!K$7/31</f>
        <v>232.12592522229113</v>
      </c>
      <c r="V153" s="16">
        <f t="shared" si="66"/>
        <v>-18484.816298175061</v>
      </c>
      <c r="W153" s="16">
        <f t="shared" si="67"/>
        <v>-65816.62473118263</v>
      </c>
      <c r="X153" s="16">
        <f t="shared" si="68"/>
        <v>0</v>
      </c>
      <c r="Y153" s="16">
        <f t="shared" si="69"/>
        <v>-8703.9829187213836</v>
      </c>
      <c r="Z153" s="16">
        <f t="shared" si="70"/>
        <v>-29474.159015340847</v>
      </c>
      <c r="AA153" s="16">
        <f t="shared" si="71"/>
        <v>-17159.043149136625</v>
      </c>
      <c r="AB153" s="16">
        <f t="shared" si="72"/>
        <v>-33955.202685212644</v>
      </c>
      <c r="AC153" s="16">
        <f t="shared" si="73"/>
        <v>-28162.192428802387</v>
      </c>
      <c r="AD153" s="16">
        <f t="shared" si="74"/>
        <v>-28262.19242880238</v>
      </c>
      <c r="AE153" s="16">
        <f t="shared" si="75"/>
        <v>-28862.192428802384</v>
      </c>
      <c r="AF153" s="14">
        <f>IF([1]Sheet2!AJ152=999999,"NA",[1]Sheet2!AJ152)</f>
        <v>0</v>
      </c>
      <c r="AG153" s="14">
        <f>IF([1]Sheet2!AK152=999999,"NA",[1]Sheet2!AK152)</f>
        <v>0</v>
      </c>
      <c r="AH153" s="14" t="str">
        <f>IF([1]Sheet2!AL152=999999,"NA",[1]Sheet2!AL152)</f>
        <v>NA</v>
      </c>
      <c r="AI153" s="14">
        <f>IF([1]Sheet2!AM152=999999,"NA",[1]Sheet2!AM152)</f>
        <v>0</v>
      </c>
      <c r="AJ153" s="14">
        <f>IF([1]Sheet2!AN152=999999,"NA",[1]Sheet2!AN152)</f>
        <v>0</v>
      </c>
      <c r="AK153" s="14">
        <f>IF([1]Sheet2!AO152=999999,"NA",[1]Sheet2!AO152)</f>
        <v>0</v>
      </c>
      <c r="AL153" s="14">
        <f>IF([1]Sheet2!AP152=999999,"NA",[1]Sheet2!AP152)</f>
        <v>0</v>
      </c>
      <c r="AM153" s="14">
        <f>IF([1]Sheet2!AQ152=999999,"NA",[1]Sheet2!AQ152)</f>
        <v>0</v>
      </c>
      <c r="AN153" s="14">
        <f>IF([1]Sheet2!AR152=999999,"NA",[1]Sheet2!AR152)</f>
        <v>0</v>
      </c>
      <c r="AO153" s="14">
        <f>IF([1]Sheet2!AS152=999999,"NA",[1]Sheet2!AS152)</f>
        <v>0</v>
      </c>
      <c r="AP153" s="14">
        <f>[1]Sheet2!P152</f>
        <v>0</v>
      </c>
      <c r="AQ153" s="14">
        <f>[1]Sheet2!Q152</f>
        <v>0</v>
      </c>
      <c r="AR153" s="14">
        <f>[1]Sheet2!R152</f>
        <v>0</v>
      </c>
      <c r="AS153" s="14">
        <f>[1]Sheet2!S152</f>
        <v>0</v>
      </c>
      <c r="AT153" s="14">
        <f>[1]Sheet2!T152</f>
        <v>0</v>
      </c>
      <c r="AU153" s="14">
        <f>[1]Sheet2!U152</f>
        <v>0</v>
      </c>
      <c r="AV153" s="14">
        <f>[1]Sheet2!V152</f>
        <v>0</v>
      </c>
      <c r="AW153" s="14">
        <f>[1]Sheet2!W152</f>
        <v>0</v>
      </c>
      <c r="AX153" s="14">
        <f>[1]Sheet2!X152</f>
        <v>0</v>
      </c>
      <c r="AY153" s="14">
        <f>[1]Sheet2!Y152</f>
        <v>0</v>
      </c>
      <c r="AZ153" s="16">
        <f>Demand_LP!B$7/31</f>
        <v>855.82964911600493</v>
      </c>
      <c r="BA153" s="16">
        <f>Demand_LP!C$7/31</f>
        <v>478.74276261373035</v>
      </c>
      <c r="BB153" s="16">
        <f>Demand_LP!D$7/31</f>
        <v>366.03598014888337</v>
      </c>
      <c r="BC153" s="16">
        <f>Demand_LP!E$7/31</f>
        <v>837.96277915632766</v>
      </c>
      <c r="BD153" s="16">
        <f>Demand_LP!F$7/31</f>
        <v>447.19049589019846</v>
      </c>
      <c r="BE153" s="16">
        <f>Demand_LP!G$7/31</f>
        <v>447.19049589019846</v>
      </c>
      <c r="BF153" s="16">
        <f>Demand_LP!H$7/31</f>
        <v>478.74276261373035</v>
      </c>
      <c r="BG153" s="16">
        <f>Demand_LP!I$7/31</f>
        <v>447.19049589019846</v>
      </c>
      <c r="BH153" s="16">
        <f>Demand_LP!J$7/31</f>
        <v>447.19049589019846</v>
      </c>
      <c r="BI153" s="16">
        <f>Demand_LP!K$7/31</f>
        <v>447.19049589019846</v>
      </c>
      <c r="BJ153" s="16">
        <f t="shared" si="76"/>
        <v>-101095.39792436856</v>
      </c>
      <c r="BK153" s="16">
        <f t="shared" si="77"/>
        <v>-84472.736724565795</v>
      </c>
      <c r="BL153" s="16">
        <f t="shared" si="78"/>
        <v>-36154.08325062041</v>
      </c>
      <c r="BM153" s="16">
        <f t="shared" si="79"/>
        <v>-105809.8538712817</v>
      </c>
      <c r="BN153" s="16">
        <f t="shared" si="80"/>
        <v>-61033.700008816129</v>
      </c>
      <c r="BO153" s="16">
        <f t="shared" si="81"/>
        <v>-59491.383927186842</v>
      </c>
      <c r="BP153" s="16">
        <f t="shared" si="82"/>
        <v>-78830.316211745303</v>
      </c>
      <c r="BQ153" s="16">
        <f t="shared" si="83"/>
        <v>-59491.383927186842</v>
      </c>
      <c r="BR153" s="16">
        <f t="shared" si="84"/>
        <v>-57091.383927186842</v>
      </c>
      <c r="BS153" s="16">
        <f t="shared" si="85"/>
        <v>-57791.383927186835</v>
      </c>
      <c r="BT153" s="14">
        <f>IF([1]Sheet2!CB152=999999,"NA",[1]Sheet2!CB152)</f>
        <v>0</v>
      </c>
      <c r="BU153" s="14">
        <f>IF([1]Sheet2!CC152=999999,"NA",[1]Sheet2!CC152)</f>
        <v>0</v>
      </c>
      <c r="BV153" s="14">
        <f>IF([1]Sheet2!CD152=999999,"NA",[1]Sheet2!CD152)</f>
        <v>0</v>
      </c>
      <c r="BW153" s="14">
        <f>IF([1]Sheet2!CE152=999999,"NA",[1]Sheet2!CE152)</f>
        <v>0</v>
      </c>
      <c r="BX153" s="14">
        <f>IF([1]Sheet2!CF152=999999,"NA",[1]Sheet2!CF152)</f>
        <v>0</v>
      </c>
      <c r="BY153" s="14">
        <f>IF([1]Sheet2!CG152=999999,"NA",[1]Sheet2!CG152)</f>
        <v>0</v>
      </c>
      <c r="BZ153" s="14">
        <f>IF([1]Sheet2!CH152=999999,"NA",[1]Sheet2!CH152)</f>
        <v>0</v>
      </c>
      <c r="CA153" s="14">
        <f>IF([1]Sheet2!CI152=999999,"NA",[1]Sheet2!CI152)</f>
        <v>0</v>
      </c>
      <c r="CB153" s="14">
        <f>IF([1]Sheet2!CJ152=999999,"NA",[1]Sheet2!CJ152)</f>
        <v>0</v>
      </c>
      <c r="CC153" s="14">
        <f>IF([1]Sheet2!CK152=999999,"NA",[1]Sheet2!CK152)</f>
        <v>0</v>
      </c>
      <c r="CD153" s="14">
        <f>[1]Sheet2!BH152</f>
        <v>0</v>
      </c>
      <c r="CE153" s="14">
        <f>[1]Sheet2!BI152</f>
        <v>0</v>
      </c>
      <c r="CF153" s="14">
        <f>[1]Sheet2!BJ152</f>
        <v>0</v>
      </c>
      <c r="CG153" s="14">
        <f>[1]Sheet2!BK152</f>
        <v>0</v>
      </c>
      <c r="CH153" s="14">
        <f>[1]Sheet2!BL152</f>
        <v>0</v>
      </c>
      <c r="CI153" s="14">
        <f>[1]Sheet2!BM152</f>
        <v>0</v>
      </c>
      <c r="CJ153" s="14">
        <f>[1]Sheet2!BN152</f>
        <v>0</v>
      </c>
      <c r="CK153" s="14">
        <f>[1]Sheet2!BO152</f>
        <v>0</v>
      </c>
      <c r="CL153" s="14">
        <f>[1]Sheet2!BP152</f>
        <v>0</v>
      </c>
      <c r="CM153" s="14">
        <f>[1]Sheet2!BQ152</f>
        <v>0</v>
      </c>
      <c r="CN153" s="16">
        <f>Demand_SW!B$7/31</f>
        <v>122.8287841191067</v>
      </c>
      <c r="CO153" s="16">
        <f>Demand_SW!C$7/31</f>
        <v>0</v>
      </c>
      <c r="CP153" s="16">
        <f>Demand_SW!D$7/31</f>
        <v>0</v>
      </c>
      <c r="CQ153" s="16">
        <f>Demand_SW!E$7/31</f>
        <v>0</v>
      </c>
      <c r="CR153" s="16">
        <f>Demand_SW!F$7/31</f>
        <v>0</v>
      </c>
      <c r="CS153" s="16">
        <f>Demand_SW!G$7/31</f>
        <v>122.8287841191067</v>
      </c>
      <c r="CT153" s="16">
        <f>Demand_SW!H$7/31</f>
        <v>0</v>
      </c>
      <c r="CU153" s="16">
        <f>Demand_SW!I$7/31</f>
        <v>0</v>
      </c>
      <c r="CV153" s="16">
        <f>Demand_SW!J$7/31</f>
        <v>0</v>
      </c>
      <c r="CW153" s="16">
        <f>Demand_SW!K$7/31</f>
        <v>0</v>
      </c>
      <c r="CX153" s="16">
        <f t="shared" si="86"/>
        <v>-15147.940446650133</v>
      </c>
      <c r="CY153" s="16">
        <f t="shared" si="87"/>
        <v>76.923076923077133</v>
      </c>
      <c r="CZ153" s="16">
        <f t="shared" si="88"/>
        <v>0</v>
      </c>
      <c r="DA153" s="16">
        <f t="shared" si="89"/>
        <v>0</v>
      </c>
      <c r="DB153" s="16">
        <f t="shared" si="90"/>
        <v>0</v>
      </c>
      <c r="DC153" s="16">
        <f t="shared" si="91"/>
        <v>-14677.1712158809</v>
      </c>
      <c r="DD153" s="16">
        <f t="shared" si="92"/>
        <v>76.923076923077133</v>
      </c>
      <c r="DE153" s="16">
        <f t="shared" si="93"/>
        <v>0</v>
      </c>
      <c r="DF153" s="16">
        <f t="shared" si="94"/>
        <v>0</v>
      </c>
      <c r="DG153" s="16">
        <f t="shared" si="95"/>
        <v>0</v>
      </c>
      <c r="DH153" s="14">
        <f>IF([1]Sheet2!DS152=999999,"NA",[1]Sheet2!DS152)</f>
        <v>0</v>
      </c>
      <c r="DI153" s="14">
        <f>IF([1]Sheet2!DT152=999999,"NA",[1]Sheet2!DT152)</f>
        <v>215</v>
      </c>
      <c r="DJ153" s="14" t="str">
        <f>IF([1]Sheet2!DU152=999999,"NA",[1]Sheet2!DU152)</f>
        <v>NA</v>
      </c>
      <c r="DK153" s="14" t="str">
        <f>IF([1]Sheet2!DV152=999999,"NA",[1]Sheet2!DV152)</f>
        <v>NA</v>
      </c>
      <c r="DL153" s="14" t="str">
        <f>IF([1]Sheet2!DW152=999999,"NA",[1]Sheet2!DW152)</f>
        <v>NA</v>
      </c>
      <c r="DM153" s="14">
        <f>IF([1]Sheet2!DX152=999999,"NA",[1]Sheet2!DX152)</f>
        <v>0</v>
      </c>
      <c r="DN153" s="14">
        <f>IF([1]Sheet2!DY152=999999,"NA",[1]Sheet2!DY152)</f>
        <v>215</v>
      </c>
      <c r="DO153" s="14" t="str">
        <f>IF([1]Sheet2!DZ152=999999,"NA",[1]Sheet2!DZ152)</f>
        <v>NA</v>
      </c>
      <c r="DP153" s="14" t="str">
        <f>IF([1]Sheet2!EA152=999999,"NA",[1]Sheet2!EA152)</f>
        <v>NA</v>
      </c>
      <c r="DQ153" s="14" t="str">
        <f>IF([1]Sheet2!EB152=999999,"NA",[1]Sheet2!EB152)</f>
        <v>NA</v>
      </c>
      <c r="DR153" s="14">
        <f>[1]Sheet2!CY152</f>
        <v>0</v>
      </c>
      <c r="DS153" s="14">
        <f>[1]Sheet2!CZ152</f>
        <v>0</v>
      </c>
      <c r="DT153" s="14">
        <f>[1]Sheet2!DA152</f>
        <v>0</v>
      </c>
      <c r="DU153" s="14">
        <f>[1]Sheet2!DB152</f>
        <v>0</v>
      </c>
      <c r="DV153" s="14">
        <f>[1]Sheet2!DC152</f>
        <v>0</v>
      </c>
      <c r="DW153" s="14">
        <f>[1]Sheet2!DD152</f>
        <v>0</v>
      </c>
      <c r="DX153" s="14">
        <f>[1]Sheet2!DE152</f>
        <v>0</v>
      </c>
      <c r="DY153" s="14">
        <f>[1]Sheet2!DF152</f>
        <v>0</v>
      </c>
      <c r="DZ153" s="14">
        <f>[1]Sheet2!DG152</f>
        <v>0</v>
      </c>
      <c r="EA153" s="14">
        <f>[1]Sheet2!DH152</f>
        <v>0</v>
      </c>
      <c r="EB153" s="6">
        <f>[1]Sheet2!EC152</f>
        <v>0</v>
      </c>
      <c r="EC153" s="6">
        <f>[1]Sheet2!ED152</f>
        <v>0</v>
      </c>
      <c r="ED153" s="6">
        <f>[1]Sheet2!EE152</f>
        <v>0</v>
      </c>
      <c r="EE153" s="6">
        <f>[1]Sheet2!EF152</f>
        <v>0</v>
      </c>
      <c r="EF153" s="6">
        <f>[1]Sheet2!EG152</f>
        <v>0</v>
      </c>
      <c r="EG153" s="6">
        <f>[1]Sheet2!EH152</f>
        <v>0</v>
      </c>
      <c r="EH153" s="6">
        <f>[1]Sheet2!EI152</f>
        <v>0</v>
      </c>
      <c r="EI153" s="6">
        <f>[1]Sheet2!EJ152</f>
        <v>0</v>
      </c>
      <c r="EJ153" s="6">
        <f>[1]Sheet2!EK152</f>
        <v>0</v>
      </c>
      <c r="EK153" s="6">
        <f>[1]Sheet2!EL152</f>
        <v>0</v>
      </c>
      <c r="EL153" s="6" t="str">
        <f>[1]Sheet2!EM152</f>
        <v/>
      </c>
      <c r="EM153" s="6" t="str">
        <f>[1]Sheet2!EN152</f>
        <v/>
      </c>
      <c r="EN153" s="6" t="str">
        <f>[1]Sheet2!EO152</f>
        <v/>
      </c>
      <c r="EO153" s="6" t="str">
        <f>[1]Sheet2!EP152</f>
        <v/>
      </c>
      <c r="EP153" s="6" t="str">
        <f>[1]Sheet2!EQ152</f>
        <v/>
      </c>
      <c r="EQ153" s="6" t="str">
        <f>[1]Sheet2!ER152</f>
        <v/>
      </c>
      <c r="ER153" s="6" t="str">
        <f>[1]Sheet2!ES152</f>
        <v/>
      </c>
      <c r="ES153" s="6" t="str">
        <f>[1]Sheet2!ET152</f>
        <v/>
      </c>
      <c r="ET153" s="6" t="str">
        <f>[1]Sheet2!EU152</f>
        <v/>
      </c>
      <c r="EU153" s="6" t="str">
        <f>[1]Sheet2!EV152</f>
        <v/>
      </c>
      <c r="EV153" s="6" t="str">
        <f>[1]Sheet2!EW152</f>
        <v/>
      </c>
      <c r="EW153" s="6" t="str">
        <f>[1]Sheet2!EX152</f>
        <v/>
      </c>
      <c r="EX153" s="6" t="str">
        <f>[1]Sheet2!EY152</f>
        <v/>
      </c>
      <c r="EY153" s="6" t="str">
        <f>[1]Sheet2!EZ152</f>
        <v/>
      </c>
      <c r="EZ153" s="6" t="str">
        <f>[1]Sheet2!FA152</f>
        <v/>
      </c>
      <c r="FA153" s="6" t="str">
        <f>[1]Sheet2!FB152</f>
        <v/>
      </c>
      <c r="FB153" s="6" t="str">
        <f>[1]Sheet2!FC152</f>
        <v/>
      </c>
      <c r="FC153" s="6" t="str">
        <f>[1]Sheet2!FD152</f>
        <v/>
      </c>
      <c r="FD153" s="6" t="str">
        <f>[1]Sheet2!FE152</f>
        <v/>
      </c>
      <c r="FE153" s="6" t="str">
        <f>[1]Sheet2!FF152</f>
        <v/>
      </c>
      <c r="FF153" s="6" t="str">
        <f>[1]Sheet2!FG152</f>
        <v/>
      </c>
      <c r="FG153" s="6" t="str">
        <f>[1]Sheet2!FH152</f>
        <v/>
      </c>
      <c r="FH153" s="6" t="str">
        <f>[1]Sheet2!FI152</f>
        <v/>
      </c>
      <c r="FI153" s="6" t="str">
        <f>[1]Sheet2!FJ152</f>
        <v/>
      </c>
      <c r="FJ153" s="6" t="str">
        <f>[1]Sheet2!FK152</f>
        <v/>
      </c>
      <c r="FK153" s="6" t="str">
        <f>[1]Sheet2!FL152</f>
        <v/>
      </c>
      <c r="FL153" s="6" t="str">
        <f>[1]Sheet2!FM152</f>
        <v/>
      </c>
      <c r="FM153" s="6" t="str">
        <f>[1]Sheet2!FN152</f>
        <v/>
      </c>
      <c r="FN153" s="6" t="str">
        <f>[1]Sheet2!FO152</f>
        <v/>
      </c>
      <c r="FO153" s="6" t="str">
        <f>[1]Sheet2!FP152</f>
        <v/>
      </c>
    </row>
    <row r="154" spans="1:171" x14ac:dyDescent="0.25">
      <c r="A154" s="15">
        <v>43616</v>
      </c>
      <c r="B154" s="1"/>
      <c r="C154" s="1"/>
      <c r="D154" s="1"/>
      <c r="E154" s="14">
        <f>[1]Sheet2!N153</f>
        <v>0</v>
      </c>
      <c r="F154" s="14">
        <f>[1]Sheet2!BE153</f>
        <v>0</v>
      </c>
      <c r="G154" s="14">
        <f>[1]Sheet2!CW153</f>
        <v>0</v>
      </c>
      <c r="H154" s="1"/>
      <c r="I154" s="1"/>
      <c r="J154" s="1"/>
      <c r="K154" s="16"/>
      <c r="L154" s="16">
        <f>Demand_CWRS!B$7/31</f>
        <v>129.8994219137717</v>
      </c>
      <c r="M154" s="16">
        <f>Demand_CWRS!C$7/31</f>
        <v>543.3829611248965</v>
      </c>
      <c r="N154" s="16">
        <f>Demand_CWRS!D$7/31</f>
        <v>0</v>
      </c>
      <c r="O154" s="16">
        <f>Demand_CWRS!E$7/31</f>
        <v>131.84491315136475</v>
      </c>
      <c r="P154" s="16">
        <f>Demand_CWRS!F$7/31</f>
        <v>232.12592522229113</v>
      </c>
      <c r="Q154" s="16">
        <f>Demand_CWRS!G$7/31</f>
        <v>129.8994219137717</v>
      </c>
      <c r="R154" s="16">
        <f>Demand_CWRS!H$7/31</f>
        <v>232.12592522229113</v>
      </c>
      <c r="S154" s="16">
        <f>Demand_CWRS!I$7/31</f>
        <v>232.12592522229113</v>
      </c>
      <c r="T154" s="16">
        <f>Demand_CWRS!J$7/31</f>
        <v>232.12592522229113</v>
      </c>
      <c r="U154" s="16">
        <f>Demand_CWRS!K$7/31</f>
        <v>232.12592522229113</v>
      </c>
      <c r="V154" s="16">
        <f t="shared" si="66"/>
        <v>-18614.715720088832</v>
      </c>
      <c r="W154" s="16">
        <f t="shared" si="67"/>
        <v>-66360.007692307525</v>
      </c>
      <c r="X154" s="16">
        <f t="shared" si="68"/>
        <v>0</v>
      </c>
      <c r="Y154" s="16">
        <f t="shared" si="69"/>
        <v>-8835.827831872748</v>
      </c>
      <c r="Z154" s="16">
        <f t="shared" si="70"/>
        <v>-29706.284940563139</v>
      </c>
      <c r="AA154" s="16">
        <f t="shared" si="71"/>
        <v>-17288.942571050397</v>
      </c>
      <c r="AB154" s="16">
        <f t="shared" si="72"/>
        <v>-34187.328610434932</v>
      </c>
      <c r="AC154" s="16">
        <f t="shared" si="73"/>
        <v>-28394.318354024679</v>
      </c>
      <c r="AD154" s="16">
        <f t="shared" si="74"/>
        <v>-28494.318354024672</v>
      </c>
      <c r="AE154" s="16">
        <f t="shared" si="75"/>
        <v>-29094.318354024676</v>
      </c>
      <c r="AF154" s="14">
        <f>IF([1]Sheet2!AJ153=999999,"NA",[1]Sheet2!AJ153)</f>
        <v>0</v>
      </c>
      <c r="AG154" s="14">
        <f>IF([1]Sheet2!AK153=999999,"NA",[1]Sheet2!AK153)</f>
        <v>0</v>
      </c>
      <c r="AH154" s="14" t="str">
        <f>IF([1]Sheet2!AL153=999999,"NA",[1]Sheet2!AL153)</f>
        <v>NA</v>
      </c>
      <c r="AI154" s="14">
        <f>IF([1]Sheet2!AM153=999999,"NA",[1]Sheet2!AM153)</f>
        <v>0</v>
      </c>
      <c r="AJ154" s="14">
        <f>IF([1]Sheet2!AN153=999999,"NA",[1]Sheet2!AN153)</f>
        <v>0</v>
      </c>
      <c r="AK154" s="14">
        <f>IF([1]Sheet2!AO153=999999,"NA",[1]Sheet2!AO153)</f>
        <v>0</v>
      </c>
      <c r="AL154" s="14">
        <f>IF([1]Sheet2!AP153=999999,"NA",[1]Sheet2!AP153)</f>
        <v>0</v>
      </c>
      <c r="AM154" s="14">
        <f>IF([1]Sheet2!AQ153=999999,"NA",[1]Sheet2!AQ153)</f>
        <v>0</v>
      </c>
      <c r="AN154" s="14">
        <f>IF([1]Sheet2!AR153=999999,"NA",[1]Sheet2!AR153)</f>
        <v>0</v>
      </c>
      <c r="AO154" s="14">
        <f>IF([1]Sheet2!AS153=999999,"NA",[1]Sheet2!AS153)</f>
        <v>0</v>
      </c>
      <c r="AP154" s="14">
        <f>[1]Sheet2!P153</f>
        <v>0</v>
      </c>
      <c r="AQ154" s="14">
        <f>[1]Sheet2!Q153</f>
        <v>0</v>
      </c>
      <c r="AR154" s="14">
        <f>[1]Sheet2!R153</f>
        <v>0</v>
      </c>
      <c r="AS154" s="14">
        <f>[1]Sheet2!S153</f>
        <v>0</v>
      </c>
      <c r="AT154" s="14">
        <f>[1]Sheet2!T153</f>
        <v>0</v>
      </c>
      <c r="AU154" s="14">
        <f>[1]Sheet2!U153</f>
        <v>0</v>
      </c>
      <c r="AV154" s="14">
        <f>[1]Sheet2!V153</f>
        <v>0</v>
      </c>
      <c r="AW154" s="14">
        <f>[1]Sheet2!W153</f>
        <v>0</v>
      </c>
      <c r="AX154" s="14">
        <f>[1]Sheet2!X153</f>
        <v>0</v>
      </c>
      <c r="AY154" s="14">
        <f>[1]Sheet2!Y153</f>
        <v>0</v>
      </c>
      <c r="AZ154" s="16">
        <f>Demand_LP!B$7/31</f>
        <v>855.82964911600493</v>
      </c>
      <c r="BA154" s="16">
        <f>Demand_LP!C$7/31</f>
        <v>478.74276261373035</v>
      </c>
      <c r="BB154" s="16">
        <f>Demand_LP!D$7/31</f>
        <v>366.03598014888337</v>
      </c>
      <c r="BC154" s="16">
        <f>Demand_LP!E$7/31</f>
        <v>837.96277915632766</v>
      </c>
      <c r="BD154" s="16">
        <f>Demand_LP!F$7/31</f>
        <v>447.19049589019846</v>
      </c>
      <c r="BE154" s="16">
        <f>Demand_LP!G$7/31</f>
        <v>447.19049589019846</v>
      </c>
      <c r="BF154" s="16">
        <f>Demand_LP!H$7/31</f>
        <v>478.74276261373035</v>
      </c>
      <c r="BG154" s="16">
        <f>Demand_LP!I$7/31</f>
        <v>447.19049589019846</v>
      </c>
      <c r="BH154" s="16">
        <f>Demand_LP!J$7/31</f>
        <v>447.19049589019846</v>
      </c>
      <c r="BI154" s="16">
        <f>Demand_LP!K$7/31</f>
        <v>447.19049589019846</v>
      </c>
      <c r="BJ154" s="16">
        <f t="shared" si="76"/>
        <v>-101951.22757348456</v>
      </c>
      <c r="BK154" s="16">
        <f t="shared" si="77"/>
        <v>-84951.479487179531</v>
      </c>
      <c r="BL154" s="16">
        <f t="shared" si="78"/>
        <v>-36520.119230769291</v>
      </c>
      <c r="BM154" s="16">
        <f t="shared" si="79"/>
        <v>-106647.81665043802</v>
      </c>
      <c r="BN154" s="16">
        <f t="shared" si="80"/>
        <v>-61480.890504706331</v>
      </c>
      <c r="BO154" s="16">
        <f t="shared" si="81"/>
        <v>-59938.574423077043</v>
      </c>
      <c r="BP154" s="16">
        <f t="shared" si="82"/>
        <v>-79309.058974359039</v>
      </c>
      <c r="BQ154" s="16">
        <f t="shared" si="83"/>
        <v>-59938.574423077043</v>
      </c>
      <c r="BR154" s="16">
        <f t="shared" si="84"/>
        <v>-57538.574423077043</v>
      </c>
      <c r="BS154" s="16">
        <f t="shared" si="85"/>
        <v>-58238.574423077036</v>
      </c>
      <c r="BT154" s="14">
        <f>IF([1]Sheet2!CB153=999999,"NA",[1]Sheet2!CB153)</f>
        <v>0</v>
      </c>
      <c r="BU154" s="14">
        <f>IF([1]Sheet2!CC153=999999,"NA",[1]Sheet2!CC153)</f>
        <v>0</v>
      </c>
      <c r="BV154" s="14">
        <f>IF([1]Sheet2!CD153=999999,"NA",[1]Sheet2!CD153)</f>
        <v>0</v>
      </c>
      <c r="BW154" s="14">
        <f>IF([1]Sheet2!CE153=999999,"NA",[1]Sheet2!CE153)</f>
        <v>0</v>
      </c>
      <c r="BX154" s="14">
        <f>IF([1]Sheet2!CF153=999999,"NA",[1]Sheet2!CF153)</f>
        <v>0</v>
      </c>
      <c r="BY154" s="14">
        <f>IF([1]Sheet2!CG153=999999,"NA",[1]Sheet2!CG153)</f>
        <v>0</v>
      </c>
      <c r="BZ154" s="14">
        <f>IF([1]Sheet2!CH153=999999,"NA",[1]Sheet2!CH153)</f>
        <v>0</v>
      </c>
      <c r="CA154" s="14">
        <f>IF([1]Sheet2!CI153=999999,"NA",[1]Sheet2!CI153)</f>
        <v>0</v>
      </c>
      <c r="CB154" s="14">
        <f>IF([1]Sheet2!CJ153=999999,"NA",[1]Sheet2!CJ153)</f>
        <v>0</v>
      </c>
      <c r="CC154" s="14">
        <f>IF([1]Sheet2!CK153=999999,"NA",[1]Sheet2!CK153)</f>
        <v>0</v>
      </c>
      <c r="CD154" s="14">
        <f>[1]Sheet2!BH153</f>
        <v>0</v>
      </c>
      <c r="CE154" s="14">
        <f>[1]Sheet2!BI153</f>
        <v>0</v>
      </c>
      <c r="CF154" s="14">
        <f>[1]Sheet2!BJ153</f>
        <v>0</v>
      </c>
      <c r="CG154" s="14">
        <f>[1]Sheet2!BK153</f>
        <v>0</v>
      </c>
      <c r="CH154" s="14">
        <f>[1]Sheet2!BL153</f>
        <v>0</v>
      </c>
      <c r="CI154" s="14">
        <f>[1]Sheet2!BM153</f>
        <v>0</v>
      </c>
      <c r="CJ154" s="14">
        <f>[1]Sheet2!BN153</f>
        <v>0</v>
      </c>
      <c r="CK154" s="14">
        <f>[1]Sheet2!BO153</f>
        <v>0</v>
      </c>
      <c r="CL154" s="14">
        <f>[1]Sheet2!BP153</f>
        <v>0</v>
      </c>
      <c r="CM154" s="14">
        <f>[1]Sheet2!BQ153</f>
        <v>0</v>
      </c>
      <c r="CN154" s="16">
        <f>Demand_SW!B$7/31</f>
        <v>122.8287841191067</v>
      </c>
      <c r="CO154" s="16">
        <f>Demand_SW!C$7/31</f>
        <v>0</v>
      </c>
      <c r="CP154" s="16">
        <f>Demand_SW!D$7/31</f>
        <v>0</v>
      </c>
      <c r="CQ154" s="16">
        <f>Demand_SW!E$7/31</f>
        <v>0</v>
      </c>
      <c r="CR154" s="16">
        <f>Demand_SW!F$7/31</f>
        <v>0</v>
      </c>
      <c r="CS154" s="16">
        <f>Demand_SW!G$7/31</f>
        <v>122.8287841191067</v>
      </c>
      <c r="CT154" s="16">
        <f>Demand_SW!H$7/31</f>
        <v>0</v>
      </c>
      <c r="CU154" s="16">
        <f>Demand_SW!I$7/31</f>
        <v>0</v>
      </c>
      <c r="CV154" s="16">
        <f>Demand_SW!J$7/31</f>
        <v>0</v>
      </c>
      <c r="CW154" s="16">
        <f>Demand_SW!K$7/31</f>
        <v>0</v>
      </c>
      <c r="CX154" s="16">
        <f t="shared" si="86"/>
        <v>-15270.76923076924</v>
      </c>
      <c r="CY154" s="16">
        <f t="shared" si="87"/>
        <v>76.923076923077133</v>
      </c>
      <c r="CZ154" s="16">
        <f t="shared" si="88"/>
        <v>0</v>
      </c>
      <c r="DA154" s="16">
        <f t="shared" si="89"/>
        <v>0</v>
      </c>
      <c r="DB154" s="16">
        <f t="shared" si="90"/>
        <v>0</v>
      </c>
      <c r="DC154" s="16">
        <f t="shared" si="91"/>
        <v>-14800.000000000007</v>
      </c>
      <c r="DD154" s="16">
        <f t="shared" si="92"/>
        <v>76.923076923077133</v>
      </c>
      <c r="DE154" s="16">
        <f t="shared" si="93"/>
        <v>0</v>
      </c>
      <c r="DF154" s="16">
        <f t="shared" si="94"/>
        <v>0</v>
      </c>
      <c r="DG154" s="16">
        <f t="shared" si="95"/>
        <v>0</v>
      </c>
      <c r="DH154" s="14">
        <f>IF([1]Sheet2!DS153=999999,"NA",[1]Sheet2!DS153)</f>
        <v>0</v>
      </c>
      <c r="DI154" s="14">
        <f>IF([1]Sheet2!DT153=999999,"NA",[1]Sheet2!DT153)</f>
        <v>214</v>
      </c>
      <c r="DJ154" s="14" t="str">
        <f>IF([1]Sheet2!DU153=999999,"NA",[1]Sheet2!DU153)</f>
        <v>NA</v>
      </c>
      <c r="DK154" s="14" t="str">
        <f>IF([1]Sheet2!DV153=999999,"NA",[1]Sheet2!DV153)</f>
        <v>NA</v>
      </c>
      <c r="DL154" s="14" t="str">
        <f>IF([1]Sheet2!DW153=999999,"NA",[1]Sheet2!DW153)</f>
        <v>NA</v>
      </c>
      <c r="DM154" s="14">
        <f>IF([1]Sheet2!DX153=999999,"NA",[1]Sheet2!DX153)</f>
        <v>0</v>
      </c>
      <c r="DN154" s="14">
        <f>IF([1]Sheet2!DY153=999999,"NA",[1]Sheet2!DY153)</f>
        <v>214</v>
      </c>
      <c r="DO154" s="14" t="str">
        <f>IF([1]Sheet2!DZ153=999999,"NA",[1]Sheet2!DZ153)</f>
        <v>NA</v>
      </c>
      <c r="DP154" s="14" t="str">
        <f>IF([1]Sheet2!EA153=999999,"NA",[1]Sheet2!EA153)</f>
        <v>NA</v>
      </c>
      <c r="DQ154" s="14" t="str">
        <f>IF([1]Sheet2!EB153=999999,"NA",[1]Sheet2!EB153)</f>
        <v>NA</v>
      </c>
      <c r="DR154" s="14">
        <f>[1]Sheet2!CY153</f>
        <v>0</v>
      </c>
      <c r="DS154" s="14">
        <f>[1]Sheet2!CZ153</f>
        <v>0</v>
      </c>
      <c r="DT154" s="14">
        <f>[1]Sheet2!DA153</f>
        <v>0</v>
      </c>
      <c r="DU154" s="14">
        <f>[1]Sheet2!DB153</f>
        <v>0</v>
      </c>
      <c r="DV154" s="14">
        <f>[1]Sheet2!DC153</f>
        <v>0</v>
      </c>
      <c r="DW154" s="14">
        <f>[1]Sheet2!DD153</f>
        <v>0</v>
      </c>
      <c r="DX154" s="14">
        <f>[1]Sheet2!DE153</f>
        <v>0</v>
      </c>
      <c r="DY154" s="14">
        <f>[1]Sheet2!DF153</f>
        <v>0</v>
      </c>
      <c r="DZ154" s="14">
        <f>[1]Sheet2!DG153</f>
        <v>0</v>
      </c>
      <c r="EA154" s="14">
        <f>[1]Sheet2!DH153</f>
        <v>0</v>
      </c>
      <c r="EB154" s="6">
        <f>[1]Sheet2!EC153</f>
        <v>0</v>
      </c>
      <c r="EC154" s="6">
        <f>[1]Sheet2!ED153</f>
        <v>0</v>
      </c>
      <c r="ED154" s="6">
        <f>[1]Sheet2!EE153</f>
        <v>0</v>
      </c>
      <c r="EE154" s="6">
        <f>[1]Sheet2!EF153</f>
        <v>0</v>
      </c>
      <c r="EF154" s="6">
        <f>[1]Sheet2!EG153</f>
        <v>0</v>
      </c>
      <c r="EG154" s="6">
        <f>[1]Sheet2!EH153</f>
        <v>0</v>
      </c>
      <c r="EH154" s="6">
        <f>[1]Sheet2!EI153</f>
        <v>0</v>
      </c>
      <c r="EI154" s="6">
        <f>[1]Sheet2!EJ153</f>
        <v>0</v>
      </c>
      <c r="EJ154" s="6">
        <f>[1]Sheet2!EK153</f>
        <v>0</v>
      </c>
      <c r="EK154" s="6">
        <f>[1]Sheet2!EL153</f>
        <v>0</v>
      </c>
      <c r="EL154" s="6" t="str">
        <f>[1]Sheet2!EM153</f>
        <v/>
      </c>
      <c r="EM154" s="6" t="str">
        <f>[1]Sheet2!EN153</f>
        <v/>
      </c>
      <c r="EN154" s="6" t="str">
        <f>[1]Sheet2!EO153</f>
        <v/>
      </c>
      <c r="EO154" s="6" t="str">
        <f>[1]Sheet2!EP153</f>
        <v/>
      </c>
      <c r="EP154" s="6" t="str">
        <f>[1]Sheet2!EQ153</f>
        <v/>
      </c>
      <c r="EQ154" s="6" t="str">
        <f>[1]Sheet2!ER153</f>
        <v/>
      </c>
      <c r="ER154" s="6" t="str">
        <f>[1]Sheet2!ES153</f>
        <v/>
      </c>
      <c r="ES154" s="6" t="str">
        <f>[1]Sheet2!ET153</f>
        <v/>
      </c>
      <c r="ET154" s="6" t="str">
        <f>[1]Sheet2!EU153</f>
        <v/>
      </c>
      <c r="EU154" s="6" t="str">
        <f>[1]Sheet2!EV153</f>
        <v/>
      </c>
      <c r="EV154" s="6" t="str">
        <f>[1]Sheet2!EW153</f>
        <v/>
      </c>
      <c r="EW154" s="6" t="str">
        <f>[1]Sheet2!EX153</f>
        <v/>
      </c>
      <c r="EX154" s="6" t="str">
        <f>[1]Sheet2!EY153</f>
        <v/>
      </c>
      <c r="EY154" s="6" t="str">
        <f>[1]Sheet2!EZ153</f>
        <v/>
      </c>
      <c r="EZ154" s="6" t="str">
        <f>[1]Sheet2!FA153</f>
        <v/>
      </c>
      <c r="FA154" s="6" t="str">
        <f>[1]Sheet2!FB153</f>
        <v/>
      </c>
      <c r="FB154" s="6" t="str">
        <f>[1]Sheet2!FC153</f>
        <v/>
      </c>
      <c r="FC154" s="6" t="str">
        <f>[1]Sheet2!FD153</f>
        <v/>
      </c>
      <c r="FD154" s="6" t="str">
        <f>[1]Sheet2!FE153</f>
        <v/>
      </c>
      <c r="FE154" s="6" t="str">
        <f>[1]Sheet2!FF153</f>
        <v/>
      </c>
      <c r="FF154" s="6" t="str">
        <f>[1]Sheet2!FG153</f>
        <v/>
      </c>
      <c r="FG154" s="6" t="str">
        <f>[1]Sheet2!FH153</f>
        <v/>
      </c>
      <c r="FH154" s="6" t="str">
        <f>[1]Sheet2!FI153</f>
        <v/>
      </c>
      <c r="FI154" s="6" t="str">
        <f>[1]Sheet2!FJ153</f>
        <v/>
      </c>
      <c r="FJ154" s="6" t="str">
        <f>[1]Sheet2!FK153</f>
        <v/>
      </c>
      <c r="FK154" s="6" t="str">
        <f>[1]Sheet2!FL153</f>
        <v/>
      </c>
      <c r="FL154" s="6" t="str">
        <f>[1]Sheet2!FM153</f>
        <v/>
      </c>
      <c r="FM154" s="6" t="str">
        <f>[1]Sheet2!FN153</f>
        <v/>
      </c>
      <c r="FN154" s="6" t="str">
        <f>[1]Sheet2!FO153</f>
        <v/>
      </c>
      <c r="FO154" s="6" t="str">
        <f>[1]Sheet2!FP153</f>
        <v/>
      </c>
    </row>
    <row r="155" spans="1:171" x14ac:dyDescent="0.25">
      <c r="A155" s="15">
        <v>43617</v>
      </c>
      <c r="B155" s="1"/>
      <c r="C155" s="1"/>
      <c r="D155" s="1"/>
      <c r="E155" s="14">
        <f>[1]Sheet2!N154</f>
        <v>0</v>
      </c>
      <c r="F155" s="14">
        <f>[1]Sheet2!BE154</f>
        <v>0</v>
      </c>
      <c r="G155" s="14">
        <f>[1]Sheet2!CW154</f>
        <v>0</v>
      </c>
      <c r="H155" s="1"/>
      <c r="I155" s="1"/>
      <c r="J155" s="1"/>
      <c r="K155" s="16"/>
      <c r="L155" s="16">
        <f>Demand_CWRS!B$8/30</f>
        <v>124.86819391025641</v>
      </c>
      <c r="M155" s="16">
        <f>Demand_CWRS!C$8/30</f>
        <v>583.20512820512829</v>
      </c>
      <c r="N155" s="16">
        <f>Demand_CWRS!D$8/30</f>
        <v>0</v>
      </c>
      <c r="O155" s="16">
        <f>Demand_CWRS!E$8/30</f>
        <v>156.84829059829062</v>
      </c>
      <c r="P155" s="16">
        <f>Demand_CWRS!F$8/30</f>
        <v>252.39596314102559</v>
      </c>
      <c r="Q155" s="16">
        <f>Demand_CWRS!G$8/30</f>
        <v>124.86819391025641</v>
      </c>
      <c r="R155" s="16">
        <f>Demand_CWRS!H$8/30</f>
        <v>246.66666666666666</v>
      </c>
      <c r="S155" s="16">
        <f>Demand_CWRS!I$8/30</f>
        <v>246.66666666666666</v>
      </c>
      <c r="T155" s="16">
        <f>Demand_CWRS!J$8/30</f>
        <v>246.66666666666666</v>
      </c>
      <c r="U155" s="16">
        <f>Demand_CWRS!K$8/30</f>
        <v>246.66666666666666</v>
      </c>
      <c r="V155" s="16">
        <f t="shared" si="66"/>
        <v>-18739.583913999089</v>
      </c>
      <c r="W155" s="16">
        <f t="shared" si="67"/>
        <v>-66943.21282051265</v>
      </c>
      <c r="X155" s="16">
        <f t="shared" si="68"/>
        <v>0</v>
      </c>
      <c r="Y155" s="16">
        <f t="shared" si="69"/>
        <v>-8992.676122471039</v>
      </c>
      <c r="Z155" s="16">
        <f t="shared" si="70"/>
        <v>-29958.680903704164</v>
      </c>
      <c r="AA155" s="16">
        <f t="shared" si="71"/>
        <v>-17413.810764960654</v>
      </c>
      <c r="AB155" s="16">
        <f t="shared" si="72"/>
        <v>-34433.995277101596</v>
      </c>
      <c r="AC155" s="16">
        <f t="shared" si="73"/>
        <v>-28640.985020691347</v>
      </c>
      <c r="AD155" s="16">
        <f t="shared" si="74"/>
        <v>-28740.98502069134</v>
      </c>
      <c r="AE155" s="16">
        <f t="shared" si="75"/>
        <v>-29340.985020691343</v>
      </c>
      <c r="AF155" s="14">
        <f>IF([1]Sheet2!AJ154=999999,"NA",[1]Sheet2!AJ154)</f>
        <v>0</v>
      </c>
      <c r="AG155" s="14">
        <f>IF([1]Sheet2!AK154=999999,"NA",[1]Sheet2!AK154)</f>
        <v>0</v>
      </c>
      <c r="AH155" s="14" t="str">
        <f>IF([1]Sheet2!AL154=999999,"NA",[1]Sheet2!AL154)</f>
        <v>NA</v>
      </c>
      <c r="AI155" s="14">
        <f>IF([1]Sheet2!AM154=999999,"NA",[1]Sheet2!AM154)</f>
        <v>0</v>
      </c>
      <c r="AJ155" s="14">
        <f>IF([1]Sheet2!AN154=999999,"NA",[1]Sheet2!AN154)</f>
        <v>0</v>
      </c>
      <c r="AK155" s="14">
        <f>IF([1]Sheet2!AO154=999999,"NA",[1]Sheet2!AO154)</f>
        <v>0</v>
      </c>
      <c r="AL155" s="14">
        <f>IF([1]Sheet2!AP154=999999,"NA",[1]Sheet2!AP154)</f>
        <v>0</v>
      </c>
      <c r="AM155" s="14">
        <f>IF([1]Sheet2!AQ154=999999,"NA",[1]Sheet2!AQ154)</f>
        <v>0</v>
      </c>
      <c r="AN155" s="14">
        <f>IF([1]Sheet2!AR154=999999,"NA",[1]Sheet2!AR154)</f>
        <v>0</v>
      </c>
      <c r="AO155" s="14">
        <f>IF([1]Sheet2!AS154=999999,"NA",[1]Sheet2!AS154)</f>
        <v>0</v>
      </c>
      <c r="AP155" s="14">
        <f>[1]Sheet2!P154</f>
        <v>0</v>
      </c>
      <c r="AQ155" s="14">
        <f>[1]Sheet2!Q154</f>
        <v>0</v>
      </c>
      <c r="AR155" s="14">
        <f>[1]Sheet2!R154</f>
        <v>0</v>
      </c>
      <c r="AS155" s="14">
        <f>[1]Sheet2!S154</f>
        <v>0</v>
      </c>
      <c r="AT155" s="14">
        <f>[1]Sheet2!T154</f>
        <v>0</v>
      </c>
      <c r="AU155" s="14">
        <f>[1]Sheet2!U154</f>
        <v>0</v>
      </c>
      <c r="AV155" s="14">
        <f>[1]Sheet2!V154</f>
        <v>0</v>
      </c>
      <c r="AW155" s="14">
        <f>[1]Sheet2!W154</f>
        <v>0</v>
      </c>
      <c r="AX155" s="14">
        <f>[1]Sheet2!X154</f>
        <v>0</v>
      </c>
      <c r="AY155" s="14">
        <f>[1]Sheet2!Y154</f>
        <v>0</v>
      </c>
      <c r="AZ155" s="16">
        <f>Demand_LP!B$8/30</f>
        <v>807.81611164529909</v>
      </c>
      <c r="BA155" s="16">
        <f>Demand_LP!C$8/30</f>
        <v>574.48717948717956</v>
      </c>
      <c r="BB155" s="16">
        <f>Demand_LP!D$8/30</f>
        <v>339.04957264957267</v>
      </c>
      <c r="BC155" s="16">
        <f>Demand_LP!E$8/30</f>
        <v>830.46965811965799</v>
      </c>
      <c r="BD155" s="16">
        <f>Demand_LP!F$8/30</f>
        <v>476.67186805555554</v>
      </c>
      <c r="BE155" s="16">
        <f>Demand_LP!G$8/30</f>
        <v>476.67186805555554</v>
      </c>
      <c r="BF155" s="16">
        <f>Demand_LP!H$8/30</f>
        <v>574.48717948717956</v>
      </c>
      <c r="BG155" s="16">
        <f>Demand_LP!I$8/30</f>
        <v>476.67186805555554</v>
      </c>
      <c r="BH155" s="16">
        <f>Demand_LP!J$8/30</f>
        <v>476.67186805555554</v>
      </c>
      <c r="BI155" s="16">
        <f>Demand_LP!K$8/30</f>
        <v>476.67186805555554</v>
      </c>
      <c r="BJ155" s="16">
        <f t="shared" si="76"/>
        <v>-102759.04368512986</v>
      </c>
      <c r="BK155" s="16">
        <f t="shared" si="77"/>
        <v>-85525.966666666704</v>
      </c>
      <c r="BL155" s="16">
        <f t="shared" si="78"/>
        <v>-36859.168803418863</v>
      </c>
      <c r="BM155" s="16">
        <f t="shared" si="79"/>
        <v>-107478.28630855768</v>
      </c>
      <c r="BN155" s="16">
        <f t="shared" si="80"/>
        <v>-61957.562372761888</v>
      </c>
      <c r="BO155" s="16">
        <f t="shared" si="81"/>
        <v>-60415.2462911326</v>
      </c>
      <c r="BP155" s="16">
        <f t="shared" si="82"/>
        <v>-79883.546153846211</v>
      </c>
      <c r="BQ155" s="16">
        <f t="shared" si="83"/>
        <v>-60415.2462911326</v>
      </c>
      <c r="BR155" s="16">
        <f t="shared" si="84"/>
        <v>-58015.2462911326</v>
      </c>
      <c r="BS155" s="16">
        <f t="shared" si="85"/>
        <v>-58715.246291132593</v>
      </c>
      <c r="BT155" s="14">
        <f>IF([1]Sheet2!CB154=999999,"NA",[1]Sheet2!CB154)</f>
        <v>0</v>
      </c>
      <c r="BU155" s="14">
        <f>IF([1]Sheet2!CC154=999999,"NA",[1]Sheet2!CC154)</f>
        <v>0</v>
      </c>
      <c r="BV155" s="14">
        <f>IF([1]Sheet2!CD154=999999,"NA",[1]Sheet2!CD154)</f>
        <v>0</v>
      </c>
      <c r="BW155" s="14">
        <f>IF([1]Sheet2!CE154=999999,"NA",[1]Sheet2!CE154)</f>
        <v>0</v>
      </c>
      <c r="BX155" s="14">
        <f>IF([1]Sheet2!CF154=999999,"NA",[1]Sheet2!CF154)</f>
        <v>0</v>
      </c>
      <c r="BY155" s="14">
        <f>IF([1]Sheet2!CG154=999999,"NA",[1]Sheet2!CG154)</f>
        <v>0</v>
      </c>
      <c r="BZ155" s="14">
        <f>IF([1]Sheet2!CH154=999999,"NA",[1]Sheet2!CH154)</f>
        <v>0</v>
      </c>
      <c r="CA155" s="14">
        <f>IF([1]Sheet2!CI154=999999,"NA",[1]Sheet2!CI154)</f>
        <v>0</v>
      </c>
      <c r="CB155" s="14">
        <f>IF([1]Sheet2!CJ154=999999,"NA",[1]Sheet2!CJ154)</f>
        <v>0</v>
      </c>
      <c r="CC155" s="14">
        <f>IF([1]Sheet2!CK154=999999,"NA",[1]Sheet2!CK154)</f>
        <v>0</v>
      </c>
      <c r="CD155" s="14">
        <f>[1]Sheet2!BH154</f>
        <v>0</v>
      </c>
      <c r="CE155" s="14">
        <f>[1]Sheet2!BI154</f>
        <v>0</v>
      </c>
      <c r="CF155" s="14">
        <f>[1]Sheet2!BJ154</f>
        <v>0</v>
      </c>
      <c r="CG155" s="14">
        <f>[1]Sheet2!BK154</f>
        <v>0</v>
      </c>
      <c r="CH155" s="14">
        <f>[1]Sheet2!BL154</f>
        <v>0</v>
      </c>
      <c r="CI155" s="14">
        <f>[1]Sheet2!BM154</f>
        <v>0</v>
      </c>
      <c r="CJ155" s="14">
        <f>[1]Sheet2!BN154</f>
        <v>0</v>
      </c>
      <c r="CK155" s="14">
        <f>[1]Sheet2!BO154</f>
        <v>0</v>
      </c>
      <c r="CL155" s="14">
        <f>[1]Sheet2!BP154</f>
        <v>0</v>
      </c>
      <c r="CM155" s="14">
        <f>[1]Sheet2!BQ154</f>
        <v>0</v>
      </c>
      <c r="CN155" s="16">
        <f>Demand_SW!B$8/30</f>
        <v>144.23076923076923</v>
      </c>
      <c r="CO155" s="16">
        <f>Demand_SW!C$8/30</f>
        <v>0</v>
      </c>
      <c r="CP155" s="16">
        <f>Demand_SW!D$8/30</f>
        <v>0</v>
      </c>
      <c r="CQ155" s="16">
        <f>Demand_SW!E$8/30</f>
        <v>0</v>
      </c>
      <c r="CR155" s="16">
        <f>Demand_SW!F$8/30</f>
        <v>0</v>
      </c>
      <c r="CS155" s="16">
        <f>Demand_SW!G$8/30</f>
        <v>144.23076923076923</v>
      </c>
      <c r="CT155" s="16">
        <f>Demand_SW!H$8/30</f>
        <v>0</v>
      </c>
      <c r="CU155" s="16">
        <f>Demand_SW!I$8/30</f>
        <v>0</v>
      </c>
      <c r="CV155" s="16">
        <f>Demand_SW!J$8/30</f>
        <v>0</v>
      </c>
      <c r="CW155" s="16">
        <f>Demand_SW!K$8/30</f>
        <v>0</v>
      </c>
      <c r="CX155" s="16">
        <f t="shared" si="86"/>
        <v>-15415.000000000009</v>
      </c>
      <c r="CY155" s="16">
        <f t="shared" si="87"/>
        <v>76.923076923077133</v>
      </c>
      <c r="CZ155" s="16">
        <f t="shared" si="88"/>
        <v>0</v>
      </c>
      <c r="DA155" s="16">
        <f t="shared" si="89"/>
        <v>0</v>
      </c>
      <c r="DB155" s="16">
        <f t="shared" si="90"/>
        <v>0</v>
      </c>
      <c r="DC155" s="16">
        <f t="shared" si="91"/>
        <v>-14944.230769230777</v>
      </c>
      <c r="DD155" s="16">
        <f t="shared" si="92"/>
        <v>76.923076923077133</v>
      </c>
      <c r="DE155" s="16">
        <f t="shared" si="93"/>
        <v>0</v>
      </c>
      <c r="DF155" s="16">
        <f t="shared" si="94"/>
        <v>0</v>
      </c>
      <c r="DG155" s="16">
        <f t="shared" si="95"/>
        <v>0</v>
      </c>
      <c r="DH155" s="14">
        <f>IF([1]Sheet2!DS154=999999,"NA",[1]Sheet2!DS154)</f>
        <v>0</v>
      </c>
      <c r="DI155" s="14">
        <f>IF([1]Sheet2!DT154=999999,"NA",[1]Sheet2!DT154)</f>
        <v>213</v>
      </c>
      <c r="DJ155" s="14" t="str">
        <f>IF([1]Sheet2!DU154=999999,"NA",[1]Sheet2!DU154)</f>
        <v>NA</v>
      </c>
      <c r="DK155" s="14" t="str">
        <f>IF([1]Sheet2!DV154=999999,"NA",[1]Sheet2!DV154)</f>
        <v>NA</v>
      </c>
      <c r="DL155" s="14" t="str">
        <f>IF([1]Sheet2!DW154=999999,"NA",[1]Sheet2!DW154)</f>
        <v>NA</v>
      </c>
      <c r="DM155" s="14">
        <f>IF([1]Sheet2!DX154=999999,"NA",[1]Sheet2!DX154)</f>
        <v>0</v>
      </c>
      <c r="DN155" s="14">
        <f>IF([1]Sheet2!DY154=999999,"NA",[1]Sheet2!DY154)</f>
        <v>213</v>
      </c>
      <c r="DO155" s="14" t="str">
        <f>IF([1]Sheet2!DZ154=999999,"NA",[1]Sheet2!DZ154)</f>
        <v>NA</v>
      </c>
      <c r="DP155" s="14" t="str">
        <f>IF([1]Sheet2!EA154=999999,"NA",[1]Sheet2!EA154)</f>
        <v>NA</v>
      </c>
      <c r="DQ155" s="14" t="str">
        <f>IF([1]Sheet2!EB154=999999,"NA",[1]Sheet2!EB154)</f>
        <v>NA</v>
      </c>
      <c r="DR155" s="14">
        <f>[1]Sheet2!CY154</f>
        <v>0</v>
      </c>
      <c r="DS155" s="14">
        <f>[1]Sheet2!CZ154</f>
        <v>0</v>
      </c>
      <c r="DT155" s="14">
        <f>[1]Sheet2!DA154</f>
        <v>0</v>
      </c>
      <c r="DU155" s="14">
        <f>[1]Sheet2!DB154</f>
        <v>0</v>
      </c>
      <c r="DV155" s="14">
        <f>[1]Sheet2!DC154</f>
        <v>0</v>
      </c>
      <c r="DW155" s="14">
        <f>[1]Sheet2!DD154</f>
        <v>0</v>
      </c>
      <c r="DX155" s="14">
        <f>[1]Sheet2!DE154</f>
        <v>0</v>
      </c>
      <c r="DY155" s="14">
        <f>[1]Sheet2!DF154</f>
        <v>0</v>
      </c>
      <c r="DZ155" s="14">
        <f>[1]Sheet2!DG154</f>
        <v>0</v>
      </c>
      <c r="EA155" s="14">
        <f>[1]Sheet2!DH154</f>
        <v>0</v>
      </c>
      <c r="EB155" s="6">
        <f>[1]Sheet2!EC154</f>
        <v>0</v>
      </c>
      <c r="EC155" s="6">
        <f>[1]Sheet2!ED154</f>
        <v>0</v>
      </c>
      <c r="ED155" s="6">
        <f>[1]Sheet2!EE154</f>
        <v>0</v>
      </c>
      <c r="EE155" s="6">
        <f>[1]Sheet2!EF154</f>
        <v>0</v>
      </c>
      <c r="EF155" s="6">
        <f>[1]Sheet2!EG154</f>
        <v>0</v>
      </c>
      <c r="EG155" s="6">
        <f>[1]Sheet2!EH154</f>
        <v>0</v>
      </c>
      <c r="EH155" s="6">
        <f>[1]Sheet2!EI154</f>
        <v>0</v>
      </c>
      <c r="EI155" s="6">
        <f>[1]Sheet2!EJ154</f>
        <v>0</v>
      </c>
      <c r="EJ155" s="6">
        <f>[1]Sheet2!EK154</f>
        <v>0</v>
      </c>
      <c r="EK155" s="6">
        <f>[1]Sheet2!EL154</f>
        <v>0</v>
      </c>
      <c r="EL155" s="6" t="str">
        <f>[1]Sheet2!EM154</f>
        <v/>
      </c>
      <c r="EM155" s="6" t="str">
        <f>[1]Sheet2!EN154</f>
        <v/>
      </c>
      <c r="EN155" s="6" t="str">
        <f>[1]Sheet2!EO154</f>
        <v/>
      </c>
      <c r="EO155" s="6" t="str">
        <f>[1]Sheet2!EP154</f>
        <v/>
      </c>
      <c r="EP155" s="6" t="str">
        <f>[1]Sheet2!EQ154</f>
        <v/>
      </c>
      <c r="EQ155" s="6" t="str">
        <f>[1]Sheet2!ER154</f>
        <v/>
      </c>
      <c r="ER155" s="6" t="str">
        <f>[1]Sheet2!ES154</f>
        <v/>
      </c>
      <c r="ES155" s="6" t="str">
        <f>[1]Sheet2!ET154</f>
        <v/>
      </c>
      <c r="ET155" s="6" t="str">
        <f>[1]Sheet2!EU154</f>
        <v/>
      </c>
      <c r="EU155" s="6" t="str">
        <f>[1]Sheet2!EV154</f>
        <v/>
      </c>
      <c r="EV155" s="6" t="str">
        <f>[1]Sheet2!EW154</f>
        <v/>
      </c>
      <c r="EW155" s="6" t="str">
        <f>[1]Sheet2!EX154</f>
        <v/>
      </c>
      <c r="EX155" s="6" t="str">
        <f>[1]Sheet2!EY154</f>
        <v/>
      </c>
      <c r="EY155" s="6" t="str">
        <f>[1]Sheet2!EZ154</f>
        <v/>
      </c>
      <c r="EZ155" s="6" t="str">
        <f>[1]Sheet2!FA154</f>
        <v/>
      </c>
      <c r="FA155" s="6" t="str">
        <f>[1]Sheet2!FB154</f>
        <v/>
      </c>
      <c r="FB155" s="6" t="str">
        <f>[1]Sheet2!FC154</f>
        <v/>
      </c>
      <c r="FC155" s="6" t="str">
        <f>[1]Sheet2!FD154</f>
        <v/>
      </c>
      <c r="FD155" s="6" t="str">
        <f>[1]Sheet2!FE154</f>
        <v/>
      </c>
      <c r="FE155" s="6" t="str">
        <f>[1]Sheet2!FF154</f>
        <v/>
      </c>
      <c r="FF155" s="6" t="str">
        <f>[1]Sheet2!FG154</f>
        <v/>
      </c>
      <c r="FG155" s="6" t="str">
        <f>[1]Sheet2!FH154</f>
        <v/>
      </c>
      <c r="FH155" s="6" t="str">
        <f>[1]Sheet2!FI154</f>
        <v/>
      </c>
      <c r="FI155" s="6" t="str">
        <f>[1]Sheet2!FJ154</f>
        <v/>
      </c>
      <c r="FJ155" s="6" t="str">
        <f>[1]Sheet2!FK154</f>
        <v/>
      </c>
      <c r="FK155" s="6" t="str">
        <f>[1]Sheet2!FL154</f>
        <v/>
      </c>
      <c r="FL155" s="6" t="str">
        <f>[1]Sheet2!FM154</f>
        <v/>
      </c>
      <c r="FM155" s="6" t="str">
        <f>[1]Sheet2!FN154</f>
        <v/>
      </c>
      <c r="FN155" s="6" t="str">
        <f>[1]Sheet2!FO154</f>
        <v/>
      </c>
      <c r="FO155" s="6" t="str">
        <f>[1]Sheet2!FP154</f>
        <v/>
      </c>
    </row>
    <row r="156" spans="1:171" x14ac:dyDescent="0.25">
      <c r="A156" s="15">
        <v>43618</v>
      </c>
      <c r="B156" s="1"/>
      <c r="C156" s="1"/>
      <c r="D156" s="1"/>
      <c r="E156" s="14">
        <f>[1]Sheet2!N155</f>
        <v>0</v>
      </c>
      <c r="F156" s="14">
        <f>[1]Sheet2!BE155</f>
        <v>0</v>
      </c>
      <c r="G156" s="14">
        <f>[1]Sheet2!CW155</f>
        <v>0</v>
      </c>
      <c r="H156" s="1"/>
      <c r="I156" s="1"/>
      <c r="J156" s="1"/>
      <c r="K156" s="16"/>
      <c r="L156" s="16">
        <f>Demand_CWRS!B$8/30</f>
        <v>124.86819391025641</v>
      </c>
      <c r="M156" s="16">
        <f>Demand_CWRS!C$8/30</f>
        <v>583.20512820512829</v>
      </c>
      <c r="N156" s="16">
        <f>Demand_CWRS!D$8/30</f>
        <v>0</v>
      </c>
      <c r="O156" s="16">
        <f>Demand_CWRS!E$8/30</f>
        <v>156.84829059829062</v>
      </c>
      <c r="P156" s="16">
        <f>Demand_CWRS!F$8/30</f>
        <v>252.39596314102559</v>
      </c>
      <c r="Q156" s="16">
        <f>Demand_CWRS!G$8/30</f>
        <v>124.86819391025641</v>
      </c>
      <c r="R156" s="16">
        <f>Demand_CWRS!H$8/30</f>
        <v>246.66666666666666</v>
      </c>
      <c r="S156" s="16">
        <f>Demand_CWRS!I$8/30</f>
        <v>246.66666666666666</v>
      </c>
      <c r="T156" s="16">
        <f>Demand_CWRS!J$8/30</f>
        <v>246.66666666666666</v>
      </c>
      <c r="U156" s="16">
        <f>Demand_CWRS!K$8/30</f>
        <v>246.66666666666666</v>
      </c>
      <c r="V156" s="16">
        <f t="shared" si="66"/>
        <v>-18864.452107909347</v>
      </c>
      <c r="W156" s="16">
        <f t="shared" si="67"/>
        <v>-67526.417948717775</v>
      </c>
      <c r="X156" s="16">
        <f t="shared" si="68"/>
        <v>0</v>
      </c>
      <c r="Y156" s="16">
        <f t="shared" si="69"/>
        <v>-9149.52441306933</v>
      </c>
      <c r="Z156" s="16">
        <f t="shared" si="70"/>
        <v>-30211.076866845189</v>
      </c>
      <c r="AA156" s="16">
        <f t="shared" si="71"/>
        <v>-17538.678958870911</v>
      </c>
      <c r="AB156" s="16">
        <f t="shared" si="72"/>
        <v>-34680.66194376826</v>
      </c>
      <c r="AC156" s="16">
        <f t="shared" si="73"/>
        <v>-28887.651687358015</v>
      </c>
      <c r="AD156" s="16">
        <f t="shared" si="74"/>
        <v>-28987.651687358008</v>
      </c>
      <c r="AE156" s="16">
        <f t="shared" si="75"/>
        <v>-29587.651687358011</v>
      </c>
      <c r="AF156" s="14">
        <f>IF([1]Sheet2!AJ155=999999,"NA",[1]Sheet2!AJ155)</f>
        <v>0</v>
      </c>
      <c r="AG156" s="14">
        <f>IF([1]Sheet2!AK155=999999,"NA",[1]Sheet2!AK155)</f>
        <v>0</v>
      </c>
      <c r="AH156" s="14" t="str">
        <f>IF([1]Sheet2!AL155=999999,"NA",[1]Sheet2!AL155)</f>
        <v>NA</v>
      </c>
      <c r="AI156" s="14">
        <f>IF([1]Sheet2!AM155=999999,"NA",[1]Sheet2!AM155)</f>
        <v>0</v>
      </c>
      <c r="AJ156" s="14">
        <f>IF([1]Sheet2!AN155=999999,"NA",[1]Sheet2!AN155)</f>
        <v>0</v>
      </c>
      <c r="AK156" s="14">
        <f>IF([1]Sheet2!AO155=999999,"NA",[1]Sheet2!AO155)</f>
        <v>0</v>
      </c>
      <c r="AL156" s="14">
        <f>IF([1]Sheet2!AP155=999999,"NA",[1]Sheet2!AP155)</f>
        <v>0</v>
      </c>
      <c r="AM156" s="14">
        <f>IF([1]Sheet2!AQ155=999999,"NA",[1]Sheet2!AQ155)</f>
        <v>0</v>
      </c>
      <c r="AN156" s="14">
        <f>IF([1]Sheet2!AR155=999999,"NA",[1]Sheet2!AR155)</f>
        <v>0</v>
      </c>
      <c r="AO156" s="14">
        <f>IF([1]Sheet2!AS155=999999,"NA",[1]Sheet2!AS155)</f>
        <v>0</v>
      </c>
      <c r="AP156" s="14">
        <f>[1]Sheet2!P155</f>
        <v>0</v>
      </c>
      <c r="AQ156" s="14">
        <f>[1]Sheet2!Q155</f>
        <v>0</v>
      </c>
      <c r="AR156" s="14">
        <f>[1]Sheet2!R155</f>
        <v>0</v>
      </c>
      <c r="AS156" s="14">
        <f>[1]Sheet2!S155</f>
        <v>0</v>
      </c>
      <c r="AT156" s="14">
        <f>[1]Sheet2!T155</f>
        <v>0</v>
      </c>
      <c r="AU156" s="14">
        <f>[1]Sheet2!U155</f>
        <v>0</v>
      </c>
      <c r="AV156" s="14">
        <f>[1]Sheet2!V155</f>
        <v>0</v>
      </c>
      <c r="AW156" s="14">
        <f>[1]Sheet2!W155</f>
        <v>0</v>
      </c>
      <c r="AX156" s="14">
        <f>[1]Sheet2!X155</f>
        <v>0</v>
      </c>
      <c r="AY156" s="14">
        <f>[1]Sheet2!Y155</f>
        <v>0</v>
      </c>
      <c r="AZ156" s="16">
        <f>Demand_LP!B$8/30</f>
        <v>807.81611164529909</v>
      </c>
      <c r="BA156" s="16">
        <f>Demand_LP!C$8/30</f>
        <v>574.48717948717956</v>
      </c>
      <c r="BB156" s="16">
        <f>Demand_LP!D$8/30</f>
        <v>339.04957264957267</v>
      </c>
      <c r="BC156" s="16">
        <f>Demand_LP!E$8/30</f>
        <v>830.46965811965799</v>
      </c>
      <c r="BD156" s="16">
        <f>Demand_LP!F$8/30</f>
        <v>476.67186805555554</v>
      </c>
      <c r="BE156" s="16">
        <f>Demand_LP!G$8/30</f>
        <v>476.67186805555554</v>
      </c>
      <c r="BF156" s="16">
        <f>Demand_LP!H$8/30</f>
        <v>574.48717948717956</v>
      </c>
      <c r="BG156" s="16">
        <f>Demand_LP!I$8/30</f>
        <v>476.67186805555554</v>
      </c>
      <c r="BH156" s="16">
        <f>Demand_LP!J$8/30</f>
        <v>476.67186805555554</v>
      </c>
      <c r="BI156" s="16">
        <f>Demand_LP!K$8/30</f>
        <v>476.67186805555554</v>
      </c>
      <c r="BJ156" s="16">
        <f t="shared" si="76"/>
        <v>-103566.85979677516</v>
      </c>
      <c r="BK156" s="16">
        <f t="shared" si="77"/>
        <v>-86100.453846153876</v>
      </c>
      <c r="BL156" s="16">
        <f t="shared" si="78"/>
        <v>-37198.218376068435</v>
      </c>
      <c r="BM156" s="16">
        <f t="shared" si="79"/>
        <v>-108308.75596667734</v>
      </c>
      <c r="BN156" s="16">
        <f t="shared" si="80"/>
        <v>-62434.234240817445</v>
      </c>
      <c r="BO156" s="16">
        <f t="shared" si="81"/>
        <v>-60891.918159188157</v>
      </c>
      <c r="BP156" s="16">
        <f t="shared" si="82"/>
        <v>-80458.033333333384</v>
      </c>
      <c r="BQ156" s="16">
        <f t="shared" si="83"/>
        <v>-60891.918159188157</v>
      </c>
      <c r="BR156" s="16">
        <f t="shared" si="84"/>
        <v>-58491.918159188157</v>
      </c>
      <c r="BS156" s="16">
        <f t="shared" si="85"/>
        <v>-59191.91815918815</v>
      </c>
      <c r="BT156" s="14">
        <f>IF([1]Sheet2!CB155=999999,"NA",[1]Sheet2!CB155)</f>
        <v>0</v>
      </c>
      <c r="BU156" s="14">
        <f>IF([1]Sheet2!CC155=999999,"NA",[1]Sheet2!CC155)</f>
        <v>0</v>
      </c>
      <c r="BV156" s="14">
        <f>IF([1]Sheet2!CD155=999999,"NA",[1]Sheet2!CD155)</f>
        <v>0</v>
      </c>
      <c r="BW156" s="14">
        <f>IF([1]Sheet2!CE155=999999,"NA",[1]Sheet2!CE155)</f>
        <v>0</v>
      </c>
      <c r="BX156" s="14">
        <f>IF([1]Sheet2!CF155=999999,"NA",[1]Sheet2!CF155)</f>
        <v>0</v>
      </c>
      <c r="BY156" s="14">
        <f>IF([1]Sheet2!CG155=999999,"NA",[1]Sheet2!CG155)</f>
        <v>0</v>
      </c>
      <c r="BZ156" s="14">
        <f>IF([1]Sheet2!CH155=999999,"NA",[1]Sheet2!CH155)</f>
        <v>0</v>
      </c>
      <c r="CA156" s="14">
        <f>IF([1]Sheet2!CI155=999999,"NA",[1]Sheet2!CI155)</f>
        <v>0</v>
      </c>
      <c r="CB156" s="14">
        <f>IF([1]Sheet2!CJ155=999999,"NA",[1]Sheet2!CJ155)</f>
        <v>0</v>
      </c>
      <c r="CC156" s="14">
        <f>IF([1]Sheet2!CK155=999999,"NA",[1]Sheet2!CK155)</f>
        <v>0</v>
      </c>
      <c r="CD156" s="14">
        <f>[1]Sheet2!BH155</f>
        <v>0</v>
      </c>
      <c r="CE156" s="14">
        <f>[1]Sheet2!BI155</f>
        <v>0</v>
      </c>
      <c r="CF156" s="14">
        <f>[1]Sheet2!BJ155</f>
        <v>0</v>
      </c>
      <c r="CG156" s="14">
        <f>[1]Sheet2!BK155</f>
        <v>0</v>
      </c>
      <c r="CH156" s="14">
        <f>[1]Sheet2!BL155</f>
        <v>0</v>
      </c>
      <c r="CI156" s="14">
        <f>[1]Sheet2!BM155</f>
        <v>0</v>
      </c>
      <c r="CJ156" s="14">
        <f>[1]Sheet2!BN155</f>
        <v>0</v>
      </c>
      <c r="CK156" s="14">
        <f>[1]Sheet2!BO155</f>
        <v>0</v>
      </c>
      <c r="CL156" s="14">
        <f>[1]Sheet2!BP155</f>
        <v>0</v>
      </c>
      <c r="CM156" s="14">
        <f>[1]Sheet2!BQ155</f>
        <v>0</v>
      </c>
      <c r="CN156" s="16">
        <f>Demand_SW!B$8/30</f>
        <v>144.23076923076923</v>
      </c>
      <c r="CO156" s="16">
        <f>Demand_SW!C$8/30</f>
        <v>0</v>
      </c>
      <c r="CP156" s="16">
        <f>Demand_SW!D$8/30</f>
        <v>0</v>
      </c>
      <c r="CQ156" s="16">
        <f>Demand_SW!E$8/30</f>
        <v>0</v>
      </c>
      <c r="CR156" s="16">
        <f>Demand_SW!F$8/30</f>
        <v>0</v>
      </c>
      <c r="CS156" s="16">
        <f>Demand_SW!G$8/30</f>
        <v>144.23076923076923</v>
      </c>
      <c r="CT156" s="16">
        <f>Demand_SW!H$8/30</f>
        <v>0</v>
      </c>
      <c r="CU156" s="16">
        <f>Demand_SW!I$8/30</f>
        <v>0</v>
      </c>
      <c r="CV156" s="16">
        <f>Demand_SW!J$8/30</f>
        <v>0</v>
      </c>
      <c r="CW156" s="16">
        <f>Demand_SW!K$8/30</f>
        <v>0</v>
      </c>
      <c r="CX156" s="16">
        <f t="shared" si="86"/>
        <v>-15559.230769230779</v>
      </c>
      <c r="CY156" s="16">
        <f t="shared" si="87"/>
        <v>76.923076923077133</v>
      </c>
      <c r="CZ156" s="16">
        <f t="shared" si="88"/>
        <v>0</v>
      </c>
      <c r="DA156" s="16">
        <f t="shared" si="89"/>
        <v>0</v>
      </c>
      <c r="DB156" s="16">
        <f t="shared" si="90"/>
        <v>0</v>
      </c>
      <c r="DC156" s="16">
        <f t="shared" si="91"/>
        <v>-15088.461538461546</v>
      </c>
      <c r="DD156" s="16">
        <f t="shared" si="92"/>
        <v>76.923076923077133</v>
      </c>
      <c r="DE156" s="16">
        <f t="shared" si="93"/>
        <v>0</v>
      </c>
      <c r="DF156" s="16">
        <f t="shared" si="94"/>
        <v>0</v>
      </c>
      <c r="DG156" s="16">
        <f t="shared" si="95"/>
        <v>0</v>
      </c>
      <c r="DH156" s="14">
        <f>IF([1]Sheet2!DS155=999999,"NA",[1]Sheet2!DS155)</f>
        <v>0</v>
      </c>
      <c r="DI156" s="14">
        <f>IF([1]Sheet2!DT155=999999,"NA",[1]Sheet2!DT155)</f>
        <v>212</v>
      </c>
      <c r="DJ156" s="14" t="str">
        <f>IF([1]Sheet2!DU155=999999,"NA",[1]Sheet2!DU155)</f>
        <v>NA</v>
      </c>
      <c r="DK156" s="14" t="str">
        <f>IF([1]Sheet2!DV155=999999,"NA",[1]Sheet2!DV155)</f>
        <v>NA</v>
      </c>
      <c r="DL156" s="14" t="str">
        <f>IF([1]Sheet2!DW155=999999,"NA",[1]Sheet2!DW155)</f>
        <v>NA</v>
      </c>
      <c r="DM156" s="14">
        <f>IF([1]Sheet2!DX155=999999,"NA",[1]Sheet2!DX155)</f>
        <v>0</v>
      </c>
      <c r="DN156" s="14">
        <f>IF([1]Sheet2!DY155=999999,"NA",[1]Sheet2!DY155)</f>
        <v>212</v>
      </c>
      <c r="DO156" s="14" t="str">
        <f>IF([1]Sheet2!DZ155=999999,"NA",[1]Sheet2!DZ155)</f>
        <v>NA</v>
      </c>
      <c r="DP156" s="14" t="str">
        <f>IF([1]Sheet2!EA155=999999,"NA",[1]Sheet2!EA155)</f>
        <v>NA</v>
      </c>
      <c r="DQ156" s="14" t="str">
        <f>IF([1]Sheet2!EB155=999999,"NA",[1]Sheet2!EB155)</f>
        <v>NA</v>
      </c>
      <c r="DR156" s="14">
        <f>[1]Sheet2!CY155</f>
        <v>0</v>
      </c>
      <c r="DS156" s="14">
        <f>[1]Sheet2!CZ155</f>
        <v>0</v>
      </c>
      <c r="DT156" s="14">
        <f>[1]Sheet2!DA155</f>
        <v>0</v>
      </c>
      <c r="DU156" s="14">
        <f>[1]Sheet2!DB155</f>
        <v>0</v>
      </c>
      <c r="DV156" s="14">
        <f>[1]Sheet2!DC155</f>
        <v>0</v>
      </c>
      <c r="DW156" s="14">
        <f>[1]Sheet2!DD155</f>
        <v>0</v>
      </c>
      <c r="DX156" s="14">
        <f>[1]Sheet2!DE155</f>
        <v>0</v>
      </c>
      <c r="DY156" s="14">
        <f>[1]Sheet2!DF155</f>
        <v>0</v>
      </c>
      <c r="DZ156" s="14">
        <f>[1]Sheet2!DG155</f>
        <v>0</v>
      </c>
      <c r="EA156" s="14">
        <f>[1]Sheet2!DH155</f>
        <v>0</v>
      </c>
      <c r="EB156" s="6">
        <f>[1]Sheet2!EC155</f>
        <v>0</v>
      </c>
      <c r="EC156" s="6">
        <f>[1]Sheet2!ED155</f>
        <v>0</v>
      </c>
      <c r="ED156" s="6">
        <f>[1]Sheet2!EE155</f>
        <v>0</v>
      </c>
      <c r="EE156" s="6">
        <f>[1]Sheet2!EF155</f>
        <v>0</v>
      </c>
      <c r="EF156" s="6">
        <f>[1]Sheet2!EG155</f>
        <v>0</v>
      </c>
      <c r="EG156" s="6">
        <f>[1]Sheet2!EH155</f>
        <v>0</v>
      </c>
      <c r="EH156" s="6">
        <f>[1]Sheet2!EI155</f>
        <v>0</v>
      </c>
      <c r="EI156" s="6">
        <f>[1]Sheet2!EJ155</f>
        <v>0</v>
      </c>
      <c r="EJ156" s="6">
        <f>[1]Sheet2!EK155</f>
        <v>0</v>
      </c>
      <c r="EK156" s="6">
        <f>[1]Sheet2!EL155</f>
        <v>0</v>
      </c>
      <c r="EL156" s="6" t="str">
        <f>[1]Sheet2!EM155</f>
        <v/>
      </c>
      <c r="EM156" s="6" t="str">
        <f>[1]Sheet2!EN155</f>
        <v/>
      </c>
      <c r="EN156" s="6" t="str">
        <f>[1]Sheet2!EO155</f>
        <v/>
      </c>
      <c r="EO156" s="6" t="str">
        <f>[1]Sheet2!EP155</f>
        <v/>
      </c>
      <c r="EP156" s="6" t="str">
        <f>[1]Sheet2!EQ155</f>
        <v/>
      </c>
      <c r="EQ156" s="6" t="str">
        <f>[1]Sheet2!ER155</f>
        <v/>
      </c>
      <c r="ER156" s="6" t="str">
        <f>[1]Sheet2!ES155</f>
        <v/>
      </c>
      <c r="ES156" s="6" t="str">
        <f>[1]Sheet2!ET155</f>
        <v/>
      </c>
      <c r="ET156" s="6" t="str">
        <f>[1]Sheet2!EU155</f>
        <v/>
      </c>
      <c r="EU156" s="6" t="str">
        <f>[1]Sheet2!EV155</f>
        <v/>
      </c>
      <c r="EV156" s="6" t="str">
        <f>[1]Sheet2!EW155</f>
        <v/>
      </c>
      <c r="EW156" s="6" t="str">
        <f>[1]Sheet2!EX155</f>
        <v/>
      </c>
      <c r="EX156" s="6" t="str">
        <f>[1]Sheet2!EY155</f>
        <v/>
      </c>
      <c r="EY156" s="6" t="str">
        <f>[1]Sheet2!EZ155</f>
        <v/>
      </c>
      <c r="EZ156" s="6" t="str">
        <f>[1]Sheet2!FA155</f>
        <v/>
      </c>
      <c r="FA156" s="6" t="str">
        <f>[1]Sheet2!FB155</f>
        <v/>
      </c>
      <c r="FB156" s="6" t="str">
        <f>[1]Sheet2!FC155</f>
        <v/>
      </c>
      <c r="FC156" s="6" t="str">
        <f>[1]Sheet2!FD155</f>
        <v/>
      </c>
      <c r="FD156" s="6" t="str">
        <f>[1]Sheet2!FE155</f>
        <v/>
      </c>
      <c r="FE156" s="6" t="str">
        <f>[1]Sheet2!FF155</f>
        <v/>
      </c>
      <c r="FF156" s="6" t="str">
        <f>[1]Sheet2!FG155</f>
        <v/>
      </c>
      <c r="FG156" s="6" t="str">
        <f>[1]Sheet2!FH155</f>
        <v/>
      </c>
      <c r="FH156" s="6" t="str">
        <f>[1]Sheet2!FI155</f>
        <v/>
      </c>
      <c r="FI156" s="6" t="str">
        <f>[1]Sheet2!FJ155</f>
        <v/>
      </c>
      <c r="FJ156" s="6" t="str">
        <f>[1]Sheet2!FK155</f>
        <v/>
      </c>
      <c r="FK156" s="6" t="str">
        <f>[1]Sheet2!FL155</f>
        <v/>
      </c>
      <c r="FL156" s="6" t="str">
        <f>[1]Sheet2!FM155</f>
        <v/>
      </c>
      <c r="FM156" s="6" t="str">
        <f>[1]Sheet2!FN155</f>
        <v/>
      </c>
      <c r="FN156" s="6" t="str">
        <f>[1]Sheet2!FO155</f>
        <v/>
      </c>
      <c r="FO156" s="6" t="str">
        <f>[1]Sheet2!FP155</f>
        <v/>
      </c>
    </row>
    <row r="157" spans="1:171" x14ac:dyDescent="0.25">
      <c r="A157" s="15">
        <v>43619</v>
      </c>
      <c r="B157" s="1"/>
      <c r="C157" s="1"/>
      <c r="D157" s="1"/>
      <c r="E157" s="14">
        <f>[1]Sheet2!N156</f>
        <v>0</v>
      </c>
      <c r="F157" s="14">
        <f>[1]Sheet2!BE156</f>
        <v>0</v>
      </c>
      <c r="G157" s="14">
        <f>[1]Sheet2!CW156</f>
        <v>0</v>
      </c>
      <c r="H157" s="1"/>
      <c r="I157" s="1"/>
      <c r="J157" s="1"/>
      <c r="K157" s="16"/>
      <c r="L157" s="16">
        <f>Demand_CWRS!B$8/30</f>
        <v>124.86819391025641</v>
      </c>
      <c r="M157" s="16">
        <f>Demand_CWRS!C$8/30</f>
        <v>583.20512820512829</v>
      </c>
      <c r="N157" s="16">
        <f>Demand_CWRS!D$8/30</f>
        <v>0</v>
      </c>
      <c r="O157" s="16">
        <f>Demand_CWRS!E$8/30</f>
        <v>156.84829059829062</v>
      </c>
      <c r="P157" s="16">
        <f>Demand_CWRS!F$8/30</f>
        <v>252.39596314102559</v>
      </c>
      <c r="Q157" s="16">
        <f>Demand_CWRS!G$8/30</f>
        <v>124.86819391025641</v>
      </c>
      <c r="R157" s="16">
        <f>Demand_CWRS!H$8/30</f>
        <v>246.66666666666666</v>
      </c>
      <c r="S157" s="16">
        <f>Demand_CWRS!I$8/30</f>
        <v>246.66666666666666</v>
      </c>
      <c r="T157" s="16">
        <f>Demand_CWRS!J$8/30</f>
        <v>246.66666666666666</v>
      </c>
      <c r="U157" s="16">
        <f>Demand_CWRS!K$8/30</f>
        <v>246.66666666666666</v>
      </c>
      <c r="V157" s="16">
        <f t="shared" si="66"/>
        <v>-18989.320301819604</v>
      </c>
      <c r="W157" s="16">
        <f t="shared" si="67"/>
        <v>-68109.623076922901</v>
      </c>
      <c r="X157" s="16">
        <f t="shared" si="68"/>
        <v>0</v>
      </c>
      <c r="Y157" s="16">
        <f t="shared" si="69"/>
        <v>-9306.372703667621</v>
      </c>
      <c r="Z157" s="16">
        <f t="shared" si="70"/>
        <v>-30463.472829986214</v>
      </c>
      <c r="AA157" s="16">
        <f t="shared" si="71"/>
        <v>-17663.547152781168</v>
      </c>
      <c r="AB157" s="16">
        <f t="shared" si="72"/>
        <v>-34927.328610434924</v>
      </c>
      <c r="AC157" s="16">
        <f t="shared" si="73"/>
        <v>-29134.318354024683</v>
      </c>
      <c r="AD157" s="16">
        <f t="shared" si="74"/>
        <v>-29234.318354024676</v>
      </c>
      <c r="AE157" s="16">
        <f t="shared" si="75"/>
        <v>-29834.318354024679</v>
      </c>
      <c r="AF157" s="14">
        <f>IF([1]Sheet2!AJ156=999999,"NA",[1]Sheet2!AJ156)</f>
        <v>0</v>
      </c>
      <c r="AG157" s="14">
        <f>IF([1]Sheet2!AK156=999999,"NA",[1]Sheet2!AK156)</f>
        <v>0</v>
      </c>
      <c r="AH157" s="14" t="str">
        <f>IF([1]Sheet2!AL156=999999,"NA",[1]Sheet2!AL156)</f>
        <v>NA</v>
      </c>
      <c r="AI157" s="14">
        <f>IF([1]Sheet2!AM156=999999,"NA",[1]Sheet2!AM156)</f>
        <v>0</v>
      </c>
      <c r="AJ157" s="14">
        <f>IF([1]Sheet2!AN156=999999,"NA",[1]Sheet2!AN156)</f>
        <v>0</v>
      </c>
      <c r="AK157" s="14">
        <f>IF([1]Sheet2!AO156=999999,"NA",[1]Sheet2!AO156)</f>
        <v>0</v>
      </c>
      <c r="AL157" s="14">
        <f>IF([1]Sheet2!AP156=999999,"NA",[1]Sheet2!AP156)</f>
        <v>0</v>
      </c>
      <c r="AM157" s="14">
        <f>IF([1]Sheet2!AQ156=999999,"NA",[1]Sheet2!AQ156)</f>
        <v>0</v>
      </c>
      <c r="AN157" s="14">
        <f>IF([1]Sheet2!AR156=999999,"NA",[1]Sheet2!AR156)</f>
        <v>0</v>
      </c>
      <c r="AO157" s="14">
        <f>IF([1]Sheet2!AS156=999999,"NA",[1]Sheet2!AS156)</f>
        <v>0</v>
      </c>
      <c r="AP157" s="14">
        <f>[1]Sheet2!P156</f>
        <v>0</v>
      </c>
      <c r="AQ157" s="14">
        <f>[1]Sheet2!Q156</f>
        <v>0</v>
      </c>
      <c r="AR157" s="14">
        <f>[1]Sheet2!R156</f>
        <v>0</v>
      </c>
      <c r="AS157" s="14">
        <f>[1]Sheet2!S156</f>
        <v>0</v>
      </c>
      <c r="AT157" s="14">
        <f>[1]Sheet2!T156</f>
        <v>0</v>
      </c>
      <c r="AU157" s="14">
        <f>[1]Sheet2!U156</f>
        <v>0</v>
      </c>
      <c r="AV157" s="14">
        <f>[1]Sheet2!V156</f>
        <v>0</v>
      </c>
      <c r="AW157" s="14">
        <f>[1]Sheet2!W156</f>
        <v>0</v>
      </c>
      <c r="AX157" s="14">
        <f>[1]Sheet2!X156</f>
        <v>0</v>
      </c>
      <c r="AY157" s="14">
        <f>[1]Sheet2!Y156</f>
        <v>0</v>
      </c>
      <c r="AZ157" s="16">
        <f>Demand_LP!B$8/30</f>
        <v>807.81611164529909</v>
      </c>
      <c r="BA157" s="16">
        <f>Demand_LP!C$8/30</f>
        <v>574.48717948717956</v>
      </c>
      <c r="BB157" s="16">
        <f>Demand_LP!D$8/30</f>
        <v>339.04957264957267</v>
      </c>
      <c r="BC157" s="16">
        <f>Demand_LP!E$8/30</f>
        <v>830.46965811965799</v>
      </c>
      <c r="BD157" s="16">
        <f>Demand_LP!F$8/30</f>
        <v>476.67186805555554</v>
      </c>
      <c r="BE157" s="16">
        <f>Demand_LP!G$8/30</f>
        <v>476.67186805555554</v>
      </c>
      <c r="BF157" s="16">
        <f>Demand_LP!H$8/30</f>
        <v>574.48717948717956</v>
      </c>
      <c r="BG157" s="16">
        <f>Demand_LP!I$8/30</f>
        <v>476.67186805555554</v>
      </c>
      <c r="BH157" s="16">
        <f>Demand_LP!J$8/30</f>
        <v>476.67186805555554</v>
      </c>
      <c r="BI157" s="16">
        <f>Demand_LP!K$8/30</f>
        <v>476.67186805555554</v>
      </c>
      <c r="BJ157" s="16">
        <f t="shared" si="76"/>
        <v>-104374.67590842045</v>
      </c>
      <c r="BK157" s="16">
        <f t="shared" si="77"/>
        <v>-86674.941025641048</v>
      </c>
      <c r="BL157" s="16">
        <f t="shared" si="78"/>
        <v>-37537.267948718007</v>
      </c>
      <c r="BM157" s="16">
        <f t="shared" si="79"/>
        <v>-109139.22562479701</v>
      </c>
      <c r="BN157" s="16">
        <f t="shared" si="80"/>
        <v>-62910.906108873001</v>
      </c>
      <c r="BO157" s="16">
        <f t="shared" si="81"/>
        <v>-61368.590027243714</v>
      </c>
      <c r="BP157" s="16">
        <f t="shared" si="82"/>
        <v>-81032.520512820556</v>
      </c>
      <c r="BQ157" s="16">
        <f t="shared" si="83"/>
        <v>-61368.590027243714</v>
      </c>
      <c r="BR157" s="16">
        <f t="shared" si="84"/>
        <v>-58968.590027243714</v>
      </c>
      <c r="BS157" s="16">
        <f t="shared" si="85"/>
        <v>-59668.590027243707</v>
      </c>
      <c r="BT157" s="14">
        <f>IF([1]Sheet2!CB156=999999,"NA",[1]Sheet2!CB156)</f>
        <v>0</v>
      </c>
      <c r="BU157" s="14">
        <f>IF([1]Sheet2!CC156=999999,"NA",[1]Sheet2!CC156)</f>
        <v>0</v>
      </c>
      <c r="BV157" s="14">
        <f>IF([1]Sheet2!CD156=999999,"NA",[1]Sheet2!CD156)</f>
        <v>0</v>
      </c>
      <c r="BW157" s="14">
        <f>IF([1]Sheet2!CE156=999999,"NA",[1]Sheet2!CE156)</f>
        <v>0</v>
      </c>
      <c r="BX157" s="14">
        <f>IF([1]Sheet2!CF156=999999,"NA",[1]Sheet2!CF156)</f>
        <v>0</v>
      </c>
      <c r="BY157" s="14">
        <f>IF([1]Sheet2!CG156=999999,"NA",[1]Sheet2!CG156)</f>
        <v>0</v>
      </c>
      <c r="BZ157" s="14">
        <f>IF([1]Sheet2!CH156=999999,"NA",[1]Sheet2!CH156)</f>
        <v>0</v>
      </c>
      <c r="CA157" s="14">
        <f>IF([1]Sheet2!CI156=999999,"NA",[1]Sheet2!CI156)</f>
        <v>0</v>
      </c>
      <c r="CB157" s="14">
        <f>IF([1]Sheet2!CJ156=999999,"NA",[1]Sheet2!CJ156)</f>
        <v>0</v>
      </c>
      <c r="CC157" s="14">
        <f>IF([1]Sheet2!CK156=999999,"NA",[1]Sheet2!CK156)</f>
        <v>0</v>
      </c>
      <c r="CD157" s="14">
        <f>[1]Sheet2!BH156</f>
        <v>0</v>
      </c>
      <c r="CE157" s="14">
        <f>[1]Sheet2!BI156</f>
        <v>0</v>
      </c>
      <c r="CF157" s="14">
        <f>[1]Sheet2!BJ156</f>
        <v>0</v>
      </c>
      <c r="CG157" s="14">
        <f>[1]Sheet2!BK156</f>
        <v>0</v>
      </c>
      <c r="CH157" s="14">
        <f>[1]Sheet2!BL156</f>
        <v>0</v>
      </c>
      <c r="CI157" s="14">
        <f>[1]Sheet2!BM156</f>
        <v>0</v>
      </c>
      <c r="CJ157" s="14">
        <f>[1]Sheet2!BN156</f>
        <v>0</v>
      </c>
      <c r="CK157" s="14">
        <f>[1]Sheet2!BO156</f>
        <v>0</v>
      </c>
      <c r="CL157" s="14">
        <f>[1]Sheet2!BP156</f>
        <v>0</v>
      </c>
      <c r="CM157" s="14">
        <f>[1]Sheet2!BQ156</f>
        <v>0</v>
      </c>
      <c r="CN157" s="16">
        <f>Demand_SW!B$8/30</f>
        <v>144.23076923076923</v>
      </c>
      <c r="CO157" s="16">
        <f>Demand_SW!C$8/30</f>
        <v>0</v>
      </c>
      <c r="CP157" s="16">
        <f>Demand_SW!D$8/30</f>
        <v>0</v>
      </c>
      <c r="CQ157" s="16">
        <f>Demand_SW!E$8/30</f>
        <v>0</v>
      </c>
      <c r="CR157" s="16">
        <f>Demand_SW!F$8/30</f>
        <v>0</v>
      </c>
      <c r="CS157" s="16">
        <f>Demand_SW!G$8/30</f>
        <v>144.23076923076923</v>
      </c>
      <c r="CT157" s="16">
        <f>Demand_SW!H$8/30</f>
        <v>0</v>
      </c>
      <c r="CU157" s="16">
        <f>Demand_SW!I$8/30</f>
        <v>0</v>
      </c>
      <c r="CV157" s="16">
        <f>Demand_SW!J$8/30</f>
        <v>0</v>
      </c>
      <c r="CW157" s="16">
        <f>Demand_SW!K$8/30</f>
        <v>0</v>
      </c>
      <c r="CX157" s="16">
        <f t="shared" si="86"/>
        <v>-15703.461538461548</v>
      </c>
      <c r="CY157" s="16">
        <f t="shared" si="87"/>
        <v>76.923076923077133</v>
      </c>
      <c r="CZ157" s="16">
        <f t="shared" si="88"/>
        <v>0</v>
      </c>
      <c r="DA157" s="16">
        <f t="shared" si="89"/>
        <v>0</v>
      </c>
      <c r="DB157" s="16">
        <f t="shared" si="90"/>
        <v>0</v>
      </c>
      <c r="DC157" s="16">
        <f t="shared" si="91"/>
        <v>-15232.692307692316</v>
      </c>
      <c r="DD157" s="16">
        <f t="shared" si="92"/>
        <v>76.923076923077133</v>
      </c>
      <c r="DE157" s="16">
        <f t="shared" si="93"/>
        <v>0</v>
      </c>
      <c r="DF157" s="16">
        <f t="shared" si="94"/>
        <v>0</v>
      </c>
      <c r="DG157" s="16">
        <f t="shared" si="95"/>
        <v>0</v>
      </c>
      <c r="DH157" s="14">
        <f>IF([1]Sheet2!DS156=999999,"NA",[1]Sheet2!DS156)</f>
        <v>0</v>
      </c>
      <c r="DI157" s="14">
        <f>IF([1]Sheet2!DT156=999999,"NA",[1]Sheet2!DT156)</f>
        <v>211</v>
      </c>
      <c r="DJ157" s="14" t="str">
        <f>IF([1]Sheet2!DU156=999999,"NA",[1]Sheet2!DU156)</f>
        <v>NA</v>
      </c>
      <c r="DK157" s="14" t="str">
        <f>IF([1]Sheet2!DV156=999999,"NA",[1]Sheet2!DV156)</f>
        <v>NA</v>
      </c>
      <c r="DL157" s="14" t="str">
        <f>IF([1]Sheet2!DW156=999999,"NA",[1]Sheet2!DW156)</f>
        <v>NA</v>
      </c>
      <c r="DM157" s="14">
        <f>IF([1]Sheet2!DX156=999999,"NA",[1]Sheet2!DX156)</f>
        <v>0</v>
      </c>
      <c r="DN157" s="14">
        <f>IF([1]Sheet2!DY156=999999,"NA",[1]Sheet2!DY156)</f>
        <v>211</v>
      </c>
      <c r="DO157" s="14" t="str">
        <f>IF([1]Sheet2!DZ156=999999,"NA",[1]Sheet2!DZ156)</f>
        <v>NA</v>
      </c>
      <c r="DP157" s="14" t="str">
        <f>IF([1]Sheet2!EA156=999999,"NA",[1]Sheet2!EA156)</f>
        <v>NA</v>
      </c>
      <c r="DQ157" s="14" t="str">
        <f>IF([1]Sheet2!EB156=999999,"NA",[1]Sheet2!EB156)</f>
        <v>NA</v>
      </c>
      <c r="DR157" s="14">
        <f>[1]Sheet2!CY156</f>
        <v>0</v>
      </c>
      <c r="DS157" s="14">
        <f>[1]Sheet2!CZ156</f>
        <v>0</v>
      </c>
      <c r="DT157" s="14">
        <f>[1]Sheet2!DA156</f>
        <v>0</v>
      </c>
      <c r="DU157" s="14">
        <f>[1]Sheet2!DB156</f>
        <v>0</v>
      </c>
      <c r="DV157" s="14">
        <f>[1]Sheet2!DC156</f>
        <v>0</v>
      </c>
      <c r="DW157" s="14">
        <f>[1]Sheet2!DD156</f>
        <v>0</v>
      </c>
      <c r="DX157" s="14">
        <f>[1]Sheet2!DE156</f>
        <v>0</v>
      </c>
      <c r="DY157" s="14">
        <f>[1]Sheet2!DF156</f>
        <v>0</v>
      </c>
      <c r="DZ157" s="14">
        <f>[1]Sheet2!DG156</f>
        <v>0</v>
      </c>
      <c r="EA157" s="14">
        <f>[1]Sheet2!DH156</f>
        <v>0</v>
      </c>
      <c r="EB157" s="6">
        <f>[1]Sheet2!EC156</f>
        <v>0</v>
      </c>
      <c r="EC157" s="6">
        <f>[1]Sheet2!ED156</f>
        <v>0</v>
      </c>
      <c r="ED157" s="6">
        <f>[1]Sheet2!EE156</f>
        <v>0</v>
      </c>
      <c r="EE157" s="6">
        <f>[1]Sheet2!EF156</f>
        <v>0</v>
      </c>
      <c r="EF157" s="6">
        <f>[1]Sheet2!EG156</f>
        <v>0</v>
      </c>
      <c r="EG157" s="6">
        <f>[1]Sheet2!EH156</f>
        <v>0</v>
      </c>
      <c r="EH157" s="6">
        <f>[1]Sheet2!EI156</f>
        <v>0</v>
      </c>
      <c r="EI157" s="6">
        <f>[1]Sheet2!EJ156</f>
        <v>0</v>
      </c>
      <c r="EJ157" s="6">
        <f>[1]Sheet2!EK156</f>
        <v>0</v>
      </c>
      <c r="EK157" s="6">
        <f>[1]Sheet2!EL156</f>
        <v>0</v>
      </c>
      <c r="EL157" s="6" t="str">
        <f>[1]Sheet2!EM156</f>
        <v/>
      </c>
      <c r="EM157" s="6" t="str">
        <f>[1]Sheet2!EN156</f>
        <v/>
      </c>
      <c r="EN157" s="6" t="str">
        <f>[1]Sheet2!EO156</f>
        <v/>
      </c>
      <c r="EO157" s="6" t="str">
        <f>[1]Sheet2!EP156</f>
        <v/>
      </c>
      <c r="EP157" s="6" t="str">
        <f>[1]Sheet2!EQ156</f>
        <v/>
      </c>
      <c r="EQ157" s="6" t="str">
        <f>[1]Sheet2!ER156</f>
        <v/>
      </c>
      <c r="ER157" s="6" t="str">
        <f>[1]Sheet2!ES156</f>
        <v/>
      </c>
      <c r="ES157" s="6" t="str">
        <f>[1]Sheet2!ET156</f>
        <v/>
      </c>
      <c r="ET157" s="6" t="str">
        <f>[1]Sheet2!EU156</f>
        <v/>
      </c>
      <c r="EU157" s="6" t="str">
        <f>[1]Sheet2!EV156</f>
        <v/>
      </c>
      <c r="EV157" s="6" t="str">
        <f>[1]Sheet2!EW156</f>
        <v/>
      </c>
      <c r="EW157" s="6" t="str">
        <f>[1]Sheet2!EX156</f>
        <v/>
      </c>
      <c r="EX157" s="6" t="str">
        <f>[1]Sheet2!EY156</f>
        <v/>
      </c>
      <c r="EY157" s="6" t="str">
        <f>[1]Sheet2!EZ156</f>
        <v/>
      </c>
      <c r="EZ157" s="6" t="str">
        <f>[1]Sheet2!FA156</f>
        <v/>
      </c>
      <c r="FA157" s="6" t="str">
        <f>[1]Sheet2!FB156</f>
        <v/>
      </c>
      <c r="FB157" s="6" t="str">
        <f>[1]Sheet2!FC156</f>
        <v/>
      </c>
      <c r="FC157" s="6" t="str">
        <f>[1]Sheet2!FD156</f>
        <v/>
      </c>
      <c r="FD157" s="6" t="str">
        <f>[1]Sheet2!FE156</f>
        <v/>
      </c>
      <c r="FE157" s="6" t="str">
        <f>[1]Sheet2!FF156</f>
        <v/>
      </c>
      <c r="FF157" s="6" t="str">
        <f>[1]Sheet2!FG156</f>
        <v/>
      </c>
      <c r="FG157" s="6" t="str">
        <f>[1]Sheet2!FH156</f>
        <v/>
      </c>
      <c r="FH157" s="6" t="str">
        <f>[1]Sheet2!FI156</f>
        <v/>
      </c>
      <c r="FI157" s="6" t="str">
        <f>[1]Sheet2!FJ156</f>
        <v/>
      </c>
      <c r="FJ157" s="6" t="str">
        <f>[1]Sheet2!FK156</f>
        <v/>
      </c>
      <c r="FK157" s="6" t="str">
        <f>[1]Sheet2!FL156</f>
        <v/>
      </c>
      <c r="FL157" s="6" t="str">
        <f>[1]Sheet2!FM156</f>
        <v/>
      </c>
      <c r="FM157" s="6" t="str">
        <f>[1]Sheet2!FN156</f>
        <v/>
      </c>
      <c r="FN157" s="6" t="str">
        <f>[1]Sheet2!FO156</f>
        <v/>
      </c>
      <c r="FO157" s="6" t="str">
        <f>[1]Sheet2!FP156</f>
        <v/>
      </c>
    </row>
    <row r="158" spans="1:171" x14ac:dyDescent="0.25">
      <c r="A158" s="15">
        <v>43620</v>
      </c>
      <c r="B158" s="1"/>
      <c r="C158" s="1"/>
      <c r="D158" s="1"/>
      <c r="E158" s="14">
        <f>[1]Sheet2!N157</f>
        <v>0</v>
      </c>
      <c r="F158" s="14">
        <f>[1]Sheet2!BE157</f>
        <v>0</v>
      </c>
      <c r="G158" s="14">
        <f>[1]Sheet2!CW157</f>
        <v>0</v>
      </c>
      <c r="H158" s="1"/>
      <c r="I158" s="1"/>
      <c r="J158" s="1"/>
      <c r="K158" s="16"/>
      <c r="L158" s="16">
        <f>Demand_CWRS!B$8/30</f>
        <v>124.86819391025641</v>
      </c>
      <c r="M158" s="16">
        <f>Demand_CWRS!C$8/30</f>
        <v>583.20512820512829</v>
      </c>
      <c r="N158" s="16">
        <f>Demand_CWRS!D$8/30</f>
        <v>0</v>
      </c>
      <c r="O158" s="16">
        <f>Demand_CWRS!E$8/30</f>
        <v>156.84829059829062</v>
      </c>
      <c r="P158" s="16">
        <f>Demand_CWRS!F$8/30</f>
        <v>252.39596314102559</v>
      </c>
      <c r="Q158" s="16">
        <f>Demand_CWRS!G$8/30</f>
        <v>124.86819391025641</v>
      </c>
      <c r="R158" s="16">
        <f>Demand_CWRS!H$8/30</f>
        <v>246.66666666666666</v>
      </c>
      <c r="S158" s="16">
        <f>Demand_CWRS!I$8/30</f>
        <v>246.66666666666666</v>
      </c>
      <c r="T158" s="16">
        <f>Demand_CWRS!J$8/30</f>
        <v>246.66666666666666</v>
      </c>
      <c r="U158" s="16">
        <f>Demand_CWRS!K$8/30</f>
        <v>246.66666666666666</v>
      </c>
      <c r="V158" s="16">
        <f t="shared" si="66"/>
        <v>-19114.188495729861</v>
      </c>
      <c r="W158" s="16">
        <f t="shared" si="67"/>
        <v>-68692.828205128026</v>
      </c>
      <c r="X158" s="16">
        <f t="shared" si="68"/>
        <v>0</v>
      </c>
      <c r="Y158" s="16">
        <f t="shared" si="69"/>
        <v>-9463.2209942659119</v>
      </c>
      <c r="Z158" s="16">
        <f t="shared" si="70"/>
        <v>-30715.86879312724</v>
      </c>
      <c r="AA158" s="16">
        <f t="shared" si="71"/>
        <v>-17788.415346691425</v>
      </c>
      <c r="AB158" s="16">
        <f t="shared" si="72"/>
        <v>-35173.995277101589</v>
      </c>
      <c r="AC158" s="16">
        <f t="shared" si="73"/>
        <v>-29380.985020691351</v>
      </c>
      <c r="AD158" s="16">
        <f t="shared" si="74"/>
        <v>-29480.985020691343</v>
      </c>
      <c r="AE158" s="16">
        <f t="shared" si="75"/>
        <v>-30080.985020691347</v>
      </c>
      <c r="AF158" s="14">
        <f>IF([1]Sheet2!AJ157=999999,"NA",[1]Sheet2!AJ157)</f>
        <v>0</v>
      </c>
      <c r="AG158" s="14">
        <f>IF([1]Sheet2!AK157=999999,"NA",[1]Sheet2!AK157)</f>
        <v>0</v>
      </c>
      <c r="AH158" s="14" t="str">
        <f>IF([1]Sheet2!AL157=999999,"NA",[1]Sheet2!AL157)</f>
        <v>NA</v>
      </c>
      <c r="AI158" s="14">
        <f>IF([1]Sheet2!AM157=999999,"NA",[1]Sheet2!AM157)</f>
        <v>0</v>
      </c>
      <c r="AJ158" s="14">
        <f>IF([1]Sheet2!AN157=999999,"NA",[1]Sheet2!AN157)</f>
        <v>0</v>
      </c>
      <c r="AK158" s="14">
        <f>IF([1]Sheet2!AO157=999999,"NA",[1]Sheet2!AO157)</f>
        <v>0</v>
      </c>
      <c r="AL158" s="14">
        <f>IF([1]Sheet2!AP157=999999,"NA",[1]Sheet2!AP157)</f>
        <v>0</v>
      </c>
      <c r="AM158" s="14">
        <f>IF([1]Sheet2!AQ157=999999,"NA",[1]Sheet2!AQ157)</f>
        <v>0</v>
      </c>
      <c r="AN158" s="14">
        <f>IF([1]Sheet2!AR157=999999,"NA",[1]Sheet2!AR157)</f>
        <v>0</v>
      </c>
      <c r="AO158" s="14">
        <f>IF([1]Sheet2!AS157=999999,"NA",[1]Sheet2!AS157)</f>
        <v>0</v>
      </c>
      <c r="AP158" s="14">
        <f>[1]Sheet2!P157</f>
        <v>0</v>
      </c>
      <c r="AQ158" s="14">
        <f>[1]Sheet2!Q157</f>
        <v>0</v>
      </c>
      <c r="AR158" s="14">
        <f>[1]Sheet2!R157</f>
        <v>0</v>
      </c>
      <c r="AS158" s="14">
        <f>[1]Sheet2!S157</f>
        <v>0</v>
      </c>
      <c r="AT158" s="14">
        <f>[1]Sheet2!T157</f>
        <v>0</v>
      </c>
      <c r="AU158" s="14">
        <f>[1]Sheet2!U157</f>
        <v>0</v>
      </c>
      <c r="AV158" s="14">
        <f>[1]Sheet2!V157</f>
        <v>0</v>
      </c>
      <c r="AW158" s="14">
        <f>[1]Sheet2!W157</f>
        <v>0</v>
      </c>
      <c r="AX158" s="14">
        <f>[1]Sheet2!X157</f>
        <v>0</v>
      </c>
      <c r="AY158" s="14">
        <f>[1]Sheet2!Y157</f>
        <v>0</v>
      </c>
      <c r="AZ158" s="16">
        <f>Demand_LP!B$8/30</f>
        <v>807.81611164529909</v>
      </c>
      <c r="BA158" s="16">
        <f>Demand_LP!C$8/30</f>
        <v>574.48717948717956</v>
      </c>
      <c r="BB158" s="16">
        <f>Demand_LP!D$8/30</f>
        <v>339.04957264957267</v>
      </c>
      <c r="BC158" s="16">
        <f>Demand_LP!E$8/30</f>
        <v>830.46965811965799</v>
      </c>
      <c r="BD158" s="16">
        <f>Demand_LP!F$8/30</f>
        <v>476.67186805555554</v>
      </c>
      <c r="BE158" s="16">
        <f>Demand_LP!G$8/30</f>
        <v>476.67186805555554</v>
      </c>
      <c r="BF158" s="16">
        <f>Demand_LP!H$8/30</f>
        <v>574.48717948717956</v>
      </c>
      <c r="BG158" s="16">
        <f>Demand_LP!I$8/30</f>
        <v>476.67186805555554</v>
      </c>
      <c r="BH158" s="16">
        <f>Demand_LP!J$8/30</f>
        <v>476.67186805555554</v>
      </c>
      <c r="BI158" s="16">
        <f>Demand_LP!K$8/30</f>
        <v>476.67186805555554</v>
      </c>
      <c r="BJ158" s="16">
        <f t="shared" si="76"/>
        <v>-105182.49202006575</v>
      </c>
      <c r="BK158" s="16">
        <f t="shared" si="77"/>
        <v>-87249.428205128221</v>
      </c>
      <c r="BL158" s="16">
        <f t="shared" si="78"/>
        <v>-37876.317521367579</v>
      </c>
      <c r="BM158" s="16">
        <f t="shared" si="79"/>
        <v>-109969.69528291667</v>
      </c>
      <c r="BN158" s="16">
        <f t="shared" si="80"/>
        <v>-63387.577976928558</v>
      </c>
      <c r="BO158" s="16">
        <f t="shared" si="81"/>
        <v>-61845.261895299271</v>
      </c>
      <c r="BP158" s="16">
        <f t="shared" si="82"/>
        <v>-81607.007692307729</v>
      </c>
      <c r="BQ158" s="16">
        <f t="shared" si="83"/>
        <v>-61845.261895299271</v>
      </c>
      <c r="BR158" s="16">
        <f t="shared" si="84"/>
        <v>-59445.261895299271</v>
      </c>
      <c r="BS158" s="16">
        <f t="shared" si="85"/>
        <v>-60145.261895299263</v>
      </c>
      <c r="BT158" s="14">
        <f>IF([1]Sheet2!CB157=999999,"NA",[1]Sheet2!CB157)</f>
        <v>0</v>
      </c>
      <c r="BU158" s="14">
        <f>IF([1]Sheet2!CC157=999999,"NA",[1]Sheet2!CC157)</f>
        <v>0</v>
      </c>
      <c r="BV158" s="14">
        <f>IF([1]Sheet2!CD157=999999,"NA",[1]Sheet2!CD157)</f>
        <v>0</v>
      </c>
      <c r="BW158" s="14">
        <f>IF([1]Sheet2!CE157=999999,"NA",[1]Sheet2!CE157)</f>
        <v>0</v>
      </c>
      <c r="BX158" s="14">
        <f>IF([1]Sheet2!CF157=999999,"NA",[1]Sheet2!CF157)</f>
        <v>0</v>
      </c>
      <c r="BY158" s="14">
        <f>IF([1]Sheet2!CG157=999999,"NA",[1]Sheet2!CG157)</f>
        <v>0</v>
      </c>
      <c r="BZ158" s="14">
        <f>IF([1]Sheet2!CH157=999999,"NA",[1]Sheet2!CH157)</f>
        <v>0</v>
      </c>
      <c r="CA158" s="14">
        <f>IF([1]Sheet2!CI157=999999,"NA",[1]Sheet2!CI157)</f>
        <v>0</v>
      </c>
      <c r="CB158" s="14">
        <f>IF([1]Sheet2!CJ157=999999,"NA",[1]Sheet2!CJ157)</f>
        <v>0</v>
      </c>
      <c r="CC158" s="14">
        <f>IF([1]Sheet2!CK157=999999,"NA",[1]Sheet2!CK157)</f>
        <v>0</v>
      </c>
      <c r="CD158" s="14">
        <f>[1]Sheet2!BH157</f>
        <v>0</v>
      </c>
      <c r="CE158" s="14">
        <f>[1]Sheet2!BI157</f>
        <v>0</v>
      </c>
      <c r="CF158" s="14">
        <f>[1]Sheet2!BJ157</f>
        <v>0</v>
      </c>
      <c r="CG158" s="14">
        <f>[1]Sheet2!BK157</f>
        <v>0</v>
      </c>
      <c r="CH158" s="14">
        <f>[1]Sheet2!BL157</f>
        <v>0</v>
      </c>
      <c r="CI158" s="14">
        <f>[1]Sheet2!BM157</f>
        <v>0</v>
      </c>
      <c r="CJ158" s="14">
        <f>[1]Sheet2!BN157</f>
        <v>0</v>
      </c>
      <c r="CK158" s="14">
        <f>[1]Sheet2!BO157</f>
        <v>0</v>
      </c>
      <c r="CL158" s="14">
        <f>[1]Sheet2!BP157</f>
        <v>0</v>
      </c>
      <c r="CM158" s="14">
        <f>[1]Sheet2!BQ157</f>
        <v>0</v>
      </c>
      <c r="CN158" s="16">
        <f>Demand_SW!B$8/30</f>
        <v>144.23076923076923</v>
      </c>
      <c r="CO158" s="16">
        <f>Demand_SW!C$8/30</f>
        <v>0</v>
      </c>
      <c r="CP158" s="16">
        <f>Demand_SW!D$8/30</f>
        <v>0</v>
      </c>
      <c r="CQ158" s="16">
        <f>Demand_SW!E$8/30</f>
        <v>0</v>
      </c>
      <c r="CR158" s="16">
        <f>Demand_SW!F$8/30</f>
        <v>0</v>
      </c>
      <c r="CS158" s="16">
        <f>Demand_SW!G$8/30</f>
        <v>144.23076923076923</v>
      </c>
      <c r="CT158" s="16">
        <f>Demand_SW!H$8/30</f>
        <v>0</v>
      </c>
      <c r="CU158" s="16">
        <f>Demand_SW!I$8/30</f>
        <v>0</v>
      </c>
      <c r="CV158" s="16">
        <f>Demand_SW!J$8/30</f>
        <v>0</v>
      </c>
      <c r="CW158" s="16">
        <f>Demand_SW!K$8/30</f>
        <v>0</v>
      </c>
      <c r="CX158" s="16">
        <f t="shared" si="86"/>
        <v>-15847.692307692318</v>
      </c>
      <c r="CY158" s="16">
        <f t="shared" si="87"/>
        <v>76.923076923077133</v>
      </c>
      <c r="CZ158" s="16">
        <f t="shared" si="88"/>
        <v>0</v>
      </c>
      <c r="DA158" s="16">
        <f t="shared" si="89"/>
        <v>0</v>
      </c>
      <c r="DB158" s="16">
        <f t="shared" si="90"/>
        <v>0</v>
      </c>
      <c r="DC158" s="16">
        <f t="shared" si="91"/>
        <v>-15376.923076923085</v>
      </c>
      <c r="DD158" s="16">
        <f t="shared" si="92"/>
        <v>76.923076923077133</v>
      </c>
      <c r="DE158" s="16">
        <f t="shared" si="93"/>
        <v>0</v>
      </c>
      <c r="DF158" s="16">
        <f t="shared" si="94"/>
        <v>0</v>
      </c>
      <c r="DG158" s="16">
        <f t="shared" si="95"/>
        <v>0</v>
      </c>
      <c r="DH158" s="14">
        <f>IF([1]Sheet2!DS157=999999,"NA",[1]Sheet2!DS157)</f>
        <v>0</v>
      </c>
      <c r="DI158" s="14">
        <f>IF([1]Sheet2!DT157=999999,"NA",[1]Sheet2!DT157)</f>
        <v>210</v>
      </c>
      <c r="DJ158" s="14" t="str">
        <f>IF([1]Sheet2!DU157=999999,"NA",[1]Sheet2!DU157)</f>
        <v>NA</v>
      </c>
      <c r="DK158" s="14" t="str">
        <f>IF([1]Sheet2!DV157=999999,"NA",[1]Sheet2!DV157)</f>
        <v>NA</v>
      </c>
      <c r="DL158" s="14" t="str">
        <f>IF([1]Sheet2!DW157=999999,"NA",[1]Sheet2!DW157)</f>
        <v>NA</v>
      </c>
      <c r="DM158" s="14">
        <f>IF([1]Sheet2!DX157=999999,"NA",[1]Sheet2!DX157)</f>
        <v>0</v>
      </c>
      <c r="DN158" s="14">
        <f>IF([1]Sheet2!DY157=999999,"NA",[1]Sheet2!DY157)</f>
        <v>210</v>
      </c>
      <c r="DO158" s="14" t="str">
        <f>IF([1]Sheet2!DZ157=999999,"NA",[1]Sheet2!DZ157)</f>
        <v>NA</v>
      </c>
      <c r="DP158" s="14" t="str">
        <f>IF([1]Sheet2!EA157=999999,"NA",[1]Sheet2!EA157)</f>
        <v>NA</v>
      </c>
      <c r="DQ158" s="14" t="str">
        <f>IF([1]Sheet2!EB157=999999,"NA",[1]Sheet2!EB157)</f>
        <v>NA</v>
      </c>
      <c r="DR158" s="14">
        <f>[1]Sheet2!CY157</f>
        <v>0</v>
      </c>
      <c r="DS158" s="14">
        <f>[1]Sheet2!CZ157</f>
        <v>0</v>
      </c>
      <c r="DT158" s="14">
        <f>[1]Sheet2!DA157</f>
        <v>0</v>
      </c>
      <c r="DU158" s="14">
        <f>[1]Sheet2!DB157</f>
        <v>0</v>
      </c>
      <c r="DV158" s="14">
        <f>[1]Sheet2!DC157</f>
        <v>0</v>
      </c>
      <c r="DW158" s="14">
        <f>[1]Sheet2!DD157</f>
        <v>0</v>
      </c>
      <c r="DX158" s="14">
        <f>[1]Sheet2!DE157</f>
        <v>0</v>
      </c>
      <c r="DY158" s="14">
        <f>[1]Sheet2!DF157</f>
        <v>0</v>
      </c>
      <c r="DZ158" s="14">
        <f>[1]Sheet2!DG157</f>
        <v>0</v>
      </c>
      <c r="EA158" s="14">
        <f>[1]Sheet2!DH157</f>
        <v>0</v>
      </c>
      <c r="EB158" s="6">
        <f>[1]Sheet2!EC157</f>
        <v>0</v>
      </c>
      <c r="EC158" s="6">
        <f>[1]Sheet2!ED157</f>
        <v>0</v>
      </c>
      <c r="ED158" s="6">
        <f>[1]Sheet2!EE157</f>
        <v>0</v>
      </c>
      <c r="EE158" s="6">
        <f>[1]Sheet2!EF157</f>
        <v>0</v>
      </c>
      <c r="EF158" s="6">
        <f>[1]Sheet2!EG157</f>
        <v>0</v>
      </c>
      <c r="EG158" s="6">
        <f>[1]Sheet2!EH157</f>
        <v>0</v>
      </c>
      <c r="EH158" s="6">
        <f>[1]Sheet2!EI157</f>
        <v>0</v>
      </c>
      <c r="EI158" s="6">
        <f>[1]Sheet2!EJ157</f>
        <v>0</v>
      </c>
      <c r="EJ158" s="6">
        <f>[1]Sheet2!EK157</f>
        <v>0</v>
      </c>
      <c r="EK158" s="6">
        <f>[1]Sheet2!EL157</f>
        <v>0</v>
      </c>
      <c r="EL158" s="6" t="str">
        <f>[1]Sheet2!EM157</f>
        <v/>
      </c>
      <c r="EM158" s="6" t="str">
        <f>[1]Sheet2!EN157</f>
        <v/>
      </c>
      <c r="EN158" s="6" t="str">
        <f>[1]Sheet2!EO157</f>
        <v/>
      </c>
      <c r="EO158" s="6" t="str">
        <f>[1]Sheet2!EP157</f>
        <v/>
      </c>
      <c r="EP158" s="6" t="str">
        <f>[1]Sheet2!EQ157</f>
        <v/>
      </c>
      <c r="EQ158" s="6" t="str">
        <f>[1]Sheet2!ER157</f>
        <v/>
      </c>
      <c r="ER158" s="6" t="str">
        <f>[1]Sheet2!ES157</f>
        <v/>
      </c>
      <c r="ES158" s="6" t="str">
        <f>[1]Sheet2!ET157</f>
        <v/>
      </c>
      <c r="ET158" s="6" t="str">
        <f>[1]Sheet2!EU157</f>
        <v/>
      </c>
      <c r="EU158" s="6" t="str">
        <f>[1]Sheet2!EV157</f>
        <v/>
      </c>
      <c r="EV158" s="6" t="str">
        <f>[1]Sheet2!EW157</f>
        <v/>
      </c>
      <c r="EW158" s="6" t="str">
        <f>[1]Sheet2!EX157</f>
        <v/>
      </c>
      <c r="EX158" s="6" t="str">
        <f>[1]Sheet2!EY157</f>
        <v/>
      </c>
      <c r="EY158" s="6" t="str">
        <f>[1]Sheet2!EZ157</f>
        <v/>
      </c>
      <c r="EZ158" s="6" t="str">
        <f>[1]Sheet2!FA157</f>
        <v/>
      </c>
      <c r="FA158" s="6" t="str">
        <f>[1]Sheet2!FB157</f>
        <v/>
      </c>
      <c r="FB158" s="6" t="str">
        <f>[1]Sheet2!FC157</f>
        <v/>
      </c>
      <c r="FC158" s="6" t="str">
        <f>[1]Sheet2!FD157</f>
        <v/>
      </c>
      <c r="FD158" s="6" t="str">
        <f>[1]Sheet2!FE157</f>
        <v/>
      </c>
      <c r="FE158" s="6" t="str">
        <f>[1]Sheet2!FF157</f>
        <v/>
      </c>
      <c r="FF158" s="6" t="str">
        <f>[1]Sheet2!FG157</f>
        <v/>
      </c>
      <c r="FG158" s="6" t="str">
        <f>[1]Sheet2!FH157</f>
        <v/>
      </c>
      <c r="FH158" s="6" t="str">
        <f>[1]Sheet2!FI157</f>
        <v/>
      </c>
      <c r="FI158" s="6" t="str">
        <f>[1]Sheet2!FJ157</f>
        <v/>
      </c>
      <c r="FJ158" s="6" t="str">
        <f>[1]Sheet2!FK157</f>
        <v/>
      </c>
      <c r="FK158" s="6" t="str">
        <f>[1]Sheet2!FL157</f>
        <v/>
      </c>
      <c r="FL158" s="6" t="str">
        <f>[1]Sheet2!FM157</f>
        <v/>
      </c>
      <c r="FM158" s="6" t="str">
        <f>[1]Sheet2!FN157</f>
        <v/>
      </c>
      <c r="FN158" s="6" t="str">
        <f>[1]Sheet2!FO157</f>
        <v/>
      </c>
      <c r="FO158" s="6" t="str">
        <f>[1]Sheet2!FP157</f>
        <v/>
      </c>
    </row>
    <row r="159" spans="1:171" x14ac:dyDescent="0.25">
      <c r="A159" s="15">
        <v>43621</v>
      </c>
      <c r="B159" s="1"/>
      <c r="C159" s="1"/>
      <c r="D159" s="1"/>
      <c r="E159" s="14">
        <f>[1]Sheet2!N158</f>
        <v>0</v>
      </c>
      <c r="F159" s="14">
        <f>[1]Sheet2!BE158</f>
        <v>48000</v>
      </c>
      <c r="G159" s="14">
        <f>[1]Sheet2!CW158</f>
        <v>0</v>
      </c>
      <c r="H159" s="1"/>
      <c r="I159" s="1"/>
      <c r="J159" s="1"/>
      <c r="K159" s="16"/>
      <c r="L159" s="16">
        <f>Demand_CWRS!B$8/30</f>
        <v>124.86819391025641</v>
      </c>
      <c r="M159" s="16">
        <f>Demand_CWRS!C$8/30</f>
        <v>583.20512820512829</v>
      </c>
      <c r="N159" s="16">
        <f>Demand_CWRS!D$8/30</f>
        <v>0</v>
      </c>
      <c r="O159" s="16">
        <f>Demand_CWRS!E$8/30</f>
        <v>156.84829059829062</v>
      </c>
      <c r="P159" s="16">
        <f>Demand_CWRS!F$8/30</f>
        <v>252.39596314102559</v>
      </c>
      <c r="Q159" s="16">
        <f>Demand_CWRS!G$8/30</f>
        <v>124.86819391025641</v>
      </c>
      <c r="R159" s="16">
        <f>Demand_CWRS!H$8/30</f>
        <v>246.66666666666666</v>
      </c>
      <c r="S159" s="16">
        <f>Demand_CWRS!I$8/30</f>
        <v>246.66666666666666</v>
      </c>
      <c r="T159" s="16">
        <f>Demand_CWRS!J$8/30</f>
        <v>246.66666666666666</v>
      </c>
      <c r="U159" s="16">
        <f>Demand_CWRS!K$8/30</f>
        <v>246.66666666666666</v>
      </c>
      <c r="V159" s="16">
        <f t="shared" si="66"/>
        <v>-19239.056689640118</v>
      </c>
      <c r="W159" s="16">
        <f t="shared" si="67"/>
        <v>-69276.033333333151</v>
      </c>
      <c r="X159" s="16">
        <f t="shared" si="68"/>
        <v>0</v>
      </c>
      <c r="Y159" s="16">
        <f t="shared" si="69"/>
        <v>-9620.0692848642029</v>
      </c>
      <c r="Z159" s="16">
        <f t="shared" si="70"/>
        <v>-30968.264756268265</v>
      </c>
      <c r="AA159" s="16">
        <f t="shared" si="71"/>
        <v>-17913.283540601682</v>
      </c>
      <c r="AB159" s="16">
        <f t="shared" si="72"/>
        <v>-35420.661943768253</v>
      </c>
      <c r="AC159" s="16">
        <f t="shared" si="73"/>
        <v>-29627.651687358019</v>
      </c>
      <c r="AD159" s="16">
        <f t="shared" si="74"/>
        <v>-29727.651687358011</v>
      </c>
      <c r="AE159" s="16">
        <f t="shared" si="75"/>
        <v>-30327.651687358015</v>
      </c>
      <c r="AF159" s="14">
        <f>IF([1]Sheet2!AJ158=999999,"NA",[1]Sheet2!AJ158)</f>
        <v>0</v>
      </c>
      <c r="AG159" s="14">
        <f>IF([1]Sheet2!AK158=999999,"NA",[1]Sheet2!AK158)</f>
        <v>0</v>
      </c>
      <c r="AH159" s="14" t="str">
        <f>IF([1]Sheet2!AL158=999999,"NA",[1]Sheet2!AL158)</f>
        <v>NA</v>
      </c>
      <c r="AI159" s="14">
        <f>IF([1]Sheet2!AM158=999999,"NA",[1]Sheet2!AM158)</f>
        <v>0</v>
      </c>
      <c r="AJ159" s="14">
        <f>IF([1]Sheet2!AN158=999999,"NA",[1]Sheet2!AN158)</f>
        <v>0</v>
      </c>
      <c r="AK159" s="14">
        <f>IF([1]Sheet2!AO158=999999,"NA",[1]Sheet2!AO158)</f>
        <v>0</v>
      </c>
      <c r="AL159" s="14">
        <f>IF([1]Sheet2!AP158=999999,"NA",[1]Sheet2!AP158)</f>
        <v>0</v>
      </c>
      <c r="AM159" s="14">
        <f>IF([1]Sheet2!AQ158=999999,"NA",[1]Sheet2!AQ158)</f>
        <v>0</v>
      </c>
      <c r="AN159" s="14">
        <f>IF([1]Sheet2!AR158=999999,"NA",[1]Sheet2!AR158)</f>
        <v>0</v>
      </c>
      <c r="AO159" s="14">
        <f>IF([1]Sheet2!AS158=999999,"NA",[1]Sheet2!AS158)</f>
        <v>0</v>
      </c>
      <c r="AP159" s="14">
        <f>[1]Sheet2!P158</f>
        <v>0</v>
      </c>
      <c r="AQ159" s="14">
        <f>[1]Sheet2!Q158</f>
        <v>0</v>
      </c>
      <c r="AR159" s="14">
        <f>[1]Sheet2!R158</f>
        <v>0</v>
      </c>
      <c r="AS159" s="14">
        <f>[1]Sheet2!S158</f>
        <v>0</v>
      </c>
      <c r="AT159" s="14">
        <f>[1]Sheet2!T158</f>
        <v>0</v>
      </c>
      <c r="AU159" s="14">
        <f>[1]Sheet2!U158</f>
        <v>0</v>
      </c>
      <c r="AV159" s="14">
        <f>[1]Sheet2!V158</f>
        <v>0</v>
      </c>
      <c r="AW159" s="14">
        <f>[1]Sheet2!W158</f>
        <v>0</v>
      </c>
      <c r="AX159" s="14">
        <f>[1]Sheet2!X158</f>
        <v>0</v>
      </c>
      <c r="AY159" s="14">
        <f>[1]Sheet2!Y158</f>
        <v>0</v>
      </c>
      <c r="AZ159" s="16">
        <f>Demand_LP!B$8/30</f>
        <v>807.81611164529909</v>
      </c>
      <c r="BA159" s="16">
        <f>Demand_LP!C$8/30</f>
        <v>574.48717948717956</v>
      </c>
      <c r="BB159" s="16">
        <f>Demand_LP!D$8/30</f>
        <v>339.04957264957267</v>
      </c>
      <c r="BC159" s="16">
        <f>Demand_LP!E$8/30</f>
        <v>830.46965811965799</v>
      </c>
      <c r="BD159" s="16">
        <f>Demand_LP!F$8/30</f>
        <v>476.67186805555554</v>
      </c>
      <c r="BE159" s="16">
        <f>Demand_LP!G$8/30</f>
        <v>476.67186805555554</v>
      </c>
      <c r="BF159" s="16">
        <f>Demand_LP!H$8/30</f>
        <v>574.48717948717956</v>
      </c>
      <c r="BG159" s="16">
        <f>Demand_LP!I$8/30</f>
        <v>476.67186805555554</v>
      </c>
      <c r="BH159" s="16">
        <f>Demand_LP!J$8/30</f>
        <v>476.67186805555554</v>
      </c>
      <c r="BI159" s="16">
        <f>Demand_LP!K$8/30</f>
        <v>476.67186805555554</v>
      </c>
      <c r="BJ159" s="16">
        <f t="shared" si="76"/>
        <v>-105990.30813171105</v>
      </c>
      <c r="BK159" s="16">
        <f t="shared" si="77"/>
        <v>-87823.915384615393</v>
      </c>
      <c r="BL159" s="16">
        <f t="shared" si="78"/>
        <v>-38215.367094017151</v>
      </c>
      <c r="BM159" s="16">
        <f t="shared" si="79"/>
        <v>-110800.16494103633</v>
      </c>
      <c r="BN159" s="16">
        <f t="shared" si="80"/>
        <v>-63864.249844984115</v>
      </c>
      <c r="BO159" s="16">
        <f t="shared" si="81"/>
        <v>-62321.933763354828</v>
      </c>
      <c r="BP159" s="16">
        <f t="shared" si="82"/>
        <v>-82181.494871794901</v>
      </c>
      <c r="BQ159" s="16">
        <f t="shared" si="83"/>
        <v>-62321.933763354828</v>
      </c>
      <c r="BR159" s="16">
        <f t="shared" si="84"/>
        <v>-59921.933763354828</v>
      </c>
      <c r="BS159" s="16">
        <f t="shared" si="85"/>
        <v>-60621.93376335482</v>
      </c>
      <c r="BT159" s="14">
        <f>IF([1]Sheet2!CB158=999999,"NA",[1]Sheet2!CB158)</f>
        <v>0</v>
      </c>
      <c r="BU159" s="14">
        <f>IF([1]Sheet2!CC158=999999,"NA",[1]Sheet2!CC158)</f>
        <v>0</v>
      </c>
      <c r="BV159" s="14">
        <f>IF([1]Sheet2!CD158=999999,"NA",[1]Sheet2!CD158)</f>
        <v>0</v>
      </c>
      <c r="BW159" s="14">
        <f>IF([1]Sheet2!CE158=999999,"NA",[1]Sheet2!CE158)</f>
        <v>0</v>
      </c>
      <c r="BX159" s="14">
        <f>IF([1]Sheet2!CF158=999999,"NA",[1]Sheet2!CF158)</f>
        <v>0</v>
      </c>
      <c r="BY159" s="14">
        <f>IF([1]Sheet2!CG158=999999,"NA",[1]Sheet2!CG158)</f>
        <v>0</v>
      </c>
      <c r="BZ159" s="14">
        <f>IF([1]Sheet2!CH158=999999,"NA",[1]Sheet2!CH158)</f>
        <v>0</v>
      </c>
      <c r="CA159" s="14">
        <f>IF([1]Sheet2!CI158=999999,"NA",[1]Sheet2!CI158)</f>
        <v>0</v>
      </c>
      <c r="CB159" s="14">
        <f>IF([1]Sheet2!CJ158=999999,"NA",[1]Sheet2!CJ158)</f>
        <v>0</v>
      </c>
      <c r="CC159" s="14">
        <f>IF([1]Sheet2!CK158=999999,"NA",[1]Sheet2!CK158)</f>
        <v>0</v>
      </c>
      <c r="CD159" s="14">
        <f>[1]Sheet2!BH158</f>
        <v>0</v>
      </c>
      <c r="CE159" s="14">
        <f>[1]Sheet2!BI158</f>
        <v>0</v>
      </c>
      <c r="CF159" s="14">
        <f>[1]Sheet2!BJ158</f>
        <v>0</v>
      </c>
      <c r="CG159" s="14">
        <f>[1]Sheet2!BK158</f>
        <v>0</v>
      </c>
      <c r="CH159" s="14">
        <f>[1]Sheet2!BL158</f>
        <v>0</v>
      </c>
      <c r="CI159" s="14">
        <f>[1]Sheet2!BM158</f>
        <v>0</v>
      </c>
      <c r="CJ159" s="14">
        <f>[1]Sheet2!BN158</f>
        <v>0</v>
      </c>
      <c r="CK159" s="14">
        <f>[1]Sheet2!BO158</f>
        <v>0</v>
      </c>
      <c r="CL159" s="14">
        <f>[1]Sheet2!BP158</f>
        <v>0</v>
      </c>
      <c r="CM159" s="14">
        <f>[1]Sheet2!BQ158</f>
        <v>0</v>
      </c>
      <c r="CN159" s="16">
        <f>Demand_SW!B$8/30</f>
        <v>144.23076923076923</v>
      </c>
      <c r="CO159" s="16">
        <f>Demand_SW!C$8/30</f>
        <v>0</v>
      </c>
      <c r="CP159" s="16">
        <f>Demand_SW!D$8/30</f>
        <v>0</v>
      </c>
      <c r="CQ159" s="16">
        <f>Demand_SW!E$8/30</f>
        <v>0</v>
      </c>
      <c r="CR159" s="16">
        <f>Demand_SW!F$8/30</f>
        <v>0</v>
      </c>
      <c r="CS159" s="16">
        <f>Demand_SW!G$8/30</f>
        <v>144.23076923076923</v>
      </c>
      <c r="CT159" s="16">
        <f>Demand_SW!H$8/30</f>
        <v>0</v>
      </c>
      <c r="CU159" s="16">
        <f>Demand_SW!I$8/30</f>
        <v>0</v>
      </c>
      <c r="CV159" s="16">
        <f>Demand_SW!J$8/30</f>
        <v>0</v>
      </c>
      <c r="CW159" s="16">
        <f>Demand_SW!K$8/30</f>
        <v>0</v>
      </c>
      <c r="CX159" s="16">
        <f t="shared" si="86"/>
        <v>-15991.923076923087</v>
      </c>
      <c r="CY159" s="16">
        <f t="shared" si="87"/>
        <v>76.923076923077133</v>
      </c>
      <c r="CZ159" s="16">
        <f t="shared" si="88"/>
        <v>0</v>
      </c>
      <c r="DA159" s="16">
        <f t="shared" si="89"/>
        <v>0</v>
      </c>
      <c r="DB159" s="16">
        <f t="shared" si="90"/>
        <v>0</v>
      </c>
      <c r="DC159" s="16">
        <f t="shared" si="91"/>
        <v>-15521.153846153855</v>
      </c>
      <c r="DD159" s="16">
        <f t="shared" si="92"/>
        <v>76.923076923077133</v>
      </c>
      <c r="DE159" s="16">
        <f t="shared" si="93"/>
        <v>0</v>
      </c>
      <c r="DF159" s="16">
        <f t="shared" si="94"/>
        <v>0</v>
      </c>
      <c r="DG159" s="16">
        <f t="shared" si="95"/>
        <v>0</v>
      </c>
      <c r="DH159" s="14">
        <f>IF([1]Sheet2!DS158=999999,"NA",[1]Sheet2!DS158)</f>
        <v>0</v>
      </c>
      <c r="DI159" s="14">
        <f>IF([1]Sheet2!DT158=999999,"NA",[1]Sheet2!DT158)</f>
        <v>209</v>
      </c>
      <c r="DJ159" s="14" t="str">
        <f>IF([1]Sheet2!DU158=999999,"NA",[1]Sheet2!DU158)</f>
        <v>NA</v>
      </c>
      <c r="DK159" s="14" t="str">
        <f>IF([1]Sheet2!DV158=999999,"NA",[1]Sheet2!DV158)</f>
        <v>NA</v>
      </c>
      <c r="DL159" s="14" t="str">
        <f>IF([1]Sheet2!DW158=999999,"NA",[1]Sheet2!DW158)</f>
        <v>NA</v>
      </c>
      <c r="DM159" s="14">
        <f>IF([1]Sheet2!DX158=999999,"NA",[1]Sheet2!DX158)</f>
        <v>0</v>
      </c>
      <c r="DN159" s="14">
        <f>IF([1]Sheet2!DY158=999999,"NA",[1]Sheet2!DY158)</f>
        <v>209</v>
      </c>
      <c r="DO159" s="14" t="str">
        <f>IF([1]Sheet2!DZ158=999999,"NA",[1]Sheet2!DZ158)</f>
        <v>NA</v>
      </c>
      <c r="DP159" s="14" t="str">
        <f>IF([1]Sheet2!EA158=999999,"NA",[1]Sheet2!EA158)</f>
        <v>NA</v>
      </c>
      <c r="DQ159" s="14" t="str">
        <f>IF([1]Sheet2!EB158=999999,"NA",[1]Sheet2!EB158)</f>
        <v>NA</v>
      </c>
      <c r="DR159" s="14">
        <f>[1]Sheet2!CY158</f>
        <v>0</v>
      </c>
      <c r="DS159" s="14">
        <f>[1]Sheet2!CZ158</f>
        <v>0</v>
      </c>
      <c r="DT159" s="14">
        <f>[1]Sheet2!DA158</f>
        <v>0</v>
      </c>
      <c r="DU159" s="14">
        <f>[1]Sheet2!DB158</f>
        <v>0</v>
      </c>
      <c r="DV159" s="14">
        <f>[1]Sheet2!DC158</f>
        <v>0</v>
      </c>
      <c r="DW159" s="14">
        <f>[1]Sheet2!DD158</f>
        <v>0</v>
      </c>
      <c r="DX159" s="14">
        <f>[1]Sheet2!DE158</f>
        <v>0</v>
      </c>
      <c r="DY159" s="14">
        <f>[1]Sheet2!DF158</f>
        <v>0</v>
      </c>
      <c r="DZ159" s="14">
        <f>[1]Sheet2!DG158</f>
        <v>0</v>
      </c>
      <c r="EA159" s="14">
        <f>[1]Sheet2!DH158</f>
        <v>0</v>
      </c>
      <c r="EB159" s="6">
        <f>[1]Sheet2!EC158</f>
        <v>0</v>
      </c>
      <c r="EC159" s="6">
        <f>[1]Sheet2!ED158</f>
        <v>0</v>
      </c>
      <c r="ED159" s="6">
        <f>[1]Sheet2!EE158</f>
        <v>0</v>
      </c>
      <c r="EE159" s="6">
        <f>[1]Sheet2!EF158</f>
        <v>0</v>
      </c>
      <c r="EF159" s="6">
        <f>[1]Sheet2!EG158</f>
        <v>0</v>
      </c>
      <c r="EG159" s="6">
        <f>[1]Sheet2!EH158</f>
        <v>0</v>
      </c>
      <c r="EH159" s="6">
        <f>[1]Sheet2!EI158</f>
        <v>0</v>
      </c>
      <c r="EI159" s="6">
        <f>[1]Sheet2!EJ158</f>
        <v>0</v>
      </c>
      <c r="EJ159" s="6">
        <f>[1]Sheet2!EK158</f>
        <v>0</v>
      </c>
      <c r="EK159" s="6">
        <f>[1]Sheet2!EL158</f>
        <v>0</v>
      </c>
      <c r="EL159" s="6" t="str">
        <f>[1]Sheet2!EM158</f>
        <v/>
      </c>
      <c r="EM159" s="6" t="str">
        <f>[1]Sheet2!EN158</f>
        <v/>
      </c>
      <c r="EN159" s="6" t="str">
        <f>[1]Sheet2!EO158</f>
        <v/>
      </c>
      <c r="EO159" s="6" t="str">
        <f>[1]Sheet2!EP158</f>
        <v/>
      </c>
      <c r="EP159" s="6" t="str">
        <f>[1]Sheet2!EQ158</f>
        <v/>
      </c>
      <c r="EQ159" s="6" t="str">
        <f>[1]Sheet2!ER158</f>
        <v/>
      </c>
      <c r="ER159" s="6" t="str">
        <f>[1]Sheet2!ES158</f>
        <v/>
      </c>
      <c r="ES159" s="6" t="str">
        <f>[1]Sheet2!ET158</f>
        <v/>
      </c>
      <c r="ET159" s="6" t="str">
        <f>[1]Sheet2!EU158</f>
        <v/>
      </c>
      <c r="EU159" s="6" t="str">
        <f>[1]Sheet2!EV158</f>
        <v/>
      </c>
      <c r="EV159" s="6" t="str">
        <f>[1]Sheet2!EW158</f>
        <v/>
      </c>
      <c r="EW159" s="6" t="str">
        <f>[1]Sheet2!EX158</f>
        <v/>
      </c>
      <c r="EX159" s="6" t="str">
        <f>[1]Sheet2!EY158</f>
        <v/>
      </c>
      <c r="EY159" s="6" t="str">
        <f>[1]Sheet2!EZ158</f>
        <v/>
      </c>
      <c r="EZ159" s="6" t="str">
        <f>[1]Sheet2!FA158</f>
        <v/>
      </c>
      <c r="FA159" s="6" t="str">
        <f>[1]Sheet2!FB158</f>
        <v/>
      </c>
      <c r="FB159" s="6" t="str">
        <f>[1]Sheet2!FC158</f>
        <v/>
      </c>
      <c r="FC159" s="6" t="str">
        <f>[1]Sheet2!FD158</f>
        <v/>
      </c>
      <c r="FD159" s="6" t="str">
        <f>[1]Sheet2!FE158</f>
        <v/>
      </c>
      <c r="FE159" s="6" t="str">
        <f>[1]Sheet2!FF158</f>
        <v/>
      </c>
      <c r="FF159" s="6" t="str">
        <f>[1]Sheet2!FG158</f>
        <v/>
      </c>
      <c r="FG159" s="6" t="str">
        <f>[1]Sheet2!FH158</f>
        <v/>
      </c>
      <c r="FH159" s="6" t="str">
        <f>[1]Sheet2!FI158</f>
        <v/>
      </c>
      <c r="FI159" s="6" t="str">
        <f>[1]Sheet2!FJ158</f>
        <v/>
      </c>
      <c r="FJ159" s="6" t="str">
        <f>[1]Sheet2!FK158</f>
        <v/>
      </c>
      <c r="FK159" s="6" t="str">
        <f>[1]Sheet2!FL158</f>
        <v/>
      </c>
      <c r="FL159" s="6" t="str">
        <f>[1]Sheet2!FM158</f>
        <v/>
      </c>
      <c r="FM159" s="6" t="str">
        <f>[1]Sheet2!FN158</f>
        <v/>
      </c>
      <c r="FN159" s="6" t="str">
        <f>[1]Sheet2!FO158</f>
        <v/>
      </c>
      <c r="FO159" s="6" t="str">
        <f>[1]Sheet2!FP158</f>
        <v/>
      </c>
    </row>
    <row r="160" spans="1:171" x14ac:dyDescent="0.25">
      <c r="A160" s="15">
        <v>43622</v>
      </c>
      <c r="B160" s="1"/>
      <c r="C160" s="1"/>
      <c r="D160" s="1"/>
      <c r="E160" s="14">
        <f>[1]Sheet2!N159</f>
        <v>0</v>
      </c>
      <c r="F160" s="14">
        <f>[1]Sheet2!BE159</f>
        <v>0</v>
      </c>
      <c r="G160" s="14">
        <f>[1]Sheet2!CW159</f>
        <v>0</v>
      </c>
      <c r="H160" s="1"/>
      <c r="I160" s="1"/>
      <c r="J160" s="1"/>
      <c r="K160" s="16"/>
      <c r="L160" s="16">
        <f>Demand_CWRS!B$8/30</f>
        <v>124.86819391025641</v>
      </c>
      <c r="M160" s="16">
        <f>Demand_CWRS!C$8/30</f>
        <v>583.20512820512829</v>
      </c>
      <c r="N160" s="16">
        <f>Demand_CWRS!D$8/30</f>
        <v>0</v>
      </c>
      <c r="O160" s="16">
        <f>Demand_CWRS!E$8/30</f>
        <v>156.84829059829062</v>
      </c>
      <c r="P160" s="16">
        <f>Demand_CWRS!F$8/30</f>
        <v>252.39596314102559</v>
      </c>
      <c r="Q160" s="16">
        <f>Demand_CWRS!G$8/30</f>
        <v>124.86819391025641</v>
      </c>
      <c r="R160" s="16">
        <f>Demand_CWRS!H$8/30</f>
        <v>246.66666666666666</v>
      </c>
      <c r="S160" s="16">
        <f>Demand_CWRS!I$8/30</f>
        <v>246.66666666666666</v>
      </c>
      <c r="T160" s="16">
        <f>Demand_CWRS!J$8/30</f>
        <v>246.66666666666666</v>
      </c>
      <c r="U160" s="16">
        <f>Demand_CWRS!K$8/30</f>
        <v>246.66666666666666</v>
      </c>
      <c r="V160" s="16">
        <f t="shared" si="66"/>
        <v>-19363.924883550375</v>
      </c>
      <c r="W160" s="16">
        <f t="shared" si="67"/>
        <v>-69859.238461538276</v>
      </c>
      <c r="X160" s="16">
        <f t="shared" si="68"/>
        <v>0</v>
      </c>
      <c r="Y160" s="16">
        <f t="shared" si="69"/>
        <v>-9776.9175754624939</v>
      </c>
      <c r="Z160" s="16">
        <f t="shared" si="70"/>
        <v>-31220.66071940929</v>
      </c>
      <c r="AA160" s="16">
        <f t="shared" si="71"/>
        <v>-18038.151734511939</v>
      </c>
      <c r="AB160" s="16">
        <f t="shared" si="72"/>
        <v>-35667.328610434917</v>
      </c>
      <c r="AC160" s="16">
        <f t="shared" si="73"/>
        <v>-29874.318354024686</v>
      </c>
      <c r="AD160" s="16">
        <f t="shared" si="74"/>
        <v>-29974.318354024679</v>
      </c>
      <c r="AE160" s="16">
        <f t="shared" si="75"/>
        <v>-30574.318354024683</v>
      </c>
      <c r="AF160" s="14">
        <f>IF([1]Sheet2!AJ159=999999,"NA",[1]Sheet2!AJ159)</f>
        <v>0</v>
      </c>
      <c r="AG160" s="14">
        <f>IF([1]Sheet2!AK159=999999,"NA",[1]Sheet2!AK159)</f>
        <v>0</v>
      </c>
      <c r="AH160" s="14" t="str">
        <f>IF([1]Sheet2!AL159=999999,"NA",[1]Sheet2!AL159)</f>
        <v>NA</v>
      </c>
      <c r="AI160" s="14">
        <f>IF([1]Sheet2!AM159=999999,"NA",[1]Sheet2!AM159)</f>
        <v>0</v>
      </c>
      <c r="AJ160" s="14">
        <f>IF([1]Sheet2!AN159=999999,"NA",[1]Sheet2!AN159)</f>
        <v>0</v>
      </c>
      <c r="AK160" s="14">
        <f>IF([1]Sheet2!AO159=999999,"NA",[1]Sheet2!AO159)</f>
        <v>0</v>
      </c>
      <c r="AL160" s="14">
        <f>IF([1]Sheet2!AP159=999999,"NA",[1]Sheet2!AP159)</f>
        <v>0</v>
      </c>
      <c r="AM160" s="14">
        <f>IF([1]Sheet2!AQ159=999999,"NA",[1]Sheet2!AQ159)</f>
        <v>0</v>
      </c>
      <c r="AN160" s="14">
        <f>IF([1]Sheet2!AR159=999999,"NA",[1]Sheet2!AR159)</f>
        <v>0</v>
      </c>
      <c r="AO160" s="14">
        <f>IF([1]Sheet2!AS159=999999,"NA",[1]Sheet2!AS159)</f>
        <v>0</v>
      </c>
      <c r="AP160" s="14">
        <f>[1]Sheet2!P159</f>
        <v>0</v>
      </c>
      <c r="AQ160" s="14">
        <f>[1]Sheet2!Q159</f>
        <v>0</v>
      </c>
      <c r="AR160" s="14">
        <f>[1]Sheet2!R159</f>
        <v>0</v>
      </c>
      <c r="AS160" s="14">
        <f>[1]Sheet2!S159</f>
        <v>0</v>
      </c>
      <c r="AT160" s="14">
        <f>[1]Sheet2!T159</f>
        <v>0</v>
      </c>
      <c r="AU160" s="14">
        <f>[1]Sheet2!U159</f>
        <v>0</v>
      </c>
      <c r="AV160" s="14">
        <f>[1]Sheet2!V159</f>
        <v>0</v>
      </c>
      <c r="AW160" s="14">
        <f>[1]Sheet2!W159</f>
        <v>0</v>
      </c>
      <c r="AX160" s="14">
        <f>[1]Sheet2!X159</f>
        <v>0</v>
      </c>
      <c r="AY160" s="14">
        <f>[1]Sheet2!Y159</f>
        <v>0</v>
      </c>
      <c r="AZ160" s="16">
        <f>Demand_LP!B$8/30</f>
        <v>807.81611164529909</v>
      </c>
      <c r="BA160" s="16">
        <f>Demand_LP!C$8/30</f>
        <v>574.48717948717956</v>
      </c>
      <c r="BB160" s="16">
        <f>Demand_LP!D$8/30</f>
        <v>339.04957264957267</v>
      </c>
      <c r="BC160" s="16">
        <f>Demand_LP!E$8/30</f>
        <v>830.46965811965799</v>
      </c>
      <c r="BD160" s="16">
        <f>Demand_LP!F$8/30</f>
        <v>476.67186805555554</v>
      </c>
      <c r="BE160" s="16">
        <f>Demand_LP!G$8/30</f>
        <v>476.67186805555554</v>
      </c>
      <c r="BF160" s="16">
        <f>Demand_LP!H$8/30</f>
        <v>574.48717948717956</v>
      </c>
      <c r="BG160" s="16">
        <f>Demand_LP!I$8/30</f>
        <v>476.67186805555554</v>
      </c>
      <c r="BH160" s="16">
        <f>Demand_LP!J$8/30</f>
        <v>476.67186805555554</v>
      </c>
      <c r="BI160" s="16">
        <f>Demand_LP!K$8/30</f>
        <v>476.67186805555554</v>
      </c>
      <c r="BJ160" s="16">
        <f t="shared" si="76"/>
        <v>-106798.12424335635</v>
      </c>
      <c r="BK160" s="16">
        <f t="shared" si="77"/>
        <v>-88398.402564102566</v>
      </c>
      <c r="BL160" s="16">
        <f t="shared" si="78"/>
        <v>-38554.416666666722</v>
      </c>
      <c r="BM160" s="16">
        <f t="shared" si="79"/>
        <v>-111630.63459915599</v>
      </c>
      <c r="BN160" s="16">
        <f t="shared" si="80"/>
        <v>-64340.921713039672</v>
      </c>
      <c r="BO160" s="16">
        <f t="shared" si="81"/>
        <v>-62798.605631410384</v>
      </c>
      <c r="BP160" s="16">
        <f t="shared" si="82"/>
        <v>-82755.982051282073</v>
      </c>
      <c r="BQ160" s="16">
        <f t="shared" si="83"/>
        <v>-62798.605631410384</v>
      </c>
      <c r="BR160" s="16">
        <f t="shared" si="84"/>
        <v>-60398.605631410384</v>
      </c>
      <c r="BS160" s="16">
        <f t="shared" si="85"/>
        <v>-61098.605631410377</v>
      </c>
      <c r="BT160" s="14">
        <f>IF([1]Sheet2!CB159=999999,"NA",[1]Sheet2!CB159)</f>
        <v>0</v>
      </c>
      <c r="BU160" s="14">
        <f>IF([1]Sheet2!CC159=999999,"NA",[1]Sheet2!CC159)</f>
        <v>0</v>
      </c>
      <c r="BV160" s="14">
        <f>IF([1]Sheet2!CD159=999999,"NA",[1]Sheet2!CD159)</f>
        <v>0</v>
      </c>
      <c r="BW160" s="14">
        <f>IF([1]Sheet2!CE159=999999,"NA",[1]Sheet2!CE159)</f>
        <v>0</v>
      </c>
      <c r="BX160" s="14">
        <f>IF([1]Sheet2!CF159=999999,"NA",[1]Sheet2!CF159)</f>
        <v>0</v>
      </c>
      <c r="BY160" s="14">
        <f>IF([1]Sheet2!CG159=999999,"NA",[1]Sheet2!CG159)</f>
        <v>0</v>
      </c>
      <c r="BZ160" s="14">
        <f>IF([1]Sheet2!CH159=999999,"NA",[1]Sheet2!CH159)</f>
        <v>0</v>
      </c>
      <c r="CA160" s="14">
        <f>IF([1]Sheet2!CI159=999999,"NA",[1]Sheet2!CI159)</f>
        <v>0</v>
      </c>
      <c r="CB160" s="14">
        <f>IF([1]Sheet2!CJ159=999999,"NA",[1]Sheet2!CJ159)</f>
        <v>0</v>
      </c>
      <c r="CC160" s="14">
        <f>IF([1]Sheet2!CK159=999999,"NA",[1]Sheet2!CK159)</f>
        <v>0</v>
      </c>
      <c r="CD160" s="14">
        <f>[1]Sheet2!BH159</f>
        <v>0</v>
      </c>
      <c r="CE160" s="14">
        <f>[1]Sheet2!BI159</f>
        <v>0</v>
      </c>
      <c r="CF160" s="14">
        <f>[1]Sheet2!BJ159</f>
        <v>0</v>
      </c>
      <c r="CG160" s="14">
        <f>[1]Sheet2!BK159</f>
        <v>0</v>
      </c>
      <c r="CH160" s="14">
        <f>[1]Sheet2!BL159</f>
        <v>0</v>
      </c>
      <c r="CI160" s="14">
        <f>[1]Sheet2!BM159</f>
        <v>0</v>
      </c>
      <c r="CJ160" s="14">
        <f>[1]Sheet2!BN159</f>
        <v>0</v>
      </c>
      <c r="CK160" s="14">
        <f>[1]Sheet2!BO159</f>
        <v>0</v>
      </c>
      <c r="CL160" s="14">
        <f>[1]Sheet2!BP159</f>
        <v>0</v>
      </c>
      <c r="CM160" s="14">
        <f>[1]Sheet2!BQ159</f>
        <v>0</v>
      </c>
      <c r="CN160" s="16">
        <f>Demand_SW!B$8/30</f>
        <v>144.23076923076923</v>
      </c>
      <c r="CO160" s="16">
        <f>Demand_SW!C$8/30</f>
        <v>0</v>
      </c>
      <c r="CP160" s="16">
        <f>Demand_SW!D$8/30</f>
        <v>0</v>
      </c>
      <c r="CQ160" s="16">
        <f>Demand_SW!E$8/30</f>
        <v>0</v>
      </c>
      <c r="CR160" s="16">
        <f>Demand_SW!F$8/30</f>
        <v>0</v>
      </c>
      <c r="CS160" s="16">
        <f>Demand_SW!G$8/30</f>
        <v>144.23076923076923</v>
      </c>
      <c r="CT160" s="16">
        <f>Demand_SW!H$8/30</f>
        <v>0</v>
      </c>
      <c r="CU160" s="16">
        <f>Demand_SW!I$8/30</f>
        <v>0</v>
      </c>
      <c r="CV160" s="16">
        <f>Demand_SW!J$8/30</f>
        <v>0</v>
      </c>
      <c r="CW160" s="16">
        <f>Demand_SW!K$8/30</f>
        <v>0</v>
      </c>
      <c r="CX160" s="16">
        <f t="shared" si="86"/>
        <v>-16136.153846153857</v>
      </c>
      <c r="CY160" s="16">
        <f t="shared" si="87"/>
        <v>76.923076923077133</v>
      </c>
      <c r="CZ160" s="16">
        <f t="shared" si="88"/>
        <v>0</v>
      </c>
      <c r="DA160" s="16">
        <f t="shared" si="89"/>
        <v>0</v>
      </c>
      <c r="DB160" s="16">
        <f t="shared" si="90"/>
        <v>0</v>
      </c>
      <c r="DC160" s="16">
        <f t="shared" si="91"/>
        <v>-15665.384615384624</v>
      </c>
      <c r="DD160" s="16">
        <f t="shared" si="92"/>
        <v>76.923076923077133</v>
      </c>
      <c r="DE160" s="16">
        <f t="shared" si="93"/>
        <v>0</v>
      </c>
      <c r="DF160" s="16">
        <f t="shared" si="94"/>
        <v>0</v>
      </c>
      <c r="DG160" s="16">
        <f t="shared" si="95"/>
        <v>0</v>
      </c>
      <c r="DH160" s="14">
        <f>IF([1]Sheet2!DS159=999999,"NA",[1]Sheet2!DS159)</f>
        <v>0</v>
      </c>
      <c r="DI160" s="14">
        <f>IF([1]Sheet2!DT159=999999,"NA",[1]Sheet2!DT159)</f>
        <v>208</v>
      </c>
      <c r="DJ160" s="14" t="str">
        <f>IF([1]Sheet2!DU159=999999,"NA",[1]Sheet2!DU159)</f>
        <v>NA</v>
      </c>
      <c r="DK160" s="14" t="str">
        <f>IF([1]Sheet2!DV159=999999,"NA",[1]Sheet2!DV159)</f>
        <v>NA</v>
      </c>
      <c r="DL160" s="14" t="str">
        <f>IF([1]Sheet2!DW159=999999,"NA",[1]Sheet2!DW159)</f>
        <v>NA</v>
      </c>
      <c r="DM160" s="14">
        <f>IF([1]Sheet2!DX159=999999,"NA",[1]Sheet2!DX159)</f>
        <v>0</v>
      </c>
      <c r="DN160" s="14">
        <f>IF([1]Sheet2!DY159=999999,"NA",[1]Sheet2!DY159)</f>
        <v>208</v>
      </c>
      <c r="DO160" s="14" t="str">
        <f>IF([1]Sheet2!DZ159=999999,"NA",[1]Sheet2!DZ159)</f>
        <v>NA</v>
      </c>
      <c r="DP160" s="14" t="str">
        <f>IF([1]Sheet2!EA159=999999,"NA",[1]Sheet2!EA159)</f>
        <v>NA</v>
      </c>
      <c r="DQ160" s="14" t="str">
        <f>IF([1]Sheet2!EB159=999999,"NA",[1]Sheet2!EB159)</f>
        <v>NA</v>
      </c>
      <c r="DR160" s="14">
        <f>[1]Sheet2!CY159</f>
        <v>0</v>
      </c>
      <c r="DS160" s="14">
        <f>[1]Sheet2!CZ159</f>
        <v>0</v>
      </c>
      <c r="DT160" s="14">
        <f>[1]Sheet2!DA159</f>
        <v>0</v>
      </c>
      <c r="DU160" s="14">
        <f>[1]Sheet2!DB159</f>
        <v>0</v>
      </c>
      <c r="DV160" s="14">
        <f>[1]Sheet2!DC159</f>
        <v>0</v>
      </c>
      <c r="DW160" s="14">
        <f>[1]Sheet2!DD159</f>
        <v>0</v>
      </c>
      <c r="DX160" s="14">
        <f>[1]Sheet2!DE159</f>
        <v>0</v>
      </c>
      <c r="DY160" s="14">
        <f>[1]Sheet2!DF159</f>
        <v>0</v>
      </c>
      <c r="DZ160" s="14">
        <f>[1]Sheet2!DG159</f>
        <v>0</v>
      </c>
      <c r="EA160" s="14">
        <f>[1]Sheet2!DH159</f>
        <v>0</v>
      </c>
      <c r="EB160" s="6">
        <f>[1]Sheet2!EC159</f>
        <v>0</v>
      </c>
      <c r="EC160" s="6">
        <f>[1]Sheet2!ED159</f>
        <v>0</v>
      </c>
      <c r="ED160" s="6">
        <f>[1]Sheet2!EE159</f>
        <v>0</v>
      </c>
      <c r="EE160" s="6">
        <f>[1]Sheet2!EF159</f>
        <v>0</v>
      </c>
      <c r="EF160" s="6">
        <f>[1]Sheet2!EG159</f>
        <v>0</v>
      </c>
      <c r="EG160" s="6">
        <f>[1]Sheet2!EH159</f>
        <v>0</v>
      </c>
      <c r="EH160" s="6">
        <f>[1]Sheet2!EI159</f>
        <v>0</v>
      </c>
      <c r="EI160" s="6">
        <f>[1]Sheet2!EJ159</f>
        <v>0</v>
      </c>
      <c r="EJ160" s="6">
        <f>[1]Sheet2!EK159</f>
        <v>0</v>
      </c>
      <c r="EK160" s="6">
        <f>[1]Sheet2!EL159</f>
        <v>0</v>
      </c>
      <c r="EL160" s="6" t="str">
        <f>[1]Sheet2!EM159</f>
        <v/>
      </c>
      <c r="EM160" s="6" t="str">
        <f>[1]Sheet2!EN159</f>
        <v/>
      </c>
      <c r="EN160" s="6" t="str">
        <f>[1]Sheet2!EO159</f>
        <v/>
      </c>
      <c r="EO160" s="6" t="str">
        <f>[1]Sheet2!EP159</f>
        <v/>
      </c>
      <c r="EP160" s="6" t="str">
        <f>[1]Sheet2!EQ159</f>
        <v/>
      </c>
      <c r="EQ160" s="6" t="str">
        <f>[1]Sheet2!ER159</f>
        <v/>
      </c>
      <c r="ER160" s="6" t="str">
        <f>[1]Sheet2!ES159</f>
        <v/>
      </c>
      <c r="ES160" s="6" t="str">
        <f>[1]Sheet2!ET159</f>
        <v/>
      </c>
      <c r="ET160" s="6" t="str">
        <f>[1]Sheet2!EU159</f>
        <v/>
      </c>
      <c r="EU160" s="6" t="str">
        <f>[1]Sheet2!EV159</f>
        <v/>
      </c>
      <c r="EV160" s="6" t="str">
        <f>[1]Sheet2!EW159</f>
        <v/>
      </c>
      <c r="EW160" s="6" t="str">
        <f>[1]Sheet2!EX159</f>
        <v/>
      </c>
      <c r="EX160" s="6" t="str">
        <f>[1]Sheet2!EY159</f>
        <v/>
      </c>
      <c r="EY160" s="6" t="str">
        <f>[1]Sheet2!EZ159</f>
        <v/>
      </c>
      <c r="EZ160" s="6" t="str">
        <f>[1]Sheet2!FA159</f>
        <v/>
      </c>
      <c r="FA160" s="6" t="str">
        <f>[1]Sheet2!FB159</f>
        <v/>
      </c>
      <c r="FB160" s="6" t="str">
        <f>[1]Sheet2!FC159</f>
        <v/>
      </c>
      <c r="FC160" s="6" t="str">
        <f>[1]Sheet2!FD159</f>
        <v/>
      </c>
      <c r="FD160" s="6" t="str">
        <f>[1]Sheet2!FE159</f>
        <v/>
      </c>
      <c r="FE160" s="6" t="str">
        <f>[1]Sheet2!FF159</f>
        <v/>
      </c>
      <c r="FF160" s="6" t="str">
        <f>[1]Sheet2!FG159</f>
        <v/>
      </c>
      <c r="FG160" s="6" t="str">
        <f>[1]Sheet2!FH159</f>
        <v/>
      </c>
      <c r="FH160" s="6" t="str">
        <f>[1]Sheet2!FI159</f>
        <v/>
      </c>
      <c r="FI160" s="6" t="str">
        <f>[1]Sheet2!FJ159</f>
        <v/>
      </c>
      <c r="FJ160" s="6" t="str">
        <f>[1]Sheet2!FK159</f>
        <v/>
      </c>
      <c r="FK160" s="6" t="str">
        <f>[1]Sheet2!FL159</f>
        <v/>
      </c>
      <c r="FL160" s="6" t="str">
        <f>[1]Sheet2!FM159</f>
        <v/>
      </c>
      <c r="FM160" s="6" t="str">
        <f>[1]Sheet2!FN159</f>
        <v/>
      </c>
      <c r="FN160" s="6" t="str">
        <f>[1]Sheet2!FO159</f>
        <v/>
      </c>
      <c r="FO160" s="6" t="str">
        <f>[1]Sheet2!FP159</f>
        <v/>
      </c>
    </row>
    <row r="161" spans="1:171" x14ac:dyDescent="0.25">
      <c r="A161" s="15">
        <v>43623</v>
      </c>
      <c r="B161" s="1"/>
      <c r="C161" s="1"/>
      <c r="D161" s="1"/>
      <c r="E161" s="14">
        <f>[1]Sheet2!N160</f>
        <v>0</v>
      </c>
      <c r="F161" s="14">
        <f>[1]Sheet2!BE160</f>
        <v>0</v>
      </c>
      <c r="G161" s="14">
        <f>[1]Sheet2!CW160</f>
        <v>0</v>
      </c>
      <c r="H161" s="1"/>
      <c r="I161" s="1"/>
      <c r="J161" s="1"/>
      <c r="K161" s="16"/>
      <c r="L161" s="16">
        <f>Demand_CWRS!B$8/30</f>
        <v>124.86819391025641</v>
      </c>
      <c r="M161" s="16">
        <f>Demand_CWRS!C$8/30</f>
        <v>583.20512820512829</v>
      </c>
      <c r="N161" s="16">
        <f>Demand_CWRS!D$8/30</f>
        <v>0</v>
      </c>
      <c r="O161" s="16">
        <f>Demand_CWRS!E$8/30</f>
        <v>156.84829059829062</v>
      </c>
      <c r="P161" s="16">
        <f>Demand_CWRS!F$8/30</f>
        <v>252.39596314102559</v>
      </c>
      <c r="Q161" s="16">
        <f>Demand_CWRS!G$8/30</f>
        <v>124.86819391025641</v>
      </c>
      <c r="R161" s="16">
        <f>Demand_CWRS!H$8/30</f>
        <v>246.66666666666666</v>
      </c>
      <c r="S161" s="16">
        <f>Demand_CWRS!I$8/30</f>
        <v>246.66666666666666</v>
      </c>
      <c r="T161" s="16">
        <f>Demand_CWRS!J$8/30</f>
        <v>246.66666666666666</v>
      </c>
      <c r="U161" s="16">
        <f>Demand_CWRS!K$8/30</f>
        <v>246.66666666666666</v>
      </c>
      <c r="V161" s="16">
        <f t="shared" si="66"/>
        <v>-19488.793077460632</v>
      </c>
      <c r="W161" s="16">
        <f t="shared" si="67"/>
        <v>-70442.443589743401</v>
      </c>
      <c r="X161" s="16">
        <f t="shared" si="68"/>
        <v>0</v>
      </c>
      <c r="Y161" s="16">
        <f t="shared" si="69"/>
        <v>-9933.7658660607849</v>
      </c>
      <c r="Z161" s="16">
        <f t="shared" si="70"/>
        <v>-31473.056682550316</v>
      </c>
      <c r="AA161" s="16">
        <f t="shared" si="71"/>
        <v>-18163.019928422196</v>
      </c>
      <c r="AB161" s="16">
        <f t="shared" si="72"/>
        <v>-35913.995277101581</v>
      </c>
      <c r="AC161" s="16">
        <f t="shared" si="73"/>
        <v>-30120.985020691354</v>
      </c>
      <c r="AD161" s="16">
        <f t="shared" si="74"/>
        <v>-30220.985020691347</v>
      </c>
      <c r="AE161" s="16">
        <f t="shared" si="75"/>
        <v>-30820.985020691351</v>
      </c>
      <c r="AF161" s="14">
        <f>IF([1]Sheet2!AJ160=999999,"NA",[1]Sheet2!AJ160)</f>
        <v>0</v>
      </c>
      <c r="AG161" s="14">
        <f>IF([1]Sheet2!AK160=999999,"NA",[1]Sheet2!AK160)</f>
        <v>0</v>
      </c>
      <c r="AH161" s="14" t="str">
        <f>IF([1]Sheet2!AL160=999999,"NA",[1]Sheet2!AL160)</f>
        <v>NA</v>
      </c>
      <c r="AI161" s="14">
        <f>IF([1]Sheet2!AM160=999999,"NA",[1]Sheet2!AM160)</f>
        <v>0</v>
      </c>
      <c r="AJ161" s="14">
        <f>IF([1]Sheet2!AN160=999999,"NA",[1]Sheet2!AN160)</f>
        <v>0</v>
      </c>
      <c r="AK161" s="14">
        <f>IF([1]Sheet2!AO160=999999,"NA",[1]Sheet2!AO160)</f>
        <v>0</v>
      </c>
      <c r="AL161" s="14">
        <f>IF([1]Sheet2!AP160=999999,"NA",[1]Sheet2!AP160)</f>
        <v>0</v>
      </c>
      <c r="AM161" s="14">
        <f>IF([1]Sheet2!AQ160=999999,"NA",[1]Sheet2!AQ160)</f>
        <v>0</v>
      </c>
      <c r="AN161" s="14">
        <f>IF([1]Sheet2!AR160=999999,"NA",[1]Sheet2!AR160)</f>
        <v>0</v>
      </c>
      <c r="AO161" s="14">
        <f>IF([1]Sheet2!AS160=999999,"NA",[1]Sheet2!AS160)</f>
        <v>0</v>
      </c>
      <c r="AP161" s="14">
        <f>[1]Sheet2!P160</f>
        <v>0</v>
      </c>
      <c r="AQ161" s="14">
        <f>[1]Sheet2!Q160</f>
        <v>0</v>
      </c>
      <c r="AR161" s="14">
        <f>[1]Sheet2!R160</f>
        <v>0</v>
      </c>
      <c r="AS161" s="14">
        <f>[1]Sheet2!S160</f>
        <v>0</v>
      </c>
      <c r="AT161" s="14">
        <f>[1]Sheet2!T160</f>
        <v>0</v>
      </c>
      <c r="AU161" s="14">
        <f>[1]Sheet2!U160</f>
        <v>0</v>
      </c>
      <c r="AV161" s="14">
        <f>[1]Sheet2!V160</f>
        <v>0</v>
      </c>
      <c r="AW161" s="14">
        <f>[1]Sheet2!W160</f>
        <v>0</v>
      </c>
      <c r="AX161" s="14">
        <f>[1]Sheet2!X160</f>
        <v>0</v>
      </c>
      <c r="AY161" s="14">
        <f>[1]Sheet2!Y160</f>
        <v>0</v>
      </c>
      <c r="AZ161" s="16">
        <f>Demand_LP!B$8/30</f>
        <v>807.81611164529909</v>
      </c>
      <c r="BA161" s="16">
        <f>Demand_LP!C$8/30</f>
        <v>574.48717948717956</v>
      </c>
      <c r="BB161" s="16">
        <f>Demand_LP!D$8/30</f>
        <v>339.04957264957267</v>
      </c>
      <c r="BC161" s="16">
        <f>Demand_LP!E$8/30</f>
        <v>830.46965811965799</v>
      </c>
      <c r="BD161" s="16">
        <f>Demand_LP!F$8/30</f>
        <v>476.67186805555554</v>
      </c>
      <c r="BE161" s="16">
        <f>Demand_LP!G$8/30</f>
        <v>476.67186805555554</v>
      </c>
      <c r="BF161" s="16">
        <f>Demand_LP!H$8/30</f>
        <v>574.48717948717956</v>
      </c>
      <c r="BG161" s="16">
        <f>Demand_LP!I$8/30</f>
        <v>476.67186805555554</v>
      </c>
      <c r="BH161" s="16">
        <f>Demand_LP!J$8/30</f>
        <v>476.67186805555554</v>
      </c>
      <c r="BI161" s="16">
        <f>Demand_LP!K$8/30</f>
        <v>476.67186805555554</v>
      </c>
      <c r="BJ161" s="16">
        <f t="shared" si="76"/>
        <v>-107605.94035500164</v>
      </c>
      <c r="BK161" s="16">
        <f t="shared" si="77"/>
        <v>-88972.889743589738</v>
      </c>
      <c r="BL161" s="16">
        <f t="shared" si="78"/>
        <v>-38893.466239316294</v>
      </c>
      <c r="BM161" s="16">
        <f t="shared" si="79"/>
        <v>-112461.10425727566</v>
      </c>
      <c r="BN161" s="16">
        <f t="shared" si="80"/>
        <v>-64817.593581095229</v>
      </c>
      <c r="BO161" s="16">
        <f t="shared" si="81"/>
        <v>-63275.277499465941</v>
      </c>
      <c r="BP161" s="16">
        <f t="shared" si="82"/>
        <v>-83330.469230769246</v>
      </c>
      <c r="BQ161" s="16">
        <f t="shared" si="83"/>
        <v>-63275.277499465941</v>
      </c>
      <c r="BR161" s="16">
        <f t="shared" si="84"/>
        <v>-60875.277499465941</v>
      </c>
      <c r="BS161" s="16">
        <f t="shared" si="85"/>
        <v>-61575.277499465934</v>
      </c>
      <c r="BT161" s="14">
        <f>IF([1]Sheet2!CB160=999999,"NA",[1]Sheet2!CB160)</f>
        <v>0</v>
      </c>
      <c r="BU161" s="14">
        <f>IF([1]Sheet2!CC160=999999,"NA",[1]Sheet2!CC160)</f>
        <v>0</v>
      </c>
      <c r="BV161" s="14">
        <f>IF([1]Sheet2!CD160=999999,"NA",[1]Sheet2!CD160)</f>
        <v>0</v>
      </c>
      <c r="BW161" s="14">
        <f>IF([1]Sheet2!CE160=999999,"NA",[1]Sheet2!CE160)</f>
        <v>0</v>
      </c>
      <c r="BX161" s="14">
        <f>IF([1]Sheet2!CF160=999999,"NA",[1]Sheet2!CF160)</f>
        <v>0</v>
      </c>
      <c r="BY161" s="14">
        <f>IF([1]Sheet2!CG160=999999,"NA",[1]Sheet2!CG160)</f>
        <v>0</v>
      </c>
      <c r="BZ161" s="14">
        <f>IF([1]Sheet2!CH160=999999,"NA",[1]Sheet2!CH160)</f>
        <v>0</v>
      </c>
      <c r="CA161" s="14">
        <f>IF([1]Sheet2!CI160=999999,"NA",[1]Sheet2!CI160)</f>
        <v>0</v>
      </c>
      <c r="CB161" s="14">
        <f>IF([1]Sheet2!CJ160=999999,"NA",[1]Sheet2!CJ160)</f>
        <v>0</v>
      </c>
      <c r="CC161" s="14">
        <f>IF([1]Sheet2!CK160=999999,"NA",[1]Sheet2!CK160)</f>
        <v>0</v>
      </c>
      <c r="CD161" s="14">
        <f>[1]Sheet2!BH160</f>
        <v>0</v>
      </c>
      <c r="CE161" s="14">
        <f>[1]Sheet2!BI160</f>
        <v>0</v>
      </c>
      <c r="CF161" s="14">
        <f>[1]Sheet2!BJ160</f>
        <v>0</v>
      </c>
      <c r="CG161" s="14">
        <f>[1]Sheet2!BK160</f>
        <v>0</v>
      </c>
      <c r="CH161" s="14">
        <f>[1]Sheet2!BL160</f>
        <v>0</v>
      </c>
      <c r="CI161" s="14">
        <f>[1]Sheet2!BM160</f>
        <v>0</v>
      </c>
      <c r="CJ161" s="14">
        <f>[1]Sheet2!BN160</f>
        <v>0</v>
      </c>
      <c r="CK161" s="14">
        <f>[1]Sheet2!BO160</f>
        <v>0</v>
      </c>
      <c r="CL161" s="14">
        <f>[1]Sheet2!BP160</f>
        <v>0</v>
      </c>
      <c r="CM161" s="14">
        <f>[1]Sheet2!BQ160</f>
        <v>0</v>
      </c>
      <c r="CN161" s="16">
        <f>Demand_SW!B$8/30</f>
        <v>144.23076923076923</v>
      </c>
      <c r="CO161" s="16">
        <f>Demand_SW!C$8/30</f>
        <v>0</v>
      </c>
      <c r="CP161" s="16">
        <f>Demand_SW!D$8/30</f>
        <v>0</v>
      </c>
      <c r="CQ161" s="16">
        <f>Demand_SW!E$8/30</f>
        <v>0</v>
      </c>
      <c r="CR161" s="16">
        <f>Demand_SW!F$8/30</f>
        <v>0</v>
      </c>
      <c r="CS161" s="16">
        <f>Demand_SW!G$8/30</f>
        <v>144.23076923076923</v>
      </c>
      <c r="CT161" s="16">
        <f>Demand_SW!H$8/30</f>
        <v>0</v>
      </c>
      <c r="CU161" s="16">
        <f>Demand_SW!I$8/30</f>
        <v>0</v>
      </c>
      <c r="CV161" s="16">
        <f>Demand_SW!J$8/30</f>
        <v>0</v>
      </c>
      <c r="CW161" s="16">
        <f>Demand_SW!K$8/30</f>
        <v>0</v>
      </c>
      <c r="CX161" s="16">
        <f t="shared" si="86"/>
        <v>-16280.384615384626</v>
      </c>
      <c r="CY161" s="16">
        <f t="shared" si="87"/>
        <v>76.923076923077133</v>
      </c>
      <c r="CZ161" s="16">
        <f t="shared" si="88"/>
        <v>0</v>
      </c>
      <c r="DA161" s="16">
        <f t="shared" si="89"/>
        <v>0</v>
      </c>
      <c r="DB161" s="16">
        <f t="shared" si="90"/>
        <v>0</v>
      </c>
      <c r="DC161" s="16">
        <f t="shared" si="91"/>
        <v>-15809.615384615394</v>
      </c>
      <c r="DD161" s="16">
        <f t="shared" si="92"/>
        <v>76.923076923077133</v>
      </c>
      <c r="DE161" s="16">
        <f t="shared" si="93"/>
        <v>0</v>
      </c>
      <c r="DF161" s="16">
        <f t="shared" si="94"/>
        <v>0</v>
      </c>
      <c r="DG161" s="16">
        <f t="shared" si="95"/>
        <v>0</v>
      </c>
      <c r="DH161" s="14">
        <f>IF([1]Sheet2!DS160=999999,"NA",[1]Sheet2!DS160)</f>
        <v>0</v>
      </c>
      <c r="DI161" s="14">
        <f>IF([1]Sheet2!DT160=999999,"NA",[1]Sheet2!DT160)</f>
        <v>207</v>
      </c>
      <c r="DJ161" s="14" t="str">
        <f>IF([1]Sheet2!DU160=999999,"NA",[1]Sheet2!DU160)</f>
        <v>NA</v>
      </c>
      <c r="DK161" s="14" t="str">
        <f>IF([1]Sheet2!DV160=999999,"NA",[1]Sheet2!DV160)</f>
        <v>NA</v>
      </c>
      <c r="DL161" s="14" t="str">
        <f>IF([1]Sheet2!DW160=999999,"NA",[1]Sheet2!DW160)</f>
        <v>NA</v>
      </c>
      <c r="DM161" s="14">
        <f>IF([1]Sheet2!DX160=999999,"NA",[1]Sheet2!DX160)</f>
        <v>0</v>
      </c>
      <c r="DN161" s="14">
        <f>IF([1]Sheet2!DY160=999999,"NA",[1]Sheet2!DY160)</f>
        <v>207</v>
      </c>
      <c r="DO161" s="14" t="str">
        <f>IF([1]Sheet2!DZ160=999999,"NA",[1]Sheet2!DZ160)</f>
        <v>NA</v>
      </c>
      <c r="DP161" s="14" t="str">
        <f>IF([1]Sheet2!EA160=999999,"NA",[1]Sheet2!EA160)</f>
        <v>NA</v>
      </c>
      <c r="DQ161" s="14" t="str">
        <f>IF([1]Sheet2!EB160=999999,"NA",[1]Sheet2!EB160)</f>
        <v>NA</v>
      </c>
      <c r="DR161" s="14">
        <f>[1]Sheet2!CY160</f>
        <v>0</v>
      </c>
      <c r="DS161" s="14">
        <f>[1]Sheet2!CZ160</f>
        <v>0</v>
      </c>
      <c r="DT161" s="14">
        <f>[1]Sheet2!DA160</f>
        <v>0</v>
      </c>
      <c r="DU161" s="14">
        <f>[1]Sheet2!DB160</f>
        <v>0</v>
      </c>
      <c r="DV161" s="14">
        <f>[1]Sheet2!DC160</f>
        <v>0</v>
      </c>
      <c r="DW161" s="14">
        <f>[1]Sheet2!DD160</f>
        <v>0</v>
      </c>
      <c r="DX161" s="14">
        <f>[1]Sheet2!DE160</f>
        <v>0</v>
      </c>
      <c r="DY161" s="14">
        <f>[1]Sheet2!DF160</f>
        <v>0</v>
      </c>
      <c r="DZ161" s="14">
        <f>[1]Sheet2!DG160</f>
        <v>0</v>
      </c>
      <c r="EA161" s="14">
        <f>[1]Sheet2!DH160</f>
        <v>0</v>
      </c>
      <c r="EB161" s="6">
        <f>[1]Sheet2!EC160</f>
        <v>0</v>
      </c>
      <c r="EC161" s="6">
        <f>[1]Sheet2!ED160</f>
        <v>0</v>
      </c>
      <c r="ED161" s="6">
        <f>[1]Sheet2!EE160</f>
        <v>0</v>
      </c>
      <c r="EE161" s="6">
        <f>[1]Sheet2!EF160</f>
        <v>0</v>
      </c>
      <c r="EF161" s="6">
        <f>[1]Sheet2!EG160</f>
        <v>0</v>
      </c>
      <c r="EG161" s="6">
        <f>[1]Sheet2!EH160</f>
        <v>0</v>
      </c>
      <c r="EH161" s="6">
        <f>[1]Sheet2!EI160</f>
        <v>0</v>
      </c>
      <c r="EI161" s="6">
        <f>[1]Sheet2!EJ160</f>
        <v>0</v>
      </c>
      <c r="EJ161" s="6">
        <f>[1]Sheet2!EK160</f>
        <v>0</v>
      </c>
      <c r="EK161" s="6">
        <f>[1]Sheet2!EL160</f>
        <v>0</v>
      </c>
      <c r="EL161" s="6" t="str">
        <f>[1]Sheet2!EM160</f>
        <v/>
      </c>
      <c r="EM161" s="6" t="str">
        <f>[1]Sheet2!EN160</f>
        <v/>
      </c>
      <c r="EN161" s="6" t="str">
        <f>[1]Sheet2!EO160</f>
        <v/>
      </c>
      <c r="EO161" s="6" t="str">
        <f>[1]Sheet2!EP160</f>
        <v/>
      </c>
      <c r="EP161" s="6" t="str">
        <f>[1]Sheet2!EQ160</f>
        <v/>
      </c>
      <c r="EQ161" s="6" t="str">
        <f>[1]Sheet2!ER160</f>
        <v/>
      </c>
      <c r="ER161" s="6" t="str">
        <f>[1]Sheet2!ES160</f>
        <v/>
      </c>
      <c r="ES161" s="6" t="str">
        <f>[1]Sheet2!ET160</f>
        <v/>
      </c>
      <c r="ET161" s="6" t="str">
        <f>[1]Sheet2!EU160</f>
        <v/>
      </c>
      <c r="EU161" s="6" t="str">
        <f>[1]Sheet2!EV160</f>
        <v/>
      </c>
      <c r="EV161" s="6" t="str">
        <f>[1]Sheet2!EW160</f>
        <v/>
      </c>
      <c r="EW161" s="6" t="str">
        <f>[1]Sheet2!EX160</f>
        <v/>
      </c>
      <c r="EX161" s="6" t="str">
        <f>[1]Sheet2!EY160</f>
        <v/>
      </c>
      <c r="EY161" s="6" t="str">
        <f>[1]Sheet2!EZ160</f>
        <v/>
      </c>
      <c r="EZ161" s="6" t="str">
        <f>[1]Sheet2!FA160</f>
        <v/>
      </c>
      <c r="FA161" s="6" t="str">
        <f>[1]Sheet2!FB160</f>
        <v/>
      </c>
      <c r="FB161" s="6" t="str">
        <f>[1]Sheet2!FC160</f>
        <v/>
      </c>
      <c r="FC161" s="6" t="str">
        <f>[1]Sheet2!FD160</f>
        <v/>
      </c>
      <c r="FD161" s="6" t="str">
        <f>[1]Sheet2!FE160</f>
        <v/>
      </c>
      <c r="FE161" s="6" t="str">
        <f>[1]Sheet2!FF160</f>
        <v/>
      </c>
      <c r="FF161" s="6" t="str">
        <f>[1]Sheet2!FG160</f>
        <v/>
      </c>
      <c r="FG161" s="6" t="str">
        <f>[1]Sheet2!FH160</f>
        <v/>
      </c>
      <c r="FH161" s="6" t="str">
        <f>[1]Sheet2!FI160</f>
        <v/>
      </c>
      <c r="FI161" s="6" t="str">
        <f>[1]Sheet2!FJ160</f>
        <v/>
      </c>
      <c r="FJ161" s="6" t="str">
        <f>[1]Sheet2!FK160</f>
        <v/>
      </c>
      <c r="FK161" s="6" t="str">
        <f>[1]Sheet2!FL160</f>
        <v/>
      </c>
      <c r="FL161" s="6" t="str">
        <f>[1]Sheet2!FM160</f>
        <v/>
      </c>
      <c r="FM161" s="6" t="str">
        <f>[1]Sheet2!FN160</f>
        <v/>
      </c>
      <c r="FN161" s="6" t="str">
        <f>[1]Sheet2!FO160</f>
        <v/>
      </c>
      <c r="FO161" s="6" t="str">
        <f>[1]Sheet2!FP160</f>
        <v/>
      </c>
    </row>
    <row r="162" spans="1:171" x14ac:dyDescent="0.25">
      <c r="A162" s="15">
        <v>43624</v>
      </c>
      <c r="B162" s="1"/>
      <c r="C162" s="1"/>
      <c r="D162" s="1"/>
      <c r="E162" s="14">
        <f>[1]Sheet2!N161</f>
        <v>0</v>
      </c>
      <c r="F162" s="14">
        <f>[1]Sheet2!BE161</f>
        <v>0</v>
      </c>
      <c r="G162" s="14">
        <f>[1]Sheet2!CW161</f>
        <v>0</v>
      </c>
      <c r="H162" s="1"/>
      <c r="I162" s="1"/>
      <c r="J162" s="1"/>
      <c r="K162" s="16"/>
      <c r="L162" s="16">
        <f>Demand_CWRS!B$8/30</f>
        <v>124.86819391025641</v>
      </c>
      <c r="M162" s="16">
        <f>Demand_CWRS!C$8/30</f>
        <v>583.20512820512829</v>
      </c>
      <c r="N162" s="16">
        <f>Demand_CWRS!D$8/30</f>
        <v>0</v>
      </c>
      <c r="O162" s="16">
        <f>Demand_CWRS!E$8/30</f>
        <v>156.84829059829062</v>
      </c>
      <c r="P162" s="16">
        <f>Demand_CWRS!F$8/30</f>
        <v>252.39596314102559</v>
      </c>
      <c r="Q162" s="16">
        <f>Demand_CWRS!G$8/30</f>
        <v>124.86819391025641</v>
      </c>
      <c r="R162" s="16">
        <f>Demand_CWRS!H$8/30</f>
        <v>246.66666666666666</v>
      </c>
      <c r="S162" s="16">
        <f>Demand_CWRS!I$8/30</f>
        <v>246.66666666666666</v>
      </c>
      <c r="T162" s="16">
        <f>Demand_CWRS!J$8/30</f>
        <v>246.66666666666666</v>
      </c>
      <c r="U162" s="16">
        <f>Demand_CWRS!K$8/30</f>
        <v>246.66666666666666</v>
      </c>
      <c r="V162" s="16">
        <f t="shared" si="66"/>
        <v>-19613.661271370889</v>
      </c>
      <c r="W162" s="16">
        <f t="shared" si="67"/>
        <v>-71025.648717948527</v>
      </c>
      <c r="X162" s="16">
        <f t="shared" si="68"/>
        <v>0</v>
      </c>
      <c r="Y162" s="16">
        <f t="shared" si="69"/>
        <v>-10090.614156659076</v>
      </c>
      <c r="Z162" s="16">
        <f t="shared" si="70"/>
        <v>-31725.452645691341</v>
      </c>
      <c r="AA162" s="16">
        <f t="shared" si="71"/>
        <v>-18287.888122332453</v>
      </c>
      <c r="AB162" s="16">
        <f t="shared" si="72"/>
        <v>-36160.661943768246</v>
      </c>
      <c r="AC162" s="16">
        <f t="shared" si="73"/>
        <v>-30367.651687358022</v>
      </c>
      <c r="AD162" s="16">
        <f t="shared" si="74"/>
        <v>-30467.651687358015</v>
      </c>
      <c r="AE162" s="16">
        <f t="shared" si="75"/>
        <v>-31067.651687358019</v>
      </c>
      <c r="AF162" s="14">
        <f>IF([1]Sheet2!AJ161=999999,"NA",[1]Sheet2!AJ161)</f>
        <v>0</v>
      </c>
      <c r="AG162" s="14">
        <f>IF([1]Sheet2!AK161=999999,"NA",[1]Sheet2!AK161)</f>
        <v>0</v>
      </c>
      <c r="AH162" s="14" t="str">
        <f>IF([1]Sheet2!AL161=999999,"NA",[1]Sheet2!AL161)</f>
        <v>NA</v>
      </c>
      <c r="AI162" s="14">
        <f>IF([1]Sheet2!AM161=999999,"NA",[1]Sheet2!AM161)</f>
        <v>0</v>
      </c>
      <c r="AJ162" s="14">
        <f>IF([1]Sheet2!AN161=999999,"NA",[1]Sheet2!AN161)</f>
        <v>0</v>
      </c>
      <c r="AK162" s="14">
        <f>IF([1]Sheet2!AO161=999999,"NA",[1]Sheet2!AO161)</f>
        <v>0</v>
      </c>
      <c r="AL162" s="14">
        <f>IF([1]Sheet2!AP161=999999,"NA",[1]Sheet2!AP161)</f>
        <v>0</v>
      </c>
      <c r="AM162" s="14">
        <f>IF([1]Sheet2!AQ161=999999,"NA",[1]Sheet2!AQ161)</f>
        <v>0</v>
      </c>
      <c r="AN162" s="14">
        <f>IF([1]Sheet2!AR161=999999,"NA",[1]Sheet2!AR161)</f>
        <v>0</v>
      </c>
      <c r="AO162" s="14">
        <f>IF([1]Sheet2!AS161=999999,"NA",[1]Sheet2!AS161)</f>
        <v>0</v>
      </c>
      <c r="AP162" s="14">
        <f>[1]Sheet2!P161</f>
        <v>0</v>
      </c>
      <c r="AQ162" s="14">
        <f>[1]Sheet2!Q161</f>
        <v>0</v>
      </c>
      <c r="AR162" s="14">
        <f>[1]Sheet2!R161</f>
        <v>0</v>
      </c>
      <c r="AS162" s="14">
        <f>[1]Sheet2!S161</f>
        <v>0</v>
      </c>
      <c r="AT162" s="14">
        <f>[1]Sheet2!T161</f>
        <v>0</v>
      </c>
      <c r="AU162" s="14">
        <f>[1]Sheet2!U161</f>
        <v>0</v>
      </c>
      <c r="AV162" s="14">
        <f>[1]Sheet2!V161</f>
        <v>0</v>
      </c>
      <c r="AW162" s="14">
        <f>[1]Sheet2!W161</f>
        <v>0</v>
      </c>
      <c r="AX162" s="14">
        <f>[1]Sheet2!X161</f>
        <v>0</v>
      </c>
      <c r="AY162" s="14">
        <f>[1]Sheet2!Y161</f>
        <v>0</v>
      </c>
      <c r="AZ162" s="16">
        <f>Demand_LP!B$8/30</f>
        <v>807.81611164529909</v>
      </c>
      <c r="BA162" s="16">
        <f>Demand_LP!C$8/30</f>
        <v>574.48717948717956</v>
      </c>
      <c r="BB162" s="16">
        <f>Demand_LP!D$8/30</f>
        <v>339.04957264957267</v>
      </c>
      <c r="BC162" s="16">
        <f>Demand_LP!E$8/30</f>
        <v>830.46965811965799</v>
      </c>
      <c r="BD162" s="16">
        <f>Demand_LP!F$8/30</f>
        <v>476.67186805555554</v>
      </c>
      <c r="BE162" s="16">
        <f>Demand_LP!G$8/30</f>
        <v>476.67186805555554</v>
      </c>
      <c r="BF162" s="16">
        <f>Demand_LP!H$8/30</f>
        <v>574.48717948717956</v>
      </c>
      <c r="BG162" s="16">
        <f>Demand_LP!I$8/30</f>
        <v>476.67186805555554</v>
      </c>
      <c r="BH162" s="16">
        <f>Demand_LP!J$8/30</f>
        <v>476.67186805555554</v>
      </c>
      <c r="BI162" s="16">
        <f>Demand_LP!K$8/30</f>
        <v>476.67186805555554</v>
      </c>
      <c r="BJ162" s="16">
        <f t="shared" si="76"/>
        <v>-108413.75646664694</v>
      </c>
      <c r="BK162" s="16">
        <f t="shared" si="77"/>
        <v>-89547.37692307691</v>
      </c>
      <c r="BL162" s="16">
        <f t="shared" si="78"/>
        <v>-39232.515811965866</v>
      </c>
      <c r="BM162" s="16">
        <f t="shared" si="79"/>
        <v>-113291.57391539532</v>
      </c>
      <c r="BN162" s="16">
        <f t="shared" si="80"/>
        <v>-65294.265449150786</v>
      </c>
      <c r="BO162" s="16">
        <f t="shared" si="81"/>
        <v>-63751.949367521498</v>
      </c>
      <c r="BP162" s="16">
        <f t="shared" si="82"/>
        <v>-83904.956410256418</v>
      </c>
      <c r="BQ162" s="16">
        <f t="shared" si="83"/>
        <v>-63751.949367521498</v>
      </c>
      <c r="BR162" s="16">
        <f t="shared" si="84"/>
        <v>-61351.949367521498</v>
      </c>
      <c r="BS162" s="16">
        <f t="shared" si="85"/>
        <v>-62051.949367521491</v>
      </c>
      <c r="BT162" s="14">
        <f>IF([1]Sheet2!CB161=999999,"NA",[1]Sheet2!CB161)</f>
        <v>0</v>
      </c>
      <c r="BU162" s="14">
        <f>IF([1]Sheet2!CC161=999999,"NA",[1]Sheet2!CC161)</f>
        <v>0</v>
      </c>
      <c r="BV162" s="14">
        <f>IF([1]Sheet2!CD161=999999,"NA",[1]Sheet2!CD161)</f>
        <v>0</v>
      </c>
      <c r="BW162" s="14">
        <f>IF([1]Sheet2!CE161=999999,"NA",[1]Sheet2!CE161)</f>
        <v>0</v>
      </c>
      <c r="BX162" s="14">
        <f>IF([1]Sheet2!CF161=999999,"NA",[1]Sheet2!CF161)</f>
        <v>0</v>
      </c>
      <c r="BY162" s="14">
        <f>IF([1]Sheet2!CG161=999999,"NA",[1]Sheet2!CG161)</f>
        <v>0</v>
      </c>
      <c r="BZ162" s="14">
        <f>IF([1]Sheet2!CH161=999999,"NA",[1]Sheet2!CH161)</f>
        <v>0</v>
      </c>
      <c r="CA162" s="14">
        <f>IF([1]Sheet2!CI161=999999,"NA",[1]Sheet2!CI161)</f>
        <v>0</v>
      </c>
      <c r="CB162" s="14">
        <f>IF([1]Sheet2!CJ161=999999,"NA",[1]Sheet2!CJ161)</f>
        <v>0</v>
      </c>
      <c r="CC162" s="14">
        <f>IF([1]Sheet2!CK161=999999,"NA",[1]Sheet2!CK161)</f>
        <v>0</v>
      </c>
      <c r="CD162" s="14">
        <f>[1]Sheet2!BH161</f>
        <v>0</v>
      </c>
      <c r="CE162" s="14">
        <f>[1]Sheet2!BI161</f>
        <v>0</v>
      </c>
      <c r="CF162" s="14">
        <f>[1]Sheet2!BJ161</f>
        <v>0</v>
      </c>
      <c r="CG162" s="14">
        <f>[1]Sheet2!BK161</f>
        <v>0</v>
      </c>
      <c r="CH162" s="14">
        <f>[1]Sheet2!BL161</f>
        <v>0</v>
      </c>
      <c r="CI162" s="14">
        <f>[1]Sheet2!BM161</f>
        <v>0</v>
      </c>
      <c r="CJ162" s="14">
        <f>[1]Sheet2!BN161</f>
        <v>0</v>
      </c>
      <c r="CK162" s="14">
        <f>[1]Sheet2!BO161</f>
        <v>0</v>
      </c>
      <c r="CL162" s="14">
        <f>[1]Sheet2!BP161</f>
        <v>0</v>
      </c>
      <c r="CM162" s="14">
        <f>[1]Sheet2!BQ161</f>
        <v>0</v>
      </c>
      <c r="CN162" s="16">
        <f>Demand_SW!B$8/30</f>
        <v>144.23076923076923</v>
      </c>
      <c r="CO162" s="16">
        <f>Demand_SW!C$8/30</f>
        <v>0</v>
      </c>
      <c r="CP162" s="16">
        <f>Demand_SW!D$8/30</f>
        <v>0</v>
      </c>
      <c r="CQ162" s="16">
        <f>Demand_SW!E$8/30</f>
        <v>0</v>
      </c>
      <c r="CR162" s="16">
        <f>Demand_SW!F$8/30</f>
        <v>0</v>
      </c>
      <c r="CS162" s="16">
        <f>Demand_SW!G$8/30</f>
        <v>144.23076923076923</v>
      </c>
      <c r="CT162" s="16">
        <f>Demand_SW!H$8/30</f>
        <v>0</v>
      </c>
      <c r="CU162" s="16">
        <f>Demand_SW!I$8/30</f>
        <v>0</v>
      </c>
      <c r="CV162" s="16">
        <f>Demand_SW!J$8/30</f>
        <v>0</v>
      </c>
      <c r="CW162" s="16">
        <f>Demand_SW!K$8/30</f>
        <v>0</v>
      </c>
      <c r="CX162" s="16">
        <f t="shared" si="86"/>
        <v>-16424.615384615394</v>
      </c>
      <c r="CY162" s="16">
        <f t="shared" si="87"/>
        <v>76.923076923077133</v>
      </c>
      <c r="CZ162" s="16">
        <f t="shared" si="88"/>
        <v>0</v>
      </c>
      <c r="DA162" s="16">
        <f t="shared" si="89"/>
        <v>0</v>
      </c>
      <c r="DB162" s="16">
        <f t="shared" si="90"/>
        <v>0</v>
      </c>
      <c r="DC162" s="16">
        <f t="shared" si="91"/>
        <v>-15953.846153846163</v>
      </c>
      <c r="DD162" s="16">
        <f t="shared" si="92"/>
        <v>76.923076923077133</v>
      </c>
      <c r="DE162" s="16">
        <f t="shared" si="93"/>
        <v>0</v>
      </c>
      <c r="DF162" s="16">
        <f t="shared" si="94"/>
        <v>0</v>
      </c>
      <c r="DG162" s="16">
        <f t="shared" si="95"/>
        <v>0</v>
      </c>
      <c r="DH162" s="14">
        <f>IF([1]Sheet2!DS161=999999,"NA",[1]Sheet2!DS161)</f>
        <v>0</v>
      </c>
      <c r="DI162" s="14">
        <f>IF([1]Sheet2!DT161=999999,"NA",[1]Sheet2!DT161)</f>
        <v>206</v>
      </c>
      <c r="DJ162" s="14" t="str">
        <f>IF([1]Sheet2!DU161=999999,"NA",[1]Sheet2!DU161)</f>
        <v>NA</v>
      </c>
      <c r="DK162" s="14" t="str">
        <f>IF([1]Sheet2!DV161=999999,"NA",[1]Sheet2!DV161)</f>
        <v>NA</v>
      </c>
      <c r="DL162" s="14" t="str">
        <f>IF([1]Sheet2!DW161=999999,"NA",[1]Sheet2!DW161)</f>
        <v>NA</v>
      </c>
      <c r="DM162" s="14">
        <f>IF([1]Sheet2!DX161=999999,"NA",[1]Sheet2!DX161)</f>
        <v>0</v>
      </c>
      <c r="DN162" s="14">
        <f>IF([1]Sheet2!DY161=999999,"NA",[1]Sheet2!DY161)</f>
        <v>206</v>
      </c>
      <c r="DO162" s="14" t="str">
        <f>IF([1]Sheet2!DZ161=999999,"NA",[1]Sheet2!DZ161)</f>
        <v>NA</v>
      </c>
      <c r="DP162" s="14" t="str">
        <f>IF([1]Sheet2!EA161=999999,"NA",[1]Sheet2!EA161)</f>
        <v>NA</v>
      </c>
      <c r="DQ162" s="14" t="str">
        <f>IF([1]Sheet2!EB161=999999,"NA",[1]Sheet2!EB161)</f>
        <v>NA</v>
      </c>
      <c r="DR162" s="14">
        <f>[1]Sheet2!CY161</f>
        <v>0</v>
      </c>
      <c r="DS162" s="14">
        <f>[1]Sheet2!CZ161</f>
        <v>0</v>
      </c>
      <c r="DT162" s="14">
        <f>[1]Sheet2!DA161</f>
        <v>0</v>
      </c>
      <c r="DU162" s="14">
        <f>[1]Sheet2!DB161</f>
        <v>0</v>
      </c>
      <c r="DV162" s="14">
        <f>[1]Sheet2!DC161</f>
        <v>0</v>
      </c>
      <c r="DW162" s="14">
        <f>[1]Sheet2!DD161</f>
        <v>0</v>
      </c>
      <c r="DX162" s="14">
        <f>[1]Sheet2!DE161</f>
        <v>0</v>
      </c>
      <c r="DY162" s="14">
        <f>[1]Sheet2!DF161</f>
        <v>0</v>
      </c>
      <c r="DZ162" s="14">
        <f>[1]Sheet2!DG161</f>
        <v>0</v>
      </c>
      <c r="EA162" s="14">
        <f>[1]Sheet2!DH161</f>
        <v>0</v>
      </c>
      <c r="EB162" s="6">
        <f>[1]Sheet2!EC161</f>
        <v>0</v>
      </c>
      <c r="EC162" s="6">
        <f>[1]Sheet2!ED161</f>
        <v>0</v>
      </c>
      <c r="ED162" s="6">
        <f>[1]Sheet2!EE161</f>
        <v>0</v>
      </c>
      <c r="EE162" s="6">
        <f>[1]Sheet2!EF161</f>
        <v>0</v>
      </c>
      <c r="EF162" s="6">
        <f>[1]Sheet2!EG161</f>
        <v>0</v>
      </c>
      <c r="EG162" s="6">
        <f>[1]Sheet2!EH161</f>
        <v>0</v>
      </c>
      <c r="EH162" s="6">
        <f>[1]Sheet2!EI161</f>
        <v>0</v>
      </c>
      <c r="EI162" s="6">
        <f>[1]Sheet2!EJ161</f>
        <v>0</v>
      </c>
      <c r="EJ162" s="6">
        <f>[1]Sheet2!EK161</f>
        <v>0</v>
      </c>
      <c r="EK162" s="6">
        <f>[1]Sheet2!EL161</f>
        <v>0</v>
      </c>
      <c r="EL162" s="6" t="str">
        <f>[1]Sheet2!EM161</f>
        <v/>
      </c>
      <c r="EM162" s="6" t="str">
        <f>[1]Sheet2!EN161</f>
        <v/>
      </c>
      <c r="EN162" s="6" t="str">
        <f>[1]Sheet2!EO161</f>
        <v/>
      </c>
      <c r="EO162" s="6" t="str">
        <f>[1]Sheet2!EP161</f>
        <v/>
      </c>
      <c r="EP162" s="6" t="str">
        <f>[1]Sheet2!EQ161</f>
        <v/>
      </c>
      <c r="EQ162" s="6" t="str">
        <f>[1]Sheet2!ER161</f>
        <v/>
      </c>
      <c r="ER162" s="6" t="str">
        <f>[1]Sheet2!ES161</f>
        <v/>
      </c>
      <c r="ES162" s="6" t="str">
        <f>[1]Sheet2!ET161</f>
        <v/>
      </c>
      <c r="ET162" s="6" t="str">
        <f>[1]Sheet2!EU161</f>
        <v/>
      </c>
      <c r="EU162" s="6" t="str">
        <f>[1]Sheet2!EV161</f>
        <v/>
      </c>
      <c r="EV162" s="6" t="str">
        <f>[1]Sheet2!EW161</f>
        <v/>
      </c>
      <c r="EW162" s="6" t="str">
        <f>[1]Sheet2!EX161</f>
        <v/>
      </c>
      <c r="EX162" s="6" t="str">
        <f>[1]Sheet2!EY161</f>
        <v/>
      </c>
      <c r="EY162" s="6" t="str">
        <f>[1]Sheet2!EZ161</f>
        <v/>
      </c>
      <c r="EZ162" s="6" t="str">
        <f>[1]Sheet2!FA161</f>
        <v/>
      </c>
      <c r="FA162" s="6" t="str">
        <f>[1]Sheet2!FB161</f>
        <v/>
      </c>
      <c r="FB162" s="6" t="str">
        <f>[1]Sheet2!FC161</f>
        <v/>
      </c>
      <c r="FC162" s="6" t="str">
        <f>[1]Sheet2!FD161</f>
        <v/>
      </c>
      <c r="FD162" s="6" t="str">
        <f>[1]Sheet2!FE161</f>
        <v/>
      </c>
      <c r="FE162" s="6" t="str">
        <f>[1]Sheet2!FF161</f>
        <v/>
      </c>
      <c r="FF162" s="6" t="str">
        <f>[1]Sheet2!FG161</f>
        <v/>
      </c>
      <c r="FG162" s="6" t="str">
        <f>[1]Sheet2!FH161</f>
        <v/>
      </c>
      <c r="FH162" s="6" t="str">
        <f>[1]Sheet2!FI161</f>
        <v/>
      </c>
      <c r="FI162" s="6" t="str">
        <f>[1]Sheet2!FJ161</f>
        <v/>
      </c>
      <c r="FJ162" s="6" t="str">
        <f>[1]Sheet2!FK161</f>
        <v/>
      </c>
      <c r="FK162" s="6" t="str">
        <f>[1]Sheet2!FL161</f>
        <v/>
      </c>
      <c r="FL162" s="6" t="str">
        <f>[1]Sheet2!FM161</f>
        <v/>
      </c>
      <c r="FM162" s="6" t="str">
        <f>[1]Sheet2!FN161</f>
        <v/>
      </c>
      <c r="FN162" s="6" t="str">
        <f>[1]Sheet2!FO161</f>
        <v/>
      </c>
      <c r="FO162" s="6" t="str">
        <f>[1]Sheet2!FP161</f>
        <v/>
      </c>
    </row>
    <row r="163" spans="1:171" x14ac:dyDescent="0.25">
      <c r="A163" s="15">
        <v>43625</v>
      </c>
      <c r="B163" s="1"/>
      <c r="C163" s="1"/>
      <c r="D163" s="1"/>
      <c r="E163" s="14">
        <f>[1]Sheet2!N162</f>
        <v>0</v>
      </c>
      <c r="F163" s="14">
        <f>[1]Sheet2!BE162</f>
        <v>0</v>
      </c>
      <c r="G163" s="14">
        <f>[1]Sheet2!CW162</f>
        <v>0</v>
      </c>
      <c r="H163" s="1"/>
      <c r="I163" s="1"/>
      <c r="J163" s="1"/>
      <c r="K163" s="16"/>
      <c r="L163" s="16">
        <f>Demand_CWRS!B$8/30</f>
        <v>124.86819391025641</v>
      </c>
      <c r="M163" s="16">
        <f>Demand_CWRS!C$8/30</f>
        <v>583.20512820512829</v>
      </c>
      <c r="N163" s="16">
        <f>Demand_CWRS!D$8/30</f>
        <v>0</v>
      </c>
      <c r="O163" s="16">
        <f>Demand_CWRS!E$8/30</f>
        <v>156.84829059829062</v>
      </c>
      <c r="P163" s="16">
        <f>Demand_CWRS!F$8/30</f>
        <v>252.39596314102559</v>
      </c>
      <c r="Q163" s="16">
        <f>Demand_CWRS!G$8/30</f>
        <v>124.86819391025641</v>
      </c>
      <c r="R163" s="16">
        <f>Demand_CWRS!H$8/30</f>
        <v>246.66666666666666</v>
      </c>
      <c r="S163" s="16">
        <f>Demand_CWRS!I$8/30</f>
        <v>246.66666666666666</v>
      </c>
      <c r="T163" s="16">
        <f>Demand_CWRS!J$8/30</f>
        <v>246.66666666666666</v>
      </c>
      <c r="U163" s="16">
        <f>Demand_CWRS!K$8/30</f>
        <v>246.66666666666666</v>
      </c>
      <c r="V163" s="16">
        <f t="shared" si="66"/>
        <v>-19738.529465281146</v>
      </c>
      <c r="W163" s="16">
        <f t="shared" si="67"/>
        <v>-71608.853846153652</v>
      </c>
      <c r="X163" s="16">
        <f t="shared" si="68"/>
        <v>0</v>
      </c>
      <c r="Y163" s="16">
        <f t="shared" si="69"/>
        <v>-10247.462447257367</v>
      </c>
      <c r="Z163" s="16">
        <f t="shared" si="70"/>
        <v>-31977.848608832366</v>
      </c>
      <c r="AA163" s="16">
        <f t="shared" si="71"/>
        <v>-18412.75631624271</v>
      </c>
      <c r="AB163" s="16">
        <f t="shared" si="72"/>
        <v>-36407.32861043491</v>
      </c>
      <c r="AC163" s="16">
        <f t="shared" si="73"/>
        <v>-30614.31835402469</v>
      </c>
      <c r="AD163" s="16">
        <f t="shared" si="74"/>
        <v>-30714.318354024683</v>
      </c>
      <c r="AE163" s="16">
        <f t="shared" si="75"/>
        <v>-31314.318354024686</v>
      </c>
      <c r="AF163" s="14">
        <f>IF([1]Sheet2!AJ162=999999,"NA",[1]Sheet2!AJ162)</f>
        <v>0</v>
      </c>
      <c r="AG163" s="14">
        <f>IF([1]Sheet2!AK162=999999,"NA",[1]Sheet2!AK162)</f>
        <v>0</v>
      </c>
      <c r="AH163" s="14" t="str">
        <f>IF([1]Sheet2!AL162=999999,"NA",[1]Sheet2!AL162)</f>
        <v>NA</v>
      </c>
      <c r="AI163" s="14">
        <f>IF([1]Sheet2!AM162=999999,"NA",[1]Sheet2!AM162)</f>
        <v>0</v>
      </c>
      <c r="AJ163" s="14">
        <f>IF([1]Sheet2!AN162=999999,"NA",[1]Sheet2!AN162)</f>
        <v>0</v>
      </c>
      <c r="AK163" s="14">
        <f>IF([1]Sheet2!AO162=999999,"NA",[1]Sheet2!AO162)</f>
        <v>0</v>
      </c>
      <c r="AL163" s="14">
        <f>IF([1]Sheet2!AP162=999999,"NA",[1]Sheet2!AP162)</f>
        <v>0</v>
      </c>
      <c r="AM163" s="14">
        <f>IF([1]Sheet2!AQ162=999999,"NA",[1]Sheet2!AQ162)</f>
        <v>0</v>
      </c>
      <c r="AN163" s="14">
        <f>IF([1]Sheet2!AR162=999999,"NA",[1]Sheet2!AR162)</f>
        <v>0</v>
      </c>
      <c r="AO163" s="14">
        <f>IF([1]Sheet2!AS162=999999,"NA",[1]Sheet2!AS162)</f>
        <v>0</v>
      </c>
      <c r="AP163" s="14">
        <f>[1]Sheet2!P162</f>
        <v>0</v>
      </c>
      <c r="AQ163" s="14">
        <f>[1]Sheet2!Q162</f>
        <v>0</v>
      </c>
      <c r="AR163" s="14">
        <f>[1]Sheet2!R162</f>
        <v>0</v>
      </c>
      <c r="AS163" s="14">
        <f>[1]Sheet2!S162</f>
        <v>0</v>
      </c>
      <c r="AT163" s="14">
        <f>[1]Sheet2!T162</f>
        <v>0</v>
      </c>
      <c r="AU163" s="14">
        <f>[1]Sheet2!U162</f>
        <v>0</v>
      </c>
      <c r="AV163" s="14">
        <f>[1]Sheet2!V162</f>
        <v>0</v>
      </c>
      <c r="AW163" s="14">
        <f>[1]Sheet2!W162</f>
        <v>0</v>
      </c>
      <c r="AX163" s="14">
        <f>[1]Sheet2!X162</f>
        <v>0</v>
      </c>
      <c r="AY163" s="14">
        <f>[1]Sheet2!Y162</f>
        <v>0</v>
      </c>
      <c r="AZ163" s="16">
        <f>Demand_LP!B$8/30</f>
        <v>807.81611164529909</v>
      </c>
      <c r="BA163" s="16">
        <f>Demand_LP!C$8/30</f>
        <v>574.48717948717956</v>
      </c>
      <c r="BB163" s="16">
        <f>Demand_LP!D$8/30</f>
        <v>339.04957264957267</v>
      </c>
      <c r="BC163" s="16">
        <f>Demand_LP!E$8/30</f>
        <v>830.46965811965799</v>
      </c>
      <c r="BD163" s="16">
        <f>Demand_LP!F$8/30</f>
        <v>476.67186805555554</v>
      </c>
      <c r="BE163" s="16">
        <f>Demand_LP!G$8/30</f>
        <v>476.67186805555554</v>
      </c>
      <c r="BF163" s="16">
        <f>Demand_LP!H$8/30</f>
        <v>574.48717948717956</v>
      </c>
      <c r="BG163" s="16">
        <f>Demand_LP!I$8/30</f>
        <v>476.67186805555554</v>
      </c>
      <c r="BH163" s="16">
        <f>Demand_LP!J$8/30</f>
        <v>476.67186805555554</v>
      </c>
      <c r="BI163" s="16">
        <f>Demand_LP!K$8/30</f>
        <v>476.67186805555554</v>
      </c>
      <c r="BJ163" s="16">
        <f t="shared" si="76"/>
        <v>-109221.57257829224</v>
      </c>
      <c r="BK163" s="16">
        <f t="shared" si="77"/>
        <v>-90121.864102564083</v>
      </c>
      <c r="BL163" s="16">
        <f t="shared" si="78"/>
        <v>-39571.565384615438</v>
      </c>
      <c r="BM163" s="16">
        <f t="shared" si="79"/>
        <v>-114122.04357351498</v>
      </c>
      <c r="BN163" s="16">
        <f t="shared" si="80"/>
        <v>-65770.937317206335</v>
      </c>
      <c r="BO163" s="16">
        <f t="shared" si="81"/>
        <v>-64228.621235577055</v>
      </c>
      <c r="BP163" s="16">
        <f t="shared" si="82"/>
        <v>-84479.443589743591</v>
      </c>
      <c r="BQ163" s="16">
        <f t="shared" si="83"/>
        <v>-64228.621235577055</v>
      </c>
      <c r="BR163" s="16">
        <f t="shared" si="84"/>
        <v>-61828.621235577055</v>
      </c>
      <c r="BS163" s="16">
        <f t="shared" si="85"/>
        <v>-62528.621235577048</v>
      </c>
      <c r="BT163" s="14">
        <f>IF([1]Sheet2!CB162=999999,"NA",[1]Sheet2!CB162)</f>
        <v>0</v>
      </c>
      <c r="BU163" s="14">
        <f>IF([1]Sheet2!CC162=999999,"NA",[1]Sheet2!CC162)</f>
        <v>0</v>
      </c>
      <c r="BV163" s="14">
        <f>IF([1]Sheet2!CD162=999999,"NA",[1]Sheet2!CD162)</f>
        <v>0</v>
      </c>
      <c r="BW163" s="14">
        <f>IF([1]Sheet2!CE162=999999,"NA",[1]Sheet2!CE162)</f>
        <v>0</v>
      </c>
      <c r="BX163" s="14">
        <f>IF([1]Sheet2!CF162=999999,"NA",[1]Sheet2!CF162)</f>
        <v>0</v>
      </c>
      <c r="BY163" s="14">
        <f>IF([1]Sheet2!CG162=999999,"NA",[1]Sheet2!CG162)</f>
        <v>0</v>
      </c>
      <c r="BZ163" s="14">
        <f>IF([1]Sheet2!CH162=999999,"NA",[1]Sheet2!CH162)</f>
        <v>0</v>
      </c>
      <c r="CA163" s="14">
        <f>IF([1]Sheet2!CI162=999999,"NA",[1]Sheet2!CI162)</f>
        <v>0</v>
      </c>
      <c r="CB163" s="14">
        <f>IF([1]Sheet2!CJ162=999999,"NA",[1]Sheet2!CJ162)</f>
        <v>0</v>
      </c>
      <c r="CC163" s="14">
        <f>IF([1]Sheet2!CK162=999999,"NA",[1]Sheet2!CK162)</f>
        <v>0</v>
      </c>
      <c r="CD163" s="14">
        <f>[1]Sheet2!BH162</f>
        <v>0</v>
      </c>
      <c r="CE163" s="14">
        <f>[1]Sheet2!BI162</f>
        <v>0</v>
      </c>
      <c r="CF163" s="14">
        <f>[1]Sheet2!BJ162</f>
        <v>0</v>
      </c>
      <c r="CG163" s="14">
        <f>[1]Sheet2!BK162</f>
        <v>0</v>
      </c>
      <c r="CH163" s="14">
        <f>[1]Sheet2!BL162</f>
        <v>0</v>
      </c>
      <c r="CI163" s="14">
        <f>[1]Sheet2!BM162</f>
        <v>0</v>
      </c>
      <c r="CJ163" s="14">
        <f>[1]Sheet2!BN162</f>
        <v>0</v>
      </c>
      <c r="CK163" s="14">
        <f>[1]Sheet2!BO162</f>
        <v>0</v>
      </c>
      <c r="CL163" s="14">
        <f>[1]Sheet2!BP162</f>
        <v>0</v>
      </c>
      <c r="CM163" s="14">
        <f>[1]Sheet2!BQ162</f>
        <v>0</v>
      </c>
      <c r="CN163" s="16">
        <f>Demand_SW!B$8/30</f>
        <v>144.23076923076923</v>
      </c>
      <c r="CO163" s="16">
        <f>Demand_SW!C$8/30</f>
        <v>0</v>
      </c>
      <c r="CP163" s="16">
        <f>Demand_SW!D$8/30</f>
        <v>0</v>
      </c>
      <c r="CQ163" s="16">
        <f>Demand_SW!E$8/30</f>
        <v>0</v>
      </c>
      <c r="CR163" s="16">
        <f>Demand_SW!F$8/30</f>
        <v>0</v>
      </c>
      <c r="CS163" s="16">
        <f>Demand_SW!G$8/30</f>
        <v>144.23076923076923</v>
      </c>
      <c r="CT163" s="16">
        <f>Demand_SW!H$8/30</f>
        <v>0</v>
      </c>
      <c r="CU163" s="16">
        <f>Demand_SW!I$8/30</f>
        <v>0</v>
      </c>
      <c r="CV163" s="16">
        <f>Demand_SW!J$8/30</f>
        <v>0</v>
      </c>
      <c r="CW163" s="16">
        <f>Demand_SW!K$8/30</f>
        <v>0</v>
      </c>
      <c r="CX163" s="16">
        <f t="shared" si="86"/>
        <v>-16568.846153846163</v>
      </c>
      <c r="CY163" s="16">
        <f t="shared" si="87"/>
        <v>76.923076923077133</v>
      </c>
      <c r="CZ163" s="16">
        <f t="shared" si="88"/>
        <v>0</v>
      </c>
      <c r="DA163" s="16">
        <f t="shared" si="89"/>
        <v>0</v>
      </c>
      <c r="DB163" s="16">
        <f t="shared" si="90"/>
        <v>0</v>
      </c>
      <c r="DC163" s="16">
        <f t="shared" si="91"/>
        <v>-16098.076923076933</v>
      </c>
      <c r="DD163" s="16">
        <f t="shared" si="92"/>
        <v>76.923076923077133</v>
      </c>
      <c r="DE163" s="16">
        <f t="shared" si="93"/>
        <v>0</v>
      </c>
      <c r="DF163" s="16">
        <f t="shared" si="94"/>
        <v>0</v>
      </c>
      <c r="DG163" s="16">
        <f t="shared" si="95"/>
        <v>0</v>
      </c>
      <c r="DH163" s="14">
        <f>IF([1]Sheet2!DS162=999999,"NA",[1]Sheet2!DS162)</f>
        <v>0</v>
      </c>
      <c r="DI163" s="14">
        <f>IF([1]Sheet2!DT162=999999,"NA",[1]Sheet2!DT162)</f>
        <v>205</v>
      </c>
      <c r="DJ163" s="14" t="str">
        <f>IF([1]Sheet2!DU162=999999,"NA",[1]Sheet2!DU162)</f>
        <v>NA</v>
      </c>
      <c r="DK163" s="14" t="str">
        <f>IF([1]Sheet2!DV162=999999,"NA",[1]Sheet2!DV162)</f>
        <v>NA</v>
      </c>
      <c r="DL163" s="14" t="str">
        <f>IF([1]Sheet2!DW162=999999,"NA",[1]Sheet2!DW162)</f>
        <v>NA</v>
      </c>
      <c r="DM163" s="14">
        <f>IF([1]Sheet2!DX162=999999,"NA",[1]Sheet2!DX162)</f>
        <v>0</v>
      </c>
      <c r="DN163" s="14">
        <f>IF([1]Sheet2!DY162=999999,"NA",[1]Sheet2!DY162)</f>
        <v>205</v>
      </c>
      <c r="DO163" s="14" t="str">
        <f>IF([1]Sheet2!DZ162=999999,"NA",[1]Sheet2!DZ162)</f>
        <v>NA</v>
      </c>
      <c r="DP163" s="14" t="str">
        <f>IF([1]Sheet2!EA162=999999,"NA",[1]Sheet2!EA162)</f>
        <v>NA</v>
      </c>
      <c r="DQ163" s="14" t="str">
        <f>IF([1]Sheet2!EB162=999999,"NA",[1]Sheet2!EB162)</f>
        <v>NA</v>
      </c>
      <c r="DR163" s="14">
        <f>[1]Sheet2!CY162</f>
        <v>0</v>
      </c>
      <c r="DS163" s="14">
        <f>[1]Sheet2!CZ162</f>
        <v>0</v>
      </c>
      <c r="DT163" s="14">
        <f>[1]Sheet2!DA162</f>
        <v>0</v>
      </c>
      <c r="DU163" s="14">
        <f>[1]Sheet2!DB162</f>
        <v>0</v>
      </c>
      <c r="DV163" s="14">
        <f>[1]Sheet2!DC162</f>
        <v>0</v>
      </c>
      <c r="DW163" s="14">
        <f>[1]Sheet2!DD162</f>
        <v>0</v>
      </c>
      <c r="DX163" s="14">
        <f>[1]Sheet2!DE162</f>
        <v>0</v>
      </c>
      <c r="DY163" s="14">
        <f>[1]Sheet2!DF162</f>
        <v>0</v>
      </c>
      <c r="DZ163" s="14">
        <f>[1]Sheet2!DG162</f>
        <v>0</v>
      </c>
      <c r="EA163" s="14">
        <f>[1]Sheet2!DH162</f>
        <v>0</v>
      </c>
      <c r="EB163" s="6">
        <f>[1]Sheet2!EC162</f>
        <v>0</v>
      </c>
      <c r="EC163" s="6">
        <f>[1]Sheet2!ED162</f>
        <v>0</v>
      </c>
      <c r="ED163" s="6">
        <f>[1]Sheet2!EE162</f>
        <v>0</v>
      </c>
      <c r="EE163" s="6">
        <f>[1]Sheet2!EF162</f>
        <v>0</v>
      </c>
      <c r="EF163" s="6">
        <f>[1]Sheet2!EG162</f>
        <v>0</v>
      </c>
      <c r="EG163" s="6">
        <f>[1]Sheet2!EH162</f>
        <v>0</v>
      </c>
      <c r="EH163" s="6">
        <f>[1]Sheet2!EI162</f>
        <v>0</v>
      </c>
      <c r="EI163" s="6">
        <f>[1]Sheet2!EJ162</f>
        <v>0</v>
      </c>
      <c r="EJ163" s="6">
        <f>[1]Sheet2!EK162</f>
        <v>0</v>
      </c>
      <c r="EK163" s="6">
        <f>[1]Sheet2!EL162</f>
        <v>0</v>
      </c>
      <c r="EL163" s="6" t="str">
        <f>[1]Sheet2!EM162</f>
        <v/>
      </c>
      <c r="EM163" s="6" t="str">
        <f>[1]Sheet2!EN162</f>
        <v/>
      </c>
      <c r="EN163" s="6" t="str">
        <f>[1]Sheet2!EO162</f>
        <v/>
      </c>
      <c r="EO163" s="6" t="str">
        <f>[1]Sheet2!EP162</f>
        <v/>
      </c>
      <c r="EP163" s="6" t="str">
        <f>[1]Sheet2!EQ162</f>
        <v/>
      </c>
      <c r="EQ163" s="6" t="str">
        <f>[1]Sheet2!ER162</f>
        <v/>
      </c>
      <c r="ER163" s="6" t="str">
        <f>[1]Sheet2!ES162</f>
        <v/>
      </c>
      <c r="ES163" s="6" t="str">
        <f>[1]Sheet2!ET162</f>
        <v/>
      </c>
      <c r="ET163" s="6" t="str">
        <f>[1]Sheet2!EU162</f>
        <v/>
      </c>
      <c r="EU163" s="6" t="str">
        <f>[1]Sheet2!EV162</f>
        <v/>
      </c>
      <c r="EV163" s="6" t="str">
        <f>[1]Sheet2!EW162</f>
        <v/>
      </c>
      <c r="EW163" s="6" t="str">
        <f>[1]Sheet2!EX162</f>
        <v/>
      </c>
      <c r="EX163" s="6" t="str">
        <f>[1]Sheet2!EY162</f>
        <v/>
      </c>
      <c r="EY163" s="6" t="str">
        <f>[1]Sheet2!EZ162</f>
        <v/>
      </c>
      <c r="EZ163" s="6" t="str">
        <f>[1]Sheet2!FA162</f>
        <v/>
      </c>
      <c r="FA163" s="6" t="str">
        <f>[1]Sheet2!FB162</f>
        <v/>
      </c>
      <c r="FB163" s="6" t="str">
        <f>[1]Sheet2!FC162</f>
        <v/>
      </c>
      <c r="FC163" s="6" t="str">
        <f>[1]Sheet2!FD162</f>
        <v/>
      </c>
      <c r="FD163" s="6" t="str">
        <f>[1]Sheet2!FE162</f>
        <v/>
      </c>
      <c r="FE163" s="6" t="str">
        <f>[1]Sheet2!FF162</f>
        <v/>
      </c>
      <c r="FF163" s="6" t="str">
        <f>[1]Sheet2!FG162</f>
        <v/>
      </c>
      <c r="FG163" s="6" t="str">
        <f>[1]Sheet2!FH162</f>
        <v/>
      </c>
      <c r="FH163" s="6" t="str">
        <f>[1]Sheet2!FI162</f>
        <v/>
      </c>
      <c r="FI163" s="6" t="str">
        <f>[1]Sheet2!FJ162</f>
        <v/>
      </c>
      <c r="FJ163" s="6" t="str">
        <f>[1]Sheet2!FK162</f>
        <v/>
      </c>
      <c r="FK163" s="6" t="str">
        <f>[1]Sheet2!FL162</f>
        <v/>
      </c>
      <c r="FL163" s="6" t="str">
        <f>[1]Sheet2!FM162</f>
        <v/>
      </c>
      <c r="FM163" s="6" t="str">
        <f>[1]Sheet2!FN162</f>
        <v/>
      </c>
      <c r="FN163" s="6" t="str">
        <f>[1]Sheet2!FO162</f>
        <v/>
      </c>
      <c r="FO163" s="6" t="str">
        <f>[1]Sheet2!FP162</f>
        <v/>
      </c>
    </row>
    <row r="164" spans="1:171" x14ac:dyDescent="0.25">
      <c r="A164" s="15">
        <v>43626</v>
      </c>
      <c r="B164" s="1"/>
      <c r="C164" s="1"/>
      <c r="D164" s="1"/>
      <c r="E164" s="14">
        <f>[1]Sheet2!N163</f>
        <v>48000</v>
      </c>
      <c r="F164" s="14">
        <f>[1]Sheet2!BE163</f>
        <v>0</v>
      </c>
      <c r="G164" s="14">
        <f>[1]Sheet2!CW163</f>
        <v>0</v>
      </c>
      <c r="H164" s="1"/>
      <c r="I164" s="1"/>
      <c r="J164" s="1"/>
      <c r="K164" s="16"/>
      <c r="L164" s="16">
        <f>Demand_CWRS!B$8/30</f>
        <v>124.86819391025641</v>
      </c>
      <c r="M164" s="16">
        <f>Demand_CWRS!C$8/30</f>
        <v>583.20512820512829</v>
      </c>
      <c r="N164" s="16">
        <f>Demand_CWRS!D$8/30</f>
        <v>0</v>
      </c>
      <c r="O164" s="16">
        <f>Demand_CWRS!E$8/30</f>
        <v>156.84829059829062</v>
      </c>
      <c r="P164" s="16">
        <f>Demand_CWRS!F$8/30</f>
        <v>252.39596314102559</v>
      </c>
      <c r="Q164" s="16">
        <f>Demand_CWRS!G$8/30</f>
        <v>124.86819391025641</v>
      </c>
      <c r="R164" s="16">
        <f>Demand_CWRS!H$8/30</f>
        <v>246.66666666666666</v>
      </c>
      <c r="S164" s="16">
        <f>Demand_CWRS!I$8/30</f>
        <v>246.66666666666666</v>
      </c>
      <c r="T164" s="16">
        <f>Demand_CWRS!J$8/30</f>
        <v>246.66666666666666</v>
      </c>
      <c r="U164" s="16">
        <f>Demand_CWRS!K$8/30</f>
        <v>246.66666666666666</v>
      </c>
      <c r="V164" s="16">
        <f t="shared" si="66"/>
        <v>-19863.397659191403</v>
      </c>
      <c r="W164" s="16">
        <f t="shared" si="67"/>
        <v>-72192.058974358777</v>
      </c>
      <c r="X164" s="16">
        <f t="shared" si="68"/>
        <v>0</v>
      </c>
      <c r="Y164" s="16">
        <f t="shared" si="69"/>
        <v>-10404.310737855658</v>
      </c>
      <c r="Z164" s="16">
        <f t="shared" si="70"/>
        <v>-32230.244571973391</v>
      </c>
      <c r="AA164" s="16">
        <f t="shared" si="71"/>
        <v>-18537.624510152968</v>
      </c>
      <c r="AB164" s="16">
        <f t="shared" si="72"/>
        <v>-36653.995277101574</v>
      </c>
      <c r="AC164" s="16">
        <f t="shared" si="73"/>
        <v>-30860.985020691358</v>
      </c>
      <c r="AD164" s="16">
        <f t="shared" si="74"/>
        <v>-30960.985020691351</v>
      </c>
      <c r="AE164" s="16">
        <f t="shared" si="75"/>
        <v>-31560.985020691354</v>
      </c>
      <c r="AF164" s="14">
        <f>IF([1]Sheet2!AJ163=999999,"NA",[1]Sheet2!AJ163)</f>
        <v>0</v>
      </c>
      <c r="AG164" s="14">
        <f>IF([1]Sheet2!AK163=999999,"NA",[1]Sheet2!AK163)</f>
        <v>0</v>
      </c>
      <c r="AH164" s="14" t="str">
        <f>IF([1]Sheet2!AL163=999999,"NA",[1]Sheet2!AL163)</f>
        <v>NA</v>
      </c>
      <c r="AI164" s="14">
        <f>IF([1]Sheet2!AM163=999999,"NA",[1]Sheet2!AM163)</f>
        <v>0</v>
      </c>
      <c r="AJ164" s="14">
        <f>IF([1]Sheet2!AN163=999999,"NA",[1]Sheet2!AN163)</f>
        <v>0</v>
      </c>
      <c r="AK164" s="14">
        <f>IF([1]Sheet2!AO163=999999,"NA",[1]Sheet2!AO163)</f>
        <v>0</v>
      </c>
      <c r="AL164" s="14">
        <f>IF([1]Sheet2!AP163=999999,"NA",[1]Sheet2!AP163)</f>
        <v>0</v>
      </c>
      <c r="AM164" s="14">
        <f>IF([1]Sheet2!AQ163=999999,"NA",[1]Sheet2!AQ163)</f>
        <v>0</v>
      </c>
      <c r="AN164" s="14">
        <f>IF([1]Sheet2!AR163=999999,"NA",[1]Sheet2!AR163)</f>
        <v>0</v>
      </c>
      <c r="AO164" s="14">
        <f>IF([1]Sheet2!AS163=999999,"NA",[1]Sheet2!AS163)</f>
        <v>0</v>
      </c>
      <c r="AP164" s="14">
        <f>[1]Sheet2!P163</f>
        <v>0</v>
      </c>
      <c r="AQ164" s="14">
        <f>[1]Sheet2!Q163</f>
        <v>0</v>
      </c>
      <c r="AR164" s="14">
        <f>[1]Sheet2!R163</f>
        <v>0</v>
      </c>
      <c r="AS164" s="14">
        <f>[1]Sheet2!S163</f>
        <v>0</v>
      </c>
      <c r="AT164" s="14">
        <f>[1]Sheet2!T163</f>
        <v>0</v>
      </c>
      <c r="AU164" s="14">
        <f>[1]Sheet2!U163</f>
        <v>0</v>
      </c>
      <c r="AV164" s="14">
        <f>[1]Sheet2!V163</f>
        <v>0</v>
      </c>
      <c r="AW164" s="14">
        <f>[1]Sheet2!W163</f>
        <v>0</v>
      </c>
      <c r="AX164" s="14">
        <f>[1]Sheet2!X163</f>
        <v>0</v>
      </c>
      <c r="AY164" s="14">
        <f>[1]Sheet2!Y163</f>
        <v>0</v>
      </c>
      <c r="AZ164" s="16">
        <f>Demand_LP!B$8/30</f>
        <v>807.81611164529909</v>
      </c>
      <c r="BA164" s="16">
        <f>Demand_LP!C$8/30</f>
        <v>574.48717948717956</v>
      </c>
      <c r="BB164" s="16">
        <f>Demand_LP!D$8/30</f>
        <v>339.04957264957267</v>
      </c>
      <c r="BC164" s="16">
        <f>Demand_LP!E$8/30</f>
        <v>830.46965811965799</v>
      </c>
      <c r="BD164" s="16">
        <f>Demand_LP!F$8/30</f>
        <v>476.67186805555554</v>
      </c>
      <c r="BE164" s="16">
        <f>Demand_LP!G$8/30</f>
        <v>476.67186805555554</v>
      </c>
      <c r="BF164" s="16">
        <f>Demand_LP!H$8/30</f>
        <v>574.48717948717956</v>
      </c>
      <c r="BG164" s="16">
        <f>Demand_LP!I$8/30</f>
        <v>476.67186805555554</v>
      </c>
      <c r="BH164" s="16">
        <f>Demand_LP!J$8/30</f>
        <v>476.67186805555554</v>
      </c>
      <c r="BI164" s="16">
        <f>Demand_LP!K$8/30</f>
        <v>476.67186805555554</v>
      </c>
      <c r="BJ164" s="16">
        <f t="shared" si="76"/>
        <v>-110029.38868993754</v>
      </c>
      <c r="BK164" s="16">
        <f t="shared" si="77"/>
        <v>-90696.351282051255</v>
      </c>
      <c r="BL164" s="16">
        <f t="shared" si="78"/>
        <v>-39910.61495726501</v>
      </c>
      <c r="BM164" s="16">
        <f t="shared" si="79"/>
        <v>-114952.51323163464</v>
      </c>
      <c r="BN164" s="16">
        <f t="shared" si="80"/>
        <v>-66247.609185261885</v>
      </c>
      <c r="BO164" s="16">
        <f t="shared" si="81"/>
        <v>-64705.293103632612</v>
      </c>
      <c r="BP164" s="16">
        <f t="shared" si="82"/>
        <v>-85053.930769230763</v>
      </c>
      <c r="BQ164" s="16">
        <f t="shared" si="83"/>
        <v>-64705.293103632612</v>
      </c>
      <c r="BR164" s="16">
        <f t="shared" si="84"/>
        <v>-62305.293103632612</v>
      </c>
      <c r="BS164" s="16">
        <f t="shared" si="85"/>
        <v>-63005.293103632604</v>
      </c>
      <c r="BT164" s="14">
        <f>IF([1]Sheet2!CB163=999999,"NA",[1]Sheet2!CB163)</f>
        <v>0</v>
      </c>
      <c r="BU164" s="14">
        <f>IF([1]Sheet2!CC163=999999,"NA",[1]Sheet2!CC163)</f>
        <v>0</v>
      </c>
      <c r="BV164" s="14">
        <f>IF([1]Sheet2!CD163=999999,"NA",[1]Sheet2!CD163)</f>
        <v>0</v>
      </c>
      <c r="BW164" s="14">
        <f>IF([1]Sheet2!CE163=999999,"NA",[1]Sheet2!CE163)</f>
        <v>0</v>
      </c>
      <c r="BX164" s="14">
        <f>IF([1]Sheet2!CF163=999999,"NA",[1]Sheet2!CF163)</f>
        <v>0</v>
      </c>
      <c r="BY164" s="14">
        <f>IF([1]Sheet2!CG163=999999,"NA",[1]Sheet2!CG163)</f>
        <v>0</v>
      </c>
      <c r="BZ164" s="14">
        <f>IF([1]Sheet2!CH163=999999,"NA",[1]Sheet2!CH163)</f>
        <v>0</v>
      </c>
      <c r="CA164" s="14">
        <f>IF([1]Sheet2!CI163=999999,"NA",[1]Sheet2!CI163)</f>
        <v>0</v>
      </c>
      <c r="CB164" s="14">
        <f>IF([1]Sheet2!CJ163=999999,"NA",[1]Sheet2!CJ163)</f>
        <v>0</v>
      </c>
      <c r="CC164" s="14">
        <f>IF([1]Sheet2!CK163=999999,"NA",[1]Sheet2!CK163)</f>
        <v>0</v>
      </c>
      <c r="CD164" s="14">
        <f>[1]Sheet2!BH163</f>
        <v>0</v>
      </c>
      <c r="CE164" s="14">
        <f>[1]Sheet2!BI163</f>
        <v>0</v>
      </c>
      <c r="CF164" s="14">
        <f>[1]Sheet2!BJ163</f>
        <v>0</v>
      </c>
      <c r="CG164" s="14">
        <f>[1]Sheet2!BK163</f>
        <v>0</v>
      </c>
      <c r="CH164" s="14">
        <f>[1]Sheet2!BL163</f>
        <v>0</v>
      </c>
      <c r="CI164" s="14">
        <f>[1]Sheet2!BM163</f>
        <v>0</v>
      </c>
      <c r="CJ164" s="14">
        <f>[1]Sheet2!BN163</f>
        <v>0</v>
      </c>
      <c r="CK164" s="14">
        <f>[1]Sheet2!BO163</f>
        <v>0</v>
      </c>
      <c r="CL164" s="14">
        <f>[1]Sheet2!BP163</f>
        <v>0</v>
      </c>
      <c r="CM164" s="14">
        <f>[1]Sheet2!BQ163</f>
        <v>0</v>
      </c>
      <c r="CN164" s="16">
        <f>Demand_SW!B$8/30</f>
        <v>144.23076923076923</v>
      </c>
      <c r="CO164" s="16">
        <f>Demand_SW!C$8/30</f>
        <v>0</v>
      </c>
      <c r="CP164" s="16">
        <f>Demand_SW!D$8/30</f>
        <v>0</v>
      </c>
      <c r="CQ164" s="16">
        <f>Demand_SW!E$8/30</f>
        <v>0</v>
      </c>
      <c r="CR164" s="16">
        <f>Demand_SW!F$8/30</f>
        <v>0</v>
      </c>
      <c r="CS164" s="16">
        <f>Demand_SW!G$8/30</f>
        <v>144.23076923076923</v>
      </c>
      <c r="CT164" s="16">
        <f>Demand_SW!H$8/30</f>
        <v>0</v>
      </c>
      <c r="CU164" s="16">
        <f>Demand_SW!I$8/30</f>
        <v>0</v>
      </c>
      <c r="CV164" s="16">
        <f>Demand_SW!J$8/30</f>
        <v>0</v>
      </c>
      <c r="CW164" s="16">
        <f>Demand_SW!K$8/30</f>
        <v>0</v>
      </c>
      <c r="CX164" s="16">
        <f t="shared" si="86"/>
        <v>-16713.076923076933</v>
      </c>
      <c r="CY164" s="16">
        <f t="shared" si="87"/>
        <v>76.923076923077133</v>
      </c>
      <c r="CZ164" s="16">
        <f t="shared" si="88"/>
        <v>0</v>
      </c>
      <c r="DA164" s="16">
        <f t="shared" si="89"/>
        <v>0</v>
      </c>
      <c r="DB164" s="16">
        <f t="shared" si="90"/>
        <v>0</v>
      </c>
      <c r="DC164" s="16">
        <f t="shared" si="91"/>
        <v>-16242.307692307702</v>
      </c>
      <c r="DD164" s="16">
        <f t="shared" si="92"/>
        <v>76.923076923077133</v>
      </c>
      <c r="DE164" s="16">
        <f t="shared" si="93"/>
        <v>0</v>
      </c>
      <c r="DF164" s="16">
        <f t="shared" si="94"/>
        <v>0</v>
      </c>
      <c r="DG164" s="16">
        <f t="shared" si="95"/>
        <v>0</v>
      </c>
      <c r="DH164" s="14">
        <f>IF([1]Sheet2!DS163=999999,"NA",[1]Sheet2!DS163)</f>
        <v>0</v>
      </c>
      <c r="DI164" s="14">
        <f>IF([1]Sheet2!DT163=999999,"NA",[1]Sheet2!DT163)</f>
        <v>204</v>
      </c>
      <c r="DJ164" s="14" t="str">
        <f>IF([1]Sheet2!DU163=999999,"NA",[1]Sheet2!DU163)</f>
        <v>NA</v>
      </c>
      <c r="DK164" s="14" t="str">
        <f>IF([1]Sheet2!DV163=999999,"NA",[1]Sheet2!DV163)</f>
        <v>NA</v>
      </c>
      <c r="DL164" s="14" t="str">
        <f>IF([1]Sheet2!DW163=999999,"NA",[1]Sheet2!DW163)</f>
        <v>NA</v>
      </c>
      <c r="DM164" s="14">
        <f>IF([1]Sheet2!DX163=999999,"NA",[1]Sheet2!DX163)</f>
        <v>0</v>
      </c>
      <c r="DN164" s="14">
        <f>IF([1]Sheet2!DY163=999999,"NA",[1]Sheet2!DY163)</f>
        <v>204</v>
      </c>
      <c r="DO164" s="14" t="str">
        <f>IF([1]Sheet2!DZ163=999999,"NA",[1]Sheet2!DZ163)</f>
        <v>NA</v>
      </c>
      <c r="DP164" s="14" t="str">
        <f>IF([1]Sheet2!EA163=999999,"NA",[1]Sheet2!EA163)</f>
        <v>NA</v>
      </c>
      <c r="DQ164" s="14" t="str">
        <f>IF([1]Sheet2!EB163=999999,"NA",[1]Sheet2!EB163)</f>
        <v>NA</v>
      </c>
      <c r="DR164" s="14">
        <f>[1]Sheet2!CY163</f>
        <v>0</v>
      </c>
      <c r="DS164" s="14">
        <f>[1]Sheet2!CZ163</f>
        <v>0</v>
      </c>
      <c r="DT164" s="14">
        <f>[1]Sheet2!DA163</f>
        <v>0</v>
      </c>
      <c r="DU164" s="14">
        <f>[1]Sheet2!DB163</f>
        <v>0</v>
      </c>
      <c r="DV164" s="14">
        <f>[1]Sheet2!DC163</f>
        <v>0</v>
      </c>
      <c r="DW164" s="14">
        <f>[1]Sheet2!DD163</f>
        <v>0</v>
      </c>
      <c r="DX164" s="14">
        <f>[1]Sheet2!DE163</f>
        <v>0</v>
      </c>
      <c r="DY164" s="14">
        <f>[1]Sheet2!DF163</f>
        <v>0</v>
      </c>
      <c r="DZ164" s="14">
        <f>[1]Sheet2!DG163</f>
        <v>0</v>
      </c>
      <c r="EA164" s="14">
        <f>[1]Sheet2!DH163</f>
        <v>0</v>
      </c>
      <c r="EB164" s="6">
        <f>[1]Sheet2!EC163</f>
        <v>0</v>
      </c>
      <c r="EC164" s="6">
        <f>[1]Sheet2!ED163</f>
        <v>0</v>
      </c>
      <c r="ED164" s="6">
        <f>[1]Sheet2!EE163</f>
        <v>0</v>
      </c>
      <c r="EE164" s="6">
        <f>[1]Sheet2!EF163</f>
        <v>0</v>
      </c>
      <c r="EF164" s="6">
        <f>[1]Sheet2!EG163</f>
        <v>0</v>
      </c>
      <c r="EG164" s="6">
        <f>[1]Sheet2!EH163</f>
        <v>0</v>
      </c>
      <c r="EH164" s="6">
        <f>[1]Sheet2!EI163</f>
        <v>0</v>
      </c>
      <c r="EI164" s="6">
        <f>[1]Sheet2!EJ163</f>
        <v>0</v>
      </c>
      <c r="EJ164" s="6">
        <f>[1]Sheet2!EK163</f>
        <v>0</v>
      </c>
      <c r="EK164" s="6">
        <f>[1]Sheet2!EL163</f>
        <v>0</v>
      </c>
      <c r="EL164" s="6" t="str">
        <f>[1]Sheet2!EM163</f>
        <v/>
      </c>
      <c r="EM164" s="6" t="str">
        <f>[1]Sheet2!EN163</f>
        <v/>
      </c>
      <c r="EN164" s="6" t="str">
        <f>[1]Sheet2!EO163</f>
        <v/>
      </c>
      <c r="EO164" s="6" t="str">
        <f>[1]Sheet2!EP163</f>
        <v/>
      </c>
      <c r="EP164" s="6" t="str">
        <f>[1]Sheet2!EQ163</f>
        <v/>
      </c>
      <c r="EQ164" s="6" t="str">
        <f>[1]Sheet2!ER163</f>
        <v/>
      </c>
      <c r="ER164" s="6" t="str">
        <f>[1]Sheet2!ES163</f>
        <v/>
      </c>
      <c r="ES164" s="6" t="str">
        <f>[1]Sheet2!ET163</f>
        <v/>
      </c>
      <c r="ET164" s="6" t="str">
        <f>[1]Sheet2!EU163</f>
        <v/>
      </c>
      <c r="EU164" s="6" t="str">
        <f>[1]Sheet2!EV163</f>
        <v/>
      </c>
      <c r="EV164" s="6" t="str">
        <f>[1]Sheet2!EW163</f>
        <v/>
      </c>
      <c r="EW164" s="6" t="str">
        <f>[1]Sheet2!EX163</f>
        <v/>
      </c>
      <c r="EX164" s="6" t="str">
        <f>[1]Sheet2!EY163</f>
        <v/>
      </c>
      <c r="EY164" s="6" t="str">
        <f>[1]Sheet2!EZ163</f>
        <v/>
      </c>
      <c r="EZ164" s="6" t="str">
        <f>[1]Sheet2!FA163</f>
        <v/>
      </c>
      <c r="FA164" s="6" t="str">
        <f>[1]Sheet2!FB163</f>
        <v/>
      </c>
      <c r="FB164" s="6" t="str">
        <f>[1]Sheet2!FC163</f>
        <v/>
      </c>
      <c r="FC164" s="6" t="str">
        <f>[1]Sheet2!FD163</f>
        <v/>
      </c>
      <c r="FD164" s="6" t="str">
        <f>[1]Sheet2!FE163</f>
        <v/>
      </c>
      <c r="FE164" s="6" t="str">
        <f>[1]Sheet2!FF163</f>
        <v/>
      </c>
      <c r="FF164" s="6" t="str">
        <f>[1]Sheet2!FG163</f>
        <v/>
      </c>
      <c r="FG164" s="6" t="str">
        <f>[1]Sheet2!FH163</f>
        <v/>
      </c>
      <c r="FH164" s="6" t="str">
        <f>[1]Sheet2!FI163</f>
        <v/>
      </c>
      <c r="FI164" s="6" t="str">
        <f>[1]Sheet2!FJ163</f>
        <v/>
      </c>
      <c r="FJ164" s="6" t="str">
        <f>[1]Sheet2!FK163</f>
        <v/>
      </c>
      <c r="FK164" s="6" t="str">
        <f>[1]Sheet2!FL163</f>
        <v/>
      </c>
      <c r="FL164" s="6" t="str">
        <f>[1]Sheet2!FM163</f>
        <v/>
      </c>
      <c r="FM164" s="6" t="str">
        <f>[1]Sheet2!FN163</f>
        <v/>
      </c>
      <c r="FN164" s="6" t="str">
        <f>[1]Sheet2!FO163</f>
        <v/>
      </c>
      <c r="FO164" s="6" t="str">
        <f>[1]Sheet2!FP163</f>
        <v/>
      </c>
    </row>
    <row r="165" spans="1:171" x14ac:dyDescent="0.25">
      <c r="A165" s="15">
        <v>43627</v>
      </c>
      <c r="B165" s="1"/>
      <c r="C165" s="1"/>
      <c r="D165" s="1"/>
      <c r="E165" s="14">
        <f>[1]Sheet2!N164</f>
        <v>0</v>
      </c>
      <c r="F165" s="14">
        <f>[1]Sheet2!BE164</f>
        <v>0</v>
      </c>
      <c r="G165" s="14">
        <f>[1]Sheet2!CW164</f>
        <v>0</v>
      </c>
      <c r="H165" s="1"/>
      <c r="I165" s="1"/>
      <c r="J165" s="1"/>
      <c r="K165" s="16"/>
      <c r="L165" s="16">
        <f>Demand_CWRS!B$8/30</f>
        <v>124.86819391025641</v>
      </c>
      <c r="M165" s="16">
        <f>Demand_CWRS!C$8/30</f>
        <v>583.20512820512829</v>
      </c>
      <c r="N165" s="16">
        <f>Demand_CWRS!D$8/30</f>
        <v>0</v>
      </c>
      <c r="O165" s="16">
        <f>Demand_CWRS!E$8/30</f>
        <v>156.84829059829062</v>
      </c>
      <c r="P165" s="16">
        <f>Demand_CWRS!F$8/30</f>
        <v>252.39596314102559</v>
      </c>
      <c r="Q165" s="16">
        <f>Demand_CWRS!G$8/30</f>
        <v>124.86819391025641</v>
      </c>
      <c r="R165" s="16">
        <f>Demand_CWRS!H$8/30</f>
        <v>246.66666666666666</v>
      </c>
      <c r="S165" s="16">
        <f>Demand_CWRS!I$8/30</f>
        <v>246.66666666666666</v>
      </c>
      <c r="T165" s="16">
        <f>Demand_CWRS!J$8/30</f>
        <v>246.66666666666666</v>
      </c>
      <c r="U165" s="16">
        <f>Demand_CWRS!K$8/30</f>
        <v>246.66666666666666</v>
      </c>
      <c r="V165" s="16">
        <f t="shared" si="66"/>
        <v>-19988.26585310166</v>
      </c>
      <c r="W165" s="16">
        <f t="shared" si="67"/>
        <v>-72775.264102563902</v>
      </c>
      <c r="X165" s="16">
        <f t="shared" si="68"/>
        <v>0</v>
      </c>
      <c r="Y165" s="16">
        <f t="shared" si="69"/>
        <v>-10561.159028453949</v>
      </c>
      <c r="Z165" s="16">
        <f t="shared" si="70"/>
        <v>-32482.640535114417</v>
      </c>
      <c r="AA165" s="16">
        <f t="shared" si="71"/>
        <v>-18662.492704063225</v>
      </c>
      <c r="AB165" s="16">
        <f t="shared" si="72"/>
        <v>-36900.661943768238</v>
      </c>
      <c r="AC165" s="16">
        <f t="shared" si="73"/>
        <v>-31107.651687358026</v>
      </c>
      <c r="AD165" s="16">
        <f t="shared" si="74"/>
        <v>-31207.651687358019</v>
      </c>
      <c r="AE165" s="16">
        <f t="shared" si="75"/>
        <v>-31807.651687358022</v>
      </c>
      <c r="AF165" s="14">
        <f>IF([1]Sheet2!AJ164=999999,"NA",[1]Sheet2!AJ164)</f>
        <v>0</v>
      </c>
      <c r="AG165" s="14">
        <f>IF([1]Sheet2!AK164=999999,"NA",[1]Sheet2!AK164)</f>
        <v>0</v>
      </c>
      <c r="AH165" s="14" t="str">
        <f>IF([1]Sheet2!AL164=999999,"NA",[1]Sheet2!AL164)</f>
        <v>NA</v>
      </c>
      <c r="AI165" s="14">
        <f>IF([1]Sheet2!AM164=999999,"NA",[1]Sheet2!AM164)</f>
        <v>0</v>
      </c>
      <c r="AJ165" s="14">
        <f>IF([1]Sheet2!AN164=999999,"NA",[1]Sheet2!AN164)</f>
        <v>0</v>
      </c>
      <c r="AK165" s="14">
        <f>IF([1]Sheet2!AO164=999999,"NA",[1]Sheet2!AO164)</f>
        <v>0</v>
      </c>
      <c r="AL165" s="14">
        <f>IF([1]Sheet2!AP164=999999,"NA",[1]Sheet2!AP164)</f>
        <v>0</v>
      </c>
      <c r="AM165" s="14">
        <f>IF([1]Sheet2!AQ164=999999,"NA",[1]Sheet2!AQ164)</f>
        <v>0</v>
      </c>
      <c r="AN165" s="14">
        <f>IF([1]Sheet2!AR164=999999,"NA",[1]Sheet2!AR164)</f>
        <v>0</v>
      </c>
      <c r="AO165" s="14">
        <f>IF([1]Sheet2!AS164=999999,"NA",[1]Sheet2!AS164)</f>
        <v>0</v>
      </c>
      <c r="AP165" s="14">
        <f>[1]Sheet2!P164</f>
        <v>0</v>
      </c>
      <c r="AQ165" s="14">
        <f>[1]Sheet2!Q164</f>
        <v>0</v>
      </c>
      <c r="AR165" s="14">
        <f>[1]Sheet2!R164</f>
        <v>0</v>
      </c>
      <c r="AS165" s="14">
        <f>[1]Sheet2!S164</f>
        <v>0</v>
      </c>
      <c r="AT165" s="14">
        <f>[1]Sheet2!T164</f>
        <v>0</v>
      </c>
      <c r="AU165" s="14">
        <f>[1]Sheet2!U164</f>
        <v>0</v>
      </c>
      <c r="AV165" s="14">
        <f>[1]Sheet2!V164</f>
        <v>0</v>
      </c>
      <c r="AW165" s="14">
        <f>[1]Sheet2!W164</f>
        <v>0</v>
      </c>
      <c r="AX165" s="14">
        <f>[1]Sheet2!X164</f>
        <v>0</v>
      </c>
      <c r="AY165" s="14">
        <f>[1]Sheet2!Y164</f>
        <v>0</v>
      </c>
      <c r="AZ165" s="16">
        <f>Demand_LP!B$8/30</f>
        <v>807.81611164529909</v>
      </c>
      <c r="BA165" s="16">
        <f>Demand_LP!C$8/30</f>
        <v>574.48717948717956</v>
      </c>
      <c r="BB165" s="16">
        <f>Demand_LP!D$8/30</f>
        <v>339.04957264957267</v>
      </c>
      <c r="BC165" s="16">
        <f>Demand_LP!E$8/30</f>
        <v>830.46965811965799</v>
      </c>
      <c r="BD165" s="16">
        <f>Demand_LP!F$8/30</f>
        <v>476.67186805555554</v>
      </c>
      <c r="BE165" s="16">
        <f>Demand_LP!G$8/30</f>
        <v>476.67186805555554</v>
      </c>
      <c r="BF165" s="16">
        <f>Demand_LP!H$8/30</f>
        <v>574.48717948717956</v>
      </c>
      <c r="BG165" s="16">
        <f>Demand_LP!I$8/30</f>
        <v>476.67186805555554</v>
      </c>
      <c r="BH165" s="16">
        <f>Demand_LP!J$8/30</f>
        <v>476.67186805555554</v>
      </c>
      <c r="BI165" s="16">
        <f>Demand_LP!K$8/30</f>
        <v>476.67186805555554</v>
      </c>
      <c r="BJ165" s="16">
        <f t="shared" si="76"/>
        <v>-110837.20480158283</v>
      </c>
      <c r="BK165" s="16">
        <f t="shared" si="77"/>
        <v>-91270.838461538428</v>
      </c>
      <c r="BL165" s="16">
        <f t="shared" si="78"/>
        <v>-40249.664529914582</v>
      </c>
      <c r="BM165" s="16">
        <f t="shared" si="79"/>
        <v>-115782.9828897543</v>
      </c>
      <c r="BN165" s="16">
        <f t="shared" si="80"/>
        <v>-66724.281053317434</v>
      </c>
      <c r="BO165" s="16">
        <f t="shared" si="81"/>
        <v>-65181.964971688169</v>
      </c>
      <c r="BP165" s="16">
        <f t="shared" si="82"/>
        <v>-85628.417948717935</v>
      </c>
      <c r="BQ165" s="16">
        <f t="shared" si="83"/>
        <v>-65181.964971688169</v>
      </c>
      <c r="BR165" s="16">
        <f t="shared" si="84"/>
        <v>-62781.964971688169</v>
      </c>
      <c r="BS165" s="16">
        <f t="shared" si="85"/>
        <v>-63481.964971688161</v>
      </c>
      <c r="BT165" s="14">
        <f>IF([1]Sheet2!CB164=999999,"NA",[1]Sheet2!CB164)</f>
        <v>0</v>
      </c>
      <c r="BU165" s="14">
        <f>IF([1]Sheet2!CC164=999999,"NA",[1]Sheet2!CC164)</f>
        <v>0</v>
      </c>
      <c r="BV165" s="14">
        <f>IF([1]Sheet2!CD164=999999,"NA",[1]Sheet2!CD164)</f>
        <v>0</v>
      </c>
      <c r="BW165" s="14">
        <f>IF([1]Sheet2!CE164=999999,"NA",[1]Sheet2!CE164)</f>
        <v>0</v>
      </c>
      <c r="BX165" s="14">
        <f>IF([1]Sheet2!CF164=999999,"NA",[1]Sheet2!CF164)</f>
        <v>0</v>
      </c>
      <c r="BY165" s="14">
        <f>IF([1]Sheet2!CG164=999999,"NA",[1]Sheet2!CG164)</f>
        <v>0</v>
      </c>
      <c r="BZ165" s="14">
        <f>IF([1]Sheet2!CH164=999999,"NA",[1]Sheet2!CH164)</f>
        <v>0</v>
      </c>
      <c r="CA165" s="14">
        <f>IF([1]Sheet2!CI164=999999,"NA",[1]Sheet2!CI164)</f>
        <v>0</v>
      </c>
      <c r="CB165" s="14">
        <f>IF([1]Sheet2!CJ164=999999,"NA",[1]Sheet2!CJ164)</f>
        <v>0</v>
      </c>
      <c r="CC165" s="14">
        <f>IF([1]Sheet2!CK164=999999,"NA",[1]Sheet2!CK164)</f>
        <v>0</v>
      </c>
      <c r="CD165" s="14">
        <f>[1]Sheet2!BH164</f>
        <v>0</v>
      </c>
      <c r="CE165" s="14">
        <f>[1]Sheet2!BI164</f>
        <v>0</v>
      </c>
      <c r="CF165" s="14">
        <f>[1]Sheet2!BJ164</f>
        <v>0</v>
      </c>
      <c r="CG165" s="14">
        <f>[1]Sheet2!BK164</f>
        <v>0</v>
      </c>
      <c r="CH165" s="14">
        <f>[1]Sheet2!BL164</f>
        <v>0</v>
      </c>
      <c r="CI165" s="14">
        <f>[1]Sheet2!BM164</f>
        <v>0</v>
      </c>
      <c r="CJ165" s="14">
        <f>[1]Sheet2!BN164</f>
        <v>0</v>
      </c>
      <c r="CK165" s="14">
        <f>[1]Sheet2!BO164</f>
        <v>0</v>
      </c>
      <c r="CL165" s="14">
        <f>[1]Sheet2!BP164</f>
        <v>0</v>
      </c>
      <c r="CM165" s="14">
        <f>[1]Sheet2!BQ164</f>
        <v>0</v>
      </c>
      <c r="CN165" s="16">
        <f>Demand_SW!B$8/30</f>
        <v>144.23076923076923</v>
      </c>
      <c r="CO165" s="16">
        <f>Demand_SW!C$8/30</f>
        <v>0</v>
      </c>
      <c r="CP165" s="16">
        <f>Demand_SW!D$8/30</f>
        <v>0</v>
      </c>
      <c r="CQ165" s="16">
        <f>Demand_SW!E$8/30</f>
        <v>0</v>
      </c>
      <c r="CR165" s="16">
        <f>Demand_SW!F$8/30</f>
        <v>0</v>
      </c>
      <c r="CS165" s="16">
        <f>Demand_SW!G$8/30</f>
        <v>144.23076923076923</v>
      </c>
      <c r="CT165" s="16">
        <f>Demand_SW!H$8/30</f>
        <v>0</v>
      </c>
      <c r="CU165" s="16">
        <f>Demand_SW!I$8/30</f>
        <v>0</v>
      </c>
      <c r="CV165" s="16">
        <f>Demand_SW!J$8/30</f>
        <v>0</v>
      </c>
      <c r="CW165" s="16">
        <f>Demand_SW!K$8/30</f>
        <v>0</v>
      </c>
      <c r="CX165" s="16">
        <f t="shared" si="86"/>
        <v>-16857.307692307702</v>
      </c>
      <c r="CY165" s="16">
        <f t="shared" si="87"/>
        <v>76.923076923077133</v>
      </c>
      <c r="CZ165" s="16">
        <f t="shared" si="88"/>
        <v>0</v>
      </c>
      <c r="DA165" s="16">
        <f t="shared" si="89"/>
        <v>0</v>
      </c>
      <c r="DB165" s="16">
        <f t="shared" si="90"/>
        <v>0</v>
      </c>
      <c r="DC165" s="16">
        <f t="shared" si="91"/>
        <v>-16386.538461538472</v>
      </c>
      <c r="DD165" s="16">
        <f t="shared" si="92"/>
        <v>76.923076923077133</v>
      </c>
      <c r="DE165" s="16">
        <f t="shared" si="93"/>
        <v>0</v>
      </c>
      <c r="DF165" s="16">
        <f t="shared" si="94"/>
        <v>0</v>
      </c>
      <c r="DG165" s="16">
        <f t="shared" si="95"/>
        <v>0</v>
      </c>
      <c r="DH165" s="14">
        <f>IF([1]Sheet2!DS164=999999,"NA",[1]Sheet2!DS164)</f>
        <v>0</v>
      </c>
      <c r="DI165" s="14">
        <f>IF([1]Sheet2!DT164=999999,"NA",[1]Sheet2!DT164)</f>
        <v>203</v>
      </c>
      <c r="DJ165" s="14" t="str">
        <f>IF([1]Sheet2!DU164=999999,"NA",[1]Sheet2!DU164)</f>
        <v>NA</v>
      </c>
      <c r="DK165" s="14" t="str">
        <f>IF([1]Sheet2!DV164=999999,"NA",[1]Sheet2!DV164)</f>
        <v>NA</v>
      </c>
      <c r="DL165" s="14" t="str">
        <f>IF([1]Sheet2!DW164=999999,"NA",[1]Sheet2!DW164)</f>
        <v>NA</v>
      </c>
      <c r="DM165" s="14">
        <f>IF([1]Sheet2!DX164=999999,"NA",[1]Sheet2!DX164)</f>
        <v>0</v>
      </c>
      <c r="DN165" s="14">
        <f>IF([1]Sheet2!DY164=999999,"NA",[1]Sheet2!DY164)</f>
        <v>203</v>
      </c>
      <c r="DO165" s="14" t="str">
        <f>IF([1]Sheet2!DZ164=999999,"NA",[1]Sheet2!DZ164)</f>
        <v>NA</v>
      </c>
      <c r="DP165" s="14" t="str">
        <f>IF([1]Sheet2!EA164=999999,"NA",[1]Sheet2!EA164)</f>
        <v>NA</v>
      </c>
      <c r="DQ165" s="14" t="str">
        <f>IF([1]Sheet2!EB164=999999,"NA",[1]Sheet2!EB164)</f>
        <v>NA</v>
      </c>
      <c r="DR165" s="14">
        <f>[1]Sheet2!CY164</f>
        <v>0</v>
      </c>
      <c r="DS165" s="14">
        <f>[1]Sheet2!CZ164</f>
        <v>0</v>
      </c>
      <c r="DT165" s="14">
        <f>[1]Sheet2!DA164</f>
        <v>0</v>
      </c>
      <c r="DU165" s="14">
        <f>[1]Sheet2!DB164</f>
        <v>0</v>
      </c>
      <c r="DV165" s="14">
        <f>[1]Sheet2!DC164</f>
        <v>0</v>
      </c>
      <c r="DW165" s="14">
        <f>[1]Sheet2!DD164</f>
        <v>0</v>
      </c>
      <c r="DX165" s="14">
        <f>[1]Sheet2!DE164</f>
        <v>0</v>
      </c>
      <c r="DY165" s="14">
        <f>[1]Sheet2!DF164</f>
        <v>0</v>
      </c>
      <c r="DZ165" s="14">
        <f>[1]Sheet2!DG164</f>
        <v>0</v>
      </c>
      <c r="EA165" s="14">
        <f>[1]Sheet2!DH164</f>
        <v>0</v>
      </c>
      <c r="EB165" s="6">
        <f>[1]Sheet2!EC164</f>
        <v>0</v>
      </c>
      <c r="EC165" s="6">
        <f>[1]Sheet2!ED164</f>
        <v>0</v>
      </c>
      <c r="ED165" s="6">
        <f>[1]Sheet2!EE164</f>
        <v>0</v>
      </c>
      <c r="EE165" s="6">
        <f>[1]Sheet2!EF164</f>
        <v>0</v>
      </c>
      <c r="EF165" s="6">
        <f>[1]Sheet2!EG164</f>
        <v>0</v>
      </c>
      <c r="EG165" s="6">
        <f>[1]Sheet2!EH164</f>
        <v>0</v>
      </c>
      <c r="EH165" s="6">
        <f>[1]Sheet2!EI164</f>
        <v>0</v>
      </c>
      <c r="EI165" s="6">
        <f>[1]Sheet2!EJ164</f>
        <v>0</v>
      </c>
      <c r="EJ165" s="6">
        <f>[1]Sheet2!EK164</f>
        <v>0</v>
      </c>
      <c r="EK165" s="6">
        <f>[1]Sheet2!EL164</f>
        <v>0</v>
      </c>
      <c r="EL165" s="6" t="str">
        <f>[1]Sheet2!EM164</f>
        <v/>
      </c>
      <c r="EM165" s="6" t="str">
        <f>[1]Sheet2!EN164</f>
        <v/>
      </c>
      <c r="EN165" s="6" t="str">
        <f>[1]Sheet2!EO164</f>
        <v/>
      </c>
      <c r="EO165" s="6" t="str">
        <f>[1]Sheet2!EP164</f>
        <v/>
      </c>
      <c r="EP165" s="6" t="str">
        <f>[1]Sheet2!EQ164</f>
        <v/>
      </c>
      <c r="EQ165" s="6" t="str">
        <f>[1]Sheet2!ER164</f>
        <v/>
      </c>
      <c r="ER165" s="6" t="str">
        <f>[1]Sheet2!ES164</f>
        <v/>
      </c>
      <c r="ES165" s="6" t="str">
        <f>[1]Sheet2!ET164</f>
        <v/>
      </c>
      <c r="ET165" s="6" t="str">
        <f>[1]Sheet2!EU164</f>
        <v/>
      </c>
      <c r="EU165" s="6" t="str">
        <f>[1]Sheet2!EV164</f>
        <v/>
      </c>
      <c r="EV165" s="6" t="str">
        <f>[1]Sheet2!EW164</f>
        <v/>
      </c>
      <c r="EW165" s="6" t="str">
        <f>[1]Sheet2!EX164</f>
        <v/>
      </c>
      <c r="EX165" s="6" t="str">
        <f>[1]Sheet2!EY164</f>
        <v/>
      </c>
      <c r="EY165" s="6" t="str">
        <f>[1]Sheet2!EZ164</f>
        <v/>
      </c>
      <c r="EZ165" s="6" t="str">
        <f>[1]Sheet2!FA164</f>
        <v/>
      </c>
      <c r="FA165" s="6" t="str">
        <f>[1]Sheet2!FB164</f>
        <v/>
      </c>
      <c r="FB165" s="6" t="str">
        <f>[1]Sheet2!FC164</f>
        <v/>
      </c>
      <c r="FC165" s="6" t="str">
        <f>[1]Sheet2!FD164</f>
        <v/>
      </c>
      <c r="FD165" s="6" t="str">
        <f>[1]Sheet2!FE164</f>
        <v/>
      </c>
      <c r="FE165" s="6" t="str">
        <f>[1]Sheet2!FF164</f>
        <v/>
      </c>
      <c r="FF165" s="6" t="str">
        <f>[1]Sheet2!FG164</f>
        <v/>
      </c>
      <c r="FG165" s="6" t="str">
        <f>[1]Sheet2!FH164</f>
        <v/>
      </c>
      <c r="FH165" s="6" t="str">
        <f>[1]Sheet2!FI164</f>
        <v/>
      </c>
      <c r="FI165" s="6" t="str">
        <f>[1]Sheet2!FJ164</f>
        <v/>
      </c>
      <c r="FJ165" s="6" t="str">
        <f>[1]Sheet2!FK164</f>
        <v/>
      </c>
      <c r="FK165" s="6" t="str">
        <f>[1]Sheet2!FL164</f>
        <v/>
      </c>
      <c r="FL165" s="6" t="str">
        <f>[1]Sheet2!FM164</f>
        <v/>
      </c>
      <c r="FM165" s="6" t="str">
        <f>[1]Sheet2!FN164</f>
        <v/>
      </c>
      <c r="FN165" s="6" t="str">
        <f>[1]Sheet2!FO164</f>
        <v/>
      </c>
      <c r="FO165" s="6" t="str">
        <f>[1]Sheet2!FP164</f>
        <v/>
      </c>
    </row>
    <row r="166" spans="1:171" x14ac:dyDescent="0.25">
      <c r="A166" s="15">
        <v>43628</v>
      </c>
      <c r="B166" s="1"/>
      <c r="C166" s="1"/>
      <c r="D166" s="1"/>
      <c r="E166" s="14">
        <f>[1]Sheet2!N165</f>
        <v>0</v>
      </c>
      <c r="F166" s="14">
        <f>[1]Sheet2!BE165</f>
        <v>0</v>
      </c>
      <c r="G166" s="14">
        <f>[1]Sheet2!CW165</f>
        <v>0</v>
      </c>
      <c r="H166" s="1"/>
      <c r="I166" s="1"/>
      <c r="J166" s="1"/>
      <c r="K166" s="16"/>
      <c r="L166" s="16">
        <f>Demand_CWRS!B$8/30</f>
        <v>124.86819391025641</v>
      </c>
      <c r="M166" s="16">
        <f>Demand_CWRS!C$8/30</f>
        <v>583.20512820512829</v>
      </c>
      <c r="N166" s="16">
        <f>Demand_CWRS!D$8/30</f>
        <v>0</v>
      </c>
      <c r="O166" s="16">
        <f>Demand_CWRS!E$8/30</f>
        <v>156.84829059829062</v>
      </c>
      <c r="P166" s="16">
        <f>Demand_CWRS!F$8/30</f>
        <v>252.39596314102559</v>
      </c>
      <c r="Q166" s="16">
        <f>Demand_CWRS!G$8/30</f>
        <v>124.86819391025641</v>
      </c>
      <c r="R166" s="16">
        <f>Demand_CWRS!H$8/30</f>
        <v>246.66666666666666</v>
      </c>
      <c r="S166" s="16">
        <f>Demand_CWRS!I$8/30</f>
        <v>246.66666666666666</v>
      </c>
      <c r="T166" s="16">
        <f>Demand_CWRS!J$8/30</f>
        <v>246.66666666666666</v>
      </c>
      <c r="U166" s="16">
        <f>Demand_CWRS!K$8/30</f>
        <v>246.66666666666666</v>
      </c>
      <c r="V166" s="16">
        <f t="shared" si="66"/>
        <v>-20113.134047011918</v>
      </c>
      <c r="W166" s="16">
        <f t="shared" si="67"/>
        <v>-73358.469230769027</v>
      </c>
      <c r="X166" s="16">
        <f t="shared" si="68"/>
        <v>0</v>
      </c>
      <c r="Y166" s="16">
        <f t="shared" si="69"/>
        <v>-10718.00731905224</v>
      </c>
      <c r="Z166" s="16">
        <f t="shared" si="70"/>
        <v>-32735.036498255442</v>
      </c>
      <c r="AA166" s="16">
        <f t="shared" si="71"/>
        <v>-18787.360897973482</v>
      </c>
      <c r="AB166" s="16">
        <f t="shared" si="72"/>
        <v>-37147.328610434903</v>
      </c>
      <c r="AC166" s="16">
        <f t="shared" si="73"/>
        <v>-31354.318354024694</v>
      </c>
      <c r="AD166" s="16">
        <f t="shared" si="74"/>
        <v>-31454.318354024686</v>
      </c>
      <c r="AE166" s="16">
        <f t="shared" si="75"/>
        <v>-32054.31835402469</v>
      </c>
      <c r="AF166" s="14">
        <f>IF([1]Sheet2!AJ165=999999,"NA",[1]Sheet2!AJ165)</f>
        <v>0</v>
      </c>
      <c r="AG166" s="14">
        <f>IF([1]Sheet2!AK165=999999,"NA",[1]Sheet2!AK165)</f>
        <v>0</v>
      </c>
      <c r="AH166" s="14" t="str">
        <f>IF([1]Sheet2!AL165=999999,"NA",[1]Sheet2!AL165)</f>
        <v>NA</v>
      </c>
      <c r="AI166" s="14">
        <f>IF([1]Sheet2!AM165=999999,"NA",[1]Sheet2!AM165)</f>
        <v>0</v>
      </c>
      <c r="AJ166" s="14">
        <f>IF([1]Sheet2!AN165=999999,"NA",[1]Sheet2!AN165)</f>
        <v>0</v>
      </c>
      <c r="AK166" s="14">
        <f>IF([1]Sheet2!AO165=999999,"NA",[1]Sheet2!AO165)</f>
        <v>0</v>
      </c>
      <c r="AL166" s="14">
        <f>IF([1]Sheet2!AP165=999999,"NA",[1]Sheet2!AP165)</f>
        <v>0</v>
      </c>
      <c r="AM166" s="14">
        <f>IF([1]Sheet2!AQ165=999999,"NA",[1]Sheet2!AQ165)</f>
        <v>0</v>
      </c>
      <c r="AN166" s="14">
        <f>IF([1]Sheet2!AR165=999999,"NA",[1]Sheet2!AR165)</f>
        <v>0</v>
      </c>
      <c r="AO166" s="14">
        <f>IF([1]Sheet2!AS165=999999,"NA",[1]Sheet2!AS165)</f>
        <v>0</v>
      </c>
      <c r="AP166" s="14">
        <f>[1]Sheet2!P165</f>
        <v>0</v>
      </c>
      <c r="AQ166" s="14">
        <f>[1]Sheet2!Q165</f>
        <v>0</v>
      </c>
      <c r="AR166" s="14">
        <f>[1]Sheet2!R165</f>
        <v>0</v>
      </c>
      <c r="AS166" s="14">
        <f>[1]Sheet2!S165</f>
        <v>0</v>
      </c>
      <c r="AT166" s="14">
        <f>[1]Sheet2!T165</f>
        <v>0</v>
      </c>
      <c r="AU166" s="14">
        <f>[1]Sheet2!U165</f>
        <v>0</v>
      </c>
      <c r="AV166" s="14">
        <f>[1]Sheet2!V165</f>
        <v>0</v>
      </c>
      <c r="AW166" s="14">
        <f>[1]Sheet2!W165</f>
        <v>0</v>
      </c>
      <c r="AX166" s="14">
        <f>[1]Sheet2!X165</f>
        <v>0</v>
      </c>
      <c r="AY166" s="14">
        <f>[1]Sheet2!Y165</f>
        <v>0</v>
      </c>
      <c r="AZ166" s="16">
        <f>Demand_LP!B$8/30</f>
        <v>807.81611164529909</v>
      </c>
      <c r="BA166" s="16">
        <f>Demand_LP!C$8/30</f>
        <v>574.48717948717956</v>
      </c>
      <c r="BB166" s="16">
        <f>Demand_LP!D$8/30</f>
        <v>339.04957264957267</v>
      </c>
      <c r="BC166" s="16">
        <f>Demand_LP!E$8/30</f>
        <v>830.46965811965799</v>
      </c>
      <c r="BD166" s="16">
        <f>Demand_LP!F$8/30</f>
        <v>476.67186805555554</v>
      </c>
      <c r="BE166" s="16">
        <f>Demand_LP!G$8/30</f>
        <v>476.67186805555554</v>
      </c>
      <c r="BF166" s="16">
        <f>Demand_LP!H$8/30</f>
        <v>574.48717948717956</v>
      </c>
      <c r="BG166" s="16">
        <f>Demand_LP!I$8/30</f>
        <v>476.67186805555554</v>
      </c>
      <c r="BH166" s="16">
        <f>Demand_LP!J$8/30</f>
        <v>476.67186805555554</v>
      </c>
      <c r="BI166" s="16">
        <f>Demand_LP!K$8/30</f>
        <v>476.67186805555554</v>
      </c>
      <c r="BJ166" s="16">
        <f t="shared" si="76"/>
        <v>-111645.02091322813</v>
      </c>
      <c r="BK166" s="16">
        <f t="shared" si="77"/>
        <v>-91845.3256410256</v>
      </c>
      <c r="BL166" s="16">
        <f t="shared" si="78"/>
        <v>-40588.714102564154</v>
      </c>
      <c r="BM166" s="16">
        <f t="shared" si="79"/>
        <v>-116613.45254787397</v>
      </c>
      <c r="BN166" s="16">
        <f t="shared" si="80"/>
        <v>-67200.952921372984</v>
      </c>
      <c r="BO166" s="16">
        <f t="shared" si="81"/>
        <v>-65658.636839743718</v>
      </c>
      <c r="BP166" s="16">
        <f t="shared" si="82"/>
        <v>-86202.905128205108</v>
      </c>
      <c r="BQ166" s="16">
        <f t="shared" si="83"/>
        <v>-65658.636839743718</v>
      </c>
      <c r="BR166" s="16">
        <f t="shared" si="84"/>
        <v>-63258.636839743725</v>
      </c>
      <c r="BS166" s="16">
        <f t="shared" si="85"/>
        <v>-63958.636839743718</v>
      </c>
      <c r="BT166" s="14">
        <f>IF([1]Sheet2!CB165=999999,"NA",[1]Sheet2!CB165)</f>
        <v>0</v>
      </c>
      <c r="BU166" s="14">
        <f>IF([1]Sheet2!CC165=999999,"NA",[1]Sheet2!CC165)</f>
        <v>0</v>
      </c>
      <c r="BV166" s="14">
        <f>IF([1]Sheet2!CD165=999999,"NA",[1]Sheet2!CD165)</f>
        <v>0</v>
      </c>
      <c r="BW166" s="14">
        <f>IF([1]Sheet2!CE165=999999,"NA",[1]Sheet2!CE165)</f>
        <v>0</v>
      </c>
      <c r="BX166" s="14">
        <f>IF([1]Sheet2!CF165=999999,"NA",[1]Sheet2!CF165)</f>
        <v>0</v>
      </c>
      <c r="BY166" s="14">
        <f>IF([1]Sheet2!CG165=999999,"NA",[1]Sheet2!CG165)</f>
        <v>0</v>
      </c>
      <c r="BZ166" s="14">
        <f>IF([1]Sheet2!CH165=999999,"NA",[1]Sheet2!CH165)</f>
        <v>0</v>
      </c>
      <c r="CA166" s="14">
        <f>IF([1]Sheet2!CI165=999999,"NA",[1]Sheet2!CI165)</f>
        <v>0</v>
      </c>
      <c r="CB166" s="14">
        <f>IF([1]Sheet2!CJ165=999999,"NA",[1]Sheet2!CJ165)</f>
        <v>0</v>
      </c>
      <c r="CC166" s="14">
        <f>IF([1]Sheet2!CK165=999999,"NA",[1]Sheet2!CK165)</f>
        <v>0</v>
      </c>
      <c r="CD166" s="14">
        <f>[1]Sheet2!BH165</f>
        <v>0</v>
      </c>
      <c r="CE166" s="14">
        <f>[1]Sheet2!BI165</f>
        <v>0</v>
      </c>
      <c r="CF166" s="14">
        <f>[1]Sheet2!BJ165</f>
        <v>0</v>
      </c>
      <c r="CG166" s="14">
        <f>[1]Sheet2!BK165</f>
        <v>0</v>
      </c>
      <c r="CH166" s="14">
        <f>[1]Sheet2!BL165</f>
        <v>0</v>
      </c>
      <c r="CI166" s="14">
        <f>[1]Sheet2!BM165</f>
        <v>0</v>
      </c>
      <c r="CJ166" s="14">
        <f>[1]Sheet2!BN165</f>
        <v>0</v>
      </c>
      <c r="CK166" s="14">
        <f>[1]Sheet2!BO165</f>
        <v>0</v>
      </c>
      <c r="CL166" s="14">
        <f>[1]Sheet2!BP165</f>
        <v>0</v>
      </c>
      <c r="CM166" s="14">
        <f>[1]Sheet2!BQ165</f>
        <v>0</v>
      </c>
      <c r="CN166" s="16">
        <f>Demand_SW!B$8/30</f>
        <v>144.23076923076923</v>
      </c>
      <c r="CO166" s="16">
        <f>Demand_SW!C$8/30</f>
        <v>0</v>
      </c>
      <c r="CP166" s="16">
        <f>Demand_SW!D$8/30</f>
        <v>0</v>
      </c>
      <c r="CQ166" s="16">
        <f>Demand_SW!E$8/30</f>
        <v>0</v>
      </c>
      <c r="CR166" s="16">
        <f>Demand_SW!F$8/30</f>
        <v>0</v>
      </c>
      <c r="CS166" s="16">
        <f>Demand_SW!G$8/30</f>
        <v>144.23076923076923</v>
      </c>
      <c r="CT166" s="16">
        <f>Demand_SW!H$8/30</f>
        <v>0</v>
      </c>
      <c r="CU166" s="16">
        <f>Demand_SW!I$8/30</f>
        <v>0</v>
      </c>
      <c r="CV166" s="16">
        <f>Demand_SW!J$8/30</f>
        <v>0</v>
      </c>
      <c r="CW166" s="16">
        <f>Demand_SW!K$8/30</f>
        <v>0</v>
      </c>
      <c r="CX166" s="16">
        <f t="shared" si="86"/>
        <v>-17001.538461538472</v>
      </c>
      <c r="CY166" s="16">
        <f t="shared" si="87"/>
        <v>76.923076923077133</v>
      </c>
      <c r="CZ166" s="16">
        <f t="shared" si="88"/>
        <v>0</v>
      </c>
      <c r="DA166" s="16">
        <f t="shared" si="89"/>
        <v>0</v>
      </c>
      <c r="DB166" s="16">
        <f t="shared" si="90"/>
        <v>0</v>
      </c>
      <c r="DC166" s="16">
        <f t="shared" si="91"/>
        <v>-16530.769230769241</v>
      </c>
      <c r="DD166" s="16">
        <f t="shared" si="92"/>
        <v>76.923076923077133</v>
      </c>
      <c r="DE166" s="16">
        <f t="shared" si="93"/>
        <v>0</v>
      </c>
      <c r="DF166" s="16">
        <f t="shared" si="94"/>
        <v>0</v>
      </c>
      <c r="DG166" s="16">
        <f t="shared" si="95"/>
        <v>0</v>
      </c>
      <c r="DH166" s="14">
        <f>IF([1]Sheet2!DS165=999999,"NA",[1]Sheet2!DS165)</f>
        <v>0</v>
      </c>
      <c r="DI166" s="14">
        <f>IF([1]Sheet2!DT165=999999,"NA",[1]Sheet2!DT165)</f>
        <v>202</v>
      </c>
      <c r="DJ166" s="14" t="str">
        <f>IF([1]Sheet2!DU165=999999,"NA",[1]Sheet2!DU165)</f>
        <v>NA</v>
      </c>
      <c r="DK166" s="14" t="str">
        <f>IF([1]Sheet2!DV165=999999,"NA",[1]Sheet2!DV165)</f>
        <v>NA</v>
      </c>
      <c r="DL166" s="14" t="str">
        <f>IF([1]Sheet2!DW165=999999,"NA",[1]Sheet2!DW165)</f>
        <v>NA</v>
      </c>
      <c r="DM166" s="14">
        <f>IF([1]Sheet2!DX165=999999,"NA",[1]Sheet2!DX165)</f>
        <v>0</v>
      </c>
      <c r="DN166" s="14">
        <f>IF([1]Sheet2!DY165=999999,"NA",[1]Sheet2!DY165)</f>
        <v>202</v>
      </c>
      <c r="DO166" s="14" t="str">
        <f>IF([1]Sheet2!DZ165=999999,"NA",[1]Sheet2!DZ165)</f>
        <v>NA</v>
      </c>
      <c r="DP166" s="14" t="str">
        <f>IF([1]Sheet2!EA165=999999,"NA",[1]Sheet2!EA165)</f>
        <v>NA</v>
      </c>
      <c r="DQ166" s="14" t="str">
        <f>IF([1]Sheet2!EB165=999999,"NA",[1]Sheet2!EB165)</f>
        <v>NA</v>
      </c>
      <c r="DR166" s="14">
        <f>[1]Sheet2!CY165</f>
        <v>0</v>
      </c>
      <c r="DS166" s="14">
        <f>[1]Sheet2!CZ165</f>
        <v>0</v>
      </c>
      <c r="DT166" s="14">
        <f>[1]Sheet2!DA165</f>
        <v>0</v>
      </c>
      <c r="DU166" s="14">
        <f>[1]Sheet2!DB165</f>
        <v>0</v>
      </c>
      <c r="DV166" s="14">
        <f>[1]Sheet2!DC165</f>
        <v>0</v>
      </c>
      <c r="DW166" s="14">
        <f>[1]Sheet2!DD165</f>
        <v>0</v>
      </c>
      <c r="DX166" s="14">
        <f>[1]Sheet2!DE165</f>
        <v>0</v>
      </c>
      <c r="DY166" s="14">
        <f>[1]Sheet2!DF165</f>
        <v>0</v>
      </c>
      <c r="DZ166" s="14">
        <f>[1]Sheet2!DG165</f>
        <v>0</v>
      </c>
      <c r="EA166" s="14">
        <f>[1]Sheet2!DH165</f>
        <v>0</v>
      </c>
      <c r="EB166" s="6">
        <f>[1]Sheet2!EC165</f>
        <v>0</v>
      </c>
      <c r="EC166" s="6">
        <f>[1]Sheet2!ED165</f>
        <v>0</v>
      </c>
      <c r="ED166" s="6">
        <f>[1]Sheet2!EE165</f>
        <v>0</v>
      </c>
      <c r="EE166" s="6">
        <f>[1]Sheet2!EF165</f>
        <v>0</v>
      </c>
      <c r="EF166" s="6">
        <f>[1]Sheet2!EG165</f>
        <v>0</v>
      </c>
      <c r="EG166" s="6">
        <f>[1]Sheet2!EH165</f>
        <v>0</v>
      </c>
      <c r="EH166" s="6">
        <f>[1]Sheet2!EI165</f>
        <v>0</v>
      </c>
      <c r="EI166" s="6">
        <f>[1]Sheet2!EJ165</f>
        <v>0</v>
      </c>
      <c r="EJ166" s="6">
        <f>[1]Sheet2!EK165</f>
        <v>0</v>
      </c>
      <c r="EK166" s="6">
        <f>[1]Sheet2!EL165</f>
        <v>0</v>
      </c>
      <c r="EL166" s="6" t="str">
        <f>[1]Sheet2!EM165</f>
        <v/>
      </c>
      <c r="EM166" s="6" t="str">
        <f>[1]Sheet2!EN165</f>
        <v/>
      </c>
      <c r="EN166" s="6" t="str">
        <f>[1]Sheet2!EO165</f>
        <v/>
      </c>
      <c r="EO166" s="6" t="str">
        <f>[1]Sheet2!EP165</f>
        <v/>
      </c>
      <c r="EP166" s="6" t="str">
        <f>[1]Sheet2!EQ165</f>
        <v/>
      </c>
      <c r="EQ166" s="6" t="str">
        <f>[1]Sheet2!ER165</f>
        <v/>
      </c>
      <c r="ER166" s="6" t="str">
        <f>[1]Sheet2!ES165</f>
        <v/>
      </c>
      <c r="ES166" s="6" t="str">
        <f>[1]Sheet2!ET165</f>
        <v/>
      </c>
      <c r="ET166" s="6" t="str">
        <f>[1]Sheet2!EU165</f>
        <v/>
      </c>
      <c r="EU166" s="6" t="str">
        <f>[1]Sheet2!EV165</f>
        <v/>
      </c>
      <c r="EV166" s="6" t="str">
        <f>[1]Sheet2!EW165</f>
        <v/>
      </c>
      <c r="EW166" s="6" t="str">
        <f>[1]Sheet2!EX165</f>
        <v/>
      </c>
      <c r="EX166" s="6" t="str">
        <f>[1]Sheet2!EY165</f>
        <v/>
      </c>
      <c r="EY166" s="6" t="str">
        <f>[1]Sheet2!EZ165</f>
        <v/>
      </c>
      <c r="EZ166" s="6" t="str">
        <f>[1]Sheet2!FA165</f>
        <v/>
      </c>
      <c r="FA166" s="6" t="str">
        <f>[1]Sheet2!FB165</f>
        <v/>
      </c>
      <c r="FB166" s="6" t="str">
        <f>[1]Sheet2!FC165</f>
        <v/>
      </c>
      <c r="FC166" s="6" t="str">
        <f>[1]Sheet2!FD165</f>
        <v/>
      </c>
      <c r="FD166" s="6" t="str">
        <f>[1]Sheet2!FE165</f>
        <v/>
      </c>
      <c r="FE166" s="6" t="str">
        <f>[1]Sheet2!FF165</f>
        <v/>
      </c>
      <c r="FF166" s="6" t="str">
        <f>[1]Sheet2!FG165</f>
        <v/>
      </c>
      <c r="FG166" s="6" t="str">
        <f>[1]Sheet2!FH165</f>
        <v/>
      </c>
      <c r="FH166" s="6" t="str">
        <f>[1]Sheet2!FI165</f>
        <v/>
      </c>
      <c r="FI166" s="6" t="str">
        <f>[1]Sheet2!FJ165</f>
        <v/>
      </c>
      <c r="FJ166" s="6" t="str">
        <f>[1]Sheet2!FK165</f>
        <v/>
      </c>
      <c r="FK166" s="6" t="str">
        <f>[1]Sheet2!FL165</f>
        <v/>
      </c>
      <c r="FL166" s="6" t="str">
        <f>[1]Sheet2!FM165</f>
        <v/>
      </c>
      <c r="FM166" s="6" t="str">
        <f>[1]Sheet2!FN165</f>
        <v/>
      </c>
      <c r="FN166" s="6" t="str">
        <f>[1]Sheet2!FO165</f>
        <v/>
      </c>
      <c r="FO166" s="6" t="str">
        <f>[1]Sheet2!FP165</f>
        <v/>
      </c>
    </row>
    <row r="167" spans="1:171" x14ac:dyDescent="0.25">
      <c r="A167" s="15">
        <v>43629</v>
      </c>
      <c r="B167" s="1"/>
      <c r="C167" s="1"/>
      <c r="D167" s="1"/>
      <c r="E167" s="14">
        <f>[1]Sheet2!N166</f>
        <v>0</v>
      </c>
      <c r="F167" s="14">
        <f>[1]Sheet2!BE166</f>
        <v>48000</v>
      </c>
      <c r="G167" s="14">
        <f>[1]Sheet2!CW166</f>
        <v>0</v>
      </c>
      <c r="H167" s="1"/>
      <c r="I167" s="1"/>
      <c r="J167" s="1"/>
      <c r="K167" s="16"/>
      <c r="L167" s="16">
        <f>Demand_CWRS!B$8/30</f>
        <v>124.86819391025641</v>
      </c>
      <c r="M167" s="16">
        <f>Demand_CWRS!C$8/30</f>
        <v>583.20512820512829</v>
      </c>
      <c r="N167" s="16">
        <f>Demand_CWRS!D$8/30</f>
        <v>0</v>
      </c>
      <c r="O167" s="16">
        <f>Demand_CWRS!E$8/30</f>
        <v>156.84829059829062</v>
      </c>
      <c r="P167" s="16">
        <f>Demand_CWRS!F$8/30</f>
        <v>252.39596314102559</v>
      </c>
      <c r="Q167" s="16">
        <f>Demand_CWRS!G$8/30</f>
        <v>124.86819391025641</v>
      </c>
      <c r="R167" s="16">
        <f>Demand_CWRS!H$8/30</f>
        <v>246.66666666666666</v>
      </c>
      <c r="S167" s="16">
        <f>Demand_CWRS!I$8/30</f>
        <v>246.66666666666666</v>
      </c>
      <c r="T167" s="16">
        <f>Demand_CWRS!J$8/30</f>
        <v>246.66666666666666</v>
      </c>
      <c r="U167" s="16">
        <f>Demand_CWRS!K$8/30</f>
        <v>246.66666666666666</v>
      </c>
      <c r="V167" s="16">
        <f t="shared" si="66"/>
        <v>-20238.002240922175</v>
      </c>
      <c r="W167" s="16">
        <f t="shared" si="67"/>
        <v>-73941.674358974153</v>
      </c>
      <c r="X167" s="16">
        <f t="shared" si="68"/>
        <v>0</v>
      </c>
      <c r="Y167" s="16">
        <f t="shared" si="69"/>
        <v>-10874.855609650531</v>
      </c>
      <c r="Z167" s="16">
        <f t="shared" si="70"/>
        <v>-32987.432461396471</v>
      </c>
      <c r="AA167" s="16">
        <f t="shared" si="71"/>
        <v>-18912.229091883739</v>
      </c>
      <c r="AB167" s="16">
        <f t="shared" si="72"/>
        <v>-37393.995277101567</v>
      </c>
      <c r="AC167" s="16">
        <f t="shared" si="73"/>
        <v>-31600.985020691362</v>
      </c>
      <c r="AD167" s="16">
        <f t="shared" si="74"/>
        <v>-31700.985020691354</v>
      </c>
      <c r="AE167" s="16">
        <f t="shared" si="75"/>
        <v>-32300.985020691358</v>
      </c>
      <c r="AF167" s="14">
        <f>IF([1]Sheet2!AJ166=999999,"NA",[1]Sheet2!AJ166)</f>
        <v>0</v>
      </c>
      <c r="AG167" s="14">
        <f>IF([1]Sheet2!AK166=999999,"NA",[1]Sheet2!AK166)</f>
        <v>0</v>
      </c>
      <c r="AH167" s="14" t="str">
        <f>IF([1]Sheet2!AL166=999999,"NA",[1]Sheet2!AL166)</f>
        <v>NA</v>
      </c>
      <c r="AI167" s="14">
        <f>IF([1]Sheet2!AM166=999999,"NA",[1]Sheet2!AM166)</f>
        <v>0</v>
      </c>
      <c r="AJ167" s="14">
        <f>IF([1]Sheet2!AN166=999999,"NA",[1]Sheet2!AN166)</f>
        <v>0</v>
      </c>
      <c r="AK167" s="14">
        <f>IF([1]Sheet2!AO166=999999,"NA",[1]Sheet2!AO166)</f>
        <v>0</v>
      </c>
      <c r="AL167" s="14">
        <f>IF([1]Sheet2!AP166=999999,"NA",[1]Sheet2!AP166)</f>
        <v>0</v>
      </c>
      <c r="AM167" s="14">
        <f>IF([1]Sheet2!AQ166=999999,"NA",[1]Sheet2!AQ166)</f>
        <v>0</v>
      </c>
      <c r="AN167" s="14">
        <f>IF([1]Sheet2!AR166=999999,"NA",[1]Sheet2!AR166)</f>
        <v>0</v>
      </c>
      <c r="AO167" s="14">
        <f>IF([1]Sheet2!AS166=999999,"NA",[1]Sheet2!AS166)</f>
        <v>0</v>
      </c>
      <c r="AP167" s="14">
        <f>[1]Sheet2!P166</f>
        <v>0</v>
      </c>
      <c r="AQ167" s="14">
        <f>[1]Sheet2!Q166</f>
        <v>0</v>
      </c>
      <c r="AR167" s="14">
        <f>[1]Sheet2!R166</f>
        <v>0</v>
      </c>
      <c r="AS167" s="14">
        <f>[1]Sheet2!S166</f>
        <v>0</v>
      </c>
      <c r="AT167" s="14">
        <f>[1]Sheet2!T166</f>
        <v>0</v>
      </c>
      <c r="AU167" s="14">
        <f>[1]Sheet2!U166</f>
        <v>0</v>
      </c>
      <c r="AV167" s="14">
        <f>[1]Sheet2!V166</f>
        <v>0</v>
      </c>
      <c r="AW167" s="14">
        <f>[1]Sheet2!W166</f>
        <v>0</v>
      </c>
      <c r="AX167" s="14">
        <f>[1]Sheet2!X166</f>
        <v>0</v>
      </c>
      <c r="AY167" s="14">
        <f>[1]Sheet2!Y166</f>
        <v>0</v>
      </c>
      <c r="AZ167" s="16">
        <f>Demand_LP!B$8/30</f>
        <v>807.81611164529909</v>
      </c>
      <c r="BA167" s="16">
        <f>Demand_LP!C$8/30</f>
        <v>574.48717948717956</v>
      </c>
      <c r="BB167" s="16">
        <f>Demand_LP!D$8/30</f>
        <v>339.04957264957267</v>
      </c>
      <c r="BC167" s="16">
        <f>Demand_LP!E$8/30</f>
        <v>830.46965811965799</v>
      </c>
      <c r="BD167" s="16">
        <f>Demand_LP!F$8/30</f>
        <v>476.67186805555554</v>
      </c>
      <c r="BE167" s="16">
        <f>Demand_LP!G$8/30</f>
        <v>476.67186805555554</v>
      </c>
      <c r="BF167" s="16">
        <f>Demand_LP!H$8/30</f>
        <v>574.48717948717956</v>
      </c>
      <c r="BG167" s="16">
        <f>Demand_LP!I$8/30</f>
        <v>476.67186805555554</v>
      </c>
      <c r="BH167" s="16">
        <f>Demand_LP!J$8/30</f>
        <v>476.67186805555554</v>
      </c>
      <c r="BI167" s="16">
        <f>Demand_LP!K$8/30</f>
        <v>476.67186805555554</v>
      </c>
      <c r="BJ167" s="16">
        <f t="shared" si="76"/>
        <v>-112452.83702487343</v>
      </c>
      <c r="BK167" s="16">
        <f t="shared" si="77"/>
        <v>-92419.812820512772</v>
      </c>
      <c r="BL167" s="16">
        <f t="shared" si="78"/>
        <v>-40927.763675213726</v>
      </c>
      <c r="BM167" s="16">
        <f t="shared" si="79"/>
        <v>-117443.92220599363</v>
      </c>
      <c r="BN167" s="16">
        <f t="shared" si="80"/>
        <v>-67677.624789428533</v>
      </c>
      <c r="BO167" s="16">
        <f t="shared" si="81"/>
        <v>-66135.308707799268</v>
      </c>
      <c r="BP167" s="16">
        <f t="shared" si="82"/>
        <v>-86777.39230769228</v>
      </c>
      <c r="BQ167" s="16">
        <f t="shared" si="83"/>
        <v>-66135.308707799268</v>
      </c>
      <c r="BR167" s="16">
        <f t="shared" si="84"/>
        <v>-63735.308707799282</v>
      </c>
      <c r="BS167" s="16">
        <f t="shared" si="85"/>
        <v>-64435.308707799275</v>
      </c>
      <c r="BT167" s="14">
        <f>IF([1]Sheet2!CB166=999999,"NA",[1]Sheet2!CB166)</f>
        <v>0</v>
      </c>
      <c r="BU167" s="14">
        <f>IF([1]Sheet2!CC166=999999,"NA",[1]Sheet2!CC166)</f>
        <v>0</v>
      </c>
      <c r="BV167" s="14">
        <f>IF([1]Sheet2!CD166=999999,"NA",[1]Sheet2!CD166)</f>
        <v>0</v>
      </c>
      <c r="BW167" s="14">
        <f>IF([1]Sheet2!CE166=999999,"NA",[1]Sheet2!CE166)</f>
        <v>0</v>
      </c>
      <c r="BX167" s="14">
        <f>IF([1]Sheet2!CF166=999999,"NA",[1]Sheet2!CF166)</f>
        <v>0</v>
      </c>
      <c r="BY167" s="14">
        <f>IF([1]Sheet2!CG166=999999,"NA",[1]Sheet2!CG166)</f>
        <v>0</v>
      </c>
      <c r="BZ167" s="14">
        <f>IF([1]Sheet2!CH166=999999,"NA",[1]Sheet2!CH166)</f>
        <v>0</v>
      </c>
      <c r="CA167" s="14">
        <f>IF([1]Sheet2!CI166=999999,"NA",[1]Sheet2!CI166)</f>
        <v>0</v>
      </c>
      <c r="CB167" s="14">
        <f>IF([1]Sheet2!CJ166=999999,"NA",[1]Sheet2!CJ166)</f>
        <v>0</v>
      </c>
      <c r="CC167" s="14">
        <f>IF([1]Sheet2!CK166=999999,"NA",[1]Sheet2!CK166)</f>
        <v>0</v>
      </c>
      <c r="CD167" s="14">
        <f>[1]Sheet2!BH166</f>
        <v>0</v>
      </c>
      <c r="CE167" s="14">
        <f>[1]Sheet2!BI166</f>
        <v>0</v>
      </c>
      <c r="CF167" s="14">
        <f>[1]Sheet2!BJ166</f>
        <v>0</v>
      </c>
      <c r="CG167" s="14">
        <f>[1]Sheet2!BK166</f>
        <v>0</v>
      </c>
      <c r="CH167" s="14">
        <f>[1]Sheet2!BL166</f>
        <v>0</v>
      </c>
      <c r="CI167" s="14">
        <f>[1]Sheet2!BM166</f>
        <v>0</v>
      </c>
      <c r="CJ167" s="14">
        <f>[1]Sheet2!BN166</f>
        <v>0</v>
      </c>
      <c r="CK167" s="14">
        <f>[1]Sheet2!BO166</f>
        <v>0</v>
      </c>
      <c r="CL167" s="14">
        <f>[1]Sheet2!BP166</f>
        <v>0</v>
      </c>
      <c r="CM167" s="14">
        <f>[1]Sheet2!BQ166</f>
        <v>0</v>
      </c>
      <c r="CN167" s="16">
        <f>Demand_SW!B$8/30</f>
        <v>144.23076923076923</v>
      </c>
      <c r="CO167" s="16">
        <f>Demand_SW!C$8/30</f>
        <v>0</v>
      </c>
      <c r="CP167" s="16">
        <f>Demand_SW!D$8/30</f>
        <v>0</v>
      </c>
      <c r="CQ167" s="16">
        <f>Demand_SW!E$8/30</f>
        <v>0</v>
      </c>
      <c r="CR167" s="16">
        <f>Demand_SW!F$8/30</f>
        <v>0</v>
      </c>
      <c r="CS167" s="16">
        <f>Demand_SW!G$8/30</f>
        <v>144.23076923076923</v>
      </c>
      <c r="CT167" s="16">
        <f>Demand_SW!H$8/30</f>
        <v>0</v>
      </c>
      <c r="CU167" s="16">
        <f>Demand_SW!I$8/30</f>
        <v>0</v>
      </c>
      <c r="CV167" s="16">
        <f>Demand_SW!J$8/30</f>
        <v>0</v>
      </c>
      <c r="CW167" s="16">
        <f>Demand_SW!K$8/30</f>
        <v>0</v>
      </c>
      <c r="CX167" s="16">
        <f t="shared" si="86"/>
        <v>-17145.769230769241</v>
      </c>
      <c r="CY167" s="16">
        <f t="shared" si="87"/>
        <v>76.923076923077133</v>
      </c>
      <c r="CZ167" s="16">
        <f t="shared" si="88"/>
        <v>0</v>
      </c>
      <c r="DA167" s="16">
        <f t="shared" si="89"/>
        <v>0</v>
      </c>
      <c r="DB167" s="16">
        <f t="shared" si="90"/>
        <v>0</v>
      </c>
      <c r="DC167" s="16">
        <f t="shared" si="91"/>
        <v>-16675.000000000011</v>
      </c>
      <c r="DD167" s="16">
        <f t="shared" si="92"/>
        <v>76.923076923077133</v>
      </c>
      <c r="DE167" s="16">
        <f t="shared" si="93"/>
        <v>0</v>
      </c>
      <c r="DF167" s="16">
        <f t="shared" si="94"/>
        <v>0</v>
      </c>
      <c r="DG167" s="16">
        <f t="shared" si="95"/>
        <v>0</v>
      </c>
      <c r="DH167" s="14">
        <f>IF([1]Sheet2!DS166=999999,"NA",[1]Sheet2!DS166)</f>
        <v>0</v>
      </c>
      <c r="DI167" s="14">
        <f>IF([1]Sheet2!DT166=999999,"NA",[1]Sheet2!DT166)</f>
        <v>201</v>
      </c>
      <c r="DJ167" s="14" t="str">
        <f>IF([1]Sheet2!DU166=999999,"NA",[1]Sheet2!DU166)</f>
        <v>NA</v>
      </c>
      <c r="DK167" s="14" t="str">
        <f>IF([1]Sheet2!DV166=999999,"NA",[1]Sheet2!DV166)</f>
        <v>NA</v>
      </c>
      <c r="DL167" s="14" t="str">
        <f>IF([1]Sheet2!DW166=999999,"NA",[1]Sheet2!DW166)</f>
        <v>NA</v>
      </c>
      <c r="DM167" s="14">
        <f>IF([1]Sheet2!DX166=999999,"NA",[1]Sheet2!DX166)</f>
        <v>0</v>
      </c>
      <c r="DN167" s="14">
        <f>IF([1]Sheet2!DY166=999999,"NA",[1]Sheet2!DY166)</f>
        <v>201</v>
      </c>
      <c r="DO167" s="14" t="str">
        <f>IF([1]Sheet2!DZ166=999999,"NA",[1]Sheet2!DZ166)</f>
        <v>NA</v>
      </c>
      <c r="DP167" s="14" t="str">
        <f>IF([1]Sheet2!EA166=999999,"NA",[1]Sheet2!EA166)</f>
        <v>NA</v>
      </c>
      <c r="DQ167" s="14" t="str">
        <f>IF([1]Sheet2!EB166=999999,"NA",[1]Sheet2!EB166)</f>
        <v>NA</v>
      </c>
      <c r="DR167" s="14">
        <f>[1]Sheet2!CY166</f>
        <v>0</v>
      </c>
      <c r="DS167" s="14">
        <f>[1]Sheet2!CZ166</f>
        <v>0</v>
      </c>
      <c r="DT167" s="14">
        <f>[1]Sheet2!DA166</f>
        <v>0</v>
      </c>
      <c r="DU167" s="14">
        <f>[1]Sheet2!DB166</f>
        <v>0</v>
      </c>
      <c r="DV167" s="14">
        <f>[1]Sheet2!DC166</f>
        <v>0</v>
      </c>
      <c r="DW167" s="14">
        <f>[1]Sheet2!DD166</f>
        <v>0</v>
      </c>
      <c r="DX167" s="14">
        <f>[1]Sheet2!DE166</f>
        <v>0</v>
      </c>
      <c r="DY167" s="14">
        <f>[1]Sheet2!DF166</f>
        <v>0</v>
      </c>
      <c r="DZ167" s="14">
        <f>[1]Sheet2!DG166</f>
        <v>0</v>
      </c>
      <c r="EA167" s="14">
        <f>[1]Sheet2!DH166</f>
        <v>0</v>
      </c>
      <c r="EB167" s="6">
        <f>[1]Sheet2!EC166</f>
        <v>0</v>
      </c>
      <c r="EC167" s="6">
        <f>[1]Sheet2!ED166</f>
        <v>0</v>
      </c>
      <c r="ED167" s="6">
        <f>[1]Sheet2!EE166</f>
        <v>0</v>
      </c>
      <c r="EE167" s="6">
        <f>[1]Sheet2!EF166</f>
        <v>0</v>
      </c>
      <c r="EF167" s="6">
        <f>[1]Sheet2!EG166</f>
        <v>0</v>
      </c>
      <c r="EG167" s="6">
        <f>[1]Sheet2!EH166</f>
        <v>0</v>
      </c>
      <c r="EH167" s="6">
        <f>[1]Sheet2!EI166</f>
        <v>0</v>
      </c>
      <c r="EI167" s="6">
        <f>[1]Sheet2!EJ166</f>
        <v>0</v>
      </c>
      <c r="EJ167" s="6">
        <f>[1]Sheet2!EK166</f>
        <v>0</v>
      </c>
      <c r="EK167" s="6">
        <f>[1]Sheet2!EL166</f>
        <v>0</v>
      </c>
      <c r="EL167" s="6" t="str">
        <f>[1]Sheet2!EM166</f>
        <v/>
      </c>
      <c r="EM167" s="6" t="str">
        <f>[1]Sheet2!EN166</f>
        <v/>
      </c>
      <c r="EN167" s="6" t="str">
        <f>[1]Sheet2!EO166</f>
        <v/>
      </c>
      <c r="EO167" s="6" t="str">
        <f>[1]Sheet2!EP166</f>
        <v/>
      </c>
      <c r="EP167" s="6" t="str">
        <f>[1]Sheet2!EQ166</f>
        <v/>
      </c>
      <c r="EQ167" s="6" t="str">
        <f>[1]Sheet2!ER166</f>
        <v/>
      </c>
      <c r="ER167" s="6" t="str">
        <f>[1]Sheet2!ES166</f>
        <v/>
      </c>
      <c r="ES167" s="6" t="str">
        <f>[1]Sheet2!ET166</f>
        <v/>
      </c>
      <c r="ET167" s="6" t="str">
        <f>[1]Sheet2!EU166</f>
        <v/>
      </c>
      <c r="EU167" s="6" t="str">
        <f>[1]Sheet2!EV166</f>
        <v/>
      </c>
      <c r="EV167" s="6" t="str">
        <f>[1]Sheet2!EW166</f>
        <v/>
      </c>
      <c r="EW167" s="6" t="str">
        <f>[1]Sheet2!EX166</f>
        <v/>
      </c>
      <c r="EX167" s="6" t="str">
        <f>[1]Sheet2!EY166</f>
        <v/>
      </c>
      <c r="EY167" s="6" t="str">
        <f>[1]Sheet2!EZ166</f>
        <v/>
      </c>
      <c r="EZ167" s="6" t="str">
        <f>[1]Sheet2!FA166</f>
        <v/>
      </c>
      <c r="FA167" s="6" t="str">
        <f>[1]Sheet2!FB166</f>
        <v/>
      </c>
      <c r="FB167" s="6" t="str">
        <f>[1]Sheet2!FC166</f>
        <v/>
      </c>
      <c r="FC167" s="6" t="str">
        <f>[1]Sheet2!FD166</f>
        <v/>
      </c>
      <c r="FD167" s="6" t="str">
        <f>[1]Sheet2!FE166</f>
        <v/>
      </c>
      <c r="FE167" s="6" t="str">
        <f>[1]Sheet2!FF166</f>
        <v/>
      </c>
      <c r="FF167" s="6" t="str">
        <f>[1]Sheet2!FG166</f>
        <v/>
      </c>
      <c r="FG167" s="6" t="str">
        <f>[1]Sheet2!FH166</f>
        <v/>
      </c>
      <c r="FH167" s="6" t="str">
        <f>[1]Sheet2!FI166</f>
        <v/>
      </c>
      <c r="FI167" s="6" t="str">
        <f>[1]Sheet2!FJ166</f>
        <v/>
      </c>
      <c r="FJ167" s="6" t="str">
        <f>[1]Sheet2!FK166</f>
        <v/>
      </c>
      <c r="FK167" s="6" t="str">
        <f>[1]Sheet2!FL166</f>
        <v/>
      </c>
      <c r="FL167" s="6" t="str">
        <f>[1]Sheet2!FM166</f>
        <v/>
      </c>
      <c r="FM167" s="6" t="str">
        <f>[1]Sheet2!FN166</f>
        <v/>
      </c>
      <c r="FN167" s="6" t="str">
        <f>[1]Sheet2!FO166</f>
        <v/>
      </c>
      <c r="FO167" s="6" t="str">
        <f>[1]Sheet2!FP166</f>
        <v/>
      </c>
    </row>
    <row r="168" spans="1:171" x14ac:dyDescent="0.25">
      <c r="A168" s="15">
        <v>43630</v>
      </c>
      <c r="B168" s="1"/>
      <c r="C168" s="1"/>
      <c r="D168" s="1"/>
      <c r="E168" s="14">
        <f>[1]Sheet2!N167</f>
        <v>0</v>
      </c>
      <c r="F168" s="14">
        <f>[1]Sheet2!BE167</f>
        <v>0</v>
      </c>
      <c r="G168" s="14">
        <f>[1]Sheet2!CW167</f>
        <v>0</v>
      </c>
      <c r="H168" s="1"/>
      <c r="I168" s="1"/>
      <c r="J168" s="1"/>
      <c r="K168" s="16"/>
      <c r="L168" s="16">
        <f>Demand_CWRS!B$8/30</f>
        <v>124.86819391025641</v>
      </c>
      <c r="M168" s="16">
        <f>Demand_CWRS!C$8/30</f>
        <v>583.20512820512829</v>
      </c>
      <c r="N168" s="16">
        <f>Demand_CWRS!D$8/30</f>
        <v>0</v>
      </c>
      <c r="O168" s="16">
        <f>Demand_CWRS!E$8/30</f>
        <v>156.84829059829062</v>
      </c>
      <c r="P168" s="16">
        <f>Demand_CWRS!F$8/30</f>
        <v>252.39596314102559</v>
      </c>
      <c r="Q168" s="16">
        <f>Demand_CWRS!G$8/30</f>
        <v>124.86819391025641</v>
      </c>
      <c r="R168" s="16">
        <f>Demand_CWRS!H$8/30</f>
        <v>246.66666666666666</v>
      </c>
      <c r="S168" s="16">
        <f>Demand_CWRS!I$8/30</f>
        <v>246.66666666666666</v>
      </c>
      <c r="T168" s="16">
        <f>Demand_CWRS!J$8/30</f>
        <v>246.66666666666666</v>
      </c>
      <c r="U168" s="16">
        <f>Demand_CWRS!K$8/30</f>
        <v>246.66666666666666</v>
      </c>
      <c r="V168" s="16">
        <f t="shared" si="66"/>
        <v>-20362.870434832432</v>
      </c>
      <c r="W168" s="16">
        <f t="shared" si="67"/>
        <v>-74524.879487179278</v>
      </c>
      <c r="X168" s="16">
        <f t="shared" si="68"/>
        <v>0</v>
      </c>
      <c r="Y168" s="16">
        <f t="shared" si="69"/>
        <v>-11031.703900248822</v>
      </c>
      <c r="Z168" s="16">
        <f t="shared" si="70"/>
        <v>-33239.828424537496</v>
      </c>
      <c r="AA168" s="16">
        <f t="shared" si="71"/>
        <v>-19037.097285793996</v>
      </c>
      <c r="AB168" s="16">
        <f t="shared" si="72"/>
        <v>-37640.661943768231</v>
      </c>
      <c r="AC168" s="16">
        <f t="shared" si="73"/>
        <v>-31847.651687358029</v>
      </c>
      <c r="AD168" s="16">
        <f t="shared" si="74"/>
        <v>-31947.651687358022</v>
      </c>
      <c r="AE168" s="16">
        <f t="shared" si="75"/>
        <v>-32547.651687358026</v>
      </c>
      <c r="AF168" s="14">
        <f>IF([1]Sheet2!AJ167=999999,"NA",[1]Sheet2!AJ167)</f>
        <v>0</v>
      </c>
      <c r="AG168" s="14">
        <f>IF([1]Sheet2!AK167=999999,"NA",[1]Sheet2!AK167)</f>
        <v>0</v>
      </c>
      <c r="AH168" s="14" t="str">
        <f>IF([1]Sheet2!AL167=999999,"NA",[1]Sheet2!AL167)</f>
        <v>NA</v>
      </c>
      <c r="AI168" s="14">
        <f>IF([1]Sheet2!AM167=999999,"NA",[1]Sheet2!AM167)</f>
        <v>0</v>
      </c>
      <c r="AJ168" s="14">
        <f>IF([1]Sheet2!AN167=999999,"NA",[1]Sheet2!AN167)</f>
        <v>0</v>
      </c>
      <c r="AK168" s="14">
        <f>IF([1]Sheet2!AO167=999999,"NA",[1]Sheet2!AO167)</f>
        <v>0</v>
      </c>
      <c r="AL168" s="14">
        <f>IF([1]Sheet2!AP167=999999,"NA",[1]Sheet2!AP167)</f>
        <v>0</v>
      </c>
      <c r="AM168" s="14">
        <f>IF([1]Sheet2!AQ167=999999,"NA",[1]Sheet2!AQ167)</f>
        <v>0</v>
      </c>
      <c r="AN168" s="14">
        <f>IF([1]Sheet2!AR167=999999,"NA",[1]Sheet2!AR167)</f>
        <v>0</v>
      </c>
      <c r="AO168" s="14">
        <f>IF([1]Sheet2!AS167=999999,"NA",[1]Sheet2!AS167)</f>
        <v>0</v>
      </c>
      <c r="AP168" s="14">
        <f>[1]Sheet2!P167</f>
        <v>0</v>
      </c>
      <c r="AQ168" s="14">
        <f>[1]Sheet2!Q167</f>
        <v>0</v>
      </c>
      <c r="AR168" s="14">
        <f>[1]Sheet2!R167</f>
        <v>0</v>
      </c>
      <c r="AS168" s="14">
        <f>[1]Sheet2!S167</f>
        <v>0</v>
      </c>
      <c r="AT168" s="14">
        <f>[1]Sheet2!T167</f>
        <v>0</v>
      </c>
      <c r="AU168" s="14">
        <f>[1]Sheet2!U167</f>
        <v>0</v>
      </c>
      <c r="AV168" s="14">
        <f>[1]Sheet2!V167</f>
        <v>0</v>
      </c>
      <c r="AW168" s="14">
        <f>[1]Sheet2!W167</f>
        <v>0</v>
      </c>
      <c r="AX168" s="14">
        <f>[1]Sheet2!X167</f>
        <v>0</v>
      </c>
      <c r="AY168" s="14">
        <f>[1]Sheet2!Y167</f>
        <v>0</v>
      </c>
      <c r="AZ168" s="16">
        <f>Demand_LP!B$8/30</f>
        <v>807.81611164529909</v>
      </c>
      <c r="BA168" s="16">
        <f>Demand_LP!C$8/30</f>
        <v>574.48717948717956</v>
      </c>
      <c r="BB168" s="16">
        <f>Demand_LP!D$8/30</f>
        <v>339.04957264957267</v>
      </c>
      <c r="BC168" s="16">
        <f>Demand_LP!E$8/30</f>
        <v>830.46965811965799</v>
      </c>
      <c r="BD168" s="16">
        <f>Demand_LP!F$8/30</f>
        <v>476.67186805555554</v>
      </c>
      <c r="BE168" s="16">
        <f>Demand_LP!G$8/30</f>
        <v>476.67186805555554</v>
      </c>
      <c r="BF168" s="16">
        <f>Demand_LP!H$8/30</f>
        <v>574.48717948717956</v>
      </c>
      <c r="BG168" s="16">
        <f>Demand_LP!I$8/30</f>
        <v>476.67186805555554</v>
      </c>
      <c r="BH168" s="16">
        <f>Demand_LP!J$8/30</f>
        <v>476.67186805555554</v>
      </c>
      <c r="BI168" s="16">
        <f>Demand_LP!K$8/30</f>
        <v>476.67186805555554</v>
      </c>
      <c r="BJ168" s="16">
        <f t="shared" si="76"/>
        <v>-113260.65313651873</v>
      </c>
      <c r="BK168" s="16">
        <f t="shared" si="77"/>
        <v>-92994.299999999945</v>
      </c>
      <c r="BL168" s="16">
        <f t="shared" si="78"/>
        <v>-41266.813247863298</v>
      </c>
      <c r="BM168" s="16">
        <f t="shared" si="79"/>
        <v>-118274.39186411329</v>
      </c>
      <c r="BN168" s="16">
        <f t="shared" si="80"/>
        <v>-68154.296657484083</v>
      </c>
      <c r="BO168" s="16">
        <f t="shared" si="81"/>
        <v>-66611.980575854817</v>
      </c>
      <c r="BP168" s="16">
        <f t="shared" si="82"/>
        <v>-87351.879487179453</v>
      </c>
      <c r="BQ168" s="16">
        <f t="shared" si="83"/>
        <v>-66611.980575854817</v>
      </c>
      <c r="BR168" s="16">
        <f t="shared" si="84"/>
        <v>-64211.980575854839</v>
      </c>
      <c r="BS168" s="16">
        <f t="shared" si="85"/>
        <v>-64911.980575854832</v>
      </c>
      <c r="BT168" s="14">
        <f>IF([1]Sheet2!CB167=999999,"NA",[1]Sheet2!CB167)</f>
        <v>0</v>
      </c>
      <c r="BU168" s="14">
        <f>IF([1]Sheet2!CC167=999999,"NA",[1]Sheet2!CC167)</f>
        <v>0</v>
      </c>
      <c r="BV168" s="14">
        <f>IF([1]Sheet2!CD167=999999,"NA",[1]Sheet2!CD167)</f>
        <v>0</v>
      </c>
      <c r="BW168" s="14">
        <f>IF([1]Sheet2!CE167=999999,"NA",[1]Sheet2!CE167)</f>
        <v>0</v>
      </c>
      <c r="BX168" s="14">
        <f>IF([1]Sheet2!CF167=999999,"NA",[1]Sheet2!CF167)</f>
        <v>0</v>
      </c>
      <c r="BY168" s="14">
        <f>IF([1]Sheet2!CG167=999999,"NA",[1]Sheet2!CG167)</f>
        <v>0</v>
      </c>
      <c r="BZ168" s="14">
        <f>IF([1]Sheet2!CH167=999999,"NA",[1]Sheet2!CH167)</f>
        <v>0</v>
      </c>
      <c r="CA168" s="14">
        <f>IF([1]Sheet2!CI167=999999,"NA",[1]Sheet2!CI167)</f>
        <v>0</v>
      </c>
      <c r="CB168" s="14">
        <f>IF([1]Sheet2!CJ167=999999,"NA",[1]Sheet2!CJ167)</f>
        <v>0</v>
      </c>
      <c r="CC168" s="14">
        <f>IF([1]Sheet2!CK167=999999,"NA",[1]Sheet2!CK167)</f>
        <v>0</v>
      </c>
      <c r="CD168" s="14">
        <f>[1]Sheet2!BH167</f>
        <v>0</v>
      </c>
      <c r="CE168" s="14">
        <f>[1]Sheet2!BI167</f>
        <v>0</v>
      </c>
      <c r="CF168" s="14">
        <f>[1]Sheet2!BJ167</f>
        <v>0</v>
      </c>
      <c r="CG168" s="14">
        <f>[1]Sheet2!BK167</f>
        <v>0</v>
      </c>
      <c r="CH168" s="14">
        <f>[1]Sheet2!BL167</f>
        <v>0</v>
      </c>
      <c r="CI168" s="14">
        <f>[1]Sheet2!BM167</f>
        <v>0</v>
      </c>
      <c r="CJ168" s="14">
        <f>[1]Sheet2!BN167</f>
        <v>0</v>
      </c>
      <c r="CK168" s="14">
        <f>[1]Sheet2!BO167</f>
        <v>0</v>
      </c>
      <c r="CL168" s="14">
        <f>[1]Sheet2!BP167</f>
        <v>0</v>
      </c>
      <c r="CM168" s="14">
        <f>[1]Sheet2!BQ167</f>
        <v>0</v>
      </c>
      <c r="CN168" s="16">
        <f>Demand_SW!B$8/30</f>
        <v>144.23076923076923</v>
      </c>
      <c r="CO168" s="16">
        <f>Demand_SW!C$8/30</f>
        <v>0</v>
      </c>
      <c r="CP168" s="16">
        <f>Demand_SW!D$8/30</f>
        <v>0</v>
      </c>
      <c r="CQ168" s="16">
        <f>Demand_SW!E$8/30</f>
        <v>0</v>
      </c>
      <c r="CR168" s="16">
        <f>Demand_SW!F$8/30</f>
        <v>0</v>
      </c>
      <c r="CS168" s="16">
        <f>Demand_SW!G$8/30</f>
        <v>144.23076923076923</v>
      </c>
      <c r="CT168" s="16">
        <f>Demand_SW!H$8/30</f>
        <v>0</v>
      </c>
      <c r="CU168" s="16">
        <f>Demand_SW!I$8/30</f>
        <v>0</v>
      </c>
      <c r="CV168" s="16">
        <f>Demand_SW!J$8/30</f>
        <v>0</v>
      </c>
      <c r="CW168" s="16">
        <f>Demand_SW!K$8/30</f>
        <v>0</v>
      </c>
      <c r="CX168" s="16">
        <f t="shared" si="86"/>
        <v>-17290.000000000011</v>
      </c>
      <c r="CY168" s="16">
        <f t="shared" si="87"/>
        <v>76.923076923077133</v>
      </c>
      <c r="CZ168" s="16">
        <f t="shared" si="88"/>
        <v>0</v>
      </c>
      <c r="DA168" s="16">
        <f t="shared" si="89"/>
        <v>0</v>
      </c>
      <c r="DB168" s="16">
        <f t="shared" si="90"/>
        <v>0</v>
      </c>
      <c r="DC168" s="16">
        <f t="shared" si="91"/>
        <v>-16819.23076923078</v>
      </c>
      <c r="DD168" s="16">
        <f t="shared" si="92"/>
        <v>76.923076923077133</v>
      </c>
      <c r="DE168" s="16">
        <f t="shared" si="93"/>
        <v>0</v>
      </c>
      <c r="DF168" s="16">
        <f t="shared" si="94"/>
        <v>0</v>
      </c>
      <c r="DG168" s="16">
        <f t="shared" si="95"/>
        <v>0</v>
      </c>
      <c r="DH168" s="14">
        <f>IF([1]Sheet2!DS167=999999,"NA",[1]Sheet2!DS167)</f>
        <v>0</v>
      </c>
      <c r="DI168" s="14">
        <f>IF([1]Sheet2!DT167=999999,"NA",[1]Sheet2!DT167)</f>
        <v>200</v>
      </c>
      <c r="DJ168" s="14" t="str">
        <f>IF([1]Sheet2!DU167=999999,"NA",[1]Sheet2!DU167)</f>
        <v>NA</v>
      </c>
      <c r="DK168" s="14" t="str">
        <f>IF([1]Sheet2!DV167=999999,"NA",[1]Sheet2!DV167)</f>
        <v>NA</v>
      </c>
      <c r="DL168" s="14" t="str">
        <f>IF([1]Sheet2!DW167=999999,"NA",[1]Sheet2!DW167)</f>
        <v>NA</v>
      </c>
      <c r="DM168" s="14">
        <f>IF([1]Sheet2!DX167=999999,"NA",[1]Sheet2!DX167)</f>
        <v>0</v>
      </c>
      <c r="DN168" s="14">
        <f>IF([1]Sheet2!DY167=999999,"NA",[1]Sheet2!DY167)</f>
        <v>200</v>
      </c>
      <c r="DO168" s="14" t="str">
        <f>IF([1]Sheet2!DZ167=999999,"NA",[1]Sheet2!DZ167)</f>
        <v>NA</v>
      </c>
      <c r="DP168" s="14" t="str">
        <f>IF([1]Sheet2!EA167=999999,"NA",[1]Sheet2!EA167)</f>
        <v>NA</v>
      </c>
      <c r="DQ168" s="14" t="str">
        <f>IF([1]Sheet2!EB167=999999,"NA",[1]Sheet2!EB167)</f>
        <v>NA</v>
      </c>
      <c r="DR168" s="14">
        <f>[1]Sheet2!CY167</f>
        <v>0</v>
      </c>
      <c r="DS168" s="14">
        <f>[1]Sheet2!CZ167</f>
        <v>0</v>
      </c>
      <c r="DT168" s="14">
        <f>[1]Sheet2!DA167</f>
        <v>0</v>
      </c>
      <c r="DU168" s="14">
        <f>[1]Sheet2!DB167</f>
        <v>0</v>
      </c>
      <c r="DV168" s="14">
        <f>[1]Sheet2!DC167</f>
        <v>0</v>
      </c>
      <c r="DW168" s="14">
        <f>[1]Sheet2!DD167</f>
        <v>0</v>
      </c>
      <c r="DX168" s="14">
        <f>[1]Sheet2!DE167</f>
        <v>0</v>
      </c>
      <c r="DY168" s="14">
        <f>[1]Sheet2!DF167</f>
        <v>0</v>
      </c>
      <c r="DZ168" s="14">
        <f>[1]Sheet2!DG167</f>
        <v>0</v>
      </c>
      <c r="EA168" s="14">
        <f>[1]Sheet2!DH167</f>
        <v>0</v>
      </c>
      <c r="EB168" s="6">
        <f>[1]Sheet2!EC167</f>
        <v>0</v>
      </c>
      <c r="EC168" s="6">
        <f>[1]Sheet2!ED167</f>
        <v>0</v>
      </c>
      <c r="ED168" s="6">
        <f>[1]Sheet2!EE167</f>
        <v>0</v>
      </c>
      <c r="EE168" s="6">
        <f>[1]Sheet2!EF167</f>
        <v>0</v>
      </c>
      <c r="EF168" s="6">
        <f>[1]Sheet2!EG167</f>
        <v>0</v>
      </c>
      <c r="EG168" s="6">
        <f>[1]Sheet2!EH167</f>
        <v>0</v>
      </c>
      <c r="EH168" s="6">
        <f>[1]Sheet2!EI167</f>
        <v>0</v>
      </c>
      <c r="EI168" s="6">
        <f>[1]Sheet2!EJ167</f>
        <v>0</v>
      </c>
      <c r="EJ168" s="6">
        <f>[1]Sheet2!EK167</f>
        <v>0</v>
      </c>
      <c r="EK168" s="6">
        <f>[1]Sheet2!EL167</f>
        <v>0</v>
      </c>
      <c r="EL168" s="6" t="str">
        <f>[1]Sheet2!EM167</f>
        <v/>
      </c>
      <c r="EM168" s="6" t="str">
        <f>[1]Sheet2!EN167</f>
        <v/>
      </c>
      <c r="EN168" s="6" t="str">
        <f>[1]Sheet2!EO167</f>
        <v/>
      </c>
      <c r="EO168" s="6" t="str">
        <f>[1]Sheet2!EP167</f>
        <v/>
      </c>
      <c r="EP168" s="6" t="str">
        <f>[1]Sheet2!EQ167</f>
        <v/>
      </c>
      <c r="EQ168" s="6" t="str">
        <f>[1]Sheet2!ER167</f>
        <v/>
      </c>
      <c r="ER168" s="6" t="str">
        <f>[1]Sheet2!ES167</f>
        <v/>
      </c>
      <c r="ES168" s="6" t="str">
        <f>[1]Sheet2!ET167</f>
        <v/>
      </c>
      <c r="ET168" s="6" t="str">
        <f>[1]Sheet2!EU167</f>
        <v/>
      </c>
      <c r="EU168" s="6" t="str">
        <f>[1]Sheet2!EV167</f>
        <v/>
      </c>
      <c r="EV168" s="6" t="str">
        <f>[1]Sheet2!EW167</f>
        <v/>
      </c>
      <c r="EW168" s="6" t="str">
        <f>[1]Sheet2!EX167</f>
        <v/>
      </c>
      <c r="EX168" s="6" t="str">
        <f>[1]Sheet2!EY167</f>
        <v/>
      </c>
      <c r="EY168" s="6" t="str">
        <f>[1]Sheet2!EZ167</f>
        <v/>
      </c>
      <c r="EZ168" s="6" t="str">
        <f>[1]Sheet2!FA167</f>
        <v/>
      </c>
      <c r="FA168" s="6" t="str">
        <f>[1]Sheet2!FB167</f>
        <v/>
      </c>
      <c r="FB168" s="6" t="str">
        <f>[1]Sheet2!FC167</f>
        <v/>
      </c>
      <c r="FC168" s="6" t="str">
        <f>[1]Sheet2!FD167</f>
        <v/>
      </c>
      <c r="FD168" s="6" t="str">
        <f>[1]Sheet2!FE167</f>
        <v/>
      </c>
      <c r="FE168" s="6" t="str">
        <f>[1]Sheet2!FF167</f>
        <v/>
      </c>
      <c r="FF168" s="6" t="str">
        <f>[1]Sheet2!FG167</f>
        <v/>
      </c>
      <c r="FG168" s="6" t="str">
        <f>[1]Sheet2!FH167</f>
        <v/>
      </c>
      <c r="FH168" s="6" t="str">
        <f>[1]Sheet2!FI167</f>
        <v/>
      </c>
      <c r="FI168" s="6" t="str">
        <f>[1]Sheet2!FJ167</f>
        <v/>
      </c>
      <c r="FJ168" s="6" t="str">
        <f>[1]Sheet2!FK167</f>
        <v/>
      </c>
      <c r="FK168" s="6" t="str">
        <f>[1]Sheet2!FL167</f>
        <v/>
      </c>
      <c r="FL168" s="6" t="str">
        <f>[1]Sheet2!FM167</f>
        <v/>
      </c>
      <c r="FM168" s="6" t="str">
        <f>[1]Sheet2!FN167</f>
        <v/>
      </c>
      <c r="FN168" s="6" t="str">
        <f>[1]Sheet2!FO167</f>
        <v/>
      </c>
      <c r="FO168" s="6" t="str">
        <f>[1]Sheet2!FP167</f>
        <v/>
      </c>
    </row>
    <row r="169" spans="1:171" x14ac:dyDescent="0.25">
      <c r="A169" s="15">
        <v>43631</v>
      </c>
      <c r="B169" s="1"/>
      <c r="C169" s="1"/>
      <c r="D169" s="1"/>
      <c r="E169" s="14">
        <f>[1]Sheet2!N168</f>
        <v>0</v>
      </c>
      <c r="F169" s="14">
        <f>[1]Sheet2!BE168</f>
        <v>0</v>
      </c>
      <c r="G169" s="14">
        <f>[1]Sheet2!CW168</f>
        <v>0</v>
      </c>
      <c r="H169" s="1"/>
      <c r="I169" s="1"/>
      <c r="J169" s="1"/>
      <c r="K169" s="16"/>
      <c r="L169" s="16">
        <f>Demand_CWRS!B$8/30</f>
        <v>124.86819391025641</v>
      </c>
      <c r="M169" s="16">
        <f>Demand_CWRS!C$8/30</f>
        <v>583.20512820512829</v>
      </c>
      <c r="N169" s="16">
        <f>Demand_CWRS!D$8/30</f>
        <v>0</v>
      </c>
      <c r="O169" s="16">
        <f>Demand_CWRS!E$8/30</f>
        <v>156.84829059829062</v>
      </c>
      <c r="P169" s="16">
        <f>Demand_CWRS!F$8/30</f>
        <v>252.39596314102559</v>
      </c>
      <c r="Q169" s="16">
        <f>Demand_CWRS!G$8/30</f>
        <v>124.86819391025641</v>
      </c>
      <c r="R169" s="16">
        <f>Demand_CWRS!H$8/30</f>
        <v>246.66666666666666</v>
      </c>
      <c r="S169" s="16">
        <f>Demand_CWRS!I$8/30</f>
        <v>246.66666666666666</v>
      </c>
      <c r="T169" s="16">
        <f>Demand_CWRS!J$8/30</f>
        <v>246.66666666666666</v>
      </c>
      <c r="U169" s="16">
        <f>Demand_CWRS!K$8/30</f>
        <v>246.66666666666666</v>
      </c>
      <c r="V169" s="16">
        <f t="shared" si="66"/>
        <v>-20487.738628742689</v>
      </c>
      <c r="W169" s="16">
        <f t="shared" si="67"/>
        <v>-75108.084615384403</v>
      </c>
      <c r="X169" s="16">
        <f t="shared" si="68"/>
        <v>0</v>
      </c>
      <c r="Y169" s="16">
        <f t="shared" si="69"/>
        <v>-11188.552190847113</v>
      </c>
      <c r="Z169" s="16">
        <f t="shared" si="70"/>
        <v>-33492.224387678521</v>
      </c>
      <c r="AA169" s="16">
        <f t="shared" si="71"/>
        <v>-19161.965479704253</v>
      </c>
      <c r="AB169" s="16">
        <f t="shared" si="72"/>
        <v>-37887.328610434895</v>
      </c>
      <c r="AC169" s="16">
        <f t="shared" si="73"/>
        <v>-32094.318354024697</v>
      </c>
      <c r="AD169" s="16">
        <f t="shared" si="74"/>
        <v>-32194.31835402469</v>
      </c>
      <c r="AE169" s="16">
        <f t="shared" si="75"/>
        <v>-32794.31835402469</v>
      </c>
      <c r="AF169" s="14">
        <f>IF([1]Sheet2!AJ168=999999,"NA",[1]Sheet2!AJ168)</f>
        <v>0</v>
      </c>
      <c r="AG169" s="14">
        <f>IF([1]Sheet2!AK168=999999,"NA",[1]Sheet2!AK168)</f>
        <v>0</v>
      </c>
      <c r="AH169" s="14" t="str">
        <f>IF([1]Sheet2!AL168=999999,"NA",[1]Sheet2!AL168)</f>
        <v>NA</v>
      </c>
      <c r="AI169" s="14">
        <f>IF([1]Sheet2!AM168=999999,"NA",[1]Sheet2!AM168)</f>
        <v>0</v>
      </c>
      <c r="AJ169" s="14">
        <f>IF([1]Sheet2!AN168=999999,"NA",[1]Sheet2!AN168)</f>
        <v>0</v>
      </c>
      <c r="AK169" s="14">
        <f>IF([1]Sheet2!AO168=999999,"NA",[1]Sheet2!AO168)</f>
        <v>0</v>
      </c>
      <c r="AL169" s="14">
        <f>IF([1]Sheet2!AP168=999999,"NA",[1]Sheet2!AP168)</f>
        <v>0</v>
      </c>
      <c r="AM169" s="14">
        <f>IF([1]Sheet2!AQ168=999999,"NA",[1]Sheet2!AQ168)</f>
        <v>0</v>
      </c>
      <c r="AN169" s="14">
        <f>IF([1]Sheet2!AR168=999999,"NA",[1]Sheet2!AR168)</f>
        <v>0</v>
      </c>
      <c r="AO169" s="14">
        <f>IF([1]Sheet2!AS168=999999,"NA",[1]Sheet2!AS168)</f>
        <v>0</v>
      </c>
      <c r="AP169" s="14">
        <f>[1]Sheet2!P168</f>
        <v>0</v>
      </c>
      <c r="AQ169" s="14">
        <f>[1]Sheet2!Q168</f>
        <v>0</v>
      </c>
      <c r="AR169" s="14">
        <f>[1]Sheet2!R168</f>
        <v>0</v>
      </c>
      <c r="AS169" s="14">
        <f>[1]Sheet2!S168</f>
        <v>0</v>
      </c>
      <c r="AT169" s="14">
        <f>[1]Sheet2!T168</f>
        <v>0</v>
      </c>
      <c r="AU169" s="14">
        <f>[1]Sheet2!U168</f>
        <v>0</v>
      </c>
      <c r="AV169" s="14">
        <f>[1]Sheet2!V168</f>
        <v>0</v>
      </c>
      <c r="AW169" s="14">
        <f>[1]Sheet2!W168</f>
        <v>0</v>
      </c>
      <c r="AX169" s="14">
        <f>[1]Sheet2!X168</f>
        <v>0</v>
      </c>
      <c r="AY169" s="14">
        <f>[1]Sheet2!Y168</f>
        <v>0</v>
      </c>
      <c r="AZ169" s="16">
        <f>Demand_LP!B$8/30</f>
        <v>807.81611164529909</v>
      </c>
      <c r="BA169" s="16">
        <f>Demand_LP!C$8/30</f>
        <v>574.48717948717956</v>
      </c>
      <c r="BB169" s="16">
        <f>Demand_LP!D$8/30</f>
        <v>339.04957264957267</v>
      </c>
      <c r="BC169" s="16">
        <f>Demand_LP!E$8/30</f>
        <v>830.46965811965799</v>
      </c>
      <c r="BD169" s="16">
        <f>Demand_LP!F$8/30</f>
        <v>476.67186805555554</v>
      </c>
      <c r="BE169" s="16">
        <f>Demand_LP!G$8/30</f>
        <v>476.67186805555554</v>
      </c>
      <c r="BF169" s="16">
        <f>Demand_LP!H$8/30</f>
        <v>574.48717948717956</v>
      </c>
      <c r="BG169" s="16">
        <f>Demand_LP!I$8/30</f>
        <v>476.67186805555554</v>
      </c>
      <c r="BH169" s="16">
        <f>Demand_LP!J$8/30</f>
        <v>476.67186805555554</v>
      </c>
      <c r="BI169" s="16">
        <f>Demand_LP!K$8/30</f>
        <v>476.67186805555554</v>
      </c>
      <c r="BJ169" s="16">
        <f t="shared" si="76"/>
        <v>-114068.46924816402</v>
      </c>
      <c r="BK169" s="16">
        <f t="shared" si="77"/>
        <v>-93568.787179487117</v>
      </c>
      <c r="BL169" s="16">
        <f t="shared" si="78"/>
        <v>-41605.86282051287</v>
      </c>
      <c r="BM169" s="16">
        <f t="shared" si="79"/>
        <v>-119104.86152223295</v>
      </c>
      <c r="BN169" s="16">
        <f t="shared" si="80"/>
        <v>-68630.968525539633</v>
      </c>
      <c r="BO169" s="16">
        <f t="shared" si="81"/>
        <v>-67088.652443910367</v>
      </c>
      <c r="BP169" s="16">
        <f t="shared" si="82"/>
        <v>-87926.366666666625</v>
      </c>
      <c r="BQ169" s="16">
        <f t="shared" si="83"/>
        <v>-67088.652443910367</v>
      </c>
      <c r="BR169" s="16">
        <f t="shared" si="84"/>
        <v>-64688.652443910396</v>
      </c>
      <c r="BS169" s="16">
        <f t="shared" si="85"/>
        <v>-65388.652443910389</v>
      </c>
      <c r="BT169" s="14">
        <f>IF([1]Sheet2!CB168=999999,"NA",[1]Sheet2!CB168)</f>
        <v>0</v>
      </c>
      <c r="BU169" s="14">
        <f>IF([1]Sheet2!CC168=999999,"NA",[1]Sheet2!CC168)</f>
        <v>0</v>
      </c>
      <c r="BV169" s="14">
        <f>IF([1]Sheet2!CD168=999999,"NA",[1]Sheet2!CD168)</f>
        <v>0</v>
      </c>
      <c r="BW169" s="14">
        <f>IF([1]Sheet2!CE168=999999,"NA",[1]Sheet2!CE168)</f>
        <v>0</v>
      </c>
      <c r="BX169" s="14">
        <f>IF([1]Sheet2!CF168=999999,"NA",[1]Sheet2!CF168)</f>
        <v>0</v>
      </c>
      <c r="BY169" s="14">
        <f>IF([1]Sheet2!CG168=999999,"NA",[1]Sheet2!CG168)</f>
        <v>0</v>
      </c>
      <c r="BZ169" s="14">
        <f>IF([1]Sheet2!CH168=999999,"NA",[1]Sheet2!CH168)</f>
        <v>0</v>
      </c>
      <c r="CA169" s="14">
        <f>IF([1]Sheet2!CI168=999999,"NA",[1]Sheet2!CI168)</f>
        <v>0</v>
      </c>
      <c r="CB169" s="14">
        <f>IF([1]Sheet2!CJ168=999999,"NA",[1]Sheet2!CJ168)</f>
        <v>0</v>
      </c>
      <c r="CC169" s="14">
        <f>IF([1]Sheet2!CK168=999999,"NA",[1]Sheet2!CK168)</f>
        <v>0</v>
      </c>
      <c r="CD169" s="14">
        <f>[1]Sheet2!BH168</f>
        <v>0</v>
      </c>
      <c r="CE169" s="14">
        <f>[1]Sheet2!BI168</f>
        <v>0</v>
      </c>
      <c r="CF169" s="14">
        <f>[1]Sheet2!BJ168</f>
        <v>0</v>
      </c>
      <c r="CG169" s="14">
        <f>[1]Sheet2!BK168</f>
        <v>0</v>
      </c>
      <c r="CH169" s="14">
        <f>[1]Sheet2!BL168</f>
        <v>0</v>
      </c>
      <c r="CI169" s="14">
        <f>[1]Sheet2!BM168</f>
        <v>0</v>
      </c>
      <c r="CJ169" s="14">
        <f>[1]Sheet2!BN168</f>
        <v>0</v>
      </c>
      <c r="CK169" s="14">
        <f>[1]Sheet2!BO168</f>
        <v>0</v>
      </c>
      <c r="CL169" s="14">
        <f>[1]Sheet2!BP168</f>
        <v>0</v>
      </c>
      <c r="CM169" s="14">
        <f>[1]Sheet2!BQ168</f>
        <v>0</v>
      </c>
      <c r="CN169" s="16">
        <f>Demand_SW!B$8/30</f>
        <v>144.23076923076923</v>
      </c>
      <c r="CO169" s="16">
        <f>Demand_SW!C$8/30</f>
        <v>0</v>
      </c>
      <c r="CP169" s="16">
        <f>Demand_SW!D$8/30</f>
        <v>0</v>
      </c>
      <c r="CQ169" s="16">
        <f>Demand_SW!E$8/30</f>
        <v>0</v>
      </c>
      <c r="CR169" s="16">
        <f>Demand_SW!F$8/30</f>
        <v>0</v>
      </c>
      <c r="CS169" s="16">
        <f>Demand_SW!G$8/30</f>
        <v>144.23076923076923</v>
      </c>
      <c r="CT169" s="16">
        <f>Demand_SW!H$8/30</f>
        <v>0</v>
      </c>
      <c r="CU169" s="16">
        <f>Demand_SW!I$8/30</f>
        <v>0</v>
      </c>
      <c r="CV169" s="16">
        <f>Demand_SW!J$8/30</f>
        <v>0</v>
      </c>
      <c r="CW169" s="16">
        <f>Demand_SW!K$8/30</f>
        <v>0</v>
      </c>
      <c r="CX169" s="16">
        <f t="shared" si="86"/>
        <v>-17434.23076923078</v>
      </c>
      <c r="CY169" s="16">
        <f t="shared" si="87"/>
        <v>76.923076923077133</v>
      </c>
      <c r="CZ169" s="16">
        <f t="shared" si="88"/>
        <v>0</v>
      </c>
      <c r="DA169" s="16">
        <f t="shared" si="89"/>
        <v>0</v>
      </c>
      <c r="DB169" s="16">
        <f t="shared" si="90"/>
        <v>0</v>
      </c>
      <c r="DC169" s="16">
        <f t="shared" si="91"/>
        <v>-16963.46153846155</v>
      </c>
      <c r="DD169" s="16">
        <f t="shared" si="92"/>
        <v>76.923076923077133</v>
      </c>
      <c r="DE169" s="16">
        <f t="shared" si="93"/>
        <v>0</v>
      </c>
      <c r="DF169" s="16">
        <f t="shared" si="94"/>
        <v>0</v>
      </c>
      <c r="DG169" s="16">
        <f t="shared" si="95"/>
        <v>0</v>
      </c>
      <c r="DH169" s="14">
        <f>IF([1]Sheet2!DS168=999999,"NA",[1]Sheet2!DS168)</f>
        <v>0</v>
      </c>
      <c r="DI169" s="14">
        <f>IF([1]Sheet2!DT168=999999,"NA",[1]Sheet2!DT168)</f>
        <v>199</v>
      </c>
      <c r="DJ169" s="14" t="str">
        <f>IF([1]Sheet2!DU168=999999,"NA",[1]Sheet2!DU168)</f>
        <v>NA</v>
      </c>
      <c r="DK169" s="14" t="str">
        <f>IF([1]Sheet2!DV168=999999,"NA",[1]Sheet2!DV168)</f>
        <v>NA</v>
      </c>
      <c r="DL169" s="14" t="str">
        <f>IF([1]Sheet2!DW168=999999,"NA",[1]Sheet2!DW168)</f>
        <v>NA</v>
      </c>
      <c r="DM169" s="14">
        <f>IF([1]Sheet2!DX168=999999,"NA",[1]Sheet2!DX168)</f>
        <v>0</v>
      </c>
      <c r="DN169" s="14">
        <f>IF([1]Sheet2!DY168=999999,"NA",[1]Sheet2!DY168)</f>
        <v>199</v>
      </c>
      <c r="DO169" s="14" t="str">
        <f>IF([1]Sheet2!DZ168=999999,"NA",[1]Sheet2!DZ168)</f>
        <v>NA</v>
      </c>
      <c r="DP169" s="14" t="str">
        <f>IF([1]Sheet2!EA168=999999,"NA",[1]Sheet2!EA168)</f>
        <v>NA</v>
      </c>
      <c r="DQ169" s="14" t="str">
        <f>IF([1]Sheet2!EB168=999999,"NA",[1]Sheet2!EB168)</f>
        <v>NA</v>
      </c>
      <c r="DR169" s="14">
        <f>[1]Sheet2!CY168</f>
        <v>0</v>
      </c>
      <c r="DS169" s="14">
        <f>[1]Sheet2!CZ168</f>
        <v>0</v>
      </c>
      <c r="DT169" s="14">
        <f>[1]Sheet2!DA168</f>
        <v>0</v>
      </c>
      <c r="DU169" s="14">
        <f>[1]Sheet2!DB168</f>
        <v>0</v>
      </c>
      <c r="DV169" s="14">
        <f>[1]Sheet2!DC168</f>
        <v>0</v>
      </c>
      <c r="DW169" s="14">
        <f>[1]Sheet2!DD168</f>
        <v>0</v>
      </c>
      <c r="DX169" s="14">
        <f>[1]Sheet2!DE168</f>
        <v>0</v>
      </c>
      <c r="DY169" s="14">
        <f>[1]Sheet2!DF168</f>
        <v>0</v>
      </c>
      <c r="DZ169" s="14">
        <f>[1]Sheet2!DG168</f>
        <v>0</v>
      </c>
      <c r="EA169" s="14">
        <f>[1]Sheet2!DH168</f>
        <v>0</v>
      </c>
      <c r="EB169" s="6">
        <f>[1]Sheet2!EC168</f>
        <v>0</v>
      </c>
      <c r="EC169" s="6">
        <f>[1]Sheet2!ED168</f>
        <v>0</v>
      </c>
      <c r="ED169" s="6">
        <f>[1]Sheet2!EE168</f>
        <v>0</v>
      </c>
      <c r="EE169" s="6">
        <f>[1]Sheet2!EF168</f>
        <v>0</v>
      </c>
      <c r="EF169" s="6">
        <f>[1]Sheet2!EG168</f>
        <v>0</v>
      </c>
      <c r="EG169" s="6">
        <f>[1]Sheet2!EH168</f>
        <v>0</v>
      </c>
      <c r="EH169" s="6">
        <f>[1]Sheet2!EI168</f>
        <v>0</v>
      </c>
      <c r="EI169" s="6">
        <f>[1]Sheet2!EJ168</f>
        <v>0</v>
      </c>
      <c r="EJ169" s="6">
        <f>[1]Sheet2!EK168</f>
        <v>0</v>
      </c>
      <c r="EK169" s="6">
        <f>[1]Sheet2!EL168</f>
        <v>0</v>
      </c>
      <c r="EL169" s="6" t="str">
        <f>[1]Sheet2!EM168</f>
        <v/>
      </c>
      <c r="EM169" s="6" t="str">
        <f>[1]Sheet2!EN168</f>
        <v/>
      </c>
      <c r="EN169" s="6" t="str">
        <f>[1]Sheet2!EO168</f>
        <v/>
      </c>
      <c r="EO169" s="6" t="str">
        <f>[1]Sheet2!EP168</f>
        <v/>
      </c>
      <c r="EP169" s="6" t="str">
        <f>[1]Sheet2!EQ168</f>
        <v/>
      </c>
      <c r="EQ169" s="6" t="str">
        <f>[1]Sheet2!ER168</f>
        <v/>
      </c>
      <c r="ER169" s="6" t="str">
        <f>[1]Sheet2!ES168</f>
        <v/>
      </c>
      <c r="ES169" s="6" t="str">
        <f>[1]Sheet2!ET168</f>
        <v/>
      </c>
      <c r="ET169" s="6" t="str">
        <f>[1]Sheet2!EU168</f>
        <v/>
      </c>
      <c r="EU169" s="6" t="str">
        <f>[1]Sheet2!EV168</f>
        <v/>
      </c>
      <c r="EV169" s="6" t="str">
        <f>[1]Sheet2!EW168</f>
        <v/>
      </c>
      <c r="EW169" s="6" t="str">
        <f>[1]Sheet2!EX168</f>
        <v/>
      </c>
      <c r="EX169" s="6" t="str">
        <f>[1]Sheet2!EY168</f>
        <v/>
      </c>
      <c r="EY169" s="6" t="str">
        <f>[1]Sheet2!EZ168</f>
        <v/>
      </c>
      <c r="EZ169" s="6" t="str">
        <f>[1]Sheet2!FA168</f>
        <v/>
      </c>
      <c r="FA169" s="6" t="str">
        <f>[1]Sheet2!FB168</f>
        <v/>
      </c>
      <c r="FB169" s="6" t="str">
        <f>[1]Sheet2!FC168</f>
        <v/>
      </c>
      <c r="FC169" s="6" t="str">
        <f>[1]Sheet2!FD168</f>
        <v/>
      </c>
      <c r="FD169" s="6" t="str">
        <f>[1]Sheet2!FE168</f>
        <v/>
      </c>
      <c r="FE169" s="6" t="str">
        <f>[1]Sheet2!FF168</f>
        <v/>
      </c>
      <c r="FF169" s="6" t="str">
        <f>[1]Sheet2!FG168</f>
        <v/>
      </c>
      <c r="FG169" s="6" t="str">
        <f>[1]Sheet2!FH168</f>
        <v/>
      </c>
      <c r="FH169" s="6" t="str">
        <f>[1]Sheet2!FI168</f>
        <v/>
      </c>
      <c r="FI169" s="6" t="str">
        <f>[1]Sheet2!FJ168</f>
        <v/>
      </c>
      <c r="FJ169" s="6" t="str">
        <f>[1]Sheet2!FK168</f>
        <v/>
      </c>
      <c r="FK169" s="6" t="str">
        <f>[1]Sheet2!FL168</f>
        <v/>
      </c>
      <c r="FL169" s="6" t="str">
        <f>[1]Sheet2!FM168</f>
        <v/>
      </c>
      <c r="FM169" s="6" t="str">
        <f>[1]Sheet2!FN168</f>
        <v/>
      </c>
      <c r="FN169" s="6" t="str">
        <f>[1]Sheet2!FO168</f>
        <v/>
      </c>
      <c r="FO169" s="6" t="str">
        <f>[1]Sheet2!FP168</f>
        <v/>
      </c>
    </row>
    <row r="170" spans="1:171" x14ac:dyDescent="0.25">
      <c r="A170" s="15">
        <v>43632</v>
      </c>
      <c r="B170" s="1"/>
      <c r="C170" s="1"/>
      <c r="D170" s="1"/>
      <c r="E170" s="14">
        <f>[1]Sheet2!N169</f>
        <v>0</v>
      </c>
      <c r="F170" s="14">
        <f>[1]Sheet2!BE169</f>
        <v>0</v>
      </c>
      <c r="G170" s="14">
        <f>[1]Sheet2!CW169</f>
        <v>0</v>
      </c>
      <c r="H170" s="1"/>
      <c r="I170" s="1"/>
      <c r="J170" s="1"/>
      <c r="K170" s="16"/>
      <c r="L170" s="16">
        <f>Demand_CWRS!B$8/30</f>
        <v>124.86819391025641</v>
      </c>
      <c r="M170" s="16">
        <f>Demand_CWRS!C$8/30</f>
        <v>583.20512820512829</v>
      </c>
      <c r="N170" s="16">
        <f>Demand_CWRS!D$8/30</f>
        <v>0</v>
      </c>
      <c r="O170" s="16">
        <f>Demand_CWRS!E$8/30</f>
        <v>156.84829059829062</v>
      </c>
      <c r="P170" s="16">
        <f>Demand_CWRS!F$8/30</f>
        <v>252.39596314102559</v>
      </c>
      <c r="Q170" s="16">
        <f>Demand_CWRS!G$8/30</f>
        <v>124.86819391025641</v>
      </c>
      <c r="R170" s="16">
        <f>Demand_CWRS!H$8/30</f>
        <v>246.66666666666666</v>
      </c>
      <c r="S170" s="16">
        <f>Demand_CWRS!I$8/30</f>
        <v>246.66666666666666</v>
      </c>
      <c r="T170" s="16">
        <f>Demand_CWRS!J$8/30</f>
        <v>246.66666666666666</v>
      </c>
      <c r="U170" s="16">
        <f>Demand_CWRS!K$8/30</f>
        <v>246.66666666666666</v>
      </c>
      <c r="V170" s="16">
        <f t="shared" si="66"/>
        <v>-20612.606822652946</v>
      </c>
      <c r="W170" s="16">
        <f t="shared" si="67"/>
        <v>-75691.289743589528</v>
      </c>
      <c r="X170" s="16">
        <f t="shared" si="68"/>
        <v>0</v>
      </c>
      <c r="Y170" s="16">
        <f t="shared" si="69"/>
        <v>-11345.400481445404</v>
      </c>
      <c r="Z170" s="16">
        <f t="shared" si="70"/>
        <v>-33744.620350819547</v>
      </c>
      <c r="AA170" s="16">
        <f t="shared" si="71"/>
        <v>-19286.83367361451</v>
      </c>
      <c r="AB170" s="16">
        <f t="shared" si="72"/>
        <v>-38133.99527710156</v>
      </c>
      <c r="AC170" s="16">
        <f t="shared" si="73"/>
        <v>-32340.985020691365</v>
      </c>
      <c r="AD170" s="16">
        <f t="shared" si="74"/>
        <v>-32440.985020691358</v>
      </c>
      <c r="AE170" s="16">
        <f t="shared" si="75"/>
        <v>-33040.985020691354</v>
      </c>
      <c r="AF170" s="14">
        <f>IF([1]Sheet2!AJ169=999999,"NA",[1]Sheet2!AJ169)</f>
        <v>0</v>
      </c>
      <c r="AG170" s="14">
        <f>IF([1]Sheet2!AK169=999999,"NA",[1]Sheet2!AK169)</f>
        <v>0</v>
      </c>
      <c r="AH170" s="14" t="str">
        <f>IF([1]Sheet2!AL169=999999,"NA",[1]Sheet2!AL169)</f>
        <v>NA</v>
      </c>
      <c r="AI170" s="14">
        <f>IF([1]Sheet2!AM169=999999,"NA",[1]Sheet2!AM169)</f>
        <v>0</v>
      </c>
      <c r="AJ170" s="14">
        <f>IF([1]Sheet2!AN169=999999,"NA",[1]Sheet2!AN169)</f>
        <v>0</v>
      </c>
      <c r="AK170" s="14">
        <f>IF([1]Sheet2!AO169=999999,"NA",[1]Sheet2!AO169)</f>
        <v>0</v>
      </c>
      <c r="AL170" s="14">
        <f>IF([1]Sheet2!AP169=999999,"NA",[1]Sheet2!AP169)</f>
        <v>0</v>
      </c>
      <c r="AM170" s="14">
        <f>IF([1]Sheet2!AQ169=999999,"NA",[1]Sheet2!AQ169)</f>
        <v>0</v>
      </c>
      <c r="AN170" s="14">
        <f>IF([1]Sheet2!AR169=999999,"NA",[1]Sheet2!AR169)</f>
        <v>0</v>
      </c>
      <c r="AO170" s="14">
        <f>IF([1]Sheet2!AS169=999999,"NA",[1]Sheet2!AS169)</f>
        <v>0</v>
      </c>
      <c r="AP170" s="14">
        <f>[1]Sheet2!P169</f>
        <v>0</v>
      </c>
      <c r="AQ170" s="14">
        <f>[1]Sheet2!Q169</f>
        <v>0</v>
      </c>
      <c r="AR170" s="14">
        <f>[1]Sheet2!R169</f>
        <v>0</v>
      </c>
      <c r="AS170" s="14">
        <f>[1]Sheet2!S169</f>
        <v>0</v>
      </c>
      <c r="AT170" s="14">
        <f>[1]Sheet2!T169</f>
        <v>0</v>
      </c>
      <c r="AU170" s="14">
        <f>[1]Sheet2!U169</f>
        <v>0</v>
      </c>
      <c r="AV170" s="14">
        <f>[1]Sheet2!V169</f>
        <v>0</v>
      </c>
      <c r="AW170" s="14">
        <f>[1]Sheet2!W169</f>
        <v>0</v>
      </c>
      <c r="AX170" s="14">
        <f>[1]Sheet2!X169</f>
        <v>0</v>
      </c>
      <c r="AY170" s="14">
        <f>[1]Sheet2!Y169</f>
        <v>0</v>
      </c>
      <c r="AZ170" s="16">
        <f>Demand_LP!B$8/30</f>
        <v>807.81611164529909</v>
      </c>
      <c r="BA170" s="16">
        <f>Demand_LP!C$8/30</f>
        <v>574.48717948717956</v>
      </c>
      <c r="BB170" s="16">
        <f>Demand_LP!D$8/30</f>
        <v>339.04957264957267</v>
      </c>
      <c r="BC170" s="16">
        <f>Demand_LP!E$8/30</f>
        <v>830.46965811965799</v>
      </c>
      <c r="BD170" s="16">
        <f>Demand_LP!F$8/30</f>
        <v>476.67186805555554</v>
      </c>
      <c r="BE170" s="16">
        <f>Demand_LP!G$8/30</f>
        <v>476.67186805555554</v>
      </c>
      <c r="BF170" s="16">
        <f>Demand_LP!H$8/30</f>
        <v>574.48717948717956</v>
      </c>
      <c r="BG170" s="16">
        <f>Demand_LP!I$8/30</f>
        <v>476.67186805555554</v>
      </c>
      <c r="BH170" s="16">
        <f>Demand_LP!J$8/30</f>
        <v>476.67186805555554</v>
      </c>
      <c r="BI170" s="16">
        <f>Demand_LP!K$8/30</f>
        <v>476.67186805555554</v>
      </c>
      <c r="BJ170" s="16">
        <f t="shared" si="76"/>
        <v>-114876.28535980932</v>
      </c>
      <c r="BK170" s="16">
        <f t="shared" si="77"/>
        <v>-94143.274358974289</v>
      </c>
      <c r="BL170" s="16">
        <f t="shared" si="78"/>
        <v>-41944.912393162442</v>
      </c>
      <c r="BM170" s="16">
        <f t="shared" si="79"/>
        <v>-119935.33118035262</v>
      </c>
      <c r="BN170" s="16">
        <f t="shared" si="80"/>
        <v>-69107.640393595182</v>
      </c>
      <c r="BO170" s="16">
        <f t="shared" si="81"/>
        <v>-67565.324311965916</v>
      </c>
      <c r="BP170" s="16">
        <f t="shared" si="82"/>
        <v>-88500.853846153797</v>
      </c>
      <c r="BQ170" s="16">
        <f t="shared" si="83"/>
        <v>-67565.324311965916</v>
      </c>
      <c r="BR170" s="16">
        <f t="shared" si="84"/>
        <v>-65165.324311965953</v>
      </c>
      <c r="BS170" s="16">
        <f t="shared" si="85"/>
        <v>-65865.324311965946</v>
      </c>
      <c r="BT170" s="14">
        <f>IF([1]Sheet2!CB169=999999,"NA",[1]Sheet2!CB169)</f>
        <v>0</v>
      </c>
      <c r="BU170" s="14">
        <f>IF([1]Sheet2!CC169=999999,"NA",[1]Sheet2!CC169)</f>
        <v>0</v>
      </c>
      <c r="BV170" s="14">
        <f>IF([1]Sheet2!CD169=999999,"NA",[1]Sheet2!CD169)</f>
        <v>0</v>
      </c>
      <c r="BW170" s="14">
        <f>IF([1]Sheet2!CE169=999999,"NA",[1]Sheet2!CE169)</f>
        <v>0</v>
      </c>
      <c r="BX170" s="14">
        <f>IF([1]Sheet2!CF169=999999,"NA",[1]Sheet2!CF169)</f>
        <v>0</v>
      </c>
      <c r="BY170" s="14">
        <f>IF([1]Sheet2!CG169=999999,"NA",[1]Sheet2!CG169)</f>
        <v>0</v>
      </c>
      <c r="BZ170" s="14">
        <f>IF([1]Sheet2!CH169=999999,"NA",[1]Sheet2!CH169)</f>
        <v>0</v>
      </c>
      <c r="CA170" s="14">
        <f>IF([1]Sheet2!CI169=999999,"NA",[1]Sheet2!CI169)</f>
        <v>0</v>
      </c>
      <c r="CB170" s="14">
        <f>IF([1]Sheet2!CJ169=999999,"NA",[1]Sheet2!CJ169)</f>
        <v>0</v>
      </c>
      <c r="CC170" s="14">
        <f>IF([1]Sheet2!CK169=999999,"NA",[1]Sheet2!CK169)</f>
        <v>0</v>
      </c>
      <c r="CD170" s="14">
        <f>[1]Sheet2!BH169</f>
        <v>0</v>
      </c>
      <c r="CE170" s="14">
        <f>[1]Sheet2!BI169</f>
        <v>0</v>
      </c>
      <c r="CF170" s="14">
        <f>[1]Sheet2!BJ169</f>
        <v>0</v>
      </c>
      <c r="CG170" s="14">
        <f>[1]Sheet2!BK169</f>
        <v>0</v>
      </c>
      <c r="CH170" s="14">
        <f>[1]Sheet2!BL169</f>
        <v>0</v>
      </c>
      <c r="CI170" s="14">
        <f>[1]Sheet2!BM169</f>
        <v>0</v>
      </c>
      <c r="CJ170" s="14">
        <f>[1]Sheet2!BN169</f>
        <v>0</v>
      </c>
      <c r="CK170" s="14">
        <f>[1]Sheet2!BO169</f>
        <v>0</v>
      </c>
      <c r="CL170" s="14">
        <f>[1]Sheet2!BP169</f>
        <v>0</v>
      </c>
      <c r="CM170" s="14">
        <f>[1]Sheet2!BQ169</f>
        <v>0</v>
      </c>
      <c r="CN170" s="16">
        <f>Demand_SW!B$8/30</f>
        <v>144.23076923076923</v>
      </c>
      <c r="CO170" s="16">
        <f>Demand_SW!C$8/30</f>
        <v>0</v>
      </c>
      <c r="CP170" s="16">
        <f>Demand_SW!D$8/30</f>
        <v>0</v>
      </c>
      <c r="CQ170" s="16">
        <f>Demand_SW!E$8/30</f>
        <v>0</v>
      </c>
      <c r="CR170" s="16">
        <f>Demand_SW!F$8/30</f>
        <v>0</v>
      </c>
      <c r="CS170" s="16">
        <f>Demand_SW!G$8/30</f>
        <v>144.23076923076923</v>
      </c>
      <c r="CT170" s="16">
        <f>Demand_SW!H$8/30</f>
        <v>0</v>
      </c>
      <c r="CU170" s="16">
        <f>Demand_SW!I$8/30</f>
        <v>0</v>
      </c>
      <c r="CV170" s="16">
        <f>Demand_SW!J$8/30</f>
        <v>0</v>
      </c>
      <c r="CW170" s="16">
        <f>Demand_SW!K$8/30</f>
        <v>0</v>
      </c>
      <c r="CX170" s="16">
        <f t="shared" si="86"/>
        <v>-17578.46153846155</v>
      </c>
      <c r="CY170" s="16">
        <f t="shared" si="87"/>
        <v>76.923076923077133</v>
      </c>
      <c r="CZ170" s="16">
        <f t="shared" si="88"/>
        <v>0</v>
      </c>
      <c r="DA170" s="16">
        <f t="shared" si="89"/>
        <v>0</v>
      </c>
      <c r="DB170" s="16">
        <f t="shared" si="90"/>
        <v>0</v>
      </c>
      <c r="DC170" s="16">
        <f t="shared" si="91"/>
        <v>-17107.692307692319</v>
      </c>
      <c r="DD170" s="16">
        <f t="shared" si="92"/>
        <v>76.923076923077133</v>
      </c>
      <c r="DE170" s="16">
        <f t="shared" si="93"/>
        <v>0</v>
      </c>
      <c r="DF170" s="16">
        <f t="shared" si="94"/>
        <v>0</v>
      </c>
      <c r="DG170" s="16">
        <f t="shared" si="95"/>
        <v>0</v>
      </c>
      <c r="DH170" s="14">
        <f>IF([1]Sheet2!DS169=999999,"NA",[1]Sheet2!DS169)</f>
        <v>0</v>
      </c>
      <c r="DI170" s="14">
        <f>IF([1]Sheet2!DT169=999999,"NA",[1]Sheet2!DT169)</f>
        <v>198</v>
      </c>
      <c r="DJ170" s="14" t="str">
        <f>IF([1]Sheet2!DU169=999999,"NA",[1]Sheet2!DU169)</f>
        <v>NA</v>
      </c>
      <c r="DK170" s="14" t="str">
        <f>IF([1]Sheet2!DV169=999999,"NA",[1]Sheet2!DV169)</f>
        <v>NA</v>
      </c>
      <c r="DL170" s="14" t="str">
        <f>IF([1]Sheet2!DW169=999999,"NA",[1]Sheet2!DW169)</f>
        <v>NA</v>
      </c>
      <c r="DM170" s="14">
        <f>IF([1]Sheet2!DX169=999999,"NA",[1]Sheet2!DX169)</f>
        <v>0</v>
      </c>
      <c r="DN170" s="14">
        <f>IF([1]Sheet2!DY169=999999,"NA",[1]Sheet2!DY169)</f>
        <v>198</v>
      </c>
      <c r="DO170" s="14" t="str">
        <f>IF([1]Sheet2!DZ169=999999,"NA",[1]Sheet2!DZ169)</f>
        <v>NA</v>
      </c>
      <c r="DP170" s="14" t="str">
        <f>IF([1]Sheet2!EA169=999999,"NA",[1]Sheet2!EA169)</f>
        <v>NA</v>
      </c>
      <c r="DQ170" s="14" t="str">
        <f>IF([1]Sheet2!EB169=999999,"NA",[1]Sheet2!EB169)</f>
        <v>NA</v>
      </c>
      <c r="DR170" s="14">
        <f>[1]Sheet2!CY169</f>
        <v>0</v>
      </c>
      <c r="DS170" s="14">
        <f>[1]Sheet2!CZ169</f>
        <v>0</v>
      </c>
      <c r="DT170" s="14">
        <f>[1]Sheet2!DA169</f>
        <v>0</v>
      </c>
      <c r="DU170" s="14">
        <f>[1]Sheet2!DB169</f>
        <v>0</v>
      </c>
      <c r="DV170" s="14">
        <f>[1]Sheet2!DC169</f>
        <v>0</v>
      </c>
      <c r="DW170" s="14">
        <f>[1]Sheet2!DD169</f>
        <v>0</v>
      </c>
      <c r="DX170" s="14">
        <f>[1]Sheet2!DE169</f>
        <v>0</v>
      </c>
      <c r="DY170" s="14">
        <f>[1]Sheet2!DF169</f>
        <v>0</v>
      </c>
      <c r="DZ170" s="14">
        <f>[1]Sheet2!DG169</f>
        <v>0</v>
      </c>
      <c r="EA170" s="14">
        <f>[1]Sheet2!DH169</f>
        <v>0</v>
      </c>
      <c r="EB170" s="6">
        <f>[1]Sheet2!EC169</f>
        <v>0</v>
      </c>
      <c r="EC170" s="6">
        <f>[1]Sheet2!ED169</f>
        <v>0</v>
      </c>
      <c r="ED170" s="6">
        <f>[1]Sheet2!EE169</f>
        <v>0</v>
      </c>
      <c r="EE170" s="6">
        <f>[1]Sheet2!EF169</f>
        <v>0</v>
      </c>
      <c r="EF170" s="6">
        <f>[1]Sheet2!EG169</f>
        <v>0</v>
      </c>
      <c r="EG170" s="6">
        <f>[1]Sheet2!EH169</f>
        <v>0</v>
      </c>
      <c r="EH170" s="6">
        <f>[1]Sheet2!EI169</f>
        <v>0</v>
      </c>
      <c r="EI170" s="6">
        <f>[1]Sheet2!EJ169</f>
        <v>0</v>
      </c>
      <c r="EJ170" s="6">
        <f>[1]Sheet2!EK169</f>
        <v>0</v>
      </c>
      <c r="EK170" s="6">
        <f>[1]Sheet2!EL169</f>
        <v>0</v>
      </c>
      <c r="EL170" s="6" t="str">
        <f>[1]Sheet2!EM169</f>
        <v/>
      </c>
      <c r="EM170" s="6" t="str">
        <f>[1]Sheet2!EN169</f>
        <v/>
      </c>
      <c r="EN170" s="6" t="str">
        <f>[1]Sheet2!EO169</f>
        <v/>
      </c>
      <c r="EO170" s="6" t="str">
        <f>[1]Sheet2!EP169</f>
        <v/>
      </c>
      <c r="EP170" s="6" t="str">
        <f>[1]Sheet2!EQ169</f>
        <v/>
      </c>
      <c r="EQ170" s="6" t="str">
        <f>[1]Sheet2!ER169</f>
        <v/>
      </c>
      <c r="ER170" s="6" t="str">
        <f>[1]Sheet2!ES169</f>
        <v/>
      </c>
      <c r="ES170" s="6" t="str">
        <f>[1]Sheet2!ET169</f>
        <v/>
      </c>
      <c r="ET170" s="6" t="str">
        <f>[1]Sheet2!EU169</f>
        <v/>
      </c>
      <c r="EU170" s="6" t="str">
        <f>[1]Sheet2!EV169</f>
        <v/>
      </c>
      <c r="EV170" s="6" t="str">
        <f>[1]Sheet2!EW169</f>
        <v/>
      </c>
      <c r="EW170" s="6" t="str">
        <f>[1]Sheet2!EX169</f>
        <v/>
      </c>
      <c r="EX170" s="6" t="str">
        <f>[1]Sheet2!EY169</f>
        <v/>
      </c>
      <c r="EY170" s="6" t="str">
        <f>[1]Sheet2!EZ169</f>
        <v/>
      </c>
      <c r="EZ170" s="6" t="str">
        <f>[1]Sheet2!FA169</f>
        <v/>
      </c>
      <c r="FA170" s="6" t="str">
        <f>[1]Sheet2!FB169</f>
        <v/>
      </c>
      <c r="FB170" s="6" t="str">
        <f>[1]Sheet2!FC169</f>
        <v/>
      </c>
      <c r="FC170" s="6" t="str">
        <f>[1]Sheet2!FD169</f>
        <v/>
      </c>
      <c r="FD170" s="6" t="str">
        <f>[1]Sheet2!FE169</f>
        <v/>
      </c>
      <c r="FE170" s="6" t="str">
        <f>[1]Sheet2!FF169</f>
        <v/>
      </c>
      <c r="FF170" s="6" t="str">
        <f>[1]Sheet2!FG169</f>
        <v/>
      </c>
      <c r="FG170" s="6" t="str">
        <f>[1]Sheet2!FH169</f>
        <v/>
      </c>
      <c r="FH170" s="6" t="str">
        <f>[1]Sheet2!FI169</f>
        <v/>
      </c>
      <c r="FI170" s="6" t="str">
        <f>[1]Sheet2!FJ169</f>
        <v/>
      </c>
      <c r="FJ170" s="6" t="str">
        <f>[1]Sheet2!FK169</f>
        <v/>
      </c>
      <c r="FK170" s="6" t="str">
        <f>[1]Sheet2!FL169</f>
        <v/>
      </c>
      <c r="FL170" s="6" t="str">
        <f>[1]Sheet2!FM169</f>
        <v/>
      </c>
      <c r="FM170" s="6" t="str">
        <f>[1]Sheet2!FN169</f>
        <v/>
      </c>
      <c r="FN170" s="6" t="str">
        <f>[1]Sheet2!FO169</f>
        <v/>
      </c>
      <c r="FO170" s="6" t="str">
        <f>[1]Sheet2!FP169</f>
        <v/>
      </c>
    </row>
    <row r="171" spans="1:171" x14ac:dyDescent="0.25">
      <c r="A171" s="15">
        <v>43633</v>
      </c>
      <c r="B171" s="1"/>
      <c r="C171" s="1"/>
      <c r="D171" s="1"/>
      <c r="E171" s="14">
        <f>[1]Sheet2!N170</f>
        <v>0</v>
      </c>
      <c r="F171" s="14">
        <f>[1]Sheet2!BE170</f>
        <v>0</v>
      </c>
      <c r="G171" s="14">
        <f>[1]Sheet2!CW170</f>
        <v>0</v>
      </c>
      <c r="H171" s="1"/>
      <c r="I171" s="1"/>
      <c r="J171" s="1"/>
      <c r="K171" s="16"/>
      <c r="L171" s="16">
        <f>Demand_CWRS!B$8/30</f>
        <v>124.86819391025641</v>
      </c>
      <c r="M171" s="16">
        <f>Demand_CWRS!C$8/30</f>
        <v>583.20512820512829</v>
      </c>
      <c r="N171" s="16">
        <f>Demand_CWRS!D$8/30</f>
        <v>0</v>
      </c>
      <c r="O171" s="16">
        <f>Demand_CWRS!E$8/30</f>
        <v>156.84829059829062</v>
      </c>
      <c r="P171" s="16">
        <f>Demand_CWRS!F$8/30</f>
        <v>252.39596314102559</v>
      </c>
      <c r="Q171" s="16">
        <f>Demand_CWRS!G$8/30</f>
        <v>124.86819391025641</v>
      </c>
      <c r="R171" s="16">
        <f>Demand_CWRS!H$8/30</f>
        <v>246.66666666666666</v>
      </c>
      <c r="S171" s="16">
        <f>Demand_CWRS!I$8/30</f>
        <v>246.66666666666666</v>
      </c>
      <c r="T171" s="16">
        <f>Demand_CWRS!J$8/30</f>
        <v>246.66666666666666</v>
      </c>
      <c r="U171" s="16">
        <f>Demand_CWRS!K$8/30</f>
        <v>246.66666666666666</v>
      </c>
      <c r="V171" s="16">
        <f t="shared" si="66"/>
        <v>-20737.475016563203</v>
      </c>
      <c r="W171" s="16">
        <f t="shared" si="67"/>
        <v>-76274.494871794654</v>
      </c>
      <c r="X171" s="16">
        <f t="shared" si="68"/>
        <v>0</v>
      </c>
      <c r="Y171" s="16">
        <f t="shared" si="69"/>
        <v>-11502.248772043695</v>
      </c>
      <c r="Z171" s="16">
        <f t="shared" si="70"/>
        <v>-33997.016313960572</v>
      </c>
      <c r="AA171" s="16">
        <f t="shared" si="71"/>
        <v>-19411.701867524767</v>
      </c>
      <c r="AB171" s="16">
        <f t="shared" si="72"/>
        <v>-38380.661943768224</v>
      </c>
      <c r="AC171" s="16">
        <f t="shared" si="73"/>
        <v>-32587.651687358033</v>
      </c>
      <c r="AD171" s="16">
        <f t="shared" si="74"/>
        <v>-32687.651687358026</v>
      </c>
      <c r="AE171" s="16">
        <f t="shared" si="75"/>
        <v>-33287.651687358019</v>
      </c>
      <c r="AF171" s="14">
        <f>IF([1]Sheet2!AJ170=999999,"NA",[1]Sheet2!AJ170)</f>
        <v>0</v>
      </c>
      <c r="AG171" s="14">
        <f>IF([1]Sheet2!AK170=999999,"NA",[1]Sheet2!AK170)</f>
        <v>0</v>
      </c>
      <c r="AH171" s="14" t="str">
        <f>IF([1]Sheet2!AL170=999999,"NA",[1]Sheet2!AL170)</f>
        <v>NA</v>
      </c>
      <c r="AI171" s="14">
        <f>IF([1]Sheet2!AM170=999999,"NA",[1]Sheet2!AM170)</f>
        <v>0</v>
      </c>
      <c r="AJ171" s="14">
        <f>IF([1]Sheet2!AN170=999999,"NA",[1]Sheet2!AN170)</f>
        <v>0</v>
      </c>
      <c r="AK171" s="14">
        <f>IF([1]Sheet2!AO170=999999,"NA",[1]Sheet2!AO170)</f>
        <v>0</v>
      </c>
      <c r="AL171" s="14">
        <f>IF([1]Sheet2!AP170=999999,"NA",[1]Sheet2!AP170)</f>
        <v>0</v>
      </c>
      <c r="AM171" s="14">
        <f>IF([1]Sheet2!AQ170=999999,"NA",[1]Sheet2!AQ170)</f>
        <v>0</v>
      </c>
      <c r="AN171" s="14">
        <f>IF([1]Sheet2!AR170=999999,"NA",[1]Sheet2!AR170)</f>
        <v>0</v>
      </c>
      <c r="AO171" s="14">
        <f>IF([1]Sheet2!AS170=999999,"NA",[1]Sheet2!AS170)</f>
        <v>0</v>
      </c>
      <c r="AP171" s="14">
        <f>[1]Sheet2!P170</f>
        <v>0</v>
      </c>
      <c r="AQ171" s="14">
        <f>[1]Sheet2!Q170</f>
        <v>0</v>
      </c>
      <c r="AR171" s="14">
        <f>[1]Sheet2!R170</f>
        <v>0</v>
      </c>
      <c r="AS171" s="14">
        <f>[1]Sheet2!S170</f>
        <v>0</v>
      </c>
      <c r="AT171" s="14">
        <f>[1]Sheet2!T170</f>
        <v>0</v>
      </c>
      <c r="AU171" s="14">
        <f>[1]Sheet2!U170</f>
        <v>0</v>
      </c>
      <c r="AV171" s="14">
        <f>[1]Sheet2!V170</f>
        <v>0</v>
      </c>
      <c r="AW171" s="14">
        <f>[1]Sheet2!W170</f>
        <v>0</v>
      </c>
      <c r="AX171" s="14">
        <f>[1]Sheet2!X170</f>
        <v>0</v>
      </c>
      <c r="AY171" s="14">
        <f>[1]Sheet2!Y170</f>
        <v>0</v>
      </c>
      <c r="AZ171" s="16">
        <f>Demand_LP!B$8/30</f>
        <v>807.81611164529909</v>
      </c>
      <c r="BA171" s="16">
        <f>Demand_LP!C$8/30</f>
        <v>574.48717948717956</v>
      </c>
      <c r="BB171" s="16">
        <f>Demand_LP!D$8/30</f>
        <v>339.04957264957267</v>
      </c>
      <c r="BC171" s="16">
        <f>Demand_LP!E$8/30</f>
        <v>830.46965811965799</v>
      </c>
      <c r="BD171" s="16">
        <f>Demand_LP!F$8/30</f>
        <v>476.67186805555554</v>
      </c>
      <c r="BE171" s="16">
        <f>Demand_LP!G$8/30</f>
        <v>476.67186805555554</v>
      </c>
      <c r="BF171" s="16">
        <f>Demand_LP!H$8/30</f>
        <v>574.48717948717956</v>
      </c>
      <c r="BG171" s="16">
        <f>Demand_LP!I$8/30</f>
        <v>476.67186805555554</v>
      </c>
      <c r="BH171" s="16">
        <f>Demand_LP!J$8/30</f>
        <v>476.67186805555554</v>
      </c>
      <c r="BI171" s="16">
        <f>Demand_LP!K$8/30</f>
        <v>476.67186805555554</v>
      </c>
      <c r="BJ171" s="16">
        <f t="shared" si="76"/>
        <v>-115684.10147145462</v>
      </c>
      <c r="BK171" s="16">
        <f t="shared" si="77"/>
        <v>-94717.761538461462</v>
      </c>
      <c r="BL171" s="16">
        <f t="shared" si="78"/>
        <v>-42283.961965812014</v>
      </c>
      <c r="BM171" s="16">
        <f t="shared" si="79"/>
        <v>-120765.80083847228</v>
      </c>
      <c r="BN171" s="16">
        <f t="shared" si="80"/>
        <v>-69584.312261650732</v>
      </c>
      <c r="BO171" s="16">
        <f t="shared" si="81"/>
        <v>-68041.996180021466</v>
      </c>
      <c r="BP171" s="16">
        <f t="shared" si="82"/>
        <v>-89075.34102564097</v>
      </c>
      <c r="BQ171" s="16">
        <f t="shared" si="83"/>
        <v>-68041.996180021466</v>
      </c>
      <c r="BR171" s="16">
        <f t="shared" si="84"/>
        <v>-65641.99618002151</v>
      </c>
      <c r="BS171" s="16">
        <f t="shared" si="85"/>
        <v>-66341.996180021495</v>
      </c>
      <c r="BT171" s="14">
        <f>IF([1]Sheet2!CB170=999999,"NA",[1]Sheet2!CB170)</f>
        <v>0</v>
      </c>
      <c r="BU171" s="14">
        <f>IF([1]Sheet2!CC170=999999,"NA",[1]Sheet2!CC170)</f>
        <v>0</v>
      </c>
      <c r="BV171" s="14">
        <f>IF([1]Sheet2!CD170=999999,"NA",[1]Sheet2!CD170)</f>
        <v>0</v>
      </c>
      <c r="BW171" s="14">
        <f>IF([1]Sheet2!CE170=999999,"NA",[1]Sheet2!CE170)</f>
        <v>0</v>
      </c>
      <c r="BX171" s="14">
        <f>IF([1]Sheet2!CF170=999999,"NA",[1]Sheet2!CF170)</f>
        <v>0</v>
      </c>
      <c r="BY171" s="14">
        <f>IF([1]Sheet2!CG170=999999,"NA",[1]Sheet2!CG170)</f>
        <v>0</v>
      </c>
      <c r="BZ171" s="14">
        <f>IF([1]Sheet2!CH170=999999,"NA",[1]Sheet2!CH170)</f>
        <v>0</v>
      </c>
      <c r="CA171" s="14">
        <f>IF([1]Sheet2!CI170=999999,"NA",[1]Sheet2!CI170)</f>
        <v>0</v>
      </c>
      <c r="CB171" s="14">
        <f>IF([1]Sheet2!CJ170=999999,"NA",[1]Sheet2!CJ170)</f>
        <v>0</v>
      </c>
      <c r="CC171" s="14">
        <f>IF([1]Sheet2!CK170=999999,"NA",[1]Sheet2!CK170)</f>
        <v>0</v>
      </c>
      <c r="CD171" s="14">
        <f>[1]Sheet2!BH170</f>
        <v>0</v>
      </c>
      <c r="CE171" s="14">
        <f>[1]Sheet2!BI170</f>
        <v>0</v>
      </c>
      <c r="CF171" s="14">
        <f>[1]Sheet2!BJ170</f>
        <v>0</v>
      </c>
      <c r="CG171" s="14">
        <f>[1]Sheet2!BK170</f>
        <v>0</v>
      </c>
      <c r="CH171" s="14">
        <f>[1]Sheet2!BL170</f>
        <v>0</v>
      </c>
      <c r="CI171" s="14">
        <f>[1]Sheet2!BM170</f>
        <v>0</v>
      </c>
      <c r="CJ171" s="14">
        <f>[1]Sheet2!BN170</f>
        <v>0</v>
      </c>
      <c r="CK171" s="14">
        <f>[1]Sheet2!BO170</f>
        <v>0</v>
      </c>
      <c r="CL171" s="14">
        <f>[1]Sheet2!BP170</f>
        <v>0</v>
      </c>
      <c r="CM171" s="14">
        <f>[1]Sheet2!BQ170</f>
        <v>0</v>
      </c>
      <c r="CN171" s="16">
        <f>Demand_SW!B$8/30</f>
        <v>144.23076923076923</v>
      </c>
      <c r="CO171" s="16">
        <f>Demand_SW!C$8/30</f>
        <v>0</v>
      </c>
      <c r="CP171" s="16">
        <f>Demand_SW!D$8/30</f>
        <v>0</v>
      </c>
      <c r="CQ171" s="16">
        <f>Demand_SW!E$8/30</f>
        <v>0</v>
      </c>
      <c r="CR171" s="16">
        <f>Demand_SW!F$8/30</f>
        <v>0</v>
      </c>
      <c r="CS171" s="16">
        <f>Demand_SW!G$8/30</f>
        <v>144.23076923076923</v>
      </c>
      <c r="CT171" s="16">
        <f>Demand_SW!H$8/30</f>
        <v>0</v>
      </c>
      <c r="CU171" s="16">
        <f>Demand_SW!I$8/30</f>
        <v>0</v>
      </c>
      <c r="CV171" s="16">
        <f>Demand_SW!J$8/30</f>
        <v>0</v>
      </c>
      <c r="CW171" s="16">
        <f>Demand_SW!K$8/30</f>
        <v>0</v>
      </c>
      <c r="CX171" s="16">
        <f t="shared" si="86"/>
        <v>-17722.692307692319</v>
      </c>
      <c r="CY171" s="16">
        <f t="shared" si="87"/>
        <v>76.923076923077133</v>
      </c>
      <c r="CZ171" s="16">
        <f t="shared" si="88"/>
        <v>0</v>
      </c>
      <c r="DA171" s="16">
        <f t="shared" si="89"/>
        <v>0</v>
      </c>
      <c r="DB171" s="16">
        <f t="shared" si="90"/>
        <v>0</v>
      </c>
      <c r="DC171" s="16">
        <f t="shared" si="91"/>
        <v>-17251.923076923089</v>
      </c>
      <c r="DD171" s="16">
        <f t="shared" si="92"/>
        <v>76.923076923077133</v>
      </c>
      <c r="DE171" s="16">
        <f t="shared" si="93"/>
        <v>0</v>
      </c>
      <c r="DF171" s="16">
        <f t="shared" si="94"/>
        <v>0</v>
      </c>
      <c r="DG171" s="16">
        <f t="shared" si="95"/>
        <v>0</v>
      </c>
      <c r="DH171" s="14">
        <f>IF([1]Sheet2!DS170=999999,"NA",[1]Sheet2!DS170)</f>
        <v>0</v>
      </c>
      <c r="DI171" s="14">
        <f>IF([1]Sheet2!DT170=999999,"NA",[1]Sheet2!DT170)</f>
        <v>197</v>
      </c>
      <c r="DJ171" s="14" t="str">
        <f>IF([1]Sheet2!DU170=999999,"NA",[1]Sheet2!DU170)</f>
        <v>NA</v>
      </c>
      <c r="DK171" s="14" t="str">
        <f>IF([1]Sheet2!DV170=999999,"NA",[1]Sheet2!DV170)</f>
        <v>NA</v>
      </c>
      <c r="DL171" s="14" t="str">
        <f>IF([1]Sheet2!DW170=999999,"NA",[1]Sheet2!DW170)</f>
        <v>NA</v>
      </c>
      <c r="DM171" s="14">
        <f>IF([1]Sheet2!DX170=999999,"NA",[1]Sheet2!DX170)</f>
        <v>0</v>
      </c>
      <c r="DN171" s="14">
        <f>IF([1]Sheet2!DY170=999999,"NA",[1]Sheet2!DY170)</f>
        <v>197</v>
      </c>
      <c r="DO171" s="14" t="str">
        <f>IF([1]Sheet2!DZ170=999999,"NA",[1]Sheet2!DZ170)</f>
        <v>NA</v>
      </c>
      <c r="DP171" s="14" t="str">
        <f>IF([1]Sheet2!EA170=999999,"NA",[1]Sheet2!EA170)</f>
        <v>NA</v>
      </c>
      <c r="DQ171" s="14" t="str">
        <f>IF([1]Sheet2!EB170=999999,"NA",[1]Sheet2!EB170)</f>
        <v>NA</v>
      </c>
      <c r="DR171" s="14">
        <f>[1]Sheet2!CY170</f>
        <v>0</v>
      </c>
      <c r="DS171" s="14">
        <f>[1]Sheet2!CZ170</f>
        <v>0</v>
      </c>
      <c r="DT171" s="14">
        <f>[1]Sheet2!DA170</f>
        <v>0</v>
      </c>
      <c r="DU171" s="14">
        <f>[1]Sheet2!DB170</f>
        <v>0</v>
      </c>
      <c r="DV171" s="14">
        <f>[1]Sheet2!DC170</f>
        <v>0</v>
      </c>
      <c r="DW171" s="14">
        <f>[1]Sheet2!DD170</f>
        <v>0</v>
      </c>
      <c r="DX171" s="14">
        <f>[1]Sheet2!DE170</f>
        <v>0</v>
      </c>
      <c r="DY171" s="14">
        <f>[1]Sheet2!DF170</f>
        <v>0</v>
      </c>
      <c r="DZ171" s="14">
        <f>[1]Sheet2!DG170</f>
        <v>0</v>
      </c>
      <c r="EA171" s="14">
        <f>[1]Sheet2!DH170</f>
        <v>0</v>
      </c>
      <c r="EB171" s="6">
        <f>[1]Sheet2!EC170</f>
        <v>0</v>
      </c>
      <c r="EC171" s="6">
        <f>[1]Sheet2!ED170</f>
        <v>0</v>
      </c>
      <c r="ED171" s="6">
        <f>[1]Sheet2!EE170</f>
        <v>0</v>
      </c>
      <c r="EE171" s="6">
        <f>[1]Sheet2!EF170</f>
        <v>0</v>
      </c>
      <c r="EF171" s="6">
        <f>[1]Sheet2!EG170</f>
        <v>0</v>
      </c>
      <c r="EG171" s="6">
        <f>[1]Sheet2!EH170</f>
        <v>0</v>
      </c>
      <c r="EH171" s="6">
        <f>[1]Sheet2!EI170</f>
        <v>0</v>
      </c>
      <c r="EI171" s="6">
        <f>[1]Sheet2!EJ170</f>
        <v>0</v>
      </c>
      <c r="EJ171" s="6">
        <f>[1]Sheet2!EK170</f>
        <v>0</v>
      </c>
      <c r="EK171" s="6">
        <f>[1]Sheet2!EL170</f>
        <v>0</v>
      </c>
      <c r="EL171" s="6" t="str">
        <f>[1]Sheet2!EM170</f>
        <v/>
      </c>
      <c r="EM171" s="6" t="str">
        <f>[1]Sheet2!EN170</f>
        <v/>
      </c>
      <c r="EN171" s="6" t="str">
        <f>[1]Sheet2!EO170</f>
        <v/>
      </c>
      <c r="EO171" s="6" t="str">
        <f>[1]Sheet2!EP170</f>
        <v/>
      </c>
      <c r="EP171" s="6" t="str">
        <f>[1]Sheet2!EQ170</f>
        <v/>
      </c>
      <c r="EQ171" s="6" t="str">
        <f>[1]Sheet2!ER170</f>
        <v/>
      </c>
      <c r="ER171" s="6" t="str">
        <f>[1]Sheet2!ES170</f>
        <v/>
      </c>
      <c r="ES171" s="6" t="str">
        <f>[1]Sheet2!ET170</f>
        <v/>
      </c>
      <c r="ET171" s="6" t="str">
        <f>[1]Sheet2!EU170</f>
        <v/>
      </c>
      <c r="EU171" s="6" t="str">
        <f>[1]Sheet2!EV170</f>
        <v/>
      </c>
      <c r="EV171" s="6" t="str">
        <f>[1]Sheet2!EW170</f>
        <v/>
      </c>
      <c r="EW171" s="6" t="str">
        <f>[1]Sheet2!EX170</f>
        <v/>
      </c>
      <c r="EX171" s="6" t="str">
        <f>[1]Sheet2!EY170</f>
        <v/>
      </c>
      <c r="EY171" s="6" t="str">
        <f>[1]Sheet2!EZ170</f>
        <v/>
      </c>
      <c r="EZ171" s="6" t="str">
        <f>[1]Sheet2!FA170</f>
        <v/>
      </c>
      <c r="FA171" s="6" t="str">
        <f>[1]Sheet2!FB170</f>
        <v/>
      </c>
      <c r="FB171" s="6" t="str">
        <f>[1]Sheet2!FC170</f>
        <v/>
      </c>
      <c r="FC171" s="6" t="str">
        <f>[1]Sheet2!FD170</f>
        <v/>
      </c>
      <c r="FD171" s="6" t="str">
        <f>[1]Sheet2!FE170</f>
        <v/>
      </c>
      <c r="FE171" s="6" t="str">
        <f>[1]Sheet2!FF170</f>
        <v/>
      </c>
      <c r="FF171" s="6" t="str">
        <f>[1]Sheet2!FG170</f>
        <v/>
      </c>
      <c r="FG171" s="6" t="str">
        <f>[1]Sheet2!FH170</f>
        <v/>
      </c>
      <c r="FH171" s="6" t="str">
        <f>[1]Sheet2!FI170</f>
        <v/>
      </c>
      <c r="FI171" s="6" t="str">
        <f>[1]Sheet2!FJ170</f>
        <v/>
      </c>
      <c r="FJ171" s="6" t="str">
        <f>[1]Sheet2!FK170</f>
        <v/>
      </c>
      <c r="FK171" s="6" t="str">
        <f>[1]Sheet2!FL170</f>
        <v/>
      </c>
      <c r="FL171" s="6" t="str">
        <f>[1]Sheet2!FM170</f>
        <v/>
      </c>
      <c r="FM171" s="6" t="str">
        <f>[1]Sheet2!FN170</f>
        <v/>
      </c>
      <c r="FN171" s="6" t="str">
        <f>[1]Sheet2!FO170</f>
        <v/>
      </c>
      <c r="FO171" s="6" t="str">
        <f>[1]Sheet2!FP170</f>
        <v/>
      </c>
    </row>
    <row r="172" spans="1:171" x14ac:dyDescent="0.25">
      <c r="A172" s="15">
        <v>43634</v>
      </c>
      <c r="B172" s="1"/>
      <c r="C172" s="1"/>
      <c r="D172" s="1"/>
      <c r="E172" s="14">
        <f>[1]Sheet2!N171</f>
        <v>0</v>
      </c>
      <c r="F172" s="14">
        <f>[1]Sheet2!BE171</f>
        <v>0</v>
      </c>
      <c r="G172" s="14">
        <f>[1]Sheet2!CW171</f>
        <v>0</v>
      </c>
      <c r="H172" s="1"/>
      <c r="I172" s="1"/>
      <c r="J172" s="1"/>
      <c r="K172" s="16"/>
      <c r="L172" s="16">
        <f>Demand_CWRS!B$8/30</f>
        <v>124.86819391025641</v>
      </c>
      <c r="M172" s="16">
        <f>Demand_CWRS!C$8/30</f>
        <v>583.20512820512829</v>
      </c>
      <c r="N172" s="16">
        <f>Demand_CWRS!D$8/30</f>
        <v>0</v>
      </c>
      <c r="O172" s="16">
        <f>Demand_CWRS!E$8/30</f>
        <v>156.84829059829062</v>
      </c>
      <c r="P172" s="16">
        <f>Demand_CWRS!F$8/30</f>
        <v>252.39596314102559</v>
      </c>
      <c r="Q172" s="16">
        <f>Demand_CWRS!G$8/30</f>
        <v>124.86819391025641</v>
      </c>
      <c r="R172" s="16">
        <f>Demand_CWRS!H$8/30</f>
        <v>246.66666666666666</v>
      </c>
      <c r="S172" s="16">
        <f>Demand_CWRS!I$8/30</f>
        <v>246.66666666666666</v>
      </c>
      <c r="T172" s="16">
        <f>Demand_CWRS!J$8/30</f>
        <v>246.66666666666666</v>
      </c>
      <c r="U172" s="16">
        <f>Demand_CWRS!K$8/30</f>
        <v>246.66666666666666</v>
      </c>
      <c r="V172" s="16">
        <f t="shared" si="66"/>
        <v>-20862.34321047346</v>
      </c>
      <c r="W172" s="16">
        <f t="shared" si="67"/>
        <v>-76857.699999999779</v>
      </c>
      <c r="X172" s="16">
        <f t="shared" si="68"/>
        <v>0</v>
      </c>
      <c r="Y172" s="16">
        <f t="shared" si="69"/>
        <v>-11659.097062641986</v>
      </c>
      <c r="Z172" s="16">
        <f t="shared" si="70"/>
        <v>-34249.412277101597</v>
      </c>
      <c r="AA172" s="16">
        <f t="shared" si="71"/>
        <v>-19536.570061435024</v>
      </c>
      <c r="AB172" s="16">
        <f t="shared" si="72"/>
        <v>-38627.328610434888</v>
      </c>
      <c r="AC172" s="16">
        <f t="shared" si="73"/>
        <v>-32834.318354024697</v>
      </c>
      <c r="AD172" s="16">
        <f t="shared" si="74"/>
        <v>-32934.31835402469</v>
      </c>
      <c r="AE172" s="16">
        <f t="shared" si="75"/>
        <v>-33534.318354024683</v>
      </c>
      <c r="AF172" s="14">
        <f>IF([1]Sheet2!AJ171=999999,"NA",[1]Sheet2!AJ171)</f>
        <v>0</v>
      </c>
      <c r="AG172" s="14">
        <f>IF([1]Sheet2!AK171=999999,"NA",[1]Sheet2!AK171)</f>
        <v>0</v>
      </c>
      <c r="AH172" s="14" t="str">
        <f>IF([1]Sheet2!AL171=999999,"NA",[1]Sheet2!AL171)</f>
        <v>NA</v>
      </c>
      <c r="AI172" s="14">
        <f>IF([1]Sheet2!AM171=999999,"NA",[1]Sheet2!AM171)</f>
        <v>0</v>
      </c>
      <c r="AJ172" s="14">
        <f>IF([1]Sheet2!AN171=999999,"NA",[1]Sheet2!AN171)</f>
        <v>0</v>
      </c>
      <c r="AK172" s="14">
        <f>IF([1]Sheet2!AO171=999999,"NA",[1]Sheet2!AO171)</f>
        <v>0</v>
      </c>
      <c r="AL172" s="14">
        <f>IF([1]Sheet2!AP171=999999,"NA",[1]Sheet2!AP171)</f>
        <v>0</v>
      </c>
      <c r="AM172" s="14">
        <f>IF([1]Sheet2!AQ171=999999,"NA",[1]Sheet2!AQ171)</f>
        <v>0</v>
      </c>
      <c r="AN172" s="14">
        <f>IF([1]Sheet2!AR171=999999,"NA",[1]Sheet2!AR171)</f>
        <v>0</v>
      </c>
      <c r="AO172" s="14">
        <f>IF([1]Sheet2!AS171=999999,"NA",[1]Sheet2!AS171)</f>
        <v>0</v>
      </c>
      <c r="AP172" s="14">
        <f>[1]Sheet2!P171</f>
        <v>0</v>
      </c>
      <c r="AQ172" s="14">
        <f>[1]Sheet2!Q171</f>
        <v>0</v>
      </c>
      <c r="AR172" s="14">
        <f>[1]Sheet2!R171</f>
        <v>0</v>
      </c>
      <c r="AS172" s="14">
        <f>[1]Sheet2!S171</f>
        <v>0</v>
      </c>
      <c r="AT172" s="14">
        <f>[1]Sheet2!T171</f>
        <v>0</v>
      </c>
      <c r="AU172" s="14">
        <f>[1]Sheet2!U171</f>
        <v>0</v>
      </c>
      <c r="AV172" s="14">
        <f>[1]Sheet2!V171</f>
        <v>0</v>
      </c>
      <c r="AW172" s="14">
        <f>[1]Sheet2!W171</f>
        <v>0</v>
      </c>
      <c r="AX172" s="14">
        <f>[1]Sheet2!X171</f>
        <v>0</v>
      </c>
      <c r="AY172" s="14">
        <f>[1]Sheet2!Y171</f>
        <v>0</v>
      </c>
      <c r="AZ172" s="16">
        <f>Demand_LP!B$8/30</f>
        <v>807.81611164529909</v>
      </c>
      <c r="BA172" s="16">
        <f>Demand_LP!C$8/30</f>
        <v>574.48717948717956</v>
      </c>
      <c r="BB172" s="16">
        <f>Demand_LP!D$8/30</f>
        <v>339.04957264957267</v>
      </c>
      <c r="BC172" s="16">
        <f>Demand_LP!E$8/30</f>
        <v>830.46965811965799</v>
      </c>
      <c r="BD172" s="16">
        <f>Demand_LP!F$8/30</f>
        <v>476.67186805555554</v>
      </c>
      <c r="BE172" s="16">
        <f>Demand_LP!G$8/30</f>
        <v>476.67186805555554</v>
      </c>
      <c r="BF172" s="16">
        <f>Demand_LP!H$8/30</f>
        <v>574.48717948717956</v>
      </c>
      <c r="BG172" s="16">
        <f>Demand_LP!I$8/30</f>
        <v>476.67186805555554</v>
      </c>
      <c r="BH172" s="16">
        <f>Demand_LP!J$8/30</f>
        <v>476.67186805555554</v>
      </c>
      <c r="BI172" s="16">
        <f>Demand_LP!K$8/30</f>
        <v>476.67186805555554</v>
      </c>
      <c r="BJ172" s="16">
        <f t="shared" si="76"/>
        <v>-116491.91758309992</v>
      </c>
      <c r="BK172" s="16">
        <f t="shared" si="77"/>
        <v>-95292.248717948634</v>
      </c>
      <c r="BL172" s="16">
        <f t="shared" si="78"/>
        <v>-42623.011538461586</v>
      </c>
      <c r="BM172" s="16">
        <f t="shared" si="79"/>
        <v>-121596.27049659194</v>
      </c>
      <c r="BN172" s="16">
        <f t="shared" si="80"/>
        <v>-70060.984129706281</v>
      </c>
      <c r="BO172" s="16">
        <f t="shared" si="81"/>
        <v>-68518.668048077016</v>
      </c>
      <c r="BP172" s="16">
        <f t="shared" si="82"/>
        <v>-89649.828205128142</v>
      </c>
      <c r="BQ172" s="16">
        <f t="shared" si="83"/>
        <v>-68518.668048077016</v>
      </c>
      <c r="BR172" s="16">
        <f t="shared" si="84"/>
        <v>-66118.668048077059</v>
      </c>
      <c r="BS172" s="16">
        <f t="shared" si="85"/>
        <v>-66818.668048077045</v>
      </c>
      <c r="BT172" s="14">
        <f>IF([1]Sheet2!CB171=999999,"NA",[1]Sheet2!CB171)</f>
        <v>0</v>
      </c>
      <c r="BU172" s="14">
        <f>IF([1]Sheet2!CC171=999999,"NA",[1]Sheet2!CC171)</f>
        <v>0</v>
      </c>
      <c r="BV172" s="14">
        <f>IF([1]Sheet2!CD171=999999,"NA",[1]Sheet2!CD171)</f>
        <v>0</v>
      </c>
      <c r="BW172" s="14">
        <f>IF([1]Sheet2!CE171=999999,"NA",[1]Sheet2!CE171)</f>
        <v>0</v>
      </c>
      <c r="BX172" s="14">
        <f>IF([1]Sheet2!CF171=999999,"NA",[1]Sheet2!CF171)</f>
        <v>0</v>
      </c>
      <c r="BY172" s="14">
        <f>IF([1]Sheet2!CG171=999999,"NA",[1]Sheet2!CG171)</f>
        <v>0</v>
      </c>
      <c r="BZ172" s="14">
        <f>IF([1]Sheet2!CH171=999999,"NA",[1]Sheet2!CH171)</f>
        <v>0</v>
      </c>
      <c r="CA172" s="14">
        <f>IF([1]Sheet2!CI171=999999,"NA",[1]Sheet2!CI171)</f>
        <v>0</v>
      </c>
      <c r="CB172" s="14">
        <f>IF([1]Sheet2!CJ171=999999,"NA",[1]Sheet2!CJ171)</f>
        <v>0</v>
      </c>
      <c r="CC172" s="14">
        <f>IF([1]Sheet2!CK171=999999,"NA",[1]Sheet2!CK171)</f>
        <v>0</v>
      </c>
      <c r="CD172" s="14">
        <f>[1]Sheet2!BH171</f>
        <v>0</v>
      </c>
      <c r="CE172" s="14">
        <f>[1]Sheet2!BI171</f>
        <v>0</v>
      </c>
      <c r="CF172" s="14">
        <f>[1]Sheet2!BJ171</f>
        <v>0</v>
      </c>
      <c r="CG172" s="14">
        <f>[1]Sheet2!BK171</f>
        <v>0</v>
      </c>
      <c r="CH172" s="14">
        <f>[1]Sheet2!BL171</f>
        <v>0</v>
      </c>
      <c r="CI172" s="14">
        <f>[1]Sheet2!BM171</f>
        <v>0</v>
      </c>
      <c r="CJ172" s="14">
        <f>[1]Sheet2!BN171</f>
        <v>0</v>
      </c>
      <c r="CK172" s="14">
        <f>[1]Sheet2!BO171</f>
        <v>0</v>
      </c>
      <c r="CL172" s="14">
        <f>[1]Sheet2!BP171</f>
        <v>0</v>
      </c>
      <c r="CM172" s="14">
        <f>[1]Sheet2!BQ171</f>
        <v>0</v>
      </c>
      <c r="CN172" s="16">
        <f>Demand_SW!B$8/30</f>
        <v>144.23076923076923</v>
      </c>
      <c r="CO172" s="16">
        <f>Demand_SW!C$8/30</f>
        <v>0</v>
      </c>
      <c r="CP172" s="16">
        <f>Demand_SW!D$8/30</f>
        <v>0</v>
      </c>
      <c r="CQ172" s="16">
        <f>Demand_SW!E$8/30</f>
        <v>0</v>
      </c>
      <c r="CR172" s="16">
        <f>Demand_SW!F$8/30</f>
        <v>0</v>
      </c>
      <c r="CS172" s="16">
        <f>Demand_SW!G$8/30</f>
        <v>144.23076923076923</v>
      </c>
      <c r="CT172" s="16">
        <f>Demand_SW!H$8/30</f>
        <v>0</v>
      </c>
      <c r="CU172" s="16">
        <f>Demand_SW!I$8/30</f>
        <v>0</v>
      </c>
      <c r="CV172" s="16">
        <f>Demand_SW!J$8/30</f>
        <v>0</v>
      </c>
      <c r="CW172" s="16">
        <f>Demand_SW!K$8/30</f>
        <v>0</v>
      </c>
      <c r="CX172" s="16">
        <f t="shared" si="86"/>
        <v>-17866.923076923089</v>
      </c>
      <c r="CY172" s="16">
        <f t="shared" si="87"/>
        <v>76.923076923077133</v>
      </c>
      <c r="CZ172" s="16">
        <f t="shared" si="88"/>
        <v>0</v>
      </c>
      <c r="DA172" s="16">
        <f t="shared" si="89"/>
        <v>0</v>
      </c>
      <c r="DB172" s="16">
        <f t="shared" si="90"/>
        <v>0</v>
      </c>
      <c r="DC172" s="16">
        <f t="shared" si="91"/>
        <v>-17396.153846153858</v>
      </c>
      <c r="DD172" s="16">
        <f t="shared" si="92"/>
        <v>76.923076923077133</v>
      </c>
      <c r="DE172" s="16">
        <f t="shared" si="93"/>
        <v>0</v>
      </c>
      <c r="DF172" s="16">
        <f t="shared" si="94"/>
        <v>0</v>
      </c>
      <c r="DG172" s="16">
        <f t="shared" si="95"/>
        <v>0</v>
      </c>
      <c r="DH172" s="14">
        <f>IF([1]Sheet2!DS171=999999,"NA",[1]Sheet2!DS171)</f>
        <v>0</v>
      </c>
      <c r="DI172" s="14">
        <f>IF([1]Sheet2!DT171=999999,"NA",[1]Sheet2!DT171)</f>
        <v>196</v>
      </c>
      <c r="DJ172" s="14" t="str">
        <f>IF([1]Sheet2!DU171=999999,"NA",[1]Sheet2!DU171)</f>
        <v>NA</v>
      </c>
      <c r="DK172" s="14" t="str">
        <f>IF([1]Sheet2!DV171=999999,"NA",[1]Sheet2!DV171)</f>
        <v>NA</v>
      </c>
      <c r="DL172" s="14" t="str">
        <f>IF([1]Sheet2!DW171=999999,"NA",[1]Sheet2!DW171)</f>
        <v>NA</v>
      </c>
      <c r="DM172" s="14">
        <f>IF([1]Sheet2!DX171=999999,"NA",[1]Sheet2!DX171)</f>
        <v>0</v>
      </c>
      <c r="DN172" s="14">
        <f>IF([1]Sheet2!DY171=999999,"NA",[1]Sheet2!DY171)</f>
        <v>196</v>
      </c>
      <c r="DO172" s="14" t="str">
        <f>IF([1]Sheet2!DZ171=999999,"NA",[1]Sheet2!DZ171)</f>
        <v>NA</v>
      </c>
      <c r="DP172" s="14" t="str">
        <f>IF([1]Sheet2!EA171=999999,"NA",[1]Sheet2!EA171)</f>
        <v>NA</v>
      </c>
      <c r="DQ172" s="14" t="str">
        <f>IF([1]Sheet2!EB171=999999,"NA",[1]Sheet2!EB171)</f>
        <v>NA</v>
      </c>
      <c r="DR172" s="14">
        <f>[1]Sheet2!CY171</f>
        <v>0</v>
      </c>
      <c r="DS172" s="14">
        <f>[1]Sheet2!CZ171</f>
        <v>0</v>
      </c>
      <c r="DT172" s="14">
        <f>[1]Sheet2!DA171</f>
        <v>0</v>
      </c>
      <c r="DU172" s="14">
        <f>[1]Sheet2!DB171</f>
        <v>0</v>
      </c>
      <c r="DV172" s="14">
        <f>[1]Sheet2!DC171</f>
        <v>0</v>
      </c>
      <c r="DW172" s="14">
        <f>[1]Sheet2!DD171</f>
        <v>0</v>
      </c>
      <c r="DX172" s="14">
        <f>[1]Sheet2!DE171</f>
        <v>0</v>
      </c>
      <c r="DY172" s="14">
        <f>[1]Sheet2!DF171</f>
        <v>0</v>
      </c>
      <c r="DZ172" s="14">
        <f>[1]Sheet2!DG171</f>
        <v>0</v>
      </c>
      <c r="EA172" s="14">
        <f>[1]Sheet2!DH171</f>
        <v>0</v>
      </c>
      <c r="EB172" s="6">
        <f>[1]Sheet2!EC171</f>
        <v>0</v>
      </c>
      <c r="EC172" s="6">
        <f>[1]Sheet2!ED171</f>
        <v>0</v>
      </c>
      <c r="ED172" s="6">
        <f>[1]Sheet2!EE171</f>
        <v>0</v>
      </c>
      <c r="EE172" s="6">
        <f>[1]Sheet2!EF171</f>
        <v>0</v>
      </c>
      <c r="EF172" s="6">
        <f>[1]Sheet2!EG171</f>
        <v>0</v>
      </c>
      <c r="EG172" s="6">
        <f>[1]Sheet2!EH171</f>
        <v>0</v>
      </c>
      <c r="EH172" s="6">
        <f>[1]Sheet2!EI171</f>
        <v>0</v>
      </c>
      <c r="EI172" s="6">
        <f>[1]Sheet2!EJ171</f>
        <v>0</v>
      </c>
      <c r="EJ172" s="6">
        <f>[1]Sheet2!EK171</f>
        <v>0</v>
      </c>
      <c r="EK172" s="6">
        <f>[1]Sheet2!EL171</f>
        <v>0</v>
      </c>
      <c r="EL172" s="6" t="str">
        <f>[1]Sheet2!EM171</f>
        <v/>
      </c>
      <c r="EM172" s="6" t="str">
        <f>[1]Sheet2!EN171</f>
        <v/>
      </c>
      <c r="EN172" s="6" t="str">
        <f>[1]Sheet2!EO171</f>
        <v/>
      </c>
      <c r="EO172" s="6" t="str">
        <f>[1]Sheet2!EP171</f>
        <v/>
      </c>
      <c r="EP172" s="6" t="str">
        <f>[1]Sheet2!EQ171</f>
        <v/>
      </c>
      <c r="EQ172" s="6" t="str">
        <f>[1]Sheet2!ER171</f>
        <v/>
      </c>
      <c r="ER172" s="6" t="str">
        <f>[1]Sheet2!ES171</f>
        <v/>
      </c>
      <c r="ES172" s="6" t="str">
        <f>[1]Sheet2!ET171</f>
        <v/>
      </c>
      <c r="ET172" s="6" t="str">
        <f>[1]Sheet2!EU171</f>
        <v/>
      </c>
      <c r="EU172" s="6" t="str">
        <f>[1]Sheet2!EV171</f>
        <v/>
      </c>
      <c r="EV172" s="6" t="str">
        <f>[1]Sheet2!EW171</f>
        <v/>
      </c>
      <c r="EW172" s="6" t="str">
        <f>[1]Sheet2!EX171</f>
        <v/>
      </c>
      <c r="EX172" s="6" t="str">
        <f>[1]Sheet2!EY171</f>
        <v/>
      </c>
      <c r="EY172" s="6" t="str">
        <f>[1]Sheet2!EZ171</f>
        <v/>
      </c>
      <c r="EZ172" s="6" t="str">
        <f>[1]Sheet2!FA171</f>
        <v/>
      </c>
      <c r="FA172" s="6" t="str">
        <f>[1]Sheet2!FB171</f>
        <v/>
      </c>
      <c r="FB172" s="6" t="str">
        <f>[1]Sheet2!FC171</f>
        <v/>
      </c>
      <c r="FC172" s="6" t="str">
        <f>[1]Sheet2!FD171</f>
        <v/>
      </c>
      <c r="FD172" s="6" t="str">
        <f>[1]Sheet2!FE171</f>
        <v/>
      </c>
      <c r="FE172" s="6" t="str">
        <f>[1]Sheet2!FF171</f>
        <v/>
      </c>
      <c r="FF172" s="6" t="str">
        <f>[1]Sheet2!FG171</f>
        <v/>
      </c>
      <c r="FG172" s="6" t="str">
        <f>[1]Sheet2!FH171</f>
        <v/>
      </c>
      <c r="FH172" s="6" t="str">
        <f>[1]Sheet2!FI171</f>
        <v/>
      </c>
      <c r="FI172" s="6" t="str">
        <f>[1]Sheet2!FJ171</f>
        <v/>
      </c>
      <c r="FJ172" s="6" t="str">
        <f>[1]Sheet2!FK171</f>
        <v/>
      </c>
      <c r="FK172" s="6" t="str">
        <f>[1]Sheet2!FL171</f>
        <v/>
      </c>
      <c r="FL172" s="6" t="str">
        <f>[1]Sheet2!FM171</f>
        <v/>
      </c>
      <c r="FM172" s="6" t="str">
        <f>[1]Sheet2!FN171</f>
        <v/>
      </c>
      <c r="FN172" s="6" t="str">
        <f>[1]Sheet2!FO171</f>
        <v/>
      </c>
      <c r="FO172" s="6" t="str">
        <f>[1]Sheet2!FP171</f>
        <v/>
      </c>
    </row>
    <row r="173" spans="1:171" x14ac:dyDescent="0.25">
      <c r="A173" s="15">
        <v>43635</v>
      </c>
      <c r="B173" s="1"/>
      <c r="C173" s="1"/>
      <c r="D173" s="1"/>
      <c r="E173" s="14">
        <f>[1]Sheet2!N172</f>
        <v>0</v>
      </c>
      <c r="F173" s="14">
        <f>[1]Sheet2!BE172</f>
        <v>0</v>
      </c>
      <c r="G173" s="14">
        <f>[1]Sheet2!CW172</f>
        <v>0</v>
      </c>
      <c r="H173" s="1"/>
      <c r="I173" s="1"/>
      <c r="J173" s="1"/>
      <c r="K173" s="16"/>
      <c r="L173" s="16">
        <f>Demand_CWRS!B$8/30</f>
        <v>124.86819391025641</v>
      </c>
      <c r="M173" s="16">
        <f>Demand_CWRS!C$8/30</f>
        <v>583.20512820512829</v>
      </c>
      <c r="N173" s="16">
        <f>Demand_CWRS!D$8/30</f>
        <v>0</v>
      </c>
      <c r="O173" s="16">
        <f>Demand_CWRS!E$8/30</f>
        <v>156.84829059829062</v>
      </c>
      <c r="P173" s="16">
        <f>Demand_CWRS!F$8/30</f>
        <v>252.39596314102559</v>
      </c>
      <c r="Q173" s="16">
        <f>Demand_CWRS!G$8/30</f>
        <v>124.86819391025641</v>
      </c>
      <c r="R173" s="16">
        <f>Demand_CWRS!H$8/30</f>
        <v>246.66666666666666</v>
      </c>
      <c r="S173" s="16">
        <f>Demand_CWRS!I$8/30</f>
        <v>246.66666666666666</v>
      </c>
      <c r="T173" s="16">
        <f>Demand_CWRS!J$8/30</f>
        <v>246.66666666666666</v>
      </c>
      <c r="U173" s="16">
        <f>Demand_CWRS!K$8/30</f>
        <v>246.66666666666666</v>
      </c>
      <c r="V173" s="16">
        <f t="shared" si="66"/>
        <v>-20987.211404383717</v>
      </c>
      <c r="W173" s="16">
        <f t="shared" si="67"/>
        <v>-77440.905128204904</v>
      </c>
      <c r="X173" s="16">
        <f t="shared" si="68"/>
        <v>0</v>
      </c>
      <c r="Y173" s="16">
        <f t="shared" si="69"/>
        <v>-11815.945353240277</v>
      </c>
      <c r="Z173" s="16">
        <f t="shared" si="70"/>
        <v>-34501.808240242623</v>
      </c>
      <c r="AA173" s="16">
        <f t="shared" si="71"/>
        <v>-19661.438255345282</v>
      </c>
      <c r="AB173" s="16">
        <f t="shared" si="72"/>
        <v>-38873.995277101552</v>
      </c>
      <c r="AC173" s="16">
        <f t="shared" si="73"/>
        <v>-33080.985020691362</v>
      </c>
      <c r="AD173" s="16">
        <f t="shared" si="74"/>
        <v>-33180.985020691354</v>
      </c>
      <c r="AE173" s="16">
        <f t="shared" si="75"/>
        <v>-33780.985020691347</v>
      </c>
      <c r="AF173" s="14">
        <f>IF([1]Sheet2!AJ172=999999,"NA",[1]Sheet2!AJ172)</f>
        <v>0</v>
      </c>
      <c r="AG173" s="14">
        <f>IF([1]Sheet2!AK172=999999,"NA",[1]Sheet2!AK172)</f>
        <v>0</v>
      </c>
      <c r="AH173" s="14" t="str">
        <f>IF([1]Sheet2!AL172=999999,"NA",[1]Sheet2!AL172)</f>
        <v>NA</v>
      </c>
      <c r="AI173" s="14">
        <f>IF([1]Sheet2!AM172=999999,"NA",[1]Sheet2!AM172)</f>
        <v>0</v>
      </c>
      <c r="AJ173" s="14">
        <f>IF([1]Sheet2!AN172=999999,"NA",[1]Sheet2!AN172)</f>
        <v>0</v>
      </c>
      <c r="AK173" s="14">
        <f>IF([1]Sheet2!AO172=999999,"NA",[1]Sheet2!AO172)</f>
        <v>0</v>
      </c>
      <c r="AL173" s="14">
        <f>IF([1]Sheet2!AP172=999999,"NA",[1]Sheet2!AP172)</f>
        <v>0</v>
      </c>
      <c r="AM173" s="14">
        <f>IF([1]Sheet2!AQ172=999999,"NA",[1]Sheet2!AQ172)</f>
        <v>0</v>
      </c>
      <c r="AN173" s="14">
        <f>IF([1]Sheet2!AR172=999999,"NA",[1]Sheet2!AR172)</f>
        <v>0</v>
      </c>
      <c r="AO173" s="14">
        <f>IF([1]Sheet2!AS172=999999,"NA",[1]Sheet2!AS172)</f>
        <v>0</v>
      </c>
      <c r="AP173" s="14">
        <f>[1]Sheet2!P172</f>
        <v>0</v>
      </c>
      <c r="AQ173" s="14">
        <f>[1]Sheet2!Q172</f>
        <v>0</v>
      </c>
      <c r="AR173" s="14">
        <f>[1]Sheet2!R172</f>
        <v>0</v>
      </c>
      <c r="AS173" s="14">
        <f>[1]Sheet2!S172</f>
        <v>0</v>
      </c>
      <c r="AT173" s="14">
        <f>[1]Sheet2!T172</f>
        <v>0</v>
      </c>
      <c r="AU173" s="14">
        <f>[1]Sheet2!U172</f>
        <v>0</v>
      </c>
      <c r="AV173" s="14">
        <f>[1]Sheet2!V172</f>
        <v>0</v>
      </c>
      <c r="AW173" s="14">
        <f>[1]Sheet2!W172</f>
        <v>0</v>
      </c>
      <c r="AX173" s="14">
        <f>[1]Sheet2!X172</f>
        <v>0</v>
      </c>
      <c r="AY173" s="14">
        <f>[1]Sheet2!Y172</f>
        <v>0</v>
      </c>
      <c r="AZ173" s="16">
        <f>Demand_LP!B$8/30</f>
        <v>807.81611164529909</v>
      </c>
      <c r="BA173" s="16">
        <f>Demand_LP!C$8/30</f>
        <v>574.48717948717956</v>
      </c>
      <c r="BB173" s="16">
        <f>Demand_LP!D$8/30</f>
        <v>339.04957264957267</v>
      </c>
      <c r="BC173" s="16">
        <f>Demand_LP!E$8/30</f>
        <v>830.46965811965799</v>
      </c>
      <c r="BD173" s="16">
        <f>Demand_LP!F$8/30</f>
        <v>476.67186805555554</v>
      </c>
      <c r="BE173" s="16">
        <f>Demand_LP!G$8/30</f>
        <v>476.67186805555554</v>
      </c>
      <c r="BF173" s="16">
        <f>Demand_LP!H$8/30</f>
        <v>574.48717948717956</v>
      </c>
      <c r="BG173" s="16">
        <f>Demand_LP!I$8/30</f>
        <v>476.67186805555554</v>
      </c>
      <c r="BH173" s="16">
        <f>Demand_LP!J$8/30</f>
        <v>476.67186805555554</v>
      </c>
      <c r="BI173" s="16">
        <f>Demand_LP!K$8/30</f>
        <v>476.67186805555554</v>
      </c>
      <c r="BJ173" s="16">
        <f t="shared" si="76"/>
        <v>-117299.73369474521</v>
      </c>
      <c r="BK173" s="16">
        <f t="shared" si="77"/>
        <v>-95866.735897435807</v>
      </c>
      <c r="BL173" s="16">
        <f t="shared" si="78"/>
        <v>-42962.061111111158</v>
      </c>
      <c r="BM173" s="16">
        <f t="shared" si="79"/>
        <v>-122426.7401547116</v>
      </c>
      <c r="BN173" s="16">
        <f t="shared" si="80"/>
        <v>-70537.655997761831</v>
      </c>
      <c r="BO173" s="16">
        <f t="shared" si="81"/>
        <v>-68995.339916132565</v>
      </c>
      <c r="BP173" s="16">
        <f t="shared" si="82"/>
        <v>-90224.315384615315</v>
      </c>
      <c r="BQ173" s="16">
        <f t="shared" si="83"/>
        <v>-68995.339916132565</v>
      </c>
      <c r="BR173" s="16">
        <f t="shared" si="84"/>
        <v>-66595.339916132609</v>
      </c>
      <c r="BS173" s="16">
        <f t="shared" si="85"/>
        <v>-67295.339916132594</v>
      </c>
      <c r="BT173" s="14">
        <f>IF([1]Sheet2!CB172=999999,"NA",[1]Sheet2!CB172)</f>
        <v>0</v>
      </c>
      <c r="BU173" s="14">
        <f>IF([1]Sheet2!CC172=999999,"NA",[1]Sheet2!CC172)</f>
        <v>0</v>
      </c>
      <c r="BV173" s="14">
        <f>IF([1]Sheet2!CD172=999999,"NA",[1]Sheet2!CD172)</f>
        <v>0</v>
      </c>
      <c r="BW173" s="14">
        <f>IF([1]Sheet2!CE172=999999,"NA",[1]Sheet2!CE172)</f>
        <v>0</v>
      </c>
      <c r="BX173" s="14">
        <f>IF([1]Sheet2!CF172=999999,"NA",[1]Sheet2!CF172)</f>
        <v>0</v>
      </c>
      <c r="BY173" s="14">
        <f>IF([1]Sheet2!CG172=999999,"NA",[1]Sheet2!CG172)</f>
        <v>0</v>
      </c>
      <c r="BZ173" s="14">
        <f>IF([1]Sheet2!CH172=999999,"NA",[1]Sheet2!CH172)</f>
        <v>0</v>
      </c>
      <c r="CA173" s="14">
        <f>IF([1]Sheet2!CI172=999999,"NA",[1]Sheet2!CI172)</f>
        <v>0</v>
      </c>
      <c r="CB173" s="14">
        <f>IF([1]Sheet2!CJ172=999999,"NA",[1]Sheet2!CJ172)</f>
        <v>0</v>
      </c>
      <c r="CC173" s="14">
        <f>IF([1]Sheet2!CK172=999999,"NA",[1]Sheet2!CK172)</f>
        <v>0</v>
      </c>
      <c r="CD173" s="14">
        <f>[1]Sheet2!BH172</f>
        <v>0</v>
      </c>
      <c r="CE173" s="14">
        <f>[1]Sheet2!BI172</f>
        <v>0</v>
      </c>
      <c r="CF173" s="14">
        <f>[1]Sheet2!BJ172</f>
        <v>0</v>
      </c>
      <c r="CG173" s="14">
        <f>[1]Sheet2!BK172</f>
        <v>0</v>
      </c>
      <c r="CH173" s="14">
        <f>[1]Sheet2!BL172</f>
        <v>0</v>
      </c>
      <c r="CI173" s="14">
        <f>[1]Sheet2!BM172</f>
        <v>0</v>
      </c>
      <c r="CJ173" s="14">
        <f>[1]Sheet2!BN172</f>
        <v>0</v>
      </c>
      <c r="CK173" s="14">
        <f>[1]Sheet2!BO172</f>
        <v>0</v>
      </c>
      <c r="CL173" s="14">
        <f>[1]Sheet2!BP172</f>
        <v>0</v>
      </c>
      <c r="CM173" s="14">
        <f>[1]Sheet2!BQ172</f>
        <v>0</v>
      </c>
      <c r="CN173" s="16">
        <f>Demand_SW!B$8/30</f>
        <v>144.23076923076923</v>
      </c>
      <c r="CO173" s="16">
        <f>Demand_SW!C$8/30</f>
        <v>0</v>
      </c>
      <c r="CP173" s="16">
        <f>Demand_SW!D$8/30</f>
        <v>0</v>
      </c>
      <c r="CQ173" s="16">
        <f>Demand_SW!E$8/30</f>
        <v>0</v>
      </c>
      <c r="CR173" s="16">
        <f>Demand_SW!F$8/30</f>
        <v>0</v>
      </c>
      <c r="CS173" s="16">
        <f>Demand_SW!G$8/30</f>
        <v>144.23076923076923</v>
      </c>
      <c r="CT173" s="16">
        <f>Demand_SW!H$8/30</f>
        <v>0</v>
      </c>
      <c r="CU173" s="16">
        <f>Demand_SW!I$8/30</f>
        <v>0</v>
      </c>
      <c r="CV173" s="16">
        <f>Demand_SW!J$8/30</f>
        <v>0</v>
      </c>
      <c r="CW173" s="16">
        <f>Demand_SW!K$8/30</f>
        <v>0</v>
      </c>
      <c r="CX173" s="16">
        <f t="shared" si="86"/>
        <v>-18011.153846153858</v>
      </c>
      <c r="CY173" s="16">
        <f t="shared" si="87"/>
        <v>76.923076923077133</v>
      </c>
      <c r="CZ173" s="16">
        <f t="shared" si="88"/>
        <v>0</v>
      </c>
      <c r="DA173" s="16">
        <f t="shared" si="89"/>
        <v>0</v>
      </c>
      <c r="DB173" s="16">
        <f t="shared" si="90"/>
        <v>0</v>
      </c>
      <c r="DC173" s="16">
        <f t="shared" si="91"/>
        <v>-17540.384615384628</v>
      </c>
      <c r="DD173" s="16">
        <f t="shared" si="92"/>
        <v>76.923076923077133</v>
      </c>
      <c r="DE173" s="16">
        <f t="shared" si="93"/>
        <v>0</v>
      </c>
      <c r="DF173" s="16">
        <f t="shared" si="94"/>
        <v>0</v>
      </c>
      <c r="DG173" s="16">
        <f t="shared" si="95"/>
        <v>0</v>
      </c>
      <c r="DH173" s="14">
        <f>IF([1]Sheet2!DS172=999999,"NA",[1]Sheet2!DS172)</f>
        <v>0</v>
      </c>
      <c r="DI173" s="14">
        <f>IF([1]Sheet2!DT172=999999,"NA",[1]Sheet2!DT172)</f>
        <v>195</v>
      </c>
      <c r="DJ173" s="14" t="str">
        <f>IF([1]Sheet2!DU172=999999,"NA",[1]Sheet2!DU172)</f>
        <v>NA</v>
      </c>
      <c r="DK173" s="14" t="str">
        <f>IF([1]Sheet2!DV172=999999,"NA",[1]Sheet2!DV172)</f>
        <v>NA</v>
      </c>
      <c r="DL173" s="14" t="str">
        <f>IF([1]Sheet2!DW172=999999,"NA",[1]Sheet2!DW172)</f>
        <v>NA</v>
      </c>
      <c r="DM173" s="14">
        <f>IF([1]Sheet2!DX172=999999,"NA",[1]Sheet2!DX172)</f>
        <v>0</v>
      </c>
      <c r="DN173" s="14">
        <f>IF([1]Sheet2!DY172=999999,"NA",[1]Sheet2!DY172)</f>
        <v>195</v>
      </c>
      <c r="DO173" s="14" t="str">
        <f>IF([1]Sheet2!DZ172=999999,"NA",[1]Sheet2!DZ172)</f>
        <v>NA</v>
      </c>
      <c r="DP173" s="14" t="str">
        <f>IF([1]Sheet2!EA172=999999,"NA",[1]Sheet2!EA172)</f>
        <v>NA</v>
      </c>
      <c r="DQ173" s="14" t="str">
        <f>IF([1]Sheet2!EB172=999999,"NA",[1]Sheet2!EB172)</f>
        <v>NA</v>
      </c>
      <c r="DR173" s="14">
        <f>[1]Sheet2!CY172</f>
        <v>0</v>
      </c>
      <c r="DS173" s="14">
        <f>[1]Sheet2!CZ172</f>
        <v>0</v>
      </c>
      <c r="DT173" s="14">
        <f>[1]Sheet2!DA172</f>
        <v>0</v>
      </c>
      <c r="DU173" s="14">
        <f>[1]Sheet2!DB172</f>
        <v>0</v>
      </c>
      <c r="DV173" s="14">
        <f>[1]Sheet2!DC172</f>
        <v>0</v>
      </c>
      <c r="DW173" s="14">
        <f>[1]Sheet2!DD172</f>
        <v>0</v>
      </c>
      <c r="DX173" s="14">
        <f>[1]Sheet2!DE172</f>
        <v>0</v>
      </c>
      <c r="DY173" s="14">
        <f>[1]Sheet2!DF172</f>
        <v>0</v>
      </c>
      <c r="DZ173" s="14">
        <f>[1]Sheet2!DG172</f>
        <v>0</v>
      </c>
      <c r="EA173" s="14">
        <f>[1]Sheet2!DH172</f>
        <v>0</v>
      </c>
      <c r="EB173" s="6">
        <f>[1]Sheet2!EC172</f>
        <v>0</v>
      </c>
      <c r="EC173" s="6">
        <f>[1]Sheet2!ED172</f>
        <v>0</v>
      </c>
      <c r="ED173" s="6">
        <f>[1]Sheet2!EE172</f>
        <v>0</v>
      </c>
      <c r="EE173" s="6">
        <f>[1]Sheet2!EF172</f>
        <v>0</v>
      </c>
      <c r="EF173" s="6">
        <f>[1]Sheet2!EG172</f>
        <v>0</v>
      </c>
      <c r="EG173" s="6">
        <f>[1]Sheet2!EH172</f>
        <v>0</v>
      </c>
      <c r="EH173" s="6">
        <f>[1]Sheet2!EI172</f>
        <v>0</v>
      </c>
      <c r="EI173" s="6">
        <f>[1]Sheet2!EJ172</f>
        <v>0</v>
      </c>
      <c r="EJ173" s="6">
        <f>[1]Sheet2!EK172</f>
        <v>0</v>
      </c>
      <c r="EK173" s="6">
        <f>[1]Sheet2!EL172</f>
        <v>0</v>
      </c>
      <c r="EL173" s="6" t="str">
        <f>[1]Sheet2!EM172</f>
        <v/>
      </c>
      <c r="EM173" s="6" t="str">
        <f>[1]Sheet2!EN172</f>
        <v/>
      </c>
      <c r="EN173" s="6" t="str">
        <f>[1]Sheet2!EO172</f>
        <v/>
      </c>
      <c r="EO173" s="6" t="str">
        <f>[1]Sheet2!EP172</f>
        <v/>
      </c>
      <c r="EP173" s="6" t="str">
        <f>[1]Sheet2!EQ172</f>
        <v/>
      </c>
      <c r="EQ173" s="6" t="str">
        <f>[1]Sheet2!ER172</f>
        <v/>
      </c>
      <c r="ER173" s="6" t="str">
        <f>[1]Sheet2!ES172</f>
        <v/>
      </c>
      <c r="ES173" s="6" t="str">
        <f>[1]Sheet2!ET172</f>
        <v/>
      </c>
      <c r="ET173" s="6" t="str">
        <f>[1]Sheet2!EU172</f>
        <v/>
      </c>
      <c r="EU173" s="6" t="str">
        <f>[1]Sheet2!EV172</f>
        <v/>
      </c>
      <c r="EV173" s="6" t="str">
        <f>[1]Sheet2!EW172</f>
        <v/>
      </c>
      <c r="EW173" s="6" t="str">
        <f>[1]Sheet2!EX172</f>
        <v/>
      </c>
      <c r="EX173" s="6" t="str">
        <f>[1]Sheet2!EY172</f>
        <v/>
      </c>
      <c r="EY173" s="6" t="str">
        <f>[1]Sheet2!EZ172</f>
        <v/>
      </c>
      <c r="EZ173" s="6" t="str">
        <f>[1]Sheet2!FA172</f>
        <v/>
      </c>
      <c r="FA173" s="6" t="str">
        <f>[1]Sheet2!FB172</f>
        <v/>
      </c>
      <c r="FB173" s="6" t="str">
        <f>[1]Sheet2!FC172</f>
        <v/>
      </c>
      <c r="FC173" s="6" t="str">
        <f>[1]Sheet2!FD172</f>
        <v/>
      </c>
      <c r="FD173" s="6" t="str">
        <f>[1]Sheet2!FE172</f>
        <v/>
      </c>
      <c r="FE173" s="6" t="str">
        <f>[1]Sheet2!FF172</f>
        <v/>
      </c>
      <c r="FF173" s="6" t="str">
        <f>[1]Sheet2!FG172</f>
        <v/>
      </c>
      <c r="FG173" s="6" t="str">
        <f>[1]Sheet2!FH172</f>
        <v/>
      </c>
      <c r="FH173" s="6" t="str">
        <f>[1]Sheet2!FI172</f>
        <v/>
      </c>
      <c r="FI173" s="6" t="str">
        <f>[1]Sheet2!FJ172</f>
        <v/>
      </c>
      <c r="FJ173" s="6" t="str">
        <f>[1]Sheet2!FK172</f>
        <v/>
      </c>
      <c r="FK173" s="6" t="str">
        <f>[1]Sheet2!FL172</f>
        <v/>
      </c>
      <c r="FL173" s="6" t="str">
        <f>[1]Sheet2!FM172</f>
        <v/>
      </c>
      <c r="FM173" s="6" t="str">
        <f>[1]Sheet2!FN172</f>
        <v/>
      </c>
      <c r="FN173" s="6" t="str">
        <f>[1]Sheet2!FO172</f>
        <v/>
      </c>
      <c r="FO173" s="6" t="str">
        <f>[1]Sheet2!FP172</f>
        <v/>
      </c>
    </row>
    <row r="174" spans="1:171" x14ac:dyDescent="0.25">
      <c r="A174" s="15">
        <v>43636</v>
      </c>
      <c r="B174" s="1"/>
      <c r="C174" s="1"/>
      <c r="D174" s="1"/>
      <c r="E174" s="14">
        <f>[1]Sheet2!N173</f>
        <v>0</v>
      </c>
      <c r="F174" s="14">
        <f>[1]Sheet2!BE173</f>
        <v>0</v>
      </c>
      <c r="G174" s="14">
        <f>[1]Sheet2!CW173</f>
        <v>0</v>
      </c>
      <c r="H174" s="1"/>
      <c r="I174" s="1"/>
      <c r="J174" s="1"/>
      <c r="K174" s="16"/>
      <c r="L174" s="16">
        <f>Demand_CWRS!B$8/30</f>
        <v>124.86819391025641</v>
      </c>
      <c r="M174" s="16">
        <f>Demand_CWRS!C$8/30</f>
        <v>583.20512820512829</v>
      </c>
      <c r="N174" s="16">
        <f>Demand_CWRS!D$8/30</f>
        <v>0</v>
      </c>
      <c r="O174" s="16">
        <f>Demand_CWRS!E$8/30</f>
        <v>156.84829059829062</v>
      </c>
      <c r="P174" s="16">
        <f>Demand_CWRS!F$8/30</f>
        <v>252.39596314102559</v>
      </c>
      <c r="Q174" s="16">
        <f>Demand_CWRS!G$8/30</f>
        <v>124.86819391025641</v>
      </c>
      <c r="R174" s="16">
        <f>Demand_CWRS!H$8/30</f>
        <v>246.66666666666666</v>
      </c>
      <c r="S174" s="16">
        <f>Demand_CWRS!I$8/30</f>
        <v>246.66666666666666</v>
      </c>
      <c r="T174" s="16">
        <f>Demand_CWRS!J$8/30</f>
        <v>246.66666666666666</v>
      </c>
      <c r="U174" s="16">
        <f>Demand_CWRS!K$8/30</f>
        <v>246.66666666666666</v>
      </c>
      <c r="V174" s="16">
        <f t="shared" si="66"/>
        <v>-21112.079598293974</v>
      </c>
      <c r="W174" s="16">
        <f t="shared" si="67"/>
        <v>-78024.110256410029</v>
      </c>
      <c r="X174" s="16">
        <f t="shared" si="68"/>
        <v>0</v>
      </c>
      <c r="Y174" s="16">
        <f t="shared" si="69"/>
        <v>-11972.793643838568</v>
      </c>
      <c r="Z174" s="16">
        <f t="shared" si="70"/>
        <v>-34754.204203383648</v>
      </c>
      <c r="AA174" s="16">
        <f t="shared" si="71"/>
        <v>-19786.306449255539</v>
      </c>
      <c r="AB174" s="16">
        <f t="shared" si="72"/>
        <v>-39120.661943768217</v>
      </c>
      <c r="AC174" s="16">
        <f t="shared" si="73"/>
        <v>-33327.651687358026</v>
      </c>
      <c r="AD174" s="16">
        <f t="shared" si="74"/>
        <v>-33427.651687358019</v>
      </c>
      <c r="AE174" s="16">
        <f t="shared" si="75"/>
        <v>-34027.651687358011</v>
      </c>
      <c r="AF174" s="14">
        <f>IF([1]Sheet2!AJ173=999999,"NA",[1]Sheet2!AJ173)</f>
        <v>0</v>
      </c>
      <c r="AG174" s="14">
        <f>IF([1]Sheet2!AK173=999999,"NA",[1]Sheet2!AK173)</f>
        <v>0</v>
      </c>
      <c r="AH174" s="14" t="str">
        <f>IF([1]Sheet2!AL173=999999,"NA",[1]Sheet2!AL173)</f>
        <v>NA</v>
      </c>
      <c r="AI174" s="14">
        <f>IF([1]Sheet2!AM173=999999,"NA",[1]Sheet2!AM173)</f>
        <v>0</v>
      </c>
      <c r="AJ174" s="14">
        <f>IF([1]Sheet2!AN173=999999,"NA",[1]Sheet2!AN173)</f>
        <v>0</v>
      </c>
      <c r="AK174" s="14">
        <f>IF([1]Sheet2!AO173=999999,"NA",[1]Sheet2!AO173)</f>
        <v>0</v>
      </c>
      <c r="AL174" s="14">
        <f>IF([1]Sheet2!AP173=999999,"NA",[1]Sheet2!AP173)</f>
        <v>0</v>
      </c>
      <c r="AM174" s="14">
        <f>IF([1]Sheet2!AQ173=999999,"NA",[1]Sheet2!AQ173)</f>
        <v>0</v>
      </c>
      <c r="AN174" s="14">
        <f>IF([1]Sheet2!AR173=999999,"NA",[1]Sheet2!AR173)</f>
        <v>0</v>
      </c>
      <c r="AO174" s="14">
        <f>IF([1]Sheet2!AS173=999999,"NA",[1]Sheet2!AS173)</f>
        <v>0</v>
      </c>
      <c r="AP174" s="14">
        <f>[1]Sheet2!P173</f>
        <v>0</v>
      </c>
      <c r="AQ174" s="14">
        <f>[1]Sheet2!Q173</f>
        <v>0</v>
      </c>
      <c r="AR174" s="14">
        <f>[1]Sheet2!R173</f>
        <v>0</v>
      </c>
      <c r="AS174" s="14">
        <f>[1]Sheet2!S173</f>
        <v>0</v>
      </c>
      <c r="AT174" s="14">
        <f>[1]Sheet2!T173</f>
        <v>0</v>
      </c>
      <c r="AU174" s="14">
        <f>[1]Sheet2!U173</f>
        <v>0</v>
      </c>
      <c r="AV174" s="14">
        <f>[1]Sheet2!V173</f>
        <v>0</v>
      </c>
      <c r="AW174" s="14">
        <f>[1]Sheet2!W173</f>
        <v>0</v>
      </c>
      <c r="AX174" s="14">
        <f>[1]Sheet2!X173</f>
        <v>0</v>
      </c>
      <c r="AY174" s="14">
        <f>[1]Sheet2!Y173</f>
        <v>0</v>
      </c>
      <c r="AZ174" s="16">
        <f>Demand_LP!B$8/30</f>
        <v>807.81611164529909</v>
      </c>
      <c r="BA174" s="16">
        <f>Demand_LP!C$8/30</f>
        <v>574.48717948717956</v>
      </c>
      <c r="BB174" s="16">
        <f>Demand_LP!D$8/30</f>
        <v>339.04957264957267</v>
      </c>
      <c r="BC174" s="16">
        <f>Demand_LP!E$8/30</f>
        <v>830.46965811965799</v>
      </c>
      <c r="BD174" s="16">
        <f>Demand_LP!F$8/30</f>
        <v>476.67186805555554</v>
      </c>
      <c r="BE174" s="16">
        <f>Demand_LP!G$8/30</f>
        <v>476.67186805555554</v>
      </c>
      <c r="BF174" s="16">
        <f>Demand_LP!H$8/30</f>
        <v>574.48717948717956</v>
      </c>
      <c r="BG174" s="16">
        <f>Demand_LP!I$8/30</f>
        <v>476.67186805555554</v>
      </c>
      <c r="BH174" s="16">
        <f>Demand_LP!J$8/30</f>
        <v>476.67186805555554</v>
      </c>
      <c r="BI174" s="16">
        <f>Demand_LP!K$8/30</f>
        <v>476.67186805555554</v>
      </c>
      <c r="BJ174" s="16">
        <f t="shared" si="76"/>
        <v>-118107.54980639051</v>
      </c>
      <c r="BK174" s="16">
        <f t="shared" si="77"/>
        <v>-96441.223076922979</v>
      </c>
      <c r="BL174" s="16">
        <f t="shared" si="78"/>
        <v>-43301.110683760729</v>
      </c>
      <c r="BM174" s="16">
        <f t="shared" si="79"/>
        <v>-123257.20981283126</v>
      </c>
      <c r="BN174" s="16">
        <f t="shared" si="80"/>
        <v>-71014.32786581738</v>
      </c>
      <c r="BO174" s="16">
        <f t="shared" si="81"/>
        <v>-69472.011784188115</v>
      </c>
      <c r="BP174" s="16">
        <f t="shared" si="82"/>
        <v>-90798.802564102487</v>
      </c>
      <c r="BQ174" s="16">
        <f t="shared" si="83"/>
        <v>-69472.011784188115</v>
      </c>
      <c r="BR174" s="16">
        <f t="shared" si="84"/>
        <v>-67072.011784188158</v>
      </c>
      <c r="BS174" s="16">
        <f t="shared" si="85"/>
        <v>-67772.011784188144</v>
      </c>
      <c r="BT174" s="14">
        <f>IF([1]Sheet2!CB173=999999,"NA",[1]Sheet2!CB173)</f>
        <v>0</v>
      </c>
      <c r="BU174" s="14">
        <f>IF([1]Sheet2!CC173=999999,"NA",[1]Sheet2!CC173)</f>
        <v>0</v>
      </c>
      <c r="BV174" s="14">
        <f>IF([1]Sheet2!CD173=999999,"NA",[1]Sheet2!CD173)</f>
        <v>0</v>
      </c>
      <c r="BW174" s="14">
        <f>IF([1]Sheet2!CE173=999999,"NA",[1]Sheet2!CE173)</f>
        <v>0</v>
      </c>
      <c r="BX174" s="14">
        <f>IF([1]Sheet2!CF173=999999,"NA",[1]Sheet2!CF173)</f>
        <v>0</v>
      </c>
      <c r="BY174" s="14">
        <f>IF([1]Sheet2!CG173=999999,"NA",[1]Sheet2!CG173)</f>
        <v>0</v>
      </c>
      <c r="BZ174" s="14">
        <f>IF([1]Sheet2!CH173=999999,"NA",[1]Sheet2!CH173)</f>
        <v>0</v>
      </c>
      <c r="CA174" s="14">
        <f>IF([1]Sheet2!CI173=999999,"NA",[1]Sheet2!CI173)</f>
        <v>0</v>
      </c>
      <c r="CB174" s="14">
        <f>IF([1]Sheet2!CJ173=999999,"NA",[1]Sheet2!CJ173)</f>
        <v>0</v>
      </c>
      <c r="CC174" s="14">
        <f>IF([1]Sheet2!CK173=999999,"NA",[1]Sheet2!CK173)</f>
        <v>0</v>
      </c>
      <c r="CD174" s="14">
        <f>[1]Sheet2!BH173</f>
        <v>0</v>
      </c>
      <c r="CE174" s="14">
        <f>[1]Sheet2!BI173</f>
        <v>0</v>
      </c>
      <c r="CF174" s="14">
        <f>[1]Sheet2!BJ173</f>
        <v>0</v>
      </c>
      <c r="CG174" s="14">
        <f>[1]Sheet2!BK173</f>
        <v>0</v>
      </c>
      <c r="CH174" s="14">
        <f>[1]Sheet2!BL173</f>
        <v>0</v>
      </c>
      <c r="CI174" s="14">
        <f>[1]Sheet2!BM173</f>
        <v>0</v>
      </c>
      <c r="CJ174" s="14">
        <f>[1]Sheet2!BN173</f>
        <v>0</v>
      </c>
      <c r="CK174" s="14">
        <f>[1]Sheet2!BO173</f>
        <v>0</v>
      </c>
      <c r="CL174" s="14">
        <f>[1]Sheet2!BP173</f>
        <v>0</v>
      </c>
      <c r="CM174" s="14">
        <f>[1]Sheet2!BQ173</f>
        <v>0</v>
      </c>
      <c r="CN174" s="16">
        <f>Demand_SW!B$8/30</f>
        <v>144.23076923076923</v>
      </c>
      <c r="CO174" s="16">
        <f>Demand_SW!C$8/30</f>
        <v>0</v>
      </c>
      <c r="CP174" s="16">
        <f>Demand_SW!D$8/30</f>
        <v>0</v>
      </c>
      <c r="CQ174" s="16">
        <f>Demand_SW!E$8/30</f>
        <v>0</v>
      </c>
      <c r="CR174" s="16">
        <f>Demand_SW!F$8/30</f>
        <v>0</v>
      </c>
      <c r="CS174" s="16">
        <f>Demand_SW!G$8/30</f>
        <v>144.23076923076923</v>
      </c>
      <c r="CT174" s="16">
        <f>Demand_SW!H$8/30</f>
        <v>0</v>
      </c>
      <c r="CU174" s="16">
        <f>Demand_SW!I$8/30</f>
        <v>0</v>
      </c>
      <c r="CV174" s="16">
        <f>Demand_SW!J$8/30</f>
        <v>0</v>
      </c>
      <c r="CW174" s="16">
        <f>Demand_SW!K$8/30</f>
        <v>0</v>
      </c>
      <c r="CX174" s="16">
        <f t="shared" si="86"/>
        <v>-18155.384615384628</v>
      </c>
      <c r="CY174" s="16">
        <f t="shared" si="87"/>
        <v>76.923076923077133</v>
      </c>
      <c r="CZ174" s="16">
        <f t="shared" si="88"/>
        <v>0</v>
      </c>
      <c r="DA174" s="16">
        <f t="shared" si="89"/>
        <v>0</v>
      </c>
      <c r="DB174" s="16">
        <f t="shared" si="90"/>
        <v>0</v>
      </c>
      <c r="DC174" s="16">
        <f t="shared" si="91"/>
        <v>-17684.615384615397</v>
      </c>
      <c r="DD174" s="16">
        <f t="shared" si="92"/>
        <v>76.923076923077133</v>
      </c>
      <c r="DE174" s="16">
        <f t="shared" si="93"/>
        <v>0</v>
      </c>
      <c r="DF174" s="16">
        <f t="shared" si="94"/>
        <v>0</v>
      </c>
      <c r="DG174" s="16">
        <f t="shared" si="95"/>
        <v>0</v>
      </c>
      <c r="DH174" s="14">
        <f>IF([1]Sheet2!DS173=999999,"NA",[1]Sheet2!DS173)</f>
        <v>0</v>
      </c>
      <c r="DI174" s="14">
        <f>IF([1]Sheet2!DT173=999999,"NA",[1]Sheet2!DT173)</f>
        <v>194</v>
      </c>
      <c r="DJ174" s="14" t="str">
        <f>IF([1]Sheet2!DU173=999999,"NA",[1]Sheet2!DU173)</f>
        <v>NA</v>
      </c>
      <c r="DK174" s="14" t="str">
        <f>IF([1]Sheet2!DV173=999999,"NA",[1]Sheet2!DV173)</f>
        <v>NA</v>
      </c>
      <c r="DL174" s="14" t="str">
        <f>IF([1]Sheet2!DW173=999999,"NA",[1]Sheet2!DW173)</f>
        <v>NA</v>
      </c>
      <c r="DM174" s="14">
        <f>IF([1]Sheet2!DX173=999999,"NA",[1]Sheet2!DX173)</f>
        <v>0</v>
      </c>
      <c r="DN174" s="14">
        <f>IF([1]Sheet2!DY173=999999,"NA",[1]Sheet2!DY173)</f>
        <v>194</v>
      </c>
      <c r="DO174" s="14" t="str">
        <f>IF([1]Sheet2!DZ173=999999,"NA",[1]Sheet2!DZ173)</f>
        <v>NA</v>
      </c>
      <c r="DP174" s="14" t="str">
        <f>IF([1]Sheet2!EA173=999999,"NA",[1]Sheet2!EA173)</f>
        <v>NA</v>
      </c>
      <c r="DQ174" s="14" t="str">
        <f>IF([1]Sheet2!EB173=999999,"NA",[1]Sheet2!EB173)</f>
        <v>NA</v>
      </c>
      <c r="DR174" s="14">
        <f>[1]Sheet2!CY173</f>
        <v>0</v>
      </c>
      <c r="DS174" s="14">
        <f>[1]Sheet2!CZ173</f>
        <v>0</v>
      </c>
      <c r="DT174" s="14">
        <f>[1]Sheet2!DA173</f>
        <v>0</v>
      </c>
      <c r="DU174" s="14">
        <f>[1]Sheet2!DB173</f>
        <v>0</v>
      </c>
      <c r="DV174" s="14">
        <f>[1]Sheet2!DC173</f>
        <v>0</v>
      </c>
      <c r="DW174" s="14">
        <f>[1]Sheet2!DD173</f>
        <v>0</v>
      </c>
      <c r="DX174" s="14">
        <f>[1]Sheet2!DE173</f>
        <v>0</v>
      </c>
      <c r="DY174" s="14">
        <f>[1]Sheet2!DF173</f>
        <v>0</v>
      </c>
      <c r="DZ174" s="14">
        <f>[1]Sheet2!DG173</f>
        <v>0</v>
      </c>
      <c r="EA174" s="14">
        <f>[1]Sheet2!DH173</f>
        <v>0</v>
      </c>
      <c r="EB174" s="6">
        <f>[1]Sheet2!EC173</f>
        <v>0</v>
      </c>
      <c r="EC174" s="6">
        <f>[1]Sheet2!ED173</f>
        <v>0</v>
      </c>
      <c r="ED174" s="6">
        <f>[1]Sheet2!EE173</f>
        <v>0</v>
      </c>
      <c r="EE174" s="6">
        <f>[1]Sheet2!EF173</f>
        <v>0</v>
      </c>
      <c r="EF174" s="6">
        <f>[1]Sheet2!EG173</f>
        <v>0</v>
      </c>
      <c r="EG174" s="6">
        <f>[1]Sheet2!EH173</f>
        <v>0</v>
      </c>
      <c r="EH174" s="6">
        <f>[1]Sheet2!EI173</f>
        <v>0</v>
      </c>
      <c r="EI174" s="6">
        <f>[1]Sheet2!EJ173</f>
        <v>0</v>
      </c>
      <c r="EJ174" s="6">
        <f>[1]Sheet2!EK173</f>
        <v>0</v>
      </c>
      <c r="EK174" s="6">
        <f>[1]Sheet2!EL173</f>
        <v>0</v>
      </c>
      <c r="EL174" s="6" t="str">
        <f>[1]Sheet2!EM173</f>
        <v/>
      </c>
      <c r="EM174" s="6" t="str">
        <f>[1]Sheet2!EN173</f>
        <v/>
      </c>
      <c r="EN174" s="6" t="str">
        <f>[1]Sheet2!EO173</f>
        <v/>
      </c>
      <c r="EO174" s="6" t="str">
        <f>[1]Sheet2!EP173</f>
        <v/>
      </c>
      <c r="EP174" s="6" t="str">
        <f>[1]Sheet2!EQ173</f>
        <v/>
      </c>
      <c r="EQ174" s="6" t="str">
        <f>[1]Sheet2!ER173</f>
        <v/>
      </c>
      <c r="ER174" s="6" t="str">
        <f>[1]Sheet2!ES173</f>
        <v/>
      </c>
      <c r="ES174" s="6" t="str">
        <f>[1]Sheet2!ET173</f>
        <v/>
      </c>
      <c r="ET174" s="6" t="str">
        <f>[1]Sheet2!EU173</f>
        <v/>
      </c>
      <c r="EU174" s="6" t="str">
        <f>[1]Sheet2!EV173</f>
        <v/>
      </c>
      <c r="EV174" s="6" t="str">
        <f>[1]Sheet2!EW173</f>
        <v/>
      </c>
      <c r="EW174" s="6" t="str">
        <f>[1]Sheet2!EX173</f>
        <v/>
      </c>
      <c r="EX174" s="6" t="str">
        <f>[1]Sheet2!EY173</f>
        <v/>
      </c>
      <c r="EY174" s="6" t="str">
        <f>[1]Sheet2!EZ173</f>
        <v/>
      </c>
      <c r="EZ174" s="6" t="str">
        <f>[1]Sheet2!FA173</f>
        <v/>
      </c>
      <c r="FA174" s="6" t="str">
        <f>[1]Sheet2!FB173</f>
        <v/>
      </c>
      <c r="FB174" s="6" t="str">
        <f>[1]Sheet2!FC173</f>
        <v/>
      </c>
      <c r="FC174" s="6" t="str">
        <f>[1]Sheet2!FD173</f>
        <v/>
      </c>
      <c r="FD174" s="6" t="str">
        <f>[1]Sheet2!FE173</f>
        <v/>
      </c>
      <c r="FE174" s="6" t="str">
        <f>[1]Sheet2!FF173</f>
        <v/>
      </c>
      <c r="FF174" s="6" t="str">
        <f>[1]Sheet2!FG173</f>
        <v/>
      </c>
      <c r="FG174" s="6" t="str">
        <f>[1]Sheet2!FH173</f>
        <v/>
      </c>
      <c r="FH174" s="6" t="str">
        <f>[1]Sheet2!FI173</f>
        <v/>
      </c>
      <c r="FI174" s="6" t="str">
        <f>[1]Sheet2!FJ173</f>
        <v/>
      </c>
      <c r="FJ174" s="6" t="str">
        <f>[1]Sheet2!FK173</f>
        <v/>
      </c>
      <c r="FK174" s="6" t="str">
        <f>[1]Sheet2!FL173</f>
        <v/>
      </c>
      <c r="FL174" s="6" t="str">
        <f>[1]Sheet2!FM173</f>
        <v/>
      </c>
      <c r="FM174" s="6" t="str">
        <f>[1]Sheet2!FN173</f>
        <v/>
      </c>
      <c r="FN174" s="6" t="str">
        <f>[1]Sheet2!FO173</f>
        <v/>
      </c>
      <c r="FO174" s="6" t="str">
        <f>[1]Sheet2!FP173</f>
        <v/>
      </c>
    </row>
    <row r="175" spans="1:171" x14ac:dyDescent="0.25">
      <c r="A175" s="15">
        <v>43637</v>
      </c>
      <c r="B175" s="1"/>
      <c r="C175" s="1"/>
      <c r="D175" s="1"/>
      <c r="E175" s="14">
        <f>[1]Sheet2!N174</f>
        <v>0</v>
      </c>
      <c r="F175" s="14">
        <f>[1]Sheet2!BE174</f>
        <v>48000</v>
      </c>
      <c r="G175" s="14">
        <f>[1]Sheet2!CW174</f>
        <v>0</v>
      </c>
      <c r="H175" s="1"/>
      <c r="I175" s="1"/>
      <c r="J175" s="1"/>
      <c r="K175" s="16"/>
      <c r="L175" s="16">
        <f>Demand_CWRS!B$8/30</f>
        <v>124.86819391025641</v>
      </c>
      <c r="M175" s="16">
        <f>Demand_CWRS!C$8/30</f>
        <v>583.20512820512829</v>
      </c>
      <c r="N175" s="16">
        <f>Demand_CWRS!D$8/30</f>
        <v>0</v>
      </c>
      <c r="O175" s="16">
        <f>Demand_CWRS!E$8/30</f>
        <v>156.84829059829062</v>
      </c>
      <c r="P175" s="16">
        <f>Demand_CWRS!F$8/30</f>
        <v>252.39596314102559</v>
      </c>
      <c r="Q175" s="16">
        <f>Demand_CWRS!G$8/30</f>
        <v>124.86819391025641</v>
      </c>
      <c r="R175" s="16">
        <f>Demand_CWRS!H$8/30</f>
        <v>246.66666666666666</v>
      </c>
      <c r="S175" s="16">
        <f>Demand_CWRS!I$8/30</f>
        <v>246.66666666666666</v>
      </c>
      <c r="T175" s="16">
        <f>Demand_CWRS!J$8/30</f>
        <v>246.66666666666666</v>
      </c>
      <c r="U175" s="16">
        <f>Demand_CWRS!K$8/30</f>
        <v>246.66666666666666</v>
      </c>
      <c r="V175" s="16">
        <f t="shared" si="66"/>
        <v>-21236.947792204232</v>
      </c>
      <c r="W175" s="16">
        <f t="shared" si="67"/>
        <v>-78607.315384615154</v>
      </c>
      <c r="X175" s="16">
        <f t="shared" si="68"/>
        <v>0</v>
      </c>
      <c r="Y175" s="16">
        <f t="shared" si="69"/>
        <v>-12129.641934436859</v>
      </c>
      <c r="Z175" s="16">
        <f t="shared" si="70"/>
        <v>-35006.600166524673</v>
      </c>
      <c r="AA175" s="16">
        <f t="shared" si="71"/>
        <v>-19911.174643165796</v>
      </c>
      <c r="AB175" s="16">
        <f t="shared" si="72"/>
        <v>-39367.328610434881</v>
      </c>
      <c r="AC175" s="16">
        <f t="shared" si="73"/>
        <v>-33574.31835402469</v>
      </c>
      <c r="AD175" s="16">
        <f t="shared" si="74"/>
        <v>-33674.318354024683</v>
      </c>
      <c r="AE175" s="16">
        <f t="shared" si="75"/>
        <v>-34274.318354024676</v>
      </c>
      <c r="AF175" s="14">
        <f>IF([1]Sheet2!AJ174=999999,"NA",[1]Sheet2!AJ174)</f>
        <v>0</v>
      </c>
      <c r="AG175" s="14">
        <f>IF([1]Sheet2!AK174=999999,"NA",[1]Sheet2!AK174)</f>
        <v>0</v>
      </c>
      <c r="AH175" s="14" t="str">
        <f>IF([1]Sheet2!AL174=999999,"NA",[1]Sheet2!AL174)</f>
        <v>NA</v>
      </c>
      <c r="AI175" s="14">
        <f>IF([1]Sheet2!AM174=999999,"NA",[1]Sheet2!AM174)</f>
        <v>0</v>
      </c>
      <c r="AJ175" s="14">
        <f>IF([1]Sheet2!AN174=999999,"NA",[1]Sheet2!AN174)</f>
        <v>0</v>
      </c>
      <c r="AK175" s="14">
        <f>IF([1]Sheet2!AO174=999999,"NA",[1]Sheet2!AO174)</f>
        <v>0</v>
      </c>
      <c r="AL175" s="14">
        <f>IF([1]Sheet2!AP174=999999,"NA",[1]Sheet2!AP174)</f>
        <v>0</v>
      </c>
      <c r="AM175" s="14">
        <f>IF([1]Sheet2!AQ174=999999,"NA",[1]Sheet2!AQ174)</f>
        <v>0</v>
      </c>
      <c r="AN175" s="14">
        <f>IF([1]Sheet2!AR174=999999,"NA",[1]Sheet2!AR174)</f>
        <v>0</v>
      </c>
      <c r="AO175" s="14">
        <f>IF([1]Sheet2!AS174=999999,"NA",[1]Sheet2!AS174)</f>
        <v>0</v>
      </c>
      <c r="AP175" s="14">
        <f>[1]Sheet2!P174</f>
        <v>0</v>
      </c>
      <c r="AQ175" s="14">
        <f>[1]Sheet2!Q174</f>
        <v>0</v>
      </c>
      <c r="AR175" s="14">
        <f>[1]Sheet2!R174</f>
        <v>0</v>
      </c>
      <c r="AS175" s="14">
        <f>[1]Sheet2!S174</f>
        <v>0</v>
      </c>
      <c r="AT175" s="14">
        <f>[1]Sheet2!T174</f>
        <v>0</v>
      </c>
      <c r="AU175" s="14">
        <f>[1]Sheet2!U174</f>
        <v>0</v>
      </c>
      <c r="AV175" s="14">
        <f>[1]Sheet2!V174</f>
        <v>0</v>
      </c>
      <c r="AW175" s="14">
        <f>[1]Sheet2!W174</f>
        <v>0</v>
      </c>
      <c r="AX175" s="14">
        <f>[1]Sheet2!X174</f>
        <v>0</v>
      </c>
      <c r="AY175" s="14">
        <f>[1]Sheet2!Y174</f>
        <v>0</v>
      </c>
      <c r="AZ175" s="16">
        <f>Demand_LP!B$8/30</f>
        <v>807.81611164529909</v>
      </c>
      <c r="BA175" s="16">
        <f>Demand_LP!C$8/30</f>
        <v>574.48717948717956</v>
      </c>
      <c r="BB175" s="16">
        <f>Demand_LP!D$8/30</f>
        <v>339.04957264957267</v>
      </c>
      <c r="BC175" s="16">
        <f>Demand_LP!E$8/30</f>
        <v>830.46965811965799</v>
      </c>
      <c r="BD175" s="16">
        <f>Demand_LP!F$8/30</f>
        <v>476.67186805555554</v>
      </c>
      <c r="BE175" s="16">
        <f>Demand_LP!G$8/30</f>
        <v>476.67186805555554</v>
      </c>
      <c r="BF175" s="16">
        <f>Demand_LP!H$8/30</f>
        <v>574.48717948717956</v>
      </c>
      <c r="BG175" s="16">
        <f>Demand_LP!I$8/30</f>
        <v>476.67186805555554</v>
      </c>
      <c r="BH175" s="16">
        <f>Demand_LP!J$8/30</f>
        <v>476.67186805555554</v>
      </c>
      <c r="BI175" s="16">
        <f>Demand_LP!K$8/30</f>
        <v>476.67186805555554</v>
      </c>
      <c r="BJ175" s="16">
        <f t="shared" si="76"/>
        <v>-118915.36591803581</v>
      </c>
      <c r="BK175" s="16">
        <f t="shared" si="77"/>
        <v>-97015.710256410151</v>
      </c>
      <c r="BL175" s="16">
        <f t="shared" si="78"/>
        <v>-43640.160256410301</v>
      </c>
      <c r="BM175" s="16">
        <f t="shared" si="79"/>
        <v>-124087.67947095093</v>
      </c>
      <c r="BN175" s="16">
        <f t="shared" si="80"/>
        <v>-71490.99973387293</v>
      </c>
      <c r="BO175" s="16">
        <f t="shared" si="81"/>
        <v>-69948.683652243664</v>
      </c>
      <c r="BP175" s="16">
        <f t="shared" si="82"/>
        <v>-91373.289743589659</v>
      </c>
      <c r="BQ175" s="16">
        <f t="shared" si="83"/>
        <v>-69948.683652243664</v>
      </c>
      <c r="BR175" s="16">
        <f t="shared" si="84"/>
        <v>-67548.683652243708</v>
      </c>
      <c r="BS175" s="16">
        <f t="shared" si="85"/>
        <v>-68248.683652243693</v>
      </c>
      <c r="BT175" s="14">
        <f>IF([1]Sheet2!CB174=999999,"NA",[1]Sheet2!CB174)</f>
        <v>0</v>
      </c>
      <c r="BU175" s="14">
        <f>IF([1]Sheet2!CC174=999999,"NA",[1]Sheet2!CC174)</f>
        <v>0</v>
      </c>
      <c r="BV175" s="14">
        <f>IF([1]Sheet2!CD174=999999,"NA",[1]Sheet2!CD174)</f>
        <v>0</v>
      </c>
      <c r="BW175" s="14">
        <f>IF([1]Sheet2!CE174=999999,"NA",[1]Sheet2!CE174)</f>
        <v>0</v>
      </c>
      <c r="BX175" s="14">
        <f>IF([1]Sheet2!CF174=999999,"NA",[1]Sheet2!CF174)</f>
        <v>0</v>
      </c>
      <c r="BY175" s="14">
        <f>IF([1]Sheet2!CG174=999999,"NA",[1]Sheet2!CG174)</f>
        <v>0</v>
      </c>
      <c r="BZ175" s="14">
        <f>IF([1]Sheet2!CH174=999999,"NA",[1]Sheet2!CH174)</f>
        <v>0</v>
      </c>
      <c r="CA175" s="14">
        <f>IF([1]Sheet2!CI174=999999,"NA",[1]Sheet2!CI174)</f>
        <v>0</v>
      </c>
      <c r="CB175" s="14">
        <f>IF([1]Sheet2!CJ174=999999,"NA",[1]Sheet2!CJ174)</f>
        <v>0</v>
      </c>
      <c r="CC175" s="14">
        <f>IF([1]Sheet2!CK174=999999,"NA",[1]Sheet2!CK174)</f>
        <v>0</v>
      </c>
      <c r="CD175" s="14">
        <f>[1]Sheet2!BH174</f>
        <v>0</v>
      </c>
      <c r="CE175" s="14">
        <f>[1]Sheet2!BI174</f>
        <v>0</v>
      </c>
      <c r="CF175" s="14">
        <f>[1]Sheet2!BJ174</f>
        <v>0</v>
      </c>
      <c r="CG175" s="14">
        <f>[1]Sheet2!BK174</f>
        <v>0</v>
      </c>
      <c r="CH175" s="14">
        <f>[1]Sheet2!BL174</f>
        <v>0</v>
      </c>
      <c r="CI175" s="14">
        <f>[1]Sheet2!BM174</f>
        <v>0</v>
      </c>
      <c r="CJ175" s="14">
        <f>[1]Sheet2!BN174</f>
        <v>0</v>
      </c>
      <c r="CK175" s="14">
        <f>[1]Sheet2!BO174</f>
        <v>0</v>
      </c>
      <c r="CL175" s="14">
        <f>[1]Sheet2!BP174</f>
        <v>0</v>
      </c>
      <c r="CM175" s="14">
        <f>[1]Sheet2!BQ174</f>
        <v>0</v>
      </c>
      <c r="CN175" s="16">
        <f>Demand_SW!B$8/30</f>
        <v>144.23076923076923</v>
      </c>
      <c r="CO175" s="16">
        <f>Demand_SW!C$8/30</f>
        <v>0</v>
      </c>
      <c r="CP175" s="16">
        <f>Demand_SW!D$8/30</f>
        <v>0</v>
      </c>
      <c r="CQ175" s="16">
        <f>Demand_SW!E$8/30</f>
        <v>0</v>
      </c>
      <c r="CR175" s="16">
        <f>Demand_SW!F$8/30</f>
        <v>0</v>
      </c>
      <c r="CS175" s="16">
        <f>Demand_SW!G$8/30</f>
        <v>144.23076923076923</v>
      </c>
      <c r="CT175" s="16">
        <f>Demand_SW!H$8/30</f>
        <v>0</v>
      </c>
      <c r="CU175" s="16">
        <f>Demand_SW!I$8/30</f>
        <v>0</v>
      </c>
      <c r="CV175" s="16">
        <f>Demand_SW!J$8/30</f>
        <v>0</v>
      </c>
      <c r="CW175" s="16">
        <f>Demand_SW!K$8/30</f>
        <v>0</v>
      </c>
      <c r="CX175" s="16">
        <f t="shared" si="86"/>
        <v>-18299.615384615397</v>
      </c>
      <c r="CY175" s="16">
        <f t="shared" si="87"/>
        <v>76.923076923077133</v>
      </c>
      <c r="CZ175" s="16">
        <f t="shared" si="88"/>
        <v>0</v>
      </c>
      <c r="DA175" s="16">
        <f t="shared" si="89"/>
        <v>0</v>
      </c>
      <c r="DB175" s="16">
        <f t="shared" si="90"/>
        <v>0</v>
      </c>
      <c r="DC175" s="16">
        <f t="shared" si="91"/>
        <v>-17828.846153846167</v>
      </c>
      <c r="DD175" s="16">
        <f t="shared" si="92"/>
        <v>76.923076923077133</v>
      </c>
      <c r="DE175" s="16">
        <f t="shared" si="93"/>
        <v>0</v>
      </c>
      <c r="DF175" s="16">
        <f t="shared" si="94"/>
        <v>0</v>
      </c>
      <c r="DG175" s="16">
        <f t="shared" si="95"/>
        <v>0</v>
      </c>
      <c r="DH175" s="14">
        <f>IF([1]Sheet2!DS174=999999,"NA",[1]Sheet2!DS174)</f>
        <v>0</v>
      </c>
      <c r="DI175" s="14">
        <f>IF([1]Sheet2!DT174=999999,"NA",[1]Sheet2!DT174)</f>
        <v>193</v>
      </c>
      <c r="DJ175" s="14" t="str">
        <f>IF([1]Sheet2!DU174=999999,"NA",[1]Sheet2!DU174)</f>
        <v>NA</v>
      </c>
      <c r="DK175" s="14" t="str">
        <f>IF([1]Sheet2!DV174=999999,"NA",[1]Sheet2!DV174)</f>
        <v>NA</v>
      </c>
      <c r="DL175" s="14" t="str">
        <f>IF([1]Sheet2!DW174=999999,"NA",[1]Sheet2!DW174)</f>
        <v>NA</v>
      </c>
      <c r="DM175" s="14">
        <f>IF([1]Sheet2!DX174=999999,"NA",[1]Sheet2!DX174)</f>
        <v>0</v>
      </c>
      <c r="DN175" s="14">
        <f>IF([1]Sheet2!DY174=999999,"NA",[1]Sheet2!DY174)</f>
        <v>193</v>
      </c>
      <c r="DO175" s="14" t="str">
        <f>IF([1]Sheet2!DZ174=999999,"NA",[1]Sheet2!DZ174)</f>
        <v>NA</v>
      </c>
      <c r="DP175" s="14" t="str">
        <f>IF([1]Sheet2!EA174=999999,"NA",[1]Sheet2!EA174)</f>
        <v>NA</v>
      </c>
      <c r="DQ175" s="14" t="str">
        <f>IF([1]Sheet2!EB174=999999,"NA",[1]Sheet2!EB174)</f>
        <v>NA</v>
      </c>
      <c r="DR175" s="14">
        <f>[1]Sheet2!CY174</f>
        <v>0</v>
      </c>
      <c r="DS175" s="14">
        <f>[1]Sheet2!CZ174</f>
        <v>0</v>
      </c>
      <c r="DT175" s="14">
        <f>[1]Sheet2!DA174</f>
        <v>0</v>
      </c>
      <c r="DU175" s="14">
        <f>[1]Sheet2!DB174</f>
        <v>0</v>
      </c>
      <c r="DV175" s="14">
        <f>[1]Sheet2!DC174</f>
        <v>0</v>
      </c>
      <c r="DW175" s="14">
        <f>[1]Sheet2!DD174</f>
        <v>0</v>
      </c>
      <c r="DX175" s="14">
        <f>[1]Sheet2!DE174</f>
        <v>0</v>
      </c>
      <c r="DY175" s="14">
        <f>[1]Sheet2!DF174</f>
        <v>0</v>
      </c>
      <c r="DZ175" s="14">
        <f>[1]Sheet2!DG174</f>
        <v>0</v>
      </c>
      <c r="EA175" s="14">
        <f>[1]Sheet2!DH174</f>
        <v>0</v>
      </c>
      <c r="EB175" s="6">
        <f>[1]Sheet2!EC174</f>
        <v>0</v>
      </c>
      <c r="EC175" s="6">
        <f>[1]Sheet2!ED174</f>
        <v>0</v>
      </c>
      <c r="ED175" s="6">
        <f>[1]Sheet2!EE174</f>
        <v>0</v>
      </c>
      <c r="EE175" s="6">
        <f>[1]Sheet2!EF174</f>
        <v>0</v>
      </c>
      <c r="EF175" s="6">
        <f>[1]Sheet2!EG174</f>
        <v>0</v>
      </c>
      <c r="EG175" s="6">
        <f>[1]Sheet2!EH174</f>
        <v>0</v>
      </c>
      <c r="EH175" s="6">
        <f>[1]Sheet2!EI174</f>
        <v>0</v>
      </c>
      <c r="EI175" s="6">
        <f>[1]Sheet2!EJ174</f>
        <v>0</v>
      </c>
      <c r="EJ175" s="6">
        <f>[1]Sheet2!EK174</f>
        <v>0</v>
      </c>
      <c r="EK175" s="6">
        <f>[1]Sheet2!EL174</f>
        <v>0</v>
      </c>
      <c r="EL175" s="6" t="str">
        <f>[1]Sheet2!EM174</f>
        <v/>
      </c>
      <c r="EM175" s="6" t="str">
        <f>[1]Sheet2!EN174</f>
        <v/>
      </c>
      <c r="EN175" s="6" t="str">
        <f>[1]Sheet2!EO174</f>
        <v/>
      </c>
      <c r="EO175" s="6" t="str">
        <f>[1]Sheet2!EP174</f>
        <v/>
      </c>
      <c r="EP175" s="6" t="str">
        <f>[1]Sheet2!EQ174</f>
        <v/>
      </c>
      <c r="EQ175" s="6" t="str">
        <f>[1]Sheet2!ER174</f>
        <v/>
      </c>
      <c r="ER175" s="6" t="str">
        <f>[1]Sheet2!ES174</f>
        <v/>
      </c>
      <c r="ES175" s="6" t="str">
        <f>[1]Sheet2!ET174</f>
        <v/>
      </c>
      <c r="ET175" s="6" t="str">
        <f>[1]Sheet2!EU174</f>
        <v/>
      </c>
      <c r="EU175" s="6" t="str">
        <f>[1]Sheet2!EV174</f>
        <v/>
      </c>
      <c r="EV175" s="6" t="str">
        <f>[1]Sheet2!EW174</f>
        <v/>
      </c>
      <c r="EW175" s="6" t="str">
        <f>[1]Sheet2!EX174</f>
        <v/>
      </c>
      <c r="EX175" s="6" t="str">
        <f>[1]Sheet2!EY174</f>
        <v/>
      </c>
      <c r="EY175" s="6" t="str">
        <f>[1]Sheet2!EZ174</f>
        <v/>
      </c>
      <c r="EZ175" s="6" t="str">
        <f>[1]Sheet2!FA174</f>
        <v/>
      </c>
      <c r="FA175" s="6" t="str">
        <f>[1]Sheet2!FB174</f>
        <v/>
      </c>
      <c r="FB175" s="6" t="str">
        <f>[1]Sheet2!FC174</f>
        <v/>
      </c>
      <c r="FC175" s="6" t="str">
        <f>[1]Sheet2!FD174</f>
        <v/>
      </c>
      <c r="FD175" s="6" t="str">
        <f>[1]Sheet2!FE174</f>
        <v/>
      </c>
      <c r="FE175" s="6" t="str">
        <f>[1]Sheet2!FF174</f>
        <v/>
      </c>
      <c r="FF175" s="6" t="str">
        <f>[1]Sheet2!FG174</f>
        <v/>
      </c>
      <c r="FG175" s="6" t="str">
        <f>[1]Sheet2!FH174</f>
        <v/>
      </c>
      <c r="FH175" s="6" t="str">
        <f>[1]Sheet2!FI174</f>
        <v/>
      </c>
      <c r="FI175" s="6" t="str">
        <f>[1]Sheet2!FJ174</f>
        <v/>
      </c>
      <c r="FJ175" s="6" t="str">
        <f>[1]Sheet2!FK174</f>
        <v/>
      </c>
      <c r="FK175" s="6" t="str">
        <f>[1]Sheet2!FL174</f>
        <v/>
      </c>
      <c r="FL175" s="6" t="str">
        <f>[1]Sheet2!FM174</f>
        <v/>
      </c>
      <c r="FM175" s="6" t="str">
        <f>[1]Sheet2!FN174</f>
        <v/>
      </c>
      <c r="FN175" s="6" t="str">
        <f>[1]Sheet2!FO174</f>
        <v/>
      </c>
      <c r="FO175" s="6" t="str">
        <f>[1]Sheet2!FP174</f>
        <v/>
      </c>
    </row>
    <row r="176" spans="1:171" x14ac:dyDescent="0.25">
      <c r="A176" s="15">
        <v>43638</v>
      </c>
      <c r="B176" s="1"/>
      <c r="C176" s="1"/>
      <c r="D176" s="1"/>
      <c r="E176" s="14">
        <f>[1]Sheet2!N175</f>
        <v>0</v>
      </c>
      <c r="F176" s="14">
        <f>[1]Sheet2!BE175</f>
        <v>0</v>
      </c>
      <c r="G176" s="14">
        <f>[1]Sheet2!CW175</f>
        <v>0</v>
      </c>
      <c r="H176" s="1"/>
      <c r="I176" s="1"/>
      <c r="J176" s="1"/>
      <c r="K176" s="16"/>
      <c r="L176" s="16">
        <f>Demand_CWRS!B$8/30</f>
        <v>124.86819391025641</v>
      </c>
      <c r="M176" s="16">
        <f>Demand_CWRS!C$8/30</f>
        <v>583.20512820512829</v>
      </c>
      <c r="N176" s="16">
        <f>Demand_CWRS!D$8/30</f>
        <v>0</v>
      </c>
      <c r="O176" s="16">
        <f>Demand_CWRS!E$8/30</f>
        <v>156.84829059829062</v>
      </c>
      <c r="P176" s="16">
        <f>Demand_CWRS!F$8/30</f>
        <v>252.39596314102559</v>
      </c>
      <c r="Q176" s="16">
        <f>Demand_CWRS!G$8/30</f>
        <v>124.86819391025641</v>
      </c>
      <c r="R176" s="16">
        <f>Demand_CWRS!H$8/30</f>
        <v>246.66666666666666</v>
      </c>
      <c r="S176" s="16">
        <f>Demand_CWRS!I$8/30</f>
        <v>246.66666666666666</v>
      </c>
      <c r="T176" s="16">
        <f>Demand_CWRS!J$8/30</f>
        <v>246.66666666666666</v>
      </c>
      <c r="U176" s="16">
        <f>Demand_CWRS!K$8/30</f>
        <v>246.66666666666666</v>
      </c>
      <c r="V176" s="16">
        <f t="shared" si="66"/>
        <v>-21361.815986114489</v>
      </c>
      <c r="W176" s="16">
        <f t="shared" si="67"/>
        <v>-79190.52051282028</v>
      </c>
      <c r="X176" s="16">
        <f t="shared" si="68"/>
        <v>0</v>
      </c>
      <c r="Y176" s="16">
        <f t="shared" si="69"/>
        <v>-12286.49022503515</v>
      </c>
      <c r="Z176" s="16">
        <f t="shared" si="70"/>
        <v>-35258.996129665698</v>
      </c>
      <c r="AA176" s="16">
        <f t="shared" si="71"/>
        <v>-20036.042837076053</v>
      </c>
      <c r="AB176" s="16">
        <f t="shared" si="72"/>
        <v>-39613.995277101545</v>
      </c>
      <c r="AC176" s="16">
        <f t="shared" si="73"/>
        <v>-33820.985020691354</v>
      </c>
      <c r="AD176" s="16">
        <f t="shared" si="74"/>
        <v>-33920.985020691347</v>
      </c>
      <c r="AE176" s="16">
        <f t="shared" si="75"/>
        <v>-34520.98502069134</v>
      </c>
      <c r="AF176" s="14">
        <f>IF([1]Sheet2!AJ175=999999,"NA",[1]Sheet2!AJ175)</f>
        <v>0</v>
      </c>
      <c r="AG176" s="14">
        <f>IF([1]Sheet2!AK175=999999,"NA",[1]Sheet2!AK175)</f>
        <v>0</v>
      </c>
      <c r="AH176" s="14" t="str">
        <f>IF([1]Sheet2!AL175=999999,"NA",[1]Sheet2!AL175)</f>
        <v>NA</v>
      </c>
      <c r="AI176" s="14">
        <f>IF([1]Sheet2!AM175=999999,"NA",[1]Sheet2!AM175)</f>
        <v>0</v>
      </c>
      <c r="AJ176" s="14">
        <f>IF([1]Sheet2!AN175=999999,"NA",[1]Sheet2!AN175)</f>
        <v>0</v>
      </c>
      <c r="AK176" s="14">
        <f>IF([1]Sheet2!AO175=999999,"NA",[1]Sheet2!AO175)</f>
        <v>0</v>
      </c>
      <c r="AL176" s="14">
        <f>IF([1]Sheet2!AP175=999999,"NA",[1]Sheet2!AP175)</f>
        <v>0</v>
      </c>
      <c r="AM176" s="14">
        <f>IF([1]Sheet2!AQ175=999999,"NA",[1]Sheet2!AQ175)</f>
        <v>0</v>
      </c>
      <c r="AN176" s="14">
        <f>IF([1]Sheet2!AR175=999999,"NA",[1]Sheet2!AR175)</f>
        <v>0</v>
      </c>
      <c r="AO176" s="14">
        <f>IF([1]Sheet2!AS175=999999,"NA",[1]Sheet2!AS175)</f>
        <v>0</v>
      </c>
      <c r="AP176" s="14">
        <f>[1]Sheet2!P175</f>
        <v>0</v>
      </c>
      <c r="AQ176" s="14">
        <f>[1]Sheet2!Q175</f>
        <v>0</v>
      </c>
      <c r="AR176" s="14">
        <f>[1]Sheet2!R175</f>
        <v>0</v>
      </c>
      <c r="AS176" s="14">
        <f>[1]Sheet2!S175</f>
        <v>0</v>
      </c>
      <c r="AT176" s="14">
        <f>[1]Sheet2!T175</f>
        <v>0</v>
      </c>
      <c r="AU176" s="14">
        <f>[1]Sheet2!U175</f>
        <v>0</v>
      </c>
      <c r="AV176" s="14">
        <f>[1]Sheet2!V175</f>
        <v>0</v>
      </c>
      <c r="AW176" s="14">
        <f>[1]Sheet2!W175</f>
        <v>0</v>
      </c>
      <c r="AX176" s="14">
        <f>[1]Sheet2!X175</f>
        <v>0</v>
      </c>
      <c r="AY176" s="14">
        <f>[1]Sheet2!Y175</f>
        <v>0</v>
      </c>
      <c r="AZ176" s="16">
        <f>Demand_LP!B$8/30</f>
        <v>807.81611164529909</v>
      </c>
      <c r="BA176" s="16">
        <f>Demand_LP!C$8/30</f>
        <v>574.48717948717956</v>
      </c>
      <c r="BB176" s="16">
        <f>Demand_LP!D$8/30</f>
        <v>339.04957264957267</v>
      </c>
      <c r="BC176" s="16">
        <f>Demand_LP!E$8/30</f>
        <v>830.46965811965799</v>
      </c>
      <c r="BD176" s="16">
        <f>Demand_LP!F$8/30</f>
        <v>476.67186805555554</v>
      </c>
      <c r="BE176" s="16">
        <f>Demand_LP!G$8/30</f>
        <v>476.67186805555554</v>
      </c>
      <c r="BF176" s="16">
        <f>Demand_LP!H$8/30</f>
        <v>574.48717948717956</v>
      </c>
      <c r="BG176" s="16">
        <f>Demand_LP!I$8/30</f>
        <v>476.67186805555554</v>
      </c>
      <c r="BH176" s="16">
        <f>Demand_LP!J$8/30</f>
        <v>476.67186805555554</v>
      </c>
      <c r="BI176" s="16">
        <f>Demand_LP!K$8/30</f>
        <v>476.67186805555554</v>
      </c>
      <c r="BJ176" s="16">
        <f t="shared" si="76"/>
        <v>-119723.18202968111</v>
      </c>
      <c r="BK176" s="16">
        <f t="shared" si="77"/>
        <v>-97590.197435897324</v>
      </c>
      <c r="BL176" s="16">
        <f t="shared" si="78"/>
        <v>-43979.209829059873</v>
      </c>
      <c r="BM176" s="16">
        <f t="shared" si="79"/>
        <v>-124918.14912907059</v>
      </c>
      <c r="BN176" s="16">
        <f t="shared" si="80"/>
        <v>-71967.67160192848</v>
      </c>
      <c r="BO176" s="16">
        <f t="shared" si="81"/>
        <v>-70425.355520299214</v>
      </c>
      <c r="BP176" s="16">
        <f t="shared" si="82"/>
        <v>-91947.776923076832</v>
      </c>
      <c r="BQ176" s="16">
        <f t="shared" si="83"/>
        <v>-70425.355520299214</v>
      </c>
      <c r="BR176" s="16">
        <f t="shared" si="84"/>
        <v>-68025.355520299257</v>
      </c>
      <c r="BS176" s="16">
        <f t="shared" si="85"/>
        <v>-68725.355520299243</v>
      </c>
      <c r="BT176" s="14">
        <f>IF([1]Sheet2!CB175=999999,"NA",[1]Sheet2!CB175)</f>
        <v>0</v>
      </c>
      <c r="BU176" s="14">
        <f>IF([1]Sheet2!CC175=999999,"NA",[1]Sheet2!CC175)</f>
        <v>0</v>
      </c>
      <c r="BV176" s="14">
        <f>IF([1]Sheet2!CD175=999999,"NA",[1]Sheet2!CD175)</f>
        <v>0</v>
      </c>
      <c r="BW176" s="14">
        <f>IF([1]Sheet2!CE175=999999,"NA",[1]Sheet2!CE175)</f>
        <v>0</v>
      </c>
      <c r="BX176" s="14">
        <f>IF([1]Sheet2!CF175=999999,"NA",[1]Sheet2!CF175)</f>
        <v>0</v>
      </c>
      <c r="BY176" s="14">
        <f>IF([1]Sheet2!CG175=999999,"NA",[1]Sheet2!CG175)</f>
        <v>0</v>
      </c>
      <c r="BZ176" s="14">
        <f>IF([1]Sheet2!CH175=999999,"NA",[1]Sheet2!CH175)</f>
        <v>0</v>
      </c>
      <c r="CA176" s="14">
        <f>IF([1]Sheet2!CI175=999999,"NA",[1]Sheet2!CI175)</f>
        <v>0</v>
      </c>
      <c r="CB176" s="14">
        <f>IF([1]Sheet2!CJ175=999999,"NA",[1]Sheet2!CJ175)</f>
        <v>0</v>
      </c>
      <c r="CC176" s="14">
        <f>IF([1]Sheet2!CK175=999999,"NA",[1]Sheet2!CK175)</f>
        <v>0</v>
      </c>
      <c r="CD176" s="14">
        <f>[1]Sheet2!BH175</f>
        <v>0</v>
      </c>
      <c r="CE176" s="14">
        <f>[1]Sheet2!BI175</f>
        <v>0</v>
      </c>
      <c r="CF176" s="14">
        <f>[1]Sheet2!BJ175</f>
        <v>0</v>
      </c>
      <c r="CG176" s="14">
        <f>[1]Sheet2!BK175</f>
        <v>0</v>
      </c>
      <c r="CH176" s="14">
        <f>[1]Sheet2!BL175</f>
        <v>0</v>
      </c>
      <c r="CI176" s="14">
        <f>[1]Sheet2!BM175</f>
        <v>0</v>
      </c>
      <c r="CJ176" s="14">
        <f>[1]Sheet2!BN175</f>
        <v>0</v>
      </c>
      <c r="CK176" s="14">
        <f>[1]Sheet2!BO175</f>
        <v>0</v>
      </c>
      <c r="CL176" s="14">
        <f>[1]Sheet2!BP175</f>
        <v>0</v>
      </c>
      <c r="CM176" s="14">
        <f>[1]Sheet2!BQ175</f>
        <v>0</v>
      </c>
      <c r="CN176" s="16">
        <f>Demand_SW!B$8/30</f>
        <v>144.23076923076923</v>
      </c>
      <c r="CO176" s="16">
        <f>Demand_SW!C$8/30</f>
        <v>0</v>
      </c>
      <c r="CP176" s="16">
        <f>Demand_SW!D$8/30</f>
        <v>0</v>
      </c>
      <c r="CQ176" s="16">
        <f>Demand_SW!E$8/30</f>
        <v>0</v>
      </c>
      <c r="CR176" s="16">
        <f>Demand_SW!F$8/30</f>
        <v>0</v>
      </c>
      <c r="CS176" s="16">
        <f>Demand_SW!G$8/30</f>
        <v>144.23076923076923</v>
      </c>
      <c r="CT176" s="16">
        <f>Demand_SW!H$8/30</f>
        <v>0</v>
      </c>
      <c r="CU176" s="16">
        <f>Demand_SW!I$8/30</f>
        <v>0</v>
      </c>
      <c r="CV176" s="16">
        <f>Demand_SW!J$8/30</f>
        <v>0</v>
      </c>
      <c r="CW176" s="16">
        <f>Demand_SW!K$8/30</f>
        <v>0</v>
      </c>
      <c r="CX176" s="16">
        <f t="shared" si="86"/>
        <v>-18443.846153846167</v>
      </c>
      <c r="CY176" s="16">
        <f t="shared" si="87"/>
        <v>76.923076923077133</v>
      </c>
      <c r="CZ176" s="16">
        <f t="shared" si="88"/>
        <v>0</v>
      </c>
      <c r="DA176" s="16">
        <f t="shared" si="89"/>
        <v>0</v>
      </c>
      <c r="DB176" s="16">
        <f t="shared" si="90"/>
        <v>0</v>
      </c>
      <c r="DC176" s="16">
        <f t="shared" si="91"/>
        <v>-17973.076923076937</v>
      </c>
      <c r="DD176" s="16">
        <f t="shared" si="92"/>
        <v>76.923076923077133</v>
      </c>
      <c r="DE176" s="16">
        <f t="shared" si="93"/>
        <v>0</v>
      </c>
      <c r="DF176" s="16">
        <f t="shared" si="94"/>
        <v>0</v>
      </c>
      <c r="DG176" s="16">
        <f t="shared" si="95"/>
        <v>0</v>
      </c>
      <c r="DH176" s="14">
        <f>IF([1]Sheet2!DS175=999999,"NA",[1]Sheet2!DS175)</f>
        <v>0</v>
      </c>
      <c r="DI176" s="14">
        <f>IF([1]Sheet2!DT175=999999,"NA",[1]Sheet2!DT175)</f>
        <v>192</v>
      </c>
      <c r="DJ176" s="14" t="str">
        <f>IF([1]Sheet2!DU175=999999,"NA",[1]Sheet2!DU175)</f>
        <v>NA</v>
      </c>
      <c r="DK176" s="14" t="str">
        <f>IF([1]Sheet2!DV175=999999,"NA",[1]Sheet2!DV175)</f>
        <v>NA</v>
      </c>
      <c r="DL176" s="14" t="str">
        <f>IF([1]Sheet2!DW175=999999,"NA",[1]Sheet2!DW175)</f>
        <v>NA</v>
      </c>
      <c r="DM176" s="14">
        <f>IF([1]Sheet2!DX175=999999,"NA",[1]Sheet2!DX175)</f>
        <v>0</v>
      </c>
      <c r="DN176" s="14">
        <f>IF([1]Sheet2!DY175=999999,"NA",[1]Sheet2!DY175)</f>
        <v>192</v>
      </c>
      <c r="DO176" s="14" t="str">
        <f>IF([1]Sheet2!DZ175=999999,"NA",[1]Sheet2!DZ175)</f>
        <v>NA</v>
      </c>
      <c r="DP176" s="14" t="str">
        <f>IF([1]Sheet2!EA175=999999,"NA",[1]Sheet2!EA175)</f>
        <v>NA</v>
      </c>
      <c r="DQ176" s="14" t="str">
        <f>IF([1]Sheet2!EB175=999999,"NA",[1]Sheet2!EB175)</f>
        <v>NA</v>
      </c>
      <c r="DR176" s="14">
        <f>[1]Sheet2!CY175</f>
        <v>0</v>
      </c>
      <c r="DS176" s="14">
        <f>[1]Sheet2!CZ175</f>
        <v>0</v>
      </c>
      <c r="DT176" s="14">
        <f>[1]Sheet2!DA175</f>
        <v>0</v>
      </c>
      <c r="DU176" s="14">
        <f>[1]Sheet2!DB175</f>
        <v>0</v>
      </c>
      <c r="DV176" s="14">
        <f>[1]Sheet2!DC175</f>
        <v>0</v>
      </c>
      <c r="DW176" s="14">
        <f>[1]Sheet2!DD175</f>
        <v>0</v>
      </c>
      <c r="DX176" s="14">
        <f>[1]Sheet2!DE175</f>
        <v>0</v>
      </c>
      <c r="DY176" s="14">
        <f>[1]Sheet2!DF175</f>
        <v>0</v>
      </c>
      <c r="DZ176" s="14">
        <f>[1]Sheet2!DG175</f>
        <v>0</v>
      </c>
      <c r="EA176" s="14">
        <f>[1]Sheet2!DH175</f>
        <v>0</v>
      </c>
      <c r="EB176" s="6">
        <f>[1]Sheet2!EC175</f>
        <v>0</v>
      </c>
      <c r="EC176" s="6">
        <f>[1]Sheet2!ED175</f>
        <v>0</v>
      </c>
      <c r="ED176" s="6">
        <f>[1]Sheet2!EE175</f>
        <v>0</v>
      </c>
      <c r="EE176" s="6">
        <f>[1]Sheet2!EF175</f>
        <v>0</v>
      </c>
      <c r="EF176" s="6">
        <f>[1]Sheet2!EG175</f>
        <v>0</v>
      </c>
      <c r="EG176" s="6">
        <f>[1]Sheet2!EH175</f>
        <v>0</v>
      </c>
      <c r="EH176" s="6">
        <f>[1]Sheet2!EI175</f>
        <v>0</v>
      </c>
      <c r="EI176" s="6">
        <f>[1]Sheet2!EJ175</f>
        <v>0</v>
      </c>
      <c r="EJ176" s="6">
        <f>[1]Sheet2!EK175</f>
        <v>0</v>
      </c>
      <c r="EK176" s="6">
        <f>[1]Sheet2!EL175</f>
        <v>0</v>
      </c>
      <c r="EL176" s="6" t="str">
        <f>[1]Sheet2!EM175</f>
        <v/>
      </c>
      <c r="EM176" s="6" t="str">
        <f>[1]Sheet2!EN175</f>
        <v/>
      </c>
      <c r="EN176" s="6" t="str">
        <f>[1]Sheet2!EO175</f>
        <v/>
      </c>
      <c r="EO176" s="6" t="str">
        <f>[1]Sheet2!EP175</f>
        <v/>
      </c>
      <c r="EP176" s="6" t="str">
        <f>[1]Sheet2!EQ175</f>
        <v/>
      </c>
      <c r="EQ176" s="6" t="str">
        <f>[1]Sheet2!ER175</f>
        <v/>
      </c>
      <c r="ER176" s="6" t="str">
        <f>[1]Sheet2!ES175</f>
        <v/>
      </c>
      <c r="ES176" s="6" t="str">
        <f>[1]Sheet2!ET175</f>
        <v/>
      </c>
      <c r="ET176" s="6" t="str">
        <f>[1]Sheet2!EU175</f>
        <v/>
      </c>
      <c r="EU176" s="6" t="str">
        <f>[1]Sheet2!EV175</f>
        <v/>
      </c>
      <c r="EV176" s="6" t="str">
        <f>[1]Sheet2!EW175</f>
        <v/>
      </c>
      <c r="EW176" s="6" t="str">
        <f>[1]Sheet2!EX175</f>
        <v/>
      </c>
      <c r="EX176" s="6" t="str">
        <f>[1]Sheet2!EY175</f>
        <v/>
      </c>
      <c r="EY176" s="6" t="str">
        <f>[1]Sheet2!EZ175</f>
        <v/>
      </c>
      <c r="EZ176" s="6" t="str">
        <f>[1]Sheet2!FA175</f>
        <v/>
      </c>
      <c r="FA176" s="6" t="str">
        <f>[1]Sheet2!FB175</f>
        <v/>
      </c>
      <c r="FB176" s="6" t="str">
        <f>[1]Sheet2!FC175</f>
        <v/>
      </c>
      <c r="FC176" s="6" t="str">
        <f>[1]Sheet2!FD175</f>
        <v/>
      </c>
      <c r="FD176" s="6" t="str">
        <f>[1]Sheet2!FE175</f>
        <v/>
      </c>
      <c r="FE176" s="6" t="str">
        <f>[1]Sheet2!FF175</f>
        <v/>
      </c>
      <c r="FF176" s="6" t="str">
        <f>[1]Sheet2!FG175</f>
        <v/>
      </c>
      <c r="FG176" s="6" t="str">
        <f>[1]Sheet2!FH175</f>
        <v/>
      </c>
      <c r="FH176" s="6" t="str">
        <f>[1]Sheet2!FI175</f>
        <v/>
      </c>
      <c r="FI176" s="6" t="str">
        <f>[1]Sheet2!FJ175</f>
        <v/>
      </c>
      <c r="FJ176" s="6" t="str">
        <f>[1]Sheet2!FK175</f>
        <v/>
      </c>
      <c r="FK176" s="6" t="str">
        <f>[1]Sheet2!FL175</f>
        <v/>
      </c>
      <c r="FL176" s="6" t="str">
        <f>[1]Sheet2!FM175</f>
        <v/>
      </c>
      <c r="FM176" s="6" t="str">
        <f>[1]Sheet2!FN175</f>
        <v/>
      </c>
      <c r="FN176" s="6" t="str">
        <f>[1]Sheet2!FO175</f>
        <v/>
      </c>
      <c r="FO176" s="6" t="str">
        <f>[1]Sheet2!FP175</f>
        <v/>
      </c>
    </row>
    <row r="177" spans="1:171" x14ac:dyDescent="0.25">
      <c r="A177" s="15">
        <v>43639</v>
      </c>
      <c r="B177" s="1"/>
      <c r="C177" s="1"/>
      <c r="D177" s="1"/>
      <c r="E177" s="14">
        <f>[1]Sheet2!N176</f>
        <v>0</v>
      </c>
      <c r="F177" s="14">
        <f>[1]Sheet2!BE176</f>
        <v>0</v>
      </c>
      <c r="G177" s="14">
        <f>[1]Sheet2!CW176</f>
        <v>0</v>
      </c>
      <c r="H177" s="1"/>
      <c r="I177" s="1"/>
      <c r="J177" s="1"/>
      <c r="K177" s="16"/>
      <c r="L177" s="16">
        <f>Demand_CWRS!B$8/30</f>
        <v>124.86819391025641</v>
      </c>
      <c r="M177" s="16">
        <f>Demand_CWRS!C$8/30</f>
        <v>583.20512820512829</v>
      </c>
      <c r="N177" s="16">
        <f>Demand_CWRS!D$8/30</f>
        <v>0</v>
      </c>
      <c r="O177" s="16">
        <f>Demand_CWRS!E$8/30</f>
        <v>156.84829059829062</v>
      </c>
      <c r="P177" s="16">
        <f>Demand_CWRS!F$8/30</f>
        <v>252.39596314102559</v>
      </c>
      <c r="Q177" s="16">
        <f>Demand_CWRS!G$8/30</f>
        <v>124.86819391025641</v>
      </c>
      <c r="R177" s="16">
        <f>Demand_CWRS!H$8/30</f>
        <v>246.66666666666666</v>
      </c>
      <c r="S177" s="16">
        <f>Demand_CWRS!I$8/30</f>
        <v>246.66666666666666</v>
      </c>
      <c r="T177" s="16">
        <f>Demand_CWRS!J$8/30</f>
        <v>246.66666666666666</v>
      </c>
      <c r="U177" s="16">
        <f>Demand_CWRS!K$8/30</f>
        <v>246.66666666666666</v>
      </c>
      <c r="V177" s="16">
        <f t="shared" si="66"/>
        <v>-21486.684180024746</v>
      </c>
      <c r="W177" s="16">
        <f t="shared" si="67"/>
        <v>-79773.725641025405</v>
      </c>
      <c r="X177" s="16">
        <f t="shared" si="68"/>
        <v>0</v>
      </c>
      <c r="Y177" s="16">
        <f t="shared" si="69"/>
        <v>-12443.338515633441</v>
      </c>
      <c r="Z177" s="16">
        <f t="shared" si="70"/>
        <v>-35511.392092806724</v>
      </c>
      <c r="AA177" s="16">
        <f t="shared" si="71"/>
        <v>-20160.91103098631</v>
      </c>
      <c r="AB177" s="16">
        <f t="shared" si="72"/>
        <v>-39860.661943768209</v>
      </c>
      <c r="AC177" s="16">
        <f t="shared" si="73"/>
        <v>-34067.651687358019</v>
      </c>
      <c r="AD177" s="16">
        <f t="shared" si="74"/>
        <v>-34167.651687358011</v>
      </c>
      <c r="AE177" s="16">
        <f t="shared" si="75"/>
        <v>-34767.651687358004</v>
      </c>
      <c r="AF177" s="14">
        <f>IF([1]Sheet2!AJ176=999999,"NA",[1]Sheet2!AJ176)</f>
        <v>0</v>
      </c>
      <c r="AG177" s="14">
        <f>IF([1]Sheet2!AK176=999999,"NA",[1]Sheet2!AK176)</f>
        <v>0</v>
      </c>
      <c r="AH177" s="14" t="str">
        <f>IF([1]Sheet2!AL176=999999,"NA",[1]Sheet2!AL176)</f>
        <v>NA</v>
      </c>
      <c r="AI177" s="14">
        <f>IF([1]Sheet2!AM176=999999,"NA",[1]Sheet2!AM176)</f>
        <v>0</v>
      </c>
      <c r="AJ177" s="14">
        <f>IF([1]Sheet2!AN176=999999,"NA",[1]Sheet2!AN176)</f>
        <v>0</v>
      </c>
      <c r="AK177" s="14">
        <f>IF([1]Sheet2!AO176=999999,"NA",[1]Sheet2!AO176)</f>
        <v>0</v>
      </c>
      <c r="AL177" s="14">
        <f>IF([1]Sheet2!AP176=999999,"NA",[1]Sheet2!AP176)</f>
        <v>0</v>
      </c>
      <c r="AM177" s="14">
        <f>IF([1]Sheet2!AQ176=999999,"NA",[1]Sheet2!AQ176)</f>
        <v>0</v>
      </c>
      <c r="AN177" s="14">
        <f>IF([1]Sheet2!AR176=999999,"NA",[1]Sheet2!AR176)</f>
        <v>0</v>
      </c>
      <c r="AO177" s="14">
        <f>IF([1]Sheet2!AS176=999999,"NA",[1]Sheet2!AS176)</f>
        <v>0</v>
      </c>
      <c r="AP177" s="14">
        <f>[1]Sheet2!P176</f>
        <v>0</v>
      </c>
      <c r="AQ177" s="14">
        <f>[1]Sheet2!Q176</f>
        <v>0</v>
      </c>
      <c r="AR177" s="14">
        <f>[1]Sheet2!R176</f>
        <v>0</v>
      </c>
      <c r="AS177" s="14">
        <f>[1]Sheet2!S176</f>
        <v>0</v>
      </c>
      <c r="AT177" s="14">
        <f>[1]Sheet2!T176</f>
        <v>0</v>
      </c>
      <c r="AU177" s="14">
        <f>[1]Sheet2!U176</f>
        <v>0</v>
      </c>
      <c r="AV177" s="14">
        <f>[1]Sheet2!V176</f>
        <v>0</v>
      </c>
      <c r="AW177" s="14">
        <f>[1]Sheet2!W176</f>
        <v>0</v>
      </c>
      <c r="AX177" s="14">
        <f>[1]Sheet2!X176</f>
        <v>0</v>
      </c>
      <c r="AY177" s="14">
        <f>[1]Sheet2!Y176</f>
        <v>0</v>
      </c>
      <c r="AZ177" s="16">
        <f>Demand_LP!B$8/30</f>
        <v>807.81611164529909</v>
      </c>
      <c r="BA177" s="16">
        <f>Demand_LP!C$8/30</f>
        <v>574.48717948717956</v>
      </c>
      <c r="BB177" s="16">
        <f>Demand_LP!D$8/30</f>
        <v>339.04957264957267</v>
      </c>
      <c r="BC177" s="16">
        <f>Demand_LP!E$8/30</f>
        <v>830.46965811965799</v>
      </c>
      <c r="BD177" s="16">
        <f>Demand_LP!F$8/30</f>
        <v>476.67186805555554</v>
      </c>
      <c r="BE177" s="16">
        <f>Demand_LP!G$8/30</f>
        <v>476.67186805555554</v>
      </c>
      <c r="BF177" s="16">
        <f>Demand_LP!H$8/30</f>
        <v>574.48717948717956</v>
      </c>
      <c r="BG177" s="16">
        <f>Demand_LP!I$8/30</f>
        <v>476.67186805555554</v>
      </c>
      <c r="BH177" s="16">
        <f>Demand_LP!J$8/30</f>
        <v>476.67186805555554</v>
      </c>
      <c r="BI177" s="16">
        <f>Demand_LP!K$8/30</f>
        <v>476.67186805555554</v>
      </c>
      <c r="BJ177" s="16">
        <f t="shared" si="76"/>
        <v>-120530.9981413264</v>
      </c>
      <c r="BK177" s="16">
        <f t="shared" si="77"/>
        <v>-98164.684615384496</v>
      </c>
      <c r="BL177" s="16">
        <f t="shared" si="78"/>
        <v>-44318.259401709445</v>
      </c>
      <c r="BM177" s="16">
        <f t="shared" si="79"/>
        <v>-125748.61878719025</v>
      </c>
      <c r="BN177" s="16">
        <f t="shared" si="80"/>
        <v>-72444.343469984029</v>
      </c>
      <c r="BO177" s="16">
        <f t="shared" si="81"/>
        <v>-70902.027388354763</v>
      </c>
      <c r="BP177" s="16">
        <f t="shared" si="82"/>
        <v>-92522.264102564004</v>
      </c>
      <c r="BQ177" s="16">
        <f t="shared" si="83"/>
        <v>-70902.027388354763</v>
      </c>
      <c r="BR177" s="16">
        <f t="shared" si="84"/>
        <v>-68502.027388354807</v>
      </c>
      <c r="BS177" s="16">
        <f t="shared" si="85"/>
        <v>-69202.027388354792</v>
      </c>
      <c r="BT177" s="14">
        <f>IF([1]Sheet2!CB176=999999,"NA",[1]Sheet2!CB176)</f>
        <v>0</v>
      </c>
      <c r="BU177" s="14">
        <f>IF([1]Sheet2!CC176=999999,"NA",[1]Sheet2!CC176)</f>
        <v>0</v>
      </c>
      <c r="BV177" s="14">
        <f>IF([1]Sheet2!CD176=999999,"NA",[1]Sheet2!CD176)</f>
        <v>0</v>
      </c>
      <c r="BW177" s="14">
        <f>IF([1]Sheet2!CE176=999999,"NA",[1]Sheet2!CE176)</f>
        <v>0</v>
      </c>
      <c r="BX177" s="14">
        <f>IF([1]Sheet2!CF176=999999,"NA",[1]Sheet2!CF176)</f>
        <v>0</v>
      </c>
      <c r="BY177" s="14">
        <f>IF([1]Sheet2!CG176=999999,"NA",[1]Sheet2!CG176)</f>
        <v>0</v>
      </c>
      <c r="BZ177" s="14">
        <f>IF([1]Sheet2!CH176=999999,"NA",[1]Sheet2!CH176)</f>
        <v>0</v>
      </c>
      <c r="CA177" s="14">
        <f>IF([1]Sheet2!CI176=999999,"NA",[1]Sheet2!CI176)</f>
        <v>0</v>
      </c>
      <c r="CB177" s="14">
        <f>IF([1]Sheet2!CJ176=999999,"NA",[1]Sheet2!CJ176)</f>
        <v>0</v>
      </c>
      <c r="CC177" s="14">
        <f>IF([1]Sheet2!CK176=999999,"NA",[1]Sheet2!CK176)</f>
        <v>0</v>
      </c>
      <c r="CD177" s="14">
        <f>[1]Sheet2!BH176</f>
        <v>0</v>
      </c>
      <c r="CE177" s="14">
        <f>[1]Sheet2!BI176</f>
        <v>0</v>
      </c>
      <c r="CF177" s="14">
        <f>[1]Sheet2!BJ176</f>
        <v>0</v>
      </c>
      <c r="CG177" s="14">
        <f>[1]Sheet2!BK176</f>
        <v>0</v>
      </c>
      <c r="CH177" s="14">
        <f>[1]Sheet2!BL176</f>
        <v>0</v>
      </c>
      <c r="CI177" s="14">
        <f>[1]Sheet2!BM176</f>
        <v>0</v>
      </c>
      <c r="CJ177" s="14">
        <f>[1]Sheet2!BN176</f>
        <v>0</v>
      </c>
      <c r="CK177" s="14">
        <f>[1]Sheet2!BO176</f>
        <v>0</v>
      </c>
      <c r="CL177" s="14">
        <f>[1]Sheet2!BP176</f>
        <v>0</v>
      </c>
      <c r="CM177" s="14">
        <f>[1]Sheet2!BQ176</f>
        <v>0</v>
      </c>
      <c r="CN177" s="16">
        <f>Demand_SW!B$8/30</f>
        <v>144.23076923076923</v>
      </c>
      <c r="CO177" s="16">
        <f>Demand_SW!C$8/30</f>
        <v>0</v>
      </c>
      <c r="CP177" s="16">
        <f>Demand_SW!D$8/30</f>
        <v>0</v>
      </c>
      <c r="CQ177" s="16">
        <f>Demand_SW!E$8/30</f>
        <v>0</v>
      </c>
      <c r="CR177" s="16">
        <f>Demand_SW!F$8/30</f>
        <v>0</v>
      </c>
      <c r="CS177" s="16">
        <f>Demand_SW!G$8/30</f>
        <v>144.23076923076923</v>
      </c>
      <c r="CT177" s="16">
        <f>Demand_SW!H$8/30</f>
        <v>0</v>
      </c>
      <c r="CU177" s="16">
        <f>Demand_SW!I$8/30</f>
        <v>0</v>
      </c>
      <c r="CV177" s="16">
        <f>Demand_SW!J$8/30</f>
        <v>0</v>
      </c>
      <c r="CW177" s="16">
        <f>Demand_SW!K$8/30</f>
        <v>0</v>
      </c>
      <c r="CX177" s="16">
        <f t="shared" si="86"/>
        <v>-18588.076923076937</v>
      </c>
      <c r="CY177" s="16">
        <f t="shared" si="87"/>
        <v>76.923076923077133</v>
      </c>
      <c r="CZ177" s="16">
        <f t="shared" si="88"/>
        <v>0</v>
      </c>
      <c r="DA177" s="16">
        <f t="shared" si="89"/>
        <v>0</v>
      </c>
      <c r="DB177" s="16">
        <f t="shared" si="90"/>
        <v>0</v>
      </c>
      <c r="DC177" s="16">
        <f t="shared" si="91"/>
        <v>-18117.307692307706</v>
      </c>
      <c r="DD177" s="16">
        <f t="shared" si="92"/>
        <v>76.923076923077133</v>
      </c>
      <c r="DE177" s="16">
        <f t="shared" si="93"/>
        <v>0</v>
      </c>
      <c r="DF177" s="16">
        <f t="shared" si="94"/>
        <v>0</v>
      </c>
      <c r="DG177" s="16">
        <f t="shared" si="95"/>
        <v>0</v>
      </c>
      <c r="DH177" s="14">
        <f>IF([1]Sheet2!DS176=999999,"NA",[1]Sheet2!DS176)</f>
        <v>0</v>
      </c>
      <c r="DI177" s="14">
        <f>IF([1]Sheet2!DT176=999999,"NA",[1]Sheet2!DT176)</f>
        <v>191</v>
      </c>
      <c r="DJ177" s="14" t="str">
        <f>IF([1]Sheet2!DU176=999999,"NA",[1]Sheet2!DU176)</f>
        <v>NA</v>
      </c>
      <c r="DK177" s="14" t="str">
        <f>IF([1]Sheet2!DV176=999999,"NA",[1]Sheet2!DV176)</f>
        <v>NA</v>
      </c>
      <c r="DL177" s="14" t="str">
        <f>IF([1]Sheet2!DW176=999999,"NA",[1]Sheet2!DW176)</f>
        <v>NA</v>
      </c>
      <c r="DM177" s="14">
        <f>IF([1]Sheet2!DX176=999999,"NA",[1]Sheet2!DX176)</f>
        <v>0</v>
      </c>
      <c r="DN177" s="14">
        <f>IF([1]Sheet2!DY176=999999,"NA",[1]Sheet2!DY176)</f>
        <v>191</v>
      </c>
      <c r="DO177" s="14" t="str">
        <f>IF([1]Sheet2!DZ176=999999,"NA",[1]Sheet2!DZ176)</f>
        <v>NA</v>
      </c>
      <c r="DP177" s="14" t="str">
        <f>IF([1]Sheet2!EA176=999999,"NA",[1]Sheet2!EA176)</f>
        <v>NA</v>
      </c>
      <c r="DQ177" s="14" t="str">
        <f>IF([1]Sheet2!EB176=999999,"NA",[1]Sheet2!EB176)</f>
        <v>NA</v>
      </c>
      <c r="DR177" s="14">
        <f>[1]Sheet2!CY176</f>
        <v>0</v>
      </c>
      <c r="DS177" s="14">
        <f>[1]Sheet2!CZ176</f>
        <v>0</v>
      </c>
      <c r="DT177" s="14">
        <f>[1]Sheet2!DA176</f>
        <v>0</v>
      </c>
      <c r="DU177" s="14">
        <f>[1]Sheet2!DB176</f>
        <v>0</v>
      </c>
      <c r="DV177" s="14">
        <f>[1]Sheet2!DC176</f>
        <v>0</v>
      </c>
      <c r="DW177" s="14">
        <f>[1]Sheet2!DD176</f>
        <v>0</v>
      </c>
      <c r="DX177" s="14">
        <f>[1]Sheet2!DE176</f>
        <v>0</v>
      </c>
      <c r="DY177" s="14">
        <f>[1]Sheet2!DF176</f>
        <v>0</v>
      </c>
      <c r="DZ177" s="14">
        <f>[1]Sheet2!DG176</f>
        <v>0</v>
      </c>
      <c r="EA177" s="14">
        <f>[1]Sheet2!DH176</f>
        <v>0</v>
      </c>
      <c r="EB177" s="6">
        <f>[1]Sheet2!EC176</f>
        <v>0</v>
      </c>
      <c r="EC177" s="6">
        <f>[1]Sheet2!ED176</f>
        <v>0</v>
      </c>
      <c r="ED177" s="6">
        <f>[1]Sheet2!EE176</f>
        <v>0</v>
      </c>
      <c r="EE177" s="6">
        <f>[1]Sheet2!EF176</f>
        <v>0</v>
      </c>
      <c r="EF177" s="6">
        <f>[1]Sheet2!EG176</f>
        <v>0</v>
      </c>
      <c r="EG177" s="6">
        <f>[1]Sheet2!EH176</f>
        <v>0</v>
      </c>
      <c r="EH177" s="6">
        <f>[1]Sheet2!EI176</f>
        <v>0</v>
      </c>
      <c r="EI177" s="6">
        <f>[1]Sheet2!EJ176</f>
        <v>0</v>
      </c>
      <c r="EJ177" s="6">
        <f>[1]Sheet2!EK176</f>
        <v>0</v>
      </c>
      <c r="EK177" s="6">
        <f>[1]Sheet2!EL176</f>
        <v>0</v>
      </c>
      <c r="EL177" s="6" t="str">
        <f>[1]Sheet2!EM176</f>
        <v/>
      </c>
      <c r="EM177" s="6" t="str">
        <f>[1]Sheet2!EN176</f>
        <v/>
      </c>
      <c r="EN177" s="6" t="str">
        <f>[1]Sheet2!EO176</f>
        <v/>
      </c>
      <c r="EO177" s="6" t="str">
        <f>[1]Sheet2!EP176</f>
        <v/>
      </c>
      <c r="EP177" s="6" t="str">
        <f>[1]Sheet2!EQ176</f>
        <v/>
      </c>
      <c r="EQ177" s="6" t="str">
        <f>[1]Sheet2!ER176</f>
        <v/>
      </c>
      <c r="ER177" s="6" t="str">
        <f>[1]Sheet2!ES176</f>
        <v/>
      </c>
      <c r="ES177" s="6" t="str">
        <f>[1]Sheet2!ET176</f>
        <v/>
      </c>
      <c r="ET177" s="6" t="str">
        <f>[1]Sheet2!EU176</f>
        <v/>
      </c>
      <c r="EU177" s="6" t="str">
        <f>[1]Sheet2!EV176</f>
        <v/>
      </c>
      <c r="EV177" s="6" t="str">
        <f>[1]Sheet2!EW176</f>
        <v/>
      </c>
      <c r="EW177" s="6" t="str">
        <f>[1]Sheet2!EX176</f>
        <v/>
      </c>
      <c r="EX177" s="6" t="str">
        <f>[1]Sheet2!EY176</f>
        <v/>
      </c>
      <c r="EY177" s="6" t="str">
        <f>[1]Sheet2!EZ176</f>
        <v/>
      </c>
      <c r="EZ177" s="6" t="str">
        <f>[1]Sheet2!FA176</f>
        <v/>
      </c>
      <c r="FA177" s="6" t="str">
        <f>[1]Sheet2!FB176</f>
        <v/>
      </c>
      <c r="FB177" s="6" t="str">
        <f>[1]Sheet2!FC176</f>
        <v/>
      </c>
      <c r="FC177" s="6" t="str">
        <f>[1]Sheet2!FD176</f>
        <v/>
      </c>
      <c r="FD177" s="6" t="str">
        <f>[1]Sheet2!FE176</f>
        <v/>
      </c>
      <c r="FE177" s="6" t="str">
        <f>[1]Sheet2!FF176</f>
        <v/>
      </c>
      <c r="FF177" s="6" t="str">
        <f>[1]Sheet2!FG176</f>
        <v/>
      </c>
      <c r="FG177" s="6" t="str">
        <f>[1]Sheet2!FH176</f>
        <v/>
      </c>
      <c r="FH177" s="6" t="str">
        <f>[1]Sheet2!FI176</f>
        <v/>
      </c>
      <c r="FI177" s="6" t="str">
        <f>[1]Sheet2!FJ176</f>
        <v/>
      </c>
      <c r="FJ177" s="6" t="str">
        <f>[1]Sheet2!FK176</f>
        <v/>
      </c>
      <c r="FK177" s="6" t="str">
        <f>[1]Sheet2!FL176</f>
        <v/>
      </c>
      <c r="FL177" s="6" t="str">
        <f>[1]Sheet2!FM176</f>
        <v/>
      </c>
      <c r="FM177" s="6" t="str">
        <f>[1]Sheet2!FN176</f>
        <v/>
      </c>
      <c r="FN177" s="6" t="str">
        <f>[1]Sheet2!FO176</f>
        <v/>
      </c>
      <c r="FO177" s="6" t="str">
        <f>[1]Sheet2!FP176</f>
        <v/>
      </c>
    </row>
    <row r="178" spans="1:171" x14ac:dyDescent="0.25">
      <c r="A178" s="15">
        <v>43640</v>
      </c>
      <c r="B178" s="1"/>
      <c r="C178" s="1"/>
      <c r="D178" s="1"/>
      <c r="E178" s="14">
        <f>[1]Sheet2!N177</f>
        <v>0</v>
      </c>
      <c r="F178" s="14">
        <f>[1]Sheet2!BE177</f>
        <v>0</v>
      </c>
      <c r="G178" s="14">
        <f>[1]Sheet2!CW177</f>
        <v>0</v>
      </c>
      <c r="H178" s="1"/>
      <c r="I178" s="1"/>
      <c r="J178" s="1"/>
      <c r="K178" s="16"/>
      <c r="L178" s="16">
        <f>Demand_CWRS!B$8/30</f>
        <v>124.86819391025641</v>
      </c>
      <c r="M178" s="16">
        <f>Demand_CWRS!C$8/30</f>
        <v>583.20512820512829</v>
      </c>
      <c r="N178" s="16">
        <f>Demand_CWRS!D$8/30</f>
        <v>0</v>
      </c>
      <c r="O178" s="16">
        <f>Demand_CWRS!E$8/30</f>
        <v>156.84829059829062</v>
      </c>
      <c r="P178" s="16">
        <f>Demand_CWRS!F$8/30</f>
        <v>252.39596314102559</v>
      </c>
      <c r="Q178" s="16">
        <f>Demand_CWRS!G$8/30</f>
        <v>124.86819391025641</v>
      </c>
      <c r="R178" s="16">
        <f>Demand_CWRS!H$8/30</f>
        <v>246.66666666666666</v>
      </c>
      <c r="S178" s="16">
        <f>Demand_CWRS!I$8/30</f>
        <v>246.66666666666666</v>
      </c>
      <c r="T178" s="16">
        <f>Demand_CWRS!J$8/30</f>
        <v>246.66666666666666</v>
      </c>
      <c r="U178" s="16">
        <f>Demand_CWRS!K$8/30</f>
        <v>246.66666666666666</v>
      </c>
      <c r="V178" s="16">
        <f t="shared" si="66"/>
        <v>-21611.552373935003</v>
      </c>
      <c r="W178" s="16">
        <f t="shared" si="67"/>
        <v>-80356.93076923053</v>
      </c>
      <c r="X178" s="16">
        <f t="shared" si="68"/>
        <v>0</v>
      </c>
      <c r="Y178" s="16">
        <f t="shared" si="69"/>
        <v>-12600.186806231732</v>
      </c>
      <c r="Z178" s="16">
        <f t="shared" si="70"/>
        <v>-35763.788055947749</v>
      </c>
      <c r="AA178" s="16">
        <f t="shared" si="71"/>
        <v>-20285.779224896567</v>
      </c>
      <c r="AB178" s="16">
        <f t="shared" si="72"/>
        <v>-40107.328610434874</v>
      </c>
      <c r="AC178" s="16">
        <f t="shared" si="73"/>
        <v>-34314.318354024683</v>
      </c>
      <c r="AD178" s="16">
        <f t="shared" si="74"/>
        <v>-34414.318354024676</v>
      </c>
      <c r="AE178" s="16">
        <f t="shared" si="75"/>
        <v>-35014.318354024668</v>
      </c>
      <c r="AF178" s="14">
        <f>IF([1]Sheet2!AJ177=999999,"NA",[1]Sheet2!AJ177)</f>
        <v>0</v>
      </c>
      <c r="AG178" s="14">
        <f>IF([1]Sheet2!AK177=999999,"NA",[1]Sheet2!AK177)</f>
        <v>0</v>
      </c>
      <c r="AH178" s="14" t="str">
        <f>IF([1]Sheet2!AL177=999999,"NA",[1]Sheet2!AL177)</f>
        <v>NA</v>
      </c>
      <c r="AI178" s="14">
        <f>IF([1]Sheet2!AM177=999999,"NA",[1]Sheet2!AM177)</f>
        <v>0</v>
      </c>
      <c r="AJ178" s="14">
        <f>IF([1]Sheet2!AN177=999999,"NA",[1]Sheet2!AN177)</f>
        <v>0</v>
      </c>
      <c r="AK178" s="14">
        <f>IF([1]Sheet2!AO177=999999,"NA",[1]Sheet2!AO177)</f>
        <v>0</v>
      </c>
      <c r="AL178" s="14">
        <f>IF([1]Sheet2!AP177=999999,"NA",[1]Sheet2!AP177)</f>
        <v>0</v>
      </c>
      <c r="AM178" s="14">
        <f>IF([1]Sheet2!AQ177=999999,"NA",[1]Sheet2!AQ177)</f>
        <v>0</v>
      </c>
      <c r="AN178" s="14">
        <f>IF([1]Sheet2!AR177=999999,"NA",[1]Sheet2!AR177)</f>
        <v>0</v>
      </c>
      <c r="AO178" s="14">
        <f>IF([1]Sheet2!AS177=999999,"NA",[1]Sheet2!AS177)</f>
        <v>0</v>
      </c>
      <c r="AP178" s="14">
        <f>[1]Sheet2!P177</f>
        <v>0</v>
      </c>
      <c r="AQ178" s="14">
        <f>[1]Sheet2!Q177</f>
        <v>0</v>
      </c>
      <c r="AR178" s="14">
        <f>[1]Sheet2!R177</f>
        <v>0</v>
      </c>
      <c r="AS178" s="14">
        <f>[1]Sheet2!S177</f>
        <v>0</v>
      </c>
      <c r="AT178" s="14">
        <f>[1]Sheet2!T177</f>
        <v>0</v>
      </c>
      <c r="AU178" s="14">
        <f>[1]Sheet2!U177</f>
        <v>0</v>
      </c>
      <c r="AV178" s="14">
        <f>[1]Sheet2!V177</f>
        <v>0</v>
      </c>
      <c r="AW178" s="14">
        <f>[1]Sheet2!W177</f>
        <v>0</v>
      </c>
      <c r="AX178" s="14">
        <f>[1]Sheet2!X177</f>
        <v>0</v>
      </c>
      <c r="AY178" s="14">
        <f>[1]Sheet2!Y177</f>
        <v>0</v>
      </c>
      <c r="AZ178" s="16">
        <f>Demand_LP!B$8/30</f>
        <v>807.81611164529909</v>
      </c>
      <c r="BA178" s="16">
        <f>Demand_LP!C$8/30</f>
        <v>574.48717948717956</v>
      </c>
      <c r="BB178" s="16">
        <f>Demand_LP!D$8/30</f>
        <v>339.04957264957267</v>
      </c>
      <c r="BC178" s="16">
        <f>Demand_LP!E$8/30</f>
        <v>830.46965811965799</v>
      </c>
      <c r="BD178" s="16">
        <f>Demand_LP!F$8/30</f>
        <v>476.67186805555554</v>
      </c>
      <c r="BE178" s="16">
        <f>Demand_LP!G$8/30</f>
        <v>476.67186805555554</v>
      </c>
      <c r="BF178" s="16">
        <f>Demand_LP!H$8/30</f>
        <v>574.48717948717956</v>
      </c>
      <c r="BG178" s="16">
        <f>Demand_LP!I$8/30</f>
        <v>476.67186805555554</v>
      </c>
      <c r="BH178" s="16">
        <f>Demand_LP!J$8/30</f>
        <v>476.67186805555554</v>
      </c>
      <c r="BI178" s="16">
        <f>Demand_LP!K$8/30</f>
        <v>476.67186805555554</v>
      </c>
      <c r="BJ178" s="16">
        <f t="shared" si="76"/>
        <v>-121338.8142529717</v>
      </c>
      <c r="BK178" s="16">
        <f t="shared" si="77"/>
        <v>-98739.171794871669</v>
      </c>
      <c r="BL178" s="16">
        <f t="shared" si="78"/>
        <v>-44657.308974359017</v>
      </c>
      <c r="BM178" s="16">
        <f t="shared" si="79"/>
        <v>-126579.08844530991</v>
      </c>
      <c r="BN178" s="16">
        <f t="shared" si="80"/>
        <v>-72921.015338039579</v>
      </c>
      <c r="BO178" s="16">
        <f t="shared" si="81"/>
        <v>-71378.699256410313</v>
      </c>
      <c r="BP178" s="16">
        <f t="shared" si="82"/>
        <v>-93096.751282051177</v>
      </c>
      <c r="BQ178" s="16">
        <f t="shared" si="83"/>
        <v>-71378.699256410313</v>
      </c>
      <c r="BR178" s="16">
        <f t="shared" si="84"/>
        <v>-68978.699256410357</v>
      </c>
      <c r="BS178" s="16">
        <f t="shared" si="85"/>
        <v>-69678.699256410342</v>
      </c>
      <c r="BT178" s="14">
        <f>IF([1]Sheet2!CB177=999999,"NA",[1]Sheet2!CB177)</f>
        <v>0</v>
      </c>
      <c r="BU178" s="14">
        <f>IF([1]Sheet2!CC177=999999,"NA",[1]Sheet2!CC177)</f>
        <v>0</v>
      </c>
      <c r="BV178" s="14">
        <f>IF([1]Sheet2!CD177=999999,"NA",[1]Sheet2!CD177)</f>
        <v>0</v>
      </c>
      <c r="BW178" s="14">
        <f>IF([1]Sheet2!CE177=999999,"NA",[1]Sheet2!CE177)</f>
        <v>0</v>
      </c>
      <c r="BX178" s="14">
        <f>IF([1]Sheet2!CF177=999999,"NA",[1]Sheet2!CF177)</f>
        <v>0</v>
      </c>
      <c r="BY178" s="14">
        <f>IF([1]Sheet2!CG177=999999,"NA",[1]Sheet2!CG177)</f>
        <v>0</v>
      </c>
      <c r="BZ178" s="14">
        <f>IF([1]Sheet2!CH177=999999,"NA",[1]Sheet2!CH177)</f>
        <v>0</v>
      </c>
      <c r="CA178" s="14">
        <f>IF([1]Sheet2!CI177=999999,"NA",[1]Sheet2!CI177)</f>
        <v>0</v>
      </c>
      <c r="CB178" s="14">
        <f>IF([1]Sheet2!CJ177=999999,"NA",[1]Sheet2!CJ177)</f>
        <v>0</v>
      </c>
      <c r="CC178" s="14">
        <f>IF([1]Sheet2!CK177=999999,"NA",[1]Sheet2!CK177)</f>
        <v>0</v>
      </c>
      <c r="CD178" s="14">
        <f>[1]Sheet2!BH177</f>
        <v>0</v>
      </c>
      <c r="CE178" s="14">
        <f>[1]Sheet2!BI177</f>
        <v>0</v>
      </c>
      <c r="CF178" s="14">
        <f>[1]Sheet2!BJ177</f>
        <v>0</v>
      </c>
      <c r="CG178" s="14">
        <f>[1]Sheet2!BK177</f>
        <v>0</v>
      </c>
      <c r="CH178" s="14">
        <f>[1]Sheet2!BL177</f>
        <v>0</v>
      </c>
      <c r="CI178" s="14">
        <f>[1]Sheet2!BM177</f>
        <v>0</v>
      </c>
      <c r="CJ178" s="14">
        <f>[1]Sheet2!BN177</f>
        <v>0</v>
      </c>
      <c r="CK178" s="14">
        <f>[1]Sheet2!BO177</f>
        <v>0</v>
      </c>
      <c r="CL178" s="14">
        <f>[1]Sheet2!BP177</f>
        <v>0</v>
      </c>
      <c r="CM178" s="14">
        <f>[1]Sheet2!BQ177</f>
        <v>0</v>
      </c>
      <c r="CN178" s="16">
        <f>Demand_SW!B$8/30</f>
        <v>144.23076923076923</v>
      </c>
      <c r="CO178" s="16">
        <f>Demand_SW!C$8/30</f>
        <v>0</v>
      </c>
      <c r="CP178" s="16">
        <f>Demand_SW!D$8/30</f>
        <v>0</v>
      </c>
      <c r="CQ178" s="16">
        <f>Demand_SW!E$8/30</f>
        <v>0</v>
      </c>
      <c r="CR178" s="16">
        <f>Demand_SW!F$8/30</f>
        <v>0</v>
      </c>
      <c r="CS178" s="16">
        <f>Demand_SW!G$8/30</f>
        <v>144.23076923076923</v>
      </c>
      <c r="CT178" s="16">
        <f>Demand_SW!H$8/30</f>
        <v>0</v>
      </c>
      <c r="CU178" s="16">
        <f>Demand_SW!I$8/30</f>
        <v>0</v>
      </c>
      <c r="CV178" s="16">
        <f>Demand_SW!J$8/30</f>
        <v>0</v>
      </c>
      <c r="CW178" s="16">
        <f>Demand_SW!K$8/30</f>
        <v>0</v>
      </c>
      <c r="CX178" s="16">
        <f t="shared" si="86"/>
        <v>-18732.307692307706</v>
      </c>
      <c r="CY178" s="16">
        <f t="shared" si="87"/>
        <v>76.923076923077133</v>
      </c>
      <c r="CZ178" s="16">
        <f t="shared" si="88"/>
        <v>0</v>
      </c>
      <c r="DA178" s="16">
        <f t="shared" si="89"/>
        <v>0</v>
      </c>
      <c r="DB178" s="16">
        <f t="shared" si="90"/>
        <v>0</v>
      </c>
      <c r="DC178" s="16">
        <f t="shared" si="91"/>
        <v>-18261.538461538476</v>
      </c>
      <c r="DD178" s="16">
        <f t="shared" si="92"/>
        <v>76.923076923077133</v>
      </c>
      <c r="DE178" s="16">
        <f t="shared" si="93"/>
        <v>0</v>
      </c>
      <c r="DF178" s="16">
        <f t="shared" si="94"/>
        <v>0</v>
      </c>
      <c r="DG178" s="16">
        <f t="shared" si="95"/>
        <v>0</v>
      </c>
      <c r="DH178" s="14">
        <f>IF([1]Sheet2!DS177=999999,"NA",[1]Sheet2!DS177)</f>
        <v>0</v>
      </c>
      <c r="DI178" s="14">
        <f>IF([1]Sheet2!DT177=999999,"NA",[1]Sheet2!DT177)</f>
        <v>190</v>
      </c>
      <c r="DJ178" s="14" t="str">
        <f>IF([1]Sheet2!DU177=999999,"NA",[1]Sheet2!DU177)</f>
        <v>NA</v>
      </c>
      <c r="DK178" s="14" t="str">
        <f>IF([1]Sheet2!DV177=999999,"NA",[1]Sheet2!DV177)</f>
        <v>NA</v>
      </c>
      <c r="DL178" s="14" t="str">
        <f>IF([1]Sheet2!DW177=999999,"NA",[1]Sheet2!DW177)</f>
        <v>NA</v>
      </c>
      <c r="DM178" s="14">
        <f>IF([1]Sheet2!DX177=999999,"NA",[1]Sheet2!DX177)</f>
        <v>0</v>
      </c>
      <c r="DN178" s="14">
        <f>IF([1]Sheet2!DY177=999999,"NA",[1]Sheet2!DY177)</f>
        <v>190</v>
      </c>
      <c r="DO178" s="14" t="str">
        <f>IF([1]Sheet2!DZ177=999999,"NA",[1]Sheet2!DZ177)</f>
        <v>NA</v>
      </c>
      <c r="DP178" s="14" t="str">
        <f>IF([1]Sheet2!EA177=999999,"NA",[1]Sheet2!EA177)</f>
        <v>NA</v>
      </c>
      <c r="DQ178" s="14" t="str">
        <f>IF([1]Sheet2!EB177=999999,"NA",[1]Sheet2!EB177)</f>
        <v>NA</v>
      </c>
      <c r="DR178" s="14">
        <f>[1]Sheet2!CY177</f>
        <v>0</v>
      </c>
      <c r="DS178" s="14">
        <f>[1]Sheet2!CZ177</f>
        <v>0</v>
      </c>
      <c r="DT178" s="14">
        <f>[1]Sheet2!DA177</f>
        <v>0</v>
      </c>
      <c r="DU178" s="14">
        <f>[1]Sheet2!DB177</f>
        <v>0</v>
      </c>
      <c r="DV178" s="14">
        <f>[1]Sheet2!DC177</f>
        <v>0</v>
      </c>
      <c r="DW178" s="14">
        <f>[1]Sheet2!DD177</f>
        <v>0</v>
      </c>
      <c r="DX178" s="14">
        <f>[1]Sheet2!DE177</f>
        <v>0</v>
      </c>
      <c r="DY178" s="14">
        <f>[1]Sheet2!DF177</f>
        <v>0</v>
      </c>
      <c r="DZ178" s="14">
        <f>[1]Sheet2!DG177</f>
        <v>0</v>
      </c>
      <c r="EA178" s="14">
        <f>[1]Sheet2!DH177</f>
        <v>0</v>
      </c>
      <c r="EB178" s="6">
        <f>[1]Sheet2!EC177</f>
        <v>0</v>
      </c>
      <c r="EC178" s="6">
        <f>[1]Sheet2!ED177</f>
        <v>0</v>
      </c>
      <c r="ED178" s="6">
        <f>[1]Sheet2!EE177</f>
        <v>0</v>
      </c>
      <c r="EE178" s="6">
        <f>[1]Sheet2!EF177</f>
        <v>0</v>
      </c>
      <c r="EF178" s="6">
        <f>[1]Sheet2!EG177</f>
        <v>0</v>
      </c>
      <c r="EG178" s="6">
        <f>[1]Sheet2!EH177</f>
        <v>0</v>
      </c>
      <c r="EH178" s="6">
        <f>[1]Sheet2!EI177</f>
        <v>0</v>
      </c>
      <c r="EI178" s="6">
        <f>[1]Sheet2!EJ177</f>
        <v>0</v>
      </c>
      <c r="EJ178" s="6">
        <f>[1]Sheet2!EK177</f>
        <v>0</v>
      </c>
      <c r="EK178" s="6">
        <f>[1]Sheet2!EL177</f>
        <v>0</v>
      </c>
      <c r="EL178" s="6" t="str">
        <f>[1]Sheet2!EM177</f>
        <v/>
      </c>
      <c r="EM178" s="6" t="str">
        <f>[1]Sheet2!EN177</f>
        <v/>
      </c>
      <c r="EN178" s="6" t="str">
        <f>[1]Sheet2!EO177</f>
        <v/>
      </c>
      <c r="EO178" s="6" t="str">
        <f>[1]Sheet2!EP177</f>
        <v/>
      </c>
      <c r="EP178" s="6" t="str">
        <f>[1]Sheet2!EQ177</f>
        <v/>
      </c>
      <c r="EQ178" s="6" t="str">
        <f>[1]Sheet2!ER177</f>
        <v/>
      </c>
      <c r="ER178" s="6" t="str">
        <f>[1]Sheet2!ES177</f>
        <v/>
      </c>
      <c r="ES178" s="6" t="str">
        <f>[1]Sheet2!ET177</f>
        <v/>
      </c>
      <c r="ET178" s="6" t="str">
        <f>[1]Sheet2!EU177</f>
        <v/>
      </c>
      <c r="EU178" s="6" t="str">
        <f>[1]Sheet2!EV177</f>
        <v/>
      </c>
      <c r="EV178" s="6" t="str">
        <f>[1]Sheet2!EW177</f>
        <v/>
      </c>
      <c r="EW178" s="6" t="str">
        <f>[1]Sheet2!EX177</f>
        <v/>
      </c>
      <c r="EX178" s="6" t="str">
        <f>[1]Sheet2!EY177</f>
        <v/>
      </c>
      <c r="EY178" s="6" t="str">
        <f>[1]Sheet2!EZ177</f>
        <v/>
      </c>
      <c r="EZ178" s="6" t="str">
        <f>[1]Sheet2!FA177</f>
        <v/>
      </c>
      <c r="FA178" s="6" t="str">
        <f>[1]Sheet2!FB177</f>
        <v/>
      </c>
      <c r="FB178" s="6" t="str">
        <f>[1]Sheet2!FC177</f>
        <v/>
      </c>
      <c r="FC178" s="6" t="str">
        <f>[1]Sheet2!FD177</f>
        <v/>
      </c>
      <c r="FD178" s="6" t="str">
        <f>[1]Sheet2!FE177</f>
        <v/>
      </c>
      <c r="FE178" s="6" t="str">
        <f>[1]Sheet2!FF177</f>
        <v/>
      </c>
      <c r="FF178" s="6" t="str">
        <f>[1]Sheet2!FG177</f>
        <v/>
      </c>
      <c r="FG178" s="6" t="str">
        <f>[1]Sheet2!FH177</f>
        <v/>
      </c>
      <c r="FH178" s="6" t="str">
        <f>[1]Sheet2!FI177</f>
        <v/>
      </c>
      <c r="FI178" s="6" t="str">
        <f>[1]Sheet2!FJ177</f>
        <v/>
      </c>
      <c r="FJ178" s="6" t="str">
        <f>[1]Sheet2!FK177</f>
        <v/>
      </c>
      <c r="FK178" s="6" t="str">
        <f>[1]Sheet2!FL177</f>
        <v/>
      </c>
      <c r="FL178" s="6" t="str">
        <f>[1]Sheet2!FM177</f>
        <v/>
      </c>
      <c r="FM178" s="6" t="str">
        <f>[1]Sheet2!FN177</f>
        <v/>
      </c>
      <c r="FN178" s="6" t="str">
        <f>[1]Sheet2!FO177</f>
        <v/>
      </c>
      <c r="FO178" s="6" t="str">
        <f>[1]Sheet2!FP177</f>
        <v/>
      </c>
    </row>
    <row r="179" spans="1:171" x14ac:dyDescent="0.25">
      <c r="A179" s="15">
        <v>43641</v>
      </c>
      <c r="B179" s="1"/>
      <c r="C179" s="1"/>
      <c r="D179" s="1"/>
      <c r="E179" s="14">
        <f>[1]Sheet2!N178</f>
        <v>0</v>
      </c>
      <c r="F179" s="14">
        <f>[1]Sheet2!BE178</f>
        <v>0</v>
      </c>
      <c r="G179" s="14">
        <f>[1]Sheet2!CW178</f>
        <v>0</v>
      </c>
      <c r="H179" s="1"/>
      <c r="I179" s="1"/>
      <c r="J179" s="1"/>
      <c r="K179" s="16"/>
      <c r="L179" s="16">
        <f>Demand_CWRS!B$8/30</f>
        <v>124.86819391025641</v>
      </c>
      <c r="M179" s="16">
        <f>Demand_CWRS!C$8/30</f>
        <v>583.20512820512829</v>
      </c>
      <c r="N179" s="16">
        <f>Demand_CWRS!D$8/30</f>
        <v>0</v>
      </c>
      <c r="O179" s="16">
        <f>Demand_CWRS!E$8/30</f>
        <v>156.84829059829062</v>
      </c>
      <c r="P179" s="16">
        <f>Demand_CWRS!F$8/30</f>
        <v>252.39596314102559</v>
      </c>
      <c r="Q179" s="16">
        <f>Demand_CWRS!G$8/30</f>
        <v>124.86819391025641</v>
      </c>
      <c r="R179" s="16">
        <f>Demand_CWRS!H$8/30</f>
        <v>246.66666666666666</v>
      </c>
      <c r="S179" s="16">
        <f>Demand_CWRS!I$8/30</f>
        <v>246.66666666666666</v>
      </c>
      <c r="T179" s="16">
        <f>Demand_CWRS!J$8/30</f>
        <v>246.66666666666666</v>
      </c>
      <c r="U179" s="16">
        <f>Demand_CWRS!K$8/30</f>
        <v>246.66666666666666</v>
      </c>
      <c r="V179" s="16">
        <f t="shared" si="66"/>
        <v>-21736.42056784526</v>
      </c>
      <c r="W179" s="16">
        <f t="shared" si="67"/>
        <v>-80940.135897435655</v>
      </c>
      <c r="X179" s="16">
        <f t="shared" si="68"/>
        <v>0</v>
      </c>
      <c r="Y179" s="16">
        <f t="shared" si="69"/>
        <v>-12757.035096830023</v>
      </c>
      <c r="Z179" s="16">
        <f t="shared" si="70"/>
        <v>-36016.184019088774</v>
      </c>
      <c r="AA179" s="16">
        <f t="shared" si="71"/>
        <v>-20410.647418806824</v>
      </c>
      <c r="AB179" s="16">
        <f t="shared" si="72"/>
        <v>-40353.995277101538</v>
      </c>
      <c r="AC179" s="16">
        <f t="shared" si="73"/>
        <v>-34560.985020691347</v>
      </c>
      <c r="AD179" s="16">
        <f t="shared" si="74"/>
        <v>-34660.98502069134</v>
      </c>
      <c r="AE179" s="16">
        <f t="shared" si="75"/>
        <v>-35260.985020691332</v>
      </c>
      <c r="AF179" s="14">
        <f>IF([1]Sheet2!AJ178=999999,"NA",[1]Sheet2!AJ178)</f>
        <v>0</v>
      </c>
      <c r="AG179" s="14">
        <f>IF([1]Sheet2!AK178=999999,"NA",[1]Sheet2!AK178)</f>
        <v>0</v>
      </c>
      <c r="AH179" s="14" t="str">
        <f>IF([1]Sheet2!AL178=999999,"NA",[1]Sheet2!AL178)</f>
        <v>NA</v>
      </c>
      <c r="AI179" s="14">
        <f>IF([1]Sheet2!AM178=999999,"NA",[1]Sheet2!AM178)</f>
        <v>0</v>
      </c>
      <c r="AJ179" s="14">
        <f>IF([1]Sheet2!AN178=999999,"NA",[1]Sheet2!AN178)</f>
        <v>0</v>
      </c>
      <c r="AK179" s="14">
        <f>IF([1]Sheet2!AO178=999999,"NA",[1]Sheet2!AO178)</f>
        <v>0</v>
      </c>
      <c r="AL179" s="14">
        <f>IF([1]Sheet2!AP178=999999,"NA",[1]Sheet2!AP178)</f>
        <v>0</v>
      </c>
      <c r="AM179" s="14">
        <f>IF([1]Sheet2!AQ178=999999,"NA",[1]Sheet2!AQ178)</f>
        <v>0</v>
      </c>
      <c r="AN179" s="14">
        <f>IF([1]Sheet2!AR178=999999,"NA",[1]Sheet2!AR178)</f>
        <v>0</v>
      </c>
      <c r="AO179" s="14">
        <f>IF([1]Sheet2!AS178=999999,"NA",[1]Sheet2!AS178)</f>
        <v>0</v>
      </c>
      <c r="AP179" s="14">
        <f>[1]Sheet2!P178</f>
        <v>0</v>
      </c>
      <c r="AQ179" s="14">
        <f>[1]Sheet2!Q178</f>
        <v>0</v>
      </c>
      <c r="AR179" s="14">
        <f>[1]Sheet2!R178</f>
        <v>0</v>
      </c>
      <c r="AS179" s="14">
        <f>[1]Sheet2!S178</f>
        <v>0</v>
      </c>
      <c r="AT179" s="14">
        <f>[1]Sheet2!T178</f>
        <v>0</v>
      </c>
      <c r="AU179" s="14">
        <f>[1]Sheet2!U178</f>
        <v>0</v>
      </c>
      <c r="AV179" s="14">
        <f>[1]Sheet2!V178</f>
        <v>0</v>
      </c>
      <c r="AW179" s="14">
        <f>[1]Sheet2!W178</f>
        <v>0</v>
      </c>
      <c r="AX179" s="14">
        <f>[1]Sheet2!X178</f>
        <v>0</v>
      </c>
      <c r="AY179" s="14">
        <f>[1]Sheet2!Y178</f>
        <v>0</v>
      </c>
      <c r="AZ179" s="16">
        <f>Demand_LP!B$8/30</f>
        <v>807.81611164529909</v>
      </c>
      <c r="BA179" s="16">
        <f>Demand_LP!C$8/30</f>
        <v>574.48717948717956</v>
      </c>
      <c r="BB179" s="16">
        <f>Demand_LP!D$8/30</f>
        <v>339.04957264957267</v>
      </c>
      <c r="BC179" s="16">
        <f>Demand_LP!E$8/30</f>
        <v>830.46965811965799</v>
      </c>
      <c r="BD179" s="16">
        <f>Demand_LP!F$8/30</f>
        <v>476.67186805555554</v>
      </c>
      <c r="BE179" s="16">
        <f>Demand_LP!G$8/30</f>
        <v>476.67186805555554</v>
      </c>
      <c r="BF179" s="16">
        <f>Demand_LP!H$8/30</f>
        <v>574.48717948717956</v>
      </c>
      <c r="BG179" s="16">
        <f>Demand_LP!I$8/30</f>
        <v>476.67186805555554</v>
      </c>
      <c r="BH179" s="16">
        <f>Demand_LP!J$8/30</f>
        <v>476.67186805555554</v>
      </c>
      <c r="BI179" s="16">
        <f>Demand_LP!K$8/30</f>
        <v>476.67186805555554</v>
      </c>
      <c r="BJ179" s="16">
        <f t="shared" si="76"/>
        <v>-122146.630364617</v>
      </c>
      <c r="BK179" s="16">
        <f t="shared" si="77"/>
        <v>-99313.658974358841</v>
      </c>
      <c r="BL179" s="16">
        <f t="shared" si="78"/>
        <v>-44996.358547008589</v>
      </c>
      <c r="BM179" s="16">
        <f t="shared" si="79"/>
        <v>-127409.55810342958</v>
      </c>
      <c r="BN179" s="16">
        <f t="shared" si="80"/>
        <v>-73397.687206095128</v>
      </c>
      <c r="BO179" s="16">
        <f t="shared" si="81"/>
        <v>-71855.371124465863</v>
      </c>
      <c r="BP179" s="16">
        <f t="shared" si="82"/>
        <v>-93671.238461538349</v>
      </c>
      <c r="BQ179" s="16">
        <f t="shared" si="83"/>
        <v>-71855.371124465863</v>
      </c>
      <c r="BR179" s="16">
        <f t="shared" si="84"/>
        <v>-69455.371124465906</v>
      </c>
      <c r="BS179" s="16">
        <f t="shared" si="85"/>
        <v>-70155.371124465892</v>
      </c>
      <c r="BT179" s="14">
        <f>IF([1]Sheet2!CB178=999999,"NA",[1]Sheet2!CB178)</f>
        <v>0</v>
      </c>
      <c r="BU179" s="14">
        <f>IF([1]Sheet2!CC178=999999,"NA",[1]Sheet2!CC178)</f>
        <v>0</v>
      </c>
      <c r="BV179" s="14">
        <f>IF([1]Sheet2!CD178=999999,"NA",[1]Sheet2!CD178)</f>
        <v>0</v>
      </c>
      <c r="BW179" s="14">
        <f>IF([1]Sheet2!CE178=999999,"NA",[1]Sheet2!CE178)</f>
        <v>0</v>
      </c>
      <c r="BX179" s="14">
        <f>IF([1]Sheet2!CF178=999999,"NA",[1]Sheet2!CF178)</f>
        <v>0</v>
      </c>
      <c r="BY179" s="14">
        <f>IF([1]Sheet2!CG178=999999,"NA",[1]Sheet2!CG178)</f>
        <v>0</v>
      </c>
      <c r="BZ179" s="14">
        <f>IF([1]Sheet2!CH178=999999,"NA",[1]Sheet2!CH178)</f>
        <v>0</v>
      </c>
      <c r="CA179" s="14">
        <f>IF([1]Sheet2!CI178=999999,"NA",[1]Sheet2!CI178)</f>
        <v>0</v>
      </c>
      <c r="CB179" s="14">
        <f>IF([1]Sheet2!CJ178=999999,"NA",[1]Sheet2!CJ178)</f>
        <v>0</v>
      </c>
      <c r="CC179" s="14">
        <f>IF([1]Sheet2!CK178=999999,"NA",[1]Sheet2!CK178)</f>
        <v>0</v>
      </c>
      <c r="CD179" s="14">
        <f>[1]Sheet2!BH178</f>
        <v>0</v>
      </c>
      <c r="CE179" s="14">
        <f>[1]Sheet2!BI178</f>
        <v>0</v>
      </c>
      <c r="CF179" s="14">
        <f>[1]Sheet2!BJ178</f>
        <v>0</v>
      </c>
      <c r="CG179" s="14">
        <f>[1]Sheet2!BK178</f>
        <v>0</v>
      </c>
      <c r="CH179" s="14">
        <f>[1]Sheet2!BL178</f>
        <v>0</v>
      </c>
      <c r="CI179" s="14">
        <f>[1]Sheet2!BM178</f>
        <v>0</v>
      </c>
      <c r="CJ179" s="14">
        <f>[1]Sheet2!BN178</f>
        <v>0</v>
      </c>
      <c r="CK179" s="14">
        <f>[1]Sheet2!BO178</f>
        <v>0</v>
      </c>
      <c r="CL179" s="14">
        <f>[1]Sheet2!BP178</f>
        <v>0</v>
      </c>
      <c r="CM179" s="14">
        <f>[1]Sheet2!BQ178</f>
        <v>0</v>
      </c>
      <c r="CN179" s="16">
        <f>Demand_SW!B$8/30</f>
        <v>144.23076923076923</v>
      </c>
      <c r="CO179" s="16">
        <f>Demand_SW!C$8/30</f>
        <v>0</v>
      </c>
      <c r="CP179" s="16">
        <f>Demand_SW!D$8/30</f>
        <v>0</v>
      </c>
      <c r="CQ179" s="16">
        <f>Demand_SW!E$8/30</f>
        <v>0</v>
      </c>
      <c r="CR179" s="16">
        <f>Demand_SW!F$8/30</f>
        <v>0</v>
      </c>
      <c r="CS179" s="16">
        <f>Demand_SW!G$8/30</f>
        <v>144.23076923076923</v>
      </c>
      <c r="CT179" s="16">
        <f>Demand_SW!H$8/30</f>
        <v>0</v>
      </c>
      <c r="CU179" s="16">
        <f>Demand_SW!I$8/30</f>
        <v>0</v>
      </c>
      <c r="CV179" s="16">
        <f>Demand_SW!J$8/30</f>
        <v>0</v>
      </c>
      <c r="CW179" s="16">
        <f>Demand_SW!K$8/30</f>
        <v>0</v>
      </c>
      <c r="CX179" s="16">
        <f t="shared" si="86"/>
        <v>-18876.538461538476</v>
      </c>
      <c r="CY179" s="16">
        <f t="shared" si="87"/>
        <v>76.923076923077133</v>
      </c>
      <c r="CZ179" s="16">
        <f t="shared" si="88"/>
        <v>0</v>
      </c>
      <c r="DA179" s="16">
        <f t="shared" si="89"/>
        <v>0</v>
      </c>
      <c r="DB179" s="16">
        <f t="shared" si="90"/>
        <v>0</v>
      </c>
      <c r="DC179" s="16">
        <f t="shared" si="91"/>
        <v>-18405.769230769245</v>
      </c>
      <c r="DD179" s="16">
        <f t="shared" si="92"/>
        <v>76.923076923077133</v>
      </c>
      <c r="DE179" s="16">
        <f t="shared" si="93"/>
        <v>0</v>
      </c>
      <c r="DF179" s="16">
        <f t="shared" si="94"/>
        <v>0</v>
      </c>
      <c r="DG179" s="16">
        <f t="shared" si="95"/>
        <v>0</v>
      </c>
      <c r="DH179" s="14">
        <f>IF([1]Sheet2!DS178=999999,"NA",[1]Sheet2!DS178)</f>
        <v>0</v>
      </c>
      <c r="DI179" s="14">
        <f>IF([1]Sheet2!DT178=999999,"NA",[1]Sheet2!DT178)</f>
        <v>189</v>
      </c>
      <c r="DJ179" s="14" t="str">
        <f>IF([1]Sheet2!DU178=999999,"NA",[1]Sheet2!DU178)</f>
        <v>NA</v>
      </c>
      <c r="DK179" s="14" t="str">
        <f>IF([1]Sheet2!DV178=999999,"NA",[1]Sheet2!DV178)</f>
        <v>NA</v>
      </c>
      <c r="DL179" s="14" t="str">
        <f>IF([1]Sheet2!DW178=999999,"NA",[1]Sheet2!DW178)</f>
        <v>NA</v>
      </c>
      <c r="DM179" s="14">
        <f>IF([1]Sheet2!DX178=999999,"NA",[1]Sheet2!DX178)</f>
        <v>0</v>
      </c>
      <c r="DN179" s="14">
        <f>IF([1]Sheet2!DY178=999999,"NA",[1]Sheet2!DY178)</f>
        <v>189</v>
      </c>
      <c r="DO179" s="14" t="str">
        <f>IF([1]Sheet2!DZ178=999999,"NA",[1]Sheet2!DZ178)</f>
        <v>NA</v>
      </c>
      <c r="DP179" s="14" t="str">
        <f>IF([1]Sheet2!EA178=999999,"NA",[1]Sheet2!EA178)</f>
        <v>NA</v>
      </c>
      <c r="DQ179" s="14" t="str">
        <f>IF([1]Sheet2!EB178=999999,"NA",[1]Sheet2!EB178)</f>
        <v>NA</v>
      </c>
      <c r="DR179" s="14">
        <f>[1]Sheet2!CY178</f>
        <v>0</v>
      </c>
      <c r="DS179" s="14">
        <f>[1]Sheet2!CZ178</f>
        <v>0</v>
      </c>
      <c r="DT179" s="14">
        <f>[1]Sheet2!DA178</f>
        <v>0</v>
      </c>
      <c r="DU179" s="14">
        <f>[1]Sheet2!DB178</f>
        <v>0</v>
      </c>
      <c r="DV179" s="14">
        <f>[1]Sheet2!DC178</f>
        <v>0</v>
      </c>
      <c r="DW179" s="14">
        <f>[1]Sheet2!DD178</f>
        <v>0</v>
      </c>
      <c r="DX179" s="14">
        <f>[1]Sheet2!DE178</f>
        <v>0</v>
      </c>
      <c r="DY179" s="14">
        <f>[1]Sheet2!DF178</f>
        <v>0</v>
      </c>
      <c r="DZ179" s="14">
        <f>[1]Sheet2!DG178</f>
        <v>0</v>
      </c>
      <c r="EA179" s="14">
        <f>[1]Sheet2!DH178</f>
        <v>0</v>
      </c>
      <c r="EB179" s="6">
        <f>[1]Sheet2!EC178</f>
        <v>0</v>
      </c>
      <c r="EC179" s="6">
        <f>[1]Sheet2!ED178</f>
        <v>0</v>
      </c>
      <c r="ED179" s="6">
        <f>[1]Sheet2!EE178</f>
        <v>0</v>
      </c>
      <c r="EE179" s="6">
        <f>[1]Sheet2!EF178</f>
        <v>0</v>
      </c>
      <c r="EF179" s="6">
        <f>[1]Sheet2!EG178</f>
        <v>0</v>
      </c>
      <c r="EG179" s="6">
        <f>[1]Sheet2!EH178</f>
        <v>0</v>
      </c>
      <c r="EH179" s="6">
        <f>[1]Sheet2!EI178</f>
        <v>0</v>
      </c>
      <c r="EI179" s="6">
        <f>[1]Sheet2!EJ178</f>
        <v>0</v>
      </c>
      <c r="EJ179" s="6">
        <f>[1]Sheet2!EK178</f>
        <v>0</v>
      </c>
      <c r="EK179" s="6">
        <f>[1]Sheet2!EL178</f>
        <v>0</v>
      </c>
      <c r="EL179" s="6" t="str">
        <f>[1]Sheet2!EM178</f>
        <v/>
      </c>
      <c r="EM179" s="6" t="str">
        <f>[1]Sheet2!EN178</f>
        <v/>
      </c>
      <c r="EN179" s="6" t="str">
        <f>[1]Sheet2!EO178</f>
        <v/>
      </c>
      <c r="EO179" s="6" t="str">
        <f>[1]Sheet2!EP178</f>
        <v/>
      </c>
      <c r="EP179" s="6" t="str">
        <f>[1]Sheet2!EQ178</f>
        <v/>
      </c>
      <c r="EQ179" s="6" t="str">
        <f>[1]Sheet2!ER178</f>
        <v/>
      </c>
      <c r="ER179" s="6" t="str">
        <f>[1]Sheet2!ES178</f>
        <v/>
      </c>
      <c r="ES179" s="6" t="str">
        <f>[1]Sheet2!ET178</f>
        <v/>
      </c>
      <c r="ET179" s="6" t="str">
        <f>[1]Sheet2!EU178</f>
        <v/>
      </c>
      <c r="EU179" s="6" t="str">
        <f>[1]Sheet2!EV178</f>
        <v/>
      </c>
      <c r="EV179" s="6" t="str">
        <f>[1]Sheet2!EW178</f>
        <v/>
      </c>
      <c r="EW179" s="6" t="str">
        <f>[1]Sheet2!EX178</f>
        <v/>
      </c>
      <c r="EX179" s="6" t="str">
        <f>[1]Sheet2!EY178</f>
        <v/>
      </c>
      <c r="EY179" s="6" t="str">
        <f>[1]Sheet2!EZ178</f>
        <v/>
      </c>
      <c r="EZ179" s="6" t="str">
        <f>[1]Sheet2!FA178</f>
        <v/>
      </c>
      <c r="FA179" s="6" t="str">
        <f>[1]Sheet2!FB178</f>
        <v/>
      </c>
      <c r="FB179" s="6" t="str">
        <f>[1]Sheet2!FC178</f>
        <v/>
      </c>
      <c r="FC179" s="6" t="str">
        <f>[1]Sheet2!FD178</f>
        <v/>
      </c>
      <c r="FD179" s="6" t="str">
        <f>[1]Sheet2!FE178</f>
        <v/>
      </c>
      <c r="FE179" s="6" t="str">
        <f>[1]Sheet2!FF178</f>
        <v/>
      </c>
      <c r="FF179" s="6" t="str">
        <f>[1]Sheet2!FG178</f>
        <v/>
      </c>
      <c r="FG179" s="6" t="str">
        <f>[1]Sheet2!FH178</f>
        <v/>
      </c>
      <c r="FH179" s="6" t="str">
        <f>[1]Sheet2!FI178</f>
        <v/>
      </c>
      <c r="FI179" s="6" t="str">
        <f>[1]Sheet2!FJ178</f>
        <v/>
      </c>
      <c r="FJ179" s="6" t="str">
        <f>[1]Sheet2!FK178</f>
        <v/>
      </c>
      <c r="FK179" s="6" t="str">
        <f>[1]Sheet2!FL178</f>
        <v/>
      </c>
      <c r="FL179" s="6" t="str">
        <f>[1]Sheet2!FM178</f>
        <v/>
      </c>
      <c r="FM179" s="6" t="str">
        <f>[1]Sheet2!FN178</f>
        <v/>
      </c>
      <c r="FN179" s="6" t="str">
        <f>[1]Sheet2!FO178</f>
        <v/>
      </c>
      <c r="FO179" s="6" t="str">
        <f>[1]Sheet2!FP178</f>
        <v/>
      </c>
    </row>
    <row r="180" spans="1:171" x14ac:dyDescent="0.25">
      <c r="A180" s="15">
        <v>43642</v>
      </c>
      <c r="B180" s="1"/>
      <c r="C180" s="1"/>
      <c r="D180" s="1"/>
      <c r="E180" s="14">
        <f>[1]Sheet2!N179</f>
        <v>0</v>
      </c>
      <c r="F180" s="14">
        <f>[1]Sheet2!BE179</f>
        <v>0</v>
      </c>
      <c r="G180" s="14">
        <f>[1]Sheet2!CW179</f>
        <v>0</v>
      </c>
      <c r="H180" s="1"/>
      <c r="I180" s="1"/>
      <c r="J180" s="1"/>
      <c r="K180" s="16"/>
      <c r="L180" s="16">
        <f>Demand_CWRS!B$8/30</f>
        <v>124.86819391025641</v>
      </c>
      <c r="M180" s="16">
        <f>Demand_CWRS!C$8/30</f>
        <v>583.20512820512829</v>
      </c>
      <c r="N180" s="16">
        <f>Demand_CWRS!D$8/30</f>
        <v>0</v>
      </c>
      <c r="O180" s="16">
        <f>Demand_CWRS!E$8/30</f>
        <v>156.84829059829062</v>
      </c>
      <c r="P180" s="16">
        <f>Demand_CWRS!F$8/30</f>
        <v>252.39596314102559</v>
      </c>
      <c r="Q180" s="16">
        <f>Demand_CWRS!G$8/30</f>
        <v>124.86819391025641</v>
      </c>
      <c r="R180" s="16">
        <f>Demand_CWRS!H$8/30</f>
        <v>246.66666666666666</v>
      </c>
      <c r="S180" s="16">
        <f>Demand_CWRS!I$8/30</f>
        <v>246.66666666666666</v>
      </c>
      <c r="T180" s="16">
        <f>Demand_CWRS!J$8/30</f>
        <v>246.66666666666666</v>
      </c>
      <c r="U180" s="16">
        <f>Demand_CWRS!K$8/30</f>
        <v>246.66666666666666</v>
      </c>
      <c r="V180" s="16">
        <f t="shared" si="66"/>
        <v>-21861.288761755517</v>
      </c>
      <c r="W180" s="16">
        <f t="shared" si="67"/>
        <v>-81523.341025640781</v>
      </c>
      <c r="X180" s="16">
        <f t="shared" si="68"/>
        <v>0</v>
      </c>
      <c r="Y180" s="16">
        <f t="shared" si="69"/>
        <v>-12913.883387428314</v>
      </c>
      <c r="Z180" s="16">
        <f t="shared" si="70"/>
        <v>-36268.579982229799</v>
      </c>
      <c r="AA180" s="16">
        <f t="shared" si="71"/>
        <v>-20535.515612717081</v>
      </c>
      <c r="AB180" s="16">
        <f t="shared" si="72"/>
        <v>-40600.661943768202</v>
      </c>
      <c r="AC180" s="16">
        <f t="shared" si="73"/>
        <v>-34807.651687358011</v>
      </c>
      <c r="AD180" s="16">
        <f t="shared" si="74"/>
        <v>-34907.651687358004</v>
      </c>
      <c r="AE180" s="16">
        <f t="shared" si="75"/>
        <v>-35507.651687357997</v>
      </c>
      <c r="AF180" s="14">
        <f>IF([1]Sheet2!AJ179=999999,"NA",[1]Sheet2!AJ179)</f>
        <v>0</v>
      </c>
      <c r="AG180" s="14">
        <f>IF([1]Sheet2!AK179=999999,"NA",[1]Sheet2!AK179)</f>
        <v>0</v>
      </c>
      <c r="AH180" s="14" t="str">
        <f>IF([1]Sheet2!AL179=999999,"NA",[1]Sheet2!AL179)</f>
        <v>NA</v>
      </c>
      <c r="AI180" s="14">
        <f>IF([1]Sheet2!AM179=999999,"NA",[1]Sheet2!AM179)</f>
        <v>0</v>
      </c>
      <c r="AJ180" s="14">
        <f>IF([1]Sheet2!AN179=999999,"NA",[1]Sheet2!AN179)</f>
        <v>0</v>
      </c>
      <c r="AK180" s="14">
        <f>IF([1]Sheet2!AO179=999999,"NA",[1]Sheet2!AO179)</f>
        <v>0</v>
      </c>
      <c r="AL180" s="14">
        <f>IF([1]Sheet2!AP179=999999,"NA",[1]Sheet2!AP179)</f>
        <v>0</v>
      </c>
      <c r="AM180" s="14">
        <f>IF([1]Sheet2!AQ179=999999,"NA",[1]Sheet2!AQ179)</f>
        <v>0</v>
      </c>
      <c r="AN180" s="14">
        <f>IF([1]Sheet2!AR179=999999,"NA",[1]Sheet2!AR179)</f>
        <v>0</v>
      </c>
      <c r="AO180" s="14">
        <f>IF([1]Sheet2!AS179=999999,"NA",[1]Sheet2!AS179)</f>
        <v>0</v>
      </c>
      <c r="AP180" s="14">
        <f>[1]Sheet2!P179</f>
        <v>0</v>
      </c>
      <c r="AQ180" s="14">
        <f>[1]Sheet2!Q179</f>
        <v>0</v>
      </c>
      <c r="AR180" s="14">
        <f>[1]Sheet2!R179</f>
        <v>0</v>
      </c>
      <c r="AS180" s="14">
        <f>[1]Sheet2!S179</f>
        <v>0</v>
      </c>
      <c r="AT180" s="14">
        <f>[1]Sheet2!T179</f>
        <v>0</v>
      </c>
      <c r="AU180" s="14">
        <f>[1]Sheet2!U179</f>
        <v>0</v>
      </c>
      <c r="AV180" s="14">
        <f>[1]Sheet2!V179</f>
        <v>0</v>
      </c>
      <c r="AW180" s="14">
        <f>[1]Sheet2!W179</f>
        <v>0</v>
      </c>
      <c r="AX180" s="14">
        <f>[1]Sheet2!X179</f>
        <v>0</v>
      </c>
      <c r="AY180" s="14">
        <f>[1]Sheet2!Y179</f>
        <v>0</v>
      </c>
      <c r="AZ180" s="16">
        <f>Demand_LP!B$8/30</f>
        <v>807.81611164529909</v>
      </c>
      <c r="BA180" s="16">
        <f>Demand_LP!C$8/30</f>
        <v>574.48717948717956</v>
      </c>
      <c r="BB180" s="16">
        <f>Demand_LP!D$8/30</f>
        <v>339.04957264957267</v>
      </c>
      <c r="BC180" s="16">
        <f>Demand_LP!E$8/30</f>
        <v>830.46965811965799</v>
      </c>
      <c r="BD180" s="16">
        <f>Demand_LP!F$8/30</f>
        <v>476.67186805555554</v>
      </c>
      <c r="BE180" s="16">
        <f>Demand_LP!G$8/30</f>
        <v>476.67186805555554</v>
      </c>
      <c r="BF180" s="16">
        <f>Demand_LP!H$8/30</f>
        <v>574.48717948717956</v>
      </c>
      <c r="BG180" s="16">
        <f>Demand_LP!I$8/30</f>
        <v>476.67186805555554</v>
      </c>
      <c r="BH180" s="16">
        <f>Demand_LP!J$8/30</f>
        <v>476.67186805555554</v>
      </c>
      <c r="BI180" s="16">
        <f>Demand_LP!K$8/30</f>
        <v>476.67186805555554</v>
      </c>
      <c r="BJ180" s="16">
        <f t="shared" si="76"/>
        <v>-122954.4464762623</v>
      </c>
      <c r="BK180" s="16">
        <f t="shared" si="77"/>
        <v>-99888.146153846013</v>
      </c>
      <c r="BL180" s="16">
        <f t="shared" si="78"/>
        <v>-45335.408119658161</v>
      </c>
      <c r="BM180" s="16">
        <f t="shared" si="79"/>
        <v>-128240.02776154924</v>
      </c>
      <c r="BN180" s="16">
        <f t="shared" si="80"/>
        <v>-73874.359074150678</v>
      </c>
      <c r="BO180" s="16">
        <f t="shared" si="81"/>
        <v>-72332.042992521412</v>
      </c>
      <c r="BP180" s="16">
        <f t="shared" si="82"/>
        <v>-94245.725641025521</v>
      </c>
      <c r="BQ180" s="16">
        <f t="shared" si="83"/>
        <v>-72332.042992521412</v>
      </c>
      <c r="BR180" s="16">
        <f t="shared" si="84"/>
        <v>-69932.042992521456</v>
      </c>
      <c r="BS180" s="16">
        <f t="shared" si="85"/>
        <v>-70632.042992521441</v>
      </c>
      <c r="BT180" s="14">
        <f>IF([1]Sheet2!CB179=999999,"NA",[1]Sheet2!CB179)</f>
        <v>0</v>
      </c>
      <c r="BU180" s="14">
        <f>IF([1]Sheet2!CC179=999999,"NA",[1]Sheet2!CC179)</f>
        <v>0</v>
      </c>
      <c r="BV180" s="14">
        <f>IF([1]Sheet2!CD179=999999,"NA",[1]Sheet2!CD179)</f>
        <v>0</v>
      </c>
      <c r="BW180" s="14">
        <f>IF([1]Sheet2!CE179=999999,"NA",[1]Sheet2!CE179)</f>
        <v>0</v>
      </c>
      <c r="BX180" s="14">
        <f>IF([1]Sheet2!CF179=999999,"NA",[1]Sheet2!CF179)</f>
        <v>0</v>
      </c>
      <c r="BY180" s="14">
        <f>IF([1]Sheet2!CG179=999999,"NA",[1]Sheet2!CG179)</f>
        <v>0</v>
      </c>
      <c r="BZ180" s="14">
        <f>IF([1]Sheet2!CH179=999999,"NA",[1]Sheet2!CH179)</f>
        <v>0</v>
      </c>
      <c r="CA180" s="14">
        <f>IF([1]Sheet2!CI179=999999,"NA",[1]Sheet2!CI179)</f>
        <v>0</v>
      </c>
      <c r="CB180" s="14">
        <f>IF([1]Sheet2!CJ179=999999,"NA",[1]Sheet2!CJ179)</f>
        <v>0</v>
      </c>
      <c r="CC180" s="14">
        <f>IF([1]Sheet2!CK179=999999,"NA",[1]Sheet2!CK179)</f>
        <v>0</v>
      </c>
      <c r="CD180" s="14">
        <f>[1]Sheet2!BH179</f>
        <v>0</v>
      </c>
      <c r="CE180" s="14">
        <f>[1]Sheet2!BI179</f>
        <v>0</v>
      </c>
      <c r="CF180" s="14">
        <f>[1]Sheet2!BJ179</f>
        <v>0</v>
      </c>
      <c r="CG180" s="14">
        <f>[1]Sheet2!BK179</f>
        <v>0</v>
      </c>
      <c r="CH180" s="14">
        <f>[1]Sheet2!BL179</f>
        <v>0</v>
      </c>
      <c r="CI180" s="14">
        <f>[1]Sheet2!BM179</f>
        <v>0</v>
      </c>
      <c r="CJ180" s="14">
        <f>[1]Sheet2!BN179</f>
        <v>0</v>
      </c>
      <c r="CK180" s="14">
        <f>[1]Sheet2!BO179</f>
        <v>0</v>
      </c>
      <c r="CL180" s="14">
        <f>[1]Sheet2!BP179</f>
        <v>0</v>
      </c>
      <c r="CM180" s="14">
        <f>[1]Sheet2!BQ179</f>
        <v>0</v>
      </c>
      <c r="CN180" s="16">
        <f>Demand_SW!B$8/30</f>
        <v>144.23076923076923</v>
      </c>
      <c r="CO180" s="16">
        <f>Demand_SW!C$8/30</f>
        <v>0</v>
      </c>
      <c r="CP180" s="16">
        <f>Demand_SW!D$8/30</f>
        <v>0</v>
      </c>
      <c r="CQ180" s="16">
        <f>Demand_SW!E$8/30</f>
        <v>0</v>
      </c>
      <c r="CR180" s="16">
        <f>Demand_SW!F$8/30</f>
        <v>0</v>
      </c>
      <c r="CS180" s="16">
        <f>Demand_SW!G$8/30</f>
        <v>144.23076923076923</v>
      </c>
      <c r="CT180" s="16">
        <f>Demand_SW!H$8/30</f>
        <v>0</v>
      </c>
      <c r="CU180" s="16">
        <f>Demand_SW!I$8/30</f>
        <v>0</v>
      </c>
      <c r="CV180" s="16">
        <f>Demand_SW!J$8/30</f>
        <v>0</v>
      </c>
      <c r="CW180" s="16">
        <f>Demand_SW!K$8/30</f>
        <v>0</v>
      </c>
      <c r="CX180" s="16">
        <f t="shared" si="86"/>
        <v>-19020.769230769245</v>
      </c>
      <c r="CY180" s="16">
        <f t="shared" si="87"/>
        <v>76.923076923077133</v>
      </c>
      <c r="CZ180" s="16">
        <f t="shared" si="88"/>
        <v>0</v>
      </c>
      <c r="DA180" s="16">
        <f t="shared" si="89"/>
        <v>0</v>
      </c>
      <c r="DB180" s="16">
        <f t="shared" si="90"/>
        <v>0</v>
      </c>
      <c r="DC180" s="16">
        <f t="shared" si="91"/>
        <v>-18550.000000000015</v>
      </c>
      <c r="DD180" s="16">
        <f t="shared" si="92"/>
        <v>76.923076923077133</v>
      </c>
      <c r="DE180" s="16">
        <f t="shared" si="93"/>
        <v>0</v>
      </c>
      <c r="DF180" s="16">
        <f t="shared" si="94"/>
        <v>0</v>
      </c>
      <c r="DG180" s="16">
        <f t="shared" si="95"/>
        <v>0</v>
      </c>
      <c r="DH180" s="14">
        <f>IF([1]Sheet2!DS179=999999,"NA",[1]Sheet2!DS179)</f>
        <v>0</v>
      </c>
      <c r="DI180" s="14">
        <f>IF([1]Sheet2!DT179=999999,"NA",[1]Sheet2!DT179)</f>
        <v>188</v>
      </c>
      <c r="DJ180" s="14" t="str">
        <f>IF([1]Sheet2!DU179=999999,"NA",[1]Sheet2!DU179)</f>
        <v>NA</v>
      </c>
      <c r="DK180" s="14" t="str">
        <f>IF([1]Sheet2!DV179=999999,"NA",[1]Sheet2!DV179)</f>
        <v>NA</v>
      </c>
      <c r="DL180" s="14" t="str">
        <f>IF([1]Sheet2!DW179=999999,"NA",[1]Sheet2!DW179)</f>
        <v>NA</v>
      </c>
      <c r="DM180" s="14">
        <f>IF([1]Sheet2!DX179=999999,"NA",[1]Sheet2!DX179)</f>
        <v>0</v>
      </c>
      <c r="DN180" s="14">
        <f>IF([1]Sheet2!DY179=999999,"NA",[1]Sheet2!DY179)</f>
        <v>188</v>
      </c>
      <c r="DO180" s="14" t="str">
        <f>IF([1]Sheet2!DZ179=999999,"NA",[1]Sheet2!DZ179)</f>
        <v>NA</v>
      </c>
      <c r="DP180" s="14" t="str">
        <f>IF([1]Sheet2!EA179=999999,"NA",[1]Sheet2!EA179)</f>
        <v>NA</v>
      </c>
      <c r="DQ180" s="14" t="str">
        <f>IF([1]Sheet2!EB179=999999,"NA",[1]Sheet2!EB179)</f>
        <v>NA</v>
      </c>
      <c r="DR180" s="14">
        <f>[1]Sheet2!CY179</f>
        <v>0</v>
      </c>
      <c r="DS180" s="14">
        <f>[1]Sheet2!CZ179</f>
        <v>0</v>
      </c>
      <c r="DT180" s="14">
        <f>[1]Sheet2!DA179</f>
        <v>0</v>
      </c>
      <c r="DU180" s="14">
        <f>[1]Sheet2!DB179</f>
        <v>0</v>
      </c>
      <c r="DV180" s="14">
        <f>[1]Sheet2!DC179</f>
        <v>0</v>
      </c>
      <c r="DW180" s="14">
        <f>[1]Sheet2!DD179</f>
        <v>0</v>
      </c>
      <c r="DX180" s="14">
        <f>[1]Sheet2!DE179</f>
        <v>0</v>
      </c>
      <c r="DY180" s="14">
        <f>[1]Sheet2!DF179</f>
        <v>0</v>
      </c>
      <c r="DZ180" s="14">
        <f>[1]Sheet2!DG179</f>
        <v>0</v>
      </c>
      <c r="EA180" s="14">
        <f>[1]Sheet2!DH179</f>
        <v>0</v>
      </c>
      <c r="EB180" s="6">
        <f>[1]Sheet2!EC179</f>
        <v>0</v>
      </c>
      <c r="EC180" s="6">
        <f>[1]Sheet2!ED179</f>
        <v>0</v>
      </c>
      <c r="ED180" s="6">
        <f>[1]Sheet2!EE179</f>
        <v>0</v>
      </c>
      <c r="EE180" s="6">
        <f>[1]Sheet2!EF179</f>
        <v>0</v>
      </c>
      <c r="EF180" s="6">
        <f>[1]Sheet2!EG179</f>
        <v>0</v>
      </c>
      <c r="EG180" s="6">
        <f>[1]Sheet2!EH179</f>
        <v>0</v>
      </c>
      <c r="EH180" s="6">
        <f>[1]Sheet2!EI179</f>
        <v>0</v>
      </c>
      <c r="EI180" s="6">
        <f>[1]Sheet2!EJ179</f>
        <v>0</v>
      </c>
      <c r="EJ180" s="6">
        <f>[1]Sheet2!EK179</f>
        <v>0</v>
      </c>
      <c r="EK180" s="6">
        <f>[1]Sheet2!EL179</f>
        <v>0</v>
      </c>
      <c r="EL180" s="6" t="str">
        <f>[1]Sheet2!EM179</f>
        <v/>
      </c>
      <c r="EM180" s="6" t="str">
        <f>[1]Sheet2!EN179</f>
        <v/>
      </c>
      <c r="EN180" s="6" t="str">
        <f>[1]Sheet2!EO179</f>
        <v/>
      </c>
      <c r="EO180" s="6" t="str">
        <f>[1]Sheet2!EP179</f>
        <v/>
      </c>
      <c r="EP180" s="6" t="str">
        <f>[1]Sheet2!EQ179</f>
        <v/>
      </c>
      <c r="EQ180" s="6" t="str">
        <f>[1]Sheet2!ER179</f>
        <v/>
      </c>
      <c r="ER180" s="6" t="str">
        <f>[1]Sheet2!ES179</f>
        <v/>
      </c>
      <c r="ES180" s="6" t="str">
        <f>[1]Sheet2!ET179</f>
        <v/>
      </c>
      <c r="ET180" s="6" t="str">
        <f>[1]Sheet2!EU179</f>
        <v/>
      </c>
      <c r="EU180" s="6" t="str">
        <f>[1]Sheet2!EV179</f>
        <v/>
      </c>
      <c r="EV180" s="6" t="str">
        <f>[1]Sheet2!EW179</f>
        <v/>
      </c>
      <c r="EW180" s="6" t="str">
        <f>[1]Sheet2!EX179</f>
        <v/>
      </c>
      <c r="EX180" s="6" t="str">
        <f>[1]Sheet2!EY179</f>
        <v/>
      </c>
      <c r="EY180" s="6" t="str">
        <f>[1]Sheet2!EZ179</f>
        <v/>
      </c>
      <c r="EZ180" s="6" t="str">
        <f>[1]Sheet2!FA179</f>
        <v/>
      </c>
      <c r="FA180" s="6" t="str">
        <f>[1]Sheet2!FB179</f>
        <v/>
      </c>
      <c r="FB180" s="6" t="str">
        <f>[1]Sheet2!FC179</f>
        <v/>
      </c>
      <c r="FC180" s="6" t="str">
        <f>[1]Sheet2!FD179</f>
        <v/>
      </c>
      <c r="FD180" s="6" t="str">
        <f>[1]Sheet2!FE179</f>
        <v/>
      </c>
      <c r="FE180" s="6" t="str">
        <f>[1]Sheet2!FF179</f>
        <v/>
      </c>
      <c r="FF180" s="6" t="str">
        <f>[1]Sheet2!FG179</f>
        <v/>
      </c>
      <c r="FG180" s="6" t="str">
        <f>[1]Sheet2!FH179</f>
        <v/>
      </c>
      <c r="FH180" s="6" t="str">
        <f>[1]Sheet2!FI179</f>
        <v/>
      </c>
      <c r="FI180" s="6" t="str">
        <f>[1]Sheet2!FJ179</f>
        <v/>
      </c>
      <c r="FJ180" s="6" t="str">
        <f>[1]Sheet2!FK179</f>
        <v/>
      </c>
      <c r="FK180" s="6" t="str">
        <f>[1]Sheet2!FL179</f>
        <v/>
      </c>
      <c r="FL180" s="6" t="str">
        <f>[1]Sheet2!FM179</f>
        <v/>
      </c>
      <c r="FM180" s="6" t="str">
        <f>[1]Sheet2!FN179</f>
        <v/>
      </c>
      <c r="FN180" s="6" t="str">
        <f>[1]Sheet2!FO179</f>
        <v/>
      </c>
      <c r="FO180" s="6" t="str">
        <f>[1]Sheet2!FP179</f>
        <v/>
      </c>
    </row>
    <row r="181" spans="1:171" x14ac:dyDescent="0.25">
      <c r="A181" s="15">
        <v>43643</v>
      </c>
      <c r="B181" s="1"/>
      <c r="C181" s="1"/>
      <c r="D181" s="1"/>
      <c r="E181" s="14">
        <f>[1]Sheet2!N180</f>
        <v>0</v>
      </c>
      <c r="F181" s="14">
        <f>[1]Sheet2!BE180</f>
        <v>0</v>
      </c>
      <c r="G181" s="14">
        <f>[1]Sheet2!CW180</f>
        <v>0</v>
      </c>
      <c r="H181" s="1"/>
      <c r="I181" s="1"/>
      <c r="J181" s="1"/>
      <c r="K181" s="16"/>
      <c r="L181" s="16">
        <f>Demand_CWRS!B$8/30</f>
        <v>124.86819391025641</v>
      </c>
      <c r="M181" s="16">
        <f>Demand_CWRS!C$8/30</f>
        <v>583.20512820512829</v>
      </c>
      <c r="N181" s="16">
        <f>Demand_CWRS!D$8/30</f>
        <v>0</v>
      </c>
      <c r="O181" s="16">
        <f>Demand_CWRS!E$8/30</f>
        <v>156.84829059829062</v>
      </c>
      <c r="P181" s="16">
        <f>Demand_CWRS!F$8/30</f>
        <v>252.39596314102559</v>
      </c>
      <c r="Q181" s="16">
        <f>Demand_CWRS!G$8/30</f>
        <v>124.86819391025641</v>
      </c>
      <c r="R181" s="16">
        <f>Demand_CWRS!H$8/30</f>
        <v>246.66666666666666</v>
      </c>
      <c r="S181" s="16">
        <f>Demand_CWRS!I$8/30</f>
        <v>246.66666666666666</v>
      </c>
      <c r="T181" s="16">
        <f>Demand_CWRS!J$8/30</f>
        <v>246.66666666666666</v>
      </c>
      <c r="U181" s="16">
        <f>Demand_CWRS!K$8/30</f>
        <v>246.66666666666666</v>
      </c>
      <c r="V181" s="16">
        <f t="shared" si="66"/>
        <v>-21986.156955665774</v>
      </c>
      <c r="W181" s="16">
        <f t="shared" si="67"/>
        <v>-82106.546153845906</v>
      </c>
      <c r="X181" s="16">
        <f t="shared" si="68"/>
        <v>0</v>
      </c>
      <c r="Y181" s="16">
        <f t="shared" si="69"/>
        <v>-13070.731678026605</v>
      </c>
      <c r="Z181" s="16">
        <f t="shared" si="70"/>
        <v>-36520.975945370825</v>
      </c>
      <c r="AA181" s="16">
        <f t="shared" si="71"/>
        <v>-20660.383806627338</v>
      </c>
      <c r="AB181" s="16">
        <f t="shared" si="72"/>
        <v>-40847.328610434866</v>
      </c>
      <c r="AC181" s="16">
        <f t="shared" si="73"/>
        <v>-35054.318354024676</v>
      </c>
      <c r="AD181" s="16">
        <f t="shared" si="74"/>
        <v>-35154.318354024668</v>
      </c>
      <c r="AE181" s="16">
        <f t="shared" si="75"/>
        <v>-35754.318354024661</v>
      </c>
      <c r="AF181" s="14">
        <f>IF([1]Sheet2!AJ180=999999,"NA",[1]Sheet2!AJ180)</f>
        <v>0</v>
      </c>
      <c r="AG181" s="14">
        <f>IF([1]Sheet2!AK180=999999,"NA",[1]Sheet2!AK180)</f>
        <v>0</v>
      </c>
      <c r="AH181" s="14" t="str">
        <f>IF([1]Sheet2!AL180=999999,"NA",[1]Sheet2!AL180)</f>
        <v>NA</v>
      </c>
      <c r="AI181" s="14">
        <f>IF([1]Sheet2!AM180=999999,"NA",[1]Sheet2!AM180)</f>
        <v>0</v>
      </c>
      <c r="AJ181" s="14">
        <f>IF([1]Sheet2!AN180=999999,"NA",[1]Sheet2!AN180)</f>
        <v>0</v>
      </c>
      <c r="AK181" s="14">
        <f>IF([1]Sheet2!AO180=999999,"NA",[1]Sheet2!AO180)</f>
        <v>0</v>
      </c>
      <c r="AL181" s="14">
        <f>IF([1]Sheet2!AP180=999999,"NA",[1]Sheet2!AP180)</f>
        <v>0</v>
      </c>
      <c r="AM181" s="14">
        <f>IF([1]Sheet2!AQ180=999999,"NA",[1]Sheet2!AQ180)</f>
        <v>0</v>
      </c>
      <c r="AN181" s="14">
        <f>IF([1]Sheet2!AR180=999999,"NA",[1]Sheet2!AR180)</f>
        <v>0</v>
      </c>
      <c r="AO181" s="14">
        <f>IF([1]Sheet2!AS180=999999,"NA",[1]Sheet2!AS180)</f>
        <v>0</v>
      </c>
      <c r="AP181" s="14">
        <f>[1]Sheet2!P180</f>
        <v>0</v>
      </c>
      <c r="AQ181" s="14">
        <f>[1]Sheet2!Q180</f>
        <v>0</v>
      </c>
      <c r="AR181" s="14">
        <f>[1]Sheet2!R180</f>
        <v>0</v>
      </c>
      <c r="AS181" s="14">
        <f>[1]Sheet2!S180</f>
        <v>0</v>
      </c>
      <c r="AT181" s="14">
        <f>[1]Sheet2!T180</f>
        <v>0</v>
      </c>
      <c r="AU181" s="14">
        <f>[1]Sheet2!U180</f>
        <v>0</v>
      </c>
      <c r="AV181" s="14">
        <f>[1]Sheet2!V180</f>
        <v>0</v>
      </c>
      <c r="AW181" s="14">
        <f>[1]Sheet2!W180</f>
        <v>0</v>
      </c>
      <c r="AX181" s="14">
        <f>[1]Sheet2!X180</f>
        <v>0</v>
      </c>
      <c r="AY181" s="14">
        <f>[1]Sheet2!Y180</f>
        <v>0</v>
      </c>
      <c r="AZ181" s="16">
        <f>Demand_LP!B$8/30</f>
        <v>807.81611164529909</v>
      </c>
      <c r="BA181" s="16">
        <f>Demand_LP!C$8/30</f>
        <v>574.48717948717956</v>
      </c>
      <c r="BB181" s="16">
        <f>Demand_LP!D$8/30</f>
        <v>339.04957264957267</v>
      </c>
      <c r="BC181" s="16">
        <f>Demand_LP!E$8/30</f>
        <v>830.46965811965799</v>
      </c>
      <c r="BD181" s="16">
        <f>Demand_LP!F$8/30</f>
        <v>476.67186805555554</v>
      </c>
      <c r="BE181" s="16">
        <f>Demand_LP!G$8/30</f>
        <v>476.67186805555554</v>
      </c>
      <c r="BF181" s="16">
        <f>Demand_LP!H$8/30</f>
        <v>574.48717948717956</v>
      </c>
      <c r="BG181" s="16">
        <f>Demand_LP!I$8/30</f>
        <v>476.67186805555554</v>
      </c>
      <c r="BH181" s="16">
        <f>Demand_LP!J$8/30</f>
        <v>476.67186805555554</v>
      </c>
      <c r="BI181" s="16">
        <f>Demand_LP!K$8/30</f>
        <v>476.67186805555554</v>
      </c>
      <c r="BJ181" s="16">
        <f t="shared" si="76"/>
        <v>-123762.26258790759</v>
      </c>
      <c r="BK181" s="16">
        <f t="shared" si="77"/>
        <v>-100462.63333333319</v>
      </c>
      <c r="BL181" s="16">
        <f t="shared" si="78"/>
        <v>-45674.457692307733</v>
      </c>
      <c r="BM181" s="16">
        <f t="shared" si="79"/>
        <v>-129070.4974196689</v>
      </c>
      <c r="BN181" s="16">
        <f t="shared" si="80"/>
        <v>-74351.030942206227</v>
      </c>
      <c r="BO181" s="16">
        <f t="shared" si="81"/>
        <v>-72808.714860576962</v>
      </c>
      <c r="BP181" s="16">
        <f t="shared" si="82"/>
        <v>-94820.212820512694</v>
      </c>
      <c r="BQ181" s="16">
        <f t="shared" si="83"/>
        <v>-72808.714860576962</v>
      </c>
      <c r="BR181" s="16">
        <f t="shared" si="84"/>
        <v>-70408.714860577005</v>
      </c>
      <c r="BS181" s="16">
        <f t="shared" si="85"/>
        <v>-71108.714860576991</v>
      </c>
      <c r="BT181" s="14">
        <f>IF([1]Sheet2!CB180=999999,"NA",[1]Sheet2!CB180)</f>
        <v>0</v>
      </c>
      <c r="BU181" s="14">
        <f>IF([1]Sheet2!CC180=999999,"NA",[1]Sheet2!CC180)</f>
        <v>0</v>
      </c>
      <c r="BV181" s="14">
        <f>IF([1]Sheet2!CD180=999999,"NA",[1]Sheet2!CD180)</f>
        <v>0</v>
      </c>
      <c r="BW181" s="14">
        <f>IF([1]Sheet2!CE180=999999,"NA",[1]Sheet2!CE180)</f>
        <v>0</v>
      </c>
      <c r="BX181" s="14">
        <f>IF([1]Sheet2!CF180=999999,"NA",[1]Sheet2!CF180)</f>
        <v>0</v>
      </c>
      <c r="BY181" s="14">
        <f>IF([1]Sheet2!CG180=999999,"NA",[1]Sheet2!CG180)</f>
        <v>0</v>
      </c>
      <c r="BZ181" s="14">
        <f>IF([1]Sheet2!CH180=999999,"NA",[1]Sheet2!CH180)</f>
        <v>0</v>
      </c>
      <c r="CA181" s="14">
        <f>IF([1]Sheet2!CI180=999999,"NA",[1]Sheet2!CI180)</f>
        <v>0</v>
      </c>
      <c r="CB181" s="14">
        <f>IF([1]Sheet2!CJ180=999999,"NA",[1]Sheet2!CJ180)</f>
        <v>0</v>
      </c>
      <c r="CC181" s="14">
        <f>IF([1]Sheet2!CK180=999999,"NA",[1]Sheet2!CK180)</f>
        <v>0</v>
      </c>
      <c r="CD181" s="14">
        <f>[1]Sheet2!BH180</f>
        <v>0</v>
      </c>
      <c r="CE181" s="14">
        <f>[1]Sheet2!BI180</f>
        <v>0</v>
      </c>
      <c r="CF181" s="14">
        <f>[1]Sheet2!BJ180</f>
        <v>0</v>
      </c>
      <c r="CG181" s="14">
        <f>[1]Sheet2!BK180</f>
        <v>0</v>
      </c>
      <c r="CH181" s="14">
        <f>[1]Sheet2!BL180</f>
        <v>0</v>
      </c>
      <c r="CI181" s="14">
        <f>[1]Sheet2!BM180</f>
        <v>0</v>
      </c>
      <c r="CJ181" s="14">
        <f>[1]Sheet2!BN180</f>
        <v>0</v>
      </c>
      <c r="CK181" s="14">
        <f>[1]Sheet2!BO180</f>
        <v>0</v>
      </c>
      <c r="CL181" s="14">
        <f>[1]Sheet2!BP180</f>
        <v>0</v>
      </c>
      <c r="CM181" s="14">
        <f>[1]Sheet2!BQ180</f>
        <v>0</v>
      </c>
      <c r="CN181" s="16">
        <f>Demand_SW!B$8/30</f>
        <v>144.23076923076923</v>
      </c>
      <c r="CO181" s="16">
        <f>Demand_SW!C$8/30</f>
        <v>0</v>
      </c>
      <c r="CP181" s="16">
        <f>Demand_SW!D$8/30</f>
        <v>0</v>
      </c>
      <c r="CQ181" s="16">
        <f>Demand_SW!E$8/30</f>
        <v>0</v>
      </c>
      <c r="CR181" s="16">
        <f>Demand_SW!F$8/30</f>
        <v>0</v>
      </c>
      <c r="CS181" s="16">
        <f>Demand_SW!G$8/30</f>
        <v>144.23076923076923</v>
      </c>
      <c r="CT181" s="16">
        <f>Demand_SW!H$8/30</f>
        <v>0</v>
      </c>
      <c r="CU181" s="16">
        <f>Demand_SW!I$8/30</f>
        <v>0</v>
      </c>
      <c r="CV181" s="16">
        <f>Demand_SW!J$8/30</f>
        <v>0</v>
      </c>
      <c r="CW181" s="16">
        <f>Demand_SW!K$8/30</f>
        <v>0</v>
      </c>
      <c r="CX181" s="16">
        <f t="shared" si="86"/>
        <v>-19165.000000000015</v>
      </c>
      <c r="CY181" s="16">
        <f t="shared" si="87"/>
        <v>76.923076923077133</v>
      </c>
      <c r="CZ181" s="16">
        <f t="shared" si="88"/>
        <v>0</v>
      </c>
      <c r="DA181" s="16">
        <f t="shared" si="89"/>
        <v>0</v>
      </c>
      <c r="DB181" s="16">
        <f t="shared" si="90"/>
        <v>0</v>
      </c>
      <c r="DC181" s="16">
        <f t="shared" si="91"/>
        <v>-18694.230769230784</v>
      </c>
      <c r="DD181" s="16">
        <f t="shared" si="92"/>
        <v>76.923076923077133</v>
      </c>
      <c r="DE181" s="16">
        <f t="shared" si="93"/>
        <v>0</v>
      </c>
      <c r="DF181" s="16">
        <f t="shared" si="94"/>
        <v>0</v>
      </c>
      <c r="DG181" s="16">
        <f t="shared" si="95"/>
        <v>0</v>
      </c>
      <c r="DH181" s="14">
        <f>IF([1]Sheet2!DS180=999999,"NA",[1]Sheet2!DS180)</f>
        <v>0</v>
      </c>
      <c r="DI181" s="14">
        <f>IF([1]Sheet2!DT180=999999,"NA",[1]Sheet2!DT180)</f>
        <v>187</v>
      </c>
      <c r="DJ181" s="14" t="str">
        <f>IF([1]Sheet2!DU180=999999,"NA",[1]Sheet2!DU180)</f>
        <v>NA</v>
      </c>
      <c r="DK181" s="14" t="str">
        <f>IF([1]Sheet2!DV180=999999,"NA",[1]Sheet2!DV180)</f>
        <v>NA</v>
      </c>
      <c r="DL181" s="14" t="str">
        <f>IF([1]Sheet2!DW180=999999,"NA",[1]Sheet2!DW180)</f>
        <v>NA</v>
      </c>
      <c r="DM181" s="14">
        <f>IF([1]Sheet2!DX180=999999,"NA",[1]Sheet2!DX180)</f>
        <v>0</v>
      </c>
      <c r="DN181" s="14">
        <f>IF([1]Sheet2!DY180=999999,"NA",[1]Sheet2!DY180)</f>
        <v>187</v>
      </c>
      <c r="DO181" s="14" t="str">
        <f>IF([1]Sheet2!DZ180=999999,"NA",[1]Sheet2!DZ180)</f>
        <v>NA</v>
      </c>
      <c r="DP181" s="14" t="str">
        <f>IF([1]Sheet2!EA180=999999,"NA",[1]Sheet2!EA180)</f>
        <v>NA</v>
      </c>
      <c r="DQ181" s="14" t="str">
        <f>IF([1]Sheet2!EB180=999999,"NA",[1]Sheet2!EB180)</f>
        <v>NA</v>
      </c>
      <c r="DR181" s="14">
        <f>[1]Sheet2!CY180</f>
        <v>0</v>
      </c>
      <c r="DS181" s="14">
        <f>[1]Sheet2!CZ180</f>
        <v>0</v>
      </c>
      <c r="DT181" s="14">
        <f>[1]Sheet2!DA180</f>
        <v>0</v>
      </c>
      <c r="DU181" s="14">
        <f>[1]Sheet2!DB180</f>
        <v>0</v>
      </c>
      <c r="DV181" s="14">
        <f>[1]Sheet2!DC180</f>
        <v>0</v>
      </c>
      <c r="DW181" s="14">
        <f>[1]Sheet2!DD180</f>
        <v>0</v>
      </c>
      <c r="DX181" s="14">
        <f>[1]Sheet2!DE180</f>
        <v>0</v>
      </c>
      <c r="DY181" s="14">
        <f>[1]Sheet2!DF180</f>
        <v>0</v>
      </c>
      <c r="DZ181" s="14">
        <f>[1]Sheet2!DG180</f>
        <v>0</v>
      </c>
      <c r="EA181" s="14">
        <f>[1]Sheet2!DH180</f>
        <v>0</v>
      </c>
      <c r="EB181" s="6">
        <f>[1]Sheet2!EC180</f>
        <v>0</v>
      </c>
      <c r="EC181" s="6">
        <f>[1]Sheet2!ED180</f>
        <v>0</v>
      </c>
      <c r="ED181" s="6">
        <f>[1]Sheet2!EE180</f>
        <v>0</v>
      </c>
      <c r="EE181" s="6">
        <f>[1]Sheet2!EF180</f>
        <v>0</v>
      </c>
      <c r="EF181" s="6">
        <f>[1]Sheet2!EG180</f>
        <v>0</v>
      </c>
      <c r="EG181" s="6">
        <f>[1]Sheet2!EH180</f>
        <v>0</v>
      </c>
      <c r="EH181" s="6">
        <f>[1]Sheet2!EI180</f>
        <v>0</v>
      </c>
      <c r="EI181" s="6">
        <f>[1]Sheet2!EJ180</f>
        <v>0</v>
      </c>
      <c r="EJ181" s="6">
        <f>[1]Sheet2!EK180</f>
        <v>0</v>
      </c>
      <c r="EK181" s="6">
        <f>[1]Sheet2!EL180</f>
        <v>0</v>
      </c>
      <c r="EL181" s="6" t="str">
        <f>[1]Sheet2!EM180</f>
        <v/>
      </c>
      <c r="EM181" s="6" t="str">
        <f>[1]Sheet2!EN180</f>
        <v/>
      </c>
      <c r="EN181" s="6" t="str">
        <f>[1]Sheet2!EO180</f>
        <v/>
      </c>
      <c r="EO181" s="6" t="str">
        <f>[1]Sheet2!EP180</f>
        <v/>
      </c>
      <c r="EP181" s="6" t="str">
        <f>[1]Sheet2!EQ180</f>
        <v/>
      </c>
      <c r="EQ181" s="6" t="str">
        <f>[1]Sheet2!ER180</f>
        <v/>
      </c>
      <c r="ER181" s="6" t="str">
        <f>[1]Sheet2!ES180</f>
        <v/>
      </c>
      <c r="ES181" s="6" t="str">
        <f>[1]Sheet2!ET180</f>
        <v/>
      </c>
      <c r="ET181" s="6" t="str">
        <f>[1]Sheet2!EU180</f>
        <v/>
      </c>
      <c r="EU181" s="6" t="str">
        <f>[1]Sheet2!EV180</f>
        <v/>
      </c>
      <c r="EV181" s="6" t="str">
        <f>[1]Sheet2!EW180</f>
        <v/>
      </c>
      <c r="EW181" s="6" t="str">
        <f>[1]Sheet2!EX180</f>
        <v/>
      </c>
      <c r="EX181" s="6" t="str">
        <f>[1]Sheet2!EY180</f>
        <v/>
      </c>
      <c r="EY181" s="6" t="str">
        <f>[1]Sheet2!EZ180</f>
        <v/>
      </c>
      <c r="EZ181" s="6" t="str">
        <f>[1]Sheet2!FA180</f>
        <v/>
      </c>
      <c r="FA181" s="6" t="str">
        <f>[1]Sheet2!FB180</f>
        <v/>
      </c>
      <c r="FB181" s="6" t="str">
        <f>[1]Sheet2!FC180</f>
        <v/>
      </c>
      <c r="FC181" s="6" t="str">
        <f>[1]Sheet2!FD180</f>
        <v/>
      </c>
      <c r="FD181" s="6" t="str">
        <f>[1]Sheet2!FE180</f>
        <v/>
      </c>
      <c r="FE181" s="6" t="str">
        <f>[1]Sheet2!FF180</f>
        <v/>
      </c>
      <c r="FF181" s="6" t="str">
        <f>[1]Sheet2!FG180</f>
        <v/>
      </c>
      <c r="FG181" s="6" t="str">
        <f>[1]Sheet2!FH180</f>
        <v/>
      </c>
      <c r="FH181" s="6" t="str">
        <f>[1]Sheet2!FI180</f>
        <v/>
      </c>
      <c r="FI181" s="6" t="str">
        <f>[1]Sheet2!FJ180</f>
        <v/>
      </c>
      <c r="FJ181" s="6" t="str">
        <f>[1]Sheet2!FK180</f>
        <v/>
      </c>
      <c r="FK181" s="6" t="str">
        <f>[1]Sheet2!FL180</f>
        <v/>
      </c>
      <c r="FL181" s="6" t="str">
        <f>[1]Sheet2!FM180</f>
        <v/>
      </c>
      <c r="FM181" s="6" t="str">
        <f>[1]Sheet2!FN180</f>
        <v/>
      </c>
      <c r="FN181" s="6" t="str">
        <f>[1]Sheet2!FO180</f>
        <v/>
      </c>
      <c r="FO181" s="6" t="str">
        <f>[1]Sheet2!FP180</f>
        <v/>
      </c>
    </row>
    <row r="182" spans="1:171" x14ac:dyDescent="0.25">
      <c r="A182" s="15">
        <v>43644</v>
      </c>
      <c r="B182" s="1"/>
      <c r="C182" s="1"/>
      <c r="D182" s="1"/>
      <c r="E182" s="14">
        <f>[1]Sheet2!N181</f>
        <v>0</v>
      </c>
      <c r="F182" s="14">
        <f>[1]Sheet2!BE181</f>
        <v>0</v>
      </c>
      <c r="G182" s="14">
        <f>[1]Sheet2!CW181</f>
        <v>0</v>
      </c>
      <c r="H182" s="1"/>
      <c r="I182" s="1"/>
      <c r="J182" s="1"/>
      <c r="K182" s="16"/>
      <c r="L182" s="16">
        <f>Demand_CWRS!B$8/30</f>
        <v>124.86819391025641</v>
      </c>
      <c r="M182" s="16">
        <f>Demand_CWRS!C$8/30</f>
        <v>583.20512820512829</v>
      </c>
      <c r="N182" s="16">
        <f>Demand_CWRS!D$8/30</f>
        <v>0</v>
      </c>
      <c r="O182" s="16">
        <f>Demand_CWRS!E$8/30</f>
        <v>156.84829059829062</v>
      </c>
      <c r="P182" s="16">
        <f>Demand_CWRS!F$8/30</f>
        <v>252.39596314102559</v>
      </c>
      <c r="Q182" s="16">
        <f>Demand_CWRS!G$8/30</f>
        <v>124.86819391025641</v>
      </c>
      <c r="R182" s="16">
        <f>Demand_CWRS!H$8/30</f>
        <v>246.66666666666666</v>
      </c>
      <c r="S182" s="16">
        <f>Demand_CWRS!I$8/30</f>
        <v>246.66666666666666</v>
      </c>
      <c r="T182" s="16">
        <f>Demand_CWRS!J$8/30</f>
        <v>246.66666666666666</v>
      </c>
      <c r="U182" s="16">
        <f>Demand_CWRS!K$8/30</f>
        <v>246.66666666666666</v>
      </c>
      <c r="V182" s="16">
        <f t="shared" si="66"/>
        <v>-22111.025149576031</v>
      </c>
      <c r="W182" s="16">
        <f t="shared" si="67"/>
        <v>-82689.751282051031</v>
      </c>
      <c r="X182" s="16">
        <f t="shared" si="68"/>
        <v>0</v>
      </c>
      <c r="Y182" s="16">
        <f t="shared" si="69"/>
        <v>-13227.579968624896</v>
      </c>
      <c r="Z182" s="16">
        <f t="shared" si="70"/>
        <v>-36773.37190851185</v>
      </c>
      <c r="AA182" s="16">
        <f t="shared" si="71"/>
        <v>-20785.252000537595</v>
      </c>
      <c r="AB182" s="16">
        <f t="shared" si="72"/>
        <v>-41093.995277101531</v>
      </c>
      <c r="AC182" s="16">
        <f t="shared" si="73"/>
        <v>-35300.98502069134</v>
      </c>
      <c r="AD182" s="16">
        <f t="shared" si="74"/>
        <v>-35400.985020691332</v>
      </c>
      <c r="AE182" s="16">
        <f t="shared" si="75"/>
        <v>-36000.985020691325</v>
      </c>
      <c r="AF182" s="14">
        <f>IF([1]Sheet2!AJ181=999999,"NA",[1]Sheet2!AJ181)</f>
        <v>0</v>
      </c>
      <c r="AG182" s="14">
        <f>IF([1]Sheet2!AK181=999999,"NA",[1]Sheet2!AK181)</f>
        <v>0</v>
      </c>
      <c r="AH182" s="14" t="str">
        <f>IF([1]Sheet2!AL181=999999,"NA",[1]Sheet2!AL181)</f>
        <v>NA</v>
      </c>
      <c r="AI182" s="14">
        <f>IF([1]Sheet2!AM181=999999,"NA",[1]Sheet2!AM181)</f>
        <v>0</v>
      </c>
      <c r="AJ182" s="14">
        <f>IF([1]Sheet2!AN181=999999,"NA",[1]Sheet2!AN181)</f>
        <v>0</v>
      </c>
      <c r="AK182" s="14">
        <f>IF([1]Sheet2!AO181=999999,"NA",[1]Sheet2!AO181)</f>
        <v>0</v>
      </c>
      <c r="AL182" s="14">
        <f>IF([1]Sheet2!AP181=999999,"NA",[1]Sheet2!AP181)</f>
        <v>0</v>
      </c>
      <c r="AM182" s="14">
        <f>IF([1]Sheet2!AQ181=999999,"NA",[1]Sheet2!AQ181)</f>
        <v>0</v>
      </c>
      <c r="AN182" s="14">
        <f>IF([1]Sheet2!AR181=999999,"NA",[1]Sheet2!AR181)</f>
        <v>0</v>
      </c>
      <c r="AO182" s="14">
        <f>IF([1]Sheet2!AS181=999999,"NA",[1]Sheet2!AS181)</f>
        <v>0</v>
      </c>
      <c r="AP182" s="14">
        <f>[1]Sheet2!P181</f>
        <v>0</v>
      </c>
      <c r="AQ182" s="14">
        <f>[1]Sheet2!Q181</f>
        <v>0</v>
      </c>
      <c r="AR182" s="14">
        <f>[1]Sheet2!R181</f>
        <v>0</v>
      </c>
      <c r="AS182" s="14">
        <f>[1]Sheet2!S181</f>
        <v>0</v>
      </c>
      <c r="AT182" s="14">
        <f>[1]Sheet2!T181</f>
        <v>0</v>
      </c>
      <c r="AU182" s="14">
        <f>[1]Sheet2!U181</f>
        <v>0</v>
      </c>
      <c r="AV182" s="14">
        <f>[1]Sheet2!V181</f>
        <v>0</v>
      </c>
      <c r="AW182" s="14">
        <f>[1]Sheet2!W181</f>
        <v>0</v>
      </c>
      <c r="AX182" s="14">
        <f>[1]Sheet2!X181</f>
        <v>0</v>
      </c>
      <c r="AY182" s="14">
        <f>[1]Sheet2!Y181</f>
        <v>0</v>
      </c>
      <c r="AZ182" s="16">
        <f>Demand_LP!B$8/30</f>
        <v>807.81611164529909</v>
      </c>
      <c r="BA182" s="16">
        <f>Demand_LP!C$8/30</f>
        <v>574.48717948717956</v>
      </c>
      <c r="BB182" s="16">
        <f>Demand_LP!D$8/30</f>
        <v>339.04957264957267</v>
      </c>
      <c r="BC182" s="16">
        <f>Demand_LP!E$8/30</f>
        <v>830.46965811965799</v>
      </c>
      <c r="BD182" s="16">
        <f>Demand_LP!F$8/30</f>
        <v>476.67186805555554</v>
      </c>
      <c r="BE182" s="16">
        <f>Demand_LP!G$8/30</f>
        <v>476.67186805555554</v>
      </c>
      <c r="BF182" s="16">
        <f>Demand_LP!H$8/30</f>
        <v>574.48717948717956</v>
      </c>
      <c r="BG182" s="16">
        <f>Demand_LP!I$8/30</f>
        <v>476.67186805555554</v>
      </c>
      <c r="BH182" s="16">
        <f>Demand_LP!J$8/30</f>
        <v>476.67186805555554</v>
      </c>
      <c r="BI182" s="16">
        <f>Demand_LP!K$8/30</f>
        <v>476.67186805555554</v>
      </c>
      <c r="BJ182" s="16">
        <f t="shared" si="76"/>
        <v>-124570.07869955289</v>
      </c>
      <c r="BK182" s="16">
        <f t="shared" si="77"/>
        <v>-101037.12051282036</v>
      </c>
      <c r="BL182" s="16">
        <f t="shared" si="78"/>
        <v>-46013.507264957305</v>
      </c>
      <c r="BM182" s="16">
        <f t="shared" si="79"/>
        <v>-129900.96707778856</v>
      </c>
      <c r="BN182" s="16">
        <f t="shared" si="80"/>
        <v>-74827.702810261777</v>
      </c>
      <c r="BO182" s="16">
        <f t="shared" si="81"/>
        <v>-73285.386728632511</v>
      </c>
      <c r="BP182" s="16">
        <f t="shared" si="82"/>
        <v>-95394.699999999866</v>
      </c>
      <c r="BQ182" s="16">
        <f t="shared" si="83"/>
        <v>-73285.386728632511</v>
      </c>
      <c r="BR182" s="16">
        <f t="shared" si="84"/>
        <v>-70885.386728632555</v>
      </c>
      <c r="BS182" s="16">
        <f t="shared" si="85"/>
        <v>-71585.38672863254</v>
      </c>
      <c r="BT182" s="14">
        <f>IF([1]Sheet2!CB181=999999,"NA",[1]Sheet2!CB181)</f>
        <v>0</v>
      </c>
      <c r="BU182" s="14">
        <f>IF([1]Sheet2!CC181=999999,"NA",[1]Sheet2!CC181)</f>
        <v>0</v>
      </c>
      <c r="BV182" s="14">
        <f>IF([1]Sheet2!CD181=999999,"NA",[1]Sheet2!CD181)</f>
        <v>0</v>
      </c>
      <c r="BW182" s="14">
        <f>IF([1]Sheet2!CE181=999999,"NA",[1]Sheet2!CE181)</f>
        <v>0</v>
      </c>
      <c r="BX182" s="14">
        <f>IF([1]Sheet2!CF181=999999,"NA",[1]Sheet2!CF181)</f>
        <v>0</v>
      </c>
      <c r="BY182" s="14">
        <f>IF([1]Sheet2!CG181=999999,"NA",[1]Sheet2!CG181)</f>
        <v>0</v>
      </c>
      <c r="BZ182" s="14">
        <f>IF([1]Sheet2!CH181=999999,"NA",[1]Sheet2!CH181)</f>
        <v>0</v>
      </c>
      <c r="CA182" s="14">
        <f>IF([1]Sheet2!CI181=999999,"NA",[1]Sheet2!CI181)</f>
        <v>0</v>
      </c>
      <c r="CB182" s="14">
        <f>IF([1]Sheet2!CJ181=999999,"NA",[1]Sheet2!CJ181)</f>
        <v>0</v>
      </c>
      <c r="CC182" s="14">
        <f>IF([1]Sheet2!CK181=999999,"NA",[1]Sheet2!CK181)</f>
        <v>0</v>
      </c>
      <c r="CD182" s="14">
        <f>[1]Sheet2!BH181</f>
        <v>0</v>
      </c>
      <c r="CE182" s="14">
        <f>[1]Sheet2!BI181</f>
        <v>0</v>
      </c>
      <c r="CF182" s="14">
        <f>[1]Sheet2!BJ181</f>
        <v>0</v>
      </c>
      <c r="CG182" s="14">
        <f>[1]Sheet2!BK181</f>
        <v>0</v>
      </c>
      <c r="CH182" s="14">
        <f>[1]Sheet2!BL181</f>
        <v>0</v>
      </c>
      <c r="CI182" s="14">
        <f>[1]Sheet2!BM181</f>
        <v>0</v>
      </c>
      <c r="CJ182" s="14">
        <f>[1]Sheet2!BN181</f>
        <v>0</v>
      </c>
      <c r="CK182" s="14">
        <f>[1]Sheet2!BO181</f>
        <v>0</v>
      </c>
      <c r="CL182" s="14">
        <f>[1]Sheet2!BP181</f>
        <v>0</v>
      </c>
      <c r="CM182" s="14">
        <f>[1]Sheet2!BQ181</f>
        <v>0</v>
      </c>
      <c r="CN182" s="16">
        <f>Demand_SW!B$8/30</f>
        <v>144.23076923076923</v>
      </c>
      <c r="CO182" s="16">
        <f>Demand_SW!C$8/30</f>
        <v>0</v>
      </c>
      <c r="CP182" s="16">
        <f>Demand_SW!D$8/30</f>
        <v>0</v>
      </c>
      <c r="CQ182" s="16">
        <f>Demand_SW!E$8/30</f>
        <v>0</v>
      </c>
      <c r="CR182" s="16">
        <f>Demand_SW!F$8/30</f>
        <v>0</v>
      </c>
      <c r="CS182" s="16">
        <f>Demand_SW!G$8/30</f>
        <v>144.23076923076923</v>
      </c>
      <c r="CT182" s="16">
        <f>Demand_SW!H$8/30</f>
        <v>0</v>
      </c>
      <c r="CU182" s="16">
        <f>Demand_SW!I$8/30</f>
        <v>0</v>
      </c>
      <c r="CV182" s="16">
        <f>Demand_SW!J$8/30</f>
        <v>0</v>
      </c>
      <c r="CW182" s="16">
        <f>Demand_SW!K$8/30</f>
        <v>0</v>
      </c>
      <c r="CX182" s="16">
        <f t="shared" si="86"/>
        <v>-19309.230769230784</v>
      </c>
      <c r="CY182" s="16">
        <f t="shared" si="87"/>
        <v>76.923076923077133</v>
      </c>
      <c r="CZ182" s="16">
        <f t="shared" si="88"/>
        <v>0</v>
      </c>
      <c r="DA182" s="16">
        <f t="shared" si="89"/>
        <v>0</v>
      </c>
      <c r="DB182" s="16">
        <f t="shared" si="90"/>
        <v>0</v>
      </c>
      <c r="DC182" s="16">
        <f t="shared" si="91"/>
        <v>-18838.461538461554</v>
      </c>
      <c r="DD182" s="16">
        <f t="shared" si="92"/>
        <v>76.923076923077133</v>
      </c>
      <c r="DE182" s="16">
        <f t="shared" si="93"/>
        <v>0</v>
      </c>
      <c r="DF182" s="16">
        <f t="shared" si="94"/>
        <v>0</v>
      </c>
      <c r="DG182" s="16">
        <f t="shared" si="95"/>
        <v>0</v>
      </c>
      <c r="DH182" s="14">
        <f>IF([1]Sheet2!DS181=999999,"NA",[1]Sheet2!DS181)</f>
        <v>0</v>
      </c>
      <c r="DI182" s="14">
        <f>IF([1]Sheet2!DT181=999999,"NA",[1]Sheet2!DT181)</f>
        <v>186</v>
      </c>
      <c r="DJ182" s="14" t="str">
        <f>IF([1]Sheet2!DU181=999999,"NA",[1]Sheet2!DU181)</f>
        <v>NA</v>
      </c>
      <c r="DK182" s="14" t="str">
        <f>IF([1]Sheet2!DV181=999999,"NA",[1]Sheet2!DV181)</f>
        <v>NA</v>
      </c>
      <c r="DL182" s="14" t="str">
        <f>IF([1]Sheet2!DW181=999999,"NA",[1]Sheet2!DW181)</f>
        <v>NA</v>
      </c>
      <c r="DM182" s="14">
        <f>IF([1]Sheet2!DX181=999999,"NA",[1]Sheet2!DX181)</f>
        <v>0</v>
      </c>
      <c r="DN182" s="14">
        <f>IF([1]Sheet2!DY181=999999,"NA",[1]Sheet2!DY181)</f>
        <v>186</v>
      </c>
      <c r="DO182" s="14" t="str">
        <f>IF([1]Sheet2!DZ181=999999,"NA",[1]Sheet2!DZ181)</f>
        <v>NA</v>
      </c>
      <c r="DP182" s="14" t="str">
        <f>IF([1]Sheet2!EA181=999999,"NA",[1]Sheet2!EA181)</f>
        <v>NA</v>
      </c>
      <c r="DQ182" s="14" t="str">
        <f>IF([1]Sheet2!EB181=999999,"NA",[1]Sheet2!EB181)</f>
        <v>NA</v>
      </c>
      <c r="DR182" s="14">
        <f>[1]Sheet2!CY181</f>
        <v>0</v>
      </c>
      <c r="DS182" s="14">
        <f>[1]Sheet2!CZ181</f>
        <v>0</v>
      </c>
      <c r="DT182" s="14">
        <f>[1]Sheet2!DA181</f>
        <v>0</v>
      </c>
      <c r="DU182" s="14">
        <f>[1]Sheet2!DB181</f>
        <v>0</v>
      </c>
      <c r="DV182" s="14">
        <f>[1]Sheet2!DC181</f>
        <v>0</v>
      </c>
      <c r="DW182" s="14">
        <f>[1]Sheet2!DD181</f>
        <v>0</v>
      </c>
      <c r="DX182" s="14">
        <f>[1]Sheet2!DE181</f>
        <v>0</v>
      </c>
      <c r="DY182" s="14">
        <f>[1]Sheet2!DF181</f>
        <v>0</v>
      </c>
      <c r="DZ182" s="14">
        <f>[1]Sheet2!DG181</f>
        <v>0</v>
      </c>
      <c r="EA182" s="14">
        <f>[1]Sheet2!DH181</f>
        <v>0</v>
      </c>
      <c r="EB182" s="6">
        <f>[1]Sheet2!EC181</f>
        <v>0</v>
      </c>
      <c r="EC182" s="6">
        <f>[1]Sheet2!ED181</f>
        <v>0</v>
      </c>
      <c r="ED182" s="6">
        <f>[1]Sheet2!EE181</f>
        <v>0</v>
      </c>
      <c r="EE182" s="6">
        <f>[1]Sheet2!EF181</f>
        <v>0</v>
      </c>
      <c r="EF182" s="6">
        <f>[1]Sheet2!EG181</f>
        <v>0</v>
      </c>
      <c r="EG182" s="6">
        <f>[1]Sheet2!EH181</f>
        <v>0</v>
      </c>
      <c r="EH182" s="6">
        <f>[1]Sheet2!EI181</f>
        <v>0</v>
      </c>
      <c r="EI182" s="6">
        <f>[1]Sheet2!EJ181</f>
        <v>0</v>
      </c>
      <c r="EJ182" s="6">
        <f>[1]Sheet2!EK181</f>
        <v>0</v>
      </c>
      <c r="EK182" s="6">
        <f>[1]Sheet2!EL181</f>
        <v>0</v>
      </c>
      <c r="EL182" s="6" t="str">
        <f>[1]Sheet2!EM181</f>
        <v/>
      </c>
      <c r="EM182" s="6" t="str">
        <f>[1]Sheet2!EN181</f>
        <v/>
      </c>
      <c r="EN182" s="6" t="str">
        <f>[1]Sheet2!EO181</f>
        <v/>
      </c>
      <c r="EO182" s="6" t="str">
        <f>[1]Sheet2!EP181</f>
        <v/>
      </c>
      <c r="EP182" s="6" t="str">
        <f>[1]Sheet2!EQ181</f>
        <v/>
      </c>
      <c r="EQ182" s="6" t="str">
        <f>[1]Sheet2!ER181</f>
        <v/>
      </c>
      <c r="ER182" s="6" t="str">
        <f>[1]Sheet2!ES181</f>
        <v/>
      </c>
      <c r="ES182" s="6" t="str">
        <f>[1]Sheet2!ET181</f>
        <v/>
      </c>
      <c r="ET182" s="6" t="str">
        <f>[1]Sheet2!EU181</f>
        <v/>
      </c>
      <c r="EU182" s="6" t="str">
        <f>[1]Sheet2!EV181</f>
        <v/>
      </c>
      <c r="EV182" s="6" t="str">
        <f>[1]Sheet2!EW181</f>
        <v/>
      </c>
      <c r="EW182" s="6" t="str">
        <f>[1]Sheet2!EX181</f>
        <v/>
      </c>
      <c r="EX182" s="6" t="str">
        <f>[1]Sheet2!EY181</f>
        <v/>
      </c>
      <c r="EY182" s="6" t="str">
        <f>[1]Sheet2!EZ181</f>
        <v/>
      </c>
      <c r="EZ182" s="6" t="str">
        <f>[1]Sheet2!FA181</f>
        <v/>
      </c>
      <c r="FA182" s="6" t="str">
        <f>[1]Sheet2!FB181</f>
        <v/>
      </c>
      <c r="FB182" s="6" t="str">
        <f>[1]Sheet2!FC181</f>
        <v/>
      </c>
      <c r="FC182" s="6" t="str">
        <f>[1]Sheet2!FD181</f>
        <v/>
      </c>
      <c r="FD182" s="6" t="str">
        <f>[1]Sheet2!FE181</f>
        <v/>
      </c>
      <c r="FE182" s="6" t="str">
        <f>[1]Sheet2!FF181</f>
        <v/>
      </c>
      <c r="FF182" s="6" t="str">
        <f>[1]Sheet2!FG181</f>
        <v/>
      </c>
      <c r="FG182" s="6" t="str">
        <f>[1]Sheet2!FH181</f>
        <v/>
      </c>
      <c r="FH182" s="6" t="str">
        <f>[1]Sheet2!FI181</f>
        <v/>
      </c>
      <c r="FI182" s="6" t="str">
        <f>[1]Sheet2!FJ181</f>
        <v/>
      </c>
      <c r="FJ182" s="6" t="str">
        <f>[1]Sheet2!FK181</f>
        <v/>
      </c>
      <c r="FK182" s="6" t="str">
        <f>[1]Sheet2!FL181</f>
        <v/>
      </c>
      <c r="FL182" s="6" t="str">
        <f>[1]Sheet2!FM181</f>
        <v/>
      </c>
      <c r="FM182" s="6" t="str">
        <f>[1]Sheet2!FN181</f>
        <v/>
      </c>
      <c r="FN182" s="6" t="str">
        <f>[1]Sheet2!FO181</f>
        <v/>
      </c>
      <c r="FO182" s="6" t="str">
        <f>[1]Sheet2!FP181</f>
        <v/>
      </c>
    </row>
    <row r="183" spans="1:171" x14ac:dyDescent="0.25">
      <c r="A183" s="15">
        <v>43645</v>
      </c>
      <c r="B183" s="1"/>
      <c r="C183" s="1"/>
      <c r="D183" s="1"/>
      <c r="E183" s="14">
        <f>[1]Sheet2!N182</f>
        <v>0</v>
      </c>
      <c r="F183" s="14">
        <f>[1]Sheet2!BE182</f>
        <v>48000</v>
      </c>
      <c r="G183" s="14">
        <f>[1]Sheet2!CW182</f>
        <v>0</v>
      </c>
      <c r="H183" s="1"/>
      <c r="I183" s="1"/>
      <c r="J183" s="1"/>
      <c r="K183" s="16"/>
      <c r="L183" s="16">
        <f>Demand_CWRS!B$8/30</f>
        <v>124.86819391025641</v>
      </c>
      <c r="M183" s="16">
        <f>Demand_CWRS!C$8/30</f>
        <v>583.20512820512829</v>
      </c>
      <c r="N183" s="16">
        <f>Demand_CWRS!D$8/30</f>
        <v>0</v>
      </c>
      <c r="O183" s="16">
        <f>Demand_CWRS!E$8/30</f>
        <v>156.84829059829062</v>
      </c>
      <c r="P183" s="16">
        <f>Demand_CWRS!F$8/30</f>
        <v>252.39596314102559</v>
      </c>
      <c r="Q183" s="16">
        <f>Demand_CWRS!G$8/30</f>
        <v>124.86819391025641</v>
      </c>
      <c r="R183" s="16">
        <f>Demand_CWRS!H$8/30</f>
        <v>246.66666666666666</v>
      </c>
      <c r="S183" s="16">
        <f>Demand_CWRS!I$8/30</f>
        <v>246.66666666666666</v>
      </c>
      <c r="T183" s="16">
        <f>Demand_CWRS!J$8/30</f>
        <v>246.66666666666666</v>
      </c>
      <c r="U183" s="16">
        <f>Demand_CWRS!K$8/30</f>
        <v>246.66666666666666</v>
      </c>
      <c r="V183" s="16">
        <f t="shared" si="66"/>
        <v>-22235.893343486288</v>
      </c>
      <c r="W183" s="16">
        <f t="shared" si="67"/>
        <v>-83272.956410256156</v>
      </c>
      <c r="X183" s="16">
        <f t="shared" si="68"/>
        <v>0</v>
      </c>
      <c r="Y183" s="16">
        <f t="shared" si="69"/>
        <v>-13384.428259223187</v>
      </c>
      <c r="Z183" s="16">
        <f t="shared" si="70"/>
        <v>-37025.767871652875</v>
      </c>
      <c r="AA183" s="16">
        <f t="shared" si="71"/>
        <v>-20910.120194447853</v>
      </c>
      <c r="AB183" s="16">
        <f t="shared" si="72"/>
        <v>-41340.661943768195</v>
      </c>
      <c r="AC183" s="16">
        <f t="shared" si="73"/>
        <v>-35547.651687358004</v>
      </c>
      <c r="AD183" s="16">
        <f t="shared" si="74"/>
        <v>-35647.651687357997</v>
      </c>
      <c r="AE183" s="16">
        <f t="shared" si="75"/>
        <v>-36247.651687357989</v>
      </c>
      <c r="AF183" s="14">
        <f>IF([1]Sheet2!AJ182=999999,"NA",[1]Sheet2!AJ182)</f>
        <v>0</v>
      </c>
      <c r="AG183" s="14">
        <f>IF([1]Sheet2!AK182=999999,"NA",[1]Sheet2!AK182)</f>
        <v>0</v>
      </c>
      <c r="AH183" s="14" t="str">
        <f>IF([1]Sheet2!AL182=999999,"NA",[1]Sheet2!AL182)</f>
        <v>NA</v>
      </c>
      <c r="AI183" s="14">
        <f>IF([1]Sheet2!AM182=999999,"NA",[1]Sheet2!AM182)</f>
        <v>0</v>
      </c>
      <c r="AJ183" s="14">
        <f>IF([1]Sheet2!AN182=999999,"NA",[1]Sheet2!AN182)</f>
        <v>0</v>
      </c>
      <c r="AK183" s="14">
        <f>IF([1]Sheet2!AO182=999999,"NA",[1]Sheet2!AO182)</f>
        <v>0</v>
      </c>
      <c r="AL183" s="14">
        <f>IF([1]Sheet2!AP182=999999,"NA",[1]Sheet2!AP182)</f>
        <v>0</v>
      </c>
      <c r="AM183" s="14">
        <f>IF([1]Sheet2!AQ182=999999,"NA",[1]Sheet2!AQ182)</f>
        <v>0</v>
      </c>
      <c r="AN183" s="14">
        <f>IF([1]Sheet2!AR182=999999,"NA",[1]Sheet2!AR182)</f>
        <v>0</v>
      </c>
      <c r="AO183" s="14">
        <f>IF([1]Sheet2!AS182=999999,"NA",[1]Sheet2!AS182)</f>
        <v>0</v>
      </c>
      <c r="AP183" s="14">
        <f>[1]Sheet2!P182</f>
        <v>0</v>
      </c>
      <c r="AQ183" s="14">
        <f>[1]Sheet2!Q182</f>
        <v>0</v>
      </c>
      <c r="AR183" s="14">
        <f>[1]Sheet2!R182</f>
        <v>0</v>
      </c>
      <c r="AS183" s="14">
        <f>[1]Sheet2!S182</f>
        <v>0</v>
      </c>
      <c r="AT183" s="14">
        <f>[1]Sheet2!T182</f>
        <v>0</v>
      </c>
      <c r="AU183" s="14">
        <f>[1]Sheet2!U182</f>
        <v>0</v>
      </c>
      <c r="AV183" s="14">
        <f>[1]Sheet2!V182</f>
        <v>0</v>
      </c>
      <c r="AW183" s="14">
        <f>[1]Sheet2!W182</f>
        <v>0</v>
      </c>
      <c r="AX183" s="14">
        <f>[1]Sheet2!X182</f>
        <v>0</v>
      </c>
      <c r="AY183" s="14">
        <f>[1]Sheet2!Y182</f>
        <v>0</v>
      </c>
      <c r="AZ183" s="16">
        <f>Demand_LP!B$8/30</f>
        <v>807.81611164529909</v>
      </c>
      <c r="BA183" s="16">
        <f>Demand_LP!C$8/30</f>
        <v>574.48717948717956</v>
      </c>
      <c r="BB183" s="16">
        <f>Demand_LP!D$8/30</f>
        <v>339.04957264957267</v>
      </c>
      <c r="BC183" s="16">
        <f>Demand_LP!E$8/30</f>
        <v>830.46965811965799</v>
      </c>
      <c r="BD183" s="16">
        <f>Demand_LP!F$8/30</f>
        <v>476.67186805555554</v>
      </c>
      <c r="BE183" s="16">
        <f>Demand_LP!G$8/30</f>
        <v>476.67186805555554</v>
      </c>
      <c r="BF183" s="16">
        <f>Demand_LP!H$8/30</f>
        <v>574.48717948717956</v>
      </c>
      <c r="BG183" s="16">
        <f>Demand_LP!I$8/30</f>
        <v>476.67186805555554</v>
      </c>
      <c r="BH183" s="16">
        <f>Demand_LP!J$8/30</f>
        <v>476.67186805555554</v>
      </c>
      <c r="BI183" s="16">
        <f>Demand_LP!K$8/30</f>
        <v>476.67186805555554</v>
      </c>
      <c r="BJ183" s="16">
        <f t="shared" si="76"/>
        <v>-125377.89481119819</v>
      </c>
      <c r="BK183" s="16">
        <f t="shared" si="77"/>
        <v>-101611.60769230753</v>
      </c>
      <c r="BL183" s="16">
        <f t="shared" si="78"/>
        <v>-46352.556837606877</v>
      </c>
      <c r="BM183" s="16">
        <f t="shared" si="79"/>
        <v>-130731.43673590822</v>
      </c>
      <c r="BN183" s="16">
        <f t="shared" si="80"/>
        <v>-75304.374678317326</v>
      </c>
      <c r="BO183" s="16">
        <f t="shared" si="81"/>
        <v>-73762.058596688061</v>
      </c>
      <c r="BP183" s="16">
        <f t="shared" si="82"/>
        <v>-95969.187179487039</v>
      </c>
      <c r="BQ183" s="16">
        <f t="shared" si="83"/>
        <v>-73762.058596688061</v>
      </c>
      <c r="BR183" s="16">
        <f t="shared" si="84"/>
        <v>-71362.058596688104</v>
      </c>
      <c r="BS183" s="16">
        <f t="shared" si="85"/>
        <v>-72062.05859668809</v>
      </c>
      <c r="BT183" s="14">
        <f>IF([1]Sheet2!CB182=999999,"NA",[1]Sheet2!CB182)</f>
        <v>0</v>
      </c>
      <c r="BU183" s="14">
        <f>IF([1]Sheet2!CC182=999999,"NA",[1]Sheet2!CC182)</f>
        <v>0</v>
      </c>
      <c r="BV183" s="14">
        <f>IF([1]Sheet2!CD182=999999,"NA",[1]Sheet2!CD182)</f>
        <v>0</v>
      </c>
      <c r="BW183" s="14">
        <f>IF([1]Sheet2!CE182=999999,"NA",[1]Sheet2!CE182)</f>
        <v>0</v>
      </c>
      <c r="BX183" s="14">
        <f>IF([1]Sheet2!CF182=999999,"NA",[1]Sheet2!CF182)</f>
        <v>0</v>
      </c>
      <c r="BY183" s="14">
        <f>IF([1]Sheet2!CG182=999999,"NA",[1]Sheet2!CG182)</f>
        <v>0</v>
      </c>
      <c r="BZ183" s="14">
        <f>IF([1]Sheet2!CH182=999999,"NA",[1]Sheet2!CH182)</f>
        <v>0</v>
      </c>
      <c r="CA183" s="14">
        <f>IF([1]Sheet2!CI182=999999,"NA",[1]Sheet2!CI182)</f>
        <v>0</v>
      </c>
      <c r="CB183" s="14">
        <f>IF([1]Sheet2!CJ182=999999,"NA",[1]Sheet2!CJ182)</f>
        <v>0</v>
      </c>
      <c r="CC183" s="14">
        <f>IF([1]Sheet2!CK182=999999,"NA",[1]Sheet2!CK182)</f>
        <v>0</v>
      </c>
      <c r="CD183" s="14">
        <f>[1]Sheet2!BH182</f>
        <v>0</v>
      </c>
      <c r="CE183" s="14">
        <f>[1]Sheet2!BI182</f>
        <v>0</v>
      </c>
      <c r="CF183" s="14">
        <f>[1]Sheet2!BJ182</f>
        <v>0</v>
      </c>
      <c r="CG183" s="14">
        <f>[1]Sheet2!BK182</f>
        <v>0</v>
      </c>
      <c r="CH183" s="14">
        <f>[1]Sheet2!BL182</f>
        <v>0</v>
      </c>
      <c r="CI183" s="14">
        <f>[1]Sheet2!BM182</f>
        <v>0</v>
      </c>
      <c r="CJ183" s="14">
        <f>[1]Sheet2!BN182</f>
        <v>0</v>
      </c>
      <c r="CK183" s="14">
        <f>[1]Sheet2!BO182</f>
        <v>0</v>
      </c>
      <c r="CL183" s="14">
        <f>[1]Sheet2!BP182</f>
        <v>0</v>
      </c>
      <c r="CM183" s="14">
        <f>[1]Sheet2!BQ182</f>
        <v>0</v>
      </c>
      <c r="CN183" s="16">
        <f>Demand_SW!B$8/30</f>
        <v>144.23076923076923</v>
      </c>
      <c r="CO183" s="16">
        <f>Demand_SW!C$8/30</f>
        <v>0</v>
      </c>
      <c r="CP183" s="16">
        <f>Demand_SW!D$8/30</f>
        <v>0</v>
      </c>
      <c r="CQ183" s="16">
        <f>Demand_SW!E$8/30</f>
        <v>0</v>
      </c>
      <c r="CR183" s="16">
        <f>Demand_SW!F$8/30</f>
        <v>0</v>
      </c>
      <c r="CS183" s="16">
        <f>Demand_SW!G$8/30</f>
        <v>144.23076923076923</v>
      </c>
      <c r="CT183" s="16">
        <f>Demand_SW!H$8/30</f>
        <v>0</v>
      </c>
      <c r="CU183" s="16">
        <f>Demand_SW!I$8/30</f>
        <v>0</v>
      </c>
      <c r="CV183" s="16">
        <f>Demand_SW!J$8/30</f>
        <v>0</v>
      </c>
      <c r="CW183" s="16">
        <f>Demand_SW!K$8/30</f>
        <v>0</v>
      </c>
      <c r="CX183" s="16">
        <f t="shared" si="86"/>
        <v>-19453.461538461554</v>
      </c>
      <c r="CY183" s="16">
        <f t="shared" si="87"/>
        <v>76.923076923077133</v>
      </c>
      <c r="CZ183" s="16">
        <f t="shared" si="88"/>
        <v>0</v>
      </c>
      <c r="DA183" s="16">
        <f t="shared" si="89"/>
        <v>0</v>
      </c>
      <c r="DB183" s="16">
        <f t="shared" si="90"/>
        <v>0</v>
      </c>
      <c r="DC183" s="16">
        <f t="shared" si="91"/>
        <v>-18982.692307692323</v>
      </c>
      <c r="DD183" s="16">
        <f t="shared" si="92"/>
        <v>76.923076923077133</v>
      </c>
      <c r="DE183" s="16">
        <f t="shared" si="93"/>
        <v>0</v>
      </c>
      <c r="DF183" s="16">
        <f t="shared" si="94"/>
        <v>0</v>
      </c>
      <c r="DG183" s="16">
        <f t="shared" si="95"/>
        <v>0</v>
      </c>
      <c r="DH183" s="14">
        <f>IF([1]Sheet2!DS182=999999,"NA",[1]Sheet2!DS182)</f>
        <v>0</v>
      </c>
      <c r="DI183" s="14">
        <f>IF([1]Sheet2!DT182=999999,"NA",[1]Sheet2!DT182)</f>
        <v>185</v>
      </c>
      <c r="DJ183" s="14" t="str">
        <f>IF([1]Sheet2!DU182=999999,"NA",[1]Sheet2!DU182)</f>
        <v>NA</v>
      </c>
      <c r="DK183" s="14" t="str">
        <f>IF([1]Sheet2!DV182=999999,"NA",[1]Sheet2!DV182)</f>
        <v>NA</v>
      </c>
      <c r="DL183" s="14" t="str">
        <f>IF([1]Sheet2!DW182=999999,"NA",[1]Sheet2!DW182)</f>
        <v>NA</v>
      </c>
      <c r="DM183" s="14">
        <f>IF([1]Sheet2!DX182=999999,"NA",[1]Sheet2!DX182)</f>
        <v>0</v>
      </c>
      <c r="DN183" s="14">
        <f>IF([1]Sheet2!DY182=999999,"NA",[1]Sheet2!DY182)</f>
        <v>185</v>
      </c>
      <c r="DO183" s="14" t="str">
        <f>IF([1]Sheet2!DZ182=999999,"NA",[1]Sheet2!DZ182)</f>
        <v>NA</v>
      </c>
      <c r="DP183" s="14" t="str">
        <f>IF([1]Sheet2!EA182=999999,"NA",[1]Sheet2!EA182)</f>
        <v>NA</v>
      </c>
      <c r="DQ183" s="14" t="str">
        <f>IF([1]Sheet2!EB182=999999,"NA",[1]Sheet2!EB182)</f>
        <v>NA</v>
      </c>
      <c r="DR183" s="14">
        <f>[1]Sheet2!CY182</f>
        <v>0</v>
      </c>
      <c r="DS183" s="14">
        <f>[1]Sheet2!CZ182</f>
        <v>0</v>
      </c>
      <c r="DT183" s="14">
        <f>[1]Sheet2!DA182</f>
        <v>0</v>
      </c>
      <c r="DU183" s="14">
        <f>[1]Sheet2!DB182</f>
        <v>0</v>
      </c>
      <c r="DV183" s="14">
        <f>[1]Sheet2!DC182</f>
        <v>0</v>
      </c>
      <c r="DW183" s="14">
        <f>[1]Sheet2!DD182</f>
        <v>0</v>
      </c>
      <c r="DX183" s="14">
        <f>[1]Sheet2!DE182</f>
        <v>0</v>
      </c>
      <c r="DY183" s="14">
        <f>[1]Sheet2!DF182</f>
        <v>0</v>
      </c>
      <c r="DZ183" s="14">
        <f>[1]Sheet2!DG182</f>
        <v>0</v>
      </c>
      <c r="EA183" s="14">
        <f>[1]Sheet2!DH182</f>
        <v>0</v>
      </c>
      <c r="EB183" s="6">
        <f>[1]Sheet2!EC182</f>
        <v>0</v>
      </c>
      <c r="EC183" s="6">
        <f>[1]Sheet2!ED182</f>
        <v>0</v>
      </c>
      <c r="ED183" s="6">
        <f>[1]Sheet2!EE182</f>
        <v>0</v>
      </c>
      <c r="EE183" s="6">
        <f>[1]Sheet2!EF182</f>
        <v>0</v>
      </c>
      <c r="EF183" s="6">
        <f>[1]Sheet2!EG182</f>
        <v>0</v>
      </c>
      <c r="EG183" s="6">
        <f>[1]Sheet2!EH182</f>
        <v>0</v>
      </c>
      <c r="EH183" s="6">
        <f>[1]Sheet2!EI182</f>
        <v>0</v>
      </c>
      <c r="EI183" s="6">
        <f>[1]Sheet2!EJ182</f>
        <v>0</v>
      </c>
      <c r="EJ183" s="6">
        <f>[1]Sheet2!EK182</f>
        <v>0</v>
      </c>
      <c r="EK183" s="6">
        <f>[1]Sheet2!EL182</f>
        <v>0</v>
      </c>
      <c r="EL183" s="6" t="str">
        <f>[1]Sheet2!EM182</f>
        <v/>
      </c>
      <c r="EM183" s="6" t="str">
        <f>[1]Sheet2!EN182</f>
        <v/>
      </c>
      <c r="EN183" s="6" t="str">
        <f>[1]Sheet2!EO182</f>
        <v/>
      </c>
      <c r="EO183" s="6" t="str">
        <f>[1]Sheet2!EP182</f>
        <v/>
      </c>
      <c r="EP183" s="6" t="str">
        <f>[1]Sheet2!EQ182</f>
        <v/>
      </c>
      <c r="EQ183" s="6" t="str">
        <f>[1]Sheet2!ER182</f>
        <v/>
      </c>
      <c r="ER183" s="6" t="str">
        <f>[1]Sheet2!ES182</f>
        <v/>
      </c>
      <c r="ES183" s="6" t="str">
        <f>[1]Sheet2!ET182</f>
        <v/>
      </c>
      <c r="ET183" s="6" t="str">
        <f>[1]Sheet2!EU182</f>
        <v/>
      </c>
      <c r="EU183" s="6" t="str">
        <f>[1]Sheet2!EV182</f>
        <v/>
      </c>
      <c r="EV183" s="6" t="str">
        <f>[1]Sheet2!EW182</f>
        <v/>
      </c>
      <c r="EW183" s="6" t="str">
        <f>[1]Sheet2!EX182</f>
        <v/>
      </c>
      <c r="EX183" s="6" t="str">
        <f>[1]Sheet2!EY182</f>
        <v/>
      </c>
      <c r="EY183" s="6" t="str">
        <f>[1]Sheet2!EZ182</f>
        <v/>
      </c>
      <c r="EZ183" s="6" t="str">
        <f>[1]Sheet2!FA182</f>
        <v/>
      </c>
      <c r="FA183" s="6" t="str">
        <f>[1]Sheet2!FB182</f>
        <v/>
      </c>
      <c r="FB183" s="6" t="str">
        <f>[1]Sheet2!FC182</f>
        <v/>
      </c>
      <c r="FC183" s="6" t="str">
        <f>[1]Sheet2!FD182</f>
        <v/>
      </c>
      <c r="FD183" s="6" t="str">
        <f>[1]Sheet2!FE182</f>
        <v/>
      </c>
      <c r="FE183" s="6" t="str">
        <f>[1]Sheet2!FF182</f>
        <v/>
      </c>
      <c r="FF183" s="6" t="str">
        <f>[1]Sheet2!FG182</f>
        <v/>
      </c>
      <c r="FG183" s="6" t="str">
        <f>[1]Sheet2!FH182</f>
        <v/>
      </c>
      <c r="FH183" s="6" t="str">
        <f>[1]Sheet2!FI182</f>
        <v/>
      </c>
      <c r="FI183" s="6" t="str">
        <f>[1]Sheet2!FJ182</f>
        <v/>
      </c>
      <c r="FJ183" s="6" t="str">
        <f>[1]Sheet2!FK182</f>
        <v/>
      </c>
      <c r="FK183" s="6" t="str">
        <f>[1]Sheet2!FL182</f>
        <v/>
      </c>
      <c r="FL183" s="6" t="str">
        <f>[1]Sheet2!FM182</f>
        <v/>
      </c>
      <c r="FM183" s="6" t="str">
        <f>[1]Sheet2!FN182</f>
        <v/>
      </c>
      <c r="FN183" s="6" t="str">
        <f>[1]Sheet2!FO182</f>
        <v/>
      </c>
      <c r="FO183" s="6" t="str">
        <f>[1]Sheet2!FP182</f>
        <v/>
      </c>
    </row>
    <row r="184" spans="1:171" x14ac:dyDescent="0.25">
      <c r="A184" s="15">
        <v>43646</v>
      </c>
      <c r="B184" s="1"/>
      <c r="C184" s="1"/>
      <c r="D184" s="1"/>
      <c r="E184" s="14">
        <f>[1]Sheet2!N183</f>
        <v>0</v>
      </c>
      <c r="F184" s="14">
        <f>[1]Sheet2!BE183</f>
        <v>0</v>
      </c>
      <c r="G184" s="14">
        <f>[1]Sheet2!CW183</f>
        <v>0</v>
      </c>
      <c r="H184" s="1"/>
      <c r="I184" s="1"/>
      <c r="J184" s="1"/>
      <c r="K184" s="16"/>
      <c r="L184" s="16">
        <f>Demand_CWRS!B$8/30</f>
        <v>124.86819391025641</v>
      </c>
      <c r="M184" s="16">
        <f>Demand_CWRS!C$8/30</f>
        <v>583.20512820512829</v>
      </c>
      <c r="N184" s="16">
        <f>Demand_CWRS!D$8/30</f>
        <v>0</v>
      </c>
      <c r="O184" s="16">
        <f>Demand_CWRS!E$8/30</f>
        <v>156.84829059829062</v>
      </c>
      <c r="P184" s="16">
        <f>Demand_CWRS!F$8/30</f>
        <v>252.39596314102559</v>
      </c>
      <c r="Q184" s="16">
        <f>Demand_CWRS!G$8/30</f>
        <v>124.86819391025641</v>
      </c>
      <c r="R184" s="16">
        <f>Demand_CWRS!H$8/30</f>
        <v>246.66666666666666</v>
      </c>
      <c r="S184" s="16">
        <f>Demand_CWRS!I$8/30</f>
        <v>246.66666666666666</v>
      </c>
      <c r="T184" s="16">
        <f>Demand_CWRS!J$8/30</f>
        <v>246.66666666666666</v>
      </c>
      <c r="U184" s="16">
        <f>Demand_CWRS!K$8/30</f>
        <v>246.66666666666666</v>
      </c>
      <c r="V184" s="16">
        <f t="shared" si="66"/>
        <v>-22360.761537396545</v>
      </c>
      <c r="W184" s="16">
        <f t="shared" si="67"/>
        <v>-83856.161538461281</v>
      </c>
      <c r="X184" s="16">
        <f t="shared" si="68"/>
        <v>0</v>
      </c>
      <c r="Y184" s="16">
        <f t="shared" si="69"/>
        <v>-13541.276549821478</v>
      </c>
      <c r="Z184" s="16">
        <f t="shared" si="70"/>
        <v>-37278.163834793901</v>
      </c>
      <c r="AA184" s="16">
        <f t="shared" si="71"/>
        <v>-21034.98838835811</v>
      </c>
      <c r="AB184" s="16">
        <f t="shared" si="72"/>
        <v>-41587.328610434859</v>
      </c>
      <c r="AC184" s="16">
        <f t="shared" si="73"/>
        <v>-35794.318354024668</v>
      </c>
      <c r="AD184" s="16">
        <f t="shared" si="74"/>
        <v>-35894.318354024661</v>
      </c>
      <c r="AE184" s="16">
        <f t="shared" si="75"/>
        <v>-36494.318354024654</v>
      </c>
      <c r="AF184" s="14">
        <f>IF([1]Sheet2!AJ183=999999,"NA",[1]Sheet2!AJ183)</f>
        <v>0</v>
      </c>
      <c r="AG184" s="14">
        <f>IF([1]Sheet2!AK183=999999,"NA",[1]Sheet2!AK183)</f>
        <v>0</v>
      </c>
      <c r="AH184" s="14" t="str">
        <f>IF([1]Sheet2!AL183=999999,"NA",[1]Sheet2!AL183)</f>
        <v>NA</v>
      </c>
      <c r="AI184" s="14">
        <f>IF([1]Sheet2!AM183=999999,"NA",[1]Sheet2!AM183)</f>
        <v>0</v>
      </c>
      <c r="AJ184" s="14">
        <f>IF([1]Sheet2!AN183=999999,"NA",[1]Sheet2!AN183)</f>
        <v>0</v>
      </c>
      <c r="AK184" s="14">
        <f>IF([1]Sheet2!AO183=999999,"NA",[1]Sheet2!AO183)</f>
        <v>0</v>
      </c>
      <c r="AL184" s="14">
        <f>IF([1]Sheet2!AP183=999999,"NA",[1]Sheet2!AP183)</f>
        <v>0</v>
      </c>
      <c r="AM184" s="14">
        <f>IF([1]Sheet2!AQ183=999999,"NA",[1]Sheet2!AQ183)</f>
        <v>0</v>
      </c>
      <c r="AN184" s="14">
        <f>IF([1]Sheet2!AR183=999999,"NA",[1]Sheet2!AR183)</f>
        <v>0</v>
      </c>
      <c r="AO184" s="14">
        <f>IF([1]Sheet2!AS183=999999,"NA",[1]Sheet2!AS183)</f>
        <v>0</v>
      </c>
      <c r="AP184" s="14">
        <f>[1]Sheet2!P183</f>
        <v>0</v>
      </c>
      <c r="AQ184" s="14">
        <f>[1]Sheet2!Q183</f>
        <v>0</v>
      </c>
      <c r="AR184" s="14">
        <f>[1]Sheet2!R183</f>
        <v>0</v>
      </c>
      <c r="AS184" s="14">
        <f>[1]Sheet2!S183</f>
        <v>0</v>
      </c>
      <c r="AT184" s="14">
        <f>[1]Sheet2!T183</f>
        <v>0</v>
      </c>
      <c r="AU184" s="14">
        <f>[1]Sheet2!U183</f>
        <v>0</v>
      </c>
      <c r="AV184" s="14">
        <f>[1]Sheet2!V183</f>
        <v>0</v>
      </c>
      <c r="AW184" s="14">
        <f>[1]Sheet2!W183</f>
        <v>0</v>
      </c>
      <c r="AX184" s="14">
        <f>[1]Sheet2!X183</f>
        <v>0</v>
      </c>
      <c r="AY184" s="14">
        <f>[1]Sheet2!Y183</f>
        <v>0</v>
      </c>
      <c r="AZ184" s="16">
        <f>Demand_LP!B$8/30</f>
        <v>807.81611164529909</v>
      </c>
      <c r="BA184" s="16">
        <f>Demand_LP!C$8/30</f>
        <v>574.48717948717956</v>
      </c>
      <c r="BB184" s="16">
        <f>Demand_LP!D$8/30</f>
        <v>339.04957264957267</v>
      </c>
      <c r="BC184" s="16">
        <f>Demand_LP!E$8/30</f>
        <v>830.46965811965799</v>
      </c>
      <c r="BD184" s="16">
        <f>Demand_LP!F$8/30</f>
        <v>476.67186805555554</v>
      </c>
      <c r="BE184" s="16">
        <f>Demand_LP!G$8/30</f>
        <v>476.67186805555554</v>
      </c>
      <c r="BF184" s="16">
        <f>Demand_LP!H$8/30</f>
        <v>574.48717948717956</v>
      </c>
      <c r="BG184" s="16">
        <f>Demand_LP!I$8/30</f>
        <v>476.67186805555554</v>
      </c>
      <c r="BH184" s="16">
        <f>Demand_LP!J$8/30</f>
        <v>476.67186805555554</v>
      </c>
      <c r="BI184" s="16">
        <f>Demand_LP!K$8/30</f>
        <v>476.67186805555554</v>
      </c>
      <c r="BJ184" s="16">
        <f t="shared" si="76"/>
        <v>-126185.71092284349</v>
      </c>
      <c r="BK184" s="16">
        <f t="shared" si="77"/>
        <v>-102186.0948717947</v>
      </c>
      <c r="BL184" s="16">
        <f t="shared" si="78"/>
        <v>-46691.606410256449</v>
      </c>
      <c r="BM184" s="16">
        <f t="shared" si="79"/>
        <v>-131561.90639402787</v>
      </c>
      <c r="BN184" s="16">
        <f t="shared" si="80"/>
        <v>-75781.046546372876</v>
      </c>
      <c r="BO184" s="16">
        <f t="shared" si="81"/>
        <v>-74238.73046474361</v>
      </c>
      <c r="BP184" s="16">
        <f t="shared" si="82"/>
        <v>-96543.674358974211</v>
      </c>
      <c r="BQ184" s="16">
        <f t="shared" si="83"/>
        <v>-74238.73046474361</v>
      </c>
      <c r="BR184" s="16">
        <f t="shared" si="84"/>
        <v>-71838.730464743654</v>
      </c>
      <c r="BS184" s="16">
        <f t="shared" si="85"/>
        <v>-72538.730464743639</v>
      </c>
      <c r="BT184" s="14">
        <f>IF([1]Sheet2!CB183=999999,"NA",[1]Sheet2!CB183)</f>
        <v>0</v>
      </c>
      <c r="BU184" s="14">
        <f>IF([1]Sheet2!CC183=999999,"NA",[1]Sheet2!CC183)</f>
        <v>0</v>
      </c>
      <c r="BV184" s="14">
        <f>IF([1]Sheet2!CD183=999999,"NA",[1]Sheet2!CD183)</f>
        <v>0</v>
      </c>
      <c r="BW184" s="14">
        <f>IF([1]Sheet2!CE183=999999,"NA",[1]Sheet2!CE183)</f>
        <v>0</v>
      </c>
      <c r="BX184" s="14">
        <f>IF([1]Sheet2!CF183=999999,"NA",[1]Sheet2!CF183)</f>
        <v>0</v>
      </c>
      <c r="BY184" s="14">
        <f>IF([1]Sheet2!CG183=999999,"NA",[1]Sheet2!CG183)</f>
        <v>0</v>
      </c>
      <c r="BZ184" s="14">
        <f>IF([1]Sheet2!CH183=999999,"NA",[1]Sheet2!CH183)</f>
        <v>0</v>
      </c>
      <c r="CA184" s="14">
        <f>IF([1]Sheet2!CI183=999999,"NA",[1]Sheet2!CI183)</f>
        <v>0</v>
      </c>
      <c r="CB184" s="14">
        <f>IF([1]Sheet2!CJ183=999999,"NA",[1]Sheet2!CJ183)</f>
        <v>0</v>
      </c>
      <c r="CC184" s="14">
        <f>IF([1]Sheet2!CK183=999999,"NA",[1]Sheet2!CK183)</f>
        <v>0</v>
      </c>
      <c r="CD184" s="14">
        <f>[1]Sheet2!BH183</f>
        <v>0</v>
      </c>
      <c r="CE184" s="14">
        <f>[1]Sheet2!BI183</f>
        <v>0</v>
      </c>
      <c r="CF184" s="14">
        <f>[1]Sheet2!BJ183</f>
        <v>0</v>
      </c>
      <c r="CG184" s="14">
        <f>[1]Sheet2!BK183</f>
        <v>0</v>
      </c>
      <c r="CH184" s="14">
        <f>[1]Sheet2!BL183</f>
        <v>0</v>
      </c>
      <c r="CI184" s="14">
        <f>[1]Sheet2!BM183</f>
        <v>0</v>
      </c>
      <c r="CJ184" s="14">
        <f>[1]Sheet2!BN183</f>
        <v>0</v>
      </c>
      <c r="CK184" s="14">
        <f>[1]Sheet2!BO183</f>
        <v>0</v>
      </c>
      <c r="CL184" s="14">
        <f>[1]Sheet2!BP183</f>
        <v>0</v>
      </c>
      <c r="CM184" s="14">
        <f>[1]Sheet2!BQ183</f>
        <v>0</v>
      </c>
      <c r="CN184" s="16">
        <f>Demand_SW!B$8/30</f>
        <v>144.23076923076923</v>
      </c>
      <c r="CO184" s="16">
        <f>Demand_SW!C$8/30</f>
        <v>0</v>
      </c>
      <c r="CP184" s="16">
        <f>Demand_SW!D$8/30</f>
        <v>0</v>
      </c>
      <c r="CQ184" s="16">
        <f>Demand_SW!E$8/30</f>
        <v>0</v>
      </c>
      <c r="CR184" s="16">
        <f>Demand_SW!F$8/30</f>
        <v>0</v>
      </c>
      <c r="CS184" s="16">
        <f>Demand_SW!G$8/30</f>
        <v>144.23076923076923</v>
      </c>
      <c r="CT184" s="16">
        <f>Demand_SW!H$8/30</f>
        <v>0</v>
      </c>
      <c r="CU184" s="16">
        <f>Demand_SW!I$8/30</f>
        <v>0</v>
      </c>
      <c r="CV184" s="16">
        <f>Demand_SW!J$8/30</f>
        <v>0</v>
      </c>
      <c r="CW184" s="16">
        <f>Demand_SW!K$8/30</f>
        <v>0</v>
      </c>
      <c r="CX184" s="16">
        <f t="shared" si="86"/>
        <v>-19597.692307692323</v>
      </c>
      <c r="CY184" s="16">
        <f t="shared" si="87"/>
        <v>76.923076923077133</v>
      </c>
      <c r="CZ184" s="16">
        <f t="shared" si="88"/>
        <v>0</v>
      </c>
      <c r="DA184" s="16">
        <f t="shared" si="89"/>
        <v>0</v>
      </c>
      <c r="DB184" s="16">
        <f t="shared" si="90"/>
        <v>0</v>
      </c>
      <c r="DC184" s="16">
        <f t="shared" si="91"/>
        <v>-19126.923076923093</v>
      </c>
      <c r="DD184" s="16">
        <f t="shared" si="92"/>
        <v>76.923076923077133</v>
      </c>
      <c r="DE184" s="16">
        <f t="shared" si="93"/>
        <v>0</v>
      </c>
      <c r="DF184" s="16">
        <f t="shared" si="94"/>
        <v>0</v>
      </c>
      <c r="DG184" s="16">
        <f t="shared" si="95"/>
        <v>0</v>
      </c>
      <c r="DH184" s="14">
        <f>IF([1]Sheet2!DS183=999999,"NA",[1]Sheet2!DS183)</f>
        <v>0</v>
      </c>
      <c r="DI184" s="14">
        <f>IF([1]Sheet2!DT183=999999,"NA",[1]Sheet2!DT183)</f>
        <v>184</v>
      </c>
      <c r="DJ184" s="14" t="str">
        <f>IF([1]Sheet2!DU183=999999,"NA",[1]Sheet2!DU183)</f>
        <v>NA</v>
      </c>
      <c r="DK184" s="14" t="str">
        <f>IF([1]Sheet2!DV183=999999,"NA",[1]Sheet2!DV183)</f>
        <v>NA</v>
      </c>
      <c r="DL184" s="14" t="str">
        <f>IF([1]Sheet2!DW183=999999,"NA",[1]Sheet2!DW183)</f>
        <v>NA</v>
      </c>
      <c r="DM184" s="14">
        <f>IF([1]Sheet2!DX183=999999,"NA",[1]Sheet2!DX183)</f>
        <v>0</v>
      </c>
      <c r="DN184" s="14">
        <f>IF([1]Sheet2!DY183=999999,"NA",[1]Sheet2!DY183)</f>
        <v>184</v>
      </c>
      <c r="DO184" s="14" t="str">
        <f>IF([1]Sheet2!DZ183=999999,"NA",[1]Sheet2!DZ183)</f>
        <v>NA</v>
      </c>
      <c r="DP184" s="14" t="str">
        <f>IF([1]Sheet2!EA183=999999,"NA",[1]Sheet2!EA183)</f>
        <v>NA</v>
      </c>
      <c r="DQ184" s="14" t="str">
        <f>IF([1]Sheet2!EB183=999999,"NA",[1]Sheet2!EB183)</f>
        <v>NA</v>
      </c>
      <c r="DR184" s="14">
        <f>[1]Sheet2!CY183</f>
        <v>0</v>
      </c>
      <c r="DS184" s="14">
        <f>[1]Sheet2!CZ183</f>
        <v>0</v>
      </c>
      <c r="DT184" s="14">
        <f>[1]Sheet2!DA183</f>
        <v>0</v>
      </c>
      <c r="DU184" s="14">
        <f>[1]Sheet2!DB183</f>
        <v>0</v>
      </c>
      <c r="DV184" s="14">
        <f>[1]Sheet2!DC183</f>
        <v>0</v>
      </c>
      <c r="DW184" s="14">
        <f>[1]Sheet2!DD183</f>
        <v>0</v>
      </c>
      <c r="DX184" s="14">
        <f>[1]Sheet2!DE183</f>
        <v>0</v>
      </c>
      <c r="DY184" s="14">
        <f>[1]Sheet2!DF183</f>
        <v>0</v>
      </c>
      <c r="DZ184" s="14">
        <f>[1]Sheet2!DG183</f>
        <v>0</v>
      </c>
      <c r="EA184" s="14">
        <f>[1]Sheet2!DH183</f>
        <v>0</v>
      </c>
      <c r="EB184" s="6">
        <f>[1]Sheet2!EC183</f>
        <v>0</v>
      </c>
      <c r="EC184" s="6">
        <f>[1]Sheet2!ED183</f>
        <v>0</v>
      </c>
      <c r="ED184" s="6">
        <f>[1]Sheet2!EE183</f>
        <v>0</v>
      </c>
      <c r="EE184" s="6">
        <f>[1]Sheet2!EF183</f>
        <v>0</v>
      </c>
      <c r="EF184" s="6">
        <f>[1]Sheet2!EG183</f>
        <v>0</v>
      </c>
      <c r="EG184" s="6">
        <f>[1]Sheet2!EH183</f>
        <v>0</v>
      </c>
      <c r="EH184" s="6">
        <f>[1]Sheet2!EI183</f>
        <v>0</v>
      </c>
      <c r="EI184" s="6">
        <f>[1]Sheet2!EJ183</f>
        <v>0</v>
      </c>
      <c r="EJ184" s="6">
        <f>[1]Sheet2!EK183</f>
        <v>0</v>
      </c>
      <c r="EK184" s="6">
        <f>[1]Sheet2!EL183</f>
        <v>0</v>
      </c>
      <c r="EL184" s="6" t="str">
        <f>[1]Sheet2!EM183</f>
        <v/>
      </c>
      <c r="EM184" s="6" t="str">
        <f>[1]Sheet2!EN183</f>
        <v/>
      </c>
      <c r="EN184" s="6" t="str">
        <f>[1]Sheet2!EO183</f>
        <v/>
      </c>
      <c r="EO184" s="6" t="str">
        <f>[1]Sheet2!EP183</f>
        <v/>
      </c>
      <c r="EP184" s="6" t="str">
        <f>[1]Sheet2!EQ183</f>
        <v/>
      </c>
      <c r="EQ184" s="6" t="str">
        <f>[1]Sheet2!ER183</f>
        <v/>
      </c>
      <c r="ER184" s="6" t="str">
        <f>[1]Sheet2!ES183</f>
        <v/>
      </c>
      <c r="ES184" s="6" t="str">
        <f>[1]Sheet2!ET183</f>
        <v/>
      </c>
      <c r="ET184" s="6" t="str">
        <f>[1]Sheet2!EU183</f>
        <v/>
      </c>
      <c r="EU184" s="6" t="str">
        <f>[1]Sheet2!EV183</f>
        <v/>
      </c>
      <c r="EV184" s="6" t="str">
        <f>[1]Sheet2!EW183</f>
        <v/>
      </c>
      <c r="EW184" s="6" t="str">
        <f>[1]Sheet2!EX183</f>
        <v/>
      </c>
      <c r="EX184" s="6" t="str">
        <f>[1]Sheet2!EY183</f>
        <v/>
      </c>
      <c r="EY184" s="6" t="str">
        <f>[1]Sheet2!EZ183</f>
        <v/>
      </c>
      <c r="EZ184" s="6" t="str">
        <f>[1]Sheet2!FA183</f>
        <v/>
      </c>
      <c r="FA184" s="6" t="str">
        <f>[1]Sheet2!FB183</f>
        <v/>
      </c>
      <c r="FB184" s="6" t="str">
        <f>[1]Sheet2!FC183</f>
        <v/>
      </c>
      <c r="FC184" s="6" t="str">
        <f>[1]Sheet2!FD183</f>
        <v/>
      </c>
      <c r="FD184" s="6" t="str">
        <f>[1]Sheet2!FE183</f>
        <v/>
      </c>
      <c r="FE184" s="6" t="str">
        <f>[1]Sheet2!FF183</f>
        <v/>
      </c>
      <c r="FF184" s="6" t="str">
        <f>[1]Sheet2!FG183</f>
        <v/>
      </c>
      <c r="FG184" s="6" t="str">
        <f>[1]Sheet2!FH183</f>
        <v/>
      </c>
      <c r="FH184" s="6" t="str">
        <f>[1]Sheet2!FI183</f>
        <v/>
      </c>
      <c r="FI184" s="6" t="str">
        <f>[1]Sheet2!FJ183</f>
        <v/>
      </c>
      <c r="FJ184" s="6" t="str">
        <f>[1]Sheet2!FK183</f>
        <v/>
      </c>
      <c r="FK184" s="6" t="str">
        <f>[1]Sheet2!FL183</f>
        <v/>
      </c>
      <c r="FL184" s="6" t="str">
        <f>[1]Sheet2!FM183</f>
        <v/>
      </c>
      <c r="FM184" s="6" t="str">
        <f>[1]Sheet2!FN183</f>
        <v/>
      </c>
      <c r="FN184" s="6" t="str">
        <f>[1]Sheet2!FO183</f>
        <v/>
      </c>
      <c r="FO184" s="6" t="str">
        <f>[1]Sheet2!FP183</f>
        <v/>
      </c>
    </row>
    <row r="185" spans="1:171" x14ac:dyDescent="0.25">
      <c r="A185" s="15">
        <v>43647</v>
      </c>
      <c r="B185" s="1"/>
      <c r="C185" s="1"/>
      <c r="D185" s="1"/>
      <c r="E185" s="14">
        <f>[1]Sheet2!N184</f>
        <v>48000</v>
      </c>
      <c r="F185" s="14">
        <f>[1]Sheet2!BE184</f>
        <v>0</v>
      </c>
      <c r="G185" s="14">
        <f>[1]Sheet2!CW184</f>
        <v>0</v>
      </c>
      <c r="H185" s="1"/>
      <c r="I185" s="1"/>
      <c r="J185" s="1"/>
      <c r="K185" s="16"/>
      <c r="L185" s="16">
        <f>Demand_CWRS!B$9/31</f>
        <v>137.44229993796523</v>
      </c>
      <c r="M185" s="16">
        <f>Demand_CWRS!C$9/31</f>
        <v>616.54259718775836</v>
      </c>
      <c r="N185" s="16">
        <f>Demand_CWRS!D$9/31</f>
        <v>0</v>
      </c>
      <c r="O185" s="16">
        <f>Demand_CWRS!E$9/31</f>
        <v>140.39247311827955</v>
      </c>
      <c r="P185" s="16">
        <f>Demand_CWRS!F$9/31</f>
        <v>245.11049679487181</v>
      </c>
      <c r="Q185" s="16">
        <f>Demand_CWRS!G$9/31</f>
        <v>137.44229993796523</v>
      </c>
      <c r="R185" s="16">
        <f>Demand_CWRS!H$9/31</f>
        <v>245.11049679487181</v>
      </c>
      <c r="S185" s="16">
        <f>Demand_CWRS!I$9/31</f>
        <v>245.11049679487181</v>
      </c>
      <c r="T185" s="16">
        <f>Demand_CWRS!J$9/31</f>
        <v>245.11049679487181</v>
      </c>
      <c r="U185" s="16">
        <f>Demand_CWRS!K$9/31</f>
        <v>245.11049679487181</v>
      </c>
      <c r="V185" s="16">
        <f t="shared" si="66"/>
        <v>-22498.203837334509</v>
      </c>
      <c r="W185" s="16">
        <f t="shared" si="67"/>
        <v>-84472.704135649037</v>
      </c>
      <c r="X185" s="16">
        <f t="shared" si="68"/>
        <v>0</v>
      </c>
      <c r="Y185" s="16">
        <f t="shared" si="69"/>
        <v>-13681.669022939757</v>
      </c>
      <c r="Z185" s="16">
        <f t="shared" si="70"/>
        <v>-37523.274331588771</v>
      </c>
      <c r="AA185" s="16">
        <f t="shared" si="71"/>
        <v>-21172.430688296074</v>
      </c>
      <c r="AB185" s="16">
        <f t="shared" si="72"/>
        <v>-41832.439107229729</v>
      </c>
      <c r="AC185" s="16">
        <f t="shared" si="73"/>
        <v>-36039.428850819539</v>
      </c>
      <c r="AD185" s="16">
        <f t="shared" si="74"/>
        <v>-36139.428850819531</v>
      </c>
      <c r="AE185" s="16">
        <f t="shared" si="75"/>
        <v>-36739.428850819524</v>
      </c>
      <c r="AF185" s="14">
        <f>IF([1]Sheet2!AJ184=999999,"NA",[1]Sheet2!AJ184)</f>
        <v>0</v>
      </c>
      <c r="AG185" s="14">
        <f>IF([1]Sheet2!AK184=999999,"NA",[1]Sheet2!AK184)</f>
        <v>0</v>
      </c>
      <c r="AH185" s="14" t="str">
        <f>IF([1]Sheet2!AL184=999999,"NA",[1]Sheet2!AL184)</f>
        <v>NA</v>
      </c>
      <c r="AI185" s="14">
        <f>IF([1]Sheet2!AM184=999999,"NA",[1]Sheet2!AM184)</f>
        <v>0</v>
      </c>
      <c r="AJ185" s="14">
        <f>IF([1]Sheet2!AN184=999999,"NA",[1]Sheet2!AN184)</f>
        <v>0</v>
      </c>
      <c r="AK185" s="14">
        <f>IF([1]Sheet2!AO184=999999,"NA",[1]Sheet2!AO184)</f>
        <v>0</v>
      </c>
      <c r="AL185" s="14">
        <f>IF([1]Sheet2!AP184=999999,"NA",[1]Sheet2!AP184)</f>
        <v>0</v>
      </c>
      <c r="AM185" s="14">
        <f>IF([1]Sheet2!AQ184=999999,"NA",[1]Sheet2!AQ184)</f>
        <v>0</v>
      </c>
      <c r="AN185" s="14">
        <f>IF([1]Sheet2!AR184=999999,"NA",[1]Sheet2!AR184)</f>
        <v>0</v>
      </c>
      <c r="AO185" s="14">
        <f>IF([1]Sheet2!AS184=999999,"NA",[1]Sheet2!AS184)</f>
        <v>0</v>
      </c>
      <c r="AP185" s="14">
        <f>[1]Sheet2!P184</f>
        <v>0</v>
      </c>
      <c r="AQ185" s="14">
        <f>[1]Sheet2!Q184</f>
        <v>0</v>
      </c>
      <c r="AR185" s="14">
        <f>[1]Sheet2!R184</f>
        <v>0</v>
      </c>
      <c r="AS185" s="14">
        <f>[1]Sheet2!S184</f>
        <v>0</v>
      </c>
      <c r="AT185" s="14">
        <f>[1]Sheet2!T184</f>
        <v>0</v>
      </c>
      <c r="AU185" s="14">
        <f>[1]Sheet2!U184</f>
        <v>0</v>
      </c>
      <c r="AV185" s="14">
        <f>[1]Sheet2!V184</f>
        <v>0</v>
      </c>
      <c r="AW185" s="14">
        <f>[1]Sheet2!W184</f>
        <v>0</v>
      </c>
      <c r="AX185" s="14">
        <f>[1]Sheet2!X184</f>
        <v>0</v>
      </c>
      <c r="AY185" s="14">
        <f>[1]Sheet2!Y184</f>
        <v>0</v>
      </c>
      <c r="AZ185" s="16">
        <f>Demand_LP!B$9/31</f>
        <v>878.29658550454917</v>
      </c>
      <c r="BA185" s="16">
        <f>Demand_LP!C$9/31</f>
        <v>663.85442514474767</v>
      </c>
      <c r="BB185" s="16">
        <f>Demand_LP!D$9/31</f>
        <v>335.39784946236568</v>
      </c>
      <c r="BC185" s="16">
        <f>Demand_LP!E$9/31</f>
        <v>725.23531844499576</v>
      </c>
      <c r="BD185" s="16">
        <f>Demand_LP!F$9/31</f>
        <v>456.65268558726217</v>
      </c>
      <c r="BE185" s="16">
        <f>Demand_LP!G$9/31</f>
        <v>456.65268558726217</v>
      </c>
      <c r="BF185" s="16">
        <f>Demand_LP!H$9/31</f>
        <v>663.85442514474767</v>
      </c>
      <c r="BG185" s="16">
        <f>Demand_LP!I$9/31</f>
        <v>456.65268558726217</v>
      </c>
      <c r="BH185" s="16">
        <f>Demand_LP!J$9/31</f>
        <v>456.65268558726217</v>
      </c>
      <c r="BI185" s="16">
        <f>Demand_LP!K$9/31</f>
        <v>456.65268558726217</v>
      </c>
      <c r="BJ185" s="16">
        <f t="shared" si="76"/>
        <v>-127064.00750834803</v>
      </c>
      <c r="BK185" s="16">
        <f t="shared" si="77"/>
        <v>-102849.94929693945</v>
      </c>
      <c r="BL185" s="16">
        <f t="shared" si="78"/>
        <v>-47027.004259718815</v>
      </c>
      <c r="BM185" s="16">
        <f t="shared" si="79"/>
        <v>-132287.14171247286</v>
      </c>
      <c r="BN185" s="16">
        <f t="shared" si="80"/>
        <v>-76237.699231960141</v>
      </c>
      <c r="BO185" s="16">
        <f t="shared" si="81"/>
        <v>-74695.383150330876</v>
      </c>
      <c r="BP185" s="16">
        <f t="shared" si="82"/>
        <v>-97207.528784118957</v>
      </c>
      <c r="BQ185" s="16">
        <f t="shared" si="83"/>
        <v>-74695.383150330876</v>
      </c>
      <c r="BR185" s="16">
        <f t="shared" si="84"/>
        <v>-72295.383150330919</v>
      </c>
      <c r="BS185" s="16">
        <f t="shared" si="85"/>
        <v>-72995.383150330905</v>
      </c>
      <c r="BT185" s="14">
        <f>IF([1]Sheet2!CB184=999999,"NA",[1]Sheet2!CB184)</f>
        <v>0</v>
      </c>
      <c r="BU185" s="14">
        <f>IF([1]Sheet2!CC184=999999,"NA",[1]Sheet2!CC184)</f>
        <v>0</v>
      </c>
      <c r="BV185" s="14">
        <f>IF([1]Sheet2!CD184=999999,"NA",[1]Sheet2!CD184)</f>
        <v>0</v>
      </c>
      <c r="BW185" s="14">
        <f>IF([1]Sheet2!CE184=999999,"NA",[1]Sheet2!CE184)</f>
        <v>0</v>
      </c>
      <c r="BX185" s="14">
        <f>IF([1]Sheet2!CF184=999999,"NA",[1]Sheet2!CF184)</f>
        <v>0</v>
      </c>
      <c r="BY185" s="14">
        <f>IF([1]Sheet2!CG184=999999,"NA",[1]Sheet2!CG184)</f>
        <v>0</v>
      </c>
      <c r="BZ185" s="14">
        <f>IF([1]Sheet2!CH184=999999,"NA",[1]Sheet2!CH184)</f>
        <v>0</v>
      </c>
      <c r="CA185" s="14">
        <f>IF([1]Sheet2!CI184=999999,"NA",[1]Sheet2!CI184)</f>
        <v>0</v>
      </c>
      <c r="CB185" s="14">
        <f>IF([1]Sheet2!CJ184=999999,"NA",[1]Sheet2!CJ184)</f>
        <v>0</v>
      </c>
      <c r="CC185" s="14">
        <f>IF([1]Sheet2!CK184=999999,"NA",[1]Sheet2!CK184)</f>
        <v>0</v>
      </c>
      <c r="CD185" s="14">
        <f>[1]Sheet2!BH184</f>
        <v>0</v>
      </c>
      <c r="CE185" s="14">
        <f>[1]Sheet2!BI184</f>
        <v>0</v>
      </c>
      <c r="CF185" s="14">
        <f>[1]Sheet2!BJ184</f>
        <v>0</v>
      </c>
      <c r="CG185" s="14">
        <f>[1]Sheet2!BK184</f>
        <v>0</v>
      </c>
      <c r="CH185" s="14">
        <f>[1]Sheet2!BL184</f>
        <v>0</v>
      </c>
      <c r="CI185" s="14">
        <f>[1]Sheet2!BM184</f>
        <v>0</v>
      </c>
      <c r="CJ185" s="14">
        <f>[1]Sheet2!BN184</f>
        <v>0</v>
      </c>
      <c r="CK185" s="14">
        <f>[1]Sheet2!BO184</f>
        <v>0</v>
      </c>
      <c r="CL185" s="14">
        <f>[1]Sheet2!BP184</f>
        <v>0</v>
      </c>
      <c r="CM185" s="14">
        <f>[1]Sheet2!BQ184</f>
        <v>0</v>
      </c>
      <c r="CN185" s="16">
        <f>Demand_SW!B$9/31</f>
        <v>131.01736972704714</v>
      </c>
      <c r="CO185" s="16">
        <f>Demand_SW!C$9/31</f>
        <v>0</v>
      </c>
      <c r="CP185" s="16">
        <f>Demand_SW!D$9/31</f>
        <v>0</v>
      </c>
      <c r="CQ185" s="16">
        <f>Demand_SW!E$9/31</f>
        <v>0</v>
      </c>
      <c r="CR185" s="16">
        <f>Demand_SW!F$9/31</f>
        <v>0</v>
      </c>
      <c r="CS185" s="16">
        <f>Demand_SW!G$9/31</f>
        <v>131.01736972704714</v>
      </c>
      <c r="CT185" s="16">
        <f>Demand_SW!H$9/31</f>
        <v>0</v>
      </c>
      <c r="CU185" s="16">
        <f>Demand_SW!I$9/31</f>
        <v>0</v>
      </c>
      <c r="CV185" s="16">
        <f>Demand_SW!J$9/31</f>
        <v>0</v>
      </c>
      <c r="CW185" s="16">
        <f>Demand_SW!K$9/31</f>
        <v>0</v>
      </c>
      <c r="CX185" s="16">
        <f t="shared" si="86"/>
        <v>-19728.709677419371</v>
      </c>
      <c r="CY185" s="16">
        <f t="shared" si="87"/>
        <v>76.923076923077133</v>
      </c>
      <c r="CZ185" s="16">
        <f t="shared" si="88"/>
        <v>0</v>
      </c>
      <c r="DA185" s="16">
        <f t="shared" si="89"/>
        <v>0</v>
      </c>
      <c r="DB185" s="16">
        <f t="shared" si="90"/>
        <v>0</v>
      </c>
      <c r="DC185" s="16">
        <f t="shared" si="91"/>
        <v>-19257.94044665014</v>
      </c>
      <c r="DD185" s="16">
        <f t="shared" si="92"/>
        <v>76.923076923077133</v>
      </c>
      <c r="DE185" s="16">
        <f t="shared" si="93"/>
        <v>0</v>
      </c>
      <c r="DF185" s="16">
        <f t="shared" si="94"/>
        <v>0</v>
      </c>
      <c r="DG185" s="16">
        <f t="shared" si="95"/>
        <v>0</v>
      </c>
      <c r="DH185" s="14">
        <f>IF([1]Sheet2!DS184=999999,"NA",[1]Sheet2!DS184)</f>
        <v>0</v>
      </c>
      <c r="DI185" s="14">
        <f>IF([1]Sheet2!DT184=999999,"NA",[1]Sheet2!DT184)</f>
        <v>183</v>
      </c>
      <c r="DJ185" s="14" t="str">
        <f>IF([1]Sheet2!DU184=999999,"NA",[1]Sheet2!DU184)</f>
        <v>NA</v>
      </c>
      <c r="DK185" s="14" t="str">
        <f>IF([1]Sheet2!DV184=999999,"NA",[1]Sheet2!DV184)</f>
        <v>NA</v>
      </c>
      <c r="DL185" s="14" t="str">
        <f>IF([1]Sheet2!DW184=999999,"NA",[1]Sheet2!DW184)</f>
        <v>NA</v>
      </c>
      <c r="DM185" s="14">
        <f>IF([1]Sheet2!DX184=999999,"NA",[1]Sheet2!DX184)</f>
        <v>0</v>
      </c>
      <c r="DN185" s="14">
        <f>IF([1]Sheet2!DY184=999999,"NA",[1]Sheet2!DY184)</f>
        <v>183</v>
      </c>
      <c r="DO185" s="14" t="str">
        <f>IF([1]Sheet2!DZ184=999999,"NA",[1]Sheet2!DZ184)</f>
        <v>NA</v>
      </c>
      <c r="DP185" s="14" t="str">
        <f>IF([1]Sheet2!EA184=999999,"NA",[1]Sheet2!EA184)</f>
        <v>NA</v>
      </c>
      <c r="DQ185" s="14" t="str">
        <f>IF([1]Sheet2!EB184=999999,"NA",[1]Sheet2!EB184)</f>
        <v>NA</v>
      </c>
      <c r="DR185" s="14">
        <f>[1]Sheet2!CY184</f>
        <v>0</v>
      </c>
      <c r="DS185" s="14">
        <f>[1]Sheet2!CZ184</f>
        <v>0</v>
      </c>
      <c r="DT185" s="14">
        <f>[1]Sheet2!DA184</f>
        <v>0</v>
      </c>
      <c r="DU185" s="14">
        <f>[1]Sheet2!DB184</f>
        <v>0</v>
      </c>
      <c r="DV185" s="14">
        <f>[1]Sheet2!DC184</f>
        <v>0</v>
      </c>
      <c r="DW185" s="14">
        <f>[1]Sheet2!DD184</f>
        <v>0</v>
      </c>
      <c r="DX185" s="14">
        <f>[1]Sheet2!DE184</f>
        <v>0</v>
      </c>
      <c r="DY185" s="14">
        <f>[1]Sheet2!DF184</f>
        <v>0</v>
      </c>
      <c r="DZ185" s="14">
        <f>[1]Sheet2!DG184</f>
        <v>0</v>
      </c>
      <c r="EA185" s="14">
        <f>[1]Sheet2!DH184</f>
        <v>0</v>
      </c>
      <c r="EB185" s="6">
        <f>[1]Sheet2!EC184</f>
        <v>0</v>
      </c>
      <c r="EC185" s="6">
        <f>[1]Sheet2!ED184</f>
        <v>0</v>
      </c>
      <c r="ED185" s="6">
        <f>[1]Sheet2!EE184</f>
        <v>0</v>
      </c>
      <c r="EE185" s="6">
        <f>[1]Sheet2!EF184</f>
        <v>0</v>
      </c>
      <c r="EF185" s="6">
        <f>[1]Sheet2!EG184</f>
        <v>0</v>
      </c>
      <c r="EG185" s="6">
        <f>[1]Sheet2!EH184</f>
        <v>0</v>
      </c>
      <c r="EH185" s="6">
        <f>[1]Sheet2!EI184</f>
        <v>0</v>
      </c>
      <c r="EI185" s="6">
        <f>[1]Sheet2!EJ184</f>
        <v>0</v>
      </c>
      <c r="EJ185" s="6">
        <f>[1]Sheet2!EK184</f>
        <v>0</v>
      </c>
      <c r="EK185" s="6">
        <f>[1]Sheet2!EL184</f>
        <v>0</v>
      </c>
      <c r="EL185" s="6" t="str">
        <f>[1]Sheet2!EM184</f>
        <v/>
      </c>
      <c r="EM185" s="6" t="str">
        <f>[1]Sheet2!EN184</f>
        <v/>
      </c>
      <c r="EN185" s="6" t="str">
        <f>[1]Sheet2!EO184</f>
        <v/>
      </c>
      <c r="EO185" s="6" t="str">
        <f>[1]Sheet2!EP184</f>
        <v/>
      </c>
      <c r="EP185" s="6" t="str">
        <f>[1]Sheet2!EQ184</f>
        <v/>
      </c>
      <c r="EQ185" s="6" t="str">
        <f>[1]Sheet2!ER184</f>
        <v/>
      </c>
      <c r="ER185" s="6" t="str">
        <f>[1]Sheet2!ES184</f>
        <v/>
      </c>
      <c r="ES185" s="6" t="str">
        <f>[1]Sheet2!ET184</f>
        <v/>
      </c>
      <c r="ET185" s="6" t="str">
        <f>[1]Sheet2!EU184</f>
        <v/>
      </c>
      <c r="EU185" s="6" t="str">
        <f>[1]Sheet2!EV184</f>
        <v/>
      </c>
      <c r="EV185" s="6" t="str">
        <f>[1]Sheet2!EW184</f>
        <v/>
      </c>
      <c r="EW185" s="6" t="str">
        <f>[1]Sheet2!EX184</f>
        <v/>
      </c>
      <c r="EX185" s="6" t="str">
        <f>[1]Sheet2!EY184</f>
        <v/>
      </c>
      <c r="EY185" s="6" t="str">
        <f>[1]Sheet2!EZ184</f>
        <v/>
      </c>
      <c r="EZ185" s="6" t="str">
        <f>[1]Sheet2!FA184</f>
        <v/>
      </c>
      <c r="FA185" s="6" t="str">
        <f>[1]Sheet2!FB184</f>
        <v/>
      </c>
      <c r="FB185" s="6" t="str">
        <f>[1]Sheet2!FC184</f>
        <v/>
      </c>
      <c r="FC185" s="6" t="str">
        <f>[1]Sheet2!FD184</f>
        <v/>
      </c>
      <c r="FD185" s="6" t="str">
        <f>[1]Sheet2!FE184</f>
        <v/>
      </c>
      <c r="FE185" s="6" t="str">
        <f>[1]Sheet2!FF184</f>
        <v/>
      </c>
      <c r="FF185" s="6" t="str">
        <f>[1]Sheet2!FG184</f>
        <v/>
      </c>
      <c r="FG185" s="6" t="str">
        <f>[1]Sheet2!FH184</f>
        <v/>
      </c>
      <c r="FH185" s="6" t="str">
        <f>[1]Sheet2!FI184</f>
        <v/>
      </c>
      <c r="FI185" s="6" t="str">
        <f>[1]Sheet2!FJ184</f>
        <v/>
      </c>
      <c r="FJ185" s="6" t="str">
        <f>[1]Sheet2!FK184</f>
        <v/>
      </c>
      <c r="FK185" s="6" t="str">
        <f>[1]Sheet2!FL184</f>
        <v/>
      </c>
      <c r="FL185" s="6" t="str">
        <f>[1]Sheet2!FM184</f>
        <v/>
      </c>
      <c r="FM185" s="6" t="str">
        <f>[1]Sheet2!FN184</f>
        <v/>
      </c>
      <c r="FN185" s="6" t="str">
        <f>[1]Sheet2!FO184</f>
        <v/>
      </c>
      <c r="FO185" s="6" t="str">
        <f>[1]Sheet2!FP184</f>
        <v/>
      </c>
    </row>
    <row r="186" spans="1:171" x14ac:dyDescent="0.25">
      <c r="A186" s="15">
        <v>43648</v>
      </c>
      <c r="B186" s="1"/>
      <c r="C186" s="1"/>
      <c r="D186" s="1"/>
      <c r="E186" s="14">
        <f>[1]Sheet2!N185</f>
        <v>0</v>
      </c>
      <c r="F186" s="14">
        <f>[1]Sheet2!BE185</f>
        <v>0</v>
      </c>
      <c r="G186" s="14">
        <f>[1]Sheet2!CW185</f>
        <v>0</v>
      </c>
      <c r="H186" s="1"/>
      <c r="I186" s="1"/>
      <c r="J186" s="1"/>
      <c r="K186" s="16"/>
      <c r="L186" s="16">
        <f>Demand_CWRS!B$9/31</f>
        <v>137.44229993796523</v>
      </c>
      <c r="M186" s="16">
        <f>Demand_CWRS!C$9/31</f>
        <v>616.54259718775836</v>
      </c>
      <c r="N186" s="16">
        <f>Demand_CWRS!D$9/31</f>
        <v>0</v>
      </c>
      <c r="O186" s="16">
        <f>Demand_CWRS!E$9/31</f>
        <v>140.39247311827955</v>
      </c>
      <c r="P186" s="16">
        <f>Demand_CWRS!F$9/31</f>
        <v>245.11049679487181</v>
      </c>
      <c r="Q186" s="16">
        <f>Demand_CWRS!G$9/31</f>
        <v>137.44229993796523</v>
      </c>
      <c r="R186" s="16">
        <f>Demand_CWRS!H$9/31</f>
        <v>245.11049679487181</v>
      </c>
      <c r="S186" s="16">
        <f>Demand_CWRS!I$9/31</f>
        <v>245.11049679487181</v>
      </c>
      <c r="T186" s="16">
        <f>Demand_CWRS!J$9/31</f>
        <v>245.11049679487181</v>
      </c>
      <c r="U186" s="16">
        <f>Demand_CWRS!K$9/31</f>
        <v>245.11049679487181</v>
      </c>
      <c r="V186" s="16">
        <f t="shared" si="66"/>
        <v>-22635.646137272473</v>
      </c>
      <c r="W186" s="16">
        <f t="shared" si="67"/>
        <v>-85089.246732836793</v>
      </c>
      <c r="X186" s="16">
        <f t="shared" si="68"/>
        <v>0</v>
      </c>
      <c r="Y186" s="16">
        <f t="shared" si="69"/>
        <v>-13822.061496058037</v>
      </c>
      <c r="Z186" s="16">
        <f t="shared" si="70"/>
        <v>-37768.384828383641</v>
      </c>
      <c r="AA186" s="16">
        <f t="shared" si="71"/>
        <v>-21309.872988234038</v>
      </c>
      <c r="AB186" s="16">
        <f t="shared" si="72"/>
        <v>-42077.5496040246</v>
      </c>
      <c r="AC186" s="16">
        <f t="shared" si="73"/>
        <v>-36284.539347614409</v>
      </c>
      <c r="AD186" s="16">
        <f t="shared" si="74"/>
        <v>-36384.539347614402</v>
      </c>
      <c r="AE186" s="16">
        <f t="shared" si="75"/>
        <v>-36984.539347614395</v>
      </c>
      <c r="AF186" s="14">
        <f>IF([1]Sheet2!AJ185=999999,"NA",[1]Sheet2!AJ185)</f>
        <v>0</v>
      </c>
      <c r="AG186" s="14">
        <f>IF([1]Sheet2!AK185=999999,"NA",[1]Sheet2!AK185)</f>
        <v>0</v>
      </c>
      <c r="AH186" s="14" t="str">
        <f>IF([1]Sheet2!AL185=999999,"NA",[1]Sheet2!AL185)</f>
        <v>NA</v>
      </c>
      <c r="AI186" s="14">
        <f>IF([1]Sheet2!AM185=999999,"NA",[1]Sheet2!AM185)</f>
        <v>0</v>
      </c>
      <c r="AJ186" s="14">
        <f>IF([1]Sheet2!AN185=999999,"NA",[1]Sheet2!AN185)</f>
        <v>0</v>
      </c>
      <c r="AK186" s="14">
        <f>IF([1]Sheet2!AO185=999999,"NA",[1]Sheet2!AO185)</f>
        <v>0</v>
      </c>
      <c r="AL186" s="14">
        <f>IF([1]Sheet2!AP185=999999,"NA",[1]Sheet2!AP185)</f>
        <v>0</v>
      </c>
      <c r="AM186" s="14">
        <f>IF([1]Sheet2!AQ185=999999,"NA",[1]Sheet2!AQ185)</f>
        <v>0</v>
      </c>
      <c r="AN186" s="14">
        <f>IF([1]Sheet2!AR185=999999,"NA",[1]Sheet2!AR185)</f>
        <v>0</v>
      </c>
      <c r="AO186" s="14">
        <f>IF([1]Sheet2!AS185=999999,"NA",[1]Sheet2!AS185)</f>
        <v>0</v>
      </c>
      <c r="AP186" s="14">
        <f>[1]Sheet2!P185</f>
        <v>0</v>
      </c>
      <c r="AQ186" s="14">
        <f>[1]Sheet2!Q185</f>
        <v>0</v>
      </c>
      <c r="AR186" s="14">
        <f>[1]Sheet2!R185</f>
        <v>0</v>
      </c>
      <c r="AS186" s="14">
        <f>[1]Sheet2!S185</f>
        <v>0</v>
      </c>
      <c r="AT186" s="14">
        <f>[1]Sheet2!T185</f>
        <v>0</v>
      </c>
      <c r="AU186" s="14">
        <f>[1]Sheet2!U185</f>
        <v>0</v>
      </c>
      <c r="AV186" s="14">
        <f>[1]Sheet2!V185</f>
        <v>0</v>
      </c>
      <c r="AW186" s="14">
        <f>[1]Sheet2!W185</f>
        <v>0</v>
      </c>
      <c r="AX186" s="14">
        <f>[1]Sheet2!X185</f>
        <v>0</v>
      </c>
      <c r="AY186" s="14">
        <f>[1]Sheet2!Y185</f>
        <v>0</v>
      </c>
      <c r="AZ186" s="16">
        <f>Demand_LP!B$9/31</f>
        <v>878.29658550454917</v>
      </c>
      <c r="BA186" s="16">
        <f>Demand_LP!C$9/31</f>
        <v>663.85442514474767</v>
      </c>
      <c r="BB186" s="16">
        <f>Demand_LP!D$9/31</f>
        <v>335.39784946236568</v>
      </c>
      <c r="BC186" s="16">
        <f>Demand_LP!E$9/31</f>
        <v>725.23531844499576</v>
      </c>
      <c r="BD186" s="16">
        <f>Demand_LP!F$9/31</f>
        <v>456.65268558726217</v>
      </c>
      <c r="BE186" s="16">
        <f>Demand_LP!G$9/31</f>
        <v>456.65268558726217</v>
      </c>
      <c r="BF186" s="16">
        <f>Demand_LP!H$9/31</f>
        <v>663.85442514474767</v>
      </c>
      <c r="BG186" s="16">
        <f>Demand_LP!I$9/31</f>
        <v>456.65268558726217</v>
      </c>
      <c r="BH186" s="16">
        <f>Demand_LP!J$9/31</f>
        <v>456.65268558726217</v>
      </c>
      <c r="BI186" s="16">
        <f>Demand_LP!K$9/31</f>
        <v>456.65268558726217</v>
      </c>
      <c r="BJ186" s="16">
        <f t="shared" si="76"/>
        <v>-127942.30409385258</v>
      </c>
      <c r="BK186" s="16">
        <f t="shared" si="77"/>
        <v>-103513.80372208419</v>
      </c>
      <c r="BL186" s="16">
        <f t="shared" si="78"/>
        <v>-47362.402109181181</v>
      </c>
      <c r="BM186" s="16">
        <f t="shared" si="79"/>
        <v>-133012.37703091785</v>
      </c>
      <c r="BN186" s="16">
        <f t="shared" si="80"/>
        <v>-76694.351917547407</v>
      </c>
      <c r="BO186" s="16">
        <f t="shared" si="81"/>
        <v>-75152.035835918141</v>
      </c>
      <c r="BP186" s="16">
        <f t="shared" si="82"/>
        <v>-97871.383209263702</v>
      </c>
      <c r="BQ186" s="16">
        <f t="shared" si="83"/>
        <v>-75152.035835918141</v>
      </c>
      <c r="BR186" s="16">
        <f t="shared" si="84"/>
        <v>-72752.035835918185</v>
      </c>
      <c r="BS186" s="16">
        <f t="shared" si="85"/>
        <v>-73452.03583591817</v>
      </c>
      <c r="BT186" s="14">
        <f>IF([1]Sheet2!CB185=999999,"NA",[1]Sheet2!CB185)</f>
        <v>0</v>
      </c>
      <c r="BU186" s="14">
        <f>IF([1]Sheet2!CC185=999999,"NA",[1]Sheet2!CC185)</f>
        <v>0</v>
      </c>
      <c r="BV186" s="14">
        <f>IF([1]Sheet2!CD185=999999,"NA",[1]Sheet2!CD185)</f>
        <v>0</v>
      </c>
      <c r="BW186" s="14">
        <f>IF([1]Sheet2!CE185=999999,"NA",[1]Sheet2!CE185)</f>
        <v>0</v>
      </c>
      <c r="BX186" s="14">
        <f>IF([1]Sheet2!CF185=999999,"NA",[1]Sheet2!CF185)</f>
        <v>0</v>
      </c>
      <c r="BY186" s="14">
        <f>IF([1]Sheet2!CG185=999999,"NA",[1]Sheet2!CG185)</f>
        <v>0</v>
      </c>
      <c r="BZ186" s="14">
        <f>IF([1]Sheet2!CH185=999999,"NA",[1]Sheet2!CH185)</f>
        <v>0</v>
      </c>
      <c r="CA186" s="14">
        <f>IF([1]Sheet2!CI185=999999,"NA",[1]Sheet2!CI185)</f>
        <v>0</v>
      </c>
      <c r="CB186" s="14">
        <f>IF([1]Sheet2!CJ185=999999,"NA",[1]Sheet2!CJ185)</f>
        <v>0</v>
      </c>
      <c r="CC186" s="14">
        <f>IF([1]Sheet2!CK185=999999,"NA",[1]Sheet2!CK185)</f>
        <v>0</v>
      </c>
      <c r="CD186" s="14">
        <f>[1]Sheet2!BH185</f>
        <v>0</v>
      </c>
      <c r="CE186" s="14">
        <f>[1]Sheet2!BI185</f>
        <v>0</v>
      </c>
      <c r="CF186" s="14">
        <f>[1]Sheet2!BJ185</f>
        <v>0</v>
      </c>
      <c r="CG186" s="14">
        <f>[1]Sheet2!BK185</f>
        <v>0</v>
      </c>
      <c r="CH186" s="14">
        <f>[1]Sheet2!BL185</f>
        <v>0</v>
      </c>
      <c r="CI186" s="14">
        <f>[1]Sheet2!BM185</f>
        <v>0</v>
      </c>
      <c r="CJ186" s="14">
        <f>[1]Sheet2!BN185</f>
        <v>0</v>
      </c>
      <c r="CK186" s="14">
        <f>[1]Sheet2!BO185</f>
        <v>0</v>
      </c>
      <c r="CL186" s="14">
        <f>[1]Sheet2!BP185</f>
        <v>0</v>
      </c>
      <c r="CM186" s="14">
        <f>[1]Sheet2!BQ185</f>
        <v>0</v>
      </c>
      <c r="CN186" s="16">
        <f>Demand_SW!B$9/31</f>
        <v>131.01736972704714</v>
      </c>
      <c r="CO186" s="16">
        <f>Demand_SW!C$9/31</f>
        <v>0</v>
      </c>
      <c r="CP186" s="16">
        <f>Demand_SW!D$9/31</f>
        <v>0</v>
      </c>
      <c r="CQ186" s="16">
        <f>Demand_SW!E$9/31</f>
        <v>0</v>
      </c>
      <c r="CR186" s="16">
        <f>Demand_SW!F$9/31</f>
        <v>0</v>
      </c>
      <c r="CS186" s="16">
        <f>Demand_SW!G$9/31</f>
        <v>131.01736972704714</v>
      </c>
      <c r="CT186" s="16">
        <f>Demand_SW!H$9/31</f>
        <v>0</v>
      </c>
      <c r="CU186" s="16">
        <f>Demand_SW!I$9/31</f>
        <v>0</v>
      </c>
      <c r="CV186" s="16">
        <f>Demand_SW!J$9/31</f>
        <v>0</v>
      </c>
      <c r="CW186" s="16">
        <f>Demand_SW!K$9/31</f>
        <v>0</v>
      </c>
      <c r="CX186" s="16">
        <f t="shared" si="86"/>
        <v>-19859.727047146418</v>
      </c>
      <c r="CY186" s="16">
        <f t="shared" si="87"/>
        <v>76.923076923077133</v>
      </c>
      <c r="CZ186" s="16">
        <f t="shared" si="88"/>
        <v>0</v>
      </c>
      <c r="DA186" s="16">
        <f t="shared" si="89"/>
        <v>0</v>
      </c>
      <c r="DB186" s="16">
        <f t="shared" si="90"/>
        <v>0</v>
      </c>
      <c r="DC186" s="16">
        <f t="shared" si="91"/>
        <v>-19388.957816377188</v>
      </c>
      <c r="DD186" s="16">
        <f t="shared" si="92"/>
        <v>76.923076923077133</v>
      </c>
      <c r="DE186" s="16">
        <f t="shared" si="93"/>
        <v>0</v>
      </c>
      <c r="DF186" s="16">
        <f t="shared" si="94"/>
        <v>0</v>
      </c>
      <c r="DG186" s="16">
        <f t="shared" si="95"/>
        <v>0</v>
      </c>
      <c r="DH186" s="14">
        <f>IF([1]Sheet2!DS185=999999,"NA",[1]Sheet2!DS185)</f>
        <v>0</v>
      </c>
      <c r="DI186" s="14">
        <f>IF([1]Sheet2!DT185=999999,"NA",[1]Sheet2!DT185)</f>
        <v>182</v>
      </c>
      <c r="DJ186" s="14" t="str">
        <f>IF([1]Sheet2!DU185=999999,"NA",[1]Sheet2!DU185)</f>
        <v>NA</v>
      </c>
      <c r="DK186" s="14" t="str">
        <f>IF([1]Sheet2!DV185=999999,"NA",[1]Sheet2!DV185)</f>
        <v>NA</v>
      </c>
      <c r="DL186" s="14" t="str">
        <f>IF([1]Sheet2!DW185=999999,"NA",[1]Sheet2!DW185)</f>
        <v>NA</v>
      </c>
      <c r="DM186" s="14">
        <f>IF([1]Sheet2!DX185=999999,"NA",[1]Sheet2!DX185)</f>
        <v>0</v>
      </c>
      <c r="DN186" s="14">
        <f>IF([1]Sheet2!DY185=999999,"NA",[1]Sheet2!DY185)</f>
        <v>182</v>
      </c>
      <c r="DO186" s="14" t="str">
        <f>IF([1]Sheet2!DZ185=999999,"NA",[1]Sheet2!DZ185)</f>
        <v>NA</v>
      </c>
      <c r="DP186" s="14" t="str">
        <f>IF([1]Sheet2!EA185=999999,"NA",[1]Sheet2!EA185)</f>
        <v>NA</v>
      </c>
      <c r="DQ186" s="14" t="str">
        <f>IF([1]Sheet2!EB185=999999,"NA",[1]Sheet2!EB185)</f>
        <v>NA</v>
      </c>
      <c r="DR186" s="14">
        <f>[1]Sheet2!CY185</f>
        <v>0</v>
      </c>
      <c r="DS186" s="14">
        <f>[1]Sheet2!CZ185</f>
        <v>0</v>
      </c>
      <c r="DT186" s="14">
        <f>[1]Sheet2!DA185</f>
        <v>0</v>
      </c>
      <c r="DU186" s="14">
        <f>[1]Sheet2!DB185</f>
        <v>0</v>
      </c>
      <c r="DV186" s="14">
        <f>[1]Sheet2!DC185</f>
        <v>0</v>
      </c>
      <c r="DW186" s="14">
        <f>[1]Sheet2!DD185</f>
        <v>0</v>
      </c>
      <c r="DX186" s="14">
        <f>[1]Sheet2!DE185</f>
        <v>0</v>
      </c>
      <c r="DY186" s="14">
        <f>[1]Sheet2!DF185</f>
        <v>0</v>
      </c>
      <c r="DZ186" s="14">
        <f>[1]Sheet2!DG185</f>
        <v>0</v>
      </c>
      <c r="EA186" s="14">
        <f>[1]Sheet2!DH185</f>
        <v>0</v>
      </c>
      <c r="EB186" s="6">
        <f>[1]Sheet2!EC185</f>
        <v>0</v>
      </c>
      <c r="EC186" s="6">
        <f>[1]Sheet2!ED185</f>
        <v>0</v>
      </c>
      <c r="ED186" s="6">
        <f>[1]Sheet2!EE185</f>
        <v>0</v>
      </c>
      <c r="EE186" s="6">
        <f>[1]Sheet2!EF185</f>
        <v>0</v>
      </c>
      <c r="EF186" s="6">
        <f>[1]Sheet2!EG185</f>
        <v>0</v>
      </c>
      <c r="EG186" s="6">
        <f>[1]Sheet2!EH185</f>
        <v>0</v>
      </c>
      <c r="EH186" s="6">
        <f>[1]Sheet2!EI185</f>
        <v>0</v>
      </c>
      <c r="EI186" s="6">
        <f>[1]Sheet2!EJ185</f>
        <v>0</v>
      </c>
      <c r="EJ186" s="6">
        <f>[1]Sheet2!EK185</f>
        <v>0</v>
      </c>
      <c r="EK186" s="6">
        <f>[1]Sheet2!EL185</f>
        <v>0</v>
      </c>
      <c r="EL186" s="6" t="str">
        <f>[1]Sheet2!EM185</f>
        <v/>
      </c>
      <c r="EM186" s="6" t="str">
        <f>[1]Sheet2!EN185</f>
        <v/>
      </c>
      <c r="EN186" s="6" t="str">
        <f>[1]Sheet2!EO185</f>
        <v/>
      </c>
      <c r="EO186" s="6" t="str">
        <f>[1]Sheet2!EP185</f>
        <v/>
      </c>
      <c r="EP186" s="6" t="str">
        <f>[1]Sheet2!EQ185</f>
        <v/>
      </c>
      <c r="EQ186" s="6" t="str">
        <f>[1]Sheet2!ER185</f>
        <v/>
      </c>
      <c r="ER186" s="6" t="str">
        <f>[1]Sheet2!ES185</f>
        <v/>
      </c>
      <c r="ES186" s="6" t="str">
        <f>[1]Sheet2!ET185</f>
        <v/>
      </c>
      <c r="ET186" s="6" t="str">
        <f>[1]Sheet2!EU185</f>
        <v/>
      </c>
      <c r="EU186" s="6" t="str">
        <f>[1]Sheet2!EV185</f>
        <v/>
      </c>
      <c r="EV186" s="6" t="str">
        <f>[1]Sheet2!EW185</f>
        <v/>
      </c>
      <c r="EW186" s="6" t="str">
        <f>[1]Sheet2!EX185</f>
        <v/>
      </c>
      <c r="EX186" s="6" t="str">
        <f>[1]Sheet2!EY185</f>
        <v/>
      </c>
      <c r="EY186" s="6" t="str">
        <f>[1]Sheet2!EZ185</f>
        <v/>
      </c>
      <c r="EZ186" s="6" t="str">
        <f>[1]Sheet2!FA185</f>
        <v/>
      </c>
      <c r="FA186" s="6" t="str">
        <f>[1]Sheet2!FB185</f>
        <v/>
      </c>
      <c r="FB186" s="6" t="str">
        <f>[1]Sheet2!FC185</f>
        <v/>
      </c>
      <c r="FC186" s="6" t="str">
        <f>[1]Sheet2!FD185</f>
        <v/>
      </c>
      <c r="FD186" s="6" t="str">
        <f>[1]Sheet2!FE185</f>
        <v/>
      </c>
      <c r="FE186" s="6" t="str">
        <f>[1]Sheet2!FF185</f>
        <v/>
      </c>
      <c r="FF186" s="6" t="str">
        <f>[1]Sheet2!FG185</f>
        <v/>
      </c>
      <c r="FG186" s="6" t="str">
        <f>[1]Sheet2!FH185</f>
        <v/>
      </c>
      <c r="FH186" s="6" t="str">
        <f>[1]Sheet2!FI185</f>
        <v/>
      </c>
      <c r="FI186" s="6" t="str">
        <f>[1]Sheet2!FJ185</f>
        <v/>
      </c>
      <c r="FJ186" s="6" t="str">
        <f>[1]Sheet2!FK185</f>
        <v/>
      </c>
      <c r="FK186" s="6" t="str">
        <f>[1]Sheet2!FL185</f>
        <v/>
      </c>
      <c r="FL186" s="6" t="str">
        <f>[1]Sheet2!FM185</f>
        <v/>
      </c>
      <c r="FM186" s="6" t="str">
        <f>[1]Sheet2!FN185</f>
        <v/>
      </c>
      <c r="FN186" s="6" t="str">
        <f>[1]Sheet2!FO185</f>
        <v/>
      </c>
      <c r="FO186" s="6" t="str">
        <f>[1]Sheet2!FP185</f>
        <v/>
      </c>
    </row>
    <row r="187" spans="1:171" x14ac:dyDescent="0.25">
      <c r="A187" s="15">
        <v>43649</v>
      </c>
      <c r="B187" s="1"/>
      <c r="C187" s="1"/>
      <c r="D187" s="1"/>
      <c r="E187" s="14">
        <f>[1]Sheet2!N186</f>
        <v>0</v>
      </c>
      <c r="F187" s="14">
        <f>[1]Sheet2!BE186</f>
        <v>0</v>
      </c>
      <c r="G187" s="14">
        <f>[1]Sheet2!CW186</f>
        <v>0</v>
      </c>
      <c r="H187" s="1"/>
      <c r="I187" s="1"/>
      <c r="J187" s="1"/>
      <c r="K187" s="16"/>
      <c r="L187" s="16">
        <f>Demand_CWRS!B$9/31</f>
        <v>137.44229993796523</v>
      </c>
      <c r="M187" s="16">
        <f>Demand_CWRS!C$9/31</f>
        <v>616.54259718775836</v>
      </c>
      <c r="N187" s="16">
        <f>Demand_CWRS!D$9/31</f>
        <v>0</v>
      </c>
      <c r="O187" s="16">
        <f>Demand_CWRS!E$9/31</f>
        <v>140.39247311827955</v>
      </c>
      <c r="P187" s="16">
        <f>Demand_CWRS!F$9/31</f>
        <v>245.11049679487181</v>
      </c>
      <c r="Q187" s="16">
        <f>Demand_CWRS!G$9/31</f>
        <v>137.44229993796523</v>
      </c>
      <c r="R187" s="16">
        <f>Demand_CWRS!H$9/31</f>
        <v>245.11049679487181</v>
      </c>
      <c r="S187" s="16">
        <f>Demand_CWRS!I$9/31</f>
        <v>245.11049679487181</v>
      </c>
      <c r="T187" s="16">
        <f>Demand_CWRS!J$9/31</f>
        <v>245.11049679487181</v>
      </c>
      <c r="U187" s="16">
        <f>Demand_CWRS!K$9/31</f>
        <v>245.11049679487181</v>
      </c>
      <c r="V187" s="16">
        <f t="shared" si="66"/>
        <v>-22773.088437210437</v>
      </c>
      <c r="W187" s="16">
        <f t="shared" si="67"/>
        <v>-85705.789330024549</v>
      </c>
      <c r="X187" s="16">
        <f t="shared" si="68"/>
        <v>0</v>
      </c>
      <c r="Y187" s="16">
        <f t="shared" si="69"/>
        <v>-13962.453969176317</v>
      </c>
      <c r="Z187" s="16">
        <f t="shared" si="70"/>
        <v>-38013.495325178512</v>
      </c>
      <c r="AA187" s="16">
        <f t="shared" si="71"/>
        <v>-21447.315288172002</v>
      </c>
      <c r="AB187" s="16">
        <f t="shared" si="72"/>
        <v>-42322.66010081947</v>
      </c>
      <c r="AC187" s="16">
        <f t="shared" si="73"/>
        <v>-36529.649844409279</v>
      </c>
      <c r="AD187" s="16">
        <f t="shared" si="74"/>
        <v>-36629.649844409272</v>
      </c>
      <c r="AE187" s="16">
        <f t="shared" si="75"/>
        <v>-37229.649844409265</v>
      </c>
      <c r="AF187" s="14">
        <f>IF([1]Sheet2!AJ186=999999,"NA",[1]Sheet2!AJ186)</f>
        <v>0</v>
      </c>
      <c r="AG187" s="14">
        <f>IF([1]Sheet2!AK186=999999,"NA",[1]Sheet2!AK186)</f>
        <v>0</v>
      </c>
      <c r="AH187" s="14" t="str">
        <f>IF([1]Sheet2!AL186=999999,"NA",[1]Sheet2!AL186)</f>
        <v>NA</v>
      </c>
      <c r="AI187" s="14">
        <f>IF([1]Sheet2!AM186=999999,"NA",[1]Sheet2!AM186)</f>
        <v>0</v>
      </c>
      <c r="AJ187" s="14">
        <f>IF([1]Sheet2!AN186=999999,"NA",[1]Sheet2!AN186)</f>
        <v>0</v>
      </c>
      <c r="AK187" s="14">
        <f>IF([1]Sheet2!AO186=999999,"NA",[1]Sheet2!AO186)</f>
        <v>0</v>
      </c>
      <c r="AL187" s="14">
        <f>IF([1]Sheet2!AP186=999999,"NA",[1]Sheet2!AP186)</f>
        <v>0</v>
      </c>
      <c r="AM187" s="14">
        <f>IF([1]Sheet2!AQ186=999999,"NA",[1]Sheet2!AQ186)</f>
        <v>0</v>
      </c>
      <c r="AN187" s="14">
        <f>IF([1]Sheet2!AR186=999999,"NA",[1]Sheet2!AR186)</f>
        <v>0</v>
      </c>
      <c r="AO187" s="14">
        <f>IF([1]Sheet2!AS186=999999,"NA",[1]Sheet2!AS186)</f>
        <v>0</v>
      </c>
      <c r="AP187" s="14">
        <f>[1]Sheet2!P186</f>
        <v>0</v>
      </c>
      <c r="AQ187" s="14">
        <f>[1]Sheet2!Q186</f>
        <v>0</v>
      </c>
      <c r="AR187" s="14">
        <f>[1]Sheet2!R186</f>
        <v>0</v>
      </c>
      <c r="AS187" s="14">
        <f>[1]Sheet2!S186</f>
        <v>0</v>
      </c>
      <c r="AT187" s="14">
        <f>[1]Sheet2!T186</f>
        <v>0</v>
      </c>
      <c r="AU187" s="14">
        <f>[1]Sheet2!U186</f>
        <v>0</v>
      </c>
      <c r="AV187" s="14">
        <f>[1]Sheet2!V186</f>
        <v>0</v>
      </c>
      <c r="AW187" s="14">
        <f>[1]Sheet2!W186</f>
        <v>0</v>
      </c>
      <c r="AX187" s="14">
        <f>[1]Sheet2!X186</f>
        <v>0</v>
      </c>
      <c r="AY187" s="14">
        <f>[1]Sheet2!Y186</f>
        <v>0</v>
      </c>
      <c r="AZ187" s="16">
        <f>Demand_LP!B$9/31</f>
        <v>878.29658550454917</v>
      </c>
      <c r="BA187" s="16">
        <f>Demand_LP!C$9/31</f>
        <v>663.85442514474767</v>
      </c>
      <c r="BB187" s="16">
        <f>Demand_LP!D$9/31</f>
        <v>335.39784946236568</v>
      </c>
      <c r="BC187" s="16">
        <f>Demand_LP!E$9/31</f>
        <v>725.23531844499576</v>
      </c>
      <c r="BD187" s="16">
        <f>Demand_LP!F$9/31</f>
        <v>456.65268558726217</v>
      </c>
      <c r="BE187" s="16">
        <f>Demand_LP!G$9/31</f>
        <v>456.65268558726217</v>
      </c>
      <c r="BF187" s="16">
        <f>Demand_LP!H$9/31</f>
        <v>663.85442514474767</v>
      </c>
      <c r="BG187" s="16">
        <f>Demand_LP!I$9/31</f>
        <v>456.65268558726217</v>
      </c>
      <c r="BH187" s="16">
        <f>Demand_LP!J$9/31</f>
        <v>456.65268558726217</v>
      </c>
      <c r="BI187" s="16">
        <f>Demand_LP!K$9/31</f>
        <v>456.65268558726217</v>
      </c>
      <c r="BJ187" s="16">
        <f t="shared" si="76"/>
        <v>-128820.60067935713</v>
      </c>
      <c r="BK187" s="16">
        <f t="shared" si="77"/>
        <v>-104177.65814722894</v>
      </c>
      <c r="BL187" s="16">
        <f t="shared" si="78"/>
        <v>-47697.799958643547</v>
      </c>
      <c r="BM187" s="16">
        <f t="shared" si="79"/>
        <v>-133737.61234936284</v>
      </c>
      <c r="BN187" s="16">
        <f t="shared" si="80"/>
        <v>-77151.004603134672</v>
      </c>
      <c r="BO187" s="16">
        <f t="shared" si="81"/>
        <v>-75608.688521505406</v>
      </c>
      <c r="BP187" s="16">
        <f t="shared" si="82"/>
        <v>-98535.237634408448</v>
      </c>
      <c r="BQ187" s="16">
        <f t="shared" si="83"/>
        <v>-75608.688521505406</v>
      </c>
      <c r="BR187" s="16">
        <f t="shared" si="84"/>
        <v>-73208.68852150545</v>
      </c>
      <c r="BS187" s="16">
        <f t="shared" si="85"/>
        <v>-73908.688521505435</v>
      </c>
      <c r="BT187" s="14">
        <f>IF([1]Sheet2!CB186=999999,"NA",[1]Sheet2!CB186)</f>
        <v>0</v>
      </c>
      <c r="BU187" s="14">
        <f>IF([1]Sheet2!CC186=999999,"NA",[1]Sheet2!CC186)</f>
        <v>0</v>
      </c>
      <c r="BV187" s="14">
        <f>IF([1]Sheet2!CD186=999999,"NA",[1]Sheet2!CD186)</f>
        <v>0</v>
      </c>
      <c r="BW187" s="14">
        <f>IF([1]Sheet2!CE186=999999,"NA",[1]Sheet2!CE186)</f>
        <v>0</v>
      </c>
      <c r="BX187" s="14">
        <f>IF([1]Sheet2!CF186=999999,"NA",[1]Sheet2!CF186)</f>
        <v>0</v>
      </c>
      <c r="BY187" s="14">
        <f>IF([1]Sheet2!CG186=999999,"NA",[1]Sheet2!CG186)</f>
        <v>0</v>
      </c>
      <c r="BZ187" s="14">
        <f>IF([1]Sheet2!CH186=999999,"NA",[1]Sheet2!CH186)</f>
        <v>0</v>
      </c>
      <c r="CA187" s="14">
        <f>IF([1]Sheet2!CI186=999999,"NA",[1]Sheet2!CI186)</f>
        <v>0</v>
      </c>
      <c r="CB187" s="14">
        <f>IF([1]Sheet2!CJ186=999999,"NA",[1]Sheet2!CJ186)</f>
        <v>0</v>
      </c>
      <c r="CC187" s="14">
        <f>IF([1]Sheet2!CK186=999999,"NA",[1]Sheet2!CK186)</f>
        <v>0</v>
      </c>
      <c r="CD187" s="14">
        <f>[1]Sheet2!BH186</f>
        <v>0</v>
      </c>
      <c r="CE187" s="14">
        <f>[1]Sheet2!BI186</f>
        <v>0</v>
      </c>
      <c r="CF187" s="14">
        <f>[1]Sheet2!BJ186</f>
        <v>0</v>
      </c>
      <c r="CG187" s="14">
        <f>[1]Sheet2!BK186</f>
        <v>0</v>
      </c>
      <c r="CH187" s="14">
        <f>[1]Sheet2!BL186</f>
        <v>0</v>
      </c>
      <c r="CI187" s="14">
        <f>[1]Sheet2!BM186</f>
        <v>0</v>
      </c>
      <c r="CJ187" s="14">
        <f>[1]Sheet2!BN186</f>
        <v>0</v>
      </c>
      <c r="CK187" s="14">
        <f>[1]Sheet2!BO186</f>
        <v>0</v>
      </c>
      <c r="CL187" s="14">
        <f>[1]Sheet2!BP186</f>
        <v>0</v>
      </c>
      <c r="CM187" s="14">
        <f>[1]Sheet2!BQ186</f>
        <v>0</v>
      </c>
      <c r="CN187" s="16">
        <f>Demand_SW!B$9/31</f>
        <v>131.01736972704714</v>
      </c>
      <c r="CO187" s="16">
        <f>Demand_SW!C$9/31</f>
        <v>0</v>
      </c>
      <c r="CP187" s="16">
        <f>Demand_SW!D$9/31</f>
        <v>0</v>
      </c>
      <c r="CQ187" s="16">
        <f>Demand_SW!E$9/31</f>
        <v>0</v>
      </c>
      <c r="CR187" s="16">
        <f>Demand_SW!F$9/31</f>
        <v>0</v>
      </c>
      <c r="CS187" s="16">
        <f>Demand_SW!G$9/31</f>
        <v>131.01736972704714</v>
      </c>
      <c r="CT187" s="16">
        <f>Demand_SW!H$9/31</f>
        <v>0</v>
      </c>
      <c r="CU187" s="16">
        <f>Demand_SW!I$9/31</f>
        <v>0</v>
      </c>
      <c r="CV187" s="16">
        <f>Demand_SW!J$9/31</f>
        <v>0</v>
      </c>
      <c r="CW187" s="16">
        <f>Demand_SW!K$9/31</f>
        <v>0</v>
      </c>
      <c r="CX187" s="16">
        <f t="shared" si="86"/>
        <v>-19990.744416873466</v>
      </c>
      <c r="CY187" s="16">
        <f t="shared" si="87"/>
        <v>76.923076923077133</v>
      </c>
      <c r="CZ187" s="16">
        <f t="shared" si="88"/>
        <v>0</v>
      </c>
      <c r="DA187" s="16">
        <f t="shared" si="89"/>
        <v>0</v>
      </c>
      <c r="DB187" s="16">
        <f t="shared" si="90"/>
        <v>0</v>
      </c>
      <c r="DC187" s="16">
        <f t="shared" si="91"/>
        <v>-19519.975186104235</v>
      </c>
      <c r="DD187" s="16">
        <f t="shared" si="92"/>
        <v>76.923076923077133</v>
      </c>
      <c r="DE187" s="16">
        <f t="shared" si="93"/>
        <v>0</v>
      </c>
      <c r="DF187" s="16">
        <f t="shared" si="94"/>
        <v>0</v>
      </c>
      <c r="DG187" s="16">
        <f t="shared" si="95"/>
        <v>0</v>
      </c>
      <c r="DH187" s="14">
        <f>IF([1]Sheet2!DS186=999999,"NA",[1]Sheet2!DS186)</f>
        <v>0</v>
      </c>
      <c r="DI187" s="14">
        <f>IF([1]Sheet2!DT186=999999,"NA",[1]Sheet2!DT186)</f>
        <v>181</v>
      </c>
      <c r="DJ187" s="14" t="str">
        <f>IF([1]Sheet2!DU186=999999,"NA",[1]Sheet2!DU186)</f>
        <v>NA</v>
      </c>
      <c r="DK187" s="14" t="str">
        <f>IF([1]Sheet2!DV186=999999,"NA",[1]Sheet2!DV186)</f>
        <v>NA</v>
      </c>
      <c r="DL187" s="14" t="str">
        <f>IF([1]Sheet2!DW186=999999,"NA",[1]Sheet2!DW186)</f>
        <v>NA</v>
      </c>
      <c r="DM187" s="14">
        <f>IF([1]Sheet2!DX186=999999,"NA",[1]Sheet2!DX186)</f>
        <v>0</v>
      </c>
      <c r="DN187" s="14">
        <f>IF([1]Sheet2!DY186=999999,"NA",[1]Sheet2!DY186)</f>
        <v>181</v>
      </c>
      <c r="DO187" s="14" t="str">
        <f>IF([1]Sheet2!DZ186=999999,"NA",[1]Sheet2!DZ186)</f>
        <v>NA</v>
      </c>
      <c r="DP187" s="14" t="str">
        <f>IF([1]Sheet2!EA186=999999,"NA",[1]Sheet2!EA186)</f>
        <v>NA</v>
      </c>
      <c r="DQ187" s="14" t="str">
        <f>IF([1]Sheet2!EB186=999999,"NA",[1]Sheet2!EB186)</f>
        <v>NA</v>
      </c>
      <c r="DR187" s="14">
        <f>[1]Sheet2!CY186</f>
        <v>0</v>
      </c>
      <c r="DS187" s="14">
        <f>[1]Sheet2!CZ186</f>
        <v>0</v>
      </c>
      <c r="DT187" s="14">
        <f>[1]Sheet2!DA186</f>
        <v>0</v>
      </c>
      <c r="DU187" s="14">
        <f>[1]Sheet2!DB186</f>
        <v>0</v>
      </c>
      <c r="DV187" s="14">
        <f>[1]Sheet2!DC186</f>
        <v>0</v>
      </c>
      <c r="DW187" s="14">
        <f>[1]Sheet2!DD186</f>
        <v>0</v>
      </c>
      <c r="DX187" s="14">
        <f>[1]Sheet2!DE186</f>
        <v>0</v>
      </c>
      <c r="DY187" s="14">
        <f>[1]Sheet2!DF186</f>
        <v>0</v>
      </c>
      <c r="DZ187" s="14">
        <f>[1]Sheet2!DG186</f>
        <v>0</v>
      </c>
      <c r="EA187" s="14">
        <f>[1]Sheet2!DH186</f>
        <v>0</v>
      </c>
      <c r="EB187" s="6">
        <f>[1]Sheet2!EC186</f>
        <v>0</v>
      </c>
      <c r="EC187" s="6">
        <f>[1]Sheet2!ED186</f>
        <v>0</v>
      </c>
      <c r="ED187" s="6">
        <f>[1]Sheet2!EE186</f>
        <v>0</v>
      </c>
      <c r="EE187" s="6">
        <f>[1]Sheet2!EF186</f>
        <v>0</v>
      </c>
      <c r="EF187" s="6">
        <f>[1]Sheet2!EG186</f>
        <v>0</v>
      </c>
      <c r="EG187" s="6">
        <f>[1]Sheet2!EH186</f>
        <v>0</v>
      </c>
      <c r="EH187" s="6">
        <f>[1]Sheet2!EI186</f>
        <v>0</v>
      </c>
      <c r="EI187" s="6">
        <f>[1]Sheet2!EJ186</f>
        <v>0</v>
      </c>
      <c r="EJ187" s="6">
        <f>[1]Sheet2!EK186</f>
        <v>0</v>
      </c>
      <c r="EK187" s="6">
        <f>[1]Sheet2!EL186</f>
        <v>0</v>
      </c>
      <c r="EL187" s="6" t="str">
        <f>[1]Sheet2!EM186</f>
        <v/>
      </c>
      <c r="EM187" s="6" t="str">
        <f>[1]Sheet2!EN186</f>
        <v/>
      </c>
      <c r="EN187" s="6" t="str">
        <f>[1]Sheet2!EO186</f>
        <v/>
      </c>
      <c r="EO187" s="6" t="str">
        <f>[1]Sheet2!EP186</f>
        <v/>
      </c>
      <c r="EP187" s="6" t="str">
        <f>[1]Sheet2!EQ186</f>
        <v/>
      </c>
      <c r="EQ187" s="6" t="str">
        <f>[1]Sheet2!ER186</f>
        <v/>
      </c>
      <c r="ER187" s="6" t="str">
        <f>[1]Sheet2!ES186</f>
        <v/>
      </c>
      <c r="ES187" s="6" t="str">
        <f>[1]Sheet2!ET186</f>
        <v/>
      </c>
      <c r="ET187" s="6" t="str">
        <f>[1]Sheet2!EU186</f>
        <v/>
      </c>
      <c r="EU187" s="6" t="str">
        <f>[1]Sheet2!EV186</f>
        <v/>
      </c>
      <c r="EV187" s="6" t="str">
        <f>[1]Sheet2!EW186</f>
        <v/>
      </c>
      <c r="EW187" s="6" t="str">
        <f>[1]Sheet2!EX186</f>
        <v/>
      </c>
      <c r="EX187" s="6" t="str">
        <f>[1]Sheet2!EY186</f>
        <v/>
      </c>
      <c r="EY187" s="6" t="str">
        <f>[1]Sheet2!EZ186</f>
        <v/>
      </c>
      <c r="EZ187" s="6" t="str">
        <f>[1]Sheet2!FA186</f>
        <v/>
      </c>
      <c r="FA187" s="6" t="str">
        <f>[1]Sheet2!FB186</f>
        <v/>
      </c>
      <c r="FB187" s="6" t="str">
        <f>[1]Sheet2!FC186</f>
        <v/>
      </c>
      <c r="FC187" s="6" t="str">
        <f>[1]Sheet2!FD186</f>
        <v/>
      </c>
      <c r="FD187" s="6" t="str">
        <f>[1]Sheet2!FE186</f>
        <v/>
      </c>
      <c r="FE187" s="6" t="str">
        <f>[1]Sheet2!FF186</f>
        <v/>
      </c>
      <c r="FF187" s="6" t="str">
        <f>[1]Sheet2!FG186</f>
        <v/>
      </c>
      <c r="FG187" s="6" t="str">
        <f>[1]Sheet2!FH186</f>
        <v/>
      </c>
      <c r="FH187" s="6" t="str">
        <f>[1]Sheet2!FI186</f>
        <v/>
      </c>
      <c r="FI187" s="6" t="str">
        <f>[1]Sheet2!FJ186</f>
        <v/>
      </c>
      <c r="FJ187" s="6" t="str">
        <f>[1]Sheet2!FK186</f>
        <v/>
      </c>
      <c r="FK187" s="6" t="str">
        <f>[1]Sheet2!FL186</f>
        <v/>
      </c>
      <c r="FL187" s="6" t="str">
        <f>[1]Sheet2!FM186</f>
        <v/>
      </c>
      <c r="FM187" s="6" t="str">
        <f>[1]Sheet2!FN186</f>
        <v/>
      </c>
      <c r="FN187" s="6" t="str">
        <f>[1]Sheet2!FO186</f>
        <v/>
      </c>
      <c r="FO187" s="6" t="str">
        <f>[1]Sheet2!FP186</f>
        <v/>
      </c>
    </row>
    <row r="188" spans="1:171" x14ac:dyDescent="0.25">
      <c r="A188" s="15">
        <v>43650</v>
      </c>
      <c r="B188" s="1"/>
      <c r="C188" s="1"/>
      <c r="D188" s="1"/>
      <c r="E188" s="14">
        <f>[1]Sheet2!N187</f>
        <v>0</v>
      </c>
      <c r="F188" s="14">
        <f>[1]Sheet2!BE187</f>
        <v>0</v>
      </c>
      <c r="G188" s="14">
        <f>[1]Sheet2!CW187</f>
        <v>0</v>
      </c>
      <c r="H188" s="1"/>
      <c r="I188" s="1"/>
      <c r="J188" s="1"/>
      <c r="K188" s="16"/>
      <c r="L188" s="16">
        <f>Demand_CWRS!B$9/31</f>
        <v>137.44229993796523</v>
      </c>
      <c r="M188" s="16">
        <f>Demand_CWRS!C$9/31</f>
        <v>616.54259718775836</v>
      </c>
      <c r="N188" s="16">
        <f>Demand_CWRS!D$9/31</f>
        <v>0</v>
      </c>
      <c r="O188" s="16">
        <f>Demand_CWRS!E$9/31</f>
        <v>140.39247311827955</v>
      </c>
      <c r="P188" s="16">
        <f>Demand_CWRS!F$9/31</f>
        <v>245.11049679487181</v>
      </c>
      <c r="Q188" s="16">
        <f>Demand_CWRS!G$9/31</f>
        <v>137.44229993796523</v>
      </c>
      <c r="R188" s="16">
        <f>Demand_CWRS!H$9/31</f>
        <v>245.11049679487181</v>
      </c>
      <c r="S188" s="16">
        <f>Demand_CWRS!I$9/31</f>
        <v>245.11049679487181</v>
      </c>
      <c r="T188" s="16">
        <f>Demand_CWRS!J$9/31</f>
        <v>245.11049679487181</v>
      </c>
      <c r="U188" s="16">
        <f>Demand_CWRS!K$9/31</f>
        <v>245.11049679487181</v>
      </c>
      <c r="V188" s="16">
        <f t="shared" si="66"/>
        <v>-22910.530737148401</v>
      </c>
      <c r="W188" s="16">
        <f t="shared" si="67"/>
        <v>-86322.331927212304</v>
      </c>
      <c r="X188" s="16">
        <f t="shared" si="68"/>
        <v>0</v>
      </c>
      <c r="Y188" s="16">
        <f t="shared" si="69"/>
        <v>-14102.846442294596</v>
      </c>
      <c r="Z188" s="16">
        <f t="shared" si="70"/>
        <v>-38258.605821973382</v>
      </c>
      <c r="AA188" s="16">
        <f t="shared" si="71"/>
        <v>-21584.757588109966</v>
      </c>
      <c r="AB188" s="16">
        <f t="shared" si="72"/>
        <v>-42567.770597614341</v>
      </c>
      <c r="AC188" s="16">
        <f t="shared" si="73"/>
        <v>-36774.76034120415</v>
      </c>
      <c r="AD188" s="16">
        <f t="shared" si="74"/>
        <v>-36874.760341204143</v>
      </c>
      <c r="AE188" s="16">
        <f t="shared" si="75"/>
        <v>-37474.760341204135</v>
      </c>
      <c r="AF188" s="14">
        <f>IF([1]Sheet2!AJ187=999999,"NA",[1]Sheet2!AJ187)</f>
        <v>0</v>
      </c>
      <c r="AG188" s="14">
        <f>IF([1]Sheet2!AK187=999999,"NA",[1]Sheet2!AK187)</f>
        <v>0</v>
      </c>
      <c r="AH188" s="14" t="str">
        <f>IF([1]Sheet2!AL187=999999,"NA",[1]Sheet2!AL187)</f>
        <v>NA</v>
      </c>
      <c r="AI188" s="14">
        <f>IF([1]Sheet2!AM187=999999,"NA",[1]Sheet2!AM187)</f>
        <v>0</v>
      </c>
      <c r="AJ188" s="14">
        <f>IF([1]Sheet2!AN187=999999,"NA",[1]Sheet2!AN187)</f>
        <v>0</v>
      </c>
      <c r="AK188" s="14">
        <f>IF([1]Sheet2!AO187=999999,"NA",[1]Sheet2!AO187)</f>
        <v>0</v>
      </c>
      <c r="AL188" s="14">
        <f>IF([1]Sheet2!AP187=999999,"NA",[1]Sheet2!AP187)</f>
        <v>0</v>
      </c>
      <c r="AM188" s="14">
        <f>IF([1]Sheet2!AQ187=999999,"NA",[1]Sheet2!AQ187)</f>
        <v>0</v>
      </c>
      <c r="AN188" s="14">
        <f>IF([1]Sheet2!AR187=999999,"NA",[1]Sheet2!AR187)</f>
        <v>0</v>
      </c>
      <c r="AO188" s="14">
        <f>IF([1]Sheet2!AS187=999999,"NA",[1]Sheet2!AS187)</f>
        <v>0</v>
      </c>
      <c r="AP188" s="14">
        <f>[1]Sheet2!P187</f>
        <v>0</v>
      </c>
      <c r="AQ188" s="14">
        <f>[1]Sheet2!Q187</f>
        <v>0</v>
      </c>
      <c r="AR188" s="14">
        <f>[1]Sheet2!R187</f>
        <v>0</v>
      </c>
      <c r="AS188" s="14">
        <f>[1]Sheet2!S187</f>
        <v>0</v>
      </c>
      <c r="AT188" s="14">
        <f>[1]Sheet2!T187</f>
        <v>0</v>
      </c>
      <c r="AU188" s="14">
        <f>[1]Sheet2!U187</f>
        <v>0</v>
      </c>
      <c r="AV188" s="14">
        <f>[1]Sheet2!V187</f>
        <v>0</v>
      </c>
      <c r="AW188" s="14">
        <f>[1]Sheet2!W187</f>
        <v>0</v>
      </c>
      <c r="AX188" s="14">
        <f>[1]Sheet2!X187</f>
        <v>0</v>
      </c>
      <c r="AY188" s="14">
        <f>[1]Sheet2!Y187</f>
        <v>0</v>
      </c>
      <c r="AZ188" s="16">
        <f>Demand_LP!B$9/31</f>
        <v>878.29658550454917</v>
      </c>
      <c r="BA188" s="16">
        <f>Demand_LP!C$9/31</f>
        <v>663.85442514474767</v>
      </c>
      <c r="BB188" s="16">
        <f>Demand_LP!D$9/31</f>
        <v>335.39784946236568</v>
      </c>
      <c r="BC188" s="16">
        <f>Demand_LP!E$9/31</f>
        <v>725.23531844499576</v>
      </c>
      <c r="BD188" s="16">
        <f>Demand_LP!F$9/31</f>
        <v>456.65268558726217</v>
      </c>
      <c r="BE188" s="16">
        <f>Demand_LP!G$9/31</f>
        <v>456.65268558726217</v>
      </c>
      <c r="BF188" s="16">
        <f>Demand_LP!H$9/31</f>
        <v>663.85442514474767</v>
      </c>
      <c r="BG188" s="16">
        <f>Demand_LP!I$9/31</f>
        <v>456.65268558726217</v>
      </c>
      <c r="BH188" s="16">
        <f>Demand_LP!J$9/31</f>
        <v>456.65268558726217</v>
      </c>
      <c r="BI188" s="16">
        <f>Demand_LP!K$9/31</f>
        <v>456.65268558726217</v>
      </c>
      <c r="BJ188" s="16">
        <f t="shared" si="76"/>
        <v>-129698.89726486168</v>
      </c>
      <c r="BK188" s="16">
        <f t="shared" si="77"/>
        <v>-104841.51257237369</v>
      </c>
      <c r="BL188" s="16">
        <f t="shared" si="78"/>
        <v>-48033.197808105913</v>
      </c>
      <c r="BM188" s="16">
        <f t="shared" si="79"/>
        <v>-134462.84766780783</v>
      </c>
      <c r="BN188" s="16">
        <f t="shared" si="80"/>
        <v>-77607.657288721937</v>
      </c>
      <c r="BO188" s="16">
        <f t="shared" si="81"/>
        <v>-76065.341207092672</v>
      </c>
      <c r="BP188" s="16">
        <f t="shared" si="82"/>
        <v>-99199.092059553193</v>
      </c>
      <c r="BQ188" s="16">
        <f t="shared" si="83"/>
        <v>-76065.341207092672</v>
      </c>
      <c r="BR188" s="16">
        <f t="shared" si="84"/>
        <v>-73665.341207092715</v>
      </c>
      <c r="BS188" s="16">
        <f t="shared" si="85"/>
        <v>-74365.341207092701</v>
      </c>
      <c r="BT188" s="14">
        <f>IF([1]Sheet2!CB187=999999,"NA",[1]Sheet2!CB187)</f>
        <v>0</v>
      </c>
      <c r="BU188" s="14">
        <f>IF([1]Sheet2!CC187=999999,"NA",[1]Sheet2!CC187)</f>
        <v>0</v>
      </c>
      <c r="BV188" s="14">
        <f>IF([1]Sheet2!CD187=999999,"NA",[1]Sheet2!CD187)</f>
        <v>0</v>
      </c>
      <c r="BW188" s="14">
        <f>IF([1]Sheet2!CE187=999999,"NA",[1]Sheet2!CE187)</f>
        <v>0</v>
      </c>
      <c r="BX188" s="14">
        <f>IF([1]Sheet2!CF187=999999,"NA",[1]Sheet2!CF187)</f>
        <v>0</v>
      </c>
      <c r="BY188" s="14">
        <f>IF([1]Sheet2!CG187=999999,"NA",[1]Sheet2!CG187)</f>
        <v>0</v>
      </c>
      <c r="BZ188" s="14">
        <f>IF([1]Sheet2!CH187=999999,"NA",[1]Sheet2!CH187)</f>
        <v>0</v>
      </c>
      <c r="CA188" s="14">
        <f>IF([1]Sheet2!CI187=999999,"NA",[1]Sheet2!CI187)</f>
        <v>0</v>
      </c>
      <c r="CB188" s="14">
        <f>IF([1]Sheet2!CJ187=999999,"NA",[1]Sheet2!CJ187)</f>
        <v>0</v>
      </c>
      <c r="CC188" s="14">
        <f>IF([1]Sheet2!CK187=999999,"NA",[1]Sheet2!CK187)</f>
        <v>0</v>
      </c>
      <c r="CD188" s="14">
        <f>[1]Sheet2!BH187</f>
        <v>0</v>
      </c>
      <c r="CE188" s="14">
        <f>[1]Sheet2!BI187</f>
        <v>0</v>
      </c>
      <c r="CF188" s="14">
        <f>[1]Sheet2!BJ187</f>
        <v>0</v>
      </c>
      <c r="CG188" s="14">
        <f>[1]Sheet2!BK187</f>
        <v>0</v>
      </c>
      <c r="CH188" s="14">
        <f>[1]Sheet2!BL187</f>
        <v>0</v>
      </c>
      <c r="CI188" s="14">
        <f>[1]Sheet2!BM187</f>
        <v>0</v>
      </c>
      <c r="CJ188" s="14">
        <f>[1]Sheet2!BN187</f>
        <v>0</v>
      </c>
      <c r="CK188" s="14">
        <f>[1]Sheet2!BO187</f>
        <v>0</v>
      </c>
      <c r="CL188" s="14">
        <f>[1]Sheet2!BP187</f>
        <v>0</v>
      </c>
      <c r="CM188" s="14">
        <f>[1]Sheet2!BQ187</f>
        <v>0</v>
      </c>
      <c r="CN188" s="16">
        <f>Demand_SW!B$9/31</f>
        <v>131.01736972704714</v>
      </c>
      <c r="CO188" s="16">
        <f>Demand_SW!C$9/31</f>
        <v>0</v>
      </c>
      <c r="CP188" s="16">
        <f>Demand_SW!D$9/31</f>
        <v>0</v>
      </c>
      <c r="CQ188" s="16">
        <f>Demand_SW!E$9/31</f>
        <v>0</v>
      </c>
      <c r="CR188" s="16">
        <f>Demand_SW!F$9/31</f>
        <v>0</v>
      </c>
      <c r="CS188" s="16">
        <f>Demand_SW!G$9/31</f>
        <v>131.01736972704714</v>
      </c>
      <c r="CT188" s="16">
        <f>Demand_SW!H$9/31</f>
        <v>0</v>
      </c>
      <c r="CU188" s="16">
        <f>Demand_SW!I$9/31</f>
        <v>0</v>
      </c>
      <c r="CV188" s="16">
        <f>Demand_SW!J$9/31</f>
        <v>0</v>
      </c>
      <c r="CW188" s="16">
        <f>Demand_SW!K$9/31</f>
        <v>0</v>
      </c>
      <c r="CX188" s="16">
        <f t="shared" si="86"/>
        <v>-20121.761786600513</v>
      </c>
      <c r="CY188" s="16">
        <f t="shared" si="87"/>
        <v>76.923076923077133</v>
      </c>
      <c r="CZ188" s="16">
        <f t="shared" si="88"/>
        <v>0</v>
      </c>
      <c r="DA188" s="16">
        <f t="shared" si="89"/>
        <v>0</v>
      </c>
      <c r="DB188" s="16">
        <f t="shared" si="90"/>
        <v>0</v>
      </c>
      <c r="DC188" s="16">
        <f t="shared" si="91"/>
        <v>-19650.992555831283</v>
      </c>
      <c r="DD188" s="16">
        <f t="shared" si="92"/>
        <v>76.923076923077133</v>
      </c>
      <c r="DE188" s="16">
        <f t="shared" si="93"/>
        <v>0</v>
      </c>
      <c r="DF188" s="16">
        <f t="shared" si="94"/>
        <v>0</v>
      </c>
      <c r="DG188" s="16">
        <f t="shared" si="95"/>
        <v>0</v>
      </c>
      <c r="DH188" s="14">
        <f>IF([1]Sheet2!DS187=999999,"NA",[1]Sheet2!DS187)</f>
        <v>0</v>
      </c>
      <c r="DI188" s="14">
        <f>IF([1]Sheet2!DT187=999999,"NA",[1]Sheet2!DT187)</f>
        <v>180</v>
      </c>
      <c r="DJ188" s="14" t="str">
        <f>IF([1]Sheet2!DU187=999999,"NA",[1]Sheet2!DU187)</f>
        <v>NA</v>
      </c>
      <c r="DK188" s="14" t="str">
        <f>IF([1]Sheet2!DV187=999999,"NA",[1]Sheet2!DV187)</f>
        <v>NA</v>
      </c>
      <c r="DL188" s="14" t="str">
        <f>IF([1]Sheet2!DW187=999999,"NA",[1]Sheet2!DW187)</f>
        <v>NA</v>
      </c>
      <c r="DM188" s="14">
        <f>IF([1]Sheet2!DX187=999999,"NA",[1]Sheet2!DX187)</f>
        <v>0</v>
      </c>
      <c r="DN188" s="14">
        <f>IF([1]Sheet2!DY187=999999,"NA",[1]Sheet2!DY187)</f>
        <v>180</v>
      </c>
      <c r="DO188" s="14" t="str">
        <f>IF([1]Sheet2!DZ187=999999,"NA",[1]Sheet2!DZ187)</f>
        <v>NA</v>
      </c>
      <c r="DP188" s="14" t="str">
        <f>IF([1]Sheet2!EA187=999999,"NA",[1]Sheet2!EA187)</f>
        <v>NA</v>
      </c>
      <c r="DQ188" s="14" t="str">
        <f>IF([1]Sheet2!EB187=999999,"NA",[1]Sheet2!EB187)</f>
        <v>NA</v>
      </c>
      <c r="DR188" s="14">
        <f>[1]Sheet2!CY187</f>
        <v>0</v>
      </c>
      <c r="DS188" s="14">
        <f>[1]Sheet2!CZ187</f>
        <v>0</v>
      </c>
      <c r="DT188" s="14">
        <f>[1]Sheet2!DA187</f>
        <v>0</v>
      </c>
      <c r="DU188" s="14">
        <f>[1]Sheet2!DB187</f>
        <v>0</v>
      </c>
      <c r="DV188" s="14">
        <f>[1]Sheet2!DC187</f>
        <v>0</v>
      </c>
      <c r="DW188" s="14">
        <f>[1]Sheet2!DD187</f>
        <v>0</v>
      </c>
      <c r="DX188" s="14">
        <f>[1]Sheet2!DE187</f>
        <v>0</v>
      </c>
      <c r="DY188" s="14">
        <f>[1]Sheet2!DF187</f>
        <v>0</v>
      </c>
      <c r="DZ188" s="14">
        <f>[1]Sheet2!DG187</f>
        <v>0</v>
      </c>
      <c r="EA188" s="14">
        <f>[1]Sheet2!DH187</f>
        <v>0</v>
      </c>
      <c r="EB188" s="6">
        <f>[1]Sheet2!EC187</f>
        <v>0</v>
      </c>
      <c r="EC188" s="6">
        <f>[1]Sheet2!ED187</f>
        <v>0</v>
      </c>
      <c r="ED188" s="6">
        <f>[1]Sheet2!EE187</f>
        <v>0</v>
      </c>
      <c r="EE188" s="6">
        <f>[1]Sheet2!EF187</f>
        <v>0</v>
      </c>
      <c r="EF188" s="6">
        <f>[1]Sheet2!EG187</f>
        <v>0</v>
      </c>
      <c r="EG188" s="6">
        <f>[1]Sheet2!EH187</f>
        <v>0</v>
      </c>
      <c r="EH188" s="6">
        <f>[1]Sheet2!EI187</f>
        <v>0</v>
      </c>
      <c r="EI188" s="6">
        <f>[1]Sheet2!EJ187</f>
        <v>0</v>
      </c>
      <c r="EJ188" s="6">
        <f>[1]Sheet2!EK187</f>
        <v>0</v>
      </c>
      <c r="EK188" s="6">
        <f>[1]Sheet2!EL187</f>
        <v>0</v>
      </c>
      <c r="EL188" s="6" t="str">
        <f>[1]Sheet2!EM187</f>
        <v/>
      </c>
      <c r="EM188" s="6" t="str">
        <f>[1]Sheet2!EN187</f>
        <v/>
      </c>
      <c r="EN188" s="6" t="str">
        <f>[1]Sheet2!EO187</f>
        <v/>
      </c>
      <c r="EO188" s="6" t="str">
        <f>[1]Sheet2!EP187</f>
        <v/>
      </c>
      <c r="EP188" s="6" t="str">
        <f>[1]Sheet2!EQ187</f>
        <v/>
      </c>
      <c r="EQ188" s="6" t="str">
        <f>[1]Sheet2!ER187</f>
        <v/>
      </c>
      <c r="ER188" s="6" t="str">
        <f>[1]Sheet2!ES187</f>
        <v/>
      </c>
      <c r="ES188" s="6" t="str">
        <f>[1]Sheet2!ET187</f>
        <v/>
      </c>
      <c r="ET188" s="6" t="str">
        <f>[1]Sheet2!EU187</f>
        <v/>
      </c>
      <c r="EU188" s="6" t="str">
        <f>[1]Sheet2!EV187</f>
        <v/>
      </c>
      <c r="EV188" s="6" t="str">
        <f>[1]Sheet2!EW187</f>
        <v/>
      </c>
      <c r="EW188" s="6" t="str">
        <f>[1]Sheet2!EX187</f>
        <v/>
      </c>
      <c r="EX188" s="6" t="str">
        <f>[1]Sheet2!EY187</f>
        <v/>
      </c>
      <c r="EY188" s="6" t="str">
        <f>[1]Sheet2!EZ187</f>
        <v/>
      </c>
      <c r="EZ188" s="6" t="str">
        <f>[1]Sheet2!FA187</f>
        <v/>
      </c>
      <c r="FA188" s="6" t="str">
        <f>[1]Sheet2!FB187</f>
        <v/>
      </c>
      <c r="FB188" s="6" t="str">
        <f>[1]Sheet2!FC187</f>
        <v/>
      </c>
      <c r="FC188" s="6" t="str">
        <f>[1]Sheet2!FD187</f>
        <v/>
      </c>
      <c r="FD188" s="6" t="str">
        <f>[1]Sheet2!FE187</f>
        <v/>
      </c>
      <c r="FE188" s="6" t="str">
        <f>[1]Sheet2!FF187</f>
        <v/>
      </c>
      <c r="FF188" s="6" t="str">
        <f>[1]Sheet2!FG187</f>
        <v/>
      </c>
      <c r="FG188" s="6" t="str">
        <f>[1]Sheet2!FH187</f>
        <v/>
      </c>
      <c r="FH188" s="6" t="str">
        <f>[1]Sheet2!FI187</f>
        <v/>
      </c>
      <c r="FI188" s="6" t="str">
        <f>[1]Sheet2!FJ187</f>
        <v/>
      </c>
      <c r="FJ188" s="6" t="str">
        <f>[1]Sheet2!FK187</f>
        <v/>
      </c>
      <c r="FK188" s="6" t="str">
        <f>[1]Sheet2!FL187</f>
        <v/>
      </c>
      <c r="FL188" s="6" t="str">
        <f>[1]Sheet2!FM187</f>
        <v/>
      </c>
      <c r="FM188" s="6" t="str">
        <f>[1]Sheet2!FN187</f>
        <v/>
      </c>
      <c r="FN188" s="6" t="str">
        <f>[1]Sheet2!FO187</f>
        <v/>
      </c>
      <c r="FO188" s="6" t="str">
        <f>[1]Sheet2!FP187</f>
        <v/>
      </c>
    </row>
    <row r="189" spans="1:171" x14ac:dyDescent="0.25">
      <c r="A189" s="15">
        <v>43651</v>
      </c>
      <c r="B189" s="1"/>
      <c r="C189" s="1"/>
      <c r="D189" s="1"/>
      <c r="E189" s="14">
        <f>[1]Sheet2!N188</f>
        <v>0</v>
      </c>
      <c r="F189" s="14">
        <f>[1]Sheet2!BE188</f>
        <v>0</v>
      </c>
      <c r="G189" s="14">
        <f>[1]Sheet2!CW188</f>
        <v>0</v>
      </c>
      <c r="H189" s="1"/>
      <c r="I189" s="1"/>
      <c r="J189" s="1"/>
      <c r="K189" s="16"/>
      <c r="L189" s="16">
        <f>Demand_CWRS!B$9/31</f>
        <v>137.44229993796523</v>
      </c>
      <c r="M189" s="16">
        <f>Demand_CWRS!C$9/31</f>
        <v>616.54259718775836</v>
      </c>
      <c r="N189" s="16">
        <f>Demand_CWRS!D$9/31</f>
        <v>0</v>
      </c>
      <c r="O189" s="16">
        <f>Demand_CWRS!E$9/31</f>
        <v>140.39247311827955</v>
      </c>
      <c r="P189" s="16">
        <f>Demand_CWRS!F$9/31</f>
        <v>245.11049679487181</v>
      </c>
      <c r="Q189" s="16">
        <f>Demand_CWRS!G$9/31</f>
        <v>137.44229993796523</v>
      </c>
      <c r="R189" s="16">
        <f>Demand_CWRS!H$9/31</f>
        <v>245.11049679487181</v>
      </c>
      <c r="S189" s="16">
        <f>Demand_CWRS!I$9/31</f>
        <v>245.11049679487181</v>
      </c>
      <c r="T189" s="16">
        <f>Demand_CWRS!J$9/31</f>
        <v>245.11049679487181</v>
      </c>
      <c r="U189" s="16">
        <f>Demand_CWRS!K$9/31</f>
        <v>245.11049679487181</v>
      </c>
      <c r="V189" s="16">
        <f t="shared" si="66"/>
        <v>-23047.973037086365</v>
      </c>
      <c r="W189" s="16">
        <f t="shared" si="67"/>
        <v>-86938.87452440006</v>
      </c>
      <c r="X189" s="16">
        <f t="shared" si="68"/>
        <v>0</v>
      </c>
      <c r="Y189" s="16">
        <f t="shared" si="69"/>
        <v>-14243.238915412876</v>
      </c>
      <c r="Z189" s="16">
        <f t="shared" si="70"/>
        <v>-38503.716318768253</v>
      </c>
      <c r="AA189" s="16">
        <f t="shared" si="71"/>
        <v>-21722.19988804793</v>
      </c>
      <c r="AB189" s="16">
        <f t="shared" si="72"/>
        <v>-42812.881094409211</v>
      </c>
      <c r="AC189" s="16">
        <f t="shared" si="73"/>
        <v>-37019.87083799902</v>
      </c>
      <c r="AD189" s="16">
        <f t="shared" si="74"/>
        <v>-37119.870837999013</v>
      </c>
      <c r="AE189" s="16">
        <f t="shared" si="75"/>
        <v>-37719.870837999006</v>
      </c>
      <c r="AF189" s="14">
        <f>IF([1]Sheet2!AJ188=999999,"NA",[1]Sheet2!AJ188)</f>
        <v>0</v>
      </c>
      <c r="AG189" s="14">
        <f>IF([1]Sheet2!AK188=999999,"NA",[1]Sheet2!AK188)</f>
        <v>0</v>
      </c>
      <c r="AH189" s="14" t="str">
        <f>IF([1]Sheet2!AL188=999999,"NA",[1]Sheet2!AL188)</f>
        <v>NA</v>
      </c>
      <c r="AI189" s="14">
        <f>IF([1]Sheet2!AM188=999999,"NA",[1]Sheet2!AM188)</f>
        <v>0</v>
      </c>
      <c r="AJ189" s="14">
        <f>IF([1]Sheet2!AN188=999999,"NA",[1]Sheet2!AN188)</f>
        <v>0</v>
      </c>
      <c r="AK189" s="14">
        <f>IF([1]Sheet2!AO188=999999,"NA",[1]Sheet2!AO188)</f>
        <v>0</v>
      </c>
      <c r="AL189" s="14">
        <f>IF([1]Sheet2!AP188=999999,"NA",[1]Sheet2!AP188)</f>
        <v>0</v>
      </c>
      <c r="AM189" s="14">
        <f>IF([1]Sheet2!AQ188=999999,"NA",[1]Sheet2!AQ188)</f>
        <v>0</v>
      </c>
      <c r="AN189" s="14">
        <f>IF([1]Sheet2!AR188=999999,"NA",[1]Sheet2!AR188)</f>
        <v>0</v>
      </c>
      <c r="AO189" s="14">
        <f>IF([1]Sheet2!AS188=999999,"NA",[1]Sheet2!AS188)</f>
        <v>0</v>
      </c>
      <c r="AP189" s="14">
        <f>[1]Sheet2!P188</f>
        <v>0</v>
      </c>
      <c r="AQ189" s="14">
        <f>[1]Sheet2!Q188</f>
        <v>0</v>
      </c>
      <c r="AR189" s="14">
        <f>[1]Sheet2!R188</f>
        <v>0</v>
      </c>
      <c r="AS189" s="14">
        <f>[1]Sheet2!S188</f>
        <v>0</v>
      </c>
      <c r="AT189" s="14">
        <f>[1]Sheet2!T188</f>
        <v>0</v>
      </c>
      <c r="AU189" s="14">
        <f>[1]Sheet2!U188</f>
        <v>0</v>
      </c>
      <c r="AV189" s="14">
        <f>[1]Sheet2!V188</f>
        <v>0</v>
      </c>
      <c r="AW189" s="14">
        <f>[1]Sheet2!W188</f>
        <v>0</v>
      </c>
      <c r="AX189" s="14">
        <f>[1]Sheet2!X188</f>
        <v>0</v>
      </c>
      <c r="AY189" s="14">
        <f>[1]Sheet2!Y188</f>
        <v>0</v>
      </c>
      <c r="AZ189" s="16">
        <f>Demand_LP!B$9/31</f>
        <v>878.29658550454917</v>
      </c>
      <c r="BA189" s="16">
        <f>Demand_LP!C$9/31</f>
        <v>663.85442514474767</v>
      </c>
      <c r="BB189" s="16">
        <f>Demand_LP!D$9/31</f>
        <v>335.39784946236568</v>
      </c>
      <c r="BC189" s="16">
        <f>Demand_LP!E$9/31</f>
        <v>725.23531844499576</v>
      </c>
      <c r="BD189" s="16">
        <f>Demand_LP!F$9/31</f>
        <v>456.65268558726217</v>
      </c>
      <c r="BE189" s="16">
        <f>Demand_LP!G$9/31</f>
        <v>456.65268558726217</v>
      </c>
      <c r="BF189" s="16">
        <f>Demand_LP!H$9/31</f>
        <v>663.85442514474767</v>
      </c>
      <c r="BG189" s="16">
        <f>Demand_LP!I$9/31</f>
        <v>456.65268558726217</v>
      </c>
      <c r="BH189" s="16">
        <f>Demand_LP!J$9/31</f>
        <v>456.65268558726217</v>
      </c>
      <c r="BI189" s="16">
        <f>Demand_LP!K$9/31</f>
        <v>456.65268558726217</v>
      </c>
      <c r="BJ189" s="16">
        <f t="shared" si="76"/>
        <v>-130577.19385036622</v>
      </c>
      <c r="BK189" s="16">
        <f t="shared" si="77"/>
        <v>-105505.36699751843</v>
      </c>
      <c r="BL189" s="16">
        <f t="shared" si="78"/>
        <v>-48368.595657568279</v>
      </c>
      <c r="BM189" s="16">
        <f t="shared" si="79"/>
        <v>-135188.08298625282</v>
      </c>
      <c r="BN189" s="16">
        <f t="shared" si="80"/>
        <v>-78064.309974309203</v>
      </c>
      <c r="BO189" s="16">
        <f t="shared" si="81"/>
        <v>-76521.993892679937</v>
      </c>
      <c r="BP189" s="16">
        <f t="shared" si="82"/>
        <v>-99862.946484697939</v>
      </c>
      <c r="BQ189" s="16">
        <f t="shared" si="83"/>
        <v>-76521.993892679937</v>
      </c>
      <c r="BR189" s="16">
        <f t="shared" si="84"/>
        <v>-74121.99389267998</v>
      </c>
      <c r="BS189" s="16">
        <f t="shared" si="85"/>
        <v>-74821.993892679966</v>
      </c>
      <c r="BT189" s="14">
        <f>IF([1]Sheet2!CB188=999999,"NA",[1]Sheet2!CB188)</f>
        <v>0</v>
      </c>
      <c r="BU189" s="14">
        <f>IF([1]Sheet2!CC188=999999,"NA",[1]Sheet2!CC188)</f>
        <v>0</v>
      </c>
      <c r="BV189" s="14">
        <f>IF([1]Sheet2!CD188=999999,"NA",[1]Sheet2!CD188)</f>
        <v>0</v>
      </c>
      <c r="BW189" s="14">
        <f>IF([1]Sheet2!CE188=999999,"NA",[1]Sheet2!CE188)</f>
        <v>0</v>
      </c>
      <c r="BX189" s="14">
        <f>IF([1]Sheet2!CF188=999999,"NA",[1]Sheet2!CF188)</f>
        <v>0</v>
      </c>
      <c r="BY189" s="14">
        <f>IF([1]Sheet2!CG188=999999,"NA",[1]Sheet2!CG188)</f>
        <v>0</v>
      </c>
      <c r="BZ189" s="14">
        <f>IF([1]Sheet2!CH188=999999,"NA",[1]Sheet2!CH188)</f>
        <v>0</v>
      </c>
      <c r="CA189" s="14">
        <f>IF([1]Sheet2!CI188=999999,"NA",[1]Sheet2!CI188)</f>
        <v>0</v>
      </c>
      <c r="CB189" s="14">
        <f>IF([1]Sheet2!CJ188=999999,"NA",[1]Sheet2!CJ188)</f>
        <v>0</v>
      </c>
      <c r="CC189" s="14">
        <f>IF([1]Sheet2!CK188=999999,"NA",[1]Sheet2!CK188)</f>
        <v>0</v>
      </c>
      <c r="CD189" s="14">
        <f>[1]Sheet2!BH188</f>
        <v>0</v>
      </c>
      <c r="CE189" s="14">
        <f>[1]Sheet2!BI188</f>
        <v>0</v>
      </c>
      <c r="CF189" s="14">
        <f>[1]Sheet2!BJ188</f>
        <v>0</v>
      </c>
      <c r="CG189" s="14">
        <f>[1]Sheet2!BK188</f>
        <v>0</v>
      </c>
      <c r="CH189" s="14">
        <f>[1]Sheet2!BL188</f>
        <v>0</v>
      </c>
      <c r="CI189" s="14">
        <f>[1]Sheet2!BM188</f>
        <v>0</v>
      </c>
      <c r="CJ189" s="14">
        <f>[1]Sheet2!BN188</f>
        <v>0</v>
      </c>
      <c r="CK189" s="14">
        <f>[1]Sheet2!BO188</f>
        <v>0</v>
      </c>
      <c r="CL189" s="14">
        <f>[1]Sheet2!BP188</f>
        <v>0</v>
      </c>
      <c r="CM189" s="14">
        <f>[1]Sheet2!BQ188</f>
        <v>0</v>
      </c>
      <c r="CN189" s="16">
        <f>Demand_SW!B$9/31</f>
        <v>131.01736972704714</v>
      </c>
      <c r="CO189" s="16">
        <f>Demand_SW!C$9/31</f>
        <v>0</v>
      </c>
      <c r="CP189" s="16">
        <f>Demand_SW!D$9/31</f>
        <v>0</v>
      </c>
      <c r="CQ189" s="16">
        <f>Demand_SW!E$9/31</f>
        <v>0</v>
      </c>
      <c r="CR189" s="16">
        <f>Demand_SW!F$9/31</f>
        <v>0</v>
      </c>
      <c r="CS189" s="16">
        <f>Demand_SW!G$9/31</f>
        <v>131.01736972704714</v>
      </c>
      <c r="CT189" s="16">
        <f>Demand_SW!H$9/31</f>
        <v>0</v>
      </c>
      <c r="CU189" s="16">
        <f>Demand_SW!I$9/31</f>
        <v>0</v>
      </c>
      <c r="CV189" s="16">
        <f>Demand_SW!J$9/31</f>
        <v>0</v>
      </c>
      <c r="CW189" s="16">
        <f>Demand_SW!K$9/31</f>
        <v>0</v>
      </c>
      <c r="CX189" s="16">
        <f t="shared" si="86"/>
        <v>-20252.77915632756</v>
      </c>
      <c r="CY189" s="16">
        <f t="shared" si="87"/>
        <v>76.923076923077133</v>
      </c>
      <c r="CZ189" s="16">
        <f t="shared" si="88"/>
        <v>0</v>
      </c>
      <c r="DA189" s="16">
        <f t="shared" si="89"/>
        <v>0</v>
      </c>
      <c r="DB189" s="16">
        <f t="shared" si="90"/>
        <v>0</v>
      </c>
      <c r="DC189" s="16">
        <f t="shared" si="91"/>
        <v>-19782.00992555833</v>
      </c>
      <c r="DD189" s="16">
        <f t="shared" si="92"/>
        <v>76.923076923077133</v>
      </c>
      <c r="DE189" s="16">
        <f t="shared" si="93"/>
        <v>0</v>
      </c>
      <c r="DF189" s="16">
        <f t="shared" si="94"/>
        <v>0</v>
      </c>
      <c r="DG189" s="16">
        <f t="shared" si="95"/>
        <v>0</v>
      </c>
      <c r="DH189" s="14">
        <f>IF([1]Sheet2!DS188=999999,"NA",[1]Sheet2!DS188)</f>
        <v>0</v>
      </c>
      <c r="DI189" s="14">
        <f>IF([1]Sheet2!DT188=999999,"NA",[1]Sheet2!DT188)</f>
        <v>179</v>
      </c>
      <c r="DJ189" s="14" t="str">
        <f>IF([1]Sheet2!DU188=999999,"NA",[1]Sheet2!DU188)</f>
        <v>NA</v>
      </c>
      <c r="DK189" s="14" t="str">
        <f>IF([1]Sheet2!DV188=999999,"NA",[1]Sheet2!DV188)</f>
        <v>NA</v>
      </c>
      <c r="DL189" s="14" t="str">
        <f>IF([1]Sheet2!DW188=999999,"NA",[1]Sheet2!DW188)</f>
        <v>NA</v>
      </c>
      <c r="DM189" s="14">
        <f>IF([1]Sheet2!DX188=999999,"NA",[1]Sheet2!DX188)</f>
        <v>0</v>
      </c>
      <c r="DN189" s="14">
        <f>IF([1]Sheet2!DY188=999999,"NA",[1]Sheet2!DY188)</f>
        <v>179</v>
      </c>
      <c r="DO189" s="14" t="str">
        <f>IF([1]Sheet2!DZ188=999999,"NA",[1]Sheet2!DZ188)</f>
        <v>NA</v>
      </c>
      <c r="DP189" s="14" t="str">
        <f>IF([1]Sheet2!EA188=999999,"NA",[1]Sheet2!EA188)</f>
        <v>NA</v>
      </c>
      <c r="DQ189" s="14" t="str">
        <f>IF([1]Sheet2!EB188=999999,"NA",[1]Sheet2!EB188)</f>
        <v>NA</v>
      </c>
      <c r="DR189" s="14">
        <f>[1]Sheet2!CY188</f>
        <v>0</v>
      </c>
      <c r="DS189" s="14">
        <f>[1]Sheet2!CZ188</f>
        <v>0</v>
      </c>
      <c r="DT189" s="14">
        <f>[1]Sheet2!DA188</f>
        <v>0</v>
      </c>
      <c r="DU189" s="14">
        <f>[1]Sheet2!DB188</f>
        <v>0</v>
      </c>
      <c r="DV189" s="14">
        <f>[1]Sheet2!DC188</f>
        <v>0</v>
      </c>
      <c r="DW189" s="14">
        <f>[1]Sheet2!DD188</f>
        <v>0</v>
      </c>
      <c r="DX189" s="14">
        <f>[1]Sheet2!DE188</f>
        <v>0</v>
      </c>
      <c r="DY189" s="14">
        <f>[1]Sheet2!DF188</f>
        <v>0</v>
      </c>
      <c r="DZ189" s="14">
        <f>[1]Sheet2!DG188</f>
        <v>0</v>
      </c>
      <c r="EA189" s="14">
        <f>[1]Sheet2!DH188</f>
        <v>0</v>
      </c>
      <c r="EB189" s="6">
        <f>[1]Sheet2!EC188</f>
        <v>0</v>
      </c>
      <c r="EC189" s="6">
        <f>[1]Sheet2!ED188</f>
        <v>0</v>
      </c>
      <c r="ED189" s="6">
        <f>[1]Sheet2!EE188</f>
        <v>0</v>
      </c>
      <c r="EE189" s="6">
        <f>[1]Sheet2!EF188</f>
        <v>0</v>
      </c>
      <c r="EF189" s="6">
        <f>[1]Sheet2!EG188</f>
        <v>0</v>
      </c>
      <c r="EG189" s="6">
        <f>[1]Sheet2!EH188</f>
        <v>0</v>
      </c>
      <c r="EH189" s="6">
        <f>[1]Sheet2!EI188</f>
        <v>0</v>
      </c>
      <c r="EI189" s="6">
        <f>[1]Sheet2!EJ188</f>
        <v>0</v>
      </c>
      <c r="EJ189" s="6">
        <f>[1]Sheet2!EK188</f>
        <v>0</v>
      </c>
      <c r="EK189" s="6">
        <f>[1]Sheet2!EL188</f>
        <v>0</v>
      </c>
      <c r="EL189" s="6" t="str">
        <f>[1]Sheet2!EM188</f>
        <v/>
      </c>
      <c r="EM189" s="6" t="str">
        <f>[1]Sheet2!EN188</f>
        <v/>
      </c>
      <c r="EN189" s="6" t="str">
        <f>[1]Sheet2!EO188</f>
        <v/>
      </c>
      <c r="EO189" s="6" t="str">
        <f>[1]Sheet2!EP188</f>
        <v/>
      </c>
      <c r="EP189" s="6" t="str">
        <f>[1]Sheet2!EQ188</f>
        <v/>
      </c>
      <c r="EQ189" s="6" t="str">
        <f>[1]Sheet2!ER188</f>
        <v/>
      </c>
      <c r="ER189" s="6" t="str">
        <f>[1]Sheet2!ES188</f>
        <v/>
      </c>
      <c r="ES189" s="6" t="str">
        <f>[1]Sheet2!ET188</f>
        <v/>
      </c>
      <c r="ET189" s="6" t="str">
        <f>[1]Sheet2!EU188</f>
        <v/>
      </c>
      <c r="EU189" s="6" t="str">
        <f>[1]Sheet2!EV188</f>
        <v/>
      </c>
      <c r="EV189" s="6" t="str">
        <f>[1]Sheet2!EW188</f>
        <v/>
      </c>
      <c r="EW189" s="6" t="str">
        <f>[1]Sheet2!EX188</f>
        <v/>
      </c>
      <c r="EX189" s="6" t="str">
        <f>[1]Sheet2!EY188</f>
        <v/>
      </c>
      <c r="EY189" s="6" t="str">
        <f>[1]Sheet2!EZ188</f>
        <v/>
      </c>
      <c r="EZ189" s="6" t="str">
        <f>[1]Sheet2!FA188</f>
        <v/>
      </c>
      <c r="FA189" s="6" t="str">
        <f>[1]Sheet2!FB188</f>
        <v/>
      </c>
      <c r="FB189" s="6" t="str">
        <f>[1]Sheet2!FC188</f>
        <v/>
      </c>
      <c r="FC189" s="6" t="str">
        <f>[1]Sheet2!FD188</f>
        <v/>
      </c>
      <c r="FD189" s="6" t="str">
        <f>[1]Sheet2!FE188</f>
        <v/>
      </c>
      <c r="FE189" s="6" t="str">
        <f>[1]Sheet2!FF188</f>
        <v/>
      </c>
      <c r="FF189" s="6" t="str">
        <f>[1]Sheet2!FG188</f>
        <v/>
      </c>
      <c r="FG189" s="6" t="str">
        <f>[1]Sheet2!FH188</f>
        <v/>
      </c>
      <c r="FH189" s="6" t="str">
        <f>[1]Sheet2!FI188</f>
        <v/>
      </c>
      <c r="FI189" s="6" t="str">
        <f>[1]Sheet2!FJ188</f>
        <v/>
      </c>
      <c r="FJ189" s="6" t="str">
        <f>[1]Sheet2!FK188</f>
        <v/>
      </c>
      <c r="FK189" s="6" t="str">
        <f>[1]Sheet2!FL188</f>
        <v/>
      </c>
      <c r="FL189" s="6" t="str">
        <f>[1]Sheet2!FM188</f>
        <v/>
      </c>
      <c r="FM189" s="6" t="str">
        <f>[1]Sheet2!FN188</f>
        <v/>
      </c>
      <c r="FN189" s="6" t="str">
        <f>[1]Sheet2!FO188</f>
        <v/>
      </c>
      <c r="FO189" s="6" t="str">
        <f>[1]Sheet2!FP188</f>
        <v/>
      </c>
    </row>
    <row r="190" spans="1:171" x14ac:dyDescent="0.25">
      <c r="A190" s="15">
        <v>43652</v>
      </c>
      <c r="B190" s="1"/>
      <c r="C190" s="1"/>
      <c r="D190" s="1"/>
      <c r="E190" s="14">
        <f>[1]Sheet2!N189</f>
        <v>0</v>
      </c>
      <c r="F190" s="14">
        <f>[1]Sheet2!BE189</f>
        <v>0</v>
      </c>
      <c r="G190" s="14">
        <f>[1]Sheet2!CW189</f>
        <v>0</v>
      </c>
      <c r="H190" s="1"/>
      <c r="I190" s="1"/>
      <c r="J190" s="1"/>
      <c r="K190" s="16"/>
      <c r="L190" s="16">
        <f>Demand_CWRS!B$9/31</f>
        <v>137.44229993796523</v>
      </c>
      <c r="M190" s="16">
        <f>Demand_CWRS!C$9/31</f>
        <v>616.54259718775836</v>
      </c>
      <c r="N190" s="16">
        <f>Demand_CWRS!D$9/31</f>
        <v>0</v>
      </c>
      <c r="O190" s="16">
        <f>Demand_CWRS!E$9/31</f>
        <v>140.39247311827955</v>
      </c>
      <c r="P190" s="16">
        <f>Demand_CWRS!F$9/31</f>
        <v>245.11049679487181</v>
      </c>
      <c r="Q190" s="16">
        <f>Demand_CWRS!G$9/31</f>
        <v>137.44229993796523</v>
      </c>
      <c r="R190" s="16">
        <f>Demand_CWRS!H$9/31</f>
        <v>245.11049679487181</v>
      </c>
      <c r="S190" s="16">
        <f>Demand_CWRS!I$9/31</f>
        <v>245.11049679487181</v>
      </c>
      <c r="T190" s="16">
        <f>Demand_CWRS!J$9/31</f>
        <v>245.11049679487181</v>
      </c>
      <c r="U190" s="16">
        <f>Demand_CWRS!K$9/31</f>
        <v>245.11049679487181</v>
      </c>
      <c r="V190" s="16">
        <f t="shared" si="66"/>
        <v>-23185.415337024329</v>
      </c>
      <c r="W190" s="16">
        <f t="shared" si="67"/>
        <v>-87555.417121587816</v>
      </c>
      <c r="X190" s="16">
        <f t="shared" si="68"/>
        <v>0</v>
      </c>
      <c r="Y190" s="16">
        <f t="shared" si="69"/>
        <v>-14383.631388531156</v>
      </c>
      <c r="Z190" s="16">
        <f t="shared" si="70"/>
        <v>-38748.826815563123</v>
      </c>
      <c r="AA190" s="16">
        <f t="shared" si="71"/>
        <v>-21859.642187985894</v>
      </c>
      <c r="AB190" s="16">
        <f t="shared" si="72"/>
        <v>-43057.991591204081</v>
      </c>
      <c r="AC190" s="16">
        <f t="shared" si="73"/>
        <v>-37264.981334793891</v>
      </c>
      <c r="AD190" s="16">
        <f t="shared" si="74"/>
        <v>-37364.981334793883</v>
      </c>
      <c r="AE190" s="16">
        <f t="shared" si="75"/>
        <v>-37964.981334793876</v>
      </c>
      <c r="AF190" s="14">
        <f>IF([1]Sheet2!AJ189=999999,"NA",[1]Sheet2!AJ189)</f>
        <v>0</v>
      </c>
      <c r="AG190" s="14">
        <f>IF([1]Sheet2!AK189=999999,"NA",[1]Sheet2!AK189)</f>
        <v>0</v>
      </c>
      <c r="AH190" s="14" t="str">
        <f>IF([1]Sheet2!AL189=999999,"NA",[1]Sheet2!AL189)</f>
        <v>NA</v>
      </c>
      <c r="AI190" s="14">
        <f>IF([1]Sheet2!AM189=999999,"NA",[1]Sheet2!AM189)</f>
        <v>0</v>
      </c>
      <c r="AJ190" s="14">
        <f>IF([1]Sheet2!AN189=999999,"NA",[1]Sheet2!AN189)</f>
        <v>0</v>
      </c>
      <c r="AK190" s="14">
        <f>IF([1]Sheet2!AO189=999999,"NA",[1]Sheet2!AO189)</f>
        <v>0</v>
      </c>
      <c r="AL190" s="14">
        <f>IF([1]Sheet2!AP189=999999,"NA",[1]Sheet2!AP189)</f>
        <v>0</v>
      </c>
      <c r="AM190" s="14">
        <f>IF([1]Sheet2!AQ189=999999,"NA",[1]Sheet2!AQ189)</f>
        <v>0</v>
      </c>
      <c r="AN190" s="14">
        <f>IF([1]Sheet2!AR189=999999,"NA",[1]Sheet2!AR189)</f>
        <v>0</v>
      </c>
      <c r="AO190" s="14">
        <f>IF([1]Sheet2!AS189=999999,"NA",[1]Sheet2!AS189)</f>
        <v>0</v>
      </c>
      <c r="AP190" s="14">
        <f>[1]Sheet2!P189</f>
        <v>0</v>
      </c>
      <c r="AQ190" s="14">
        <f>[1]Sheet2!Q189</f>
        <v>0</v>
      </c>
      <c r="AR190" s="14">
        <f>[1]Sheet2!R189</f>
        <v>0</v>
      </c>
      <c r="AS190" s="14">
        <f>[1]Sheet2!S189</f>
        <v>0</v>
      </c>
      <c r="AT190" s="14">
        <f>[1]Sheet2!T189</f>
        <v>0</v>
      </c>
      <c r="AU190" s="14">
        <f>[1]Sheet2!U189</f>
        <v>0</v>
      </c>
      <c r="AV190" s="14">
        <f>[1]Sheet2!V189</f>
        <v>0</v>
      </c>
      <c r="AW190" s="14">
        <f>[1]Sheet2!W189</f>
        <v>0</v>
      </c>
      <c r="AX190" s="14">
        <f>[1]Sheet2!X189</f>
        <v>0</v>
      </c>
      <c r="AY190" s="14">
        <f>[1]Sheet2!Y189</f>
        <v>0</v>
      </c>
      <c r="AZ190" s="16">
        <f>Demand_LP!B$9/31</f>
        <v>878.29658550454917</v>
      </c>
      <c r="BA190" s="16">
        <f>Demand_LP!C$9/31</f>
        <v>663.85442514474767</v>
      </c>
      <c r="BB190" s="16">
        <f>Demand_LP!D$9/31</f>
        <v>335.39784946236568</v>
      </c>
      <c r="BC190" s="16">
        <f>Demand_LP!E$9/31</f>
        <v>725.23531844499576</v>
      </c>
      <c r="BD190" s="16">
        <f>Demand_LP!F$9/31</f>
        <v>456.65268558726217</v>
      </c>
      <c r="BE190" s="16">
        <f>Demand_LP!G$9/31</f>
        <v>456.65268558726217</v>
      </c>
      <c r="BF190" s="16">
        <f>Demand_LP!H$9/31</f>
        <v>663.85442514474767</v>
      </c>
      <c r="BG190" s="16">
        <f>Demand_LP!I$9/31</f>
        <v>456.65268558726217</v>
      </c>
      <c r="BH190" s="16">
        <f>Demand_LP!J$9/31</f>
        <v>456.65268558726217</v>
      </c>
      <c r="BI190" s="16">
        <f>Demand_LP!K$9/31</f>
        <v>456.65268558726217</v>
      </c>
      <c r="BJ190" s="16">
        <f t="shared" si="76"/>
        <v>-131455.49043587077</v>
      </c>
      <c r="BK190" s="16">
        <f t="shared" si="77"/>
        <v>-106169.22142266318</v>
      </c>
      <c r="BL190" s="16">
        <f t="shared" si="78"/>
        <v>-48703.993507030646</v>
      </c>
      <c r="BM190" s="16">
        <f t="shared" si="79"/>
        <v>-135913.31830469781</v>
      </c>
      <c r="BN190" s="16">
        <f t="shared" si="80"/>
        <v>-78520.962659896468</v>
      </c>
      <c r="BO190" s="16">
        <f t="shared" si="81"/>
        <v>-76978.646578267202</v>
      </c>
      <c r="BP190" s="16">
        <f t="shared" si="82"/>
        <v>-100526.80090984268</v>
      </c>
      <c r="BQ190" s="16">
        <f t="shared" si="83"/>
        <v>-76978.646578267202</v>
      </c>
      <c r="BR190" s="16">
        <f t="shared" si="84"/>
        <v>-74578.646578267246</v>
      </c>
      <c r="BS190" s="16">
        <f t="shared" si="85"/>
        <v>-75278.646578267231</v>
      </c>
      <c r="BT190" s="14">
        <f>IF([1]Sheet2!CB189=999999,"NA",[1]Sheet2!CB189)</f>
        <v>0</v>
      </c>
      <c r="BU190" s="14">
        <f>IF([1]Sheet2!CC189=999999,"NA",[1]Sheet2!CC189)</f>
        <v>0</v>
      </c>
      <c r="BV190" s="14">
        <f>IF([1]Sheet2!CD189=999999,"NA",[1]Sheet2!CD189)</f>
        <v>0</v>
      </c>
      <c r="BW190" s="14">
        <f>IF([1]Sheet2!CE189=999999,"NA",[1]Sheet2!CE189)</f>
        <v>0</v>
      </c>
      <c r="BX190" s="14">
        <f>IF([1]Sheet2!CF189=999999,"NA",[1]Sheet2!CF189)</f>
        <v>0</v>
      </c>
      <c r="BY190" s="14">
        <f>IF([1]Sheet2!CG189=999999,"NA",[1]Sheet2!CG189)</f>
        <v>0</v>
      </c>
      <c r="BZ190" s="14">
        <f>IF([1]Sheet2!CH189=999999,"NA",[1]Sheet2!CH189)</f>
        <v>0</v>
      </c>
      <c r="CA190" s="14">
        <f>IF([1]Sheet2!CI189=999999,"NA",[1]Sheet2!CI189)</f>
        <v>0</v>
      </c>
      <c r="CB190" s="14">
        <f>IF([1]Sheet2!CJ189=999999,"NA",[1]Sheet2!CJ189)</f>
        <v>0</v>
      </c>
      <c r="CC190" s="14">
        <f>IF([1]Sheet2!CK189=999999,"NA",[1]Sheet2!CK189)</f>
        <v>0</v>
      </c>
      <c r="CD190" s="14">
        <f>[1]Sheet2!BH189</f>
        <v>0</v>
      </c>
      <c r="CE190" s="14">
        <f>[1]Sheet2!BI189</f>
        <v>0</v>
      </c>
      <c r="CF190" s="14">
        <f>[1]Sheet2!BJ189</f>
        <v>0</v>
      </c>
      <c r="CG190" s="14">
        <f>[1]Sheet2!BK189</f>
        <v>0</v>
      </c>
      <c r="CH190" s="14">
        <f>[1]Sheet2!BL189</f>
        <v>0</v>
      </c>
      <c r="CI190" s="14">
        <f>[1]Sheet2!BM189</f>
        <v>0</v>
      </c>
      <c r="CJ190" s="14">
        <f>[1]Sheet2!BN189</f>
        <v>0</v>
      </c>
      <c r="CK190" s="14">
        <f>[1]Sheet2!BO189</f>
        <v>0</v>
      </c>
      <c r="CL190" s="14">
        <f>[1]Sheet2!BP189</f>
        <v>0</v>
      </c>
      <c r="CM190" s="14">
        <f>[1]Sheet2!BQ189</f>
        <v>0</v>
      </c>
      <c r="CN190" s="16">
        <f>Demand_SW!B$9/31</f>
        <v>131.01736972704714</v>
      </c>
      <c r="CO190" s="16">
        <f>Demand_SW!C$9/31</f>
        <v>0</v>
      </c>
      <c r="CP190" s="16">
        <f>Demand_SW!D$9/31</f>
        <v>0</v>
      </c>
      <c r="CQ190" s="16">
        <f>Demand_SW!E$9/31</f>
        <v>0</v>
      </c>
      <c r="CR190" s="16">
        <f>Demand_SW!F$9/31</f>
        <v>0</v>
      </c>
      <c r="CS190" s="16">
        <f>Demand_SW!G$9/31</f>
        <v>131.01736972704714</v>
      </c>
      <c r="CT190" s="16">
        <f>Demand_SW!H$9/31</f>
        <v>0</v>
      </c>
      <c r="CU190" s="16">
        <f>Demand_SW!I$9/31</f>
        <v>0</v>
      </c>
      <c r="CV190" s="16">
        <f>Demand_SW!J$9/31</f>
        <v>0</v>
      </c>
      <c r="CW190" s="16">
        <f>Demand_SW!K$9/31</f>
        <v>0</v>
      </c>
      <c r="CX190" s="16">
        <f t="shared" si="86"/>
        <v>-20383.796526054608</v>
      </c>
      <c r="CY190" s="16">
        <f t="shared" si="87"/>
        <v>76.923076923077133</v>
      </c>
      <c r="CZ190" s="16">
        <f t="shared" si="88"/>
        <v>0</v>
      </c>
      <c r="DA190" s="16">
        <f t="shared" si="89"/>
        <v>0</v>
      </c>
      <c r="DB190" s="16">
        <f t="shared" si="90"/>
        <v>0</v>
      </c>
      <c r="DC190" s="16">
        <f t="shared" si="91"/>
        <v>-19913.027295285377</v>
      </c>
      <c r="DD190" s="16">
        <f t="shared" si="92"/>
        <v>76.923076923077133</v>
      </c>
      <c r="DE190" s="16">
        <f t="shared" si="93"/>
        <v>0</v>
      </c>
      <c r="DF190" s="16">
        <f t="shared" si="94"/>
        <v>0</v>
      </c>
      <c r="DG190" s="16">
        <f t="shared" si="95"/>
        <v>0</v>
      </c>
      <c r="DH190" s="14">
        <f>IF([1]Sheet2!DS189=999999,"NA",[1]Sheet2!DS189)</f>
        <v>0</v>
      </c>
      <c r="DI190" s="14">
        <f>IF([1]Sheet2!DT189=999999,"NA",[1]Sheet2!DT189)</f>
        <v>178</v>
      </c>
      <c r="DJ190" s="14" t="str">
        <f>IF([1]Sheet2!DU189=999999,"NA",[1]Sheet2!DU189)</f>
        <v>NA</v>
      </c>
      <c r="DK190" s="14" t="str">
        <f>IF([1]Sheet2!DV189=999999,"NA",[1]Sheet2!DV189)</f>
        <v>NA</v>
      </c>
      <c r="DL190" s="14" t="str">
        <f>IF([1]Sheet2!DW189=999999,"NA",[1]Sheet2!DW189)</f>
        <v>NA</v>
      </c>
      <c r="DM190" s="14">
        <f>IF([1]Sheet2!DX189=999999,"NA",[1]Sheet2!DX189)</f>
        <v>0</v>
      </c>
      <c r="DN190" s="14">
        <f>IF([1]Sheet2!DY189=999999,"NA",[1]Sheet2!DY189)</f>
        <v>178</v>
      </c>
      <c r="DO190" s="14" t="str">
        <f>IF([1]Sheet2!DZ189=999999,"NA",[1]Sheet2!DZ189)</f>
        <v>NA</v>
      </c>
      <c r="DP190" s="14" t="str">
        <f>IF([1]Sheet2!EA189=999999,"NA",[1]Sheet2!EA189)</f>
        <v>NA</v>
      </c>
      <c r="DQ190" s="14" t="str">
        <f>IF([1]Sheet2!EB189=999999,"NA",[1]Sheet2!EB189)</f>
        <v>NA</v>
      </c>
      <c r="DR190" s="14">
        <f>[1]Sheet2!CY189</f>
        <v>0</v>
      </c>
      <c r="DS190" s="14">
        <f>[1]Sheet2!CZ189</f>
        <v>0</v>
      </c>
      <c r="DT190" s="14">
        <f>[1]Sheet2!DA189</f>
        <v>0</v>
      </c>
      <c r="DU190" s="14">
        <f>[1]Sheet2!DB189</f>
        <v>0</v>
      </c>
      <c r="DV190" s="14">
        <f>[1]Sheet2!DC189</f>
        <v>0</v>
      </c>
      <c r="DW190" s="14">
        <f>[1]Sheet2!DD189</f>
        <v>0</v>
      </c>
      <c r="DX190" s="14">
        <f>[1]Sheet2!DE189</f>
        <v>0</v>
      </c>
      <c r="DY190" s="14">
        <f>[1]Sheet2!DF189</f>
        <v>0</v>
      </c>
      <c r="DZ190" s="14">
        <f>[1]Sheet2!DG189</f>
        <v>0</v>
      </c>
      <c r="EA190" s="14">
        <f>[1]Sheet2!DH189</f>
        <v>0</v>
      </c>
      <c r="EB190" s="6">
        <f>[1]Sheet2!EC189</f>
        <v>0</v>
      </c>
      <c r="EC190" s="6">
        <f>[1]Sheet2!ED189</f>
        <v>0</v>
      </c>
      <c r="ED190" s="6">
        <f>[1]Sheet2!EE189</f>
        <v>0</v>
      </c>
      <c r="EE190" s="6">
        <f>[1]Sheet2!EF189</f>
        <v>0</v>
      </c>
      <c r="EF190" s="6">
        <f>[1]Sheet2!EG189</f>
        <v>0</v>
      </c>
      <c r="EG190" s="6">
        <f>[1]Sheet2!EH189</f>
        <v>0</v>
      </c>
      <c r="EH190" s="6">
        <f>[1]Sheet2!EI189</f>
        <v>0</v>
      </c>
      <c r="EI190" s="6">
        <f>[1]Sheet2!EJ189</f>
        <v>0</v>
      </c>
      <c r="EJ190" s="6">
        <f>[1]Sheet2!EK189</f>
        <v>0</v>
      </c>
      <c r="EK190" s="6">
        <f>[1]Sheet2!EL189</f>
        <v>0</v>
      </c>
      <c r="EL190" s="6" t="str">
        <f>[1]Sheet2!EM189</f>
        <v/>
      </c>
      <c r="EM190" s="6" t="str">
        <f>[1]Sheet2!EN189</f>
        <v/>
      </c>
      <c r="EN190" s="6" t="str">
        <f>[1]Sheet2!EO189</f>
        <v/>
      </c>
      <c r="EO190" s="6" t="str">
        <f>[1]Sheet2!EP189</f>
        <v/>
      </c>
      <c r="EP190" s="6" t="str">
        <f>[1]Sheet2!EQ189</f>
        <v/>
      </c>
      <c r="EQ190" s="6" t="str">
        <f>[1]Sheet2!ER189</f>
        <v/>
      </c>
      <c r="ER190" s="6" t="str">
        <f>[1]Sheet2!ES189</f>
        <v/>
      </c>
      <c r="ES190" s="6" t="str">
        <f>[1]Sheet2!ET189</f>
        <v/>
      </c>
      <c r="ET190" s="6" t="str">
        <f>[1]Sheet2!EU189</f>
        <v/>
      </c>
      <c r="EU190" s="6" t="str">
        <f>[1]Sheet2!EV189</f>
        <v/>
      </c>
      <c r="EV190" s="6" t="str">
        <f>[1]Sheet2!EW189</f>
        <v/>
      </c>
      <c r="EW190" s="6" t="str">
        <f>[1]Sheet2!EX189</f>
        <v/>
      </c>
      <c r="EX190" s="6" t="str">
        <f>[1]Sheet2!EY189</f>
        <v/>
      </c>
      <c r="EY190" s="6" t="str">
        <f>[1]Sheet2!EZ189</f>
        <v/>
      </c>
      <c r="EZ190" s="6" t="str">
        <f>[1]Sheet2!FA189</f>
        <v/>
      </c>
      <c r="FA190" s="6" t="str">
        <f>[1]Sheet2!FB189</f>
        <v/>
      </c>
      <c r="FB190" s="6" t="str">
        <f>[1]Sheet2!FC189</f>
        <v/>
      </c>
      <c r="FC190" s="6" t="str">
        <f>[1]Sheet2!FD189</f>
        <v/>
      </c>
      <c r="FD190" s="6" t="str">
        <f>[1]Sheet2!FE189</f>
        <v/>
      </c>
      <c r="FE190" s="6" t="str">
        <f>[1]Sheet2!FF189</f>
        <v/>
      </c>
      <c r="FF190" s="6" t="str">
        <f>[1]Sheet2!FG189</f>
        <v/>
      </c>
      <c r="FG190" s="6" t="str">
        <f>[1]Sheet2!FH189</f>
        <v/>
      </c>
      <c r="FH190" s="6" t="str">
        <f>[1]Sheet2!FI189</f>
        <v/>
      </c>
      <c r="FI190" s="6" t="str">
        <f>[1]Sheet2!FJ189</f>
        <v/>
      </c>
      <c r="FJ190" s="6" t="str">
        <f>[1]Sheet2!FK189</f>
        <v/>
      </c>
      <c r="FK190" s="6" t="str">
        <f>[1]Sheet2!FL189</f>
        <v/>
      </c>
      <c r="FL190" s="6" t="str">
        <f>[1]Sheet2!FM189</f>
        <v/>
      </c>
      <c r="FM190" s="6" t="str">
        <f>[1]Sheet2!FN189</f>
        <v/>
      </c>
      <c r="FN190" s="6" t="str">
        <f>[1]Sheet2!FO189</f>
        <v/>
      </c>
      <c r="FO190" s="6" t="str">
        <f>[1]Sheet2!FP189</f>
        <v/>
      </c>
    </row>
    <row r="191" spans="1:171" x14ac:dyDescent="0.25">
      <c r="A191" s="15">
        <v>43653</v>
      </c>
      <c r="B191" s="1"/>
      <c r="C191" s="1"/>
      <c r="D191" s="1"/>
      <c r="E191" s="14">
        <f>[1]Sheet2!N190</f>
        <v>0</v>
      </c>
      <c r="F191" s="14">
        <f>[1]Sheet2!BE190</f>
        <v>48000</v>
      </c>
      <c r="G191" s="14">
        <f>[1]Sheet2!CW190</f>
        <v>0</v>
      </c>
      <c r="H191" s="1"/>
      <c r="I191" s="1"/>
      <c r="J191" s="1"/>
      <c r="K191" s="16"/>
      <c r="L191" s="16">
        <f>Demand_CWRS!B$9/31</f>
        <v>137.44229993796523</v>
      </c>
      <c r="M191" s="16">
        <f>Demand_CWRS!C$9/31</f>
        <v>616.54259718775836</v>
      </c>
      <c r="N191" s="16">
        <f>Demand_CWRS!D$9/31</f>
        <v>0</v>
      </c>
      <c r="O191" s="16">
        <f>Demand_CWRS!E$9/31</f>
        <v>140.39247311827955</v>
      </c>
      <c r="P191" s="16">
        <f>Demand_CWRS!F$9/31</f>
        <v>245.11049679487181</v>
      </c>
      <c r="Q191" s="16">
        <f>Demand_CWRS!G$9/31</f>
        <v>137.44229993796523</v>
      </c>
      <c r="R191" s="16">
        <f>Demand_CWRS!H$9/31</f>
        <v>245.11049679487181</v>
      </c>
      <c r="S191" s="16">
        <f>Demand_CWRS!I$9/31</f>
        <v>245.11049679487181</v>
      </c>
      <c r="T191" s="16">
        <f>Demand_CWRS!J$9/31</f>
        <v>245.11049679487181</v>
      </c>
      <c r="U191" s="16">
        <f>Demand_CWRS!K$9/31</f>
        <v>245.11049679487181</v>
      </c>
      <c r="V191" s="16">
        <f t="shared" si="66"/>
        <v>-23322.857636962293</v>
      </c>
      <c r="W191" s="16">
        <f t="shared" si="67"/>
        <v>-88171.959718775572</v>
      </c>
      <c r="X191" s="16">
        <f t="shared" si="68"/>
        <v>0</v>
      </c>
      <c r="Y191" s="16">
        <f t="shared" si="69"/>
        <v>-14524.023861649435</v>
      </c>
      <c r="Z191" s="16">
        <f t="shared" si="70"/>
        <v>-38993.937312357994</v>
      </c>
      <c r="AA191" s="16">
        <f t="shared" si="71"/>
        <v>-21997.084487923858</v>
      </c>
      <c r="AB191" s="16">
        <f t="shared" si="72"/>
        <v>-43303.102087998952</v>
      </c>
      <c r="AC191" s="16">
        <f t="shared" si="73"/>
        <v>-37510.091831588761</v>
      </c>
      <c r="AD191" s="16">
        <f t="shared" si="74"/>
        <v>-37610.091831588754</v>
      </c>
      <c r="AE191" s="16">
        <f t="shared" si="75"/>
        <v>-38210.091831588747</v>
      </c>
      <c r="AF191" s="14">
        <f>IF([1]Sheet2!AJ190=999999,"NA",[1]Sheet2!AJ190)</f>
        <v>0</v>
      </c>
      <c r="AG191" s="14">
        <f>IF([1]Sheet2!AK190=999999,"NA",[1]Sheet2!AK190)</f>
        <v>0</v>
      </c>
      <c r="AH191" s="14" t="str">
        <f>IF([1]Sheet2!AL190=999999,"NA",[1]Sheet2!AL190)</f>
        <v>NA</v>
      </c>
      <c r="AI191" s="14">
        <f>IF([1]Sheet2!AM190=999999,"NA",[1]Sheet2!AM190)</f>
        <v>0</v>
      </c>
      <c r="AJ191" s="14">
        <f>IF([1]Sheet2!AN190=999999,"NA",[1]Sheet2!AN190)</f>
        <v>0</v>
      </c>
      <c r="AK191" s="14">
        <f>IF([1]Sheet2!AO190=999999,"NA",[1]Sheet2!AO190)</f>
        <v>0</v>
      </c>
      <c r="AL191" s="14">
        <f>IF([1]Sheet2!AP190=999999,"NA",[1]Sheet2!AP190)</f>
        <v>0</v>
      </c>
      <c r="AM191" s="14">
        <f>IF([1]Sheet2!AQ190=999999,"NA",[1]Sheet2!AQ190)</f>
        <v>0</v>
      </c>
      <c r="AN191" s="14">
        <f>IF([1]Sheet2!AR190=999999,"NA",[1]Sheet2!AR190)</f>
        <v>0</v>
      </c>
      <c r="AO191" s="14">
        <f>IF([1]Sheet2!AS190=999999,"NA",[1]Sheet2!AS190)</f>
        <v>0</v>
      </c>
      <c r="AP191" s="14">
        <f>[1]Sheet2!P190</f>
        <v>0</v>
      </c>
      <c r="AQ191" s="14">
        <f>[1]Sheet2!Q190</f>
        <v>0</v>
      </c>
      <c r="AR191" s="14">
        <f>[1]Sheet2!R190</f>
        <v>0</v>
      </c>
      <c r="AS191" s="14">
        <f>[1]Sheet2!S190</f>
        <v>0</v>
      </c>
      <c r="AT191" s="14">
        <f>[1]Sheet2!T190</f>
        <v>0</v>
      </c>
      <c r="AU191" s="14">
        <f>[1]Sheet2!U190</f>
        <v>0</v>
      </c>
      <c r="AV191" s="14">
        <f>[1]Sheet2!V190</f>
        <v>0</v>
      </c>
      <c r="AW191" s="14">
        <f>[1]Sheet2!W190</f>
        <v>0</v>
      </c>
      <c r="AX191" s="14">
        <f>[1]Sheet2!X190</f>
        <v>0</v>
      </c>
      <c r="AY191" s="14">
        <f>[1]Sheet2!Y190</f>
        <v>0</v>
      </c>
      <c r="AZ191" s="16">
        <f>Demand_LP!B$9/31</f>
        <v>878.29658550454917</v>
      </c>
      <c r="BA191" s="16">
        <f>Demand_LP!C$9/31</f>
        <v>663.85442514474767</v>
      </c>
      <c r="BB191" s="16">
        <f>Demand_LP!D$9/31</f>
        <v>335.39784946236568</v>
      </c>
      <c r="BC191" s="16">
        <f>Demand_LP!E$9/31</f>
        <v>725.23531844499576</v>
      </c>
      <c r="BD191" s="16">
        <f>Demand_LP!F$9/31</f>
        <v>456.65268558726217</v>
      </c>
      <c r="BE191" s="16">
        <f>Demand_LP!G$9/31</f>
        <v>456.65268558726217</v>
      </c>
      <c r="BF191" s="16">
        <f>Demand_LP!H$9/31</f>
        <v>663.85442514474767</v>
      </c>
      <c r="BG191" s="16">
        <f>Demand_LP!I$9/31</f>
        <v>456.65268558726217</v>
      </c>
      <c r="BH191" s="16">
        <f>Demand_LP!J$9/31</f>
        <v>456.65268558726217</v>
      </c>
      <c r="BI191" s="16">
        <f>Demand_LP!K$9/31</f>
        <v>456.65268558726217</v>
      </c>
      <c r="BJ191" s="16">
        <f t="shared" si="76"/>
        <v>-132333.78702137532</v>
      </c>
      <c r="BK191" s="16">
        <f t="shared" si="77"/>
        <v>-106833.07584780792</v>
      </c>
      <c r="BL191" s="16">
        <f t="shared" si="78"/>
        <v>-49039.391356493012</v>
      </c>
      <c r="BM191" s="16">
        <f t="shared" si="79"/>
        <v>-136638.5536231428</v>
      </c>
      <c r="BN191" s="16">
        <f t="shared" si="80"/>
        <v>-78977.615345483733</v>
      </c>
      <c r="BO191" s="16">
        <f t="shared" si="81"/>
        <v>-77435.299263854467</v>
      </c>
      <c r="BP191" s="16">
        <f t="shared" si="82"/>
        <v>-101190.65533498743</v>
      </c>
      <c r="BQ191" s="16">
        <f t="shared" si="83"/>
        <v>-77435.299263854467</v>
      </c>
      <c r="BR191" s="16">
        <f t="shared" si="84"/>
        <v>-75035.299263854511</v>
      </c>
      <c r="BS191" s="16">
        <f t="shared" si="85"/>
        <v>-75735.299263854497</v>
      </c>
      <c r="BT191" s="14">
        <f>IF([1]Sheet2!CB190=999999,"NA",[1]Sheet2!CB190)</f>
        <v>0</v>
      </c>
      <c r="BU191" s="14">
        <f>IF([1]Sheet2!CC190=999999,"NA",[1]Sheet2!CC190)</f>
        <v>0</v>
      </c>
      <c r="BV191" s="14">
        <f>IF([1]Sheet2!CD190=999999,"NA",[1]Sheet2!CD190)</f>
        <v>0</v>
      </c>
      <c r="BW191" s="14">
        <f>IF([1]Sheet2!CE190=999999,"NA",[1]Sheet2!CE190)</f>
        <v>0</v>
      </c>
      <c r="BX191" s="14">
        <f>IF([1]Sheet2!CF190=999999,"NA",[1]Sheet2!CF190)</f>
        <v>0</v>
      </c>
      <c r="BY191" s="14">
        <f>IF([1]Sheet2!CG190=999999,"NA",[1]Sheet2!CG190)</f>
        <v>0</v>
      </c>
      <c r="BZ191" s="14">
        <f>IF([1]Sheet2!CH190=999999,"NA",[1]Sheet2!CH190)</f>
        <v>0</v>
      </c>
      <c r="CA191" s="14">
        <f>IF([1]Sheet2!CI190=999999,"NA",[1]Sheet2!CI190)</f>
        <v>0</v>
      </c>
      <c r="CB191" s="14">
        <f>IF([1]Sheet2!CJ190=999999,"NA",[1]Sheet2!CJ190)</f>
        <v>0</v>
      </c>
      <c r="CC191" s="14">
        <f>IF([1]Sheet2!CK190=999999,"NA",[1]Sheet2!CK190)</f>
        <v>0</v>
      </c>
      <c r="CD191" s="14">
        <f>[1]Sheet2!BH190</f>
        <v>0</v>
      </c>
      <c r="CE191" s="14">
        <f>[1]Sheet2!BI190</f>
        <v>0</v>
      </c>
      <c r="CF191" s="14">
        <f>[1]Sheet2!BJ190</f>
        <v>0</v>
      </c>
      <c r="CG191" s="14">
        <f>[1]Sheet2!BK190</f>
        <v>0</v>
      </c>
      <c r="CH191" s="14">
        <f>[1]Sheet2!BL190</f>
        <v>0</v>
      </c>
      <c r="CI191" s="14">
        <f>[1]Sheet2!BM190</f>
        <v>0</v>
      </c>
      <c r="CJ191" s="14">
        <f>[1]Sheet2!BN190</f>
        <v>0</v>
      </c>
      <c r="CK191" s="14">
        <f>[1]Sheet2!BO190</f>
        <v>0</v>
      </c>
      <c r="CL191" s="14">
        <f>[1]Sheet2!BP190</f>
        <v>0</v>
      </c>
      <c r="CM191" s="14">
        <f>[1]Sheet2!BQ190</f>
        <v>0</v>
      </c>
      <c r="CN191" s="16">
        <f>Demand_SW!B$9/31</f>
        <v>131.01736972704714</v>
      </c>
      <c r="CO191" s="16">
        <f>Demand_SW!C$9/31</f>
        <v>0</v>
      </c>
      <c r="CP191" s="16">
        <f>Demand_SW!D$9/31</f>
        <v>0</v>
      </c>
      <c r="CQ191" s="16">
        <f>Demand_SW!E$9/31</f>
        <v>0</v>
      </c>
      <c r="CR191" s="16">
        <f>Demand_SW!F$9/31</f>
        <v>0</v>
      </c>
      <c r="CS191" s="16">
        <f>Demand_SW!G$9/31</f>
        <v>131.01736972704714</v>
      </c>
      <c r="CT191" s="16">
        <f>Demand_SW!H$9/31</f>
        <v>0</v>
      </c>
      <c r="CU191" s="16">
        <f>Demand_SW!I$9/31</f>
        <v>0</v>
      </c>
      <c r="CV191" s="16">
        <f>Demand_SW!J$9/31</f>
        <v>0</v>
      </c>
      <c r="CW191" s="16">
        <f>Demand_SW!K$9/31</f>
        <v>0</v>
      </c>
      <c r="CX191" s="16">
        <f t="shared" si="86"/>
        <v>-20514.813895781655</v>
      </c>
      <c r="CY191" s="16">
        <f t="shared" si="87"/>
        <v>76.923076923077133</v>
      </c>
      <c r="CZ191" s="16">
        <f t="shared" si="88"/>
        <v>0</v>
      </c>
      <c r="DA191" s="16">
        <f t="shared" si="89"/>
        <v>0</v>
      </c>
      <c r="DB191" s="16">
        <f t="shared" si="90"/>
        <v>0</v>
      </c>
      <c r="DC191" s="16">
        <f t="shared" si="91"/>
        <v>-20044.044665012425</v>
      </c>
      <c r="DD191" s="16">
        <f t="shared" si="92"/>
        <v>76.923076923077133</v>
      </c>
      <c r="DE191" s="16">
        <f t="shared" si="93"/>
        <v>0</v>
      </c>
      <c r="DF191" s="16">
        <f t="shared" si="94"/>
        <v>0</v>
      </c>
      <c r="DG191" s="16">
        <f t="shared" si="95"/>
        <v>0</v>
      </c>
      <c r="DH191" s="14">
        <f>IF([1]Sheet2!DS190=999999,"NA",[1]Sheet2!DS190)</f>
        <v>0</v>
      </c>
      <c r="DI191" s="14">
        <f>IF([1]Sheet2!DT190=999999,"NA",[1]Sheet2!DT190)</f>
        <v>177</v>
      </c>
      <c r="DJ191" s="14" t="str">
        <f>IF([1]Sheet2!DU190=999999,"NA",[1]Sheet2!DU190)</f>
        <v>NA</v>
      </c>
      <c r="DK191" s="14" t="str">
        <f>IF([1]Sheet2!DV190=999999,"NA",[1]Sheet2!DV190)</f>
        <v>NA</v>
      </c>
      <c r="DL191" s="14" t="str">
        <f>IF([1]Sheet2!DW190=999999,"NA",[1]Sheet2!DW190)</f>
        <v>NA</v>
      </c>
      <c r="DM191" s="14">
        <f>IF([1]Sheet2!DX190=999999,"NA",[1]Sheet2!DX190)</f>
        <v>0</v>
      </c>
      <c r="DN191" s="14">
        <f>IF([1]Sheet2!DY190=999999,"NA",[1]Sheet2!DY190)</f>
        <v>177</v>
      </c>
      <c r="DO191" s="14" t="str">
        <f>IF([1]Sheet2!DZ190=999999,"NA",[1]Sheet2!DZ190)</f>
        <v>NA</v>
      </c>
      <c r="DP191" s="14" t="str">
        <f>IF([1]Sheet2!EA190=999999,"NA",[1]Sheet2!EA190)</f>
        <v>NA</v>
      </c>
      <c r="DQ191" s="14" t="str">
        <f>IF([1]Sheet2!EB190=999999,"NA",[1]Sheet2!EB190)</f>
        <v>NA</v>
      </c>
      <c r="DR191" s="14">
        <f>[1]Sheet2!CY190</f>
        <v>0</v>
      </c>
      <c r="DS191" s="14">
        <f>[1]Sheet2!CZ190</f>
        <v>0</v>
      </c>
      <c r="DT191" s="14">
        <f>[1]Sheet2!DA190</f>
        <v>0</v>
      </c>
      <c r="DU191" s="14">
        <f>[1]Sheet2!DB190</f>
        <v>0</v>
      </c>
      <c r="DV191" s="14">
        <f>[1]Sheet2!DC190</f>
        <v>0</v>
      </c>
      <c r="DW191" s="14">
        <f>[1]Sheet2!DD190</f>
        <v>0</v>
      </c>
      <c r="DX191" s="14">
        <f>[1]Sheet2!DE190</f>
        <v>0</v>
      </c>
      <c r="DY191" s="14">
        <f>[1]Sheet2!DF190</f>
        <v>0</v>
      </c>
      <c r="DZ191" s="14">
        <f>[1]Sheet2!DG190</f>
        <v>0</v>
      </c>
      <c r="EA191" s="14">
        <f>[1]Sheet2!DH190</f>
        <v>0</v>
      </c>
      <c r="EB191" s="6">
        <f>[1]Sheet2!EC190</f>
        <v>0</v>
      </c>
      <c r="EC191" s="6">
        <f>[1]Sheet2!ED190</f>
        <v>0</v>
      </c>
      <c r="ED191" s="6">
        <f>[1]Sheet2!EE190</f>
        <v>0</v>
      </c>
      <c r="EE191" s="6">
        <f>[1]Sheet2!EF190</f>
        <v>0</v>
      </c>
      <c r="EF191" s="6">
        <f>[1]Sheet2!EG190</f>
        <v>0</v>
      </c>
      <c r="EG191" s="6">
        <f>[1]Sheet2!EH190</f>
        <v>0</v>
      </c>
      <c r="EH191" s="6">
        <f>[1]Sheet2!EI190</f>
        <v>0</v>
      </c>
      <c r="EI191" s="6">
        <f>[1]Sheet2!EJ190</f>
        <v>0</v>
      </c>
      <c r="EJ191" s="6">
        <f>[1]Sheet2!EK190</f>
        <v>0</v>
      </c>
      <c r="EK191" s="6">
        <f>[1]Sheet2!EL190</f>
        <v>0</v>
      </c>
      <c r="EL191" s="6" t="str">
        <f>[1]Sheet2!EM190</f>
        <v/>
      </c>
      <c r="EM191" s="6" t="str">
        <f>[1]Sheet2!EN190</f>
        <v/>
      </c>
      <c r="EN191" s="6" t="str">
        <f>[1]Sheet2!EO190</f>
        <v/>
      </c>
      <c r="EO191" s="6" t="str">
        <f>[1]Sheet2!EP190</f>
        <v/>
      </c>
      <c r="EP191" s="6" t="str">
        <f>[1]Sheet2!EQ190</f>
        <v/>
      </c>
      <c r="EQ191" s="6" t="str">
        <f>[1]Sheet2!ER190</f>
        <v/>
      </c>
      <c r="ER191" s="6" t="str">
        <f>[1]Sheet2!ES190</f>
        <v/>
      </c>
      <c r="ES191" s="6" t="str">
        <f>[1]Sheet2!ET190</f>
        <v/>
      </c>
      <c r="ET191" s="6" t="str">
        <f>[1]Sheet2!EU190</f>
        <v/>
      </c>
      <c r="EU191" s="6" t="str">
        <f>[1]Sheet2!EV190</f>
        <v/>
      </c>
      <c r="EV191" s="6" t="str">
        <f>[1]Sheet2!EW190</f>
        <v/>
      </c>
      <c r="EW191" s="6" t="str">
        <f>[1]Sheet2!EX190</f>
        <v/>
      </c>
      <c r="EX191" s="6" t="str">
        <f>[1]Sheet2!EY190</f>
        <v/>
      </c>
      <c r="EY191" s="6" t="str">
        <f>[1]Sheet2!EZ190</f>
        <v/>
      </c>
      <c r="EZ191" s="6" t="str">
        <f>[1]Sheet2!FA190</f>
        <v/>
      </c>
      <c r="FA191" s="6" t="str">
        <f>[1]Sheet2!FB190</f>
        <v/>
      </c>
      <c r="FB191" s="6" t="str">
        <f>[1]Sheet2!FC190</f>
        <v/>
      </c>
      <c r="FC191" s="6" t="str">
        <f>[1]Sheet2!FD190</f>
        <v/>
      </c>
      <c r="FD191" s="6" t="str">
        <f>[1]Sheet2!FE190</f>
        <v/>
      </c>
      <c r="FE191" s="6" t="str">
        <f>[1]Sheet2!FF190</f>
        <v/>
      </c>
      <c r="FF191" s="6" t="str">
        <f>[1]Sheet2!FG190</f>
        <v/>
      </c>
      <c r="FG191" s="6" t="str">
        <f>[1]Sheet2!FH190</f>
        <v/>
      </c>
      <c r="FH191" s="6" t="str">
        <f>[1]Sheet2!FI190</f>
        <v/>
      </c>
      <c r="FI191" s="6" t="str">
        <f>[1]Sheet2!FJ190</f>
        <v/>
      </c>
      <c r="FJ191" s="6" t="str">
        <f>[1]Sheet2!FK190</f>
        <v/>
      </c>
      <c r="FK191" s="6" t="str">
        <f>[1]Sheet2!FL190</f>
        <v/>
      </c>
      <c r="FL191" s="6" t="str">
        <f>[1]Sheet2!FM190</f>
        <v/>
      </c>
      <c r="FM191" s="6" t="str">
        <f>[1]Sheet2!FN190</f>
        <v/>
      </c>
      <c r="FN191" s="6" t="str">
        <f>[1]Sheet2!FO190</f>
        <v/>
      </c>
      <c r="FO191" s="6" t="str">
        <f>[1]Sheet2!FP190</f>
        <v/>
      </c>
    </row>
    <row r="192" spans="1:171" x14ac:dyDescent="0.25">
      <c r="A192" s="15">
        <v>43654</v>
      </c>
      <c r="B192" s="1"/>
      <c r="C192" s="1"/>
      <c r="D192" s="1"/>
      <c r="E192" s="14">
        <f>[1]Sheet2!N191</f>
        <v>0</v>
      </c>
      <c r="F192" s="14">
        <f>[1]Sheet2!BE191</f>
        <v>0</v>
      </c>
      <c r="G192" s="14">
        <f>[1]Sheet2!CW191</f>
        <v>0</v>
      </c>
      <c r="H192" s="1"/>
      <c r="I192" s="1"/>
      <c r="J192" s="1"/>
      <c r="K192" s="16"/>
      <c r="L192" s="16">
        <f>Demand_CWRS!B$9/31</f>
        <v>137.44229993796523</v>
      </c>
      <c r="M192" s="16">
        <f>Demand_CWRS!C$9/31</f>
        <v>616.54259718775836</v>
      </c>
      <c r="N192" s="16">
        <f>Demand_CWRS!D$9/31</f>
        <v>0</v>
      </c>
      <c r="O192" s="16">
        <f>Demand_CWRS!E$9/31</f>
        <v>140.39247311827955</v>
      </c>
      <c r="P192" s="16">
        <f>Demand_CWRS!F$9/31</f>
        <v>245.11049679487181</v>
      </c>
      <c r="Q192" s="16">
        <f>Demand_CWRS!G$9/31</f>
        <v>137.44229993796523</v>
      </c>
      <c r="R192" s="16">
        <f>Demand_CWRS!H$9/31</f>
        <v>245.11049679487181</v>
      </c>
      <c r="S192" s="16">
        <f>Demand_CWRS!I$9/31</f>
        <v>245.11049679487181</v>
      </c>
      <c r="T192" s="16">
        <f>Demand_CWRS!J$9/31</f>
        <v>245.11049679487181</v>
      </c>
      <c r="U192" s="16">
        <f>Demand_CWRS!K$9/31</f>
        <v>245.11049679487181</v>
      </c>
      <c r="V192" s="16">
        <f t="shared" si="66"/>
        <v>-23460.299936900257</v>
      </c>
      <c r="W192" s="16">
        <f t="shared" si="67"/>
        <v>-88788.502315963327</v>
      </c>
      <c r="X192" s="16">
        <f t="shared" si="68"/>
        <v>0</v>
      </c>
      <c r="Y192" s="16">
        <f t="shared" si="69"/>
        <v>-14664.416334767715</v>
      </c>
      <c r="Z192" s="16">
        <f t="shared" si="70"/>
        <v>-39239.047809152864</v>
      </c>
      <c r="AA192" s="16">
        <f t="shared" si="71"/>
        <v>-22134.526787861822</v>
      </c>
      <c r="AB192" s="16">
        <f t="shared" si="72"/>
        <v>-43548.212584793822</v>
      </c>
      <c r="AC192" s="16">
        <f t="shared" si="73"/>
        <v>-37755.202328383632</v>
      </c>
      <c r="AD192" s="16">
        <f t="shared" si="74"/>
        <v>-37855.202328383624</v>
      </c>
      <c r="AE192" s="16">
        <f t="shared" si="75"/>
        <v>-38455.202328383617</v>
      </c>
      <c r="AF192" s="14">
        <f>IF([1]Sheet2!AJ191=999999,"NA",[1]Sheet2!AJ191)</f>
        <v>0</v>
      </c>
      <c r="AG192" s="14">
        <f>IF([1]Sheet2!AK191=999999,"NA",[1]Sheet2!AK191)</f>
        <v>0</v>
      </c>
      <c r="AH192" s="14" t="str">
        <f>IF([1]Sheet2!AL191=999999,"NA",[1]Sheet2!AL191)</f>
        <v>NA</v>
      </c>
      <c r="AI192" s="14">
        <f>IF([1]Sheet2!AM191=999999,"NA",[1]Sheet2!AM191)</f>
        <v>0</v>
      </c>
      <c r="AJ192" s="14">
        <f>IF([1]Sheet2!AN191=999999,"NA",[1]Sheet2!AN191)</f>
        <v>0</v>
      </c>
      <c r="AK192" s="14">
        <f>IF([1]Sheet2!AO191=999999,"NA",[1]Sheet2!AO191)</f>
        <v>0</v>
      </c>
      <c r="AL192" s="14">
        <f>IF([1]Sheet2!AP191=999999,"NA",[1]Sheet2!AP191)</f>
        <v>0</v>
      </c>
      <c r="AM192" s="14">
        <f>IF([1]Sheet2!AQ191=999999,"NA",[1]Sheet2!AQ191)</f>
        <v>0</v>
      </c>
      <c r="AN192" s="14">
        <f>IF([1]Sheet2!AR191=999999,"NA",[1]Sheet2!AR191)</f>
        <v>0</v>
      </c>
      <c r="AO192" s="14">
        <f>IF([1]Sheet2!AS191=999999,"NA",[1]Sheet2!AS191)</f>
        <v>0</v>
      </c>
      <c r="AP192" s="14">
        <f>[1]Sheet2!P191</f>
        <v>0</v>
      </c>
      <c r="AQ192" s="14">
        <f>[1]Sheet2!Q191</f>
        <v>0</v>
      </c>
      <c r="AR192" s="14">
        <f>[1]Sheet2!R191</f>
        <v>0</v>
      </c>
      <c r="AS192" s="14">
        <f>[1]Sheet2!S191</f>
        <v>0</v>
      </c>
      <c r="AT192" s="14">
        <f>[1]Sheet2!T191</f>
        <v>0</v>
      </c>
      <c r="AU192" s="14">
        <f>[1]Sheet2!U191</f>
        <v>0</v>
      </c>
      <c r="AV192" s="14">
        <f>[1]Sheet2!V191</f>
        <v>0</v>
      </c>
      <c r="AW192" s="14">
        <f>[1]Sheet2!W191</f>
        <v>0</v>
      </c>
      <c r="AX192" s="14">
        <f>[1]Sheet2!X191</f>
        <v>0</v>
      </c>
      <c r="AY192" s="14">
        <f>[1]Sheet2!Y191</f>
        <v>0</v>
      </c>
      <c r="AZ192" s="16">
        <f>Demand_LP!B$9/31</f>
        <v>878.29658550454917</v>
      </c>
      <c r="BA192" s="16">
        <f>Demand_LP!C$9/31</f>
        <v>663.85442514474767</v>
      </c>
      <c r="BB192" s="16">
        <f>Demand_LP!D$9/31</f>
        <v>335.39784946236568</v>
      </c>
      <c r="BC192" s="16">
        <f>Demand_LP!E$9/31</f>
        <v>725.23531844499576</v>
      </c>
      <c r="BD192" s="16">
        <f>Demand_LP!F$9/31</f>
        <v>456.65268558726217</v>
      </c>
      <c r="BE192" s="16">
        <f>Demand_LP!G$9/31</f>
        <v>456.65268558726217</v>
      </c>
      <c r="BF192" s="16">
        <f>Demand_LP!H$9/31</f>
        <v>663.85442514474767</v>
      </c>
      <c r="BG192" s="16">
        <f>Demand_LP!I$9/31</f>
        <v>456.65268558726217</v>
      </c>
      <c r="BH192" s="16">
        <f>Demand_LP!J$9/31</f>
        <v>456.65268558726217</v>
      </c>
      <c r="BI192" s="16">
        <f>Demand_LP!K$9/31</f>
        <v>456.65268558726217</v>
      </c>
      <c r="BJ192" s="16">
        <f t="shared" si="76"/>
        <v>-133212.08360687987</v>
      </c>
      <c r="BK192" s="16">
        <f t="shared" si="77"/>
        <v>-107496.93027295267</v>
      </c>
      <c r="BL192" s="16">
        <f t="shared" si="78"/>
        <v>-49374.789205955378</v>
      </c>
      <c r="BM192" s="16">
        <f t="shared" si="79"/>
        <v>-137363.78894158779</v>
      </c>
      <c r="BN192" s="16">
        <f t="shared" si="80"/>
        <v>-79434.268031070998</v>
      </c>
      <c r="BO192" s="16">
        <f t="shared" si="81"/>
        <v>-77891.951949441733</v>
      </c>
      <c r="BP192" s="16">
        <f t="shared" si="82"/>
        <v>-101854.50976013218</v>
      </c>
      <c r="BQ192" s="16">
        <f t="shared" si="83"/>
        <v>-77891.951949441733</v>
      </c>
      <c r="BR192" s="16">
        <f t="shared" si="84"/>
        <v>-75491.951949441776</v>
      </c>
      <c r="BS192" s="16">
        <f t="shared" si="85"/>
        <v>-76191.951949441762</v>
      </c>
      <c r="BT192" s="14">
        <f>IF([1]Sheet2!CB191=999999,"NA",[1]Sheet2!CB191)</f>
        <v>0</v>
      </c>
      <c r="BU192" s="14">
        <f>IF([1]Sheet2!CC191=999999,"NA",[1]Sheet2!CC191)</f>
        <v>0</v>
      </c>
      <c r="BV192" s="14">
        <f>IF([1]Sheet2!CD191=999999,"NA",[1]Sheet2!CD191)</f>
        <v>0</v>
      </c>
      <c r="BW192" s="14">
        <f>IF([1]Sheet2!CE191=999999,"NA",[1]Sheet2!CE191)</f>
        <v>0</v>
      </c>
      <c r="BX192" s="14">
        <f>IF([1]Sheet2!CF191=999999,"NA",[1]Sheet2!CF191)</f>
        <v>0</v>
      </c>
      <c r="BY192" s="14">
        <f>IF([1]Sheet2!CG191=999999,"NA",[1]Sheet2!CG191)</f>
        <v>0</v>
      </c>
      <c r="BZ192" s="14">
        <f>IF([1]Sheet2!CH191=999999,"NA",[1]Sheet2!CH191)</f>
        <v>0</v>
      </c>
      <c r="CA192" s="14">
        <f>IF([1]Sheet2!CI191=999999,"NA",[1]Sheet2!CI191)</f>
        <v>0</v>
      </c>
      <c r="CB192" s="14">
        <f>IF([1]Sheet2!CJ191=999999,"NA",[1]Sheet2!CJ191)</f>
        <v>0</v>
      </c>
      <c r="CC192" s="14">
        <f>IF([1]Sheet2!CK191=999999,"NA",[1]Sheet2!CK191)</f>
        <v>0</v>
      </c>
      <c r="CD192" s="14">
        <f>[1]Sheet2!BH191</f>
        <v>0</v>
      </c>
      <c r="CE192" s="14">
        <f>[1]Sheet2!BI191</f>
        <v>0</v>
      </c>
      <c r="CF192" s="14">
        <f>[1]Sheet2!BJ191</f>
        <v>0</v>
      </c>
      <c r="CG192" s="14">
        <f>[1]Sheet2!BK191</f>
        <v>0</v>
      </c>
      <c r="CH192" s="14">
        <f>[1]Sheet2!BL191</f>
        <v>0</v>
      </c>
      <c r="CI192" s="14">
        <f>[1]Sheet2!BM191</f>
        <v>0</v>
      </c>
      <c r="CJ192" s="14">
        <f>[1]Sheet2!BN191</f>
        <v>0</v>
      </c>
      <c r="CK192" s="14">
        <f>[1]Sheet2!BO191</f>
        <v>0</v>
      </c>
      <c r="CL192" s="14">
        <f>[1]Sheet2!BP191</f>
        <v>0</v>
      </c>
      <c r="CM192" s="14">
        <f>[1]Sheet2!BQ191</f>
        <v>0</v>
      </c>
      <c r="CN192" s="16">
        <f>Demand_SW!B$9/31</f>
        <v>131.01736972704714</v>
      </c>
      <c r="CO192" s="16">
        <f>Demand_SW!C$9/31</f>
        <v>0</v>
      </c>
      <c r="CP192" s="16">
        <f>Demand_SW!D$9/31</f>
        <v>0</v>
      </c>
      <c r="CQ192" s="16">
        <f>Demand_SW!E$9/31</f>
        <v>0</v>
      </c>
      <c r="CR192" s="16">
        <f>Demand_SW!F$9/31</f>
        <v>0</v>
      </c>
      <c r="CS192" s="16">
        <f>Demand_SW!G$9/31</f>
        <v>131.01736972704714</v>
      </c>
      <c r="CT192" s="16">
        <f>Demand_SW!H$9/31</f>
        <v>0</v>
      </c>
      <c r="CU192" s="16">
        <f>Demand_SW!I$9/31</f>
        <v>0</v>
      </c>
      <c r="CV192" s="16">
        <f>Demand_SW!J$9/31</f>
        <v>0</v>
      </c>
      <c r="CW192" s="16">
        <f>Demand_SW!K$9/31</f>
        <v>0</v>
      </c>
      <c r="CX192" s="16">
        <f t="shared" si="86"/>
        <v>-20645.831265508703</v>
      </c>
      <c r="CY192" s="16">
        <f t="shared" si="87"/>
        <v>76.923076923077133</v>
      </c>
      <c r="CZ192" s="16">
        <f t="shared" si="88"/>
        <v>0</v>
      </c>
      <c r="DA192" s="16">
        <f t="shared" si="89"/>
        <v>0</v>
      </c>
      <c r="DB192" s="16">
        <f t="shared" si="90"/>
        <v>0</v>
      </c>
      <c r="DC192" s="16">
        <f t="shared" si="91"/>
        <v>-20175.062034739472</v>
      </c>
      <c r="DD192" s="16">
        <f t="shared" si="92"/>
        <v>76.923076923077133</v>
      </c>
      <c r="DE192" s="16">
        <f t="shared" si="93"/>
        <v>0</v>
      </c>
      <c r="DF192" s="16">
        <f t="shared" si="94"/>
        <v>0</v>
      </c>
      <c r="DG192" s="16">
        <f t="shared" si="95"/>
        <v>0</v>
      </c>
      <c r="DH192" s="14">
        <f>IF([1]Sheet2!DS191=999999,"NA",[1]Sheet2!DS191)</f>
        <v>0</v>
      </c>
      <c r="DI192" s="14">
        <f>IF([1]Sheet2!DT191=999999,"NA",[1]Sheet2!DT191)</f>
        <v>176</v>
      </c>
      <c r="DJ192" s="14" t="str">
        <f>IF([1]Sheet2!DU191=999999,"NA",[1]Sheet2!DU191)</f>
        <v>NA</v>
      </c>
      <c r="DK192" s="14" t="str">
        <f>IF([1]Sheet2!DV191=999999,"NA",[1]Sheet2!DV191)</f>
        <v>NA</v>
      </c>
      <c r="DL192" s="14" t="str">
        <f>IF([1]Sheet2!DW191=999999,"NA",[1]Sheet2!DW191)</f>
        <v>NA</v>
      </c>
      <c r="DM192" s="14">
        <f>IF([1]Sheet2!DX191=999999,"NA",[1]Sheet2!DX191)</f>
        <v>0</v>
      </c>
      <c r="DN192" s="14">
        <f>IF([1]Sheet2!DY191=999999,"NA",[1]Sheet2!DY191)</f>
        <v>176</v>
      </c>
      <c r="DO192" s="14" t="str">
        <f>IF([1]Sheet2!DZ191=999999,"NA",[1]Sheet2!DZ191)</f>
        <v>NA</v>
      </c>
      <c r="DP192" s="14" t="str">
        <f>IF([1]Sheet2!EA191=999999,"NA",[1]Sheet2!EA191)</f>
        <v>NA</v>
      </c>
      <c r="DQ192" s="14" t="str">
        <f>IF([1]Sheet2!EB191=999999,"NA",[1]Sheet2!EB191)</f>
        <v>NA</v>
      </c>
      <c r="DR192" s="14">
        <f>[1]Sheet2!CY191</f>
        <v>0</v>
      </c>
      <c r="DS192" s="14">
        <f>[1]Sheet2!CZ191</f>
        <v>0</v>
      </c>
      <c r="DT192" s="14">
        <f>[1]Sheet2!DA191</f>
        <v>0</v>
      </c>
      <c r="DU192" s="14">
        <f>[1]Sheet2!DB191</f>
        <v>0</v>
      </c>
      <c r="DV192" s="14">
        <f>[1]Sheet2!DC191</f>
        <v>0</v>
      </c>
      <c r="DW192" s="14">
        <f>[1]Sheet2!DD191</f>
        <v>0</v>
      </c>
      <c r="DX192" s="14">
        <f>[1]Sheet2!DE191</f>
        <v>0</v>
      </c>
      <c r="DY192" s="14">
        <f>[1]Sheet2!DF191</f>
        <v>0</v>
      </c>
      <c r="DZ192" s="14">
        <f>[1]Sheet2!DG191</f>
        <v>0</v>
      </c>
      <c r="EA192" s="14">
        <f>[1]Sheet2!DH191</f>
        <v>0</v>
      </c>
      <c r="EB192" s="6">
        <f>[1]Sheet2!EC191</f>
        <v>0</v>
      </c>
      <c r="EC192" s="6">
        <f>[1]Sheet2!ED191</f>
        <v>0</v>
      </c>
      <c r="ED192" s="6">
        <f>[1]Sheet2!EE191</f>
        <v>0</v>
      </c>
      <c r="EE192" s="6">
        <f>[1]Sheet2!EF191</f>
        <v>0</v>
      </c>
      <c r="EF192" s="6">
        <f>[1]Sheet2!EG191</f>
        <v>0</v>
      </c>
      <c r="EG192" s="6">
        <f>[1]Sheet2!EH191</f>
        <v>0</v>
      </c>
      <c r="EH192" s="6">
        <f>[1]Sheet2!EI191</f>
        <v>0</v>
      </c>
      <c r="EI192" s="6">
        <f>[1]Sheet2!EJ191</f>
        <v>0</v>
      </c>
      <c r="EJ192" s="6">
        <f>[1]Sheet2!EK191</f>
        <v>0</v>
      </c>
      <c r="EK192" s="6">
        <f>[1]Sheet2!EL191</f>
        <v>0</v>
      </c>
      <c r="EL192" s="6" t="str">
        <f>[1]Sheet2!EM191</f>
        <v/>
      </c>
      <c r="EM192" s="6" t="str">
        <f>[1]Sheet2!EN191</f>
        <v/>
      </c>
      <c r="EN192" s="6" t="str">
        <f>[1]Sheet2!EO191</f>
        <v/>
      </c>
      <c r="EO192" s="6" t="str">
        <f>[1]Sheet2!EP191</f>
        <v/>
      </c>
      <c r="EP192" s="6" t="str">
        <f>[1]Sheet2!EQ191</f>
        <v/>
      </c>
      <c r="EQ192" s="6" t="str">
        <f>[1]Sheet2!ER191</f>
        <v/>
      </c>
      <c r="ER192" s="6" t="str">
        <f>[1]Sheet2!ES191</f>
        <v/>
      </c>
      <c r="ES192" s="6" t="str">
        <f>[1]Sheet2!ET191</f>
        <v/>
      </c>
      <c r="ET192" s="6" t="str">
        <f>[1]Sheet2!EU191</f>
        <v/>
      </c>
      <c r="EU192" s="6" t="str">
        <f>[1]Sheet2!EV191</f>
        <v/>
      </c>
      <c r="EV192" s="6" t="str">
        <f>[1]Sheet2!EW191</f>
        <v/>
      </c>
      <c r="EW192" s="6" t="str">
        <f>[1]Sheet2!EX191</f>
        <v/>
      </c>
      <c r="EX192" s="6" t="str">
        <f>[1]Sheet2!EY191</f>
        <v/>
      </c>
      <c r="EY192" s="6" t="str">
        <f>[1]Sheet2!EZ191</f>
        <v/>
      </c>
      <c r="EZ192" s="6" t="str">
        <f>[1]Sheet2!FA191</f>
        <v/>
      </c>
      <c r="FA192" s="6" t="str">
        <f>[1]Sheet2!FB191</f>
        <v/>
      </c>
      <c r="FB192" s="6" t="str">
        <f>[1]Sheet2!FC191</f>
        <v/>
      </c>
      <c r="FC192" s="6" t="str">
        <f>[1]Sheet2!FD191</f>
        <v/>
      </c>
      <c r="FD192" s="6" t="str">
        <f>[1]Sheet2!FE191</f>
        <v/>
      </c>
      <c r="FE192" s="6" t="str">
        <f>[1]Sheet2!FF191</f>
        <v/>
      </c>
      <c r="FF192" s="6" t="str">
        <f>[1]Sheet2!FG191</f>
        <v/>
      </c>
      <c r="FG192" s="6" t="str">
        <f>[1]Sheet2!FH191</f>
        <v/>
      </c>
      <c r="FH192" s="6" t="str">
        <f>[1]Sheet2!FI191</f>
        <v/>
      </c>
      <c r="FI192" s="6" t="str">
        <f>[1]Sheet2!FJ191</f>
        <v/>
      </c>
      <c r="FJ192" s="6" t="str">
        <f>[1]Sheet2!FK191</f>
        <v/>
      </c>
      <c r="FK192" s="6" t="str">
        <f>[1]Sheet2!FL191</f>
        <v/>
      </c>
      <c r="FL192" s="6" t="str">
        <f>[1]Sheet2!FM191</f>
        <v/>
      </c>
      <c r="FM192" s="6" t="str">
        <f>[1]Sheet2!FN191</f>
        <v/>
      </c>
      <c r="FN192" s="6" t="str">
        <f>[1]Sheet2!FO191</f>
        <v/>
      </c>
      <c r="FO192" s="6" t="str">
        <f>[1]Sheet2!FP191</f>
        <v/>
      </c>
    </row>
    <row r="193" spans="1:171" x14ac:dyDescent="0.25">
      <c r="A193" s="15">
        <v>43655</v>
      </c>
      <c r="B193" s="1"/>
      <c r="C193" s="1"/>
      <c r="D193" s="1"/>
      <c r="E193" s="14">
        <f>[1]Sheet2!N192</f>
        <v>0</v>
      </c>
      <c r="F193" s="14">
        <f>[1]Sheet2!BE192</f>
        <v>0</v>
      </c>
      <c r="G193" s="14">
        <f>[1]Sheet2!CW192</f>
        <v>0</v>
      </c>
      <c r="H193" s="1"/>
      <c r="I193" s="1"/>
      <c r="J193" s="1"/>
      <c r="K193" s="16"/>
      <c r="L193" s="16">
        <f>Demand_CWRS!B$9/31</f>
        <v>137.44229993796523</v>
      </c>
      <c r="M193" s="16">
        <f>Demand_CWRS!C$9/31</f>
        <v>616.54259718775836</v>
      </c>
      <c r="N193" s="16">
        <f>Demand_CWRS!D$9/31</f>
        <v>0</v>
      </c>
      <c r="O193" s="16">
        <f>Demand_CWRS!E$9/31</f>
        <v>140.39247311827955</v>
      </c>
      <c r="P193" s="16">
        <f>Demand_CWRS!F$9/31</f>
        <v>245.11049679487181</v>
      </c>
      <c r="Q193" s="16">
        <f>Demand_CWRS!G$9/31</f>
        <v>137.44229993796523</v>
      </c>
      <c r="R193" s="16">
        <f>Demand_CWRS!H$9/31</f>
        <v>245.11049679487181</v>
      </c>
      <c r="S193" s="16">
        <f>Demand_CWRS!I$9/31</f>
        <v>245.11049679487181</v>
      </c>
      <c r="T193" s="16">
        <f>Demand_CWRS!J$9/31</f>
        <v>245.11049679487181</v>
      </c>
      <c r="U193" s="16">
        <f>Demand_CWRS!K$9/31</f>
        <v>245.11049679487181</v>
      </c>
      <c r="V193" s="16">
        <f t="shared" si="66"/>
        <v>-23597.742236838221</v>
      </c>
      <c r="W193" s="16">
        <f t="shared" si="67"/>
        <v>-89405.044913151083</v>
      </c>
      <c r="X193" s="16">
        <f t="shared" si="68"/>
        <v>0</v>
      </c>
      <c r="Y193" s="16">
        <f t="shared" si="69"/>
        <v>-14804.808807885995</v>
      </c>
      <c r="Z193" s="16">
        <f t="shared" si="70"/>
        <v>-39484.158305947734</v>
      </c>
      <c r="AA193" s="16">
        <f t="shared" si="71"/>
        <v>-22271.969087799785</v>
      </c>
      <c r="AB193" s="16">
        <f t="shared" si="72"/>
        <v>-43793.323081588693</v>
      </c>
      <c r="AC193" s="16">
        <f t="shared" si="73"/>
        <v>-38000.312825178502</v>
      </c>
      <c r="AD193" s="16">
        <f t="shared" si="74"/>
        <v>-38100.312825178495</v>
      </c>
      <c r="AE193" s="16">
        <f t="shared" si="75"/>
        <v>-38700.312825178487</v>
      </c>
      <c r="AF193" s="14">
        <f>IF([1]Sheet2!AJ192=999999,"NA",[1]Sheet2!AJ192)</f>
        <v>0</v>
      </c>
      <c r="AG193" s="14">
        <f>IF([1]Sheet2!AK192=999999,"NA",[1]Sheet2!AK192)</f>
        <v>0</v>
      </c>
      <c r="AH193" s="14" t="str">
        <f>IF([1]Sheet2!AL192=999999,"NA",[1]Sheet2!AL192)</f>
        <v>NA</v>
      </c>
      <c r="AI193" s="14">
        <f>IF([1]Sheet2!AM192=999999,"NA",[1]Sheet2!AM192)</f>
        <v>0</v>
      </c>
      <c r="AJ193" s="14">
        <f>IF([1]Sheet2!AN192=999999,"NA",[1]Sheet2!AN192)</f>
        <v>0</v>
      </c>
      <c r="AK193" s="14">
        <f>IF([1]Sheet2!AO192=999999,"NA",[1]Sheet2!AO192)</f>
        <v>0</v>
      </c>
      <c r="AL193" s="14">
        <f>IF([1]Sheet2!AP192=999999,"NA",[1]Sheet2!AP192)</f>
        <v>0</v>
      </c>
      <c r="AM193" s="14">
        <f>IF([1]Sheet2!AQ192=999999,"NA",[1]Sheet2!AQ192)</f>
        <v>0</v>
      </c>
      <c r="AN193" s="14">
        <f>IF([1]Sheet2!AR192=999999,"NA",[1]Sheet2!AR192)</f>
        <v>0</v>
      </c>
      <c r="AO193" s="14">
        <f>IF([1]Sheet2!AS192=999999,"NA",[1]Sheet2!AS192)</f>
        <v>0</v>
      </c>
      <c r="AP193" s="14">
        <f>[1]Sheet2!P192</f>
        <v>0</v>
      </c>
      <c r="AQ193" s="14">
        <f>[1]Sheet2!Q192</f>
        <v>0</v>
      </c>
      <c r="AR193" s="14">
        <f>[1]Sheet2!R192</f>
        <v>0</v>
      </c>
      <c r="AS193" s="14">
        <f>[1]Sheet2!S192</f>
        <v>0</v>
      </c>
      <c r="AT193" s="14">
        <f>[1]Sheet2!T192</f>
        <v>0</v>
      </c>
      <c r="AU193" s="14">
        <f>[1]Sheet2!U192</f>
        <v>0</v>
      </c>
      <c r="AV193" s="14">
        <f>[1]Sheet2!V192</f>
        <v>0</v>
      </c>
      <c r="AW193" s="14">
        <f>[1]Sheet2!W192</f>
        <v>0</v>
      </c>
      <c r="AX193" s="14">
        <f>[1]Sheet2!X192</f>
        <v>0</v>
      </c>
      <c r="AY193" s="14">
        <f>[1]Sheet2!Y192</f>
        <v>0</v>
      </c>
      <c r="AZ193" s="16">
        <f>Demand_LP!B$9/31</f>
        <v>878.29658550454917</v>
      </c>
      <c r="BA193" s="16">
        <f>Demand_LP!C$9/31</f>
        <v>663.85442514474767</v>
      </c>
      <c r="BB193" s="16">
        <f>Demand_LP!D$9/31</f>
        <v>335.39784946236568</v>
      </c>
      <c r="BC193" s="16">
        <f>Demand_LP!E$9/31</f>
        <v>725.23531844499576</v>
      </c>
      <c r="BD193" s="16">
        <f>Demand_LP!F$9/31</f>
        <v>456.65268558726217</v>
      </c>
      <c r="BE193" s="16">
        <f>Demand_LP!G$9/31</f>
        <v>456.65268558726217</v>
      </c>
      <c r="BF193" s="16">
        <f>Demand_LP!H$9/31</f>
        <v>663.85442514474767</v>
      </c>
      <c r="BG193" s="16">
        <f>Demand_LP!I$9/31</f>
        <v>456.65268558726217</v>
      </c>
      <c r="BH193" s="16">
        <f>Demand_LP!J$9/31</f>
        <v>456.65268558726217</v>
      </c>
      <c r="BI193" s="16">
        <f>Demand_LP!K$9/31</f>
        <v>456.65268558726217</v>
      </c>
      <c r="BJ193" s="16">
        <f t="shared" si="76"/>
        <v>-134090.38019238441</v>
      </c>
      <c r="BK193" s="16">
        <f t="shared" si="77"/>
        <v>-108160.78469809741</v>
      </c>
      <c r="BL193" s="16">
        <f t="shared" si="78"/>
        <v>-49710.187055417744</v>
      </c>
      <c r="BM193" s="16">
        <f t="shared" si="79"/>
        <v>-138089.02426003278</v>
      </c>
      <c r="BN193" s="16">
        <f t="shared" si="80"/>
        <v>-79890.920716658264</v>
      </c>
      <c r="BO193" s="16">
        <f t="shared" si="81"/>
        <v>-78348.604635028998</v>
      </c>
      <c r="BP193" s="16">
        <f t="shared" si="82"/>
        <v>-102518.36418527692</v>
      </c>
      <c r="BQ193" s="16">
        <f t="shared" si="83"/>
        <v>-78348.604635028998</v>
      </c>
      <c r="BR193" s="16">
        <f t="shared" si="84"/>
        <v>-75948.604635029042</v>
      </c>
      <c r="BS193" s="16">
        <f t="shared" si="85"/>
        <v>-76648.604635029027</v>
      </c>
      <c r="BT193" s="14">
        <f>IF([1]Sheet2!CB192=999999,"NA",[1]Sheet2!CB192)</f>
        <v>0</v>
      </c>
      <c r="BU193" s="14">
        <f>IF([1]Sheet2!CC192=999999,"NA",[1]Sheet2!CC192)</f>
        <v>0</v>
      </c>
      <c r="BV193" s="14">
        <f>IF([1]Sheet2!CD192=999999,"NA",[1]Sheet2!CD192)</f>
        <v>0</v>
      </c>
      <c r="BW193" s="14">
        <f>IF([1]Sheet2!CE192=999999,"NA",[1]Sheet2!CE192)</f>
        <v>0</v>
      </c>
      <c r="BX193" s="14">
        <f>IF([1]Sheet2!CF192=999999,"NA",[1]Sheet2!CF192)</f>
        <v>0</v>
      </c>
      <c r="BY193" s="14">
        <f>IF([1]Sheet2!CG192=999999,"NA",[1]Sheet2!CG192)</f>
        <v>0</v>
      </c>
      <c r="BZ193" s="14">
        <f>IF([1]Sheet2!CH192=999999,"NA",[1]Sheet2!CH192)</f>
        <v>0</v>
      </c>
      <c r="CA193" s="14">
        <f>IF([1]Sheet2!CI192=999999,"NA",[1]Sheet2!CI192)</f>
        <v>0</v>
      </c>
      <c r="CB193" s="14">
        <f>IF([1]Sheet2!CJ192=999999,"NA",[1]Sheet2!CJ192)</f>
        <v>0</v>
      </c>
      <c r="CC193" s="14">
        <f>IF([1]Sheet2!CK192=999999,"NA",[1]Sheet2!CK192)</f>
        <v>0</v>
      </c>
      <c r="CD193" s="14">
        <f>[1]Sheet2!BH192</f>
        <v>0</v>
      </c>
      <c r="CE193" s="14">
        <f>[1]Sheet2!BI192</f>
        <v>0</v>
      </c>
      <c r="CF193" s="14">
        <f>[1]Sheet2!BJ192</f>
        <v>0</v>
      </c>
      <c r="CG193" s="14">
        <f>[1]Sheet2!BK192</f>
        <v>0</v>
      </c>
      <c r="CH193" s="14">
        <f>[1]Sheet2!BL192</f>
        <v>0</v>
      </c>
      <c r="CI193" s="14">
        <f>[1]Sheet2!BM192</f>
        <v>0</v>
      </c>
      <c r="CJ193" s="14">
        <f>[1]Sheet2!BN192</f>
        <v>0</v>
      </c>
      <c r="CK193" s="14">
        <f>[1]Sheet2!BO192</f>
        <v>0</v>
      </c>
      <c r="CL193" s="14">
        <f>[1]Sheet2!BP192</f>
        <v>0</v>
      </c>
      <c r="CM193" s="14">
        <f>[1]Sheet2!BQ192</f>
        <v>0</v>
      </c>
      <c r="CN193" s="16">
        <f>Demand_SW!B$9/31</f>
        <v>131.01736972704714</v>
      </c>
      <c r="CO193" s="16">
        <f>Demand_SW!C$9/31</f>
        <v>0</v>
      </c>
      <c r="CP193" s="16">
        <f>Demand_SW!D$9/31</f>
        <v>0</v>
      </c>
      <c r="CQ193" s="16">
        <f>Demand_SW!E$9/31</f>
        <v>0</v>
      </c>
      <c r="CR193" s="16">
        <f>Demand_SW!F$9/31</f>
        <v>0</v>
      </c>
      <c r="CS193" s="16">
        <f>Demand_SW!G$9/31</f>
        <v>131.01736972704714</v>
      </c>
      <c r="CT193" s="16">
        <f>Demand_SW!H$9/31</f>
        <v>0</v>
      </c>
      <c r="CU193" s="16">
        <f>Demand_SW!I$9/31</f>
        <v>0</v>
      </c>
      <c r="CV193" s="16">
        <f>Demand_SW!J$9/31</f>
        <v>0</v>
      </c>
      <c r="CW193" s="16">
        <f>Demand_SW!K$9/31</f>
        <v>0</v>
      </c>
      <c r="CX193" s="16">
        <f t="shared" si="86"/>
        <v>-20776.84863523575</v>
      </c>
      <c r="CY193" s="16">
        <f t="shared" si="87"/>
        <v>76.923076923077133</v>
      </c>
      <c r="CZ193" s="16">
        <f t="shared" si="88"/>
        <v>0</v>
      </c>
      <c r="DA193" s="16">
        <f t="shared" si="89"/>
        <v>0</v>
      </c>
      <c r="DB193" s="16">
        <f t="shared" si="90"/>
        <v>0</v>
      </c>
      <c r="DC193" s="16">
        <f t="shared" si="91"/>
        <v>-20306.07940446652</v>
      </c>
      <c r="DD193" s="16">
        <f t="shared" si="92"/>
        <v>76.923076923077133</v>
      </c>
      <c r="DE193" s="16">
        <f t="shared" si="93"/>
        <v>0</v>
      </c>
      <c r="DF193" s="16">
        <f t="shared" si="94"/>
        <v>0</v>
      </c>
      <c r="DG193" s="16">
        <f t="shared" si="95"/>
        <v>0</v>
      </c>
      <c r="DH193" s="14">
        <f>IF([1]Sheet2!DS192=999999,"NA",[1]Sheet2!DS192)</f>
        <v>0</v>
      </c>
      <c r="DI193" s="14">
        <f>IF([1]Sheet2!DT192=999999,"NA",[1]Sheet2!DT192)</f>
        <v>175</v>
      </c>
      <c r="DJ193" s="14" t="str">
        <f>IF([1]Sheet2!DU192=999999,"NA",[1]Sheet2!DU192)</f>
        <v>NA</v>
      </c>
      <c r="DK193" s="14" t="str">
        <f>IF([1]Sheet2!DV192=999999,"NA",[1]Sheet2!DV192)</f>
        <v>NA</v>
      </c>
      <c r="DL193" s="14" t="str">
        <f>IF([1]Sheet2!DW192=999999,"NA",[1]Sheet2!DW192)</f>
        <v>NA</v>
      </c>
      <c r="DM193" s="14">
        <f>IF([1]Sheet2!DX192=999999,"NA",[1]Sheet2!DX192)</f>
        <v>0</v>
      </c>
      <c r="DN193" s="14">
        <f>IF([1]Sheet2!DY192=999999,"NA",[1]Sheet2!DY192)</f>
        <v>175</v>
      </c>
      <c r="DO193" s="14" t="str">
        <f>IF([1]Sheet2!DZ192=999999,"NA",[1]Sheet2!DZ192)</f>
        <v>NA</v>
      </c>
      <c r="DP193" s="14" t="str">
        <f>IF([1]Sheet2!EA192=999999,"NA",[1]Sheet2!EA192)</f>
        <v>NA</v>
      </c>
      <c r="DQ193" s="14" t="str">
        <f>IF([1]Sheet2!EB192=999999,"NA",[1]Sheet2!EB192)</f>
        <v>NA</v>
      </c>
      <c r="DR193" s="14">
        <f>[1]Sheet2!CY192</f>
        <v>0</v>
      </c>
      <c r="DS193" s="14">
        <f>[1]Sheet2!CZ192</f>
        <v>0</v>
      </c>
      <c r="DT193" s="14">
        <f>[1]Sheet2!DA192</f>
        <v>0</v>
      </c>
      <c r="DU193" s="14">
        <f>[1]Sheet2!DB192</f>
        <v>0</v>
      </c>
      <c r="DV193" s="14">
        <f>[1]Sheet2!DC192</f>
        <v>0</v>
      </c>
      <c r="DW193" s="14">
        <f>[1]Sheet2!DD192</f>
        <v>0</v>
      </c>
      <c r="DX193" s="14">
        <f>[1]Sheet2!DE192</f>
        <v>0</v>
      </c>
      <c r="DY193" s="14">
        <f>[1]Sheet2!DF192</f>
        <v>0</v>
      </c>
      <c r="DZ193" s="14">
        <f>[1]Sheet2!DG192</f>
        <v>0</v>
      </c>
      <c r="EA193" s="14">
        <f>[1]Sheet2!DH192</f>
        <v>0</v>
      </c>
      <c r="EB193" s="6">
        <f>[1]Sheet2!EC192</f>
        <v>0</v>
      </c>
      <c r="EC193" s="6">
        <f>[1]Sheet2!ED192</f>
        <v>0</v>
      </c>
      <c r="ED193" s="6">
        <f>[1]Sheet2!EE192</f>
        <v>0</v>
      </c>
      <c r="EE193" s="6">
        <f>[1]Sheet2!EF192</f>
        <v>0</v>
      </c>
      <c r="EF193" s="6">
        <f>[1]Sheet2!EG192</f>
        <v>0</v>
      </c>
      <c r="EG193" s="6">
        <f>[1]Sheet2!EH192</f>
        <v>0</v>
      </c>
      <c r="EH193" s="6">
        <f>[1]Sheet2!EI192</f>
        <v>0</v>
      </c>
      <c r="EI193" s="6">
        <f>[1]Sheet2!EJ192</f>
        <v>0</v>
      </c>
      <c r="EJ193" s="6">
        <f>[1]Sheet2!EK192</f>
        <v>0</v>
      </c>
      <c r="EK193" s="6">
        <f>[1]Sheet2!EL192</f>
        <v>0</v>
      </c>
      <c r="EL193" s="6" t="str">
        <f>[1]Sheet2!EM192</f>
        <v/>
      </c>
      <c r="EM193" s="6" t="str">
        <f>[1]Sheet2!EN192</f>
        <v/>
      </c>
      <c r="EN193" s="6" t="str">
        <f>[1]Sheet2!EO192</f>
        <v/>
      </c>
      <c r="EO193" s="6" t="str">
        <f>[1]Sheet2!EP192</f>
        <v/>
      </c>
      <c r="EP193" s="6" t="str">
        <f>[1]Sheet2!EQ192</f>
        <v/>
      </c>
      <c r="EQ193" s="6" t="str">
        <f>[1]Sheet2!ER192</f>
        <v/>
      </c>
      <c r="ER193" s="6" t="str">
        <f>[1]Sheet2!ES192</f>
        <v/>
      </c>
      <c r="ES193" s="6" t="str">
        <f>[1]Sheet2!ET192</f>
        <v/>
      </c>
      <c r="ET193" s="6" t="str">
        <f>[1]Sheet2!EU192</f>
        <v/>
      </c>
      <c r="EU193" s="6" t="str">
        <f>[1]Sheet2!EV192</f>
        <v/>
      </c>
      <c r="EV193" s="6" t="str">
        <f>[1]Sheet2!EW192</f>
        <v/>
      </c>
      <c r="EW193" s="6" t="str">
        <f>[1]Sheet2!EX192</f>
        <v/>
      </c>
      <c r="EX193" s="6" t="str">
        <f>[1]Sheet2!EY192</f>
        <v/>
      </c>
      <c r="EY193" s="6" t="str">
        <f>[1]Sheet2!EZ192</f>
        <v/>
      </c>
      <c r="EZ193" s="6" t="str">
        <f>[1]Sheet2!FA192</f>
        <v/>
      </c>
      <c r="FA193" s="6" t="str">
        <f>[1]Sheet2!FB192</f>
        <v/>
      </c>
      <c r="FB193" s="6" t="str">
        <f>[1]Sheet2!FC192</f>
        <v/>
      </c>
      <c r="FC193" s="6" t="str">
        <f>[1]Sheet2!FD192</f>
        <v/>
      </c>
      <c r="FD193" s="6" t="str">
        <f>[1]Sheet2!FE192</f>
        <v/>
      </c>
      <c r="FE193" s="6" t="str">
        <f>[1]Sheet2!FF192</f>
        <v/>
      </c>
      <c r="FF193" s="6" t="str">
        <f>[1]Sheet2!FG192</f>
        <v/>
      </c>
      <c r="FG193" s="6" t="str">
        <f>[1]Sheet2!FH192</f>
        <v/>
      </c>
      <c r="FH193" s="6" t="str">
        <f>[1]Sheet2!FI192</f>
        <v/>
      </c>
      <c r="FI193" s="6" t="str">
        <f>[1]Sheet2!FJ192</f>
        <v/>
      </c>
      <c r="FJ193" s="6" t="str">
        <f>[1]Sheet2!FK192</f>
        <v/>
      </c>
      <c r="FK193" s="6" t="str">
        <f>[1]Sheet2!FL192</f>
        <v/>
      </c>
      <c r="FL193" s="6" t="str">
        <f>[1]Sheet2!FM192</f>
        <v/>
      </c>
      <c r="FM193" s="6" t="str">
        <f>[1]Sheet2!FN192</f>
        <v/>
      </c>
      <c r="FN193" s="6" t="str">
        <f>[1]Sheet2!FO192</f>
        <v/>
      </c>
      <c r="FO193" s="6" t="str">
        <f>[1]Sheet2!FP192</f>
        <v/>
      </c>
    </row>
    <row r="194" spans="1:171" x14ac:dyDescent="0.25">
      <c r="A194" s="15">
        <v>43656</v>
      </c>
      <c r="B194" s="1"/>
      <c r="C194" s="1"/>
      <c r="D194" s="1"/>
      <c r="E194" s="14">
        <f>[1]Sheet2!N193</f>
        <v>0</v>
      </c>
      <c r="F194" s="14">
        <f>[1]Sheet2!BE193</f>
        <v>0</v>
      </c>
      <c r="G194" s="14">
        <f>[1]Sheet2!CW193</f>
        <v>0</v>
      </c>
      <c r="H194" s="1"/>
      <c r="I194" s="1"/>
      <c r="J194" s="1"/>
      <c r="K194" s="16"/>
      <c r="L194" s="16">
        <f>Demand_CWRS!B$9/31</f>
        <v>137.44229993796523</v>
      </c>
      <c r="M194" s="16">
        <f>Demand_CWRS!C$9/31</f>
        <v>616.54259718775836</v>
      </c>
      <c r="N194" s="16">
        <f>Demand_CWRS!D$9/31</f>
        <v>0</v>
      </c>
      <c r="O194" s="16">
        <f>Demand_CWRS!E$9/31</f>
        <v>140.39247311827955</v>
      </c>
      <c r="P194" s="16">
        <f>Demand_CWRS!F$9/31</f>
        <v>245.11049679487181</v>
      </c>
      <c r="Q194" s="16">
        <f>Demand_CWRS!G$9/31</f>
        <v>137.44229993796523</v>
      </c>
      <c r="R194" s="16">
        <f>Demand_CWRS!H$9/31</f>
        <v>245.11049679487181</v>
      </c>
      <c r="S194" s="16">
        <f>Demand_CWRS!I$9/31</f>
        <v>245.11049679487181</v>
      </c>
      <c r="T194" s="16">
        <f>Demand_CWRS!J$9/31</f>
        <v>245.11049679487181</v>
      </c>
      <c r="U194" s="16">
        <f>Demand_CWRS!K$9/31</f>
        <v>245.11049679487181</v>
      </c>
      <c r="V194" s="16">
        <f t="shared" si="66"/>
        <v>-23735.184536776185</v>
      </c>
      <c r="W194" s="16">
        <f t="shared" si="67"/>
        <v>-90021.587510338839</v>
      </c>
      <c r="X194" s="16">
        <f t="shared" si="68"/>
        <v>0</v>
      </c>
      <c r="Y194" s="16">
        <f t="shared" si="69"/>
        <v>-14945.201281004274</v>
      </c>
      <c r="Z194" s="16">
        <f t="shared" si="70"/>
        <v>-39729.268802742605</v>
      </c>
      <c r="AA194" s="16">
        <f t="shared" si="71"/>
        <v>-22409.411387737749</v>
      </c>
      <c r="AB194" s="16">
        <f t="shared" si="72"/>
        <v>-44038.433578383563</v>
      </c>
      <c r="AC194" s="16">
        <f t="shared" si="73"/>
        <v>-38245.423321973372</v>
      </c>
      <c r="AD194" s="16">
        <f t="shared" si="74"/>
        <v>-38345.423321973365</v>
      </c>
      <c r="AE194" s="16">
        <f t="shared" si="75"/>
        <v>-38945.423321973358</v>
      </c>
      <c r="AF194" s="14">
        <f>IF([1]Sheet2!AJ193=999999,"NA",[1]Sheet2!AJ193)</f>
        <v>0</v>
      </c>
      <c r="AG194" s="14">
        <f>IF([1]Sheet2!AK193=999999,"NA",[1]Sheet2!AK193)</f>
        <v>0</v>
      </c>
      <c r="AH194" s="14" t="str">
        <f>IF([1]Sheet2!AL193=999999,"NA",[1]Sheet2!AL193)</f>
        <v>NA</v>
      </c>
      <c r="AI194" s="14">
        <f>IF([1]Sheet2!AM193=999999,"NA",[1]Sheet2!AM193)</f>
        <v>0</v>
      </c>
      <c r="AJ194" s="14">
        <f>IF([1]Sheet2!AN193=999999,"NA",[1]Sheet2!AN193)</f>
        <v>0</v>
      </c>
      <c r="AK194" s="14">
        <f>IF([1]Sheet2!AO193=999999,"NA",[1]Sheet2!AO193)</f>
        <v>0</v>
      </c>
      <c r="AL194" s="14">
        <f>IF([1]Sheet2!AP193=999999,"NA",[1]Sheet2!AP193)</f>
        <v>0</v>
      </c>
      <c r="AM194" s="14">
        <f>IF([1]Sheet2!AQ193=999999,"NA",[1]Sheet2!AQ193)</f>
        <v>0</v>
      </c>
      <c r="AN194" s="14">
        <f>IF([1]Sheet2!AR193=999999,"NA",[1]Sheet2!AR193)</f>
        <v>0</v>
      </c>
      <c r="AO194" s="14">
        <f>IF([1]Sheet2!AS193=999999,"NA",[1]Sheet2!AS193)</f>
        <v>0</v>
      </c>
      <c r="AP194" s="14">
        <f>[1]Sheet2!P193</f>
        <v>0</v>
      </c>
      <c r="AQ194" s="14">
        <f>[1]Sheet2!Q193</f>
        <v>0</v>
      </c>
      <c r="AR194" s="14">
        <f>[1]Sheet2!R193</f>
        <v>0</v>
      </c>
      <c r="AS194" s="14">
        <f>[1]Sheet2!S193</f>
        <v>0</v>
      </c>
      <c r="AT194" s="14">
        <f>[1]Sheet2!T193</f>
        <v>0</v>
      </c>
      <c r="AU194" s="14">
        <f>[1]Sheet2!U193</f>
        <v>0</v>
      </c>
      <c r="AV194" s="14">
        <f>[1]Sheet2!V193</f>
        <v>0</v>
      </c>
      <c r="AW194" s="14">
        <f>[1]Sheet2!W193</f>
        <v>0</v>
      </c>
      <c r="AX194" s="14">
        <f>[1]Sheet2!X193</f>
        <v>0</v>
      </c>
      <c r="AY194" s="14">
        <f>[1]Sheet2!Y193</f>
        <v>0</v>
      </c>
      <c r="AZ194" s="16">
        <f>Demand_LP!B$9/31</f>
        <v>878.29658550454917</v>
      </c>
      <c r="BA194" s="16">
        <f>Demand_LP!C$9/31</f>
        <v>663.85442514474767</v>
      </c>
      <c r="BB194" s="16">
        <f>Demand_LP!D$9/31</f>
        <v>335.39784946236568</v>
      </c>
      <c r="BC194" s="16">
        <f>Demand_LP!E$9/31</f>
        <v>725.23531844499576</v>
      </c>
      <c r="BD194" s="16">
        <f>Demand_LP!F$9/31</f>
        <v>456.65268558726217</v>
      </c>
      <c r="BE194" s="16">
        <f>Demand_LP!G$9/31</f>
        <v>456.65268558726217</v>
      </c>
      <c r="BF194" s="16">
        <f>Demand_LP!H$9/31</f>
        <v>663.85442514474767</v>
      </c>
      <c r="BG194" s="16">
        <f>Demand_LP!I$9/31</f>
        <v>456.65268558726217</v>
      </c>
      <c r="BH194" s="16">
        <f>Demand_LP!J$9/31</f>
        <v>456.65268558726217</v>
      </c>
      <c r="BI194" s="16">
        <f>Demand_LP!K$9/31</f>
        <v>456.65268558726217</v>
      </c>
      <c r="BJ194" s="16">
        <f t="shared" si="76"/>
        <v>-134968.67677788896</v>
      </c>
      <c r="BK194" s="16">
        <f t="shared" si="77"/>
        <v>-108824.63912324216</v>
      </c>
      <c r="BL194" s="16">
        <f t="shared" si="78"/>
        <v>-50045.58490488011</v>
      </c>
      <c r="BM194" s="16">
        <f t="shared" si="79"/>
        <v>-138814.25957847777</v>
      </c>
      <c r="BN194" s="16">
        <f t="shared" si="80"/>
        <v>-80347.573402245529</v>
      </c>
      <c r="BO194" s="16">
        <f t="shared" si="81"/>
        <v>-78805.257320616263</v>
      </c>
      <c r="BP194" s="16">
        <f t="shared" si="82"/>
        <v>-103182.21861042167</v>
      </c>
      <c r="BQ194" s="16">
        <f t="shared" si="83"/>
        <v>-78805.257320616263</v>
      </c>
      <c r="BR194" s="16">
        <f t="shared" si="84"/>
        <v>-76405.257320616307</v>
      </c>
      <c r="BS194" s="16">
        <f t="shared" si="85"/>
        <v>-77105.257320616292</v>
      </c>
      <c r="BT194" s="14">
        <f>IF([1]Sheet2!CB193=999999,"NA",[1]Sheet2!CB193)</f>
        <v>0</v>
      </c>
      <c r="BU194" s="14">
        <f>IF([1]Sheet2!CC193=999999,"NA",[1]Sheet2!CC193)</f>
        <v>0</v>
      </c>
      <c r="BV194" s="14">
        <f>IF([1]Sheet2!CD193=999999,"NA",[1]Sheet2!CD193)</f>
        <v>0</v>
      </c>
      <c r="BW194" s="14">
        <f>IF([1]Sheet2!CE193=999999,"NA",[1]Sheet2!CE193)</f>
        <v>0</v>
      </c>
      <c r="BX194" s="14">
        <f>IF([1]Sheet2!CF193=999999,"NA",[1]Sheet2!CF193)</f>
        <v>0</v>
      </c>
      <c r="BY194" s="14">
        <f>IF([1]Sheet2!CG193=999999,"NA",[1]Sheet2!CG193)</f>
        <v>0</v>
      </c>
      <c r="BZ194" s="14">
        <f>IF([1]Sheet2!CH193=999999,"NA",[1]Sheet2!CH193)</f>
        <v>0</v>
      </c>
      <c r="CA194" s="14">
        <f>IF([1]Sheet2!CI193=999999,"NA",[1]Sheet2!CI193)</f>
        <v>0</v>
      </c>
      <c r="CB194" s="14">
        <f>IF([1]Sheet2!CJ193=999999,"NA",[1]Sheet2!CJ193)</f>
        <v>0</v>
      </c>
      <c r="CC194" s="14">
        <f>IF([1]Sheet2!CK193=999999,"NA",[1]Sheet2!CK193)</f>
        <v>0</v>
      </c>
      <c r="CD194" s="14">
        <f>[1]Sheet2!BH193</f>
        <v>0</v>
      </c>
      <c r="CE194" s="14">
        <f>[1]Sheet2!BI193</f>
        <v>0</v>
      </c>
      <c r="CF194" s="14">
        <f>[1]Sheet2!BJ193</f>
        <v>0</v>
      </c>
      <c r="CG194" s="14">
        <f>[1]Sheet2!BK193</f>
        <v>0</v>
      </c>
      <c r="CH194" s="14">
        <f>[1]Sheet2!BL193</f>
        <v>0</v>
      </c>
      <c r="CI194" s="14">
        <f>[1]Sheet2!BM193</f>
        <v>0</v>
      </c>
      <c r="CJ194" s="14">
        <f>[1]Sheet2!BN193</f>
        <v>0</v>
      </c>
      <c r="CK194" s="14">
        <f>[1]Sheet2!BO193</f>
        <v>0</v>
      </c>
      <c r="CL194" s="14">
        <f>[1]Sheet2!BP193</f>
        <v>0</v>
      </c>
      <c r="CM194" s="14">
        <f>[1]Sheet2!BQ193</f>
        <v>0</v>
      </c>
      <c r="CN194" s="16">
        <f>Demand_SW!B$9/31</f>
        <v>131.01736972704714</v>
      </c>
      <c r="CO194" s="16">
        <f>Demand_SW!C$9/31</f>
        <v>0</v>
      </c>
      <c r="CP194" s="16">
        <f>Demand_SW!D$9/31</f>
        <v>0</v>
      </c>
      <c r="CQ194" s="16">
        <f>Demand_SW!E$9/31</f>
        <v>0</v>
      </c>
      <c r="CR194" s="16">
        <f>Demand_SW!F$9/31</f>
        <v>0</v>
      </c>
      <c r="CS194" s="16">
        <f>Demand_SW!G$9/31</f>
        <v>131.01736972704714</v>
      </c>
      <c r="CT194" s="16">
        <f>Demand_SW!H$9/31</f>
        <v>0</v>
      </c>
      <c r="CU194" s="16">
        <f>Demand_SW!I$9/31</f>
        <v>0</v>
      </c>
      <c r="CV194" s="16">
        <f>Demand_SW!J$9/31</f>
        <v>0</v>
      </c>
      <c r="CW194" s="16">
        <f>Demand_SW!K$9/31</f>
        <v>0</v>
      </c>
      <c r="CX194" s="16">
        <f t="shared" si="86"/>
        <v>-20907.866004962798</v>
      </c>
      <c r="CY194" s="16">
        <f t="shared" si="87"/>
        <v>76.923076923077133</v>
      </c>
      <c r="CZ194" s="16">
        <f t="shared" si="88"/>
        <v>0</v>
      </c>
      <c r="DA194" s="16">
        <f t="shared" si="89"/>
        <v>0</v>
      </c>
      <c r="DB194" s="16">
        <f t="shared" si="90"/>
        <v>0</v>
      </c>
      <c r="DC194" s="16">
        <f t="shared" si="91"/>
        <v>-20437.096774193567</v>
      </c>
      <c r="DD194" s="16">
        <f t="shared" si="92"/>
        <v>76.923076923077133</v>
      </c>
      <c r="DE194" s="16">
        <f t="shared" si="93"/>
        <v>0</v>
      </c>
      <c r="DF194" s="16">
        <f t="shared" si="94"/>
        <v>0</v>
      </c>
      <c r="DG194" s="16">
        <f t="shared" si="95"/>
        <v>0</v>
      </c>
      <c r="DH194" s="14">
        <f>IF([1]Sheet2!DS193=999999,"NA",[1]Sheet2!DS193)</f>
        <v>0</v>
      </c>
      <c r="DI194" s="14">
        <f>IF([1]Sheet2!DT193=999999,"NA",[1]Sheet2!DT193)</f>
        <v>174</v>
      </c>
      <c r="DJ194" s="14" t="str">
        <f>IF([1]Sheet2!DU193=999999,"NA",[1]Sheet2!DU193)</f>
        <v>NA</v>
      </c>
      <c r="DK194" s="14" t="str">
        <f>IF([1]Sheet2!DV193=999999,"NA",[1]Sheet2!DV193)</f>
        <v>NA</v>
      </c>
      <c r="DL194" s="14" t="str">
        <f>IF([1]Sheet2!DW193=999999,"NA",[1]Sheet2!DW193)</f>
        <v>NA</v>
      </c>
      <c r="DM194" s="14">
        <f>IF([1]Sheet2!DX193=999999,"NA",[1]Sheet2!DX193)</f>
        <v>0</v>
      </c>
      <c r="DN194" s="14">
        <f>IF([1]Sheet2!DY193=999999,"NA",[1]Sheet2!DY193)</f>
        <v>174</v>
      </c>
      <c r="DO194" s="14" t="str">
        <f>IF([1]Sheet2!DZ193=999999,"NA",[1]Sheet2!DZ193)</f>
        <v>NA</v>
      </c>
      <c r="DP194" s="14" t="str">
        <f>IF([1]Sheet2!EA193=999999,"NA",[1]Sheet2!EA193)</f>
        <v>NA</v>
      </c>
      <c r="DQ194" s="14" t="str">
        <f>IF([1]Sheet2!EB193=999999,"NA",[1]Sheet2!EB193)</f>
        <v>NA</v>
      </c>
      <c r="DR194" s="14">
        <f>[1]Sheet2!CY193</f>
        <v>0</v>
      </c>
      <c r="DS194" s="14">
        <f>[1]Sheet2!CZ193</f>
        <v>0</v>
      </c>
      <c r="DT194" s="14">
        <f>[1]Sheet2!DA193</f>
        <v>0</v>
      </c>
      <c r="DU194" s="14">
        <f>[1]Sheet2!DB193</f>
        <v>0</v>
      </c>
      <c r="DV194" s="14">
        <f>[1]Sheet2!DC193</f>
        <v>0</v>
      </c>
      <c r="DW194" s="14">
        <f>[1]Sheet2!DD193</f>
        <v>0</v>
      </c>
      <c r="DX194" s="14">
        <f>[1]Sheet2!DE193</f>
        <v>0</v>
      </c>
      <c r="DY194" s="14">
        <f>[1]Sheet2!DF193</f>
        <v>0</v>
      </c>
      <c r="DZ194" s="14">
        <f>[1]Sheet2!DG193</f>
        <v>0</v>
      </c>
      <c r="EA194" s="14">
        <f>[1]Sheet2!DH193</f>
        <v>0</v>
      </c>
      <c r="EB194" s="6">
        <f>[1]Sheet2!EC193</f>
        <v>0</v>
      </c>
      <c r="EC194" s="6">
        <f>[1]Sheet2!ED193</f>
        <v>0</v>
      </c>
      <c r="ED194" s="6">
        <f>[1]Sheet2!EE193</f>
        <v>0</v>
      </c>
      <c r="EE194" s="6">
        <f>[1]Sheet2!EF193</f>
        <v>0</v>
      </c>
      <c r="EF194" s="6">
        <f>[1]Sheet2!EG193</f>
        <v>0</v>
      </c>
      <c r="EG194" s="6">
        <f>[1]Sheet2!EH193</f>
        <v>0</v>
      </c>
      <c r="EH194" s="6">
        <f>[1]Sheet2!EI193</f>
        <v>0</v>
      </c>
      <c r="EI194" s="6">
        <f>[1]Sheet2!EJ193</f>
        <v>0</v>
      </c>
      <c r="EJ194" s="6">
        <f>[1]Sheet2!EK193</f>
        <v>0</v>
      </c>
      <c r="EK194" s="6">
        <f>[1]Sheet2!EL193</f>
        <v>0</v>
      </c>
      <c r="EL194" s="6" t="str">
        <f>[1]Sheet2!EM193</f>
        <v/>
      </c>
      <c r="EM194" s="6" t="str">
        <f>[1]Sheet2!EN193</f>
        <v/>
      </c>
      <c r="EN194" s="6" t="str">
        <f>[1]Sheet2!EO193</f>
        <v/>
      </c>
      <c r="EO194" s="6" t="str">
        <f>[1]Sheet2!EP193</f>
        <v/>
      </c>
      <c r="EP194" s="6" t="str">
        <f>[1]Sheet2!EQ193</f>
        <v/>
      </c>
      <c r="EQ194" s="6" t="str">
        <f>[1]Sheet2!ER193</f>
        <v/>
      </c>
      <c r="ER194" s="6" t="str">
        <f>[1]Sheet2!ES193</f>
        <v/>
      </c>
      <c r="ES194" s="6" t="str">
        <f>[1]Sheet2!ET193</f>
        <v/>
      </c>
      <c r="ET194" s="6" t="str">
        <f>[1]Sheet2!EU193</f>
        <v/>
      </c>
      <c r="EU194" s="6" t="str">
        <f>[1]Sheet2!EV193</f>
        <v/>
      </c>
      <c r="EV194" s="6" t="str">
        <f>[1]Sheet2!EW193</f>
        <v/>
      </c>
      <c r="EW194" s="6" t="str">
        <f>[1]Sheet2!EX193</f>
        <v/>
      </c>
      <c r="EX194" s="6" t="str">
        <f>[1]Sheet2!EY193</f>
        <v/>
      </c>
      <c r="EY194" s="6" t="str">
        <f>[1]Sheet2!EZ193</f>
        <v/>
      </c>
      <c r="EZ194" s="6" t="str">
        <f>[1]Sheet2!FA193</f>
        <v/>
      </c>
      <c r="FA194" s="6" t="str">
        <f>[1]Sheet2!FB193</f>
        <v/>
      </c>
      <c r="FB194" s="6" t="str">
        <f>[1]Sheet2!FC193</f>
        <v/>
      </c>
      <c r="FC194" s="6" t="str">
        <f>[1]Sheet2!FD193</f>
        <v/>
      </c>
      <c r="FD194" s="6" t="str">
        <f>[1]Sheet2!FE193</f>
        <v/>
      </c>
      <c r="FE194" s="6" t="str">
        <f>[1]Sheet2!FF193</f>
        <v/>
      </c>
      <c r="FF194" s="6" t="str">
        <f>[1]Sheet2!FG193</f>
        <v/>
      </c>
      <c r="FG194" s="6" t="str">
        <f>[1]Sheet2!FH193</f>
        <v/>
      </c>
      <c r="FH194" s="6" t="str">
        <f>[1]Sheet2!FI193</f>
        <v/>
      </c>
      <c r="FI194" s="6" t="str">
        <f>[1]Sheet2!FJ193</f>
        <v/>
      </c>
      <c r="FJ194" s="6" t="str">
        <f>[1]Sheet2!FK193</f>
        <v/>
      </c>
      <c r="FK194" s="6" t="str">
        <f>[1]Sheet2!FL193</f>
        <v/>
      </c>
      <c r="FL194" s="6" t="str">
        <f>[1]Sheet2!FM193</f>
        <v/>
      </c>
      <c r="FM194" s="6" t="str">
        <f>[1]Sheet2!FN193</f>
        <v/>
      </c>
      <c r="FN194" s="6" t="str">
        <f>[1]Sheet2!FO193</f>
        <v/>
      </c>
      <c r="FO194" s="6" t="str">
        <f>[1]Sheet2!FP193</f>
        <v/>
      </c>
    </row>
    <row r="195" spans="1:171" x14ac:dyDescent="0.25">
      <c r="A195" s="15">
        <v>43657</v>
      </c>
      <c r="B195" s="1"/>
      <c r="C195" s="1"/>
      <c r="D195" s="1"/>
      <c r="E195" s="14">
        <f>[1]Sheet2!N194</f>
        <v>0</v>
      </c>
      <c r="F195" s="14">
        <f>[1]Sheet2!BE194</f>
        <v>0</v>
      </c>
      <c r="G195" s="14">
        <f>[1]Sheet2!CW194</f>
        <v>0</v>
      </c>
      <c r="H195" s="1"/>
      <c r="I195" s="1"/>
      <c r="J195" s="1"/>
      <c r="K195" s="16"/>
      <c r="L195" s="16">
        <f>Demand_CWRS!B$9/31</f>
        <v>137.44229993796523</v>
      </c>
      <c r="M195" s="16">
        <f>Demand_CWRS!C$9/31</f>
        <v>616.54259718775836</v>
      </c>
      <c r="N195" s="16">
        <f>Demand_CWRS!D$9/31</f>
        <v>0</v>
      </c>
      <c r="O195" s="16">
        <f>Demand_CWRS!E$9/31</f>
        <v>140.39247311827955</v>
      </c>
      <c r="P195" s="16">
        <f>Demand_CWRS!F$9/31</f>
        <v>245.11049679487181</v>
      </c>
      <c r="Q195" s="16">
        <f>Demand_CWRS!G$9/31</f>
        <v>137.44229993796523</v>
      </c>
      <c r="R195" s="16">
        <f>Demand_CWRS!H$9/31</f>
        <v>245.11049679487181</v>
      </c>
      <c r="S195" s="16">
        <f>Demand_CWRS!I$9/31</f>
        <v>245.11049679487181</v>
      </c>
      <c r="T195" s="16">
        <f>Demand_CWRS!J$9/31</f>
        <v>245.11049679487181</v>
      </c>
      <c r="U195" s="16">
        <f>Demand_CWRS!K$9/31</f>
        <v>245.11049679487181</v>
      </c>
      <c r="V195" s="16">
        <f t="shared" si="66"/>
        <v>-23872.626836714149</v>
      </c>
      <c r="W195" s="16">
        <f t="shared" si="67"/>
        <v>-90638.130107526595</v>
      </c>
      <c r="X195" s="16">
        <f t="shared" si="68"/>
        <v>0</v>
      </c>
      <c r="Y195" s="16">
        <f t="shared" si="69"/>
        <v>-15085.593754122554</v>
      </c>
      <c r="Z195" s="16">
        <f t="shared" si="70"/>
        <v>-39974.379299537475</v>
      </c>
      <c r="AA195" s="16">
        <f t="shared" si="71"/>
        <v>-22546.853687675713</v>
      </c>
      <c r="AB195" s="16">
        <f t="shared" si="72"/>
        <v>-44283.544075178434</v>
      </c>
      <c r="AC195" s="16">
        <f t="shared" si="73"/>
        <v>-38490.533818768243</v>
      </c>
      <c r="AD195" s="16">
        <f t="shared" si="74"/>
        <v>-38590.533818768236</v>
      </c>
      <c r="AE195" s="16">
        <f t="shared" si="75"/>
        <v>-39190.533818768228</v>
      </c>
      <c r="AF195" s="14">
        <f>IF([1]Sheet2!AJ194=999999,"NA",[1]Sheet2!AJ194)</f>
        <v>0</v>
      </c>
      <c r="AG195" s="14">
        <f>IF([1]Sheet2!AK194=999999,"NA",[1]Sheet2!AK194)</f>
        <v>0</v>
      </c>
      <c r="AH195" s="14" t="str">
        <f>IF([1]Sheet2!AL194=999999,"NA",[1]Sheet2!AL194)</f>
        <v>NA</v>
      </c>
      <c r="AI195" s="14">
        <f>IF([1]Sheet2!AM194=999999,"NA",[1]Sheet2!AM194)</f>
        <v>0</v>
      </c>
      <c r="AJ195" s="14">
        <f>IF([1]Sheet2!AN194=999999,"NA",[1]Sheet2!AN194)</f>
        <v>0</v>
      </c>
      <c r="AK195" s="14">
        <f>IF([1]Sheet2!AO194=999999,"NA",[1]Sheet2!AO194)</f>
        <v>0</v>
      </c>
      <c r="AL195" s="14">
        <f>IF([1]Sheet2!AP194=999999,"NA",[1]Sheet2!AP194)</f>
        <v>0</v>
      </c>
      <c r="AM195" s="14">
        <f>IF([1]Sheet2!AQ194=999999,"NA",[1]Sheet2!AQ194)</f>
        <v>0</v>
      </c>
      <c r="AN195" s="14">
        <f>IF([1]Sheet2!AR194=999999,"NA",[1]Sheet2!AR194)</f>
        <v>0</v>
      </c>
      <c r="AO195" s="14">
        <f>IF([1]Sheet2!AS194=999999,"NA",[1]Sheet2!AS194)</f>
        <v>0</v>
      </c>
      <c r="AP195" s="14">
        <f>[1]Sheet2!P194</f>
        <v>0</v>
      </c>
      <c r="AQ195" s="14">
        <f>[1]Sheet2!Q194</f>
        <v>0</v>
      </c>
      <c r="AR195" s="14">
        <f>[1]Sheet2!R194</f>
        <v>0</v>
      </c>
      <c r="AS195" s="14">
        <f>[1]Sheet2!S194</f>
        <v>0</v>
      </c>
      <c r="AT195" s="14">
        <f>[1]Sheet2!T194</f>
        <v>0</v>
      </c>
      <c r="AU195" s="14">
        <f>[1]Sheet2!U194</f>
        <v>0</v>
      </c>
      <c r="AV195" s="14">
        <f>[1]Sheet2!V194</f>
        <v>0</v>
      </c>
      <c r="AW195" s="14">
        <f>[1]Sheet2!W194</f>
        <v>0</v>
      </c>
      <c r="AX195" s="14">
        <f>[1]Sheet2!X194</f>
        <v>0</v>
      </c>
      <c r="AY195" s="14">
        <f>[1]Sheet2!Y194</f>
        <v>0</v>
      </c>
      <c r="AZ195" s="16">
        <f>Demand_LP!B$9/31</f>
        <v>878.29658550454917</v>
      </c>
      <c r="BA195" s="16">
        <f>Demand_LP!C$9/31</f>
        <v>663.85442514474767</v>
      </c>
      <c r="BB195" s="16">
        <f>Demand_LP!D$9/31</f>
        <v>335.39784946236568</v>
      </c>
      <c r="BC195" s="16">
        <f>Demand_LP!E$9/31</f>
        <v>725.23531844499576</v>
      </c>
      <c r="BD195" s="16">
        <f>Demand_LP!F$9/31</f>
        <v>456.65268558726217</v>
      </c>
      <c r="BE195" s="16">
        <f>Demand_LP!G$9/31</f>
        <v>456.65268558726217</v>
      </c>
      <c r="BF195" s="16">
        <f>Demand_LP!H$9/31</f>
        <v>663.85442514474767</v>
      </c>
      <c r="BG195" s="16">
        <f>Demand_LP!I$9/31</f>
        <v>456.65268558726217</v>
      </c>
      <c r="BH195" s="16">
        <f>Demand_LP!J$9/31</f>
        <v>456.65268558726217</v>
      </c>
      <c r="BI195" s="16">
        <f>Demand_LP!K$9/31</f>
        <v>456.65268558726217</v>
      </c>
      <c r="BJ195" s="16">
        <f t="shared" si="76"/>
        <v>-135846.97336339351</v>
      </c>
      <c r="BK195" s="16">
        <f t="shared" si="77"/>
        <v>-109488.4935483869</v>
      </c>
      <c r="BL195" s="16">
        <f t="shared" si="78"/>
        <v>-50380.982754342476</v>
      </c>
      <c r="BM195" s="16">
        <f t="shared" si="79"/>
        <v>-139539.49489692276</v>
      </c>
      <c r="BN195" s="16">
        <f t="shared" si="80"/>
        <v>-80804.226087832794</v>
      </c>
      <c r="BO195" s="16">
        <f t="shared" si="81"/>
        <v>-79261.910006203529</v>
      </c>
      <c r="BP195" s="16">
        <f t="shared" si="82"/>
        <v>-103846.07303556641</v>
      </c>
      <c r="BQ195" s="16">
        <f t="shared" si="83"/>
        <v>-79261.910006203529</v>
      </c>
      <c r="BR195" s="16">
        <f t="shared" si="84"/>
        <v>-76861.910006203572</v>
      </c>
      <c r="BS195" s="16">
        <f t="shared" si="85"/>
        <v>-77561.910006203558</v>
      </c>
      <c r="BT195" s="14">
        <f>IF([1]Sheet2!CB194=999999,"NA",[1]Sheet2!CB194)</f>
        <v>0</v>
      </c>
      <c r="BU195" s="14">
        <f>IF([1]Sheet2!CC194=999999,"NA",[1]Sheet2!CC194)</f>
        <v>0</v>
      </c>
      <c r="BV195" s="14">
        <f>IF([1]Sheet2!CD194=999999,"NA",[1]Sheet2!CD194)</f>
        <v>0</v>
      </c>
      <c r="BW195" s="14">
        <f>IF([1]Sheet2!CE194=999999,"NA",[1]Sheet2!CE194)</f>
        <v>0</v>
      </c>
      <c r="BX195" s="14">
        <f>IF([1]Sheet2!CF194=999999,"NA",[1]Sheet2!CF194)</f>
        <v>0</v>
      </c>
      <c r="BY195" s="14">
        <f>IF([1]Sheet2!CG194=999999,"NA",[1]Sheet2!CG194)</f>
        <v>0</v>
      </c>
      <c r="BZ195" s="14">
        <f>IF([1]Sheet2!CH194=999999,"NA",[1]Sheet2!CH194)</f>
        <v>0</v>
      </c>
      <c r="CA195" s="14">
        <f>IF([1]Sheet2!CI194=999999,"NA",[1]Sheet2!CI194)</f>
        <v>0</v>
      </c>
      <c r="CB195" s="14">
        <f>IF([1]Sheet2!CJ194=999999,"NA",[1]Sheet2!CJ194)</f>
        <v>0</v>
      </c>
      <c r="CC195" s="14">
        <f>IF([1]Sheet2!CK194=999999,"NA",[1]Sheet2!CK194)</f>
        <v>0</v>
      </c>
      <c r="CD195" s="14">
        <f>[1]Sheet2!BH194</f>
        <v>0</v>
      </c>
      <c r="CE195" s="14">
        <f>[1]Sheet2!BI194</f>
        <v>0</v>
      </c>
      <c r="CF195" s="14">
        <f>[1]Sheet2!BJ194</f>
        <v>0</v>
      </c>
      <c r="CG195" s="14">
        <f>[1]Sheet2!BK194</f>
        <v>0</v>
      </c>
      <c r="CH195" s="14">
        <f>[1]Sheet2!BL194</f>
        <v>0</v>
      </c>
      <c r="CI195" s="14">
        <f>[1]Sheet2!BM194</f>
        <v>0</v>
      </c>
      <c r="CJ195" s="14">
        <f>[1]Sheet2!BN194</f>
        <v>0</v>
      </c>
      <c r="CK195" s="14">
        <f>[1]Sheet2!BO194</f>
        <v>0</v>
      </c>
      <c r="CL195" s="14">
        <f>[1]Sheet2!BP194</f>
        <v>0</v>
      </c>
      <c r="CM195" s="14">
        <f>[1]Sheet2!BQ194</f>
        <v>0</v>
      </c>
      <c r="CN195" s="16">
        <f>Demand_SW!B$9/31</f>
        <v>131.01736972704714</v>
      </c>
      <c r="CO195" s="16">
        <f>Demand_SW!C$9/31</f>
        <v>0</v>
      </c>
      <c r="CP195" s="16">
        <f>Demand_SW!D$9/31</f>
        <v>0</v>
      </c>
      <c r="CQ195" s="16">
        <f>Demand_SW!E$9/31</f>
        <v>0</v>
      </c>
      <c r="CR195" s="16">
        <f>Demand_SW!F$9/31</f>
        <v>0</v>
      </c>
      <c r="CS195" s="16">
        <f>Demand_SW!G$9/31</f>
        <v>131.01736972704714</v>
      </c>
      <c r="CT195" s="16">
        <f>Demand_SW!H$9/31</f>
        <v>0</v>
      </c>
      <c r="CU195" s="16">
        <f>Demand_SW!I$9/31</f>
        <v>0</v>
      </c>
      <c r="CV195" s="16">
        <f>Demand_SW!J$9/31</f>
        <v>0</v>
      </c>
      <c r="CW195" s="16">
        <f>Demand_SW!K$9/31</f>
        <v>0</v>
      </c>
      <c r="CX195" s="16">
        <f t="shared" si="86"/>
        <v>-21038.883374689845</v>
      </c>
      <c r="CY195" s="16">
        <f t="shared" si="87"/>
        <v>76.923076923077133</v>
      </c>
      <c r="CZ195" s="16">
        <f t="shared" si="88"/>
        <v>0</v>
      </c>
      <c r="DA195" s="16">
        <f t="shared" si="89"/>
        <v>0</v>
      </c>
      <c r="DB195" s="16">
        <f t="shared" si="90"/>
        <v>0</v>
      </c>
      <c r="DC195" s="16">
        <f t="shared" si="91"/>
        <v>-20568.114143920615</v>
      </c>
      <c r="DD195" s="16">
        <f t="shared" si="92"/>
        <v>76.923076923077133</v>
      </c>
      <c r="DE195" s="16">
        <f t="shared" si="93"/>
        <v>0</v>
      </c>
      <c r="DF195" s="16">
        <f t="shared" si="94"/>
        <v>0</v>
      </c>
      <c r="DG195" s="16">
        <f t="shared" si="95"/>
        <v>0</v>
      </c>
      <c r="DH195" s="14">
        <f>IF([1]Sheet2!DS194=999999,"NA",[1]Sheet2!DS194)</f>
        <v>0</v>
      </c>
      <c r="DI195" s="14">
        <f>IF([1]Sheet2!DT194=999999,"NA",[1]Sheet2!DT194)</f>
        <v>173</v>
      </c>
      <c r="DJ195" s="14" t="str">
        <f>IF([1]Sheet2!DU194=999999,"NA",[1]Sheet2!DU194)</f>
        <v>NA</v>
      </c>
      <c r="DK195" s="14" t="str">
        <f>IF([1]Sheet2!DV194=999999,"NA",[1]Sheet2!DV194)</f>
        <v>NA</v>
      </c>
      <c r="DL195" s="14" t="str">
        <f>IF([1]Sheet2!DW194=999999,"NA",[1]Sheet2!DW194)</f>
        <v>NA</v>
      </c>
      <c r="DM195" s="14">
        <f>IF([1]Sheet2!DX194=999999,"NA",[1]Sheet2!DX194)</f>
        <v>0</v>
      </c>
      <c r="DN195" s="14">
        <f>IF([1]Sheet2!DY194=999999,"NA",[1]Sheet2!DY194)</f>
        <v>173</v>
      </c>
      <c r="DO195" s="14" t="str">
        <f>IF([1]Sheet2!DZ194=999999,"NA",[1]Sheet2!DZ194)</f>
        <v>NA</v>
      </c>
      <c r="DP195" s="14" t="str">
        <f>IF([1]Sheet2!EA194=999999,"NA",[1]Sheet2!EA194)</f>
        <v>NA</v>
      </c>
      <c r="DQ195" s="14" t="str">
        <f>IF([1]Sheet2!EB194=999999,"NA",[1]Sheet2!EB194)</f>
        <v>NA</v>
      </c>
      <c r="DR195" s="14">
        <f>[1]Sheet2!CY194</f>
        <v>0</v>
      </c>
      <c r="DS195" s="14">
        <f>[1]Sheet2!CZ194</f>
        <v>0</v>
      </c>
      <c r="DT195" s="14">
        <f>[1]Sheet2!DA194</f>
        <v>0</v>
      </c>
      <c r="DU195" s="14">
        <f>[1]Sheet2!DB194</f>
        <v>0</v>
      </c>
      <c r="DV195" s="14">
        <f>[1]Sheet2!DC194</f>
        <v>0</v>
      </c>
      <c r="DW195" s="14">
        <f>[1]Sheet2!DD194</f>
        <v>0</v>
      </c>
      <c r="DX195" s="14">
        <f>[1]Sheet2!DE194</f>
        <v>0</v>
      </c>
      <c r="DY195" s="14">
        <f>[1]Sheet2!DF194</f>
        <v>0</v>
      </c>
      <c r="DZ195" s="14">
        <f>[1]Sheet2!DG194</f>
        <v>0</v>
      </c>
      <c r="EA195" s="14">
        <f>[1]Sheet2!DH194</f>
        <v>0</v>
      </c>
      <c r="EB195" s="6">
        <f>[1]Sheet2!EC194</f>
        <v>0</v>
      </c>
      <c r="EC195" s="6">
        <f>[1]Sheet2!ED194</f>
        <v>0</v>
      </c>
      <c r="ED195" s="6">
        <f>[1]Sheet2!EE194</f>
        <v>0</v>
      </c>
      <c r="EE195" s="6">
        <f>[1]Sheet2!EF194</f>
        <v>0</v>
      </c>
      <c r="EF195" s="6">
        <f>[1]Sheet2!EG194</f>
        <v>0</v>
      </c>
      <c r="EG195" s="6">
        <f>[1]Sheet2!EH194</f>
        <v>0</v>
      </c>
      <c r="EH195" s="6">
        <f>[1]Sheet2!EI194</f>
        <v>0</v>
      </c>
      <c r="EI195" s="6">
        <f>[1]Sheet2!EJ194</f>
        <v>0</v>
      </c>
      <c r="EJ195" s="6">
        <f>[1]Sheet2!EK194</f>
        <v>0</v>
      </c>
      <c r="EK195" s="6">
        <f>[1]Sheet2!EL194</f>
        <v>0</v>
      </c>
      <c r="EL195" s="6" t="str">
        <f>[1]Sheet2!EM194</f>
        <v/>
      </c>
      <c r="EM195" s="6" t="str">
        <f>[1]Sheet2!EN194</f>
        <v/>
      </c>
      <c r="EN195" s="6" t="str">
        <f>[1]Sheet2!EO194</f>
        <v/>
      </c>
      <c r="EO195" s="6" t="str">
        <f>[1]Sheet2!EP194</f>
        <v/>
      </c>
      <c r="EP195" s="6" t="str">
        <f>[1]Sheet2!EQ194</f>
        <v/>
      </c>
      <c r="EQ195" s="6" t="str">
        <f>[1]Sheet2!ER194</f>
        <v/>
      </c>
      <c r="ER195" s="6" t="str">
        <f>[1]Sheet2!ES194</f>
        <v/>
      </c>
      <c r="ES195" s="6" t="str">
        <f>[1]Sheet2!ET194</f>
        <v/>
      </c>
      <c r="ET195" s="6" t="str">
        <f>[1]Sheet2!EU194</f>
        <v/>
      </c>
      <c r="EU195" s="6" t="str">
        <f>[1]Sheet2!EV194</f>
        <v/>
      </c>
      <c r="EV195" s="6" t="str">
        <f>[1]Sheet2!EW194</f>
        <v/>
      </c>
      <c r="EW195" s="6" t="str">
        <f>[1]Sheet2!EX194</f>
        <v/>
      </c>
      <c r="EX195" s="6" t="str">
        <f>[1]Sheet2!EY194</f>
        <v/>
      </c>
      <c r="EY195" s="6" t="str">
        <f>[1]Sheet2!EZ194</f>
        <v/>
      </c>
      <c r="EZ195" s="6" t="str">
        <f>[1]Sheet2!FA194</f>
        <v/>
      </c>
      <c r="FA195" s="6" t="str">
        <f>[1]Sheet2!FB194</f>
        <v/>
      </c>
      <c r="FB195" s="6" t="str">
        <f>[1]Sheet2!FC194</f>
        <v/>
      </c>
      <c r="FC195" s="6" t="str">
        <f>[1]Sheet2!FD194</f>
        <v/>
      </c>
      <c r="FD195" s="6" t="str">
        <f>[1]Sheet2!FE194</f>
        <v/>
      </c>
      <c r="FE195" s="6" t="str">
        <f>[1]Sheet2!FF194</f>
        <v/>
      </c>
      <c r="FF195" s="6" t="str">
        <f>[1]Sheet2!FG194</f>
        <v/>
      </c>
      <c r="FG195" s="6" t="str">
        <f>[1]Sheet2!FH194</f>
        <v/>
      </c>
      <c r="FH195" s="6" t="str">
        <f>[1]Sheet2!FI194</f>
        <v/>
      </c>
      <c r="FI195" s="6" t="str">
        <f>[1]Sheet2!FJ194</f>
        <v/>
      </c>
      <c r="FJ195" s="6" t="str">
        <f>[1]Sheet2!FK194</f>
        <v/>
      </c>
      <c r="FK195" s="6" t="str">
        <f>[1]Sheet2!FL194</f>
        <v/>
      </c>
      <c r="FL195" s="6" t="str">
        <f>[1]Sheet2!FM194</f>
        <v/>
      </c>
      <c r="FM195" s="6" t="str">
        <f>[1]Sheet2!FN194</f>
        <v/>
      </c>
      <c r="FN195" s="6" t="str">
        <f>[1]Sheet2!FO194</f>
        <v/>
      </c>
      <c r="FO195" s="6" t="str">
        <f>[1]Sheet2!FP194</f>
        <v/>
      </c>
    </row>
    <row r="196" spans="1:171" x14ac:dyDescent="0.25">
      <c r="A196" s="15">
        <v>43658</v>
      </c>
      <c r="B196" s="1"/>
      <c r="C196" s="1"/>
      <c r="D196" s="1"/>
      <c r="E196" s="14">
        <f>[1]Sheet2!N195</f>
        <v>0</v>
      </c>
      <c r="F196" s="14">
        <f>[1]Sheet2!BE195</f>
        <v>0</v>
      </c>
      <c r="G196" s="14">
        <f>[1]Sheet2!CW195</f>
        <v>0</v>
      </c>
      <c r="H196" s="1"/>
      <c r="I196" s="1"/>
      <c r="J196" s="1"/>
      <c r="K196" s="16"/>
      <c r="L196" s="16">
        <f>Demand_CWRS!B$9/31</f>
        <v>137.44229993796523</v>
      </c>
      <c r="M196" s="16">
        <f>Demand_CWRS!C$9/31</f>
        <v>616.54259718775836</v>
      </c>
      <c r="N196" s="16">
        <f>Demand_CWRS!D$9/31</f>
        <v>0</v>
      </c>
      <c r="O196" s="16">
        <f>Demand_CWRS!E$9/31</f>
        <v>140.39247311827955</v>
      </c>
      <c r="P196" s="16">
        <f>Demand_CWRS!F$9/31</f>
        <v>245.11049679487181</v>
      </c>
      <c r="Q196" s="16">
        <f>Demand_CWRS!G$9/31</f>
        <v>137.44229993796523</v>
      </c>
      <c r="R196" s="16">
        <f>Demand_CWRS!H$9/31</f>
        <v>245.11049679487181</v>
      </c>
      <c r="S196" s="16">
        <f>Demand_CWRS!I$9/31</f>
        <v>245.11049679487181</v>
      </c>
      <c r="T196" s="16">
        <f>Demand_CWRS!J$9/31</f>
        <v>245.11049679487181</v>
      </c>
      <c r="U196" s="16">
        <f>Demand_CWRS!K$9/31</f>
        <v>245.11049679487181</v>
      </c>
      <c r="V196" s="16">
        <f t="shared" si="66"/>
        <v>-24010.069136652113</v>
      </c>
      <c r="W196" s="16">
        <f t="shared" si="67"/>
        <v>-91254.67270471435</v>
      </c>
      <c r="X196" s="16">
        <f t="shared" si="68"/>
        <v>0</v>
      </c>
      <c r="Y196" s="16">
        <f t="shared" si="69"/>
        <v>-15225.986227240834</v>
      </c>
      <c r="Z196" s="16">
        <f t="shared" si="70"/>
        <v>-40219.489796332346</v>
      </c>
      <c r="AA196" s="16">
        <f t="shared" si="71"/>
        <v>-22684.295987613677</v>
      </c>
      <c r="AB196" s="16">
        <f t="shared" si="72"/>
        <v>-44528.654571973304</v>
      </c>
      <c r="AC196" s="16">
        <f t="shared" si="73"/>
        <v>-38735.644315563113</v>
      </c>
      <c r="AD196" s="16">
        <f t="shared" si="74"/>
        <v>-38835.644315563106</v>
      </c>
      <c r="AE196" s="16">
        <f t="shared" si="75"/>
        <v>-39435.644315563099</v>
      </c>
      <c r="AF196" s="14">
        <f>IF([1]Sheet2!AJ195=999999,"NA",[1]Sheet2!AJ195)</f>
        <v>0</v>
      </c>
      <c r="AG196" s="14">
        <f>IF([1]Sheet2!AK195=999999,"NA",[1]Sheet2!AK195)</f>
        <v>0</v>
      </c>
      <c r="AH196" s="14" t="str">
        <f>IF([1]Sheet2!AL195=999999,"NA",[1]Sheet2!AL195)</f>
        <v>NA</v>
      </c>
      <c r="AI196" s="14">
        <f>IF([1]Sheet2!AM195=999999,"NA",[1]Sheet2!AM195)</f>
        <v>0</v>
      </c>
      <c r="AJ196" s="14">
        <f>IF([1]Sheet2!AN195=999999,"NA",[1]Sheet2!AN195)</f>
        <v>0</v>
      </c>
      <c r="AK196" s="14">
        <f>IF([1]Sheet2!AO195=999999,"NA",[1]Sheet2!AO195)</f>
        <v>0</v>
      </c>
      <c r="AL196" s="14">
        <f>IF([1]Sheet2!AP195=999999,"NA",[1]Sheet2!AP195)</f>
        <v>0</v>
      </c>
      <c r="AM196" s="14">
        <f>IF([1]Sheet2!AQ195=999999,"NA",[1]Sheet2!AQ195)</f>
        <v>0</v>
      </c>
      <c r="AN196" s="14">
        <f>IF([1]Sheet2!AR195=999999,"NA",[1]Sheet2!AR195)</f>
        <v>0</v>
      </c>
      <c r="AO196" s="14">
        <f>IF([1]Sheet2!AS195=999999,"NA",[1]Sheet2!AS195)</f>
        <v>0</v>
      </c>
      <c r="AP196" s="14">
        <f>[1]Sheet2!P195</f>
        <v>0</v>
      </c>
      <c r="AQ196" s="14">
        <f>[1]Sheet2!Q195</f>
        <v>0</v>
      </c>
      <c r="AR196" s="14">
        <f>[1]Sheet2!R195</f>
        <v>0</v>
      </c>
      <c r="AS196" s="14">
        <f>[1]Sheet2!S195</f>
        <v>0</v>
      </c>
      <c r="AT196" s="14">
        <f>[1]Sheet2!T195</f>
        <v>0</v>
      </c>
      <c r="AU196" s="14">
        <f>[1]Sheet2!U195</f>
        <v>0</v>
      </c>
      <c r="AV196" s="14">
        <f>[1]Sheet2!V195</f>
        <v>0</v>
      </c>
      <c r="AW196" s="14">
        <f>[1]Sheet2!W195</f>
        <v>0</v>
      </c>
      <c r="AX196" s="14">
        <f>[1]Sheet2!X195</f>
        <v>0</v>
      </c>
      <c r="AY196" s="14">
        <f>[1]Sheet2!Y195</f>
        <v>0</v>
      </c>
      <c r="AZ196" s="16">
        <f>Demand_LP!B$9/31</f>
        <v>878.29658550454917</v>
      </c>
      <c r="BA196" s="16">
        <f>Demand_LP!C$9/31</f>
        <v>663.85442514474767</v>
      </c>
      <c r="BB196" s="16">
        <f>Demand_LP!D$9/31</f>
        <v>335.39784946236568</v>
      </c>
      <c r="BC196" s="16">
        <f>Demand_LP!E$9/31</f>
        <v>725.23531844499576</v>
      </c>
      <c r="BD196" s="16">
        <f>Demand_LP!F$9/31</f>
        <v>456.65268558726217</v>
      </c>
      <c r="BE196" s="16">
        <f>Demand_LP!G$9/31</f>
        <v>456.65268558726217</v>
      </c>
      <c r="BF196" s="16">
        <f>Demand_LP!H$9/31</f>
        <v>663.85442514474767</v>
      </c>
      <c r="BG196" s="16">
        <f>Demand_LP!I$9/31</f>
        <v>456.65268558726217</v>
      </c>
      <c r="BH196" s="16">
        <f>Demand_LP!J$9/31</f>
        <v>456.65268558726217</v>
      </c>
      <c r="BI196" s="16">
        <f>Demand_LP!K$9/31</f>
        <v>456.65268558726217</v>
      </c>
      <c r="BJ196" s="16">
        <f t="shared" si="76"/>
        <v>-136725.26994889806</v>
      </c>
      <c r="BK196" s="16">
        <f t="shared" si="77"/>
        <v>-110152.34797353165</v>
      </c>
      <c r="BL196" s="16">
        <f t="shared" si="78"/>
        <v>-50716.380603804842</v>
      </c>
      <c r="BM196" s="16">
        <f t="shared" si="79"/>
        <v>-140264.73021536774</v>
      </c>
      <c r="BN196" s="16">
        <f t="shared" si="80"/>
        <v>-81260.87877342006</v>
      </c>
      <c r="BO196" s="16">
        <f t="shared" si="81"/>
        <v>-79718.562691790794</v>
      </c>
      <c r="BP196" s="16">
        <f t="shared" si="82"/>
        <v>-104509.92746071116</v>
      </c>
      <c r="BQ196" s="16">
        <f t="shared" si="83"/>
        <v>-79718.562691790794</v>
      </c>
      <c r="BR196" s="16">
        <f t="shared" si="84"/>
        <v>-77318.562691790838</v>
      </c>
      <c r="BS196" s="16">
        <f t="shared" si="85"/>
        <v>-78018.562691790823</v>
      </c>
      <c r="BT196" s="14">
        <f>IF([1]Sheet2!CB195=999999,"NA",[1]Sheet2!CB195)</f>
        <v>0</v>
      </c>
      <c r="BU196" s="14">
        <f>IF([1]Sheet2!CC195=999999,"NA",[1]Sheet2!CC195)</f>
        <v>0</v>
      </c>
      <c r="BV196" s="14">
        <f>IF([1]Sheet2!CD195=999999,"NA",[1]Sheet2!CD195)</f>
        <v>0</v>
      </c>
      <c r="BW196" s="14">
        <f>IF([1]Sheet2!CE195=999999,"NA",[1]Sheet2!CE195)</f>
        <v>0</v>
      </c>
      <c r="BX196" s="14">
        <f>IF([1]Sheet2!CF195=999999,"NA",[1]Sheet2!CF195)</f>
        <v>0</v>
      </c>
      <c r="BY196" s="14">
        <f>IF([1]Sheet2!CG195=999999,"NA",[1]Sheet2!CG195)</f>
        <v>0</v>
      </c>
      <c r="BZ196" s="14">
        <f>IF([1]Sheet2!CH195=999999,"NA",[1]Sheet2!CH195)</f>
        <v>0</v>
      </c>
      <c r="CA196" s="14">
        <f>IF([1]Sheet2!CI195=999999,"NA",[1]Sheet2!CI195)</f>
        <v>0</v>
      </c>
      <c r="CB196" s="14">
        <f>IF([1]Sheet2!CJ195=999999,"NA",[1]Sheet2!CJ195)</f>
        <v>0</v>
      </c>
      <c r="CC196" s="14">
        <f>IF([1]Sheet2!CK195=999999,"NA",[1]Sheet2!CK195)</f>
        <v>0</v>
      </c>
      <c r="CD196" s="14">
        <f>[1]Sheet2!BH195</f>
        <v>0</v>
      </c>
      <c r="CE196" s="14">
        <f>[1]Sheet2!BI195</f>
        <v>0</v>
      </c>
      <c r="CF196" s="14">
        <f>[1]Sheet2!BJ195</f>
        <v>0</v>
      </c>
      <c r="CG196" s="14">
        <f>[1]Sheet2!BK195</f>
        <v>0</v>
      </c>
      <c r="CH196" s="14">
        <f>[1]Sheet2!BL195</f>
        <v>0</v>
      </c>
      <c r="CI196" s="14">
        <f>[1]Sheet2!BM195</f>
        <v>0</v>
      </c>
      <c r="CJ196" s="14">
        <f>[1]Sheet2!BN195</f>
        <v>0</v>
      </c>
      <c r="CK196" s="14">
        <f>[1]Sheet2!BO195</f>
        <v>0</v>
      </c>
      <c r="CL196" s="14">
        <f>[1]Sheet2!BP195</f>
        <v>0</v>
      </c>
      <c r="CM196" s="14">
        <f>[1]Sheet2!BQ195</f>
        <v>0</v>
      </c>
      <c r="CN196" s="16">
        <f>Demand_SW!B$9/31</f>
        <v>131.01736972704714</v>
      </c>
      <c r="CO196" s="16">
        <f>Demand_SW!C$9/31</f>
        <v>0</v>
      </c>
      <c r="CP196" s="16">
        <f>Demand_SW!D$9/31</f>
        <v>0</v>
      </c>
      <c r="CQ196" s="16">
        <f>Demand_SW!E$9/31</f>
        <v>0</v>
      </c>
      <c r="CR196" s="16">
        <f>Demand_SW!F$9/31</f>
        <v>0</v>
      </c>
      <c r="CS196" s="16">
        <f>Demand_SW!G$9/31</f>
        <v>131.01736972704714</v>
      </c>
      <c r="CT196" s="16">
        <f>Demand_SW!H$9/31</f>
        <v>0</v>
      </c>
      <c r="CU196" s="16">
        <f>Demand_SW!I$9/31</f>
        <v>0</v>
      </c>
      <c r="CV196" s="16">
        <f>Demand_SW!J$9/31</f>
        <v>0</v>
      </c>
      <c r="CW196" s="16">
        <f>Demand_SW!K$9/31</f>
        <v>0</v>
      </c>
      <c r="CX196" s="16">
        <f t="shared" si="86"/>
        <v>-21169.900744416893</v>
      </c>
      <c r="CY196" s="16">
        <f t="shared" si="87"/>
        <v>76.923076923077133</v>
      </c>
      <c r="CZ196" s="16">
        <f t="shared" si="88"/>
        <v>0</v>
      </c>
      <c r="DA196" s="16">
        <f t="shared" si="89"/>
        <v>0</v>
      </c>
      <c r="DB196" s="16">
        <f t="shared" si="90"/>
        <v>0</v>
      </c>
      <c r="DC196" s="16">
        <f t="shared" si="91"/>
        <v>-20699.131513647662</v>
      </c>
      <c r="DD196" s="16">
        <f t="shared" si="92"/>
        <v>76.923076923077133</v>
      </c>
      <c r="DE196" s="16">
        <f t="shared" si="93"/>
        <v>0</v>
      </c>
      <c r="DF196" s="16">
        <f t="shared" si="94"/>
        <v>0</v>
      </c>
      <c r="DG196" s="16">
        <f t="shared" si="95"/>
        <v>0</v>
      </c>
      <c r="DH196" s="14">
        <f>IF([1]Sheet2!DS195=999999,"NA",[1]Sheet2!DS195)</f>
        <v>0</v>
      </c>
      <c r="DI196" s="14">
        <f>IF([1]Sheet2!DT195=999999,"NA",[1]Sheet2!DT195)</f>
        <v>172</v>
      </c>
      <c r="DJ196" s="14" t="str">
        <f>IF([1]Sheet2!DU195=999999,"NA",[1]Sheet2!DU195)</f>
        <v>NA</v>
      </c>
      <c r="DK196" s="14" t="str">
        <f>IF([1]Sheet2!DV195=999999,"NA",[1]Sheet2!DV195)</f>
        <v>NA</v>
      </c>
      <c r="DL196" s="14" t="str">
        <f>IF([1]Sheet2!DW195=999999,"NA",[1]Sheet2!DW195)</f>
        <v>NA</v>
      </c>
      <c r="DM196" s="14">
        <f>IF([1]Sheet2!DX195=999999,"NA",[1]Sheet2!DX195)</f>
        <v>0</v>
      </c>
      <c r="DN196" s="14">
        <f>IF([1]Sheet2!DY195=999999,"NA",[1]Sheet2!DY195)</f>
        <v>172</v>
      </c>
      <c r="DO196" s="14" t="str">
        <f>IF([1]Sheet2!DZ195=999999,"NA",[1]Sheet2!DZ195)</f>
        <v>NA</v>
      </c>
      <c r="DP196" s="14" t="str">
        <f>IF([1]Sheet2!EA195=999999,"NA",[1]Sheet2!EA195)</f>
        <v>NA</v>
      </c>
      <c r="DQ196" s="14" t="str">
        <f>IF([1]Sheet2!EB195=999999,"NA",[1]Sheet2!EB195)</f>
        <v>NA</v>
      </c>
      <c r="DR196" s="14">
        <f>[1]Sheet2!CY195</f>
        <v>0</v>
      </c>
      <c r="DS196" s="14">
        <f>[1]Sheet2!CZ195</f>
        <v>0</v>
      </c>
      <c r="DT196" s="14">
        <f>[1]Sheet2!DA195</f>
        <v>0</v>
      </c>
      <c r="DU196" s="14">
        <f>[1]Sheet2!DB195</f>
        <v>0</v>
      </c>
      <c r="DV196" s="14">
        <f>[1]Sheet2!DC195</f>
        <v>0</v>
      </c>
      <c r="DW196" s="14">
        <f>[1]Sheet2!DD195</f>
        <v>0</v>
      </c>
      <c r="DX196" s="14">
        <f>[1]Sheet2!DE195</f>
        <v>0</v>
      </c>
      <c r="DY196" s="14">
        <f>[1]Sheet2!DF195</f>
        <v>0</v>
      </c>
      <c r="DZ196" s="14">
        <f>[1]Sheet2!DG195</f>
        <v>0</v>
      </c>
      <c r="EA196" s="14">
        <f>[1]Sheet2!DH195</f>
        <v>0</v>
      </c>
      <c r="EB196" s="6">
        <f>[1]Sheet2!EC195</f>
        <v>0</v>
      </c>
      <c r="EC196" s="6">
        <f>[1]Sheet2!ED195</f>
        <v>0</v>
      </c>
      <c r="ED196" s="6">
        <f>[1]Sheet2!EE195</f>
        <v>0</v>
      </c>
      <c r="EE196" s="6">
        <f>[1]Sheet2!EF195</f>
        <v>0</v>
      </c>
      <c r="EF196" s="6">
        <f>[1]Sheet2!EG195</f>
        <v>0</v>
      </c>
      <c r="EG196" s="6">
        <f>[1]Sheet2!EH195</f>
        <v>0</v>
      </c>
      <c r="EH196" s="6">
        <f>[1]Sheet2!EI195</f>
        <v>0</v>
      </c>
      <c r="EI196" s="6">
        <f>[1]Sheet2!EJ195</f>
        <v>0</v>
      </c>
      <c r="EJ196" s="6">
        <f>[1]Sheet2!EK195</f>
        <v>0</v>
      </c>
      <c r="EK196" s="6">
        <f>[1]Sheet2!EL195</f>
        <v>0</v>
      </c>
      <c r="EL196" s="6" t="str">
        <f>[1]Sheet2!EM195</f>
        <v/>
      </c>
      <c r="EM196" s="6" t="str">
        <f>[1]Sheet2!EN195</f>
        <v/>
      </c>
      <c r="EN196" s="6" t="str">
        <f>[1]Sheet2!EO195</f>
        <v/>
      </c>
      <c r="EO196" s="6" t="str">
        <f>[1]Sheet2!EP195</f>
        <v/>
      </c>
      <c r="EP196" s="6" t="str">
        <f>[1]Sheet2!EQ195</f>
        <v/>
      </c>
      <c r="EQ196" s="6" t="str">
        <f>[1]Sheet2!ER195</f>
        <v/>
      </c>
      <c r="ER196" s="6" t="str">
        <f>[1]Sheet2!ES195</f>
        <v/>
      </c>
      <c r="ES196" s="6" t="str">
        <f>[1]Sheet2!ET195</f>
        <v/>
      </c>
      <c r="ET196" s="6" t="str">
        <f>[1]Sheet2!EU195</f>
        <v/>
      </c>
      <c r="EU196" s="6" t="str">
        <f>[1]Sheet2!EV195</f>
        <v/>
      </c>
      <c r="EV196" s="6" t="str">
        <f>[1]Sheet2!EW195</f>
        <v/>
      </c>
      <c r="EW196" s="6" t="str">
        <f>[1]Sheet2!EX195</f>
        <v/>
      </c>
      <c r="EX196" s="6" t="str">
        <f>[1]Sheet2!EY195</f>
        <v/>
      </c>
      <c r="EY196" s="6" t="str">
        <f>[1]Sheet2!EZ195</f>
        <v/>
      </c>
      <c r="EZ196" s="6" t="str">
        <f>[1]Sheet2!FA195</f>
        <v/>
      </c>
      <c r="FA196" s="6" t="str">
        <f>[1]Sheet2!FB195</f>
        <v/>
      </c>
      <c r="FB196" s="6" t="str">
        <f>[1]Sheet2!FC195</f>
        <v/>
      </c>
      <c r="FC196" s="6" t="str">
        <f>[1]Sheet2!FD195</f>
        <v/>
      </c>
      <c r="FD196" s="6" t="str">
        <f>[1]Sheet2!FE195</f>
        <v/>
      </c>
      <c r="FE196" s="6" t="str">
        <f>[1]Sheet2!FF195</f>
        <v/>
      </c>
      <c r="FF196" s="6" t="str">
        <f>[1]Sheet2!FG195</f>
        <v/>
      </c>
      <c r="FG196" s="6" t="str">
        <f>[1]Sheet2!FH195</f>
        <v/>
      </c>
      <c r="FH196" s="6" t="str">
        <f>[1]Sheet2!FI195</f>
        <v/>
      </c>
      <c r="FI196" s="6" t="str">
        <f>[1]Sheet2!FJ195</f>
        <v/>
      </c>
      <c r="FJ196" s="6" t="str">
        <f>[1]Sheet2!FK195</f>
        <v/>
      </c>
      <c r="FK196" s="6" t="str">
        <f>[1]Sheet2!FL195</f>
        <v/>
      </c>
      <c r="FL196" s="6" t="str">
        <f>[1]Sheet2!FM195</f>
        <v/>
      </c>
      <c r="FM196" s="6" t="str">
        <f>[1]Sheet2!FN195</f>
        <v/>
      </c>
      <c r="FN196" s="6" t="str">
        <f>[1]Sheet2!FO195</f>
        <v/>
      </c>
      <c r="FO196" s="6" t="str">
        <f>[1]Sheet2!FP195</f>
        <v/>
      </c>
    </row>
    <row r="197" spans="1:171" x14ac:dyDescent="0.25">
      <c r="A197" s="15">
        <v>43659</v>
      </c>
      <c r="B197" s="1"/>
      <c r="C197" s="1"/>
      <c r="D197" s="1"/>
      <c r="E197" s="14">
        <f>[1]Sheet2!N196</f>
        <v>0</v>
      </c>
      <c r="F197" s="14">
        <f>[1]Sheet2!BE196</f>
        <v>0</v>
      </c>
      <c r="G197" s="14">
        <f>[1]Sheet2!CW196</f>
        <v>0</v>
      </c>
      <c r="H197" s="1"/>
      <c r="I197" s="1"/>
      <c r="J197" s="1"/>
      <c r="K197" s="16"/>
      <c r="L197" s="16">
        <f>Demand_CWRS!B$9/31</f>
        <v>137.44229993796523</v>
      </c>
      <c r="M197" s="16">
        <f>Demand_CWRS!C$9/31</f>
        <v>616.54259718775836</v>
      </c>
      <c r="N197" s="16">
        <f>Demand_CWRS!D$9/31</f>
        <v>0</v>
      </c>
      <c r="O197" s="16">
        <f>Demand_CWRS!E$9/31</f>
        <v>140.39247311827955</v>
      </c>
      <c r="P197" s="16">
        <f>Demand_CWRS!F$9/31</f>
        <v>245.11049679487181</v>
      </c>
      <c r="Q197" s="16">
        <f>Demand_CWRS!G$9/31</f>
        <v>137.44229993796523</v>
      </c>
      <c r="R197" s="16">
        <f>Demand_CWRS!H$9/31</f>
        <v>245.11049679487181</v>
      </c>
      <c r="S197" s="16">
        <f>Demand_CWRS!I$9/31</f>
        <v>245.11049679487181</v>
      </c>
      <c r="T197" s="16">
        <f>Demand_CWRS!J$9/31</f>
        <v>245.11049679487181</v>
      </c>
      <c r="U197" s="16">
        <f>Demand_CWRS!K$9/31</f>
        <v>245.11049679487181</v>
      </c>
      <c r="V197" s="16">
        <f t="shared" ref="V197:V260" si="96">IF(EL197="",V196-L197+AP197,EL197)</f>
        <v>-24147.511436590077</v>
      </c>
      <c r="W197" s="16">
        <f t="shared" ref="W197:W260" si="97">IF(EM197="",W196-M197+AQ197,EM197)</f>
        <v>-91871.215301902106</v>
      </c>
      <c r="X197" s="16">
        <f t="shared" ref="X197:X260" si="98">IF(EN197="",X196-N197+AR197,EN197)</f>
        <v>0</v>
      </c>
      <c r="Y197" s="16">
        <f t="shared" ref="Y197:Y260" si="99">IF(EO197="",Y196-O197+AS197,EO197)</f>
        <v>-15366.378700359113</v>
      </c>
      <c r="Z197" s="16">
        <f t="shared" ref="Z197:Z260" si="100">IF(EP197="",Z196-P197+AT197,EP197)</f>
        <v>-40464.600293127216</v>
      </c>
      <c r="AA197" s="16">
        <f t="shared" ref="AA197:AA260" si="101">IF(EQ197="",AA196-Q197+AU197,EQ197)</f>
        <v>-22821.738287551641</v>
      </c>
      <c r="AB197" s="16">
        <f t="shared" ref="AB197:AB260" si="102">IF(ER197="",AB196-R197+AV197,ER197)</f>
        <v>-44773.765068768174</v>
      </c>
      <c r="AC197" s="16">
        <f t="shared" ref="AC197:AC260" si="103">IF(ES197="",AC196-S197+AW197,ES197)</f>
        <v>-38980.754812357984</v>
      </c>
      <c r="AD197" s="16">
        <f t="shared" ref="AD197:AD260" si="104">IF(ET197="",AD196-T197+AX197,ET197)</f>
        <v>-39080.754812357976</v>
      </c>
      <c r="AE197" s="16">
        <f t="shared" ref="AE197:AE260" si="105">IF(EU197="",AE196-U197+AY197,EU197)</f>
        <v>-39680.754812357969</v>
      </c>
      <c r="AF197" s="14">
        <f>IF([1]Sheet2!AJ196=999999,"NA",[1]Sheet2!AJ196)</f>
        <v>0</v>
      </c>
      <c r="AG197" s="14">
        <f>IF([1]Sheet2!AK196=999999,"NA",[1]Sheet2!AK196)</f>
        <v>0</v>
      </c>
      <c r="AH197" s="14" t="str">
        <f>IF([1]Sheet2!AL196=999999,"NA",[1]Sheet2!AL196)</f>
        <v>NA</v>
      </c>
      <c r="AI197" s="14">
        <f>IF([1]Sheet2!AM196=999999,"NA",[1]Sheet2!AM196)</f>
        <v>0</v>
      </c>
      <c r="AJ197" s="14">
        <f>IF([1]Sheet2!AN196=999999,"NA",[1]Sheet2!AN196)</f>
        <v>0</v>
      </c>
      <c r="AK197" s="14">
        <f>IF([1]Sheet2!AO196=999999,"NA",[1]Sheet2!AO196)</f>
        <v>0</v>
      </c>
      <c r="AL197" s="14">
        <f>IF([1]Sheet2!AP196=999999,"NA",[1]Sheet2!AP196)</f>
        <v>0</v>
      </c>
      <c r="AM197" s="14">
        <f>IF([1]Sheet2!AQ196=999999,"NA",[1]Sheet2!AQ196)</f>
        <v>0</v>
      </c>
      <c r="AN197" s="14">
        <f>IF([1]Sheet2!AR196=999999,"NA",[1]Sheet2!AR196)</f>
        <v>0</v>
      </c>
      <c r="AO197" s="14">
        <f>IF([1]Sheet2!AS196=999999,"NA",[1]Sheet2!AS196)</f>
        <v>0</v>
      </c>
      <c r="AP197" s="14">
        <f>[1]Sheet2!P196</f>
        <v>0</v>
      </c>
      <c r="AQ197" s="14">
        <f>[1]Sheet2!Q196</f>
        <v>0</v>
      </c>
      <c r="AR197" s="14">
        <f>[1]Sheet2!R196</f>
        <v>0</v>
      </c>
      <c r="AS197" s="14">
        <f>[1]Sheet2!S196</f>
        <v>0</v>
      </c>
      <c r="AT197" s="14">
        <f>[1]Sheet2!T196</f>
        <v>0</v>
      </c>
      <c r="AU197" s="14">
        <f>[1]Sheet2!U196</f>
        <v>0</v>
      </c>
      <c r="AV197" s="14">
        <f>[1]Sheet2!V196</f>
        <v>0</v>
      </c>
      <c r="AW197" s="14">
        <f>[1]Sheet2!W196</f>
        <v>0</v>
      </c>
      <c r="AX197" s="14">
        <f>[1]Sheet2!X196</f>
        <v>0</v>
      </c>
      <c r="AY197" s="14">
        <f>[1]Sheet2!Y196</f>
        <v>0</v>
      </c>
      <c r="AZ197" s="16">
        <f>Demand_LP!B$9/31</f>
        <v>878.29658550454917</v>
      </c>
      <c r="BA197" s="16">
        <f>Demand_LP!C$9/31</f>
        <v>663.85442514474767</v>
      </c>
      <c r="BB197" s="16">
        <f>Demand_LP!D$9/31</f>
        <v>335.39784946236568</v>
      </c>
      <c r="BC197" s="16">
        <f>Demand_LP!E$9/31</f>
        <v>725.23531844499576</v>
      </c>
      <c r="BD197" s="16">
        <f>Demand_LP!F$9/31</f>
        <v>456.65268558726217</v>
      </c>
      <c r="BE197" s="16">
        <f>Demand_LP!G$9/31</f>
        <v>456.65268558726217</v>
      </c>
      <c r="BF197" s="16">
        <f>Demand_LP!H$9/31</f>
        <v>663.85442514474767</v>
      </c>
      <c r="BG197" s="16">
        <f>Demand_LP!I$9/31</f>
        <v>456.65268558726217</v>
      </c>
      <c r="BH197" s="16">
        <f>Demand_LP!J$9/31</f>
        <v>456.65268558726217</v>
      </c>
      <c r="BI197" s="16">
        <f>Demand_LP!K$9/31</f>
        <v>456.65268558726217</v>
      </c>
      <c r="BJ197" s="16">
        <f t="shared" ref="BJ197:BJ260" si="106">IF(EV197="",BJ196-AZ197+CD197,EV197)</f>
        <v>-137603.56653440261</v>
      </c>
      <c r="BK197" s="16">
        <f t="shared" ref="BK197:BK260" si="107">IF(EW197="",BK196-BA197+CE197,EW197)</f>
        <v>-110816.2023986764</v>
      </c>
      <c r="BL197" s="16">
        <f t="shared" ref="BL197:BL260" si="108">IF(EX197="",BL196-BB197+CF197,EX197)</f>
        <v>-51051.778453267209</v>
      </c>
      <c r="BM197" s="16">
        <f t="shared" ref="BM197:BM260" si="109">IF(EY197="",BM196-BC197+CG197,EY197)</f>
        <v>-140989.96553381273</v>
      </c>
      <c r="BN197" s="16">
        <f t="shared" ref="BN197:BN260" si="110">IF(EZ197="",BN196-BD197+CH197,EZ197)</f>
        <v>-81717.531459007325</v>
      </c>
      <c r="BO197" s="16">
        <f t="shared" ref="BO197:BO260" si="111">IF(FA197="",BO196-BE197+CI197,FA197)</f>
        <v>-80175.215377378059</v>
      </c>
      <c r="BP197" s="16">
        <f t="shared" ref="BP197:BP260" si="112">IF(FB197="",BP196-BF197+CJ197,FB197)</f>
        <v>-105173.7818858559</v>
      </c>
      <c r="BQ197" s="16">
        <f t="shared" ref="BQ197:BQ260" si="113">IF(FC197="",BQ196-BG197+CK197,FC197)</f>
        <v>-80175.215377378059</v>
      </c>
      <c r="BR197" s="16">
        <f t="shared" ref="BR197:BR260" si="114">IF(FD197="",BR196-BH197+CL197,FD197)</f>
        <v>-77775.215377378103</v>
      </c>
      <c r="BS197" s="16">
        <f t="shared" ref="BS197:BS260" si="115">IF(FE197="",BS196-BI197+CM197,FE197)</f>
        <v>-78475.215377378088</v>
      </c>
      <c r="BT197" s="14">
        <f>IF([1]Sheet2!CB196=999999,"NA",[1]Sheet2!CB196)</f>
        <v>0</v>
      </c>
      <c r="BU197" s="14">
        <f>IF([1]Sheet2!CC196=999999,"NA",[1]Sheet2!CC196)</f>
        <v>0</v>
      </c>
      <c r="BV197" s="14">
        <f>IF([1]Sheet2!CD196=999999,"NA",[1]Sheet2!CD196)</f>
        <v>0</v>
      </c>
      <c r="BW197" s="14">
        <f>IF([1]Sheet2!CE196=999999,"NA",[1]Sheet2!CE196)</f>
        <v>0</v>
      </c>
      <c r="BX197" s="14">
        <f>IF([1]Sheet2!CF196=999999,"NA",[1]Sheet2!CF196)</f>
        <v>0</v>
      </c>
      <c r="BY197" s="14">
        <f>IF([1]Sheet2!CG196=999999,"NA",[1]Sheet2!CG196)</f>
        <v>0</v>
      </c>
      <c r="BZ197" s="14">
        <f>IF([1]Sheet2!CH196=999999,"NA",[1]Sheet2!CH196)</f>
        <v>0</v>
      </c>
      <c r="CA197" s="14">
        <f>IF([1]Sheet2!CI196=999999,"NA",[1]Sheet2!CI196)</f>
        <v>0</v>
      </c>
      <c r="CB197" s="14">
        <f>IF([1]Sheet2!CJ196=999999,"NA",[1]Sheet2!CJ196)</f>
        <v>0</v>
      </c>
      <c r="CC197" s="14">
        <f>IF([1]Sheet2!CK196=999999,"NA",[1]Sheet2!CK196)</f>
        <v>0</v>
      </c>
      <c r="CD197" s="14">
        <f>[1]Sheet2!BH196</f>
        <v>0</v>
      </c>
      <c r="CE197" s="14">
        <f>[1]Sheet2!BI196</f>
        <v>0</v>
      </c>
      <c r="CF197" s="14">
        <f>[1]Sheet2!BJ196</f>
        <v>0</v>
      </c>
      <c r="CG197" s="14">
        <f>[1]Sheet2!BK196</f>
        <v>0</v>
      </c>
      <c r="CH197" s="14">
        <f>[1]Sheet2!BL196</f>
        <v>0</v>
      </c>
      <c r="CI197" s="14">
        <f>[1]Sheet2!BM196</f>
        <v>0</v>
      </c>
      <c r="CJ197" s="14">
        <f>[1]Sheet2!BN196</f>
        <v>0</v>
      </c>
      <c r="CK197" s="14">
        <f>[1]Sheet2!BO196</f>
        <v>0</v>
      </c>
      <c r="CL197" s="14">
        <f>[1]Sheet2!BP196</f>
        <v>0</v>
      </c>
      <c r="CM197" s="14">
        <f>[1]Sheet2!BQ196</f>
        <v>0</v>
      </c>
      <c r="CN197" s="16">
        <f>Demand_SW!B$9/31</f>
        <v>131.01736972704714</v>
      </c>
      <c r="CO197" s="16">
        <f>Demand_SW!C$9/31</f>
        <v>0</v>
      </c>
      <c r="CP197" s="16">
        <f>Demand_SW!D$9/31</f>
        <v>0</v>
      </c>
      <c r="CQ197" s="16">
        <f>Demand_SW!E$9/31</f>
        <v>0</v>
      </c>
      <c r="CR197" s="16">
        <f>Demand_SW!F$9/31</f>
        <v>0</v>
      </c>
      <c r="CS197" s="16">
        <f>Demand_SW!G$9/31</f>
        <v>131.01736972704714</v>
      </c>
      <c r="CT197" s="16">
        <f>Demand_SW!H$9/31</f>
        <v>0</v>
      </c>
      <c r="CU197" s="16">
        <f>Demand_SW!I$9/31</f>
        <v>0</v>
      </c>
      <c r="CV197" s="16">
        <f>Demand_SW!J$9/31</f>
        <v>0</v>
      </c>
      <c r="CW197" s="16">
        <f>Demand_SW!K$9/31</f>
        <v>0</v>
      </c>
      <c r="CX197" s="16">
        <f t="shared" ref="CX197:CX260" si="116">IF(FF197="",CX196-CN197+DR197,FF197)</f>
        <v>-21300.91811414394</v>
      </c>
      <c r="CY197" s="16">
        <f t="shared" ref="CY197:CY260" si="117">IF(FG197="",CY196-CO197+DS197,FG197)</f>
        <v>76.923076923077133</v>
      </c>
      <c r="CZ197" s="16">
        <f t="shared" ref="CZ197:CZ260" si="118">IF(FH197="",CZ196-CP197+DT197,FH197)</f>
        <v>0</v>
      </c>
      <c r="DA197" s="16">
        <f t="shared" ref="DA197:DA260" si="119">IF(FI197="",DA196-CQ197+DU197,FI197)</f>
        <v>0</v>
      </c>
      <c r="DB197" s="16">
        <f t="shared" ref="DB197:DB260" si="120">IF(FJ197="",DB196-CR197+DV197,FJ197)</f>
        <v>0</v>
      </c>
      <c r="DC197" s="16">
        <f t="shared" ref="DC197:DC260" si="121">IF(FK197="",DC196-CS197+DW197,FK197)</f>
        <v>-20830.14888337471</v>
      </c>
      <c r="DD197" s="16">
        <f t="shared" ref="DD197:DD260" si="122">IF(FL197="",DD196-CT197+DX197,FL197)</f>
        <v>76.923076923077133</v>
      </c>
      <c r="DE197" s="16">
        <f t="shared" ref="DE197:DE260" si="123">IF(FM197="",DE196-CU197+DY197,FM197)</f>
        <v>0</v>
      </c>
      <c r="DF197" s="16">
        <f t="shared" ref="DF197:DF260" si="124">IF(FN197="",DF196-CV197+DZ197,FN197)</f>
        <v>0</v>
      </c>
      <c r="DG197" s="16">
        <f t="shared" ref="DG197:DG260" si="125">IF(FO197="",DG196-CW197+EA197,FO197)</f>
        <v>0</v>
      </c>
      <c r="DH197" s="14">
        <f>IF([1]Sheet2!DS196=999999,"NA",[1]Sheet2!DS196)</f>
        <v>0</v>
      </c>
      <c r="DI197" s="14">
        <f>IF([1]Sheet2!DT196=999999,"NA",[1]Sheet2!DT196)</f>
        <v>171</v>
      </c>
      <c r="DJ197" s="14" t="str">
        <f>IF([1]Sheet2!DU196=999999,"NA",[1]Sheet2!DU196)</f>
        <v>NA</v>
      </c>
      <c r="DK197" s="14" t="str">
        <f>IF([1]Sheet2!DV196=999999,"NA",[1]Sheet2!DV196)</f>
        <v>NA</v>
      </c>
      <c r="DL197" s="14" t="str">
        <f>IF([1]Sheet2!DW196=999999,"NA",[1]Sheet2!DW196)</f>
        <v>NA</v>
      </c>
      <c r="DM197" s="14">
        <f>IF([1]Sheet2!DX196=999999,"NA",[1]Sheet2!DX196)</f>
        <v>0</v>
      </c>
      <c r="DN197" s="14">
        <f>IF([1]Sheet2!DY196=999999,"NA",[1]Sheet2!DY196)</f>
        <v>171</v>
      </c>
      <c r="DO197" s="14" t="str">
        <f>IF([1]Sheet2!DZ196=999999,"NA",[1]Sheet2!DZ196)</f>
        <v>NA</v>
      </c>
      <c r="DP197" s="14" t="str">
        <f>IF([1]Sheet2!EA196=999999,"NA",[1]Sheet2!EA196)</f>
        <v>NA</v>
      </c>
      <c r="DQ197" s="14" t="str">
        <f>IF([1]Sheet2!EB196=999999,"NA",[1]Sheet2!EB196)</f>
        <v>NA</v>
      </c>
      <c r="DR197" s="14">
        <f>[1]Sheet2!CY196</f>
        <v>0</v>
      </c>
      <c r="DS197" s="14">
        <f>[1]Sheet2!CZ196</f>
        <v>0</v>
      </c>
      <c r="DT197" s="14">
        <f>[1]Sheet2!DA196</f>
        <v>0</v>
      </c>
      <c r="DU197" s="14">
        <f>[1]Sheet2!DB196</f>
        <v>0</v>
      </c>
      <c r="DV197" s="14">
        <f>[1]Sheet2!DC196</f>
        <v>0</v>
      </c>
      <c r="DW197" s="14">
        <f>[1]Sheet2!DD196</f>
        <v>0</v>
      </c>
      <c r="DX197" s="14">
        <f>[1]Sheet2!DE196</f>
        <v>0</v>
      </c>
      <c r="DY197" s="14">
        <f>[1]Sheet2!DF196</f>
        <v>0</v>
      </c>
      <c r="DZ197" s="14">
        <f>[1]Sheet2!DG196</f>
        <v>0</v>
      </c>
      <c r="EA197" s="14">
        <f>[1]Sheet2!DH196</f>
        <v>0</v>
      </c>
      <c r="EB197" s="6">
        <f>[1]Sheet2!EC196</f>
        <v>0</v>
      </c>
      <c r="EC197" s="6">
        <f>[1]Sheet2!ED196</f>
        <v>0</v>
      </c>
      <c r="ED197" s="6">
        <f>[1]Sheet2!EE196</f>
        <v>0</v>
      </c>
      <c r="EE197" s="6">
        <f>[1]Sheet2!EF196</f>
        <v>0</v>
      </c>
      <c r="EF197" s="6">
        <f>[1]Sheet2!EG196</f>
        <v>0</v>
      </c>
      <c r="EG197" s="6">
        <f>[1]Sheet2!EH196</f>
        <v>0</v>
      </c>
      <c r="EH197" s="6">
        <f>[1]Sheet2!EI196</f>
        <v>0</v>
      </c>
      <c r="EI197" s="6">
        <f>[1]Sheet2!EJ196</f>
        <v>0</v>
      </c>
      <c r="EJ197" s="6">
        <f>[1]Sheet2!EK196</f>
        <v>0</v>
      </c>
      <c r="EK197" s="6">
        <f>[1]Sheet2!EL196</f>
        <v>0</v>
      </c>
      <c r="EL197" s="6" t="str">
        <f>[1]Sheet2!EM196</f>
        <v/>
      </c>
      <c r="EM197" s="6" t="str">
        <f>[1]Sheet2!EN196</f>
        <v/>
      </c>
      <c r="EN197" s="6" t="str">
        <f>[1]Sheet2!EO196</f>
        <v/>
      </c>
      <c r="EO197" s="6" t="str">
        <f>[1]Sheet2!EP196</f>
        <v/>
      </c>
      <c r="EP197" s="6" t="str">
        <f>[1]Sheet2!EQ196</f>
        <v/>
      </c>
      <c r="EQ197" s="6" t="str">
        <f>[1]Sheet2!ER196</f>
        <v/>
      </c>
      <c r="ER197" s="6" t="str">
        <f>[1]Sheet2!ES196</f>
        <v/>
      </c>
      <c r="ES197" s="6" t="str">
        <f>[1]Sheet2!ET196</f>
        <v/>
      </c>
      <c r="ET197" s="6" t="str">
        <f>[1]Sheet2!EU196</f>
        <v/>
      </c>
      <c r="EU197" s="6" t="str">
        <f>[1]Sheet2!EV196</f>
        <v/>
      </c>
      <c r="EV197" s="6" t="str">
        <f>[1]Sheet2!EW196</f>
        <v/>
      </c>
      <c r="EW197" s="6" t="str">
        <f>[1]Sheet2!EX196</f>
        <v/>
      </c>
      <c r="EX197" s="6" t="str">
        <f>[1]Sheet2!EY196</f>
        <v/>
      </c>
      <c r="EY197" s="6" t="str">
        <f>[1]Sheet2!EZ196</f>
        <v/>
      </c>
      <c r="EZ197" s="6" t="str">
        <f>[1]Sheet2!FA196</f>
        <v/>
      </c>
      <c r="FA197" s="6" t="str">
        <f>[1]Sheet2!FB196</f>
        <v/>
      </c>
      <c r="FB197" s="6" t="str">
        <f>[1]Sheet2!FC196</f>
        <v/>
      </c>
      <c r="FC197" s="6" t="str">
        <f>[1]Sheet2!FD196</f>
        <v/>
      </c>
      <c r="FD197" s="6" t="str">
        <f>[1]Sheet2!FE196</f>
        <v/>
      </c>
      <c r="FE197" s="6" t="str">
        <f>[1]Sheet2!FF196</f>
        <v/>
      </c>
      <c r="FF197" s="6" t="str">
        <f>[1]Sheet2!FG196</f>
        <v/>
      </c>
      <c r="FG197" s="6" t="str">
        <f>[1]Sheet2!FH196</f>
        <v/>
      </c>
      <c r="FH197" s="6" t="str">
        <f>[1]Sheet2!FI196</f>
        <v/>
      </c>
      <c r="FI197" s="6" t="str">
        <f>[1]Sheet2!FJ196</f>
        <v/>
      </c>
      <c r="FJ197" s="6" t="str">
        <f>[1]Sheet2!FK196</f>
        <v/>
      </c>
      <c r="FK197" s="6" t="str">
        <f>[1]Sheet2!FL196</f>
        <v/>
      </c>
      <c r="FL197" s="6" t="str">
        <f>[1]Sheet2!FM196</f>
        <v/>
      </c>
      <c r="FM197" s="6" t="str">
        <f>[1]Sheet2!FN196</f>
        <v/>
      </c>
      <c r="FN197" s="6" t="str">
        <f>[1]Sheet2!FO196</f>
        <v/>
      </c>
      <c r="FO197" s="6" t="str">
        <f>[1]Sheet2!FP196</f>
        <v/>
      </c>
    </row>
    <row r="198" spans="1:171" x14ac:dyDescent="0.25">
      <c r="A198" s="15">
        <v>43660</v>
      </c>
      <c r="B198" s="1"/>
      <c r="C198" s="1"/>
      <c r="D198" s="1"/>
      <c r="E198" s="14">
        <f>[1]Sheet2!N197</f>
        <v>0</v>
      </c>
      <c r="F198" s="14">
        <f>[1]Sheet2!BE197</f>
        <v>0</v>
      </c>
      <c r="G198" s="14">
        <f>[1]Sheet2!CW197</f>
        <v>0</v>
      </c>
      <c r="H198" s="1"/>
      <c r="I198" s="1"/>
      <c r="J198" s="1"/>
      <c r="K198" s="16"/>
      <c r="L198" s="16">
        <f>Demand_CWRS!B$9/31</f>
        <v>137.44229993796523</v>
      </c>
      <c r="M198" s="16">
        <f>Demand_CWRS!C$9/31</f>
        <v>616.54259718775836</v>
      </c>
      <c r="N198" s="16">
        <f>Demand_CWRS!D$9/31</f>
        <v>0</v>
      </c>
      <c r="O198" s="16">
        <f>Demand_CWRS!E$9/31</f>
        <v>140.39247311827955</v>
      </c>
      <c r="P198" s="16">
        <f>Demand_CWRS!F$9/31</f>
        <v>245.11049679487181</v>
      </c>
      <c r="Q198" s="16">
        <f>Demand_CWRS!G$9/31</f>
        <v>137.44229993796523</v>
      </c>
      <c r="R198" s="16">
        <f>Demand_CWRS!H$9/31</f>
        <v>245.11049679487181</v>
      </c>
      <c r="S198" s="16">
        <f>Demand_CWRS!I$9/31</f>
        <v>245.11049679487181</v>
      </c>
      <c r="T198" s="16">
        <f>Demand_CWRS!J$9/31</f>
        <v>245.11049679487181</v>
      </c>
      <c r="U198" s="16">
        <f>Demand_CWRS!K$9/31</f>
        <v>245.11049679487181</v>
      </c>
      <c r="V198" s="16">
        <f t="shared" si="96"/>
        <v>-24284.953736528041</v>
      </c>
      <c r="W198" s="16">
        <f t="shared" si="97"/>
        <v>-92487.757899089862</v>
      </c>
      <c r="X198" s="16">
        <f t="shared" si="98"/>
        <v>0</v>
      </c>
      <c r="Y198" s="16">
        <f t="shared" si="99"/>
        <v>-15506.771173477393</v>
      </c>
      <c r="Z198" s="16">
        <f t="shared" si="100"/>
        <v>-40709.710789922086</v>
      </c>
      <c r="AA198" s="16">
        <f t="shared" si="101"/>
        <v>-22959.180587489605</v>
      </c>
      <c r="AB198" s="16">
        <f t="shared" si="102"/>
        <v>-45018.875565563045</v>
      </c>
      <c r="AC198" s="16">
        <f t="shared" si="103"/>
        <v>-39225.865309152854</v>
      </c>
      <c r="AD198" s="16">
        <f t="shared" si="104"/>
        <v>-39325.865309152847</v>
      </c>
      <c r="AE198" s="16">
        <f t="shared" si="105"/>
        <v>-39925.865309152839</v>
      </c>
      <c r="AF198" s="14">
        <f>IF([1]Sheet2!AJ197=999999,"NA",[1]Sheet2!AJ197)</f>
        <v>0</v>
      </c>
      <c r="AG198" s="14">
        <f>IF([1]Sheet2!AK197=999999,"NA",[1]Sheet2!AK197)</f>
        <v>0</v>
      </c>
      <c r="AH198" s="14" t="str">
        <f>IF([1]Sheet2!AL197=999999,"NA",[1]Sheet2!AL197)</f>
        <v>NA</v>
      </c>
      <c r="AI198" s="14">
        <f>IF([1]Sheet2!AM197=999999,"NA",[1]Sheet2!AM197)</f>
        <v>0</v>
      </c>
      <c r="AJ198" s="14">
        <f>IF([1]Sheet2!AN197=999999,"NA",[1]Sheet2!AN197)</f>
        <v>0</v>
      </c>
      <c r="AK198" s="14">
        <f>IF([1]Sheet2!AO197=999999,"NA",[1]Sheet2!AO197)</f>
        <v>0</v>
      </c>
      <c r="AL198" s="14">
        <f>IF([1]Sheet2!AP197=999999,"NA",[1]Sheet2!AP197)</f>
        <v>0</v>
      </c>
      <c r="AM198" s="14">
        <f>IF([1]Sheet2!AQ197=999999,"NA",[1]Sheet2!AQ197)</f>
        <v>0</v>
      </c>
      <c r="AN198" s="14">
        <f>IF([1]Sheet2!AR197=999999,"NA",[1]Sheet2!AR197)</f>
        <v>0</v>
      </c>
      <c r="AO198" s="14">
        <f>IF([1]Sheet2!AS197=999999,"NA",[1]Sheet2!AS197)</f>
        <v>0</v>
      </c>
      <c r="AP198" s="14">
        <f>[1]Sheet2!P197</f>
        <v>0</v>
      </c>
      <c r="AQ198" s="14">
        <f>[1]Sheet2!Q197</f>
        <v>0</v>
      </c>
      <c r="AR198" s="14">
        <f>[1]Sheet2!R197</f>
        <v>0</v>
      </c>
      <c r="AS198" s="14">
        <f>[1]Sheet2!S197</f>
        <v>0</v>
      </c>
      <c r="AT198" s="14">
        <f>[1]Sheet2!T197</f>
        <v>0</v>
      </c>
      <c r="AU198" s="14">
        <f>[1]Sheet2!U197</f>
        <v>0</v>
      </c>
      <c r="AV198" s="14">
        <f>[1]Sheet2!V197</f>
        <v>0</v>
      </c>
      <c r="AW198" s="14">
        <f>[1]Sheet2!W197</f>
        <v>0</v>
      </c>
      <c r="AX198" s="14">
        <f>[1]Sheet2!X197</f>
        <v>0</v>
      </c>
      <c r="AY198" s="14">
        <f>[1]Sheet2!Y197</f>
        <v>0</v>
      </c>
      <c r="AZ198" s="16">
        <f>Demand_LP!B$9/31</f>
        <v>878.29658550454917</v>
      </c>
      <c r="BA198" s="16">
        <f>Demand_LP!C$9/31</f>
        <v>663.85442514474767</v>
      </c>
      <c r="BB198" s="16">
        <f>Demand_LP!D$9/31</f>
        <v>335.39784946236568</v>
      </c>
      <c r="BC198" s="16">
        <f>Demand_LP!E$9/31</f>
        <v>725.23531844499576</v>
      </c>
      <c r="BD198" s="16">
        <f>Demand_LP!F$9/31</f>
        <v>456.65268558726217</v>
      </c>
      <c r="BE198" s="16">
        <f>Demand_LP!G$9/31</f>
        <v>456.65268558726217</v>
      </c>
      <c r="BF198" s="16">
        <f>Demand_LP!H$9/31</f>
        <v>663.85442514474767</v>
      </c>
      <c r="BG198" s="16">
        <f>Demand_LP!I$9/31</f>
        <v>456.65268558726217</v>
      </c>
      <c r="BH198" s="16">
        <f>Demand_LP!J$9/31</f>
        <v>456.65268558726217</v>
      </c>
      <c r="BI198" s="16">
        <f>Demand_LP!K$9/31</f>
        <v>456.65268558726217</v>
      </c>
      <c r="BJ198" s="16">
        <f t="shared" si="106"/>
        <v>-138481.86311990715</v>
      </c>
      <c r="BK198" s="16">
        <f t="shared" si="107"/>
        <v>-111480.05682382114</v>
      </c>
      <c r="BL198" s="16">
        <f t="shared" si="108"/>
        <v>-51387.176302729575</v>
      </c>
      <c r="BM198" s="16">
        <f t="shared" si="109"/>
        <v>-141715.20085225772</v>
      </c>
      <c r="BN198" s="16">
        <f t="shared" si="110"/>
        <v>-82174.18414459459</v>
      </c>
      <c r="BO198" s="16">
        <f t="shared" si="111"/>
        <v>-80631.868062965324</v>
      </c>
      <c r="BP198" s="16">
        <f t="shared" si="112"/>
        <v>-105837.63631100065</v>
      </c>
      <c r="BQ198" s="16">
        <f t="shared" si="113"/>
        <v>-80631.868062965324</v>
      </c>
      <c r="BR198" s="16">
        <f t="shared" si="114"/>
        <v>-78231.868062965368</v>
      </c>
      <c r="BS198" s="16">
        <f t="shared" si="115"/>
        <v>-78931.868062965354</v>
      </c>
      <c r="BT198" s="14">
        <f>IF([1]Sheet2!CB197=999999,"NA",[1]Sheet2!CB197)</f>
        <v>0</v>
      </c>
      <c r="BU198" s="14">
        <f>IF([1]Sheet2!CC197=999999,"NA",[1]Sheet2!CC197)</f>
        <v>0</v>
      </c>
      <c r="BV198" s="14">
        <f>IF([1]Sheet2!CD197=999999,"NA",[1]Sheet2!CD197)</f>
        <v>0</v>
      </c>
      <c r="BW198" s="14">
        <f>IF([1]Sheet2!CE197=999999,"NA",[1]Sheet2!CE197)</f>
        <v>0</v>
      </c>
      <c r="BX198" s="14">
        <f>IF([1]Sheet2!CF197=999999,"NA",[1]Sheet2!CF197)</f>
        <v>0</v>
      </c>
      <c r="BY198" s="14">
        <f>IF([1]Sheet2!CG197=999999,"NA",[1]Sheet2!CG197)</f>
        <v>0</v>
      </c>
      <c r="BZ198" s="14">
        <f>IF([1]Sheet2!CH197=999999,"NA",[1]Sheet2!CH197)</f>
        <v>0</v>
      </c>
      <c r="CA198" s="14">
        <f>IF([1]Sheet2!CI197=999999,"NA",[1]Sheet2!CI197)</f>
        <v>0</v>
      </c>
      <c r="CB198" s="14">
        <f>IF([1]Sheet2!CJ197=999999,"NA",[1]Sheet2!CJ197)</f>
        <v>0</v>
      </c>
      <c r="CC198" s="14">
        <f>IF([1]Sheet2!CK197=999999,"NA",[1]Sheet2!CK197)</f>
        <v>0</v>
      </c>
      <c r="CD198" s="14">
        <f>[1]Sheet2!BH197</f>
        <v>0</v>
      </c>
      <c r="CE198" s="14">
        <f>[1]Sheet2!BI197</f>
        <v>0</v>
      </c>
      <c r="CF198" s="14">
        <f>[1]Sheet2!BJ197</f>
        <v>0</v>
      </c>
      <c r="CG198" s="14">
        <f>[1]Sheet2!BK197</f>
        <v>0</v>
      </c>
      <c r="CH198" s="14">
        <f>[1]Sheet2!BL197</f>
        <v>0</v>
      </c>
      <c r="CI198" s="14">
        <f>[1]Sheet2!BM197</f>
        <v>0</v>
      </c>
      <c r="CJ198" s="14">
        <f>[1]Sheet2!BN197</f>
        <v>0</v>
      </c>
      <c r="CK198" s="14">
        <f>[1]Sheet2!BO197</f>
        <v>0</v>
      </c>
      <c r="CL198" s="14">
        <f>[1]Sheet2!BP197</f>
        <v>0</v>
      </c>
      <c r="CM198" s="14">
        <f>[1]Sheet2!BQ197</f>
        <v>0</v>
      </c>
      <c r="CN198" s="16">
        <f>Demand_SW!B$9/31</f>
        <v>131.01736972704714</v>
      </c>
      <c r="CO198" s="16">
        <f>Demand_SW!C$9/31</f>
        <v>0</v>
      </c>
      <c r="CP198" s="16">
        <f>Demand_SW!D$9/31</f>
        <v>0</v>
      </c>
      <c r="CQ198" s="16">
        <f>Demand_SW!E$9/31</f>
        <v>0</v>
      </c>
      <c r="CR198" s="16">
        <f>Demand_SW!F$9/31</f>
        <v>0</v>
      </c>
      <c r="CS198" s="16">
        <f>Demand_SW!G$9/31</f>
        <v>131.01736972704714</v>
      </c>
      <c r="CT198" s="16">
        <f>Demand_SW!H$9/31</f>
        <v>0</v>
      </c>
      <c r="CU198" s="16">
        <f>Demand_SW!I$9/31</f>
        <v>0</v>
      </c>
      <c r="CV198" s="16">
        <f>Demand_SW!J$9/31</f>
        <v>0</v>
      </c>
      <c r="CW198" s="16">
        <f>Demand_SW!K$9/31</f>
        <v>0</v>
      </c>
      <c r="CX198" s="16">
        <f t="shared" si="116"/>
        <v>-21431.935483870988</v>
      </c>
      <c r="CY198" s="16">
        <f t="shared" si="117"/>
        <v>76.923076923077133</v>
      </c>
      <c r="CZ198" s="16">
        <f t="shared" si="118"/>
        <v>0</v>
      </c>
      <c r="DA198" s="16">
        <f t="shared" si="119"/>
        <v>0</v>
      </c>
      <c r="DB198" s="16">
        <f t="shared" si="120"/>
        <v>0</v>
      </c>
      <c r="DC198" s="16">
        <f t="shared" si="121"/>
        <v>-20961.166253101757</v>
      </c>
      <c r="DD198" s="16">
        <f t="shared" si="122"/>
        <v>76.923076923077133</v>
      </c>
      <c r="DE198" s="16">
        <f t="shared" si="123"/>
        <v>0</v>
      </c>
      <c r="DF198" s="16">
        <f t="shared" si="124"/>
        <v>0</v>
      </c>
      <c r="DG198" s="16">
        <f t="shared" si="125"/>
        <v>0</v>
      </c>
      <c r="DH198" s="14">
        <f>IF([1]Sheet2!DS197=999999,"NA",[1]Sheet2!DS197)</f>
        <v>0</v>
      </c>
      <c r="DI198" s="14">
        <f>IF([1]Sheet2!DT197=999999,"NA",[1]Sheet2!DT197)</f>
        <v>170</v>
      </c>
      <c r="DJ198" s="14" t="str">
        <f>IF([1]Sheet2!DU197=999999,"NA",[1]Sheet2!DU197)</f>
        <v>NA</v>
      </c>
      <c r="DK198" s="14" t="str">
        <f>IF([1]Sheet2!DV197=999999,"NA",[1]Sheet2!DV197)</f>
        <v>NA</v>
      </c>
      <c r="DL198" s="14" t="str">
        <f>IF([1]Sheet2!DW197=999999,"NA",[1]Sheet2!DW197)</f>
        <v>NA</v>
      </c>
      <c r="DM198" s="14">
        <f>IF([1]Sheet2!DX197=999999,"NA",[1]Sheet2!DX197)</f>
        <v>0</v>
      </c>
      <c r="DN198" s="14">
        <f>IF([1]Sheet2!DY197=999999,"NA",[1]Sheet2!DY197)</f>
        <v>170</v>
      </c>
      <c r="DO198" s="14" t="str">
        <f>IF([1]Sheet2!DZ197=999999,"NA",[1]Sheet2!DZ197)</f>
        <v>NA</v>
      </c>
      <c r="DP198" s="14" t="str">
        <f>IF([1]Sheet2!EA197=999999,"NA",[1]Sheet2!EA197)</f>
        <v>NA</v>
      </c>
      <c r="DQ198" s="14" t="str">
        <f>IF([1]Sheet2!EB197=999999,"NA",[1]Sheet2!EB197)</f>
        <v>NA</v>
      </c>
      <c r="DR198" s="14">
        <f>[1]Sheet2!CY197</f>
        <v>0</v>
      </c>
      <c r="DS198" s="14">
        <f>[1]Sheet2!CZ197</f>
        <v>0</v>
      </c>
      <c r="DT198" s="14">
        <f>[1]Sheet2!DA197</f>
        <v>0</v>
      </c>
      <c r="DU198" s="14">
        <f>[1]Sheet2!DB197</f>
        <v>0</v>
      </c>
      <c r="DV198" s="14">
        <f>[1]Sheet2!DC197</f>
        <v>0</v>
      </c>
      <c r="DW198" s="14">
        <f>[1]Sheet2!DD197</f>
        <v>0</v>
      </c>
      <c r="DX198" s="14">
        <f>[1]Sheet2!DE197</f>
        <v>0</v>
      </c>
      <c r="DY198" s="14">
        <f>[1]Sheet2!DF197</f>
        <v>0</v>
      </c>
      <c r="DZ198" s="14">
        <f>[1]Sheet2!DG197</f>
        <v>0</v>
      </c>
      <c r="EA198" s="14">
        <f>[1]Sheet2!DH197</f>
        <v>0</v>
      </c>
      <c r="EB198" s="6">
        <f>[1]Sheet2!EC197</f>
        <v>0</v>
      </c>
      <c r="EC198" s="6">
        <f>[1]Sheet2!ED197</f>
        <v>0</v>
      </c>
      <c r="ED198" s="6">
        <f>[1]Sheet2!EE197</f>
        <v>0</v>
      </c>
      <c r="EE198" s="6">
        <f>[1]Sheet2!EF197</f>
        <v>0</v>
      </c>
      <c r="EF198" s="6">
        <f>[1]Sheet2!EG197</f>
        <v>0</v>
      </c>
      <c r="EG198" s="6">
        <f>[1]Sheet2!EH197</f>
        <v>0</v>
      </c>
      <c r="EH198" s="6">
        <f>[1]Sheet2!EI197</f>
        <v>0</v>
      </c>
      <c r="EI198" s="6">
        <f>[1]Sheet2!EJ197</f>
        <v>0</v>
      </c>
      <c r="EJ198" s="6">
        <f>[1]Sheet2!EK197</f>
        <v>0</v>
      </c>
      <c r="EK198" s="6">
        <f>[1]Sheet2!EL197</f>
        <v>0</v>
      </c>
      <c r="EL198" s="6" t="str">
        <f>[1]Sheet2!EM197</f>
        <v/>
      </c>
      <c r="EM198" s="6" t="str">
        <f>[1]Sheet2!EN197</f>
        <v/>
      </c>
      <c r="EN198" s="6" t="str">
        <f>[1]Sheet2!EO197</f>
        <v/>
      </c>
      <c r="EO198" s="6" t="str">
        <f>[1]Sheet2!EP197</f>
        <v/>
      </c>
      <c r="EP198" s="6" t="str">
        <f>[1]Sheet2!EQ197</f>
        <v/>
      </c>
      <c r="EQ198" s="6" t="str">
        <f>[1]Sheet2!ER197</f>
        <v/>
      </c>
      <c r="ER198" s="6" t="str">
        <f>[1]Sheet2!ES197</f>
        <v/>
      </c>
      <c r="ES198" s="6" t="str">
        <f>[1]Sheet2!ET197</f>
        <v/>
      </c>
      <c r="ET198" s="6" t="str">
        <f>[1]Sheet2!EU197</f>
        <v/>
      </c>
      <c r="EU198" s="6" t="str">
        <f>[1]Sheet2!EV197</f>
        <v/>
      </c>
      <c r="EV198" s="6" t="str">
        <f>[1]Sheet2!EW197</f>
        <v/>
      </c>
      <c r="EW198" s="6" t="str">
        <f>[1]Sheet2!EX197</f>
        <v/>
      </c>
      <c r="EX198" s="6" t="str">
        <f>[1]Sheet2!EY197</f>
        <v/>
      </c>
      <c r="EY198" s="6" t="str">
        <f>[1]Sheet2!EZ197</f>
        <v/>
      </c>
      <c r="EZ198" s="6" t="str">
        <f>[1]Sheet2!FA197</f>
        <v/>
      </c>
      <c r="FA198" s="6" t="str">
        <f>[1]Sheet2!FB197</f>
        <v/>
      </c>
      <c r="FB198" s="6" t="str">
        <f>[1]Sheet2!FC197</f>
        <v/>
      </c>
      <c r="FC198" s="6" t="str">
        <f>[1]Sheet2!FD197</f>
        <v/>
      </c>
      <c r="FD198" s="6" t="str">
        <f>[1]Sheet2!FE197</f>
        <v/>
      </c>
      <c r="FE198" s="6" t="str">
        <f>[1]Sheet2!FF197</f>
        <v/>
      </c>
      <c r="FF198" s="6" t="str">
        <f>[1]Sheet2!FG197</f>
        <v/>
      </c>
      <c r="FG198" s="6" t="str">
        <f>[1]Sheet2!FH197</f>
        <v/>
      </c>
      <c r="FH198" s="6" t="str">
        <f>[1]Sheet2!FI197</f>
        <v/>
      </c>
      <c r="FI198" s="6" t="str">
        <f>[1]Sheet2!FJ197</f>
        <v/>
      </c>
      <c r="FJ198" s="6" t="str">
        <f>[1]Sheet2!FK197</f>
        <v/>
      </c>
      <c r="FK198" s="6" t="str">
        <f>[1]Sheet2!FL197</f>
        <v/>
      </c>
      <c r="FL198" s="6" t="str">
        <f>[1]Sheet2!FM197</f>
        <v/>
      </c>
      <c r="FM198" s="6" t="str">
        <f>[1]Sheet2!FN197</f>
        <v/>
      </c>
      <c r="FN198" s="6" t="str">
        <f>[1]Sheet2!FO197</f>
        <v/>
      </c>
      <c r="FO198" s="6" t="str">
        <f>[1]Sheet2!FP197</f>
        <v/>
      </c>
    </row>
    <row r="199" spans="1:171" x14ac:dyDescent="0.25">
      <c r="A199" s="15">
        <v>43661</v>
      </c>
      <c r="B199" s="1"/>
      <c r="C199" s="1"/>
      <c r="D199" s="1"/>
      <c r="E199" s="14">
        <f>[1]Sheet2!N198</f>
        <v>0</v>
      </c>
      <c r="F199" s="14">
        <f>[1]Sheet2!BE198</f>
        <v>48000</v>
      </c>
      <c r="G199" s="14">
        <f>[1]Sheet2!CW198</f>
        <v>48000</v>
      </c>
      <c r="H199" s="1"/>
      <c r="I199" s="1"/>
      <c r="J199" s="1"/>
      <c r="K199" s="16"/>
      <c r="L199" s="16">
        <f>Demand_CWRS!B$9/31</f>
        <v>137.44229993796523</v>
      </c>
      <c r="M199" s="16">
        <f>Demand_CWRS!C$9/31</f>
        <v>616.54259718775836</v>
      </c>
      <c r="N199" s="16">
        <f>Demand_CWRS!D$9/31</f>
        <v>0</v>
      </c>
      <c r="O199" s="16">
        <f>Demand_CWRS!E$9/31</f>
        <v>140.39247311827955</v>
      </c>
      <c r="P199" s="16">
        <f>Demand_CWRS!F$9/31</f>
        <v>245.11049679487181</v>
      </c>
      <c r="Q199" s="16">
        <f>Demand_CWRS!G$9/31</f>
        <v>137.44229993796523</v>
      </c>
      <c r="R199" s="16">
        <f>Demand_CWRS!H$9/31</f>
        <v>245.11049679487181</v>
      </c>
      <c r="S199" s="16">
        <f>Demand_CWRS!I$9/31</f>
        <v>245.11049679487181</v>
      </c>
      <c r="T199" s="16">
        <f>Demand_CWRS!J$9/31</f>
        <v>245.11049679487181</v>
      </c>
      <c r="U199" s="16">
        <f>Demand_CWRS!K$9/31</f>
        <v>245.11049679487181</v>
      </c>
      <c r="V199" s="16">
        <f t="shared" si="96"/>
        <v>-24422.396036466005</v>
      </c>
      <c r="W199" s="16">
        <f t="shared" si="97"/>
        <v>-93104.300496277618</v>
      </c>
      <c r="X199" s="16">
        <f t="shared" si="98"/>
        <v>0</v>
      </c>
      <c r="Y199" s="16">
        <f t="shared" si="99"/>
        <v>-15647.163646595673</v>
      </c>
      <c r="Z199" s="16">
        <f t="shared" si="100"/>
        <v>-40954.821286716957</v>
      </c>
      <c r="AA199" s="16">
        <f t="shared" si="101"/>
        <v>-23096.622887427569</v>
      </c>
      <c r="AB199" s="16">
        <f t="shared" si="102"/>
        <v>-45263.986062357915</v>
      </c>
      <c r="AC199" s="16">
        <f t="shared" si="103"/>
        <v>-39470.975805947724</v>
      </c>
      <c r="AD199" s="16">
        <f t="shared" si="104"/>
        <v>-39570.975805947717</v>
      </c>
      <c r="AE199" s="16">
        <f t="shared" si="105"/>
        <v>-40170.97580594771</v>
      </c>
      <c r="AF199" s="14">
        <f>IF([1]Sheet2!AJ198=999999,"NA",[1]Sheet2!AJ198)</f>
        <v>0</v>
      </c>
      <c r="AG199" s="14">
        <f>IF([1]Sheet2!AK198=999999,"NA",[1]Sheet2!AK198)</f>
        <v>0</v>
      </c>
      <c r="AH199" s="14" t="str">
        <f>IF([1]Sheet2!AL198=999999,"NA",[1]Sheet2!AL198)</f>
        <v>NA</v>
      </c>
      <c r="AI199" s="14">
        <f>IF([1]Sheet2!AM198=999999,"NA",[1]Sheet2!AM198)</f>
        <v>0</v>
      </c>
      <c r="AJ199" s="14">
        <f>IF([1]Sheet2!AN198=999999,"NA",[1]Sheet2!AN198)</f>
        <v>0</v>
      </c>
      <c r="AK199" s="14">
        <f>IF([1]Sheet2!AO198=999999,"NA",[1]Sheet2!AO198)</f>
        <v>0</v>
      </c>
      <c r="AL199" s="14">
        <f>IF([1]Sheet2!AP198=999999,"NA",[1]Sheet2!AP198)</f>
        <v>0</v>
      </c>
      <c r="AM199" s="14">
        <f>IF([1]Sheet2!AQ198=999999,"NA",[1]Sheet2!AQ198)</f>
        <v>0</v>
      </c>
      <c r="AN199" s="14">
        <f>IF([1]Sheet2!AR198=999999,"NA",[1]Sheet2!AR198)</f>
        <v>0</v>
      </c>
      <c r="AO199" s="14">
        <f>IF([1]Sheet2!AS198=999999,"NA",[1]Sheet2!AS198)</f>
        <v>0</v>
      </c>
      <c r="AP199" s="14">
        <f>[1]Sheet2!P198</f>
        <v>0</v>
      </c>
      <c r="AQ199" s="14">
        <f>[1]Sheet2!Q198</f>
        <v>0</v>
      </c>
      <c r="AR199" s="14">
        <f>[1]Sheet2!R198</f>
        <v>0</v>
      </c>
      <c r="AS199" s="14">
        <f>[1]Sheet2!S198</f>
        <v>0</v>
      </c>
      <c r="AT199" s="14">
        <f>[1]Sheet2!T198</f>
        <v>0</v>
      </c>
      <c r="AU199" s="14">
        <f>[1]Sheet2!U198</f>
        <v>0</v>
      </c>
      <c r="AV199" s="14">
        <f>[1]Sheet2!V198</f>
        <v>0</v>
      </c>
      <c r="AW199" s="14">
        <f>[1]Sheet2!W198</f>
        <v>0</v>
      </c>
      <c r="AX199" s="14">
        <f>[1]Sheet2!X198</f>
        <v>0</v>
      </c>
      <c r="AY199" s="14">
        <f>[1]Sheet2!Y198</f>
        <v>0</v>
      </c>
      <c r="AZ199" s="16">
        <f>Demand_LP!B$9/31</f>
        <v>878.29658550454917</v>
      </c>
      <c r="BA199" s="16">
        <f>Demand_LP!C$9/31</f>
        <v>663.85442514474767</v>
      </c>
      <c r="BB199" s="16">
        <f>Demand_LP!D$9/31</f>
        <v>335.39784946236568</v>
      </c>
      <c r="BC199" s="16">
        <f>Demand_LP!E$9/31</f>
        <v>725.23531844499576</v>
      </c>
      <c r="BD199" s="16">
        <f>Demand_LP!F$9/31</f>
        <v>456.65268558726217</v>
      </c>
      <c r="BE199" s="16">
        <f>Demand_LP!G$9/31</f>
        <v>456.65268558726217</v>
      </c>
      <c r="BF199" s="16">
        <f>Demand_LP!H$9/31</f>
        <v>663.85442514474767</v>
      </c>
      <c r="BG199" s="16">
        <f>Demand_LP!I$9/31</f>
        <v>456.65268558726217</v>
      </c>
      <c r="BH199" s="16">
        <f>Demand_LP!J$9/31</f>
        <v>456.65268558726217</v>
      </c>
      <c r="BI199" s="16">
        <f>Demand_LP!K$9/31</f>
        <v>456.65268558726217</v>
      </c>
      <c r="BJ199" s="16">
        <f t="shared" si="106"/>
        <v>-139360.1597054117</v>
      </c>
      <c r="BK199" s="16">
        <f t="shared" si="107"/>
        <v>-112143.91124896589</v>
      </c>
      <c r="BL199" s="16">
        <f t="shared" si="108"/>
        <v>-51722.574152191941</v>
      </c>
      <c r="BM199" s="16">
        <f t="shared" si="109"/>
        <v>-142440.43617070271</v>
      </c>
      <c r="BN199" s="16">
        <f t="shared" si="110"/>
        <v>-82630.836830181855</v>
      </c>
      <c r="BO199" s="16">
        <f t="shared" si="111"/>
        <v>-81088.52074855259</v>
      </c>
      <c r="BP199" s="16">
        <f t="shared" si="112"/>
        <v>-106501.4907361454</v>
      </c>
      <c r="BQ199" s="16">
        <f t="shared" si="113"/>
        <v>-81088.52074855259</v>
      </c>
      <c r="BR199" s="16">
        <f t="shared" si="114"/>
        <v>-78688.520748552633</v>
      </c>
      <c r="BS199" s="16">
        <f t="shared" si="115"/>
        <v>-79388.520748552619</v>
      </c>
      <c r="BT199" s="14">
        <f>IF([1]Sheet2!CB198=999999,"NA",[1]Sheet2!CB198)</f>
        <v>0</v>
      </c>
      <c r="BU199" s="14">
        <f>IF([1]Sheet2!CC198=999999,"NA",[1]Sheet2!CC198)</f>
        <v>0</v>
      </c>
      <c r="BV199" s="14">
        <f>IF([1]Sheet2!CD198=999999,"NA",[1]Sheet2!CD198)</f>
        <v>0</v>
      </c>
      <c r="BW199" s="14">
        <f>IF([1]Sheet2!CE198=999999,"NA",[1]Sheet2!CE198)</f>
        <v>0</v>
      </c>
      <c r="BX199" s="14">
        <f>IF([1]Sheet2!CF198=999999,"NA",[1]Sheet2!CF198)</f>
        <v>0</v>
      </c>
      <c r="BY199" s="14">
        <f>IF([1]Sheet2!CG198=999999,"NA",[1]Sheet2!CG198)</f>
        <v>0</v>
      </c>
      <c r="BZ199" s="14">
        <f>IF([1]Sheet2!CH198=999999,"NA",[1]Sheet2!CH198)</f>
        <v>0</v>
      </c>
      <c r="CA199" s="14">
        <f>IF([1]Sheet2!CI198=999999,"NA",[1]Sheet2!CI198)</f>
        <v>0</v>
      </c>
      <c r="CB199" s="14">
        <f>IF([1]Sheet2!CJ198=999999,"NA",[1]Sheet2!CJ198)</f>
        <v>0</v>
      </c>
      <c r="CC199" s="14">
        <f>IF([1]Sheet2!CK198=999999,"NA",[1]Sheet2!CK198)</f>
        <v>0</v>
      </c>
      <c r="CD199" s="14">
        <f>[1]Sheet2!BH198</f>
        <v>0</v>
      </c>
      <c r="CE199" s="14">
        <f>[1]Sheet2!BI198</f>
        <v>0</v>
      </c>
      <c r="CF199" s="14">
        <f>[1]Sheet2!BJ198</f>
        <v>0</v>
      </c>
      <c r="CG199" s="14">
        <f>[1]Sheet2!BK198</f>
        <v>0</v>
      </c>
      <c r="CH199" s="14">
        <f>[1]Sheet2!BL198</f>
        <v>0</v>
      </c>
      <c r="CI199" s="14">
        <f>[1]Sheet2!BM198</f>
        <v>0</v>
      </c>
      <c r="CJ199" s="14">
        <f>[1]Sheet2!BN198</f>
        <v>0</v>
      </c>
      <c r="CK199" s="14">
        <f>[1]Sheet2!BO198</f>
        <v>0</v>
      </c>
      <c r="CL199" s="14">
        <f>[1]Sheet2!BP198</f>
        <v>0</v>
      </c>
      <c r="CM199" s="14">
        <f>[1]Sheet2!BQ198</f>
        <v>0</v>
      </c>
      <c r="CN199" s="16">
        <f>Demand_SW!B$9/31</f>
        <v>131.01736972704714</v>
      </c>
      <c r="CO199" s="16">
        <f>Demand_SW!C$9/31</f>
        <v>0</v>
      </c>
      <c r="CP199" s="16">
        <f>Demand_SW!D$9/31</f>
        <v>0</v>
      </c>
      <c r="CQ199" s="16">
        <f>Demand_SW!E$9/31</f>
        <v>0</v>
      </c>
      <c r="CR199" s="16">
        <f>Demand_SW!F$9/31</f>
        <v>0</v>
      </c>
      <c r="CS199" s="16">
        <f>Demand_SW!G$9/31</f>
        <v>131.01736972704714</v>
      </c>
      <c r="CT199" s="16">
        <f>Demand_SW!H$9/31</f>
        <v>0</v>
      </c>
      <c r="CU199" s="16">
        <f>Demand_SW!I$9/31</f>
        <v>0</v>
      </c>
      <c r="CV199" s="16">
        <f>Demand_SW!J$9/31</f>
        <v>0</v>
      </c>
      <c r="CW199" s="16">
        <f>Demand_SW!K$9/31</f>
        <v>0</v>
      </c>
      <c r="CX199" s="16">
        <f t="shared" si="116"/>
        <v>-21562.952853598035</v>
      </c>
      <c r="CY199" s="16">
        <f t="shared" si="117"/>
        <v>76.923076923077133</v>
      </c>
      <c r="CZ199" s="16">
        <f t="shared" si="118"/>
        <v>0</v>
      </c>
      <c r="DA199" s="16">
        <f t="shared" si="119"/>
        <v>0</v>
      </c>
      <c r="DB199" s="16">
        <f t="shared" si="120"/>
        <v>0</v>
      </c>
      <c r="DC199" s="16">
        <f t="shared" si="121"/>
        <v>-21092.183622828805</v>
      </c>
      <c r="DD199" s="16">
        <f t="shared" si="122"/>
        <v>76.923076923077133</v>
      </c>
      <c r="DE199" s="16">
        <f t="shared" si="123"/>
        <v>0</v>
      </c>
      <c r="DF199" s="16">
        <f t="shared" si="124"/>
        <v>0</v>
      </c>
      <c r="DG199" s="16">
        <f t="shared" si="125"/>
        <v>0</v>
      </c>
      <c r="DH199" s="14">
        <f>IF([1]Sheet2!DS198=999999,"NA",[1]Sheet2!DS198)</f>
        <v>0</v>
      </c>
      <c r="DI199" s="14">
        <f>IF([1]Sheet2!DT198=999999,"NA",[1]Sheet2!DT198)</f>
        <v>169</v>
      </c>
      <c r="DJ199" s="14" t="str">
        <f>IF([1]Sheet2!DU198=999999,"NA",[1]Sheet2!DU198)</f>
        <v>NA</v>
      </c>
      <c r="DK199" s="14" t="str">
        <f>IF([1]Sheet2!DV198=999999,"NA",[1]Sheet2!DV198)</f>
        <v>NA</v>
      </c>
      <c r="DL199" s="14" t="str">
        <f>IF([1]Sheet2!DW198=999999,"NA",[1]Sheet2!DW198)</f>
        <v>NA</v>
      </c>
      <c r="DM199" s="14">
        <f>IF([1]Sheet2!DX198=999999,"NA",[1]Sheet2!DX198)</f>
        <v>0</v>
      </c>
      <c r="DN199" s="14">
        <f>IF([1]Sheet2!DY198=999999,"NA",[1]Sheet2!DY198)</f>
        <v>169</v>
      </c>
      <c r="DO199" s="14" t="str">
        <f>IF([1]Sheet2!DZ198=999999,"NA",[1]Sheet2!DZ198)</f>
        <v>NA</v>
      </c>
      <c r="DP199" s="14" t="str">
        <f>IF([1]Sheet2!EA198=999999,"NA",[1]Sheet2!EA198)</f>
        <v>NA</v>
      </c>
      <c r="DQ199" s="14" t="str">
        <f>IF([1]Sheet2!EB198=999999,"NA",[1]Sheet2!EB198)</f>
        <v>NA</v>
      </c>
      <c r="DR199" s="14">
        <f>[1]Sheet2!CY198</f>
        <v>0</v>
      </c>
      <c r="DS199" s="14">
        <f>[1]Sheet2!CZ198</f>
        <v>0</v>
      </c>
      <c r="DT199" s="14">
        <f>[1]Sheet2!DA198</f>
        <v>0</v>
      </c>
      <c r="DU199" s="14">
        <f>[1]Sheet2!DB198</f>
        <v>0</v>
      </c>
      <c r="DV199" s="14">
        <f>[1]Sheet2!DC198</f>
        <v>0</v>
      </c>
      <c r="DW199" s="14">
        <f>[1]Sheet2!DD198</f>
        <v>0</v>
      </c>
      <c r="DX199" s="14">
        <f>[1]Sheet2!DE198</f>
        <v>0</v>
      </c>
      <c r="DY199" s="14">
        <f>[1]Sheet2!DF198</f>
        <v>0</v>
      </c>
      <c r="DZ199" s="14">
        <f>[1]Sheet2!DG198</f>
        <v>0</v>
      </c>
      <c r="EA199" s="14">
        <f>[1]Sheet2!DH198</f>
        <v>0</v>
      </c>
      <c r="EB199" s="6">
        <f>[1]Sheet2!EC198</f>
        <v>0</v>
      </c>
      <c r="EC199" s="6">
        <f>[1]Sheet2!ED198</f>
        <v>0</v>
      </c>
      <c r="ED199" s="6">
        <f>[1]Sheet2!EE198</f>
        <v>0</v>
      </c>
      <c r="EE199" s="6">
        <f>[1]Sheet2!EF198</f>
        <v>0</v>
      </c>
      <c r="EF199" s="6">
        <f>[1]Sheet2!EG198</f>
        <v>0</v>
      </c>
      <c r="EG199" s="6">
        <f>[1]Sheet2!EH198</f>
        <v>0</v>
      </c>
      <c r="EH199" s="6">
        <f>[1]Sheet2!EI198</f>
        <v>0</v>
      </c>
      <c r="EI199" s="6">
        <f>[1]Sheet2!EJ198</f>
        <v>0</v>
      </c>
      <c r="EJ199" s="6">
        <f>[1]Sheet2!EK198</f>
        <v>0</v>
      </c>
      <c r="EK199" s="6">
        <f>[1]Sheet2!EL198</f>
        <v>0</v>
      </c>
      <c r="EL199" s="6" t="str">
        <f>[1]Sheet2!EM198</f>
        <v/>
      </c>
      <c r="EM199" s="6" t="str">
        <f>[1]Sheet2!EN198</f>
        <v/>
      </c>
      <c r="EN199" s="6" t="str">
        <f>[1]Sheet2!EO198</f>
        <v/>
      </c>
      <c r="EO199" s="6" t="str">
        <f>[1]Sheet2!EP198</f>
        <v/>
      </c>
      <c r="EP199" s="6" t="str">
        <f>[1]Sheet2!EQ198</f>
        <v/>
      </c>
      <c r="EQ199" s="6" t="str">
        <f>[1]Sheet2!ER198</f>
        <v/>
      </c>
      <c r="ER199" s="6" t="str">
        <f>[1]Sheet2!ES198</f>
        <v/>
      </c>
      <c r="ES199" s="6" t="str">
        <f>[1]Sheet2!ET198</f>
        <v/>
      </c>
      <c r="ET199" s="6" t="str">
        <f>[1]Sheet2!EU198</f>
        <v/>
      </c>
      <c r="EU199" s="6" t="str">
        <f>[1]Sheet2!EV198</f>
        <v/>
      </c>
      <c r="EV199" s="6" t="str">
        <f>[1]Sheet2!EW198</f>
        <v/>
      </c>
      <c r="EW199" s="6" t="str">
        <f>[1]Sheet2!EX198</f>
        <v/>
      </c>
      <c r="EX199" s="6" t="str">
        <f>[1]Sheet2!EY198</f>
        <v/>
      </c>
      <c r="EY199" s="6" t="str">
        <f>[1]Sheet2!EZ198</f>
        <v/>
      </c>
      <c r="EZ199" s="6" t="str">
        <f>[1]Sheet2!FA198</f>
        <v/>
      </c>
      <c r="FA199" s="6" t="str">
        <f>[1]Sheet2!FB198</f>
        <v/>
      </c>
      <c r="FB199" s="6" t="str">
        <f>[1]Sheet2!FC198</f>
        <v/>
      </c>
      <c r="FC199" s="6" t="str">
        <f>[1]Sheet2!FD198</f>
        <v/>
      </c>
      <c r="FD199" s="6" t="str">
        <f>[1]Sheet2!FE198</f>
        <v/>
      </c>
      <c r="FE199" s="6" t="str">
        <f>[1]Sheet2!FF198</f>
        <v/>
      </c>
      <c r="FF199" s="6" t="str">
        <f>[1]Sheet2!FG198</f>
        <v/>
      </c>
      <c r="FG199" s="6" t="str">
        <f>[1]Sheet2!FH198</f>
        <v/>
      </c>
      <c r="FH199" s="6" t="str">
        <f>[1]Sheet2!FI198</f>
        <v/>
      </c>
      <c r="FI199" s="6" t="str">
        <f>[1]Sheet2!FJ198</f>
        <v/>
      </c>
      <c r="FJ199" s="6" t="str">
        <f>[1]Sheet2!FK198</f>
        <v/>
      </c>
      <c r="FK199" s="6" t="str">
        <f>[1]Sheet2!FL198</f>
        <v/>
      </c>
      <c r="FL199" s="6" t="str">
        <f>[1]Sheet2!FM198</f>
        <v/>
      </c>
      <c r="FM199" s="6" t="str">
        <f>[1]Sheet2!FN198</f>
        <v/>
      </c>
      <c r="FN199" s="6" t="str">
        <f>[1]Sheet2!FO198</f>
        <v/>
      </c>
      <c r="FO199" s="6" t="str">
        <f>[1]Sheet2!FP198</f>
        <v/>
      </c>
    </row>
    <row r="200" spans="1:171" x14ac:dyDescent="0.25">
      <c r="A200" s="15">
        <v>43662</v>
      </c>
      <c r="B200" s="1"/>
      <c r="C200" s="1"/>
      <c r="D200" s="1"/>
      <c r="E200" s="14">
        <f>[1]Sheet2!N199</f>
        <v>0</v>
      </c>
      <c r="F200" s="14">
        <f>[1]Sheet2!BE199</f>
        <v>0</v>
      </c>
      <c r="G200" s="14">
        <f>[1]Sheet2!CW199</f>
        <v>0</v>
      </c>
      <c r="H200" s="1"/>
      <c r="I200" s="1"/>
      <c r="J200" s="1"/>
      <c r="K200" s="16"/>
      <c r="L200" s="16">
        <f>Demand_CWRS!B$9/31</f>
        <v>137.44229993796523</v>
      </c>
      <c r="M200" s="16">
        <f>Demand_CWRS!C$9/31</f>
        <v>616.54259718775836</v>
      </c>
      <c r="N200" s="16">
        <f>Demand_CWRS!D$9/31</f>
        <v>0</v>
      </c>
      <c r="O200" s="16">
        <f>Demand_CWRS!E$9/31</f>
        <v>140.39247311827955</v>
      </c>
      <c r="P200" s="16">
        <f>Demand_CWRS!F$9/31</f>
        <v>245.11049679487181</v>
      </c>
      <c r="Q200" s="16">
        <f>Demand_CWRS!G$9/31</f>
        <v>137.44229993796523</v>
      </c>
      <c r="R200" s="16">
        <f>Demand_CWRS!H$9/31</f>
        <v>245.11049679487181</v>
      </c>
      <c r="S200" s="16">
        <f>Demand_CWRS!I$9/31</f>
        <v>245.11049679487181</v>
      </c>
      <c r="T200" s="16">
        <f>Demand_CWRS!J$9/31</f>
        <v>245.11049679487181</v>
      </c>
      <c r="U200" s="16">
        <f>Demand_CWRS!K$9/31</f>
        <v>245.11049679487181</v>
      </c>
      <c r="V200" s="16">
        <f t="shared" si="96"/>
        <v>-24559.838336403969</v>
      </c>
      <c r="W200" s="16">
        <f t="shared" si="97"/>
        <v>-93720.843093465373</v>
      </c>
      <c r="X200" s="16">
        <f t="shared" si="98"/>
        <v>0</v>
      </c>
      <c r="Y200" s="16">
        <f t="shared" si="99"/>
        <v>-15787.556119713952</v>
      </c>
      <c r="Z200" s="16">
        <f t="shared" si="100"/>
        <v>-41199.931783511827</v>
      </c>
      <c r="AA200" s="16">
        <f t="shared" si="101"/>
        <v>-23234.065187365533</v>
      </c>
      <c r="AB200" s="16">
        <f t="shared" si="102"/>
        <v>-45509.096559152786</v>
      </c>
      <c r="AC200" s="16">
        <f t="shared" si="103"/>
        <v>-39716.086302742595</v>
      </c>
      <c r="AD200" s="16">
        <f t="shared" si="104"/>
        <v>-39816.086302742588</v>
      </c>
      <c r="AE200" s="16">
        <f t="shared" si="105"/>
        <v>-40416.08630274258</v>
      </c>
      <c r="AF200" s="14">
        <f>IF([1]Sheet2!AJ199=999999,"NA",[1]Sheet2!AJ199)</f>
        <v>0</v>
      </c>
      <c r="AG200" s="14">
        <f>IF([1]Sheet2!AK199=999999,"NA",[1]Sheet2!AK199)</f>
        <v>0</v>
      </c>
      <c r="AH200" s="14" t="str">
        <f>IF([1]Sheet2!AL199=999999,"NA",[1]Sheet2!AL199)</f>
        <v>NA</v>
      </c>
      <c r="AI200" s="14">
        <f>IF([1]Sheet2!AM199=999999,"NA",[1]Sheet2!AM199)</f>
        <v>0</v>
      </c>
      <c r="AJ200" s="14">
        <f>IF([1]Sheet2!AN199=999999,"NA",[1]Sheet2!AN199)</f>
        <v>0</v>
      </c>
      <c r="AK200" s="14">
        <f>IF([1]Sheet2!AO199=999999,"NA",[1]Sheet2!AO199)</f>
        <v>0</v>
      </c>
      <c r="AL200" s="14">
        <f>IF([1]Sheet2!AP199=999999,"NA",[1]Sheet2!AP199)</f>
        <v>0</v>
      </c>
      <c r="AM200" s="14">
        <f>IF([1]Sheet2!AQ199=999999,"NA",[1]Sheet2!AQ199)</f>
        <v>0</v>
      </c>
      <c r="AN200" s="14">
        <f>IF([1]Sheet2!AR199=999999,"NA",[1]Sheet2!AR199)</f>
        <v>0</v>
      </c>
      <c r="AO200" s="14">
        <f>IF([1]Sheet2!AS199=999999,"NA",[1]Sheet2!AS199)</f>
        <v>0</v>
      </c>
      <c r="AP200" s="14">
        <f>[1]Sheet2!P199</f>
        <v>0</v>
      </c>
      <c r="AQ200" s="14">
        <f>[1]Sheet2!Q199</f>
        <v>0</v>
      </c>
      <c r="AR200" s="14">
        <f>[1]Sheet2!R199</f>
        <v>0</v>
      </c>
      <c r="AS200" s="14">
        <f>[1]Sheet2!S199</f>
        <v>0</v>
      </c>
      <c r="AT200" s="14">
        <f>[1]Sheet2!T199</f>
        <v>0</v>
      </c>
      <c r="AU200" s="14">
        <f>[1]Sheet2!U199</f>
        <v>0</v>
      </c>
      <c r="AV200" s="14">
        <f>[1]Sheet2!V199</f>
        <v>0</v>
      </c>
      <c r="AW200" s="14">
        <f>[1]Sheet2!W199</f>
        <v>0</v>
      </c>
      <c r="AX200" s="14">
        <f>[1]Sheet2!X199</f>
        <v>0</v>
      </c>
      <c r="AY200" s="14">
        <f>[1]Sheet2!Y199</f>
        <v>0</v>
      </c>
      <c r="AZ200" s="16">
        <f>Demand_LP!B$9/31</f>
        <v>878.29658550454917</v>
      </c>
      <c r="BA200" s="16">
        <f>Demand_LP!C$9/31</f>
        <v>663.85442514474767</v>
      </c>
      <c r="BB200" s="16">
        <f>Demand_LP!D$9/31</f>
        <v>335.39784946236568</v>
      </c>
      <c r="BC200" s="16">
        <f>Demand_LP!E$9/31</f>
        <v>725.23531844499576</v>
      </c>
      <c r="BD200" s="16">
        <f>Demand_LP!F$9/31</f>
        <v>456.65268558726217</v>
      </c>
      <c r="BE200" s="16">
        <f>Demand_LP!G$9/31</f>
        <v>456.65268558726217</v>
      </c>
      <c r="BF200" s="16">
        <f>Demand_LP!H$9/31</f>
        <v>663.85442514474767</v>
      </c>
      <c r="BG200" s="16">
        <f>Demand_LP!I$9/31</f>
        <v>456.65268558726217</v>
      </c>
      <c r="BH200" s="16">
        <f>Demand_LP!J$9/31</f>
        <v>456.65268558726217</v>
      </c>
      <c r="BI200" s="16">
        <f>Demand_LP!K$9/31</f>
        <v>456.65268558726217</v>
      </c>
      <c r="BJ200" s="16">
        <f t="shared" si="106"/>
        <v>-140238.45629091625</v>
      </c>
      <c r="BK200" s="16">
        <f t="shared" si="107"/>
        <v>-112807.76567411063</v>
      </c>
      <c r="BL200" s="16">
        <f t="shared" si="108"/>
        <v>-52057.972001654307</v>
      </c>
      <c r="BM200" s="16">
        <f t="shared" si="109"/>
        <v>-143165.6714891477</v>
      </c>
      <c r="BN200" s="16">
        <f t="shared" si="110"/>
        <v>-83087.489515769121</v>
      </c>
      <c r="BO200" s="16">
        <f t="shared" si="111"/>
        <v>-81545.173434139855</v>
      </c>
      <c r="BP200" s="16">
        <f t="shared" si="112"/>
        <v>-107165.34516129014</v>
      </c>
      <c r="BQ200" s="16">
        <f t="shared" si="113"/>
        <v>-81545.173434139855</v>
      </c>
      <c r="BR200" s="16">
        <f t="shared" si="114"/>
        <v>-79145.173434139899</v>
      </c>
      <c r="BS200" s="16">
        <f t="shared" si="115"/>
        <v>-79845.173434139884</v>
      </c>
      <c r="BT200" s="14">
        <f>IF([1]Sheet2!CB199=999999,"NA",[1]Sheet2!CB199)</f>
        <v>0</v>
      </c>
      <c r="BU200" s="14">
        <f>IF([1]Sheet2!CC199=999999,"NA",[1]Sheet2!CC199)</f>
        <v>0</v>
      </c>
      <c r="BV200" s="14">
        <f>IF([1]Sheet2!CD199=999999,"NA",[1]Sheet2!CD199)</f>
        <v>0</v>
      </c>
      <c r="BW200" s="14">
        <f>IF([1]Sheet2!CE199=999999,"NA",[1]Sheet2!CE199)</f>
        <v>0</v>
      </c>
      <c r="BX200" s="14">
        <f>IF([1]Sheet2!CF199=999999,"NA",[1]Sheet2!CF199)</f>
        <v>0</v>
      </c>
      <c r="BY200" s="14">
        <f>IF([1]Sheet2!CG199=999999,"NA",[1]Sheet2!CG199)</f>
        <v>0</v>
      </c>
      <c r="BZ200" s="14">
        <f>IF([1]Sheet2!CH199=999999,"NA",[1]Sheet2!CH199)</f>
        <v>0</v>
      </c>
      <c r="CA200" s="14">
        <f>IF([1]Sheet2!CI199=999999,"NA",[1]Sheet2!CI199)</f>
        <v>0</v>
      </c>
      <c r="CB200" s="14">
        <f>IF([1]Sheet2!CJ199=999999,"NA",[1]Sheet2!CJ199)</f>
        <v>0</v>
      </c>
      <c r="CC200" s="14">
        <f>IF([1]Sheet2!CK199=999999,"NA",[1]Sheet2!CK199)</f>
        <v>0</v>
      </c>
      <c r="CD200" s="14">
        <f>[1]Sheet2!BH199</f>
        <v>0</v>
      </c>
      <c r="CE200" s="14">
        <f>[1]Sheet2!BI199</f>
        <v>0</v>
      </c>
      <c r="CF200" s="14">
        <f>[1]Sheet2!BJ199</f>
        <v>0</v>
      </c>
      <c r="CG200" s="14">
        <f>[1]Sheet2!BK199</f>
        <v>0</v>
      </c>
      <c r="CH200" s="14">
        <f>[1]Sheet2!BL199</f>
        <v>0</v>
      </c>
      <c r="CI200" s="14">
        <f>[1]Sheet2!BM199</f>
        <v>0</v>
      </c>
      <c r="CJ200" s="14">
        <f>[1]Sheet2!BN199</f>
        <v>0</v>
      </c>
      <c r="CK200" s="14">
        <f>[1]Sheet2!BO199</f>
        <v>0</v>
      </c>
      <c r="CL200" s="14">
        <f>[1]Sheet2!BP199</f>
        <v>0</v>
      </c>
      <c r="CM200" s="14">
        <f>[1]Sheet2!BQ199</f>
        <v>0</v>
      </c>
      <c r="CN200" s="16">
        <f>Demand_SW!B$9/31</f>
        <v>131.01736972704714</v>
      </c>
      <c r="CO200" s="16">
        <f>Demand_SW!C$9/31</f>
        <v>0</v>
      </c>
      <c r="CP200" s="16">
        <f>Demand_SW!D$9/31</f>
        <v>0</v>
      </c>
      <c r="CQ200" s="16">
        <f>Demand_SW!E$9/31</f>
        <v>0</v>
      </c>
      <c r="CR200" s="16">
        <f>Demand_SW!F$9/31</f>
        <v>0</v>
      </c>
      <c r="CS200" s="16">
        <f>Demand_SW!G$9/31</f>
        <v>131.01736972704714</v>
      </c>
      <c r="CT200" s="16">
        <f>Demand_SW!H$9/31</f>
        <v>0</v>
      </c>
      <c r="CU200" s="16">
        <f>Demand_SW!I$9/31</f>
        <v>0</v>
      </c>
      <c r="CV200" s="16">
        <f>Demand_SW!J$9/31</f>
        <v>0</v>
      </c>
      <c r="CW200" s="16">
        <f>Demand_SW!K$9/31</f>
        <v>0</v>
      </c>
      <c r="CX200" s="16">
        <f t="shared" si="116"/>
        <v>-21693.970223325083</v>
      </c>
      <c r="CY200" s="16">
        <f t="shared" si="117"/>
        <v>76.923076923077133</v>
      </c>
      <c r="CZ200" s="16">
        <f t="shared" si="118"/>
        <v>0</v>
      </c>
      <c r="DA200" s="16">
        <f t="shared" si="119"/>
        <v>0</v>
      </c>
      <c r="DB200" s="16">
        <f t="shared" si="120"/>
        <v>0</v>
      </c>
      <c r="DC200" s="16">
        <f t="shared" si="121"/>
        <v>-21223.200992555852</v>
      </c>
      <c r="DD200" s="16">
        <f t="shared" si="122"/>
        <v>76.923076923077133</v>
      </c>
      <c r="DE200" s="16">
        <f t="shared" si="123"/>
        <v>0</v>
      </c>
      <c r="DF200" s="16">
        <f t="shared" si="124"/>
        <v>0</v>
      </c>
      <c r="DG200" s="16">
        <f t="shared" si="125"/>
        <v>0</v>
      </c>
      <c r="DH200" s="14">
        <f>IF([1]Sheet2!DS199=999999,"NA",[1]Sheet2!DS199)</f>
        <v>0</v>
      </c>
      <c r="DI200" s="14">
        <f>IF([1]Sheet2!DT199=999999,"NA",[1]Sheet2!DT199)</f>
        <v>168</v>
      </c>
      <c r="DJ200" s="14" t="str">
        <f>IF([1]Sheet2!DU199=999999,"NA",[1]Sheet2!DU199)</f>
        <v>NA</v>
      </c>
      <c r="DK200" s="14" t="str">
        <f>IF([1]Sheet2!DV199=999999,"NA",[1]Sheet2!DV199)</f>
        <v>NA</v>
      </c>
      <c r="DL200" s="14" t="str">
        <f>IF([1]Sheet2!DW199=999999,"NA",[1]Sheet2!DW199)</f>
        <v>NA</v>
      </c>
      <c r="DM200" s="14">
        <f>IF([1]Sheet2!DX199=999999,"NA",[1]Sheet2!DX199)</f>
        <v>0</v>
      </c>
      <c r="DN200" s="14">
        <f>IF([1]Sheet2!DY199=999999,"NA",[1]Sheet2!DY199)</f>
        <v>168</v>
      </c>
      <c r="DO200" s="14" t="str">
        <f>IF([1]Sheet2!DZ199=999999,"NA",[1]Sheet2!DZ199)</f>
        <v>NA</v>
      </c>
      <c r="DP200" s="14" t="str">
        <f>IF([1]Sheet2!EA199=999999,"NA",[1]Sheet2!EA199)</f>
        <v>NA</v>
      </c>
      <c r="DQ200" s="14" t="str">
        <f>IF([1]Sheet2!EB199=999999,"NA",[1]Sheet2!EB199)</f>
        <v>NA</v>
      </c>
      <c r="DR200" s="14">
        <f>[1]Sheet2!CY199</f>
        <v>0</v>
      </c>
      <c r="DS200" s="14">
        <f>[1]Sheet2!CZ199</f>
        <v>0</v>
      </c>
      <c r="DT200" s="14">
        <f>[1]Sheet2!DA199</f>
        <v>0</v>
      </c>
      <c r="DU200" s="14">
        <f>[1]Sheet2!DB199</f>
        <v>0</v>
      </c>
      <c r="DV200" s="14">
        <f>[1]Sheet2!DC199</f>
        <v>0</v>
      </c>
      <c r="DW200" s="14">
        <f>[1]Sheet2!DD199</f>
        <v>0</v>
      </c>
      <c r="DX200" s="14">
        <f>[1]Sheet2!DE199</f>
        <v>0</v>
      </c>
      <c r="DY200" s="14">
        <f>[1]Sheet2!DF199</f>
        <v>0</v>
      </c>
      <c r="DZ200" s="14">
        <f>[1]Sheet2!DG199</f>
        <v>0</v>
      </c>
      <c r="EA200" s="14">
        <f>[1]Sheet2!DH199</f>
        <v>0</v>
      </c>
      <c r="EB200" s="6">
        <f>[1]Sheet2!EC199</f>
        <v>0</v>
      </c>
      <c r="EC200" s="6">
        <f>[1]Sheet2!ED199</f>
        <v>0</v>
      </c>
      <c r="ED200" s="6">
        <f>[1]Sheet2!EE199</f>
        <v>0</v>
      </c>
      <c r="EE200" s="6">
        <f>[1]Sheet2!EF199</f>
        <v>0</v>
      </c>
      <c r="EF200" s="6">
        <f>[1]Sheet2!EG199</f>
        <v>0</v>
      </c>
      <c r="EG200" s="6">
        <f>[1]Sheet2!EH199</f>
        <v>0</v>
      </c>
      <c r="EH200" s="6">
        <f>[1]Sheet2!EI199</f>
        <v>0</v>
      </c>
      <c r="EI200" s="6">
        <f>[1]Sheet2!EJ199</f>
        <v>0</v>
      </c>
      <c r="EJ200" s="6">
        <f>[1]Sheet2!EK199</f>
        <v>0</v>
      </c>
      <c r="EK200" s="6">
        <f>[1]Sheet2!EL199</f>
        <v>0</v>
      </c>
      <c r="EL200" s="6" t="str">
        <f>[1]Sheet2!EM199</f>
        <v/>
      </c>
      <c r="EM200" s="6" t="str">
        <f>[1]Sheet2!EN199</f>
        <v/>
      </c>
      <c r="EN200" s="6" t="str">
        <f>[1]Sheet2!EO199</f>
        <v/>
      </c>
      <c r="EO200" s="6" t="str">
        <f>[1]Sheet2!EP199</f>
        <v/>
      </c>
      <c r="EP200" s="6" t="str">
        <f>[1]Sheet2!EQ199</f>
        <v/>
      </c>
      <c r="EQ200" s="6" t="str">
        <f>[1]Sheet2!ER199</f>
        <v/>
      </c>
      <c r="ER200" s="6" t="str">
        <f>[1]Sheet2!ES199</f>
        <v/>
      </c>
      <c r="ES200" s="6" t="str">
        <f>[1]Sheet2!ET199</f>
        <v/>
      </c>
      <c r="ET200" s="6" t="str">
        <f>[1]Sheet2!EU199</f>
        <v/>
      </c>
      <c r="EU200" s="6" t="str">
        <f>[1]Sheet2!EV199</f>
        <v/>
      </c>
      <c r="EV200" s="6" t="str">
        <f>[1]Sheet2!EW199</f>
        <v/>
      </c>
      <c r="EW200" s="6" t="str">
        <f>[1]Sheet2!EX199</f>
        <v/>
      </c>
      <c r="EX200" s="6" t="str">
        <f>[1]Sheet2!EY199</f>
        <v/>
      </c>
      <c r="EY200" s="6" t="str">
        <f>[1]Sheet2!EZ199</f>
        <v/>
      </c>
      <c r="EZ200" s="6" t="str">
        <f>[1]Sheet2!FA199</f>
        <v/>
      </c>
      <c r="FA200" s="6" t="str">
        <f>[1]Sheet2!FB199</f>
        <v/>
      </c>
      <c r="FB200" s="6" t="str">
        <f>[1]Sheet2!FC199</f>
        <v/>
      </c>
      <c r="FC200" s="6" t="str">
        <f>[1]Sheet2!FD199</f>
        <v/>
      </c>
      <c r="FD200" s="6" t="str">
        <f>[1]Sheet2!FE199</f>
        <v/>
      </c>
      <c r="FE200" s="6" t="str">
        <f>[1]Sheet2!FF199</f>
        <v/>
      </c>
      <c r="FF200" s="6" t="str">
        <f>[1]Sheet2!FG199</f>
        <v/>
      </c>
      <c r="FG200" s="6" t="str">
        <f>[1]Sheet2!FH199</f>
        <v/>
      </c>
      <c r="FH200" s="6" t="str">
        <f>[1]Sheet2!FI199</f>
        <v/>
      </c>
      <c r="FI200" s="6" t="str">
        <f>[1]Sheet2!FJ199</f>
        <v/>
      </c>
      <c r="FJ200" s="6" t="str">
        <f>[1]Sheet2!FK199</f>
        <v/>
      </c>
      <c r="FK200" s="6" t="str">
        <f>[1]Sheet2!FL199</f>
        <v/>
      </c>
      <c r="FL200" s="6" t="str">
        <f>[1]Sheet2!FM199</f>
        <v/>
      </c>
      <c r="FM200" s="6" t="str">
        <f>[1]Sheet2!FN199</f>
        <v/>
      </c>
      <c r="FN200" s="6" t="str">
        <f>[1]Sheet2!FO199</f>
        <v/>
      </c>
      <c r="FO200" s="6" t="str">
        <f>[1]Sheet2!FP199</f>
        <v/>
      </c>
    </row>
    <row r="201" spans="1:171" x14ac:dyDescent="0.25">
      <c r="A201" s="15">
        <v>43663</v>
      </c>
      <c r="B201" s="1"/>
      <c r="C201" s="1"/>
      <c r="D201" s="1"/>
      <c r="E201" s="14">
        <f>[1]Sheet2!N200</f>
        <v>0</v>
      </c>
      <c r="F201" s="14">
        <f>[1]Sheet2!BE200</f>
        <v>0</v>
      </c>
      <c r="G201" s="14">
        <f>[1]Sheet2!CW200</f>
        <v>0</v>
      </c>
      <c r="H201" s="1"/>
      <c r="I201" s="1"/>
      <c r="J201" s="1"/>
      <c r="K201" s="16"/>
      <c r="L201" s="16">
        <f>Demand_CWRS!B$9/31</f>
        <v>137.44229993796523</v>
      </c>
      <c r="M201" s="16">
        <f>Demand_CWRS!C$9/31</f>
        <v>616.54259718775836</v>
      </c>
      <c r="N201" s="16">
        <f>Demand_CWRS!D$9/31</f>
        <v>0</v>
      </c>
      <c r="O201" s="16">
        <f>Demand_CWRS!E$9/31</f>
        <v>140.39247311827955</v>
      </c>
      <c r="P201" s="16">
        <f>Demand_CWRS!F$9/31</f>
        <v>245.11049679487181</v>
      </c>
      <c r="Q201" s="16">
        <f>Demand_CWRS!G$9/31</f>
        <v>137.44229993796523</v>
      </c>
      <c r="R201" s="16">
        <f>Demand_CWRS!H$9/31</f>
        <v>245.11049679487181</v>
      </c>
      <c r="S201" s="16">
        <f>Demand_CWRS!I$9/31</f>
        <v>245.11049679487181</v>
      </c>
      <c r="T201" s="16">
        <f>Demand_CWRS!J$9/31</f>
        <v>245.11049679487181</v>
      </c>
      <c r="U201" s="16">
        <f>Demand_CWRS!K$9/31</f>
        <v>245.11049679487181</v>
      </c>
      <c r="V201" s="16">
        <f t="shared" si="96"/>
        <v>-24697.280636341933</v>
      </c>
      <c r="W201" s="16">
        <f t="shared" si="97"/>
        <v>-94337.385690653129</v>
      </c>
      <c r="X201" s="16">
        <f t="shared" si="98"/>
        <v>0</v>
      </c>
      <c r="Y201" s="16">
        <f t="shared" si="99"/>
        <v>-15927.948592832232</v>
      </c>
      <c r="Z201" s="16">
        <f t="shared" si="100"/>
        <v>-41445.042280306698</v>
      </c>
      <c r="AA201" s="16">
        <f t="shared" si="101"/>
        <v>-23371.507487303497</v>
      </c>
      <c r="AB201" s="16">
        <f t="shared" si="102"/>
        <v>-45754.207055947656</v>
      </c>
      <c r="AC201" s="16">
        <f t="shared" si="103"/>
        <v>-39961.196799537465</v>
      </c>
      <c r="AD201" s="16">
        <f t="shared" si="104"/>
        <v>-40061.196799537458</v>
      </c>
      <c r="AE201" s="16">
        <f t="shared" si="105"/>
        <v>-40661.196799537451</v>
      </c>
      <c r="AF201" s="14">
        <f>IF([1]Sheet2!AJ200=999999,"NA",[1]Sheet2!AJ200)</f>
        <v>0</v>
      </c>
      <c r="AG201" s="14">
        <f>IF([1]Sheet2!AK200=999999,"NA",[1]Sheet2!AK200)</f>
        <v>0</v>
      </c>
      <c r="AH201" s="14" t="str">
        <f>IF([1]Sheet2!AL200=999999,"NA",[1]Sheet2!AL200)</f>
        <v>NA</v>
      </c>
      <c r="AI201" s="14">
        <f>IF([1]Sheet2!AM200=999999,"NA",[1]Sheet2!AM200)</f>
        <v>0</v>
      </c>
      <c r="AJ201" s="14">
        <f>IF([1]Sheet2!AN200=999999,"NA",[1]Sheet2!AN200)</f>
        <v>0</v>
      </c>
      <c r="AK201" s="14">
        <f>IF([1]Sheet2!AO200=999999,"NA",[1]Sheet2!AO200)</f>
        <v>0</v>
      </c>
      <c r="AL201" s="14">
        <f>IF([1]Sheet2!AP200=999999,"NA",[1]Sheet2!AP200)</f>
        <v>0</v>
      </c>
      <c r="AM201" s="14">
        <f>IF([1]Sheet2!AQ200=999999,"NA",[1]Sheet2!AQ200)</f>
        <v>0</v>
      </c>
      <c r="AN201" s="14">
        <f>IF([1]Sheet2!AR200=999999,"NA",[1]Sheet2!AR200)</f>
        <v>0</v>
      </c>
      <c r="AO201" s="14">
        <f>IF([1]Sheet2!AS200=999999,"NA",[1]Sheet2!AS200)</f>
        <v>0</v>
      </c>
      <c r="AP201" s="14">
        <f>[1]Sheet2!P200</f>
        <v>0</v>
      </c>
      <c r="AQ201" s="14">
        <f>[1]Sheet2!Q200</f>
        <v>0</v>
      </c>
      <c r="AR201" s="14">
        <f>[1]Sheet2!R200</f>
        <v>0</v>
      </c>
      <c r="AS201" s="14">
        <f>[1]Sheet2!S200</f>
        <v>0</v>
      </c>
      <c r="AT201" s="14">
        <f>[1]Sheet2!T200</f>
        <v>0</v>
      </c>
      <c r="AU201" s="14">
        <f>[1]Sheet2!U200</f>
        <v>0</v>
      </c>
      <c r="AV201" s="14">
        <f>[1]Sheet2!V200</f>
        <v>0</v>
      </c>
      <c r="AW201" s="14">
        <f>[1]Sheet2!W200</f>
        <v>0</v>
      </c>
      <c r="AX201" s="14">
        <f>[1]Sheet2!X200</f>
        <v>0</v>
      </c>
      <c r="AY201" s="14">
        <f>[1]Sheet2!Y200</f>
        <v>0</v>
      </c>
      <c r="AZ201" s="16">
        <f>Demand_LP!B$9/31</f>
        <v>878.29658550454917</v>
      </c>
      <c r="BA201" s="16">
        <f>Demand_LP!C$9/31</f>
        <v>663.85442514474767</v>
      </c>
      <c r="BB201" s="16">
        <f>Demand_LP!D$9/31</f>
        <v>335.39784946236568</v>
      </c>
      <c r="BC201" s="16">
        <f>Demand_LP!E$9/31</f>
        <v>725.23531844499576</v>
      </c>
      <c r="BD201" s="16">
        <f>Demand_LP!F$9/31</f>
        <v>456.65268558726217</v>
      </c>
      <c r="BE201" s="16">
        <f>Demand_LP!G$9/31</f>
        <v>456.65268558726217</v>
      </c>
      <c r="BF201" s="16">
        <f>Demand_LP!H$9/31</f>
        <v>663.85442514474767</v>
      </c>
      <c r="BG201" s="16">
        <f>Demand_LP!I$9/31</f>
        <v>456.65268558726217</v>
      </c>
      <c r="BH201" s="16">
        <f>Demand_LP!J$9/31</f>
        <v>456.65268558726217</v>
      </c>
      <c r="BI201" s="16">
        <f>Demand_LP!K$9/31</f>
        <v>456.65268558726217</v>
      </c>
      <c r="BJ201" s="16">
        <f t="shared" si="106"/>
        <v>-141116.7528764208</v>
      </c>
      <c r="BK201" s="16">
        <f t="shared" si="107"/>
        <v>-113471.62009925538</v>
      </c>
      <c r="BL201" s="16">
        <f t="shared" si="108"/>
        <v>-52393.369851116673</v>
      </c>
      <c r="BM201" s="16">
        <f t="shared" si="109"/>
        <v>-143890.90680759269</v>
      </c>
      <c r="BN201" s="16">
        <f t="shared" si="110"/>
        <v>-83544.142201356386</v>
      </c>
      <c r="BO201" s="16">
        <f t="shared" si="111"/>
        <v>-82001.82611972712</v>
      </c>
      <c r="BP201" s="16">
        <f t="shared" si="112"/>
        <v>-107829.19958643489</v>
      </c>
      <c r="BQ201" s="16">
        <f t="shared" si="113"/>
        <v>-82001.82611972712</v>
      </c>
      <c r="BR201" s="16">
        <f t="shared" si="114"/>
        <v>-79601.826119727164</v>
      </c>
      <c r="BS201" s="16">
        <f t="shared" si="115"/>
        <v>-80301.826119727149</v>
      </c>
      <c r="BT201" s="14">
        <f>IF([1]Sheet2!CB200=999999,"NA",[1]Sheet2!CB200)</f>
        <v>0</v>
      </c>
      <c r="BU201" s="14">
        <f>IF([1]Sheet2!CC200=999999,"NA",[1]Sheet2!CC200)</f>
        <v>0</v>
      </c>
      <c r="BV201" s="14">
        <f>IF([1]Sheet2!CD200=999999,"NA",[1]Sheet2!CD200)</f>
        <v>0</v>
      </c>
      <c r="BW201" s="14">
        <f>IF([1]Sheet2!CE200=999999,"NA",[1]Sheet2!CE200)</f>
        <v>0</v>
      </c>
      <c r="BX201" s="14">
        <f>IF([1]Sheet2!CF200=999999,"NA",[1]Sheet2!CF200)</f>
        <v>0</v>
      </c>
      <c r="BY201" s="14">
        <f>IF([1]Sheet2!CG200=999999,"NA",[1]Sheet2!CG200)</f>
        <v>0</v>
      </c>
      <c r="BZ201" s="14">
        <f>IF([1]Sheet2!CH200=999999,"NA",[1]Sheet2!CH200)</f>
        <v>0</v>
      </c>
      <c r="CA201" s="14">
        <f>IF([1]Sheet2!CI200=999999,"NA",[1]Sheet2!CI200)</f>
        <v>0</v>
      </c>
      <c r="CB201" s="14">
        <f>IF([1]Sheet2!CJ200=999999,"NA",[1]Sheet2!CJ200)</f>
        <v>0</v>
      </c>
      <c r="CC201" s="14">
        <f>IF([1]Sheet2!CK200=999999,"NA",[1]Sheet2!CK200)</f>
        <v>0</v>
      </c>
      <c r="CD201" s="14">
        <f>[1]Sheet2!BH200</f>
        <v>0</v>
      </c>
      <c r="CE201" s="14">
        <f>[1]Sheet2!BI200</f>
        <v>0</v>
      </c>
      <c r="CF201" s="14">
        <f>[1]Sheet2!BJ200</f>
        <v>0</v>
      </c>
      <c r="CG201" s="14">
        <f>[1]Sheet2!BK200</f>
        <v>0</v>
      </c>
      <c r="CH201" s="14">
        <f>[1]Sheet2!BL200</f>
        <v>0</v>
      </c>
      <c r="CI201" s="14">
        <f>[1]Sheet2!BM200</f>
        <v>0</v>
      </c>
      <c r="CJ201" s="14">
        <f>[1]Sheet2!BN200</f>
        <v>0</v>
      </c>
      <c r="CK201" s="14">
        <f>[1]Sheet2!BO200</f>
        <v>0</v>
      </c>
      <c r="CL201" s="14">
        <f>[1]Sheet2!BP200</f>
        <v>0</v>
      </c>
      <c r="CM201" s="14">
        <f>[1]Sheet2!BQ200</f>
        <v>0</v>
      </c>
      <c r="CN201" s="16">
        <f>Demand_SW!B$9/31</f>
        <v>131.01736972704714</v>
      </c>
      <c r="CO201" s="16">
        <f>Demand_SW!C$9/31</f>
        <v>0</v>
      </c>
      <c r="CP201" s="16">
        <f>Demand_SW!D$9/31</f>
        <v>0</v>
      </c>
      <c r="CQ201" s="16">
        <f>Demand_SW!E$9/31</f>
        <v>0</v>
      </c>
      <c r="CR201" s="16">
        <f>Demand_SW!F$9/31</f>
        <v>0</v>
      </c>
      <c r="CS201" s="16">
        <f>Demand_SW!G$9/31</f>
        <v>131.01736972704714</v>
      </c>
      <c r="CT201" s="16">
        <f>Demand_SW!H$9/31</f>
        <v>0</v>
      </c>
      <c r="CU201" s="16">
        <f>Demand_SW!I$9/31</f>
        <v>0</v>
      </c>
      <c r="CV201" s="16">
        <f>Demand_SW!J$9/31</f>
        <v>0</v>
      </c>
      <c r="CW201" s="16">
        <f>Demand_SW!K$9/31</f>
        <v>0</v>
      </c>
      <c r="CX201" s="16">
        <f t="shared" si="116"/>
        <v>-21824.98759305213</v>
      </c>
      <c r="CY201" s="16">
        <f t="shared" si="117"/>
        <v>76.923076923077133</v>
      </c>
      <c r="CZ201" s="16">
        <f t="shared" si="118"/>
        <v>0</v>
      </c>
      <c r="DA201" s="16">
        <f t="shared" si="119"/>
        <v>0</v>
      </c>
      <c r="DB201" s="16">
        <f t="shared" si="120"/>
        <v>0</v>
      </c>
      <c r="DC201" s="16">
        <f t="shared" si="121"/>
        <v>-21354.2183622829</v>
      </c>
      <c r="DD201" s="16">
        <f t="shared" si="122"/>
        <v>76.923076923077133</v>
      </c>
      <c r="DE201" s="16">
        <f t="shared" si="123"/>
        <v>0</v>
      </c>
      <c r="DF201" s="16">
        <f t="shared" si="124"/>
        <v>0</v>
      </c>
      <c r="DG201" s="16">
        <f t="shared" si="125"/>
        <v>0</v>
      </c>
      <c r="DH201" s="14">
        <f>IF([1]Sheet2!DS200=999999,"NA",[1]Sheet2!DS200)</f>
        <v>0</v>
      </c>
      <c r="DI201" s="14">
        <f>IF([1]Sheet2!DT200=999999,"NA",[1]Sheet2!DT200)</f>
        <v>167</v>
      </c>
      <c r="DJ201" s="14" t="str">
        <f>IF([1]Sheet2!DU200=999999,"NA",[1]Sheet2!DU200)</f>
        <v>NA</v>
      </c>
      <c r="DK201" s="14" t="str">
        <f>IF([1]Sheet2!DV200=999999,"NA",[1]Sheet2!DV200)</f>
        <v>NA</v>
      </c>
      <c r="DL201" s="14" t="str">
        <f>IF([1]Sheet2!DW200=999999,"NA",[1]Sheet2!DW200)</f>
        <v>NA</v>
      </c>
      <c r="DM201" s="14">
        <f>IF([1]Sheet2!DX200=999999,"NA",[1]Sheet2!DX200)</f>
        <v>0</v>
      </c>
      <c r="DN201" s="14">
        <f>IF([1]Sheet2!DY200=999999,"NA",[1]Sheet2!DY200)</f>
        <v>167</v>
      </c>
      <c r="DO201" s="14" t="str">
        <f>IF([1]Sheet2!DZ200=999999,"NA",[1]Sheet2!DZ200)</f>
        <v>NA</v>
      </c>
      <c r="DP201" s="14" t="str">
        <f>IF([1]Sheet2!EA200=999999,"NA",[1]Sheet2!EA200)</f>
        <v>NA</v>
      </c>
      <c r="DQ201" s="14" t="str">
        <f>IF([1]Sheet2!EB200=999999,"NA",[1]Sheet2!EB200)</f>
        <v>NA</v>
      </c>
      <c r="DR201" s="14">
        <f>[1]Sheet2!CY200</f>
        <v>0</v>
      </c>
      <c r="DS201" s="14">
        <f>[1]Sheet2!CZ200</f>
        <v>0</v>
      </c>
      <c r="DT201" s="14">
        <f>[1]Sheet2!DA200</f>
        <v>0</v>
      </c>
      <c r="DU201" s="14">
        <f>[1]Sheet2!DB200</f>
        <v>0</v>
      </c>
      <c r="DV201" s="14">
        <f>[1]Sheet2!DC200</f>
        <v>0</v>
      </c>
      <c r="DW201" s="14">
        <f>[1]Sheet2!DD200</f>
        <v>0</v>
      </c>
      <c r="DX201" s="14">
        <f>[1]Sheet2!DE200</f>
        <v>0</v>
      </c>
      <c r="DY201" s="14">
        <f>[1]Sheet2!DF200</f>
        <v>0</v>
      </c>
      <c r="DZ201" s="14">
        <f>[1]Sheet2!DG200</f>
        <v>0</v>
      </c>
      <c r="EA201" s="14">
        <f>[1]Sheet2!DH200</f>
        <v>0</v>
      </c>
      <c r="EB201" s="6">
        <f>[1]Sheet2!EC200</f>
        <v>0</v>
      </c>
      <c r="EC201" s="6">
        <f>[1]Sheet2!ED200</f>
        <v>0</v>
      </c>
      <c r="ED201" s="6">
        <f>[1]Sheet2!EE200</f>
        <v>0</v>
      </c>
      <c r="EE201" s="6">
        <f>[1]Sheet2!EF200</f>
        <v>0</v>
      </c>
      <c r="EF201" s="6">
        <f>[1]Sheet2!EG200</f>
        <v>0</v>
      </c>
      <c r="EG201" s="6">
        <f>[1]Sheet2!EH200</f>
        <v>0</v>
      </c>
      <c r="EH201" s="6">
        <f>[1]Sheet2!EI200</f>
        <v>0</v>
      </c>
      <c r="EI201" s="6">
        <f>[1]Sheet2!EJ200</f>
        <v>0</v>
      </c>
      <c r="EJ201" s="6">
        <f>[1]Sheet2!EK200</f>
        <v>0</v>
      </c>
      <c r="EK201" s="6">
        <f>[1]Sheet2!EL200</f>
        <v>0</v>
      </c>
      <c r="EL201" s="6" t="str">
        <f>[1]Sheet2!EM200</f>
        <v/>
      </c>
      <c r="EM201" s="6" t="str">
        <f>[1]Sheet2!EN200</f>
        <v/>
      </c>
      <c r="EN201" s="6" t="str">
        <f>[1]Sheet2!EO200</f>
        <v/>
      </c>
      <c r="EO201" s="6" t="str">
        <f>[1]Sheet2!EP200</f>
        <v/>
      </c>
      <c r="EP201" s="6" t="str">
        <f>[1]Sheet2!EQ200</f>
        <v/>
      </c>
      <c r="EQ201" s="6" t="str">
        <f>[1]Sheet2!ER200</f>
        <v/>
      </c>
      <c r="ER201" s="6" t="str">
        <f>[1]Sheet2!ES200</f>
        <v/>
      </c>
      <c r="ES201" s="6" t="str">
        <f>[1]Sheet2!ET200</f>
        <v/>
      </c>
      <c r="ET201" s="6" t="str">
        <f>[1]Sheet2!EU200</f>
        <v/>
      </c>
      <c r="EU201" s="6" t="str">
        <f>[1]Sheet2!EV200</f>
        <v/>
      </c>
      <c r="EV201" s="6" t="str">
        <f>[1]Sheet2!EW200</f>
        <v/>
      </c>
      <c r="EW201" s="6" t="str">
        <f>[1]Sheet2!EX200</f>
        <v/>
      </c>
      <c r="EX201" s="6" t="str">
        <f>[1]Sheet2!EY200</f>
        <v/>
      </c>
      <c r="EY201" s="6" t="str">
        <f>[1]Sheet2!EZ200</f>
        <v/>
      </c>
      <c r="EZ201" s="6" t="str">
        <f>[1]Sheet2!FA200</f>
        <v/>
      </c>
      <c r="FA201" s="6" t="str">
        <f>[1]Sheet2!FB200</f>
        <v/>
      </c>
      <c r="FB201" s="6" t="str">
        <f>[1]Sheet2!FC200</f>
        <v/>
      </c>
      <c r="FC201" s="6" t="str">
        <f>[1]Sheet2!FD200</f>
        <v/>
      </c>
      <c r="FD201" s="6" t="str">
        <f>[1]Sheet2!FE200</f>
        <v/>
      </c>
      <c r="FE201" s="6" t="str">
        <f>[1]Sheet2!FF200</f>
        <v/>
      </c>
      <c r="FF201" s="6" t="str">
        <f>[1]Sheet2!FG200</f>
        <v/>
      </c>
      <c r="FG201" s="6" t="str">
        <f>[1]Sheet2!FH200</f>
        <v/>
      </c>
      <c r="FH201" s="6" t="str">
        <f>[1]Sheet2!FI200</f>
        <v/>
      </c>
      <c r="FI201" s="6" t="str">
        <f>[1]Sheet2!FJ200</f>
        <v/>
      </c>
      <c r="FJ201" s="6" t="str">
        <f>[1]Sheet2!FK200</f>
        <v/>
      </c>
      <c r="FK201" s="6" t="str">
        <f>[1]Sheet2!FL200</f>
        <v/>
      </c>
      <c r="FL201" s="6" t="str">
        <f>[1]Sheet2!FM200</f>
        <v/>
      </c>
      <c r="FM201" s="6" t="str">
        <f>[1]Sheet2!FN200</f>
        <v/>
      </c>
      <c r="FN201" s="6" t="str">
        <f>[1]Sheet2!FO200</f>
        <v/>
      </c>
      <c r="FO201" s="6" t="str">
        <f>[1]Sheet2!FP200</f>
        <v/>
      </c>
    </row>
    <row r="202" spans="1:171" x14ac:dyDescent="0.25">
      <c r="A202" s="15">
        <v>43664</v>
      </c>
      <c r="B202" s="1"/>
      <c r="C202" s="1"/>
      <c r="D202" s="1"/>
      <c r="E202" s="14">
        <f>[1]Sheet2!N201</f>
        <v>0</v>
      </c>
      <c r="F202" s="14">
        <f>[1]Sheet2!BE201</f>
        <v>0</v>
      </c>
      <c r="G202" s="14">
        <f>[1]Sheet2!CW201</f>
        <v>0</v>
      </c>
      <c r="H202" s="1"/>
      <c r="I202" s="1"/>
      <c r="J202" s="1"/>
      <c r="K202" s="16"/>
      <c r="L202" s="16">
        <f>Demand_CWRS!B$9/31</f>
        <v>137.44229993796523</v>
      </c>
      <c r="M202" s="16">
        <f>Demand_CWRS!C$9/31</f>
        <v>616.54259718775836</v>
      </c>
      <c r="N202" s="16">
        <f>Demand_CWRS!D$9/31</f>
        <v>0</v>
      </c>
      <c r="O202" s="16">
        <f>Demand_CWRS!E$9/31</f>
        <v>140.39247311827955</v>
      </c>
      <c r="P202" s="16">
        <f>Demand_CWRS!F$9/31</f>
        <v>245.11049679487181</v>
      </c>
      <c r="Q202" s="16">
        <f>Demand_CWRS!G$9/31</f>
        <v>137.44229993796523</v>
      </c>
      <c r="R202" s="16">
        <f>Demand_CWRS!H$9/31</f>
        <v>245.11049679487181</v>
      </c>
      <c r="S202" s="16">
        <f>Demand_CWRS!I$9/31</f>
        <v>245.11049679487181</v>
      </c>
      <c r="T202" s="16">
        <f>Demand_CWRS!J$9/31</f>
        <v>245.11049679487181</v>
      </c>
      <c r="U202" s="16">
        <f>Demand_CWRS!K$9/31</f>
        <v>245.11049679487181</v>
      </c>
      <c r="V202" s="16">
        <f t="shared" si="96"/>
        <v>-24834.722936279897</v>
      </c>
      <c r="W202" s="16">
        <f t="shared" si="97"/>
        <v>-94953.928287840885</v>
      </c>
      <c r="X202" s="16">
        <f t="shared" si="98"/>
        <v>0</v>
      </c>
      <c r="Y202" s="16">
        <f t="shared" si="99"/>
        <v>-16068.341065950512</v>
      </c>
      <c r="Z202" s="16">
        <f t="shared" si="100"/>
        <v>-41690.152777101568</v>
      </c>
      <c r="AA202" s="16">
        <f t="shared" si="101"/>
        <v>-23508.949787241461</v>
      </c>
      <c r="AB202" s="16">
        <f t="shared" si="102"/>
        <v>-45999.317552742526</v>
      </c>
      <c r="AC202" s="16">
        <f t="shared" si="103"/>
        <v>-40206.307296332336</v>
      </c>
      <c r="AD202" s="16">
        <f t="shared" si="104"/>
        <v>-40306.307296332328</v>
      </c>
      <c r="AE202" s="16">
        <f t="shared" si="105"/>
        <v>-40906.307296332321</v>
      </c>
      <c r="AF202" s="14">
        <f>IF([1]Sheet2!AJ201=999999,"NA",[1]Sheet2!AJ201)</f>
        <v>0</v>
      </c>
      <c r="AG202" s="14">
        <f>IF([1]Sheet2!AK201=999999,"NA",[1]Sheet2!AK201)</f>
        <v>0</v>
      </c>
      <c r="AH202" s="14" t="str">
        <f>IF([1]Sheet2!AL201=999999,"NA",[1]Sheet2!AL201)</f>
        <v>NA</v>
      </c>
      <c r="AI202" s="14">
        <f>IF([1]Sheet2!AM201=999999,"NA",[1]Sheet2!AM201)</f>
        <v>0</v>
      </c>
      <c r="AJ202" s="14">
        <f>IF([1]Sheet2!AN201=999999,"NA",[1]Sheet2!AN201)</f>
        <v>0</v>
      </c>
      <c r="AK202" s="14">
        <f>IF([1]Sheet2!AO201=999999,"NA",[1]Sheet2!AO201)</f>
        <v>0</v>
      </c>
      <c r="AL202" s="14">
        <f>IF([1]Sheet2!AP201=999999,"NA",[1]Sheet2!AP201)</f>
        <v>0</v>
      </c>
      <c r="AM202" s="14">
        <f>IF([1]Sheet2!AQ201=999999,"NA",[1]Sheet2!AQ201)</f>
        <v>0</v>
      </c>
      <c r="AN202" s="14">
        <f>IF([1]Sheet2!AR201=999999,"NA",[1]Sheet2!AR201)</f>
        <v>0</v>
      </c>
      <c r="AO202" s="14">
        <f>IF([1]Sheet2!AS201=999999,"NA",[1]Sheet2!AS201)</f>
        <v>0</v>
      </c>
      <c r="AP202" s="14">
        <f>[1]Sheet2!P201</f>
        <v>0</v>
      </c>
      <c r="AQ202" s="14">
        <f>[1]Sheet2!Q201</f>
        <v>0</v>
      </c>
      <c r="AR202" s="14">
        <f>[1]Sheet2!R201</f>
        <v>0</v>
      </c>
      <c r="AS202" s="14">
        <f>[1]Sheet2!S201</f>
        <v>0</v>
      </c>
      <c r="AT202" s="14">
        <f>[1]Sheet2!T201</f>
        <v>0</v>
      </c>
      <c r="AU202" s="14">
        <f>[1]Sheet2!U201</f>
        <v>0</v>
      </c>
      <c r="AV202" s="14">
        <f>[1]Sheet2!V201</f>
        <v>0</v>
      </c>
      <c r="AW202" s="14">
        <f>[1]Sheet2!W201</f>
        <v>0</v>
      </c>
      <c r="AX202" s="14">
        <f>[1]Sheet2!X201</f>
        <v>0</v>
      </c>
      <c r="AY202" s="14">
        <f>[1]Sheet2!Y201</f>
        <v>0</v>
      </c>
      <c r="AZ202" s="16">
        <f>Demand_LP!B$9/31</f>
        <v>878.29658550454917</v>
      </c>
      <c r="BA202" s="16">
        <f>Demand_LP!C$9/31</f>
        <v>663.85442514474767</v>
      </c>
      <c r="BB202" s="16">
        <f>Demand_LP!D$9/31</f>
        <v>335.39784946236568</v>
      </c>
      <c r="BC202" s="16">
        <f>Demand_LP!E$9/31</f>
        <v>725.23531844499576</v>
      </c>
      <c r="BD202" s="16">
        <f>Demand_LP!F$9/31</f>
        <v>456.65268558726217</v>
      </c>
      <c r="BE202" s="16">
        <f>Demand_LP!G$9/31</f>
        <v>456.65268558726217</v>
      </c>
      <c r="BF202" s="16">
        <f>Demand_LP!H$9/31</f>
        <v>663.85442514474767</v>
      </c>
      <c r="BG202" s="16">
        <f>Demand_LP!I$9/31</f>
        <v>456.65268558726217</v>
      </c>
      <c r="BH202" s="16">
        <f>Demand_LP!J$9/31</f>
        <v>456.65268558726217</v>
      </c>
      <c r="BI202" s="16">
        <f>Demand_LP!K$9/31</f>
        <v>456.65268558726217</v>
      </c>
      <c r="BJ202" s="16">
        <f t="shared" si="106"/>
        <v>-141995.04946192534</v>
      </c>
      <c r="BK202" s="16">
        <f t="shared" si="107"/>
        <v>-114135.47452440012</v>
      </c>
      <c r="BL202" s="16">
        <f t="shared" si="108"/>
        <v>-52728.767700579039</v>
      </c>
      <c r="BM202" s="16">
        <f t="shared" si="109"/>
        <v>-144616.14212603768</v>
      </c>
      <c r="BN202" s="16">
        <f t="shared" si="110"/>
        <v>-84000.794886943651</v>
      </c>
      <c r="BO202" s="16">
        <f t="shared" si="111"/>
        <v>-82458.478805314386</v>
      </c>
      <c r="BP202" s="16">
        <f t="shared" si="112"/>
        <v>-108493.05401157963</v>
      </c>
      <c r="BQ202" s="16">
        <f t="shared" si="113"/>
        <v>-82458.478805314386</v>
      </c>
      <c r="BR202" s="16">
        <f t="shared" si="114"/>
        <v>-80058.478805314429</v>
      </c>
      <c r="BS202" s="16">
        <f t="shared" si="115"/>
        <v>-80758.478805314415</v>
      </c>
      <c r="BT202" s="14">
        <f>IF([1]Sheet2!CB201=999999,"NA",[1]Sheet2!CB201)</f>
        <v>0</v>
      </c>
      <c r="BU202" s="14">
        <f>IF([1]Sheet2!CC201=999999,"NA",[1]Sheet2!CC201)</f>
        <v>0</v>
      </c>
      <c r="BV202" s="14">
        <f>IF([1]Sheet2!CD201=999999,"NA",[1]Sheet2!CD201)</f>
        <v>0</v>
      </c>
      <c r="BW202" s="14">
        <f>IF([1]Sheet2!CE201=999999,"NA",[1]Sheet2!CE201)</f>
        <v>0</v>
      </c>
      <c r="BX202" s="14">
        <f>IF([1]Sheet2!CF201=999999,"NA",[1]Sheet2!CF201)</f>
        <v>0</v>
      </c>
      <c r="BY202" s="14">
        <f>IF([1]Sheet2!CG201=999999,"NA",[1]Sheet2!CG201)</f>
        <v>0</v>
      </c>
      <c r="BZ202" s="14">
        <f>IF([1]Sheet2!CH201=999999,"NA",[1]Sheet2!CH201)</f>
        <v>0</v>
      </c>
      <c r="CA202" s="14">
        <f>IF([1]Sheet2!CI201=999999,"NA",[1]Sheet2!CI201)</f>
        <v>0</v>
      </c>
      <c r="CB202" s="14">
        <f>IF([1]Sheet2!CJ201=999999,"NA",[1]Sheet2!CJ201)</f>
        <v>0</v>
      </c>
      <c r="CC202" s="14">
        <f>IF([1]Sheet2!CK201=999999,"NA",[1]Sheet2!CK201)</f>
        <v>0</v>
      </c>
      <c r="CD202" s="14">
        <f>[1]Sheet2!BH201</f>
        <v>0</v>
      </c>
      <c r="CE202" s="14">
        <f>[1]Sheet2!BI201</f>
        <v>0</v>
      </c>
      <c r="CF202" s="14">
        <f>[1]Sheet2!BJ201</f>
        <v>0</v>
      </c>
      <c r="CG202" s="14">
        <f>[1]Sheet2!BK201</f>
        <v>0</v>
      </c>
      <c r="CH202" s="14">
        <f>[1]Sheet2!BL201</f>
        <v>0</v>
      </c>
      <c r="CI202" s="14">
        <f>[1]Sheet2!BM201</f>
        <v>0</v>
      </c>
      <c r="CJ202" s="14">
        <f>[1]Sheet2!BN201</f>
        <v>0</v>
      </c>
      <c r="CK202" s="14">
        <f>[1]Sheet2!BO201</f>
        <v>0</v>
      </c>
      <c r="CL202" s="14">
        <f>[1]Sheet2!BP201</f>
        <v>0</v>
      </c>
      <c r="CM202" s="14">
        <f>[1]Sheet2!BQ201</f>
        <v>0</v>
      </c>
      <c r="CN202" s="16">
        <f>Demand_SW!B$9/31</f>
        <v>131.01736972704714</v>
      </c>
      <c r="CO202" s="16">
        <f>Demand_SW!C$9/31</f>
        <v>0</v>
      </c>
      <c r="CP202" s="16">
        <f>Demand_SW!D$9/31</f>
        <v>0</v>
      </c>
      <c r="CQ202" s="16">
        <f>Demand_SW!E$9/31</f>
        <v>0</v>
      </c>
      <c r="CR202" s="16">
        <f>Demand_SW!F$9/31</f>
        <v>0</v>
      </c>
      <c r="CS202" s="16">
        <f>Demand_SW!G$9/31</f>
        <v>131.01736972704714</v>
      </c>
      <c r="CT202" s="16">
        <f>Demand_SW!H$9/31</f>
        <v>0</v>
      </c>
      <c r="CU202" s="16">
        <f>Demand_SW!I$9/31</f>
        <v>0</v>
      </c>
      <c r="CV202" s="16">
        <f>Demand_SW!J$9/31</f>
        <v>0</v>
      </c>
      <c r="CW202" s="16">
        <f>Demand_SW!K$9/31</f>
        <v>0</v>
      </c>
      <c r="CX202" s="16">
        <f t="shared" si="116"/>
        <v>-21956.004962779178</v>
      </c>
      <c r="CY202" s="16">
        <f t="shared" si="117"/>
        <v>76.923076923077133</v>
      </c>
      <c r="CZ202" s="16">
        <f t="shared" si="118"/>
        <v>0</v>
      </c>
      <c r="DA202" s="16">
        <f t="shared" si="119"/>
        <v>0</v>
      </c>
      <c r="DB202" s="16">
        <f t="shared" si="120"/>
        <v>0</v>
      </c>
      <c r="DC202" s="16">
        <f t="shared" si="121"/>
        <v>-21485.235732009947</v>
      </c>
      <c r="DD202" s="16">
        <f t="shared" si="122"/>
        <v>76.923076923077133</v>
      </c>
      <c r="DE202" s="16">
        <f t="shared" si="123"/>
        <v>0</v>
      </c>
      <c r="DF202" s="16">
        <f t="shared" si="124"/>
        <v>0</v>
      </c>
      <c r="DG202" s="16">
        <f t="shared" si="125"/>
        <v>0</v>
      </c>
      <c r="DH202" s="14">
        <f>IF([1]Sheet2!DS201=999999,"NA",[1]Sheet2!DS201)</f>
        <v>0</v>
      </c>
      <c r="DI202" s="14">
        <f>IF([1]Sheet2!DT201=999999,"NA",[1]Sheet2!DT201)</f>
        <v>166</v>
      </c>
      <c r="DJ202" s="14" t="str">
        <f>IF([1]Sheet2!DU201=999999,"NA",[1]Sheet2!DU201)</f>
        <v>NA</v>
      </c>
      <c r="DK202" s="14" t="str">
        <f>IF([1]Sheet2!DV201=999999,"NA",[1]Sheet2!DV201)</f>
        <v>NA</v>
      </c>
      <c r="DL202" s="14" t="str">
        <f>IF([1]Sheet2!DW201=999999,"NA",[1]Sheet2!DW201)</f>
        <v>NA</v>
      </c>
      <c r="DM202" s="14">
        <f>IF([1]Sheet2!DX201=999999,"NA",[1]Sheet2!DX201)</f>
        <v>0</v>
      </c>
      <c r="DN202" s="14">
        <f>IF([1]Sheet2!DY201=999999,"NA",[1]Sheet2!DY201)</f>
        <v>166</v>
      </c>
      <c r="DO202" s="14" t="str">
        <f>IF([1]Sheet2!DZ201=999999,"NA",[1]Sheet2!DZ201)</f>
        <v>NA</v>
      </c>
      <c r="DP202" s="14" t="str">
        <f>IF([1]Sheet2!EA201=999999,"NA",[1]Sheet2!EA201)</f>
        <v>NA</v>
      </c>
      <c r="DQ202" s="14" t="str">
        <f>IF([1]Sheet2!EB201=999999,"NA",[1]Sheet2!EB201)</f>
        <v>NA</v>
      </c>
      <c r="DR202" s="14">
        <f>[1]Sheet2!CY201</f>
        <v>0</v>
      </c>
      <c r="DS202" s="14">
        <f>[1]Sheet2!CZ201</f>
        <v>0</v>
      </c>
      <c r="DT202" s="14">
        <f>[1]Sheet2!DA201</f>
        <v>0</v>
      </c>
      <c r="DU202" s="14">
        <f>[1]Sheet2!DB201</f>
        <v>0</v>
      </c>
      <c r="DV202" s="14">
        <f>[1]Sheet2!DC201</f>
        <v>0</v>
      </c>
      <c r="DW202" s="14">
        <f>[1]Sheet2!DD201</f>
        <v>0</v>
      </c>
      <c r="DX202" s="14">
        <f>[1]Sheet2!DE201</f>
        <v>0</v>
      </c>
      <c r="DY202" s="14">
        <f>[1]Sheet2!DF201</f>
        <v>0</v>
      </c>
      <c r="DZ202" s="14">
        <f>[1]Sheet2!DG201</f>
        <v>0</v>
      </c>
      <c r="EA202" s="14">
        <f>[1]Sheet2!DH201</f>
        <v>0</v>
      </c>
      <c r="EB202" s="6">
        <f>[1]Sheet2!EC201</f>
        <v>0</v>
      </c>
      <c r="EC202" s="6">
        <f>[1]Sheet2!ED201</f>
        <v>0</v>
      </c>
      <c r="ED202" s="6">
        <f>[1]Sheet2!EE201</f>
        <v>0</v>
      </c>
      <c r="EE202" s="6">
        <f>[1]Sheet2!EF201</f>
        <v>0</v>
      </c>
      <c r="EF202" s="6">
        <f>[1]Sheet2!EG201</f>
        <v>0</v>
      </c>
      <c r="EG202" s="6">
        <f>[1]Sheet2!EH201</f>
        <v>0</v>
      </c>
      <c r="EH202" s="6">
        <f>[1]Sheet2!EI201</f>
        <v>0</v>
      </c>
      <c r="EI202" s="6">
        <f>[1]Sheet2!EJ201</f>
        <v>0</v>
      </c>
      <c r="EJ202" s="6">
        <f>[1]Sheet2!EK201</f>
        <v>0</v>
      </c>
      <c r="EK202" s="6">
        <f>[1]Sheet2!EL201</f>
        <v>0</v>
      </c>
      <c r="EL202" s="6" t="str">
        <f>[1]Sheet2!EM201</f>
        <v/>
      </c>
      <c r="EM202" s="6" t="str">
        <f>[1]Sheet2!EN201</f>
        <v/>
      </c>
      <c r="EN202" s="6" t="str">
        <f>[1]Sheet2!EO201</f>
        <v/>
      </c>
      <c r="EO202" s="6" t="str">
        <f>[1]Sheet2!EP201</f>
        <v/>
      </c>
      <c r="EP202" s="6" t="str">
        <f>[1]Sheet2!EQ201</f>
        <v/>
      </c>
      <c r="EQ202" s="6" t="str">
        <f>[1]Sheet2!ER201</f>
        <v/>
      </c>
      <c r="ER202" s="6" t="str">
        <f>[1]Sheet2!ES201</f>
        <v/>
      </c>
      <c r="ES202" s="6" t="str">
        <f>[1]Sheet2!ET201</f>
        <v/>
      </c>
      <c r="ET202" s="6" t="str">
        <f>[1]Sheet2!EU201</f>
        <v/>
      </c>
      <c r="EU202" s="6" t="str">
        <f>[1]Sheet2!EV201</f>
        <v/>
      </c>
      <c r="EV202" s="6" t="str">
        <f>[1]Sheet2!EW201</f>
        <v/>
      </c>
      <c r="EW202" s="6" t="str">
        <f>[1]Sheet2!EX201</f>
        <v/>
      </c>
      <c r="EX202" s="6" t="str">
        <f>[1]Sheet2!EY201</f>
        <v/>
      </c>
      <c r="EY202" s="6" t="str">
        <f>[1]Sheet2!EZ201</f>
        <v/>
      </c>
      <c r="EZ202" s="6" t="str">
        <f>[1]Sheet2!FA201</f>
        <v/>
      </c>
      <c r="FA202" s="6" t="str">
        <f>[1]Sheet2!FB201</f>
        <v/>
      </c>
      <c r="FB202" s="6" t="str">
        <f>[1]Sheet2!FC201</f>
        <v/>
      </c>
      <c r="FC202" s="6" t="str">
        <f>[1]Sheet2!FD201</f>
        <v/>
      </c>
      <c r="FD202" s="6" t="str">
        <f>[1]Sheet2!FE201</f>
        <v/>
      </c>
      <c r="FE202" s="6" t="str">
        <f>[1]Sheet2!FF201</f>
        <v/>
      </c>
      <c r="FF202" s="6" t="str">
        <f>[1]Sheet2!FG201</f>
        <v/>
      </c>
      <c r="FG202" s="6" t="str">
        <f>[1]Sheet2!FH201</f>
        <v/>
      </c>
      <c r="FH202" s="6" t="str">
        <f>[1]Sheet2!FI201</f>
        <v/>
      </c>
      <c r="FI202" s="6" t="str">
        <f>[1]Sheet2!FJ201</f>
        <v/>
      </c>
      <c r="FJ202" s="6" t="str">
        <f>[1]Sheet2!FK201</f>
        <v/>
      </c>
      <c r="FK202" s="6" t="str">
        <f>[1]Sheet2!FL201</f>
        <v/>
      </c>
      <c r="FL202" s="6" t="str">
        <f>[1]Sheet2!FM201</f>
        <v/>
      </c>
      <c r="FM202" s="6" t="str">
        <f>[1]Sheet2!FN201</f>
        <v/>
      </c>
      <c r="FN202" s="6" t="str">
        <f>[1]Sheet2!FO201</f>
        <v/>
      </c>
      <c r="FO202" s="6" t="str">
        <f>[1]Sheet2!FP201</f>
        <v/>
      </c>
    </row>
    <row r="203" spans="1:171" x14ac:dyDescent="0.25">
      <c r="A203" s="15">
        <v>43665</v>
      </c>
      <c r="B203" s="1"/>
      <c r="C203" s="1"/>
      <c r="D203" s="1"/>
      <c r="E203" s="14">
        <f>[1]Sheet2!N202</f>
        <v>0</v>
      </c>
      <c r="F203" s="14">
        <f>[1]Sheet2!BE202</f>
        <v>0</v>
      </c>
      <c r="G203" s="14">
        <f>[1]Sheet2!CW202</f>
        <v>0</v>
      </c>
      <c r="H203" s="1"/>
      <c r="I203" s="1"/>
      <c r="J203" s="1"/>
      <c r="K203" s="16"/>
      <c r="L203" s="16">
        <f>Demand_CWRS!B$9/31</f>
        <v>137.44229993796523</v>
      </c>
      <c r="M203" s="16">
        <f>Demand_CWRS!C$9/31</f>
        <v>616.54259718775836</v>
      </c>
      <c r="N203" s="16">
        <f>Demand_CWRS!D$9/31</f>
        <v>0</v>
      </c>
      <c r="O203" s="16">
        <f>Demand_CWRS!E$9/31</f>
        <v>140.39247311827955</v>
      </c>
      <c r="P203" s="16">
        <f>Demand_CWRS!F$9/31</f>
        <v>245.11049679487181</v>
      </c>
      <c r="Q203" s="16">
        <f>Demand_CWRS!G$9/31</f>
        <v>137.44229993796523</v>
      </c>
      <c r="R203" s="16">
        <f>Demand_CWRS!H$9/31</f>
        <v>245.11049679487181</v>
      </c>
      <c r="S203" s="16">
        <f>Demand_CWRS!I$9/31</f>
        <v>245.11049679487181</v>
      </c>
      <c r="T203" s="16">
        <f>Demand_CWRS!J$9/31</f>
        <v>245.11049679487181</v>
      </c>
      <c r="U203" s="16">
        <f>Demand_CWRS!K$9/31</f>
        <v>245.11049679487181</v>
      </c>
      <c r="V203" s="16">
        <f t="shared" si="96"/>
        <v>-24972.165236217861</v>
      </c>
      <c r="W203" s="16">
        <f t="shared" si="97"/>
        <v>-95570.470885028641</v>
      </c>
      <c r="X203" s="16">
        <f t="shared" si="98"/>
        <v>0</v>
      </c>
      <c r="Y203" s="16">
        <f t="shared" si="99"/>
        <v>-16208.733539068791</v>
      </c>
      <c r="Z203" s="16">
        <f t="shared" si="100"/>
        <v>-41935.263273896438</v>
      </c>
      <c r="AA203" s="16">
        <f t="shared" si="101"/>
        <v>-23646.392087179425</v>
      </c>
      <c r="AB203" s="16">
        <f t="shared" si="102"/>
        <v>-46244.428049537397</v>
      </c>
      <c r="AC203" s="16">
        <f t="shared" si="103"/>
        <v>-40451.417793127206</v>
      </c>
      <c r="AD203" s="16">
        <f t="shared" si="104"/>
        <v>-40551.417793127199</v>
      </c>
      <c r="AE203" s="16">
        <f t="shared" si="105"/>
        <v>-41151.417793127192</v>
      </c>
      <c r="AF203" s="14">
        <f>IF([1]Sheet2!AJ202=999999,"NA",[1]Sheet2!AJ202)</f>
        <v>0</v>
      </c>
      <c r="AG203" s="14">
        <f>IF([1]Sheet2!AK202=999999,"NA",[1]Sheet2!AK202)</f>
        <v>0</v>
      </c>
      <c r="AH203" s="14" t="str">
        <f>IF([1]Sheet2!AL202=999999,"NA",[1]Sheet2!AL202)</f>
        <v>NA</v>
      </c>
      <c r="AI203" s="14">
        <f>IF([1]Sheet2!AM202=999999,"NA",[1]Sheet2!AM202)</f>
        <v>0</v>
      </c>
      <c r="AJ203" s="14">
        <f>IF([1]Sheet2!AN202=999999,"NA",[1]Sheet2!AN202)</f>
        <v>0</v>
      </c>
      <c r="AK203" s="14">
        <f>IF([1]Sheet2!AO202=999999,"NA",[1]Sheet2!AO202)</f>
        <v>0</v>
      </c>
      <c r="AL203" s="14">
        <f>IF([1]Sheet2!AP202=999999,"NA",[1]Sheet2!AP202)</f>
        <v>0</v>
      </c>
      <c r="AM203" s="14">
        <f>IF([1]Sheet2!AQ202=999999,"NA",[1]Sheet2!AQ202)</f>
        <v>0</v>
      </c>
      <c r="AN203" s="14">
        <f>IF([1]Sheet2!AR202=999999,"NA",[1]Sheet2!AR202)</f>
        <v>0</v>
      </c>
      <c r="AO203" s="14">
        <f>IF([1]Sheet2!AS202=999999,"NA",[1]Sheet2!AS202)</f>
        <v>0</v>
      </c>
      <c r="AP203" s="14">
        <f>[1]Sheet2!P202</f>
        <v>0</v>
      </c>
      <c r="AQ203" s="14">
        <f>[1]Sheet2!Q202</f>
        <v>0</v>
      </c>
      <c r="AR203" s="14">
        <f>[1]Sheet2!R202</f>
        <v>0</v>
      </c>
      <c r="AS203" s="14">
        <f>[1]Sheet2!S202</f>
        <v>0</v>
      </c>
      <c r="AT203" s="14">
        <f>[1]Sheet2!T202</f>
        <v>0</v>
      </c>
      <c r="AU203" s="14">
        <f>[1]Sheet2!U202</f>
        <v>0</v>
      </c>
      <c r="AV203" s="14">
        <f>[1]Sheet2!V202</f>
        <v>0</v>
      </c>
      <c r="AW203" s="14">
        <f>[1]Sheet2!W202</f>
        <v>0</v>
      </c>
      <c r="AX203" s="14">
        <f>[1]Sheet2!X202</f>
        <v>0</v>
      </c>
      <c r="AY203" s="14">
        <f>[1]Sheet2!Y202</f>
        <v>0</v>
      </c>
      <c r="AZ203" s="16">
        <f>Demand_LP!B$9/31</f>
        <v>878.29658550454917</v>
      </c>
      <c r="BA203" s="16">
        <f>Demand_LP!C$9/31</f>
        <v>663.85442514474767</v>
      </c>
      <c r="BB203" s="16">
        <f>Demand_LP!D$9/31</f>
        <v>335.39784946236568</v>
      </c>
      <c r="BC203" s="16">
        <f>Demand_LP!E$9/31</f>
        <v>725.23531844499576</v>
      </c>
      <c r="BD203" s="16">
        <f>Demand_LP!F$9/31</f>
        <v>456.65268558726217</v>
      </c>
      <c r="BE203" s="16">
        <f>Demand_LP!G$9/31</f>
        <v>456.65268558726217</v>
      </c>
      <c r="BF203" s="16">
        <f>Demand_LP!H$9/31</f>
        <v>663.85442514474767</v>
      </c>
      <c r="BG203" s="16">
        <f>Demand_LP!I$9/31</f>
        <v>456.65268558726217</v>
      </c>
      <c r="BH203" s="16">
        <f>Demand_LP!J$9/31</f>
        <v>456.65268558726217</v>
      </c>
      <c r="BI203" s="16">
        <f>Demand_LP!K$9/31</f>
        <v>456.65268558726217</v>
      </c>
      <c r="BJ203" s="16">
        <f t="shared" si="106"/>
        <v>-142873.34604742989</v>
      </c>
      <c r="BK203" s="16">
        <f t="shared" si="107"/>
        <v>-114799.32894954487</v>
      </c>
      <c r="BL203" s="16">
        <f t="shared" si="108"/>
        <v>-53064.165550041405</v>
      </c>
      <c r="BM203" s="16">
        <f t="shared" si="109"/>
        <v>-145341.37744448267</v>
      </c>
      <c r="BN203" s="16">
        <f t="shared" si="110"/>
        <v>-84457.447572530917</v>
      </c>
      <c r="BO203" s="16">
        <f t="shared" si="111"/>
        <v>-82915.131490901651</v>
      </c>
      <c r="BP203" s="16">
        <f t="shared" si="112"/>
        <v>-109156.90843672438</v>
      </c>
      <c r="BQ203" s="16">
        <f t="shared" si="113"/>
        <v>-82915.131490901651</v>
      </c>
      <c r="BR203" s="16">
        <f t="shared" si="114"/>
        <v>-80515.131490901695</v>
      </c>
      <c r="BS203" s="16">
        <f t="shared" si="115"/>
        <v>-81215.13149090168</v>
      </c>
      <c r="BT203" s="14">
        <f>IF([1]Sheet2!CB202=999999,"NA",[1]Sheet2!CB202)</f>
        <v>0</v>
      </c>
      <c r="BU203" s="14">
        <f>IF([1]Sheet2!CC202=999999,"NA",[1]Sheet2!CC202)</f>
        <v>0</v>
      </c>
      <c r="BV203" s="14">
        <f>IF([1]Sheet2!CD202=999999,"NA",[1]Sheet2!CD202)</f>
        <v>0</v>
      </c>
      <c r="BW203" s="14">
        <f>IF([1]Sheet2!CE202=999999,"NA",[1]Sheet2!CE202)</f>
        <v>0</v>
      </c>
      <c r="BX203" s="14">
        <f>IF([1]Sheet2!CF202=999999,"NA",[1]Sheet2!CF202)</f>
        <v>0</v>
      </c>
      <c r="BY203" s="14">
        <f>IF([1]Sheet2!CG202=999999,"NA",[1]Sheet2!CG202)</f>
        <v>0</v>
      </c>
      <c r="BZ203" s="14">
        <f>IF([1]Sheet2!CH202=999999,"NA",[1]Sheet2!CH202)</f>
        <v>0</v>
      </c>
      <c r="CA203" s="14">
        <f>IF([1]Sheet2!CI202=999999,"NA",[1]Sheet2!CI202)</f>
        <v>0</v>
      </c>
      <c r="CB203" s="14">
        <f>IF([1]Sheet2!CJ202=999999,"NA",[1]Sheet2!CJ202)</f>
        <v>0</v>
      </c>
      <c r="CC203" s="14">
        <f>IF([1]Sheet2!CK202=999999,"NA",[1]Sheet2!CK202)</f>
        <v>0</v>
      </c>
      <c r="CD203" s="14">
        <f>[1]Sheet2!BH202</f>
        <v>0</v>
      </c>
      <c r="CE203" s="14">
        <f>[1]Sheet2!BI202</f>
        <v>0</v>
      </c>
      <c r="CF203" s="14">
        <f>[1]Sheet2!BJ202</f>
        <v>0</v>
      </c>
      <c r="CG203" s="14">
        <f>[1]Sheet2!BK202</f>
        <v>0</v>
      </c>
      <c r="CH203" s="14">
        <f>[1]Sheet2!BL202</f>
        <v>0</v>
      </c>
      <c r="CI203" s="14">
        <f>[1]Sheet2!BM202</f>
        <v>0</v>
      </c>
      <c r="CJ203" s="14">
        <f>[1]Sheet2!BN202</f>
        <v>0</v>
      </c>
      <c r="CK203" s="14">
        <f>[1]Sheet2!BO202</f>
        <v>0</v>
      </c>
      <c r="CL203" s="14">
        <f>[1]Sheet2!BP202</f>
        <v>0</v>
      </c>
      <c r="CM203" s="14">
        <f>[1]Sheet2!BQ202</f>
        <v>0</v>
      </c>
      <c r="CN203" s="16">
        <f>Demand_SW!B$9/31</f>
        <v>131.01736972704714</v>
      </c>
      <c r="CO203" s="16">
        <f>Demand_SW!C$9/31</f>
        <v>0</v>
      </c>
      <c r="CP203" s="16">
        <f>Demand_SW!D$9/31</f>
        <v>0</v>
      </c>
      <c r="CQ203" s="16">
        <f>Demand_SW!E$9/31</f>
        <v>0</v>
      </c>
      <c r="CR203" s="16">
        <f>Demand_SW!F$9/31</f>
        <v>0</v>
      </c>
      <c r="CS203" s="16">
        <f>Demand_SW!G$9/31</f>
        <v>131.01736972704714</v>
      </c>
      <c r="CT203" s="16">
        <f>Demand_SW!H$9/31</f>
        <v>0</v>
      </c>
      <c r="CU203" s="16">
        <f>Demand_SW!I$9/31</f>
        <v>0</v>
      </c>
      <c r="CV203" s="16">
        <f>Demand_SW!J$9/31</f>
        <v>0</v>
      </c>
      <c r="CW203" s="16">
        <f>Demand_SW!K$9/31</f>
        <v>0</v>
      </c>
      <c r="CX203" s="16">
        <f t="shared" si="116"/>
        <v>-22087.022332506225</v>
      </c>
      <c r="CY203" s="16">
        <f t="shared" si="117"/>
        <v>76.923076923077133</v>
      </c>
      <c r="CZ203" s="16">
        <f t="shared" si="118"/>
        <v>0</v>
      </c>
      <c r="DA203" s="16">
        <f t="shared" si="119"/>
        <v>0</v>
      </c>
      <c r="DB203" s="16">
        <f t="shared" si="120"/>
        <v>0</v>
      </c>
      <c r="DC203" s="16">
        <f t="shared" si="121"/>
        <v>-21616.253101736995</v>
      </c>
      <c r="DD203" s="16">
        <f t="shared" si="122"/>
        <v>76.923076923077133</v>
      </c>
      <c r="DE203" s="16">
        <f t="shared" si="123"/>
        <v>0</v>
      </c>
      <c r="DF203" s="16">
        <f t="shared" si="124"/>
        <v>0</v>
      </c>
      <c r="DG203" s="16">
        <f t="shared" si="125"/>
        <v>0</v>
      </c>
      <c r="DH203" s="14">
        <f>IF([1]Sheet2!DS202=999999,"NA",[1]Sheet2!DS202)</f>
        <v>0</v>
      </c>
      <c r="DI203" s="14">
        <f>IF([1]Sheet2!DT202=999999,"NA",[1]Sheet2!DT202)</f>
        <v>165</v>
      </c>
      <c r="DJ203" s="14" t="str">
        <f>IF([1]Sheet2!DU202=999999,"NA",[1]Sheet2!DU202)</f>
        <v>NA</v>
      </c>
      <c r="DK203" s="14" t="str">
        <f>IF([1]Sheet2!DV202=999999,"NA",[1]Sheet2!DV202)</f>
        <v>NA</v>
      </c>
      <c r="DL203" s="14" t="str">
        <f>IF([1]Sheet2!DW202=999999,"NA",[1]Sheet2!DW202)</f>
        <v>NA</v>
      </c>
      <c r="DM203" s="14">
        <f>IF([1]Sheet2!DX202=999999,"NA",[1]Sheet2!DX202)</f>
        <v>0</v>
      </c>
      <c r="DN203" s="14">
        <f>IF([1]Sheet2!DY202=999999,"NA",[1]Sheet2!DY202)</f>
        <v>165</v>
      </c>
      <c r="DO203" s="14" t="str">
        <f>IF([1]Sheet2!DZ202=999999,"NA",[1]Sheet2!DZ202)</f>
        <v>NA</v>
      </c>
      <c r="DP203" s="14" t="str">
        <f>IF([1]Sheet2!EA202=999999,"NA",[1]Sheet2!EA202)</f>
        <v>NA</v>
      </c>
      <c r="DQ203" s="14" t="str">
        <f>IF([1]Sheet2!EB202=999999,"NA",[1]Sheet2!EB202)</f>
        <v>NA</v>
      </c>
      <c r="DR203" s="14">
        <f>[1]Sheet2!CY202</f>
        <v>0</v>
      </c>
      <c r="DS203" s="14">
        <f>[1]Sheet2!CZ202</f>
        <v>0</v>
      </c>
      <c r="DT203" s="14">
        <f>[1]Sheet2!DA202</f>
        <v>0</v>
      </c>
      <c r="DU203" s="14">
        <f>[1]Sheet2!DB202</f>
        <v>0</v>
      </c>
      <c r="DV203" s="14">
        <f>[1]Sheet2!DC202</f>
        <v>0</v>
      </c>
      <c r="DW203" s="14">
        <f>[1]Sheet2!DD202</f>
        <v>0</v>
      </c>
      <c r="DX203" s="14">
        <f>[1]Sheet2!DE202</f>
        <v>0</v>
      </c>
      <c r="DY203" s="14">
        <f>[1]Sheet2!DF202</f>
        <v>0</v>
      </c>
      <c r="DZ203" s="14">
        <f>[1]Sheet2!DG202</f>
        <v>0</v>
      </c>
      <c r="EA203" s="14">
        <f>[1]Sheet2!DH202</f>
        <v>0</v>
      </c>
      <c r="EB203" s="6">
        <f>[1]Sheet2!EC202</f>
        <v>0</v>
      </c>
      <c r="EC203" s="6">
        <f>[1]Sheet2!ED202</f>
        <v>0</v>
      </c>
      <c r="ED203" s="6">
        <f>[1]Sheet2!EE202</f>
        <v>0</v>
      </c>
      <c r="EE203" s="6">
        <f>[1]Sheet2!EF202</f>
        <v>0</v>
      </c>
      <c r="EF203" s="6">
        <f>[1]Sheet2!EG202</f>
        <v>0</v>
      </c>
      <c r="EG203" s="6">
        <f>[1]Sheet2!EH202</f>
        <v>0</v>
      </c>
      <c r="EH203" s="6">
        <f>[1]Sheet2!EI202</f>
        <v>0</v>
      </c>
      <c r="EI203" s="6">
        <f>[1]Sheet2!EJ202</f>
        <v>0</v>
      </c>
      <c r="EJ203" s="6">
        <f>[1]Sheet2!EK202</f>
        <v>0</v>
      </c>
      <c r="EK203" s="6">
        <f>[1]Sheet2!EL202</f>
        <v>0</v>
      </c>
      <c r="EL203" s="6" t="str">
        <f>[1]Sheet2!EM202</f>
        <v/>
      </c>
      <c r="EM203" s="6" t="str">
        <f>[1]Sheet2!EN202</f>
        <v/>
      </c>
      <c r="EN203" s="6" t="str">
        <f>[1]Sheet2!EO202</f>
        <v/>
      </c>
      <c r="EO203" s="6" t="str">
        <f>[1]Sheet2!EP202</f>
        <v/>
      </c>
      <c r="EP203" s="6" t="str">
        <f>[1]Sheet2!EQ202</f>
        <v/>
      </c>
      <c r="EQ203" s="6" t="str">
        <f>[1]Sheet2!ER202</f>
        <v/>
      </c>
      <c r="ER203" s="6" t="str">
        <f>[1]Sheet2!ES202</f>
        <v/>
      </c>
      <c r="ES203" s="6" t="str">
        <f>[1]Sheet2!ET202</f>
        <v/>
      </c>
      <c r="ET203" s="6" t="str">
        <f>[1]Sheet2!EU202</f>
        <v/>
      </c>
      <c r="EU203" s="6" t="str">
        <f>[1]Sheet2!EV202</f>
        <v/>
      </c>
      <c r="EV203" s="6" t="str">
        <f>[1]Sheet2!EW202</f>
        <v/>
      </c>
      <c r="EW203" s="6" t="str">
        <f>[1]Sheet2!EX202</f>
        <v/>
      </c>
      <c r="EX203" s="6" t="str">
        <f>[1]Sheet2!EY202</f>
        <v/>
      </c>
      <c r="EY203" s="6" t="str">
        <f>[1]Sheet2!EZ202</f>
        <v/>
      </c>
      <c r="EZ203" s="6" t="str">
        <f>[1]Sheet2!FA202</f>
        <v/>
      </c>
      <c r="FA203" s="6" t="str">
        <f>[1]Sheet2!FB202</f>
        <v/>
      </c>
      <c r="FB203" s="6" t="str">
        <f>[1]Sheet2!FC202</f>
        <v/>
      </c>
      <c r="FC203" s="6" t="str">
        <f>[1]Sheet2!FD202</f>
        <v/>
      </c>
      <c r="FD203" s="6" t="str">
        <f>[1]Sheet2!FE202</f>
        <v/>
      </c>
      <c r="FE203" s="6" t="str">
        <f>[1]Sheet2!FF202</f>
        <v/>
      </c>
      <c r="FF203" s="6" t="str">
        <f>[1]Sheet2!FG202</f>
        <v/>
      </c>
      <c r="FG203" s="6" t="str">
        <f>[1]Sheet2!FH202</f>
        <v/>
      </c>
      <c r="FH203" s="6" t="str">
        <f>[1]Sheet2!FI202</f>
        <v/>
      </c>
      <c r="FI203" s="6" t="str">
        <f>[1]Sheet2!FJ202</f>
        <v/>
      </c>
      <c r="FJ203" s="6" t="str">
        <f>[1]Sheet2!FK202</f>
        <v/>
      </c>
      <c r="FK203" s="6" t="str">
        <f>[1]Sheet2!FL202</f>
        <v/>
      </c>
      <c r="FL203" s="6" t="str">
        <f>[1]Sheet2!FM202</f>
        <v/>
      </c>
      <c r="FM203" s="6" t="str">
        <f>[1]Sheet2!FN202</f>
        <v/>
      </c>
      <c r="FN203" s="6" t="str">
        <f>[1]Sheet2!FO202</f>
        <v/>
      </c>
      <c r="FO203" s="6" t="str">
        <f>[1]Sheet2!FP202</f>
        <v/>
      </c>
    </row>
    <row r="204" spans="1:171" x14ac:dyDescent="0.25">
      <c r="A204" s="15">
        <v>43666</v>
      </c>
      <c r="B204" s="1"/>
      <c r="C204" s="1"/>
      <c r="D204" s="1"/>
      <c r="E204" s="14">
        <f>[1]Sheet2!N203</f>
        <v>0</v>
      </c>
      <c r="F204" s="14">
        <f>[1]Sheet2!BE203</f>
        <v>0</v>
      </c>
      <c r="G204" s="14">
        <f>[1]Sheet2!CW203</f>
        <v>0</v>
      </c>
      <c r="H204" s="1"/>
      <c r="I204" s="1"/>
      <c r="J204" s="1"/>
      <c r="K204" s="16"/>
      <c r="L204" s="16">
        <f>Demand_CWRS!B$9/31</f>
        <v>137.44229993796523</v>
      </c>
      <c r="M204" s="16">
        <f>Demand_CWRS!C$9/31</f>
        <v>616.54259718775836</v>
      </c>
      <c r="N204" s="16">
        <f>Demand_CWRS!D$9/31</f>
        <v>0</v>
      </c>
      <c r="O204" s="16">
        <f>Demand_CWRS!E$9/31</f>
        <v>140.39247311827955</v>
      </c>
      <c r="P204" s="16">
        <f>Demand_CWRS!F$9/31</f>
        <v>245.11049679487181</v>
      </c>
      <c r="Q204" s="16">
        <f>Demand_CWRS!G$9/31</f>
        <v>137.44229993796523</v>
      </c>
      <c r="R204" s="16">
        <f>Demand_CWRS!H$9/31</f>
        <v>245.11049679487181</v>
      </c>
      <c r="S204" s="16">
        <f>Demand_CWRS!I$9/31</f>
        <v>245.11049679487181</v>
      </c>
      <c r="T204" s="16">
        <f>Demand_CWRS!J$9/31</f>
        <v>245.11049679487181</v>
      </c>
      <c r="U204" s="16">
        <f>Demand_CWRS!K$9/31</f>
        <v>245.11049679487181</v>
      </c>
      <c r="V204" s="16">
        <f t="shared" si="96"/>
        <v>-25109.607536155825</v>
      </c>
      <c r="W204" s="16">
        <f t="shared" si="97"/>
        <v>-96187.013482216396</v>
      </c>
      <c r="X204" s="16">
        <f t="shared" si="98"/>
        <v>0</v>
      </c>
      <c r="Y204" s="16">
        <f t="shared" si="99"/>
        <v>-16349.126012187071</v>
      </c>
      <c r="Z204" s="16">
        <f t="shared" si="100"/>
        <v>-42180.373770691309</v>
      </c>
      <c r="AA204" s="16">
        <f t="shared" si="101"/>
        <v>-23783.834387117389</v>
      </c>
      <c r="AB204" s="16">
        <f t="shared" si="102"/>
        <v>-46489.538546332267</v>
      </c>
      <c r="AC204" s="16">
        <f t="shared" si="103"/>
        <v>-40696.528289922077</v>
      </c>
      <c r="AD204" s="16">
        <f t="shared" si="104"/>
        <v>-40796.528289922069</v>
      </c>
      <c r="AE204" s="16">
        <f t="shared" si="105"/>
        <v>-41396.528289922062</v>
      </c>
      <c r="AF204" s="14">
        <f>IF([1]Sheet2!AJ203=999999,"NA",[1]Sheet2!AJ203)</f>
        <v>0</v>
      </c>
      <c r="AG204" s="14">
        <f>IF([1]Sheet2!AK203=999999,"NA",[1]Sheet2!AK203)</f>
        <v>0</v>
      </c>
      <c r="AH204" s="14" t="str">
        <f>IF([1]Sheet2!AL203=999999,"NA",[1]Sheet2!AL203)</f>
        <v>NA</v>
      </c>
      <c r="AI204" s="14">
        <f>IF([1]Sheet2!AM203=999999,"NA",[1]Sheet2!AM203)</f>
        <v>0</v>
      </c>
      <c r="AJ204" s="14">
        <f>IF([1]Sheet2!AN203=999999,"NA",[1]Sheet2!AN203)</f>
        <v>0</v>
      </c>
      <c r="AK204" s="14">
        <f>IF([1]Sheet2!AO203=999999,"NA",[1]Sheet2!AO203)</f>
        <v>0</v>
      </c>
      <c r="AL204" s="14">
        <f>IF([1]Sheet2!AP203=999999,"NA",[1]Sheet2!AP203)</f>
        <v>0</v>
      </c>
      <c r="AM204" s="14">
        <f>IF([1]Sheet2!AQ203=999999,"NA",[1]Sheet2!AQ203)</f>
        <v>0</v>
      </c>
      <c r="AN204" s="14">
        <f>IF([1]Sheet2!AR203=999999,"NA",[1]Sheet2!AR203)</f>
        <v>0</v>
      </c>
      <c r="AO204" s="14">
        <f>IF([1]Sheet2!AS203=999999,"NA",[1]Sheet2!AS203)</f>
        <v>0</v>
      </c>
      <c r="AP204" s="14">
        <f>[1]Sheet2!P203</f>
        <v>0</v>
      </c>
      <c r="AQ204" s="14">
        <f>[1]Sheet2!Q203</f>
        <v>0</v>
      </c>
      <c r="AR204" s="14">
        <f>[1]Sheet2!R203</f>
        <v>0</v>
      </c>
      <c r="AS204" s="14">
        <f>[1]Sheet2!S203</f>
        <v>0</v>
      </c>
      <c r="AT204" s="14">
        <f>[1]Sheet2!T203</f>
        <v>0</v>
      </c>
      <c r="AU204" s="14">
        <f>[1]Sheet2!U203</f>
        <v>0</v>
      </c>
      <c r="AV204" s="14">
        <f>[1]Sheet2!V203</f>
        <v>0</v>
      </c>
      <c r="AW204" s="14">
        <f>[1]Sheet2!W203</f>
        <v>0</v>
      </c>
      <c r="AX204" s="14">
        <f>[1]Sheet2!X203</f>
        <v>0</v>
      </c>
      <c r="AY204" s="14">
        <f>[1]Sheet2!Y203</f>
        <v>0</v>
      </c>
      <c r="AZ204" s="16">
        <f>Demand_LP!B$9/31</f>
        <v>878.29658550454917</v>
      </c>
      <c r="BA204" s="16">
        <f>Demand_LP!C$9/31</f>
        <v>663.85442514474767</v>
      </c>
      <c r="BB204" s="16">
        <f>Demand_LP!D$9/31</f>
        <v>335.39784946236568</v>
      </c>
      <c r="BC204" s="16">
        <f>Demand_LP!E$9/31</f>
        <v>725.23531844499576</v>
      </c>
      <c r="BD204" s="16">
        <f>Demand_LP!F$9/31</f>
        <v>456.65268558726217</v>
      </c>
      <c r="BE204" s="16">
        <f>Demand_LP!G$9/31</f>
        <v>456.65268558726217</v>
      </c>
      <c r="BF204" s="16">
        <f>Demand_LP!H$9/31</f>
        <v>663.85442514474767</v>
      </c>
      <c r="BG204" s="16">
        <f>Demand_LP!I$9/31</f>
        <v>456.65268558726217</v>
      </c>
      <c r="BH204" s="16">
        <f>Demand_LP!J$9/31</f>
        <v>456.65268558726217</v>
      </c>
      <c r="BI204" s="16">
        <f>Demand_LP!K$9/31</f>
        <v>456.65268558726217</v>
      </c>
      <c r="BJ204" s="16">
        <f t="shared" si="106"/>
        <v>-143751.64263293444</v>
      </c>
      <c r="BK204" s="16">
        <f t="shared" si="107"/>
        <v>-115463.18337468962</v>
      </c>
      <c r="BL204" s="16">
        <f t="shared" si="108"/>
        <v>-53399.563399503772</v>
      </c>
      <c r="BM204" s="16">
        <f t="shared" si="109"/>
        <v>-146066.61276292766</v>
      </c>
      <c r="BN204" s="16">
        <f t="shared" si="110"/>
        <v>-84914.100258118182</v>
      </c>
      <c r="BO204" s="16">
        <f t="shared" si="111"/>
        <v>-83371.784176488916</v>
      </c>
      <c r="BP204" s="16">
        <f t="shared" si="112"/>
        <v>-109820.76286186912</v>
      </c>
      <c r="BQ204" s="16">
        <f t="shared" si="113"/>
        <v>-83371.784176488916</v>
      </c>
      <c r="BR204" s="16">
        <f t="shared" si="114"/>
        <v>-80971.78417648896</v>
      </c>
      <c r="BS204" s="16">
        <f t="shared" si="115"/>
        <v>-81671.784176488945</v>
      </c>
      <c r="BT204" s="14">
        <f>IF([1]Sheet2!CB203=999999,"NA",[1]Sheet2!CB203)</f>
        <v>0</v>
      </c>
      <c r="BU204" s="14">
        <f>IF([1]Sheet2!CC203=999999,"NA",[1]Sheet2!CC203)</f>
        <v>0</v>
      </c>
      <c r="BV204" s="14">
        <f>IF([1]Sheet2!CD203=999999,"NA",[1]Sheet2!CD203)</f>
        <v>0</v>
      </c>
      <c r="BW204" s="14">
        <f>IF([1]Sheet2!CE203=999999,"NA",[1]Sheet2!CE203)</f>
        <v>0</v>
      </c>
      <c r="BX204" s="14">
        <f>IF([1]Sheet2!CF203=999999,"NA",[1]Sheet2!CF203)</f>
        <v>0</v>
      </c>
      <c r="BY204" s="14">
        <f>IF([1]Sheet2!CG203=999999,"NA",[1]Sheet2!CG203)</f>
        <v>0</v>
      </c>
      <c r="BZ204" s="14">
        <f>IF([1]Sheet2!CH203=999999,"NA",[1]Sheet2!CH203)</f>
        <v>0</v>
      </c>
      <c r="CA204" s="14">
        <f>IF([1]Sheet2!CI203=999999,"NA",[1]Sheet2!CI203)</f>
        <v>0</v>
      </c>
      <c r="CB204" s="14">
        <f>IF([1]Sheet2!CJ203=999999,"NA",[1]Sheet2!CJ203)</f>
        <v>0</v>
      </c>
      <c r="CC204" s="14">
        <f>IF([1]Sheet2!CK203=999999,"NA",[1]Sheet2!CK203)</f>
        <v>0</v>
      </c>
      <c r="CD204" s="14">
        <f>[1]Sheet2!BH203</f>
        <v>0</v>
      </c>
      <c r="CE204" s="14">
        <f>[1]Sheet2!BI203</f>
        <v>0</v>
      </c>
      <c r="CF204" s="14">
        <f>[1]Sheet2!BJ203</f>
        <v>0</v>
      </c>
      <c r="CG204" s="14">
        <f>[1]Sheet2!BK203</f>
        <v>0</v>
      </c>
      <c r="CH204" s="14">
        <f>[1]Sheet2!BL203</f>
        <v>0</v>
      </c>
      <c r="CI204" s="14">
        <f>[1]Sheet2!BM203</f>
        <v>0</v>
      </c>
      <c r="CJ204" s="14">
        <f>[1]Sheet2!BN203</f>
        <v>0</v>
      </c>
      <c r="CK204" s="14">
        <f>[1]Sheet2!BO203</f>
        <v>0</v>
      </c>
      <c r="CL204" s="14">
        <f>[1]Sheet2!BP203</f>
        <v>0</v>
      </c>
      <c r="CM204" s="14">
        <f>[1]Sheet2!BQ203</f>
        <v>0</v>
      </c>
      <c r="CN204" s="16">
        <f>Demand_SW!B$9/31</f>
        <v>131.01736972704714</v>
      </c>
      <c r="CO204" s="16">
        <f>Demand_SW!C$9/31</f>
        <v>0</v>
      </c>
      <c r="CP204" s="16">
        <f>Demand_SW!D$9/31</f>
        <v>0</v>
      </c>
      <c r="CQ204" s="16">
        <f>Demand_SW!E$9/31</f>
        <v>0</v>
      </c>
      <c r="CR204" s="16">
        <f>Demand_SW!F$9/31</f>
        <v>0</v>
      </c>
      <c r="CS204" s="16">
        <f>Demand_SW!G$9/31</f>
        <v>131.01736972704714</v>
      </c>
      <c r="CT204" s="16">
        <f>Demand_SW!H$9/31</f>
        <v>0</v>
      </c>
      <c r="CU204" s="16">
        <f>Demand_SW!I$9/31</f>
        <v>0</v>
      </c>
      <c r="CV204" s="16">
        <f>Demand_SW!J$9/31</f>
        <v>0</v>
      </c>
      <c r="CW204" s="16">
        <f>Demand_SW!K$9/31</f>
        <v>0</v>
      </c>
      <c r="CX204" s="16">
        <f t="shared" si="116"/>
        <v>-22218.039702233273</v>
      </c>
      <c r="CY204" s="16">
        <f t="shared" si="117"/>
        <v>76.923076923077133</v>
      </c>
      <c r="CZ204" s="16">
        <f t="shared" si="118"/>
        <v>0</v>
      </c>
      <c r="DA204" s="16">
        <f t="shared" si="119"/>
        <v>0</v>
      </c>
      <c r="DB204" s="16">
        <f t="shared" si="120"/>
        <v>0</v>
      </c>
      <c r="DC204" s="16">
        <f t="shared" si="121"/>
        <v>-21747.270471464042</v>
      </c>
      <c r="DD204" s="16">
        <f t="shared" si="122"/>
        <v>76.923076923077133</v>
      </c>
      <c r="DE204" s="16">
        <f t="shared" si="123"/>
        <v>0</v>
      </c>
      <c r="DF204" s="16">
        <f t="shared" si="124"/>
        <v>0</v>
      </c>
      <c r="DG204" s="16">
        <f t="shared" si="125"/>
        <v>0</v>
      </c>
      <c r="DH204" s="14">
        <f>IF([1]Sheet2!DS203=999999,"NA",[1]Sheet2!DS203)</f>
        <v>0</v>
      </c>
      <c r="DI204" s="14">
        <f>IF([1]Sheet2!DT203=999999,"NA",[1]Sheet2!DT203)</f>
        <v>164</v>
      </c>
      <c r="DJ204" s="14" t="str">
        <f>IF([1]Sheet2!DU203=999999,"NA",[1]Sheet2!DU203)</f>
        <v>NA</v>
      </c>
      <c r="DK204" s="14" t="str">
        <f>IF([1]Sheet2!DV203=999999,"NA",[1]Sheet2!DV203)</f>
        <v>NA</v>
      </c>
      <c r="DL204" s="14" t="str">
        <f>IF([1]Sheet2!DW203=999999,"NA",[1]Sheet2!DW203)</f>
        <v>NA</v>
      </c>
      <c r="DM204" s="14">
        <f>IF([1]Sheet2!DX203=999999,"NA",[1]Sheet2!DX203)</f>
        <v>0</v>
      </c>
      <c r="DN204" s="14">
        <f>IF([1]Sheet2!DY203=999999,"NA",[1]Sheet2!DY203)</f>
        <v>164</v>
      </c>
      <c r="DO204" s="14" t="str">
        <f>IF([1]Sheet2!DZ203=999999,"NA",[1]Sheet2!DZ203)</f>
        <v>NA</v>
      </c>
      <c r="DP204" s="14" t="str">
        <f>IF([1]Sheet2!EA203=999999,"NA",[1]Sheet2!EA203)</f>
        <v>NA</v>
      </c>
      <c r="DQ204" s="14" t="str">
        <f>IF([1]Sheet2!EB203=999999,"NA",[1]Sheet2!EB203)</f>
        <v>NA</v>
      </c>
      <c r="DR204" s="14">
        <f>[1]Sheet2!CY203</f>
        <v>0</v>
      </c>
      <c r="DS204" s="14">
        <f>[1]Sheet2!CZ203</f>
        <v>0</v>
      </c>
      <c r="DT204" s="14">
        <f>[1]Sheet2!DA203</f>
        <v>0</v>
      </c>
      <c r="DU204" s="14">
        <f>[1]Sheet2!DB203</f>
        <v>0</v>
      </c>
      <c r="DV204" s="14">
        <f>[1]Sheet2!DC203</f>
        <v>0</v>
      </c>
      <c r="DW204" s="14">
        <f>[1]Sheet2!DD203</f>
        <v>0</v>
      </c>
      <c r="DX204" s="14">
        <f>[1]Sheet2!DE203</f>
        <v>0</v>
      </c>
      <c r="DY204" s="14">
        <f>[1]Sheet2!DF203</f>
        <v>0</v>
      </c>
      <c r="DZ204" s="14">
        <f>[1]Sheet2!DG203</f>
        <v>0</v>
      </c>
      <c r="EA204" s="14">
        <f>[1]Sheet2!DH203</f>
        <v>0</v>
      </c>
      <c r="EB204" s="6">
        <f>[1]Sheet2!EC203</f>
        <v>0</v>
      </c>
      <c r="EC204" s="6">
        <f>[1]Sheet2!ED203</f>
        <v>0</v>
      </c>
      <c r="ED204" s="6">
        <f>[1]Sheet2!EE203</f>
        <v>0</v>
      </c>
      <c r="EE204" s="6">
        <f>[1]Sheet2!EF203</f>
        <v>0</v>
      </c>
      <c r="EF204" s="6">
        <f>[1]Sheet2!EG203</f>
        <v>0</v>
      </c>
      <c r="EG204" s="6">
        <f>[1]Sheet2!EH203</f>
        <v>0</v>
      </c>
      <c r="EH204" s="6">
        <f>[1]Sheet2!EI203</f>
        <v>0</v>
      </c>
      <c r="EI204" s="6">
        <f>[1]Sheet2!EJ203</f>
        <v>0</v>
      </c>
      <c r="EJ204" s="6">
        <f>[1]Sheet2!EK203</f>
        <v>0</v>
      </c>
      <c r="EK204" s="6">
        <f>[1]Sheet2!EL203</f>
        <v>0</v>
      </c>
      <c r="EL204" s="6" t="str">
        <f>[1]Sheet2!EM203</f>
        <v/>
      </c>
      <c r="EM204" s="6" t="str">
        <f>[1]Sheet2!EN203</f>
        <v/>
      </c>
      <c r="EN204" s="6" t="str">
        <f>[1]Sheet2!EO203</f>
        <v/>
      </c>
      <c r="EO204" s="6" t="str">
        <f>[1]Sheet2!EP203</f>
        <v/>
      </c>
      <c r="EP204" s="6" t="str">
        <f>[1]Sheet2!EQ203</f>
        <v/>
      </c>
      <c r="EQ204" s="6" t="str">
        <f>[1]Sheet2!ER203</f>
        <v/>
      </c>
      <c r="ER204" s="6" t="str">
        <f>[1]Sheet2!ES203</f>
        <v/>
      </c>
      <c r="ES204" s="6" t="str">
        <f>[1]Sheet2!ET203</f>
        <v/>
      </c>
      <c r="ET204" s="6" t="str">
        <f>[1]Sheet2!EU203</f>
        <v/>
      </c>
      <c r="EU204" s="6" t="str">
        <f>[1]Sheet2!EV203</f>
        <v/>
      </c>
      <c r="EV204" s="6" t="str">
        <f>[1]Sheet2!EW203</f>
        <v/>
      </c>
      <c r="EW204" s="6" t="str">
        <f>[1]Sheet2!EX203</f>
        <v/>
      </c>
      <c r="EX204" s="6" t="str">
        <f>[1]Sheet2!EY203</f>
        <v/>
      </c>
      <c r="EY204" s="6" t="str">
        <f>[1]Sheet2!EZ203</f>
        <v/>
      </c>
      <c r="EZ204" s="6" t="str">
        <f>[1]Sheet2!FA203</f>
        <v/>
      </c>
      <c r="FA204" s="6" t="str">
        <f>[1]Sheet2!FB203</f>
        <v/>
      </c>
      <c r="FB204" s="6" t="str">
        <f>[1]Sheet2!FC203</f>
        <v/>
      </c>
      <c r="FC204" s="6" t="str">
        <f>[1]Sheet2!FD203</f>
        <v/>
      </c>
      <c r="FD204" s="6" t="str">
        <f>[1]Sheet2!FE203</f>
        <v/>
      </c>
      <c r="FE204" s="6" t="str">
        <f>[1]Sheet2!FF203</f>
        <v/>
      </c>
      <c r="FF204" s="6" t="str">
        <f>[1]Sheet2!FG203</f>
        <v/>
      </c>
      <c r="FG204" s="6" t="str">
        <f>[1]Sheet2!FH203</f>
        <v/>
      </c>
      <c r="FH204" s="6" t="str">
        <f>[1]Sheet2!FI203</f>
        <v/>
      </c>
      <c r="FI204" s="6" t="str">
        <f>[1]Sheet2!FJ203</f>
        <v/>
      </c>
      <c r="FJ204" s="6" t="str">
        <f>[1]Sheet2!FK203</f>
        <v/>
      </c>
      <c r="FK204" s="6" t="str">
        <f>[1]Sheet2!FL203</f>
        <v/>
      </c>
      <c r="FL204" s="6" t="str">
        <f>[1]Sheet2!FM203</f>
        <v/>
      </c>
      <c r="FM204" s="6" t="str">
        <f>[1]Sheet2!FN203</f>
        <v/>
      </c>
      <c r="FN204" s="6" t="str">
        <f>[1]Sheet2!FO203</f>
        <v/>
      </c>
      <c r="FO204" s="6" t="str">
        <f>[1]Sheet2!FP203</f>
        <v/>
      </c>
    </row>
    <row r="205" spans="1:171" x14ac:dyDescent="0.25">
      <c r="A205" s="15">
        <v>43667</v>
      </c>
      <c r="B205" s="1"/>
      <c r="C205" s="1"/>
      <c r="D205" s="1"/>
      <c r="E205" s="14">
        <f>[1]Sheet2!N204</f>
        <v>0</v>
      </c>
      <c r="F205" s="14">
        <f>[1]Sheet2!BE204</f>
        <v>0</v>
      </c>
      <c r="G205" s="14">
        <f>[1]Sheet2!CW204</f>
        <v>0</v>
      </c>
      <c r="H205" s="1"/>
      <c r="I205" s="1"/>
      <c r="J205" s="1"/>
      <c r="K205" s="16"/>
      <c r="L205" s="16">
        <f>Demand_CWRS!B$9/31</f>
        <v>137.44229993796523</v>
      </c>
      <c r="M205" s="16">
        <f>Demand_CWRS!C$9/31</f>
        <v>616.54259718775836</v>
      </c>
      <c r="N205" s="16">
        <f>Demand_CWRS!D$9/31</f>
        <v>0</v>
      </c>
      <c r="O205" s="16">
        <f>Demand_CWRS!E$9/31</f>
        <v>140.39247311827955</v>
      </c>
      <c r="P205" s="16">
        <f>Demand_CWRS!F$9/31</f>
        <v>245.11049679487181</v>
      </c>
      <c r="Q205" s="16">
        <f>Demand_CWRS!G$9/31</f>
        <v>137.44229993796523</v>
      </c>
      <c r="R205" s="16">
        <f>Demand_CWRS!H$9/31</f>
        <v>245.11049679487181</v>
      </c>
      <c r="S205" s="16">
        <f>Demand_CWRS!I$9/31</f>
        <v>245.11049679487181</v>
      </c>
      <c r="T205" s="16">
        <f>Demand_CWRS!J$9/31</f>
        <v>245.11049679487181</v>
      </c>
      <c r="U205" s="16">
        <f>Demand_CWRS!K$9/31</f>
        <v>245.11049679487181</v>
      </c>
      <c r="V205" s="16">
        <f t="shared" si="96"/>
        <v>-25247.049836093789</v>
      </c>
      <c r="W205" s="16">
        <f t="shared" si="97"/>
        <v>-96803.556079404152</v>
      </c>
      <c r="X205" s="16">
        <f t="shared" si="98"/>
        <v>0</v>
      </c>
      <c r="Y205" s="16">
        <f t="shared" si="99"/>
        <v>-16489.518485305351</v>
      </c>
      <c r="Z205" s="16">
        <f t="shared" si="100"/>
        <v>-42425.484267486179</v>
      </c>
      <c r="AA205" s="16">
        <f t="shared" si="101"/>
        <v>-23921.276687055353</v>
      </c>
      <c r="AB205" s="16">
        <f t="shared" si="102"/>
        <v>-46734.649043127138</v>
      </c>
      <c r="AC205" s="16">
        <f t="shared" si="103"/>
        <v>-40941.638786716947</v>
      </c>
      <c r="AD205" s="16">
        <f t="shared" si="104"/>
        <v>-41041.63878671694</v>
      </c>
      <c r="AE205" s="16">
        <f t="shared" si="105"/>
        <v>-41641.638786716932</v>
      </c>
      <c r="AF205" s="14">
        <f>IF([1]Sheet2!AJ204=999999,"NA",[1]Sheet2!AJ204)</f>
        <v>0</v>
      </c>
      <c r="AG205" s="14">
        <f>IF([1]Sheet2!AK204=999999,"NA",[1]Sheet2!AK204)</f>
        <v>0</v>
      </c>
      <c r="AH205" s="14" t="str">
        <f>IF([1]Sheet2!AL204=999999,"NA",[1]Sheet2!AL204)</f>
        <v>NA</v>
      </c>
      <c r="AI205" s="14">
        <f>IF([1]Sheet2!AM204=999999,"NA",[1]Sheet2!AM204)</f>
        <v>0</v>
      </c>
      <c r="AJ205" s="14">
        <f>IF([1]Sheet2!AN204=999999,"NA",[1]Sheet2!AN204)</f>
        <v>0</v>
      </c>
      <c r="AK205" s="14">
        <f>IF([1]Sheet2!AO204=999999,"NA",[1]Sheet2!AO204)</f>
        <v>0</v>
      </c>
      <c r="AL205" s="14">
        <f>IF([1]Sheet2!AP204=999999,"NA",[1]Sheet2!AP204)</f>
        <v>0</v>
      </c>
      <c r="AM205" s="14">
        <f>IF([1]Sheet2!AQ204=999999,"NA",[1]Sheet2!AQ204)</f>
        <v>0</v>
      </c>
      <c r="AN205" s="14">
        <f>IF([1]Sheet2!AR204=999999,"NA",[1]Sheet2!AR204)</f>
        <v>0</v>
      </c>
      <c r="AO205" s="14">
        <f>IF([1]Sheet2!AS204=999999,"NA",[1]Sheet2!AS204)</f>
        <v>0</v>
      </c>
      <c r="AP205" s="14">
        <f>[1]Sheet2!P204</f>
        <v>0</v>
      </c>
      <c r="AQ205" s="14">
        <f>[1]Sheet2!Q204</f>
        <v>0</v>
      </c>
      <c r="AR205" s="14">
        <f>[1]Sheet2!R204</f>
        <v>0</v>
      </c>
      <c r="AS205" s="14">
        <f>[1]Sheet2!S204</f>
        <v>0</v>
      </c>
      <c r="AT205" s="14">
        <f>[1]Sheet2!T204</f>
        <v>0</v>
      </c>
      <c r="AU205" s="14">
        <f>[1]Sheet2!U204</f>
        <v>0</v>
      </c>
      <c r="AV205" s="14">
        <f>[1]Sheet2!V204</f>
        <v>0</v>
      </c>
      <c r="AW205" s="14">
        <f>[1]Sheet2!W204</f>
        <v>0</v>
      </c>
      <c r="AX205" s="14">
        <f>[1]Sheet2!X204</f>
        <v>0</v>
      </c>
      <c r="AY205" s="14">
        <f>[1]Sheet2!Y204</f>
        <v>0</v>
      </c>
      <c r="AZ205" s="16">
        <f>Demand_LP!B$9/31</f>
        <v>878.29658550454917</v>
      </c>
      <c r="BA205" s="16">
        <f>Demand_LP!C$9/31</f>
        <v>663.85442514474767</v>
      </c>
      <c r="BB205" s="16">
        <f>Demand_LP!D$9/31</f>
        <v>335.39784946236568</v>
      </c>
      <c r="BC205" s="16">
        <f>Demand_LP!E$9/31</f>
        <v>725.23531844499576</v>
      </c>
      <c r="BD205" s="16">
        <f>Demand_LP!F$9/31</f>
        <v>456.65268558726217</v>
      </c>
      <c r="BE205" s="16">
        <f>Demand_LP!G$9/31</f>
        <v>456.65268558726217</v>
      </c>
      <c r="BF205" s="16">
        <f>Demand_LP!H$9/31</f>
        <v>663.85442514474767</v>
      </c>
      <c r="BG205" s="16">
        <f>Demand_LP!I$9/31</f>
        <v>456.65268558726217</v>
      </c>
      <c r="BH205" s="16">
        <f>Demand_LP!J$9/31</f>
        <v>456.65268558726217</v>
      </c>
      <c r="BI205" s="16">
        <f>Demand_LP!K$9/31</f>
        <v>456.65268558726217</v>
      </c>
      <c r="BJ205" s="16">
        <f t="shared" si="106"/>
        <v>-144629.93921843899</v>
      </c>
      <c r="BK205" s="16">
        <f t="shared" si="107"/>
        <v>-116127.03779983436</v>
      </c>
      <c r="BL205" s="16">
        <f t="shared" si="108"/>
        <v>-53734.961248966138</v>
      </c>
      <c r="BM205" s="16">
        <f t="shared" si="109"/>
        <v>-146791.84808137265</v>
      </c>
      <c r="BN205" s="16">
        <f t="shared" si="110"/>
        <v>-85370.752943705447</v>
      </c>
      <c r="BO205" s="16">
        <f t="shared" si="111"/>
        <v>-83828.436862076182</v>
      </c>
      <c r="BP205" s="16">
        <f t="shared" si="112"/>
        <v>-110484.61728701387</v>
      </c>
      <c r="BQ205" s="16">
        <f t="shared" si="113"/>
        <v>-83828.436862076182</v>
      </c>
      <c r="BR205" s="16">
        <f t="shared" si="114"/>
        <v>-81428.436862076225</v>
      </c>
      <c r="BS205" s="16">
        <f t="shared" si="115"/>
        <v>-82128.436862076211</v>
      </c>
      <c r="BT205" s="14">
        <f>IF([1]Sheet2!CB204=999999,"NA",[1]Sheet2!CB204)</f>
        <v>0</v>
      </c>
      <c r="BU205" s="14">
        <f>IF([1]Sheet2!CC204=999999,"NA",[1]Sheet2!CC204)</f>
        <v>0</v>
      </c>
      <c r="BV205" s="14">
        <f>IF([1]Sheet2!CD204=999999,"NA",[1]Sheet2!CD204)</f>
        <v>0</v>
      </c>
      <c r="BW205" s="14">
        <f>IF([1]Sheet2!CE204=999999,"NA",[1]Sheet2!CE204)</f>
        <v>0</v>
      </c>
      <c r="BX205" s="14">
        <f>IF([1]Sheet2!CF204=999999,"NA",[1]Sheet2!CF204)</f>
        <v>0</v>
      </c>
      <c r="BY205" s="14">
        <f>IF([1]Sheet2!CG204=999999,"NA",[1]Sheet2!CG204)</f>
        <v>0</v>
      </c>
      <c r="BZ205" s="14">
        <f>IF([1]Sheet2!CH204=999999,"NA",[1]Sheet2!CH204)</f>
        <v>0</v>
      </c>
      <c r="CA205" s="14">
        <f>IF([1]Sheet2!CI204=999999,"NA",[1]Sheet2!CI204)</f>
        <v>0</v>
      </c>
      <c r="CB205" s="14">
        <f>IF([1]Sheet2!CJ204=999999,"NA",[1]Sheet2!CJ204)</f>
        <v>0</v>
      </c>
      <c r="CC205" s="14">
        <f>IF([1]Sheet2!CK204=999999,"NA",[1]Sheet2!CK204)</f>
        <v>0</v>
      </c>
      <c r="CD205" s="14">
        <f>[1]Sheet2!BH204</f>
        <v>0</v>
      </c>
      <c r="CE205" s="14">
        <f>[1]Sheet2!BI204</f>
        <v>0</v>
      </c>
      <c r="CF205" s="14">
        <f>[1]Sheet2!BJ204</f>
        <v>0</v>
      </c>
      <c r="CG205" s="14">
        <f>[1]Sheet2!BK204</f>
        <v>0</v>
      </c>
      <c r="CH205" s="14">
        <f>[1]Sheet2!BL204</f>
        <v>0</v>
      </c>
      <c r="CI205" s="14">
        <f>[1]Sheet2!BM204</f>
        <v>0</v>
      </c>
      <c r="CJ205" s="14">
        <f>[1]Sheet2!BN204</f>
        <v>0</v>
      </c>
      <c r="CK205" s="14">
        <f>[1]Sheet2!BO204</f>
        <v>0</v>
      </c>
      <c r="CL205" s="14">
        <f>[1]Sheet2!BP204</f>
        <v>0</v>
      </c>
      <c r="CM205" s="14">
        <f>[1]Sheet2!BQ204</f>
        <v>0</v>
      </c>
      <c r="CN205" s="16">
        <f>Demand_SW!B$9/31</f>
        <v>131.01736972704714</v>
      </c>
      <c r="CO205" s="16">
        <f>Demand_SW!C$9/31</f>
        <v>0</v>
      </c>
      <c r="CP205" s="16">
        <f>Demand_SW!D$9/31</f>
        <v>0</v>
      </c>
      <c r="CQ205" s="16">
        <f>Demand_SW!E$9/31</f>
        <v>0</v>
      </c>
      <c r="CR205" s="16">
        <f>Demand_SW!F$9/31</f>
        <v>0</v>
      </c>
      <c r="CS205" s="16">
        <f>Demand_SW!G$9/31</f>
        <v>131.01736972704714</v>
      </c>
      <c r="CT205" s="16">
        <f>Demand_SW!H$9/31</f>
        <v>0</v>
      </c>
      <c r="CU205" s="16">
        <f>Demand_SW!I$9/31</f>
        <v>0</v>
      </c>
      <c r="CV205" s="16">
        <f>Demand_SW!J$9/31</f>
        <v>0</v>
      </c>
      <c r="CW205" s="16">
        <f>Demand_SW!K$9/31</f>
        <v>0</v>
      </c>
      <c r="CX205" s="16">
        <f t="shared" si="116"/>
        <v>-22349.05707196032</v>
      </c>
      <c r="CY205" s="16">
        <f t="shared" si="117"/>
        <v>76.923076923077133</v>
      </c>
      <c r="CZ205" s="16">
        <f t="shared" si="118"/>
        <v>0</v>
      </c>
      <c r="DA205" s="16">
        <f t="shared" si="119"/>
        <v>0</v>
      </c>
      <c r="DB205" s="16">
        <f t="shared" si="120"/>
        <v>0</v>
      </c>
      <c r="DC205" s="16">
        <f t="shared" si="121"/>
        <v>-21878.28784119109</v>
      </c>
      <c r="DD205" s="16">
        <f t="shared" si="122"/>
        <v>76.923076923077133</v>
      </c>
      <c r="DE205" s="16">
        <f t="shared" si="123"/>
        <v>0</v>
      </c>
      <c r="DF205" s="16">
        <f t="shared" si="124"/>
        <v>0</v>
      </c>
      <c r="DG205" s="16">
        <f t="shared" si="125"/>
        <v>0</v>
      </c>
      <c r="DH205" s="14">
        <f>IF([1]Sheet2!DS204=999999,"NA",[1]Sheet2!DS204)</f>
        <v>0</v>
      </c>
      <c r="DI205" s="14">
        <f>IF([1]Sheet2!DT204=999999,"NA",[1]Sheet2!DT204)</f>
        <v>163</v>
      </c>
      <c r="DJ205" s="14" t="str">
        <f>IF([1]Sheet2!DU204=999999,"NA",[1]Sheet2!DU204)</f>
        <v>NA</v>
      </c>
      <c r="DK205" s="14" t="str">
        <f>IF([1]Sheet2!DV204=999999,"NA",[1]Sheet2!DV204)</f>
        <v>NA</v>
      </c>
      <c r="DL205" s="14" t="str">
        <f>IF([1]Sheet2!DW204=999999,"NA",[1]Sheet2!DW204)</f>
        <v>NA</v>
      </c>
      <c r="DM205" s="14">
        <f>IF([1]Sheet2!DX204=999999,"NA",[1]Sheet2!DX204)</f>
        <v>0</v>
      </c>
      <c r="DN205" s="14">
        <f>IF([1]Sheet2!DY204=999999,"NA",[1]Sheet2!DY204)</f>
        <v>163</v>
      </c>
      <c r="DO205" s="14" t="str">
        <f>IF([1]Sheet2!DZ204=999999,"NA",[1]Sheet2!DZ204)</f>
        <v>NA</v>
      </c>
      <c r="DP205" s="14" t="str">
        <f>IF([1]Sheet2!EA204=999999,"NA",[1]Sheet2!EA204)</f>
        <v>NA</v>
      </c>
      <c r="DQ205" s="14" t="str">
        <f>IF([1]Sheet2!EB204=999999,"NA",[1]Sheet2!EB204)</f>
        <v>NA</v>
      </c>
      <c r="DR205" s="14">
        <f>[1]Sheet2!CY204</f>
        <v>0</v>
      </c>
      <c r="DS205" s="14">
        <f>[1]Sheet2!CZ204</f>
        <v>0</v>
      </c>
      <c r="DT205" s="14">
        <f>[1]Sheet2!DA204</f>
        <v>0</v>
      </c>
      <c r="DU205" s="14">
        <f>[1]Sheet2!DB204</f>
        <v>0</v>
      </c>
      <c r="DV205" s="14">
        <f>[1]Sheet2!DC204</f>
        <v>0</v>
      </c>
      <c r="DW205" s="14">
        <f>[1]Sheet2!DD204</f>
        <v>0</v>
      </c>
      <c r="DX205" s="14">
        <f>[1]Sheet2!DE204</f>
        <v>0</v>
      </c>
      <c r="DY205" s="14">
        <f>[1]Sheet2!DF204</f>
        <v>0</v>
      </c>
      <c r="DZ205" s="14">
        <f>[1]Sheet2!DG204</f>
        <v>0</v>
      </c>
      <c r="EA205" s="14">
        <f>[1]Sheet2!DH204</f>
        <v>0</v>
      </c>
      <c r="EB205" s="6">
        <f>[1]Sheet2!EC204</f>
        <v>0</v>
      </c>
      <c r="EC205" s="6">
        <f>[1]Sheet2!ED204</f>
        <v>0</v>
      </c>
      <c r="ED205" s="6">
        <f>[1]Sheet2!EE204</f>
        <v>0</v>
      </c>
      <c r="EE205" s="6">
        <f>[1]Sheet2!EF204</f>
        <v>0</v>
      </c>
      <c r="EF205" s="6">
        <f>[1]Sheet2!EG204</f>
        <v>0</v>
      </c>
      <c r="EG205" s="6">
        <f>[1]Sheet2!EH204</f>
        <v>0</v>
      </c>
      <c r="EH205" s="6">
        <f>[1]Sheet2!EI204</f>
        <v>0</v>
      </c>
      <c r="EI205" s="6">
        <f>[1]Sheet2!EJ204</f>
        <v>0</v>
      </c>
      <c r="EJ205" s="6">
        <f>[1]Sheet2!EK204</f>
        <v>0</v>
      </c>
      <c r="EK205" s="6">
        <f>[1]Sheet2!EL204</f>
        <v>0</v>
      </c>
      <c r="EL205" s="6" t="str">
        <f>[1]Sheet2!EM204</f>
        <v/>
      </c>
      <c r="EM205" s="6" t="str">
        <f>[1]Sheet2!EN204</f>
        <v/>
      </c>
      <c r="EN205" s="6" t="str">
        <f>[1]Sheet2!EO204</f>
        <v/>
      </c>
      <c r="EO205" s="6" t="str">
        <f>[1]Sheet2!EP204</f>
        <v/>
      </c>
      <c r="EP205" s="6" t="str">
        <f>[1]Sheet2!EQ204</f>
        <v/>
      </c>
      <c r="EQ205" s="6" t="str">
        <f>[1]Sheet2!ER204</f>
        <v/>
      </c>
      <c r="ER205" s="6" t="str">
        <f>[1]Sheet2!ES204</f>
        <v/>
      </c>
      <c r="ES205" s="6" t="str">
        <f>[1]Sheet2!ET204</f>
        <v/>
      </c>
      <c r="ET205" s="6" t="str">
        <f>[1]Sheet2!EU204</f>
        <v/>
      </c>
      <c r="EU205" s="6" t="str">
        <f>[1]Sheet2!EV204</f>
        <v/>
      </c>
      <c r="EV205" s="6" t="str">
        <f>[1]Sheet2!EW204</f>
        <v/>
      </c>
      <c r="EW205" s="6" t="str">
        <f>[1]Sheet2!EX204</f>
        <v/>
      </c>
      <c r="EX205" s="6" t="str">
        <f>[1]Sheet2!EY204</f>
        <v/>
      </c>
      <c r="EY205" s="6" t="str">
        <f>[1]Sheet2!EZ204</f>
        <v/>
      </c>
      <c r="EZ205" s="6" t="str">
        <f>[1]Sheet2!FA204</f>
        <v/>
      </c>
      <c r="FA205" s="6" t="str">
        <f>[1]Sheet2!FB204</f>
        <v/>
      </c>
      <c r="FB205" s="6" t="str">
        <f>[1]Sheet2!FC204</f>
        <v/>
      </c>
      <c r="FC205" s="6" t="str">
        <f>[1]Sheet2!FD204</f>
        <v/>
      </c>
      <c r="FD205" s="6" t="str">
        <f>[1]Sheet2!FE204</f>
        <v/>
      </c>
      <c r="FE205" s="6" t="str">
        <f>[1]Sheet2!FF204</f>
        <v/>
      </c>
      <c r="FF205" s="6" t="str">
        <f>[1]Sheet2!FG204</f>
        <v/>
      </c>
      <c r="FG205" s="6" t="str">
        <f>[1]Sheet2!FH204</f>
        <v/>
      </c>
      <c r="FH205" s="6" t="str">
        <f>[1]Sheet2!FI204</f>
        <v/>
      </c>
      <c r="FI205" s="6" t="str">
        <f>[1]Sheet2!FJ204</f>
        <v/>
      </c>
      <c r="FJ205" s="6" t="str">
        <f>[1]Sheet2!FK204</f>
        <v/>
      </c>
      <c r="FK205" s="6" t="str">
        <f>[1]Sheet2!FL204</f>
        <v/>
      </c>
      <c r="FL205" s="6" t="str">
        <f>[1]Sheet2!FM204</f>
        <v/>
      </c>
      <c r="FM205" s="6" t="str">
        <f>[1]Sheet2!FN204</f>
        <v/>
      </c>
      <c r="FN205" s="6" t="str">
        <f>[1]Sheet2!FO204</f>
        <v/>
      </c>
      <c r="FO205" s="6" t="str">
        <f>[1]Sheet2!FP204</f>
        <v/>
      </c>
    </row>
    <row r="206" spans="1:171" x14ac:dyDescent="0.25">
      <c r="A206" s="15">
        <v>43668</v>
      </c>
      <c r="B206" s="1"/>
      <c r="C206" s="1"/>
      <c r="D206" s="1"/>
      <c r="E206" s="14">
        <f>[1]Sheet2!N205</f>
        <v>48000</v>
      </c>
      <c r="F206" s="14">
        <f>[1]Sheet2!BE205</f>
        <v>0</v>
      </c>
      <c r="G206" s="14">
        <f>[1]Sheet2!CW205</f>
        <v>0</v>
      </c>
      <c r="H206" s="1"/>
      <c r="I206" s="1"/>
      <c r="J206" s="1"/>
      <c r="K206" s="16"/>
      <c r="L206" s="16">
        <f>Demand_CWRS!B$9/31</f>
        <v>137.44229993796523</v>
      </c>
      <c r="M206" s="16">
        <f>Demand_CWRS!C$9/31</f>
        <v>616.54259718775836</v>
      </c>
      <c r="N206" s="16">
        <f>Demand_CWRS!D$9/31</f>
        <v>0</v>
      </c>
      <c r="O206" s="16">
        <f>Demand_CWRS!E$9/31</f>
        <v>140.39247311827955</v>
      </c>
      <c r="P206" s="16">
        <f>Demand_CWRS!F$9/31</f>
        <v>245.11049679487181</v>
      </c>
      <c r="Q206" s="16">
        <f>Demand_CWRS!G$9/31</f>
        <v>137.44229993796523</v>
      </c>
      <c r="R206" s="16">
        <f>Demand_CWRS!H$9/31</f>
        <v>245.11049679487181</v>
      </c>
      <c r="S206" s="16">
        <f>Demand_CWRS!I$9/31</f>
        <v>245.11049679487181</v>
      </c>
      <c r="T206" s="16">
        <f>Demand_CWRS!J$9/31</f>
        <v>245.11049679487181</v>
      </c>
      <c r="U206" s="16">
        <f>Demand_CWRS!K$9/31</f>
        <v>245.11049679487181</v>
      </c>
      <c r="V206" s="16">
        <f t="shared" si="96"/>
        <v>-25384.492136031753</v>
      </c>
      <c r="W206" s="16">
        <f t="shared" si="97"/>
        <v>-97420.098676591908</v>
      </c>
      <c r="X206" s="16">
        <f t="shared" si="98"/>
        <v>0</v>
      </c>
      <c r="Y206" s="16">
        <f t="shared" si="99"/>
        <v>-16629.910958423628</v>
      </c>
      <c r="Z206" s="16">
        <f t="shared" si="100"/>
        <v>-42670.59476428105</v>
      </c>
      <c r="AA206" s="16">
        <f t="shared" si="101"/>
        <v>-24058.718986993317</v>
      </c>
      <c r="AB206" s="16">
        <f t="shared" si="102"/>
        <v>-46979.759539922008</v>
      </c>
      <c r="AC206" s="16">
        <f t="shared" si="103"/>
        <v>-41186.749283511817</v>
      </c>
      <c r="AD206" s="16">
        <f t="shared" si="104"/>
        <v>-41286.74928351181</v>
      </c>
      <c r="AE206" s="16">
        <f t="shared" si="105"/>
        <v>-41886.749283511803</v>
      </c>
      <c r="AF206" s="14">
        <f>IF([1]Sheet2!AJ205=999999,"NA",[1]Sheet2!AJ205)</f>
        <v>0</v>
      </c>
      <c r="AG206" s="14">
        <f>IF([1]Sheet2!AK205=999999,"NA",[1]Sheet2!AK205)</f>
        <v>0</v>
      </c>
      <c r="AH206" s="14" t="str">
        <f>IF([1]Sheet2!AL205=999999,"NA",[1]Sheet2!AL205)</f>
        <v>NA</v>
      </c>
      <c r="AI206" s="14">
        <f>IF([1]Sheet2!AM205=999999,"NA",[1]Sheet2!AM205)</f>
        <v>0</v>
      </c>
      <c r="AJ206" s="14">
        <f>IF([1]Sheet2!AN205=999999,"NA",[1]Sheet2!AN205)</f>
        <v>0</v>
      </c>
      <c r="AK206" s="14">
        <f>IF([1]Sheet2!AO205=999999,"NA",[1]Sheet2!AO205)</f>
        <v>0</v>
      </c>
      <c r="AL206" s="14">
        <f>IF([1]Sheet2!AP205=999999,"NA",[1]Sheet2!AP205)</f>
        <v>0</v>
      </c>
      <c r="AM206" s="14">
        <f>IF([1]Sheet2!AQ205=999999,"NA",[1]Sheet2!AQ205)</f>
        <v>0</v>
      </c>
      <c r="AN206" s="14">
        <f>IF([1]Sheet2!AR205=999999,"NA",[1]Sheet2!AR205)</f>
        <v>0</v>
      </c>
      <c r="AO206" s="14">
        <f>IF([1]Sheet2!AS205=999999,"NA",[1]Sheet2!AS205)</f>
        <v>0</v>
      </c>
      <c r="AP206" s="14">
        <f>[1]Sheet2!P205</f>
        <v>0</v>
      </c>
      <c r="AQ206" s="14">
        <f>[1]Sheet2!Q205</f>
        <v>0</v>
      </c>
      <c r="AR206" s="14">
        <f>[1]Sheet2!R205</f>
        <v>0</v>
      </c>
      <c r="AS206" s="14">
        <f>[1]Sheet2!S205</f>
        <v>0</v>
      </c>
      <c r="AT206" s="14">
        <f>[1]Sheet2!T205</f>
        <v>0</v>
      </c>
      <c r="AU206" s="14">
        <f>[1]Sheet2!U205</f>
        <v>0</v>
      </c>
      <c r="AV206" s="14">
        <f>[1]Sheet2!V205</f>
        <v>0</v>
      </c>
      <c r="AW206" s="14">
        <f>[1]Sheet2!W205</f>
        <v>0</v>
      </c>
      <c r="AX206" s="14">
        <f>[1]Sheet2!X205</f>
        <v>0</v>
      </c>
      <c r="AY206" s="14">
        <f>[1]Sheet2!Y205</f>
        <v>0</v>
      </c>
      <c r="AZ206" s="16">
        <f>Demand_LP!B$9/31</f>
        <v>878.29658550454917</v>
      </c>
      <c r="BA206" s="16">
        <f>Demand_LP!C$9/31</f>
        <v>663.85442514474767</v>
      </c>
      <c r="BB206" s="16">
        <f>Demand_LP!D$9/31</f>
        <v>335.39784946236568</v>
      </c>
      <c r="BC206" s="16">
        <f>Demand_LP!E$9/31</f>
        <v>725.23531844499576</v>
      </c>
      <c r="BD206" s="16">
        <f>Demand_LP!F$9/31</f>
        <v>456.65268558726217</v>
      </c>
      <c r="BE206" s="16">
        <f>Demand_LP!G$9/31</f>
        <v>456.65268558726217</v>
      </c>
      <c r="BF206" s="16">
        <f>Demand_LP!H$9/31</f>
        <v>663.85442514474767</v>
      </c>
      <c r="BG206" s="16">
        <f>Demand_LP!I$9/31</f>
        <v>456.65268558726217</v>
      </c>
      <c r="BH206" s="16">
        <f>Demand_LP!J$9/31</f>
        <v>456.65268558726217</v>
      </c>
      <c r="BI206" s="16">
        <f>Demand_LP!K$9/31</f>
        <v>456.65268558726217</v>
      </c>
      <c r="BJ206" s="16">
        <f t="shared" si="106"/>
        <v>-145508.23580394353</v>
      </c>
      <c r="BK206" s="16">
        <f t="shared" si="107"/>
        <v>-116790.89222497911</v>
      </c>
      <c r="BL206" s="16">
        <f t="shared" si="108"/>
        <v>-54070.359098428504</v>
      </c>
      <c r="BM206" s="16">
        <f t="shared" si="109"/>
        <v>-147517.08339981764</v>
      </c>
      <c r="BN206" s="16">
        <f t="shared" si="110"/>
        <v>-85827.405629292713</v>
      </c>
      <c r="BO206" s="16">
        <f t="shared" si="111"/>
        <v>-84285.089547663447</v>
      </c>
      <c r="BP206" s="16">
        <f t="shared" si="112"/>
        <v>-111148.47171215861</v>
      </c>
      <c r="BQ206" s="16">
        <f t="shared" si="113"/>
        <v>-84285.089547663447</v>
      </c>
      <c r="BR206" s="16">
        <f t="shared" si="114"/>
        <v>-81885.089547663491</v>
      </c>
      <c r="BS206" s="16">
        <f t="shared" si="115"/>
        <v>-82585.089547663476</v>
      </c>
      <c r="BT206" s="14">
        <f>IF([1]Sheet2!CB205=999999,"NA",[1]Sheet2!CB205)</f>
        <v>0</v>
      </c>
      <c r="BU206" s="14">
        <f>IF([1]Sheet2!CC205=999999,"NA",[1]Sheet2!CC205)</f>
        <v>0</v>
      </c>
      <c r="BV206" s="14">
        <f>IF([1]Sheet2!CD205=999999,"NA",[1]Sheet2!CD205)</f>
        <v>0</v>
      </c>
      <c r="BW206" s="14">
        <f>IF([1]Sheet2!CE205=999999,"NA",[1]Sheet2!CE205)</f>
        <v>0</v>
      </c>
      <c r="BX206" s="14">
        <f>IF([1]Sheet2!CF205=999999,"NA",[1]Sheet2!CF205)</f>
        <v>0</v>
      </c>
      <c r="BY206" s="14">
        <f>IF([1]Sheet2!CG205=999999,"NA",[1]Sheet2!CG205)</f>
        <v>0</v>
      </c>
      <c r="BZ206" s="14">
        <f>IF([1]Sheet2!CH205=999999,"NA",[1]Sheet2!CH205)</f>
        <v>0</v>
      </c>
      <c r="CA206" s="14">
        <f>IF([1]Sheet2!CI205=999999,"NA",[1]Sheet2!CI205)</f>
        <v>0</v>
      </c>
      <c r="CB206" s="14">
        <f>IF([1]Sheet2!CJ205=999999,"NA",[1]Sheet2!CJ205)</f>
        <v>0</v>
      </c>
      <c r="CC206" s="14">
        <f>IF([1]Sheet2!CK205=999999,"NA",[1]Sheet2!CK205)</f>
        <v>0</v>
      </c>
      <c r="CD206" s="14">
        <f>[1]Sheet2!BH205</f>
        <v>0</v>
      </c>
      <c r="CE206" s="14">
        <f>[1]Sheet2!BI205</f>
        <v>0</v>
      </c>
      <c r="CF206" s="14">
        <f>[1]Sheet2!BJ205</f>
        <v>0</v>
      </c>
      <c r="CG206" s="14">
        <f>[1]Sheet2!BK205</f>
        <v>0</v>
      </c>
      <c r="CH206" s="14">
        <f>[1]Sheet2!BL205</f>
        <v>0</v>
      </c>
      <c r="CI206" s="14">
        <f>[1]Sheet2!BM205</f>
        <v>0</v>
      </c>
      <c r="CJ206" s="14">
        <f>[1]Sheet2!BN205</f>
        <v>0</v>
      </c>
      <c r="CK206" s="14">
        <f>[1]Sheet2!BO205</f>
        <v>0</v>
      </c>
      <c r="CL206" s="14">
        <f>[1]Sheet2!BP205</f>
        <v>0</v>
      </c>
      <c r="CM206" s="14">
        <f>[1]Sheet2!BQ205</f>
        <v>0</v>
      </c>
      <c r="CN206" s="16">
        <f>Demand_SW!B$9/31</f>
        <v>131.01736972704714</v>
      </c>
      <c r="CO206" s="16">
        <f>Demand_SW!C$9/31</f>
        <v>0</v>
      </c>
      <c r="CP206" s="16">
        <f>Demand_SW!D$9/31</f>
        <v>0</v>
      </c>
      <c r="CQ206" s="16">
        <f>Demand_SW!E$9/31</f>
        <v>0</v>
      </c>
      <c r="CR206" s="16">
        <f>Demand_SW!F$9/31</f>
        <v>0</v>
      </c>
      <c r="CS206" s="16">
        <f>Demand_SW!G$9/31</f>
        <v>131.01736972704714</v>
      </c>
      <c r="CT206" s="16">
        <f>Demand_SW!H$9/31</f>
        <v>0</v>
      </c>
      <c r="CU206" s="16">
        <f>Demand_SW!I$9/31</f>
        <v>0</v>
      </c>
      <c r="CV206" s="16">
        <f>Demand_SW!J$9/31</f>
        <v>0</v>
      </c>
      <c r="CW206" s="16">
        <f>Demand_SW!K$9/31</f>
        <v>0</v>
      </c>
      <c r="CX206" s="16">
        <f t="shared" si="116"/>
        <v>-22480.074441687368</v>
      </c>
      <c r="CY206" s="16">
        <f t="shared" si="117"/>
        <v>76.923076923077133</v>
      </c>
      <c r="CZ206" s="16">
        <f t="shared" si="118"/>
        <v>0</v>
      </c>
      <c r="DA206" s="16">
        <f t="shared" si="119"/>
        <v>0</v>
      </c>
      <c r="DB206" s="16">
        <f t="shared" si="120"/>
        <v>0</v>
      </c>
      <c r="DC206" s="16">
        <f t="shared" si="121"/>
        <v>-22009.305210918137</v>
      </c>
      <c r="DD206" s="16">
        <f t="shared" si="122"/>
        <v>76.923076923077133</v>
      </c>
      <c r="DE206" s="16">
        <f t="shared" si="123"/>
        <v>0</v>
      </c>
      <c r="DF206" s="16">
        <f t="shared" si="124"/>
        <v>0</v>
      </c>
      <c r="DG206" s="16">
        <f t="shared" si="125"/>
        <v>0</v>
      </c>
      <c r="DH206" s="14">
        <f>IF([1]Sheet2!DS205=999999,"NA",[1]Sheet2!DS205)</f>
        <v>0</v>
      </c>
      <c r="DI206" s="14">
        <f>IF([1]Sheet2!DT205=999999,"NA",[1]Sheet2!DT205)</f>
        <v>162</v>
      </c>
      <c r="DJ206" s="14" t="str">
        <f>IF([1]Sheet2!DU205=999999,"NA",[1]Sheet2!DU205)</f>
        <v>NA</v>
      </c>
      <c r="DK206" s="14" t="str">
        <f>IF([1]Sheet2!DV205=999999,"NA",[1]Sheet2!DV205)</f>
        <v>NA</v>
      </c>
      <c r="DL206" s="14" t="str">
        <f>IF([1]Sheet2!DW205=999999,"NA",[1]Sheet2!DW205)</f>
        <v>NA</v>
      </c>
      <c r="DM206" s="14">
        <f>IF([1]Sheet2!DX205=999999,"NA",[1]Sheet2!DX205)</f>
        <v>0</v>
      </c>
      <c r="DN206" s="14">
        <f>IF([1]Sheet2!DY205=999999,"NA",[1]Sheet2!DY205)</f>
        <v>162</v>
      </c>
      <c r="DO206" s="14" t="str">
        <f>IF([1]Sheet2!DZ205=999999,"NA",[1]Sheet2!DZ205)</f>
        <v>NA</v>
      </c>
      <c r="DP206" s="14" t="str">
        <f>IF([1]Sheet2!EA205=999999,"NA",[1]Sheet2!EA205)</f>
        <v>NA</v>
      </c>
      <c r="DQ206" s="14" t="str">
        <f>IF([1]Sheet2!EB205=999999,"NA",[1]Sheet2!EB205)</f>
        <v>NA</v>
      </c>
      <c r="DR206" s="14">
        <f>[1]Sheet2!CY205</f>
        <v>0</v>
      </c>
      <c r="DS206" s="14">
        <f>[1]Sheet2!CZ205</f>
        <v>0</v>
      </c>
      <c r="DT206" s="14">
        <f>[1]Sheet2!DA205</f>
        <v>0</v>
      </c>
      <c r="DU206" s="14">
        <f>[1]Sheet2!DB205</f>
        <v>0</v>
      </c>
      <c r="DV206" s="14">
        <f>[1]Sheet2!DC205</f>
        <v>0</v>
      </c>
      <c r="DW206" s="14">
        <f>[1]Sheet2!DD205</f>
        <v>0</v>
      </c>
      <c r="DX206" s="14">
        <f>[1]Sheet2!DE205</f>
        <v>0</v>
      </c>
      <c r="DY206" s="14">
        <f>[1]Sheet2!DF205</f>
        <v>0</v>
      </c>
      <c r="DZ206" s="14">
        <f>[1]Sheet2!DG205</f>
        <v>0</v>
      </c>
      <c r="EA206" s="14">
        <f>[1]Sheet2!DH205</f>
        <v>0</v>
      </c>
      <c r="EB206" s="6">
        <f>[1]Sheet2!EC205</f>
        <v>0</v>
      </c>
      <c r="EC206" s="6">
        <f>[1]Sheet2!ED205</f>
        <v>0</v>
      </c>
      <c r="ED206" s="6">
        <f>[1]Sheet2!EE205</f>
        <v>0</v>
      </c>
      <c r="EE206" s="6">
        <f>[1]Sheet2!EF205</f>
        <v>0</v>
      </c>
      <c r="EF206" s="6">
        <f>[1]Sheet2!EG205</f>
        <v>0</v>
      </c>
      <c r="EG206" s="6">
        <f>[1]Sheet2!EH205</f>
        <v>0</v>
      </c>
      <c r="EH206" s="6">
        <f>[1]Sheet2!EI205</f>
        <v>0</v>
      </c>
      <c r="EI206" s="6">
        <f>[1]Sheet2!EJ205</f>
        <v>0</v>
      </c>
      <c r="EJ206" s="6">
        <f>[1]Sheet2!EK205</f>
        <v>0</v>
      </c>
      <c r="EK206" s="6">
        <f>[1]Sheet2!EL205</f>
        <v>0</v>
      </c>
      <c r="EL206" s="6" t="str">
        <f>[1]Sheet2!EM205</f>
        <v/>
      </c>
      <c r="EM206" s="6" t="str">
        <f>[1]Sheet2!EN205</f>
        <v/>
      </c>
      <c r="EN206" s="6" t="str">
        <f>[1]Sheet2!EO205</f>
        <v/>
      </c>
      <c r="EO206" s="6" t="str">
        <f>[1]Sheet2!EP205</f>
        <v/>
      </c>
      <c r="EP206" s="6" t="str">
        <f>[1]Sheet2!EQ205</f>
        <v/>
      </c>
      <c r="EQ206" s="6" t="str">
        <f>[1]Sheet2!ER205</f>
        <v/>
      </c>
      <c r="ER206" s="6" t="str">
        <f>[1]Sheet2!ES205</f>
        <v/>
      </c>
      <c r="ES206" s="6" t="str">
        <f>[1]Sheet2!ET205</f>
        <v/>
      </c>
      <c r="ET206" s="6" t="str">
        <f>[1]Sheet2!EU205</f>
        <v/>
      </c>
      <c r="EU206" s="6" t="str">
        <f>[1]Sheet2!EV205</f>
        <v/>
      </c>
      <c r="EV206" s="6" t="str">
        <f>[1]Sheet2!EW205</f>
        <v/>
      </c>
      <c r="EW206" s="6" t="str">
        <f>[1]Sheet2!EX205</f>
        <v/>
      </c>
      <c r="EX206" s="6" t="str">
        <f>[1]Sheet2!EY205</f>
        <v/>
      </c>
      <c r="EY206" s="6" t="str">
        <f>[1]Sheet2!EZ205</f>
        <v/>
      </c>
      <c r="EZ206" s="6" t="str">
        <f>[1]Sheet2!FA205</f>
        <v/>
      </c>
      <c r="FA206" s="6" t="str">
        <f>[1]Sheet2!FB205</f>
        <v/>
      </c>
      <c r="FB206" s="6" t="str">
        <f>[1]Sheet2!FC205</f>
        <v/>
      </c>
      <c r="FC206" s="6" t="str">
        <f>[1]Sheet2!FD205</f>
        <v/>
      </c>
      <c r="FD206" s="6" t="str">
        <f>[1]Sheet2!FE205</f>
        <v/>
      </c>
      <c r="FE206" s="6" t="str">
        <f>[1]Sheet2!FF205</f>
        <v/>
      </c>
      <c r="FF206" s="6" t="str">
        <f>[1]Sheet2!FG205</f>
        <v/>
      </c>
      <c r="FG206" s="6" t="str">
        <f>[1]Sheet2!FH205</f>
        <v/>
      </c>
      <c r="FH206" s="6" t="str">
        <f>[1]Sheet2!FI205</f>
        <v/>
      </c>
      <c r="FI206" s="6" t="str">
        <f>[1]Sheet2!FJ205</f>
        <v/>
      </c>
      <c r="FJ206" s="6" t="str">
        <f>[1]Sheet2!FK205</f>
        <v/>
      </c>
      <c r="FK206" s="6" t="str">
        <f>[1]Sheet2!FL205</f>
        <v/>
      </c>
      <c r="FL206" s="6" t="str">
        <f>[1]Sheet2!FM205</f>
        <v/>
      </c>
      <c r="FM206" s="6" t="str">
        <f>[1]Sheet2!FN205</f>
        <v/>
      </c>
      <c r="FN206" s="6" t="str">
        <f>[1]Sheet2!FO205</f>
        <v/>
      </c>
      <c r="FO206" s="6" t="str">
        <f>[1]Sheet2!FP205</f>
        <v/>
      </c>
    </row>
    <row r="207" spans="1:171" x14ac:dyDescent="0.25">
      <c r="A207" s="15">
        <v>43669</v>
      </c>
      <c r="B207" s="1"/>
      <c r="C207" s="1"/>
      <c r="D207" s="1"/>
      <c r="E207" s="14">
        <f>[1]Sheet2!N206</f>
        <v>0</v>
      </c>
      <c r="F207" s="14">
        <f>[1]Sheet2!BE206</f>
        <v>48000</v>
      </c>
      <c r="G207" s="14">
        <f>[1]Sheet2!CW206</f>
        <v>0</v>
      </c>
      <c r="H207" s="1"/>
      <c r="I207" s="1"/>
      <c r="J207" s="1"/>
      <c r="K207" s="16"/>
      <c r="L207" s="16">
        <f>Demand_CWRS!B$9/31</f>
        <v>137.44229993796523</v>
      </c>
      <c r="M207" s="16">
        <f>Demand_CWRS!C$9/31</f>
        <v>616.54259718775836</v>
      </c>
      <c r="N207" s="16">
        <f>Demand_CWRS!D$9/31</f>
        <v>0</v>
      </c>
      <c r="O207" s="16">
        <f>Demand_CWRS!E$9/31</f>
        <v>140.39247311827955</v>
      </c>
      <c r="P207" s="16">
        <f>Demand_CWRS!F$9/31</f>
        <v>245.11049679487181</v>
      </c>
      <c r="Q207" s="16">
        <f>Demand_CWRS!G$9/31</f>
        <v>137.44229993796523</v>
      </c>
      <c r="R207" s="16">
        <f>Demand_CWRS!H$9/31</f>
        <v>245.11049679487181</v>
      </c>
      <c r="S207" s="16">
        <f>Demand_CWRS!I$9/31</f>
        <v>245.11049679487181</v>
      </c>
      <c r="T207" s="16">
        <f>Demand_CWRS!J$9/31</f>
        <v>245.11049679487181</v>
      </c>
      <c r="U207" s="16">
        <f>Demand_CWRS!K$9/31</f>
        <v>245.11049679487181</v>
      </c>
      <c r="V207" s="16">
        <f t="shared" si="96"/>
        <v>-25521.934435969717</v>
      </c>
      <c r="W207" s="16">
        <f t="shared" si="97"/>
        <v>-98036.641273779664</v>
      </c>
      <c r="X207" s="16">
        <f t="shared" si="98"/>
        <v>0</v>
      </c>
      <c r="Y207" s="16">
        <f t="shared" si="99"/>
        <v>-16770.303431541906</v>
      </c>
      <c r="Z207" s="16">
        <f t="shared" si="100"/>
        <v>-42915.70526107592</v>
      </c>
      <c r="AA207" s="16">
        <f t="shared" si="101"/>
        <v>-24196.161286931281</v>
      </c>
      <c r="AB207" s="16">
        <f t="shared" si="102"/>
        <v>-47224.870036716879</v>
      </c>
      <c r="AC207" s="16">
        <f t="shared" si="103"/>
        <v>-41431.859780306688</v>
      </c>
      <c r="AD207" s="16">
        <f t="shared" si="104"/>
        <v>-41531.85978030668</v>
      </c>
      <c r="AE207" s="16">
        <f t="shared" si="105"/>
        <v>-42131.859780306673</v>
      </c>
      <c r="AF207" s="14">
        <f>IF([1]Sheet2!AJ206=999999,"NA",[1]Sheet2!AJ206)</f>
        <v>0</v>
      </c>
      <c r="AG207" s="14">
        <f>IF([1]Sheet2!AK206=999999,"NA",[1]Sheet2!AK206)</f>
        <v>0</v>
      </c>
      <c r="AH207" s="14" t="str">
        <f>IF([1]Sheet2!AL206=999999,"NA",[1]Sheet2!AL206)</f>
        <v>NA</v>
      </c>
      <c r="AI207" s="14">
        <f>IF([1]Sheet2!AM206=999999,"NA",[1]Sheet2!AM206)</f>
        <v>0</v>
      </c>
      <c r="AJ207" s="14">
        <f>IF([1]Sheet2!AN206=999999,"NA",[1]Sheet2!AN206)</f>
        <v>0</v>
      </c>
      <c r="AK207" s="14">
        <f>IF([1]Sheet2!AO206=999999,"NA",[1]Sheet2!AO206)</f>
        <v>0</v>
      </c>
      <c r="AL207" s="14">
        <f>IF([1]Sheet2!AP206=999999,"NA",[1]Sheet2!AP206)</f>
        <v>0</v>
      </c>
      <c r="AM207" s="14">
        <f>IF([1]Sheet2!AQ206=999999,"NA",[1]Sheet2!AQ206)</f>
        <v>0</v>
      </c>
      <c r="AN207" s="14">
        <f>IF([1]Sheet2!AR206=999999,"NA",[1]Sheet2!AR206)</f>
        <v>0</v>
      </c>
      <c r="AO207" s="14">
        <f>IF([1]Sheet2!AS206=999999,"NA",[1]Sheet2!AS206)</f>
        <v>0</v>
      </c>
      <c r="AP207" s="14">
        <f>[1]Sheet2!P206</f>
        <v>0</v>
      </c>
      <c r="AQ207" s="14">
        <f>[1]Sheet2!Q206</f>
        <v>0</v>
      </c>
      <c r="AR207" s="14">
        <f>[1]Sheet2!R206</f>
        <v>0</v>
      </c>
      <c r="AS207" s="14">
        <f>[1]Sheet2!S206</f>
        <v>0</v>
      </c>
      <c r="AT207" s="14">
        <f>[1]Sheet2!T206</f>
        <v>0</v>
      </c>
      <c r="AU207" s="14">
        <f>[1]Sheet2!U206</f>
        <v>0</v>
      </c>
      <c r="AV207" s="14">
        <f>[1]Sheet2!V206</f>
        <v>0</v>
      </c>
      <c r="AW207" s="14">
        <f>[1]Sheet2!W206</f>
        <v>0</v>
      </c>
      <c r="AX207" s="14">
        <f>[1]Sheet2!X206</f>
        <v>0</v>
      </c>
      <c r="AY207" s="14">
        <f>[1]Sheet2!Y206</f>
        <v>0</v>
      </c>
      <c r="AZ207" s="16">
        <f>Demand_LP!B$9/31</f>
        <v>878.29658550454917</v>
      </c>
      <c r="BA207" s="16">
        <f>Demand_LP!C$9/31</f>
        <v>663.85442514474767</v>
      </c>
      <c r="BB207" s="16">
        <f>Demand_LP!D$9/31</f>
        <v>335.39784946236568</v>
      </c>
      <c r="BC207" s="16">
        <f>Demand_LP!E$9/31</f>
        <v>725.23531844499576</v>
      </c>
      <c r="BD207" s="16">
        <f>Demand_LP!F$9/31</f>
        <v>456.65268558726217</v>
      </c>
      <c r="BE207" s="16">
        <f>Demand_LP!G$9/31</f>
        <v>456.65268558726217</v>
      </c>
      <c r="BF207" s="16">
        <f>Demand_LP!H$9/31</f>
        <v>663.85442514474767</v>
      </c>
      <c r="BG207" s="16">
        <f>Demand_LP!I$9/31</f>
        <v>456.65268558726217</v>
      </c>
      <c r="BH207" s="16">
        <f>Demand_LP!J$9/31</f>
        <v>456.65268558726217</v>
      </c>
      <c r="BI207" s="16">
        <f>Demand_LP!K$9/31</f>
        <v>456.65268558726217</v>
      </c>
      <c r="BJ207" s="16">
        <f t="shared" si="106"/>
        <v>-146386.53238944808</v>
      </c>
      <c r="BK207" s="16">
        <f t="shared" si="107"/>
        <v>-117454.74665012385</v>
      </c>
      <c r="BL207" s="16">
        <f t="shared" si="108"/>
        <v>-54405.75694789087</v>
      </c>
      <c r="BM207" s="16">
        <f t="shared" si="109"/>
        <v>-148242.31871826263</v>
      </c>
      <c r="BN207" s="16">
        <f t="shared" si="110"/>
        <v>-86284.058314879978</v>
      </c>
      <c r="BO207" s="16">
        <f t="shared" si="111"/>
        <v>-84741.742233250712</v>
      </c>
      <c r="BP207" s="16">
        <f t="shared" si="112"/>
        <v>-111812.32613730336</v>
      </c>
      <c r="BQ207" s="16">
        <f t="shared" si="113"/>
        <v>-84741.742233250712</v>
      </c>
      <c r="BR207" s="16">
        <f t="shared" si="114"/>
        <v>-82341.742233250756</v>
      </c>
      <c r="BS207" s="16">
        <f t="shared" si="115"/>
        <v>-83041.742233250741</v>
      </c>
      <c r="BT207" s="14">
        <f>IF([1]Sheet2!CB206=999999,"NA",[1]Sheet2!CB206)</f>
        <v>0</v>
      </c>
      <c r="BU207" s="14">
        <f>IF([1]Sheet2!CC206=999999,"NA",[1]Sheet2!CC206)</f>
        <v>0</v>
      </c>
      <c r="BV207" s="14">
        <f>IF([1]Sheet2!CD206=999999,"NA",[1]Sheet2!CD206)</f>
        <v>0</v>
      </c>
      <c r="BW207" s="14">
        <f>IF([1]Sheet2!CE206=999999,"NA",[1]Sheet2!CE206)</f>
        <v>0</v>
      </c>
      <c r="BX207" s="14">
        <f>IF([1]Sheet2!CF206=999999,"NA",[1]Sheet2!CF206)</f>
        <v>0</v>
      </c>
      <c r="BY207" s="14">
        <f>IF([1]Sheet2!CG206=999999,"NA",[1]Sheet2!CG206)</f>
        <v>0</v>
      </c>
      <c r="BZ207" s="14">
        <f>IF([1]Sheet2!CH206=999999,"NA",[1]Sheet2!CH206)</f>
        <v>0</v>
      </c>
      <c r="CA207" s="14">
        <f>IF([1]Sheet2!CI206=999999,"NA",[1]Sheet2!CI206)</f>
        <v>0</v>
      </c>
      <c r="CB207" s="14">
        <f>IF([1]Sheet2!CJ206=999999,"NA",[1]Sheet2!CJ206)</f>
        <v>0</v>
      </c>
      <c r="CC207" s="14">
        <f>IF([1]Sheet2!CK206=999999,"NA",[1]Sheet2!CK206)</f>
        <v>0</v>
      </c>
      <c r="CD207" s="14">
        <f>[1]Sheet2!BH206</f>
        <v>0</v>
      </c>
      <c r="CE207" s="14">
        <f>[1]Sheet2!BI206</f>
        <v>0</v>
      </c>
      <c r="CF207" s="14">
        <f>[1]Sheet2!BJ206</f>
        <v>0</v>
      </c>
      <c r="CG207" s="14">
        <f>[1]Sheet2!BK206</f>
        <v>0</v>
      </c>
      <c r="CH207" s="14">
        <f>[1]Sheet2!BL206</f>
        <v>0</v>
      </c>
      <c r="CI207" s="14">
        <f>[1]Sheet2!BM206</f>
        <v>0</v>
      </c>
      <c r="CJ207" s="14">
        <f>[1]Sheet2!BN206</f>
        <v>0</v>
      </c>
      <c r="CK207" s="14">
        <f>[1]Sheet2!BO206</f>
        <v>0</v>
      </c>
      <c r="CL207" s="14">
        <f>[1]Sheet2!BP206</f>
        <v>0</v>
      </c>
      <c r="CM207" s="14">
        <f>[1]Sheet2!BQ206</f>
        <v>0</v>
      </c>
      <c r="CN207" s="16">
        <f>Demand_SW!B$9/31</f>
        <v>131.01736972704714</v>
      </c>
      <c r="CO207" s="16">
        <f>Demand_SW!C$9/31</f>
        <v>0</v>
      </c>
      <c r="CP207" s="16">
        <f>Demand_SW!D$9/31</f>
        <v>0</v>
      </c>
      <c r="CQ207" s="16">
        <f>Demand_SW!E$9/31</f>
        <v>0</v>
      </c>
      <c r="CR207" s="16">
        <f>Demand_SW!F$9/31</f>
        <v>0</v>
      </c>
      <c r="CS207" s="16">
        <f>Demand_SW!G$9/31</f>
        <v>131.01736972704714</v>
      </c>
      <c r="CT207" s="16">
        <f>Demand_SW!H$9/31</f>
        <v>0</v>
      </c>
      <c r="CU207" s="16">
        <f>Demand_SW!I$9/31</f>
        <v>0</v>
      </c>
      <c r="CV207" s="16">
        <f>Demand_SW!J$9/31</f>
        <v>0</v>
      </c>
      <c r="CW207" s="16">
        <f>Demand_SW!K$9/31</f>
        <v>0</v>
      </c>
      <c r="CX207" s="16">
        <f t="shared" si="116"/>
        <v>-22611.091811414415</v>
      </c>
      <c r="CY207" s="16">
        <f t="shared" si="117"/>
        <v>76.923076923077133</v>
      </c>
      <c r="CZ207" s="16">
        <f t="shared" si="118"/>
        <v>0</v>
      </c>
      <c r="DA207" s="16">
        <f t="shared" si="119"/>
        <v>0</v>
      </c>
      <c r="DB207" s="16">
        <f t="shared" si="120"/>
        <v>0</v>
      </c>
      <c r="DC207" s="16">
        <f t="shared" si="121"/>
        <v>-22140.322580645185</v>
      </c>
      <c r="DD207" s="16">
        <f t="shared" si="122"/>
        <v>76.923076923077133</v>
      </c>
      <c r="DE207" s="16">
        <f t="shared" si="123"/>
        <v>0</v>
      </c>
      <c r="DF207" s="16">
        <f t="shared" si="124"/>
        <v>0</v>
      </c>
      <c r="DG207" s="16">
        <f t="shared" si="125"/>
        <v>0</v>
      </c>
      <c r="DH207" s="14">
        <f>IF([1]Sheet2!DS206=999999,"NA",[1]Sheet2!DS206)</f>
        <v>0</v>
      </c>
      <c r="DI207" s="14">
        <f>IF([1]Sheet2!DT206=999999,"NA",[1]Sheet2!DT206)</f>
        <v>161</v>
      </c>
      <c r="DJ207" s="14" t="str">
        <f>IF([1]Sheet2!DU206=999999,"NA",[1]Sheet2!DU206)</f>
        <v>NA</v>
      </c>
      <c r="DK207" s="14" t="str">
        <f>IF([1]Sheet2!DV206=999999,"NA",[1]Sheet2!DV206)</f>
        <v>NA</v>
      </c>
      <c r="DL207" s="14" t="str">
        <f>IF([1]Sheet2!DW206=999999,"NA",[1]Sheet2!DW206)</f>
        <v>NA</v>
      </c>
      <c r="DM207" s="14">
        <f>IF([1]Sheet2!DX206=999999,"NA",[1]Sheet2!DX206)</f>
        <v>0</v>
      </c>
      <c r="DN207" s="14">
        <f>IF([1]Sheet2!DY206=999999,"NA",[1]Sheet2!DY206)</f>
        <v>161</v>
      </c>
      <c r="DO207" s="14" t="str">
        <f>IF([1]Sheet2!DZ206=999999,"NA",[1]Sheet2!DZ206)</f>
        <v>NA</v>
      </c>
      <c r="DP207" s="14" t="str">
        <f>IF([1]Sheet2!EA206=999999,"NA",[1]Sheet2!EA206)</f>
        <v>NA</v>
      </c>
      <c r="DQ207" s="14" t="str">
        <f>IF([1]Sheet2!EB206=999999,"NA",[1]Sheet2!EB206)</f>
        <v>NA</v>
      </c>
      <c r="DR207" s="14">
        <f>[1]Sheet2!CY206</f>
        <v>0</v>
      </c>
      <c r="DS207" s="14">
        <f>[1]Sheet2!CZ206</f>
        <v>0</v>
      </c>
      <c r="DT207" s="14">
        <f>[1]Sheet2!DA206</f>
        <v>0</v>
      </c>
      <c r="DU207" s="14">
        <f>[1]Sheet2!DB206</f>
        <v>0</v>
      </c>
      <c r="DV207" s="14">
        <f>[1]Sheet2!DC206</f>
        <v>0</v>
      </c>
      <c r="DW207" s="14">
        <f>[1]Sheet2!DD206</f>
        <v>0</v>
      </c>
      <c r="DX207" s="14">
        <f>[1]Sheet2!DE206</f>
        <v>0</v>
      </c>
      <c r="DY207" s="14">
        <f>[1]Sheet2!DF206</f>
        <v>0</v>
      </c>
      <c r="DZ207" s="14">
        <f>[1]Sheet2!DG206</f>
        <v>0</v>
      </c>
      <c r="EA207" s="14">
        <f>[1]Sheet2!DH206</f>
        <v>0</v>
      </c>
      <c r="EB207" s="6">
        <f>[1]Sheet2!EC206</f>
        <v>0</v>
      </c>
      <c r="EC207" s="6">
        <f>[1]Sheet2!ED206</f>
        <v>0</v>
      </c>
      <c r="ED207" s="6">
        <f>[1]Sheet2!EE206</f>
        <v>0</v>
      </c>
      <c r="EE207" s="6">
        <f>[1]Sheet2!EF206</f>
        <v>0</v>
      </c>
      <c r="EF207" s="6">
        <f>[1]Sheet2!EG206</f>
        <v>0</v>
      </c>
      <c r="EG207" s="6">
        <f>[1]Sheet2!EH206</f>
        <v>0</v>
      </c>
      <c r="EH207" s="6">
        <f>[1]Sheet2!EI206</f>
        <v>0</v>
      </c>
      <c r="EI207" s="6">
        <f>[1]Sheet2!EJ206</f>
        <v>0</v>
      </c>
      <c r="EJ207" s="6">
        <f>[1]Sheet2!EK206</f>
        <v>0</v>
      </c>
      <c r="EK207" s="6">
        <f>[1]Sheet2!EL206</f>
        <v>0</v>
      </c>
      <c r="EL207" s="6" t="str">
        <f>[1]Sheet2!EM206</f>
        <v/>
      </c>
      <c r="EM207" s="6" t="str">
        <f>[1]Sheet2!EN206</f>
        <v/>
      </c>
      <c r="EN207" s="6" t="str">
        <f>[1]Sheet2!EO206</f>
        <v/>
      </c>
      <c r="EO207" s="6" t="str">
        <f>[1]Sheet2!EP206</f>
        <v/>
      </c>
      <c r="EP207" s="6" t="str">
        <f>[1]Sheet2!EQ206</f>
        <v/>
      </c>
      <c r="EQ207" s="6" t="str">
        <f>[1]Sheet2!ER206</f>
        <v/>
      </c>
      <c r="ER207" s="6" t="str">
        <f>[1]Sheet2!ES206</f>
        <v/>
      </c>
      <c r="ES207" s="6" t="str">
        <f>[1]Sheet2!ET206</f>
        <v/>
      </c>
      <c r="ET207" s="6" t="str">
        <f>[1]Sheet2!EU206</f>
        <v/>
      </c>
      <c r="EU207" s="6" t="str">
        <f>[1]Sheet2!EV206</f>
        <v/>
      </c>
      <c r="EV207" s="6" t="str">
        <f>[1]Sheet2!EW206</f>
        <v/>
      </c>
      <c r="EW207" s="6" t="str">
        <f>[1]Sheet2!EX206</f>
        <v/>
      </c>
      <c r="EX207" s="6" t="str">
        <f>[1]Sheet2!EY206</f>
        <v/>
      </c>
      <c r="EY207" s="6" t="str">
        <f>[1]Sheet2!EZ206</f>
        <v/>
      </c>
      <c r="EZ207" s="6" t="str">
        <f>[1]Sheet2!FA206</f>
        <v/>
      </c>
      <c r="FA207" s="6" t="str">
        <f>[1]Sheet2!FB206</f>
        <v/>
      </c>
      <c r="FB207" s="6" t="str">
        <f>[1]Sheet2!FC206</f>
        <v/>
      </c>
      <c r="FC207" s="6" t="str">
        <f>[1]Sheet2!FD206</f>
        <v/>
      </c>
      <c r="FD207" s="6" t="str">
        <f>[1]Sheet2!FE206</f>
        <v/>
      </c>
      <c r="FE207" s="6" t="str">
        <f>[1]Sheet2!FF206</f>
        <v/>
      </c>
      <c r="FF207" s="6" t="str">
        <f>[1]Sheet2!FG206</f>
        <v/>
      </c>
      <c r="FG207" s="6" t="str">
        <f>[1]Sheet2!FH206</f>
        <v/>
      </c>
      <c r="FH207" s="6" t="str">
        <f>[1]Sheet2!FI206</f>
        <v/>
      </c>
      <c r="FI207" s="6" t="str">
        <f>[1]Sheet2!FJ206</f>
        <v/>
      </c>
      <c r="FJ207" s="6" t="str">
        <f>[1]Sheet2!FK206</f>
        <v/>
      </c>
      <c r="FK207" s="6" t="str">
        <f>[1]Sheet2!FL206</f>
        <v/>
      </c>
      <c r="FL207" s="6" t="str">
        <f>[1]Sheet2!FM206</f>
        <v/>
      </c>
      <c r="FM207" s="6" t="str">
        <f>[1]Sheet2!FN206</f>
        <v/>
      </c>
      <c r="FN207" s="6" t="str">
        <f>[1]Sheet2!FO206</f>
        <v/>
      </c>
      <c r="FO207" s="6" t="str">
        <f>[1]Sheet2!FP206</f>
        <v/>
      </c>
    </row>
    <row r="208" spans="1:171" x14ac:dyDescent="0.25">
      <c r="A208" s="15">
        <v>43670</v>
      </c>
      <c r="B208" s="1"/>
      <c r="C208" s="1"/>
      <c r="D208" s="1"/>
      <c r="E208" s="14">
        <f>[1]Sheet2!N207</f>
        <v>0</v>
      </c>
      <c r="F208" s="14">
        <f>[1]Sheet2!BE207</f>
        <v>0</v>
      </c>
      <c r="G208" s="14">
        <f>[1]Sheet2!CW207</f>
        <v>0</v>
      </c>
      <c r="H208" s="1"/>
      <c r="I208" s="1"/>
      <c r="J208" s="1"/>
      <c r="K208" s="16"/>
      <c r="L208" s="16">
        <f>Demand_CWRS!B$9/31</f>
        <v>137.44229993796523</v>
      </c>
      <c r="M208" s="16">
        <f>Demand_CWRS!C$9/31</f>
        <v>616.54259718775836</v>
      </c>
      <c r="N208" s="16">
        <f>Demand_CWRS!D$9/31</f>
        <v>0</v>
      </c>
      <c r="O208" s="16">
        <f>Demand_CWRS!E$9/31</f>
        <v>140.39247311827955</v>
      </c>
      <c r="P208" s="16">
        <f>Demand_CWRS!F$9/31</f>
        <v>245.11049679487181</v>
      </c>
      <c r="Q208" s="16">
        <f>Demand_CWRS!G$9/31</f>
        <v>137.44229993796523</v>
      </c>
      <c r="R208" s="16">
        <f>Demand_CWRS!H$9/31</f>
        <v>245.11049679487181</v>
      </c>
      <c r="S208" s="16">
        <f>Demand_CWRS!I$9/31</f>
        <v>245.11049679487181</v>
      </c>
      <c r="T208" s="16">
        <f>Demand_CWRS!J$9/31</f>
        <v>245.11049679487181</v>
      </c>
      <c r="U208" s="16">
        <f>Demand_CWRS!K$9/31</f>
        <v>245.11049679487181</v>
      </c>
      <c r="V208" s="16">
        <f t="shared" si="96"/>
        <v>-25659.376735907681</v>
      </c>
      <c r="W208" s="16">
        <f t="shared" si="97"/>
        <v>-98653.183870967419</v>
      </c>
      <c r="X208" s="16">
        <f t="shared" si="98"/>
        <v>0</v>
      </c>
      <c r="Y208" s="16">
        <f t="shared" si="99"/>
        <v>-16910.695904660184</v>
      </c>
      <c r="Z208" s="16">
        <f t="shared" si="100"/>
        <v>-43160.815757870791</v>
      </c>
      <c r="AA208" s="16">
        <f t="shared" si="101"/>
        <v>-24333.603586869245</v>
      </c>
      <c r="AB208" s="16">
        <f t="shared" si="102"/>
        <v>-47469.980533511749</v>
      </c>
      <c r="AC208" s="16">
        <f t="shared" si="103"/>
        <v>-41676.970277101558</v>
      </c>
      <c r="AD208" s="16">
        <f t="shared" si="104"/>
        <v>-41776.970277101551</v>
      </c>
      <c r="AE208" s="16">
        <f t="shared" si="105"/>
        <v>-42376.970277101544</v>
      </c>
      <c r="AF208" s="14">
        <f>IF([1]Sheet2!AJ207=999999,"NA",[1]Sheet2!AJ207)</f>
        <v>0</v>
      </c>
      <c r="AG208" s="14">
        <f>IF([1]Sheet2!AK207=999999,"NA",[1]Sheet2!AK207)</f>
        <v>0</v>
      </c>
      <c r="AH208" s="14" t="str">
        <f>IF([1]Sheet2!AL207=999999,"NA",[1]Sheet2!AL207)</f>
        <v>NA</v>
      </c>
      <c r="AI208" s="14">
        <f>IF([1]Sheet2!AM207=999999,"NA",[1]Sheet2!AM207)</f>
        <v>0</v>
      </c>
      <c r="AJ208" s="14">
        <f>IF([1]Sheet2!AN207=999999,"NA",[1]Sheet2!AN207)</f>
        <v>0</v>
      </c>
      <c r="AK208" s="14">
        <f>IF([1]Sheet2!AO207=999999,"NA",[1]Sheet2!AO207)</f>
        <v>0</v>
      </c>
      <c r="AL208" s="14">
        <f>IF([1]Sheet2!AP207=999999,"NA",[1]Sheet2!AP207)</f>
        <v>0</v>
      </c>
      <c r="AM208" s="14">
        <f>IF([1]Sheet2!AQ207=999999,"NA",[1]Sheet2!AQ207)</f>
        <v>0</v>
      </c>
      <c r="AN208" s="14">
        <f>IF([1]Sheet2!AR207=999999,"NA",[1]Sheet2!AR207)</f>
        <v>0</v>
      </c>
      <c r="AO208" s="14">
        <f>IF([1]Sheet2!AS207=999999,"NA",[1]Sheet2!AS207)</f>
        <v>0</v>
      </c>
      <c r="AP208" s="14">
        <f>[1]Sheet2!P207</f>
        <v>0</v>
      </c>
      <c r="AQ208" s="14">
        <f>[1]Sheet2!Q207</f>
        <v>0</v>
      </c>
      <c r="AR208" s="14">
        <f>[1]Sheet2!R207</f>
        <v>0</v>
      </c>
      <c r="AS208" s="14">
        <f>[1]Sheet2!S207</f>
        <v>0</v>
      </c>
      <c r="AT208" s="14">
        <f>[1]Sheet2!T207</f>
        <v>0</v>
      </c>
      <c r="AU208" s="14">
        <f>[1]Sheet2!U207</f>
        <v>0</v>
      </c>
      <c r="AV208" s="14">
        <f>[1]Sheet2!V207</f>
        <v>0</v>
      </c>
      <c r="AW208" s="14">
        <f>[1]Sheet2!W207</f>
        <v>0</v>
      </c>
      <c r="AX208" s="14">
        <f>[1]Sheet2!X207</f>
        <v>0</v>
      </c>
      <c r="AY208" s="14">
        <f>[1]Sheet2!Y207</f>
        <v>0</v>
      </c>
      <c r="AZ208" s="16">
        <f>Demand_LP!B$9/31</f>
        <v>878.29658550454917</v>
      </c>
      <c r="BA208" s="16">
        <f>Demand_LP!C$9/31</f>
        <v>663.85442514474767</v>
      </c>
      <c r="BB208" s="16">
        <f>Demand_LP!D$9/31</f>
        <v>335.39784946236568</v>
      </c>
      <c r="BC208" s="16">
        <f>Demand_LP!E$9/31</f>
        <v>725.23531844499576</v>
      </c>
      <c r="BD208" s="16">
        <f>Demand_LP!F$9/31</f>
        <v>456.65268558726217</v>
      </c>
      <c r="BE208" s="16">
        <f>Demand_LP!G$9/31</f>
        <v>456.65268558726217</v>
      </c>
      <c r="BF208" s="16">
        <f>Demand_LP!H$9/31</f>
        <v>663.85442514474767</v>
      </c>
      <c r="BG208" s="16">
        <f>Demand_LP!I$9/31</f>
        <v>456.65268558726217</v>
      </c>
      <c r="BH208" s="16">
        <f>Demand_LP!J$9/31</f>
        <v>456.65268558726217</v>
      </c>
      <c r="BI208" s="16">
        <f>Demand_LP!K$9/31</f>
        <v>456.65268558726217</v>
      </c>
      <c r="BJ208" s="16">
        <f t="shared" si="106"/>
        <v>-147264.82897495263</v>
      </c>
      <c r="BK208" s="16">
        <f t="shared" si="107"/>
        <v>-118118.6010752686</v>
      </c>
      <c r="BL208" s="16">
        <f t="shared" si="108"/>
        <v>-54741.154797353236</v>
      </c>
      <c r="BM208" s="16">
        <f t="shared" si="109"/>
        <v>-148967.55403670762</v>
      </c>
      <c r="BN208" s="16">
        <f t="shared" si="110"/>
        <v>-86740.711000467243</v>
      </c>
      <c r="BO208" s="16">
        <f t="shared" si="111"/>
        <v>-85198.394918837977</v>
      </c>
      <c r="BP208" s="16">
        <f t="shared" si="112"/>
        <v>-112476.18056244811</v>
      </c>
      <c r="BQ208" s="16">
        <f t="shared" si="113"/>
        <v>-85198.394918837977</v>
      </c>
      <c r="BR208" s="16">
        <f t="shared" si="114"/>
        <v>-82798.394918838021</v>
      </c>
      <c r="BS208" s="16">
        <f t="shared" si="115"/>
        <v>-83498.394918838007</v>
      </c>
      <c r="BT208" s="14">
        <f>IF([1]Sheet2!CB207=999999,"NA",[1]Sheet2!CB207)</f>
        <v>0</v>
      </c>
      <c r="BU208" s="14">
        <f>IF([1]Sheet2!CC207=999999,"NA",[1]Sheet2!CC207)</f>
        <v>0</v>
      </c>
      <c r="BV208" s="14">
        <f>IF([1]Sheet2!CD207=999999,"NA",[1]Sheet2!CD207)</f>
        <v>0</v>
      </c>
      <c r="BW208" s="14">
        <f>IF([1]Sheet2!CE207=999999,"NA",[1]Sheet2!CE207)</f>
        <v>0</v>
      </c>
      <c r="BX208" s="14">
        <f>IF([1]Sheet2!CF207=999999,"NA",[1]Sheet2!CF207)</f>
        <v>0</v>
      </c>
      <c r="BY208" s="14">
        <f>IF([1]Sheet2!CG207=999999,"NA",[1]Sheet2!CG207)</f>
        <v>0</v>
      </c>
      <c r="BZ208" s="14">
        <f>IF([1]Sheet2!CH207=999999,"NA",[1]Sheet2!CH207)</f>
        <v>0</v>
      </c>
      <c r="CA208" s="14">
        <f>IF([1]Sheet2!CI207=999999,"NA",[1]Sheet2!CI207)</f>
        <v>0</v>
      </c>
      <c r="CB208" s="14">
        <f>IF([1]Sheet2!CJ207=999999,"NA",[1]Sheet2!CJ207)</f>
        <v>0</v>
      </c>
      <c r="CC208" s="14">
        <f>IF([1]Sheet2!CK207=999999,"NA",[1]Sheet2!CK207)</f>
        <v>0</v>
      </c>
      <c r="CD208" s="14">
        <f>[1]Sheet2!BH207</f>
        <v>0</v>
      </c>
      <c r="CE208" s="14">
        <f>[1]Sheet2!BI207</f>
        <v>0</v>
      </c>
      <c r="CF208" s="14">
        <f>[1]Sheet2!BJ207</f>
        <v>0</v>
      </c>
      <c r="CG208" s="14">
        <f>[1]Sheet2!BK207</f>
        <v>0</v>
      </c>
      <c r="CH208" s="14">
        <f>[1]Sheet2!BL207</f>
        <v>0</v>
      </c>
      <c r="CI208" s="14">
        <f>[1]Sheet2!BM207</f>
        <v>0</v>
      </c>
      <c r="CJ208" s="14">
        <f>[1]Sheet2!BN207</f>
        <v>0</v>
      </c>
      <c r="CK208" s="14">
        <f>[1]Sheet2!BO207</f>
        <v>0</v>
      </c>
      <c r="CL208" s="14">
        <f>[1]Sheet2!BP207</f>
        <v>0</v>
      </c>
      <c r="CM208" s="14">
        <f>[1]Sheet2!BQ207</f>
        <v>0</v>
      </c>
      <c r="CN208" s="16">
        <f>Demand_SW!B$9/31</f>
        <v>131.01736972704714</v>
      </c>
      <c r="CO208" s="16">
        <f>Demand_SW!C$9/31</f>
        <v>0</v>
      </c>
      <c r="CP208" s="16">
        <f>Demand_SW!D$9/31</f>
        <v>0</v>
      </c>
      <c r="CQ208" s="16">
        <f>Demand_SW!E$9/31</f>
        <v>0</v>
      </c>
      <c r="CR208" s="16">
        <f>Demand_SW!F$9/31</f>
        <v>0</v>
      </c>
      <c r="CS208" s="16">
        <f>Demand_SW!G$9/31</f>
        <v>131.01736972704714</v>
      </c>
      <c r="CT208" s="16">
        <f>Demand_SW!H$9/31</f>
        <v>0</v>
      </c>
      <c r="CU208" s="16">
        <f>Demand_SW!I$9/31</f>
        <v>0</v>
      </c>
      <c r="CV208" s="16">
        <f>Demand_SW!J$9/31</f>
        <v>0</v>
      </c>
      <c r="CW208" s="16">
        <f>Demand_SW!K$9/31</f>
        <v>0</v>
      </c>
      <c r="CX208" s="16">
        <f t="shared" si="116"/>
        <v>-22742.109181141463</v>
      </c>
      <c r="CY208" s="16">
        <f t="shared" si="117"/>
        <v>76.923076923077133</v>
      </c>
      <c r="CZ208" s="16">
        <f t="shared" si="118"/>
        <v>0</v>
      </c>
      <c r="DA208" s="16">
        <f t="shared" si="119"/>
        <v>0</v>
      </c>
      <c r="DB208" s="16">
        <f t="shared" si="120"/>
        <v>0</v>
      </c>
      <c r="DC208" s="16">
        <f t="shared" si="121"/>
        <v>-22271.339950372232</v>
      </c>
      <c r="DD208" s="16">
        <f t="shared" si="122"/>
        <v>76.923076923077133</v>
      </c>
      <c r="DE208" s="16">
        <f t="shared" si="123"/>
        <v>0</v>
      </c>
      <c r="DF208" s="16">
        <f t="shared" si="124"/>
        <v>0</v>
      </c>
      <c r="DG208" s="16">
        <f t="shared" si="125"/>
        <v>0</v>
      </c>
      <c r="DH208" s="14">
        <f>IF([1]Sheet2!DS207=999999,"NA",[1]Sheet2!DS207)</f>
        <v>0</v>
      </c>
      <c r="DI208" s="14">
        <f>IF([1]Sheet2!DT207=999999,"NA",[1]Sheet2!DT207)</f>
        <v>160</v>
      </c>
      <c r="DJ208" s="14" t="str">
        <f>IF([1]Sheet2!DU207=999999,"NA",[1]Sheet2!DU207)</f>
        <v>NA</v>
      </c>
      <c r="DK208" s="14" t="str">
        <f>IF([1]Sheet2!DV207=999999,"NA",[1]Sheet2!DV207)</f>
        <v>NA</v>
      </c>
      <c r="DL208" s="14" t="str">
        <f>IF([1]Sheet2!DW207=999999,"NA",[1]Sheet2!DW207)</f>
        <v>NA</v>
      </c>
      <c r="DM208" s="14">
        <f>IF([1]Sheet2!DX207=999999,"NA",[1]Sheet2!DX207)</f>
        <v>0</v>
      </c>
      <c r="DN208" s="14">
        <f>IF([1]Sheet2!DY207=999999,"NA",[1]Sheet2!DY207)</f>
        <v>160</v>
      </c>
      <c r="DO208" s="14" t="str">
        <f>IF([1]Sheet2!DZ207=999999,"NA",[1]Sheet2!DZ207)</f>
        <v>NA</v>
      </c>
      <c r="DP208" s="14" t="str">
        <f>IF([1]Sheet2!EA207=999999,"NA",[1]Sheet2!EA207)</f>
        <v>NA</v>
      </c>
      <c r="DQ208" s="14" t="str">
        <f>IF([1]Sheet2!EB207=999999,"NA",[1]Sheet2!EB207)</f>
        <v>NA</v>
      </c>
      <c r="DR208" s="14">
        <f>[1]Sheet2!CY207</f>
        <v>0</v>
      </c>
      <c r="DS208" s="14">
        <f>[1]Sheet2!CZ207</f>
        <v>0</v>
      </c>
      <c r="DT208" s="14">
        <f>[1]Sheet2!DA207</f>
        <v>0</v>
      </c>
      <c r="DU208" s="14">
        <f>[1]Sheet2!DB207</f>
        <v>0</v>
      </c>
      <c r="DV208" s="14">
        <f>[1]Sheet2!DC207</f>
        <v>0</v>
      </c>
      <c r="DW208" s="14">
        <f>[1]Sheet2!DD207</f>
        <v>0</v>
      </c>
      <c r="DX208" s="14">
        <f>[1]Sheet2!DE207</f>
        <v>0</v>
      </c>
      <c r="DY208" s="14">
        <f>[1]Sheet2!DF207</f>
        <v>0</v>
      </c>
      <c r="DZ208" s="14">
        <f>[1]Sheet2!DG207</f>
        <v>0</v>
      </c>
      <c r="EA208" s="14">
        <f>[1]Sheet2!DH207</f>
        <v>0</v>
      </c>
      <c r="EB208" s="6">
        <f>[1]Sheet2!EC207</f>
        <v>0</v>
      </c>
      <c r="EC208" s="6">
        <f>[1]Sheet2!ED207</f>
        <v>0</v>
      </c>
      <c r="ED208" s="6">
        <f>[1]Sheet2!EE207</f>
        <v>0</v>
      </c>
      <c r="EE208" s="6">
        <f>[1]Sheet2!EF207</f>
        <v>0</v>
      </c>
      <c r="EF208" s="6">
        <f>[1]Sheet2!EG207</f>
        <v>0</v>
      </c>
      <c r="EG208" s="6">
        <f>[1]Sheet2!EH207</f>
        <v>0</v>
      </c>
      <c r="EH208" s="6">
        <f>[1]Sheet2!EI207</f>
        <v>0</v>
      </c>
      <c r="EI208" s="6">
        <f>[1]Sheet2!EJ207</f>
        <v>0</v>
      </c>
      <c r="EJ208" s="6">
        <f>[1]Sheet2!EK207</f>
        <v>0</v>
      </c>
      <c r="EK208" s="6">
        <f>[1]Sheet2!EL207</f>
        <v>0</v>
      </c>
      <c r="EL208" s="6" t="str">
        <f>[1]Sheet2!EM207</f>
        <v/>
      </c>
      <c r="EM208" s="6" t="str">
        <f>[1]Sheet2!EN207</f>
        <v/>
      </c>
      <c r="EN208" s="6" t="str">
        <f>[1]Sheet2!EO207</f>
        <v/>
      </c>
      <c r="EO208" s="6" t="str">
        <f>[1]Sheet2!EP207</f>
        <v/>
      </c>
      <c r="EP208" s="6" t="str">
        <f>[1]Sheet2!EQ207</f>
        <v/>
      </c>
      <c r="EQ208" s="6" t="str">
        <f>[1]Sheet2!ER207</f>
        <v/>
      </c>
      <c r="ER208" s="6" t="str">
        <f>[1]Sheet2!ES207</f>
        <v/>
      </c>
      <c r="ES208" s="6" t="str">
        <f>[1]Sheet2!ET207</f>
        <v/>
      </c>
      <c r="ET208" s="6" t="str">
        <f>[1]Sheet2!EU207</f>
        <v/>
      </c>
      <c r="EU208" s="6" t="str">
        <f>[1]Sheet2!EV207</f>
        <v/>
      </c>
      <c r="EV208" s="6" t="str">
        <f>[1]Sheet2!EW207</f>
        <v/>
      </c>
      <c r="EW208" s="6" t="str">
        <f>[1]Sheet2!EX207</f>
        <v/>
      </c>
      <c r="EX208" s="6" t="str">
        <f>[1]Sheet2!EY207</f>
        <v/>
      </c>
      <c r="EY208" s="6" t="str">
        <f>[1]Sheet2!EZ207</f>
        <v/>
      </c>
      <c r="EZ208" s="6" t="str">
        <f>[1]Sheet2!FA207</f>
        <v/>
      </c>
      <c r="FA208" s="6" t="str">
        <f>[1]Sheet2!FB207</f>
        <v/>
      </c>
      <c r="FB208" s="6" t="str">
        <f>[1]Sheet2!FC207</f>
        <v/>
      </c>
      <c r="FC208" s="6" t="str">
        <f>[1]Sheet2!FD207</f>
        <v/>
      </c>
      <c r="FD208" s="6" t="str">
        <f>[1]Sheet2!FE207</f>
        <v/>
      </c>
      <c r="FE208" s="6" t="str">
        <f>[1]Sheet2!FF207</f>
        <v/>
      </c>
      <c r="FF208" s="6" t="str">
        <f>[1]Sheet2!FG207</f>
        <v/>
      </c>
      <c r="FG208" s="6" t="str">
        <f>[1]Sheet2!FH207</f>
        <v/>
      </c>
      <c r="FH208" s="6" t="str">
        <f>[1]Sheet2!FI207</f>
        <v/>
      </c>
      <c r="FI208" s="6" t="str">
        <f>[1]Sheet2!FJ207</f>
        <v/>
      </c>
      <c r="FJ208" s="6" t="str">
        <f>[1]Sheet2!FK207</f>
        <v/>
      </c>
      <c r="FK208" s="6" t="str">
        <f>[1]Sheet2!FL207</f>
        <v/>
      </c>
      <c r="FL208" s="6" t="str">
        <f>[1]Sheet2!FM207</f>
        <v/>
      </c>
      <c r="FM208" s="6" t="str">
        <f>[1]Sheet2!FN207</f>
        <v/>
      </c>
      <c r="FN208" s="6" t="str">
        <f>[1]Sheet2!FO207</f>
        <v/>
      </c>
      <c r="FO208" s="6" t="str">
        <f>[1]Sheet2!FP207</f>
        <v/>
      </c>
    </row>
    <row r="209" spans="1:171" x14ac:dyDescent="0.25">
      <c r="A209" s="15">
        <v>43671</v>
      </c>
      <c r="B209" s="1"/>
      <c r="C209" s="1"/>
      <c r="D209" s="1"/>
      <c r="E209" s="14">
        <f>[1]Sheet2!N208</f>
        <v>0</v>
      </c>
      <c r="F209" s="14">
        <f>[1]Sheet2!BE208</f>
        <v>0</v>
      </c>
      <c r="G209" s="14">
        <f>[1]Sheet2!CW208</f>
        <v>0</v>
      </c>
      <c r="H209" s="1"/>
      <c r="I209" s="1"/>
      <c r="J209" s="1"/>
      <c r="K209" s="16"/>
      <c r="L209" s="16">
        <f>Demand_CWRS!B$9/31</f>
        <v>137.44229993796523</v>
      </c>
      <c r="M209" s="16">
        <f>Demand_CWRS!C$9/31</f>
        <v>616.54259718775836</v>
      </c>
      <c r="N209" s="16">
        <f>Demand_CWRS!D$9/31</f>
        <v>0</v>
      </c>
      <c r="O209" s="16">
        <f>Demand_CWRS!E$9/31</f>
        <v>140.39247311827955</v>
      </c>
      <c r="P209" s="16">
        <f>Demand_CWRS!F$9/31</f>
        <v>245.11049679487181</v>
      </c>
      <c r="Q209" s="16">
        <f>Demand_CWRS!G$9/31</f>
        <v>137.44229993796523</v>
      </c>
      <c r="R209" s="16">
        <f>Demand_CWRS!H$9/31</f>
        <v>245.11049679487181</v>
      </c>
      <c r="S209" s="16">
        <f>Demand_CWRS!I$9/31</f>
        <v>245.11049679487181</v>
      </c>
      <c r="T209" s="16">
        <f>Demand_CWRS!J$9/31</f>
        <v>245.11049679487181</v>
      </c>
      <c r="U209" s="16">
        <f>Demand_CWRS!K$9/31</f>
        <v>245.11049679487181</v>
      </c>
      <c r="V209" s="16">
        <f t="shared" si="96"/>
        <v>-25796.819035845645</v>
      </c>
      <c r="W209" s="16">
        <f t="shared" si="97"/>
        <v>-99269.726468155175</v>
      </c>
      <c r="X209" s="16">
        <f t="shared" si="98"/>
        <v>0</v>
      </c>
      <c r="Y209" s="16">
        <f t="shared" si="99"/>
        <v>-17051.088377778462</v>
      </c>
      <c r="Z209" s="16">
        <f t="shared" si="100"/>
        <v>-43405.926254665661</v>
      </c>
      <c r="AA209" s="16">
        <f t="shared" si="101"/>
        <v>-24471.045886807209</v>
      </c>
      <c r="AB209" s="16">
        <f t="shared" si="102"/>
        <v>-47715.091030306619</v>
      </c>
      <c r="AC209" s="16">
        <f t="shared" si="103"/>
        <v>-41922.080773896429</v>
      </c>
      <c r="AD209" s="16">
        <f t="shared" si="104"/>
        <v>-42022.080773896421</v>
      </c>
      <c r="AE209" s="16">
        <f t="shared" si="105"/>
        <v>-42622.080773896414</v>
      </c>
      <c r="AF209" s="14">
        <f>IF([1]Sheet2!AJ208=999999,"NA",[1]Sheet2!AJ208)</f>
        <v>0</v>
      </c>
      <c r="AG209" s="14">
        <f>IF([1]Sheet2!AK208=999999,"NA",[1]Sheet2!AK208)</f>
        <v>0</v>
      </c>
      <c r="AH209" s="14" t="str">
        <f>IF([1]Sheet2!AL208=999999,"NA",[1]Sheet2!AL208)</f>
        <v>NA</v>
      </c>
      <c r="AI209" s="14">
        <f>IF([1]Sheet2!AM208=999999,"NA",[1]Sheet2!AM208)</f>
        <v>0</v>
      </c>
      <c r="AJ209" s="14">
        <f>IF([1]Sheet2!AN208=999999,"NA",[1]Sheet2!AN208)</f>
        <v>0</v>
      </c>
      <c r="AK209" s="14">
        <f>IF([1]Sheet2!AO208=999999,"NA",[1]Sheet2!AO208)</f>
        <v>0</v>
      </c>
      <c r="AL209" s="14">
        <f>IF([1]Sheet2!AP208=999999,"NA",[1]Sheet2!AP208)</f>
        <v>0</v>
      </c>
      <c r="AM209" s="14">
        <f>IF([1]Sheet2!AQ208=999999,"NA",[1]Sheet2!AQ208)</f>
        <v>0</v>
      </c>
      <c r="AN209" s="14">
        <f>IF([1]Sheet2!AR208=999999,"NA",[1]Sheet2!AR208)</f>
        <v>0</v>
      </c>
      <c r="AO209" s="14">
        <f>IF([1]Sheet2!AS208=999999,"NA",[1]Sheet2!AS208)</f>
        <v>0</v>
      </c>
      <c r="AP209" s="14">
        <f>[1]Sheet2!P208</f>
        <v>0</v>
      </c>
      <c r="AQ209" s="14">
        <f>[1]Sheet2!Q208</f>
        <v>0</v>
      </c>
      <c r="AR209" s="14">
        <f>[1]Sheet2!R208</f>
        <v>0</v>
      </c>
      <c r="AS209" s="14">
        <f>[1]Sheet2!S208</f>
        <v>0</v>
      </c>
      <c r="AT209" s="14">
        <f>[1]Sheet2!T208</f>
        <v>0</v>
      </c>
      <c r="AU209" s="14">
        <f>[1]Sheet2!U208</f>
        <v>0</v>
      </c>
      <c r="AV209" s="14">
        <f>[1]Sheet2!V208</f>
        <v>0</v>
      </c>
      <c r="AW209" s="14">
        <f>[1]Sheet2!W208</f>
        <v>0</v>
      </c>
      <c r="AX209" s="14">
        <f>[1]Sheet2!X208</f>
        <v>0</v>
      </c>
      <c r="AY209" s="14">
        <f>[1]Sheet2!Y208</f>
        <v>0</v>
      </c>
      <c r="AZ209" s="16">
        <f>Demand_LP!B$9/31</f>
        <v>878.29658550454917</v>
      </c>
      <c r="BA209" s="16">
        <f>Demand_LP!C$9/31</f>
        <v>663.85442514474767</v>
      </c>
      <c r="BB209" s="16">
        <f>Demand_LP!D$9/31</f>
        <v>335.39784946236568</v>
      </c>
      <c r="BC209" s="16">
        <f>Demand_LP!E$9/31</f>
        <v>725.23531844499576</v>
      </c>
      <c r="BD209" s="16">
        <f>Demand_LP!F$9/31</f>
        <v>456.65268558726217</v>
      </c>
      <c r="BE209" s="16">
        <f>Demand_LP!G$9/31</f>
        <v>456.65268558726217</v>
      </c>
      <c r="BF209" s="16">
        <f>Demand_LP!H$9/31</f>
        <v>663.85442514474767</v>
      </c>
      <c r="BG209" s="16">
        <f>Demand_LP!I$9/31</f>
        <v>456.65268558726217</v>
      </c>
      <c r="BH209" s="16">
        <f>Demand_LP!J$9/31</f>
        <v>456.65268558726217</v>
      </c>
      <c r="BI209" s="16">
        <f>Demand_LP!K$9/31</f>
        <v>456.65268558726217</v>
      </c>
      <c r="BJ209" s="16">
        <f t="shared" si="106"/>
        <v>-148143.12556045718</v>
      </c>
      <c r="BK209" s="16">
        <f t="shared" si="107"/>
        <v>-118782.45550041334</v>
      </c>
      <c r="BL209" s="16">
        <f t="shared" si="108"/>
        <v>-55076.552646815602</v>
      </c>
      <c r="BM209" s="16">
        <f t="shared" si="109"/>
        <v>-149692.78935515261</v>
      </c>
      <c r="BN209" s="16">
        <f t="shared" si="110"/>
        <v>-87197.363686054508</v>
      </c>
      <c r="BO209" s="16">
        <f t="shared" si="111"/>
        <v>-85655.047604425243</v>
      </c>
      <c r="BP209" s="16">
        <f t="shared" si="112"/>
        <v>-113140.03498759285</v>
      </c>
      <c r="BQ209" s="16">
        <f t="shared" si="113"/>
        <v>-85655.047604425243</v>
      </c>
      <c r="BR209" s="16">
        <f t="shared" si="114"/>
        <v>-83255.047604425286</v>
      </c>
      <c r="BS209" s="16">
        <f t="shared" si="115"/>
        <v>-83955.047604425272</v>
      </c>
      <c r="BT209" s="14">
        <f>IF([1]Sheet2!CB208=999999,"NA",[1]Sheet2!CB208)</f>
        <v>0</v>
      </c>
      <c r="BU209" s="14">
        <f>IF([1]Sheet2!CC208=999999,"NA",[1]Sheet2!CC208)</f>
        <v>0</v>
      </c>
      <c r="BV209" s="14">
        <f>IF([1]Sheet2!CD208=999999,"NA",[1]Sheet2!CD208)</f>
        <v>0</v>
      </c>
      <c r="BW209" s="14">
        <f>IF([1]Sheet2!CE208=999999,"NA",[1]Sheet2!CE208)</f>
        <v>0</v>
      </c>
      <c r="BX209" s="14">
        <f>IF([1]Sheet2!CF208=999999,"NA",[1]Sheet2!CF208)</f>
        <v>0</v>
      </c>
      <c r="BY209" s="14">
        <f>IF([1]Sheet2!CG208=999999,"NA",[1]Sheet2!CG208)</f>
        <v>0</v>
      </c>
      <c r="BZ209" s="14">
        <f>IF([1]Sheet2!CH208=999999,"NA",[1]Sheet2!CH208)</f>
        <v>0</v>
      </c>
      <c r="CA209" s="14">
        <f>IF([1]Sheet2!CI208=999999,"NA",[1]Sheet2!CI208)</f>
        <v>0</v>
      </c>
      <c r="CB209" s="14">
        <f>IF([1]Sheet2!CJ208=999999,"NA",[1]Sheet2!CJ208)</f>
        <v>0</v>
      </c>
      <c r="CC209" s="14">
        <f>IF([1]Sheet2!CK208=999999,"NA",[1]Sheet2!CK208)</f>
        <v>0</v>
      </c>
      <c r="CD209" s="14">
        <f>[1]Sheet2!BH208</f>
        <v>0</v>
      </c>
      <c r="CE209" s="14">
        <f>[1]Sheet2!BI208</f>
        <v>0</v>
      </c>
      <c r="CF209" s="14">
        <f>[1]Sheet2!BJ208</f>
        <v>0</v>
      </c>
      <c r="CG209" s="14">
        <f>[1]Sheet2!BK208</f>
        <v>0</v>
      </c>
      <c r="CH209" s="14">
        <f>[1]Sheet2!BL208</f>
        <v>0</v>
      </c>
      <c r="CI209" s="14">
        <f>[1]Sheet2!BM208</f>
        <v>0</v>
      </c>
      <c r="CJ209" s="14">
        <f>[1]Sheet2!BN208</f>
        <v>0</v>
      </c>
      <c r="CK209" s="14">
        <f>[1]Sheet2!BO208</f>
        <v>0</v>
      </c>
      <c r="CL209" s="14">
        <f>[1]Sheet2!BP208</f>
        <v>0</v>
      </c>
      <c r="CM209" s="14">
        <f>[1]Sheet2!BQ208</f>
        <v>0</v>
      </c>
      <c r="CN209" s="16">
        <f>Demand_SW!B$9/31</f>
        <v>131.01736972704714</v>
      </c>
      <c r="CO209" s="16">
        <f>Demand_SW!C$9/31</f>
        <v>0</v>
      </c>
      <c r="CP209" s="16">
        <f>Demand_SW!D$9/31</f>
        <v>0</v>
      </c>
      <c r="CQ209" s="16">
        <f>Demand_SW!E$9/31</f>
        <v>0</v>
      </c>
      <c r="CR209" s="16">
        <f>Demand_SW!F$9/31</f>
        <v>0</v>
      </c>
      <c r="CS209" s="16">
        <f>Demand_SW!G$9/31</f>
        <v>131.01736972704714</v>
      </c>
      <c r="CT209" s="16">
        <f>Demand_SW!H$9/31</f>
        <v>0</v>
      </c>
      <c r="CU209" s="16">
        <f>Demand_SW!I$9/31</f>
        <v>0</v>
      </c>
      <c r="CV209" s="16">
        <f>Demand_SW!J$9/31</f>
        <v>0</v>
      </c>
      <c r="CW209" s="16">
        <f>Demand_SW!K$9/31</f>
        <v>0</v>
      </c>
      <c r="CX209" s="16">
        <f t="shared" si="116"/>
        <v>-22873.12655086851</v>
      </c>
      <c r="CY209" s="16">
        <f t="shared" si="117"/>
        <v>76.923076923077133</v>
      </c>
      <c r="CZ209" s="16">
        <f t="shared" si="118"/>
        <v>0</v>
      </c>
      <c r="DA209" s="16">
        <f t="shared" si="119"/>
        <v>0</v>
      </c>
      <c r="DB209" s="16">
        <f t="shared" si="120"/>
        <v>0</v>
      </c>
      <c r="DC209" s="16">
        <f t="shared" si="121"/>
        <v>-22402.35732009928</v>
      </c>
      <c r="DD209" s="16">
        <f t="shared" si="122"/>
        <v>76.923076923077133</v>
      </c>
      <c r="DE209" s="16">
        <f t="shared" si="123"/>
        <v>0</v>
      </c>
      <c r="DF209" s="16">
        <f t="shared" si="124"/>
        <v>0</v>
      </c>
      <c r="DG209" s="16">
        <f t="shared" si="125"/>
        <v>0</v>
      </c>
      <c r="DH209" s="14">
        <f>IF([1]Sheet2!DS208=999999,"NA",[1]Sheet2!DS208)</f>
        <v>0</v>
      </c>
      <c r="DI209" s="14">
        <f>IF([1]Sheet2!DT208=999999,"NA",[1]Sheet2!DT208)</f>
        <v>159</v>
      </c>
      <c r="DJ209" s="14" t="str">
        <f>IF([1]Sheet2!DU208=999999,"NA",[1]Sheet2!DU208)</f>
        <v>NA</v>
      </c>
      <c r="DK209" s="14" t="str">
        <f>IF([1]Sheet2!DV208=999999,"NA",[1]Sheet2!DV208)</f>
        <v>NA</v>
      </c>
      <c r="DL209" s="14" t="str">
        <f>IF([1]Sheet2!DW208=999999,"NA",[1]Sheet2!DW208)</f>
        <v>NA</v>
      </c>
      <c r="DM209" s="14">
        <f>IF([1]Sheet2!DX208=999999,"NA",[1]Sheet2!DX208)</f>
        <v>0</v>
      </c>
      <c r="DN209" s="14">
        <f>IF([1]Sheet2!DY208=999999,"NA",[1]Sheet2!DY208)</f>
        <v>159</v>
      </c>
      <c r="DO209" s="14" t="str">
        <f>IF([1]Sheet2!DZ208=999999,"NA",[1]Sheet2!DZ208)</f>
        <v>NA</v>
      </c>
      <c r="DP209" s="14" t="str">
        <f>IF([1]Sheet2!EA208=999999,"NA",[1]Sheet2!EA208)</f>
        <v>NA</v>
      </c>
      <c r="DQ209" s="14" t="str">
        <f>IF([1]Sheet2!EB208=999999,"NA",[1]Sheet2!EB208)</f>
        <v>NA</v>
      </c>
      <c r="DR209" s="14">
        <f>[1]Sheet2!CY208</f>
        <v>0</v>
      </c>
      <c r="DS209" s="14">
        <f>[1]Sheet2!CZ208</f>
        <v>0</v>
      </c>
      <c r="DT209" s="14">
        <f>[1]Sheet2!DA208</f>
        <v>0</v>
      </c>
      <c r="DU209" s="14">
        <f>[1]Sheet2!DB208</f>
        <v>0</v>
      </c>
      <c r="DV209" s="14">
        <f>[1]Sheet2!DC208</f>
        <v>0</v>
      </c>
      <c r="DW209" s="14">
        <f>[1]Sheet2!DD208</f>
        <v>0</v>
      </c>
      <c r="DX209" s="14">
        <f>[1]Sheet2!DE208</f>
        <v>0</v>
      </c>
      <c r="DY209" s="14">
        <f>[1]Sheet2!DF208</f>
        <v>0</v>
      </c>
      <c r="DZ209" s="14">
        <f>[1]Sheet2!DG208</f>
        <v>0</v>
      </c>
      <c r="EA209" s="14">
        <f>[1]Sheet2!DH208</f>
        <v>0</v>
      </c>
      <c r="EB209" s="6">
        <f>[1]Sheet2!EC208</f>
        <v>0</v>
      </c>
      <c r="EC209" s="6">
        <f>[1]Sheet2!ED208</f>
        <v>0</v>
      </c>
      <c r="ED209" s="6">
        <f>[1]Sheet2!EE208</f>
        <v>0</v>
      </c>
      <c r="EE209" s="6">
        <f>[1]Sheet2!EF208</f>
        <v>0</v>
      </c>
      <c r="EF209" s="6">
        <f>[1]Sheet2!EG208</f>
        <v>0</v>
      </c>
      <c r="EG209" s="6">
        <f>[1]Sheet2!EH208</f>
        <v>0</v>
      </c>
      <c r="EH209" s="6">
        <f>[1]Sheet2!EI208</f>
        <v>0</v>
      </c>
      <c r="EI209" s="6">
        <f>[1]Sheet2!EJ208</f>
        <v>0</v>
      </c>
      <c r="EJ209" s="6">
        <f>[1]Sheet2!EK208</f>
        <v>0</v>
      </c>
      <c r="EK209" s="6">
        <f>[1]Sheet2!EL208</f>
        <v>0</v>
      </c>
      <c r="EL209" s="6" t="str">
        <f>[1]Sheet2!EM208</f>
        <v/>
      </c>
      <c r="EM209" s="6" t="str">
        <f>[1]Sheet2!EN208</f>
        <v/>
      </c>
      <c r="EN209" s="6" t="str">
        <f>[1]Sheet2!EO208</f>
        <v/>
      </c>
      <c r="EO209" s="6" t="str">
        <f>[1]Sheet2!EP208</f>
        <v/>
      </c>
      <c r="EP209" s="6" t="str">
        <f>[1]Sheet2!EQ208</f>
        <v/>
      </c>
      <c r="EQ209" s="6" t="str">
        <f>[1]Sheet2!ER208</f>
        <v/>
      </c>
      <c r="ER209" s="6" t="str">
        <f>[1]Sheet2!ES208</f>
        <v/>
      </c>
      <c r="ES209" s="6" t="str">
        <f>[1]Sheet2!ET208</f>
        <v/>
      </c>
      <c r="ET209" s="6" t="str">
        <f>[1]Sheet2!EU208</f>
        <v/>
      </c>
      <c r="EU209" s="6" t="str">
        <f>[1]Sheet2!EV208</f>
        <v/>
      </c>
      <c r="EV209" s="6" t="str">
        <f>[1]Sheet2!EW208</f>
        <v/>
      </c>
      <c r="EW209" s="6" t="str">
        <f>[1]Sheet2!EX208</f>
        <v/>
      </c>
      <c r="EX209" s="6" t="str">
        <f>[1]Sheet2!EY208</f>
        <v/>
      </c>
      <c r="EY209" s="6" t="str">
        <f>[1]Sheet2!EZ208</f>
        <v/>
      </c>
      <c r="EZ209" s="6" t="str">
        <f>[1]Sheet2!FA208</f>
        <v/>
      </c>
      <c r="FA209" s="6" t="str">
        <f>[1]Sheet2!FB208</f>
        <v/>
      </c>
      <c r="FB209" s="6" t="str">
        <f>[1]Sheet2!FC208</f>
        <v/>
      </c>
      <c r="FC209" s="6" t="str">
        <f>[1]Sheet2!FD208</f>
        <v/>
      </c>
      <c r="FD209" s="6" t="str">
        <f>[1]Sheet2!FE208</f>
        <v/>
      </c>
      <c r="FE209" s="6" t="str">
        <f>[1]Sheet2!FF208</f>
        <v/>
      </c>
      <c r="FF209" s="6" t="str">
        <f>[1]Sheet2!FG208</f>
        <v/>
      </c>
      <c r="FG209" s="6" t="str">
        <f>[1]Sheet2!FH208</f>
        <v/>
      </c>
      <c r="FH209" s="6" t="str">
        <f>[1]Sheet2!FI208</f>
        <v/>
      </c>
      <c r="FI209" s="6" t="str">
        <f>[1]Sheet2!FJ208</f>
        <v/>
      </c>
      <c r="FJ209" s="6" t="str">
        <f>[1]Sheet2!FK208</f>
        <v/>
      </c>
      <c r="FK209" s="6" t="str">
        <f>[1]Sheet2!FL208</f>
        <v/>
      </c>
      <c r="FL209" s="6" t="str">
        <f>[1]Sheet2!FM208</f>
        <v/>
      </c>
      <c r="FM209" s="6" t="str">
        <f>[1]Sheet2!FN208</f>
        <v/>
      </c>
      <c r="FN209" s="6" t="str">
        <f>[1]Sheet2!FO208</f>
        <v/>
      </c>
      <c r="FO209" s="6" t="str">
        <f>[1]Sheet2!FP208</f>
        <v/>
      </c>
    </row>
    <row r="210" spans="1:171" x14ac:dyDescent="0.25">
      <c r="A210" s="15">
        <v>43672</v>
      </c>
      <c r="B210" s="1"/>
      <c r="C210" s="1"/>
      <c r="D210" s="1"/>
      <c r="E210" s="14">
        <f>[1]Sheet2!N209</f>
        <v>0</v>
      </c>
      <c r="F210" s="14">
        <f>[1]Sheet2!BE209</f>
        <v>0</v>
      </c>
      <c r="G210" s="14">
        <f>[1]Sheet2!CW209</f>
        <v>0</v>
      </c>
      <c r="H210" s="1"/>
      <c r="I210" s="1"/>
      <c r="J210" s="1"/>
      <c r="K210" s="16"/>
      <c r="L210" s="16">
        <f>Demand_CWRS!B$9/31</f>
        <v>137.44229993796523</v>
      </c>
      <c r="M210" s="16">
        <f>Demand_CWRS!C$9/31</f>
        <v>616.54259718775836</v>
      </c>
      <c r="N210" s="16">
        <f>Demand_CWRS!D$9/31</f>
        <v>0</v>
      </c>
      <c r="O210" s="16">
        <f>Demand_CWRS!E$9/31</f>
        <v>140.39247311827955</v>
      </c>
      <c r="P210" s="16">
        <f>Demand_CWRS!F$9/31</f>
        <v>245.11049679487181</v>
      </c>
      <c r="Q210" s="16">
        <f>Demand_CWRS!G$9/31</f>
        <v>137.44229993796523</v>
      </c>
      <c r="R210" s="16">
        <f>Demand_CWRS!H$9/31</f>
        <v>245.11049679487181</v>
      </c>
      <c r="S210" s="16">
        <f>Demand_CWRS!I$9/31</f>
        <v>245.11049679487181</v>
      </c>
      <c r="T210" s="16">
        <f>Demand_CWRS!J$9/31</f>
        <v>245.11049679487181</v>
      </c>
      <c r="U210" s="16">
        <f>Demand_CWRS!K$9/31</f>
        <v>245.11049679487181</v>
      </c>
      <c r="V210" s="16">
        <f t="shared" si="96"/>
        <v>-25934.261335783609</v>
      </c>
      <c r="W210" s="16">
        <f t="shared" si="97"/>
        <v>-99886.269065342931</v>
      </c>
      <c r="X210" s="16">
        <f t="shared" si="98"/>
        <v>0</v>
      </c>
      <c r="Y210" s="16">
        <f t="shared" si="99"/>
        <v>-17191.48085089674</v>
      </c>
      <c r="Z210" s="16">
        <f t="shared" si="100"/>
        <v>-43651.036751460531</v>
      </c>
      <c r="AA210" s="16">
        <f t="shared" si="101"/>
        <v>-24608.488186745173</v>
      </c>
      <c r="AB210" s="16">
        <f t="shared" si="102"/>
        <v>-47960.20152710149</v>
      </c>
      <c r="AC210" s="16">
        <f t="shared" si="103"/>
        <v>-42167.191270691299</v>
      </c>
      <c r="AD210" s="16">
        <f t="shared" si="104"/>
        <v>-42267.191270691292</v>
      </c>
      <c r="AE210" s="16">
        <f t="shared" si="105"/>
        <v>-42867.191270691284</v>
      </c>
      <c r="AF210" s="14">
        <f>IF([1]Sheet2!AJ209=999999,"NA",[1]Sheet2!AJ209)</f>
        <v>0</v>
      </c>
      <c r="AG210" s="14">
        <f>IF([1]Sheet2!AK209=999999,"NA",[1]Sheet2!AK209)</f>
        <v>0</v>
      </c>
      <c r="AH210" s="14" t="str">
        <f>IF([1]Sheet2!AL209=999999,"NA",[1]Sheet2!AL209)</f>
        <v>NA</v>
      </c>
      <c r="AI210" s="14">
        <f>IF([1]Sheet2!AM209=999999,"NA",[1]Sheet2!AM209)</f>
        <v>0</v>
      </c>
      <c r="AJ210" s="14">
        <f>IF([1]Sheet2!AN209=999999,"NA",[1]Sheet2!AN209)</f>
        <v>0</v>
      </c>
      <c r="AK210" s="14">
        <f>IF([1]Sheet2!AO209=999999,"NA",[1]Sheet2!AO209)</f>
        <v>0</v>
      </c>
      <c r="AL210" s="14">
        <f>IF([1]Sheet2!AP209=999999,"NA",[1]Sheet2!AP209)</f>
        <v>0</v>
      </c>
      <c r="AM210" s="14">
        <f>IF([1]Sheet2!AQ209=999999,"NA",[1]Sheet2!AQ209)</f>
        <v>0</v>
      </c>
      <c r="AN210" s="14">
        <f>IF([1]Sheet2!AR209=999999,"NA",[1]Sheet2!AR209)</f>
        <v>0</v>
      </c>
      <c r="AO210" s="14">
        <f>IF([1]Sheet2!AS209=999999,"NA",[1]Sheet2!AS209)</f>
        <v>0</v>
      </c>
      <c r="AP210" s="14">
        <f>[1]Sheet2!P209</f>
        <v>0</v>
      </c>
      <c r="AQ210" s="14">
        <f>[1]Sheet2!Q209</f>
        <v>0</v>
      </c>
      <c r="AR210" s="14">
        <f>[1]Sheet2!R209</f>
        <v>0</v>
      </c>
      <c r="AS210" s="14">
        <f>[1]Sheet2!S209</f>
        <v>0</v>
      </c>
      <c r="AT210" s="14">
        <f>[1]Sheet2!T209</f>
        <v>0</v>
      </c>
      <c r="AU210" s="14">
        <f>[1]Sheet2!U209</f>
        <v>0</v>
      </c>
      <c r="AV210" s="14">
        <f>[1]Sheet2!V209</f>
        <v>0</v>
      </c>
      <c r="AW210" s="14">
        <f>[1]Sheet2!W209</f>
        <v>0</v>
      </c>
      <c r="AX210" s="14">
        <f>[1]Sheet2!X209</f>
        <v>0</v>
      </c>
      <c r="AY210" s="14">
        <f>[1]Sheet2!Y209</f>
        <v>0</v>
      </c>
      <c r="AZ210" s="16">
        <f>Demand_LP!B$9/31</f>
        <v>878.29658550454917</v>
      </c>
      <c r="BA210" s="16">
        <f>Demand_LP!C$9/31</f>
        <v>663.85442514474767</v>
      </c>
      <c r="BB210" s="16">
        <f>Demand_LP!D$9/31</f>
        <v>335.39784946236568</v>
      </c>
      <c r="BC210" s="16">
        <f>Demand_LP!E$9/31</f>
        <v>725.23531844499576</v>
      </c>
      <c r="BD210" s="16">
        <f>Demand_LP!F$9/31</f>
        <v>456.65268558726217</v>
      </c>
      <c r="BE210" s="16">
        <f>Demand_LP!G$9/31</f>
        <v>456.65268558726217</v>
      </c>
      <c r="BF210" s="16">
        <f>Demand_LP!H$9/31</f>
        <v>663.85442514474767</v>
      </c>
      <c r="BG210" s="16">
        <f>Demand_LP!I$9/31</f>
        <v>456.65268558726217</v>
      </c>
      <c r="BH210" s="16">
        <f>Demand_LP!J$9/31</f>
        <v>456.65268558726217</v>
      </c>
      <c r="BI210" s="16">
        <f>Demand_LP!K$9/31</f>
        <v>456.65268558726217</v>
      </c>
      <c r="BJ210" s="16">
        <f t="shared" si="106"/>
        <v>-149021.42214596173</v>
      </c>
      <c r="BK210" s="16">
        <f t="shared" si="107"/>
        <v>-119446.30992555809</v>
      </c>
      <c r="BL210" s="16">
        <f t="shared" si="108"/>
        <v>-55411.950496277968</v>
      </c>
      <c r="BM210" s="16">
        <f t="shared" si="109"/>
        <v>-150418.0246735976</v>
      </c>
      <c r="BN210" s="16">
        <f t="shared" si="110"/>
        <v>-87654.016371641774</v>
      </c>
      <c r="BO210" s="16">
        <f t="shared" si="111"/>
        <v>-86111.700290012508</v>
      </c>
      <c r="BP210" s="16">
        <f t="shared" si="112"/>
        <v>-113803.8894127376</v>
      </c>
      <c r="BQ210" s="16">
        <f t="shared" si="113"/>
        <v>-86111.700290012508</v>
      </c>
      <c r="BR210" s="16">
        <f t="shared" si="114"/>
        <v>-83711.700290012552</v>
      </c>
      <c r="BS210" s="16">
        <f t="shared" si="115"/>
        <v>-84411.700290012537</v>
      </c>
      <c r="BT210" s="14">
        <f>IF([1]Sheet2!CB209=999999,"NA",[1]Sheet2!CB209)</f>
        <v>0</v>
      </c>
      <c r="BU210" s="14">
        <f>IF([1]Sheet2!CC209=999999,"NA",[1]Sheet2!CC209)</f>
        <v>0</v>
      </c>
      <c r="BV210" s="14">
        <f>IF([1]Sheet2!CD209=999999,"NA",[1]Sheet2!CD209)</f>
        <v>0</v>
      </c>
      <c r="BW210" s="14">
        <f>IF([1]Sheet2!CE209=999999,"NA",[1]Sheet2!CE209)</f>
        <v>0</v>
      </c>
      <c r="BX210" s="14">
        <f>IF([1]Sheet2!CF209=999999,"NA",[1]Sheet2!CF209)</f>
        <v>0</v>
      </c>
      <c r="BY210" s="14">
        <f>IF([1]Sheet2!CG209=999999,"NA",[1]Sheet2!CG209)</f>
        <v>0</v>
      </c>
      <c r="BZ210" s="14">
        <f>IF([1]Sheet2!CH209=999999,"NA",[1]Sheet2!CH209)</f>
        <v>0</v>
      </c>
      <c r="CA210" s="14">
        <f>IF([1]Sheet2!CI209=999999,"NA",[1]Sheet2!CI209)</f>
        <v>0</v>
      </c>
      <c r="CB210" s="14">
        <f>IF([1]Sheet2!CJ209=999999,"NA",[1]Sheet2!CJ209)</f>
        <v>0</v>
      </c>
      <c r="CC210" s="14">
        <f>IF([1]Sheet2!CK209=999999,"NA",[1]Sheet2!CK209)</f>
        <v>0</v>
      </c>
      <c r="CD210" s="14">
        <f>[1]Sheet2!BH209</f>
        <v>0</v>
      </c>
      <c r="CE210" s="14">
        <f>[1]Sheet2!BI209</f>
        <v>0</v>
      </c>
      <c r="CF210" s="14">
        <f>[1]Sheet2!BJ209</f>
        <v>0</v>
      </c>
      <c r="CG210" s="14">
        <f>[1]Sheet2!BK209</f>
        <v>0</v>
      </c>
      <c r="CH210" s="14">
        <f>[1]Sheet2!BL209</f>
        <v>0</v>
      </c>
      <c r="CI210" s="14">
        <f>[1]Sheet2!BM209</f>
        <v>0</v>
      </c>
      <c r="CJ210" s="14">
        <f>[1]Sheet2!BN209</f>
        <v>0</v>
      </c>
      <c r="CK210" s="14">
        <f>[1]Sheet2!BO209</f>
        <v>0</v>
      </c>
      <c r="CL210" s="14">
        <f>[1]Sheet2!BP209</f>
        <v>0</v>
      </c>
      <c r="CM210" s="14">
        <f>[1]Sheet2!BQ209</f>
        <v>0</v>
      </c>
      <c r="CN210" s="16">
        <f>Demand_SW!B$9/31</f>
        <v>131.01736972704714</v>
      </c>
      <c r="CO210" s="16">
        <f>Demand_SW!C$9/31</f>
        <v>0</v>
      </c>
      <c r="CP210" s="16">
        <f>Demand_SW!D$9/31</f>
        <v>0</v>
      </c>
      <c r="CQ210" s="16">
        <f>Demand_SW!E$9/31</f>
        <v>0</v>
      </c>
      <c r="CR210" s="16">
        <f>Demand_SW!F$9/31</f>
        <v>0</v>
      </c>
      <c r="CS210" s="16">
        <f>Demand_SW!G$9/31</f>
        <v>131.01736972704714</v>
      </c>
      <c r="CT210" s="16">
        <f>Demand_SW!H$9/31</f>
        <v>0</v>
      </c>
      <c r="CU210" s="16">
        <f>Demand_SW!I$9/31</f>
        <v>0</v>
      </c>
      <c r="CV210" s="16">
        <f>Demand_SW!J$9/31</f>
        <v>0</v>
      </c>
      <c r="CW210" s="16">
        <f>Demand_SW!K$9/31</f>
        <v>0</v>
      </c>
      <c r="CX210" s="16">
        <f t="shared" si="116"/>
        <v>-23004.143920595558</v>
      </c>
      <c r="CY210" s="16">
        <f t="shared" si="117"/>
        <v>76.923076923077133</v>
      </c>
      <c r="CZ210" s="16">
        <f t="shared" si="118"/>
        <v>0</v>
      </c>
      <c r="DA210" s="16">
        <f t="shared" si="119"/>
        <v>0</v>
      </c>
      <c r="DB210" s="16">
        <f t="shared" si="120"/>
        <v>0</v>
      </c>
      <c r="DC210" s="16">
        <f t="shared" si="121"/>
        <v>-22533.374689826327</v>
      </c>
      <c r="DD210" s="16">
        <f t="shared" si="122"/>
        <v>76.923076923077133</v>
      </c>
      <c r="DE210" s="16">
        <f t="shared" si="123"/>
        <v>0</v>
      </c>
      <c r="DF210" s="16">
        <f t="shared" si="124"/>
        <v>0</v>
      </c>
      <c r="DG210" s="16">
        <f t="shared" si="125"/>
        <v>0</v>
      </c>
      <c r="DH210" s="14">
        <f>IF([1]Sheet2!DS209=999999,"NA",[1]Sheet2!DS209)</f>
        <v>0</v>
      </c>
      <c r="DI210" s="14">
        <f>IF([1]Sheet2!DT209=999999,"NA",[1]Sheet2!DT209)</f>
        <v>158</v>
      </c>
      <c r="DJ210" s="14" t="str">
        <f>IF([1]Sheet2!DU209=999999,"NA",[1]Sheet2!DU209)</f>
        <v>NA</v>
      </c>
      <c r="DK210" s="14" t="str">
        <f>IF([1]Sheet2!DV209=999999,"NA",[1]Sheet2!DV209)</f>
        <v>NA</v>
      </c>
      <c r="DL210" s="14" t="str">
        <f>IF([1]Sheet2!DW209=999999,"NA",[1]Sheet2!DW209)</f>
        <v>NA</v>
      </c>
      <c r="DM210" s="14">
        <f>IF([1]Sheet2!DX209=999999,"NA",[1]Sheet2!DX209)</f>
        <v>0</v>
      </c>
      <c r="DN210" s="14">
        <f>IF([1]Sheet2!DY209=999999,"NA",[1]Sheet2!DY209)</f>
        <v>158</v>
      </c>
      <c r="DO210" s="14" t="str">
        <f>IF([1]Sheet2!DZ209=999999,"NA",[1]Sheet2!DZ209)</f>
        <v>NA</v>
      </c>
      <c r="DP210" s="14" t="str">
        <f>IF([1]Sheet2!EA209=999999,"NA",[1]Sheet2!EA209)</f>
        <v>NA</v>
      </c>
      <c r="DQ210" s="14" t="str">
        <f>IF([1]Sheet2!EB209=999999,"NA",[1]Sheet2!EB209)</f>
        <v>NA</v>
      </c>
      <c r="DR210" s="14">
        <f>[1]Sheet2!CY209</f>
        <v>0</v>
      </c>
      <c r="DS210" s="14">
        <f>[1]Sheet2!CZ209</f>
        <v>0</v>
      </c>
      <c r="DT210" s="14">
        <f>[1]Sheet2!DA209</f>
        <v>0</v>
      </c>
      <c r="DU210" s="14">
        <f>[1]Sheet2!DB209</f>
        <v>0</v>
      </c>
      <c r="DV210" s="14">
        <f>[1]Sheet2!DC209</f>
        <v>0</v>
      </c>
      <c r="DW210" s="14">
        <f>[1]Sheet2!DD209</f>
        <v>0</v>
      </c>
      <c r="DX210" s="14">
        <f>[1]Sheet2!DE209</f>
        <v>0</v>
      </c>
      <c r="DY210" s="14">
        <f>[1]Sheet2!DF209</f>
        <v>0</v>
      </c>
      <c r="DZ210" s="14">
        <f>[1]Sheet2!DG209</f>
        <v>0</v>
      </c>
      <c r="EA210" s="14">
        <f>[1]Sheet2!DH209</f>
        <v>0</v>
      </c>
      <c r="EB210" s="6">
        <f>[1]Sheet2!EC209</f>
        <v>0</v>
      </c>
      <c r="EC210" s="6">
        <f>[1]Sheet2!ED209</f>
        <v>0</v>
      </c>
      <c r="ED210" s="6">
        <f>[1]Sheet2!EE209</f>
        <v>0</v>
      </c>
      <c r="EE210" s="6">
        <f>[1]Sheet2!EF209</f>
        <v>0</v>
      </c>
      <c r="EF210" s="6">
        <f>[1]Sheet2!EG209</f>
        <v>0</v>
      </c>
      <c r="EG210" s="6">
        <f>[1]Sheet2!EH209</f>
        <v>0</v>
      </c>
      <c r="EH210" s="6">
        <f>[1]Sheet2!EI209</f>
        <v>0</v>
      </c>
      <c r="EI210" s="6">
        <f>[1]Sheet2!EJ209</f>
        <v>0</v>
      </c>
      <c r="EJ210" s="6">
        <f>[1]Sheet2!EK209</f>
        <v>0</v>
      </c>
      <c r="EK210" s="6">
        <f>[1]Sheet2!EL209</f>
        <v>0</v>
      </c>
      <c r="EL210" s="6" t="str">
        <f>[1]Sheet2!EM209</f>
        <v/>
      </c>
      <c r="EM210" s="6" t="str">
        <f>[1]Sheet2!EN209</f>
        <v/>
      </c>
      <c r="EN210" s="6" t="str">
        <f>[1]Sheet2!EO209</f>
        <v/>
      </c>
      <c r="EO210" s="6" t="str">
        <f>[1]Sheet2!EP209</f>
        <v/>
      </c>
      <c r="EP210" s="6" t="str">
        <f>[1]Sheet2!EQ209</f>
        <v/>
      </c>
      <c r="EQ210" s="6" t="str">
        <f>[1]Sheet2!ER209</f>
        <v/>
      </c>
      <c r="ER210" s="6" t="str">
        <f>[1]Sheet2!ES209</f>
        <v/>
      </c>
      <c r="ES210" s="6" t="str">
        <f>[1]Sheet2!ET209</f>
        <v/>
      </c>
      <c r="ET210" s="6" t="str">
        <f>[1]Sheet2!EU209</f>
        <v/>
      </c>
      <c r="EU210" s="6" t="str">
        <f>[1]Sheet2!EV209</f>
        <v/>
      </c>
      <c r="EV210" s="6" t="str">
        <f>[1]Sheet2!EW209</f>
        <v/>
      </c>
      <c r="EW210" s="6" t="str">
        <f>[1]Sheet2!EX209</f>
        <v/>
      </c>
      <c r="EX210" s="6" t="str">
        <f>[1]Sheet2!EY209</f>
        <v/>
      </c>
      <c r="EY210" s="6" t="str">
        <f>[1]Sheet2!EZ209</f>
        <v/>
      </c>
      <c r="EZ210" s="6" t="str">
        <f>[1]Sheet2!FA209</f>
        <v/>
      </c>
      <c r="FA210" s="6" t="str">
        <f>[1]Sheet2!FB209</f>
        <v/>
      </c>
      <c r="FB210" s="6" t="str">
        <f>[1]Sheet2!FC209</f>
        <v/>
      </c>
      <c r="FC210" s="6" t="str">
        <f>[1]Sheet2!FD209</f>
        <v/>
      </c>
      <c r="FD210" s="6" t="str">
        <f>[1]Sheet2!FE209</f>
        <v/>
      </c>
      <c r="FE210" s="6" t="str">
        <f>[1]Sheet2!FF209</f>
        <v/>
      </c>
      <c r="FF210" s="6" t="str">
        <f>[1]Sheet2!FG209</f>
        <v/>
      </c>
      <c r="FG210" s="6" t="str">
        <f>[1]Sheet2!FH209</f>
        <v/>
      </c>
      <c r="FH210" s="6" t="str">
        <f>[1]Sheet2!FI209</f>
        <v/>
      </c>
      <c r="FI210" s="6" t="str">
        <f>[1]Sheet2!FJ209</f>
        <v/>
      </c>
      <c r="FJ210" s="6" t="str">
        <f>[1]Sheet2!FK209</f>
        <v/>
      </c>
      <c r="FK210" s="6" t="str">
        <f>[1]Sheet2!FL209</f>
        <v/>
      </c>
      <c r="FL210" s="6" t="str">
        <f>[1]Sheet2!FM209</f>
        <v/>
      </c>
      <c r="FM210" s="6" t="str">
        <f>[1]Sheet2!FN209</f>
        <v/>
      </c>
      <c r="FN210" s="6" t="str">
        <f>[1]Sheet2!FO209</f>
        <v/>
      </c>
      <c r="FO210" s="6" t="str">
        <f>[1]Sheet2!FP209</f>
        <v/>
      </c>
    </row>
    <row r="211" spans="1:171" x14ac:dyDescent="0.25">
      <c r="A211" s="15">
        <v>43673</v>
      </c>
      <c r="B211" s="1"/>
      <c r="C211" s="1"/>
      <c r="D211" s="1"/>
      <c r="E211" s="14">
        <f>[1]Sheet2!N210</f>
        <v>0</v>
      </c>
      <c r="F211" s="14">
        <f>[1]Sheet2!BE210</f>
        <v>0</v>
      </c>
      <c r="G211" s="14">
        <f>[1]Sheet2!CW210</f>
        <v>0</v>
      </c>
      <c r="H211" s="1"/>
      <c r="I211" s="1"/>
      <c r="J211" s="1"/>
      <c r="K211" s="16"/>
      <c r="L211" s="16">
        <f>Demand_CWRS!B$9/31</f>
        <v>137.44229993796523</v>
      </c>
      <c r="M211" s="16">
        <f>Demand_CWRS!C$9/31</f>
        <v>616.54259718775836</v>
      </c>
      <c r="N211" s="16">
        <f>Demand_CWRS!D$9/31</f>
        <v>0</v>
      </c>
      <c r="O211" s="16">
        <f>Demand_CWRS!E$9/31</f>
        <v>140.39247311827955</v>
      </c>
      <c r="P211" s="16">
        <f>Demand_CWRS!F$9/31</f>
        <v>245.11049679487181</v>
      </c>
      <c r="Q211" s="16">
        <f>Demand_CWRS!G$9/31</f>
        <v>137.44229993796523</v>
      </c>
      <c r="R211" s="16">
        <f>Demand_CWRS!H$9/31</f>
        <v>245.11049679487181</v>
      </c>
      <c r="S211" s="16">
        <f>Demand_CWRS!I$9/31</f>
        <v>245.11049679487181</v>
      </c>
      <c r="T211" s="16">
        <f>Demand_CWRS!J$9/31</f>
        <v>245.11049679487181</v>
      </c>
      <c r="U211" s="16">
        <f>Demand_CWRS!K$9/31</f>
        <v>245.11049679487181</v>
      </c>
      <c r="V211" s="16">
        <f t="shared" si="96"/>
        <v>-26071.703635721573</v>
      </c>
      <c r="W211" s="16">
        <f t="shared" si="97"/>
        <v>-100502.81166253069</v>
      </c>
      <c r="X211" s="16">
        <f t="shared" si="98"/>
        <v>0</v>
      </c>
      <c r="Y211" s="16">
        <f t="shared" si="99"/>
        <v>-17331.873324015018</v>
      </c>
      <c r="Z211" s="16">
        <f t="shared" si="100"/>
        <v>-43896.147248255402</v>
      </c>
      <c r="AA211" s="16">
        <f t="shared" si="101"/>
        <v>-24745.930486683137</v>
      </c>
      <c r="AB211" s="16">
        <f t="shared" si="102"/>
        <v>-48205.31202389636</v>
      </c>
      <c r="AC211" s="16">
        <f t="shared" si="103"/>
        <v>-42412.301767486169</v>
      </c>
      <c r="AD211" s="16">
        <f t="shared" si="104"/>
        <v>-42512.301767486162</v>
      </c>
      <c r="AE211" s="16">
        <f t="shared" si="105"/>
        <v>-43112.301767486155</v>
      </c>
      <c r="AF211" s="14">
        <f>IF([1]Sheet2!AJ210=999999,"NA",[1]Sheet2!AJ210)</f>
        <v>0</v>
      </c>
      <c r="AG211" s="14">
        <f>IF([1]Sheet2!AK210=999999,"NA",[1]Sheet2!AK210)</f>
        <v>0</v>
      </c>
      <c r="AH211" s="14" t="str">
        <f>IF([1]Sheet2!AL210=999999,"NA",[1]Sheet2!AL210)</f>
        <v>NA</v>
      </c>
      <c r="AI211" s="14">
        <f>IF([1]Sheet2!AM210=999999,"NA",[1]Sheet2!AM210)</f>
        <v>0</v>
      </c>
      <c r="AJ211" s="14">
        <f>IF([1]Sheet2!AN210=999999,"NA",[1]Sheet2!AN210)</f>
        <v>0</v>
      </c>
      <c r="AK211" s="14">
        <f>IF([1]Sheet2!AO210=999999,"NA",[1]Sheet2!AO210)</f>
        <v>0</v>
      </c>
      <c r="AL211" s="14">
        <f>IF([1]Sheet2!AP210=999999,"NA",[1]Sheet2!AP210)</f>
        <v>0</v>
      </c>
      <c r="AM211" s="14">
        <f>IF([1]Sheet2!AQ210=999999,"NA",[1]Sheet2!AQ210)</f>
        <v>0</v>
      </c>
      <c r="AN211" s="14">
        <f>IF([1]Sheet2!AR210=999999,"NA",[1]Sheet2!AR210)</f>
        <v>0</v>
      </c>
      <c r="AO211" s="14">
        <f>IF([1]Sheet2!AS210=999999,"NA",[1]Sheet2!AS210)</f>
        <v>0</v>
      </c>
      <c r="AP211" s="14">
        <f>[1]Sheet2!P210</f>
        <v>0</v>
      </c>
      <c r="AQ211" s="14">
        <f>[1]Sheet2!Q210</f>
        <v>0</v>
      </c>
      <c r="AR211" s="14">
        <f>[1]Sheet2!R210</f>
        <v>0</v>
      </c>
      <c r="AS211" s="14">
        <f>[1]Sheet2!S210</f>
        <v>0</v>
      </c>
      <c r="AT211" s="14">
        <f>[1]Sheet2!T210</f>
        <v>0</v>
      </c>
      <c r="AU211" s="14">
        <f>[1]Sheet2!U210</f>
        <v>0</v>
      </c>
      <c r="AV211" s="14">
        <f>[1]Sheet2!V210</f>
        <v>0</v>
      </c>
      <c r="AW211" s="14">
        <f>[1]Sheet2!W210</f>
        <v>0</v>
      </c>
      <c r="AX211" s="14">
        <f>[1]Sheet2!X210</f>
        <v>0</v>
      </c>
      <c r="AY211" s="14">
        <f>[1]Sheet2!Y210</f>
        <v>0</v>
      </c>
      <c r="AZ211" s="16">
        <f>Demand_LP!B$9/31</f>
        <v>878.29658550454917</v>
      </c>
      <c r="BA211" s="16">
        <f>Demand_LP!C$9/31</f>
        <v>663.85442514474767</v>
      </c>
      <c r="BB211" s="16">
        <f>Demand_LP!D$9/31</f>
        <v>335.39784946236568</v>
      </c>
      <c r="BC211" s="16">
        <f>Demand_LP!E$9/31</f>
        <v>725.23531844499576</v>
      </c>
      <c r="BD211" s="16">
        <f>Demand_LP!F$9/31</f>
        <v>456.65268558726217</v>
      </c>
      <c r="BE211" s="16">
        <f>Demand_LP!G$9/31</f>
        <v>456.65268558726217</v>
      </c>
      <c r="BF211" s="16">
        <f>Demand_LP!H$9/31</f>
        <v>663.85442514474767</v>
      </c>
      <c r="BG211" s="16">
        <f>Demand_LP!I$9/31</f>
        <v>456.65268558726217</v>
      </c>
      <c r="BH211" s="16">
        <f>Demand_LP!J$9/31</f>
        <v>456.65268558726217</v>
      </c>
      <c r="BI211" s="16">
        <f>Demand_LP!K$9/31</f>
        <v>456.65268558726217</v>
      </c>
      <c r="BJ211" s="16">
        <f t="shared" si="106"/>
        <v>-149899.71873146627</v>
      </c>
      <c r="BK211" s="16">
        <f t="shared" si="107"/>
        <v>-120110.16435070283</v>
      </c>
      <c r="BL211" s="16">
        <f t="shared" si="108"/>
        <v>-55747.348345740334</v>
      </c>
      <c r="BM211" s="16">
        <f t="shared" si="109"/>
        <v>-151143.25999204259</v>
      </c>
      <c r="BN211" s="16">
        <f t="shared" si="110"/>
        <v>-88110.669057229039</v>
      </c>
      <c r="BO211" s="16">
        <f t="shared" si="111"/>
        <v>-86568.352975599773</v>
      </c>
      <c r="BP211" s="16">
        <f t="shared" si="112"/>
        <v>-114467.74383788234</v>
      </c>
      <c r="BQ211" s="16">
        <f t="shared" si="113"/>
        <v>-86568.352975599773</v>
      </c>
      <c r="BR211" s="16">
        <f t="shared" si="114"/>
        <v>-84168.352975599817</v>
      </c>
      <c r="BS211" s="16">
        <f t="shared" si="115"/>
        <v>-84868.352975599802</v>
      </c>
      <c r="BT211" s="14">
        <f>IF([1]Sheet2!CB210=999999,"NA",[1]Sheet2!CB210)</f>
        <v>0</v>
      </c>
      <c r="BU211" s="14">
        <f>IF([1]Sheet2!CC210=999999,"NA",[1]Sheet2!CC210)</f>
        <v>0</v>
      </c>
      <c r="BV211" s="14">
        <f>IF([1]Sheet2!CD210=999999,"NA",[1]Sheet2!CD210)</f>
        <v>0</v>
      </c>
      <c r="BW211" s="14">
        <f>IF([1]Sheet2!CE210=999999,"NA",[1]Sheet2!CE210)</f>
        <v>0</v>
      </c>
      <c r="BX211" s="14">
        <f>IF([1]Sheet2!CF210=999999,"NA",[1]Sheet2!CF210)</f>
        <v>0</v>
      </c>
      <c r="BY211" s="14">
        <f>IF([1]Sheet2!CG210=999999,"NA",[1]Sheet2!CG210)</f>
        <v>0</v>
      </c>
      <c r="BZ211" s="14">
        <f>IF([1]Sheet2!CH210=999999,"NA",[1]Sheet2!CH210)</f>
        <v>0</v>
      </c>
      <c r="CA211" s="14">
        <f>IF([1]Sheet2!CI210=999999,"NA",[1]Sheet2!CI210)</f>
        <v>0</v>
      </c>
      <c r="CB211" s="14">
        <f>IF([1]Sheet2!CJ210=999999,"NA",[1]Sheet2!CJ210)</f>
        <v>0</v>
      </c>
      <c r="CC211" s="14">
        <f>IF([1]Sheet2!CK210=999999,"NA",[1]Sheet2!CK210)</f>
        <v>0</v>
      </c>
      <c r="CD211" s="14">
        <f>[1]Sheet2!BH210</f>
        <v>0</v>
      </c>
      <c r="CE211" s="14">
        <f>[1]Sheet2!BI210</f>
        <v>0</v>
      </c>
      <c r="CF211" s="14">
        <f>[1]Sheet2!BJ210</f>
        <v>0</v>
      </c>
      <c r="CG211" s="14">
        <f>[1]Sheet2!BK210</f>
        <v>0</v>
      </c>
      <c r="CH211" s="14">
        <f>[1]Sheet2!BL210</f>
        <v>0</v>
      </c>
      <c r="CI211" s="14">
        <f>[1]Sheet2!BM210</f>
        <v>0</v>
      </c>
      <c r="CJ211" s="14">
        <f>[1]Sheet2!BN210</f>
        <v>0</v>
      </c>
      <c r="CK211" s="14">
        <f>[1]Sheet2!BO210</f>
        <v>0</v>
      </c>
      <c r="CL211" s="14">
        <f>[1]Sheet2!BP210</f>
        <v>0</v>
      </c>
      <c r="CM211" s="14">
        <f>[1]Sheet2!BQ210</f>
        <v>0</v>
      </c>
      <c r="CN211" s="16">
        <f>Demand_SW!B$9/31</f>
        <v>131.01736972704714</v>
      </c>
      <c r="CO211" s="16">
        <f>Demand_SW!C$9/31</f>
        <v>0</v>
      </c>
      <c r="CP211" s="16">
        <f>Demand_SW!D$9/31</f>
        <v>0</v>
      </c>
      <c r="CQ211" s="16">
        <f>Demand_SW!E$9/31</f>
        <v>0</v>
      </c>
      <c r="CR211" s="16">
        <f>Demand_SW!F$9/31</f>
        <v>0</v>
      </c>
      <c r="CS211" s="16">
        <f>Demand_SW!G$9/31</f>
        <v>131.01736972704714</v>
      </c>
      <c r="CT211" s="16">
        <f>Demand_SW!H$9/31</f>
        <v>0</v>
      </c>
      <c r="CU211" s="16">
        <f>Demand_SW!I$9/31</f>
        <v>0</v>
      </c>
      <c r="CV211" s="16">
        <f>Demand_SW!J$9/31</f>
        <v>0</v>
      </c>
      <c r="CW211" s="16">
        <f>Demand_SW!K$9/31</f>
        <v>0</v>
      </c>
      <c r="CX211" s="16">
        <f t="shared" si="116"/>
        <v>-23135.161290322605</v>
      </c>
      <c r="CY211" s="16">
        <f t="shared" si="117"/>
        <v>76.923076923077133</v>
      </c>
      <c r="CZ211" s="16">
        <f t="shared" si="118"/>
        <v>0</v>
      </c>
      <c r="DA211" s="16">
        <f t="shared" si="119"/>
        <v>0</v>
      </c>
      <c r="DB211" s="16">
        <f t="shared" si="120"/>
        <v>0</v>
      </c>
      <c r="DC211" s="16">
        <f t="shared" si="121"/>
        <v>-22664.392059553375</v>
      </c>
      <c r="DD211" s="16">
        <f t="shared" si="122"/>
        <v>76.923076923077133</v>
      </c>
      <c r="DE211" s="16">
        <f t="shared" si="123"/>
        <v>0</v>
      </c>
      <c r="DF211" s="16">
        <f t="shared" si="124"/>
        <v>0</v>
      </c>
      <c r="DG211" s="16">
        <f t="shared" si="125"/>
        <v>0</v>
      </c>
      <c r="DH211" s="14">
        <f>IF([1]Sheet2!DS210=999999,"NA",[1]Sheet2!DS210)</f>
        <v>0</v>
      </c>
      <c r="DI211" s="14">
        <f>IF([1]Sheet2!DT210=999999,"NA",[1]Sheet2!DT210)</f>
        <v>157</v>
      </c>
      <c r="DJ211" s="14" t="str">
        <f>IF([1]Sheet2!DU210=999999,"NA",[1]Sheet2!DU210)</f>
        <v>NA</v>
      </c>
      <c r="DK211" s="14" t="str">
        <f>IF([1]Sheet2!DV210=999999,"NA",[1]Sheet2!DV210)</f>
        <v>NA</v>
      </c>
      <c r="DL211" s="14" t="str">
        <f>IF([1]Sheet2!DW210=999999,"NA",[1]Sheet2!DW210)</f>
        <v>NA</v>
      </c>
      <c r="DM211" s="14">
        <f>IF([1]Sheet2!DX210=999999,"NA",[1]Sheet2!DX210)</f>
        <v>0</v>
      </c>
      <c r="DN211" s="14">
        <f>IF([1]Sheet2!DY210=999999,"NA",[1]Sheet2!DY210)</f>
        <v>157</v>
      </c>
      <c r="DO211" s="14" t="str">
        <f>IF([1]Sheet2!DZ210=999999,"NA",[1]Sheet2!DZ210)</f>
        <v>NA</v>
      </c>
      <c r="DP211" s="14" t="str">
        <f>IF([1]Sheet2!EA210=999999,"NA",[1]Sheet2!EA210)</f>
        <v>NA</v>
      </c>
      <c r="DQ211" s="14" t="str">
        <f>IF([1]Sheet2!EB210=999999,"NA",[1]Sheet2!EB210)</f>
        <v>NA</v>
      </c>
      <c r="DR211" s="14">
        <f>[1]Sheet2!CY210</f>
        <v>0</v>
      </c>
      <c r="DS211" s="14">
        <f>[1]Sheet2!CZ210</f>
        <v>0</v>
      </c>
      <c r="DT211" s="14">
        <f>[1]Sheet2!DA210</f>
        <v>0</v>
      </c>
      <c r="DU211" s="14">
        <f>[1]Sheet2!DB210</f>
        <v>0</v>
      </c>
      <c r="DV211" s="14">
        <f>[1]Sheet2!DC210</f>
        <v>0</v>
      </c>
      <c r="DW211" s="14">
        <f>[1]Sheet2!DD210</f>
        <v>0</v>
      </c>
      <c r="DX211" s="14">
        <f>[1]Sheet2!DE210</f>
        <v>0</v>
      </c>
      <c r="DY211" s="14">
        <f>[1]Sheet2!DF210</f>
        <v>0</v>
      </c>
      <c r="DZ211" s="14">
        <f>[1]Sheet2!DG210</f>
        <v>0</v>
      </c>
      <c r="EA211" s="14">
        <f>[1]Sheet2!DH210</f>
        <v>0</v>
      </c>
      <c r="EB211" s="6">
        <f>[1]Sheet2!EC210</f>
        <v>0</v>
      </c>
      <c r="EC211" s="6">
        <f>[1]Sheet2!ED210</f>
        <v>0</v>
      </c>
      <c r="ED211" s="6">
        <f>[1]Sheet2!EE210</f>
        <v>0</v>
      </c>
      <c r="EE211" s="6">
        <f>[1]Sheet2!EF210</f>
        <v>0</v>
      </c>
      <c r="EF211" s="6">
        <f>[1]Sheet2!EG210</f>
        <v>0</v>
      </c>
      <c r="EG211" s="6">
        <f>[1]Sheet2!EH210</f>
        <v>0</v>
      </c>
      <c r="EH211" s="6">
        <f>[1]Sheet2!EI210</f>
        <v>0</v>
      </c>
      <c r="EI211" s="6">
        <f>[1]Sheet2!EJ210</f>
        <v>0</v>
      </c>
      <c r="EJ211" s="6">
        <f>[1]Sheet2!EK210</f>
        <v>0</v>
      </c>
      <c r="EK211" s="6">
        <f>[1]Sheet2!EL210</f>
        <v>0</v>
      </c>
      <c r="EL211" s="6" t="str">
        <f>[1]Sheet2!EM210</f>
        <v/>
      </c>
      <c r="EM211" s="6" t="str">
        <f>[1]Sheet2!EN210</f>
        <v/>
      </c>
      <c r="EN211" s="6" t="str">
        <f>[1]Sheet2!EO210</f>
        <v/>
      </c>
      <c r="EO211" s="6" t="str">
        <f>[1]Sheet2!EP210</f>
        <v/>
      </c>
      <c r="EP211" s="6" t="str">
        <f>[1]Sheet2!EQ210</f>
        <v/>
      </c>
      <c r="EQ211" s="6" t="str">
        <f>[1]Sheet2!ER210</f>
        <v/>
      </c>
      <c r="ER211" s="6" t="str">
        <f>[1]Sheet2!ES210</f>
        <v/>
      </c>
      <c r="ES211" s="6" t="str">
        <f>[1]Sheet2!ET210</f>
        <v/>
      </c>
      <c r="ET211" s="6" t="str">
        <f>[1]Sheet2!EU210</f>
        <v/>
      </c>
      <c r="EU211" s="6" t="str">
        <f>[1]Sheet2!EV210</f>
        <v/>
      </c>
      <c r="EV211" s="6" t="str">
        <f>[1]Sheet2!EW210</f>
        <v/>
      </c>
      <c r="EW211" s="6" t="str">
        <f>[1]Sheet2!EX210</f>
        <v/>
      </c>
      <c r="EX211" s="6" t="str">
        <f>[1]Sheet2!EY210</f>
        <v/>
      </c>
      <c r="EY211" s="6" t="str">
        <f>[1]Sheet2!EZ210</f>
        <v/>
      </c>
      <c r="EZ211" s="6" t="str">
        <f>[1]Sheet2!FA210</f>
        <v/>
      </c>
      <c r="FA211" s="6" t="str">
        <f>[1]Sheet2!FB210</f>
        <v/>
      </c>
      <c r="FB211" s="6" t="str">
        <f>[1]Sheet2!FC210</f>
        <v/>
      </c>
      <c r="FC211" s="6" t="str">
        <f>[1]Sheet2!FD210</f>
        <v/>
      </c>
      <c r="FD211" s="6" t="str">
        <f>[1]Sheet2!FE210</f>
        <v/>
      </c>
      <c r="FE211" s="6" t="str">
        <f>[1]Sheet2!FF210</f>
        <v/>
      </c>
      <c r="FF211" s="6" t="str">
        <f>[1]Sheet2!FG210</f>
        <v/>
      </c>
      <c r="FG211" s="6" t="str">
        <f>[1]Sheet2!FH210</f>
        <v/>
      </c>
      <c r="FH211" s="6" t="str">
        <f>[1]Sheet2!FI210</f>
        <v/>
      </c>
      <c r="FI211" s="6" t="str">
        <f>[1]Sheet2!FJ210</f>
        <v/>
      </c>
      <c r="FJ211" s="6" t="str">
        <f>[1]Sheet2!FK210</f>
        <v/>
      </c>
      <c r="FK211" s="6" t="str">
        <f>[1]Sheet2!FL210</f>
        <v/>
      </c>
      <c r="FL211" s="6" t="str">
        <f>[1]Sheet2!FM210</f>
        <v/>
      </c>
      <c r="FM211" s="6" t="str">
        <f>[1]Sheet2!FN210</f>
        <v/>
      </c>
      <c r="FN211" s="6" t="str">
        <f>[1]Sheet2!FO210</f>
        <v/>
      </c>
      <c r="FO211" s="6" t="str">
        <f>[1]Sheet2!FP210</f>
        <v/>
      </c>
    </row>
    <row r="212" spans="1:171" x14ac:dyDescent="0.25">
      <c r="A212" s="15">
        <v>43674</v>
      </c>
      <c r="B212" s="1"/>
      <c r="C212" s="1"/>
      <c r="D212" s="1"/>
      <c r="E212" s="14">
        <f>[1]Sheet2!N211</f>
        <v>0</v>
      </c>
      <c r="F212" s="14">
        <f>[1]Sheet2!BE211</f>
        <v>0</v>
      </c>
      <c r="G212" s="14">
        <f>[1]Sheet2!CW211</f>
        <v>0</v>
      </c>
      <c r="H212" s="1"/>
      <c r="I212" s="1"/>
      <c r="J212" s="1"/>
      <c r="K212" s="16"/>
      <c r="L212" s="16">
        <f>Demand_CWRS!B$9/31</f>
        <v>137.44229993796523</v>
      </c>
      <c r="M212" s="16">
        <f>Demand_CWRS!C$9/31</f>
        <v>616.54259718775836</v>
      </c>
      <c r="N212" s="16">
        <f>Demand_CWRS!D$9/31</f>
        <v>0</v>
      </c>
      <c r="O212" s="16">
        <f>Demand_CWRS!E$9/31</f>
        <v>140.39247311827955</v>
      </c>
      <c r="P212" s="16">
        <f>Demand_CWRS!F$9/31</f>
        <v>245.11049679487181</v>
      </c>
      <c r="Q212" s="16">
        <f>Demand_CWRS!G$9/31</f>
        <v>137.44229993796523</v>
      </c>
      <c r="R212" s="16">
        <f>Demand_CWRS!H$9/31</f>
        <v>245.11049679487181</v>
      </c>
      <c r="S212" s="16">
        <f>Demand_CWRS!I$9/31</f>
        <v>245.11049679487181</v>
      </c>
      <c r="T212" s="16">
        <f>Demand_CWRS!J$9/31</f>
        <v>245.11049679487181</v>
      </c>
      <c r="U212" s="16">
        <f>Demand_CWRS!K$9/31</f>
        <v>245.11049679487181</v>
      </c>
      <c r="V212" s="16">
        <f t="shared" si="96"/>
        <v>-26209.145935659537</v>
      </c>
      <c r="W212" s="16">
        <f t="shared" si="97"/>
        <v>-101119.35425971844</v>
      </c>
      <c r="X212" s="16">
        <f t="shared" si="98"/>
        <v>0</v>
      </c>
      <c r="Y212" s="16">
        <f t="shared" si="99"/>
        <v>-17472.265797133296</v>
      </c>
      <c r="Z212" s="16">
        <f t="shared" si="100"/>
        <v>-44141.257745050272</v>
      </c>
      <c r="AA212" s="16">
        <f t="shared" si="101"/>
        <v>-24883.372786621101</v>
      </c>
      <c r="AB212" s="16">
        <f t="shared" si="102"/>
        <v>-48450.422520691231</v>
      </c>
      <c r="AC212" s="16">
        <f t="shared" si="103"/>
        <v>-42657.41226428104</v>
      </c>
      <c r="AD212" s="16">
        <f t="shared" si="104"/>
        <v>-42757.412264281033</v>
      </c>
      <c r="AE212" s="16">
        <f t="shared" si="105"/>
        <v>-43357.412264281025</v>
      </c>
      <c r="AF212" s="14">
        <f>IF([1]Sheet2!AJ211=999999,"NA",[1]Sheet2!AJ211)</f>
        <v>0</v>
      </c>
      <c r="AG212" s="14">
        <f>IF([1]Sheet2!AK211=999999,"NA",[1]Sheet2!AK211)</f>
        <v>0</v>
      </c>
      <c r="AH212" s="14" t="str">
        <f>IF([1]Sheet2!AL211=999999,"NA",[1]Sheet2!AL211)</f>
        <v>NA</v>
      </c>
      <c r="AI212" s="14">
        <f>IF([1]Sheet2!AM211=999999,"NA",[1]Sheet2!AM211)</f>
        <v>0</v>
      </c>
      <c r="AJ212" s="14">
        <f>IF([1]Sheet2!AN211=999999,"NA",[1]Sheet2!AN211)</f>
        <v>0</v>
      </c>
      <c r="AK212" s="14">
        <f>IF([1]Sheet2!AO211=999999,"NA",[1]Sheet2!AO211)</f>
        <v>0</v>
      </c>
      <c r="AL212" s="14">
        <f>IF([1]Sheet2!AP211=999999,"NA",[1]Sheet2!AP211)</f>
        <v>0</v>
      </c>
      <c r="AM212" s="14">
        <f>IF([1]Sheet2!AQ211=999999,"NA",[1]Sheet2!AQ211)</f>
        <v>0</v>
      </c>
      <c r="AN212" s="14">
        <f>IF([1]Sheet2!AR211=999999,"NA",[1]Sheet2!AR211)</f>
        <v>0</v>
      </c>
      <c r="AO212" s="14">
        <f>IF([1]Sheet2!AS211=999999,"NA",[1]Sheet2!AS211)</f>
        <v>0</v>
      </c>
      <c r="AP212" s="14">
        <f>[1]Sheet2!P211</f>
        <v>0</v>
      </c>
      <c r="AQ212" s="14">
        <f>[1]Sheet2!Q211</f>
        <v>0</v>
      </c>
      <c r="AR212" s="14">
        <f>[1]Sheet2!R211</f>
        <v>0</v>
      </c>
      <c r="AS212" s="14">
        <f>[1]Sheet2!S211</f>
        <v>0</v>
      </c>
      <c r="AT212" s="14">
        <f>[1]Sheet2!T211</f>
        <v>0</v>
      </c>
      <c r="AU212" s="14">
        <f>[1]Sheet2!U211</f>
        <v>0</v>
      </c>
      <c r="AV212" s="14">
        <f>[1]Sheet2!V211</f>
        <v>0</v>
      </c>
      <c r="AW212" s="14">
        <f>[1]Sheet2!W211</f>
        <v>0</v>
      </c>
      <c r="AX212" s="14">
        <f>[1]Sheet2!X211</f>
        <v>0</v>
      </c>
      <c r="AY212" s="14">
        <f>[1]Sheet2!Y211</f>
        <v>0</v>
      </c>
      <c r="AZ212" s="16">
        <f>Demand_LP!B$9/31</f>
        <v>878.29658550454917</v>
      </c>
      <c r="BA212" s="16">
        <f>Demand_LP!C$9/31</f>
        <v>663.85442514474767</v>
      </c>
      <c r="BB212" s="16">
        <f>Demand_LP!D$9/31</f>
        <v>335.39784946236568</v>
      </c>
      <c r="BC212" s="16">
        <f>Demand_LP!E$9/31</f>
        <v>725.23531844499576</v>
      </c>
      <c r="BD212" s="16">
        <f>Demand_LP!F$9/31</f>
        <v>456.65268558726217</v>
      </c>
      <c r="BE212" s="16">
        <f>Demand_LP!G$9/31</f>
        <v>456.65268558726217</v>
      </c>
      <c r="BF212" s="16">
        <f>Demand_LP!H$9/31</f>
        <v>663.85442514474767</v>
      </c>
      <c r="BG212" s="16">
        <f>Demand_LP!I$9/31</f>
        <v>456.65268558726217</v>
      </c>
      <c r="BH212" s="16">
        <f>Demand_LP!J$9/31</f>
        <v>456.65268558726217</v>
      </c>
      <c r="BI212" s="16">
        <f>Demand_LP!K$9/31</f>
        <v>456.65268558726217</v>
      </c>
      <c r="BJ212" s="16">
        <f t="shared" si="106"/>
        <v>-150778.01531697082</v>
      </c>
      <c r="BK212" s="16">
        <f t="shared" si="107"/>
        <v>-120774.01877584758</v>
      </c>
      <c r="BL212" s="16">
        <f t="shared" si="108"/>
        <v>-56082.746195202701</v>
      </c>
      <c r="BM212" s="16">
        <f t="shared" si="109"/>
        <v>-151868.49531048757</v>
      </c>
      <c r="BN212" s="16">
        <f t="shared" si="110"/>
        <v>-88567.321742816304</v>
      </c>
      <c r="BO212" s="16">
        <f t="shared" si="111"/>
        <v>-87025.005661187039</v>
      </c>
      <c r="BP212" s="16">
        <f t="shared" si="112"/>
        <v>-115131.59826302709</v>
      </c>
      <c r="BQ212" s="16">
        <f t="shared" si="113"/>
        <v>-87025.005661187039</v>
      </c>
      <c r="BR212" s="16">
        <f t="shared" si="114"/>
        <v>-84625.005661187082</v>
      </c>
      <c r="BS212" s="16">
        <f t="shared" si="115"/>
        <v>-85325.005661187068</v>
      </c>
      <c r="BT212" s="14">
        <f>IF([1]Sheet2!CB211=999999,"NA",[1]Sheet2!CB211)</f>
        <v>0</v>
      </c>
      <c r="BU212" s="14">
        <f>IF([1]Sheet2!CC211=999999,"NA",[1]Sheet2!CC211)</f>
        <v>0</v>
      </c>
      <c r="BV212" s="14">
        <f>IF([1]Sheet2!CD211=999999,"NA",[1]Sheet2!CD211)</f>
        <v>0</v>
      </c>
      <c r="BW212" s="14">
        <f>IF([1]Sheet2!CE211=999999,"NA",[1]Sheet2!CE211)</f>
        <v>0</v>
      </c>
      <c r="BX212" s="14">
        <f>IF([1]Sheet2!CF211=999999,"NA",[1]Sheet2!CF211)</f>
        <v>0</v>
      </c>
      <c r="BY212" s="14">
        <f>IF([1]Sheet2!CG211=999999,"NA",[1]Sheet2!CG211)</f>
        <v>0</v>
      </c>
      <c r="BZ212" s="14">
        <f>IF([1]Sheet2!CH211=999999,"NA",[1]Sheet2!CH211)</f>
        <v>0</v>
      </c>
      <c r="CA212" s="14">
        <f>IF([1]Sheet2!CI211=999999,"NA",[1]Sheet2!CI211)</f>
        <v>0</v>
      </c>
      <c r="CB212" s="14">
        <f>IF([1]Sheet2!CJ211=999999,"NA",[1]Sheet2!CJ211)</f>
        <v>0</v>
      </c>
      <c r="CC212" s="14">
        <f>IF([1]Sheet2!CK211=999999,"NA",[1]Sheet2!CK211)</f>
        <v>0</v>
      </c>
      <c r="CD212" s="14">
        <f>[1]Sheet2!BH211</f>
        <v>0</v>
      </c>
      <c r="CE212" s="14">
        <f>[1]Sheet2!BI211</f>
        <v>0</v>
      </c>
      <c r="CF212" s="14">
        <f>[1]Sheet2!BJ211</f>
        <v>0</v>
      </c>
      <c r="CG212" s="14">
        <f>[1]Sheet2!BK211</f>
        <v>0</v>
      </c>
      <c r="CH212" s="14">
        <f>[1]Sheet2!BL211</f>
        <v>0</v>
      </c>
      <c r="CI212" s="14">
        <f>[1]Sheet2!BM211</f>
        <v>0</v>
      </c>
      <c r="CJ212" s="14">
        <f>[1]Sheet2!BN211</f>
        <v>0</v>
      </c>
      <c r="CK212" s="14">
        <f>[1]Sheet2!BO211</f>
        <v>0</v>
      </c>
      <c r="CL212" s="14">
        <f>[1]Sheet2!BP211</f>
        <v>0</v>
      </c>
      <c r="CM212" s="14">
        <f>[1]Sheet2!BQ211</f>
        <v>0</v>
      </c>
      <c r="CN212" s="16">
        <f>Demand_SW!B$9/31</f>
        <v>131.01736972704714</v>
      </c>
      <c r="CO212" s="16">
        <f>Demand_SW!C$9/31</f>
        <v>0</v>
      </c>
      <c r="CP212" s="16">
        <f>Demand_SW!D$9/31</f>
        <v>0</v>
      </c>
      <c r="CQ212" s="16">
        <f>Demand_SW!E$9/31</f>
        <v>0</v>
      </c>
      <c r="CR212" s="16">
        <f>Demand_SW!F$9/31</f>
        <v>0</v>
      </c>
      <c r="CS212" s="16">
        <f>Demand_SW!G$9/31</f>
        <v>131.01736972704714</v>
      </c>
      <c r="CT212" s="16">
        <f>Demand_SW!H$9/31</f>
        <v>0</v>
      </c>
      <c r="CU212" s="16">
        <f>Demand_SW!I$9/31</f>
        <v>0</v>
      </c>
      <c r="CV212" s="16">
        <f>Demand_SW!J$9/31</f>
        <v>0</v>
      </c>
      <c r="CW212" s="16">
        <f>Demand_SW!K$9/31</f>
        <v>0</v>
      </c>
      <c r="CX212" s="16">
        <f t="shared" si="116"/>
        <v>-23266.178660049653</v>
      </c>
      <c r="CY212" s="16">
        <f t="shared" si="117"/>
        <v>76.923076923077133</v>
      </c>
      <c r="CZ212" s="16">
        <f t="shared" si="118"/>
        <v>0</v>
      </c>
      <c r="DA212" s="16">
        <f t="shared" si="119"/>
        <v>0</v>
      </c>
      <c r="DB212" s="16">
        <f t="shared" si="120"/>
        <v>0</v>
      </c>
      <c r="DC212" s="16">
        <f t="shared" si="121"/>
        <v>-22795.409429280422</v>
      </c>
      <c r="DD212" s="16">
        <f t="shared" si="122"/>
        <v>76.923076923077133</v>
      </c>
      <c r="DE212" s="16">
        <f t="shared" si="123"/>
        <v>0</v>
      </c>
      <c r="DF212" s="16">
        <f t="shared" si="124"/>
        <v>0</v>
      </c>
      <c r="DG212" s="16">
        <f t="shared" si="125"/>
        <v>0</v>
      </c>
      <c r="DH212" s="14">
        <f>IF([1]Sheet2!DS211=999999,"NA",[1]Sheet2!DS211)</f>
        <v>0</v>
      </c>
      <c r="DI212" s="14">
        <f>IF([1]Sheet2!DT211=999999,"NA",[1]Sheet2!DT211)</f>
        <v>156</v>
      </c>
      <c r="DJ212" s="14" t="str">
        <f>IF([1]Sheet2!DU211=999999,"NA",[1]Sheet2!DU211)</f>
        <v>NA</v>
      </c>
      <c r="DK212" s="14" t="str">
        <f>IF([1]Sheet2!DV211=999999,"NA",[1]Sheet2!DV211)</f>
        <v>NA</v>
      </c>
      <c r="DL212" s="14" t="str">
        <f>IF([1]Sheet2!DW211=999999,"NA",[1]Sheet2!DW211)</f>
        <v>NA</v>
      </c>
      <c r="DM212" s="14">
        <f>IF([1]Sheet2!DX211=999999,"NA",[1]Sheet2!DX211)</f>
        <v>0</v>
      </c>
      <c r="DN212" s="14">
        <f>IF([1]Sheet2!DY211=999999,"NA",[1]Sheet2!DY211)</f>
        <v>156</v>
      </c>
      <c r="DO212" s="14" t="str">
        <f>IF([1]Sheet2!DZ211=999999,"NA",[1]Sheet2!DZ211)</f>
        <v>NA</v>
      </c>
      <c r="DP212" s="14" t="str">
        <f>IF([1]Sheet2!EA211=999999,"NA",[1]Sheet2!EA211)</f>
        <v>NA</v>
      </c>
      <c r="DQ212" s="14" t="str">
        <f>IF([1]Sheet2!EB211=999999,"NA",[1]Sheet2!EB211)</f>
        <v>NA</v>
      </c>
      <c r="DR212" s="14">
        <f>[1]Sheet2!CY211</f>
        <v>0</v>
      </c>
      <c r="DS212" s="14">
        <f>[1]Sheet2!CZ211</f>
        <v>0</v>
      </c>
      <c r="DT212" s="14">
        <f>[1]Sheet2!DA211</f>
        <v>0</v>
      </c>
      <c r="DU212" s="14">
        <f>[1]Sheet2!DB211</f>
        <v>0</v>
      </c>
      <c r="DV212" s="14">
        <f>[1]Sheet2!DC211</f>
        <v>0</v>
      </c>
      <c r="DW212" s="14">
        <f>[1]Sheet2!DD211</f>
        <v>0</v>
      </c>
      <c r="DX212" s="14">
        <f>[1]Sheet2!DE211</f>
        <v>0</v>
      </c>
      <c r="DY212" s="14">
        <f>[1]Sheet2!DF211</f>
        <v>0</v>
      </c>
      <c r="DZ212" s="14">
        <f>[1]Sheet2!DG211</f>
        <v>0</v>
      </c>
      <c r="EA212" s="14">
        <f>[1]Sheet2!DH211</f>
        <v>0</v>
      </c>
      <c r="EB212" s="6">
        <f>[1]Sheet2!EC211</f>
        <v>0</v>
      </c>
      <c r="EC212" s="6">
        <f>[1]Sheet2!ED211</f>
        <v>0</v>
      </c>
      <c r="ED212" s="6">
        <f>[1]Sheet2!EE211</f>
        <v>0</v>
      </c>
      <c r="EE212" s="6">
        <f>[1]Sheet2!EF211</f>
        <v>0</v>
      </c>
      <c r="EF212" s="6">
        <f>[1]Sheet2!EG211</f>
        <v>0</v>
      </c>
      <c r="EG212" s="6">
        <f>[1]Sheet2!EH211</f>
        <v>0</v>
      </c>
      <c r="EH212" s="6">
        <f>[1]Sheet2!EI211</f>
        <v>0</v>
      </c>
      <c r="EI212" s="6">
        <f>[1]Sheet2!EJ211</f>
        <v>0</v>
      </c>
      <c r="EJ212" s="6">
        <f>[1]Sheet2!EK211</f>
        <v>0</v>
      </c>
      <c r="EK212" s="6">
        <f>[1]Sheet2!EL211</f>
        <v>0</v>
      </c>
      <c r="EL212" s="6" t="str">
        <f>[1]Sheet2!EM211</f>
        <v/>
      </c>
      <c r="EM212" s="6" t="str">
        <f>[1]Sheet2!EN211</f>
        <v/>
      </c>
      <c r="EN212" s="6" t="str">
        <f>[1]Sheet2!EO211</f>
        <v/>
      </c>
      <c r="EO212" s="6" t="str">
        <f>[1]Sheet2!EP211</f>
        <v/>
      </c>
      <c r="EP212" s="6" t="str">
        <f>[1]Sheet2!EQ211</f>
        <v/>
      </c>
      <c r="EQ212" s="6" t="str">
        <f>[1]Sheet2!ER211</f>
        <v/>
      </c>
      <c r="ER212" s="6" t="str">
        <f>[1]Sheet2!ES211</f>
        <v/>
      </c>
      <c r="ES212" s="6" t="str">
        <f>[1]Sheet2!ET211</f>
        <v/>
      </c>
      <c r="ET212" s="6" t="str">
        <f>[1]Sheet2!EU211</f>
        <v/>
      </c>
      <c r="EU212" s="6" t="str">
        <f>[1]Sheet2!EV211</f>
        <v/>
      </c>
      <c r="EV212" s="6" t="str">
        <f>[1]Sheet2!EW211</f>
        <v/>
      </c>
      <c r="EW212" s="6" t="str">
        <f>[1]Sheet2!EX211</f>
        <v/>
      </c>
      <c r="EX212" s="6" t="str">
        <f>[1]Sheet2!EY211</f>
        <v/>
      </c>
      <c r="EY212" s="6" t="str">
        <f>[1]Sheet2!EZ211</f>
        <v/>
      </c>
      <c r="EZ212" s="6" t="str">
        <f>[1]Sheet2!FA211</f>
        <v/>
      </c>
      <c r="FA212" s="6" t="str">
        <f>[1]Sheet2!FB211</f>
        <v/>
      </c>
      <c r="FB212" s="6" t="str">
        <f>[1]Sheet2!FC211</f>
        <v/>
      </c>
      <c r="FC212" s="6" t="str">
        <f>[1]Sheet2!FD211</f>
        <v/>
      </c>
      <c r="FD212" s="6" t="str">
        <f>[1]Sheet2!FE211</f>
        <v/>
      </c>
      <c r="FE212" s="6" t="str">
        <f>[1]Sheet2!FF211</f>
        <v/>
      </c>
      <c r="FF212" s="6" t="str">
        <f>[1]Sheet2!FG211</f>
        <v/>
      </c>
      <c r="FG212" s="6" t="str">
        <f>[1]Sheet2!FH211</f>
        <v/>
      </c>
      <c r="FH212" s="6" t="str">
        <f>[1]Sheet2!FI211</f>
        <v/>
      </c>
      <c r="FI212" s="6" t="str">
        <f>[1]Sheet2!FJ211</f>
        <v/>
      </c>
      <c r="FJ212" s="6" t="str">
        <f>[1]Sheet2!FK211</f>
        <v/>
      </c>
      <c r="FK212" s="6" t="str">
        <f>[1]Sheet2!FL211</f>
        <v/>
      </c>
      <c r="FL212" s="6" t="str">
        <f>[1]Sheet2!FM211</f>
        <v/>
      </c>
      <c r="FM212" s="6" t="str">
        <f>[1]Sheet2!FN211</f>
        <v/>
      </c>
      <c r="FN212" s="6" t="str">
        <f>[1]Sheet2!FO211</f>
        <v/>
      </c>
      <c r="FO212" s="6" t="str">
        <f>[1]Sheet2!FP211</f>
        <v/>
      </c>
    </row>
    <row r="213" spans="1:171" x14ac:dyDescent="0.25">
      <c r="A213" s="15">
        <v>43675</v>
      </c>
      <c r="B213" s="1"/>
      <c r="C213" s="1"/>
      <c r="D213" s="1"/>
      <c r="E213" s="14">
        <f>[1]Sheet2!N212</f>
        <v>0</v>
      </c>
      <c r="F213" s="14">
        <f>[1]Sheet2!BE212</f>
        <v>0</v>
      </c>
      <c r="G213" s="14">
        <f>[1]Sheet2!CW212</f>
        <v>0</v>
      </c>
      <c r="H213" s="1"/>
      <c r="I213" s="1"/>
      <c r="J213" s="1"/>
      <c r="K213" s="16"/>
      <c r="L213" s="16">
        <f>Demand_CWRS!B$9/31</f>
        <v>137.44229993796523</v>
      </c>
      <c r="M213" s="16">
        <f>Demand_CWRS!C$9/31</f>
        <v>616.54259718775836</v>
      </c>
      <c r="N213" s="16">
        <f>Demand_CWRS!D$9/31</f>
        <v>0</v>
      </c>
      <c r="O213" s="16">
        <f>Demand_CWRS!E$9/31</f>
        <v>140.39247311827955</v>
      </c>
      <c r="P213" s="16">
        <f>Demand_CWRS!F$9/31</f>
        <v>245.11049679487181</v>
      </c>
      <c r="Q213" s="16">
        <f>Demand_CWRS!G$9/31</f>
        <v>137.44229993796523</v>
      </c>
      <c r="R213" s="16">
        <f>Demand_CWRS!H$9/31</f>
        <v>245.11049679487181</v>
      </c>
      <c r="S213" s="16">
        <f>Demand_CWRS!I$9/31</f>
        <v>245.11049679487181</v>
      </c>
      <c r="T213" s="16">
        <f>Demand_CWRS!J$9/31</f>
        <v>245.11049679487181</v>
      </c>
      <c r="U213" s="16">
        <f>Demand_CWRS!K$9/31</f>
        <v>245.11049679487181</v>
      </c>
      <c r="V213" s="16">
        <f t="shared" si="96"/>
        <v>-26346.588235597501</v>
      </c>
      <c r="W213" s="16">
        <f t="shared" si="97"/>
        <v>-101735.8968569062</v>
      </c>
      <c r="X213" s="16">
        <f t="shared" si="98"/>
        <v>0</v>
      </c>
      <c r="Y213" s="16">
        <f t="shared" si="99"/>
        <v>-17612.658270251573</v>
      </c>
      <c r="Z213" s="16">
        <f t="shared" si="100"/>
        <v>-44386.368241845143</v>
      </c>
      <c r="AA213" s="16">
        <f t="shared" si="101"/>
        <v>-25020.815086559065</v>
      </c>
      <c r="AB213" s="16">
        <f t="shared" si="102"/>
        <v>-48695.533017486101</v>
      </c>
      <c r="AC213" s="16">
        <f t="shared" si="103"/>
        <v>-42902.52276107591</v>
      </c>
      <c r="AD213" s="16">
        <f t="shared" si="104"/>
        <v>-43002.522761075903</v>
      </c>
      <c r="AE213" s="16">
        <f t="shared" si="105"/>
        <v>-43602.522761075896</v>
      </c>
      <c r="AF213" s="14">
        <f>IF([1]Sheet2!AJ212=999999,"NA",[1]Sheet2!AJ212)</f>
        <v>0</v>
      </c>
      <c r="AG213" s="14">
        <f>IF([1]Sheet2!AK212=999999,"NA",[1]Sheet2!AK212)</f>
        <v>0</v>
      </c>
      <c r="AH213" s="14" t="str">
        <f>IF([1]Sheet2!AL212=999999,"NA",[1]Sheet2!AL212)</f>
        <v>NA</v>
      </c>
      <c r="AI213" s="14">
        <f>IF([1]Sheet2!AM212=999999,"NA",[1]Sheet2!AM212)</f>
        <v>0</v>
      </c>
      <c r="AJ213" s="14">
        <f>IF([1]Sheet2!AN212=999999,"NA",[1]Sheet2!AN212)</f>
        <v>0</v>
      </c>
      <c r="AK213" s="14">
        <f>IF([1]Sheet2!AO212=999999,"NA",[1]Sheet2!AO212)</f>
        <v>0</v>
      </c>
      <c r="AL213" s="14">
        <f>IF([1]Sheet2!AP212=999999,"NA",[1]Sheet2!AP212)</f>
        <v>0</v>
      </c>
      <c r="AM213" s="14">
        <f>IF([1]Sheet2!AQ212=999999,"NA",[1]Sheet2!AQ212)</f>
        <v>0</v>
      </c>
      <c r="AN213" s="14">
        <f>IF([1]Sheet2!AR212=999999,"NA",[1]Sheet2!AR212)</f>
        <v>0</v>
      </c>
      <c r="AO213" s="14">
        <f>IF([1]Sheet2!AS212=999999,"NA",[1]Sheet2!AS212)</f>
        <v>0</v>
      </c>
      <c r="AP213" s="14">
        <f>[1]Sheet2!P212</f>
        <v>0</v>
      </c>
      <c r="AQ213" s="14">
        <f>[1]Sheet2!Q212</f>
        <v>0</v>
      </c>
      <c r="AR213" s="14">
        <f>[1]Sheet2!R212</f>
        <v>0</v>
      </c>
      <c r="AS213" s="14">
        <f>[1]Sheet2!S212</f>
        <v>0</v>
      </c>
      <c r="AT213" s="14">
        <f>[1]Sheet2!T212</f>
        <v>0</v>
      </c>
      <c r="AU213" s="14">
        <f>[1]Sheet2!U212</f>
        <v>0</v>
      </c>
      <c r="AV213" s="14">
        <f>[1]Sheet2!V212</f>
        <v>0</v>
      </c>
      <c r="AW213" s="14">
        <f>[1]Sheet2!W212</f>
        <v>0</v>
      </c>
      <c r="AX213" s="14">
        <f>[1]Sheet2!X212</f>
        <v>0</v>
      </c>
      <c r="AY213" s="14">
        <f>[1]Sheet2!Y212</f>
        <v>0</v>
      </c>
      <c r="AZ213" s="16">
        <f>Demand_LP!B$9/31</f>
        <v>878.29658550454917</v>
      </c>
      <c r="BA213" s="16">
        <f>Demand_LP!C$9/31</f>
        <v>663.85442514474767</v>
      </c>
      <c r="BB213" s="16">
        <f>Demand_LP!D$9/31</f>
        <v>335.39784946236568</v>
      </c>
      <c r="BC213" s="16">
        <f>Demand_LP!E$9/31</f>
        <v>725.23531844499576</v>
      </c>
      <c r="BD213" s="16">
        <f>Demand_LP!F$9/31</f>
        <v>456.65268558726217</v>
      </c>
      <c r="BE213" s="16">
        <f>Demand_LP!G$9/31</f>
        <v>456.65268558726217</v>
      </c>
      <c r="BF213" s="16">
        <f>Demand_LP!H$9/31</f>
        <v>663.85442514474767</v>
      </c>
      <c r="BG213" s="16">
        <f>Demand_LP!I$9/31</f>
        <v>456.65268558726217</v>
      </c>
      <c r="BH213" s="16">
        <f>Demand_LP!J$9/31</f>
        <v>456.65268558726217</v>
      </c>
      <c r="BI213" s="16">
        <f>Demand_LP!K$9/31</f>
        <v>456.65268558726217</v>
      </c>
      <c r="BJ213" s="16">
        <f t="shared" si="106"/>
        <v>-151656.31190247537</v>
      </c>
      <c r="BK213" s="16">
        <f t="shared" si="107"/>
        <v>-121437.87320099233</v>
      </c>
      <c r="BL213" s="16">
        <f t="shared" si="108"/>
        <v>-56418.144044665067</v>
      </c>
      <c r="BM213" s="16">
        <f t="shared" si="109"/>
        <v>-152593.73062893256</v>
      </c>
      <c r="BN213" s="16">
        <f t="shared" si="110"/>
        <v>-89023.97442840357</v>
      </c>
      <c r="BO213" s="16">
        <f t="shared" si="111"/>
        <v>-87481.658346774304</v>
      </c>
      <c r="BP213" s="16">
        <f t="shared" si="112"/>
        <v>-115795.45268817183</v>
      </c>
      <c r="BQ213" s="16">
        <f t="shared" si="113"/>
        <v>-87481.658346774304</v>
      </c>
      <c r="BR213" s="16">
        <f t="shared" si="114"/>
        <v>-85081.658346774348</v>
      </c>
      <c r="BS213" s="16">
        <f t="shared" si="115"/>
        <v>-85781.658346774333</v>
      </c>
      <c r="BT213" s="14">
        <f>IF([1]Sheet2!CB212=999999,"NA",[1]Sheet2!CB212)</f>
        <v>0</v>
      </c>
      <c r="BU213" s="14">
        <f>IF([1]Sheet2!CC212=999999,"NA",[1]Sheet2!CC212)</f>
        <v>0</v>
      </c>
      <c r="BV213" s="14">
        <f>IF([1]Sheet2!CD212=999999,"NA",[1]Sheet2!CD212)</f>
        <v>0</v>
      </c>
      <c r="BW213" s="14">
        <f>IF([1]Sheet2!CE212=999999,"NA",[1]Sheet2!CE212)</f>
        <v>0</v>
      </c>
      <c r="BX213" s="14">
        <f>IF([1]Sheet2!CF212=999999,"NA",[1]Sheet2!CF212)</f>
        <v>0</v>
      </c>
      <c r="BY213" s="14">
        <f>IF([1]Sheet2!CG212=999999,"NA",[1]Sheet2!CG212)</f>
        <v>0</v>
      </c>
      <c r="BZ213" s="14">
        <f>IF([1]Sheet2!CH212=999999,"NA",[1]Sheet2!CH212)</f>
        <v>0</v>
      </c>
      <c r="CA213" s="14">
        <f>IF([1]Sheet2!CI212=999999,"NA",[1]Sheet2!CI212)</f>
        <v>0</v>
      </c>
      <c r="CB213" s="14">
        <f>IF([1]Sheet2!CJ212=999999,"NA",[1]Sheet2!CJ212)</f>
        <v>0</v>
      </c>
      <c r="CC213" s="14">
        <f>IF([1]Sheet2!CK212=999999,"NA",[1]Sheet2!CK212)</f>
        <v>0</v>
      </c>
      <c r="CD213" s="14">
        <f>[1]Sheet2!BH212</f>
        <v>0</v>
      </c>
      <c r="CE213" s="14">
        <f>[1]Sheet2!BI212</f>
        <v>0</v>
      </c>
      <c r="CF213" s="14">
        <f>[1]Sheet2!BJ212</f>
        <v>0</v>
      </c>
      <c r="CG213" s="14">
        <f>[1]Sheet2!BK212</f>
        <v>0</v>
      </c>
      <c r="CH213" s="14">
        <f>[1]Sheet2!BL212</f>
        <v>0</v>
      </c>
      <c r="CI213" s="14">
        <f>[1]Sheet2!BM212</f>
        <v>0</v>
      </c>
      <c r="CJ213" s="14">
        <f>[1]Sheet2!BN212</f>
        <v>0</v>
      </c>
      <c r="CK213" s="14">
        <f>[1]Sheet2!BO212</f>
        <v>0</v>
      </c>
      <c r="CL213" s="14">
        <f>[1]Sheet2!BP212</f>
        <v>0</v>
      </c>
      <c r="CM213" s="14">
        <f>[1]Sheet2!BQ212</f>
        <v>0</v>
      </c>
      <c r="CN213" s="16">
        <f>Demand_SW!B$9/31</f>
        <v>131.01736972704714</v>
      </c>
      <c r="CO213" s="16">
        <f>Demand_SW!C$9/31</f>
        <v>0</v>
      </c>
      <c r="CP213" s="16">
        <f>Demand_SW!D$9/31</f>
        <v>0</v>
      </c>
      <c r="CQ213" s="16">
        <f>Demand_SW!E$9/31</f>
        <v>0</v>
      </c>
      <c r="CR213" s="16">
        <f>Demand_SW!F$9/31</f>
        <v>0</v>
      </c>
      <c r="CS213" s="16">
        <f>Demand_SW!G$9/31</f>
        <v>131.01736972704714</v>
      </c>
      <c r="CT213" s="16">
        <f>Demand_SW!H$9/31</f>
        <v>0</v>
      </c>
      <c r="CU213" s="16">
        <f>Demand_SW!I$9/31</f>
        <v>0</v>
      </c>
      <c r="CV213" s="16">
        <f>Demand_SW!J$9/31</f>
        <v>0</v>
      </c>
      <c r="CW213" s="16">
        <f>Demand_SW!K$9/31</f>
        <v>0</v>
      </c>
      <c r="CX213" s="16">
        <f t="shared" si="116"/>
        <v>-23397.1960297767</v>
      </c>
      <c r="CY213" s="16">
        <f t="shared" si="117"/>
        <v>76.923076923077133</v>
      </c>
      <c r="CZ213" s="16">
        <f t="shared" si="118"/>
        <v>0</v>
      </c>
      <c r="DA213" s="16">
        <f t="shared" si="119"/>
        <v>0</v>
      </c>
      <c r="DB213" s="16">
        <f t="shared" si="120"/>
        <v>0</v>
      </c>
      <c r="DC213" s="16">
        <f t="shared" si="121"/>
        <v>-22926.42679900747</v>
      </c>
      <c r="DD213" s="16">
        <f t="shared" si="122"/>
        <v>76.923076923077133</v>
      </c>
      <c r="DE213" s="16">
        <f t="shared" si="123"/>
        <v>0</v>
      </c>
      <c r="DF213" s="16">
        <f t="shared" si="124"/>
        <v>0</v>
      </c>
      <c r="DG213" s="16">
        <f t="shared" si="125"/>
        <v>0</v>
      </c>
      <c r="DH213" s="14">
        <f>IF([1]Sheet2!DS212=999999,"NA",[1]Sheet2!DS212)</f>
        <v>0</v>
      </c>
      <c r="DI213" s="14">
        <f>IF([1]Sheet2!DT212=999999,"NA",[1]Sheet2!DT212)</f>
        <v>155</v>
      </c>
      <c r="DJ213" s="14" t="str">
        <f>IF([1]Sheet2!DU212=999999,"NA",[1]Sheet2!DU212)</f>
        <v>NA</v>
      </c>
      <c r="DK213" s="14" t="str">
        <f>IF([1]Sheet2!DV212=999999,"NA",[1]Sheet2!DV212)</f>
        <v>NA</v>
      </c>
      <c r="DL213" s="14" t="str">
        <f>IF([1]Sheet2!DW212=999999,"NA",[1]Sheet2!DW212)</f>
        <v>NA</v>
      </c>
      <c r="DM213" s="14">
        <f>IF([1]Sheet2!DX212=999999,"NA",[1]Sheet2!DX212)</f>
        <v>0</v>
      </c>
      <c r="DN213" s="14">
        <f>IF([1]Sheet2!DY212=999999,"NA",[1]Sheet2!DY212)</f>
        <v>155</v>
      </c>
      <c r="DO213" s="14" t="str">
        <f>IF([1]Sheet2!DZ212=999999,"NA",[1]Sheet2!DZ212)</f>
        <v>NA</v>
      </c>
      <c r="DP213" s="14" t="str">
        <f>IF([1]Sheet2!EA212=999999,"NA",[1]Sheet2!EA212)</f>
        <v>NA</v>
      </c>
      <c r="DQ213" s="14" t="str">
        <f>IF([1]Sheet2!EB212=999999,"NA",[1]Sheet2!EB212)</f>
        <v>NA</v>
      </c>
      <c r="DR213" s="14">
        <f>[1]Sheet2!CY212</f>
        <v>0</v>
      </c>
      <c r="DS213" s="14">
        <f>[1]Sheet2!CZ212</f>
        <v>0</v>
      </c>
      <c r="DT213" s="14">
        <f>[1]Sheet2!DA212</f>
        <v>0</v>
      </c>
      <c r="DU213" s="14">
        <f>[1]Sheet2!DB212</f>
        <v>0</v>
      </c>
      <c r="DV213" s="14">
        <f>[1]Sheet2!DC212</f>
        <v>0</v>
      </c>
      <c r="DW213" s="14">
        <f>[1]Sheet2!DD212</f>
        <v>0</v>
      </c>
      <c r="DX213" s="14">
        <f>[1]Sheet2!DE212</f>
        <v>0</v>
      </c>
      <c r="DY213" s="14">
        <f>[1]Sheet2!DF212</f>
        <v>0</v>
      </c>
      <c r="DZ213" s="14">
        <f>[1]Sheet2!DG212</f>
        <v>0</v>
      </c>
      <c r="EA213" s="14">
        <f>[1]Sheet2!DH212</f>
        <v>0</v>
      </c>
      <c r="EB213" s="6">
        <f>[1]Sheet2!EC212</f>
        <v>0</v>
      </c>
      <c r="EC213" s="6">
        <f>[1]Sheet2!ED212</f>
        <v>0</v>
      </c>
      <c r="ED213" s="6">
        <f>[1]Sheet2!EE212</f>
        <v>0</v>
      </c>
      <c r="EE213" s="6">
        <f>[1]Sheet2!EF212</f>
        <v>0</v>
      </c>
      <c r="EF213" s="6">
        <f>[1]Sheet2!EG212</f>
        <v>0</v>
      </c>
      <c r="EG213" s="6">
        <f>[1]Sheet2!EH212</f>
        <v>0</v>
      </c>
      <c r="EH213" s="6">
        <f>[1]Sheet2!EI212</f>
        <v>0</v>
      </c>
      <c r="EI213" s="6">
        <f>[1]Sheet2!EJ212</f>
        <v>0</v>
      </c>
      <c r="EJ213" s="6">
        <f>[1]Sheet2!EK212</f>
        <v>0</v>
      </c>
      <c r="EK213" s="6">
        <f>[1]Sheet2!EL212</f>
        <v>0</v>
      </c>
      <c r="EL213" s="6" t="str">
        <f>[1]Sheet2!EM212</f>
        <v/>
      </c>
      <c r="EM213" s="6" t="str">
        <f>[1]Sheet2!EN212</f>
        <v/>
      </c>
      <c r="EN213" s="6" t="str">
        <f>[1]Sheet2!EO212</f>
        <v/>
      </c>
      <c r="EO213" s="6" t="str">
        <f>[1]Sheet2!EP212</f>
        <v/>
      </c>
      <c r="EP213" s="6" t="str">
        <f>[1]Sheet2!EQ212</f>
        <v/>
      </c>
      <c r="EQ213" s="6" t="str">
        <f>[1]Sheet2!ER212</f>
        <v/>
      </c>
      <c r="ER213" s="6" t="str">
        <f>[1]Sheet2!ES212</f>
        <v/>
      </c>
      <c r="ES213" s="6" t="str">
        <f>[1]Sheet2!ET212</f>
        <v/>
      </c>
      <c r="ET213" s="6" t="str">
        <f>[1]Sheet2!EU212</f>
        <v/>
      </c>
      <c r="EU213" s="6" t="str">
        <f>[1]Sheet2!EV212</f>
        <v/>
      </c>
      <c r="EV213" s="6" t="str">
        <f>[1]Sheet2!EW212</f>
        <v/>
      </c>
      <c r="EW213" s="6" t="str">
        <f>[1]Sheet2!EX212</f>
        <v/>
      </c>
      <c r="EX213" s="6" t="str">
        <f>[1]Sheet2!EY212</f>
        <v/>
      </c>
      <c r="EY213" s="6" t="str">
        <f>[1]Sheet2!EZ212</f>
        <v/>
      </c>
      <c r="EZ213" s="6" t="str">
        <f>[1]Sheet2!FA212</f>
        <v/>
      </c>
      <c r="FA213" s="6" t="str">
        <f>[1]Sheet2!FB212</f>
        <v/>
      </c>
      <c r="FB213" s="6" t="str">
        <f>[1]Sheet2!FC212</f>
        <v/>
      </c>
      <c r="FC213" s="6" t="str">
        <f>[1]Sheet2!FD212</f>
        <v/>
      </c>
      <c r="FD213" s="6" t="str">
        <f>[1]Sheet2!FE212</f>
        <v/>
      </c>
      <c r="FE213" s="6" t="str">
        <f>[1]Sheet2!FF212</f>
        <v/>
      </c>
      <c r="FF213" s="6" t="str">
        <f>[1]Sheet2!FG212</f>
        <v/>
      </c>
      <c r="FG213" s="6" t="str">
        <f>[1]Sheet2!FH212</f>
        <v/>
      </c>
      <c r="FH213" s="6" t="str">
        <f>[1]Sheet2!FI212</f>
        <v/>
      </c>
      <c r="FI213" s="6" t="str">
        <f>[1]Sheet2!FJ212</f>
        <v/>
      </c>
      <c r="FJ213" s="6" t="str">
        <f>[1]Sheet2!FK212</f>
        <v/>
      </c>
      <c r="FK213" s="6" t="str">
        <f>[1]Sheet2!FL212</f>
        <v/>
      </c>
      <c r="FL213" s="6" t="str">
        <f>[1]Sheet2!FM212</f>
        <v/>
      </c>
      <c r="FM213" s="6" t="str">
        <f>[1]Sheet2!FN212</f>
        <v/>
      </c>
      <c r="FN213" s="6" t="str">
        <f>[1]Sheet2!FO212</f>
        <v/>
      </c>
      <c r="FO213" s="6" t="str">
        <f>[1]Sheet2!FP212</f>
        <v/>
      </c>
    </row>
    <row r="214" spans="1:171" s="27" customFormat="1" x14ac:dyDescent="0.25">
      <c r="A214" s="23">
        <v>43676</v>
      </c>
      <c r="B214" s="24"/>
      <c r="C214" s="24"/>
      <c r="D214" s="24"/>
      <c r="E214" s="25">
        <f>[1]Sheet2!N213</f>
        <v>0</v>
      </c>
      <c r="F214" s="25">
        <f>[1]Sheet2!BE213</f>
        <v>0</v>
      </c>
      <c r="G214" s="25">
        <f>[1]Sheet2!CW213</f>
        <v>0</v>
      </c>
      <c r="H214" s="24"/>
      <c r="I214" s="24"/>
      <c r="J214" s="24"/>
      <c r="K214" s="26"/>
      <c r="L214" s="26">
        <f>Demand_CWRS!B$9/31</f>
        <v>137.44229993796523</v>
      </c>
      <c r="M214" s="26">
        <f>Demand_CWRS!C$9/31</f>
        <v>616.54259718775836</v>
      </c>
      <c r="N214" s="26">
        <f>Demand_CWRS!D$9/31</f>
        <v>0</v>
      </c>
      <c r="O214" s="26">
        <f>Demand_CWRS!E$9/31</f>
        <v>140.39247311827955</v>
      </c>
      <c r="P214" s="26">
        <f>Demand_CWRS!F$9/31</f>
        <v>245.11049679487181</v>
      </c>
      <c r="Q214" s="26">
        <f>Demand_CWRS!G$9/31</f>
        <v>137.44229993796523</v>
      </c>
      <c r="R214" s="26">
        <f>Demand_CWRS!H$9/31</f>
        <v>245.11049679487181</v>
      </c>
      <c r="S214" s="26">
        <f>Demand_CWRS!I$9/31</f>
        <v>245.11049679487181</v>
      </c>
      <c r="T214" s="26">
        <f>Demand_CWRS!J$9/31</f>
        <v>245.11049679487181</v>
      </c>
      <c r="U214" s="26">
        <f>Demand_CWRS!K$9/31</f>
        <v>245.11049679487181</v>
      </c>
      <c r="V214" s="16">
        <f t="shared" si="96"/>
        <v>-26484.030535535465</v>
      </c>
      <c r="W214" s="16">
        <f t="shared" si="97"/>
        <v>-102352.43945409395</v>
      </c>
      <c r="X214" s="16">
        <f t="shared" si="98"/>
        <v>0</v>
      </c>
      <c r="Y214" s="16">
        <f t="shared" si="99"/>
        <v>-17753.050743369851</v>
      </c>
      <c r="Z214" s="16">
        <f t="shared" si="100"/>
        <v>-44631.478738640013</v>
      </c>
      <c r="AA214" s="16">
        <f t="shared" si="101"/>
        <v>-25158.257386497029</v>
      </c>
      <c r="AB214" s="16">
        <f t="shared" si="102"/>
        <v>-48940.643514280971</v>
      </c>
      <c r="AC214" s="16">
        <f t="shared" si="103"/>
        <v>-43147.633257870781</v>
      </c>
      <c r="AD214" s="16">
        <f t="shared" si="104"/>
        <v>-43247.633257870773</v>
      </c>
      <c r="AE214" s="16">
        <f t="shared" si="105"/>
        <v>-43847.633257870766</v>
      </c>
      <c r="AF214" s="25">
        <f>IF([1]Sheet2!AJ213=999999,"NA",[1]Sheet2!AJ213)</f>
        <v>0</v>
      </c>
      <c r="AG214" s="25">
        <f>IF([1]Sheet2!AK213=999999,"NA",[1]Sheet2!AK213)</f>
        <v>0</v>
      </c>
      <c r="AH214" s="25" t="str">
        <f>IF([1]Sheet2!AL213=999999,"NA",[1]Sheet2!AL213)</f>
        <v>NA</v>
      </c>
      <c r="AI214" s="25">
        <f>IF([1]Sheet2!AM213=999999,"NA",[1]Sheet2!AM213)</f>
        <v>0</v>
      </c>
      <c r="AJ214" s="25">
        <f>IF([1]Sheet2!AN213=999999,"NA",[1]Sheet2!AN213)</f>
        <v>0</v>
      </c>
      <c r="AK214" s="25">
        <f>IF([1]Sheet2!AO213=999999,"NA",[1]Sheet2!AO213)</f>
        <v>0</v>
      </c>
      <c r="AL214" s="25">
        <f>IF([1]Sheet2!AP213=999999,"NA",[1]Sheet2!AP213)</f>
        <v>0</v>
      </c>
      <c r="AM214" s="25">
        <f>IF([1]Sheet2!AQ213=999999,"NA",[1]Sheet2!AQ213)</f>
        <v>0</v>
      </c>
      <c r="AN214" s="25">
        <f>IF([1]Sheet2!AR213=999999,"NA",[1]Sheet2!AR213)</f>
        <v>0</v>
      </c>
      <c r="AO214" s="25">
        <f>IF([1]Sheet2!AS213=999999,"NA",[1]Sheet2!AS213)</f>
        <v>0</v>
      </c>
      <c r="AP214" s="25">
        <f>[1]Sheet2!P213</f>
        <v>0</v>
      </c>
      <c r="AQ214" s="25">
        <f>[1]Sheet2!Q213</f>
        <v>0</v>
      </c>
      <c r="AR214" s="25">
        <f>[1]Sheet2!R213</f>
        <v>0</v>
      </c>
      <c r="AS214" s="25">
        <f>[1]Sheet2!S213</f>
        <v>0</v>
      </c>
      <c r="AT214" s="25">
        <f>[1]Sheet2!T213</f>
        <v>0</v>
      </c>
      <c r="AU214" s="25">
        <f>[1]Sheet2!U213</f>
        <v>0</v>
      </c>
      <c r="AV214" s="25">
        <f>[1]Sheet2!V213</f>
        <v>0</v>
      </c>
      <c r="AW214" s="25">
        <f>[1]Sheet2!W213</f>
        <v>0</v>
      </c>
      <c r="AX214" s="25">
        <f>[1]Sheet2!X213</f>
        <v>0</v>
      </c>
      <c r="AY214" s="25">
        <f>[1]Sheet2!Y213</f>
        <v>0</v>
      </c>
      <c r="AZ214" s="26">
        <f>Demand_LP!B$9/31</f>
        <v>878.29658550454917</v>
      </c>
      <c r="BA214" s="26">
        <f>Demand_LP!C$9/31</f>
        <v>663.85442514474767</v>
      </c>
      <c r="BB214" s="26">
        <f>Demand_LP!D$9/31</f>
        <v>335.39784946236568</v>
      </c>
      <c r="BC214" s="26">
        <f>Demand_LP!E$9/31</f>
        <v>725.23531844499576</v>
      </c>
      <c r="BD214" s="26">
        <f>Demand_LP!F$9/31</f>
        <v>456.65268558726217</v>
      </c>
      <c r="BE214" s="26">
        <f>Demand_LP!G$9/31</f>
        <v>456.65268558726217</v>
      </c>
      <c r="BF214" s="26">
        <f>Demand_LP!H$9/31</f>
        <v>663.85442514474767</v>
      </c>
      <c r="BG214" s="26">
        <f>Demand_LP!I$9/31</f>
        <v>456.65268558726217</v>
      </c>
      <c r="BH214" s="26">
        <f>Demand_LP!J$9/31</f>
        <v>456.65268558726217</v>
      </c>
      <c r="BI214" s="26">
        <f>Demand_LP!K$9/31</f>
        <v>456.65268558726217</v>
      </c>
      <c r="BJ214" s="16">
        <f t="shared" si="106"/>
        <v>-152534.60848797992</v>
      </c>
      <c r="BK214" s="16">
        <f t="shared" si="107"/>
        <v>-122101.72762613707</v>
      </c>
      <c r="BL214" s="16">
        <f t="shared" si="108"/>
        <v>-56753.541894127433</v>
      </c>
      <c r="BM214" s="16">
        <f t="shared" si="109"/>
        <v>-153318.96594737755</v>
      </c>
      <c r="BN214" s="16">
        <f t="shared" si="110"/>
        <v>-89480.627113990835</v>
      </c>
      <c r="BO214" s="16">
        <f t="shared" si="111"/>
        <v>-87938.311032361569</v>
      </c>
      <c r="BP214" s="16">
        <f t="shared" si="112"/>
        <v>-116459.30711331658</v>
      </c>
      <c r="BQ214" s="16">
        <f t="shared" si="113"/>
        <v>-87938.311032361569</v>
      </c>
      <c r="BR214" s="16">
        <f t="shared" si="114"/>
        <v>-85538.311032361613</v>
      </c>
      <c r="BS214" s="16">
        <f t="shared" si="115"/>
        <v>-86238.311032361598</v>
      </c>
      <c r="BT214" s="25">
        <f>IF([1]Sheet2!CB213=999999,"NA",[1]Sheet2!CB213)</f>
        <v>0</v>
      </c>
      <c r="BU214" s="25">
        <f>IF([1]Sheet2!CC213=999999,"NA",[1]Sheet2!CC213)</f>
        <v>0</v>
      </c>
      <c r="BV214" s="25">
        <f>IF([1]Sheet2!CD213=999999,"NA",[1]Sheet2!CD213)</f>
        <v>0</v>
      </c>
      <c r="BW214" s="25">
        <f>IF([1]Sheet2!CE213=999999,"NA",[1]Sheet2!CE213)</f>
        <v>0</v>
      </c>
      <c r="BX214" s="25">
        <f>IF([1]Sheet2!CF213=999999,"NA",[1]Sheet2!CF213)</f>
        <v>0</v>
      </c>
      <c r="BY214" s="25">
        <f>IF([1]Sheet2!CG213=999999,"NA",[1]Sheet2!CG213)</f>
        <v>0</v>
      </c>
      <c r="BZ214" s="25">
        <f>IF([1]Sheet2!CH213=999999,"NA",[1]Sheet2!CH213)</f>
        <v>0</v>
      </c>
      <c r="CA214" s="25">
        <f>IF([1]Sheet2!CI213=999999,"NA",[1]Sheet2!CI213)</f>
        <v>0</v>
      </c>
      <c r="CB214" s="25">
        <f>IF([1]Sheet2!CJ213=999999,"NA",[1]Sheet2!CJ213)</f>
        <v>0</v>
      </c>
      <c r="CC214" s="25">
        <f>IF([1]Sheet2!CK213=999999,"NA",[1]Sheet2!CK213)</f>
        <v>0</v>
      </c>
      <c r="CD214" s="25">
        <f>[1]Sheet2!BH213</f>
        <v>0</v>
      </c>
      <c r="CE214" s="25">
        <f>[1]Sheet2!BI213</f>
        <v>0</v>
      </c>
      <c r="CF214" s="25">
        <f>[1]Sheet2!BJ213</f>
        <v>0</v>
      </c>
      <c r="CG214" s="25">
        <f>[1]Sheet2!BK213</f>
        <v>0</v>
      </c>
      <c r="CH214" s="25">
        <f>[1]Sheet2!BL213</f>
        <v>0</v>
      </c>
      <c r="CI214" s="25">
        <f>[1]Sheet2!BM213</f>
        <v>0</v>
      </c>
      <c r="CJ214" s="25">
        <f>[1]Sheet2!BN213</f>
        <v>0</v>
      </c>
      <c r="CK214" s="25">
        <f>[1]Sheet2!BO213</f>
        <v>0</v>
      </c>
      <c r="CL214" s="25">
        <f>[1]Sheet2!BP213</f>
        <v>0</v>
      </c>
      <c r="CM214" s="25">
        <f>[1]Sheet2!BQ213</f>
        <v>0</v>
      </c>
      <c r="CN214" s="26">
        <f>Demand_SW!B$9/31</f>
        <v>131.01736972704714</v>
      </c>
      <c r="CO214" s="26">
        <f>Demand_SW!C$9/31</f>
        <v>0</v>
      </c>
      <c r="CP214" s="26">
        <f>Demand_SW!D$9/31</f>
        <v>0</v>
      </c>
      <c r="CQ214" s="26">
        <f>Demand_SW!E$9/31</f>
        <v>0</v>
      </c>
      <c r="CR214" s="26">
        <f>Demand_SW!F$9/31</f>
        <v>0</v>
      </c>
      <c r="CS214" s="26">
        <f>Demand_SW!G$9/31</f>
        <v>131.01736972704714</v>
      </c>
      <c r="CT214" s="26">
        <f>Demand_SW!H$9/31</f>
        <v>0</v>
      </c>
      <c r="CU214" s="26">
        <f>Demand_SW!I$9/31</f>
        <v>0</v>
      </c>
      <c r="CV214" s="26">
        <f>Demand_SW!J$9/31</f>
        <v>0</v>
      </c>
      <c r="CW214" s="26">
        <f>Demand_SW!K$9/31</f>
        <v>0</v>
      </c>
      <c r="CX214" s="16">
        <f t="shared" si="116"/>
        <v>-23528.213399503747</v>
      </c>
      <c r="CY214" s="16">
        <f t="shared" si="117"/>
        <v>76.923076923077133</v>
      </c>
      <c r="CZ214" s="16">
        <f t="shared" si="118"/>
        <v>0</v>
      </c>
      <c r="DA214" s="16">
        <f t="shared" si="119"/>
        <v>0</v>
      </c>
      <c r="DB214" s="16">
        <f t="shared" si="120"/>
        <v>0</v>
      </c>
      <c r="DC214" s="16">
        <f t="shared" si="121"/>
        <v>-23057.444168734517</v>
      </c>
      <c r="DD214" s="16">
        <f t="shared" si="122"/>
        <v>76.923076923077133</v>
      </c>
      <c r="DE214" s="16">
        <f t="shared" si="123"/>
        <v>0</v>
      </c>
      <c r="DF214" s="16">
        <f t="shared" si="124"/>
        <v>0</v>
      </c>
      <c r="DG214" s="16">
        <f t="shared" si="125"/>
        <v>0</v>
      </c>
      <c r="DH214" s="25">
        <f>IF([1]Sheet2!DS213=999999,"NA",[1]Sheet2!DS213)</f>
        <v>0</v>
      </c>
      <c r="DI214" s="25">
        <f>IF([1]Sheet2!DT213=999999,"NA",[1]Sheet2!DT213)</f>
        <v>154</v>
      </c>
      <c r="DJ214" s="25" t="str">
        <f>IF([1]Sheet2!DU213=999999,"NA",[1]Sheet2!DU213)</f>
        <v>NA</v>
      </c>
      <c r="DK214" s="25" t="str">
        <f>IF([1]Sheet2!DV213=999999,"NA",[1]Sheet2!DV213)</f>
        <v>NA</v>
      </c>
      <c r="DL214" s="25" t="str">
        <f>IF([1]Sheet2!DW213=999999,"NA",[1]Sheet2!DW213)</f>
        <v>NA</v>
      </c>
      <c r="DM214" s="25">
        <f>IF([1]Sheet2!DX213=999999,"NA",[1]Sheet2!DX213)</f>
        <v>0</v>
      </c>
      <c r="DN214" s="25">
        <f>IF([1]Sheet2!DY213=999999,"NA",[1]Sheet2!DY213)</f>
        <v>154</v>
      </c>
      <c r="DO214" s="25" t="str">
        <f>IF([1]Sheet2!DZ213=999999,"NA",[1]Sheet2!DZ213)</f>
        <v>NA</v>
      </c>
      <c r="DP214" s="25" t="str">
        <f>IF([1]Sheet2!EA213=999999,"NA",[1]Sheet2!EA213)</f>
        <v>NA</v>
      </c>
      <c r="DQ214" s="25" t="str">
        <f>IF([1]Sheet2!EB213=999999,"NA",[1]Sheet2!EB213)</f>
        <v>NA</v>
      </c>
      <c r="DR214" s="25">
        <f>[1]Sheet2!CY213</f>
        <v>0</v>
      </c>
      <c r="DS214" s="25">
        <f>[1]Sheet2!CZ213</f>
        <v>0</v>
      </c>
      <c r="DT214" s="25">
        <f>[1]Sheet2!DA213</f>
        <v>0</v>
      </c>
      <c r="DU214" s="25">
        <f>[1]Sheet2!DB213</f>
        <v>0</v>
      </c>
      <c r="DV214" s="25">
        <f>[1]Sheet2!DC213</f>
        <v>0</v>
      </c>
      <c r="DW214" s="25">
        <f>[1]Sheet2!DD213</f>
        <v>0</v>
      </c>
      <c r="DX214" s="25">
        <f>[1]Sheet2!DE213</f>
        <v>0</v>
      </c>
      <c r="DY214" s="25">
        <f>[1]Sheet2!DF213</f>
        <v>0</v>
      </c>
      <c r="DZ214" s="25">
        <f>[1]Sheet2!DG213</f>
        <v>0</v>
      </c>
      <c r="EA214" s="25">
        <f>[1]Sheet2!DH213</f>
        <v>0</v>
      </c>
      <c r="EB214" s="6">
        <f>[1]Sheet2!EC213</f>
        <v>0</v>
      </c>
      <c r="EC214" s="6">
        <f>[1]Sheet2!ED213</f>
        <v>0</v>
      </c>
      <c r="ED214" s="6">
        <f>[1]Sheet2!EE213</f>
        <v>0</v>
      </c>
      <c r="EE214" s="6">
        <f>[1]Sheet2!EF213</f>
        <v>0</v>
      </c>
      <c r="EF214" s="6">
        <f>[1]Sheet2!EG213</f>
        <v>0</v>
      </c>
      <c r="EG214" s="6">
        <f>[1]Sheet2!EH213</f>
        <v>0</v>
      </c>
      <c r="EH214" s="6">
        <f>[1]Sheet2!EI213</f>
        <v>0</v>
      </c>
      <c r="EI214" s="6">
        <f>[1]Sheet2!EJ213</f>
        <v>0</v>
      </c>
      <c r="EJ214" s="6">
        <f>[1]Sheet2!EK213</f>
        <v>0</v>
      </c>
      <c r="EK214" s="6">
        <f>[1]Sheet2!EL213</f>
        <v>0</v>
      </c>
      <c r="EL214" s="6" t="str">
        <f>[1]Sheet2!EM213</f>
        <v/>
      </c>
      <c r="EM214" s="6" t="str">
        <f>[1]Sheet2!EN213</f>
        <v/>
      </c>
      <c r="EN214" s="6" t="str">
        <f>[1]Sheet2!EO213</f>
        <v/>
      </c>
      <c r="EO214" s="6" t="str">
        <f>[1]Sheet2!EP213</f>
        <v/>
      </c>
      <c r="EP214" s="6" t="str">
        <f>[1]Sheet2!EQ213</f>
        <v/>
      </c>
      <c r="EQ214" s="6" t="str">
        <f>[1]Sheet2!ER213</f>
        <v/>
      </c>
      <c r="ER214" s="6" t="str">
        <f>[1]Sheet2!ES213</f>
        <v/>
      </c>
      <c r="ES214" s="6" t="str">
        <f>[1]Sheet2!ET213</f>
        <v/>
      </c>
      <c r="ET214" s="6" t="str">
        <f>[1]Sheet2!EU213</f>
        <v/>
      </c>
      <c r="EU214" s="6" t="str">
        <f>[1]Sheet2!EV213</f>
        <v/>
      </c>
      <c r="EV214" s="6" t="str">
        <f>[1]Sheet2!EW213</f>
        <v/>
      </c>
      <c r="EW214" s="6" t="str">
        <f>[1]Sheet2!EX213</f>
        <v/>
      </c>
      <c r="EX214" s="6" t="str">
        <f>[1]Sheet2!EY213</f>
        <v/>
      </c>
      <c r="EY214" s="6" t="str">
        <f>[1]Sheet2!EZ213</f>
        <v/>
      </c>
      <c r="EZ214" s="6" t="str">
        <f>[1]Sheet2!FA213</f>
        <v/>
      </c>
      <c r="FA214" s="6" t="str">
        <f>[1]Sheet2!FB213</f>
        <v/>
      </c>
      <c r="FB214" s="6" t="str">
        <f>[1]Sheet2!FC213</f>
        <v/>
      </c>
      <c r="FC214" s="6" t="str">
        <f>[1]Sheet2!FD213</f>
        <v/>
      </c>
      <c r="FD214" s="6" t="str">
        <f>[1]Sheet2!FE213</f>
        <v/>
      </c>
      <c r="FE214" s="6" t="str">
        <f>[1]Sheet2!FF213</f>
        <v/>
      </c>
      <c r="FF214" s="6" t="str">
        <f>[1]Sheet2!FG213</f>
        <v/>
      </c>
      <c r="FG214" s="6" t="str">
        <f>[1]Sheet2!FH213</f>
        <v/>
      </c>
      <c r="FH214" s="6" t="str">
        <f>[1]Sheet2!FI213</f>
        <v/>
      </c>
      <c r="FI214" s="6" t="str">
        <f>[1]Sheet2!FJ213</f>
        <v/>
      </c>
      <c r="FJ214" s="6" t="str">
        <f>[1]Sheet2!FK213</f>
        <v/>
      </c>
      <c r="FK214" s="6" t="str">
        <f>[1]Sheet2!FL213</f>
        <v/>
      </c>
      <c r="FL214" s="6" t="str">
        <f>[1]Sheet2!FM213</f>
        <v/>
      </c>
      <c r="FM214" s="6" t="str">
        <f>[1]Sheet2!FN213</f>
        <v/>
      </c>
      <c r="FN214" s="6" t="str">
        <f>[1]Sheet2!FO213</f>
        <v/>
      </c>
      <c r="FO214" s="6" t="str">
        <f>[1]Sheet2!FP213</f>
        <v/>
      </c>
    </row>
    <row r="215" spans="1:171" s="27" customFormat="1" x14ac:dyDescent="0.25">
      <c r="A215" s="23">
        <v>43677</v>
      </c>
      <c r="B215" s="24"/>
      <c r="C215" s="24"/>
      <c r="D215" s="24"/>
      <c r="E215" s="25">
        <f>[1]Sheet2!N214</f>
        <v>0</v>
      </c>
      <c r="F215" s="25">
        <f>[1]Sheet2!BE214</f>
        <v>48000</v>
      </c>
      <c r="G215" s="25">
        <f>[1]Sheet2!CW214</f>
        <v>0</v>
      </c>
      <c r="H215" s="24"/>
      <c r="I215" s="24"/>
      <c r="J215" s="24"/>
      <c r="K215" s="26"/>
      <c r="L215" s="26">
        <f>Demand_CWRS!B$9/31</f>
        <v>137.44229993796523</v>
      </c>
      <c r="M215" s="26">
        <f>Demand_CWRS!C$9/31</f>
        <v>616.54259718775836</v>
      </c>
      <c r="N215" s="26">
        <f>Demand_CWRS!D$9/31</f>
        <v>0</v>
      </c>
      <c r="O215" s="26">
        <f>Demand_CWRS!E$9/31</f>
        <v>140.39247311827955</v>
      </c>
      <c r="P215" s="26">
        <f>Demand_CWRS!F$9/31</f>
        <v>245.11049679487181</v>
      </c>
      <c r="Q215" s="26">
        <f>Demand_CWRS!G$9/31</f>
        <v>137.44229993796523</v>
      </c>
      <c r="R215" s="26">
        <f>Demand_CWRS!H$9/31</f>
        <v>245.11049679487181</v>
      </c>
      <c r="S215" s="26">
        <f>Demand_CWRS!I$9/31</f>
        <v>245.11049679487181</v>
      </c>
      <c r="T215" s="26">
        <f>Demand_CWRS!J$9/31</f>
        <v>245.11049679487181</v>
      </c>
      <c r="U215" s="26">
        <f>Demand_CWRS!K$9/31</f>
        <v>245.11049679487181</v>
      </c>
      <c r="V215" s="16">
        <f t="shared" si="96"/>
        <v>-26621.472835473429</v>
      </c>
      <c r="W215" s="16">
        <f t="shared" si="97"/>
        <v>-102968.98205128171</v>
      </c>
      <c r="X215" s="16">
        <f t="shared" si="98"/>
        <v>0</v>
      </c>
      <c r="Y215" s="16">
        <f t="shared" si="99"/>
        <v>-17893.443216488129</v>
      </c>
      <c r="Z215" s="16">
        <f t="shared" si="100"/>
        <v>-44876.589235434883</v>
      </c>
      <c r="AA215" s="16">
        <f t="shared" si="101"/>
        <v>-25295.699686434993</v>
      </c>
      <c r="AB215" s="16">
        <f t="shared" si="102"/>
        <v>-49185.754011075842</v>
      </c>
      <c r="AC215" s="16">
        <f t="shared" si="103"/>
        <v>-43392.743754665651</v>
      </c>
      <c r="AD215" s="16">
        <f t="shared" si="104"/>
        <v>-43492.743754665644</v>
      </c>
      <c r="AE215" s="16">
        <f t="shared" si="105"/>
        <v>-44092.743754665637</v>
      </c>
      <c r="AF215" s="25">
        <f>IF([1]Sheet2!AJ214=999999,"NA",[1]Sheet2!AJ214)</f>
        <v>0</v>
      </c>
      <c r="AG215" s="25">
        <f>IF([1]Sheet2!AK214=999999,"NA",[1]Sheet2!AK214)</f>
        <v>0</v>
      </c>
      <c r="AH215" s="25" t="str">
        <f>IF([1]Sheet2!AL214=999999,"NA",[1]Sheet2!AL214)</f>
        <v>NA</v>
      </c>
      <c r="AI215" s="25">
        <f>IF([1]Sheet2!AM214=999999,"NA",[1]Sheet2!AM214)</f>
        <v>0</v>
      </c>
      <c r="AJ215" s="25">
        <f>IF([1]Sheet2!AN214=999999,"NA",[1]Sheet2!AN214)</f>
        <v>0</v>
      </c>
      <c r="AK215" s="25">
        <f>IF([1]Sheet2!AO214=999999,"NA",[1]Sheet2!AO214)</f>
        <v>0</v>
      </c>
      <c r="AL215" s="25">
        <f>IF([1]Sheet2!AP214=999999,"NA",[1]Sheet2!AP214)</f>
        <v>0</v>
      </c>
      <c r="AM215" s="25">
        <f>IF([1]Sheet2!AQ214=999999,"NA",[1]Sheet2!AQ214)</f>
        <v>0</v>
      </c>
      <c r="AN215" s="25">
        <f>IF([1]Sheet2!AR214=999999,"NA",[1]Sheet2!AR214)</f>
        <v>0</v>
      </c>
      <c r="AO215" s="25">
        <f>IF([1]Sheet2!AS214=999999,"NA",[1]Sheet2!AS214)</f>
        <v>0</v>
      </c>
      <c r="AP215" s="25">
        <f>[1]Sheet2!P214</f>
        <v>0</v>
      </c>
      <c r="AQ215" s="25">
        <f>[1]Sheet2!Q214</f>
        <v>0</v>
      </c>
      <c r="AR215" s="25">
        <f>[1]Sheet2!R214</f>
        <v>0</v>
      </c>
      <c r="AS215" s="25">
        <f>[1]Sheet2!S214</f>
        <v>0</v>
      </c>
      <c r="AT215" s="25">
        <f>[1]Sheet2!T214</f>
        <v>0</v>
      </c>
      <c r="AU215" s="25">
        <f>[1]Sheet2!U214</f>
        <v>0</v>
      </c>
      <c r="AV215" s="25">
        <f>[1]Sheet2!V214</f>
        <v>0</v>
      </c>
      <c r="AW215" s="25">
        <f>[1]Sheet2!W214</f>
        <v>0</v>
      </c>
      <c r="AX215" s="25">
        <f>[1]Sheet2!X214</f>
        <v>0</v>
      </c>
      <c r="AY215" s="25">
        <f>[1]Sheet2!Y214</f>
        <v>0</v>
      </c>
      <c r="AZ215" s="26">
        <f>Demand_LP!B$9/31</f>
        <v>878.29658550454917</v>
      </c>
      <c r="BA215" s="26">
        <f>Demand_LP!C$9/31</f>
        <v>663.85442514474767</v>
      </c>
      <c r="BB215" s="26">
        <f>Demand_LP!D$9/31</f>
        <v>335.39784946236568</v>
      </c>
      <c r="BC215" s="26">
        <f>Demand_LP!E$9/31</f>
        <v>725.23531844499576</v>
      </c>
      <c r="BD215" s="26">
        <f>Demand_LP!F$9/31</f>
        <v>456.65268558726217</v>
      </c>
      <c r="BE215" s="26">
        <f>Demand_LP!G$9/31</f>
        <v>456.65268558726217</v>
      </c>
      <c r="BF215" s="26">
        <f>Demand_LP!H$9/31</f>
        <v>663.85442514474767</v>
      </c>
      <c r="BG215" s="26">
        <f>Demand_LP!I$9/31</f>
        <v>456.65268558726217</v>
      </c>
      <c r="BH215" s="26">
        <f>Demand_LP!J$9/31</f>
        <v>456.65268558726217</v>
      </c>
      <c r="BI215" s="26">
        <f>Demand_LP!K$9/31</f>
        <v>456.65268558726217</v>
      </c>
      <c r="BJ215" s="16">
        <f t="shared" si="106"/>
        <v>-153412.90507348446</v>
      </c>
      <c r="BK215" s="16">
        <f t="shared" si="107"/>
        <v>-122765.58205128182</v>
      </c>
      <c r="BL215" s="16">
        <f t="shared" si="108"/>
        <v>-57088.939743589799</v>
      </c>
      <c r="BM215" s="16">
        <f t="shared" si="109"/>
        <v>-154044.20126582254</v>
      </c>
      <c r="BN215" s="16">
        <f t="shared" si="110"/>
        <v>-89937.2797995781</v>
      </c>
      <c r="BO215" s="16">
        <f t="shared" si="111"/>
        <v>-88394.963717948835</v>
      </c>
      <c r="BP215" s="16">
        <f t="shared" si="112"/>
        <v>-117123.16153846133</v>
      </c>
      <c r="BQ215" s="16">
        <f t="shared" si="113"/>
        <v>-88394.963717948835</v>
      </c>
      <c r="BR215" s="16">
        <f t="shared" si="114"/>
        <v>-85994.963717948878</v>
      </c>
      <c r="BS215" s="16">
        <f t="shared" si="115"/>
        <v>-86694.963717948864</v>
      </c>
      <c r="BT215" s="25">
        <f>IF([1]Sheet2!CB214=999999,"NA",[1]Sheet2!CB214)</f>
        <v>0</v>
      </c>
      <c r="BU215" s="25">
        <f>IF([1]Sheet2!CC214=999999,"NA",[1]Sheet2!CC214)</f>
        <v>0</v>
      </c>
      <c r="BV215" s="25">
        <f>IF([1]Sheet2!CD214=999999,"NA",[1]Sheet2!CD214)</f>
        <v>0</v>
      </c>
      <c r="BW215" s="25">
        <f>IF([1]Sheet2!CE214=999999,"NA",[1]Sheet2!CE214)</f>
        <v>0</v>
      </c>
      <c r="BX215" s="25">
        <f>IF([1]Sheet2!CF214=999999,"NA",[1]Sheet2!CF214)</f>
        <v>0</v>
      </c>
      <c r="BY215" s="25">
        <f>IF([1]Sheet2!CG214=999999,"NA",[1]Sheet2!CG214)</f>
        <v>0</v>
      </c>
      <c r="BZ215" s="25">
        <f>IF([1]Sheet2!CH214=999999,"NA",[1]Sheet2!CH214)</f>
        <v>0</v>
      </c>
      <c r="CA215" s="25">
        <f>IF([1]Sheet2!CI214=999999,"NA",[1]Sheet2!CI214)</f>
        <v>0</v>
      </c>
      <c r="CB215" s="25">
        <f>IF([1]Sheet2!CJ214=999999,"NA",[1]Sheet2!CJ214)</f>
        <v>0</v>
      </c>
      <c r="CC215" s="25">
        <f>IF([1]Sheet2!CK214=999999,"NA",[1]Sheet2!CK214)</f>
        <v>0</v>
      </c>
      <c r="CD215" s="25">
        <f>[1]Sheet2!BH214</f>
        <v>0</v>
      </c>
      <c r="CE215" s="25">
        <f>[1]Sheet2!BI214</f>
        <v>0</v>
      </c>
      <c r="CF215" s="25">
        <f>[1]Sheet2!BJ214</f>
        <v>0</v>
      </c>
      <c r="CG215" s="25">
        <f>[1]Sheet2!BK214</f>
        <v>0</v>
      </c>
      <c r="CH215" s="25">
        <f>[1]Sheet2!BL214</f>
        <v>0</v>
      </c>
      <c r="CI215" s="25">
        <f>[1]Sheet2!BM214</f>
        <v>0</v>
      </c>
      <c r="CJ215" s="25">
        <f>[1]Sheet2!BN214</f>
        <v>0</v>
      </c>
      <c r="CK215" s="25">
        <f>[1]Sheet2!BO214</f>
        <v>0</v>
      </c>
      <c r="CL215" s="25">
        <f>[1]Sheet2!BP214</f>
        <v>0</v>
      </c>
      <c r="CM215" s="25">
        <f>[1]Sheet2!BQ214</f>
        <v>0</v>
      </c>
      <c r="CN215" s="26">
        <f>Demand_SW!B$9/31</f>
        <v>131.01736972704714</v>
      </c>
      <c r="CO215" s="26">
        <f>Demand_SW!C$9/31</f>
        <v>0</v>
      </c>
      <c r="CP215" s="26">
        <f>Demand_SW!D$9/31</f>
        <v>0</v>
      </c>
      <c r="CQ215" s="26">
        <f>Demand_SW!E$9/31</f>
        <v>0</v>
      </c>
      <c r="CR215" s="26">
        <f>Demand_SW!F$9/31</f>
        <v>0</v>
      </c>
      <c r="CS215" s="26">
        <f>Demand_SW!G$9/31</f>
        <v>131.01736972704714</v>
      </c>
      <c r="CT215" s="26">
        <f>Demand_SW!H$9/31</f>
        <v>0</v>
      </c>
      <c r="CU215" s="26">
        <f>Demand_SW!I$9/31</f>
        <v>0</v>
      </c>
      <c r="CV215" s="26">
        <f>Demand_SW!J$9/31</f>
        <v>0</v>
      </c>
      <c r="CW215" s="26">
        <f>Demand_SW!K$9/31</f>
        <v>0</v>
      </c>
      <c r="CX215" s="16">
        <f t="shared" si="116"/>
        <v>-23659.230769230795</v>
      </c>
      <c r="CY215" s="16">
        <f t="shared" si="117"/>
        <v>76.923076923077133</v>
      </c>
      <c r="CZ215" s="16">
        <f t="shared" si="118"/>
        <v>0</v>
      </c>
      <c r="DA215" s="16">
        <f t="shared" si="119"/>
        <v>0</v>
      </c>
      <c r="DB215" s="16">
        <f t="shared" si="120"/>
        <v>0</v>
      </c>
      <c r="DC215" s="16">
        <f t="shared" si="121"/>
        <v>-23188.461538461564</v>
      </c>
      <c r="DD215" s="16">
        <f t="shared" si="122"/>
        <v>76.923076923077133</v>
      </c>
      <c r="DE215" s="16">
        <f t="shared" si="123"/>
        <v>0</v>
      </c>
      <c r="DF215" s="16">
        <f t="shared" si="124"/>
        <v>0</v>
      </c>
      <c r="DG215" s="16">
        <f t="shared" si="125"/>
        <v>0</v>
      </c>
      <c r="DH215" s="25">
        <f>IF([1]Sheet2!DS214=999999,"NA",[1]Sheet2!DS214)</f>
        <v>0</v>
      </c>
      <c r="DI215" s="25">
        <f>IF([1]Sheet2!DT214=999999,"NA",[1]Sheet2!DT214)</f>
        <v>153</v>
      </c>
      <c r="DJ215" s="25" t="str">
        <f>IF([1]Sheet2!DU214=999999,"NA",[1]Sheet2!DU214)</f>
        <v>NA</v>
      </c>
      <c r="DK215" s="25" t="str">
        <f>IF([1]Sheet2!DV214=999999,"NA",[1]Sheet2!DV214)</f>
        <v>NA</v>
      </c>
      <c r="DL215" s="25" t="str">
        <f>IF([1]Sheet2!DW214=999999,"NA",[1]Sheet2!DW214)</f>
        <v>NA</v>
      </c>
      <c r="DM215" s="25">
        <f>IF([1]Sheet2!DX214=999999,"NA",[1]Sheet2!DX214)</f>
        <v>0</v>
      </c>
      <c r="DN215" s="25">
        <f>IF([1]Sheet2!DY214=999999,"NA",[1]Sheet2!DY214)</f>
        <v>153</v>
      </c>
      <c r="DO215" s="25" t="str">
        <f>IF([1]Sheet2!DZ214=999999,"NA",[1]Sheet2!DZ214)</f>
        <v>NA</v>
      </c>
      <c r="DP215" s="25" t="str">
        <f>IF([1]Sheet2!EA214=999999,"NA",[1]Sheet2!EA214)</f>
        <v>NA</v>
      </c>
      <c r="DQ215" s="25" t="str">
        <f>IF([1]Sheet2!EB214=999999,"NA",[1]Sheet2!EB214)</f>
        <v>NA</v>
      </c>
      <c r="DR215" s="25">
        <f>[1]Sheet2!CY214</f>
        <v>0</v>
      </c>
      <c r="DS215" s="25">
        <f>[1]Sheet2!CZ214</f>
        <v>0</v>
      </c>
      <c r="DT215" s="25">
        <f>[1]Sheet2!DA214</f>
        <v>0</v>
      </c>
      <c r="DU215" s="25">
        <f>[1]Sheet2!DB214</f>
        <v>0</v>
      </c>
      <c r="DV215" s="25">
        <f>[1]Sheet2!DC214</f>
        <v>0</v>
      </c>
      <c r="DW215" s="25">
        <f>[1]Sheet2!DD214</f>
        <v>0</v>
      </c>
      <c r="DX215" s="25">
        <f>[1]Sheet2!DE214</f>
        <v>0</v>
      </c>
      <c r="DY215" s="25">
        <f>[1]Sheet2!DF214</f>
        <v>0</v>
      </c>
      <c r="DZ215" s="25">
        <f>[1]Sheet2!DG214</f>
        <v>0</v>
      </c>
      <c r="EA215" s="25">
        <f>[1]Sheet2!DH214</f>
        <v>0</v>
      </c>
      <c r="EB215" s="27">
        <f>[1]Sheet2!EC214</f>
        <v>0</v>
      </c>
      <c r="EC215" s="27">
        <f>[1]Sheet2!ED214</f>
        <v>0</v>
      </c>
      <c r="ED215" s="27">
        <f>[1]Sheet2!EE214</f>
        <v>0</v>
      </c>
      <c r="EE215" s="27">
        <f>[1]Sheet2!EF214</f>
        <v>0</v>
      </c>
      <c r="EF215" s="27">
        <f>[1]Sheet2!EG214</f>
        <v>0</v>
      </c>
      <c r="EG215" s="27">
        <f>[1]Sheet2!EH214</f>
        <v>0</v>
      </c>
      <c r="EH215" s="27">
        <f>[1]Sheet2!EI214</f>
        <v>0</v>
      </c>
      <c r="EI215" s="27">
        <f>[1]Sheet2!EJ214</f>
        <v>0</v>
      </c>
      <c r="EJ215" s="27">
        <f>[1]Sheet2!EK214</f>
        <v>0</v>
      </c>
      <c r="EK215" s="27">
        <f>[1]Sheet2!EL214</f>
        <v>0</v>
      </c>
      <c r="EL215" s="6" t="str">
        <f>[1]Sheet2!EM214</f>
        <v/>
      </c>
      <c r="EM215" s="6" t="str">
        <f>[1]Sheet2!EN214</f>
        <v/>
      </c>
      <c r="EN215" s="6" t="str">
        <f>[1]Sheet2!EO214</f>
        <v/>
      </c>
      <c r="EO215" s="6" t="str">
        <f>[1]Sheet2!EP214</f>
        <v/>
      </c>
      <c r="EP215" s="6" t="str">
        <f>[1]Sheet2!EQ214</f>
        <v/>
      </c>
      <c r="EQ215" s="6" t="str">
        <f>[1]Sheet2!ER214</f>
        <v/>
      </c>
      <c r="ER215" s="6" t="str">
        <f>[1]Sheet2!ES214</f>
        <v/>
      </c>
      <c r="ES215" s="6" t="str">
        <f>[1]Sheet2!ET214</f>
        <v/>
      </c>
      <c r="ET215" s="6" t="str">
        <f>[1]Sheet2!EU214</f>
        <v/>
      </c>
      <c r="EU215" s="6" t="str">
        <f>[1]Sheet2!EV214</f>
        <v/>
      </c>
      <c r="EV215" s="6" t="str">
        <f>[1]Sheet2!EW214</f>
        <v/>
      </c>
      <c r="EW215" s="6" t="str">
        <f>[1]Sheet2!EX214</f>
        <v/>
      </c>
      <c r="EX215" s="6" t="str">
        <f>[1]Sheet2!EY214</f>
        <v/>
      </c>
      <c r="EY215" s="6" t="str">
        <f>[1]Sheet2!EZ214</f>
        <v/>
      </c>
      <c r="EZ215" s="6" t="str">
        <f>[1]Sheet2!FA214</f>
        <v/>
      </c>
      <c r="FA215" s="6" t="str">
        <f>[1]Sheet2!FB214</f>
        <v/>
      </c>
      <c r="FB215" s="6" t="str">
        <f>[1]Sheet2!FC214</f>
        <v/>
      </c>
      <c r="FC215" s="6" t="str">
        <f>[1]Sheet2!FD214</f>
        <v/>
      </c>
      <c r="FD215" s="6" t="str">
        <f>[1]Sheet2!FE214</f>
        <v/>
      </c>
      <c r="FE215" s="6" t="str">
        <f>[1]Sheet2!FF214</f>
        <v/>
      </c>
      <c r="FF215" s="6" t="str">
        <f>[1]Sheet2!FG214</f>
        <v/>
      </c>
      <c r="FG215" s="6" t="str">
        <f>[1]Sheet2!FH214</f>
        <v/>
      </c>
      <c r="FH215" s="6" t="str">
        <f>[1]Sheet2!FI214</f>
        <v/>
      </c>
      <c r="FI215" s="6" t="str">
        <f>[1]Sheet2!FJ214</f>
        <v/>
      </c>
      <c r="FJ215" s="6" t="str">
        <f>[1]Sheet2!FK214</f>
        <v/>
      </c>
      <c r="FK215" s="6" t="str">
        <f>[1]Sheet2!FL214</f>
        <v/>
      </c>
      <c r="FL215" s="6" t="str">
        <f>[1]Sheet2!FM214</f>
        <v/>
      </c>
      <c r="FM215" s="6" t="str">
        <f>[1]Sheet2!FN214</f>
        <v/>
      </c>
      <c r="FN215" s="6" t="str">
        <f>[1]Sheet2!FO214</f>
        <v/>
      </c>
      <c r="FO215" s="6" t="str">
        <f>[1]Sheet2!FP214</f>
        <v/>
      </c>
    </row>
    <row r="216" spans="1:171" s="27" customFormat="1" x14ac:dyDescent="0.25">
      <c r="A216" s="23">
        <v>43678</v>
      </c>
      <c r="B216" s="24"/>
      <c r="C216" s="24"/>
      <c r="D216" s="24"/>
      <c r="E216" s="25">
        <f>[1]Sheet2!N215</f>
        <v>0</v>
      </c>
      <c r="F216" s="25">
        <f>[1]Sheet2!BE215</f>
        <v>0</v>
      </c>
      <c r="G216" s="25">
        <f>[1]Sheet2!CW215</f>
        <v>0</v>
      </c>
      <c r="H216" s="24"/>
      <c r="I216" s="24"/>
      <c r="J216" s="24"/>
      <c r="K216" s="26"/>
      <c r="L216" s="26">
        <f>Demand_CWRS!B$10/31</f>
        <v>120.8438508064516</v>
      </c>
      <c r="M216" s="26">
        <f>Demand_CWRS!C$10/31</f>
        <v>552.80165425971859</v>
      </c>
      <c r="N216" s="26">
        <f>Demand_CWRS!D$10/31</f>
        <v>0</v>
      </c>
      <c r="O216" s="26">
        <f>Demand_CWRS!E$10/31</f>
        <v>141.75971877584777</v>
      </c>
      <c r="P216" s="26">
        <f>Demand_CWRS!F$10/31</f>
        <v>252.70758116211746</v>
      </c>
      <c r="Q216" s="26">
        <f>Demand_CWRS!G$10/31</f>
        <v>116.12903225806451</v>
      </c>
      <c r="R216" s="26">
        <f>Demand_CWRS!H$10/31</f>
        <v>252.70758116211746</v>
      </c>
      <c r="S216" s="26">
        <f>Demand_CWRS!I$10/31</f>
        <v>252.70758116211746</v>
      </c>
      <c r="T216" s="26">
        <f>Demand_CWRS!J$10/31</f>
        <v>252.70758116211746</v>
      </c>
      <c r="U216" s="26">
        <f>Demand_CWRS!K$10/31</f>
        <v>252.70758116211746</v>
      </c>
      <c r="V216" s="16">
        <f t="shared" si="96"/>
        <v>-26742.316686279879</v>
      </c>
      <c r="W216" s="16">
        <f t="shared" si="97"/>
        <v>-103521.78370554143</v>
      </c>
      <c r="X216" s="16">
        <f t="shared" si="98"/>
        <v>0</v>
      </c>
      <c r="Y216" s="16">
        <f t="shared" si="99"/>
        <v>-18035.202935263977</v>
      </c>
      <c r="Z216" s="16">
        <f t="shared" si="100"/>
        <v>-45129.296816597001</v>
      </c>
      <c r="AA216" s="16">
        <f t="shared" si="101"/>
        <v>-25411.828718693057</v>
      </c>
      <c r="AB216" s="16">
        <f t="shared" si="102"/>
        <v>-49438.46159223796</v>
      </c>
      <c r="AC216" s="16">
        <f t="shared" si="103"/>
        <v>-43645.451335827769</v>
      </c>
      <c r="AD216" s="16">
        <f t="shared" si="104"/>
        <v>-43745.451335827762</v>
      </c>
      <c r="AE216" s="16">
        <f t="shared" si="105"/>
        <v>-44345.451335827755</v>
      </c>
      <c r="AF216" s="25">
        <f>IF([1]Sheet2!AJ215=999999,"NA",[1]Sheet2!AJ215)</f>
        <v>0</v>
      </c>
      <c r="AG216" s="25">
        <f>IF([1]Sheet2!AK215=999999,"NA",[1]Sheet2!AK215)</f>
        <v>0</v>
      </c>
      <c r="AH216" s="25" t="str">
        <f>IF([1]Sheet2!AL215=999999,"NA",[1]Sheet2!AL215)</f>
        <v>NA</v>
      </c>
      <c r="AI216" s="25">
        <f>IF([1]Sheet2!AM215=999999,"NA",[1]Sheet2!AM215)</f>
        <v>0</v>
      </c>
      <c r="AJ216" s="25">
        <f>IF([1]Sheet2!AN215=999999,"NA",[1]Sheet2!AN215)</f>
        <v>0</v>
      </c>
      <c r="AK216" s="25">
        <f>IF([1]Sheet2!AO215=999999,"NA",[1]Sheet2!AO215)</f>
        <v>0</v>
      </c>
      <c r="AL216" s="25">
        <f>IF([1]Sheet2!AP215=999999,"NA",[1]Sheet2!AP215)</f>
        <v>0</v>
      </c>
      <c r="AM216" s="25">
        <f>IF([1]Sheet2!AQ215=999999,"NA",[1]Sheet2!AQ215)</f>
        <v>0</v>
      </c>
      <c r="AN216" s="25">
        <f>IF([1]Sheet2!AR215=999999,"NA",[1]Sheet2!AR215)</f>
        <v>0</v>
      </c>
      <c r="AO216" s="25">
        <f>IF([1]Sheet2!AS215=999999,"NA",[1]Sheet2!AS215)</f>
        <v>0</v>
      </c>
      <c r="AP216" s="25">
        <f>[1]Sheet2!P215</f>
        <v>0</v>
      </c>
      <c r="AQ216" s="25">
        <f>[1]Sheet2!Q215</f>
        <v>0</v>
      </c>
      <c r="AR216" s="25">
        <f>[1]Sheet2!R215</f>
        <v>0</v>
      </c>
      <c r="AS216" s="25">
        <f>[1]Sheet2!S215</f>
        <v>0</v>
      </c>
      <c r="AT216" s="25">
        <f>[1]Sheet2!T215</f>
        <v>0</v>
      </c>
      <c r="AU216" s="25">
        <f>[1]Sheet2!U215</f>
        <v>0</v>
      </c>
      <c r="AV216" s="25">
        <f>[1]Sheet2!V215</f>
        <v>0</v>
      </c>
      <c r="AW216" s="25">
        <f>[1]Sheet2!W215</f>
        <v>0</v>
      </c>
      <c r="AX216" s="25">
        <f>[1]Sheet2!X215</f>
        <v>0</v>
      </c>
      <c r="AY216" s="25">
        <f>[1]Sheet2!Y215</f>
        <v>0</v>
      </c>
      <c r="AZ216" s="26">
        <f>Demand_LP!B$10/31</f>
        <v>857.18246226220015</v>
      </c>
      <c r="BA216" s="26">
        <f>Demand_LP!C$10/31</f>
        <v>528.30835401157981</v>
      </c>
      <c r="BB216" s="26">
        <f>Demand_LP!D$10/31</f>
        <v>338.76323407775027</v>
      </c>
      <c r="BC216" s="26">
        <f>Demand_LP!E$10/31</f>
        <v>735.04776674937955</v>
      </c>
      <c r="BD216" s="26">
        <f>Demand_LP!F$10/31</f>
        <v>479.51259046732832</v>
      </c>
      <c r="BE216" s="26">
        <f>Demand_LP!G$10/31</f>
        <v>479.51259046732832</v>
      </c>
      <c r="BF216" s="26">
        <f>Demand_LP!H$10/31</f>
        <v>528.30835401157981</v>
      </c>
      <c r="BG216" s="26">
        <f>Demand_LP!I$10/31</f>
        <v>479.51259046732832</v>
      </c>
      <c r="BH216" s="26">
        <f>Demand_LP!J$10/31</f>
        <v>479.51259046732832</v>
      </c>
      <c r="BI216" s="26">
        <f>Demand_LP!K$10/31</f>
        <v>479.51259046732832</v>
      </c>
      <c r="BJ216" s="16">
        <f t="shared" si="106"/>
        <v>-154270.08753574666</v>
      </c>
      <c r="BK216" s="16">
        <f t="shared" si="107"/>
        <v>-123293.89040529339</v>
      </c>
      <c r="BL216" s="16">
        <f t="shared" si="108"/>
        <v>-57427.702977667548</v>
      </c>
      <c r="BM216" s="16">
        <f t="shared" si="109"/>
        <v>-154779.24903257191</v>
      </c>
      <c r="BN216" s="16">
        <f t="shared" si="110"/>
        <v>-90416.792390045433</v>
      </c>
      <c r="BO216" s="16">
        <f t="shared" si="111"/>
        <v>-88874.476308416168</v>
      </c>
      <c r="BP216" s="16">
        <f t="shared" si="112"/>
        <v>-117651.4698924729</v>
      </c>
      <c r="BQ216" s="16">
        <f t="shared" si="113"/>
        <v>-88874.476308416168</v>
      </c>
      <c r="BR216" s="16">
        <f t="shared" si="114"/>
        <v>-86474.476308416211</v>
      </c>
      <c r="BS216" s="16">
        <f t="shared" si="115"/>
        <v>-87174.476308416197</v>
      </c>
      <c r="BT216" s="25">
        <f>IF([1]Sheet2!CB215=999999,"NA",[1]Sheet2!CB215)</f>
        <v>0</v>
      </c>
      <c r="BU216" s="25">
        <f>IF([1]Sheet2!CC215=999999,"NA",[1]Sheet2!CC215)</f>
        <v>0</v>
      </c>
      <c r="BV216" s="25">
        <f>IF([1]Sheet2!CD215=999999,"NA",[1]Sheet2!CD215)</f>
        <v>0</v>
      </c>
      <c r="BW216" s="25">
        <f>IF([1]Sheet2!CE215=999999,"NA",[1]Sheet2!CE215)</f>
        <v>0</v>
      </c>
      <c r="BX216" s="25">
        <f>IF([1]Sheet2!CF215=999999,"NA",[1]Sheet2!CF215)</f>
        <v>0</v>
      </c>
      <c r="BY216" s="25">
        <f>IF([1]Sheet2!CG215=999999,"NA",[1]Sheet2!CG215)</f>
        <v>0</v>
      </c>
      <c r="BZ216" s="25">
        <f>IF([1]Sheet2!CH215=999999,"NA",[1]Sheet2!CH215)</f>
        <v>0</v>
      </c>
      <c r="CA216" s="25">
        <f>IF([1]Sheet2!CI215=999999,"NA",[1]Sheet2!CI215)</f>
        <v>0</v>
      </c>
      <c r="CB216" s="25">
        <f>IF([1]Sheet2!CJ215=999999,"NA",[1]Sheet2!CJ215)</f>
        <v>0</v>
      </c>
      <c r="CC216" s="25">
        <f>IF([1]Sheet2!CK215=999999,"NA",[1]Sheet2!CK215)</f>
        <v>0</v>
      </c>
      <c r="CD216" s="25">
        <f>[1]Sheet2!BH215</f>
        <v>0</v>
      </c>
      <c r="CE216" s="25">
        <f>[1]Sheet2!BI215</f>
        <v>0</v>
      </c>
      <c r="CF216" s="25">
        <f>[1]Sheet2!BJ215</f>
        <v>0</v>
      </c>
      <c r="CG216" s="25">
        <f>[1]Sheet2!BK215</f>
        <v>0</v>
      </c>
      <c r="CH216" s="25">
        <f>[1]Sheet2!BL215</f>
        <v>0</v>
      </c>
      <c r="CI216" s="25">
        <f>[1]Sheet2!BM215</f>
        <v>0</v>
      </c>
      <c r="CJ216" s="25">
        <f>[1]Sheet2!BN215</f>
        <v>0</v>
      </c>
      <c r="CK216" s="25">
        <f>[1]Sheet2!BO215</f>
        <v>0</v>
      </c>
      <c r="CL216" s="25">
        <f>[1]Sheet2!BP215</f>
        <v>0</v>
      </c>
      <c r="CM216" s="25">
        <f>[1]Sheet2!BQ215</f>
        <v>0</v>
      </c>
      <c r="CN216" s="26">
        <f>Demand_SW!B$10/31</f>
        <v>131.01736972704714</v>
      </c>
      <c r="CO216" s="26">
        <f>Demand_SW!C$10/31</f>
        <v>0</v>
      </c>
      <c r="CP216" s="26">
        <f>Demand_SW!D$10/31</f>
        <v>0</v>
      </c>
      <c r="CQ216" s="26">
        <f>Demand_SW!E$10/31</f>
        <v>0</v>
      </c>
      <c r="CR216" s="26">
        <f>Demand_SW!F$10/31</f>
        <v>0</v>
      </c>
      <c r="CS216" s="26">
        <f>Demand_SW!G$10/31</f>
        <v>131.01736972704714</v>
      </c>
      <c r="CT216" s="26">
        <f>Demand_SW!H$10/31</f>
        <v>0</v>
      </c>
      <c r="CU216" s="26">
        <f>Demand_SW!I$10/31</f>
        <v>0</v>
      </c>
      <c r="CV216" s="26">
        <f>Demand_SW!J$10/31</f>
        <v>0</v>
      </c>
      <c r="CW216" s="26">
        <f>Demand_SW!K$10/31</f>
        <v>0</v>
      </c>
      <c r="CX216" s="16">
        <f t="shared" si="116"/>
        <v>-23790.248138957842</v>
      </c>
      <c r="CY216" s="16">
        <f t="shared" si="117"/>
        <v>76.923076923077133</v>
      </c>
      <c r="CZ216" s="16">
        <f t="shared" si="118"/>
        <v>0</v>
      </c>
      <c r="DA216" s="16">
        <f t="shared" si="119"/>
        <v>0</v>
      </c>
      <c r="DB216" s="16">
        <f t="shared" si="120"/>
        <v>0</v>
      </c>
      <c r="DC216" s="16">
        <f t="shared" si="121"/>
        <v>-23319.478908188612</v>
      </c>
      <c r="DD216" s="16">
        <f t="shared" si="122"/>
        <v>76.923076923077133</v>
      </c>
      <c r="DE216" s="16">
        <f t="shared" si="123"/>
        <v>0</v>
      </c>
      <c r="DF216" s="16">
        <f t="shared" si="124"/>
        <v>0</v>
      </c>
      <c r="DG216" s="16">
        <f t="shared" si="125"/>
        <v>0</v>
      </c>
      <c r="DH216" s="25">
        <f>IF([1]Sheet2!DS215=999999,"NA",[1]Sheet2!DS215)</f>
        <v>0</v>
      </c>
      <c r="DI216" s="25">
        <f>IF([1]Sheet2!DT215=999999,"NA",[1]Sheet2!DT215)</f>
        <v>152</v>
      </c>
      <c r="DJ216" s="25" t="str">
        <f>IF([1]Sheet2!DU215=999999,"NA",[1]Sheet2!DU215)</f>
        <v>NA</v>
      </c>
      <c r="DK216" s="25" t="str">
        <f>IF([1]Sheet2!DV215=999999,"NA",[1]Sheet2!DV215)</f>
        <v>NA</v>
      </c>
      <c r="DL216" s="25" t="str">
        <f>IF([1]Sheet2!DW215=999999,"NA",[1]Sheet2!DW215)</f>
        <v>NA</v>
      </c>
      <c r="DM216" s="25">
        <f>IF([1]Sheet2!DX215=999999,"NA",[1]Sheet2!DX215)</f>
        <v>0</v>
      </c>
      <c r="DN216" s="25">
        <f>IF([1]Sheet2!DY215=999999,"NA",[1]Sheet2!DY215)</f>
        <v>152</v>
      </c>
      <c r="DO216" s="25" t="str">
        <f>IF([1]Sheet2!DZ215=999999,"NA",[1]Sheet2!DZ215)</f>
        <v>NA</v>
      </c>
      <c r="DP216" s="25" t="str">
        <f>IF([1]Sheet2!EA215=999999,"NA",[1]Sheet2!EA215)</f>
        <v>NA</v>
      </c>
      <c r="DQ216" s="25" t="str">
        <f>IF([1]Sheet2!EB215=999999,"NA",[1]Sheet2!EB215)</f>
        <v>NA</v>
      </c>
      <c r="DR216" s="25">
        <f>[1]Sheet2!CY215</f>
        <v>0</v>
      </c>
      <c r="DS216" s="25">
        <f>[1]Sheet2!CZ215</f>
        <v>0</v>
      </c>
      <c r="DT216" s="25">
        <f>[1]Sheet2!DA215</f>
        <v>0</v>
      </c>
      <c r="DU216" s="25">
        <f>[1]Sheet2!DB215</f>
        <v>0</v>
      </c>
      <c r="DV216" s="25">
        <f>[1]Sheet2!DC215</f>
        <v>0</v>
      </c>
      <c r="DW216" s="25">
        <f>[1]Sheet2!DD215</f>
        <v>0</v>
      </c>
      <c r="DX216" s="25">
        <f>[1]Sheet2!DE215</f>
        <v>0</v>
      </c>
      <c r="DY216" s="25">
        <f>[1]Sheet2!DF215</f>
        <v>0</v>
      </c>
      <c r="DZ216" s="25">
        <f>[1]Sheet2!DG215</f>
        <v>0</v>
      </c>
      <c r="EA216" s="25">
        <f>[1]Sheet2!DH215</f>
        <v>0</v>
      </c>
      <c r="EB216" s="27">
        <f>[1]Sheet2!EC215</f>
        <v>0</v>
      </c>
      <c r="EC216" s="27">
        <f>[1]Sheet2!ED215</f>
        <v>0</v>
      </c>
      <c r="ED216" s="27">
        <f>[1]Sheet2!EE215</f>
        <v>0</v>
      </c>
      <c r="EE216" s="27">
        <f>[1]Sheet2!EF215</f>
        <v>0</v>
      </c>
      <c r="EF216" s="27">
        <f>[1]Sheet2!EG215</f>
        <v>0</v>
      </c>
      <c r="EG216" s="27">
        <f>[1]Sheet2!EH215</f>
        <v>0</v>
      </c>
      <c r="EH216" s="27">
        <f>[1]Sheet2!EI215</f>
        <v>0</v>
      </c>
      <c r="EI216" s="27">
        <f>[1]Sheet2!EJ215</f>
        <v>0</v>
      </c>
      <c r="EJ216" s="27">
        <f>[1]Sheet2!EK215</f>
        <v>0</v>
      </c>
      <c r="EK216" s="27">
        <f>[1]Sheet2!EL215</f>
        <v>0</v>
      </c>
      <c r="EL216" s="6" t="str">
        <f>[1]Sheet2!EM215</f>
        <v/>
      </c>
      <c r="EM216" s="6" t="str">
        <f>[1]Sheet2!EN215</f>
        <v/>
      </c>
      <c r="EN216" s="6" t="str">
        <f>[1]Sheet2!EO215</f>
        <v/>
      </c>
      <c r="EO216" s="6" t="str">
        <f>[1]Sheet2!EP215</f>
        <v/>
      </c>
      <c r="EP216" s="6" t="str">
        <f>[1]Sheet2!EQ215</f>
        <v/>
      </c>
      <c r="EQ216" s="6" t="str">
        <f>[1]Sheet2!ER215</f>
        <v/>
      </c>
      <c r="ER216" s="6" t="str">
        <f>[1]Sheet2!ES215</f>
        <v/>
      </c>
      <c r="ES216" s="6" t="str">
        <f>[1]Sheet2!ET215</f>
        <v/>
      </c>
      <c r="ET216" s="6" t="str">
        <f>[1]Sheet2!EU215</f>
        <v/>
      </c>
      <c r="EU216" s="6" t="str">
        <f>[1]Sheet2!EV215</f>
        <v/>
      </c>
      <c r="EV216" s="6" t="str">
        <f>[1]Sheet2!EW215</f>
        <v/>
      </c>
      <c r="EW216" s="6" t="str">
        <f>[1]Sheet2!EX215</f>
        <v/>
      </c>
      <c r="EX216" s="6" t="str">
        <f>[1]Sheet2!EY215</f>
        <v/>
      </c>
      <c r="EY216" s="6" t="str">
        <f>[1]Sheet2!EZ215</f>
        <v/>
      </c>
      <c r="EZ216" s="6" t="str">
        <f>[1]Sheet2!FA215</f>
        <v/>
      </c>
      <c r="FA216" s="6" t="str">
        <f>[1]Sheet2!FB215</f>
        <v/>
      </c>
      <c r="FB216" s="6" t="str">
        <f>[1]Sheet2!FC215</f>
        <v/>
      </c>
      <c r="FC216" s="6" t="str">
        <f>[1]Sheet2!FD215</f>
        <v/>
      </c>
      <c r="FD216" s="6" t="str">
        <f>[1]Sheet2!FE215</f>
        <v/>
      </c>
      <c r="FE216" s="6" t="str">
        <f>[1]Sheet2!FF215</f>
        <v/>
      </c>
      <c r="FF216" s="6" t="str">
        <f>[1]Sheet2!FG215</f>
        <v/>
      </c>
      <c r="FG216" s="6" t="str">
        <f>[1]Sheet2!FH215</f>
        <v/>
      </c>
      <c r="FH216" s="6" t="str">
        <f>[1]Sheet2!FI215</f>
        <v/>
      </c>
      <c r="FI216" s="6" t="str">
        <f>[1]Sheet2!FJ215</f>
        <v/>
      </c>
      <c r="FJ216" s="6" t="str">
        <f>[1]Sheet2!FK215</f>
        <v/>
      </c>
      <c r="FK216" s="6" t="str">
        <f>[1]Sheet2!FL215</f>
        <v/>
      </c>
      <c r="FL216" s="6" t="str">
        <f>[1]Sheet2!FM215</f>
        <v/>
      </c>
      <c r="FM216" s="6" t="str">
        <f>[1]Sheet2!FN215</f>
        <v/>
      </c>
      <c r="FN216" s="6" t="str">
        <f>[1]Sheet2!FO215</f>
        <v/>
      </c>
      <c r="FO216" s="6" t="str">
        <f>[1]Sheet2!FP215</f>
        <v/>
      </c>
    </row>
    <row r="217" spans="1:171" s="27" customFormat="1" x14ac:dyDescent="0.25">
      <c r="A217" s="23">
        <v>43679</v>
      </c>
      <c r="B217" s="24"/>
      <c r="C217" s="24"/>
      <c r="D217" s="24"/>
      <c r="E217" s="25">
        <f>[1]Sheet2!N216</f>
        <v>0</v>
      </c>
      <c r="F217" s="25">
        <f>[1]Sheet2!BE216</f>
        <v>0</v>
      </c>
      <c r="G217" s="25">
        <f>[1]Sheet2!CW216</f>
        <v>0</v>
      </c>
      <c r="H217" s="24"/>
      <c r="I217" s="24"/>
      <c r="J217" s="24"/>
      <c r="K217" s="26"/>
      <c r="L217" s="26">
        <f>Demand_CWRS!B$10/31</f>
        <v>120.8438508064516</v>
      </c>
      <c r="M217" s="26">
        <f>Demand_CWRS!C$10/31</f>
        <v>552.80165425971859</v>
      </c>
      <c r="N217" s="26">
        <f>Demand_CWRS!D$10/31</f>
        <v>0</v>
      </c>
      <c r="O217" s="26">
        <f>Demand_CWRS!E$10/31</f>
        <v>141.75971877584777</v>
      </c>
      <c r="P217" s="26">
        <f>Demand_CWRS!F$10/31</f>
        <v>252.70758116211746</v>
      </c>
      <c r="Q217" s="26">
        <f>Demand_CWRS!G$10/31</f>
        <v>116.12903225806451</v>
      </c>
      <c r="R217" s="26">
        <f>Demand_CWRS!H$10/31</f>
        <v>252.70758116211746</v>
      </c>
      <c r="S217" s="26">
        <f>Demand_CWRS!I$10/31</f>
        <v>252.70758116211746</v>
      </c>
      <c r="T217" s="26">
        <f>Demand_CWRS!J$10/31</f>
        <v>252.70758116211746</v>
      </c>
      <c r="U217" s="26">
        <f>Demand_CWRS!K$10/31</f>
        <v>252.70758116211746</v>
      </c>
      <c r="V217" s="16">
        <f t="shared" si="96"/>
        <v>-26863.160537086329</v>
      </c>
      <c r="W217" s="16">
        <f t="shared" si="97"/>
        <v>-104074.58535980115</v>
      </c>
      <c r="X217" s="16">
        <f t="shared" si="98"/>
        <v>0</v>
      </c>
      <c r="Y217" s="16">
        <f t="shared" si="99"/>
        <v>-18176.962654039824</v>
      </c>
      <c r="Z217" s="16">
        <f t="shared" si="100"/>
        <v>-45382.004397759119</v>
      </c>
      <c r="AA217" s="16">
        <f t="shared" si="101"/>
        <v>-25527.957750951122</v>
      </c>
      <c r="AB217" s="16">
        <f t="shared" si="102"/>
        <v>-49691.169173400078</v>
      </c>
      <c r="AC217" s="16">
        <f t="shared" si="103"/>
        <v>-43898.158916989887</v>
      </c>
      <c r="AD217" s="16">
        <f t="shared" si="104"/>
        <v>-43998.15891698988</v>
      </c>
      <c r="AE217" s="16">
        <f t="shared" si="105"/>
        <v>-44598.158916989873</v>
      </c>
      <c r="AF217" s="25">
        <f>IF([1]Sheet2!AJ216=999999,"NA",[1]Sheet2!AJ216)</f>
        <v>0</v>
      </c>
      <c r="AG217" s="25">
        <f>IF([1]Sheet2!AK216=999999,"NA",[1]Sheet2!AK216)</f>
        <v>0</v>
      </c>
      <c r="AH217" s="25" t="str">
        <f>IF([1]Sheet2!AL216=999999,"NA",[1]Sheet2!AL216)</f>
        <v>NA</v>
      </c>
      <c r="AI217" s="25">
        <f>IF([1]Sheet2!AM216=999999,"NA",[1]Sheet2!AM216)</f>
        <v>0</v>
      </c>
      <c r="AJ217" s="25">
        <f>IF([1]Sheet2!AN216=999999,"NA",[1]Sheet2!AN216)</f>
        <v>0</v>
      </c>
      <c r="AK217" s="25">
        <f>IF([1]Sheet2!AO216=999999,"NA",[1]Sheet2!AO216)</f>
        <v>0</v>
      </c>
      <c r="AL217" s="25">
        <f>IF([1]Sheet2!AP216=999999,"NA",[1]Sheet2!AP216)</f>
        <v>0</v>
      </c>
      <c r="AM217" s="25">
        <f>IF([1]Sheet2!AQ216=999999,"NA",[1]Sheet2!AQ216)</f>
        <v>0</v>
      </c>
      <c r="AN217" s="25">
        <f>IF([1]Sheet2!AR216=999999,"NA",[1]Sheet2!AR216)</f>
        <v>0</v>
      </c>
      <c r="AO217" s="25">
        <f>IF([1]Sheet2!AS216=999999,"NA",[1]Sheet2!AS216)</f>
        <v>0</v>
      </c>
      <c r="AP217" s="25">
        <f>[1]Sheet2!P216</f>
        <v>0</v>
      </c>
      <c r="AQ217" s="25">
        <f>[1]Sheet2!Q216</f>
        <v>0</v>
      </c>
      <c r="AR217" s="25">
        <f>[1]Sheet2!R216</f>
        <v>0</v>
      </c>
      <c r="AS217" s="25">
        <f>[1]Sheet2!S216</f>
        <v>0</v>
      </c>
      <c r="AT217" s="25">
        <f>[1]Sheet2!T216</f>
        <v>0</v>
      </c>
      <c r="AU217" s="25">
        <f>[1]Sheet2!U216</f>
        <v>0</v>
      </c>
      <c r="AV217" s="25">
        <f>[1]Sheet2!V216</f>
        <v>0</v>
      </c>
      <c r="AW217" s="25">
        <f>[1]Sheet2!W216</f>
        <v>0</v>
      </c>
      <c r="AX217" s="25">
        <f>[1]Sheet2!X216</f>
        <v>0</v>
      </c>
      <c r="AY217" s="25">
        <f>[1]Sheet2!Y216</f>
        <v>0</v>
      </c>
      <c r="AZ217" s="26">
        <f>Demand_LP!B$10/31</f>
        <v>857.18246226220015</v>
      </c>
      <c r="BA217" s="26">
        <f>Demand_LP!C$10/31</f>
        <v>528.30835401157981</v>
      </c>
      <c r="BB217" s="26">
        <f>Demand_LP!D$10/31</f>
        <v>338.76323407775027</v>
      </c>
      <c r="BC217" s="26">
        <f>Demand_LP!E$10/31</f>
        <v>735.04776674937955</v>
      </c>
      <c r="BD217" s="26">
        <f>Demand_LP!F$10/31</f>
        <v>479.51259046732832</v>
      </c>
      <c r="BE217" s="26">
        <f>Demand_LP!G$10/31</f>
        <v>479.51259046732832</v>
      </c>
      <c r="BF217" s="26">
        <f>Demand_LP!H$10/31</f>
        <v>528.30835401157981</v>
      </c>
      <c r="BG217" s="26">
        <f>Demand_LP!I$10/31</f>
        <v>479.51259046732832</v>
      </c>
      <c r="BH217" s="26">
        <f>Demand_LP!J$10/31</f>
        <v>479.51259046732832</v>
      </c>
      <c r="BI217" s="26">
        <f>Demand_LP!K$10/31</f>
        <v>479.51259046732832</v>
      </c>
      <c r="BJ217" s="16">
        <f t="shared" si="106"/>
        <v>-155127.26999800885</v>
      </c>
      <c r="BK217" s="16">
        <f t="shared" si="107"/>
        <v>-123822.19875930497</v>
      </c>
      <c r="BL217" s="16">
        <f t="shared" si="108"/>
        <v>-57766.466211745297</v>
      </c>
      <c r="BM217" s="16">
        <f t="shared" si="109"/>
        <v>-155514.29679932128</v>
      </c>
      <c r="BN217" s="16">
        <f t="shared" si="110"/>
        <v>-90896.304980512767</v>
      </c>
      <c r="BO217" s="16">
        <f t="shared" si="111"/>
        <v>-89353.988898883501</v>
      </c>
      <c r="BP217" s="16">
        <f t="shared" si="112"/>
        <v>-118179.77824648448</v>
      </c>
      <c r="BQ217" s="16">
        <f t="shared" si="113"/>
        <v>-89353.988898883501</v>
      </c>
      <c r="BR217" s="16">
        <f t="shared" si="114"/>
        <v>-86953.988898883545</v>
      </c>
      <c r="BS217" s="16">
        <f t="shared" si="115"/>
        <v>-87653.98889888353</v>
      </c>
      <c r="BT217" s="25">
        <f>IF([1]Sheet2!CB216=999999,"NA",[1]Sheet2!CB216)</f>
        <v>0</v>
      </c>
      <c r="BU217" s="25">
        <f>IF([1]Sheet2!CC216=999999,"NA",[1]Sheet2!CC216)</f>
        <v>0</v>
      </c>
      <c r="BV217" s="25">
        <f>IF([1]Sheet2!CD216=999999,"NA",[1]Sheet2!CD216)</f>
        <v>0</v>
      </c>
      <c r="BW217" s="25">
        <f>IF([1]Sheet2!CE216=999999,"NA",[1]Sheet2!CE216)</f>
        <v>0</v>
      </c>
      <c r="BX217" s="25">
        <f>IF([1]Sheet2!CF216=999999,"NA",[1]Sheet2!CF216)</f>
        <v>0</v>
      </c>
      <c r="BY217" s="25">
        <f>IF([1]Sheet2!CG216=999999,"NA",[1]Sheet2!CG216)</f>
        <v>0</v>
      </c>
      <c r="BZ217" s="25">
        <f>IF([1]Sheet2!CH216=999999,"NA",[1]Sheet2!CH216)</f>
        <v>0</v>
      </c>
      <c r="CA217" s="25">
        <f>IF([1]Sheet2!CI216=999999,"NA",[1]Sheet2!CI216)</f>
        <v>0</v>
      </c>
      <c r="CB217" s="25">
        <f>IF([1]Sheet2!CJ216=999999,"NA",[1]Sheet2!CJ216)</f>
        <v>0</v>
      </c>
      <c r="CC217" s="25">
        <f>IF([1]Sheet2!CK216=999999,"NA",[1]Sheet2!CK216)</f>
        <v>0</v>
      </c>
      <c r="CD217" s="25">
        <f>[1]Sheet2!BH216</f>
        <v>0</v>
      </c>
      <c r="CE217" s="25">
        <f>[1]Sheet2!BI216</f>
        <v>0</v>
      </c>
      <c r="CF217" s="25">
        <f>[1]Sheet2!BJ216</f>
        <v>0</v>
      </c>
      <c r="CG217" s="25">
        <f>[1]Sheet2!BK216</f>
        <v>0</v>
      </c>
      <c r="CH217" s="25">
        <f>[1]Sheet2!BL216</f>
        <v>0</v>
      </c>
      <c r="CI217" s="25">
        <f>[1]Sheet2!BM216</f>
        <v>0</v>
      </c>
      <c r="CJ217" s="25">
        <f>[1]Sheet2!BN216</f>
        <v>0</v>
      </c>
      <c r="CK217" s="25">
        <f>[1]Sheet2!BO216</f>
        <v>0</v>
      </c>
      <c r="CL217" s="25">
        <f>[1]Sheet2!BP216</f>
        <v>0</v>
      </c>
      <c r="CM217" s="25">
        <f>[1]Sheet2!BQ216</f>
        <v>0</v>
      </c>
      <c r="CN217" s="26">
        <f>Demand_SW!B$10/31</f>
        <v>131.01736972704714</v>
      </c>
      <c r="CO217" s="26">
        <f>Demand_SW!C$10/31</f>
        <v>0</v>
      </c>
      <c r="CP217" s="26">
        <f>Demand_SW!D$10/31</f>
        <v>0</v>
      </c>
      <c r="CQ217" s="26">
        <f>Demand_SW!E$10/31</f>
        <v>0</v>
      </c>
      <c r="CR217" s="26">
        <f>Demand_SW!F$10/31</f>
        <v>0</v>
      </c>
      <c r="CS217" s="26">
        <f>Demand_SW!G$10/31</f>
        <v>131.01736972704714</v>
      </c>
      <c r="CT217" s="26">
        <f>Demand_SW!H$10/31</f>
        <v>0</v>
      </c>
      <c r="CU217" s="26">
        <f>Demand_SW!I$10/31</f>
        <v>0</v>
      </c>
      <c r="CV217" s="26">
        <f>Demand_SW!J$10/31</f>
        <v>0</v>
      </c>
      <c r="CW217" s="26">
        <f>Demand_SW!K$10/31</f>
        <v>0</v>
      </c>
      <c r="CX217" s="16">
        <f t="shared" si="116"/>
        <v>-23921.26550868489</v>
      </c>
      <c r="CY217" s="16">
        <f t="shared" si="117"/>
        <v>76.923076923077133</v>
      </c>
      <c r="CZ217" s="16">
        <f t="shared" si="118"/>
        <v>0</v>
      </c>
      <c r="DA217" s="16">
        <f t="shared" si="119"/>
        <v>0</v>
      </c>
      <c r="DB217" s="16">
        <f t="shared" si="120"/>
        <v>0</v>
      </c>
      <c r="DC217" s="16">
        <f t="shared" si="121"/>
        <v>-23450.496277915659</v>
      </c>
      <c r="DD217" s="16">
        <f t="shared" si="122"/>
        <v>76.923076923077133</v>
      </c>
      <c r="DE217" s="16">
        <f t="shared" si="123"/>
        <v>0</v>
      </c>
      <c r="DF217" s="16">
        <f t="shared" si="124"/>
        <v>0</v>
      </c>
      <c r="DG217" s="16">
        <f t="shared" si="125"/>
        <v>0</v>
      </c>
      <c r="DH217" s="25">
        <f>IF([1]Sheet2!DS216=999999,"NA",[1]Sheet2!DS216)</f>
        <v>0</v>
      </c>
      <c r="DI217" s="25">
        <f>IF([1]Sheet2!DT216=999999,"NA",[1]Sheet2!DT216)</f>
        <v>151</v>
      </c>
      <c r="DJ217" s="25" t="str">
        <f>IF([1]Sheet2!DU216=999999,"NA",[1]Sheet2!DU216)</f>
        <v>NA</v>
      </c>
      <c r="DK217" s="25" t="str">
        <f>IF([1]Sheet2!DV216=999999,"NA",[1]Sheet2!DV216)</f>
        <v>NA</v>
      </c>
      <c r="DL217" s="25" t="str">
        <f>IF([1]Sheet2!DW216=999999,"NA",[1]Sheet2!DW216)</f>
        <v>NA</v>
      </c>
      <c r="DM217" s="25">
        <f>IF([1]Sheet2!DX216=999999,"NA",[1]Sheet2!DX216)</f>
        <v>0</v>
      </c>
      <c r="DN217" s="25">
        <f>IF([1]Sheet2!DY216=999999,"NA",[1]Sheet2!DY216)</f>
        <v>151</v>
      </c>
      <c r="DO217" s="25" t="str">
        <f>IF([1]Sheet2!DZ216=999999,"NA",[1]Sheet2!DZ216)</f>
        <v>NA</v>
      </c>
      <c r="DP217" s="25" t="str">
        <f>IF([1]Sheet2!EA216=999999,"NA",[1]Sheet2!EA216)</f>
        <v>NA</v>
      </c>
      <c r="DQ217" s="25" t="str">
        <f>IF([1]Sheet2!EB216=999999,"NA",[1]Sheet2!EB216)</f>
        <v>NA</v>
      </c>
      <c r="DR217" s="25">
        <f>[1]Sheet2!CY216</f>
        <v>0</v>
      </c>
      <c r="DS217" s="25">
        <f>[1]Sheet2!CZ216</f>
        <v>0</v>
      </c>
      <c r="DT217" s="25">
        <f>[1]Sheet2!DA216</f>
        <v>0</v>
      </c>
      <c r="DU217" s="25">
        <f>[1]Sheet2!DB216</f>
        <v>0</v>
      </c>
      <c r="DV217" s="25">
        <f>[1]Sheet2!DC216</f>
        <v>0</v>
      </c>
      <c r="DW217" s="25">
        <f>[1]Sheet2!DD216</f>
        <v>0</v>
      </c>
      <c r="DX217" s="25">
        <f>[1]Sheet2!DE216</f>
        <v>0</v>
      </c>
      <c r="DY217" s="25">
        <f>[1]Sheet2!DF216</f>
        <v>0</v>
      </c>
      <c r="DZ217" s="25">
        <f>[1]Sheet2!DG216</f>
        <v>0</v>
      </c>
      <c r="EA217" s="25">
        <f>[1]Sheet2!DH216</f>
        <v>0</v>
      </c>
      <c r="EB217" s="27">
        <f>[1]Sheet2!EC216</f>
        <v>0</v>
      </c>
      <c r="EC217" s="27">
        <f>[1]Sheet2!ED216</f>
        <v>0</v>
      </c>
      <c r="ED217" s="27">
        <f>[1]Sheet2!EE216</f>
        <v>0</v>
      </c>
      <c r="EE217" s="27">
        <f>[1]Sheet2!EF216</f>
        <v>0</v>
      </c>
      <c r="EF217" s="27">
        <f>[1]Sheet2!EG216</f>
        <v>0</v>
      </c>
      <c r="EG217" s="27">
        <f>[1]Sheet2!EH216</f>
        <v>0</v>
      </c>
      <c r="EH217" s="27">
        <f>[1]Sheet2!EI216</f>
        <v>0</v>
      </c>
      <c r="EI217" s="27">
        <f>[1]Sheet2!EJ216</f>
        <v>0</v>
      </c>
      <c r="EJ217" s="27">
        <f>[1]Sheet2!EK216</f>
        <v>0</v>
      </c>
      <c r="EK217" s="27">
        <f>[1]Sheet2!EL216</f>
        <v>0</v>
      </c>
      <c r="EL217" s="6" t="str">
        <f>[1]Sheet2!EM216</f>
        <v/>
      </c>
      <c r="EM217" s="6" t="str">
        <f>[1]Sheet2!EN216</f>
        <v/>
      </c>
      <c r="EN217" s="6" t="str">
        <f>[1]Sheet2!EO216</f>
        <v/>
      </c>
      <c r="EO217" s="6" t="str">
        <f>[1]Sheet2!EP216</f>
        <v/>
      </c>
      <c r="EP217" s="6" t="str">
        <f>[1]Sheet2!EQ216</f>
        <v/>
      </c>
      <c r="EQ217" s="6" t="str">
        <f>[1]Sheet2!ER216</f>
        <v/>
      </c>
      <c r="ER217" s="6" t="str">
        <f>[1]Sheet2!ES216</f>
        <v/>
      </c>
      <c r="ES217" s="6" t="str">
        <f>[1]Sheet2!ET216</f>
        <v/>
      </c>
      <c r="ET217" s="6" t="str">
        <f>[1]Sheet2!EU216</f>
        <v/>
      </c>
      <c r="EU217" s="6" t="str">
        <f>[1]Sheet2!EV216</f>
        <v/>
      </c>
      <c r="EV217" s="6" t="str">
        <f>[1]Sheet2!EW216</f>
        <v/>
      </c>
      <c r="EW217" s="6" t="str">
        <f>[1]Sheet2!EX216</f>
        <v/>
      </c>
      <c r="EX217" s="6" t="str">
        <f>[1]Sheet2!EY216</f>
        <v/>
      </c>
      <c r="EY217" s="6" t="str">
        <f>[1]Sheet2!EZ216</f>
        <v/>
      </c>
      <c r="EZ217" s="6" t="str">
        <f>[1]Sheet2!FA216</f>
        <v/>
      </c>
      <c r="FA217" s="6" t="str">
        <f>[1]Sheet2!FB216</f>
        <v/>
      </c>
      <c r="FB217" s="6" t="str">
        <f>[1]Sheet2!FC216</f>
        <v/>
      </c>
      <c r="FC217" s="6" t="str">
        <f>[1]Sheet2!FD216</f>
        <v/>
      </c>
      <c r="FD217" s="6" t="str">
        <f>[1]Sheet2!FE216</f>
        <v/>
      </c>
      <c r="FE217" s="6" t="str">
        <f>[1]Sheet2!FF216</f>
        <v/>
      </c>
      <c r="FF217" s="6" t="str">
        <f>[1]Sheet2!FG216</f>
        <v/>
      </c>
      <c r="FG217" s="6" t="str">
        <f>[1]Sheet2!FH216</f>
        <v/>
      </c>
      <c r="FH217" s="6" t="str">
        <f>[1]Sheet2!FI216</f>
        <v/>
      </c>
      <c r="FI217" s="6" t="str">
        <f>[1]Sheet2!FJ216</f>
        <v/>
      </c>
      <c r="FJ217" s="6" t="str">
        <f>[1]Sheet2!FK216</f>
        <v/>
      </c>
      <c r="FK217" s="6" t="str">
        <f>[1]Sheet2!FL216</f>
        <v/>
      </c>
      <c r="FL217" s="6" t="str">
        <f>[1]Sheet2!FM216</f>
        <v/>
      </c>
      <c r="FM217" s="6" t="str">
        <f>[1]Sheet2!FN216</f>
        <v/>
      </c>
      <c r="FN217" s="6" t="str">
        <f>[1]Sheet2!FO216</f>
        <v/>
      </c>
      <c r="FO217" s="6" t="str">
        <f>[1]Sheet2!FP216</f>
        <v/>
      </c>
    </row>
    <row r="218" spans="1:171" s="27" customFormat="1" x14ac:dyDescent="0.25">
      <c r="A218" s="23">
        <v>43680</v>
      </c>
      <c r="B218" s="24"/>
      <c r="C218" s="24"/>
      <c r="D218" s="24"/>
      <c r="E218" s="25">
        <f>[1]Sheet2!N217</f>
        <v>0</v>
      </c>
      <c r="F218" s="25">
        <f>[1]Sheet2!BE217</f>
        <v>0</v>
      </c>
      <c r="G218" s="25">
        <f>[1]Sheet2!CW217</f>
        <v>0</v>
      </c>
      <c r="H218" s="24"/>
      <c r="I218" s="24"/>
      <c r="J218" s="24"/>
      <c r="K218" s="26"/>
      <c r="L218" s="26">
        <f>Demand_CWRS!B$10/31</f>
        <v>120.8438508064516</v>
      </c>
      <c r="M218" s="26">
        <f>Demand_CWRS!C$10/31</f>
        <v>552.80165425971859</v>
      </c>
      <c r="N218" s="26">
        <f>Demand_CWRS!D$10/31</f>
        <v>0</v>
      </c>
      <c r="O218" s="26">
        <f>Demand_CWRS!E$10/31</f>
        <v>141.75971877584777</v>
      </c>
      <c r="P218" s="26">
        <f>Demand_CWRS!F$10/31</f>
        <v>252.70758116211746</v>
      </c>
      <c r="Q218" s="26">
        <f>Demand_CWRS!G$10/31</f>
        <v>116.12903225806451</v>
      </c>
      <c r="R218" s="26">
        <f>Demand_CWRS!H$10/31</f>
        <v>252.70758116211746</v>
      </c>
      <c r="S218" s="26">
        <f>Demand_CWRS!I$10/31</f>
        <v>252.70758116211746</v>
      </c>
      <c r="T218" s="26">
        <f>Demand_CWRS!J$10/31</f>
        <v>252.70758116211746</v>
      </c>
      <c r="U218" s="26">
        <f>Demand_CWRS!K$10/31</f>
        <v>252.70758116211746</v>
      </c>
      <c r="V218" s="16">
        <f t="shared" si="96"/>
        <v>-26984.004387892779</v>
      </c>
      <c r="W218" s="16">
        <f t="shared" si="97"/>
        <v>-104627.38701406086</v>
      </c>
      <c r="X218" s="16">
        <f t="shared" si="98"/>
        <v>0</v>
      </c>
      <c r="Y218" s="16">
        <f t="shared" si="99"/>
        <v>-18318.722372815671</v>
      </c>
      <c r="Z218" s="16">
        <f t="shared" si="100"/>
        <v>-45634.711978921237</v>
      </c>
      <c r="AA218" s="16">
        <f t="shared" si="101"/>
        <v>-25644.086783209186</v>
      </c>
      <c r="AB218" s="16">
        <f t="shared" si="102"/>
        <v>-49943.876754562196</v>
      </c>
      <c r="AC218" s="16">
        <f t="shared" si="103"/>
        <v>-44150.866498152005</v>
      </c>
      <c r="AD218" s="16">
        <f t="shared" si="104"/>
        <v>-44250.866498151998</v>
      </c>
      <c r="AE218" s="16">
        <f t="shared" si="105"/>
        <v>-44850.866498151991</v>
      </c>
      <c r="AF218" s="25">
        <f>IF([1]Sheet2!AJ217=999999,"NA",[1]Sheet2!AJ217)</f>
        <v>0</v>
      </c>
      <c r="AG218" s="25">
        <f>IF([1]Sheet2!AK217=999999,"NA",[1]Sheet2!AK217)</f>
        <v>0</v>
      </c>
      <c r="AH218" s="25" t="str">
        <f>IF([1]Sheet2!AL217=999999,"NA",[1]Sheet2!AL217)</f>
        <v>NA</v>
      </c>
      <c r="AI218" s="25">
        <f>IF([1]Sheet2!AM217=999999,"NA",[1]Sheet2!AM217)</f>
        <v>0</v>
      </c>
      <c r="AJ218" s="25">
        <f>IF([1]Sheet2!AN217=999999,"NA",[1]Sheet2!AN217)</f>
        <v>0</v>
      </c>
      <c r="AK218" s="25">
        <f>IF([1]Sheet2!AO217=999999,"NA",[1]Sheet2!AO217)</f>
        <v>0</v>
      </c>
      <c r="AL218" s="25">
        <f>IF([1]Sheet2!AP217=999999,"NA",[1]Sheet2!AP217)</f>
        <v>0</v>
      </c>
      <c r="AM218" s="25">
        <f>IF([1]Sheet2!AQ217=999999,"NA",[1]Sheet2!AQ217)</f>
        <v>0</v>
      </c>
      <c r="AN218" s="25">
        <f>IF([1]Sheet2!AR217=999999,"NA",[1]Sheet2!AR217)</f>
        <v>0</v>
      </c>
      <c r="AO218" s="25">
        <f>IF([1]Sheet2!AS217=999999,"NA",[1]Sheet2!AS217)</f>
        <v>0</v>
      </c>
      <c r="AP218" s="25">
        <f>[1]Sheet2!P217</f>
        <v>0</v>
      </c>
      <c r="AQ218" s="25">
        <f>[1]Sheet2!Q217</f>
        <v>0</v>
      </c>
      <c r="AR218" s="25">
        <f>[1]Sheet2!R217</f>
        <v>0</v>
      </c>
      <c r="AS218" s="25">
        <f>[1]Sheet2!S217</f>
        <v>0</v>
      </c>
      <c r="AT218" s="25">
        <f>[1]Sheet2!T217</f>
        <v>0</v>
      </c>
      <c r="AU218" s="25">
        <f>[1]Sheet2!U217</f>
        <v>0</v>
      </c>
      <c r="AV218" s="25">
        <f>[1]Sheet2!V217</f>
        <v>0</v>
      </c>
      <c r="AW218" s="25">
        <f>[1]Sheet2!W217</f>
        <v>0</v>
      </c>
      <c r="AX218" s="25">
        <f>[1]Sheet2!X217</f>
        <v>0</v>
      </c>
      <c r="AY218" s="25">
        <f>[1]Sheet2!Y217</f>
        <v>0</v>
      </c>
      <c r="AZ218" s="26">
        <f>Demand_LP!B$10/31</f>
        <v>857.18246226220015</v>
      </c>
      <c r="BA218" s="26">
        <f>Demand_LP!C$10/31</f>
        <v>528.30835401157981</v>
      </c>
      <c r="BB218" s="26">
        <f>Demand_LP!D$10/31</f>
        <v>338.76323407775027</v>
      </c>
      <c r="BC218" s="26">
        <f>Demand_LP!E$10/31</f>
        <v>735.04776674937955</v>
      </c>
      <c r="BD218" s="26">
        <f>Demand_LP!F$10/31</f>
        <v>479.51259046732832</v>
      </c>
      <c r="BE218" s="26">
        <f>Demand_LP!G$10/31</f>
        <v>479.51259046732832</v>
      </c>
      <c r="BF218" s="26">
        <f>Demand_LP!H$10/31</f>
        <v>528.30835401157981</v>
      </c>
      <c r="BG218" s="26">
        <f>Demand_LP!I$10/31</f>
        <v>479.51259046732832</v>
      </c>
      <c r="BH218" s="26">
        <f>Demand_LP!J$10/31</f>
        <v>479.51259046732832</v>
      </c>
      <c r="BI218" s="26">
        <f>Demand_LP!K$10/31</f>
        <v>479.51259046732832</v>
      </c>
      <c r="BJ218" s="16">
        <f t="shared" si="106"/>
        <v>-155984.45246027104</v>
      </c>
      <c r="BK218" s="16">
        <f t="shared" si="107"/>
        <v>-124350.50711331655</v>
      </c>
      <c r="BL218" s="16">
        <f t="shared" si="108"/>
        <v>-58105.229445823046</v>
      </c>
      <c r="BM218" s="16">
        <f t="shared" si="109"/>
        <v>-156249.34456607065</v>
      </c>
      <c r="BN218" s="16">
        <f t="shared" si="110"/>
        <v>-91375.8175709801</v>
      </c>
      <c r="BO218" s="16">
        <f t="shared" si="111"/>
        <v>-89833.501489350834</v>
      </c>
      <c r="BP218" s="16">
        <f t="shared" si="112"/>
        <v>-118708.08660049606</v>
      </c>
      <c r="BQ218" s="16">
        <f t="shared" si="113"/>
        <v>-89833.501489350834</v>
      </c>
      <c r="BR218" s="16">
        <f t="shared" si="114"/>
        <v>-87433.501489350878</v>
      </c>
      <c r="BS218" s="16">
        <f t="shared" si="115"/>
        <v>-88133.501489350863</v>
      </c>
      <c r="BT218" s="25">
        <f>IF([1]Sheet2!CB217=999999,"NA",[1]Sheet2!CB217)</f>
        <v>0</v>
      </c>
      <c r="BU218" s="25">
        <f>IF([1]Sheet2!CC217=999999,"NA",[1]Sheet2!CC217)</f>
        <v>0</v>
      </c>
      <c r="BV218" s="25">
        <f>IF([1]Sheet2!CD217=999999,"NA",[1]Sheet2!CD217)</f>
        <v>0</v>
      </c>
      <c r="BW218" s="25">
        <f>IF([1]Sheet2!CE217=999999,"NA",[1]Sheet2!CE217)</f>
        <v>0</v>
      </c>
      <c r="BX218" s="25">
        <f>IF([1]Sheet2!CF217=999999,"NA",[1]Sheet2!CF217)</f>
        <v>0</v>
      </c>
      <c r="BY218" s="25">
        <f>IF([1]Sheet2!CG217=999999,"NA",[1]Sheet2!CG217)</f>
        <v>0</v>
      </c>
      <c r="BZ218" s="25">
        <f>IF([1]Sheet2!CH217=999999,"NA",[1]Sheet2!CH217)</f>
        <v>0</v>
      </c>
      <c r="CA218" s="25">
        <f>IF([1]Sheet2!CI217=999999,"NA",[1]Sheet2!CI217)</f>
        <v>0</v>
      </c>
      <c r="CB218" s="25">
        <f>IF([1]Sheet2!CJ217=999999,"NA",[1]Sheet2!CJ217)</f>
        <v>0</v>
      </c>
      <c r="CC218" s="25">
        <f>IF([1]Sheet2!CK217=999999,"NA",[1]Sheet2!CK217)</f>
        <v>0</v>
      </c>
      <c r="CD218" s="25">
        <f>[1]Sheet2!BH217</f>
        <v>0</v>
      </c>
      <c r="CE218" s="25">
        <f>[1]Sheet2!BI217</f>
        <v>0</v>
      </c>
      <c r="CF218" s="25">
        <f>[1]Sheet2!BJ217</f>
        <v>0</v>
      </c>
      <c r="CG218" s="25">
        <f>[1]Sheet2!BK217</f>
        <v>0</v>
      </c>
      <c r="CH218" s="25">
        <f>[1]Sheet2!BL217</f>
        <v>0</v>
      </c>
      <c r="CI218" s="25">
        <f>[1]Sheet2!BM217</f>
        <v>0</v>
      </c>
      <c r="CJ218" s="25">
        <f>[1]Sheet2!BN217</f>
        <v>0</v>
      </c>
      <c r="CK218" s="25">
        <f>[1]Sheet2!BO217</f>
        <v>0</v>
      </c>
      <c r="CL218" s="25">
        <f>[1]Sheet2!BP217</f>
        <v>0</v>
      </c>
      <c r="CM218" s="25">
        <f>[1]Sheet2!BQ217</f>
        <v>0</v>
      </c>
      <c r="CN218" s="26">
        <f>Demand_SW!B$10/31</f>
        <v>131.01736972704714</v>
      </c>
      <c r="CO218" s="26">
        <f>Demand_SW!C$10/31</f>
        <v>0</v>
      </c>
      <c r="CP218" s="26">
        <f>Demand_SW!D$10/31</f>
        <v>0</v>
      </c>
      <c r="CQ218" s="26">
        <f>Demand_SW!E$10/31</f>
        <v>0</v>
      </c>
      <c r="CR218" s="26">
        <f>Demand_SW!F$10/31</f>
        <v>0</v>
      </c>
      <c r="CS218" s="26">
        <f>Demand_SW!G$10/31</f>
        <v>131.01736972704714</v>
      </c>
      <c r="CT218" s="26">
        <f>Demand_SW!H$10/31</f>
        <v>0</v>
      </c>
      <c r="CU218" s="26">
        <f>Demand_SW!I$10/31</f>
        <v>0</v>
      </c>
      <c r="CV218" s="26">
        <f>Demand_SW!J$10/31</f>
        <v>0</v>
      </c>
      <c r="CW218" s="26">
        <f>Demand_SW!K$10/31</f>
        <v>0</v>
      </c>
      <c r="CX218" s="16">
        <f t="shared" si="116"/>
        <v>-24052.282878411937</v>
      </c>
      <c r="CY218" s="16">
        <f t="shared" si="117"/>
        <v>76.923076923077133</v>
      </c>
      <c r="CZ218" s="16">
        <f t="shared" si="118"/>
        <v>0</v>
      </c>
      <c r="DA218" s="16">
        <f t="shared" si="119"/>
        <v>0</v>
      </c>
      <c r="DB218" s="16">
        <f t="shared" si="120"/>
        <v>0</v>
      </c>
      <c r="DC218" s="16">
        <f t="shared" si="121"/>
        <v>-23581.513647642707</v>
      </c>
      <c r="DD218" s="16">
        <f t="shared" si="122"/>
        <v>76.923076923077133</v>
      </c>
      <c r="DE218" s="16">
        <f t="shared" si="123"/>
        <v>0</v>
      </c>
      <c r="DF218" s="16">
        <f t="shared" si="124"/>
        <v>0</v>
      </c>
      <c r="DG218" s="16">
        <f t="shared" si="125"/>
        <v>0</v>
      </c>
      <c r="DH218" s="25">
        <f>IF([1]Sheet2!DS217=999999,"NA",[1]Sheet2!DS217)</f>
        <v>0</v>
      </c>
      <c r="DI218" s="25">
        <f>IF([1]Sheet2!DT217=999999,"NA",[1]Sheet2!DT217)</f>
        <v>150</v>
      </c>
      <c r="DJ218" s="25" t="str">
        <f>IF([1]Sheet2!DU217=999999,"NA",[1]Sheet2!DU217)</f>
        <v>NA</v>
      </c>
      <c r="DK218" s="25" t="str">
        <f>IF([1]Sheet2!DV217=999999,"NA",[1]Sheet2!DV217)</f>
        <v>NA</v>
      </c>
      <c r="DL218" s="25" t="str">
        <f>IF([1]Sheet2!DW217=999999,"NA",[1]Sheet2!DW217)</f>
        <v>NA</v>
      </c>
      <c r="DM218" s="25">
        <f>IF([1]Sheet2!DX217=999999,"NA",[1]Sheet2!DX217)</f>
        <v>0</v>
      </c>
      <c r="DN218" s="25">
        <f>IF([1]Sheet2!DY217=999999,"NA",[1]Sheet2!DY217)</f>
        <v>150</v>
      </c>
      <c r="DO218" s="25" t="str">
        <f>IF([1]Sheet2!DZ217=999999,"NA",[1]Sheet2!DZ217)</f>
        <v>NA</v>
      </c>
      <c r="DP218" s="25" t="str">
        <f>IF([1]Sheet2!EA217=999999,"NA",[1]Sheet2!EA217)</f>
        <v>NA</v>
      </c>
      <c r="DQ218" s="25" t="str">
        <f>IF([1]Sheet2!EB217=999999,"NA",[1]Sheet2!EB217)</f>
        <v>NA</v>
      </c>
      <c r="DR218" s="25">
        <f>[1]Sheet2!CY217</f>
        <v>0</v>
      </c>
      <c r="DS218" s="25">
        <f>[1]Sheet2!CZ217</f>
        <v>0</v>
      </c>
      <c r="DT218" s="25">
        <f>[1]Sheet2!DA217</f>
        <v>0</v>
      </c>
      <c r="DU218" s="25">
        <f>[1]Sheet2!DB217</f>
        <v>0</v>
      </c>
      <c r="DV218" s="25">
        <f>[1]Sheet2!DC217</f>
        <v>0</v>
      </c>
      <c r="DW218" s="25">
        <f>[1]Sheet2!DD217</f>
        <v>0</v>
      </c>
      <c r="DX218" s="25">
        <f>[1]Sheet2!DE217</f>
        <v>0</v>
      </c>
      <c r="DY218" s="25">
        <f>[1]Sheet2!DF217</f>
        <v>0</v>
      </c>
      <c r="DZ218" s="25">
        <f>[1]Sheet2!DG217</f>
        <v>0</v>
      </c>
      <c r="EA218" s="25">
        <f>[1]Sheet2!DH217</f>
        <v>0</v>
      </c>
      <c r="EB218" s="27">
        <f>[1]Sheet2!EC217</f>
        <v>0</v>
      </c>
      <c r="EC218" s="27">
        <f>[1]Sheet2!ED217</f>
        <v>0</v>
      </c>
      <c r="ED218" s="27">
        <f>[1]Sheet2!EE217</f>
        <v>0</v>
      </c>
      <c r="EE218" s="27">
        <f>[1]Sheet2!EF217</f>
        <v>0</v>
      </c>
      <c r="EF218" s="27">
        <f>[1]Sheet2!EG217</f>
        <v>0</v>
      </c>
      <c r="EG218" s="27">
        <f>[1]Sheet2!EH217</f>
        <v>0</v>
      </c>
      <c r="EH218" s="27">
        <f>[1]Sheet2!EI217</f>
        <v>0</v>
      </c>
      <c r="EI218" s="27">
        <f>[1]Sheet2!EJ217</f>
        <v>0</v>
      </c>
      <c r="EJ218" s="27">
        <f>[1]Sheet2!EK217</f>
        <v>0</v>
      </c>
      <c r="EK218" s="27">
        <f>[1]Sheet2!EL217</f>
        <v>0</v>
      </c>
      <c r="EL218" s="6" t="str">
        <f>[1]Sheet2!EM217</f>
        <v/>
      </c>
      <c r="EM218" s="6" t="str">
        <f>[1]Sheet2!EN217</f>
        <v/>
      </c>
      <c r="EN218" s="6" t="str">
        <f>[1]Sheet2!EO217</f>
        <v/>
      </c>
      <c r="EO218" s="6" t="str">
        <f>[1]Sheet2!EP217</f>
        <v/>
      </c>
      <c r="EP218" s="6" t="str">
        <f>[1]Sheet2!EQ217</f>
        <v/>
      </c>
      <c r="EQ218" s="6" t="str">
        <f>[1]Sheet2!ER217</f>
        <v/>
      </c>
      <c r="ER218" s="6" t="str">
        <f>[1]Sheet2!ES217</f>
        <v/>
      </c>
      <c r="ES218" s="6" t="str">
        <f>[1]Sheet2!ET217</f>
        <v/>
      </c>
      <c r="ET218" s="6" t="str">
        <f>[1]Sheet2!EU217</f>
        <v/>
      </c>
      <c r="EU218" s="6" t="str">
        <f>[1]Sheet2!EV217</f>
        <v/>
      </c>
      <c r="EV218" s="6" t="str">
        <f>[1]Sheet2!EW217</f>
        <v/>
      </c>
      <c r="EW218" s="6" t="str">
        <f>[1]Sheet2!EX217</f>
        <v/>
      </c>
      <c r="EX218" s="6" t="str">
        <f>[1]Sheet2!EY217</f>
        <v/>
      </c>
      <c r="EY218" s="6" t="str">
        <f>[1]Sheet2!EZ217</f>
        <v/>
      </c>
      <c r="EZ218" s="6" t="str">
        <f>[1]Sheet2!FA217</f>
        <v/>
      </c>
      <c r="FA218" s="6" t="str">
        <f>[1]Sheet2!FB217</f>
        <v/>
      </c>
      <c r="FB218" s="6" t="str">
        <f>[1]Sheet2!FC217</f>
        <v/>
      </c>
      <c r="FC218" s="6" t="str">
        <f>[1]Sheet2!FD217</f>
        <v/>
      </c>
      <c r="FD218" s="6" t="str">
        <f>[1]Sheet2!FE217</f>
        <v/>
      </c>
      <c r="FE218" s="6" t="str">
        <f>[1]Sheet2!FF217</f>
        <v/>
      </c>
      <c r="FF218" s="6" t="str">
        <f>[1]Sheet2!FG217</f>
        <v/>
      </c>
      <c r="FG218" s="6" t="str">
        <f>[1]Sheet2!FH217</f>
        <v/>
      </c>
      <c r="FH218" s="6" t="str">
        <f>[1]Sheet2!FI217</f>
        <v/>
      </c>
      <c r="FI218" s="6" t="str">
        <f>[1]Sheet2!FJ217</f>
        <v/>
      </c>
      <c r="FJ218" s="6" t="str">
        <f>[1]Sheet2!FK217</f>
        <v/>
      </c>
      <c r="FK218" s="6" t="str">
        <f>[1]Sheet2!FL217</f>
        <v/>
      </c>
      <c r="FL218" s="6" t="str">
        <f>[1]Sheet2!FM217</f>
        <v/>
      </c>
      <c r="FM218" s="6" t="str">
        <f>[1]Sheet2!FN217</f>
        <v/>
      </c>
      <c r="FN218" s="6" t="str">
        <f>[1]Sheet2!FO217</f>
        <v/>
      </c>
      <c r="FO218" s="6" t="str">
        <f>[1]Sheet2!FP217</f>
        <v/>
      </c>
    </row>
    <row r="219" spans="1:171" x14ac:dyDescent="0.25">
      <c r="A219" s="15">
        <v>43681</v>
      </c>
      <c r="B219" s="1"/>
      <c r="C219" s="1"/>
      <c r="D219" s="1"/>
      <c r="E219" s="14">
        <f>[1]Sheet2!N218</f>
        <v>0</v>
      </c>
      <c r="F219" s="14">
        <f>[1]Sheet2!BE218</f>
        <v>0</v>
      </c>
      <c r="G219" s="14">
        <f>[1]Sheet2!CW218</f>
        <v>0</v>
      </c>
      <c r="H219" s="1"/>
      <c r="I219" s="1"/>
      <c r="J219" s="1"/>
      <c r="K219" s="16"/>
      <c r="L219" s="16">
        <f>Demand_CWRS!B$10/31</f>
        <v>120.8438508064516</v>
      </c>
      <c r="M219" s="16">
        <f>Demand_CWRS!C$10/31</f>
        <v>552.80165425971859</v>
      </c>
      <c r="N219" s="16">
        <f>Demand_CWRS!D$10/31</f>
        <v>0</v>
      </c>
      <c r="O219" s="16">
        <f>Demand_CWRS!E$10/31</f>
        <v>141.75971877584777</v>
      </c>
      <c r="P219" s="16">
        <f>Demand_CWRS!F$10/31</f>
        <v>252.70758116211746</v>
      </c>
      <c r="Q219" s="16">
        <f>Demand_CWRS!G$10/31</f>
        <v>116.12903225806451</v>
      </c>
      <c r="R219" s="16">
        <f>Demand_CWRS!H$10/31</f>
        <v>252.70758116211746</v>
      </c>
      <c r="S219" s="16">
        <f>Demand_CWRS!I$10/31</f>
        <v>252.70758116211746</v>
      </c>
      <c r="T219" s="16">
        <f>Demand_CWRS!J$10/31</f>
        <v>252.70758116211746</v>
      </c>
      <c r="U219" s="16">
        <f>Demand_CWRS!K$10/31</f>
        <v>252.70758116211746</v>
      </c>
      <c r="V219" s="16">
        <f t="shared" si="96"/>
        <v>-27104.848238699229</v>
      </c>
      <c r="W219" s="16">
        <f t="shared" si="97"/>
        <v>-105180.18866832058</v>
      </c>
      <c r="X219" s="16">
        <f t="shared" si="98"/>
        <v>0</v>
      </c>
      <c r="Y219" s="16">
        <f t="shared" si="99"/>
        <v>-18460.482091591519</v>
      </c>
      <c r="Z219" s="16">
        <f t="shared" si="100"/>
        <v>-45887.419560083355</v>
      </c>
      <c r="AA219" s="16">
        <f t="shared" si="101"/>
        <v>-25760.215815467251</v>
      </c>
      <c r="AB219" s="16">
        <f t="shared" si="102"/>
        <v>-50196.584335724314</v>
      </c>
      <c r="AC219" s="16">
        <f t="shared" si="103"/>
        <v>-44403.574079314123</v>
      </c>
      <c r="AD219" s="16">
        <f t="shared" si="104"/>
        <v>-44503.574079314116</v>
      </c>
      <c r="AE219" s="16">
        <f t="shared" si="105"/>
        <v>-45103.574079314109</v>
      </c>
      <c r="AF219" s="14">
        <f>IF([1]Sheet2!AJ218=999999,"NA",[1]Sheet2!AJ218)</f>
        <v>0</v>
      </c>
      <c r="AG219" s="14">
        <f>IF([1]Sheet2!AK218=999999,"NA",[1]Sheet2!AK218)</f>
        <v>0</v>
      </c>
      <c r="AH219" s="14" t="str">
        <f>IF([1]Sheet2!AL218=999999,"NA",[1]Sheet2!AL218)</f>
        <v>NA</v>
      </c>
      <c r="AI219" s="14">
        <f>IF([1]Sheet2!AM218=999999,"NA",[1]Sheet2!AM218)</f>
        <v>0</v>
      </c>
      <c r="AJ219" s="14">
        <f>IF([1]Sheet2!AN218=999999,"NA",[1]Sheet2!AN218)</f>
        <v>0</v>
      </c>
      <c r="AK219" s="14">
        <f>IF([1]Sheet2!AO218=999999,"NA",[1]Sheet2!AO218)</f>
        <v>0</v>
      </c>
      <c r="AL219" s="14">
        <f>IF([1]Sheet2!AP218=999999,"NA",[1]Sheet2!AP218)</f>
        <v>0</v>
      </c>
      <c r="AM219" s="14">
        <f>IF([1]Sheet2!AQ218=999999,"NA",[1]Sheet2!AQ218)</f>
        <v>0</v>
      </c>
      <c r="AN219" s="14">
        <f>IF([1]Sheet2!AR218=999999,"NA",[1]Sheet2!AR218)</f>
        <v>0</v>
      </c>
      <c r="AO219" s="14">
        <f>IF([1]Sheet2!AS218=999999,"NA",[1]Sheet2!AS218)</f>
        <v>0</v>
      </c>
      <c r="AP219" s="14">
        <f>[1]Sheet2!P218</f>
        <v>0</v>
      </c>
      <c r="AQ219" s="14">
        <f>[1]Sheet2!Q218</f>
        <v>0</v>
      </c>
      <c r="AR219" s="14">
        <f>[1]Sheet2!R218</f>
        <v>0</v>
      </c>
      <c r="AS219" s="14">
        <f>[1]Sheet2!S218</f>
        <v>0</v>
      </c>
      <c r="AT219" s="14">
        <f>[1]Sheet2!T218</f>
        <v>0</v>
      </c>
      <c r="AU219" s="14">
        <f>[1]Sheet2!U218</f>
        <v>0</v>
      </c>
      <c r="AV219" s="14">
        <f>[1]Sheet2!V218</f>
        <v>0</v>
      </c>
      <c r="AW219" s="14">
        <f>[1]Sheet2!W218</f>
        <v>0</v>
      </c>
      <c r="AX219" s="14">
        <f>[1]Sheet2!X218</f>
        <v>0</v>
      </c>
      <c r="AY219" s="14">
        <f>[1]Sheet2!Y218</f>
        <v>0</v>
      </c>
      <c r="AZ219" s="16">
        <f>Demand_LP!B$10/31</f>
        <v>857.18246226220015</v>
      </c>
      <c r="BA219" s="16">
        <f>Demand_LP!C$10/31</f>
        <v>528.30835401157981</v>
      </c>
      <c r="BB219" s="16">
        <f>Demand_LP!D$10/31</f>
        <v>338.76323407775027</v>
      </c>
      <c r="BC219" s="16">
        <f>Demand_LP!E$10/31</f>
        <v>735.04776674937955</v>
      </c>
      <c r="BD219" s="16">
        <f>Demand_LP!F$10/31</f>
        <v>479.51259046732832</v>
      </c>
      <c r="BE219" s="16">
        <f>Demand_LP!G$10/31</f>
        <v>479.51259046732832</v>
      </c>
      <c r="BF219" s="16">
        <f>Demand_LP!H$10/31</f>
        <v>528.30835401157981</v>
      </c>
      <c r="BG219" s="16">
        <f>Demand_LP!I$10/31</f>
        <v>479.51259046732832</v>
      </c>
      <c r="BH219" s="16">
        <f>Demand_LP!J$10/31</f>
        <v>479.51259046732832</v>
      </c>
      <c r="BI219" s="16">
        <f>Demand_LP!K$10/31</f>
        <v>479.51259046732832</v>
      </c>
      <c r="BJ219" s="16">
        <f t="shared" si="106"/>
        <v>-156841.63492253324</v>
      </c>
      <c r="BK219" s="16">
        <f t="shared" si="107"/>
        <v>-124878.81546732812</v>
      </c>
      <c r="BL219" s="16">
        <f t="shared" si="108"/>
        <v>-58443.992679900795</v>
      </c>
      <c r="BM219" s="16">
        <f t="shared" si="109"/>
        <v>-156984.39233282002</v>
      </c>
      <c r="BN219" s="16">
        <f t="shared" si="110"/>
        <v>-91855.330161447433</v>
      </c>
      <c r="BO219" s="16">
        <f t="shared" si="111"/>
        <v>-90313.014079818167</v>
      </c>
      <c r="BP219" s="16">
        <f t="shared" si="112"/>
        <v>-119236.39495450763</v>
      </c>
      <c r="BQ219" s="16">
        <f t="shared" si="113"/>
        <v>-90313.014079818167</v>
      </c>
      <c r="BR219" s="16">
        <f t="shared" si="114"/>
        <v>-87913.014079818211</v>
      </c>
      <c r="BS219" s="16">
        <f t="shared" si="115"/>
        <v>-88613.014079818196</v>
      </c>
      <c r="BT219" s="14">
        <f>IF([1]Sheet2!CB218=999999,"NA",[1]Sheet2!CB218)</f>
        <v>0</v>
      </c>
      <c r="BU219" s="14">
        <f>IF([1]Sheet2!CC218=999999,"NA",[1]Sheet2!CC218)</f>
        <v>0</v>
      </c>
      <c r="BV219" s="14">
        <f>IF([1]Sheet2!CD218=999999,"NA",[1]Sheet2!CD218)</f>
        <v>0</v>
      </c>
      <c r="BW219" s="14">
        <f>IF([1]Sheet2!CE218=999999,"NA",[1]Sheet2!CE218)</f>
        <v>0</v>
      </c>
      <c r="BX219" s="14">
        <f>IF([1]Sheet2!CF218=999999,"NA",[1]Sheet2!CF218)</f>
        <v>0</v>
      </c>
      <c r="BY219" s="14">
        <f>IF([1]Sheet2!CG218=999999,"NA",[1]Sheet2!CG218)</f>
        <v>0</v>
      </c>
      <c r="BZ219" s="14">
        <f>IF([1]Sheet2!CH218=999999,"NA",[1]Sheet2!CH218)</f>
        <v>0</v>
      </c>
      <c r="CA219" s="14">
        <f>IF([1]Sheet2!CI218=999999,"NA",[1]Sheet2!CI218)</f>
        <v>0</v>
      </c>
      <c r="CB219" s="14">
        <f>IF([1]Sheet2!CJ218=999999,"NA",[1]Sheet2!CJ218)</f>
        <v>0</v>
      </c>
      <c r="CC219" s="14">
        <f>IF([1]Sheet2!CK218=999999,"NA",[1]Sheet2!CK218)</f>
        <v>0</v>
      </c>
      <c r="CD219" s="14">
        <f>[1]Sheet2!BH218</f>
        <v>0</v>
      </c>
      <c r="CE219" s="14">
        <f>[1]Sheet2!BI218</f>
        <v>0</v>
      </c>
      <c r="CF219" s="14">
        <f>[1]Sheet2!BJ218</f>
        <v>0</v>
      </c>
      <c r="CG219" s="14">
        <f>[1]Sheet2!BK218</f>
        <v>0</v>
      </c>
      <c r="CH219" s="14">
        <f>[1]Sheet2!BL218</f>
        <v>0</v>
      </c>
      <c r="CI219" s="14">
        <f>[1]Sheet2!BM218</f>
        <v>0</v>
      </c>
      <c r="CJ219" s="14">
        <f>[1]Sheet2!BN218</f>
        <v>0</v>
      </c>
      <c r="CK219" s="14">
        <f>[1]Sheet2!BO218</f>
        <v>0</v>
      </c>
      <c r="CL219" s="14">
        <f>[1]Sheet2!BP218</f>
        <v>0</v>
      </c>
      <c r="CM219" s="14">
        <f>[1]Sheet2!BQ218</f>
        <v>0</v>
      </c>
      <c r="CN219" s="16">
        <f>Demand_SW!B$10/31</f>
        <v>131.01736972704714</v>
      </c>
      <c r="CO219" s="16">
        <f>Demand_SW!C$10/31</f>
        <v>0</v>
      </c>
      <c r="CP219" s="16">
        <f>Demand_SW!D$10/31</f>
        <v>0</v>
      </c>
      <c r="CQ219" s="16">
        <f>Demand_SW!E$10/31</f>
        <v>0</v>
      </c>
      <c r="CR219" s="16">
        <f>Demand_SW!F$10/31</f>
        <v>0</v>
      </c>
      <c r="CS219" s="16">
        <f>Demand_SW!G$10/31</f>
        <v>131.01736972704714</v>
      </c>
      <c r="CT219" s="16">
        <f>Demand_SW!H$10/31</f>
        <v>0</v>
      </c>
      <c r="CU219" s="16">
        <f>Demand_SW!I$10/31</f>
        <v>0</v>
      </c>
      <c r="CV219" s="16">
        <f>Demand_SW!J$10/31</f>
        <v>0</v>
      </c>
      <c r="CW219" s="16">
        <f>Demand_SW!K$10/31</f>
        <v>0</v>
      </c>
      <c r="CX219" s="16">
        <f t="shared" si="116"/>
        <v>-24183.300248138985</v>
      </c>
      <c r="CY219" s="16">
        <f t="shared" si="117"/>
        <v>76.923076923077133</v>
      </c>
      <c r="CZ219" s="16">
        <f t="shared" si="118"/>
        <v>0</v>
      </c>
      <c r="DA219" s="16">
        <f t="shared" si="119"/>
        <v>0</v>
      </c>
      <c r="DB219" s="16">
        <f t="shared" si="120"/>
        <v>0</v>
      </c>
      <c r="DC219" s="16">
        <f t="shared" si="121"/>
        <v>-23712.531017369754</v>
      </c>
      <c r="DD219" s="16">
        <f t="shared" si="122"/>
        <v>76.923076923077133</v>
      </c>
      <c r="DE219" s="16">
        <f t="shared" si="123"/>
        <v>0</v>
      </c>
      <c r="DF219" s="16">
        <f t="shared" si="124"/>
        <v>0</v>
      </c>
      <c r="DG219" s="16">
        <f t="shared" si="125"/>
        <v>0</v>
      </c>
      <c r="DH219" s="14">
        <f>IF([1]Sheet2!DS218=999999,"NA",[1]Sheet2!DS218)</f>
        <v>0</v>
      </c>
      <c r="DI219" s="14">
        <f>IF([1]Sheet2!DT218=999999,"NA",[1]Sheet2!DT218)</f>
        <v>149</v>
      </c>
      <c r="DJ219" s="14" t="str">
        <f>IF([1]Sheet2!DU218=999999,"NA",[1]Sheet2!DU218)</f>
        <v>NA</v>
      </c>
      <c r="DK219" s="14" t="str">
        <f>IF([1]Sheet2!DV218=999999,"NA",[1]Sheet2!DV218)</f>
        <v>NA</v>
      </c>
      <c r="DL219" s="14" t="str">
        <f>IF([1]Sheet2!DW218=999999,"NA",[1]Sheet2!DW218)</f>
        <v>NA</v>
      </c>
      <c r="DM219" s="14">
        <f>IF([1]Sheet2!DX218=999999,"NA",[1]Sheet2!DX218)</f>
        <v>0</v>
      </c>
      <c r="DN219" s="14">
        <f>IF([1]Sheet2!DY218=999999,"NA",[1]Sheet2!DY218)</f>
        <v>149</v>
      </c>
      <c r="DO219" s="14" t="str">
        <f>IF([1]Sheet2!DZ218=999999,"NA",[1]Sheet2!DZ218)</f>
        <v>NA</v>
      </c>
      <c r="DP219" s="14" t="str">
        <f>IF([1]Sheet2!EA218=999999,"NA",[1]Sheet2!EA218)</f>
        <v>NA</v>
      </c>
      <c r="DQ219" s="14" t="str">
        <f>IF([1]Sheet2!EB218=999999,"NA",[1]Sheet2!EB218)</f>
        <v>NA</v>
      </c>
      <c r="DR219" s="14">
        <f>[1]Sheet2!CY218</f>
        <v>0</v>
      </c>
      <c r="DS219" s="14">
        <f>[1]Sheet2!CZ218</f>
        <v>0</v>
      </c>
      <c r="DT219" s="14">
        <f>[1]Sheet2!DA218</f>
        <v>0</v>
      </c>
      <c r="DU219" s="14">
        <f>[1]Sheet2!DB218</f>
        <v>0</v>
      </c>
      <c r="DV219" s="14">
        <f>[1]Sheet2!DC218</f>
        <v>0</v>
      </c>
      <c r="DW219" s="14">
        <f>[1]Sheet2!DD218</f>
        <v>0</v>
      </c>
      <c r="DX219" s="14">
        <f>[1]Sheet2!DE218</f>
        <v>0</v>
      </c>
      <c r="DY219" s="14">
        <f>[1]Sheet2!DF218</f>
        <v>0</v>
      </c>
      <c r="DZ219" s="14">
        <f>[1]Sheet2!DG218</f>
        <v>0</v>
      </c>
      <c r="EA219" s="14">
        <f>[1]Sheet2!DH218</f>
        <v>0</v>
      </c>
      <c r="EB219" s="6">
        <f>[1]Sheet2!EC218</f>
        <v>0</v>
      </c>
      <c r="EC219" s="6">
        <f>[1]Sheet2!ED218</f>
        <v>0</v>
      </c>
      <c r="ED219" s="6">
        <f>[1]Sheet2!EE218</f>
        <v>0</v>
      </c>
      <c r="EE219" s="6">
        <f>[1]Sheet2!EF218</f>
        <v>0</v>
      </c>
      <c r="EF219" s="6">
        <f>[1]Sheet2!EG218</f>
        <v>0</v>
      </c>
      <c r="EG219" s="6">
        <f>[1]Sheet2!EH218</f>
        <v>0</v>
      </c>
      <c r="EH219" s="6">
        <f>[1]Sheet2!EI218</f>
        <v>0</v>
      </c>
      <c r="EI219" s="6">
        <f>[1]Sheet2!EJ218</f>
        <v>0</v>
      </c>
      <c r="EJ219" s="6">
        <f>[1]Sheet2!EK218</f>
        <v>0</v>
      </c>
      <c r="EK219" s="6">
        <f>[1]Sheet2!EL218</f>
        <v>0</v>
      </c>
      <c r="EL219" s="6" t="str">
        <f>[1]Sheet2!EM218</f>
        <v/>
      </c>
      <c r="EM219" s="6" t="str">
        <f>[1]Sheet2!EN218</f>
        <v/>
      </c>
      <c r="EN219" s="6" t="str">
        <f>[1]Sheet2!EO218</f>
        <v/>
      </c>
      <c r="EO219" s="6" t="str">
        <f>[1]Sheet2!EP218</f>
        <v/>
      </c>
      <c r="EP219" s="6" t="str">
        <f>[1]Sheet2!EQ218</f>
        <v/>
      </c>
      <c r="EQ219" s="6" t="str">
        <f>[1]Sheet2!ER218</f>
        <v/>
      </c>
      <c r="ER219" s="6" t="str">
        <f>[1]Sheet2!ES218</f>
        <v/>
      </c>
      <c r="ES219" s="6" t="str">
        <f>[1]Sheet2!ET218</f>
        <v/>
      </c>
      <c r="ET219" s="6" t="str">
        <f>[1]Sheet2!EU218</f>
        <v/>
      </c>
      <c r="EU219" s="6" t="str">
        <f>[1]Sheet2!EV218</f>
        <v/>
      </c>
      <c r="EV219" s="6" t="str">
        <f>[1]Sheet2!EW218</f>
        <v/>
      </c>
      <c r="EW219" s="6" t="str">
        <f>[1]Sheet2!EX218</f>
        <v/>
      </c>
      <c r="EX219" s="6" t="str">
        <f>[1]Sheet2!EY218</f>
        <v/>
      </c>
      <c r="EY219" s="6" t="str">
        <f>[1]Sheet2!EZ218</f>
        <v/>
      </c>
      <c r="EZ219" s="6" t="str">
        <f>[1]Sheet2!FA218</f>
        <v/>
      </c>
      <c r="FA219" s="6" t="str">
        <f>[1]Sheet2!FB218</f>
        <v/>
      </c>
      <c r="FB219" s="6" t="str">
        <f>[1]Sheet2!FC218</f>
        <v/>
      </c>
      <c r="FC219" s="6" t="str">
        <f>[1]Sheet2!FD218</f>
        <v/>
      </c>
      <c r="FD219" s="6" t="str">
        <f>[1]Sheet2!FE218</f>
        <v/>
      </c>
      <c r="FE219" s="6" t="str">
        <f>[1]Sheet2!FF218</f>
        <v/>
      </c>
      <c r="FF219" s="6" t="str">
        <f>[1]Sheet2!FG218</f>
        <v/>
      </c>
      <c r="FG219" s="6" t="str">
        <f>[1]Sheet2!FH218</f>
        <v/>
      </c>
      <c r="FH219" s="6" t="str">
        <f>[1]Sheet2!FI218</f>
        <v/>
      </c>
      <c r="FI219" s="6" t="str">
        <f>[1]Sheet2!FJ218</f>
        <v/>
      </c>
      <c r="FJ219" s="6" t="str">
        <f>[1]Sheet2!FK218</f>
        <v/>
      </c>
      <c r="FK219" s="6" t="str">
        <f>[1]Sheet2!FL218</f>
        <v/>
      </c>
      <c r="FL219" s="6" t="str">
        <f>[1]Sheet2!FM218</f>
        <v/>
      </c>
      <c r="FM219" s="6" t="str">
        <f>[1]Sheet2!FN218</f>
        <v/>
      </c>
      <c r="FN219" s="6" t="str">
        <f>[1]Sheet2!FO218</f>
        <v/>
      </c>
      <c r="FO219" s="6" t="str">
        <f>[1]Sheet2!FP218</f>
        <v/>
      </c>
    </row>
    <row r="220" spans="1:171" s="27" customFormat="1" x14ac:dyDescent="0.25">
      <c r="A220" s="23">
        <v>43682</v>
      </c>
      <c r="B220" s="24"/>
      <c r="C220" s="24"/>
      <c r="D220" s="24"/>
      <c r="E220" s="25">
        <f>[1]Sheet2!N219</f>
        <v>0</v>
      </c>
      <c r="F220" s="25">
        <f>[1]Sheet2!BE219</f>
        <v>0</v>
      </c>
      <c r="G220" s="25">
        <f>[1]Sheet2!CW219</f>
        <v>0</v>
      </c>
      <c r="H220" s="24"/>
      <c r="I220" s="24"/>
      <c r="J220" s="24"/>
      <c r="K220" s="26"/>
      <c r="L220" s="26">
        <f>Demand_CWRS!B$10/31</f>
        <v>120.8438508064516</v>
      </c>
      <c r="M220" s="26">
        <f>Demand_CWRS!C$10/31</f>
        <v>552.80165425971859</v>
      </c>
      <c r="N220" s="26">
        <f>Demand_CWRS!D$10/31</f>
        <v>0</v>
      </c>
      <c r="O220" s="26">
        <f>Demand_CWRS!E$10/31</f>
        <v>141.75971877584777</v>
      </c>
      <c r="P220" s="26">
        <f>Demand_CWRS!F$10/31</f>
        <v>252.70758116211746</v>
      </c>
      <c r="Q220" s="26">
        <f>Demand_CWRS!G$10/31</f>
        <v>116.12903225806451</v>
      </c>
      <c r="R220" s="26">
        <f>Demand_CWRS!H$10/31</f>
        <v>252.70758116211746</v>
      </c>
      <c r="S220" s="26">
        <f>Demand_CWRS!I$10/31</f>
        <v>252.70758116211746</v>
      </c>
      <c r="T220" s="26">
        <f>Demand_CWRS!J$10/31</f>
        <v>252.70758116211746</v>
      </c>
      <c r="U220" s="26">
        <f>Demand_CWRS!K$10/31</f>
        <v>252.70758116211746</v>
      </c>
      <c r="V220" s="16">
        <f t="shared" si="96"/>
        <v>-27225.692089505679</v>
      </c>
      <c r="W220" s="16">
        <f t="shared" si="97"/>
        <v>-105732.9903225803</v>
      </c>
      <c r="X220" s="16">
        <f t="shared" si="98"/>
        <v>0</v>
      </c>
      <c r="Y220" s="16">
        <f t="shared" si="99"/>
        <v>-18602.241810367366</v>
      </c>
      <c r="Z220" s="16">
        <f t="shared" si="100"/>
        <v>-46140.127141245473</v>
      </c>
      <c r="AA220" s="16">
        <f t="shared" si="101"/>
        <v>-25876.344847725315</v>
      </c>
      <c r="AB220" s="16">
        <f t="shared" si="102"/>
        <v>-50449.291916886432</v>
      </c>
      <c r="AC220" s="16">
        <f t="shared" si="103"/>
        <v>-44656.281660476241</v>
      </c>
      <c r="AD220" s="16">
        <f t="shared" si="104"/>
        <v>-44756.281660476234</v>
      </c>
      <c r="AE220" s="16">
        <f t="shared" si="105"/>
        <v>-45356.281660476227</v>
      </c>
      <c r="AF220" s="25">
        <f>IF([1]Sheet2!AJ219=999999,"NA",[1]Sheet2!AJ219)</f>
        <v>0</v>
      </c>
      <c r="AG220" s="25">
        <f>IF([1]Sheet2!AK219=999999,"NA",[1]Sheet2!AK219)</f>
        <v>0</v>
      </c>
      <c r="AH220" s="25" t="str">
        <f>IF([1]Sheet2!AL219=999999,"NA",[1]Sheet2!AL219)</f>
        <v>NA</v>
      </c>
      <c r="AI220" s="25">
        <f>IF([1]Sheet2!AM219=999999,"NA",[1]Sheet2!AM219)</f>
        <v>0</v>
      </c>
      <c r="AJ220" s="25">
        <f>IF([1]Sheet2!AN219=999999,"NA",[1]Sheet2!AN219)</f>
        <v>0</v>
      </c>
      <c r="AK220" s="25">
        <f>IF([1]Sheet2!AO219=999999,"NA",[1]Sheet2!AO219)</f>
        <v>0</v>
      </c>
      <c r="AL220" s="25">
        <f>IF([1]Sheet2!AP219=999999,"NA",[1]Sheet2!AP219)</f>
        <v>0</v>
      </c>
      <c r="AM220" s="25">
        <f>IF([1]Sheet2!AQ219=999999,"NA",[1]Sheet2!AQ219)</f>
        <v>0</v>
      </c>
      <c r="AN220" s="25">
        <f>IF([1]Sheet2!AR219=999999,"NA",[1]Sheet2!AR219)</f>
        <v>0</v>
      </c>
      <c r="AO220" s="25">
        <f>IF([1]Sheet2!AS219=999999,"NA",[1]Sheet2!AS219)</f>
        <v>0</v>
      </c>
      <c r="AP220" s="25">
        <f>[1]Sheet2!P219</f>
        <v>0</v>
      </c>
      <c r="AQ220" s="25">
        <f>[1]Sheet2!Q219</f>
        <v>0</v>
      </c>
      <c r="AR220" s="25">
        <f>[1]Sheet2!R219</f>
        <v>0</v>
      </c>
      <c r="AS220" s="25">
        <f>[1]Sheet2!S219</f>
        <v>0</v>
      </c>
      <c r="AT220" s="25">
        <f>[1]Sheet2!T219</f>
        <v>0</v>
      </c>
      <c r="AU220" s="25">
        <f>[1]Sheet2!U219</f>
        <v>0</v>
      </c>
      <c r="AV220" s="25">
        <f>[1]Sheet2!V219</f>
        <v>0</v>
      </c>
      <c r="AW220" s="25">
        <f>[1]Sheet2!W219</f>
        <v>0</v>
      </c>
      <c r="AX220" s="25">
        <f>[1]Sheet2!X219</f>
        <v>0</v>
      </c>
      <c r="AY220" s="25">
        <f>[1]Sheet2!Y219</f>
        <v>0</v>
      </c>
      <c r="AZ220" s="26">
        <f>Demand_LP!B$10/31</f>
        <v>857.18246226220015</v>
      </c>
      <c r="BA220" s="26">
        <f>Demand_LP!C$10/31</f>
        <v>528.30835401157981</v>
      </c>
      <c r="BB220" s="26">
        <f>Demand_LP!D$10/31</f>
        <v>338.76323407775027</v>
      </c>
      <c r="BC220" s="26">
        <f>Demand_LP!E$10/31</f>
        <v>735.04776674937955</v>
      </c>
      <c r="BD220" s="26">
        <f>Demand_LP!F$10/31</f>
        <v>479.51259046732832</v>
      </c>
      <c r="BE220" s="26">
        <f>Demand_LP!G$10/31</f>
        <v>479.51259046732832</v>
      </c>
      <c r="BF220" s="26">
        <f>Demand_LP!H$10/31</f>
        <v>528.30835401157981</v>
      </c>
      <c r="BG220" s="26">
        <f>Demand_LP!I$10/31</f>
        <v>479.51259046732832</v>
      </c>
      <c r="BH220" s="26">
        <f>Demand_LP!J$10/31</f>
        <v>479.51259046732832</v>
      </c>
      <c r="BI220" s="26">
        <f>Demand_LP!K$10/31</f>
        <v>479.51259046732832</v>
      </c>
      <c r="BJ220" s="16">
        <f t="shared" si="106"/>
        <v>-157698.81738479543</v>
      </c>
      <c r="BK220" s="16">
        <f t="shared" si="107"/>
        <v>-125407.1238213397</v>
      </c>
      <c r="BL220" s="16">
        <f t="shared" si="108"/>
        <v>-58782.755913978544</v>
      </c>
      <c r="BM220" s="16">
        <f t="shared" si="109"/>
        <v>-157719.44009956939</v>
      </c>
      <c r="BN220" s="16">
        <f t="shared" si="110"/>
        <v>-92334.842751914766</v>
      </c>
      <c r="BO220" s="16">
        <f t="shared" si="111"/>
        <v>-90792.526670285501</v>
      </c>
      <c r="BP220" s="16">
        <f t="shared" si="112"/>
        <v>-119764.70330851921</v>
      </c>
      <c r="BQ220" s="16">
        <f t="shared" si="113"/>
        <v>-90792.526670285501</v>
      </c>
      <c r="BR220" s="16">
        <f t="shared" si="114"/>
        <v>-88392.526670285544</v>
      </c>
      <c r="BS220" s="16">
        <f t="shared" si="115"/>
        <v>-89092.52667028553</v>
      </c>
      <c r="BT220" s="25">
        <f>IF([1]Sheet2!CB219=999999,"NA",[1]Sheet2!CB219)</f>
        <v>0</v>
      </c>
      <c r="BU220" s="25">
        <f>IF([1]Sheet2!CC219=999999,"NA",[1]Sheet2!CC219)</f>
        <v>0</v>
      </c>
      <c r="BV220" s="25">
        <f>IF([1]Sheet2!CD219=999999,"NA",[1]Sheet2!CD219)</f>
        <v>0</v>
      </c>
      <c r="BW220" s="25">
        <f>IF([1]Sheet2!CE219=999999,"NA",[1]Sheet2!CE219)</f>
        <v>0</v>
      </c>
      <c r="BX220" s="25">
        <f>IF([1]Sheet2!CF219=999999,"NA",[1]Sheet2!CF219)</f>
        <v>0</v>
      </c>
      <c r="BY220" s="25">
        <f>IF([1]Sheet2!CG219=999999,"NA",[1]Sheet2!CG219)</f>
        <v>0</v>
      </c>
      <c r="BZ220" s="25">
        <f>IF([1]Sheet2!CH219=999999,"NA",[1]Sheet2!CH219)</f>
        <v>0</v>
      </c>
      <c r="CA220" s="25">
        <f>IF([1]Sheet2!CI219=999999,"NA",[1]Sheet2!CI219)</f>
        <v>0</v>
      </c>
      <c r="CB220" s="25">
        <f>IF([1]Sheet2!CJ219=999999,"NA",[1]Sheet2!CJ219)</f>
        <v>0</v>
      </c>
      <c r="CC220" s="25">
        <f>IF([1]Sheet2!CK219=999999,"NA",[1]Sheet2!CK219)</f>
        <v>0</v>
      </c>
      <c r="CD220" s="25">
        <f>[1]Sheet2!BH219</f>
        <v>0</v>
      </c>
      <c r="CE220" s="25">
        <f>[1]Sheet2!BI219</f>
        <v>0</v>
      </c>
      <c r="CF220" s="25">
        <f>[1]Sheet2!BJ219</f>
        <v>0</v>
      </c>
      <c r="CG220" s="25">
        <f>[1]Sheet2!BK219</f>
        <v>0</v>
      </c>
      <c r="CH220" s="25">
        <f>[1]Sheet2!BL219</f>
        <v>0</v>
      </c>
      <c r="CI220" s="25">
        <f>[1]Sheet2!BM219</f>
        <v>0</v>
      </c>
      <c r="CJ220" s="25">
        <f>[1]Sheet2!BN219</f>
        <v>0</v>
      </c>
      <c r="CK220" s="25">
        <f>[1]Sheet2!BO219</f>
        <v>0</v>
      </c>
      <c r="CL220" s="25">
        <f>[1]Sheet2!BP219</f>
        <v>0</v>
      </c>
      <c r="CM220" s="25">
        <f>[1]Sheet2!BQ219</f>
        <v>0</v>
      </c>
      <c r="CN220" s="26">
        <f>Demand_SW!B$10/31</f>
        <v>131.01736972704714</v>
      </c>
      <c r="CO220" s="26">
        <f>Demand_SW!C$10/31</f>
        <v>0</v>
      </c>
      <c r="CP220" s="26">
        <f>Demand_SW!D$10/31</f>
        <v>0</v>
      </c>
      <c r="CQ220" s="26">
        <f>Demand_SW!E$10/31</f>
        <v>0</v>
      </c>
      <c r="CR220" s="26">
        <f>Demand_SW!F$10/31</f>
        <v>0</v>
      </c>
      <c r="CS220" s="26">
        <f>Demand_SW!G$10/31</f>
        <v>131.01736972704714</v>
      </c>
      <c r="CT220" s="26">
        <f>Demand_SW!H$10/31</f>
        <v>0</v>
      </c>
      <c r="CU220" s="26">
        <f>Demand_SW!I$10/31</f>
        <v>0</v>
      </c>
      <c r="CV220" s="26">
        <f>Demand_SW!J$10/31</f>
        <v>0</v>
      </c>
      <c r="CW220" s="26">
        <f>Demand_SW!K$10/31</f>
        <v>0</v>
      </c>
      <c r="CX220" s="16">
        <f t="shared" si="116"/>
        <v>-24314.317617866032</v>
      </c>
      <c r="CY220" s="16">
        <f t="shared" si="117"/>
        <v>76.923076923077133</v>
      </c>
      <c r="CZ220" s="16">
        <f t="shared" si="118"/>
        <v>0</v>
      </c>
      <c r="DA220" s="16">
        <f t="shared" si="119"/>
        <v>0</v>
      </c>
      <c r="DB220" s="16">
        <f t="shared" si="120"/>
        <v>0</v>
      </c>
      <c r="DC220" s="16">
        <f t="shared" si="121"/>
        <v>-23843.548387096802</v>
      </c>
      <c r="DD220" s="16">
        <f t="shared" si="122"/>
        <v>76.923076923077133</v>
      </c>
      <c r="DE220" s="16">
        <f t="shared" si="123"/>
        <v>0</v>
      </c>
      <c r="DF220" s="16">
        <f t="shared" si="124"/>
        <v>0</v>
      </c>
      <c r="DG220" s="16">
        <f t="shared" si="125"/>
        <v>0</v>
      </c>
      <c r="DH220" s="25">
        <f>IF([1]Sheet2!DS219=999999,"NA",[1]Sheet2!DS219)</f>
        <v>0</v>
      </c>
      <c r="DI220" s="25">
        <f>IF([1]Sheet2!DT219=999999,"NA",[1]Sheet2!DT219)</f>
        <v>148</v>
      </c>
      <c r="DJ220" s="25" t="str">
        <f>IF([1]Sheet2!DU219=999999,"NA",[1]Sheet2!DU219)</f>
        <v>NA</v>
      </c>
      <c r="DK220" s="25" t="str">
        <f>IF([1]Sheet2!DV219=999999,"NA",[1]Sheet2!DV219)</f>
        <v>NA</v>
      </c>
      <c r="DL220" s="25" t="str">
        <f>IF([1]Sheet2!DW219=999999,"NA",[1]Sheet2!DW219)</f>
        <v>NA</v>
      </c>
      <c r="DM220" s="25">
        <f>IF([1]Sheet2!DX219=999999,"NA",[1]Sheet2!DX219)</f>
        <v>0</v>
      </c>
      <c r="DN220" s="25">
        <f>IF([1]Sheet2!DY219=999999,"NA",[1]Sheet2!DY219)</f>
        <v>148</v>
      </c>
      <c r="DO220" s="25" t="str">
        <f>IF([1]Sheet2!DZ219=999999,"NA",[1]Sheet2!DZ219)</f>
        <v>NA</v>
      </c>
      <c r="DP220" s="25" t="str">
        <f>IF([1]Sheet2!EA219=999999,"NA",[1]Sheet2!EA219)</f>
        <v>NA</v>
      </c>
      <c r="DQ220" s="25" t="str">
        <f>IF([1]Sheet2!EB219=999999,"NA",[1]Sheet2!EB219)</f>
        <v>NA</v>
      </c>
      <c r="DR220" s="25">
        <f>[1]Sheet2!CY219</f>
        <v>0</v>
      </c>
      <c r="DS220" s="25">
        <f>[1]Sheet2!CZ219</f>
        <v>0</v>
      </c>
      <c r="DT220" s="25">
        <f>[1]Sheet2!DA219</f>
        <v>0</v>
      </c>
      <c r="DU220" s="25">
        <f>[1]Sheet2!DB219</f>
        <v>0</v>
      </c>
      <c r="DV220" s="25">
        <f>[1]Sheet2!DC219</f>
        <v>0</v>
      </c>
      <c r="DW220" s="25">
        <f>[1]Sheet2!DD219</f>
        <v>0</v>
      </c>
      <c r="DX220" s="25">
        <f>[1]Sheet2!DE219</f>
        <v>0</v>
      </c>
      <c r="DY220" s="25">
        <f>[1]Sheet2!DF219</f>
        <v>0</v>
      </c>
      <c r="DZ220" s="25">
        <f>[1]Sheet2!DG219</f>
        <v>0</v>
      </c>
      <c r="EA220" s="25">
        <f>[1]Sheet2!DH219</f>
        <v>0</v>
      </c>
      <c r="EB220" s="27">
        <f>[1]Sheet2!EC219</f>
        <v>0</v>
      </c>
      <c r="EC220" s="27">
        <f>[1]Sheet2!ED219</f>
        <v>0</v>
      </c>
      <c r="ED220" s="27">
        <f>[1]Sheet2!EE219</f>
        <v>0</v>
      </c>
      <c r="EE220" s="27">
        <f>[1]Sheet2!EF219</f>
        <v>0</v>
      </c>
      <c r="EF220" s="27">
        <f>[1]Sheet2!EG219</f>
        <v>0</v>
      </c>
      <c r="EG220" s="27">
        <f>[1]Sheet2!EH219</f>
        <v>0</v>
      </c>
      <c r="EH220" s="27">
        <f>[1]Sheet2!EI219</f>
        <v>0</v>
      </c>
      <c r="EI220" s="27">
        <f>[1]Sheet2!EJ219</f>
        <v>0</v>
      </c>
      <c r="EJ220" s="27">
        <f>[1]Sheet2!EK219</f>
        <v>0</v>
      </c>
      <c r="EK220" s="27">
        <f>[1]Sheet2!EL219</f>
        <v>0</v>
      </c>
      <c r="EL220" s="27" t="str">
        <f>[1]Sheet2!EM219</f>
        <v/>
      </c>
      <c r="EM220" s="27" t="str">
        <f>[1]Sheet2!EN219</f>
        <v/>
      </c>
      <c r="EN220" s="27" t="str">
        <f>[1]Sheet2!EO219</f>
        <v/>
      </c>
      <c r="EO220" s="27" t="str">
        <f>[1]Sheet2!EP219</f>
        <v/>
      </c>
      <c r="EP220" s="27" t="str">
        <f>[1]Sheet2!EQ219</f>
        <v/>
      </c>
      <c r="EQ220" s="27" t="str">
        <f>[1]Sheet2!ER219</f>
        <v/>
      </c>
      <c r="ER220" s="27" t="str">
        <f>[1]Sheet2!ES219</f>
        <v/>
      </c>
      <c r="ES220" s="27" t="str">
        <f>[1]Sheet2!ET219</f>
        <v/>
      </c>
      <c r="ET220" s="27" t="str">
        <f>[1]Sheet2!EU219</f>
        <v/>
      </c>
      <c r="EU220" s="27" t="str">
        <f>[1]Sheet2!EV219</f>
        <v/>
      </c>
      <c r="EV220" s="27" t="str">
        <f>[1]Sheet2!EW219</f>
        <v/>
      </c>
      <c r="EW220" s="27" t="str">
        <f>[1]Sheet2!EX219</f>
        <v/>
      </c>
      <c r="EX220" s="27" t="str">
        <f>[1]Sheet2!EY219</f>
        <v/>
      </c>
      <c r="EY220" s="27" t="str">
        <f>[1]Sheet2!EZ219</f>
        <v/>
      </c>
      <c r="EZ220" s="27" t="str">
        <f>[1]Sheet2!FA219</f>
        <v/>
      </c>
      <c r="FA220" s="27" t="str">
        <f>[1]Sheet2!FB219</f>
        <v/>
      </c>
      <c r="FB220" s="27" t="str">
        <f>[1]Sheet2!FC219</f>
        <v/>
      </c>
      <c r="FC220" s="27" t="str">
        <f>[1]Sheet2!FD219</f>
        <v/>
      </c>
      <c r="FD220" s="27" t="str">
        <f>[1]Sheet2!FE219</f>
        <v/>
      </c>
      <c r="FE220" s="27" t="str">
        <f>[1]Sheet2!FF219</f>
        <v/>
      </c>
      <c r="FF220" s="27" t="str">
        <f>[1]Sheet2!FG219</f>
        <v/>
      </c>
      <c r="FG220" s="27" t="str">
        <f>[1]Sheet2!FH219</f>
        <v/>
      </c>
      <c r="FH220" s="27" t="str">
        <f>[1]Sheet2!FI219</f>
        <v/>
      </c>
      <c r="FI220" s="27" t="str">
        <f>[1]Sheet2!FJ219</f>
        <v/>
      </c>
      <c r="FJ220" s="27" t="str">
        <f>[1]Sheet2!FK219</f>
        <v/>
      </c>
      <c r="FK220" s="27" t="str">
        <f>[1]Sheet2!FL219</f>
        <v/>
      </c>
      <c r="FL220" s="27" t="str">
        <f>[1]Sheet2!FM219</f>
        <v/>
      </c>
      <c r="FM220" s="27" t="str">
        <f>[1]Sheet2!FN219</f>
        <v/>
      </c>
      <c r="FN220" s="27" t="str">
        <f>[1]Sheet2!FO219</f>
        <v/>
      </c>
      <c r="FO220" s="27" t="str">
        <f>[1]Sheet2!FP219</f>
        <v/>
      </c>
    </row>
    <row r="221" spans="1:171" s="27" customFormat="1" x14ac:dyDescent="0.25">
      <c r="A221" s="23">
        <v>43683</v>
      </c>
      <c r="B221" s="24"/>
      <c r="C221" s="24"/>
      <c r="D221" s="24"/>
      <c r="E221" s="25">
        <f>[1]Sheet2!N220</f>
        <v>0</v>
      </c>
      <c r="F221" s="25">
        <f>[1]Sheet2!BE220</f>
        <v>0</v>
      </c>
      <c r="G221" s="25">
        <f>[1]Sheet2!CW220</f>
        <v>0</v>
      </c>
      <c r="H221" s="24"/>
      <c r="I221" s="24"/>
      <c r="J221" s="24"/>
      <c r="K221" s="26"/>
      <c r="L221" s="26">
        <f>Demand_CWRS!B$10/31</f>
        <v>120.8438508064516</v>
      </c>
      <c r="M221" s="26">
        <f>Demand_CWRS!C$10/31</f>
        <v>552.80165425971859</v>
      </c>
      <c r="N221" s="26">
        <f>Demand_CWRS!D$10/31</f>
        <v>0</v>
      </c>
      <c r="O221" s="26">
        <f>Demand_CWRS!E$10/31</f>
        <v>141.75971877584777</v>
      </c>
      <c r="P221" s="26">
        <f>Demand_CWRS!F$10/31</f>
        <v>252.70758116211746</v>
      </c>
      <c r="Q221" s="26">
        <f>Demand_CWRS!G$10/31</f>
        <v>116.12903225806451</v>
      </c>
      <c r="R221" s="26">
        <f>Demand_CWRS!H$10/31</f>
        <v>252.70758116211746</v>
      </c>
      <c r="S221" s="26">
        <f>Demand_CWRS!I$10/31</f>
        <v>252.70758116211746</v>
      </c>
      <c r="T221" s="26">
        <f>Demand_CWRS!J$10/31</f>
        <v>252.70758116211746</v>
      </c>
      <c r="U221" s="26">
        <f>Demand_CWRS!K$10/31</f>
        <v>252.70758116211746</v>
      </c>
      <c r="V221" s="26">
        <f t="shared" si="96"/>
        <v>-27346.535940312129</v>
      </c>
      <c r="W221" s="26">
        <f t="shared" si="97"/>
        <v>-106285.79197684002</v>
      </c>
      <c r="X221" s="26">
        <f t="shared" si="98"/>
        <v>0</v>
      </c>
      <c r="Y221" s="26">
        <f t="shared" si="99"/>
        <v>-18744.001529143214</v>
      </c>
      <c r="Z221" s="26">
        <f t="shared" si="100"/>
        <v>-46392.834722407591</v>
      </c>
      <c r="AA221" s="26">
        <f t="shared" si="101"/>
        <v>-25992.473879983379</v>
      </c>
      <c r="AB221" s="26">
        <f t="shared" si="102"/>
        <v>-50701.99949804855</v>
      </c>
      <c r="AC221" s="26">
        <f t="shared" si="103"/>
        <v>-44908.989241638359</v>
      </c>
      <c r="AD221" s="26">
        <f t="shared" si="104"/>
        <v>-45008.989241638352</v>
      </c>
      <c r="AE221" s="26">
        <f t="shared" si="105"/>
        <v>-45608.989241638345</v>
      </c>
      <c r="AF221" s="25">
        <f>IF([1]Sheet2!AJ220=999999,"NA",[1]Sheet2!AJ220)</f>
        <v>0</v>
      </c>
      <c r="AG221" s="25">
        <f>IF([1]Sheet2!AK220=999999,"NA",[1]Sheet2!AK220)</f>
        <v>0</v>
      </c>
      <c r="AH221" s="25" t="str">
        <f>IF([1]Sheet2!AL220=999999,"NA",[1]Sheet2!AL220)</f>
        <v>NA</v>
      </c>
      <c r="AI221" s="25">
        <f>IF([1]Sheet2!AM220=999999,"NA",[1]Sheet2!AM220)</f>
        <v>0</v>
      </c>
      <c r="AJ221" s="25">
        <f>IF([1]Sheet2!AN220=999999,"NA",[1]Sheet2!AN220)</f>
        <v>0</v>
      </c>
      <c r="AK221" s="25">
        <f>IF([1]Sheet2!AO220=999999,"NA",[1]Sheet2!AO220)</f>
        <v>0</v>
      </c>
      <c r="AL221" s="25">
        <f>IF([1]Sheet2!AP220=999999,"NA",[1]Sheet2!AP220)</f>
        <v>0</v>
      </c>
      <c r="AM221" s="25">
        <f>IF([1]Sheet2!AQ220=999999,"NA",[1]Sheet2!AQ220)</f>
        <v>0</v>
      </c>
      <c r="AN221" s="25">
        <f>IF([1]Sheet2!AR220=999999,"NA",[1]Sheet2!AR220)</f>
        <v>0</v>
      </c>
      <c r="AO221" s="25">
        <f>IF([1]Sheet2!AS220=999999,"NA",[1]Sheet2!AS220)</f>
        <v>0</v>
      </c>
      <c r="AP221" s="25">
        <f>[1]Sheet2!P220</f>
        <v>0</v>
      </c>
      <c r="AQ221" s="25">
        <f>[1]Sheet2!Q220</f>
        <v>0</v>
      </c>
      <c r="AR221" s="25">
        <f>[1]Sheet2!R220</f>
        <v>0</v>
      </c>
      <c r="AS221" s="25">
        <f>[1]Sheet2!S220</f>
        <v>0</v>
      </c>
      <c r="AT221" s="25">
        <f>[1]Sheet2!T220</f>
        <v>0</v>
      </c>
      <c r="AU221" s="25">
        <f>[1]Sheet2!U220</f>
        <v>0</v>
      </c>
      <c r="AV221" s="25">
        <f>[1]Sheet2!V220</f>
        <v>0</v>
      </c>
      <c r="AW221" s="25">
        <f>[1]Sheet2!W220</f>
        <v>0</v>
      </c>
      <c r="AX221" s="25">
        <f>[1]Sheet2!X220</f>
        <v>0</v>
      </c>
      <c r="AY221" s="25">
        <f>[1]Sheet2!Y220</f>
        <v>0</v>
      </c>
      <c r="AZ221" s="26">
        <f>Demand_LP!B$10/31</f>
        <v>857.18246226220015</v>
      </c>
      <c r="BA221" s="26">
        <f>Demand_LP!C$10/31</f>
        <v>528.30835401157981</v>
      </c>
      <c r="BB221" s="26">
        <f>Demand_LP!D$10/31</f>
        <v>338.76323407775027</v>
      </c>
      <c r="BC221" s="26">
        <f>Demand_LP!E$10/31</f>
        <v>735.04776674937955</v>
      </c>
      <c r="BD221" s="26">
        <f>Demand_LP!F$10/31</f>
        <v>479.51259046732832</v>
      </c>
      <c r="BE221" s="26">
        <f>Demand_LP!G$10/31</f>
        <v>479.51259046732832</v>
      </c>
      <c r="BF221" s="26">
        <f>Demand_LP!H$10/31</f>
        <v>528.30835401157981</v>
      </c>
      <c r="BG221" s="26">
        <f>Demand_LP!I$10/31</f>
        <v>479.51259046732832</v>
      </c>
      <c r="BH221" s="26">
        <f>Demand_LP!J$10/31</f>
        <v>479.51259046732832</v>
      </c>
      <c r="BI221" s="26">
        <f>Demand_LP!K$10/31</f>
        <v>479.51259046732832</v>
      </c>
      <c r="BJ221" s="26">
        <f t="shared" si="106"/>
        <v>-158555.99984705762</v>
      </c>
      <c r="BK221" s="26">
        <f t="shared" si="107"/>
        <v>-125935.43217535128</v>
      </c>
      <c r="BL221" s="26">
        <f t="shared" si="108"/>
        <v>-59121.519148056293</v>
      </c>
      <c r="BM221" s="26">
        <f t="shared" si="109"/>
        <v>-158454.48786631876</v>
      </c>
      <c r="BN221" s="26">
        <f t="shared" si="110"/>
        <v>-92814.355342382099</v>
      </c>
      <c r="BO221" s="26">
        <f t="shared" si="111"/>
        <v>-91272.039260752834</v>
      </c>
      <c r="BP221" s="26">
        <f t="shared" si="112"/>
        <v>-120293.01166253079</v>
      </c>
      <c r="BQ221" s="26">
        <f t="shared" si="113"/>
        <v>-91272.039260752834</v>
      </c>
      <c r="BR221" s="26">
        <f t="shared" si="114"/>
        <v>-88872.039260752877</v>
      </c>
      <c r="BS221" s="26">
        <f t="shared" si="115"/>
        <v>-89572.039260752863</v>
      </c>
      <c r="BT221" s="25">
        <f>IF([1]Sheet2!CB220=999999,"NA",[1]Sheet2!CB220)</f>
        <v>0</v>
      </c>
      <c r="BU221" s="25">
        <f>IF([1]Sheet2!CC220=999999,"NA",[1]Sheet2!CC220)</f>
        <v>0</v>
      </c>
      <c r="BV221" s="25">
        <f>IF([1]Sheet2!CD220=999999,"NA",[1]Sheet2!CD220)</f>
        <v>0</v>
      </c>
      <c r="BW221" s="25">
        <f>IF([1]Sheet2!CE220=999999,"NA",[1]Sheet2!CE220)</f>
        <v>0</v>
      </c>
      <c r="BX221" s="25">
        <f>IF([1]Sheet2!CF220=999999,"NA",[1]Sheet2!CF220)</f>
        <v>0</v>
      </c>
      <c r="BY221" s="25">
        <f>IF([1]Sheet2!CG220=999999,"NA",[1]Sheet2!CG220)</f>
        <v>0</v>
      </c>
      <c r="BZ221" s="25">
        <f>IF([1]Sheet2!CH220=999999,"NA",[1]Sheet2!CH220)</f>
        <v>0</v>
      </c>
      <c r="CA221" s="25">
        <f>IF([1]Sheet2!CI220=999999,"NA",[1]Sheet2!CI220)</f>
        <v>0</v>
      </c>
      <c r="CB221" s="25">
        <f>IF([1]Sheet2!CJ220=999999,"NA",[1]Sheet2!CJ220)</f>
        <v>0</v>
      </c>
      <c r="CC221" s="25">
        <f>IF([1]Sheet2!CK220=999999,"NA",[1]Sheet2!CK220)</f>
        <v>0</v>
      </c>
      <c r="CD221" s="25">
        <f>[1]Sheet2!BH220</f>
        <v>0</v>
      </c>
      <c r="CE221" s="25">
        <f>[1]Sheet2!BI220</f>
        <v>0</v>
      </c>
      <c r="CF221" s="25">
        <f>[1]Sheet2!BJ220</f>
        <v>0</v>
      </c>
      <c r="CG221" s="25">
        <f>[1]Sheet2!BK220</f>
        <v>0</v>
      </c>
      <c r="CH221" s="25">
        <f>[1]Sheet2!BL220</f>
        <v>0</v>
      </c>
      <c r="CI221" s="25">
        <f>[1]Sheet2!BM220</f>
        <v>0</v>
      </c>
      <c r="CJ221" s="25">
        <f>[1]Sheet2!BN220</f>
        <v>0</v>
      </c>
      <c r="CK221" s="25">
        <f>[1]Sheet2!BO220</f>
        <v>0</v>
      </c>
      <c r="CL221" s="25">
        <f>[1]Sheet2!BP220</f>
        <v>0</v>
      </c>
      <c r="CM221" s="25">
        <f>[1]Sheet2!BQ220</f>
        <v>0</v>
      </c>
      <c r="CN221" s="26">
        <f>Demand_SW!B$10/31</f>
        <v>131.01736972704714</v>
      </c>
      <c r="CO221" s="26">
        <f>Demand_SW!C$10/31</f>
        <v>0</v>
      </c>
      <c r="CP221" s="26">
        <f>Demand_SW!D$10/31</f>
        <v>0</v>
      </c>
      <c r="CQ221" s="26">
        <f>Demand_SW!E$10/31</f>
        <v>0</v>
      </c>
      <c r="CR221" s="26">
        <f>Demand_SW!F$10/31</f>
        <v>0</v>
      </c>
      <c r="CS221" s="26">
        <f>Demand_SW!G$10/31</f>
        <v>131.01736972704714</v>
      </c>
      <c r="CT221" s="26">
        <f>Demand_SW!H$10/31</f>
        <v>0</v>
      </c>
      <c r="CU221" s="26">
        <f>Demand_SW!I$10/31</f>
        <v>0</v>
      </c>
      <c r="CV221" s="26">
        <f>Demand_SW!J$10/31</f>
        <v>0</v>
      </c>
      <c r="CW221" s="26">
        <f>Demand_SW!K$10/31</f>
        <v>0</v>
      </c>
      <c r="CX221" s="26">
        <f t="shared" si="116"/>
        <v>-24445.33498759308</v>
      </c>
      <c r="CY221" s="26">
        <f t="shared" si="117"/>
        <v>76.923076923077133</v>
      </c>
      <c r="CZ221" s="26">
        <f t="shared" si="118"/>
        <v>0</v>
      </c>
      <c r="DA221" s="26">
        <f t="shared" si="119"/>
        <v>0</v>
      </c>
      <c r="DB221" s="26">
        <f t="shared" si="120"/>
        <v>0</v>
      </c>
      <c r="DC221" s="26">
        <f t="shared" si="121"/>
        <v>-23974.565756823849</v>
      </c>
      <c r="DD221" s="26">
        <f t="shared" si="122"/>
        <v>76.923076923077133</v>
      </c>
      <c r="DE221" s="26">
        <f t="shared" si="123"/>
        <v>0</v>
      </c>
      <c r="DF221" s="26">
        <f t="shared" si="124"/>
        <v>0</v>
      </c>
      <c r="DG221" s="26">
        <f t="shared" si="125"/>
        <v>0</v>
      </c>
      <c r="DH221" s="25">
        <f>IF([1]Sheet2!DS220=999999,"NA",[1]Sheet2!DS220)</f>
        <v>0</v>
      </c>
      <c r="DI221" s="25">
        <f>IF([1]Sheet2!DT220=999999,"NA",[1]Sheet2!DT220)</f>
        <v>147</v>
      </c>
      <c r="DJ221" s="25" t="str">
        <f>IF([1]Sheet2!DU220=999999,"NA",[1]Sheet2!DU220)</f>
        <v>NA</v>
      </c>
      <c r="DK221" s="25" t="str">
        <f>IF([1]Sheet2!DV220=999999,"NA",[1]Sheet2!DV220)</f>
        <v>NA</v>
      </c>
      <c r="DL221" s="25" t="str">
        <f>IF([1]Sheet2!DW220=999999,"NA",[1]Sheet2!DW220)</f>
        <v>NA</v>
      </c>
      <c r="DM221" s="25">
        <f>IF([1]Sheet2!DX220=999999,"NA",[1]Sheet2!DX220)</f>
        <v>0</v>
      </c>
      <c r="DN221" s="25">
        <f>IF([1]Sheet2!DY220=999999,"NA",[1]Sheet2!DY220)</f>
        <v>147</v>
      </c>
      <c r="DO221" s="25" t="str">
        <f>IF([1]Sheet2!DZ220=999999,"NA",[1]Sheet2!DZ220)</f>
        <v>NA</v>
      </c>
      <c r="DP221" s="25" t="str">
        <f>IF([1]Sheet2!EA220=999999,"NA",[1]Sheet2!EA220)</f>
        <v>NA</v>
      </c>
      <c r="DQ221" s="25" t="str">
        <f>IF([1]Sheet2!EB220=999999,"NA",[1]Sheet2!EB220)</f>
        <v>NA</v>
      </c>
      <c r="DR221" s="25">
        <f>[1]Sheet2!CY220</f>
        <v>0</v>
      </c>
      <c r="DS221" s="25">
        <f>[1]Sheet2!CZ220</f>
        <v>0</v>
      </c>
      <c r="DT221" s="25">
        <f>[1]Sheet2!DA220</f>
        <v>0</v>
      </c>
      <c r="DU221" s="25">
        <f>[1]Sheet2!DB220</f>
        <v>0</v>
      </c>
      <c r="DV221" s="25">
        <f>[1]Sheet2!DC220</f>
        <v>0</v>
      </c>
      <c r="DW221" s="25">
        <f>[1]Sheet2!DD220</f>
        <v>0</v>
      </c>
      <c r="DX221" s="25">
        <f>[1]Sheet2!DE220</f>
        <v>0</v>
      </c>
      <c r="DY221" s="25">
        <f>[1]Sheet2!DF220</f>
        <v>0</v>
      </c>
      <c r="DZ221" s="25">
        <f>[1]Sheet2!DG220</f>
        <v>0</v>
      </c>
      <c r="EA221" s="25">
        <f>[1]Sheet2!DH220</f>
        <v>0</v>
      </c>
      <c r="EB221" s="27">
        <f>[1]Sheet2!EC220</f>
        <v>0</v>
      </c>
      <c r="EC221" s="27">
        <f>[1]Sheet2!ED220</f>
        <v>0</v>
      </c>
      <c r="ED221" s="27">
        <f>[1]Sheet2!EE220</f>
        <v>0</v>
      </c>
      <c r="EE221" s="27">
        <f>[1]Sheet2!EF220</f>
        <v>0</v>
      </c>
      <c r="EF221" s="27">
        <f>[1]Sheet2!EG220</f>
        <v>0</v>
      </c>
      <c r="EG221" s="27">
        <f>[1]Sheet2!EH220</f>
        <v>0</v>
      </c>
      <c r="EH221" s="27">
        <f>[1]Sheet2!EI220</f>
        <v>0</v>
      </c>
      <c r="EI221" s="27">
        <f>[1]Sheet2!EJ220</f>
        <v>0</v>
      </c>
      <c r="EJ221" s="27">
        <f>[1]Sheet2!EK220</f>
        <v>0</v>
      </c>
      <c r="EK221" s="27">
        <f>[1]Sheet2!EL220</f>
        <v>0</v>
      </c>
      <c r="EL221" s="27" t="str">
        <f>[1]Sheet2!EM220</f>
        <v/>
      </c>
      <c r="EM221" s="27" t="str">
        <f>[1]Sheet2!EN220</f>
        <v/>
      </c>
      <c r="EN221" s="27" t="str">
        <f>[1]Sheet2!EO220</f>
        <v/>
      </c>
      <c r="EO221" s="27" t="str">
        <f>[1]Sheet2!EP220</f>
        <v/>
      </c>
      <c r="EP221" s="27" t="str">
        <f>[1]Sheet2!EQ220</f>
        <v/>
      </c>
      <c r="EQ221" s="27" t="str">
        <f>[1]Sheet2!ER220</f>
        <v/>
      </c>
      <c r="ER221" s="27" t="str">
        <f>[1]Sheet2!ES220</f>
        <v/>
      </c>
      <c r="ES221" s="27" t="str">
        <f>[1]Sheet2!ET220</f>
        <v/>
      </c>
      <c r="ET221" s="27" t="str">
        <f>[1]Sheet2!EU220</f>
        <v/>
      </c>
      <c r="EU221" s="27" t="str">
        <f>[1]Sheet2!EV220</f>
        <v/>
      </c>
      <c r="EV221" s="27" t="str">
        <f>[1]Sheet2!EW220</f>
        <v/>
      </c>
      <c r="EW221" s="27" t="str">
        <f>[1]Sheet2!EX220</f>
        <v/>
      </c>
      <c r="EX221" s="27" t="str">
        <f>[1]Sheet2!EY220</f>
        <v/>
      </c>
      <c r="EY221" s="27" t="str">
        <f>[1]Sheet2!EZ220</f>
        <v/>
      </c>
      <c r="EZ221" s="27" t="str">
        <f>[1]Sheet2!FA220</f>
        <v/>
      </c>
      <c r="FA221" s="27" t="str">
        <f>[1]Sheet2!FB220</f>
        <v/>
      </c>
      <c r="FB221" s="27" t="str">
        <f>[1]Sheet2!FC220</f>
        <v/>
      </c>
      <c r="FC221" s="27" t="str">
        <f>[1]Sheet2!FD220</f>
        <v/>
      </c>
      <c r="FD221" s="27" t="str">
        <f>[1]Sheet2!FE220</f>
        <v/>
      </c>
      <c r="FE221" s="27" t="str">
        <f>[1]Sheet2!FF220</f>
        <v/>
      </c>
      <c r="FF221" s="27" t="str">
        <f>[1]Sheet2!FG220</f>
        <v/>
      </c>
      <c r="FG221" s="27" t="str">
        <f>[1]Sheet2!FH220</f>
        <v/>
      </c>
      <c r="FH221" s="27" t="str">
        <f>[1]Sheet2!FI220</f>
        <v/>
      </c>
      <c r="FI221" s="27" t="str">
        <f>[1]Sheet2!FJ220</f>
        <v/>
      </c>
      <c r="FJ221" s="27" t="str">
        <f>[1]Sheet2!FK220</f>
        <v/>
      </c>
      <c r="FK221" s="27" t="str">
        <f>[1]Sheet2!FL220</f>
        <v/>
      </c>
      <c r="FL221" s="27" t="str">
        <f>[1]Sheet2!FM220</f>
        <v/>
      </c>
      <c r="FM221" s="27" t="str">
        <f>[1]Sheet2!FN220</f>
        <v/>
      </c>
      <c r="FN221" s="27" t="str">
        <f>[1]Sheet2!FO220</f>
        <v/>
      </c>
      <c r="FO221" s="27" t="str">
        <f>[1]Sheet2!FP220</f>
        <v/>
      </c>
    </row>
    <row r="222" spans="1:171" s="27" customFormat="1" x14ac:dyDescent="0.25">
      <c r="A222" s="23">
        <v>43684</v>
      </c>
      <c r="B222" s="24"/>
      <c r="C222" s="24"/>
      <c r="D222" s="24"/>
      <c r="E222" s="25">
        <f>[1]Sheet2!N221</f>
        <v>0</v>
      </c>
      <c r="F222" s="25">
        <f>[1]Sheet2!BE221</f>
        <v>0</v>
      </c>
      <c r="G222" s="25">
        <f>[1]Sheet2!CW221</f>
        <v>0</v>
      </c>
      <c r="H222" s="24"/>
      <c r="I222" s="24"/>
      <c r="J222" s="24"/>
      <c r="K222" s="26"/>
      <c r="L222" s="26">
        <f>Demand_CWRS!B$10/31</f>
        <v>120.8438508064516</v>
      </c>
      <c r="M222" s="26">
        <f>Demand_CWRS!C$10/31</f>
        <v>552.80165425971859</v>
      </c>
      <c r="N222" s="26">
        <f>Demand_CWRS!D$10/31</f>
        <v>0</v>
      </c>
      <c r="O222" s="26">
        <f>Demand_CWRS!E$10/31</f>
        <v>141.75971877584777</v>
      </c>
      <c r="P222" s="26">
        <f>Demand_CWRS!F$10/31</f>
        <v>252.70758116211746</v>
      </c>
      <c r="Q222" s="26">
        <f>Demand_CWRS!G$10/31</f>
        <v>116.12903225806451</v>
      </c>
      <c r="R222" s="26">
        <f>Demand_CWRS!H$10/31</f>
        <v>252.70758116211746</v>
      </c>
      <c r="S222" s="26">
        <f>Demand_CWRS!I$10/31</f>
        <v>252.70758116211746</v>
      </c>
      <c r="T222" s="26">
        <f>Demand_CWRS!J$10/31</f>
        <v>252.70758116211746</v>
      </c>
      <c r="U222" s="26">
        <f>Demand_CWRS!K$10/31</f>
        <v>252.70758116211746</v>
      </c>
      <c r="V222" s="26">
        <f t="shared" si="96"/>
        <v>-27467.379791118579</v>
      </c>
      <c r="W222" s="26">
        <f t="shared" si="97"/>
        <v>-106838.59363109973</v>
      </c>
      <c r="X222" s="26">
        <f t="shared" si="98"/>
        <v>0</v>
      </c>
      <c r="Y222" s="26">
        <f t="shared" si="99"/>
        <v>-18885.761247919061</v>
      </c>
      <c r="Z222" s="26">
        <f t="shared" si="100"/>
        <v>-46645.542303569709</v>
      </c>
      <c r="AA222" s="26">
        <f t="shared" si="101"/>
        <v>-26108.602912241444</v>
      </c>
      <c r="AB222" s="26">
        <f t="shared" si="102"/>
        <v>-50954.707079210668</v>
      </c>
      <c r="AC222" s="26">
        <f t="shared" si="103"/>
        <v>-45161.696822800477</v>
      </c>
      <c r="AD222" s="26">
        <f t="shared" si="104"/>
        <v>-45261.69682280047</v>
      </c>
      <c r="AE222" s="26">
        <f t="shared" si="105"/>
        <v>-45861.696822800463</v>
      </c>
      <c r="AF222" s="25">
        <f>IF([1]Sheet2!AJ221=999999,"NA",[1]Sheet2!AJ221)</f>
        <v>0</v>
      </c>
      <c r="AG222" s="25">
        <f>IF([1]Sheet2!AK221=999999,"NA",[1]Sheet2!AK221)</f>
        <v>0</v>
      </c>
      <c r="AH222" s="25" t="str">
        <f>IF([1]Sheet2!AL221=999999,"NA",[1]Sheet2!AL221)</f>
        <v>NA</v>
      </c>
      <c r="AI222" s="25">
        <f>IF([1]Sheet2!AM221=999999,"NA",[1]Sheet2!AM221)</f>
        <v>0</v>
      </c>
      <c r="AJ222" s="25">
        <f>IF([1]Sheet2!AN221=999999,"NA",[1]Sheet2!AN221)</f>
        <v>0</v>
      </c>
      <c r="AK222" s="25">
        <f>IF([1]Sheet2!AO221=999999,"NA",[1]Sheet2!AO221)</f>
        <v>0</v>
      </c>
      <c r="AL222" s="25">
        <f>IF([1]Sheet2!AP221=999999,"NA",[1]Sheet2!AP221)</f>
        <v>0</v>
      </c>
      <c r="AM222" s="25">
        <f>IF([1]Sheet2!AQ221=999999,"NA",[1]Sheet2!AQ221)</f>
        <v>0</v>
      </c>
      <c r="AN222" s="25">
        <f>IF([1]Sheet2!AR221=999999,"NA",[1]Sheet2!AR221)</f>
        <v>0</v>
      </c>
      <c r="AO222" s="25">
        <f>IF([1]Sheet2!AS221=999999,"NA",[1]Sheet2!AS221)</f>
        <v>0</v>
      </c>
      <c r="AP222" s="25">
        <f>[1]Sheet2!P221</f>
        <v>0</v>
      </c>
      <c r="AQ222" s="25">
        <f>[1]Sheet2!Q221</f>
        <v>0</v>
      </c>
      <c r="AR222" s="25">
        <f>[1]Sheet2!R221</f>
        <v>0</v>
      </c>
      <c r="AS222" s="25">
        <f>[1]Sheet2!S221</f>
        <v>0</v>
      </c>
      <c r="AT222" s="25">
        <f>[1]Sheet2!T221</f>
        <v>0</v>
      </c>
      <c r="AU222" s="25">
        <f>[1]Sheet2!U221</f>
        <v>0</v>
      </c>
      <c r="AV222" s="25">
        <f>[1]Sheet2!V221</f>
        <v>0</v>
      </c>
      <c r="AW222" s="25">
        <f>[1]Sheet2!W221</f>
        <v>0</v>
      </c>
      <c r="AX222" s="25">
        <f>[1]Sheet2!X221</f>
        <v>0</v>
      </c>
      <c r="AY222" s="25">
        <f>[1]Sheet2!Y221</f>
        <v>0</v>
      </c>
      <c r="AZ222" s="26">
        <f>Demand_LP!B$10/31</f>
        <v>857.18246226220015</v>
      </c>
      <c r="BA222" s="26">
        <f>Demand_LP!C$10/31</f>
        <v>528.30835401157981</v>
      </c>
      <c r="BB222" s="26">
        <f>Demand_LP!D$10/31</f>
        <v>338.76323407775027</v>
      </c>
      <c r="BC222" s="26">
        <f>Demand_LP!E$10/31</f>
        <v>735.04776674937955</v>
      </c>
      <c r="BD222" s="26">
        <f>Demand_LP!F$10/31</f>
        <v>479.51259046732832</v>
      </c>
      <c r="BE222" s="26">
        <f>Demand_LP!G$10/31</f>
        <v>479.51259046732832</v>
      </c>
      <c r="BF222" s="26">
        <f>Demand_LP!H$10/31</f>
        <v>528.30835401157981</v>
      </c>
      <c r="BG222" s="26">
        <f>Demand_LP!I$10/31</f>
        <v>479.51259046732832</v>
      </c>
      <c r="BH222" s="26">
        <f>Demand_LP!J$10/31</f>
        <v>479.51259046732832</v>
      </c>
      <c r="BI222" s="26">
        <f>Demand_LP!K$10/31</f>
        <v>479.51259046732832</v>
      </c>
      <c r="BJ222" s="26">
        <f t="shared" si="106"/>
        <v>-159413.18230931982</v>
      </c>
      <c r="BK222" s="26">
        <f t="shared" si="107"/>
        <v>-126463.74052936285</v>
      </c>
      <c r="BL222" s="26">
        <f t="shared" si="108"/>
        <v>-59460.282382134043</v>
      </c>
      <c r="BM222" s="26">
        <f t="shared" si="109"/>
        <v>-159189.53563306812</v>
      </c>
      <c r="BN222" s="26">
        <f t="shared" si="110"/>
        <v>-93293.867932849433</v>
      </c>
      <c r="BO222" s="26">
        <f t="shared" si="111"/>
        <v>-91751.551851220167</v>
      </c>
      <c r="BP222" s="26">
        <f t="shared" si="112"/>
        <v>-120821.32001654236</v>
      </c>
      <c r="BQ222" s="26">
        <f t="shared" si="113"/>
        <v>-91751.551851220167</v>
      </c>
      <c r="BR222" s="26">
        <f t="shared" si="114"/>
        <v>-89351.551851220211</v>
      </c>
      <c r="BS222" s="26">
        <f t="shared" si="115"/>
        <v>-90051.551851220196</v>
      </c>
      <c r="BT222" s="25">
        <f>IF([1]Sheet2!CB221=999999,"NA",[1]Sheet2!CB221)</f>
        <v>0</v>
      </c>
      <c r="BU222" s="25">
        <f>IF([1]Sheet2!CC221=999999,"NA",[1]Sheet2!CC221)</f>
        <v>0</v>
      </c>
      <c r="BV222" s="25">
        <f>IF([1]Sheet2!CD221=999999,"NA",[1]Sheet2!CD221)</f>
        <v>0</v>
      </c>
      <c r="BW222" s="25">
        <f>IF([1]Sheet2!CE221=999999,"NA",[1]Sheet2!CE221)</f>
        <v>0</v>
      </c>
      <c r="BX222" s="25">
        <f>IF([1]Sheet2!CF221=999999,"NA",[1]Sheet2!CF221)</f>
        <v>0</v>
      </c>
      <c r="BY222" s="25">
        <f>IF([1]Sheet2!CG221=999999,"NA",[1]Sheet2!CG221)</f>
        <v>0</v>
      </c>
      <c r="BZ222" s="25">
        <f>IF([1]Sheet2!CH221=999999,"NA",[1]Sheet2!CH221)</f>
        <v>0</v>
      </c>
      <c r="CA222" s="25">
        <f>IF([1]Sheet2!CI221=999999,"NA",[1]Sheet2!CI221)</f>
        <v>0</v>
      </c>
      <c r="CB222" s="25">
        <f>IF([1]Sheet2!CJ221=999999,"NA",[1]Sheet2!CJ221)</f>
        <v>0</v>
      </c>
      <c r="CC222" s="25">
        <f>IF([1]Sheet2!CK221=999999,"NA",[1]Sheet2!CK221)</f>
        <v>0</v>
      </c>
      <c r="CD222" s="25">
        <f>[1]Sheet2!BH221</f>
        <v>0</v>
      </c>
      <c r="CE222" s="25">
        <f>[1]Sheet2!BI221</f>
        <v>0</v>
      </c>
      <c r="CF222" s="25">
        <f>[1]Sheet2!BJ221</f>
        <v>0</v>
      </c>
      <c r="CG222" s="25">
        <f>[1]Sheet2!BK221</f>
        <v>0</v>
      </c>
      <c r="CH222" s="25">
        <f>[1]Sheet2!BL221</f>
        <v>0</v>
      </c>
      <c r="CI222" s="25">
        <f>[1]Sheet2!BM221</f>
        <v>0</v>
      </c>
      <c r="CJ222" s="25">
        <f>[1]Sheet2!BN221</f>
        <v>0</v>
      </c>
      <c r="CK222" s="25">
        <f>[1]Sheet2!BO221</f>
        <v>0</v>
      </c>
      <c r="CL222" s="25">
        <f>[1]Sheet2!BP221</f>
        <v>0</v>
      </c>
      <c r="CM222" s="25">
        <f>[1]Sheet2!BQ221</f>
        <v>0</v>
      </c>
      <c r="CN222" s="26">
        <f>Demand_SW!B$10/31</f>
        <v>131.01736972704714</v>
      </c>
      <c r="CO222" s="26">
        <f>Demand_SW!C$10/31</f>
        <v>0</v>
      </c>
      <c r="CP222" s="26">
        <f>Demand_SW!D$10/31</f>
        <v>0</v>
      </c>
      <c r="CQ222" s="26">
        <f>Demand_SW!E$10/31</f>
        <v>0</v>
      </c>
      <c r="CR222" s="26">
        <f>Demand_SW!F$10/31</f>
        <v>0</v>
      </c>
      <c r="CS222" s="26">
        <f>Demand_SW!G$10/31</f>
        <v>131.01736972704714</v>
      </c>
      <c r="CT222" s="26">
        <f>Demand_SW!H$10/31</f>
        <v>0</v>
      </c>
      <c r="CU222" s="26">
        <f>Demand_SW!I$10/31</f>
        <v>0</v>
      </c>
      <c r="CV222" s="26">
        <f>Demand_SW!J$10/31</f>
        <v>0</v>
      </c>
      <c r="CW222" s="26">
        <f>Demand_SW!K$10/31</f>
        <v>0</v>
      </c>
      <c r="CX222" s="26">
        <f t="shared" si="116"/>
        <v>-24576.352357320127</v>
      </c>
      <c r="CY222" s="26">
        <f t="shared" si="117"/>
        <v>76.923076923077133</v>
      </c>
      <c r="CZ222" s="26">
        <f t="shared" si="118"/>
        <v>0</v>
      </c>
      <c r="DA222" s="26">
        <f t="shared" si="119"/>
        <v>0</v>
      </c>
      <c r="DB222" s="26">
        <f t="shared" si="120"/>
        <v>0</v>
      </c>
      <c r="DC222" s="26">
        <f t="shared" si="121"/>
        <v>-24105.583126550897</v>
      </c>
      <c r="DD222" s="26">
        <f t="shared" si="122"/>
        <v>76.923076923077133</v>
      </c>
      <c r="DE222" s="26">
        <f t="shared" si="123"/>
        <v>0</v>
      </c>
      <c r="DF222" s="26">
        <f t="shared" si="124"/>
        <v>0</v>
      </c>
      <c r="DG222" s="26">
        <f t="shared" si="125"/>
        <v>0</v>
      </c>
      <c r="DH222" s="25">
        <f>IF([1]Sheet2!DS221=999999,"NA",[1]Sheet2!DS221)</f>
        <v>0</v>
      </c>
      <c r="DI222" s="25">
        <f>IF([1]Sheet2!DT221=999999,"NA",[1]Sheet2!DT221)</f>
        <v>146</v>
      </c>
      <c r="DJ222" s="25" t="str">
        <f>IF([1]Sheet2!DU221=999999,"NA",[1]Sheet2!DU221)</f>
        <v>NA</v>
      </c>
      <c r="DK222" s="25" t="str">
        <f>IF([1]Sheet2!DV221=999999,"NA",[1]Sheet2!DV221)</f>
        <v>NA</v>
      </c>
      <c r="DL222" s="25" t="str">
        <f>IF([1]Sheet2!DW221=999999,"NA",[1]Sheet2!DW221)</f>
        <v>NA</v>
      </c>
      <c r="DM222" s="25">
        <f>IF([1]Sheet2!DX221=999999,"NA",[1]Sheet2!DX221)</f>
        <v>0</v>
      </c>
      <c r="DN222" s="25">
        <f>IF([1]Sheet2!DY221=999999,"NA",[1]Sheet2!DY221)</f>
        <v>146</v>
      </c>
      <c r="DO222" s="25" t="str">
        <f>IF([1]Sheet2!DZ221=999999,"NA",[1]Sheet2!DZ221)</f>
        <v>NA</v>
      </c>
      <c r="DP222" s="25" t="str">
        <f>IF([1]Sheet2!EA221=999999,"NA",[1]Sheet2!EA221)</f>
        <v>NA</v>
      </c>
      <c r="DQ222" s="25" t="str">
        <f>IF([1]Sheet2!EB221=999999,"NA",[1]Sheet2!EB221)</f>
        <v>NA</v>
      </c>
      <c r="DR222" s="25">
        <f>[1]Sheet2!CY221</f>
        <v>0</v>
      </c>
      <c r="DS222" s="25">
        <f>[1]Sheet2!CZ221</f>
        <v>0</v>
      </c>
      <c r="DT222" s="25">
        <f>[1]Sheet2!DA221</f>
        <v>0</v>
      </c>
      <c r="DU222" s="25">
        <f>[1]Sheet2!DB221</f>
        <v>0</v>
      </c>
      <c r="DV222" s="25">
        <f>[1]Sheet2!DC221</f>
        <v>0</v>
      </c>
      <c r="DW222" s="25">
        <f>[1]Sheet2!DD221</f>
        <v>0</v>
      </c>
      <c r="DX222" s="25">
        <f>[1]Sheet2!DE221</f>
        <v>0</v>
      </c>
      <c r="DY222" s="25">
        <f>[1]Sheet2!DF221</f>
        <v>0</v>
      </c>
      <c r="DZ222" s="25">
        <f>[1]Sheet2!DG221</f>
        <v>0</v>
      </c>
      <c r="EA222" s="25">
        <f>[1]Sheet2!DH221</f>
        <v>0</v>
      </c>
      <c r="EB222" s="27">
        <f>[1]Sheet2!EC221</f>
        <v>0</v>
      </c>
      <c r="EC222" s="27">
        <f>[1]Sheet2!ED221</f>
        <v>0</v>
      </c>
      <c r="ED222" s="27">
        <f>[1]Sheet2!EE221</f>
        <v>0</v>
      </c>
      <c r="EE222" s="27">
        <f>[1]Sheet2!EF221</f>
        <v>0</v>
      </c>
      <c r="EF222" s="27">
        <f>[1]Sheet2!EG221</f>
        <v>0</v>
      </c>
      <c r="EG222" s="27">
        <f>[1]Sheet2!EH221</f>
        <v>0</v>
      </c>
      <c r="EH222" s="27">
        <f>[1]Sheet2!EI221</f>
        <v>0</v>
      </c>
      <c r="EI222" s="27">
        <f>[1]Sheet2!EJ221</f>
        <v>0</v>
      </c>
      <c r="EJ222" s="27">
        <f>[1]Sheet2!EK221</f>
        <v>0</v>
      </c>
      <c r="EK222" s="27">
        <f>[1]Sheet2!EL221</f>
        <v>0</v>
      </c>
      <c r="EL222" s="27" t="str">
        <f>[1]Sheet2!EM221</f>
        <v/>
      </c>
      <c r="EM222" s="27" t="str">
        <f>[1]Sheet2!EN221</f>
        <v/>
      </c>
      <c r="EN222" s="27" t="str">
        <f>[1]Sheet2!EO221</f>
        <v/>
      </c>
      <c r="EO222" s="27" t="str">
        <f>[1]Sheet2!EP221</f>
        <v/>
      </c>
      <c r="EP222" s="27" t="str">
        <f>[1]Sheet2!EQ221</f>
        <v/>
      </c>
      <c r="EQ222" s="27" t="str">
        <f>[1]Sheet2!ER221</f>
        <v/>
      </c>
      <c r="ER222" s="27" t="str">
        <f>[1]Sheet2!ES221</f>
        <v/>
      </c>
      <c r="ES222" s="27" t="str">
        <f>[1]Sheet2!ET221</f>
        <v/>
      </c>
      <c r="ET222" s="27" t="str">
        <f>[1]Sheet2!EU221</f>
        <v/>
      </c>
      <c r="EU222" s="27" t="str">
        <f>[1]Sheet2!EV221</f>
        <v/>
      </c>
      <c r="EV222" s="27" t="str">
        <f>[1]Sheet2!EW221</f>
        <v/>
      </c>
      <c r="EW222" s="27" t="str">
        <f>[1]Sheet2!EX221</f>
        <v/>
      </c>
      <c r="EX222" s="27" t="str">
        <f>[1]Sheet2!EY221</f>
        <v/>
      </c>
      <c r="EY222" s="27" t="str">
        <f>[1]Sheet2!EZ221</f>
        <v/>
      </c>
      <c r="EZ222" s="27" t="str">
        <f>[1]Sheet2!FA221</f>
        <v/>
      </c>
      <c r="FA222" s="27" t="str">
        <f>[1]Sheet2!FB221</f>
        <v/>
      </c>
      <c r="FB222" s="27" t="str">
        <f>[1]Sheet2!FC221</f>
        <v/>
      </c>
      <c r="FC222" s="27" t="str">
        <f>[1]Sheet2!FD221</f>
        <v/>
      </c>
      <c r="FD222" s="27" t="str">
        <f>[1]Sheet2!FE221</f>
        <v/>
      </c>
      <c r="FE222" s="27" t="str">
        <f>[1]Sheet2!FF221</f>
        <v/>
      </c>
      <c r="FF222" s="27" t="str">
        <f>[1]Sheet2!FG221</f>
        <v/>
      </c>
      <c r="FG222" s="27" t="str">
        <f>[1]Sheet2!FH221</f>
        <v/>
      </c>
      <c r="FH222" s="27" t="str">
        <f>[1]Sheet2!FI221</f>
        <v/>
      </c>
      <c r="FI222" s="27" t="str">
        <f>[1]Sheet2!FJ221</f>
        <v/>
      </c>
      <c r="FJ222" s="27" t="str">
        <f>[1]Sheet2!FK221</f>
        <v/>
      </c>
      <c r="FK222" s="27" t="str">
        <f>[1]Sheet2!FL221</f>
        <v/>
      </c>
      <c r="FL222" s="27" t="str">
        <f>[1]Sheet2!FM221</f>
        <v/>
      </c>
      <c r="FM222" s="27" t="str">
        <f>[1]Sheet2!FN221</f>
        <v/>
      </c>
      <c r="FN222" s="27" t="str">
        <f>[1]Sheet2!FO221</f>
        <v/>
      </c>
      <c r="FO222" s="27" t="str">
        <f>[1]Sheet2!FP221</f>
        <v/>
      </c>
    </row>
    <row r="223" spans="1:171" s="27" customFormat="1" x14ac:dyDescent="0.25">
      <c r="A223" s="23">
        <v>43685</v>
      </c>
      <c r="B223" s="24"/>
      <c r="C223" s="24"/>
      <c r="D223" s="24"/>
      <c r="E223" s="25">
        <f>[1]Sheet2!N222</f>
        <v>0</v>
      </c>
      <c r="F223" s="25">
        <f>[1]Sheet2!BE222</f>
        <v>48000</v>
      </c>
      <c r="G223" s="25">
        <f>[1]Sheet2!CW222</f>
        <v>0</v>
      </c>
      <c r="H223" s="24"/>
      <c r="I223" s="24"/>
      <c r="J223" s="24"/>
      <c r="K223" s="26"/>
      <c r="L223" s="26">
        <f>Demand_CWRS!B$10/31</f>
        <v>120.8438508064516</v>
      </c>
      <c r="M223" s="26">
        <f>Demand_CWRS!C$10/31</f>
        <v>552.80165425971859</v>
      </c>
      <c r="N223" s="26">
        <f>Demand_CWRS!D$10/31</f>
        <v>0</v>
      </c>
      <c r="O223" s="26">
        <f>Demand_CWRS!E$10/31</f>
        <v>141.75971877584777</v>
      </c>
      <c r="P223" s="26">
        <f>Demand_CWRS!F$10/31</f>
        <v>252.70758116211746</v>
      </c>
      <c r="Q223" s="26">
        <f>Demand_CWRS!G$10/31</f>
        <v>116.12903225806451</v>
      </c>
      <c r="R223" s="26">
        <f>Demand_CWRS!H$10/31</f>
        <v>252.70758116211746</v>
      </c>
      <c r="S223" s="26">
        <f>Demand_CWRS!I$10/31</f>
        <v>252.70758116211746</v>
      </c>
      <c r="T223" s="26">
        <f>Demand_CWRS!J$10/31</f>
        <v>252.70758116211746</v>
      </c>
      <c r="U223" s="26">
        <f>Demand_CWRS!K$10/31</f>
        <v>252.70758116211746</v>
      </c>
      <c r="V223" s="26">
        <f t="shared" si="96"/>
        <v>-27588.223641925029</v>
      </c>
      <c r="W223" s="26">
        <f t="shared" si="97"/>
        <v>-107391.39528535945</v>
      </c>
      <c r="X223" s="26">
        <f t="shared" si="98"/>
        <v>0</v>
      </c>
      <c r="Y223" s="26">
        <f t="shared" si="99"/>
        <v>-19027.520966694909</v>
      </c>
      <c r="Z223" s="26">
        <f t="shared" si="100"/>
        <v>-46898.249884731827</v>
      </c>
      <c r="AA223" s="26">
        <f t="shared" si="101"/>
        <v>-26224.731944499508</v>
      </c>
      <c r="AB223" s="26">
        <f t="shared" si="102"/>
        <v>-51207.414660372786</v>
      </c>
      <c r="AC223" s="26">
        <f t="shared" si="103"/>
        <v>-45414.404403962595</v>
      </c>
      <c r="AD223" s="26">
        <f t="shared" si="104"/>
        <v>-45514.404403962588</v>
      </c>
      <c r="AE223" s="26">
        <f t="shared" si="105"/>
        <v>-46114.404403962581</v>
      </c>
      <c r="AF223" s="25">
        <f>IF([1]Sheet2!AJ222=999999,"NA",[1]Sheet2!AJ222)</f>
        <v>0</v>
      </c>
      <c r="AG223" s="25">
        <f>IF([1]Sheet2!AK222=999999,"NA",[1]Sheet2!AK222)</f>
        <v>0</v>
      </c>
      <c r="AH223" s="25" t="str">
        <f>IF([1]Sheet2!AL222=999999,"NA",[1]Sheet2!AL222)</f>
        <v>NA</v>
      </c>
      <c r="AI223" s="25">
        <f>IF([1]Sheet2!AM222=999999,"NA",[1]Sheet2!AM222)</f>
        <v>0</v>
      </c>
      <c r="AJ223" s="25">
        <f>IF([1]Sheet2!AN222=999999,"NA",[1]Sheet2!AN222)</f>
        <v>0</v>
      </c>
      <c r="AK223" s="25">
        <f>IF([1]Sheet2!AO222=999999,"NA",[1]Sheet2!AO222)</f>
        <v>0</v>
      </c>
      <c r="AL223" s="25">
        <f>IF([1]Sheet2!AP222=999999,"NA",[1]Sheet2!AP222)</f>
        <v>0</v>
      </c>
      <c r="AM223" s="25">
        <f>IF([1]Sheet2!AQ222=999999,"NA",[1]Sheet2!AQ222)</f>
        <v>0</v>
      </c>
      <c r="AN223" s="25">
        <f>IF([1]Sheet2!AR222=999999,"NA",[1]Sheet2!AR222)</f>
        <v>0</v>
      </c>
      <c r="AO223" s="25">
        <f>IF([1]Sheet2!AS222=999999,"NA",[1]Sheet2!AS222)</f>
        <v>0</v>
      </c>
      <c r="AP223" s="25">
        <f>[1]Sheet2!P222</f>
        <v>0</v>
      </c>
      <c r="AQ223" s="25">
        <f>[1]Sheet2!Q222</f>
        <v>0</v>
      </c>
      <c r="AR223" s="25">
        <f>[1]Sheet2!R222</f>
        <v>0</v>
      </c>
      <c r="AS223" s="25">
        <f>[1]Sheet2!S222</f>
        <v>0</v>
      </c>
      <c r="AT223" s="25">
        <f>[1]Sheet2!T222</f>
        <v>0</v>
      </c>
      <c r="AU223" s="25">
        <f>[1]Sheet2!U222</f>
        <v>0</v>
      </c>
      <c r="AV223" s="25">
        <f>[1]Sheet2!V222</f>
        <v>0</v>
      </c>
      <c r="AW223" s="25">
        <f>[1]Sheet2!W222</f>
        <v>0</v>
      </c>
      <c r="AX223" s="25">
        <f>[1]Sheet2!X222</f>
        <v>0</v>
      </c>
      <c r="AY223" s="25">
        <f>[1]Sheet2!Y222</f>
        <v>0</v>
      </c>
      <c r="AZ223" s="26">
        <f>Demand_LP!B$10/31</f>
        <v>857.18246226220015</v>
      </c>
      <c r="BA223" s="26">
        <f>Demand_LP!C$10/31</f>
        <v>528.30835401157981</v>
      </c>
      <c r="BB223" s="26">
        <f>Demand_LP!D$10/31</f>
        <v>338.76323407775027</v>
      </c>
      <c r="BC223" s="26">
        <f>Demand_LP!E$10/31</f>
        <v>735.04776674937955</v>
      </c>
      <c r="BD223" s="26">
        <f>Demand_LP!F$10/31</f>
        <v>479.51259046732832</v>
      </c>
      <c r="BE223" s="26">
        <f>Demand_LP!G$10/31</f>
        <v>479.51259046732832</v>
      </c>
      <c r="BF223" s="26">
        <f>Demand_LP!H$10/31</f>
        <v>528.30835401157981</v>
      </c>
      <c r="BG223" s="26">
        <f>Demand_LP!I$10/31</f>
        <v>479.51259046732832</v>
      </c>
      <c r="BH223" s="26">
        <f>Demand_LP!J$10/31</f>
        <v>479.51259046732832</v>
      </c>
      <c r="BI223" s="26">
        <f>Demand_LP!K$10/31</f>
        <v>479.51259046732832</v>
      </c>
      <c r="BJ223" s="26">
        <f t="shared" si="106"/>
        <v>-160270.36477158201</v>
      </c>
      <c r="BK223" s="26">
        <f t="shared" si="107"/>
        <v>-126992.04888337443</v>
      </c>
      <c r="BL223" s="26">
        <f t="shared" si="108"/>
        <v>-59799.045616211792</v>
      </c>
      <c r="BM223" s="26">
        <f t="shared" si="109"/>
        <v>-159924.58339981749</v>
      </c>
      <c r="BN223" s="26">
        <f t="shared" si="110"/>
        <v>-93773.380523316766</v>
      </c>
      <c r="BO223" s="26">
        <f t="shared" si="111"/>
        <v>-92231.0644416875</v>
      </c>
      <c r="BP223" s="26">
        <f t="shared" si="112"/>
        <v>-121349.62837055394</v>
      </c>
      <c r="BQ223" s="26">
        <f t="shared" si="113"/>
        <v>-92231.0644416875</v>
      </c>
      <c r="BR223" s="26">
        <f t="shared" si="114"/>
        <v>-89831.064441687544</v>
      </c>
      <c r="BS223" s="26">
        <f t="shared" si="115"/>
        <v>-90531.064441687529</v>
      </c>
      <c r="BT223" s="25">
        <f>IF([1]Sheet2!CB222=999999,"NA",[1]Sheet2!CB222)</f>
        <v>0</v>
      </c>
      <c r="BU223" s="25">
        <f>IF([1]Sheet2!CC222=999999,"NA",[1]Sheet2!CC222)</f>
        <v>0</v>
      </c>
      <c r="BV223" s="25">
        <f>IF([1]Sheet2!CD222=999999,"NA",[1]Sheet2!CD222)</f>
        <v>0</v>
      </c>
      <c r="BW223" s="25">
        <f>IF([1]Sheet2!CE222=999999,"NA",[1]Sheet2!CE222)</f>
        <v>0</v>
      </c>
      <c r="BX223" s="25">
        <f>IF([1]Sheet2!CF222=999999,"NA",[1]Sheet2!CF222)</f>
        <v>0</v>
      </c>
      <c r="BY223" s="25">
        <f>IF([1]Sheet2!CG222=999999,"NA",[1]Sheet2!CG222)</f>
        <v>0</v>
      </c>
      <c r="BZ223" s="25">
        <f>IF([1]Sheet2!CH222=999999,"NA",[1]Sheet2!CH222)</f>
        <v>0</v>
      </c>
      <c r="CA223" s="25">
        <f>IF([1]Sheet2!CI222=999999,"NA",[1]Sheet2!CI222)</f>
        <v>0</v>
      </c>
      <c r="CB223" s="25">
        <f>IF([1]Sheet2!CJ222=999999,"NA",[1]Sheet2!CJ222)</f>
        <v>0</v>
      </c>
      <c r="CC223" s="25">
        <f>IF([1]Sheet2!CK222=999999,"NA",[1]Sheet2!CK222)</f>
        <v>0</v>
      </c>
      <c r="CD223" s="25">
        <f>[1]Sheet2!BH222</f>
        <v>0</v>
      </c>
      <c r="CE223" s="25">
        <f>[1]Sheet2!BI222</f>
        <v>0</v>
      </c>
      <c r="CF223" s="25">
        <f>[1]Sheet2!BJ222</f>
        <v>0</v>
      </c>
      <c r="CG223" s="25">
        <f>[1]Sheet2!BK222</f>
        <v>0</v>
      </c>
      <c r="CH223" s="25">
        <f>[1]Sheet2!BL222</f>
        <v>0</v>
      </c>
      <c r="CI223" s="25">
        <f>[1]Sheet2!BM222</f>
        <v>0</v>
      </c>
      <c r="CJ223" s="25">
        <f>[1]Sheet2!BN222</f>
        <v>0</v>
      </c>
      <c r="CK223" s="25">
        <f>[1]Sheet2!BO222</f>
        <v>0</v>
      </c>
      <c r="CL223" s="25">
        <f>[1]Sheet2!BP222</f>
        <v>0</v>
      </c>
      <c r="CM223" s="25">
        <f>[1]Sheet2!BQ222</f>
        <v>0</v>
      </c>
      <c r="CN223" s="26">
        <f>Demand_SW!B$10/31</f>
        <v>131.01736972704714</v>
      </c>
      <c r="CO223" s="26">
        <f>Demand_SW!C$10/31</f>
        <v>0</v>
      </c>
      <c r="CP223" s="26">
        <f>Demand_SW!D$10/31</f>
        <v>0</v>
      </c>
      <c r="CQ223" s="26">
        <f>Demand_SW!E$10/31</f>
        <v>0</v>
      </c>
      <c r="CR223" s="26">
        <f>Demand_SW!F$10/31</f>
        <v>0</v>
      </c>
      <c r="CS223" s="26">
        <f>Demand_SW!G$10/31</f>
        <v>131.01736972704714</v>
      </c>
      <c r="CT223" s="26">
        <f>Demand_SW!H$10/31</f>
        <v>0</v>
      </c>
      <c r="CU223" s="26">
        <f>Demand_SW!I$10/31</f>
        <v>0</v>
      </c>
      <c r="CV223" s="26">
        <f>Demand_SW!J$10/31</f>
        <v>0</v>
      </c>
      <c r="CW223" s="26">
        <f>Demand_SW!K$10/31</f>
        <v>0</v>
      </c>
      <c r="CX223" s="26">
        <f t="shared" si="116"/>
        <v>-24707.369727047175</v>
      </c>
      <c r="CY223" s="26">
        <f t="shared" si="117"/>
        <v>76.923076923077133</v>
      </c>
      <c r="CZ223" s="26">
        <f t="shared" si="118"/>
        <v>0</v>
      </c>
      <c r="DA223" s="26">
        <f t="shared" si="119"/>
        <v>0</v>
      </c>
      <c r="DB223" s="26">
        <f t="shared" si="120"/>
        <v>0</v>
      </c>
      <c r="DC223" s="26">
        <f t="shared" si="121"/>
        <v>-24236.600496277944</v>
      </c>
      <c r="DD223" s="26">
        <f t="shared" si="122"/>
        <v>76.923076923077133</v>
      </c>
      <c r="DE223" s="26">
        <f t="shared" si="123"/>
        <v>0</v>
      </c>
      <c r="DF223" s="26">
        <f t="shared" si="124"/>
        <v>0</v>
      </c>
      <c r="DG223" s="26">
        <f t="shared" si="125"/>
        <v>0</v>
      </c>
      <c r="DH223" s="25">
        <f>IF([1]Sheet2!DS222=999999,"NA",[1]Sheet2!DS222)</f>
        <v>0</v>
      </c>
      <c r="DI223" s="25">
        <f>IF([1]Sheet2!DT222=999999,"NA",[1]Sheet2!DT222)</f>
        <v>145</v>
      </c>
      <c r="DJ223" s="25" t="str">
        <f>IF([1]Sheet2!DU222=999999,"NA",[1]Sheet2!DU222)</f>
        <v>NA</v>
      </c>
      <c r="DK223" s="25" t="str">
        <f>IF([1]Sheet2!DV222=999999,"NA",[1]Sheet2!DV222)</f>
        <v>NA</v>
      </c>
      <c r="DL223" s="25" t="str">
        <f>IF([1]Sheet2!DW222=999999,"NA",[1]Sheet2!DW222)</f>
        <v>NA</v>
      </c>
      <c r="DM223" s="25">
        <f>IF([1]Sheet2!DX222=999999,"NA",[1]Sheet2!DX222)</f>
        <v>0</v>
      </c>
      <c r="DN223" s="25">
        <f>IF([1]Sheet2!DY222=999999,"NA",[1]Sheet2!DY222)</f>
        <v>145</v>
      </c>
      <c r="DO223" s="25" t="str">
        <f>IF([1]Sheet2!DZ222=999999,"NA",[1]Sheet2!DZ222)</f>
        <v>NA</v>
      </c>
      <c r="DP223" s="25" t="str">
        <f>IF([1]Sheet2!EA222=999999,"NA",[1]Sheet2!EA222)</f>
        <v>NA</v>
      </c>
      <c r="DQ223" s="25" t="str">
        <f>IF([1]Sheet2!EB222=999999,"NA",[1]Sheet2!EB222)</f>
        <v>NA</v>
      </c>
      <c r="DR223" s="25">
        <f>[1]Sheet2!CY222</f>
        <v>0</v>
      </c>
      <c r="DS223" s="25">
        <f>[1]Sheet2!CZ222</f>
        <v>0</v>
      </c>
      <c r="DT223" s="25">
        <f>[1]Sheet2!DA222</f>
        <v>0</v>
      </c>
      <c r="DU223" s="25">
        <f>[1]Sheet2!DB222</f>
        <v>0</v>
      </c>
      <c r="DV223" s="25">
        <f>[1]Sheet2!DC222</f>
        <v>0</v>
      </c>
      <c r="DW223" s="25">
        <f>[1]Sheet2!DD222</f>
        <v>0</v>
      </c>
      <c r="DX223" s="25">
        <f>[1]Sheet2!DE222</f>
        <v>0</v>
      </c>
      <c r="DY223" s="25">
        <f>[1]Sheet2!DF222</f>
        <v>0</v>
      </c>
      <c r="DZ223" s="25">
        <f>[1]Sheet2!DG222</f>
        <v>0</v>
      </c>
      <c r="EA223" s="25">
        <f>[1]Sheet2!DH222</f>
        <v>0</v>
      </c>
      <c r="EB223" s="27">
        <f>[1]Sheet2!EC222</f>
        <v>0</v>
      </c>
      <c r="EC223" s="27">
        <f>[1]Sheet2!ED222</f>
        <v>0</v>
      </c>
      <c r="ED223" s="27">
        <f>[1]Sheet2!EE222</f>
        <v>0</v>
      </c>
      <c r="EE223" s="27">
        <f>[1]Sheet2!EF222</f>
        <v>0</v>
      </c>
      <c r="EF223" s="27">
        <f>[1]Sheet2!EG222</f>
        <v>0</v>
      </c>
      <c r="EG223" s="27">
        <f>[1]Sheet2!EH222</f>
        <v>0</v>
      </c>
      <c r="EH223" s="27">
        <f>[1]Sheet2!EI222</f>
        <v>0</v>
      </c>
      <c r="EI223" s="27">
        <f>[1]Sheet2!EJ222</f>
        <v>0</v>
      </c>
      <c r="EJ223" s="27">
        <f>[1]Sheet2!EK222</f>
        <v>0</v>
      </c>
      <c r="EK223" s="27">
        <f>[1]Sheet2!EL222</f>
        <v>0</v>
      </c>
      <c r="EL223" s="27" t="str">
        <f>[1]Sheet2!EM222</f>
        <v/>
      </c>
      <c r="EM223" s="27" t="str">
        <f>[1]Sheet2!EN222</f>
        <v/>
      </c>
      <c r="EN223" s="27" t="str">
        <f>[1]Sheet2!EO222</f>
        <v/>
      </c>
      <c r="EO223" s="27" t="str">
        <f>[1]Sheet2!EP222</f>
        <v/>
      </c>
      <c r="EP223" s="27" t="str">
        <f>[1]Sheet2!EQ222</f>
        <v/>
      </c>
      <c r="EQ223" s="27" t="str">
        <f>[1]Sheet2!ER222</f>
        <v/>
      </c>
      <c r="ER223" s="27" t="str">
        <f>[1]Sheet2!ES222</f>
        <v/>
      </c>
      <c r="ES223" s="27" t="str">
        <f>[1]Sheet2!ET222</f>
        <v/>
      </c>
      <c r="ET223" s="27" t="str">
        <f>[1]Sheet2!EU222</f>
        <v/>
      </c>
      <c r="EU223" s="27" t="str">
        <f>[1]Sheet2!EV222</f>
        <v/>
      </c>
      <c r="EV223" s="27" t="str">
        <f>[1]Sheet2!EW222</f>
        <v/>
      </c>
      <c r="EW223" s="27" t="str">
        <f>[1]Sheet2!EX222</f>
        <v/>
      </c>
      <c r="EX223" s="27" t="str">
        <f>[1]Sheet2!EY222</f>
        <v/>
      </c>
      <c r="EY223" s="27" t="str">
        <f>[1]Sheet2!EZ222</f>
        <v/>
      </c>
      <c r="EZ223" s="27" t="str">
        <f>[1]Sheet2!FA222</f>
        <v/>
      </c>
      <c r="FA223" s="27" t="str">
        <f>[1]Sheet2!FB222</f>
        <v/>
      </c>
      <c r="FB223" s="27" t="str">
        <f>[1]Sheet2!FC222</f>
        <v/>
      </c>
      <c r="FC223" s="27" t="str">
        <f>[1]Sheet2!FD222</f>
        <v/>
      </c>
      <c r="FD223" s="27" t="str">
        <f>[1]Sheet2!FE222</f>
        <v/>
      </c>
      <c r="FE223" s="27" t="str">
        <f>[1]Sheet2!FF222</f>
        <v/>
      </c>
      <c r="FF223" s="27" t="str">
        <f>[1]Sheet2!FG222</f>
        <v/>
      </c>
      <c r="FG223" s="27" t="str">
        <f>[1]Sheet2!FH222</f>
        <v/>
      </c>
      <c r="FH223" s="27" t="str">
        <f>[1]Sheet2!FI222</f>
        <v/>
      </c>
      <c r="FI223" s="27" t="str">
        <f>[1]Sheet2!FJ222</f>
        <v/>
      </c>
      <c r="FJ223" s="27" t="str">
        <f>[1]Sheet2!FK222</f>
        <v/>
      </c>
      <c r="FK223" s="27" t="str">
        <f>[1]Sheet2!FL222</f>
        <v/>
      </c>
      <c r="FL223" s="27" t="str">
        <f>[1]Sheet2!FM222</f>
        <v/>
      </c>
      <c r="FM223" s="27" t="str">
        <f>[1]Sheet2!FN222</f>
        <v/>
      </c>
      <c r="FN223" s="27" t="str">
        <f>[1]Sheet2!FO222</f>
        <v/>
      </c>
      <c r="FO223" s="27" t="str">
        <f>[1]Sheet2!FP222</f>
        <v/>
      </c>
    </row>
    <row r="224" spans="1:171" s="27" customFormat="1" x14ac:dyDescent="0.25">
      <c r="A224" s="23">
        <v>43686</v>
      </c>
      <c r="B224" s="24"/>
      <c r="C224" s="24"/>
      <c r="D224" s="24"/>
      <c r="E224" s="25">
        <f>[1]Sheet2!N223</f>
        <v>0</v>
      </c>
      <c r="F224" s="25">
        <f>[1]Sheet2!BE223</f>
        <v>0</v>
      </c>
      <c r="G224" s="25">
        <f>[1]Sheet2!CW223</f>
        <v>0</v>
      </c>
      <c r="H224" s="24"/>
      <c r="I224" s="24"/>
      <c r="J224" s="24"/>
      <c r="K224" s="26"/>
      <c r="L224" s="26">
        <f>Demand_CWRS!B$10/31</f>
        <v>120.8438508064516</v>
      </c>
      <c r="M224" s="26">
        <f>Demand_CWRS!C$10/31</f>
        <v>552.80165425971859</v>
      </c>
      <c r="N224" s="26">
        <f>Demand_CWRS!D$10/31</f>
        <v>0</v>
      </c>
      <c r="O224" s="26">
        <f>Demand_CWRS!E$10/31</f>
        <v>141.75971877584777</v>
      </c>
      <c r="P224" s="26">
        <f>Demand_CWRS!F$10/31</f>
        <v>252.70758116211746</v>
      </c>
      <c r="Q224" s="26">
        <f>Demand_CWRS!G$10/31</f>
        <v>116.12903225806451</v>
      </c>
      <c r="R224" s="26">
        <f>Demand_CWRS!H$10/31</f>
        <v>252.70758116211746</v>
      </c>
      <c r="S224" s="26">
        <f>Demand_CWRS!I$10/31</f>
        <v>252.70758116211746</v>
      </c>
      <c r="T224" s="26">
        <f>Demand_CWRS!J$10/31</f>
        <v>252.70758116211746</v>
      </c>
      <c r="U224" s="26">
        <f>Demand_CWRS!K$10/31</f>
        <v>252.70758116211746</v>
      </c>
      <c r="V224" s="26">
        <f t="shared" si="96"/>
        <v>-27709.067492731479</v>
      </c>
      <c r="W224" s="26">
        <f t="shared" si="97"/>
        <v>-107944.19693961917</v>
      </c>
      <c r="X224" s="26">
        <f t="shared" si="98"/>
        <v>0</v>
      </c>
      <c r="Y224" s="26">
        <f t="shared" si="99"/>
        <v>-19169.280685470756</v>
      </c>
      <c r="Z224" s="26">
        <f t="shared" si="100"/>
        <v>-47150.957465893945</v>
      </c>
      <c r="AA224" s="26">
        <f t="shared" si="101"/>
        <v>-26340.860976757573</v>
      </c>
      <c r="AB224" s="26">
        <f t="shared" si="102"/>
        <v>-51460.122241534904</v>
      </c>
      <c r="AC224" s="26">
        <f t="shared" si="103"/>
        <v>-45667.111985124713</v>
      </c>
      <c r="AD224" s="26">
        <f t="shared" si="104"/>
        <v>-45767.111985124706</v>
      </c>
      <c r="AE224" s="26">
        <f t="shared" si="105"/>
        <v>-46367.111985124699</v>
      </c>
      <c r="AF224" s="25">
        <f>IF([1]Sheet2!AJ223=999999,"NA",[1]Sheet2!AJ223)</f>
        <v>0</v>
      </c>
      <c r="AG224" s="25">
        <f>IF([1]Sheet2!AK223=999999,"NA",[1]Sheet2!AK223)</f>
        <v>0</v>
      </c>
      <c r="AH224" s="25" t="str">
        <f>IF([1]Sheet2!AL223=999999,"NA",[1]Sheet2!AL223)</f>
        <v>NA</v>
      </c>
      <c r="AI224" s="25">
        <f>IF([1]Sheet2!AM223=999999,"NA",[1]Sheet2!AM223)</f>
        <v>0</v>
      </c>
      <c r="AJ224" s="25">
        <f>IF([1]Sheet2!AN223=999999,"NA",[1]Sheet2!AN223)</f>
        <v>0</v>
      </c>
      <c r="AK224" s="25">
        <f>IF([1]Sheet2!AO223=999999,"NA",[1]Sheet2!AO223)</f>
        <v>0</v>
      </c>
      <c r="AL224" s="25">
        <f>IF([1]Sheet2!AP223=999999,"NA",[1]Sheet2!AP223)</f>
        <v>0</v>
      </c>
      <c r="AM224" s="25">
        <f>IF([1]Sheet2!AQ223=999999,"NA",[1]Sheet2!AQ223)</f>
        <v>0</v>
      </c>
      <c r="AN224" s="25">
        <f>IF([1]Sheet2!AR223=999999,"NA",[1]Sheet2!AR223)</f>
        <v>0</v>
      </c>
      <c r="AO224" s="25">
        <f>IF([1]Sheet2!AS223=999999,"NA",[1]Sheet2!AS223)</f>
        <v>0</v>
      </c>
      <c r="AP224" s="25">
        <f>[1]Sheet2!P223</f>
        <v>0</v>
      </c>
      <c r="AQ224" s="25">
        <f>[1]Sheet2!Q223</f>
        <v>0</v>
      </c>
      <c r="AR224" s="25">
        <f>[1]Sheet2!R223</f>
        <v>0</v>
      </c>
      <c r="AS224" s="25">
        <f>[1]Sheet2!S223</f>
        <v>0</v>
      </c>
      <c r="AT224" s="25">
        <f>[1]Sheet2!T223</f>
        <v>0</v>
      </c>
      <c r="AU224" s="25">
        <f>[1]Sheet2!U223</f>
        <v>0</v>
      </c>
      <c r="AV224" s="25">
        <f>[1]Sheet2!V223</f>
        <v>0</v>
      </c>
      <c r="AW224" s="25">
        <f>[1]Sheet2!W223</f>
        <v>0</v>
      </c>
      <c r="AX224" s="25">
        <f>[1]Sheet2!X223</f>
        <v>0</v>
      </c>
      <c r="AY224" s="25">
        <f>[1]Sheet2!Y223</f>
        <v>0</v>
      </c>
      <c r="AZ224" s="26">
        <f>Demand_LP!B$10/31</f>
        <v>857.18246226220015</v>
      </c>
      <c r="BA224" s="26">
        <f>Demand_LP!C$10/31</f>
        <v>528.30835401157981</v>
      </c>
      <c r="BB224" s="26">
        <f>Demand_LP!D$10/31</f>
        <v>338.76323407775027</v>
      </c>
      <c r="BC224" s="26">
        <f>Demand_LP!E$10/31</f>
        <v>735.04776674937955</v>
      </c>
      <c r="BD224" s="26">
        <f>Demand_LP!F$10/31</f>
        <v>479.51259046732832</v>
      </c>
      <c r="BE224" s="26">
        <f>Demand_LP!G$10/31</f>
        <v>479.51259046732832</v>
      </c>
      <c r="BF224" s="26">
        <f>Demand_LP!H$10/31</f>
        <v>528.30835401157981</v>
      </c>
      <c r="BG224" s="26">
        <f>Demand_LP!I$10/31</f>
        <v>479.51259046732832</v>
      </c>
      <c r="BH224" s="26">
        <f>Demand_LP!J$10/31</f>
        <v>479.51259046732832</v>
      </c>
      <c r="BI224" s="26">
        <f>Demand_LP!K$10/31</f>
        <v>479.51259046732832</v>
      </c>
      <c r="BJ224" s="26">
        <f t="shared" si="106"/>
        <v>-161127.54723384421</v>
      </c>
      <c r="BK224" s="26">
        <f t="shared" si="107"/>
        <v>-127520.35723738601</v>
      </c>
      <c r="BL224" s="26">
        <f t="shared" si="108"/>
        <v>-60137.808850289541</v>
      </c>
      <c r="BM224" s="26">
        <f t="shared" si="109"/>
        <v>-160659.63116656686</v>
      </c>
      <c r="BN224" s="26">
        <f t="shared" si="110"/>
        <v>-94252.893113784099</v>
      </c>
      <c r="BO224" s="26">
        <f t="shared" si="111"/>
        <v>-92710.577032154833</v>
      </c>
      <c r="BP224" s="26">
        <f t="shared" si="112"/>
        <v>-121877.93672456552</v>
      </c>
      <c r="BQ224" s="26">
        <f t="shared" si="113"/>
        <v>-92710.577032154833</v>
      </c>
      <c r="BR224" s="26">
        <f t="shared" si="114"/>
        <v>-90310.577032154877</v>
      </c>
      <c r="BS224" s="26">
        <f t="shared" si="115"/>
        <v>-91010.577032154863</v>
      </c>
      <c r="BT224" s="25">
        <f>IF([1]Sheet2!CB223=999999,"NA",[1]Sheet2!CB223)</f>
        <v>0</v>
      </c>
      <c r="BU224" s="25">
        <f>IF([1]Sheet2!CC223=999999,"NA",[1]Sheet2!CC223)</f>
        <v>0</v>
      </c>
      <c r="BV224" s="25">
        <f>IF([1]Sheet2!CD223=999999,"NA",[1]Sheet2!CD223)</f>
        <v>0</v>
      </c>
      <c r="BW224" s="25">
        <f>IF([1]Sheet2!CE223=999999,"NA",[1]Sheet2!CE223)</f>
        <v>0</v>
      </c>
      <c r="BX224" s="25">
        <f>IF([1]Sheet2!CF223=999999,"NA",[1]Sheet2!CF223)</f>
        <v>0</v>
      </c>
      <c r="BY224" s="25">
        <f>IF([1]Sheet2!CG223=999999,"NA",[1]Sheet2!CG223)</f>
        <v>0</v>
      </c>
      <c r="BZ224" s="25">
        <f>IF([1]Sheet2!CH223=999999,"NA",[1]Sheet2!CH223)</f>
        <v>0</v>
      </c>
      <c r="CA224" s="25">
        <f>IF([1]Sheet2!CI223=999999,"NA",[1]Sheet2!CI223)</f>
        <v>0</v>
      </c>
      <c r="CB224" s="25">
        <f>IF([1]Sheet2!CJ223=999999,"NA",[1]Sheet2!CJ223)</f>
        <v>0</v>
      </c>
      <c r="CC224" s="25">
        <f>IF([1]Sheet2!CK223=999999,"NA",[1]Sheet2!CK223)</f>
        <v>0</v>
      </c>
      <c r="CD224" s="25">
        <f>[1]Sheet2!BH223</f>
        <v>0</v>
      </c>
      <c r="CE224" s="25">
        <f>[1]Sheet2!BI223</f>
        <v>0</v>
      </c>
      <c r="CF224" s="25">
        <f>[1]Sheet2!BJ223</f>
        <v>0</v>
      </c>
      <c r="CG224" s="25">
        <f>[1]Sheet2!BK223</f>
        <v>0</v>
      </c>
      <c r="CH224" s="25">
        <f>[1]Sheet2!BL223</f>
        <v>0</v>
      </c>
      <c r="CI224" s="25">
        <f>[1]Sheet2!BM223</f>
        <v>0</v>
      </c>
      <c r="CJ224" s="25">
        <f>[1]Sheet2!BN223</f>
        <v>0</v>
      </c>
      <c r="CK224" s="25">
        <f>[1]Sheet2!BO223</f>
        <v>0</v>
      </c>
      <c r="CL224" s="25">
        <f>[1]Sheet2!BP223</f>
        <v>0</v>
      </c>
      <c r="CM224" s="25">
        <f>[1]Sheet2!BQ223</f>
        <v>0</v>
      </c>
      <c r="CN224" s="26">
        <f>Demand_SW!B$10/31</f>
        <v>131.01736972704714</v>
      </c>
      <c r="CO224" s="26">
        <f>Demand_SW!C$10/31</f>
        <v>0</v>
      </c>
      <c r="CP224" s="26">
        <f>Demand_SW!D$10/31</f>
        <v>0</v>
      </c>
      <c r="CQ224" s="26">
        <f>Demand_SW!E$10/31</f>
        <v>0</v>
      </c>
      <c r="CR224" s="26">
        <f>Demand_SW!F$10/31</f>
        <v>0</v>
      </c>
      <c r="CS224" s="26">
        <f>Demand_SW!G$10/31</f>
        <v>131.01736972704714</v>
      </c>
      <c r="CT224" s="26">
        <f>Demand_SW!H$10/31</f>
        <v>0</v>
      </c>
      <c r="CU224" s="26">
        <f>Demand_SW!I$10/31</f>
        <v>0</v>
      </c>
      <c r="CV224" s="26">
        <f>Demand_SW!J$10/31</f>
        <v>0</v>
      </c>
      <c r="CW224" s="26">
        <f>Demand_SW!K$10/31</f>
        <v>0</v>
      </c>
      <c r="CX224" s="26">
        <f t="shared" si="116"/>
        <v>-24838.387096774222</v>
      </c>
      <c r="CY224" s="26">
        <f t="shared" si="117"/>
        <v>76.923076923077133</v>
      </c>
      <c r="CZ224" s="26">
        <f t="shared" si="118"/>
        <v>0</v>
      </c>
      <c r="DA224" s="26">
        <f t="shared" si="119"/>
        <v>0</v>
      </c>
      <c r="DB224" s="26">
        <f t="shared" si="120"/>
        <v>0</v>
      </c>
      <c r="DC224" s="26">
        <f t="shared" si="121"/>
        <v>-24367.617866004992</v>
      </c>
      <c r="DD224" s="26">
        <f t="shared" si="122"/>
        <v>76.923076923077133</v>
      </c>
      <c r="DE224" s="26">
        <f t="shared" si="123"/>
        <v>0</v>
      </c>
      <c r="DF224" s="26">
        <f t="shared" si="124"/>
        <v>0</v>
      </c>
      <c r="DG224" s="26">
        <f t="shared" si="125"/>
        <v>0</v>
      </c>
      <c r="DH224" s="25">
        <f>IF([1]Sheet2!DS223=999999,"NA",[1]Sheet2!DS223)</f>
        <v>0</v>
      </c>
      <c r="DI224" s="25">
        <f>IF([1]Sheet2!DT223=999999,"NA",[1]Sheet2!DT223)</f>
        <v>144</v>
      </c>
      <c r="DJ224" s="25" t="str">
        <f>IF([1]Sheet2!DU223=999999,"NA",[1]Sheet2!DU223)</f>
        <v>NA</v>
      </c>
      <c r="DK224" s="25" t="str">
        <f>IF([1]Sheet2!DV223=999999,"NA",[1]Sheet2!DV223)</f>
        <v>NA</v>
      </c>
      <c r="DL224" s="25" t="str">
        <f>IF([1]Sheet2!DW223=999999,"NA",[1]Sheet2!DW223)</f>
        <v>NA</v>
      </c>
      <c r="DM224" s="25">
        <f>IF([1]Sheet2!DX223=999999,"NA",[1]Sheet2!DX223)</f>
        <v>0</v>
      </c>
      <c r="DN224" s="25">
        <f>IF([1]Sheet2!DY223=999999,"NA",[1]Sheet2!DY223)</f>
        <v>144</v>
      </c>
      <c r="DO224" s="25" t="str">
        <f>IF([1]Sheet2!DZ223=999999,"NA",[1]Sheet2!DZ223)</f>
        <v>NA</v>
      </c>
      <c r="DP224" s="25" t="str">
        <f>IF([1]Sheet2!EA223=999999,"NA",[1]Sheet2!EA223)</f>
        <v>NA</v>
      </c>
      <c r="DQ224" s="25" t="str">
        <f>IF([1]Sheet2!EB223=999999,"NA",[1]Sheet2!EB223)</f>
        <v>NA</v>
      </c>
      <c r="DR224" s="25">
        <f>[1]Sheet2!CY223</f>
        <v>0</v>
      </c>
      <c r="DS224" s="25">
        <f>[1]Sheet2!CZ223</f>
        <v>0</v>
      </c>
      <c r="DT224" s="25">
        <f>[1]Sheet2!DA223</f>
        <v>0</v>
      </c>
      <c r="DU224" s="25">
        <f>[1]Sheet2!DB223</f>
        <v>0</v>
      </c>
      <c r="DV224" s="25">
        <f>[1]Sheet2!DC223</f>
        <v>0</v>
      </c>
      <c r="DW224" s="25">
        <f>[1]Sheet2!DD223</f>
        <v>0</v>
      </c>
      <c r="DX224" s="25">
        <f>[1]Sheet2!DE223</f>
        <v>0</v>
      </c>
      <c r="DY224" s="25">
        <f>[1]Sheet2!DF223</f>
        <v>0</v>
      </c>
      <c r="DZ224" s="25">
        <f>[1]Sheet2!DG223</f>
        <v>0</v>
      </c>
      <c r="EA224" s="25">
        <f>[1]Sheet2!DH223</f>
        <v>0</v>
      </c>
      <c r="EB224" s="27">
        <f>[1]Sheet2!EC223</f>
        <v>0</v>
      </c>
      <c r="EC224" s="27">
        <f>[1]Sheet2!ED223</f>
        <v>0</v>
      </c>
      <c r="ED224" s="27">
        <f>[1]Sheet2!EE223</f>
        <v>0</v>
      </c>
      <c r="EE224" s="27">
        <f>[1]Sheet2!EF223</f>
        <v>0</v>
      </c>
      <c r="EF224" s="27">
        <f>[1]Sheet2!EG223</f>
        <v>0</v>
      </c>
      <c r="EG224" s="27">
        <f>[1]Sheet2!EH223</f>
        <v>0</v>
      </c>
      <c r="EH224" s="27">
        <f>[1]Sheet2!EI223</f>
        <v>0</v>
      </c>
      <c r="EI224" s="27">
        <f>[1]Sheet2!EJ223</f>
        <v>0</v>
      </c>
      <c r="EJ224" s="27">
        <f>[1]Sheet2!EK223</f>
        <v>0</v>
      </c>
      <c r="EK224" s="27">
        <f>[1]Sheet2!EL223</f>
        <v>0</v>
      </c>
      <c r="EL224" s="27" t="str">
        <f>[1]Sheet2!EM223</f>
        <v/>
      </c>
      <c r="EM224" s="27" t="str">
        <f>[1]Sheet2!EN223</f>
        <v/>
      </c>
      <c r="EN224" s="27" t="str">
        <f>[1]Sheet2!EO223</f>
        <v/>
      </c>
      <c r="EO224" s="27" t="str">
        <f>[1]Sheet2!EP223</f>
        <v/>
      </c>
      <c r="EP224" s="27" t="str">
        <f>[1]Sheet2!EQ223</f>
        <v/>
      </c>
      <c r="EQ224" s="27" t="str">
        <f>[1]Sheet2!ER223</f>
        <v/>
      </c>
      <c r="ER224" s="27" t="str">
        <f>[1]Sheet2!ES223</f>
        <v/>
      </c>
      <c r="ES224" s="27" t="str">
        <f>[1]Sheet2!ET223</f>
        <v/>
      </c>
      <c r="ET224" s="27" t="str">
        <f>[1]Sheet2!EU223</f>
        <v/>
      </c>
      <c r="EU224" s="27" t="str">
        <f>[1]Sheet2!EV223</f>
        <v/>
      </c>
      <c r="EV224" s="27" t="str">
        <f>[1]Sheet2!EW223</f>
        <v/>
      </c>
      <c r="EW224" s="27" t="str">
        <f>[1]Sheet2!EX223</f>
        <v/>
      </c>
      <c r="EX224" s="27" t="str">
        <f>[1]Sheet2!EY223</f>
        <v/>
      </c>
      <c r="EY224" s="27" t="str">
        <f>[1]Sheet2!EZ223</f>
        <v/>
      </c>
      <c r="EZ224" s="27" t="str">
        <f>[1]Sheet2!FA223</f>
        <v/>
      </c>
      <c r="FA224" s="27" t="str">
        <f>[1]Sheet2!FB223</f>
        <v/>
      </c>
      <c r="FB224" s="27" t="str">
        <f>[1]Sheet2!FC223</f>
        <v/>
      </c>
      <c r="FC224" s="27" t="str">
        <f>[1]Sheet2!FD223</f>
        <v/>
      </c>
      <c r="FD224" s="27" t="str">
        <f>[1]Sheet2!FE223</f>
        <v/>
      </c>
      <c r="FE224" s="27" t="str">
        <f>[1]Sheet2!FF223</f>
        <v/>
      </c>
      <c r="FF224" s="27" t="str">
        <f>[1]Sheet2!FG223</f>
        <v/>
      </c>
      <c r="FG224" s="27" t="str">
        <f>[1]Sheet2!FH223</f>
        <v/>
      </c>
      <c r="FH224" s="27" t="str">
        <f>[1]Sheet2!FI223</f>
        <v/>
      </c>
      <c r="FI224" s="27" t="str">
        <f>[1]Sheet2!FJ223</f>
        <v/>
      </c>
      <c r="FJ224" s="27" t="str">
        <f>[1]Sheet2!FK223</f>
        <v/>
      </c>
      <c r="FK224" s="27" t="str">
        <f>[1]Sheet2!FL223</f>
        <v/>
      </c>
      <c r="FL224" s="27" t="str">
        <f>[1]Sheet2!FM223</f>
        <v/>
      </c>
      <c r="FM224" s="27" t="str">
        <f>[1]Sheet2!FN223</f>
        <v/>
      </c>
      <c r="FN224" s="27" t="str">
        <f>[1]Sheet2!FO223</f>
        <v/>
      </c>
      <c r="FO224" s="27" t="str">
        <f>[1]Sheet2!FP223</f>
        <v/>
      </c>
    </row>
    <row r="225" spans="1:171" x14ac:dyDescent="0.25">
      <c r="A225" s="15">
        <v>43687</v>
      </c>
      <c r="B225" s="1"/>
      <c r="C225" s="1"/>
      <c r="D225" s="1"/>
      <c r="E225" s="14">
        <f>[1]Sheet2!N224</f>
        <v>0</v>
      </c>
      <c r="F225" s="14">
        <f>[1]Sheet2!BE224</f>
        <v>0</v>
      </c>
      <c r="G225" s="14">
        <f>[1]Sheet2!CW224</f>
        <v>0</v>
      </c>
      <c r="H225" s="1"/>
      <c r="I225" s="1"/>
      <c r="J225" s="1"/>
      <c r="K225" s="16"/>
      <c r="L225" s="16">
        <f>Demand_CWRS!B$10/31</f>
        <v>120.8438508064516</v>
      </c>
      <c r="M225" s="16">
        <f>Demand_CWRS!C$10/31</f>
        <v>552.80165425971859</v>
      </c>
      <c r="N225" s="16">
        <f>Demand_CWRS!D$10/31</f>
        <v>0</v>
      </c>
      <c r="O225" s="16">
        <f>Demand_CWRS!E$10/31</f>
        <v>141.75971877584777</v>
      </c>
      <c r="P225" s="16">
        <f>Demand_CWRS!F$10/31</f>
        <v>252.70758116211746</v>
      </c>
      <c r="Q225" s="16">
        <f>Demand_CWRS!G$10/31</f>
        <v>116.12903225806451</v>
      </c>
      <c r="R225" s="16">
        <f>Demand_CWRS!H$10/31</f>
        <v>252.70758116211746</v>
      </c>
      <c r="S225" s="16">
        <f>Demand_CWRS!I$10/31</f>
        <v>252.70758116211746</v>
      </c>
      <c r="T225" s="16">
        <f>Demand_CWRS!J$10/31</f>
        <v>252.70758116211746</v>
      </c>
      <c r="U225" s="16">
        <f>Demand_CWRS!K$10/31</f>
        <v>252.70758116211746</v>
      </c>
      <c r="V225" s="16">
        <f t="shared" si="96"/>
        <v>-27829.911343537929</v>
      </c>
      <c r="W225" s="16">
        <f t="shared" si="97"/>
        <v>-108496.99859387889</v>
      </c>
      <c r="X225" s="16">
        <f t="shared" si="98"/>
        <v>0</v>
      </c>
      <c r="Y225" s="16">
        <f t="shared" si="99"/>
        <v>-19311.040404246603</v>
      </c>
      <c r="Z225" s="16">
        <f t="shared" si="100"/>
        <v>-47403.665047056063</v>
      </c>
      <c r="AA225" s="16">
        <f t="shared" si="101"/>
        <v>-26456.990009015637</v>
      </c>
      <c r="AB225" s="16">
        <f t="shared" si="102"/>
        <v>-51712.829822697022</v>
      </c>
      <c r="AC225" s="16">
        <f t="shared" si="103"/>
        <v>-45919.819566286831</v>
      </c>
      <c r="AD225" s="16">
        <f t="shared" si="104"/>
        <v>-46019.819566286824</v>
      </c>
      <c r="AE225" s="16">
        <f t="shared" si="105"/>
        <v>-46619.819566286817</v>
      </c>
      <c r="AF225" s="14">
        <f>IF([1]Sheet2!AJ224=999999,"NA",[1]Sheet2!AJ224)</f>
        <v>0</v>
      </c>
      <c r="AG225" s="14">
        <f>IF([1]Sheet2!AK224=999999,"NA",[1]Sheet2!AK224)</f>
        <v>0</v>
      </c>
      <c r="AH225" s="14" t="str">
        <f>IF([1]Sheet2!AL224=999999,"NA",[1]Sheet2!AL224)</f>
        <v>NA</v>
      </c>
      <c r="AI225" s="14">
        <f>IF([1]Sheet2!AM224=999999,"NA",[1]Sheet2!AM224)</f>
        <v>0</v>
      </c>
      <c r="AJ225" s="14">
        <f>IF([1]Sheet2!AN224=999999,"NA",[1]Sheet2!AN224)</f>
        <v>0</v>
      </c>
      <c r="AK225" s="14">
        <f>IF([1]Sheet2!AO224=999999,"NA",[1]Sheet2!AO224)</f>
        <v>0</v>
      </c>
      <c r="AL225" s="14">
        <f>IF([1]Sheet2!AP224=999999,"NA",[1]Sheet2!AP224)</f>
        <v>0</v>
      </c>
      <c r="AM225" s="14">
        <f>IF([1]Sheet2!AQ224=999999,"NA",[1]Sheet2!AQ224)</f>
        <v>0</v>
      </c>
      <c r="AN225" s="14">
        <f>IF([1]Sheet2!AR224=999999,"NA",[1]Sheet2!AR224)</f>
        <v>0</v>
      </c>
      <c r="AO225" s="14">
        <f>IF([1]Sheet2!AS224=999999,"NA",[1]Sheet2!AS224)</f>
        <v>0</v>
      </c>
      <c r="AP225" s="14">
        <f>[1]Sheet2!P224</f>
        <v>0</v>
      </c>
      <c r="AQ225" s="14">
        <f>[1]Sheet2!Q224</f>
        <v>0</v>
      </c>
      <c r="AR225" s="14">
        <f>[1]Sheet2!R224</f>
        <v>0</v>
      </c>
      <c r="AS225" s="14">
        <f>[1]Sheet2!S224</f>
        <v>0</v>
      </c>
      <c r="AT225" s="14">
        <f>[1]Sheet2!T224</f>
        <v>0</v>
      </c>
      <c r="AU225" s="14">
        <f>[1]Sheet2!U224</f>
        <v>0</v>
      </c>
      <c r="AV225" s="14">
        <f>[1]Sheet2!V224</f>
        <v>0</v>
      </c>
      <c r="AW225" s="14">
        <f>[1]Sheet2!W224</f>
        <v>0</v>
      </c>
      <c r="AX225" s="14">
        <f>[1]Sheet2!X224</f>
        <v>0</v>
      </c>
      <c r="AY225" s="14">
        <f>[1]Sheet2!Y224</f>
        <v>0</v>
      </c>
      <c r="AZ225" s="16">
        <f>Demand_LP!B$10/31</f>
        <v>857.18246226220015</v>
      </c>
      <c r="BA225" s="16">
        <f>Demand_LP!C$10/31</f>
        <v>528.30835401157981</v>
      </c>
      <c r="BB225" s="16">
        <f>Demand_LP!D$10/31</f>
        <v>338.76323407775027</v>
      </c>
      <c r="BC225" s="16">
        <f>Demand_LP!E$10/31</f>
        <v>735.04776674937955</v>
      </c>
      <c r="BD225" s="16">
        <f>Demand_LP!F$10/31</f>
        <v>479.51259046732832</v>
      </c>
      <c r="BE225" s="16">
        <f>Demand_LP!G$10/31</f>
        <v>479.51259046732832</v>
      </c>
      <c r="BF225" s="16">
        <f>Demand_LP!H$10/31</f>
        <v>528.30835401157981</v>
      </c>
      <c r="BG225" s="16">
        <f>Demand_LP!I$10/31</f>
        <v>479.51259046732832</v>
      </c>
      <c r="BH225" s="16">
        <f>Demand_LP!J$10/31</f>
        <v>479.51259046732832</v>
      </c>
      <c r="BI225" s="16">
        <f>Demand_LP!K$10/31</f>
        <v>479.51259046732832</v>
      </c>
      <c r="BJ225" s="16">
        <f t="shared" si="106"/>
        <v>-161984.7296961064</v>
      </c>
      <c r="BK225" s="16">
        <f t="shared" si="107"/>
        <v>-128048.66559139758</v>
      </c>
      <c r="BL225" s="16">
        <f t="shared" si="108"/>
        <v>-60476.57208436729</v>
      </c>
      <c r="BM225" s="16">
        <f t="shared" si="109"/>
        <v>-161394.67893331623</v>
      </c>
      <c r="BN225" s="16">
        <f t="shared" si="110"/>
        <v>-94732.405704251432</v>
      </c>
      <c r="BO225" s="16">
        <f t="shared" si="111"/>
        <v>-93190.089622622167</v>
      </c>
      <c r="BP225" s="16">
        <f t="shared" si="112"/>
        <v>-122406.24507857709</v>
      </c>
      <c r="BQ225" s="16">
        <f t="shared" si="113"/>
        <v>-93190.089622622167</v>
      </c>
      <c r="BR225" s="16">
        <f t="shared" si="114"/>
        <v>-90790.08962262221</v>
      </c>
      <c r="BS225" s="16">
        <f t="shared" si="115"/>
        <v>-91490.089622622196</v>
      </c>
      <c r="BT225" s="14">
        <f>IF([1]Sheet2!CB224=999999,"NA",[1]Sheet2!CB224)</f>
        <v>0</v>
      </c>
      <c r="BU225" s="14">
        <f>IF([1]Sheet2!CC224=999999,"NA",[1]Sheet2!CC224)</f>
        <v>0</v>
      </c>
      <c r="BV225" s="14">
        <f>IF([1]Sheet2!CD224=999999,"NA",[1]Sheet2!CD224)</f>
        <v>0</v>
      </c>
      <c r="BW225" s="14">
        <f>IF([1]Sheet2!CE224=999999,"NA",[1]Sheet2!CE224)</f>
        <v>0</v>
      </c>
      <c r="BX225" s="14">
        <f>IF([1]Sheet2!CF224=999999,"NA",[1]Sheet2!CF224)</f>
        <v>0</v>
      </c>
      <c r="BY225" s="14">
        <f>IF([1]Sheet2!CG224=999999,"NA",[1]Sheet2!CG224)</f>
        <v>0</v>
      </c>
      <c r="BZ225" s="14">
        <f>IF([1]Sheet2!CH224=999999,"NA",[1]Sheet2!CH224)</f>
        <v>0</v>
      </c>
      <c r="CA225" s="14">
        <f>IF([1]Sheet2!CI224=999999,"NA",[1]Sheet2!CI224)</f>
        <v>0</v>
      </c>
      <c r="CB225" s="14">
        <f>IF([1]Sheet2!CJ224=999999,"NA",[1]Sheet2!CJ224)</f>
        <v>0</v>
      </c>
      <c r="CC225" s="14">
        <f>IF([1]Sheet2!CK224=999999,"NA",[1]Sheet2!CK224)</f>
        <v>0</v>
      </c>
      <c r="CD225" s="14">
        <f>[1]Sheet2!BH224</f>
        <v>0</v>
      </c>
      <c r="CE225" s="14">
        <f>[1]Sheet2!BI224</f>
        <v>0</v>
      </c>
      <c r="CF225" s="14">
        <f>[1]Sheet2!BJ224</f>
        <v>0</v>
      </c>
      <c r="CG225" s="14">
        <f>[1]Sheet2!BK224</f>
        <v>0</v>
      </c>
      <c r="CH225" s="14">
        <f>[1]Sheet2!BL224</f>
        <v>0</v>
      </c>
      <c r="CI225" s="14">
        <f>[1]Sheet2!BM224</f>
        <v>0</v>
      </c>
      <c r="CJ225" s="14">
        <f>[1]Sheet2!BN224</f>
        <v>0</v>
      </c>
      <c r="CK225" s="14">
        <f>[1]Sheet2!BO224</f>
        <v>0</v>
      </c>
      <c r="CL225" s="14">
        <f>[1]Sheet2!BP224</f>
        <v>0</v>
      </c>
      <c r="CM225" s="14">
        <f>[1]Sheet2!BQ224</f>
        <v>0</v>
      </c>
      <c r="CN225" s="16">
        <f>Demand_SW!B$10/31</f>
        <v>131.01736972704714</v>
      </c>
      <c r="CO225" s="16">
        <f>Demand_SW!C$10/31</f>
        <v>0</v>
      </c>
      <c r="CP225" s="16">
        <f>Demand_SW!D$10/31</f>
        <v>0</v>
      </c>
      <c r="CQ225" s="16">
        <f>Demand_SW!E$10/31</f>
        <v>0</v>
      </c>
      <c r="CR225" s="16">
        <f>Demand_SW!F$10/31</f>
        <v>0</v>
      </c>
      <c r="CS225" s="16">
        <f>Demand_SW!G$10/31</f>
        <v>131.01736972704714</v>
      </c>
      <c r="CT225" s="16">
        <f>Demand_SW!H$10/31</f>
        <v>0</v>
      </c>
      <c r="CU225" s="16">
        <f>Demand_SW!I$10/31</f>
        <v>0</v>
      </c>
      <c r="CV225" s="16">
        <f>Demand_SW!J$10/31</f>
        <v>0</v>
      </c>
      <c r="CW225" s="16">
        <f>Demand_SW!K$10/31</f>
        <v>0</v>
      </c>
      <c r="CX225" s="16">
        <f t="shared" si="116"/>
        <v>-24969.40446650127</v>
      </c>
      <c r="CY225" s="16">
        <f t="shared" si="117"/>
        <v>76.923076923077133</v>
      </c>
      <c r="CZ225" s="16">
        <f t="shared" si="118"/>
        <v>0</v>
      </c>
      <c r="DA225" s="16">
        <f t="shared" si="119"/>
        <v>0</v>
      </c>
      <c r="DB225" s="16">
        <f t="shared" si="120"/>
        <v>0</v>
      </c>
      <c r="DC225" s="16">
        <f t="shared" si="121"/>
        <v>-24498.635235732039</v>
      </c>
      <c r="DD225" s="16">
        <f t="shared" si="122"/>
        <v>76.923076923077133</v>
      </c>
      <c r="DE225" s="16">
        <f t="shared" si="123"/>
        <v>0</v>
      </c>
      <c r="DF225" s="16">
        <f t="shared" si="124"/>
        <v>0</v>
      </c>
      <c r="DG225" s="16">
        <f t="shared" si="125"/>
        <v>0</v>
      </c>
      <c r="DH225" s="14">
        <f>IF([1]Sheet2!DS224=999999,"NA",[1]Sheet2!DS224)</f>
        <v>0</v>
      </c>
      <c r="DI225" s="14">
        <f>IF([1]Sheet2!DT224=999999,"NA",[1]Sheet2!DT224)</f>
        <v>143</v>
      </c>
      <c r="DJ225" s="14" t="str">
        <f>IF([1]Sheet2!DU224=999999,"NA",[1]Sheet2!DU224)</f>
        <v>NA</v>
      </c>
      <c r="DK225" s="14" t="str">
        <f>IF([1]Sheet2!DV224=999999,"NA",[1]Sheet2!DV224)</f>
        <v>NA</v>
      </c>
      <c r="DL225" s="14" t="str">
        <f>IF([1]Sheet2!DW224=999999,"NA",[1]Sheet2!DW224)</f>
        <v>NA</v>
      </c>
      <c r="DM225" s="14">
        <f>IF([1]Sheet2!DX224=999999,"NA",[1]Sheet2!DX224)</f>
        <v>0</v>
      </c>
      <c r="DN225" s="14">
        <f>IF([1]Sheet2!DY224=999999,"NA",[1]Sheet2!DY224)</f>
        <v>143</v>
      </c>
      <c r="DO225" s="14" t="str">
        <f>IF([1]Sheet2!DZ224=999999,"NA",[1]Sheet2!DZ224)</f>
        <v>NA</v>
      </c>
      <c r="DP225" s="14" t="str">
        <f>IF([1]Sheet2!EA224=999999,"NA",[1]Sheet2!EA224)</f>
        <v>NA</v>
      </c>
      <c r="DQ225" s="14" t="str">
        <f>IF([1]Sheet2!EB224=999999,"NA",[1]Sheet2!EB224)</f>
        <v>NA</v>
      </c>
      <c r="DR225" s="14">
        <f>[1]Sheet2!CY224</f>
        <v>0</v>
      </c>
      <c r="DS225" s="14">
        <f>[1]Sheet2!CZ224</f>
        <v>0</v>
      </c>
      <c r="DT225" s="14">
        <f>[1]Sheet2!DA224</f>
        <v>0</v>
      </c>
      <c r="DU225" s="14">
        <f>[1]Sheet2!DB224</f>
        <v>0</v>
      </c>
      <c r="DV225" s="14">
        <f>[1]Sheet2!DC224</f>
        <v>0</v>
      </c>
      <c r="DW225" s="14">
        <f>[1]Sheet2!DD224</f>
        <v>0</v>
      </c>
      <c r="DX225" s="14">
        <f>[1]Sheet2!DE224</f>
        <v>0</v>
      </c>
      <c r="DY225" s="14">
        <f>[1]Sheet2!DF224</f>
        <v>0</v>
      </c>
      <c r="DZ225" s="14">
        <f>[1]Sheet2!DG224</f>
        <v>0</v>
      </c>
      <c r="EA225" s="14">
        <f>[1]Sheet2!DH224</f>
        <v>0</v>
      </c>
      <c r="EB225" s="6">
        <f>[1]Sheet2!EC224</f>
        <v>0</v>
      </c>
      <c r="EC225" s="6">
        <f>[1]Sheet2!ED224</f>
        <v>0</v>
      </c>
      <c r="ED225" s="6">
        <f>[1]Sheet2!EE224</f>
        <v>0</v>
      </c>
      <c r="EE225" s="6">
        <f>[1]Sheet2!EF224</f>
        <v>0</v>
      </c>
      <c r="EF225" s="6">
        <f>[1]Sheet2!EG224</f>
        <v>0</v>
      </c>
      <c r="EG225" s="6">
        <f>[1]Sheet2!EH224</f>
        <v>0</v>
      </c>
      <c r="EH225" s="6">
        <f>[1]Sheet2!EI224</f>
        <v>0</v>
      </c>
      <c r="EI225" s="6">
        <f>[1]Sheet2!EJ224</f>
        <v>0</v>
      </c>
      <c r="EJ225" s="6">
        <f>[1]Sheet2!EK224</f>
        <v>0</v>
      </c>
      <c r="EK225" s="6">
        <f>[1]Sheet2!EL224</f>
        <v>0</v>
      </c>
      <c r="EL225" s="6" t="str">
        <f>[1]Sheet2!EM224</f>
        <v/>
      </c>
      <c r="EM225" s="6" t="str">
        <f>[1]Sheet2!EN224</f>
        <v/>
      </c>
      <c r="EN225" s="6" t="str">
        <f>[1]Sheet2!EO224</f>
        <v/>
      </c>
      <c r="EO225" s="6" t="str">
        <f>[1]Sheet2!EP224</f>
        <v/>
      </c>
      <c r="EP225" s="6" t="str">
        <f>[1]Sheet2!EQ224</f>
        <v/>
      </c>
      <c r="EQ225" s="6" t="str">
        <f>[1]Sheet2!ER224</f>
        <v/>
      </c>
      <c r="ER225" s="6" t="str">
        <f>[1]Sheet2!ES224</f>
        <v/>
      </c>
      <c r="ES225" s="6" t="str">
        <f>[1]Sheet2!ET224</f>
        <v/>
      </c>
      <c r="ET225" s="6" t="str">
        <f>[1]Sheet2!EU224</f>
        <v/>
      </c>
      <c r="EU225" s="6" t="str">
        <f>[1]Sheet2!EV224</f>
        <v/>
      </c>
      <c r="EV225" s="6" t="str">
        <f>[1]Sheet2!EW224</f>
        <v/>
      </c>
      <c r="EW225" s="6" t="str">
        <f>[1]Sheet2!EX224</f>
        <v/>
      </c>
      <c r="EX225" s="6" t="str">
        <f>[1]Sheet2!EY224</f>
        <v/>
      </c>
      <c r="EY225" s="6" t="str">
        <f>[1]Sheet2!EZ224</f>
        <v/>
      </c>
      <c r="EZ225" s="6" t="str">
        <f>[1]Sheet2!FA224</f>
        <v/>
      </c>
      <c r="FA225" s="6" t="str">
        <f>[1]Sheet2!FB224</f>
        <v/>
      </c>
      <c r="FB225" s="6" t="str">
        <f>[1]Sheet2!FC224</f>
        <v/>
      </c>
      <c r="FC225" s="6" t="str">
        <f>[1]Sheet2!FD224</f>
        <v/>
      </c>
      <c r="FD225" s="6" t="str">
        <f>[1]Sheet2!FE224</f>
        <v/>
      </c>
      <c r="FE225" s="6" t="str">
        <f>[1]Sheet2!FF224</f>
        <v/>
      </c>
      <c r="FF225" s="6" t="str">
        <f>[1]Sheet2!FG224</f>
        <v/>
      </c>
      <c r="FG225" s="6" t="str">
        <f>[1]Sheet2!FH224</f>
        <v/>
      </c>
      <c r="FH225" s="6" t="str">
        <f>[1]Sheet2!FI224</f>
        <v/>
      </c>
      <c r="FI225" s="6" t="str">
        <f>[1]Sheet2!FJ224</f>
        <v/>
      </c>
      <c r="FJ225" s="6" t="str">
        <f>[1]Sheet2!FK224</f>
        <v/>
      </c>
      <c r="FK225" s="6" t="str">
        <f>[1]Sheet2!FL224</f>
        <v/>
      </c>
      <c r="FL225" s="6" t="str">
        <f>[1]Sheet2!FM224</f>
        <v/>
      </c>
      <c r="FM225" s="6" t="str">
        <f>[1]Sheet2!FN224</f>
        <v/>
      </c>
      <c r="FN225" s="6" t="str">
        <f>[1]Sheet2!FO224</f>
        <v/>
      </c>
      <c r="FO225" s="6" t="str">
        <f>[1]Sheet2!FP224</f>
        <v/>
      </c>
    </row>
    <row r="226" spans="1:171" x14ac:dyDescent="0.25">
      <c r="A226" s="15">
        <v>43688</v>
      </c>
      <c r="B226" s="1"/>
      <c r="C226" s="1"/>
      <c r="D226" s="1"/>
      <c r="E226" s="14">
        <f>[1]Sheet2!N225</f>
        <v>0</v>
      </c>
      <c r="F226" s="14">
        <f>[1]Sheet2!BE225</f>
        <v>0</v>
      </c>
      <c r="G226" s="14">
        <f>[1]Sheet2!CW225</f>
        <v>0</v>
      </c>
      <c r="H226" s="1"/>
      <c r="I226" s="1"/>
      <c r="J226" s="1"/>
      <c r="K226" s="16"/>
      <c r="L226" s="16">
        <f>Demand_CWRS!B$10/31</f>
        <v>120.8438508064516</v>
      </c>
      <c r="M226" s="16">
        <f>Demand_CWRS!C$10/31</f>
        <v>552.80165425971859</v>
      </c>
      <c r="N226" s="16">
        <f>Demand_CWRS!D$10/31</f>
        <v>0</v>
      </c>
      <c r="O226" s="16">
        <f>Demand_CWRS!E$10/31</f>
        <v>141.75971877584777</v>
      </c>
      <c r="P226" s="16">
        <f>Demand_CWRS!F$10/31</f>
        <v>252.70758116211746</v>
      </c>
      <c r="Q226" s="16">
        <f>Demand_CWRS!G$10/31</f>
        <v>116.12903225806451</v>
      </c>
      <c r="R226" s="16">
        <f>Demand_CWRS!H$10/31</f>
        <v>252.70758116211746</v>
      </c>
      <c r="S226" s="16">
        <f>Demand_CWRS!I$10/31</f>
        <v>252.70758116211746</v>
      </c>
      <c r="T226" s="16">
        <f>Demand_CWRS!J$10/31</f>
        <v>252.70758116211746</v>
      </c>
      <c r="U226" s="16">
        <f>Demand_CWRS!K$10/31</f>
        <v>252.70758116211746</v>
      </c>
      <c r="V226" s="16">
        <f t="shared" si="96"/>
        <v>-27950.75519434438</v>
      </c>
      <c r="W226" s="16">
        <f t="shared" si="97"/>
        <v>-109049.80024813861</v>
      </c>
      <c r="X226" s="16">
        <f t="shared" si="98"/>
        <v>0</v>
      </c>
      <c r="Y226" s="16">
        <f t="shared" si="99"/>
        <v>-19452.800123022451</v>
      </c>
      <c r="Z226" s="16">
        <f t="shared" si="100"/>
        <v>-47656.372628218181</v>
      </c>
      <c r="AA226" s="16">
        <f t="shared" si="101"/>
        <v>-26573.119041273701</v>
      </c>
      <c r="AB226" s="16">
        <f t="shared" si="102"/>
        <v>-51965.53740385914</v>
      </c>
      <c r="AC226" s="16">
        <f t="shared" si="103"/>
        <v>-46172.527147448949</v>
      </c>
      <c r="AD226" s="16">
        <f t="shared" si="104"/>
        <v>-46272.527147448942</v>
      </c>
      <c r="AE226" s="16">
        <f t="shared" si="105"/>
        <v>-46872.527147448935</v>
      </c>
      <c r="AF226" s="14">
        <f>IF([1]Sheet2!AJ225=999999,"NA",[1]Sheet2!AJ225)</f>
        <v>0</v>
      </c>
      <c r="AG226" s="14">
        <f>IF([1]Sheet2!AK225=999999,"NA",[1]Sheet2!AK225)</f>
        <v>0</v>
      </c>
      <c r="AH226" s="14" t="str">
        <f>IF([1]Sheet2!AL225=999999,"NA",[1]Sheet2!AL225)</f>
        <v>NA</v>
      </c>
      <c r="AI226" s="14">
        <f>IF([1]Sheet2!AM225=999999,"NA",[1]Sheet2!AM225)</f>
        <v>0</v>
      </c>
      <c r="AJ226" s="14">
        <f>IF([1]Sheet2!AN225=999999,"NA",[1]Sheet2!AN225)</f>
        <v>0</v>
      </c>
      <c r="AK226" s="14">
        <f>IF([1]Sheet2!AO225=999999,"NA",[1]Sheet2!AO225)</f>
        <v>0</v>
      </c>
      <c r="AL226" s="14">
        <f>IF([1]Sheet2!AP225=999999,"NA",[1]Sheet2!AP225)</f>
        <v>0</v>
      </c>
      <c r="AM226" s="14">
        <f>IF([1]Sheet2!AQ225=999999,"NA",[1]Sheet2!AQ225)</f>
        <v>0</v>
      </c>
      <c r="AN226" s="14">
        <f>IF([1]Sheet2!AR225=999999,"NA",[1]Sheet2!AR225)</f>
        <v>0</v>
      </c>
      <c r="AO226" s="14">
        <f>IF([1]Sheet2!AS225=999999,"NA",[1]Sheet2!AS225)</f>
        <v>0</v>
      </c>
      <c r="AP226" s="14">
        <f>[1]Sheet2!P225</f>
        <v>0</v>
      </c>
      <c r="AQ226" s="14">
        <f>[1]Sheet2!Q225</f>
        <v>0</v>
      </c>
      <c r="AR226" s="14">
        <f>[1]Sheet2!R225</f>
        <v>0</v>
      </c>
      <c r="AS226" s="14">
        <f>[1]Sheet2!S225</f>
        <v>0</v>
      </c>
      <c r="AT226" s="14">
        <f>[1]Sheet2!T225</f>
        <v>0</v>
      </c>
      <c r="AU226" s="14">
        <f>[1]Sheet2!U225</f>
        <v>0</v>
      </c>
      <c r="AV226" s="14">
        <f>[1]Sheet2!V225</f>
        <v>0</v>
      </c>
      <c r="AW226" s="14">
        <f>[1]Sheet2!W225</f>
        <v>0</v>
      </c>
      <c r="AX226" s="14">
        <f>[1]Sheet2!X225</f>
        <v>0</v>
      </c>
      <c r="AY226" s="14">
        <f>[1]Sheet2!Y225</f>
        <v>0</v>
      </c>
      <c r="AZ226" s="16">
        <f>Demand_LP!B$10/31</f>
        <v>857.18246226220015</v>
      </c>
      <c r="BA226" s="16">
        <f>Demand_LP!C$10/31</f>
        <v>528.30835401157981</v>
      </c>
      <c r="BB226" s="16">
        <f>Demand_LP!D$10/31</f>
        <v>338.76323407775027</v>
      </c>
      <c r="BC226" s="16">
        <f>Demand_LP!E$10/31</f>
        <v>735.04776674937955</v>
      </c>
      <c r="BD226" s="16">
        <f>Demand_LP!F$10/31</f>
        <v>479.51259046732832</v>
      </c>
      <c r="BE226" s="16">
        <f>Demand_LP!G$10/31</f>
        <v>479.51259046732832</v>
      </c>
      <c r="BF226" s="16">
        <f>Demand_LP!H$10/31</f>
        <v>528.30835401157981</v>
      </c>
      <c r="BG226" s="16">
        <f>Demand_LP!I$10/31</f>
        <v>479.51259046732832</v>
      </c>
      <c r="BH226" s="16">
        <f>Demand_LP!J$10/31</f>
        <v>479.51259046732832</v>
      </c>
      <c r="BI226" s="16">
        <f>Demand_LP!K$10/31</f>
        <v>479.51259046732832</v>
      </c>
      <c r="BJ226" s="16">
        <f t="shared" si="106"/>
        <v>-162841.91215836859</v>
      </c>
      <c r="BK226" s="16">
        <f t="shared" si="107"/>
        <v>-128576.97394540916</v>
      </c>
      <c r="BL226" s="16">
        <f t="shared" si="108"/>
        <v>-60815.335318445039</v>
      </c>
      <c r="BM226" s="16">
        <f t="shared" si="109"/>
        <v>-162129.7267000656</v>
      </c>
      <c r="BN226" s="16">
        <f t="shared" si="110"/>
        <v>-95211.918294718766</v>
      </c>
      <c r="BO226" s="16">
        <f t="shared" si="111"/>
        <v>-93669.6022130895</v>
      </c>
      <c r="BP226" s="16">
        <f t="shared" si="112"/>
        <v>-122934.55343258867</v>
      </c>
      <c r="BQ226" s="16">
        <f t="shared" si="113"/>
        <v>-93669.6022130895</v>
      </c>
      <c r="BR226" s="16">
        <f t="shared" si="114"/>
        <v>-91269.602213089544</v>
      </c>
      <c r="BS226" s="16">
        <f t="shared" si="115"/>
        <v>-91969.602213089529</v>
      </c>
      <c r="BT226" s="14">
        <f>IF([1]Sheet2!CB225=999999,"NA",[1]Sheet2!CB225)</f>
        <v>0</v>
      </c>
      <c r="BU226" s="14">
        <f>IF([1]Sheet2!CC225=999999,"NA",[1]Sheet2!CC225)</f>
        <v>0</v>
      </c>
      <c r="BV226" s="14">
        <f>IF([1]Sheet2!CD225=999999,"NA",[1]Sheet2!CD225)</f>
        <v>0</v>
      </c>
      <c r="BW226" s="14">
        <f>IF([1]Sheet2!CE225=999999,"NA",[1]Sheet2!CE225)</f>
        <v>0</v>
      </c>
      <c r="BX226" s="14">
        <f>IF([1]Sheet2!CF225=999999,"NA",[1]Sheet2!CF225)</f>
        <v>0</v>
      </c>
      <c r="BY226" s="14">
        <f>IF([1]Sheet2!CG225=999999,"NA",[1]Sheet2!CG225)</f>
        <v>0</v>
      </c>
      <c r="BZ226" s="14">
        <f>IF([1]Sheet2!CH225=999999,"NA",[1]Sheet2!CH225)</f>
        <v>0</v>
      </c>
      <c r="CA226" s="14">
        <f>IF([1]Sheet2!CI225=999999,"NA",[1]Sheet2!CI225)</f>
        <v>0</v>
      </c>
      <c r="CB226" s="14">
        <f>IF([1]Sheet2!CJ225=999999,"NA",[1]Sheet2!CJ225)</f>
        <v>0</v>
      </c>
      <c r="CC226" s="14">
        <f>IF([1]Sheet2!CK225=999999,"NA",[1]Sheet2!CK225)</f>
        <v>0</v>
      </c>
      <c r="CD226" s="14">
        <f>[1]Sheet2!BH225</f>
        <v>0</v>
      </c>
      <c r="CE226" s="14">
        <f>[1]Sheet2!BI225</f>
        <v>0</v>
      </c>
      <c r="CF226" s="14">
        <f>[1]Sheet2!BJ225</f>
        <v>0</v>
      </c>
      <c r="CG226" s="14">
        <f>[1]Sheet2!BK225</f>
        <v>0</v>
      </c>
      <c r="CH226" s="14">
        <f>[1]Sheet2!BL225</f>
        <v>0</v>
      </c>
      <c r="CI226" s="14">
        <f>[1]Sheet2!BM225</f>
        <v>0</v>
      </c>
      <c r="CJ226" s="14">
        <f>[1]Sheet2!BN225</f>
        <v>0</v>
      </c>
      <c r="CK226" s="14">
        <f>[1]Sheet2!BO225</f>
        <v>0</v>
      </c>
      <c r="CL226" s="14">
        <f>[1]Sheet2!BP225</f>
        <v>0</v>
      </c>
      <c r="CM226" s="14">
        <f>[1]Sheet2!BQ225</f>
        <v>0</v>
      </c>
      <c r="CN226" s="16">
        <f>Demand_SW!B$10/31</f>
        <v>131.01736972704714</v>
      </c>
      <c r="CO226" s="16">
        <f>Demand_SW!C$10/31</f>
        <v>0</v>
      </c>
      <c r="CP226" s="16">
        <f>Demand_SW!D$10/31</f>
        <v>0</v>
      </c>
      <c r="CQ226" s="16">
        <f>Demand_SW!E$10/31</f>
        <v>0</v>
      </c>
      <c r="CR226" s="16">
        <f>Demand_SW!F$10/31</f>
        <v>0</v>
      </c>
      <c r="CS226" s="16">
        <f>Demand_SW!G$10/31</f>
        <v>131.01736972704714</v>
      </c>
      <c r="CT226" s="16">
        <f>Demand_SW!H$10/31</f>
        <v>0</v>
      </c>
      <c r="CU226" s="16">
        <f>Demand_SW!I$10/31</f>
        <v>0</v>
      </c>
      <c r="CV226" s="16">
        <f>Demand_SW!J$10/31</f>
        <v>0</v>
      </c>
      <c r="CW226" s="16">
        <f>Demand_SW!K$10/31</f>
        <v>0</v>
      </c>
      <c r="CX226" s="16">
        <f t="shared" si="116"/>
        <v>-25100.421836228317</v>
      </c>
      <c r="CY226" s="16">
        <f t="shared" si="117"/>
        <v>76.923076923077133</v>
      </c>
      <c r="CZ226" s="16">
        <f t="shared" si="118"/>
        <v>0</v>
      </c>
      <c r="DA226" s="16">
        <f t="shared" si="119"/>
        <v>0</v>
      </c>
      <c r="DB226" s="16">
        <f t="shared" si="120"/>
        <v>0</v>
      </c>
      <c r="DC226" s="16">
        <f t="shared" si="121"/>
        <v>-24629.652605459087</v>
      </c>
      <c r="DD226" s="16">
        <f t="shared" si="122"/>
        <v>76.923076923077133</v>
      </c>
      <c r="DE226" s="16">
        <f t="shared" si="123"/>
        <v>0</v>
      </c>
      <c r="DF226" s="16">
        <f t="shared" si="124"/>
        <v>0</v>
      </c>
      <c r="DG226" s="16">
        <f t="shared" si="125"/>
        <v>0</v>
      </c>
      <c r="DH226" s="14">
        <f>IF([1]Sheet2!DS225=999999,"NA",[1]Sheet2!DS225)</f>
        <v>0</v>
      </c>
      <c r="DI226" s="14">
        <f>IF([1]Sheet2!DT225=999999,"NA",[1]Sheet2!DT225)</f>
        <v>142</v>
      </c>
      <c r="DJ226" s="14" t="str">
        <f>IF([1]Sheet2!DU225=999999,"NA",[1]Sheet2!DU225)</f>
        <v>NA</v>
      </c>
      <c r="DK226" s="14" t="str">
        <f>IF([1]Sheet2!DV225=999999,"NA",[1]Sheet2!DV225)</f>
        <v>NA</v>
      </c>
      <c r="DL226" s="14" t="str">
        <f>IF([1]Sheet2!DW225=999999,"NA",[1]Sheet2!DW225)</f>
        <v>NA</v>
      </c>
      <c r="DM226" s="14">
        <f>IF([1]Sheet2!DX225=999999,"NA",[1]Sheet2!DX225)</f>
        <v>0</v>
      </c>
      <c r="DN226" s="14">
        <f>IF([1]Sheet2!DY225=999999,"NA",[1]Sheet2!DY225)</f>
        <v>142</v>
      </c>
      <c r="DO226" s="14" t="str">
        <f>IF([1]Sheet2!DZ225=999999,"NA",[1]Sheet2!DZ225)</f>
        <v>NA</v>
      </c>
      <c r="DP226" s="14" t="str">
        <f>IF([1]Sheet2!EA225=999999,"NA",[1]Sheet2!EA225)</f>
        <v>NA</v>
      </c>
      <c r="DQ226" s="14" t="str">
        <f>IF([1]Sheet2!EB225=999999,"NA",[1]Sheet2!EB225)</f>
        <v>NA</v>
      </c>
      <c r="DR226" s="14">
        <f>[1]Sheet2!CY225</f>
        <v>0</v>
      </c>
      <c r="DS226" s="14">
        <f>[1]Sheet2!CZ225</f>
        <v>0</v>
      </c>
      <c r="DT226" s="14">
        <f>[1]Sheet2!DA225</f>
        <v>0</v>
      </c>
      <c r="DU226" s="14">
        <f>[1]Sheet2!DB225</f>
        <v>0</v>
      </c>
      <c r="DV226" s="14">
        <f>[1]Sheet2!DC225</f>
        <v>0</v>
      </c>
      <c r="DW226" s="14">
        <f>[1]Sheet2!DD225</f>
        <v>0</v>
      </c>
      <c r="DX226" s="14">
        <f>[1]Sheet2!DE225</f>
        <v>0</v>
      </c>
      <c r="DY226" s="14">
        <f>[1]Sheet2!DF225</f>
        <v>0</v>
      </c>
      <c r="DZ226" s="14">
        <f>[1]Sheet2!DG225</f>
        <v>0</v>
      </c>
      <c r="EA226" s="14">
        <f>[1]Sheet2!DH225</f>
        <v>0</v>
      </c>
      <c r="EB226" s="6">
        <f>[1]Sheet2!EC225</f>
        <v>0</v>
      </c>
      <c r="EC226" s="6">
        <f>[1]Sheet2!ED225</f>
        <v>0</v>
      </c>
      <c r="ED226" s="6">
        <f>[1]Sheet2!EE225</f>
        <v>0</v>
      </c>
      <c r="EE226" s="6">
        <f>[1]Sheet2!EF225</f>
        <v>0</v>
      </c>
      <c r="EF226" s="6">
        <f>[1]Sheet2!EG225</f>
        <v>0</v>
      </c>
      <c r="EG226" s="6">
        <f>[1]Sheet2!EH225</f>
        <v>0</v>
      </c>
      <c r="EH226" s="6">
        <f>[1]Sheet2!EI225</f>
        <v>0</v>
      </c>
      <c r="EI226" s="6">
        <f>[1]Sheet2!EJ225</f>
        <v>0</v>
      </c>
      <c r="EJ226" s="6">
        <f>[1]Sheet2!EK225</f>
        <v>0</v>
      </c>
      <c r="EK226" s="6">
        <f>[1]Sheet2!EL225</f>
        <v>0</v>
      </c>
      <c r="EL226" s="6" t="str">
        <f>[1]Sheet2!EM225</f>
        <v/>
      </c>
      <c r="EM226" s="6" t="str">
        <f>[1]Sheet2!EN225</f>
        <v/>
      </c>
      <c r="EN226" s="6" t="str">
        <f>[1]Sheet2!EO225</f>
        <v/>
      </c>
      <c r="EO226" s="6" t="str">
        <f>[1]Sheet2!EP225</f>
        <v/>
      </c>
      <c r="EP226" s="6" t="str">
        <f>[1]Sheet2!EQ225</f>
        <v/>
      </c>
      <c r="EQ226" s="6" t="str">
        <f>[1]Sheet2!ER225</f>
        <v/>
      </c>
      <c r="ER226" s="6" t="str">
        <f>[1]Sheet2!ES225</f>
        <v/>
      </c>
      <c r="ES226" s="6" t="str">
        <f>[1]Sheet2!ET225</f>
        <v/>
      </c>
      <c r="ET226" s="6" t="str">
        <f>[1]Sheet2!EU225</f>
        <v/>
      </c>
      <c r="EU226" s="6" t="str">
        <f>[1]Sheet2!EV225</f>
        <v/>
      </c>
      <c r="EV226" s="6" t="str">
        <f>[1]Sheet2!EW225</f>
        <v/>
      </c>
      <c r="EW226" s="6" t="str">
        <f>[1]Sheet2!EX225</f>
        <v/>
      </c>
      <c r="EX226" s="6" t="str">
        <f>[1]Sheet2!EY225</f>
        <v/>
      </c>
      <c r="EY226" s="6" t="str">
        <f>[1]Sheet2!EZ225</f>
        <v/>
      </c>
      <c r="EZ226" s="6" t="str">
        <f>[1]Sheet2!FA225</f>
        <v/>
      </c>
      <c r="FA226" s="6" t="str">
        <f>[1]Sheet2!FB225</f>
        <v/>
      </c>
      <c r="FB226" s="6" t="str">
        <f>[1]Sheet2!FC225</f>
        <v/>
      </c>
      <c r="FC226" s="6" t="str">
        <f>[1]Sheet2!FD225</f>
        <v/>
      </c>
      <c r="FD226" s="6" t="str">
        <f>[1]Sheet2!FE225</f>
        <v/>
      </c>
      <c r="FE226" s="6" t="str">
        <f>[1]Sheet2!FF225</f>
        <v/>
      </c>
      <c r="FF226" s="6" t="str">
        <f>[1]Sheet2!FG225</f>
        <v/>
      </c>
      <c r="FG226" s="6" t="str">
        <f>[1]Sheet2!FH225</f>
        <v/>
      </c>
      <c r="FH226" s="6" t="str">
        <f>[1]Sheet2!FI225</f>
        <v/>
      </c>
      <c r="FI226" s="6" t="str">
        <f>[1]Sheet2!FJ225</f>
        <v/>
      </c>
      <c r="FJ226" s="6" t="str">
        <f>[1]Sheet2!FK225</f>
        <v/>
      </c>
      <c r="FK226" s="6" t="str">
        <f>[1]Sheet2!FL225</f>
        <v/>
      </c>
      <c r="FL226" s="6" t="str">
        <f>[1]Sheet2!FM225</f>
        <v/>
      </c>
      <c r="FM226" s="6" t="str">
        <f>[1]Sheet2!FN225</f>
        <v/>
      </c>
      <c r="FN226" s="6" t="str">
        <f>[1]Sheet2!FO225</f>
        <v/>
      </c>
      <c r="FO226" s="6" t="str">
        <f>[1]Sheet2!FP225</f>
        <v/>
      </c>
    </row>
    <row r="227" spans="1:171" x14ac:dyDescent="0.25">
      <c r="A227" s="15">
        <v>43689</v>
      </c>
      <c r="B227" s="1"/>
      <c r="C227" s="1"/>
      <c r="D227" s="1"/>
      <c r="E227" s="14">
        <f>[1]Sheet2!N226</f>
        <v>48000</v>
      </c>
      <c r="F227" s="14">
        <f>[1]Sheet2!BE226</f>
        <v>0</v>
      </c>
      <c r="G227" s="14">
        <f>[1]Sheet2!CW226</f>
        <v>0</v>
      </c>
      <c r="H227" s="1"/>
      <c r="I227" s="1"/>
      <c r="J227" s="1"/>
      <c r="K227" s="16"/>
      <c r="L227" s="16">
        <f>Demand_CWRS!B$10/31</f>
        <v>120.8438508064516</v>
      </c>
      <c r="M227" s="16">
        <f>Demand_CWRS!C$10/31</f>
        <v>552.80165425971859</v>
      </c>
      <c r="N227" s="16">
        <f>Demand_CWRS!D$10/31</f>
        <v>0</v>
      </c>
      <c r="O227" s="16">
        <f>Demand_CWRS!E$10/31</f>
        <v>141.75971877584777</v>
      </c>
      <c r="P227" s="16">
        <f>Demand_CWRS!F$10/31</f>
        <v>252.70758116211746</v>
      </c>
      <c r="Q227" s="16">
        <f>Demand_CWRS!G$10/31</f>
        <v>116.12903225806451</v>
      </c>
      <c r="R227" s="16">
        <f>Demand_CWRS!H$10/31</f>
        <v>252.70758116211746</v>
      </c>
      <c r="S227" s="16">
        <f>Demand_CWRS!I$10/31</f>
        <v>252.70758116211746</v>
      </c>
      <c r="T227" s="16">
        <f>Demand_CWRS!J$10/31</f>
        <v>252.70758116211746</v>
      </c>
      <c r="U227" s="16">
        <f>Demand_CWRS!K$10/31</f>
        <v>252.70758116211746</v>
      </c>
      <c r="V227" s="16">
        <f t="shared" si="96"/>
        <v>-28071.59904515083</v>
      </c>
      <c r="W227" s="16">
        <f t="shared" si="97"/>
        <v>-109602.60190239832</v>
      </c>
      <c r="X227" s="16">
        <f t="shared" si="98"/>
        <v>0</v>
      </c>
      <c r="Y227" s="16">
        <f t="shared" si="99"/>
        <v>-19594.559841798298</v>
      </c>
      <c r="Z227" s="16">
        <f t="shared" si="100"/>
        <v>-47909.080209380299</v>
      </c>
      <c r="AA227" s="16">
        <f t="shared" si="101"/>
        <v>-26689.248073531766</v>
      </c>
      <c r="AB227" s="16">
        <f t="shared" si="102"/>
        <v>-52218.244985021258</v>
      </c>
      <c r="AC227" s="16">
        <f t="shared" si="103"/>
        <v>-46425.234728611067</v>
      </c>
      <c r="AD227" s="16">
        <f t="shared" si="104"/>
        <v>-46525.23472861106</v>
      </c>
      <c r="AE227" s="16">
        <f t="shared" si="105"/>
        <v>-47125.234728611053</v>
      </c>
      <c r="AF227" s="14">
        <f>IF([1]Sheet2!AJ226=999999,"NA",[1]Sheet2!AJ226)</f>
        <v>0</v>
      </c>
      <c r="AG227" s="14">
        <f>IF([1]Sheet2!AK226=999999,"NA",[1]Sheet2!AK226)</f>
        <v>0</v>
      </c>
      <c r="AH227" s="14" t="str">
        <f>IF([1]Sheet2!AL226=999999,"NA",[1]Sheet2!AL226)</f>
        <v>NA</v>
      </c>
      <c r="AI227" s="14">
        <f>IF([1]Sheet2!AM226=999999,"NA",[1]Sheet2!AM226)</f>
        <v>0</v>
      </c>
      <c r="AJ227" s="14">
        <f>IF([1]Sheet2!AN226=999999,"NA",[1]Sheet2!AN226)</f>
        <v>0</v>
      </c>
      <c r="AK227" s="14">
        <f>IF([1]Sheet2!AO226=999999,"NA",[1]Sheet2!AO226)</f>
        <v>0</v>
      </c>
      <c r="AL227" s="14">
        <f>IF([1]Sheet2!AP226=999999,"NA",[1]Sheet2!AP226)</f>
        <v>0</v>
      </c>
      <c r="AM227" s="14">
        <f>IF([1]Sheet2!AQ226=999999,"NA",[1]Sheet2!AQ226)</f>
        <v>0</v>
      </c>
      <c r="AN227" s="14">
        <f>IF([1]Sheet2!AR226=999999,"NA",[1]Sheet2!AR226)</f>
        <v>0</v>
      </c>
      <c r="AO227" s="14">
        <f>IF([1]Sheet2!AS226=999999,"NA",[1]Sheet2!AS226)</f>
        <v>0</v>
      </c>
      <c r="AP227" s="14">
        <f>[1]Sheet2!P226</f>
        <v>0</v>
      </c>
      <c r="AQ227" s="14">
        <f>[1]Sheet2!Q226</f>
        <v>0</v>
      </c>
      <c r="AR227" s="14">
        <f>[1]Sheet2!R226</f>
        <v>0</v>
      </c>
      <c r="AS227" s="14">
        <f>[1]Sheet2!S226</f>
        <v>0</v>
      </c>
      <c r="AT227" s="14">
        <f>[1]Sheet2!T226</f>
        <v>0</v>
      </c>
      <c r="AU227" s="14">
        <f>[1]Sheet2!U226</f>
        <v>0</v>
      </c>
      <c r="AV227" s="14">
        <f>[1]Sheet2!V226</f>
        <v>0</v>
      </c>
      <c r="AW227" s="14">
        <f>[1]Sheet2!W226</f>
        <v>0</v>
      </c>
      <c r="AX227" s="14">
        <f>[1]Sheet2!X226</f>
        <v>0</v>
      </c>
      <c r="AY227" s="14">
        <f>[1]Sheet2!Y226</f>
        <v>0</v>
      </c>
      <c r="AZ227" s="16">
        <f>Demand_LP!B$10/31</f>
        <v>857.18246226220015</v>
      </c>
      <c r="BA227" s="16">
        <f>Demand_LP!C$10/31</f>
        <v>528.30835401157981</v>
      </c>
      <c r="BB227" s="16">
        <f>Demand_LP!D$10/31</f>
        <v>338.76323407775027</v>
      </c>
      <c r="BC227" s="16">
        <f>Demand_LP!E$10/31</f>
        <v>735.04776674937955</v>
      </c>
      <c r="BD227" s="16">
        <f>Demand_LP!F$10/31</f>
        <v>479.51259046732832</v>
      </c>
      <c r="BE227" s="16">
        <f>Demand_LP!G$10/31</f>
        <v>479.51259046732832</v>
      </c>
      <c r="BF227" s="16">
        <f>Demand_LP!H$10/31</f>
        <v>528.30835401157981</v>
      </c>
      <c r="BG227" s="16">
        <f>Demand_LP!I$10/31</f>
        <v>479.51259046732832</v>
      </c>
      <c r="BH227" s="16">
        <f>Demand_LP!J$10/31</f>
        <v>479.51259046732832</v>
      </c>
      <c r="BI227" s="16">
        <f>Demand_LP!K$10/31</f>
        <v>479.51259046732832</v>
      </c>
      <c r="BJ227" s="16">
        <f t="shared" si="106"/>
        <v>-163699.09462063079</v>
      </c>
      <c r="BK227" s="16">
        <f t="shared" si="107"/>
        <v>-129105.28229942074</v>
      </c>
      <c r="BL227" s="16">
        <f t="shared" si="108"/>
        <v>-61154.098552522788</v>
      </c>
      <c r="BM227" s="16">
        <f t="shared" si="109"/>
        <v>-162864.77446681497</v>
      </c>
      <c r="BN227" s="16">
        <f t="shared" si="110"/>
        <v>-95691.430885186099</v>
      </c>
      <c r="BO227" s="16">
        <f t="shared" si="111"/>
        <v>-94149.114803556833</v>
      </c>
      <c r="BP227" s="16">
        <f t="shared" si="112"/>
        <v>-123462.86178660025</v>
      </c>
      <c r="BQ227" s="16">
        <f t="shared" si="113"/>
        <v>-94149.114803556833</v>
      </c>
      <c r="BR227" s="16">
        <f t="shared" si="114"/>
        <v>-91749.114803556877</v>
      </c>
      <c r="BS227" s="16">
        <f t="shared" si="115"/>
        <v>-92449.114803556862</v>
      </c>
      <c r="BT227" s="14">
        <f>IF([1]Sheet2!CB226=999999,"NA",[1]Sheet2!CB226)</f>
        <v>0</v>
      </c>
      <c r="BU227" s="14">
        <f>IF([1]Sheet2!CC226=999999,"NA",[1]Sheet2!CC226)</f>
        <v>0</v>
      </c>
      <c r="BV227" s="14">
        <f>IF([1]Sheet2!CD226=999999,"NA",[1]Sheet2!CD226)</f>
        <v>0</v>
      </c>
      <c r="BW227" s="14">
        <f>IF([1]Sheet2!CE226=999999,"NA",[1]Sheet2!CE226)</f>
        <v>0</v>
      </c>
      <c r="BX227" s="14">
        <f>IF([1]Sheet2!CF226=999999,"NA",[1]Sheet2!CF226)</f>
        <v>0</v>
      </c>
      <c r="BY227" s="14">
        <f>IF([1]Sheet2!CG226=999999,"NA",[1]Sheet2!CG226)</f>
        <v>0</v>
      </c>
      <c r="BZ227" s="14">
        <f>IF([1]Sheet2!CH226=999999,"NA",[1]Sheet2!CH226)</f>
        <v>0</v>
      </c>
      <c r="CA227" s="14">
        <f>IF([1]Sheet2!CI226=999999,"NA",[1]Sheet2!CI226)</f>
        <v>0</v>
      </c>
      <c r="CB227" s="14">
        <f>IF([1]Sheet2!CJ226=999999,"NA",[1]Sheet2!CJ226)</f>
        <v>0</v>
      </c>
      <c r="CC227" s="14">
        <f>IF([1]Sheet2!CK226=999999,"NA",[1]Sheet2!CK226)</f>
        <v>0</v>
      </c>
      <c r="CD227" s="14">
        <f>[1]Sheet2!BH226</f>
        <v>0</v>
      </c>
      <c r="CE227" s="14">
        <f>[1]Sheet2!BI226</f>
        <v>0</v>
      </c>
      <c r="CF227" s="14">
        <f>[1]Sheet2!BJ226</f>
        <v>0</v>
      </c>
      <c r="CG227" s="14">
        <f>[1]Sheet2!BK226</f>
        <v>0</v>
      </c>
      <c r="CH227" s="14">
        <f>[1]Sheet2!BL226</f>
        <v>0</v>
      </c>
      <c r="CI227" s="14">
        <f>[1]Sheet2!BM226</f>
        <v>0</v>
      </c>
      <c r="CJ227" s="14">
        <f>[1]Sheet2!BN226</f>
        <v>0</v>
      </c>
      <c r="CK227" s="14">
        <f>[1]Sheet2!BO226</f>
        <v>0</v>
      </c>
      <c r="CL227" s="14">
        <f>[1]Sheet2!BP226</f>
        <v>0</v>
      </c>
      <c r="CM227" s="14">
        <f>[1]Sheet2!BQ226</f>
        <v>0</v>
      </c>
      <c r="CN227" s="16">
        <f>Demand_SW!B$10/31</f>
        <v>131.01736972704714</v>
      </c>
      <c r="CO227" s="16">
        <f>Demand_SW!C$10/31</f>
        <v>0</v>
      </c>
      <c r="CP227" s="16">
        <f>Demand_SW!D$10/31</f>
        <v>0</v>
      </c>
      <c r="CQ227" s="16">
        <f>Demand_SW!E$10/31</f>
        <v>0</v>
      </c>
      <c r="CR227" s="16">
        <f>Demand_SW!F$10/31</f>
        <v>0</v>
      </c>
      <c r="CS227" s="16">
        <f>Demand_SW!G$10/31</f>
        <v>131.01736972704714</v>
      </c>
      <c r="CT227" s="16">
        <f>Demand_SW!H$10/31</f>
        <v>0</v>
      </c>
      <c r="CU227" s="16">
        <f>Demand_SW!I$10/31</f>
        <v>0</v>
      </c>
      <c r="CV227" s="16">
        <f>Demand_SW!J$10/31</f>
        <v>0</v>
      </c>
      <c r="CW227" s="16">
        <f>Demand_SW!K$10/31</f>
        <v>0</v>
      </c>
      <c r="CX227" s="16">
        <f t="shared" si="116"/>
        <v>-25231.439205955365</v>
      </c>
      <c r="CY227" s="16">
        <f t="shared" si="117"/>
        <v>76.923076923077133</v>
      </c>
      <c r="CZ227" s="16">
        <f t="shared" si="118"/>
        <v>0</v>
      </c>
      <c r="DA227" s="16">
        <f t="shared" si="119"/>
        <v>0</v>
      </c>
      <c r="DB227" s="16">
        <f t="shared" si="120"/>
        <v>0</v>
      </c>
      <c r="DC227" s="16">
        <f t="shared" si="121"/>
        <v>-24760.669975186134</v>
      </c>
      <c r="DD227" s="16">
        <f t="shared" si="122"/>
        <v>76.923076923077133</v>
      </c>
      <c r="DE227" s="16">
        <f t="shared" si="123"/>
        <v>0</v>
      </c>
      <c r="DF227" s="16">
        <f t="shared" si="124"/>
        <v>0</v>
      </c>
      <c r="DG227" s="16">
        <f t="shared" si="125"/>
        <v>0</v>
      </c>
      <c r="DH227" s="14">
        <f>IF([1]Sheet2!DS226=999999,"NA",[1]Sheet2!DS226)</f>
        <v>0</v>
      </c>
      <c r="DI227" s="14">
        <f>IF([1]Sheet2!DT226=999999,"NA",[1]Sheet2!DT226)</f>
        <v>141</v>
      </c>
      <c r="DJ227" s="14" t="str">
        <f>IF([1]Sheet2!DU226=999999,"NA",[1]Sheet2!DU226)</f>
        <v>NA</v>
      </c>
      <c r="DK227" s="14" t="str">
        <f>IF([1]Sheet2!DV226=999999,"NA",[1]Sheet2!DV226)</f>
        <v>NA</v>
      </c>
      <c r="DL227" s="14" t="str">
        <f>IF([1]Sheet2!DW226=999999,"NA",[1]Sheet2!DW226)</f>
        <v>NA</v>
      </c>
      <c r="DM227" s="14">
        <f>IF([1]Sheet2!DX226=999999,"NA",[1]Sheet2!DX226)</f>
        <v>0</v>
      </c>
      <c r="DN227" s="14">
        <f>IF([1]Sheet2!DY226=999999,"NA",[1]Sheet2!DY226)</f>
        <v>141</v>
      </c>
      <c r="DO227" s="14" t="str">
        <f>IF([1]Sheet2!DZ226=999999,"NA",[1]Sheet2!DZ226)</f>
        <v>NA</v>
      </c>
      <c r="DP227" s="14" t="str">
        <f>IF([1]Sheet2!EA226=999999,"NA",[1]Sheet2!EA226)</f>
        <v>NA</v>
      </c>
      <c r="DQ227" s="14" t="str">
        <f>IF([1]Sheet2!EB226=999999,"NA",[1]Sheet2!EB226)</f>
        <v>NA</v>
      </c>
      <c r="DR227" s="14">
        <f>[1]Sheet2!CY226</f>
        <v>0</v>
      </c>
      <c r="DS227" s="14">
        <f>[1]Sheet2!CZ226</f>
        <v>0</v>
      </c>
      <c r="DT227" s="14">
        <f>[1]Sheet2!DA226</f>
        <v>0</v>
      </c>
      <c r="DU227" s="14">
        <f>[1]Sheet2!DB226</f>
        <v>0</v>
      </c>
      <c r="DV227" s="14">
        <f>[1]Sheet2!DC226</f>
        <v>0</v>
      </c>
      <c r="DW227" s="14">
        <f>[1]Sheet2!DD226</f>
        <v>0</v>
      </c>
      <c r="DX227" s="14">
        <f>[1]Sheet2!DE226</f>
        <v>0</v>
      </c>
      <c r="DY227" s="14">
        <f>[1]Sheet2!DF226</f>
        <v>0</v>
      </c>
      <c r="DZ227" s="14">
        <f>[1]Sheet2!DG226</f>
        <v>0</v>
      </c>
      <c r="EA227" s="14">
        <f>[1]Sheet2!DH226</f>
        <v>0</v>
      </c>
      <c r="EB227" s="6">
        <f>[1]Sheet2!EC226</f>
        <v>0</v>
      </c>
      <c r="EC227" s="6">
        <f>[1]Sheet2!ED226</f>
        <v>0</v>
      </c>
      <c r="ED227" s="6">
        <f>[1]Sheet2!EE226</f>
        <v>0</v>
      </c>
      <c r="EE227" s="6">
        <f>[1]Sheet2!EF226</f>
        <v>0</v>
      </c>
      <c r="EF227" s="6">
        <f>[1]Sheet2!EG226</f>
        <v>0</v>
      </c>
      <c r="EG227" s="6">
        <f>[1]Sheet2!EH226</f>
        <v>0</v>
      </c>
      <c r="EH227" s="6">
        <f>[1]Sheet2!EI226</f>
        <v>0</v>
      </c>
      <c r="EI227" s="6">
        <f>[1]Sheet2!EJ226</f>
        <v>0</v>
      </c>
      <c r="EJ227" s="6">
        <f>[1]Sheet2!EK226</f>
        <v>0</v>
      </c>
      <c r="EK227" s="6">
        <f>[1]Sheet2!EL226</f>
        <v>0</v>
      </c>
      <c r="EL227" s="6" t="str">
        <f>[1]Sheet2!EM226</f>
        <v/>
      </c>
      <c r="EM227" s="6" t="str">
        <f>[1]Sheet2!EN226</f>
        <v/>
      </c>
      <c r="EN227" s="6" t="str">
        <f>[1]Sheet2!EO226</f>
        <v/>
      </c>
      <c r="EO227" s="6" t="str">
        <f>[1]Sheet2!EP226</f>
        <v/>
      </c>
      <c r="EP227" s="6" t="str">
        <f>[1]Sheet2!EQ226</f>
        <v/>
      </c>
      <c r="EQ227" s="6" t="str">
        <f>[1]Sheet2!ER226</f>
        <v/>
      </c>
      <c r="ER227" s="6" t="str">
        <f>[1]Sheet2!ES226</f>
        <v/>
      </c>
      <c r="ES227" s="6" t="str">
        <f>[1]Sheet2!ET226</f>
        <v/>
      </c>
      <c r="ET227" s="6" t="str">
        <f>[1]Sheet2!EU226</f>
        <v/>
      </c>
      <c r="EU227" s="6" t="str">
        <f>[1]Sheet2!EV226</f>
        <v/>
      </c>
      <c r="EV227" s="6" t="str">
        <f>[1]Sheet2!EW226</f>
        <v/>
      </c>
      <c r="EW227" s="6" t="str">
        <f>[1]Sheet2!EX226</f>
        <v/>
      </c>
      <c r="EX227" s="6" t="str">
        <f>[1]Sheet2!EY226</f>
        <v/>
      </c>
      <c r="EY227" s="6" t="str">
        <f>[1]Sheet2!EZ226</f>
        <v/>
      </c>
      <c r="EZ227" s="6" t="str">
        <f>[1]Sheet2!FA226</f>
        <v/>
      </c>
      <c r="FA227" s="6" t="str">
        <f>[1]Sheet2!FB226</f>
        <v/>
      </c>
      <c r="FB227" s="6" t="str">
        <f>[1]Sheet2!FC226</f>
        <v/>
      </c>
      <c r="FC227" s="6" t="str">
        <f>[1]Sheet2!FD226</f>
        <v/>
      </c>
      <c r="FD227" s="6" t="str">
        <f>[1]Sheet2!FE226</f>
        <v/>
      </c>
      <c r="FE227" s="6" t="str">
        <f>[1]Sheet2!FF226</f>
        <v/>
      </c>
      <c r="FF227" s="6" t="str">
        <f>[1]Sheet2!FG226</f>
        <v/>
      </c>
      <c r="FG227" s="6" t="str">
        <f>[1]Sheet2!FH226</f>
        <v/>
      </c>
      <c r="FH227" s="6" t="str">
        <f>[1]Sheet2!FI226</f>
        <v/>
      </c>
      <c r="FI227" s="6" t="str">
        <f>[1]Sheet2!FJ226</f>
        <v/>
      </c>
      <c r="FJ227" s="6" t="str">
        <f>[1]Sheet2!FK226</f>
        <v/>
      </c>
      <c r="FK227" s="6" t="str">
        <f>[1]Sheet2!FL226</f>
        <v/>
      </c>
      <c r="FL227" s="6" t="str">
        <f>[1]Sheet2!FM226</f>
        <v/>
      </c>
      <c r="FM227" s="6" t="str">
        <f>[1]Sheet2!FN226</f>
        <v/>
      </c>
      <c r="FN227" s="6" t="str">
        <f>[1]Sheet2!FO226</f>
        <v/>
      </c>
      <c r="FO227" s="6" t="str">
        <f>[1]Sheet2!FP226</f>
        <v/>
      </c>
    </row>
    <row r="228" spans="1:171" x14ac:dyDescent="0.25">
      <c r="A228" s="15">
        <v>43690</v>
      </c>
      <c r="B228" s="1"/>
      <c r="C228" s="1"/>
      <c r="D228" s="1"/>
      <c r="E228" s="14">
        <f>[1]Sheet2!N227</f>
        <v>0</v>
      </c>
      <c r="F228" s="14">
        <f>[1]Sheet2!BE227</f>
        <v>0</v>
      </c>
      <c r="G228" s="14">
        <f>[1]Sheet2!CW227</f>
        <v>0</v>
      </c>
      <c r="H228" s="1"/>
      <c r="I228" s="1"/>
      <c r="J228" s="1"/>
      <c r="K228" s="16"/>
      <c r="L228" s="16">
        <f>Demand_CWRS!B$10/31</f>
        <v>120.8438508064516</v>
      </c>
      <c r="M228" s="16">
        <f>Demand_CWRS!C$10/31</f>
        <v>552.80165425971859</v>
      </c>
      <c r="N228" s="16">
        <f>Demand_CWRS!D$10/31</f>
        <v>0</v>
      </c>
      <c r="O228" s="16">
        <f>Demand_CWRS!E$10/31</f>
        <v>141.75971877584777</v>
      </c>
      <c r="P228" s="16">
        <f>Demand_CWRS!F$10/31</f>
        <v>252.70758116211746</v>
      </c>
      <c r="Q228" s="16">
        <f>Demand_CWRS!G$10/31</f>
        <v>116.12903225806451</v>
      </c>
      <c r="R228" s="16">
        <f>Demand_CWRS!H$10/31</f>
        <v>252.70758116211746</v>
      </c>
      <c r="S228" s="16">
        <f>Demand_CWRS!I$10/31</f>
        <v>252.70758116211746</v>
      </c>
      <c r="T228" s="16">
        <f>Demand_CWRS!J$10/31</f>
        <v>252.70758116211746</v>
      </c>
      <c r="U228" s="16">
        <f>Demand_CWRS!K$10/31</f>
        <v>252.70758116211746</v>
      </c>
      <c r="V228" s="16">
        <f t="shared" si="96"/>
        <v>-28192.44289595728</v>
      </c>
      <c r="W228" s="16">
        <f t="shared" si="97"/>
        <v>-110155.40355665804</v>
      </c>
      <c r="X228" s="16">
        <f t="shared" si="98"/>
        <v>0</v>
      </c>
      <c r="Y228" s="16">
        <f t="shared" si="99"/>
        <v>-19736.319560574146</v>
      </c>
      <c r="Z228" s="16">
        <f t="shared" si="100"/>
        <v>-48161.787790542417</v>
      </c>
      <c r="AA228" s="16">
        <f t="shared" si="101"/>
        <v>-26805.37710578983</v>
      </c>
      <c r="AB228" s="16">
        <f t="shared" si="102"/>
        <v>-52470.952566183376</v>
      </c>
      <c r="AC228" s="16">
        <f t="shared" si="103"/>
        <v>-46677.942309773185</v>
      </c>
      <c r="AD228" s="16">
        <f t="shared" si="104"/>
        <v>-46777.942309773178</v>
      </c>
      <c r="AE228" s="16">
        <f t="shared" si="105"/>
        <v>-47377.942309773171</v>
      </c>
      <c r="AF228" s="14">
        <f>IF([1]Sheet2!AJ227=999999,"NA",[1]Sheet2!AJ227)</f>
        <v>0</v>
      </c>
      <c r="AG228" s="14">
        <f>IF([1]Sheet2!AK227=999999,"NA",[1]Sheet2!AK227)</f>
        <v>0</v>
      </c>
      <c r="AH228" s="14" t="str">
        <f>IF([1]Sheet2!AL227=999999,"NA",[1]Sheet2!AL227)</f>
        <v>NA</v>
      </c>
      <c r="AI228" s="14">
        <f>IF([1]Sheet2!AM227=999999,"NA",[1]Sheet2!AM227)</f>
        <v>0</v>
      </c>
      <c r="AJ228" s="14">
        <f>IF([1]Sheet2!AN227=999999,"NA",[1]Sheet2!AN227)</f>
        <v>0</v>
      </c>
      <c r="AK228" s="14">
        <f>IF([1]Sheet2!AO227=999999,"NA",[1]Sheet2!AO227)</f>
        <v>0</v>
      </c>
      <c r="AL228" s="14">
        <f>IF([1]Sheet2!AP227=999999,"NA",[1]Sheet2!AP227)</f>
        <v>0</v>
      </c>
      <c r="AM228" s="14">
        <f>IF([1]Sheet2!AQ227=999999,"NA",[1]Sheet2!AQ227)</f>
        <v>0</v>
      </c>
      <c r="AN228" s="14">
        <f>IF([1]Sheet2!AR227=999999,"NA",[1]Sheet2!AR227)</f>
        <v>0</v>
      </c>
      <c r="AO228" s="14">
        <f>IF([1]Sheet2!AS227=999999,"NA",[1]Sheet2!AS227)</f>
        <v>0</v>
      </c>
      <c r="AP228" s="14">
        <f>[1]Sheet2!P227</f>
        <v>0</v>
      </c>
      <c r="AQ228" s="14">
        <f>[1]Sheet2!Q227</f>
        <v>0</v>
      </c>
      <c r="AR228" s="14">
        <f>[1]Sheet2!R227</f>
        <v>0</v>
      </c>
      <c r="AS228" s="14">
        <f>[1]Sheet2!S227</f>
        <v>0</v>
      </c>
      <c r="AT228" s="14">
        <f>[1]Sheet2!T227</f>
        <v>0</v>
      </c>
      <c r="AU228" s="14">
        <f>[1]Sheet2!U227</f>
        <v>0</v>
      </c>
      <c r="AV228" s="14">
        <f>[1]Sheet2!V227</f>
        <v>0</v>
      </c>
      <c r="AW228" s="14">
        <f>[1]Sheet2!W227</f>
        <v>0</v>
      </c>
      <c r="AX228" s="14">
        <f>[1]Sheet2!X227</f>
        <v>0</v>
      </c>
      <c r="AY228" s="14">
        <f>[1]Sheet2!Y227</f>
        <v>0</v>
      </c>
      <c r="AZ228" s="16">
        <f>Demand_LP!B$10/31</f>
        <v>857.18246226220015</v>
      </c>
      <c r="BA228" s="16">
        <f>Demand_LP!C$10/31</f>
        <v>528.30835401157981</v>
      </c>
      <c r="BB228" s="16">
        <f>Demand_LP!D$10/31</f>
        <v>338.76323407775027</v>
      </c>
      <c r="BC228" s="16">
        <f>Demand_LP!E$10/31</f>
        <v>735.04776674937955</v>
      </c>
      <c r="BD228" s="16">
        <f>Demand_LP!F$10/31</f>
        <v>479.51259046732832</v>
      </c>
      <c r="BE228" s="16">
        <f>Demand_LP!G$10/31</f>
        <v>479.51259046732832</v>
      </c>
      <c r="BF228" s="16">
        <f>Demand_LP!H$10/31</f>
        <v>528.30835401157981</v>
      </c>
      <c r="BG228" s="16">
        <f>Demand_LP!I$10/31</f>
        <v>479.51259046732832</v>
      </c>
      <c r="BH228" s="16">
        <f>Demand_LP!J$10/31</f>
        <v>479.51259046732832</v>
      </c>
      <c r="BI228" s="16">
        <f>Demand_LP!K$10/31</f>
        <v>479.51259046732832</v>
      </c>
      <c r="BJ228" s="16">
        <f t="shared" si="106"/>
        <v>-164556.27708289298</v>
      </c>
      <c r="BK228" s="16">
        <f t="shared" si="107"/>
        <v>-129633.59065343231</v>
      </c>
      <c r="BL228" s="16">
        <f t="shared" si="108"/>
        <v>-61492.861786600537</v>
      </c>
      <c r="BM228" s="16">
        <f t="shared" si="109"/>
        <v>-163599.82223356434</v>
      </c>
      <c r="BN228" s="16">
        <f t="shared" si="110"/>
        <v>-96170.943475653432</v>
      </c>
      <c r="BO228" s="16">
        <f t="shared" si="111"/>
        <v>-94628.627394024166</v>
      </c>
      <c r="BP228" s="16">
        <f t="shared" si="112"/>
        <v>-123991.17014061182</v>
      </c>
      <c r="BQ228" s="16">
        <f t="shared" si="113"/>
        <v>-94628.627394024166</v>
      </c>
      <c r="BR228" s="16">
        <f t="shared" si="114"/>
        <v>-92228.62739402421</v>
      </c>
      <c r="BS228" s="16">
        <f t="shared" si="115"/>
        <v>-92928.627394024195</v>
      </c>
      <c r="BT228" s="14">
        <f>IF([1]Sheet2!CB227=999999,"NA",[1]Sheet2!CB227)</f>
        <v>0</v>
      </c>
      <c r="BU228" s="14">
        <f>IF([1]Sheet2!CC227=999999,"NA",[1]Sheet2!CC227)</f>
        <v>0</v>
      </c>
      <c r="BV228" s="14">
        <f>IF([1]Sheet2!CD227=999999,"NA",[1]Sheet2!CD227)</f>
        <v>0</v>
      </c>
      <c r="BW228" s="14">
        <f>IF([1]Sheet2!CE227=999999,"NA",[1]Sheet2!CE227)</f>
        <v>0</v>
      </c>
      <c r="BX228" s="14">
        <f>IF([1]Sheet2!CF227=999999,"NA",[1]Sheet2!CF227)</f>
        <v>0</v>
      </c>
      <c r="BY228" s="14">
        <f>IF([1]Sheet2!CG227=999999,"NA",[1]Sheet2!CG227)</f>
        <v>0</v>
      </c>
      <c r="BZ228" s="14">
        <f>IF([1]Sheet2!CH227=999999,"NA",[1]Sheet2!CH227)</f>
        <v>0</v>
      </c>
      <c r="CA228" s="14">
        <f>IF([1]Sheet2!CI227=999999,"NA",[1]Sheet2!CI227)</f>
        <v>0</v>
      </c>
      <c r="CB228" s="14">
        <f>IF([1]Sheet2!CJ227=999999,"NA",[1]Sheet2!CJ227)</f>
        <v>0</v>
      </c>
      <c r="CC228" s="14">
        <f>IF([1]Sheet2!CK227=999999,"NA",[1]Sheet2!CK227)</f>
        <v>0</v>
      </c>
      <c r="CD228" s="14">
        <f>[1]Sheet2!BH227</f>
        <v>0</v>
      </c>
      <c r="CE228" s="14">
        <f>[1]Sheet2!BI227</f>
        <v>0</v>
      </c>
      <c r="CF228" s="14">
        <f>[1]Sheet2!BJ227</f>
        <v>0</v>
      </c>
      <c r="CG228" s="14">
        <f>[1]Sheet2!BK227</f>
        <v>0</v>
      </c>
      <c r="CH228" s="14">
        <f>[1]Sheet2!BL227</f>
        <v>0</v>
      </c>
      <c r="CI228" s="14">
        <f>[1]Sheet2!BM227</f>
        <v>0</v>
      </c>
      <c r="CJ228" s="14">
        <f>[1]Sheet2!BN227</f>
        <v>0</v>
      </c>
      <c r="CK228" s="14">
        <f>[1]Sheet2!BO227</f>
        <v>0</v>
      </c>
      <c r="CL228" s="14">
        <f>[1]Sheet2!BP227</f>
        <v>0</v>
      </c>
      <c r="CM228" s="14">
        <f>[1]Sheet2!BQ227</f>
        <v>0</v>
      </c>
      <c r="CN228" s="16">
        <f>Demand_SW!B$10/31</f>
        <v>131.01736972704714</v>
      </c>
      <c r="CO228" s="16">
        <f>Demand_SW!C$10/31</f>
        <v>0</v>
      </c>
      <c r="CP228" s="16">
        <f>Demand_SW!D$10/31</f>
        <v>0</v>
      </c>
      <c r="CQ228" s="16">
        <f>Demand_SW!E$10/31</f>
        <v>0</v>
      </c>
      <c r="CR228" s="16">
        <f>Demand_SW!F$10/31</f>
        <v>0</v>
      </c>
      <c r="CS228" s="16">
        <f>Demand_SW!G$10/31</f>
        <v>131.01736972704714</v>
      </c>
      <c r="CT228" s="16">
        <f>Demand_SW!H$10/31</f>
        <v>0</v>
      </c>
      <c r="CU228" s="16">
        <f>Demand_SW!I$10/31</f>
        <v>0</v>
      </c>
      <c r="CV228" s="16">
        <f>Demand_SW!J$10/31</f>
        <v>0</v>
      </c>
      <c r="CW228" s="16">
        <f>Demand_SW!K$10/31</f>
        <v>0</v>
      </c>
      <c r="CX228" s="16">
        <f t="shared" si="116"/>
        <v>-25362.456575682412</v>
      </c>
      <c r="CY228" s="16">
        <f t="shared" si="117"/>
        <v>76.923076923077133</v>
      </c>
      <c r="CZ228" s="16">
        <f t="shared" si="118"/>
        <v>0</v>
      </c>
      <c r="DA228" s="16">
        <f t="shared" si="119"/>
        <v>0</v>
      </c>
      <c r="DB228" s="16">
        <f t="shared" si="120"/>
        <v>0</v>
      </c>
      <c r="DC228" s="16">
        <f t="shared" si="121"/>
        <v>-24891.687344913182</v>
      </c>
      <c r="DD228" s="16">
        <f t="shared" si="122"/>
        <v>76.923076923077133</v>
      </c>
      <c r="DE228" s="16">
        <f t="shared" si="123"/>
        <v>0</v>
      </c>
      <c r="DF228" s="16">
        <f t="shared" si="124"/>
        <v>0</v>
      </c>
      <c r="DG228" s="16">
        <f t="shared" si="125"/>
        <v>0</v>
      </c>
      <c r="DH228" s="14">
        <f>IF([1]Sheet2!DS227=999999,"NA",[1]Sheet2!DS227)</f>
        <v>0</v>
      </c>
      <c r="DI228" s="14">
        <f>IF([1]Sheet2!DT227=999999,"NA",[1]Sheet2!DT227)</f>
        <v>140</v>
      </c>
      <c r="DJ228" s="14" t="str">
        <f>IF([1]Sheet2!DU227=999999,"NA",[1]Sheet2!DU227)</f>
        <v>NA</v>
      </c>
      <c r="DK228" s="14" t="str">
        <f>IF([1]Sheet2!DV227=999999,"NA",[1]Sheet2!DV227)</f>
        <v>NA</v>
      </c>
      <c r="DL228" s="14" t="str">
        <f>IF([1]Sheet2!DW227=999999,"NA",[1]Sheet2!DW227)</f>
        <v>NA</v>
      </c>
      <c r="DM228" s="14">
        <f>IF([1]Sheet2!DX227=999999,"NA",[1]Sheet2!DX227)</f>
        <v>0</v>
      </c>
      <c r="DN228" s="14">
        <f>IF([1]Sheet2!DY227=999999,"NA",[1]Sheet2!DY227)</f>
        <v>140</v>
      </c>
      <c r="DO228" s="14" t="str">
        <f>IF([1]Sheet2!DZ227=999999,"NA",[1]Sheet2!DZ227)</f>
        <v>NA</v>
      </c>
      <c r="DP228" s="14" t="str">
        <f>IF([1]Sheet2!EA227=999999,"NA",[1]Sheet2!EA227)</f>
        <v>NA</v>
      </c>
      <c r="DQ228" s="14" t="str">
        <f>IF([1]Sheet2!EB227=999999,"NA",[1]Sheet2!EB227)</f>
        <v>NA</v>
      </c>
      <c r="DR228" s="14">
        <f>[1]Sheet2!CY227</f>
        <v>0</v>
      </c>
      <c r="DS228" s="14">
        <f>[1]Sheet2!CZ227</f>
        <v>0</v>
      </c>
      <c r="DT228" s="14">
        <f>[1]Sheet2!DA227</f>
        <v>0</v>
      </c>
      <c r="DU228" s="14">
        <f>[1]Sheet2!DB227</f>
        <v>0</v>
      </c>
      <c r="DV228" s="14">
        <f>[1]Sheet2!DC227</f>
        <v>0</v>
      </c>
      <c r="DW228" s="14">
        <f>[1]Sheet2!DD227</f>
        <v>0</v>
      </c>
      <c r="DX228" s="14">
        <f>[1]Sheet2!DE227</f>
        <v>0</v>
      </c>
      <c r="DY228" s="14">
        <f>[1]Sheet2!DF227</f>
        <v>0</v>
      </c>
      <c r="DZ228" s="14">
        <f>[1]Sheet2!DG227</f>
        <v>0</v>
      </c>
      <c r="EA228" s="14">
        <f>[1]Sheet2!DH227</f>
        <v>0</v>
      </c>
      <c r="EB228" s="6">
        <f>[1]Sheet2!EC227</f>
        <v>0</v>
      </c>
      <c r="EC228" s="6">
        <f>[1]Sheet2!ED227</f>
        <v>0</v>
      </c>
      <c r="ED228" s="6">
        <f>[1]Sheet2!EE227</f>
        <v>0</v>
      </c>
      <c r="EE228" s="6">
        <f>[1]Sheet2!EF227</f>
        <v>0</v>
      </c>
      <c r="EF228" s="6">
        <f>[1]Sheet2!EG227</f>
        <v>0</v>
      </c>
      <c r="EG228" s="6">
        <f>[1]Sheet2!EH227</f>
        <v>0</v>
      </c>
      <c r="EH228" s="6">
        <f>[1]Sheet2!EI227</f>
        <v>0</v>
      </c>
      <c r="EI228" s="6">
        <f>[1]Sheet2!EJ227</f>
        <v>0</v>
      </c>
      <c r="EJ228" s="6">
        <f>[1]Sheet2!EK227</f>
        <v>0</v>
      </c>
      <c r="EK228" s="6">
        <f>[1]Sheet2!EL227</f>
        <v>0</v>
      </c>
      <c r="EL228" s="6" t="str">
        <f>[1]Sheet2!EM227</f>
        <v/>
      </c>
      <c r="EM228" s="6" t="str">
        <f>[1]Sheet2!EN227</f>
        <v/>
      </c>
      <c r="EN228" s="6" t="str">
        <f>[1]Sheet2!EO227</f>
        <v/>
      </c>
      <c r="EO228" s="6" t="str">
        <f>[1]Sheet2!EP227</f>
        <v/>
      </c>
      <c r="EP228" s="6" t="str">
        <f>[1]Sheet2!EQ227</f>
        <v/>
      </c>
      <c r="EQ228" s="6" t="str">
        <f>[1]Sheet2!ER227</f>
        <v/>
      </c>
      <c r="ER228" s="6" t="str">
        <f>[1]Sheet2!ES227</f>
        <v/>
      </c>
      <c r="ES228" s="6" t="str">
        <f>[1]Sheet2!ET227</f>
        <v/>
      </c>
      <c r="ET228" s="6" t="str">
        <f>[1]Sheet2!EU227</f>
        <v/>
      </c>
      <c r="EU228" s="6" t="str">
        <f>[1]Sheet2!EV227</f>
        <v/>
      </c>
      <c r="EV228" s="6" t="str">
        <f>[1]Sheet2!EW227</f>
        <v/>
      </c>
      <c r="EW228" s="6" t="str">
        <f>[1]Sheet2!EX227</f>
        <v/>
      </c>
      <c r="EX228" s="6" t="str">
        <f>[1]Sheet2!EY227</f>
        <v/>
      </c>
      <c r="EY228" s="6" t="str">
        <f>[1]Sheet2!EZ227</f>
        <v/>
      </c>
      <c r="EZ228" s="6" t="str">
        <f>[1]Sheet2!FA227</f>
        <v/>
      </c>
      <c r="FA228" s="6" t="str">
        <f>[1]Sheet2!FB227</f>
        <v/>
      </c>
      <c r="FB228" s="6" t="str">
        <f>[1]Sheet2!FC227</f>
        <v/>
      </c>
      <c r="FC228" s="6" t="str">
        <f>[1]Sheet2!FD227</f>
        <v/>
      </c>
      <c r="FD228" s="6" t="str">
        <f>[1]Sheet2!FE227</f>
        <v/>
      </c>
      <c r="FE228" s="6" t="str">
        <f>[1]Sheet2!FF227</f>
        <v/>
      </c>
      <c r="FF228" s="6" t="str">
        <f>[1]Sheet2!FG227</f>
        <v/>
      </c>
      <c r="FG228" s="6" t="str">
        <f>[1]Sheet2!FH227</f>
        <v/>
      </c>
      <c r="FH228" s="6" t="str">
        <f>[1]Sheet2!FI227</f>
        <v/>
      </c>
      <c r="FI228" s="6" t="str">
        <f>[1]Sheet2!FJ227</f>
        <v/>
      </c>
      <c r="FJ228" s="6" t="str">
        <f>[1]Sheet2!FK227</f>
        <v/>
      </c>
      <c r="FK228" s="6" t="str">
        <f>[1]Sheet2!FL227</f>
        <v/>
      </c>
      <c r="FL228" s="6" t="str">
        <f>[1]Sheet2!FM227</f>
        <v/>
      </c>
      <c r="FM228" s="6" t="str">
        <f>[1]Sheet2!FN227</f>
        <v/>
      </c>
      <c r="FN228" s="6" t="str">
        <f>[1]Sheet2!FO227</f>
        <v/>
      </c>
      <c r="FO228" s="6" t="str">
        <f>[1]Sheet2!FP227</f>
        <v/>
      </c>
    </row>
    <row r="229" spans="1:171" s="27" customFormat="1" x14ac:dyDescent="0.25">
      <c r="A229" s="23">
        <v>43691</v>
      </c>
      <c r="B229" s="24"/>
      <c r="C229" s="24"/>
      <c r="D229" s="24"/>
      <c r="E229" s="25">
        <f>[1]Sheet2!N228</f>
        <v>0</v>
      </c>
      <c r="F229" s="25">
        <f>[1]Sheet2!BE228</f>
        <v>0</v>
      </c>
      <c r="G229" s="25">
        <f>[1]Sheet2!CW228</f>
        <v>0</v>
      </c>
      <c r="H229" s="24"/>
      <c r="I229" s="24"/>
      <c r="J229" s="24"/>
      <c r="K229" s="26"/>
      <c r="L229" s="26">
        <f>Demand_CWRS!B$10/31</f>
        <v>120.8438508064516</v>
      </c>
      <c r="M229" s="26">
        <f>Demand_CWRS!C$10/31</f>
        <v>552.80165425971859</v>
      </c>
      <c r="N229" s="26">
        <f>Demand_CWRS!D$10/31</f>
        <v>0</v>
      </c>
      <c r="O229" s="26">
        <f>Demand_CWRS!E$10/31</f>
        <v>141.75971877584777</v>
      </c>
      <c r="P229" s="26">
        <f>Demand_CWRS!F$10/31</f>
        <v>252.70758116211746</v>
      </c>
      <c r="Q229" s="26">
        <f>Demand_CWRS!G$10/31</f>
        <v>116.12903225806451</v>
      </c>
      <c r="R229" s="26">
        <f>Demand_CWRS!H$10/31</f>
        <v>252.70758116211746</v>
      </c>
      <c r="S229" s="26">
        <f>Demand_CWRS!I$10/31</f>
        <v>252.70758116211746</v>
      </c>
      <c r="T229" s="26">
        <f>Demand_CWRS!J$10/31</f>
        <v>252.70758116211746</v>
      </c>
      <c r="U229" s="26">
        <f>Demand_CWRS!K$10/31</f>
        <v>252.70758116211746</v>
      </c>
      <c r="V229" s="26">
        <f t="shared" si="96"/>
        <v>-28313.28674676373</v>
      </c>
      <c r="W229" s="26">
        <f t="shared" si="97"/>
        <v>-110708.20521091776</v>
      </c>
      <c r="X229" s="26">
        <f t="shared" si="98"/>
        <v>0</v>
      </c>
      <c r="Y229" s="26">
        <f t="shared" si="99"/>
        <v>-19878.079279349993</v>
      </c>
      <c r="Z229" s="26">
        <f t="shared" si="100"/>
        <v>-48414.495371704536</v>
      </c>
      <c r="AA229" s="26">
        <f t="shared" si="101"/>
        <v>-26921.506138047895</v>
      </c>
      <c r="AB229" s="26">
        <f t="shared" si="102"/>
        <v>-52723.660147345494</v>
      </c>
      <c r="AC229" s="26">
        <f t="shared" si="103"/>
        <v>-46930.649890935303</v>
      </c>
      <c r="AD229" s="26">
        <f t="shared" si="104"/>
        <v>-47030.649890935296</v>
      </c>
      <c r="AE229" s="26">
        <f t="shared" si="105"/>
        <v>-47630.649890935289</v>
      </c>
      <c r="AF229" s="25">
        <f>IF([1]Sheet2!AJ228=999999,"NA",[1]Sheet2!AJ228)</f>
        <v>0</v>
      </c>
      <c r="AG229" s="25">
        <f>IF([1]Sheet2!AK228=999999,"NA",[1]Sheet2!AK228)</f>
        <v>0</v>
      </c>
      <c r="AH229" s="25" t="str">
        <f>IF([1]Sheet2!AL228=999999,"NA",[1]Sheet2!AL228)</f>
        <v>NA</v>
      </c>
      <c r="AI229" s="25">
        <f>IF([1]Sheet2!AM228=999999,"NA",[1]Sheet2!AM228)</f>
        <v>0</v>
      </c>
      <c r="AJ229" s="25">
        <f>IF([1]Sheet2!AN228=999999,"NA",[1]Sheet2!AN228)</f>
        <v>0</v>
      </c>
      <c r="AK229" s="25">
        <f>IF([1]Sheet2!AO228=999999,"NA",[1]Sheet2!AO228)</f>
        <v>0</v>
      </c>
      <c r="AL229" s="25">
        <f>IF([1]Sheet2!AP228=999999,"NA",[1]Sheet2!AP228)</f>
        <v>0</v>
      </c>
      <c r="AM229" s="25">
        <f>IF([1]Sheet2!AQ228=999999,"NA",[1]Sheet2!AQ228)</f>
        <v>0</v>
      </c>
      <c r="AN229" s="25">
        <f>IF([1]Sheet2!AR228=999999,"NA",[1]Sheet2!AR228)</f>
        <v>0</v>
      </c>
      <c r="AO229" s="25">
        <f>IF([1]Sheet2!AS228=999999,"NA",[1]Sheet2!AS228)</f>
        <v>0</v>
      </c>
      <c r="AP229" s="25">
        <f>[1]Sheet2!P228</f>
        <v>0</v>
      </c>
      <c r="AQ229" s="25">
        <f>[1]Sheet2!Q228</f>
        <v>0</v>
      </c>
      <c r="AR229" s="25">
        <f>[1]Sheet2!R228</f>
        <v>0</v>
      </c>
      <c r="AS229" s="25">
        <f>[1]Sheet2!S228</f>
        <v>0</v>
      </c>
      <c r="AT229" s="25">
        <f>[1]Sheet2!T228</f>
        <v>0</v>
      </c>
      <c r="AU229" s="25">
        <f>[1]Sheet2!U228</f>
        <v>0</v>
      </c>
      <c r="AV229" s="25">
        <f>[1]Sheet2!V228</f>
        <v>0</v>
      </c>
      <c r="AW229" s="25">
        <f>[1]Sheet2!W228</f>
        <v>0</v>
      </c>
      <c r="AX229" s="25">
        <f>[1]Sheet2!X228</f>
        <v>0</v>
      </c>
      <c r="AY229" s="25">
        <f>[1]Sheet2!Y228</f>
        <v>0</v>
      </c>
      <c r="AZ229" s="26">
        <f>Demand_LP!B$10/31</f>
        <v>857.18246226220015</v>
      </c>
      <c r="BA229" s="26">
        <f>Demand_LP!C$10/31</f>
        <v>528.30835401157981</v>
      </c>
      <c r="BB229" s="26">
        <f>Demand_LP!D$10/31</f>
        <v>338.76323407775027</v>
      </c>
      <c r="BC229" s="26">
        <f>Demand_LP!E$10/31</f>
        <v>735.04776674937955</v>
      </c>
      <c r="BD229" s="26">
        <f>Demand_LP!F$10/31</f>
        <v>479.51259046732832</v>
      </c>
      <c r="BE229" s="26">
        <f>Demand_LP!G$10/31</f>
        <v>479.51259046732832</v>
      </c>
      <c r="BF229" s="26">
        <f>Demand_LP!H$10/31</f>
        <v>528.30835401157981</v>
      </c>
      <c r="BG229" s="26">
        <f>Demand_LP!I$10/31</f>
        <v>479.51259046732832</v>
      </c>
      <c r="BH229" s="26">
        <f>Demand_LP!J$10/31</f>
        <v>479.51259046732832</v>
      </c>
      <c r="BI229" s="26">
        <f>Demand_LP!K$10/31</f>
        <v>479.51259046732832</v>
      </c>
      <c r="BJ229" s="26">
        <f t="shared" si="106"/>
        <v>-165413.45954515517</v>
      </c>
      <c r="BK229" s="26">
        <f t="shared" si="107"/>
        <v>-130161.89900744389</v>
      </c>
      <c r="BL229" s="26">
        <f t="shared" si="108"/>
        <v>-61831.625020678286</v>
      </c>
      <c r="BM229" s="26">
        <f t="shared" si="109"/>
        <v>-164334.87000031371</v>
      </c>
      <c r="BN229" s="26">
        <f t="shared" si="110"/>
        <v>-96650.456066120765</v>
      </c>
      <c r="BO229" s="26">
        <f t="shared" si="111"/>
        <v>-95108.139984491499</v>
      </c>
      <c r="BP229" s="26">
        <f t="shared" si="112"/>
        <v>-124519.4784946234</v>
      </c>
      <c r="BQ229" s="26">
        <f t="shared" si="113"/>
        <v>-95108.139984491499</v>
      </c>
      <c r="BR229" s="26">
        <f t="shared" si="114"/>
        <v>-92708.139984491543</v>
      </c>
      <c r="BS229" s="26">
        <f t="shared" si="115"/>
        <v>-93408.139984491529</v>
      </c>
      <c r="BT229" s="25">
        <f>IF([1]Sheet2!CB228=999999,"NA",[1]Sheet2!CB228)</f>
        <v>0</v>
      </c>
      <c r="BU229" s="25">
        <f>IF([1]Sheet2!CC228=999999,"NA",[1]Sheet2!CC228)</f>
        <v>0</v>
      </c>
      <c r="BV229" s="25">
        <f>IF([1]Sheet2!CD228=999999,"NA",[1]Sheet2!CD228)</f>
        <v>0</v>
      </c>
      <c r="BW229" s="25">
        <f>IF([1]Sheet2!CE228=999999,"NA",[1]Sheet2!CE228)</f>
        <v>0</v>
      </c>
      <c r="BX229" s="25">
        <f>IF([1]Sheet2!CF228=999999,"NA",[1]Sheet2!CF228)</f>
        <v>0</v>
      </c>
      <c r="BY229" s="25">
        <f>IF([1]Sheet2!CG228=999999,"NA",[1]Sheet2!CG228)</f>
        <v>0</v>
      </c>
      <c r="BZ229" s="25">
        <f>IF([1]Sheet2!CH228=999999,"NA",[1]Sheet2!CH228)</f>
        <v>0</v>
      </c>
      <c r="CA229" s="25">
        <f>IF([1]Sheet2!CI228=999999,"NA",[1]Sheet2!CI228)</f>
        <v>0</v>
      </c>
      <c r="CB229" s="25">
        <f>IF([1]Sheet2!CJ228=999999,"NA",[1]Sheet2!CJ228)</f>
        <v>0</v>
      </c>
      <c r="CC229" s="25">
        <f>IF([1]Sheet2!CK228=999999,"NA",[1]Sheet2!CK228)</f>
        <v>0</v>
      </c>
      <c r="CD229" s="25">
        <f>[1]Sheet2!BH228</f>
        <v>0</v>
      </c>
      <c r="CE229" s="25">
        <f>[1]Sheet2!BI228</f>
        <v>0</v>
      </c>
      <c r="CF229" s="25">
        <f>[1]Sheet2!BJ228</f>
        <v>0</v>
      </c>
      <c r="CG229" s="25">
        <f>[1]Sheet2!BK228</f>
        <v>0</v>
      </c>
      <c r="CH229" s="25">
        <f>[1]Sheet2!BL228</f>
        <v>0</v>
      </c>
      <c r="CI229" s="25">
        <f>[1]Sheet2!BM228</f>
        <v>0</v>
      </c>
      <c r="CJ229" s="25">
        <f>[1]Sheet2!BN228</f>
        <v>0</v>
      </c>
      <c r="CK229" s="25">
        <f>[1]Sheet2!BO228</f>
        <v>0</v>
      </c>
      <c r="CL229" s="25">
        <f>[1]Sheet2!BP228</f>
        <v>0</v>
      </c>
      <c r="CM229" s="25">
        <f>[1]Sheet2!BQ228</f>
        <v>0</v>
      </c>
      <c r="CN229" s="26">
        <f>Demand_SW!B$10/31</f>
        <v>131.01736972704714</v>
      </c>
      <c r="CO229" s="26">
        <f>Demand_SW!C$10/31</f>
        <v>0</v>
      </c>
      <c r="CP229" s="26">
        <f>Demand_SW!D$10/31</f>
        <v>0</v>
      </c>
      <c r="CQ229" s="26">
        <f>Demand_SW!E$10/31</f>
        <v>0</v>
      </c>
      <c r="CR229" s="26">
        <f>Demand_SW!F$10/31</f>
        <v>0</v>
      </c>
      <c r="CS229" s="26">
        <f>Demand_SW!G$10/31</f>
        <v>131.01736972704714</v>
      </c>
      <c r="CT229" s="26">
        <f>Demand_SW!H$10/31</f>
        <v>0</v>
      </c>
      <c r="CU229" s="26">
        <f>Demand_SW!I$10/31</f>
        <v>0</v>
      </c>
      <c r="CV229" s="26">
        <f>Demand_SW!J$10/31</f>
        <v>0</v>
      </c>
      <c r="CW229" s="26">
        <f>Demand_SW!K$10/31</f>
        <v>0</v>
      </c>
      <c r="CX229" s="26">
        <f t="shared" si="116"/>
        <v>-25493.47394540946</v>
      </c>
      <c r="CY229" s="26">
        <f t="shared" si="117"/>
        <v>76.923076923077133</v>
      </c>
      <c r="CZ229" s="26">
        <f t="shared" si="118"/>
        <v>0</v>
      </c>
      <c r="DA229" s="26">
        <f t="shared" si="119"/>
        <v>0</v>
      </c>
      <c r="DB229" s="26">
        <f t="shared" si="120"/>
        <v>0</v>
      </c>
      <c r="DC229" s="26">
        <f t="shared" si="121"/>
        <v>-25022.704714640229</v>
      </c>
      <c r="DD229" s="26">
        <f t="shared" si="122"/>
        <v>76.923076923077133</v>
      </c>
      <c r="DE229" s="26">
        <f t="shared" si="123"/>
        <v>0</v>
      </c>
      <c r="DF229" s="26">
        <f t="shared" si="124"/>
        <v>0</v>
      </c>
      <c r="DG229" s="26">
        <f t="shared" si="125"/>
        <v>0</v>
      </c>
      <c r="DH229" s="25">
        <f>IF([1]Sheet2!DS228=999999,"NA",[1]Sheet2!DS228)</f>
        <v>0</v>
      </c>
      <c r="DI229" s="25">
        <f>IF([1]Sheet2!DT228=999999,"NA",[1]Sheet2!DT228)</f>
        <v>139</v>
      </c>
      <c r="DJ229" s="25" t="str">
        <f>IF([1]Sheet2!DU228=999999,"NA",[1]Sheet2!DU228)</f>
        <v>NA</v>
      </c>
      <c r="DK229" s="25" t="str">
        <f>IF([1]Sheet2!DV228=999999,"NA",[1]Sheet2!DV228)</f>
        <v>NA</v>
      </c>
      <c r="DL229" s="25" t="str">
        <f>IF([1]Sheet2!DW228=999999,"NA",[1]Sheet2!DW228)</f>
        <v>NA</v>
      </c>
      <c r="DM229" s="25">
        <f>IF([1]Sheet2!DX228=999999,"NA",[1]Sheet2!DX228)</f>
        <v>0</v>
      </c>
      <c r="DN229" s="25">
        <f>IF([1]Sheet2!DY228=999999,"NA",[1]Sheet2!DY228)</f>
        <v>139</v>
      </c>
      <c r="DO229" s="25" t="str">
        <f>IF([1]Sheet2!DZ228=999999,"NA",[1]Sheet2!DZ228)</f>
        <v>NA</v>
      </c>
      <c r="DP229" s="25" t="str">
        <f>IF([1]Sheet2!EA228=999999,"NA",[1]Sheet2!EA228)</f>
        <v>NA</v>
      </c>
      <c r="DQ229" s="25" t="str">
        <f>IF([1]Sheet2!EB228=999999,"NA",[1]Sheet2!EB228)</f>
        <v>NA</v>
      </c>
      <c r="DR229" s="25">
        <f>[1]Sheet2!CY228</f>
        <v>0</v>
      </c>
      <c r="DS229" s="25">
        <f>[1]Sheet2!CZ228</f>
        <v>0</v>
      </c>
      <c r="DT229" s="25">
        <f>[1]Sheet2!DA228</f>
        <v>0</v>
      </c>
      <c r="DU229" s="25">
        <f>[1]Sheet2!DB228</f>
        <v>0</v>
      </c>
      <c r="DV229" s="25">
        <f>[1]Sheet2!DC228</f>
        <v>0</v>
      </c>
      <c r="DW229" s="25">
        <f>[1]Sheet2!DD228</f>
        <v>0</v>
      </c>
      <c r="DX229" s="25">
        <f>[1]Sheet2!DE228</f>
        <v>0</v>
      </c>
      <c r="DY229" s="25">
        <f>[1]Sheet2!DF228</f>
        <v>0</v>
      </c>
      <c r="DZ229" s="25">
        <f>[1]Sheet2!DG228</f>
        <v>0</v>
      </c>
      <c r="EA229" s="25">
        <f>[1]Sheet2!DH228</f>
        <v>0</v>
      </c>
      <c r="EB229" s="27">
        <f>[1]Sheet2!EC228</f>
        <v>0</v>
      </c>
      <c r="EC229" s="27">
        <f>[1]Sheet2!ED228</f>
        <v>0</v>
      </c>
      <c r="ED229" s="27">
        <f>[1]Sheet2!EE228</f>
        <v>0</v>
      </c>
      <c r="EE229" s="27">
        <f>[1]Sheet2!EF228</f>
        <v>0</v>
      </c>
      <c r="EF229" s="27">
        <f>[1]Sheet2!EG228</f>
        <v>0</v>
      </c>
      <c r="EG229" s="27">
        <f>[1]Sheet2!EH228</f>
        <v>0</v>
      </c>
      <c r="EH229" s="27">
        <f>[1]Sheet2!EI228</f>
        <v>0</v>
      </c>
      <c r="EI229" s="27">
        <f>[1]Sheet2!EJ228</f>
        <v>0</v>
      </c>
      <c r="EJ229" s="27">
        <f>[1]Sheet2!EK228</f>
        <v>0</v>
      </c>
      <c r="EK229" s="27">
        <f>[1]Sheet2!EL228</f>
        <v>0</v>
      </c>
      <c r="EL229" s="27" t="str">
        <f>[1]Sheet2!EM228</f>
        <v/>
      </c>
      <c r="EM229" s="27" t="str">
        <f>[1]Sheet2!EN228</f>
        <v/>
      </c>
      <c r="EN229" s="27" t="str">
        <f>[1]Sheet2!EO228</f>
        <v/>
      </c>
      <c r="EO229" s="27" t="str">
        <f>[1]Sheet2!EP228</f>
        <v/>
      </c>
      <c r="EP229" s="27" t="str">
        <f>[1]Sheet2!EQ228</f>
        <v/>
      </c>
      <c r="EQ229" s="27" t="str">
        <f>[1]Sheet2!ER228</f>
        <v/>
      </c>
      <c r="ER229" s="27" t="str">
        <f>[1]Sheet2!ES228</f>
        <v/>
      </c>
      <c r="ES229" s="27" t="str">
        <f>[1]Sheet2!ET228</f>
        <v/>
      </c>
      <c r="ET229" s="27" t="str">
        <f>[1]Sheet2!EU228</f>
        <v/>
      </c>
      <c r="EU229" s="27" t="str">
        <f>[1]Sheet2!EV228</f>
        <v/>
      </c>
      <c r="EV229" s="27" t="str">
        <f>[1]Sheet2!EW228</f>
        <v/>
      </c>
      <c r="EW229" s="27" t="str">
        <f>[1]Sheet2!EX228</f>
        <v/>
      </c>
      <c r="EX229" s="27" t="str">
        <f>[1]Sheet2!EY228</f>
        <v/>
      </c>
      <c r="EY229" s="27" t="str">
        <f>[1]Sheet2!EZ228</f>
        <v/>
      </c>
      <c r="EZ229" s="27" t="str">
        <f>[1]Sheet2!FA228</f>
        <v/>
      </c>
      <c r="FA229" s="27" t="str">
        <f>[1]Sheet2!FB228</f>
        <v/>
      </c>
      <c r="FB229" s="27" t="str">
        <f>[1]Sheet2!FC228</f>
        <v/>
      </c>
      <c r="FC229" s="27" t="str">
        <f>[1]Sheet2!FD228</f>
        <v/>
      </c>
      <c r="FD229" s="27" t="str">
        <f>[1]Sheet2!FE228</f>
        <v/>
      </c>
      <c r="FE229" s="27" t="str">
        <f>[1]Sheet2!FF228</f>
        <v/>
      </c>
      <c r="FF229" s="27" t="str">
        <f>[1]Sheet2!FG228</f>
        <v/>
      </c>
      <c r="FG229" s="27" t="str">
        <f>[1]Sheet2!FH228</f>
        <v/>
      </c>
      <c r="FH229" s="27" t="str">
        <f>[1]Sheet2!FI228</f>
        <v/>
      </c>
      <c r="FI229" s="27" t="str">
        <f>[1]Sheet2!FJ228</f>
        <v/>
      </c>
      <c r="FJ229" s="27" t="str">
        <f>[1]Sheet2!FK228</f>
        <v/>
      </c>
      <c r="FK229" s="27" t="str">
        <f>[1]Sheet2!FL228</f>
        <v/>
      </c>
      <c r="FL229" s="27" t="str">
        <f>[1]Sheet2!FM228</f>
        <v/>
      </c>
      <c r="FM229" s="27" t="str">
        <f>[1]Sheet2!FN228</f>
        <v/>
      </c>
      <c r="FN229" s="27" t="str">
        <f>[1]Sheet2!FO228</f>
        <v/>
      </c>
      <c r="FO229" s="27" t="str">
        <f>[1]Sheet2!FP228</f>
        <v/>
      </c>
    </row>
    <row r="230" spans="1:171" x14ac:dyDescent="0.25">
      <c r="A230" s="15">
        <v>43692</v>
      </c>
      <c r="B230" s="1"/>
      <c r="C230" s="1"/>
      <c r="D230" s="1"/>
      <c r="E230" s="14">
        <f>[1]Sheet2!N229</f>
        <v>0</v>
      </c>
      <c r="F230" s="14">
        <f>[1]Sheet2!BE229</f>
        <v>0</v>
      </c>
      <c r="G230" s="14">
        <f>[1]Sheet2!CW229</f>
        <v>0</v>
      </c>
      <c r="H230" s="1"/>
      <c r="I230" s="1"/>
      <c r="J230" s="1"/>
      <c r="K230" s="16"/>
      <c r="L230" s="16">
        <f>Demand_CWRS!B$10/31</f>
        <v>120.8438508064516</v>
      </c>
      <c r="M230" s="16">
        <f>Demand_CWRS!C$10/31</f>
        <v>552.80165425971859</v>
      </c>
      <c r="N230" s="16">
        <f>Demand_CWRS!D$10/31</f>
        <v>0</v>
      </c>
      <c r="O230" s="16">
        <f>Demand_CWRS!E$10/31</f>
        <v>141.75971877584777</v>
      </c>
      <c r="P230" s="16">
        <f>Demand_CWRS!F$10/31</f>
        <v>252.70758116211746</v>
      </c>
      <c r="Q230" s="16">
        <f>Demand_CWRS!G$10/31</f>
        <v>116.12903225806451</v>
      </c>
      <c r="R230" s="16">
        <f>Demand_CWRS!H$10/31</f>
        <v>252.70758116211746</v>
      </c>
      <c r="S230" s="16">
        <f>Demand_CWRS!I$10/31</f>
        <v>252.70758116211746</v>
      </c>
      <c r="T230" s="16">
        <f>Demand_CWRS!J$10/31</f>
        <v>252.70758116211746</v>
      </c>
      <c r="U230" s="16">
        <f>Demand_CWRS!K$10/31</f>
        <v>252.70758116211746</v>
      </c>
      <c r="V230" s="16">
        <f t="shared" si="96"/>
        <v>-28434.13059757018</v>
      </c>
      <c r="W230" s="16">
        <f t="shared" si="97"/>
        <v>-111261.00686517748</v>
      </c>
      <c r="X230" s="16">
        <f t="shared" si="98"/>
        <v>0</v>
      </c>
      <c r="Y230" s="16">
        <f t="shared" si="99"/>
        <v>-20019.838998125841</v>
      </c>
      <c r="Z230" s="16">
        <f t="shared" si="100"/>
        <v>-48667.202952866654</v>
      </c>
      <c r="AA230" s="16">
        <f t="shared" si="101"/>
        <v>-27037.635170305959</v>
      </c>
      <c r="AB230" s="16">
        <f t="shared" si="102"/>
        <v>-52976.367728507612</v>
      </c>
      <c r="AC230" s="16">
        <f t="shared" si="103"/>
        <v>-47183.357472097421</v>
      </c>
      <c r="AD230" s="16">
        <f t="shared" si="104"/>
        <v>-47283.357472097414</v>
      </c>
      <c r="AE230" s="16">
        <f t="shared" si="105"/>
        <v>-47883.357472097407</v>
      </c>
      <c r="AF230" s="14">
        <f>IF([1]Sheet2!AJ229=999999,"NA",[1]Sheet2!AJ229)</f>
        <v>0</v>
      </c>
      <c r="AG230" s="14">
        <f>IF([1]Sheet2!AK229=999999,"NA",[1]Sheet2!AK229)</f>
        <v>0</v>
      </c>
      <c r="AH230" s="14" t="str">
        <f>IF([1]Sheet2!AL229=999999,"NA",[1]Sheet2!AL229)</f>
        <v>NA</v>
      </c>
      <c r="AI230" s="14">
        <f>IF([1]Sheet2!AM229=999999,"NA",[1]Sheet2!AM229)</f>
        <v>0</v>
      </c>
      <c r="AJ230" s="14">
        <f>IF([1]Sheet2!AN229=999999,"NA",[1]Sheet2!AN229)</f>
        <v>0</v>
      </c>
      <c r="AK230" s="14">
        <f>IF([1]Sheet2!AO229=999999,"NA",[1]Sheet2!AO229)</f>
        <v>0</v>
      </c>
      <c r="AL230" s="14">
        <f>IF([1]Sheet2!AP229=999999,"NA",[1]Sheet2!AP229)</f>
        <v>0</v>
      </c>
      <c r="AM230" s="14">
        <f>IF([1]Sheet2!AQ229=999999,"NA",[1]Sheet2!AQ229)</f>
        <v>0</v>
      </c>
      <c r="AN230" s="14">
        <f>IF([1]Sheet2!AR229=999999,"NA",[1]Sheet2!AR229)</f>
        <v>0</v>
      </c>
      <c r="AO230" s="14">
        <f>IF([1]Sheet2!AS229=999999,"NA",[1]Sheet2!AS229)</f>
        <v>0</v>
      </c>
      <c r="AP230" s="14">
        <f>[1]Sheet2!P229</f>
        <v>0</v>
      </c>
      <c r="AQ230" s="14">
        <f>[1]Sheet2!Q229</f>
        <v>0</v>
      </c>
      <c r="AR230" s="14">
        <f>[1]Sheet2!R229</f>
        <v>0</v>
      </c>
      <c r="AS230" s="14">
        <f>[1]Sheet2!S229</f>
        <v>0</v>
      </c>
      <c r="AT230" s="14">
        <f>[1]Sheet2!T229</f>
        <v>0</v>
      </c>
      <c r="AU230" s="14">
        <f>[1]Sheet2!U229</f>
        <v>0</v>
      </c>
      <c r="AV230" s="14">
        <f>[1]Sheet2!V229</f>
        <v>0</v>
      </c>
      <c r="AW230" s="14">
        <f>[1]Sheet2!W229</f>
        <v>0</v>
      </c>
      <c r="AX230" s="14">
        <f>[1]Sheet2!X229</f>
        <v>0</v>
      </c>
      <c r="AY230" s="14">
        <f>[1]Sheet2!Y229</f>
        <v>0</v>
      </c>
      <c r="AZ230" s="16">
        <f>Demand_LP!B$10/31</f>
        <v>857.18246226220015</v>
      </c>
      <c r="BA230" s="16">
        <f>Demand_LP!C$10/31</f>
        <v>528.30835401157981</v>
      </c>
      <c r="BB230" s="16">
        <f>Demand_LP!D$10/31</f>
        <v>338.76323407775027</v>
      </c>
      <c r="BC230" s="16">
        <f>Demand_LP!E$10/31</f>
        <v>735.04776674937955</v>
      </c>
      <c r="BD230" s="16">
        <f>Demand_LP!F$10/31</f>
        <v>479.51259046732832</v>
      </c>
      <c r="BE230" s="16">
        <f>Demand_LP!G$10/31</f>
        <v>479.51259046732832</v>
      </c>
      <c r="BF230" s="16">
        <f>Demand_LP!H$10/31</f>
        <v>528.30835401157981</v>
      </c>
      <c r="BG230" s="16">
        <f>Demand_LP!I$10/31</f>
        <v>479.51259046732832</v>
      </c>
      <c r="BH230" s="16">
        <f>Demand_LP!J$10/31</f>
        <v>479.51259046732832</v>
      </c>
      <c r="BI230" s="16">
        <f>Demand_LP!K$10/31</f>
        <v>479.51259046732832</v>
      </c>
      <c r="BJ230" s="16">
        <f t="shared" si="106"/>
        <v>-166270.64200741737</v>
      </c>
      <c r="BK230" s="16">
        <f t="shared" si="107"/>
        <v>-130690.20736145547</v>
      </c>
      <c r="BL230" s="16">
        <f t="shared" si="108"/>
        <v>-62170.388254756035</v>
      </c>
      <c r="BM230" s="16">
        <f t="shared" si="109"/>
        <v>-165069.91776706307</v>
      </c>
      <c r="BN230" s="16">
        <f t="shared" si="110"/>
        <v>-97129.968656588098</v>
      </c>
      <c r="BO230" s="16">
        <f t="shared" si="111"/>
        <v>-95587.652574958833</v>
      </c>
      <c r="BP230" s="16">
        <f t="shared" si="112"/>
        <v>-125047.78684863498</v>
      </c>
      <c r="BQ230" s="16">
        <f t="shared" si="113"/>
        <v>-95587.652574958833</v>
      </c>
      <c r="BR230" s="16">
        <f t="shared" si="114"/>
        <v>-93187.652574958876</v>
      </c>
      <c r="BS230" s="16">
        <f t="shared" si="115"/>
        <v>-93887.652574958862</v>
      </c>
      <c r="BT230" s="14">
        <f>IF([1]Sheet2!CB229=999999,"NA",[1]Sheet2!CB229)</f>
        <v>0</v>
      </c>
      <c r="BU230" s="14">
        <f>IF([1]Sheet2!CC229=999999,"NA",[1]Sheet2!CC229)</f>
        <v>0</v>
      </c>
      <c r="BV230" s="14">
        <f>IF([1]Sheet2!CD229=999999,"NA",[1]Sheet2!CD229)</f>
        <v>0</v>
      </c>
      <c r="BW230" s="14">
        <f>IF([1]Sheet2!CE229=999999,"NA",[1]Sheet2!CE229)</f>
        <v>0</v>
      </c>
      <c r="BX230" s="14">
        <f>IF([1]Sheet2!CF229=999999,"NA",[1]Sheet2!CF229)</f>
        <v>0</v>
      </c>
      <c r="BY230" s="14">
        <f>IF([1]Sheet2!CG229=999999,"NA",[1]Sheet2!CG229)</f>
        <v>0</v>
      </c>
      <c r="BZ230" s="14">
        <f>IF([1]Sheet2!CH229=999999,"NA",[1]Sheet2!CH229)</f>
        <v>0</v>
      </c>
      <c r="CA230" s="14">
        <f>IF([1]Sheet2!CI229=999999,"NA",[1]Sheet2!CI229)</f>
        <v>0</v>
      </c>
      <c r="CB230" s="14">
        <f>IF([1]Sheet2!CJ229=999999,"NA",[1]Sheet2!CJ229)</f>
        <v>0</v>
      </c>
      <c r="CC230" s="14">
        <f>IF([1]Sheet2!CK229=999999,"NA",[1]Sheet2!CK229)</f>
        <v>0</v>
      </c>
      <c r="CD230" s="14">
        <f>[1]Sheet2!BH229</f>
        <v>0</v>
      </c>
      <c r="CE230" s="14">
        <f>[1]Sheet2!BI229</f>
        <v>0</v>
      </c>
      <c r="CF230" s="14">
        <f>[1]Sheet2!BJ229</f>
        <v>0</v>
      </c>
      <c r="CG230" s="14">
        <f>[1]Sheet2!BK229</f>
        <v>0</v>
      </c>
      <c r="CH230" s="14">
        <f>[1]Sheet2!BL229</f>
        <v>0</v>
      </c>
      <c r="CI230" s="14">
        <f>[1]Sheet2!BM229</f>
        <v>0</v>
      </c>
      <c r="CJ230" s="14">
        <f>[1]Sheet2!BN229</f>
        <v>0</v>
      </c>
      <c r="CK230" s="14">
        <f>[1]Sheet2!BO229</f>
        <v>0</v>
      </c>
      <c r="CL230" s="14">
        <f>[1]Sheet2!BP229</f>
        <v>0</v>
      </c>
      <c r="CM230" s="14">
        <f>[1]Sheet2!BQ229</f>
        <v>0</v>
      </c>
      <c r="CN230" s="16">
        <f>Demand_SW!B$10/31</f>
        <v>131.01736972704714</v>
      </c>
      <c r="CO230" s="16">
        <f>Demand_SW!C$10/31</f>
        <v>0</v>
      </c>
      <c r="CP230" s="16">
        <f>Demand_SW!D$10/31</f>
        <v>0</v>
      </c>
      <c r="CQ230" s="16">
        <f>Demand_SW!E$10/31</f>
        <v>0</v>
      </c>
      <c r="CR230" s="16">
        <f>Demand_SW!F$10/31</f>
        <v>0</v>
      </c>
      <c r="CS230" s="16">
        <f>Demand_SW!G$10/31</f>
        <v>131.01736972704714</v>
      </c>
      <c r="CT230" s="16">
        <f>Demand_SW!H$10/31</f>
        <v>0</v>
      </c>
      <c r="CU230" s="16">
        <f>Demand_SW!I$10/31</f>
        <v>0</v>
      </c>
      <c r="CV230" s="16">
        <f>Demand_SW!J$10/31</f>
        <v>0</v>
      </c>
      <c r="CW230" s="16">
        <f>Demand_SW!K$10/31</f>
        <v>0</v>
      </c>
      <c r="CX230" s="16">
        <f t="shared" si="116"/>
        <v>-25624.491315136507</v>
      </c>
      <c r="CY230" s="16">
        <f t="shared" si="117"/>
        <v>76.923076923077133</v>
      </c>
      <c r="CZ230" s="16">
        <f t="shared" si="118"/>
        <v>0</v>
      </c>
      <c r="DA230" s="16">
        <f t="shared" si="119"/>
        <v>0</v>
      </c>
      <c r="DB230" s="16">
        <f t="shared" si="120"/>
        <v>0</v>
      </c>
      <c r="DC230" s="16">
        <f t="shared" si="121"/>
        <v>-25153.722084367277</v>
      </c>
      <c r="DD230" s="16">
        <f t="shared" si="122"/>
        <v>76.923076923077133</v>
      </c>
      <c r="DE230" s="16">
        <f t="shared" si="123"/>
        <v>0</v>
      </c>
      <c r="DF230" s="16">
        <f t="shared" si="124"/>
        <v>0</v>
      </c>
      <c r="DG230" s="16">
        <f t="shared" si="125"/>
        <v>0</v>
      </c>
      <c r="DH230" s="14">
        <f>IF([1]Sheet2!DS229=999999,"NA",[1]Sheet2!DS229)</f>
        <v>0</v>
      </c>
      <c r="DI230" s="14">
        <f>IF([1]Sheet2!DT229=999999,"NA",[1]Sheet2!DT229)</f>
        <v>138</v>
      </c>
      <c r="DJ230" s="14" t="str">
        <f>IF([1]Sheet2!DU229=999999,"NA",[1]Sheet2!DU229)</f>
        <v>NA</v>
      </c>
      <c r="DK230" s="14" t="str">
        <f>IF([1]Sheet2!DV229=999999,"NA",[1]Sheet2!DV229)</f>
        <v>NA</v>
      </c>
      <c r="DL230" s="14" t="str">
        <f>IF([1]Sheet2!DW229=999999,"NA",[1]Sheet2!DW229)</f>
        <v>NA</v>
      </c>
      <c r="DM230" s="14">
        <f>IF([1]Sheet2!DX229=999999,"NA",[1]Sheet2!DX229)</f>
        <v>0</v>
      </c>
      <c r="DN230" s="14">
        <f>IF([1]Sheet2!DY229=999999,"NA",[1]Sheet2!DY229)</f>
        <v>138</v>
      </c>
      <c r="DO230" s="14" t="str">
        <f>IF([1]Sheet2!DZ229=999999,"NA",[1]Sheet2!DZ229)</f>
        <v>NA</v>
      </c>
      <c r="DP230" s="14" t="str">
        <f>IF([1]Sheet2!EA229=999999,"NA",[1]Sheet2!EA229)</f>
        <v>NA</v>
      </c>
      <c r="DQ230" s="14" t="str">
        <f>IF([1]Sheet2!EB229=999999,"NA",[1]Sheet2!EB229)</f>
        <v>NA</v>
      </c>
      <c r="DR230" s="14">
        <f>[1]Sheet2!CY229</f>
        <v>0</v>
      </c>
      <c r="DS230" s="14">
        <f>[1]Sheet2!CZ229</f>
        <v>0</v>
      </c>
      <c r="DT230" s="14">
        <f>[1]Sheet2!DA229</f>
        <v>0</v>
      </c>
      <c r="DU230" s="14">
        <f>[1]Sheet2!DB229</f>
        <v>0</v>
      </c>
      <c r="DV230" s="14">
        <f>[1]Sheet2!DC229</f>
        <v>0</v>
      </c>
      <c r="DW230" s="14">
        <f>[1]Sheet2!DD229</f>
        <v>0</v>
      </c>
      <c r="DX230" s="14">
        <f>[1]Sheet2!DE229</f>
        <v>0</v>
      </c>
      <c r="DY230" s="14">
        <f>[1]Sheet2!DF229</f>
        <v>0</v>
      </c>
      <c r="DZ230" s="14">
        <f>[1]Sheet2!DG229</f>
        <v>0</v>
      </c>
      <c r="EA230" s="14">
        <f>[1]Sheet2!DH229</f>
        <v>0</v>
      </c>
      <c r="EB230" s="6">
        <f>[1]Sheet2!EC229</f>
        <v>0</v>
      </c>
      <c r="EC230" s="6">
        <f>[1]Sheet2!ED229</f>
        <v>0</v>
      </c>
      <c r="ED230" s="6">
        <f>[1]Sheet2!EE229</f>
        <v>0</v>
      </c>
      <c r="EE230" s="6">
        <f>[1]Sheet2!EF229</f>
        <v>0</v>
      </c>
      <c r="EF230" s="6">
        <f>[1]Sheet2!EG229</f>
        <v>0</v>
      </c>
      <c r="EG230" s="6">
        <f>[1]Sheet2!EH229</f>
        <v>0</v>
      </c>
      <c r="EH230" s="6">
        <f>[1]Sheet2!EI229</f>
        <v>0</v>
      </c>
      <c r="EI230" s="6">
        <f>[1]Sheet2!EJ229</f>
        <v>0</v>
      </c>
      <c r="EJ230" s="6">
        <f>[1]Sheet2!EK229</f>
        <v>0</v>
      </c>
      <c r="EK230" s="6">
        <f>[1]Sheet2!EL229</f>
        <v>0</v>
      </c>
      <c r="EL230" s="6" t="str">
        <f>[1]Sheet2!EM229</f>
        <v/>
      </c>
      <c r="EM230" s="6" t="str">
        <f>[1]Sheet2!EN229</f>
        <v/>
      </c>
      <c r="EN230" s="6" t="str">
        <f>[1]Sheet2!EO229</f>
        <v/>
      </c>
      <c r="EO230" s="6" t="str">
        <f>[1]Sheet2!EP229</f>
        <v/>
      </c>
      <c r="EP230" s="6" t="str">
        <f>[1]Sheet2!EQ229</f>
        <v/>
      </c>
      <c r="EQ230" s="6" t="str">
        <f>[1]Sheet2!ER229</f>
        <v/>
      </c>
      <c r="ER230" s="6" t="str">
        <f>[1]Sheet2!ES229</f>
        <v/>
      </c>
      <c r="ES230" s="6" t="str">
        <f>[1]Sheet2!ET229</f>
        <v/>
      </c>
      <c r="ET230" s="6" t="str">
        <f>[1]Sheet2!EU229</f>
        <v/>
      </c>
      <c r="EU230" s="6" t="str">
        <f>[1]Sheet2!EV229</f>
        <v/>
      </c>
      <c r="EV230" s="6" t="str">
        <f>[1]Sheet2!EW229</f>
        <v/>
      </c>
      <c r="EW230" s="6" t="str">
        <f>[1]Sheet2!EX229</f>
        <v/>
      </c>
      <c r="EX230" s="6" t="str">
        <f>[1]Sheet2!EY229</f>
        <v/>
      </c>
      <c r="EY230" s="6" t="str">
        <f>[1]Sheet2!EZ229</f>
        <v/>
      </c>
      <c r="EZ230" s="6" t="str">
        <f>[1]Sheet2!FA229</f>
        <v/>
      </c>
      <c r="FA230" s="6" t="str">
        <f>[1]Sheet2!FB229</f>
        <v/>
      </c>
      <c r="FB230" s="6" t="str">
        <f>[1]Sheet2!FC229</f>
        <v/>
      </c>
      <c r="FC230" s="6" t="str">
        <f>[1]Sheet2!FD229</f>
        <v/>
      </c>
      <c r="FD230" s="6" t="str">
        <f>[1]Sheet2!FE229</f>
        <v/>
      </c>
      <c r="FE230" s="6" t="str">
        <f>[1]Sheet2!FF229</f>
        <v/>
      </c>
      <c r="FF230" s="6" t="str">
        <f>[1]Sheet2!FG229</f>
        <v/>
      </c>
      <c r="FG230" s="6" t="str">
        <f>[1]Sheet2!FH229</f>
        <v/>
      </c>
      <c r="FH230" s="6" t="str">
        <f>[1]Sheet2!FI229</f>
        <v/>
      </c>
      <c r="FI230" s="6" t="str">
        <f>[1]Sheet2!FJ229</f>
        <v/>
      </c>
      <c r="FJ230" s="6" t="str">
        <f>[1]Sheet2!FK229</f>
        <v/>
      </c>
      <c r="FK230" s="6" t="str">
        <f>[1]Sheet2!FL229</f>
        <v/>
      </c>
      <c r="FL230" s="6" t="str">
        <f>[1]Sheet2!FM229</f>
        <v/>
      </c>
      <c r="FM230" s="6" t="str">
        <f>[1]Sheet2!FN229</f>
        <v/>
      </c>
      <c r="FN230" s="6" t="str">
        <f>[1]Sheet2!FO229</f>
        <v/>
      </c>
      <c r="FO230" s="6" t="str">
        <f>[1]Sheet2!FP229</f>
        <v/>
      </c>
    </row>
    <row r="231" spans="1:171" x14ac:dyDescent="0.25">
      <c r="A231" s="15">
        <v>43693</v>
      </c>
      <c r="B231" s="1"/>
      <c r="C231" s="1"/>
      <c r="D231" s="1"/>
      <c r="E231" s="14">
        <f>[1]Sheet2!N230</f>
        <v>0</v>
      </c>
      <c r="F231" s="14">
        <f>[1]Sheet2!BE230</f>
        <v>48000</v>
      </c>
      <c r="G231" s="14">
        <f>[1]Sheet2!CW230</f>
        <v>0</v>
      </c>
      <c r="H231" s="1"/>
      <c r="I231" s="1"/>
      <c r="J231" s="1"/>
      <c r="K231" s="16"/>
      <c r="L231" s="16">
        <f>Demand_CWRS!B$10/31</f>
        <v>120.8438508064516</v>
      </c>
      <c r="M231" s="16">
        <f>Demand_CWRS!C$10/31</f>
        <v>552.80165425971859</v>
      </c>
      <c r="N231" s="16">
        <f>Demand_CWRS!D$10/31</f>
        <v>0</v>
      </c>
      <c r="O231" s="16">
        <f>Demand_CWRS!E$10/31</f>
        <v>141.75971877584777</v>
      </c>
      <c r="P231" s="16">
        <f>Demand_CWRS!F$10/31</f>
        <v>252.70758116211746</v>
      </c>
      <c r="Q231" s="16">
        <f>Demand_CWRS!G$10/31</f>
        <v>116.12903225806451</v>
      </c>
      <c r="R231" s="16">
        <f>Demand_CWRS!H$10/31</f>
        <v>252.70758116211746</v>
      </c>
      <c r="S231" s="16">
        <f>Demand_CWRS!I$10/31</f>
        <v>252.70758116211746</v>
      </c>
      <c r="T231" s="16">
        <f>Demand_CWRS!J$10/31</f>
        <v>252.70758116211746</v>
      </c>
      <c r="U231" s="16">
        <f>Demand_CWRS!K$10/31</f>
        <v>252.70758116211746</v>
      </c>
      <c r="V231" s="16">
        <f t="shared" si="96"/>
        <v>-28554.97444837663</v>
      </c>
      <c r="W231" s="16">
        <f t="shared" si="97"/>
        <v>-111813.8085194372</v>
      </c>
      <c r="X231" s="16">
        <f t="shared" si="98"/>
        <v>0</v>
      </c>
      <c r="Y231" s="16">
        <f t="shared" si="99"/>
        <v>-20161.598716901688</v>
      </c>
      <c r="Z231" s="16">
        <f t="shared" si="100"/>
        <v>-48919.910534028772</v>
      </c>
      <c r="AA231" s="16">
        <f t="shared" si="101"/>
        <v>-27153.764202564023</v>
      </c>
      <c r="AB231" s="16">
        <f t="shared" si="102"/>
        <v>-53229.07530966973</v>
      </c>
      <c r="AC231" s="16">
        <f t="shared" si="103"/>
        <v>-47436.065053259539</v>
      </c>
      <c r="AD231" s="16">
        <f t="shared" si="104"/>
        <v>-47536.065053259532</v>
      </c>
      <c r="AE231" s="16">
        <f t="shared" si="105"/>
        <v>-48136.065053259525</v>
      </c>
      <c r="AF231" s="14">
        <f>IF([1]Sheet2!AJ230=999999,"NA",[1]Sheet2!AJ230)</f>
        <v>0</v>
      </c>
      <c r="AG231" s="14">
        <f>IF([1]Sheet2!AK230=999999,"NA",[1]Sheet2!AK230)</f>
        <v>0</v>
      </c>
      <c r="AH231" s="14" t="str">
        <f>IF([1]Sheet2!AL230=999999,"NA",[1]Sheet2!AL230)</f>
        <v>NA</v>
      </c>
      <c r="AI231" s="14">
        <f>IF([1]Sheet2!AM230=999999,"NA",[1]Sheet2!AM230)</f>
        <v>0</v>
      </c>
      <c r="AJ231" s="14">
        <f>IF([1]Sheet2!AN230=999999,"NA",[1]Sheet2!AN230)</f>
        <v>0</v>
      </c>
      <c r="AK231" s="14">
        <f>IF([1]Sheet2!AO230=999999,"NA",[1]Sheet2!AO230)</f>
        <v>0</v>
      </c>
      <c r="AL231" s="14">
        <f>IF([1]Sheet2!AP230=999999,"NA",[1]Sheet2!AP230)</f>
        <v>0</v>
      </c>
      <c r="AM231" s="14">
        <f>IF([1]Sheet2!AQ230=999999,"NA",[1]Sheet2!AQ230)</f>
        <v>0</v>
      </c>
      <c r="AN231" s="14">
        <f>IF([1]Sheet2!AR230=999999,"NA",[1]Sheet2!AR230)</f>
        <v>0</v>
      </c>
      <c r="AO231" s="14">
        <f>IF([1]Sheet2!AS230=999999,"NA",[1]Sheet2!AS230)</f>
        <v>0</v>
      </c>
      <c r="AP231" s="14">
        <f>[1]Sheet2!P230</f>
        <v>0</v>
      </c>
      <c r="AQ231" s="14">
        <f>[1]Sheet2!Q230</f>
        <v>0</v>
      </c>
      <c r="AR231" s="14">
        <f>[1]Sheet2!R230</f>
        <v>0</v>
      </c>
      <c r="AS231" s="14">
        <f>[1]Sheet2!S230</f>
        <v>0</v>
      </c>
      <c r="AT231" s="14">
        <f>[1]Sheet2!T230</f>
        <v>0</v>
      </c>
      <c r="AU231" s="14">
        <f>[1]Sheet2!U230</f>
        <v>0</v>
      </c>
      <c r="AV231" s="14">
        <f>[1]Sheet2!V230</f>
        <v>0</v>
      </c>
      <c r="AW231" s="14">
        <f>[1]Sheet2!W230</f>
        <v>0</v>
      </c>
      <c r="AX231" s="14">
        <f>[1]Sheet2!X230</f>
        <v>0</v>
      </c>
      <c r="AY231" s="14">
        <f>[1]Sheet2!Y230</f>
        <v>0</v>
      </c>
      <c r="AZ231" s="16">
        <f>Demand_LP!B$10/31</f>
        <v>857.18246226220015</v>
      </c>
      <c r="BA231" s="16">
        <f>Demand_LP!C$10/31</f>
        <v>528.30835401157981</v>
      </c>
      <c r="BB231" s="16">
        <f>Demand_LP!D$10/31</f>
        <v>338.76323407775027</v>
      </c>
      <c r="BC231" s="16">
        <f>Demand_LP!E$10/31</f>
        <v>735.04776674937955</v>
      </c>
      <c r="BD231" s="16">
        <f>Demand_LP!F$10/31</f>
        <v>479.51259046732832</v>
      </c>
      <c r="BE231" s="16">
        <f>Demand_LP!G$10/31</f>
        <v>479.51259046732832</v>
      </c>
      <c r="BF231" s="16">
        <f>Demand_LP!H$10/31</f>
        <v>528.30835401157981</v>
      </c>
      <c r="BG231" s="16">
        <f>Demand_LP!I$10/31</f>
        <v>479.51259046732832</v>
      </c>
      <c r="BH231" s="16">
        <f>Demand_LP!J$10/31</f>
        <v>479.51259046732832</v>
      </c>
      <c r="BI231" s="16">
        <f>Demand_LP!K$10/31</f>
        <v>479.51259046732832</v>
      </c>
      <c r="BJ231" s="16">
        <f t="shared" si="106"/>
        <v>-167127.82446967956</v>
      </c>
      <c r="BK231" s="16">
        <f t="shared" si="107"/>
        <v>-131218.51571546705</v>
      </c>
      <c r="BL231" s="16">
        <f t="shared" si="108"/>
        <v>-62509.151488833784</v>
      </c>
      <c r="BM231" s="16">
        <f t="shared" si="109"/>
        <v>-165804.96553381244</v>
      </c>
      <c r="BN231" s="16">
        <f t="shared" si="110"/>
        <v>-97609.481247055432</v>
      </c>
      <c r="BO231" s="16">
        <f t="shared" si="111"/>
        <v>-96067.165165426166</v>
      </c>
      <c r="BP231" s="16">
        <f t="shared" si="112"/>
        <v>-125576.09520264655</v>
      </c>
      <c r="BQ231" s="16">
        <f t="shared" si="113"/>
        <v>-96067.165165426166</v>
      </c>
      <c r="BR231" s="16">
        <f t="shared" si="114"/>
        <v>-93667.16516542621</v>
      </c>
      <c r="BS231" s="16">
        <f t="shared" si="115"/>
        <v>-94367.165165426195</v>
      </c>
      <c r="BT231" s="14">
        <f>IF([1]Sheet2!CB230=999999,"NA",[1]Sheet2!CB230)</f>
        <v>0</v>
      </c>
      <c r="BU231" s="14">
        <f>IF([1]Sheet2!CC230=999999,"NA",[1]Sheet2!CC230)</f>
        <v>0</v>
      </c>
      <c r="BV231" s="14">
        <f>IF([1]Sheet2!CD230=999999,"NA",[1]Sheet2!CD230)</f>
        <v>0</v>
      </c>
      <c r="BW231" s="14">
        <f>IF([1]Sheet2!CE230=999999,"NA",[1]Sheet2!CE230)</f>
        <v>0</v>
      </c>
      <c r="BX231" s="14">
        <f>IF([1]Sheet2!CF230=999999,"NA",[1]Sheet2!CF230)</f>
        <v>0</v>
      </c>
      <c r="BY231" s="14">
        <f>IF([1]Sheet2!CG230=999999,"NA",[1]Sheet2!CG230)</f>
        <v>0</v>
      </c>
      <c r="BZ231" s="14">
        <f>IF([1]Sheet2!CH230=999999,"NA",[1]Sheet2!CH230)</f>
        <v>0</v>
      </c>
      <c r="CA231" s="14">
        <f>IF([1]Sheet2!CI230=999999,"NA",[1]Sheet2!CI230)</f>
        <v>0</v>
      </c>
      <c r="CB231" s="14">
        <f>IF([1]Sheet2!CJ230=999999,"NA",[1]Sheet2!CJ230)</f>
        <v>0</v>
      </c>
      <c r="CC231" s="14">
        <f>IF([1]Sheet2!CK230=999999,"NA",[1]Sheet2!CK230)</f>
        <v>0</v>
      </c>
      <c r="CD231" s="14">
        <f>[1]Sheet2!BH230</f>
        <v>0</v>
      </c>
      <c r="CE231" s="14">
        <f>[1]Sheet2!BI230</f>
        <v>0</v>
      </c>
      <c r="CF231" s="14">
        <f>[1]Sheet2!BJ230</f>
        <v>0</v>
      </c>
      <c r="CG231" s="14">
        <f>[1]Sheet2!BK230</f>
        <v>0</v>
      </c>
      <c r="CH231" s="14">
        <f>[1]Sheet2!BL230</f>
        <v>0</v>
      </c>
      <c r="CI231" s="14">
        <f>[1]Sheet2!BM230</f>
        <v>0</v>
      </c>
      <c r="CJ231" s="14">
        <f>[1]Sheet2!BN230</f>
        <v>0</v>
      </c>
      <c r="CK231" s="14">
        <f>[1]Sheet2!BO230</f>
        <v>0</v>
      </c>
      <c r="CL231" s="14">
        <f>[1]Sheet2!BP230</f>
        <v>0</v>
      </c>
      <c r="CM231" s="14">
        <f>[1]Sheet2!BQ230</f>
        <v>0</v>
      </c>
      <c r="CN231" s="16">
        <f>Demand_SW!B$10/31</f>
        <v>131.01736972704714</v>
      </c>
      <c r="CO231" s="16">
        <f>Demand_SW!C$10/31</f>
        <v>0</v>
      </c>
      <c r="CP231" s="16">
        <f>Demand_SW!D$10/31</f>
        <v>0</v>
      </c>
      <c r="CQ231" s="16">
        <f>Demand_SW!E$10/31</f>
        <v>0</v>
      </c>
      <c r="CR231" s="16">
        <f>Demand_SW!F$10/31</f>
        <v>0</v>
      </c>
      <c r="CS231" s="16">
        <f>Demand_SW!G$10/31</f>
        <v>131.01736972704714</v>
      </c>
      <c r="CT231" s="16">
        <f>Demand_SW!H$10/31</f>
        <v>0</v>
      </c>
      <c r="CU231" s="16">
        <f>Demand_SW!I$10/31</f>
        <v>0</v>
      </c>
      <c r="CV231" s="16">
        <f>Demand_SW!J$10/31</f>
        <v>0</v>
      </c>
      <c r="CW231" s="16">
        <f>Demand_SW!K$10/31</f>
        <v>0</v>
      </c>
      <c r="CX231" s="16">
        <f t="shared" si="116"/>
        <v>-25755.508684863555</v>
      </c>
      <c r="CY231" s="16">
        <f t="shared" si="117"/>
        <v>76.923076923077133</v>
      </c>
      <c r="CZ231" s="16">
        <f t="shared" si="118"/>
        <v>0</v>
      </c>
      <c r="DA231" s="16">
        <f t="shared" si="119"/>
        <v>0</v>
      </c>
      <c r="DB231" s="16">
        <f t="shared" si="120"/>
        <v>0</v>
      </c>
      <c r="DC231" s="16">
        <f t="shared" si="121"/>
        <v>-25284.739454094324</v>
      </c>
      <c r="DD231" s="16">
        <f t="shared" si="122"/>
        <v>76.923076923077133</v>
      </c>
      <c r="DE231" s="16">
        <f t="shared" si="123"/>
        <v>0</v>
      </c>
      <c r="DF231" s="16">
        <f t="shared" si="124"/>
        <v>0</v>
      </c>
      <c r="DG231" s="16">
        <f t="shared" si="125"/>
        <v>0</v>
      </c>
      <c r="DH231" s="14">
        <f>IF([1]Sheet2!DS230=999999,"NA",[1]Sheet2!DS230)</f>
        <v>0</v>
      </c>
      <c r="DI231" s="14">
        <f>IF([1]Sheet2!DT230=999999,"NA",[1]Sheet2!DT230)</f>
        <v>137</v>
      </c>
      <c r="DJ231" s="14" t="str">
        <f>IF([1]Sheet2!DU230=999999,"NA",[1]Sheet2!DU230)</f>
        <v>NA</v>
      </c>
      <c r="DK231" s="14" t="str">
        <f>IF([1]Sheet2!DV230=999999,"NA",[1]Sheet2!DV230)</f>
        <v>NA</v>
      </c>
      <c r="DL231" s="14" t="str">
        <f>IF([1]Sheet2!DW230=999999,"NA",[1]Sheet2!DW230)</f>
        <v>NA</v>
      </c>
      <c r="DM231" s="14">
        <f>IF([1]Sheet2!DX230=999999,"NA",[1]Sheet2!DX230)</f>
        <v>0</v>
      </c>
      <c r="DN231" s="14">
        <f>IF([1]Sheet2!DY230=999999,"NA",[1]Sheet2!DY230)</f>
        <v>137</v>
      </c>
      <c r="DO231" s="14" t="str">
        <f>IF([1]Sheet2!DZ230=999999,"NA",[1]Sheet2!DZ230)</f>
        <v>NA</v>
      </c>
      <c r="DP231" s="14" t="str">
        <f>IF([1]Sheet2!EA230=999999,"NA",[1]Sheet2!EA230)</f>
        <v>NA</v>
      </c>
      <c r="DQ231" s="14" t="str">
        <f>IF([1]Sheet2!EB230=999999,"NA",[1]Sheet2!EB230)</f>
        <v>NA</v>
      </c>
      <c r="DR231" s="14">
        <f>[1]Sheet2!CY230</f>
        <v>0</v>
      </c>
      <c r="DS231" s="14">
        <f>[1]Sheet2!CZ230</f>
        <v>0</v>
      </c>
      <c r="DT231" s="14">
        <f>[1]Sheet2!DA230</f>
        <v>0</v>
      </c>
      <c r="DU231" s="14">
        <f>[1]Sheet2!DB230</f>
        <v>0</v>
      </c>
      <c r="DV231" s="14">
        <f>[1]Sheet2!DC230</f>
        <v>0</v>
      </c>
      <c r="DW231" s="14">
        <f>[1]Sheet2!DD230</f>
        <v>0</v>
      </c>
      <c r="DX231" s="14">
        <f>[1]Sheet2!DE230</f>
        <v>0</v>
      </c>
      <c r="DY231" s="14">
        <f>[1]Sheet2!DF230</f>
        <v>0</v>
      </c>
      <c r="DZ231" s="14">
        <f>[1]Sheet2!DG230</f>
        <v>0</v>
      </c>
      <c r="EA231" s="14">
        <f>[1]Sheet2!DH230</f>
        <v>0</v>
      </c>
      <c r="EB231" s="6">
        <f>[1]Sheet2!EC230</f>
        <v>0</v>
      </c>
      <c r="EC231" s="6">
        <f>[1]Sheet2!ED230</f>
        <v>0</v>
      </c>
      <c r="ED231" s="6">
        <f>[1]Sheet2!EE230</f>
        <v>0</v>
      </c>
      <c r="EE231" s="6">
        <f>[1]Sheet2!EF230</f>
        <v>0</v>
      </c>
      <c r="EF231" s="6">
        <f>[1]Sheet2!EG230</f>
        <v>0</v>
      </c>
      <c r="EG231" s="6">
        <f>[1]Sheet2!EH230</f>
        <v>0</v>
      </c>
      <c r="EH231" s="6">
        <f>[1]Sheet2!EI230</f>
        <v>0</v>
      </c>
      <c r="EI231" s="6">
        <f>[1]Sheet2!EJ230</f>
        <v>0</v>
      </c>
      <c r="EJ231" s="6">
        <f>[1]Sheet2!EK230</f>
        <v>0</v>
      </c>
      <c r="EK231" s="6">
        <f>[1]Sheet2!EL230</f>
        <v>0</v>
      </c>
      <c r="EL231" s="6" t="str">
        <f>[1]Sheet2!EM230</f>
        <v/>
      </c>
      <c r="EM231" s="6" t="str">
        <f>[1]Sheet2!EN230</f>
        <v/>
      </c>
      <c r="EN231" s="6" t="str">
        <f>[1]Sheet2!EO230</f>
        <v/>
      </c>
      <c r="EO231" s="6" t="str">
        <f>[1]Sheet2!EP230</f>
        <v/>
      </c>
      <c r="EP231" s="6" t="str">
        <f>[1]Sheet2!EQ230</f>
        <v/>
      </c>
      <c r="EQ231" s="6" t="str">
        <f>[1]Sheet2!ER230</f>
        <v/>
      </c>
      <c r="ER231" s="6" t="str">
        <f>[1]Sheet2!ES230</f>
        <v/>
      </c>
      <c r="ES231" s="6" t="str">
        <f>[1]Sheet2!ET230</f>
        <v/>
      </c>
      <c r="ET231" s="6" t="str">
        <f>[1]Sheet2!EU230</f>
        <v/>
      </c>
      <c r="EU231" s="6" t="str">
        <f>[1]Sheet2!EV230</f>
        <v/>
      </c>
      <c r="EV231" s="6" t="str">
        <f>[1]Sheet2!EW230</f>
        <v/>
      </c>
      <c r="EW231" s="6" t="str">
        <f>[1]Sheet2!EX230</f>
        <v/>
      </c>
      <c r="EX231" s="6" t="str">
        <f>[1]Sheet2!EY230</f>
        <v/>
      </c>
      <c r="EY231" s="6" t="str">
        <f>[1]Sheet2!EZ230</f>
        <v/>
      </c>
      <c r="EZ231" s="6" t="str">
        <f>[1]Sheet2!FA230</f>
        <v/>
      </c>
      <c r="FA231" s="6" t="str">
        <f>[1]Sheet2!FB230</f>
        <v/>
      </c>
      <c r="FB231" s="6" t="str">
        <f>[1]Sheet2!FC230</f>
        <v/>
      </c>
      <c r="FC231" s="6" t="str">
        <f>[1]Sheet2!FD230</f>
        <v/>
      </c>
      <c r="FD231" s="6" t="str">
        <f>[1]Sheet2!FE230</f>
        <v/>
      </c>
      <c r="FE231" s="6" t="str">
        <f>[1]Sheet2!FF230</f>
        <v/>
      </c>
      <c r="FF231" s="6" t="str">
        <f>[1]Sheet2!FG230</f>
        <v/>
      </c>
      <c r="FG231" s="6" t="str">
        <f>[1]Sheet2!FH230</f>
        <v/>
      </c>
      <c r="FH231" s="6" t="str">
        <f>[1]Sheet2!FI230</f>
        <v/>
      </c>
      <c r="FI231" s="6" t="str">
        <f>[1]Sheet2!FJ230</f>
        <v/>
      </c>
      <c r="FJ231" s="6" t="str">
        <f>[1]Sheet2!FK230</f>
        <v/>
      </c>
      <c r="FK231" s="6" t="str">
        <f>[1]Sheet2!FL230</f>
        <v/>
      </c>
      <c r="FL231" s="6" t="str">
        <f>[1]Sheet2!FM230</f>
        <v/>
      </c>
      <c r="FM231" s="6" t="str">
        <f>[1]Sheet2!FN230</f>
        <v/>
      </c>
      <c r="FN231" s="6" t="str">
        <f>[1]Sheet2!FO230</f>
        <v/>
      </c>
      <c r="FO231" s="6" t="str">
        <f>[1]Sheet2!FP230</f>
        <v/>
      </c>
    </row>
    <row r="232" spans="1:171" x14ac:dyDescent="0.25">
      <c r="A232" s="15">
        <v>43694</v>
      </c>
      <c r="B232" s="1"/>
      <c r="C232" s="1"/>
      <c r="D232" s="1"/>
      <c r="E232" s="14">
        <f>[1]Sheet2!N231</f>
        <v>0</v>
      </c>
      <c r="F232" s="14">
        <f>[1]Sheet2!BE231</f>
        <v>0</v>
      </c>
      <c r="G232" s="14">
        <f>[1]Sheet2!CW231</f>
        <v>0</v>
      </c>
      <c r="H232" s="1"/>
      <c r="I232" s="1"/>
      <c r="J232" s="1"/>
      <c r="K232" s="16"/>
      <c r="L232" s="16">
        <f>Demand_CWRS!B$10/31</f>
        <v>120.8438508064516</v>
      </c>
      <c r="M232" s="16">
        <f>Demand_CWRS!C$10/31</f>
        <v>552.80165425971859</v>
      </c>
      <c r="N232" s="16">
        <f>Demand_CWRS!D$10/31</f>
        <v>0</v>
      </c>
      <c r="O232" s="16">
        <f>Demand_CWRS!E$10/31</f>
        <v>141.75971877584777</v>
      </c>
      <c r="P232" s="16">
        <f>Demand_CWRS!F$10/31</f>
        <v>252.70758116211746</v>
      </c>
      <c r="Q232" s="16">
        <f>Demand_CWRS!G$10/31</f>
        <v>116.12903225806451</v>
      </c>
      <c r="R232" s="16">
        <f>Demand_CWRS!H$10/31</f>
        <v>252.70758116211746</v>
      </c>
      <c r="S232" s="16">
        <f>Demand_CWRS!I$10/31</f>
        <v>252.70758116211746</v>
      </c>
      <c r="T232" s="16">
        <f>Demand_CWRS!J$10/31</f>
        <v>252.70758116211746</v>
      </c>
      <c r="U232" s="16">
        <f>Demand_CWRS!K$10/31</f>
        <v>252.70758116211746</v>
      </c>
      <c r="V232" s="16">
        <f t="shared" si="96"/>
        <v>-28675.81829918308</v>
      </c>
      <c r="W232" s="16">
        <f t="shared" si="97"/>
        <v>-112366.61017369691</v>
      </c>
      <c r="X232" s="16">
        <f t="shared" si="98"/>
        <v>0</v>
      </c>
      <c r="Y232" s="16">
        <f t="shared" si="99"/>
        <v>-20303.358435677535</v>
      </c>
      <c r="Z232" s="16">
        <f t="shared" si="100"/>
        <v>-49172.61811519089</v>
      </c>
      <c r="AA232" s="16">
        <f t="shared" si="101"/>
        <v>-27269.893234822088</v>
      </c>
      <c r="AB232" s="16">
        <f t="shared" si="102"/>
        <v>-53481.782890831848</v>
      </c>
      <c r="AC232" s="16">
        <f t="shared" si="103"/>
        <v>-47688.772634421657</v>
      </c>
      <c r="AD232" s="16">
        <f t="shared" si="104"/>
        <v>-47788.77263442165</v>
      </c>
      <c r="AE232" s="16">
        <f t="shared" si="105"/>
        <v>-48388.772634421643</v>
      </c>
      <c r="AF232" s="14">
        <f>IF([1]Sheet2!AJ231=999999,"NA",[1]Sheet2!AJ231)</f>
        <v>0</v>
      </c>
      <c r="AG232" s="14">
        <f>IF([1]Sheet2!AK231=999999,"NA",[1]Sheet2!AK231)</f>
        <v>0</v>
      </c>
      <c r="AH232" s="14" t="str">
        <f>IF([1]Sheet2!AL231=999999,"NA",[1]Sheet2!AL231)</f>
        <v>NA</v>
      </c>
      <c r="AI232" s="14">
        <f>IF([1]Sheet2!AM231=999999,"NA",[1]Sheet2!AM231)</f>
        <v>0</v>
      </c>
      <c r="AJ232" s="14">
        <f>IF([1]Sheet2!AN231=999999,"NA",[1]Sheet2!AN231)</f>
        <v>0</v>
      </c>
      <c r="AK232" s="14">
        <f>IF([1]Sheet2!AO231=999999,"NA",[1]Sheet2!AO231)</f>
        <v>0</v>
      </c>
      <c r="AL232" s="14">
        <f>IF([1]Sheet2!AP231=999999,"NA",[1]Sheet2!AP231)</f>
        <v>0</v>
      </c>
      <c r="AM232" s="14">
        <f>IF([1]Sheet2!AQ231=999999,"NA",[1]Sheet2!AQ231)</f>
        <v>0</v>
      </c>
      <c r="AN232" s="14">
        <f>IF([1]Sheet2!AR231=999999,"NA",[1]Sheet2!AR231)</f>
        <v>0</v>
      </c>
      <c r="AO232" s="14">
        <f>IF([1]Sheet2!AS231=999999,"NA",[1]Sheet2!AS231)</f>
        <v>0</v>
      </c>
      <c r="AP232" s="14">
        <f>[1]Sheet2!P231</f>
        <v>0</v>
      </c>
      <c r="AQ232" s="14">
        <f>[1]Sheet2!Q231</f>
        <v>0</v>
      </c>
      <c r="AR232" s="14">
        <f>[1]Sheet2!R231</f>
        <v>0</v>
      </c>
      <c r="AS232" s="14">
        <f>[1]Sheet2!S231</f>
        <v>0</v>
      </c>
      <c r="AT232" s="14">
        <f>[1]Sheet2!T231</f>
        <v>0</v>
      </c>
      <c r="AU232" s="14">
        <f>[1]Sheet2!U231</f>
        <v>0</v>
      </c>
      <c r="AV232" s="14">
        <f>[1]Sheet2!V231</f>
        <v>0</v>
      </c>
      <c r="AW232" s="14">
        <f>[1]Sheet2!W231</f>
        <v>0</v>
      </c>
      <c r="AX232" s="14">
        <f>[1]Sheet2!X231</f>
        <v>0</v>
      </c>
      <c r="AY232" s="14">
        <f>[1]Sheet2!Y231</f>
        <v>0</v>
      </c>
      <c r="AZ232" s="16">
        <f>Demand_LP!B$10/31</f>
        <v>857.18246226220015</v>
      </c>
      <c r="BA232" s="16">
        <f>Demand_LP!C$10/31</f>
        <v>528.30835401157981</v>
      </c>
      <c r="BB232" s="16">
        <f>Demand_LP!D$10/31</f>
        <v>338.76323407775027</v>
      </c>
      <c r="BC232" s="16">
        <f>Demand_LP!E$10/31</f>
        <v>735.04776674937955</v>
      </c>
      <c r="BD232" s="16">
        <f>Demand_LP!F$10/31</f>
        <v>479.51259046732832</v>
      </c>
      <c r="BE232" s="16">
        <f>Demand_LP!G$10/31</f>
        <v>479.51259046732832</v>
      </c>
      <c r="BF232" s="16">
        <f>Demand_LP!H$10/31</f>
        <v>528.30835401157981</v>
      </c>
      <c r="BG232" s="16">
        <f>Demand_LP!I$10/31</f>
        <v>479.51259046732832</v>
      </c>
      <c r="BH232" s="16">
        <f>Demand_LP!J$10/31</f>
        <v>479.51259046732832</v>
      </c>
      <c r="BI232" s="16">
        <f>Demand_LP!K$10/31</f>
        <v>479.51259046732832</v>
      </c>
      <c r="BJ232" s="16">
        <f t="shared" si="106"/>
        <v>-167985.00693194175</v>
      </c>
      <c r="BK232" s="16">
        <f t="shared" si="107"/>
        <v>-131746.82406947864</v>
      </c>
      <c r="BL232" s="16">
        <f t="shared" si="108"/>
        <v>-62847.914722911533</v>
      </c>
      <c r="BM232" s="16">
        <f t="shared" si="109"/>
        <v>-166540.01330056181</v>
      </c>
      <c r="BN232" s="16">
        <f t="shared" si="110"/>
        <v>-98088.993837522765</v>
      </c>
      <c r="BO232" s="16">
        <f t="shared" si="111"/>
        <v>-96546.677755893499</v>
      </c>
      <c r="BP232" s="16">
        <f t="shared" si="112"/>
        <v>-126104.40355665813</v>
      </c>
      <c r="BQ232" s="16">
        <f t="shared" si="113"/>
        <v>-96546.677755893499</v>
      </c>
      <c r="BR232" s="16">
        <f t="shared" si="114"/>
        <v>-94146.677755893543</v>
      </c>
      <c r="BS232" s="16">
        <f t="shared" si="115"/>
        <v>-94846.677755893528</v>
      </c>
      <c r="BT232" s="14">
        <f>IF([1]Sheet2!CB231=999999,"NA",[1]Sheet2!CB231)</f>
        <v>0</v>
      </c>
      <c r="BU232" s="14">
        <f>IF([1]Sheet2!CC231=999999,"NA",[1]Sheet2!CC231)</f>
        <v>0</v>
      </c>
      <c r="BV232" s="14">
        <f>IF([1]Sheet2!CD231=999999,"NA",[1]Sheet2!CD231)</f>
        <v>0</v>
      </c>
      <c r="BW232" s="14">
        <f>IF([1]Sheet2!CE231=999999,"NA",[1]Sheet2!CE231)</f>
        <v>0</v>
      </c>
      <c r="BX232" s="14">
        <f>IF([1]Sheet2!CF231=999999,"NA",[1]Sheet2!CF231)</f>
        <v>0</v>
      </c>
      <c r="BY232" s="14">
        <f>IF([1]Sheet2!CG231=999999,"NA",[1]Sheet2!CG231)</f>
        <v>0</v>
      </c>
      <c r="BZ232" s="14">
        <f>IF([1]Sheet2!CH231=999999,"NA",[1]Sheet2!CH231)</f>
        <v>0</v>
      </c>
      <c r="CA232" s="14">
        <f>IF([1]Sheet2!CI231=999999,"NA",[1]Sheet2!CI231)</f>
        <v>0</v>
      </c>
      <c r="CB232" s="14">
        <f>IF([1]Sheet2!CJ231=999999,"NA",[1]Sheet2!CJ231)</f>
        <v>0</v>
      </c>
      <c r="CC232" s="14">
        <f>IF([1]Sheet2!CK231=999999,"NA",[1]Sheet2!CK231)</f>
        <v>0</v>
      </c>
      <c r="CD232" s="14">
        <f>[1]Sheet2!BH231</f>
        <v>0</v>
      </c>
      <c r="CE232" s="14">
        <f>[1]Sheet2!BI231</f>
        <v>0</v>
      </c>
      <c r="CF232" s="14">
        <f>[1]Sheet2!BJ231</f>
        <v>0</v>
      </c>
      <c r="CG232" s="14">
        <f>[1]Sheet2!BK231</f>
        <v>0</v>
      </c>
      <c r="CH232" s="14">
        <f>[1]Sheet2!BL231</f>
        <v>0</v>
      </c>
      <c r="CI232" s="14">
        <f>[1]Sheet2!BM231</f>
        <v>0</v>
      </c>
      <c r="CJ232" s="14">
        <f>[1]Sheet2!BN231</f>
        <v>0</v>
      </c>
      <c r="CK232" s="14">
        <f>[1]Sheet2!BO231</f>
        <v>0</v>
      </c>
      <c r="CL232" s="14">
        <f>[1]Sheet2!BP231</f>
        <v>0</v>
      </c>
      <c r="CM232" s="14">
        <f>[1]Sheet2!BQ231</f>
        <v>0</v>
      </c>
      <c r="CN232" s="16">
        <f>Demand_SW!B$10/31</f>
        <v>131.01736972704714</v>
      </c>
      <c r="CO232" s="16">
        <f>Demand_SW!C$10/31</f>
        <v>0</v>
      </c>
      <c r="CP232" s="16">
        <f>Demand_SW!D$10/31</f>
        <v>0</v>
      </c>
      <c r="CQ232" s="16">
        <f>Demand_SW!E$10/31</f>
        <v>0</v>
      </c>
      <c r="CR232" s="16">
        <f>Demand_SW!F$10/31</f>
        <v>0</v>
      </c>
      <c r="CS232" s="16">
        <f>Demand_SW!G$10/31</f>
        <v>131.01736972704714</v>
      </c>
      <c r="CT232" s="16">
        <f>Demand_SW!H$10/31</f>
        <v>0</v>
      </c>
      <c r="CU232" s="16">
        <f>Demand_SW!I$10/31</f>
        <v>0</v>
      </c>
      <c r="CV232" s="16">
        <f>Demand_SW!J$10/31</f>
        <v>0</v>
      </c>
      <c r="CW232" s="16">
        <f>Demand_SW!K$10/31</f>
        <v>0</v>
      </c>
      <c r="CX232" s="16">
        <f t="shared" si="116"/>
        <v>-25886.526054590602</v>
      </c>
      <c r="CY232" s="16">
        <f t="shared" si="117"/>
        <v>76.923076923077133</v>
      </c>
      <c r="CZ232" s="16">
        <f t="shared" si="118"/>
        <v>0</v>
      </c>
      <c r="DA232" s="16">
        <f t="shared" si="119"/>
        <v>0</v>
      </c>
      <c r="DB232" s="16">
        <f t="shared" si="120"/>
        <v>0</v>
      </c>
      <c r="DC232" s="16">
        <f t="shared" si="121"/>
        <v>-25415.756823821372</v>
      </c>
      <c r="DD232" s="16">
        <f t="shared" si="122"/>
        <v>76.923076923077133</v>
      </c>
      <c r="DE232" s="16">
        <f t="shared" si="123"/>
        <v>0</v>
      </c>
      <c r="DF232" s="16">
        <f t="shared" si="124"/>
        <v>0</v>
      </c>
      <c r="DG232" s="16">
        <f t="shared" si="125"/>
        <v>0</v>
      </c>
      <c r="DH232" s="14">
        <f>IF([1]Sheet2!DS231=999999,"NA",[1]Sheet2!DS231)</f>
        <v>0</v>
      </c>
      <c r="DI232" s="14">
        <f>IF([1]Sheet2!DT231=999999,"NA",[1]Sheet2!DT231)</f>
        <v>136</v>
      </c>
      <c r="DJ232" s="14" t="str">
        <f>IF([1]Sheet2!DU231=999999,"NA",[1]Sheet2!DU231)</f>
        <v>NA</v>
      </c>
      <c r="DK232" s="14" t="str">
        <f>IF([1]Sheet2!DV231=999999,"NA",[1]Sheet2!DV231)</f>
        <v>NA</v>
      </c>
      <c r="DL232" s="14" t="str">
        <f>IF([1]Sheet2!DW231=999999,"NA",[1]Sheet2!DW231)</f>
        <v>NA</v>
      </c>
      <c r="DM232" s="14">
        <f>IF([1]Sheet2!DX231=999999,"NA",[1]Sheet2!DX231)</f>
        <v>0</v>
      </c>
      <c r="DN232" s="14">
        <f>IF([1]Sheet2!DY231=999999,"NA",[1]Sheet2!DY231)</f>
        <v>136</v>
      </c>
      <c r="DO232" s="14" t="str">
        <f>IF([1]Sheet2!DZ231=999999,"NA",[1]Sheet2!DZ231)</f>
        <v>NA</v>
      </c>
      <c r="DP232" s="14" t="str">
        <f>IF([1]Sheet2!EA231=999999,"NA",[1]Sheet2!EA231)</f>
        <v>NA</v>
      </c>
      <c r="DQ232" s="14" t="str">
        <f>IF([1]Sheet2!EB231=999999,"NA",[1]Sheet2!EB231)</f>
        <v>NA</v>
      </c>
      <c r="DR232" s="14">
        <f>[1]Sheet2!CY231</f>
        <v>0</v>
      </c>
      <c r="DS232" s="14">
        <f>[1]Sheet2!CZ231</f>
        <v>0</v>
      </c>
      <c r="DT232" s="14">
        <f>[1]Sheet2!DA231</f>
        <v>0</v>
      </c>
      <c r="DU232" s="14">
        <f>[1]Sheet2!DB231</f>
        <v>0</v>
      </c>
      <c r="DV232" s="14">
        <f>[1]Sheet2!DC231</f>
        <v>0</v>
      </c>
      <c r="DW232" s="14">
        <f>[1]Sheet2!DD231</f>
        <v>0</v>
      </c>
      <c r="DX232" s="14">
        <f>[1]Sheet2!DE231</f>
        <v>0</v>
      </c>
      <c r="DY232" s="14">
        <f>[1]Sheet2!DF231</f>
        <v>0</v>
      </c>
      <c r="DZ232" s="14">
        <f>[1]Sheet2!DG231</f>
        <v>0</v>
      </c>
      <c r="EA232" s="14">
        <f>[1]Sheet2!DH231</f>
        <v>0</v>
      </c>
      <c r="EB232" s="6">
        <f>[1]Sheet2!EC231</f>
        <v>0</v>
      </c>
      <c r="EC232" s="6">
        <f>[1]Sheet2!ED231</f>
        <v>0</v>
      </c>
      <c r="ED232" s="6">
        <f>[1]Sheet2!EE231</f>
        <v>0</v>
      </c>
      <c r="EE232" s="6">
        <f>[1]Sheet2!EF231</f>
        <v>0</v>
      </c>
      <c r="EF232" s="6">
        <f>[1]Sheet2!EG231</f>
        <v>0</v>
      </c>
      <c r="EG232" s="6">
        <f>[1]Sheet2!EH231</f>
        <v>0</v>
      </c>
      <c r="EH232" s="6">
        <f>[1]Sheet2!EI231</f>
        <v>0</v>
      </c>
      <c r="EI232" s="6">
        <f>[1]Sheet2!EJ231</f>
        <v>0</v>
      </c>
      <c r="EJ232" s="6">
        <f>[1]Sheet2!EK231</f>
        <v>0</v>
      </c>
      <c r="EK232" s="6">
        <f>[1]Sheet2!EL231</f>
        <v>0</v>
      </c>
      <c r="EL232" s="6" t="str">
        <f>[1]Sheet2!EM231</f>
        <v/>
      </c>
      <c r="EM232" s="6" t="str">
        <f>[1]Sheet2!EN231</f>
        <v/>
      </c>
      <c r="EN232" s="6" t="str">
        <f>[1]Sheet2!EO231</f>
        <v/>
      </c>
      <c r="EO232" s="6" t="str">
        <f>[1]Sheet2!EP231</f>
        <v/>
      </c>
      <c r="EP232" s="6" t="str">
        <f>[1]Sheet2!EQ231</f>
        <v/>
      </c>
      <c r="EQ232" s="6" t="str">
        <f>[1]Sheet2!ER231</f>
        <v/>
      </c>
      <c r="ER232" s="6" t="str">
        <f>[1]Sheet2!ES231</f>
        <v/>
      </c>
      <c r="ES232" s="6" t="str">
        <f>[1]Sheet2!ET231</f>
        <v/>
      </c>
      <c r="ET232" s="6" t="str">
        <f>[1]Sheet2!EU231</f>
        <v/>
      </c>
      <c r="EU232" s="6" t="str">
        <f>[1]Sheet2!EV231</f>
        <v/>
      </c>
      <c r="EV232" s="6" t="str">
        <f>[1]Sheet2!EW231</f>
        <v/>
      </c>
      <c r="EW232" s="6" t="str">
        <f>[1]Sheet2!EX231</f>
        <v/>
      </c>
      <c r="EX232" s="6" t="str">
        <f>[1]Sheet2!EY231</f>
        <v/>
      </c>
      <c r="EY232" s="6" t="str">
        <f>[1]Sheet2!EZ231</f>
        <v/>
      </c>
      <c r="EZ232" s="6" t="str">
        <f>[1]Sheet2!FA231</f>
        <v/>
      </c>
      <c r="FA232" s="6" t="str">
        <f>[1]Sheet2!FB231</f>
        <v/>
      </c>
      <c r="FB232" s="6" t="str">
        <f>[1]Sheet2!FC231</f>
        <v/>
      </c>
      <c r="FC232" s="6" t="str">
        <f>[1]Sheet2!FD231</f>
        <v/>
      </c>
      <c r="FD232" s="6" t="str">
        <f>[1]Sheet2!FE231</f>
        <v/>
      </c>
      <c r="FE232" s="6" t="str">
        <f>[1]Sheet2!FF231</f>
        <v/>
      </c>
      <c r="FF232" s="6" t="str">
        <f>[1]Sheet2!FG231</f>
        <v/>
      </c>
      <c r="FG232" s="6" t="str">
        <f>[1]Sheet2!FH231</f>
        <v/>
      </c>
      <c r="FH232" s="6" t="str">
        <f>[1]Sheet2!FI231</f>
        <v/>
      </c>
      <c r="FI232" s="6" t="str">
        <f>[1]Sheet2!FJ231</f>
        <v/>
      </c>
      <c r="FJ232" s="6" t="str">
        <f>[1]Sheet2!FK231</f>
        <v/>
      </c>
      <c r="FK232" s="6" t="str">
        <f>[1]Sheet2!FL231</f>
        <v/>
      </c>
      <c r="FL232" s="6" t="str">
        <f>[1]Sheet2!FM231</f>
        <v/>
      </c>
      <c r="FM232" s="6" t="str">
        <f>[1]Sheet2!FN231</f>
        <v/>
      </c>
      <c r="FN232" s="6" t="str">
        <f>[1]Sheet2!FO231</f>
        <v/>
      </c>
      <c r="FO232" s="6" t="str">
        <f>[1]Sheet2!FP231</f>
        <v/>
      </c>
    </row>
    <row r="233" spans="1:171" x14ac:dyDescent="0.25">
      <c r="A233" s="15">
        <v>43695</v>
      </c>
      <c r="B233" s="1"/>
      <c r="C233" s="1"/>
      <c r="D233" s="1"/>
      <c r="E233" s="14">
        <f>[1]Sheet2!N232</f>
        <v>0</v>
      </c>
      <c r="F233" s="14">
        <f>[1]Sheet2!BE232</f>
        <v>0</v>
      </c>
      <c r="G233" s="14">
        <f>[1]Sheet2!CW232</f>
        <v>0</v>
      </c>
      <c r="H233" s="1"/>
      <c r="I233" s="1"/>
      <c r="J233" s="1"/>
      <c r="K233" s="16"/>
      <c r="L233" s="16">
        <f>Demand_CWRS!B$10/31</f>
        <v>120.8438508064516</v>
      </c>
      <c r="M233" s="16">
        <f>Demand_CWRS!C$10/31</f>
        <v>552.80165425971859</v>
      </c>
      <c r="N233" s="16">
        <f>Demand_CWRS!D$10/31</f>
        <v>0</v>
      </c>
      <c r="O233" s="16">
        <f>Demand_CWRS!E$10/31</f>
        <v>141.75971877584777</v>
      </c>
      <c r="P233" s="16">
        <f>Demand_CWRS!F$10/31</f>
        <v>252.70758116211746</v>
      </c>
      <c r="Q233" s="16">
        <f>Demand_CWRS!G$10/31</f>
        <v>116.12903225806451</v>
      </c>
      <c r="R233" s="16">
        <f>Demand_CWRS!H$10/31</f>
        <v>252.70758116211746</v>
      </c>
      <c r="S233" s="16">
        <f>Demand_CWRS!I$10/31</f>
        <v>252.70758116211746</v>
      </c>
      <c r="T233" s="16">
        <f>Demand_CWRS!J$10/31</f>
        <v>252.70758116211746</v>
      </c>
      <c r="U233" s="16">
        <f>Demand_CWRS!K$10/31</f>
        <v>252.70758116211746</v>
      </c>
      <c r="V233" s="16">
        <f t="shared" si="96"/>
        <v>-28796.66214998953</v>
      </c>
      <c r="W233" s="16">
        <f t="shared" si="97"/>
        <v>-112919.41182795663</v>
      </c>
      <c r="X233" s="16">
        <f t="shared" si="98"/>
        <v>0</v>
      </c>
      <c r="Y233" s="16">
        <f t="shared" si="99"/>
        <v>-20445.118154453383</v>
      </c>
      <c r="Z233" s="16">
        <f t="shared" si="100"/>
        <v>-49425.325696353008</v>
      </c>
      <c r="AA233" s="16">
        <f t="shared" si="101"/>
        <v>-27386.022267080152</v>
      </c>
      <c r="AB233" s="16">
        <f t="shared" si="102"/>
        <v>-53734.490471993966</v>
      </c>
      <c r="AC233" s="16">
        <f t="shared" si="103"/>
        <v>-47941.480215583775</v>
      </c>
      <c r="AD233" s="16">
        <f t="shared" si="104"/>
        <v>-48041.480215583768</v>
      </c>
      <c r="AE233" s="16">
        <f t="shared" si="105"/>
        <v>-48641.480215583761</v>
      </c>
      <c r="AF233" s="14">
        <f>IF([1]Sheet2!AJ232=999999,"NA",[1]Sheet2!AJ232)</f>
        <v>0</v>
      </c>
      <c r="AG233" s="14">
        <f>IF([1]Sheet2!AK232=999999,"NA",[1]Sheet2!AK232)</f>
        <v>0</v>
      </c>
      <c r="AH233" s="14" t="str">
        <f>IF([1]Sheet2!AL232=999999,"NA",[1]Sheet2!AL232)</f>
        <v>NA</v>
      </c>
      <c r="AI233" s="14">
        <f>IF([1]Sheet2!AM232=999999,"NA",[1]Sheet2!AM232)</f>
        <v>0</v>
      </c>
      <c r="AJ233" s="14">
        <f>IF([1]Sheet2!AN232=999999,"NA",[1]Sheet2!AN232)</f>
        <v>0</v>
      </c>
      <c r="AK233" s="14">
        <f>IF([1]Sheet2!AO232=999999,"NA",[1]Sheet2!AO232)</f>
        <v>0</v>
      </c>
      <c r="AL233" s="14">
        <f>IF([1]Sheet2!AP232=999999,"NA",[1]Sheet2!AP232)</f>
        <v>0</v>
      </c>
      <c r="AM233" s="14">
        <f>IF([1]Sheet2!AQ232=999999,"NA",[1]Sheet2!AQ232)</f>
        <v>0</v>
      </c>
      <c r="AN233" s="14">
        <f>IF([1]Sheet2!AR232=999999,"NA",[1]Sheet2!AR232)</f>
        <v>0</v>
      </c>
      <c r="AO233" s="14">
        <f>IF([1]Sheet2!AS232=999999,"NA",[1]Sheet2!AS232)</f>
        <v>0</v>
      </c>
      <c r="AP233" s="14">
        <f>[1]Sheet2!P232</f>
        <v>0</v>
      </c>
      <c r="AQ233" s="14">
        <f>[1]Sheet2!Q232</f>
        <v>0</v>
      </c>
      <c r="AR233" s="14">
        <f>[1]Sheet2!R232</f>
        <v>0</v>
      </c>
      <c r="AS233" s="14">
        <f>[1]Sheet2!S232</f>
        <v>0</v>
      </c>
      <c r="AT233" s="14">
        <f>[1]Sheet2!T232</f>
        <v>0</v>
      </c>
      <c r="AU233" s="14">
        <f>[1]Sheet2!U232</f>
        <v>0</v>
      </c>
      <c r="AV233" s="14">
        <f>[1]Sheet2!V232</f>
        <v>0</v>
      </c>
      <c r="AW233" s="14">
        <f>[1]Sheet2!W232</f>
        <v>0</v>
      </c>
      <c r="AX233" s="14">
        <f>[1]Sheet2!X232</f>
        <v>0</v>
      </c>
      <c r="AY233" s="14">
        <f>[1]Sheet2!Y232</f>
        <v>0</v>
      </c>
      <c r="AZ233" s="16">
        <f>Demand_LP!B$10/31</f>
        <v>857.18246226220015</v>
      </c>
      <c r="BA233" s="16">
        <f>Demand_LP!C$10/31</f>
        <v>528.30835401157981</v>
      </c>
      <c r="BB233" s="16">
        <f>Demand_LP!D$10/31</f>
        <v>338.76323407775027</v>
      </c>
      <c r="BC233" s="16">
        <f>Demand_LP!E$10/31</f>
        <v>735.04776674937955</v>
      </c>
      <c r="BD233" s="16">
        <f>Demand_LP!F$10/31</f>
        <v>479.51259046732832</v>
      </c>
      <c r="BE233" s="16">
        <f>Demand_LP!G$10/31</f>
        <v>479.51259046732832</v>
      </c>
      <c r="BF233" s="16">
        <f>Demand_LP!H$10/31</f>
        <v>528.30835401157981</v>
      </c>
      <c r="BG233" s="16">
        <f>Demand_LP!I$10/31</f>
        <v>479.51259046732832</v>
      </c>
      <c r="BH233" s="16">
        <f>Demand_LP!J$10/31</f>
        <v>479.51259046732832</v>
      </c>
      <c r="BI233" s="16">
        <f>Demand_LP!K$10/31</f>
        <v>479.51259046732832</v>
      </c>
      <c r="BJ233" s="16">
        <f t="shared" si="106"/>
        <v>-168842.18939420395</v>
      </c>
      <c r="BK233" s="16">
        <f t="shared" si="107"/>
        <v>-132275.13242349023</v>
      </c>
      <c r="BL233" s="16">
        <f t="shared" si="108"/>
        <v>-63186.677956989282</v>
      </c>
      <c r="BM233" s="16">
        <f t="shared" si="109"/>
        <v>-167275.06106731118</v>
      </c>
      <c r="BN233" s="16">
        <f t="shared" si="110"/>
        <v>-98568.506427990098</v>
      </c>
      <c r="BO233" s="16">
        <f t="shared" si="111"/>
        <v>-97026.190346360832</v>
      </c>
      <c r="BP233" s="16">
        <f t="shared" si="112"/>
        <v>-126632.71191066971</v>
      </c>
      <c r="BQ233" s="16">
        <f t="shared" si="113"/>
        <v>-97026.190346360832</v>
      </c>
      <c r="BR233" s="16">
        <f t="shared" si="114"/>
        <v>-94626.190346360876</v>
      </c>
      <c r="BS233" s="16">
        <f t="shared" si="115"/>
        <v>-95326.190346360861</v>
      </c>
      <c r="BT233" s="14">
        <f>IF([1]Sheet2!CB232=999999,"NA",[1]Sheet2!CB232)</f>
        <v>0</v>
      </c>
      <c r="BU233" s="14">
        <f>IF([1]Sheet2!CC232=999999,"NA",[1]Sheet2!CC232)</f>
        <v>0</v>
      </c>
      <c r="BV233" s="14">
        <f>IF([1]Sheet2!CD232=999999,"NA",[1]Sheet2!CD232)</f>
        <v>0</v>
      </c>
      <c r="BW233" s="14">
        <f>IF([1]Sheet2!CE232=999999,"NA",[1]Sheet2!CE232)</f>
        <v>0</v>
      </c>
      <c r="BX233" s="14">
        <f>IF([1]Sheet2!CF232=999999,"NA",[1]Sheet2!CF232)</f>
        <v>0</v>
      </c>
      <c r="BY233" s="14">
        <f>IF([1]Sheet2!CG232=999999,"NA",[1]Sheet2!CG232)</f>
        <v>0</v>
      </c>
      <c r="BZ233" s="14">
        <f>IF([1]Sheet2!CH232=999999,"NA",[1]Sheet2!CH232)</f>
        <v>0</v>
      </c>
      <c r="CA233" s="14">
        <f>IF([1]Sheet2!CI232=999999,"NA",[1]Sheet2!CI232)</f>
        <v>0</v>
      </c>
      <c r="CB233" s="14">
        <f>IF([1]Sheet2!CJ232=999999,"NA",[1]Sheet2!CJ232)</f>
        <v>0</v>
      </c>
      <c r="CC233" s="14">
        <f>IF([1]Sheet2!CK232=999999,"NA",[1]Sheet2!CK232)</f>
        <v>0</v>
      </c>
      <c r="CD233" s="14">
        <f>[1]Sheet2!BH232</f>
        <v>0</v>
      </c>
      <c r="CE233" s="14">
        <f>[1]Sheet2!BI232</f>
        <v>0</v>
      </c>
      <c r="CF233" s="14">
        <f>[1]Sheet2!BJ232</f>
        <v>0</v>
      </c>
      <c r="CG233" s="14">
        <f>[1]Sheet2!BK232</f>
        <v>0</v>
      </c>
      <c r="CH233" s="14">
        <f>[1]Sheet2!BL232</f>
        <v>0</v>
      </c>
      <c r="CI233" s="14">
        <f>[1]Sheet2!BM232</f>
        <v>0</v>
      </c>
      <c r="CJ233" s="14">
        <f>[1]Sheet2!BN232</f>
        <v>0</v>
      </c>
      <c r="CK233" s="14">
        <f>[1]Sheet2!BO232</f>
        <v>0</v>
      </c>
      <c r="CL233" s="14">
        <f>[1]Sheet2!BP232</f>
        <v>0</v>
      </c>
      <c r="CM233" s="14">
        <f>[1]Sheet2!BQ232</f>
        <v>0</v>
      </c>
      <c r="CN233" s="16">
        <f>Demand_SW!B$10/31</f>
        <v>131.01736972704714</v>
      </c>
      <c r="CO233" s="16">
        <f>Demand_SW!C$10/31</f>
        <v>0</v>
      </c>
      <c r="CP233" s="16">
        <f>Demand_SW!D$10/31</f>
        <v>0</v>
      </c>
      <c r="CQ233" s="16">
        <f>Demand_SW!E$10/31</f>
        <v>0</v>
      </c>
      <c r="CR233" s="16">
        <f>Demand_SW!F$10/31</f>
        <v>0</v>
      </c>
      <c r="CS233" s="16">
        <f>Demand_SW!G$10/31</f>
        <v>131.01736972704714</v>
      </c>
      <c r="CT233" s="16">
        <f>Demand_SW!H$10/31</f>
        <v>0</v>
      </c>
      <c r="CU233" s="16">
        <f>Demand_SW!I$10/31</f>
        <v>0</v>
      </c>
      <c r="CV233" s="16">
        <f>Demand_SW!J$10/31</f>
        <v>0</v>
      </c>
      <c r="CW233" s="16">
        <f>Demand_SW!K$10/31</f>
        <v>0</v>
      </c>
      <c r="CX233" s="16">
        <f t="shared" si="116"/>
        <v>-26017.54342431765</v>
      </c>
      <c r="CY233" s="16">
        <f t="shared" si="117"/>
        <v>76.923076923077133</v>
      </c>
      <c r="CZ233" s="16">
        <f t="shared" si="118"/>
        <v>0</v>
      </c>
      <c r="DA233" s="16">
        <f t="shared" si="119"/>
        <v>0</v>
      </c>
      <c r="DB233" s="16">
        <f t="shared" si="120"/>
        <v>0</v>
      </c>
      <c r="DC233" s="16">
        <f t="shared" si="121"/>
        <v>-25546.774193548419</v>
      </c>
      <c r="DD233" s="16">
        <f t="shared" si="122"/>
        <v>76.923076923077133</v>
      </c>
      <c r="DE233" s="16">
        <f t="shared" si="123"/>
        <v>0</v>
      </c>
      <c r="DF233" s="16">
        <f t="shared" si="124"/>
        <v>0</v>
      </c>
      <c r="DG233" s="16">
        <f t="shared" si="125"/>
        <v>0</v>
      </c>
      <c r="DH233" s="14">
        <f>IF([1]Sheet2!DS232=999999,"NA",[1]Sheet2!DS232)</f>
        <v>0</v>
      </c>
      <c r="DI233" s="14">
        <f>IF([1]Sheet2!DT232=999999,"NA",[1]Sheet2!DT232)</f>
        <v>135</v>
      </c>
      <c r="DJ233" s="14" t="str">
        <f>IF([1]Sheet2!DU232=999999,"NA",[1]Sheet2!DU232)</f>
        <v>NA</v>
      </c>
      <c r="DK233" s="14" t="str">
        <f>IF([1]Sheet2!DV232=999999,"NA",[1]Sheet2!DV232)</f>
        <v>NA</v>
      </c>
      <c r="DL233" s="14" t="str">
        <f>IF([1]Sheet2!DW232=999999,"NA",[1]Sheet2!DW232)</f>
        <v>NA</v>
      </c>
      <c r="DM233" s="14">
        <f>IF([1]Sheet2!DX232=999999,"NA",[1]Sheet2!DX232)</f>
        <v>0</v>
      </c>
      <c r="DN233" s="14">
        <f>IF([1]Sheet2!DY232=999999,"NA",[1]Sheet2!DY232)</f>
        <v>135</v>
      </c>
      <c r="DO233" s="14" t="str">
        <f>IF([1]Sheet2!DZ232=999999,"NA",[1]Sheet2!DZ232)</f>
        <v>NA</v>
      </c>
      <c r="DP233" s="14" t="str">
        <f>IF([1]Sheet2!EA232=999999,"NA",[1]Sheet2!EA232)</f>
        <v>NA</v>
      </c>
      <c r="DQ233" s="14" t="str">
        <f>IF([1]Sheet2!EB232=999999,"NA",[1]Sheet2!EB232)</f>
        <v>NA</v>
      </c>
      <c r="DR233" s="14">
        <f>[1]Sheet2!CY232</f>
        <v>0</v>
      </c>
      <c r="DS233" s="14">
        <f>[1]Sheet2!CZ232</f>
        <v>0</v>
      </c>
      <c r="DT233" s="14">
        <f>[1]Sheet2!DA232</f>
        <v>0</v>
      </c>
      <c r="DU233" s="14">
        <f>[1]Sheet2!DB232</f>
        <v>0</v>
      </c>
      <c r="DV233" s="14">
        <f>[1]Sheet2!DC232</f>
        <v>0</v>
      </c>
      <c r="DW233" s="14">
        <f>[1]Sheet2!DD232</f>
        <v>0</v>
      </c>
      <c r="DX233" s="14">
        <f>[1]Sheet2!DE232</f>
        <v>0</v>
      </c>
      <c r="DY233" s="14">
        <f>[1]Sheet2!DF232</f>
        <v>0</v>
      </c>
      <c r="DZ233" s="14">
        <f>[1]Sheet2!DG232</f>
        <v>0</v>
      </c>
      <c r="EA233" s="14">
        <f>[1]Sheet2!DH232</f>
        <v>0</v>
      </c>
      <c r="EB233" s="6">
        <f>[1]Sheet2!EC232</f>
        <v>0</v>
      </c>
      <c r="EC233" s="6">
        <f>[1]Sheet2!ED232</f>
        <v>0</v>
      </c>
      <c r="ED233" s="6">
        <f>[1]Sheet2!EE232</f>
        <v>0</v>
      </c>
      <c r="EE233" s="6">
        <f>[1]Sheet2!EF232</f>
        <v>0</v>
      </c>
      <c r="EF233" s="6">
        <f>[1]Sheet2!EG232</f>
        <v>0</v>
      </c>
      <c r="EG233" s="6">
        <f>[1]Sheet2!EH232</f>
        <v>0</v>
      </c>
      <c r="EH233" s="6">
        <f>[1]Sheet2!EI232</f>
        <v>0</v>
      </c>
      <c r="EI233" s="6">
        <f>[1]Sheet2!EJ232</f>
        <v>0</v>
      </c>
      <c r="EJ233" s="6">
        <f>[1]Sheet2!EK232</f>
        <v>0</v>
      </c>
      <c r="EK233" s="6">
        <f>[1]Sheet2!EL232</f>
        <v>0</v>
      </c>
      <c r="EL233" s="6" t="str">
        <f>[1]Sheet2!EM232</f>
        <v/>
      </c>
      <c r="EM233" s="6" t="str">
        <f>[1]Sheet2!EN232</f>
        <v/>
      </c>
      <c r="EN233" s="6" t="str">
        <f>[1]Sheet2!EO232</f>
        <v/>
      </c>
      <c r="EO233" s="6" t="str">
        <f>[1]Sheet2!EP232</f>
        <v/>
      </c>
      <c r="EP233" s="6" t="str">
        <f>[1]Sheet2!EQ232</f>
        <v/>
      </c>
      <c r="EQ233" s="6" t="str">
        <f>[1]Sheet2!ER232</f>
        <v/>
      </c>
      <c r="ER233" s="6" t="str">
        <f>[1]Sheet2!ES232</f>
        <v/>
      </c>
      <c r="ES233" s="6" t="str">
        <f>[1]Sheet2!ET232</f>
        <v/>
      </c>
      <c r="ET233" s="6" t="str">
        <f>[1]Sheet2!EU232</f>
        <v/>
      </c>
      <c r="EU233" s="6" t="str">
        <f>[1]Sheet2!EV232</f>
        <v/>
      </c>
      <c r="EV233" s="6" t="str">
        <f>[1]Sheet2!EW232</f>
        <v/>
      </c>
      <c r="EW233" s="6" t="str">
        <f>[1]Sheet2!EX232</f>
        <v/>
      </c>
      <c r="EX233" s="6" t="str">
        <f>[1]Sheet2!EY232</f>
        <v/>
      </c>
      <c r="EY233" s="6" t="str">
        <f>[1]Sheet2!EZ232</f>
        <v/>
      </c>
      <c r="EZ233" s="6" t="str">
        <f>[1]Sheet2!FA232</f>
        <v/>
      </c>
      <c r="FA233" s="6" t="str">
        <f>[1]Sheet2!FB232</f>
        <v/>
      </c>
      <c r="FB233" s="6" t="str">
        <f>[1]Sheet2!FC232</f>
        <v/>
      </c>
      <c r="FC233" s="6" t="str">
        <f>[1]Sheet2!FD232</f>
        <v/>
      </c>
      <c r="FD233" s="6" t="str">
        <f>[1]Sheet2!FE232</f>
        <v/>
      </c>
      <c r="FE233" s="6" t="str">
        <f>[1]Sheet2!FF232</f>
        <v/>
      </c>
      <c r="FF233" s="6" t="str">
        <f>[1]Sheet2!FG232</f>
        <v/>
      </c>
      <c r="FG233" s="6" t="str">
        <f>[1]Sheet2!FH232</f>
        <v/>
      </c>
      <c r="FH233" s="6" t="str">
        <f>[1]Sheet2!FI232</f>
        <v/>
      </c>
      <c r="FI233" s="6" t="str">
        <f>[1]Sheet2!FJ232</f>
        <v/>
      </c>
      <c r="FJ233" s="6" t="str">
        <f>[1]Sheet2!FK232</f>
        <v/>
      </c>
      <c r="FK233" s="6" t="str">
        <f>[1]Sheet2!FL232</f>
        <v/>
      </c>
      <c r="FL233" s="6" t="str">
        <f>[1]Sheet2!FM232</f>
        <v/>
      </c>
      <c r="FM233" s="6" t="str">
        <f>[1]Sheet2!FN232</f>
        <v/>
      </c>
      <c r="FN233" s="6" t="str">
        <f>[1]Sheet2!FO232</f>
        <v/>
      </c>
      <c r="FO233" s="6" t="str">
        <f>[1]Sheet2!FP232</f>
        <v/>
      </c>
    </row>
    <row r="234" spans="1:171" x14ac:dyDescent="0.25">
      <c r="A234" s="15">
        <v>43696</v>
      </c>
      <c r="B234" s="1"/>
      <c r="C234" s="1"/>
      <c r="D234" s="1"/>
      <c r="E234" s="14">
        <f>[1]Sheet2!N233</f>
        <v>0</v>
      </c>
      <c r="F234" s="14">
        <f>[1]Sheet2!BE233</f>
        <v>0</v>
      </c>
      <c r="G234" s="14">
        <f>[1]Sheet2!CW233</f>
        <v>0</v>
      </c>
      <c r="H234" s="1"/>
      <c r="I234" s="1"/>
      <c r="J234" s="1"/>
      <c r="K234" s="16"/>
      <c r="L234" s="16">
        <f>Demand_CWRS!B$10/31</f>
        <v>120.8438508064516</v>
      </c>
      <c r="M234" s="16">
        <f>Demand_CWRS!C$10/31</f>
        <v>552.80165425971859</v>
      </c>
      <c r="N234" s="16">
        <f>Demand_CWRS!D$10/31</f>
        <v>0</v>
      </c>
      <c r="O234" s="16">
        <f>Demand_CWRS!E$10/31</f>
        <v>141.75971877584777</v>
      </c>
      <c r="P234" s="16">
        <f>Demand_CWRS!F$10/31</f>
        <v>252.70758116211746</v>
      </c>
      <c r="Q234" s="16">
        <f>Demand_CWRS!G$10/31</f>
        <v>116.12903225806451</v>
      </c>
      <c r="R234" s="16">
        <f>Demand_CWRS!H$10/31</f>
        <v>252.70758116211746</v>
      </c>
      <c r="S234" s="16">
        <f>Demand_CWRS!I$10/31</f>
        <v>252.70758116211746</v>
      </c>
      <c r="T234" s="16">
        <f>Demand_CWRS!J$10/31</f>
        <v>252.70758116211746</v>
      </c>
      <c r="U234" s="16">
        <f>Demand_CWRS!K$10/31</f>
        <v>252.70758116211746</v>
      </c>
      <c r="V234" s="16">
        <f t="shared" si="96"/>
        <v>-28917.50600079598</v>
      </c>
      <c r="W234" s="16">
        <f t="shared" si="97"/>
        <v>-113472.21348221635</v>
      </c>
      <c r="X234" s="16">
        <f t="shared" si="98"/>
        <v>0</v>
      </c>
      <c r="Y234" s="16">
        <f t="shared" si="99"/>
        <v>-20586.87787322923</v>
      </c>
      <c r="Z234" s="16">
        <f t="shared" si="100"/>
        <v>-49678.033277515126</v>
      </c>
      <c r="AA234" s="16">
        <f t="shared" si="101"/>
        <v>-27502.151299338217</v>
      </c>
      <c r="AB234" s="16">
        <f t="shared" si="102"/>
        <v>-53987.198053156084</v>
      </c>
      <c r="AC234" s="16">
        <f t="shared" si="103"/>
        <v>-48194.187796745893</v>
      </c>
      <c r="AD234" s="16">
        <f t="shared" si="104"/>
        <v>-48294.187796745886</v>
      </c>
      <c r="AE234" s="16">
        <f t="shared" si="105"/>
        <v>-48894.187796745879</v>
      </c>
      <c r="AF234" s="14">
        <f>IF([1]Sheet2!AJ233=999999,"NA",[1]Sheet2!AJ233)</f>
        <v>0</v>
      </c>
      <c r="AG234" s="14">
        <f>IF([1]Sheet2!AK233=999999,"NA",[1]Sheet2!AK233)</f>
        <v>0</v>
      </c>
      <c r="AH234" s="14" t="str">
        <f>IF([1]Sheet2!AL233=999999,"NA",[1]Sheet2!AL233)</f>
        <v>NA</v>
      </c>
      <c r="AI234" s="14">
        <f>IF([1]Sheet2!AM233=999999,"NA",[1]Sheet2!AM233)</f>
        <v>0</v>
      </c>
      <c r="AJ234" s="14">
        <f>IF([1]Sheet2!AN233=999999,"NA",[1]Sheet2!AN233)</f>
        <v>0</v>
      </c>
      <c r="AK234" s="14">
        <f>IF([1]Sheet2!AO233=999999,"NA",[1]Sheet2!AO233)</f>
        <v>0</v>
      </c>
      <c r="AL234" s="14">
        <f>IF([1]Sheet2!AP233=999999,"NA",[1]Sheet2!AP233)</f>
        <v>0</v>
      </c>
      <c r="AM234" s="14">
        <f>IF([1]Sheet2!AQ233=999999,"NA",[1]Sheet2!AQ233)</f>
        <v>0</v>
      </c>
      <c r="AN234" s="14">
        <f>IF([1]Sheet2!AR233=999999,"NA",[1]Sheet2!AR233)</f>
        <v>0</v>
      </c>
      <c r="AO234" s="14">
        <f>IF([1]Sheet2!AS233=999999,"NA",[1]Sheet2!AS233)</f>
        <v>0</v>
      </c>
      <c r="AP234" s="14">
        <f>[1]Sheet2!P233</f>
        <v>0</v>
      </c>
      <c r="AQ234" s="14">
        <f>[1]Sheet2!Q233</f>
        <v>0</v>
      </c>
      <c r="AR234" s="14">
        <f>[1]Sheet2!R233</f>
        <v>0</v>
      </c>
      <c r="AS234" s="14">
        <f>[1]Sheet2!S233</f>
        <v>0</v>
      </c>
      <c r="AT234" s="14">
        <f>[1]Sheet2!T233</f>
        <v>0</v>
      </c>
      <c r="AU234" s="14">
        <f>[1]Sheet2!U233</f>
        <v>0</v>
      </c>
      <c r="AV234" s="14">
        <f>[1]Sheet2!V233</f>
        <v>0</v>
      </c>
      <c r="AW234" s="14">
        <f>[1]Sheet2!W233</f>
        <v>0</v>
      </c>
      <c r="AX234" s="14">
        <f>[1]Sheet2!X233</f>
        <v>0</v>
      </c>
      <c r="AY234" s="14">
        <f>[1]Sheet2!Y233</f>
        <v>0</v>
      </c>
      <c r="AZ234" s="16">
        <f>Demand_LP!B$10/31</f>
        <v>857.18246226220015</v>
      </c>
      <c r="BA234" s="16">
        <f>Demand_LP!C$10/31</f>
        <v>528.30835401157981</v>
      </c>
      <c r="BB234" s="16">
        <f>Demand_LP!D$10/31</f>
        <v>338.76323407775027</v>
      </c>
      <c r="BC234" s="16">
        <f>Demand_LP!E$10/31</f>
        <v>735.04776674937955</v>
      </c>
      <c r="BD234" s="16">
        <f>Demand_LP!F$10/31</f>
        <v>479.51259046732832</v>
      </c>
      <c r="BE234" s="16">
        <f>Demand_LP!G$10/31</f>
        <v>479.51259046732832</v>
      </c>
      <c r="BF234" s="16">
        <f>Demand_LP!H$10/31</f>
        <v>528.30835401157981</v>
      </c>
      <c r="BG234" s="16">
        <f>Demand_LP!I$10/31</f>
        <v>479.51259046732832</v>
      </c>
      <c r="BH234" s="16">
        <f>Demand_LP!J$10/31</f>
        <v>479.51259046732832</v>
      </c>
      <c r="BI234" s="16">
        <f>Demand_LP!K$10/31</f>
        <v>479.51259046732832</v>
      </c>
      <c r="BJ234" s="16">
        <f t="shared" si="106"/>
        <v>-169699.37185646614</v>
      </c>
      <c r="BK234" s="16">
        <f t="shared" si="107"/>
        <v>-132803.44077750182</v>
      </c>
      <c r="BL234" s="16">
        <f t="shared" si="108"/>
        <v>-63525.441191067031</v>
      </c>
      <c r="BM234" s="16">
        <f t="shared" si="109"/>
        <v>-168010.10883406055</v>
      </c>
      <c r="BN234" s="16">
        <f t="shared" si="110"/>
        <v>-99048.019018457431</v>
      </c>
      <c r="BO234" s="16">
        <f t="shared" si="111"/>
        <v>-97505.702936828166</v>
      </c>
      <c r="BP234" s="16">
        <f t="shared" si="112"/>
        <v>-127161.02026468128</v>
      </c>
      <c r="BQ234" s="16">
        <f t="shared" si="113"/>
        <v>-97505.702936828166</v>
      </c>
      <c r="BR234" s="16">
        <f t="shared" si="114"/>
        <v>-95105.702936828209</v>
      </c>
      <c r="BS234" s="16">
        <f t="shared" si="115"/>
        <v>-95805.702936828195</v>
      </c>
      <c r="BT234" s="14">
        <f>IF([1]Sheet2!CB233=999999,"NA",[1]Sheet2!CB233)</f>
        <v>0</v>
      </c>
      <c r="BU234" s="14">
        <f>IF([1]Sheet2!CC233=999999,"NA",[1]Sheet2!CC233)</f>
        <v>0</v>
      </c>
      <c r="BV234" s="14">
        <f>IF([1]Sheet2!CD233=999999,"NA",[1]Sheet2!CD233)</f>
        <v>0</v>
      </c>
      <c r="BW234" s="14">
        <f>IF([1]Sheet2!CE233=999999,"NA",[1]Sheet2!CE233)</f>
        <v>0</v>
      </c>
      <c r="BX234" s="14">
        <f>IF([1]Sheet2!CF233=999999,"NA",[1]Sheet2!CF233)</f>
        <v>0</v>
      </c>
      <c r="BY234" s="14">
        <f>IF([1]Sheet2!CG233=999999,"NA",[1]Sheet2!CG233)</f>
        <v>0</v>
      </c>
      <c r="BZ234" s="14">
        <f>IF([1]Sheet2!CH233=999999,"NA",[1]Sheet2!CH233)</f>
        <v>0</v>
      </c>
      <c r="CA234" s="14">
        <f>IF([1]Sheet2!CI233=999999,"NA",[1]Sheet2!CI233)</f>
        <v>0</v>
      </c>
      <c r="CB234" s="14">
        <f>IF([1]Sheet2!CJ233=999999,"NA",[1]Sheet2!CJ233)</f>
        <v>0</v>
      </c>
      <c r="CC234" s="14">
        <f>IF([1]Sheet2!CK233=999999,"NA",[1]Sheet2!CK233)</f>
        <v>0</v>
      </c>
      <c r="CD234" s="14">
        <f>[1]Sheet2!BH233</f>
        <v>0</v>
      </c>
      <c r="CE234" s="14">
        <f>[1]Sheet2!BI233</f>
        <v>0</v>
      </c>
      <c r="CF234" s="14">
        <f>[1]Sheet2!BJ233</f>
        <v>0</v>
      </c>
      <c r="CG234" s="14">
        <f>[1]Sheet2!BK233</f>
        <v>0</v>
      </c>
      <c r="CH234" s="14">
        <f>[1]Sheet2!BL233</f>
        <v>0</v>
      </c>
      <c r="CI234" s="14">
        <f>[1]Sheet2!BM233</f>
        <v>0</v>
      </c>
      <c r="CJ234" s="14">
        <f>[1]Sheet2!BN233</f>
        <v>0</v>
      </c>
      <c r="CK234" s="14">
        <f>[1]Sheet2!BO233</f>
        <v>0</v>
      </c>
      <c r="CL234" s="14">
        <f>[1]Sheet2!BP233</f>
        <v>0</v>
      </c>
      <c r="CM234" s="14">
        <f>[1]Sheet2!BQ233</f>
        <v>0</v>
      </c>
      <c r="CN234" s="16">
        <f>Demand_SW!B$10/31</f>
        <v>131.01736972704714</v>
      </c>
      <c r="CO234" s="16">
        <f>Demand_SW!C$10/31</f>
        <v>0</v>
      </c>
      <c r="CP234" s="16">
        <f>Demand_SW!D$10/31</f>
        <v>0</v>
      </c>
      <c r="CQ234" s="16">
        <f>Demand_SW!E$10/31</f>
        <v>0</v>
      </c>
      <c r="CR234" s="16">
        <f>Demand_SW!F$10/31</f>
        <v>0</v>
      </c>
      <c r="CS234" s="16">
        <f>Demand_SW!G$10/31</f>
        <v>131.01736972704714</v>
      </c>
      <c r="CT234" s="16">
        <f>Demand_SW!H$10/31</f>
        <v>0</v>
      </c>
      <c r="CU234" s="16">
        <f>Demand_SW!I$10/31</f>
        <v>0</v>
      </c>
      <c r="CV234" s="16">
        <f>Demand_SW!J$10/31</f>
        <v>0</v>
      </c>
      <c r="CW234" s="16">
        <f>Demand_SW!K$10/31</f>
        <v>0</v>
      </c>
      <c r="CX234" s="16">
        <f t="shared" si="116"/>
        <v>-26148.560794044697</v>
      </c>
      <c r="CY234" s="16">
        <f t="shared" si="117"/>
        <v>76.923076923077133</v>
      </c>
      <c r="CZ234" s="16">
        <f t="shared" si="118"/>
        <v>0</v>
      </c>
      <c r="DA234" s="16">
        <f t="shared" si="119"/>
        <v>0</v>
      </c>
      <c r="DB234" s="16">
        <f t="shared" si="120"/>
        <v>0</v>
      </c>
      <c r="DC234" s="16">
        <f t="shared" si="121"/>
        <v>-25677.791563275467</v>
      </c>
      <c r="DD234" s="16">
        <f t="shared" si="122"/>
        <v>76.923076923077133</v>
      </c>
      <c r="DE234" s="16">
        <f t="shared" si="123"/>
        <v>0</v>
      </c>
      <c r="DF234" s="16">
        <f t="shared" si="124"/>
        <v>0</v>
      </c>
      <c r="DG234" s="16">
        <f t="shared" si="125"/>
        <v>0</v>
      </c>
      <c r="DH234" s="14">
        <f>IF([1]Sheet2!DS233=999999,"NA",[1]Sheet2!DS233)</f>
        <v>0</v>
      </c>
      <c r="DI234" s="14">
        <f>IF([1]Sheet2!DT233=999999,"NA",[1]Sheet2!DT233)</f>
        <v>134</v>
      </c>
      <c r="DJ234" s="14" t="str">
        <f>IF([1]Sheet2!DU233=999999,"NA",[1]Sheet2!DU233)</f>
        <v>NA</v>
      </c>
      <c r="DK234" s="14" t="str">
        <f>IF([1]Sheet2!DV233=999999,"NA",[1]Sheet2!DV233)</f>
        <v>NA</v>
      </c>
      <c r="DL234" s="14" t="str">
        <f>IF([1]Sheet2!DW233=999999,"NA",[1]Sheet2!DW233)</f>
        <v>NA</v>
      </c>
      <c r="DM234" s="14">
        <f>IF([1]Sheet2!DX233=999999,"NA",[1]Sheet2!DX233)</f>
        <v>0</v>
      </c>
      <c r="DN234" s="14">
        <f>IF([1]Sheet2!DY233=999999,"NA",[1]Sheet2!DY233)</f>
        <v>134</v>
      </c>
      <c r="DO234" s="14" t="str">
        <f>IF([1]Sheet2!DZ233=999999,"NA",[1]Sheet2!DZ233)</f>
        <v>NA</v>
      </c>
      <c r="DP234" s="14" t="str">
        <f>IF([1]Sheet2!EA233=999999,"NA",[1]Sheet2!EA233)</f>
        <v>NA</v>
      </c>
      <c r="DQ234" s="14" t="str">
        <f>IF([1]Sheet2!EB233=999999,"NA",[1]Sheet2!EB233)</f>
        <v>NA</v>
      </c>
      <c r="DR234" s="14">
        <f>[1]Sheet2!CY233</f>
        <v>0</v>
      </c>
      <c r="DS234" s="14">
        <f>[1]Sheet2!CZ233</f>
        <v>0</v>
      </c>
      <c r="DT234" s="14">
        <f>[1]Sheet2!DA233</f>
        <v>0</v>
      </c>
      <c r="DU234" s="14">
        <f>[1]Sheet2!DB233</f>
        <v>0</v>
      </c>
      <c r="DV234" s="14">
        <f>[1]Sheet2!DC233</f>
        <v>0</v>
      </c>
      <c r="DW234" s="14">
        <f>[1]Sheet2!DD233</f>
        <v>0</v>
      </c>
      <c r="DX234" s="14">
        <f>[1]Sheet2!DE233</f>
        <v>0</v>
      </c>
      <c r="DY234" s="14">
        <f>[1]Sheet2!DF233</f>
        <v>0</v>
      </c>
      <c r="DZ234" s="14">
        <f>[1]Sheet2!DG233</f>
        <v>0</v>
      </c>
      <c r="EA234" s="14">
        <f>[1]Sheet2!DH233</f>
        <v>0</v>
      </c>
      <c r="EB234" s="6">
        <f>[1]Sheet2!EC233</f>
        <v>0</v>
      </c>
      <c r="EC234" s="6">
        <f>[1]Sheet2!ED233</f>
        <v>0</v>
      </c>
      <c r="ED234" s="6">
        <f>[1]Sheet2!EE233</f>
        <v>0</v>
      </c>
      <c r="EE234" s="6">
        <f>[1]Sheet2!EF233</f>
        <v>0</v>
      </c>
      <c r="EF234" s="6">
        <f>[1]Sheet2!EG233</f>
        <v>0</v>
      </c>
      <c r="EG234" s="6">
        <f>[1]Sheet2!EH233</f>
        <v>0</v>
      </c>
      <c r="EH234" s="6">
        <f>[1]Sheet2!EI233</f>
        <v>0</v>
      </c>
      <c r="EI234" s="6">
        <f>[1]Sheet2!EJ233</f>
        <v>0</v>
      </c>
      <c r="EJ234" s="6">
        <f>[1]Sheet2!EK233</f>
        <v>0</v>
      </c>
      <c r="EK234" s="6">
        <f>[1]Sheet2!EL233</f>
        <v>0</v>
      </c>
      <c r="EL234" s="6" t="str">
        <f>[1]Sheet2!EM233</f>
        <v/>
      </c>
      <c r="EM234" s="6" t="str">
        <f>[1]Sheet2!EN233</f>
        <v/>
      </c>
      <c r="EN234" s="6" t="str">
        <f>[1]Sheet2!EO233</f>
        <v/>
      </c>
      <c r="EO234" s="6" t="str">
        <f>[1]Sheet2!EP233</f>
        <v/>
      </c>
      <c r="EP234" s="6" t="str">
        <f>[1]Sheet2!EQ233</f>
        <v/>
      </c>
      <c r="EQ234" s="6" t="str">
        <f>[1]Sheet2!ER233</f>
        <v/>
      </c>
      <c r="ER234" s="6" t="str">
        <f>[1]Sheet2!ES233</f>
        <v/>
      </c>
      <c r="ES234" s="6" t="str">
        <f>[1]Sheet2!ET233</f>
        <v/>
      </c>
      <c r="ET234" s="6" t="str">
        <f>[1]Sheet2!EU233</f>
        <v/>
      </c>
      <c r="EU234" s="6" t="str">
        <f>[1]Sheet2!EV233</f>
        <v/>
      </c>
      <c r="EV234" s="6" t="str">
        <f>[1]Sheet2!EW233</f>
        <v/>
      </c>
      <c r="EW234" s="6" t="str">
        <f>[1]Sheet2!EX233</f>
        <v/>
      </c>
      <c r="EX234" s="6" t="str">
        <f>[1]Sheet2!EY233</f>
        <v/>
      </c>
      <c r="EY234" s="6" t="str">
        <f>[1]Sheet2!EZ233</f>
        <v/>
      </c>
      <c r="EZ234" s="6" t="str">
        <f>[1]Sheet2!FA233</f>
        <v/>
      </c>
      <c r="FA234" s="6" t="str">
        <f>[1]Sheet2!FB233</f>
        <v/>
      </c>
      <c r="FB234" s="6" t="str">
        <f>[1]Sheet2!FC233</f>
        <v/>
      </c>
      <c r="FC234" s="6" t="str">
        <f>[1]Sheet2!FD233</f>
        <v/>
      </c>
      <c r="FD234" s="6" t="str">
        <f>[1]Sheet2!FE233</f>
        <v/>
      </c>
      <c r="FE234" s="6" t="str">
        <f>[1]Sheet2!FF233</f>
        <v/>
      </c>
      <c r="FF234" s="6" t="str">
        <f>[1]Sheet2!FG233</f>
        <v/>
      </c>
      <c r="FG234" s="6" t="str">
        <f>[1]Sheet2!FH233</f>
        <v/>
      </c>
      <c r="FH234" s="6" t="str">
        <f>[1]Sheet2!FI233</f>
        <v/>
      </c>
      <c r="FI234" s="6" t="str">
        <f>[1]Sheet2!FJ233</f>
        <v/>
      </c>
      <c r="FJ234" s="6" t="str">
        <f>[1]Sheet2!FK233</f>
        <v/>
      </c>
      <c r="FK234" s="6" t="str">
        <f>[1]Sheet2!FL233</f>
        <v/>
      </c>
      <c r="FL234" s="6" t="str">
        <f>[1]Sheet2!FM233</f>
        <v/>
      </c>
      <c r="FM234" s="6" t="str">
        <f>[1]Sheet2!FN233</f>
        <v/>
      </c>
      <c r="FN234" s="6" t="str">
        <f>[1]Sheet2!FO233</f>
        <v/>
      </c>
      <c r="FO234" s="6" t="str">
        <f>[1]Sheet2!FP233</f>
        <v/>
      </c>
    </row>
    <row r="235" spans="1:171" s="27" customFormat="1" x14ac:dyDescent="0.25">
      <c r="A235" s="23">
        <v>43697</v>
      </c>
      <c r="B235" s="24"/>
      <c r="C235" s="24"/>
      <c r="D235" s="24"/>
      <c r="E235" s="25">
        <f>[1]Sheet2!N234</f>
        <v>0</v>
      </c>
      <c r="F235" s="25">
        <f>[1]Sheet2!BE234</f>
        <v>0</v>
      </c>
      <c r="G235" s="25">
        <f>[1]Sheet2!CW234</f>
        <v>0</v>
      </c>
      <c r="H235" s="24"/>
      <c r="I235" s="24"/>
      <c r="J235" s="24"/>
      <c r="K235" s="26"/>
      <c r="L235" s="26">
        <f>Demand_CWRS!B$10/31</f>
        <v>120.8438508064516</v>
      </c>
      <c r="M235" s="26">
        <f>Demand_CWRS!C$10/31</f>
        <v>552.80165425971859</v>
      </c>
      <c r="N235" s="26">
        <f>Demand_CWRS!D$10/31</f>
        <v>0</v>
      </c>
      <c r="O235" s="26">
        <f>Demand_CWRS!E$10/31</f>
        <v>141.75971877584777</v>
      </c>
      <c r="P235" s="26">
        <f>Demand_CWRS!F$10/31</f>
        <v>252.70758116211746</v>
      </c>
      <c r="Q235" s="26">
        <f>Demand_CWRS!G$10/31</f>
        <v>116.12903225806451</v>
      </c>
      <c r="R235" s="26">
        <f>Demand_CWRS!H$10/31</f>
        <v>252.70758116211746</v>
      </c>
      <c r="S235" s="26">
        <f>Demand_CWRS!I$10/31</f>
        <v>252.70758116211746</v>
      </c>
      <c r="T235" s="26">
        <f>Demand_CWRS!J$10/31</f>
        <v>252.70758116211746</v>
      </c>
      <c r="U235" s="26">
        <f>Demand_CWRS!K$10/31</f>
        <v>252.70758116211746</v>
      </c>
      <c r="V235" s="26">
        <f t="shared" si="96"/>
        <v>-29038.34985160243</v>
      </c>
      <c r="W235" s="26">
        <f t="shared" si="97"/>
        <v>-114025.01513647607</v>
      </c>
      <c r="X235" s="26">
        <f t="shared" si="98"/>
        <v>0</v>
      </c>
      <c r="Y235" s="26">
        <f t="shared" si="99"/>
        <v>-20728.637592005078</v>
      </c>
      <c r="Z235" s="26">
        <f t="shared" si="100"/>
        <v>-49930.740858677244</v>
      </c>
      <c r="AA235" s="26">
        <f t="shared" si="101"/>
        <v>-27618.280331596281</v>
      </c>
      <c r="AB235" s="26">
        <f t="shared" si="102"/>
        <v>-54239.905634318202</v>
      </c>
      <c r="AC235" s="26">
        <f t="shared" si="103"/>
        <v>-48446.895377908011</v>
      </c>
      <c r="AD235" s="26">
        <f t="shared" si="104"/>
        <v>-48546.895377908004</v>
      </c>
      <c r="AE235" s="26">
        <f t="shared" si="105"/>
        <v>-49146.895377907997</v>
      </c>
      <c r="AF235" s="25">
        <f>IF([1]Sheet2!AJ234=999999,"NA",[1]Sheet2!AJ234)</f>
        <v>0</v>
      </c>
      <c r="AG235" s="25">
        <f>IF([1]Sheet2!AK234=999999,"NA",[1]Sheet2!AK234)</f>
        <v>0</v>
      </c>
      <c r="AH235" s="25" t="str">
        <f>IF([1]Sheet2!AL234=999999,"NA",[1]Sheet2!AL234)</f>
        <v>NA</v>
      </c>
      <c r="AI235" s="25">
        <f>IF([1]Sheet2!AM234=999999,"NA",[1]Sheet2!AM234)</f>
        <v>0</v>
      </c>
      <c r="AJ235" s="25">
        <f>IF([1]Sheet2!AN234=999999,"NA",[1]Sheet2!AN234)</f>
        <v>0</v>
      </c>
      <c r="AK235" s="25">
        <f>IF([1]Sheet2!AO234=999999,"NA",[1]Sheet2!AO234)</f>
        <v>0</v>
      </c>
      <c r="AL235" s="25">
        <f>IF([1]Sheet2!AP234=999999,"NA",[1]Sheet2!AP234)</f>
        <v>0</v>
      </c>
      <c r="AM235" s="25">
        <f>IF([1]Sheet2!AQ234=999999,"NA",[1]Sheet2!AQ234)</f>
        <v>0</v>
      </c>
      <c r="AN235" s="25">
        <f>IF([1]Sheet2!AR234=999999,"NA",[1]Sheet2!AR234)</f>
        <v>0</v>
      </c>
      <c r="AO235" s="25">
        <f>IF([1]Sheet2!AS234=999999,"NA",[1]Sheet2!AS234)</f>
        <v>0</v>
      </c>
      <c r="AP235" s="25">
        <f>[1]Sheet2!P234</f>
        <v>0</v>
      </c>
      <c r="AQ235" s="25">
        <f>[1]Sheet2!Q234</f>
        <v>0</v>
      </c>
      <c r="AR235" s="25">
        <f>[1]Sheet2!R234</f>
        <v>0</v>
      </c>
      <c r="AS235" s="25">
        <f>[1]Sheet2!S234</f>
        <v>0</v>
      </c>
      <c r="AT235" s="25">
        <f>[1]Sheet2!T234</f>
        <v>0</v>
      </c>
      <c r="AU235" s="25">
        <f>[1]Sheet2!U234</f>
        <v>0</v>
      </c>
      <c r="AV235" s="25">
        <f>[1]Sheet2!V234</f>
        <v>0</v>
      </c>
      <c r="AW235" s="25">
        <f>[1]Sheet2!W234</f>
        <v>0</v>
      </c>
      <c r="AX235" s="25">
        <f>[1]Sheet2!X234</f>
        <v>0</v>
      </c>
      <c r="AY235" s="25">
        <f>[1]Sheet2!Y234</f>
        <v>0</v>
      </c>
      <c r="AZ235" s="26">
        <f>Demand_LP!B$10/31</f>
        <v>857.18246226220015</v>
      </c>
      <c r="BA235" s="26">
        <f>Demand_LP!C$10/31</f>
        <v>528.30835401157981</v>
      </c>
      <c r="BB235" s="26">
        <f>Demand_LP!D$10/31</f>
        <v>338.76323407775027</v>
      </c>
      <c r="BC235" s="26">
        <f>Demand_LP!E$10/31</f>
        <v>735.04776674937955</v>
      </c>
      <c r="BD235" s="26">
        <f>Demand_LP!F$10/31</f>
        <v>479.51259046732832</v>
      </c>
      <c r="BE235" s="26">
        <f>Demand_LP!G$10/31</f>
        <v>479.51259046732832</v>
      </c>
      <c r="BF235" s="26">
        <f>Demand_LP!H$10/31</f>
        <v>528.30835401157981</v>
      </c>
      <c r="BG235" s="26">
        <f>Demand_LP!I$10/31</f>
        <v>479.51259046732832</v>
      </c>
      <c r="BH235" s="26">
        <f>Demand_LP!J$10/31</f>
        <v>479.51259046732832</v>
      </c>
      <c r="BI235" s="26">
        <f>Demand_LP!K$10/31</f>
        <v>479.51259046732832</v>
      </c>
      <c r="BJ235" s="26">
        <f t="shared" si="106"/>
        <v>-170556.55431872833</v>
      </c>
      <c r="BK235" s="26">
        <f t="shared" si="107"/>
        <v>-133331.74913151341</v>
      </c>
      <c r="BL235" s="26">
        <f t="shared" si="108"/>
        <v>-63864.204425144781</v>
      </c>
      <c r="BM235" s="26">
        <f t="shared" si="109"/>
        <v>-168745.15660080992</v>
      </c>
      <c r="BN235" s="26">
        <f t="shared" si="110"/>
        <v>-99527.531608924764</v>
      </c>
      <c r="BO235" s="26">
        <f t="shared" si="111"/>
        <v>-97985.215527295499</v>
      </c>
      <c r="BP235" s="26">
        <f t="shared" si="112"/>
        <v>-127689.32861869286</v>
      </c>
      <c r="BQ235" s="26">
        <f t="shared" si="113"/>
        <v>-97985.215527295499</v>
      </c>
      <c r="BR235" s="26">
        <f t="shared" si="114"/>
        <v>-95585.215527295542</v>
      </c>
      <c r="BS235" s="26">
        <f t="shared" si="115"/>
        <v>-96285.215527295528</v>
      </c>
      <c r="BT235" s="25">
        <f>IF([1]Sheet2!CB234=999999,"NA",[1]Sheet2!CB234)</f>
        <v>0</v>
      </c>
      <c r="BU235" s="25">
        <f>IF([1]Sheet2!CC234=999999,"NA",[1]Sheet2!CC234)</f>
        <v>0</v>
      </c>
      <c r="BV235" s="25">
        <f>IF([1]Sheet2!CD234=999999,"NA",[1]Sheet2!CD234)</f>
        <v>0</v>
      </c>
      <c r="BW235" s="25">
        <f>IF([1]Sheet2!CE234=999999,"NA",[1]Sheet2!CE234)</f>
        <v>0</v>
      </c>
      <c r="BX235" s="25">
        <f>IF([1]Sheet2!CF234=999999,"NA",[1]Sheet2!CF234)</f>
        <v>0</v>
      </c>
      <c r="BY235" s="25">
        <f>IF([1]Sheet2!CG234=999999,"NA",[1]Sheet2!CG234)</f>
        <v>0</v>
      </c>
      <c r="BZ235" s="25">
        <f>IF([1]Sheet2!CH234=999999,"NA",[1]Sheet2!CH234)</f>
        <v>0</v>
      </c>
      <c r="CA235" s="25">
        <f>IF([1]Sheet2!CI234=999999,"NA",[1]Sheet2!CI234)</f>
        <v>0</v>
      </c>
      <c r="CB235" s="25">
        <f>IF([1]Sheet2!CJ234=999999,"NA",[1]Sheet2!CJ234)</f>
        <v>0</v>
      </c>
      <c r="CC235" s="25">
        <f>IF([1]Sheet2!CK234=999999,"NA",[1]Sheet2!CK234)</f>
        <v>0</v>
      </c>
      <c r="CD235" s="25">
        <f>[1]Sheet2!BH234</f>
        <v>0</v>
      </c>
      <c r="CE235" s="25">
        <f>[1]Sheet2!BI234</f>
        <v>0</v>
      </c>
      <c r="CF235" s="25">
        <f>[1]Sheet2!BJ234</f>
        <v>0</v>
      </c>
      <c r="CG235" s="25">
        <f>[1]Sheet2!BK234</f>
        <v>0</v>
      </c>
      <c r="CH235" s="25">
        <f>[1]Sheet2!BL234</f>
        <v>0</v>
      </c>
      <c r="CI235" s="25">
        <f>[1]Sheet2!BM234</f>
        <v>0</v>
      </c>
      <c r="CJ235" s="25">
        <f>[1]Sheet2!BN234</f>
        <v>0</v>
      </c>
      <c r="CK235" s="25">
        <f>[1]Sheet2!BO234</f>
        <v>0</v>
      </c>
      <c r="CL235" s="25">
        <f>[1]Sheet2!BP234</f>
        <v>0</v>
      </c>
      <c r="CM235" s="25">
        <f>[1]Sheet2!BQ234</f>
        <v>0</v>
      </c>
      <c r="CN235" s="26">
        <f>Demand_SW!B$10/31</f>
        <v>131.01736972704714</v>
      </c>
      <c r="CO235" s="26">
        <f>Demand_SW!C$10/31</f>
        <v>0</v>
      </c>
      <c r="CP235" s="26">
        <f>Demand_SW!D$10/31</f>
        <v>0</v>
      </c>
      <c r="CQ235" s="26">
        <f>Demand_SW!E$10/31</f>
        <v>0</v>
      </c>
      <c r="CR235" s="26">
        <f>Demand_SW!F$10/31</f>
        <v>0</v>
      </c>
      <c r="CS235" s="26">
        <f>Demand_SW!G$10/31</f>
        <v>131.01736972704714</v>
      </c>
      <c r="CT235" s="26">
        <f>Demand_SW!H$10/31</f>
        <v>0</v>
      </c>
      <c r="CU235" s="26">
        <f>Demand_SW!I$10/31</f>
        <v>0</v>
      </c>
      <c r="CV235" s="26">
        <f>Demand_SW!J$10/31</f>
        <v>0</v>
      </c>
      <c r="CW235" s="26">
        <f>Demand_SW!K$10/31</f>
        <v>0</v>
      </c>
      <c r="CX235" s="26">
        <f t="shared" si="116"/>
        <v>-26279.578163771745</v>
      </c>
      <c r="CY235" s="26">
        <f t="shared" si="117"/>
        <v>76.923076923077133</v>
      </c>
      <c r="CZ235" s="26">
        <f t="shared" si="118"/>
        <v>0</v>
      </c>
      <c r="DA235" s="26">
        <f t="shared" si="119"/>
        <v>0</v>
      </c>
      <c r="DB235" s="26">
        <f t="shared" si="120"/>
        <v>0</v>
      </c>
      <c r="DC235" s="26">
        <f t="shared" si="121"/>
        <v>-25808.808933002514</v>
      </c>
      <c r="DD235" s="26">
        <f t="shared" si="122"/>
        <v>76.923076923077133</v>
      </c>
      <c r="DE235" s="26">
        <f t="shared" si="123"/>
        <v>0</v>
      </c>
      <c r="DF235" s="26">
        <f t="shared" si="124"/>
        <v>0</v>
      </c>
      <c r="DG235" s="26">
        <f t="shared" si="125"/>
        <v>0</v>
      </c>
      <c r="DH235" s="25">
        <f>IF([1]Sheet2!DS234=999999,"NA",[1]Sheet2!DS234)</f>
        <v>0</v>
      </c>
      <c r="DI235" s="25">
        <f>IF([1]Sheet2!DT234=999999,"NA",[1]Sheet2!DT234)</f>
        <v>133</v>
      </c>
      <c r="DJ235" s="25" t="str">
        <f>IF([1]Sheet2!DU234=999999,"NA",[1]Sheet2!DU234)</f>
        <v>NA</v>
      </c>
      <c r="DK235" s="25" t="str">
        <f>IF([1]Sheet2!DV234=999999,"NA",[1]Sheet2!DV234)</f>
        <v>NA</v>
      </c>
      <c r="DL235" s="25" t="str">
        <f>IF([1]Sheet2!DW234=999999,"NA",[1]Sheet2!DW234)</f>
        <v>NA</v>
      </c>
      <c r="DM235" s="25">
        <f>IF([1]Sheet2!DX234=999999,"NA",[1]Sheet2!DX234)</f>
        <v>0</v>
      </c>
      <c r="DN235" s="25">
        <f>IF([1]Sheet2!DY234=999999,"NA",[1]Sheet2!DY234)</f>
        <v>133</v>
      </c>
      <c r="DO235" s="25" t="str">
        <f>IF([1]Sheet2!DZ234=999999,"NA",[1]Sheet2!DZ234)</f>
        <v>NA</v>
      </c>
      <c r="DP235" s="25" t="str">
        <f>IF([1]Sheet2!EA234=999999,"NA",[1]Sheet2!EA234)</f>
        <v>NA</v>
      </c>
      <c r="DQ235" s="25" t="str">
        <f>IF([1]Sheet2!EB234=999999,"NA",[1]Sheet2!EB234)</f>
        <v>NA</v>
      </c>
      <c r="DR235" s="25">
        <f>[1]Sheet2!CY234</f>
        <v>0</v>
      </c>
      <c r="DS235" s="25">
        <f>[1]Sheet2!CZ234</f>
        <v>0</v>
      </c>
      <c r="DT235" s="25">
        <f>[1]Sheet2!DA234</f>
        <v>0</v>
      </c>
      <c r="DU235" s="25">
        <f>[1]Sheet2!DB234</f>
        <v>0</v>
      </c>
      <c r="DV235" s="25">
        <f>[1]Sheet2!DC234</f>
        <v>0</v>
      </c>
      <c r="DW235" s="25">
        <f>[1]Sheet2!DD234</f>
        <v>0</v>
      </c>
      <c r="DX235" s="25">
        <f>[1]Sheet2!DE234</f>
        <v>0</v>
      </c>
      <c r="DY235" s="25">
        <f>[1]Sheet2!DF234</f>
        <v>0</v>
      </c>
      <c r="DZ235" s="25">
        <f>[1]Sheet2!DG234</f>
        <v>0</v>
      </c>
      <c r="EA235" s="25">
        <f>[1]Sheet2!DH234</f>
        <v>0</v>
      </c>
      <c r="EB235" s="27">
        <f>[1]Sheet2!EC234</f>
        <v>0</v>
      </c>
      <c r="EC235" s="27">
        <f>[1]Sheet2!ED234</f>
        <v>0</v>
      </c>
      <c r="ED235" s="27">
        <f>[1]Sheet2!EE234</f>
        <v>0</v>
      </c>
      <c r="EE235" s="27">
        <f>[1]Sheet2!EF234</f>
        <v>0</v>
      </c>
      <c r="EF235" s="27">
        <f>[1]Sheet2!EG234</f>
        <v>0</v>
      </c>
      <c r="EG235" s="27">
        <f>[1]Sheet2!EH234</f>
        <v>0</v>
      </c>
      <c r="EH235" s="27">
        <f>[1]Sheet2!EI234</f>
        <v>0</v>
      </c>
      <c r="EI235" s="27">
        <f>[1]Sheet2!EJ234</f>
        <v>0</v>
      </c>
      <c r="EJ235" s="27">
        <f>[1]Sheet2!EK234</f>
        <v>0</v>
      </c>
      <c r="EK235" s="27">
        <f>[1]Sheet2!EL234</f>
        <v>0</v>
      </c>
      <c r="EL235" s="27" t="str">
        <f>[1]Sheet2!EM234</f>
        <v/>
      </c>
      <c r="EM235" s="27" t="str">
        <f>[1]Sheet2!EN234</f>
        <v/>
      </c>
      <c r="EN235" s="27" t="str">
        <f>[1]Sheet2!EO234</f>
        <v/>
      </c>
      <c r="EO235" s="27" t="str">
        <f>[1]Sheet2!EP234</f>
        <v/>
      </c>
      <c r="EP235" s="27" t="str">
        <f>[1]Sheet2!EQ234</f>
        <v/>
      </c>
      <c r="EQ235" s="27" t="str">
        <f>[1]Sheet2!ER234</f>
        <v/>
      </c>
      <c r="ER235" s="27" t="str">
        <f>[1]Sheet2!ES234</f>
        <v/>
      </c>
      <c r="ES235" s="27" t="str">
        <f>[1]Sheet2!ET234</f>
        <v/>
      </c>
      <c r="ET235" s="27" t="str">
        <f>[1]Sheet2!EU234</f>
        <v/>
      </c>
      <c r="EU235" s="27" t="str">
        <f>[1]Sheet2!EV234</f>
        <v/>
      </c>
      <c r="EV235" s="27" t="str">
        <f>[1]Sheet2!EW234</f>
        <v/>
      </c>
      <c r="EW235" s="27" t="str">
        <f>[1]Sheet2!EX234</f>
        <v/>
      </c>
      <c r="EX235" s="27" t="str">
        <f>[1]Sheet2!EY234</f>
        <v/>
      </c>
      <c r="EY235" s="27" t="str">
        <f>[1]Sheet2!EZ234</f>
        <v/>
      </c>
      <c r="EZ235" s="27" t="str">
        <f>[1]Sheet2!FA234</f>
        <v/>
      </c>
      <c r="FA235" s="27" t="str">
        <f>[1]Sheet2!FB234</f>
        <v/>
      </c>
      <c r="FB235" s="27" t="str">
        <f>[1]Sheet2!FC234</f>
        <v/>
      </c>
      <c r="FC235" s="27" t="str">
        <f>[1]Sheet2!FD234</f>
        <v/>
      </c>
      <c r="FD235" s="27" t="str">
        <f>[1]Sheet2!FE234</f>
        <v/>
      </c>
      <c r="FE235" s="27" t="str">
        <f>[1]Sheet2!FF234</f>
        <v/>
      </c>
      <c r="FF235" s="27" t="str">
        <f>[1]Sheet2!FG234</f>
        <v/>
      </c>
      <c r="FG235" s="27" t="str">
        <f>[1]Sheet2!FH234</f>
        <v/>
      </c>
      <c r="FH235" s="27" t="str">
        <f>[1]Sheet2!FI234</f>
        <v/>
      </c>
      <c r="FI235" s="27" t="str">
        <f>[1]Sheet2!FJ234</f>
        <v/>
      </c>
      <c r="FJ235" s="27" t="str">
        <f>[1]Sheet2!FK234</f>
        <v/>
      </c>
      <c r="FK235" s="27" t="str">
        <f>[1]Sheet2!FL234</f>
        <v/>
      </c>
      <c r="FL235" s="27" t="str">
        <f>[1]Sheet2!FM234</f>
        <v/>
      </c>
      <c r="FM235" s="27" t="str">
        <f>[1]Sheet2!FN234</f>
        <v/>
      </c>
      <c r="FN235" s="27" t="str">
        <f>[1]Sheet2!FO234</f>
        <v/>
      </c>
      <c r="FO235" s="27" t="str">
        <f>[1]Sheet2!FP234</f>
        <v/>
      </c>
    </row>
    <row r="236" spans="1:171" s="27" customFormat="1" x14ac:dyDescent="0.25">
      <c r="A236" s="23">
        <v>43698</v>
      </c>
      <c r="B236" s="24"/>
      <c r="C236" s="24"/>
      <c r="D236" s="24"/>
      <c r="E236" s="25">
        <f>[1]Sheet2!N235</f>
        <v>0</v>
      </c>
      <c r="F236" s="25">
        <f>[1]Sheet2!BE235</f>
        <v>0</v>
      </c>
      <c r="G236" s="25">
        <f>[1]Sheet2!CW235</f>
        <v>0</v>
      </c>
      <c r="H236" s="24"/>
      <c r="I236" s="24"/>
      <c r="J236" s="24"/>
      <c r="K236" s="26"/>
      <c r="L236" s="26">
        <f>Demand_CWRS!B$10/31</f>
        <v>120.8438508064516</v>
      </c>
      <c r="M236" s="26">
        <f>Demand_CWRS!C$10/31</f>
        <v>552.80165425971859</v>
      </c>
      <c r="N236" s="26">
        <f>Demand_CWRS!D$10/31</f>
        <v>0</v>
      </c>
      <c r="O236" s="26">
        <f>Demand_CWRS!E$10/31</f>
        <v>141.75971877584777</v>
      </c>
      <c r="P236" s="26">
        <f>Demand_CWRS!F$10/31</f>
        <v>252.70758116211746</v>
      </c>
      <c r="Q236" s="26">
        <f>Demand_CWRS!G$10/31</f>
        <v>116.12903225806451</v>
      </c>
      <c r="R236" s="26">
        <f>Demand_CWRS!H$10/31</f>
        <v>252.70758116211746</v>
      </c>
      <c r="S236" s="26">
        <f>Demand_CWRS!I$10/31</f>
        <v>252.70758116211746</v>
      </c>
      <c r="T236" s="26">
        <f>Demand_CWRS!J$10/31</f>
        <v>252.70758116211746</v>
      </c>
      <c r="U236" s="26">
        <f>Demand_CWRS!K$10/31</f>
        <v>252.70758116211746</v>
      </c>
      <c r="V236" s="26">
        <f t="shared" si="96"/>
        <v>-29159.19370240888</v>
      </c>
      <c r="W236" s="26">
        <f t="shared" si="97"/>
        <v>-114577.81679073579</v>
      </c>
      <c r="X236" s="26">
        <f t="shared" si="98"/>
        <v>0</v>
      </c>
      <c r="Y236" s="26">
        <f t="shared" si="99"/>
        <v>-20870.397310780925</v>
      </c>
      <c r="Z236" s="26">
        <f t="shared" si="100"/>
        <v>-50183.448439839362</v>
      </c>
      <c r="AA236" s="26">
        <f t="shared" si="101"/>
        <v>-27734.409363854345</v>
      </c>
      <c r="AB236" s="26">
        <f t="shared" si="102"/>
        <v>-54492.61321548032</v>
      </c>
      <c r="AC236" s="26">
        <f t="shared" si="103"/>
        <v>-48699.602959070129</v>
      </c>
      <c r="AD236" s="26">
        <f t="shared" si="104"/>
        <v>-48799.602959070122</v>
      </c>
      <c r="AE236" s="26">
        <f t="shared" si="105"/>
        <v>-49399.602959070115</v>
      </c>
      <c r="AF236" s="25">
        <f>IF([1]Sheet2!AJ235=999999,"NA",[1]Sheet2!AJ235)</f>
        <v>0</v>
      </c>
      <c r="AG236" s="25">
        <f>IF([1]Sheet2!AK235=999999,"NA",[1]Sheet2!AK235)</f>
        <v>0</v>
      </c>
      <c r="AH236" s="25" t="str">
        <f>IF([1]Sheet2!AL235=999999,"NA",[1]Sheet2!AL235)</f>
        <v>NA</v>
      </c>
      <c r="AI236" s="25">
        <f>IF([1]Sheet2!AM235=999999,"NA",[1]Sheet2!AM235)</f>
        <v>0</v>
      </c>
      <c r="AJ236" s="25">
        <f>IF([1]Sheet2!AN235=999999,"NA",[1]Sheet2!AN235)</f>
        <v>0</v>
      </c>
      <c r="AK236" s="25">
        <f>IF([1]Sheet2!AO235=999999,"NA",[1]Sheet2!AO235)</f>
        <v>0</v>
      </c>
      <c r="AL236" s="25">
        <f>IF([1]Sheet2!AP235=999999,"NA",[1]Sheet2!AP235)</f>
        <v>0</v>
      </c>
      <c r="AM236" s="25">
        <f>IF([1]Sheet2!AQ235=999999,"NA",[1]Sheet2!AQ235)</f>
        <v>0</v>
      </c>
      <c r="AN236" s="25">
        <f>IF([1]Sheet2!AR235=999999,"NA",[1]Sheet2!AR235)</f>
        <v>0</v>
      </c>
      <c r="AO236" s="25">
        <f>IF([1]Sheet2!AS235=999999,"NA",[1]Sheet2!AS235)</f>
        <v>0</v>
      </c>
      <c r="AP236" s="25">
        <f>[1]Sheet2!P235</f>
        <v>0</v>
      </c>
      <c r="AQ236" s="25">
        <f>[1]Sheet2!Q235</f>
        <v>0</v>
      </c>
      <c r="AR236" s="25">
        <f>[1]Sheet2!R235</f>
        <v>0</v>
      </c>
      <c r="AS236" s="25">
        <f>[1]Sheet2!S235</f>
        <v>0</v>
      </c>
      <c r="AT236" s="25">
        <f>[1]Sheet2!T235</f>
        <v>0</v>
      </c>
      <c r="AU236" s="25">
        <f>[1]Sheet2!U235</f>
        <v>0</v>
      </c>
      <c r="AV236" s="25">
        <f>[1]Sheet2!V235</f>
        <v>0</v>
      </c>
      <c r="AW236" s="25">
        <f>[1]Sheet2!W235</f>
        <v>0</v>
      </c>
      <c r="AX236" s="25">
        <f>[1]Sheet2!X235</f>
        <v>0</v>
      </c>
      <c r="AY236" s="25">
        <f>[1]Sheet2!Y235</f>
        <v>0</v>
      </c>
      <c r="AZ236" s="26">
        <f>Demand_LP!B$10/31</f>
        <v>857.18246226220015</v>
      </c>
      <c r="BA236" s="26">
        <f>Demand_LP!C$10/31</f>
        <v>528.30835401157981</v>
      </c>
      <c r="BB236" s="26">
        <f>Demand_LP!D$10/31</f>
        <v>338.76323407775027</v>
      </c>
      <c r="BC236" s="26">
        <f>Demand_LP!E$10/31</f>
        <v>735.04776674937955</v>
      </c>
      <c r="BD236" s="26">
        <f>Demand_LP!F$10/31</f>
        <v>479.51259046732832</v>
      </c>
      <c r="BE236" s="26">
        <f>Demand_LP!G$10/31</f>
        <v>479.51259046732832</v>
      </c>
      <c r="BF236" s="26">
        <f>Demand_LP!H$10/31</f>
        <v>528.30835401157981</v>
      </c>
      <c r="BG236" s="26">
        <f>Demand_LP!I$10/31</f>
        <v>479.51259046732832</v>
      </c>
      <c r="BH236" s="26">
        <f>Demand_LP!J$10/31</f>
        <v>479.51259046732832</v>
      </c>
      <c r="BI236" s="26">
        <f>Demand_LP!K$10/31</f>
        <v>479.51259046732832</v>
      </c>
      <c r="BJ236" s="26">
        <f t="shared" si="106"/>
        <v>-171413.73678099053</v>
      </c>
      <c r="BK236" s="26">
        <f t="shared" si="107"/>
        <v>-133860.057485525</v>
      </c>
      <c r="BL236" s="26">
        <f t="shared" si="108"/>
        <v>-64202.96765922253</v>
      </c>
      <c r="BM236" s="26">
        <f t="shared" si="109"/>
        <v>-169480.20436755929</v>
      </c>
      <c r="BN236" s="26">
        <f t="shared" si="110"/>
        <v>-100007.0441993921</v>
      </c>
      <c r="BO236" s="26">
        <f t="shared" si="111"/>
        <v>-98464.728117762832</v>
      </c>
      <c r="BP236" s="26">
        <f t="shared" si="112"/>
        <v>-128217.63697270444</v>
      </c>
      <c r="BQ236" s="26">
        <f t="shared" si="113"/>
        <v>-98464.728117762832</v>
      </c>
      <c r="BR236" s="26">
        <f t="shared" si="114"/>
        <v>-96064.728117762876</v>
      </c>
      <c r="BS236" s="26">
        <f t="shared" si="115"/>
        <v>-96764.728117762861</v>
      </c>
      <c r="BT236" s="25">
        <f>IF([1]Sheet2!CB235=999999,"NA",[1]Sheet2!CB235)</f>
        <v>0</v>
      </c>
      <c r="BU236" s="25">
        <f>IF([1]Sheet2!CC235=999999,"NA",[1]Sheet2!CC235)</f>
        <v>0</v>
      </c>
      <c r="BV236" s="25">
        <f>IF([1]Sheet2!CD235=999999,"NA",[1]Sheet2!CD235)</f>
        <v>0</v>
      </c>
      <c r="BW236" s="25">
        <f>IF([1]Sheet2!CE235=999999,"NA",[1]Sheet2!CE235)</f>
        <v>0</v>
      </c>
      <c r="BX236" s="25">
        <f>IF([1]Sheet2!CF235=999999,"NA",[1]Sheet2!CF235)</f>
        <v>0</v>
      </c>
      <c r="BY236" s="25">
        <f>IF([1]Sheet2!CG235=999999,"NA",[1]Sheet2!CG235)</f>
        <v>0</v>
      </c>
      <c r="BZ236" s="25">
        <f>IF([1]Sheet2!CH235=999999,"NA",[1]Sheet2!CH235)</f>
        <v>0</v>
      </c>
      <c r="CA236" s="25">
        <f>IF([1]Sheet2!CI235=999999,"NA",[1]Sheet2!CI235)</f>
        <v>0</v>
      </c>
      <c r="CB236" s="25">
        <f>IF([1]Sheet2!CJ235=999999,"NA",[1]Sheet2!CJ235)</f>
        <v>0</v>
      </c>
      <c r="CC236" s="25">
        <f>IF([1]Sheet2!CK235=999999,"NA",[1]Sheet2!CK235)</f>
        <v>0</v>
      </c>
      <c r="CD236" s="25">
        <f>[1]Sheet2!BH235</f>
        <v>0</v>
      </c>
      <c r="CE236" s="25">
        <f>[1]Sheet2!BI235</f>
        <v>0</v>
      </c>
      <c r="CF236" s="25">
        <f>[1]Sheet2!BJ235</f>
        <v>0</v>
      </c>
      <c r="CG236" s="25">
        <f>[1]Sheet2!BK235</f>
        <v>0</v>
      </c>
      <c r="CH236" s="25">
        <f>[1]Sheet2!BL235</f>
        <v>0</v>
      </c>
      <c r="CI236" s="25">
        <f>[1]Sheet2!BM235</f>
        <v>0</v>
      </c>
      <c r="CJ236" s="25">
        <f>[1]Sheet2!BN235</f>
        <v>0</v>
      </c>
      <c r="CK236" s="25">
        <f>[1]Sheet2!BO235</f>
        <v>0</v>
      </c>
      <c r="CL236" s="25">
        <f>[1]Sheet2!BP235</f>
        <v>0</v>
      </c>
      <c r="CM236" s="25">
        <f>[1]Sheet2!BQ235</f>
        <v>0</v>
      </c>
      <c r="CN236" s="26">
        <f>Demand_SW!B$10/31</f>
        <v>131.01736972704714</v>
      </c>
      <c r="CO236" s="26">
        <f>Demand_SW!C$10/31</f>
        <v>0</v>
      </c>
      <c r="CP236" s="26">
        <f>Demand_SW!D$10/31</f>
        <v>0</v>
      </c>
      <c r="CQ236" s="26">
        <f>Demand_SW!E$10/31</f>
        <v>0</v>
      </c>
      <c r="CR236" s="26">
        <f>Demand_SW!F$10/31</f>
        <v>0</v>
      </c>
      <c r="CS236" s="26">
        <f>Demand_SW!G$10/31</f>
        <v>131.01736972704714</v>
      </c>
      <c r="CT236" s="26">
        <f>Demand_SW!H$10/31</f>
        <v>0</v>
      </c>
      <c r="CU236" s="26">
        <f>Demand_SW!I$10/31</f>
        <v>0</v>
      </c>
      <c r="CV236" s="26">
        <f>Demand_SW!J$10/31</f>
        <v>0</v>
      </c>
      <c r="CW236" s="26">
        <f>Demand_SW!K$10/31</f>
        <v>0</v>
      </c>
      <c r="CX236" s="26">
        <f t="shared" si="116"/>
        <v>-26410.595533498792</v>
      </c>
      <c r="CY236" s="26">
        <f t="shared" si="117"/>
        <v>76.923076923077133</v>
      </c>
      <c r="CZ236" s="26">
        <f t="shared" si="118"/>
        <v>0</v>
      </c>
      <c r="DA236" s="26">
        <f t="shared" si="119"/>
        <v>0</v>
      </c>
      <c r="DB236" s="26">
        <f t="shared" si="120"/>
        <v>0</v>
      </c>
      <c r="DC236" s="26">
        <f t="shared" si="121"/>
        <v>-25939.826302729562</v>
      </c>
      <c r="DD236" s="26">
        <f t="shared" si="122"/>
        <v>76.923076923077133</v>
      </c>
      <c r="DE236" s="26">
        <f t="shared" si="123"/>
        <v>0</v>
      </c>
      <c r="DF236" s="26">
        <f t="shared" si="124"/>
        <v>0</v>
      </c>
      <c r="DG236" s="26">
        <f t="shared" si="125"/>
        <v>0</v>
      </c>
      <c r="DH236" s="25">
        <f>IF([1]Sheet2!DS235=999999,"NA",[1]Sheet2!DS235)</f>
        <v>0</v>
      </c>
      <c r="DI236" s="25">
        <f>IF([1]Sheet2!DT235=999999,"NA",[1]Sheet2!DT235)</f>
        <v>132</v>
      </c>
      <c r="DJ236" s="25" t="str">
        <f>IF([1]Sheet2!DU235=999999,"NA",[1]Sheet2!DU235)</f>
        <v>NA</v>
      </c>
      <c r="DK236" s="25" t="str">
        <f>IF([1]Sheet2!DV235=999999,"NA",[1]Sheet2!DV235)</f>
        <v>NA</v>
      </c>
      <c r="DL236" s="25" t="str">
        <f>IF([1]Sheet2!DW235=999999,"NA",[1]Sheet2!DW235)</f>
        <v>NA</v>
      </c>
      <c r="DM236" s="25">
        <f>IF([1]Sheet2!DX235=999999,"NA",[1]Sheet2!DX235)</f>
        <v>0</v>
      </c>
      <c r="DN236" s="25">
        <f>IF([1]Sheet2!DY235=999999,"NA",[1]Sheet2!DY235)</f>
        <v>132</v>
      </c>
      <c r="DO236" s="25" t="str">
        <f>IF([1]Sheet2!DZ235=999999,"NA",[1]Sheet2!DZ235)</f>
        <v>NA</v>
      </c>
      <c r="DP236" s="25" t="str">
        <f>IF([1]Sheet2!EA235=999999,"NA",[1]Sheet2!EA235)</f>
        <v>NA</v>
      </c>
      <c r="DQ236" s="25" t="str">
        <f>IF([1]Sheet2!EB235=999999,"NA",[1]Sheet2!EB235)</f>
        <v>NA</v>
      </c>
      <c r="DR236" s="25">
        <f>[1]Sheet2!CY235</f>
        <v>0</v>
      </c>
      <c r="DS236" s="25">
        <f>[1]Sheet2!CZ235</f>
        <v>0</v>
      </c>
      <c r="DT236" s="25">
        <f>[1]Sheet2!DA235</f>
        <v>0</v>
      </c>
      <c r="DU236" s="25">
        <f>[1]Sheet2!DB235</f>
        <v>0</v>
      </c>
      <c r="DV236" s="25">
        <f>[1]Sheet2!DC235</f>
        <v>0</v>
      </c>
      <c r="DW236" s="25">
        <f>[1]Sheet2!DD235</f>
        <v>0</v>
      </c>
      <c r="DX236" s="25">
        <f>[1]Sheet2!DE235</f>
        <v>0</v>
      </c>
      <c r="DY236" s="25">
        <f>[1]Sheet2!DF235</f>
        <v>0</v>
      </c>
      <c r="DZ236" s="25">
        <f>[1]Sheet2!DG235</f>
        <v>0</v>
      </c>
      <c r="EA236" s="25">
        <f>[1]Sheet2!DH235</f>
        <v>0</v>
      </c>
      <c r="EB236" s="27">
        <f>[1]Sheet2!EC235</f>
        <v>0</v>
      </c>
      <c r="EC236" s="27">
        <f>[1]Sheet2!ED235</f>
        <v>0</v>
      </c>
      <c r="ED236" s="27">
        <f>[1]Sheet2!EE235</f>
        <v>0</v>
      </c>
      <c r="EE236" s="27">
        <f>[1]Sheet2!EF235</f>
        <v>0</v>
      </c>
      <c r="EF236" s="27">
        <f>[1]Sheet2!EG235</f>
        <v>0</v>
      </c>
      <c r="EG236" s="27">
        <f>[1]Sheet2!EH235</f>
        <v>0</v>
      </c>
      <c r="EH236" s="27">
        <f>[1]Sheet2!EI235</f>
        <v>0</v>
      </c>
      <c r="EI236" s="27">
        <f>[1]Sheet2!EJ235</f>
        <v>0</v>
      </c>
      <c r="EJ236" s="27">
        <f>[1]Sheet2!EK235</f>
        <v>0</v>
      </c>
      <c r="EK236" s="27">
        <f>[1]Sheet2!EL235</f>
        <v>0</v>
      </c>
      <c r="EL236" s="27" t="str">
        <f>[1]Sheet2!EM235</f>
        <v/>
      </c>
      <c r="EM236" s="27" t="str">
        <f>[1]Sheet2!EN235</f>
        <v/>
      </c>
      <c r="EN236" s="27" t="str">
        <f>[1]Sheet2!EO235</f>
        <v/>
      </c>
      <c r="EO236" s="27" t="str">
        <f>[1]Sheet2!EP235</f>
        <v/>
      </c>
      <c r="EP236" s="27" t="str">
        <f>[1]Sheet2!EQ235</f>
        <v/>
      </c>
      <c r="EQ236" s="27" t="str">
        <f>[1]Sheet2!ER235</f>
        <v/>
      </c>
      <c r="ER236" s="27" t="str">
        <f>[1]Sheet2!ES235</f>
        <v/>
      </c>
      <c r="ES236" s="27" t="str">
        <f>[1]Sheet2!ET235</f>
        <v/>
      </c>
      <c r="ET236" s="27" t="str">
        <f>[1]Sheet2!EU235</f>
        <v/>
      </c>
      <c r="EU236" s="27" t="str">
        <f>[1]Sheet2!EV235</f>
        <v/>
      </c>
      <c r="EV236" s="27" t="str">
        <f>[1]Sheet2!EW235</f>
        <v/>
      </c>
      <c r="EW236" s="27" t="str">
        <f>[1]Sheet2!EX235</f>
        <v/>
      </c>
      <c r="EX236" s="27" t="str">
        <f>[1]Sheet2!EY235</f>
        <v/>
      </c>
      <c r="EY236" s="27" t="str">
        <f>[1]Sheet2!EZ235</f>
        <v/>
      </c>
      <c r="EZ236" s="27" t="str">
        <f>[1]Sheet2!FA235</f>
        <v/>
      </c>
      <c r="FA236" s="27" t="str">
        <f>[1]Sheet2!FB235</f>
        <v/>
      </c>
      <c r="FB236" s="27" t="str">
        <f>[1]Sheet2!FC235</f>
        <v/>
      </c>
      <c r="FC236" s="27" t="str">
        <f>[1]Sheet2!FD235</f>
        <v/>
      </c>
      <c r="FD236" s="27" t="str">
        <f>[1]Sheet2!FE235</f>
        <v/>
      </c>
      <c r="FE236" s="27" t="str">
        <f>[1]Sheet2!FF235</f>
        <v/>
      </c>
      <c r="FF236" s="27" t="str">
        <f>[1]Sheet2!FG235</f>
        <v/>
      </c>
      <c r="FG236" s="27" t="str">
        <f>[1]Sheet2!FH235</f>
        <v/>
      </c>
      <c r="FH236" s="27" t="str">
        <f>[1]Sheet2!FI235</f>
        <v/>
      </c>
      <c r="FI236" s="27" t="str">
        <f>[1]Sheet2!FJ235</f>
        <v/>
      </c>
      <c r="FJ236" s="27" t="str">
        <f>[1]Sheet2!FK235</f>
        <v/>
      </c>
      <c r="FK236" s="27" t="str">
        <f>[1]Sheet2!FL235</f>
        <v/>
      </c>
      <c r="FL236" s="27" t="str">
        <f>[1]Sheet2!FM235</f>
        <v/>
      </c>
      <c r="FM236" s="27" t="str">
        <f>[1]Sheet2!FN235</f>
        <v/>
      </c>
      <c r="FN236" s="27" t="str">
        <f>[1]Sheet2!FO235</f>
        <v/>
      </c>
      <c r="FO236" s="27" t="str">
        <f>[1]Sheet2!FP235</f>
        <v/>
      </c>
    </row>
    <row r="237" spans="1:171" s="27" customFormat="1" x14ac:dyDescent="0.25">
      <c r="A237" s="23">
        <v>43699</v>
      </c>
      <c r="B237" s="24"/>
      <c r="C237" s="24"/>
      <c r="D237" s="24"/>
      <c r="E237" s="25">
        <f>[1]Sheet2!N236</f>
        <v>0</v>
      </c>
      <c r="F237" s="25">
        <f>[1]Sheet2!BE236</f>
        <v>0</v>
      </c>
      <c r="G237" s="25">
        <f>[1]Sheet2!CW236</f>
        <v>0</v>
      </c>
      <c r="H237" s="24"/>
      <c r="I237" s="24"/>
      <c r="J237" s="24"/>
      <c r="K237" s="26"/>
      <c r="L237" s="26">
        <f>Demand_CWRS!B$10/31</f>
        <v>120.8438508064516</v>
      </c>
      <c r="M237" s="26">
        <f>Demand_CWRS!C$10/31</f>
        <v>552.80165425971859</v>
      </c>
      <c r="N237" s="26">
        <f>Demand_CWRS!D$10/31</f>
        <v>0</v>
      </c>
      <c r="O237" s="26">
        <f>Demand_CWRS!E$10/31</f>
        <v>141.75971877584777</v>
      </c>
      <c r="P237" s="26">
        <f>Demand_CWRS!F$10/31</f>
        <v>252.70758116211746</v>
      </c>
      <c r="Q237" s="26">
        <f>Demand_CWRS!G$10/31</f>
        <v>116.12903225806451</v>
      </c>
      <c r="R237" s="26">
        <f>Demand_CWRS!H$10/31</f>
        <v>252.70758116211746</v>
      </c>
      <c r="S237" s="26">
        <f>Demand_CWRS!I$10/31</f>
        <v>252.70758116211746</v>
      </c>
      <c r="T237" s="26">
        <f>Demand_CWRS!J$10/31</f>
        <v>252.70758116211746</v>
      </c>
      <c r="U237" s="26">
        <f>Demand_CWRS!K$10/31</f>
        <v>252.70758116211746</v>
      </c>
      <c r="V237" s="26">
        <f t="shared" si="96"/>
        <v>-29280.03755321533</v>
      </c>
      <c r="W237" s="26">
        <f t="shared" si="97"/>
        <v>-115130.6184449955</v>
      </c>
      <c r="X237" s="26">
        <f t="shared" si="98"/>
        <v>0</v>
      </c>
      <c r="Y237" s="26">
        <f t="shared" si="99"/>
        <v>-21012.157029556773</v>
      </c>
      <c r="Z237" s="26">
        <f t="shared" si="100"/>
        <v>-50436.15602100148</v>
      </c>
      <c r="AA237" s="26">
        <f t="shared" si="101"/>
        <v>-27850.53839611241</v>
      </c>
      <c r="AB237" s="26">
        <f t="shared" si="102"/>
        <v>-54745.320796642438</v>
      </c>
      <c r="AC237" s="26">
        <f t="shared" si="103"/>
        <v>-48952.310540232247</v>
      </c>
      <c r="AD237" s="26">
        <f t="shared" si="104"/>
        <v>-49052.31054023224</v>
      </c>
      <c r="AE237" s="26">
        <f t="shared" si="105"/>
        <v>-49652.310540232233</v>
      </c>
      <c r="AF237" s="25">
        <f>IF([1]Sheet2!AJ236=999999,"NA",[1]Sheet2!AJ236)</f>
        <v>0</v>
      </c>
      <c r="AG237" s="25">
        <f>IF([1]Sheet2!AK236=999999,"NA",[1]Sheet2!AK236)</f>
        <v>0</v>
      </c>
      <c r="AH237" s="25" t="str">
        <f>IF([1]Sheet2!AL236=999999,"NA",[1]Sheet2!AL236)</f>
        <v>NA</v>
      </c>
      <c r="AI237" s="25">
        <f>IF([1]Sheet2!AM236=999999,"NA",[1]Sheet2!AM236)</f>
        <v>0</v>
      </c>
      <c r="AJ237" s="25">
        <f>IF([1]Sheet2!AN236=999999,"NA",[1]Sheet2!AN236)</f>
        <v>0</v>
      </c>
      <c r="AK237" s="25">
        <f>IF([1]Sheet2!AO236=999999,"NA",[1]Sheet2!AO236)</f>
        <v>0</v>
      </c>
      <c r="AL237" s="25">
        <f>IF([1]Sheet2!AP236=999999,"NA",[1]Sheet2!AP236)</f>
        <v>0</v>
      </c>
      <c r="AM237" s="25">
        <f>IF([1]Sheet2!AQ236=999999,"NA",[1]Sheet2!AQ236)</f>
        <v>0</v>
      </c>
      <c r="AN237" s="25">
        <f>IF([1]Sheet2!AR236=999999,"NA",[1]Sheet2!AR236)</f>
        <v>0</v>
      </c>
      <c r="AO237" s="25">
        <f>IF([1]Sheet2!AS236=999999,"NA",[1]Sheet2!AS236)</f>
        <v>0</v>
      </c>
      <c r="AP237" s="25">
        <f>[1]Sheet2!P236</f>
        <v>0</v>
      </c>
      <c r="AQ237" s="25">
        <f>[1]Sheet2!Q236</f>
        <v>0</v>
      </c>
      <c r="AR237" s="25">
        <f>[1]Sheet2!R236</f>
        <v>0</v>
      </c>
      <c r="AS237" s="25">
        <f>[1]Sheet2!S236</f>
        <v>0</v>
      </c>
      <c r="AT237" s="25">
        <f>[1]Sheet2!T236</f>
        <v>0</v>
      </c>
      <c r="AU237" s="25">
        <f>[1]Sheet2!U236</f>
        <v>0</v>
      </c>
      <c r="AV237" s="25">
        <f>[1]Sheet2!V236</f>
        <v>0</v>
      </c>
      <c r="AW237" s="25">
        <f>[1]Sheet2!W236</f>
        <v>0</v>
      </c>
      <c r="AX237" s="25">
        <f>[1]Sheet2!X236</f>
        <v>0</v>
      </c>
      <c r="AY237" s="25">
        <f>[1]Sheet2!Y236</f>
        <v>0</v>
      </c>
      <c r="AZ237" s="26">
        <f>Demand_LP!B$10/31</f>
        <v>857.18246226220015</v>
      </c>
      <c r="BA237" s="26">
        <f>Demand_LP!C$10/31</f>
        <v>528.30835401157981</v>
      </c>
      <c r="BB237" s="26">
        <f>Demand_LP!D$10/31</f>
        <v>338.76323407775027</v>
      </c>
      <c r="BC237" s="26">
        <f>Demand_LP!E$10/31</f>
        <v>735.04776674937955</v>
      </c>
      <c r="BD237" s="26">
        <f>Demand_LP!F$10/31</f>
        <v>479.51259046732832</v>
      </c>
      <c r="BE237" s="26">
        <f>Demand_LP!G$10/31</f>
        <v>479.51259046732832</v>
      </c>
      <c r="BF237" s="26">
        <f>Demand_LP!H$10/31</f>
        <v>528.30835401157981</v>
      </c>
      <c r="BG237" s="26">
        <f>Demand_LP!I$10/31</f>
        <v>479.51259046732832</v>
      </c>
      <c r="BH237" s="26">
        <f>Demand_LP!J$10/31</f>
        <v>479.51259046732832</v>
      </c>
      <c r="BI237" s="26">
        <f>Demand_LP!K$10/31</f>
        <v>479.51259046732832</v>
      </c>
      <c r="BJ237" s="26">
        <f t="shared" si="106"/>
        <v>-172270.91924325272</v>
      </c>
      <c r="BK237" s="26">
        <f t="shared" si="107"/>
        <v>-134388.36583953659</v>
      </c>
      <c r="BL237" s="26">
        <f t="shared" si="108"/>
        <v>-64541.730893300279</v>
      </c>
      <c r="BM237" s="26">
        <f t="shared" si="109"/>
        <v>-170215.25213430866</v>
      </c>
      <c r="BN237" s="26">
        <f t="shared" si="110"/>
        <v>-100486.55678985943</v>
      </c>
      <c r="BO237" s="26">
        <f t="shared" si="111"/>
        <v>-98944.240708230165</v>
      </c>
      <c r="BP237" s="26">
        <f t="shared" si="112"/>
        <v>-128745.94532671601</v>
      </c>
      <c r="BQ237" s="26">
        <f t="shared" si="113"/>
        <v>-98944.240708230165</v>
      </c>
      <c r="BR237" s="26">
        <f t="shared" si="114"/>
        <v>-96544.240708230209</v>
      </c>
      <c r="BS237" s="26">
        <f t="shared" si="115"/>
        <v>-97244.240708230194</v>
      </c>
      <c r="BT237" s="25">
        <f>IF([1]Sheet2!CB236=999999,"NA",[1]Sheet2!CB236)</f>
        <v>0</v>
      </c>
      <c r="BU237" s="25">
        <f>IF([1]Sheet2!CC236=999999,"NA",[1]Sheet2!CC236)</f>
        <v>0</v>
      </c>
      <c r="BV237" s="25">
        <f>IF([1]Sheet2!CD236=999999,"NA",[1]Sheet2!CD236)</f>
        <v>0</v>
      </c>
      <c r="BW237" s="25">
        <f>IF([1]Sheet2!CE236=999999,"NA",[1]Sheet2!CE236)</f>
        <v>0</v>
      </c>
      <c r="BX237" s="25">
        <f>IF([1]Sheet2!CF236=999999,"NA",[1]Sheet2!CF236)</f>
        <v>0</v>
      </c>
      <c r="BY237" s="25">
        <f>IF([1]Sheet2!CG236=999999,"NA",[1]Sheet2!CG236)</f>
        <v>0</v>
      </c>
      <c r="BZ237" s="25">
        <f>IF([1]Sheet2!CH236=999999,"NA",[1]Sheet2!CH236)</f>
        <v>0</v>
      </c>
      <c r="CA237" s="25">
        <f>IF([1]Sheet2!CI236=999999,"NA",[1]Sheet2!CI236)</f>
        <v>0</v>
      </c>
      <c r="CB237" s="25">
        <f>IF([1]Sheet2!CJ236=999999,"NA",[1]Sheet2!CJ236)</f>
        <v>0</v>
      </c>
      <c r="CC237" s="25">
        <f>IF([1]Sheet2!CK236=999999,"NA",[1]Sheet2!CK236)</f>
        <v>0</v>
      </c>
      <c r="CD237" s="25">
        <f>[1]Sheet2!BH236</f>
        <v>0</v>
      </c>
      <c r="CE237" s="25">
        <f>[1]Sheet2!BI236</f>
        <v>0</v>
      </c>
      <c r="CF237" s="25">
        <f>[1]Sheet2!BJ236</f>
        <v>0</v>
      </c>
      <c r="CG237" s="25">
        <f>[1]Sheet2!BK236</f>
        <v>0</v>
      </c>
      <c r="CH237" s="25">
        <f>[1]Sheet2!BL236</f>
        <v>0</v>
      </c>
      <c r="CI237" s="25">
        <f>[1]Sheet2!BM236</f>
        <v>0</v>
      </c>
      <c r="CJ237" s="25">
        <f>[1]Sheet2!BN236</f>
        <v>0</v>
      </c>
      <c r="CK237" s="25">
        <f>[1]Sheet2!BO236</f>
        <v>0</v>
      </c>
      <c r="CL237" s="25">
        <f>[1]Sheet2!BP236</f>
        <v>0</v>
      </c>
      <c r="CM237" s="25">
        <f>[1]Sheet2!BQ236</f>
        <v>0</v>
      </c>
      <c r="CN237" s="26">
        <f>Demand_SW!B$10/31</f>
        <v>131.01736972704714</v>
      </c>
      <c r="CO237" s="26">
        <f>Demand_SW!C$10/31</f>
        <v>0</v>
      </c>
      <c r="CP237" s="26">
        <f>Demand_SW!D$10/31</f>
        <v>0</v>
      </c>
      <c r="CQ237" s="26">
        <f>Demand_SW!E$10/31</f>
        <v>0</v>
      </c>
      <c r="CR237" s="26">
        <f>Demand_SW!F$10/31</f>
        <v>0</v>
      </c>
      <c r="CS237" s="26">
        <f>Demand_SW!G$10/31</f>
        <v>131.01736972704714</v>
      </c>
      <c r="CT237" s="26">
        <f>Demand_SW!H$10/31</f>
        <v>0</v>
      </c>
      <c r="CU237" s="26">
        <f>Demand_SW!I$10/31</f>
        <v>0</v>
      </c>
      <c r="CV237" s="26">
        <f>Demand_SW!J$10/31</f>
        <v>0</v>
      </c>
      <c r="CW237" s="26">
        <f>Demand_SW!K$10/31</f>
        <v>0</v>
      </c>
      <c r="CX237" s="26">
        <f t="shared" si="116"/>
        <v>-26541.61290322584</v>
      </c>
      <c r="CY237" s="26">
        <f t="shared" si="117"/>
        <v>76.923076923077133</v>
      </c>
      <c r="CZ237" s="26">
        <f t="shared" si="118"/>
        <v>0</v>
      </c>
      <c r="DA237" s="26">
        <f t="shared" si="119"/>
        <v>0</v>
      </c>
      <c r="DB237" s="26">
        <f t="shared" si="120"/>
        <v>0</v>
      </c>
      <c r="DC237" s="26">
        <f t="shared" si="121"/>
        <v>-26070.843672456609</v>
      </c>
      <c r="DD237" s="26">
        <f t="shared" si="122"/>
        <v>76.923076923077133</v>
      </c>
      <c r="DE237" s="26">
        <f t="shared" si="123"/>
        <v>0</v>
      </c>
      <c r="DF237" s="26">
        <f t="shared" si="124"/>
        <v>0</v>
      </c>
      <c r="DG237" s="26">
        <f t="shared" si="125"/>
        <v>0</v>
      </c>
      <c r="DH237" s="25">
        <f>IF([1]Sheet2!DS236=999999,"NA",[1]Sheet2!DS236)</f>
        <v>0</v>
      </c>
      <c r="DI237" s="25">
        <f>IF([1]Sheet2!DT236=999999,"NA",[1]Sheet2!DT236)</f>
        <v>131</v>
      </c>
      <c r="DJ237" s="25" t="str">
        <f>IF([1]Sheet2!DU236=999999,"NA",[1]Sheet2!DU236)</f>
        <v>NA</v>
      </c>
      <c r="DK237" s="25" t="str">
        <f>IF([1]Sheet2!DV236=999999,"NA",[1]Sheet2!DV236)</f>
        <v>NA</v>
      </c>
      <c r="DL237" s="25" t="str">
        <f>IF([1]Sheet2!DW236=999999,"NA",[1]Sheet2!DW236)</f>
        <v>NA</v>
      </c>
      <c r="DM237" s="25">
        <f>IF([1]Sheet2!DX236=999999,"NA",[1]Sheet2!DX236)</f>
        <v>0</v>
      </c>
      <c r="DN237" s="25">
        <f>IF([1]Sheet2!DY236=999999,"NA",[1]Sheet2!DY236)</f>
        <v>131</v>
      </c>
      <c r="DO237" s="25" t="str">
        <f>IF([1]Sheet2!DZ236=999999,"NA",[1]Sheet2!DZ236)</f>
        <v>NA</v>
      </c>
      <c r="DP237" s="25" t="str">
        <f>IF([1]Sheet2!EA236=999999,"NA",[1]Sheet2!EA236)</f>
        <v>NA</v>
      </c>
      <c r="DQ237" s="25" t="str">
        <f>IF([1]Sheet2!EB236=999999,"NA",[1]Sheet2!EB236)</f>
        <v>NA</v>
      </c>
      <c r="DR237" s="25">
        <f>[1]Sheet2!CY236</f>
        <v>0</v>
      </c>
      <c r="DS237" s="25">
        <f>[1]Sheet2!CZ236</f>
        <v>0</v>
      </c>
      <c r="DT237" s="25">
        <f>[1]Sheet2!DA236</f>
        <v>0</v>
      </c>
      <c r="DU237" s="25">
        <f>[1]Sheet2!DB236</f>
        <v>0</v>
      </c>
      <c r="DV237" s="25">
        <f>[1]Sheet2!DC236</f>
        <v>0</v>
      </c>
      <c r="DW237" s="25">
        <f>[1]Sheet2!DD236</f>
        <v>0</v>
      </c>
      <c r="DX237" s="25">
        <f>[1]Sheet2!DE236</f>
        <v>0</v>
      </c>
      <c r="DY237" s="25">
        <f>[1]Sheet2!DF236</f>
        <v>0</v>
      </c>
      <c r="DZ237" s="25">
        <f>[1]Sheet2!DG236</f>
        <v>0</v>
      </c>
      <c r="EA237" s="25">
        <f>[1]Sheet2!DH236</f>
        <v>0</v>
      </c>
      <c r="EB237" s="27">
        <f>[1]Sheet2!EC236</f>
        <v>0</v>
      </c>
      <c r="EC237" s="27">
        <f>[1]Sheet2!ED236</f>
        <v>0</v>
      </c>
      <c r="ED237" s="27">
        <f>[1]Sheet2!EE236</f>
        <v>0</v>
      </c>
      <c r="EE237" s="27">
        <f>[1]Sheet2!EF236</f>
        <v>0</v>
      </c>
      <c r="EF237" s="27">
        <f>[1]Sheet2!EG236</f>
        <v>0</v>
      </c>
      <c r="EG237" s="27">
        <f>[1]Sheet2!EH236</f>
        <v>0</v>
      </c>
      <c r="EH237" s="27">
        <f>[1]Sheet2!EI236</f>
        <v>0</v>
      </c>
      <c r="EI237" s="27">
        <f>[1]Sheet2!EJ236</f>
        <v>0</v>
      </c>
      <c r="EJ237" s="27">
        <f>[1]Sheet2!EK236</f>
        <v>0</v>
      </c>
      <c r="EK237" s="27">
        <f>[1]Sheet2!EL236</f>
        <v>0</v>
      </c>
      <c r="EL237" s="27" t="str">
        <f>[1]Sheet2!EM236</f>
        <v/>
      </c>
      <c r="EM237" s="27" t="str">
        <f>[1]Sheet2!EN236</f>
        <v/>
      </c>
      <c r="EN237" s="27" t="str">
        <f>[1]Sheet2!EO236</f>
        <v/>
      </c>
      <c r="EO237" s="27" t="str">
        <f>[1]Sheet2!EP236</f>
        <v/>
      </c>
      <c r="EP237" s="27" t="str">
        <f>[1]Sheet2!EQ236</f>
        <v/>
      </c>
      <c r="EQ237" s="27" t="str">
        <f>[1]Sheet2!ER236</f>
        <v/>
      </c>
      <c r="ER237" s="27" t="str">
        <f>[1]Sheet2!ES236</f>
        <v/>
      </c>
      <c r="ES237" s="27" t="str">
        <f>[1]Sheet2!ET236</f>
        <v/>
      </c>
      <c r="ET237" s="27" t="str">
        <f>[1]Sheet2!EU236</f>
        <v/>
      </c>
      <c r="EU237" s="27" t="str">
        <f>[1]Sheet2!EV236</f>
        <v/>
      </c>
      <c r="EV237" s="27" t="str">
        <f>[1]Sheet2!EW236</f>
        <v/>
      </c>
      <c r="EW237" s="27" t="str">
        <f>[1]Sheet2!EX236</f>
        <v/>
      </c>
      <c r="EX237" s="27" t="str">
        <f>[1]Sheet2!EY236</f>
        <v/>
      </c>
      <c r="EY237" s="27" t="str">
        <f>[1]Sheet2!EZ236</f>
        <v/>
      </c>
      <c r="EZ237" s="27" t="str">
        <f>[1]Sheet2!FA236</f>
        <v/>
      </c>
      <c r="FA237" s="27" t="str">
        <f>[1]Sheet2!FB236</f>
        <v/>
      </c>
      <c r="FB237" s="27" t="str">
        <f>[1]Sheet2!FC236</f>
        <v/>
      </c>
      <c r="FC237" s="27" t="str">
        <f>[1]Sheet2!FD236</f>
        <v/>
      </c>
      <c r="FD237" s="27" t="str">
        <f>[1]Sheet2!FE236</f>
        <v/>
      </c>
      <c r="FE237" s="27" t="str">
        <f>[1]Sheet2!FF236</f>
        <v/>
      </c>
      <c r="FF237" s="27" t="str">
        <f>[1]Sheet2!FG236</f>
        <v/>
      </c>
      <c r="FG237" s="27" t="str">
        <f>[1]Sheet2!FH236</f>
        <v/>
      </c>
      <c r="FH237" s="27" t="str">
        <f>[1]Sheet2!FI236</f>
        <v/>
      </c>
      <c r="FI237" s="27" t="str">
        <f>[1]Sheet2!FJ236</f>
        <v/>
      </c>
      <c r="FJ237" s="27" t="str">
        <f>[1]Sheet2!FK236</f>
        <v/>
      </c>
      <c r="FK237" s="27" t="str">
        <f>[1]Sheet2!FL236</f>
        <v/>
      </c>
      <c r="FL237" s="27" t="str">
        <f>[1]Sheet2!FM236</f>
        <v/>
      </c>
      <c r="FM237" s="27" t="str">
        <f>[1]Sheet2!FN236</f>
        <v/>
      </c>
      <c r="FN237" s="27" t="str">
        <f>[1]Sheet2!FO236</f>
        <v/>
      </c>
      <c r="FO237" s="27" t="str">
        <f>[1]Sheet2!FP236</f>
        <v/>
      </c>
    </row>
    <row r="238" spans="1:171" x14ac:dyDescent="0.25">
      <c r="A238" s="15">
        <v>43700</v>
      </c>
      <c r="B238" s="1"/>
      <c r="C238" s="1"/>
      <c r="D238" s="1"/>
      <c r="E238" s="14">
        <f>[1]Sheet2!N237</f>
        <v>0</v>
      </c>
      <c r="F238" s="14">
        <f>[1]Sheet2!BE237</f>
        <v>0</v>
      </c>
      <c r="G238" s="14">
        <f>[1]Sheet2!CW237</f>
        <v>0</v>
      </c>
      <c r="H238" s="1"/>
      <c r="I238" s="1"/>
      <c r="J238" s="1"/>
      <c r="K238" s="16"/>
      <c r="L238" s="16">
        <f>Demand_CWRS!B$10/31</f>
        <v>120.8438508064516</v>
      </c>
      <c r="M238" s="16">
        <f>Demand_CWRS!C$10/31</f>
        <v>552.80165425971859</v>
      </c>
      <c r="N238" s="16">
        <f>Demand_CWRS!D$10/31</f>
        <v>0</v>
      </c>
      <c r="O238" s="16">
        <f>Demand_CWRS!E$10/31</f>
        <v>141.75971877584777</v>
      </c>
      <c r="P238" s="16">
        <f>Demand_CWRS!F$10/31</f>
        <v>252.70758116211746</v>
      </c>
      <c r="Q238" s="16">
        <f>Demand_CWRS!G$10/31</f>
        <v>116.12903225806451</v>
      </c>
      <c r="R238" s="16">
        <f>Demand_CWRS!H$10/31</f>
        <v>252.70758116211746</v>
      </c>
      <c r="S238" s="16">
        <f>Demand_CWRS!I$10/31</f>
        <v>252.70758116211746</v>
      </c>
      <c r="T238" s="16">
        <f>Demand_CWRS!J$10/31</f>
        <v>252.70758116211746</v>
      </c>
      <c r="U238" s="16">
        <f>Demand_CWRS!K$10/31</f>
        <v>252.70758116211746</v>
      </c>
      <c r="V238" s="16">
        <f t="shared" si="96"/>
        <v>-29400.88140402178</v>
      </c>
      <c r="W238" s="16">
        <f t="shared" si="97"/>
        <v>-115683.42009925522</v>
      </c>
      <c r="X238" s="16">
        <f t="shared" si="98"/>
        <v>0</v>
      </c>
      <c r="Y238" s="16">
        <f t="shared" si="99"/>
        <v>-21153.91674833262</v>
      </c>
      <c r="Z238" s="16">
        <f t="shared" si="100"/>
        <v>-50688.863602163598</v>
      </c>
      <c r="AA238" s="16">
        <f t="shared" si="101"/>
        <v>-27966.667428370474</v>
      </c>
      <c r="AB238" s="16">
        <f t="shared" si="102"/>
        <v>-54998.028377804556</v>
      </c>
      <c r="AC238" s="16">
        <f t="shared" si="103"/>
        <v>-49205.018121394365</v>
      </c>
      <c r="AD238" s="16">
        <f t="shared" si="104"/>
        <v>-49305.018121394358</v>
      </c>
      <c r="AE238" s="16">
        <f t="shared" si="105"/>
        <v>-49905.018121394351</v>
      </c>
      <c r="AF238" s="14">
        <f>IF([1]Sheet2!AJ237=999999,"NA",[1]Sheet2!AJ237)</f>
        <v>0</v>
      </c>
      <c r="AG238" s="14">
        <f>IF([1]Sheet2!AK237=999999,"NA",[1]Sheet2!AK237)</f>
        <v>0</v>
      </c>
      <c r="AH238" s="14" t="str">
        <f>IF([1]Sheet2!AL237=999999,"NA",[1]Sheet2!AL237)</f>
        <v>NA</v>
      </c>
      <c r="AI238" s="14">
        <f>IF([1]Sheet2!AM237=999999,"NA",[1]Sheet2!AM237)</f>
        <v>0</v>
      </c>
      <c r="AJ238" s="14">
        <f>IF([1]Sheet2!AN237=999999,"NA",[1]Sheet2!AN237)</f>
        <v>0</v>
      </c>
      <c r="AK238" s="14">
        <f>IF([1]Sheet2!AO237=999999,"NA",[1]Sheet2!AO237)</f>
        <v>0</v>
      </c>
      <c r="AL238" s="14">
        <f>IF([1]Sheet2!AP237=999999,"NA",[1]Sheet2!AP237)</f>
        <v>0</v>
      </c>
      <c r="AM238" s="14">
        <f>IF([1]Sheet2!AQ237=999999,"NA",[1]Sheet2!AQ237)</f>
        <v>0</v>
      </c>
      <c r="AN238" s="14">
        <f>IF([1]Sheet2!AR237=999999,"NA",[1]Sheet2!AR237)</f>
        <v>0</v>
      </c>
      <c r="AO238" s="14">
        <f>IF([1]Sheet2!AS237=999999,"NA",[1]Sheet2!AS237)</f>
        <v>0</v>
      </c>
      <c r="AP238" s="14">
        <f>[1]Sheet2!P237</f>
        <v>0</v>
      </c>
      <c r="AQ238" s="14">
        <f>[1]Sheet2!Q237</f>
        <v>0</v>
      </c>
      <c r="AR238" s="14">
        <f>[1]Sheet2!R237</f>
        <v>0</v>
      </c>
      <c r="AS238" s="14">
        <f>[1]Sheet2!S237</f>
        <v>0</v>
      </c>
      <c r="AT238" s="14">
        <f>[1]Sheet2!T237</f>
        <v>0</v>
      </c>
      <c r="AU238" s="14">
        <f>[1]Sheet2!U237</f>
        <v>0</v>
      </c>
      <c r="AV238" s="14">
        <f>[1]Sheet2!V237</f>
        <v>0</v>
      </c>
      <c r="AW238" s="14">
        <f>[1]Sheet2!W237</f>
        <v>0</v>
      </c>
      <c r="AX238" s="14">
        <f>[1]Sheet2!X237</f>
        <v>0</v>
      </c>
      <c r="AY238" s="14">
        <f>[1]Sheet2!Y237</f>
        <v>0</v>
      </c>
      <c r="AZ238" s="16">
        <f>Demand_LP!B$10/31</f>
        <v>857.18246226220015</v>
      </c>
      <c r="BA238" s="16">
        <f>Demand_LP!C$10/31</f>
        <v>528.30835401157981</v>
      </c>
      <c r="BB238" s="16">
        <f>Demand_LP!D$10/31</f>
        <v>338.76323407775027</v>
      </c>
      <c r="BC238" s="16">
        <f>Demand_LP!E$10/31</f>
        <v>735.04776674937955</v>
      </c>
      <c r="BD238" s="16">
        <f>Demand_LP!F$10/31</f>
        <v>479.51259046732832</v>
      </c>
      <c r="BE238" s="16">
        <f>Demand_LP!G$10/31</f>
        <v>479.51259046732832</v>
      </c>
      <c r="BF238" s="16">
        <f>Demand_LP!H$10/31</f>
        <v>528.30835401157981</v>
      </c>
      <c r="BG238" s="16">
        <f>Demand_LP!I$10/31</f>
        <v>479.51259046732832</v>
      </c>
      <c r="BH238" s="16">
        <f>Demand_LP!J$10/31</f>
        <v>479.51259046732832</v>
      </c>
      <c r="BI238" s="16">
        <f>Demand_LP!K$10/31</f>
        <v>479.51259046732832</v>
      </c>
      <c r="BJ238" s="16">
        <f t="shared" si="106"/>
        <v>-173128.10170551491</v>
      </c>
      <c r="BK238" s="16">
        <f t="shared" si="107"/>
        <v>-134916.67419354818</v>
      </c>
      <c r="BL238" s="16">
        <f t="shared" si="108"/>
        <v>-64880.494127378028</v>
      </c>
      <c r="BM238" s="16">
        <f t="shared" si="109"/>
        <v>-170950.29990105802</v>
      </c>
      <c r="BN238" s="16">
        <f t="shared" si="110"/>
        <v>-100966.06938032676</v>
      </c>
      <c r="BO238" s="16">
        <f t="shared" si="111"/>
        <v>-99423.753298697498</v>
      </c>
      <c r="BP238" s="16">
        <f t="shared" si="112"/>
        <v>-129274.25368072759</v>
      </c>
      <c r="BQ238" s="16">
        <f t="shared" si="113"/>
        <v>-99423.753298697498</v>
      </c>
      <c r="BR238" s="16">
        <f t="shared" si="114"/>
        <v>-97023.753298697542</v>
      </c>
      <c r="BS238" s="16">
        <f t="shared" si="115"/>
        <v>-97723.753298697527</v>
      </c>
      <c r="BT238" s="14">
        <f>IF([1]Sheet2!CB237=999999,"NA",[1]Sheet2!CB237)</f>
        <v>0</v>
      </c>
      <c r="BU238" s="14">
        <f>IF([1]Sheet2!CC237=999999,"NA",[1]Sheet2!CC237)</f>
        <v>0</v>
      </c>
      <c r="BV238" s="14">
        <f>IF([1]Sheet2!CD237=999999,"NA",[1]Sheet2!CD237)</f>
        <v>0</v>
      </c>
      <c r="BW238" s="14">
        <f>IF([1]Sheet2!CE237=999999,"NA",[1]Sheet2!CE237)</f>
        <v>0</v>
      </c>
      <c r="BX238" s="14">
        <f>IF([1]Sheet2!CF237=999999,"NA",[1]Sheet2!CF237)</f>
        <v>0</v>
      </c>
      <c r="BY238" s="14">
        <f>IF([1]Sheet2!CG237=999999,"NA",[1]Sheet2!CG237)</f>
        <v>0</v>
      </c>
      <c r="BZ238" s="14">
        <f>IF([1]Sheet2!CH237=999999,"NA",[1]Sheet2!CH237)</f>
        <v>0</v>
      </c>
      <c r="CA238" s="14">
        <f>IF([1]Sheet2!CI237=999999,"NA",[1]Sheet2!CI237)</f>
        <v>0</v>
      </c>
      <c r="CB238" s="14">
        <f>IF([1]Sheet2!CJ237=999999,"NA",[1]Sheet2!CJ237)</f>
        <v>0</v>
      </c>
      <c r="CC238" s="14">
        <f>IF([1]Sheet2!CK237=999999,"NA",[1]Sheet2!CK237)</f>
        <v>0</v>
      </c>
      <c r="CD238" s="14">
        <f>[1]Sheet2!BH237</f>
        <v>0</v>
      </c>
      <c r="CE238" s="14">
        <f>[1]Sheet2!BI237</f>
        <v>0</v>
      </c>
      <c r="CF238" s="14">
        <f>[1]Sheet2!BJ237</f>
        <v>0</v>
      </c>
      <c r="CG238" s="14">
        <f>[1]Sheet2!BK237</f>
        <v>0</v>
      </c>
      <c r="CH238" s="14">
        <f>[1]Sheet2!BL237</f>
        <v>0</v>
      </c>
      <c r="CI238" s="14">
        <f>[1]Sheet2!BM237</f>
        <v>0</v>
      </c>
      <c r="CJ238" s="14">
        <f>[1]Sheet2!BN237</f>
        <v>0</v>
      </c>
      <c r="CK238" s="14">
        <f>[1]Sheet2!BO237</f>
        <v>0</v>
      </c>
      <c r="CL238" s="14">
        <f>[1]Sheet2!BP237</f>
        <v>0</v>
      </c>
      <c r="CM238" s="14">
        <f>[1]Sheet2!BQ237</f>
        <v>0</v>
      </c>
      <c r="CN238" s="16">
        <f>Demand_SW!B$10/31</f>
        <v>131.01736972704714</v>
      </c>
      <c r="CO238" s="16">
        <f>Demand_SW!C$10/31</f>
        <v>0</v>
      </c>
      <c r="CP238" s="16">
        <f>Demand_SW!D$10/31</f>
        <v>0</v>
      </c>
      <c r="CQ238" s="16">
        <f>Demand_SW!E$10/31</f>
        <v>0</v>
      </c>
      <c r="CR238" s="16">
        <f>Demand_SW!F$10/31</f>
        <v>0</v>
      </c>
      <c r="CS238" s="16">
        <f>Demand_SW!G$10/31</f>
        <v>131.01736972704714</v>
      </c>
      <c r="CT238" s="16">
        <f>Demand_SW!H$10/31</f>
        <v>0</v>
      </c>
      <c r="CU238" s="16">
        <f>Demand_SW!I$10/31</f>
        <v>0</v>
      </c>
      <c r="CV238" s="16">
        <f>Demand_SW!J$10/31</f>
        <v>0</v>
      </c>
      <c r="CW238" s="16">
        <f>Demand_SW!K$10/31</f>
        <v>0</v>
      </c>
      <c r="CX238" s="16">
        <f t="shared" si="116"/>
        <v>-26672.630272952887</v>
      </c>
      <c r="CY238" s="16">
        <f t="shared" si="117"/>
        <v>76.923076923077133</v>
      </c>
      <c r="CZ238" s="16">
        <f t="shared" si="118"/>
        <v>0</v>
      </c>
      <c r="DA238" s="16">
        <f t="shared" si="119"/>
        <v>0</v>
      </c>
      <c r="DB238" s="16">
        <f t="shared" si="120"/>
        <v>0</v>
      </c>
      <c r="DC238" s="16">
        <f t="shared" si="121"/>
        <v>-26201.861042183657</v>
      </c>
      <c r="DD238" s="16">
        <f t="shared" si="122"/>
        <v>76.923076923077133</v>
      </c>
      <c r="DE238" s="16">
        <f t="shared" si="123"/>
        <v>0</v>
      </c>
      <c r="DF238" s="16">
        <f t="shared" si="124"/>
        <v>0</v>
      </c>
      <c r="DG238" s="16">
        <f t="shared" si="125"/>
        <v>0</v>
      </c>
      <c r="DH238" s="14">
        <f>IF([1]Sheet2!DS237=999999,"NA",[1]Sheet2!DS237)</f>
        <v>0</v>
      </c>
      <c r="DI238" s="14">
        <f>IF([1]Sheet2!DT237=999999,"NA",[1]Sheet2!DT237)</f>
        <v>130</v>
      </c>
      <c r="DJ238" s="14" t="str">
        <f>IF([1]Sheet2!DU237=999999,"NA",[1]Sheet2!DU237)</f>
        <v>NA</v>
      </c>
      <c r="DK238" s="14" t="str">
        <f>IF([1]Sheet2!DV237=999999,"NA",[1]Sheet2!DV237)</f>
        <v>NA</v>
      </c>
      <c r="DL238" s="14" t="str">
        <f>IF([1]Sheet2!DW237=999999,"NA",[1]Sheet2!DW237)</f>
        <v>NA</v>
      </c>
      <c r="DM238" s="14">
        <f>IF([1]Sheet2!DX237=999999,"NA",[1]Sheet2!DX237)</f>
        <v>0</v>
      </c>
      <c r="DN238" s="14">
        <f>IF([1]Sheet2!DY237=999999,"NA",[1]Sheet2!DY237)</f>
        <v>130</v>
      </c>
      <c r="DO238" s="14" t="str">
        <f>IF([1]Sheet2!DZ237=999999,"NA",[1]Sheet2!DZ237)</f>
        <v>NA</v>
      </c>
      <c r="DP238" s="14" t="str">
        <f>IF([1]Sheet2!EA237=999999,"NA",[1]Sheet2!EA237)</f>
        <v>NA</v>
      </c>
      <c r="DQ238" s="14" t="str">
        <f>IF([1]Sheet2!EB237=999999,"NA",[1]Sheet2!EB237)</f>
        <v>NA</v>
      </c>
      <c r="DR238" s="14">
        <f>[1]Sheet2!CY237</f>
        <v>0</v>
      </c>
      <c r="DS238" s="14">
        <f>[1]Sheet2!CZ237</f>
        <v>0</v>
      </c>
      <c r="DT238" s="14">
        <f>[1]Sheet2!DA237</f>
        <v>0</v>
      </c>
      <c r="DU238" s="14">
        <f>[1]Sheet2!DB237</f>
        <v>0</v>
      </c>
      <c r="DV238" s="14">
        <f>[1]Sheet2!DC237</f>
        <v>0</v>
      </c>
      <c r="DW238" s="14">
        <f>[1]Sheet2!DD237</f>
        <v>0</v>
      </c>
      <c r="DX238" s="14">
        <f>[1]Sheet2!DE237</f>
        <v>0</v>
      </c>
      <c r="DY238" s="14">
        <f>[1]Sheet2!DF237</f>
        <v>0</v>
      </c>
      <c r="DZ238" s="14">
        <f>[1]Sheet2!DG237</f>
        <v>0</v>
      </c>
      <c r="EA238" s="14">
        <f>[1]Sheet2!DH237</f>
        <v>0</v>
      </c>
      <c r="EB238" s="6">
        <f>[1]Sheet2!EC237</f>
        <v>0</v>
      </c>
      <c r="EC238" s="6">
        <f>[1]Sheet2!ED237</f>
        <v>0</v>
      </c>
      <c r="ED238" s="6">
        <f>[1]Sheet2!EE237</f>
        <v>0</v>
      </c>
      <c r="EE238" s="6">
        <f>[1]Sheet2!EF237</f>
        <v>0</v>
      </c>
      <c r="EF238" s="6">
        <f>[1]Sheet2!EG237</f>
        <v>0</v>
      </c>
      <c r="EG238" s="6">
        <f>[1]Sheet2!EH237</f>
        <v>0</v>
      </c>
      <c r="EH238" s="6">
        <f>[1]Sheet2!EI237</f>
        <v>0</v>
      </c>
      <c r="EI238" s="6">
        <f>[1]Sheet2!EJ237</f>
        <v>0</v>
      </c>
      <c r="EJ238" s="6">
        <f>[1]Sheet2!EK237</f>
        <v>0</v>
      </c>
      <c r="EK238" s="6">
        <f>[1]Sheet2!EL237</f>
        <v>0</v>
      </c>
      <c r="EL238" s="6" t="str">
        <f>[1]Sheet2!EM237</f>
        <v/>
      </c>
      <c r="EM238" s="6" t="str">
        <f>[1]Sheet2!EN237</f>
        <v/>
      </c>
      <c r="EN238" s="6" t="str">
        <f>[1]Sheet2!EO237</f>
        <v/>
      </c>
      <c r="EO238" s="6" t="str">
        <f>[1]Sheet2!EP237</f>
        <v/>
      </c>
      <c r="EP238" s="6" t="str">
        <f>[1]Sheet2!EQ237</f>
        <v/>
      </c>
      <c r="EQ238" s="6" t="str">
        <f>[1]Sheet2!ER237</f>
        <v/>
      </c>
      <c r="ER238" s="6" t="str">
        <f>[1]Sheet2!ES237</f>
        <v/>
      </c>
      <c r="ES238" s="6" t="str">
        <f>[1]Sheet2!ET237</f>
        <v/>
      </c>
      <c r="ET238" s="6" t="str">
        <f>[1]Sheet2!EU237</f>
        <v/>
      </c>
      <c r="EU238" s="6" t="str">
        <f>[1]Sheet2!EV237</f>
        <v/>
      </c>
      <c r="EV238" s="6" t="str">
        <f>[1]Sheet2!EW237</f>
        <v/>
      </c>
      <c r="EW238" s="6" t="str">
        <f>[1]Sheet2!EX237</f>
        <v/>
      </c>
      <c r="EX238" s="6" t="str">
        <f>[1]Sheet2!EY237</f>
        <v/>
      </c>
      <c r="EY238" s="6" t="str">
        <f>[1]Sheet2!EZ237</f>
        <v/>
      </c>
      <c r="EZ238" s="6" t="str">
        <f>[1]Sheet2!FA237</f>
        <v/>
      </c>
      <c r="FA238" s="6" t="str">
        <f>[1]Sheet2!FB237</f>
        <v/>
      </c>
      <c r="FB238" s="6" t="str">
        <f>[1]Sheet2!FC237</f>
        <v/>
      </c>
      <c r="FC238" s="6" t="str">
        <f>[1]Sheet2!FD237</f>
        <v/>
      </c>
      <c r="FD238" s="6" t="str">
        <f>[1]Sheet2!FE237</f>
        <v/>
      </c>
      <c r="FE238" s="6" t="str">
        <f>[1]Sheet2!FF237</f>
        <v/>
      </c>
      <c r="FF238" s="6" t="str">
        <f>[1]Sheet2!FG237</f>
        <v/>
      </c>
      <c r="FG238" s="6" t="str">
        <f>[1]Sheet2!FH237</f>
        <v/>
      </c>
      <c r="FH238" s="6" t="str">
        <f>[1]Sheet2!FI237</f>
        <v/>
      </c>
      <c r="FI238" s="6" t="str">
        <f>[1]Sheet2!FJ237</f>
        <v/>
      </c>
      <c r="FJ238" s="6" t="str">
        <f>[1]Sheet2!FK237</f>
        <v/>
      </c>
      <c r="FK238" s="6" t="str">
        <f>[1]Sheet2!FL237</f>
        <v/>
      </c>
      <c r="FL238" s="6" t="str">
        <f>[1]Sheet2!FM237</f>
        <v/>
      </c>
      <c r="FM238" s="6" t="str">
        <f>[1]Sheet2!FN237</f>
        <v/>
      </c>
      <c r="FN238" s="6" t="str">
        <f>[1]Sheet2!FO237</f>
        <v/>
      </c>
      <c r="FO238" s="6" t="str">
        <f>[1]Sheet2!FP237</f>
        <v/>
      </c>
    </row>
    <row r="239" spans="1:171" x14ac:dyDescent="0.25">
      <c r="A239" s="15">
        <v>43701</v>
      </c>
      <c r="B239" s="1"/>
      <c r="C239" s="1"/>
      <c r="D239" s="1"/>
      <c r="E239" s="14">
        <f>[1]Sheet2!N238</f>
        <v>0</v>
      </c>
      <c r="F239" s="14">
        <f>[1]Sheet2!BE238</f>
        <v>48000</v>
      </c>
      <c r="G239" s="14">
        <f>[1]Sheet2!CW238</f>
        <v>0</v>
      </c>
      <c r="H239" s="1"/>
      <c r="I239" s="1"/>
      <c r="J239" s="1"/>
      <c r="K239" s="16"/>
      <c r="L239" s="16">
        <f>Demand_CWRS!B$10/31</f>
        <v>120.8438508064516</v>
      </c>
      <c r="M239" s="16">
        <f>Demand_CWRS!C$10/31</f>
        <v>552.80165425971859</v>
      </c>
      <c r="N239" s="16">
        <f>Demand_CWRS!D$10/31</f>
        <v>0</v>
      </c>
      <c r="O239" s="16">
        <f>Demand_CWRS!E$10/31</f>
        <v>141.75971877584777</v>
      </c>
      <c r="P239" s="16">
        <f>Demand_CWRS!F$10/31</f>
        <v>252.70758116211746</v>
      </c>
      <c r="Q239" s="16">
        <f>Demand_CWRS!G$10/31</f>
        <v>116.12903225806451</v>
      </c>
      <c r="R239" s="16">
        <f>Demand_CWRS!H$10/31</f>
        <v>252.70758116211746</v>
      </c>
      <c r="S239" s="16">
        <f>Demand_CWRS!I$10/31</f>
        <v>252.70758116211746</v>
      </c>
      <c r="T239" s="16">
        <f>Demand_CWRS!J$10/31</f>
        <v>252.70758116211746</v>
      </c>
      <c r="U239" s="16">
        <f>Demand_CWRS!K$10/31</f>
        <v>252.70758116211746</v>
      </c>
      <c r="V239" s="16">
        <f t="shared" si="96"/>
        <v>-29521.72525482823</v>
      </c>
      <c r="W239" s="16">
        <f t="shared" si="97"/>
        <v>-116236.22175351494</v>
      </c>
      <c r="X239" s="16">
        <f t="shared" si="98"/>
        <v>0</v>
      </c>
      <c r="Y239" s="16">
        <f t="shared" si="99"/>
        <v>-21295.676467108467</v>
      </c>
      <c r="Z239" s="16">
        <f t="shared" si="100"/>
        <v>-50941.571183325716</v>
      </c>
      <c r="AA239" s="16">
        <f t="shared" si="101"/>
        <v>-28082.796460628539</v>
      </c>
      <c r="AB239" s="16">
        <f t="shared" si="102"/>
        <v>-55250.735958966674</v>
      </c>
      <c r="AC239" s="16">
        <f t="shared" si="103"/>
        <v>-49457.725702556483</v>
      </c>
      <c r="AD239" s="16">
        <f t="shared" si="104"/>
        <v>-49557.725702556476</v>
      </c>
      <c r="AE239" s="16">
        <f t="shared" si="105"/>
        <v>-50157.725702556469</v>
      </c>
      <c r="AF239" s="14">
        <f>IF([1]Sheet2!AJ238=999999,"NA",[1]Sheet2!AJ238)</f>
        <v>0</v>
      </c>
      <c r="AG239" s="14">
        <f>IF([1]Sheet2!AK238=999999,"NA",[1]Sheet2!AK238)</f>
        <v>0</v>
      </c>
      <c r="AH239" s="14" t="str">
        <f>IF([1]Sheet2!AL238=999999,"NA",[1]Sheet2!AL238)</f>
        <v>NA</v>
      </c>
      <c r="AI239" s="14">
        <f>IF([1]Sheet2!AM238=999999,"NA",[1]Sheet2!AM238)</f>
        <v>0</v>
      </c>
      <c r="AJ239" s="14">
        <f>IF([1]Sheet2!AN238=999999,"NA",[1]Sheet2!AN238)</f>
        <v>0</v>
      </c>
      <c r="AK239" s="14">
        <f>IF([1]Sheet2!AO238=999999,"NA",[1]Sheet2!AO238)</f>
        <v>0</v>
      </c>
      <c r="AL239" s="14">
        <f>IF([1]Sheet2!AP238=999999,"NA",[1]Sheet2!AP238)</f>
        <v>0</v>
      </c>
      <c r="AM239" s="14">
        <f>IF([1]Sheet2!AQ238=999999,"NA",[1]Sheet2!AQ238)</f>
        <v>0</v>
      </c>
      <c r="AN239" s="14">
        <f>IF([1]Sheet2!AR238=999999,"NA",[1]Sheet2!AR238)</f>
        <v>0</v>
      </c>
      <c r="AO239" s="14">
        <f>IF([1]Sheet2!AS238=999999,"NA",[1]Sheet2!AS238)</f>
        <v>0</v>
      </c>
      <c r="AP239" s="14">
        <f>[1]Sheet2!P238</f>
        <v>0</v>
      </c>
      <c r="AQ239" s="14">
        <f>[1]Sheet2!Q238</f>
        <v>0</v>
      </c>
      <c r="AR239" s="14">
        <f>[1]Sheet2!R238</f>
        <v>0</v>
      </c>
      <c r="AS239" s="14">
        <f>[1]Sheet2!S238</f>
        <v>0</v>
      </c>
      <c r="AT239" s="14">
        <f>[1]Sheet2!T238</f>
        <v>0</v>
      </c>
      <c r="AU239" s="14">
        <f>[1]Sheet2!U238</f>
        <v>0</v>
      </c>
      <c r="AV239" s="14">
        <f>[1]Sheet2!V238</f>
        <v>0</v>
      </c>
      <c r="AW239" s="14">
        <f>[1]Sheet2!W238</f>
        <v>0</v>
      </c>
      <c r="AX239" s="14">
        <f>[1]Sheet2!X238</f>
        <v>0</v>
      </c>
      <c r="AY239" s="14">
        <f>[1]Sheet2!Y238</f>
        <v>0</v>
      </c>
      <c r="AZ239" s="16">
        <f>Demand_LP!B$10/31</f>
        <v>857.18246226220015</v>
      </c>
      <c r="BA239" s="16">
        <f>Demand_LP!C$10/31</f>
        <v>528.30835401157981</v>
      </c>
      <c r="BB239" s="16">
        <f>Demand_LP!D$10/31</f>
        <v>338.76323407775027</v>
      </c>
      <c r="BC239" s="16">
        <f>Demand_LP!E$10/31</f>
        <v>735.04776674937955</v>
      </c>
      <c r="BD239" s="16">
        <f>Demand_LP!F$10/31</f>
        <v>479.51259046732832</v>
      </c>
      <c r="BE239" s="16">
        <f>Demand_LP!G$10/31</f>
        <v>479.51259046732832</v>
      </c>
      <c r="BF239" s="16">
        <f>Demand_LP!H$10/31</f>
        <v>528.30835401157981</v>
      </c>
      <c r="BG239" s="16">
        <f>Demand_LP!I$10/31</f>
        <v>479.51259046732832</v>
      </c>
      <c r="BH239" s="16">
        <f>Demand_LP!J$10/31</f>
        <v>479.51259046732832</v>
      </c>
      <c r="BI239" s="16">
        <f>Demand_LP!K$10/31</f>
        <v>479.51259046732832</v>
      </c>
      <c r="BJ239" s="16">
        <f t="shared" si="106"/>
        <v>-173985.28416777711</v>
      </c>
      <c r="BK239" s="16">
        <f t="shared" si="107"/>
        <v>-135444.98254755978</v>
      </c>
      <c r="BL239" s="16">
        <f t="shared" si="108"/>
        <v>-65219.257361455777</v>
      </c>
      <c r="BM239" s="16">
        <f t="shared" si="109"/>
        <v>-171685.34766780739</v>
      </c>
      <c r="BN239" s="16">
        <f t="shared" si="110"/>
        <v>-101445.5819707941</v>
      </c>
      <c r="BO239" s="16">
        <f t="shared" si="111"/>
        <v>-99903.265889164832</v>
      </c>
      <c r="BP239" s="16">
        <f t="shared" si="112"/>
        <v>-129802.56203473917</v>
      </c>
      <c r="BQ239" s="16">
        <f t="shared" si="113"/>
        <v>-99903.265889164832</v>
      </c>
      <c r="BR239" s="16">
        <f t="shared" si="114"/>
        <v>-97503.265889164875</v>
      </c>
      <c r="BS239" s="16">
        <f t="shared" si="115"/>
        <v>-98203.265889164861</v>
      </c>
      <c r="BT239" s="14">
        <f>IF([1]Sheet2!CB238=999999,"NA",[1]Sheet2!CB238)</f>
        <v>0</v>
      </c>
      <c r="BU239" s="14">
        <f>IF([1]Sheet2!CC238=999999,"NA",[1]Sheet2!CC238)</f>
        <v>0</v>
      </c>
      <c r="BV239" s="14">
        <f>IF([1]Sheet2!CD238=999999,"NA",[1]Sheet2!CD238)</f>
        <v>0</v>
      </c>
      <c r="BW239" s="14">
        <f>IF([1]Sheet2!CE238=999999,"NA",[1]Sheet2!CE238)</f>
        <v>0</v>
      </c>
      <c r="BX239" s="14">
        <f>IF([1]Sheet2!CF238=999999,"NA",[1]Sheet2!CF238)</f>
        <v>0</v>
      </c>
      <c r="BY239" s="14">
        <f>IF([1]Sheet2!CG238=999999,"NA",[1]Sheet2!CG238)</f>
        <v>0</v>
      </c>
      <c r="BZ239" s="14">
        <f>IF([1]Sheet2!CH238=999999,"NA",[1]Sheet2!CH238)</f>
        <v>0</v>
      </c>
      <c r="CA239" s="14">
        <f>IF([1]Sheet2!CI238=999999,"NA",[1]Sheet2!CI238)</f>
        <v>0</v>
      </c>
      <c r="CB239" s="14">
        <f>IF([1]Sheet2!CJ238=999999,"NA",[1]Sheet2!CJ238)</f>
        <v>0</v>
      </c>
      <c r="CC239" s="14">
        <f>IF([1]Sheet2!CK238=999999,"NA",[1]Sheet2!CK238)</f>
        <v>0</v>
      </c>
      <c r="CD239" s="14">
        <f>[1]Sheet2!BH238</f>
        <v>0</v>
      </c>
      <c r="CE239" s="14">
        <f>[1]Sheet2!BI238</f>
        <v>0</v>
      </c>
      <c r="CF239" s="14">
        <f>[1]Sheet2!BJ238</f>
        <v>0</v>
      </c>
      <c r="CG239" s="14">
        <f>[1]Sheet2!BK238</f>
        <v>0</v>
      </c>
      <c r="CH239" s="14">
        <f>[1]Sheet2!BL238</f>
        <v>0</v>
      </c>
      <c r="CI239" s="14">
        <f>[1]Sheet2!BM238</f>
        <v>0</v>
      </c>
      <c r="CJ239" s="14">
        <f>[1]Sheet2!BN238</f>
        <v>0</v>
      </c>
      <c r="CK239" s="14">
        <f>[1]Sheet2!BO238</f>
        <v>0</v>
      </c>
      <c r="CL239" s="14">
        <f>[1]Sheet2!BP238</f>
        <v>0</v>
      </c>
      <c r="CM239" s="14">
        <f>[1]Sheet2!BQ238</f>
        <v>0</v>
      </c>
      <c r="CN239" s="16">
        <f>Demand_SW!B$10/31</f>
        <v>131.01736972704714</v>
      </c>
      <c r="CO239" s="16">
        <f>Demand_SW!C$10/31</f>
        <v>0</v>
      </c>
      <c r="CP239" s="16">
        <f>Demand_SW!D$10/31</f>
        <v>0</v>
      </c>
      <c r="CQ239" s="16">
        <f>Demand_SW!E$10/31</f>
        <v>0</v>
      </c>
      <c r="CR239" s="16">
        <f>Demand_SW!F$10/31</f>
        <v>0</v>
      </c>
      <c r="CS239" s="16">
        <f>Demand_SW!G$10/31</f>
        <v>131.01736972704714</v>
      </c>
      <c r="CT239" s="16">
        <f>Demand_SW!H$10/31</f>
        <v>0</v>
      </c>
      <c r="CU239" s="16">
        <f>Demand_SW!I$10/31</f>
        <v>0</v>
      </c>
      <c r="CV239" s="16">
        <f>Demand_SW!J$10/31</f>
        <v>0</v>
      </c>
      <c r="CW239" s="16">
        <f>Demand_SW!K$10/31</f>
        <v>0</v>
      </c>
      <c r="CX239" s="16">
        <f t="shared" si="116"/>
        <v>-26803.647642679935</v>
      </c>
      <c r="CY239" s="16">
        <f t="shared" si="117"/>
        <v>76.923076923077133</v>
      </c>
      <c r="CZ239" s="16">
        <f t="shared" si="118"/>
        <v>0</v>
      </c>
      <c r="DA239" s="16">
        <f t="shared" si="119"/>
        <v>0</v>
      </c>
      <c r="DB239" s="16">
        <f t="shared" si="120"/>
        <v>0</v>
      </c>
      <c r="DC239" s="16">
        <f t="shared" si="121"/>
        <v>-26332.878411910704</v>
      </c>
      <c r="DD239" s="16">
        <f t="shared" si="122"/>
        <v>76.923076923077133</v>
      </c>
      <c r="DE239" s="16">
        <f t="shared" si="123"/>
        <v>0</v>
      </c>
      <c r="DF239" s="16">
        <f t="shared" si="124"/>
        <v>0</v>
      </c>
      <c r="DG239" s="16">
        <f t="shared" si="125"/>
        <v>0</v>
      </c>
      <c r="DH239" s="14">
        <f>IF([1]Sheet2!DS238=999999,"NA",[1]Sheet2!DS238)</f>
        <v>0</v>
      </c>
      <c r="DI239" s="14">
        <f>IF([1]Sheet2!DT238=999999,"NA",[1]Sheet2!DT238)</f>
        <v>129</v>
      </c>
      <c r="DJ239" s="14" t="str">
        <f>IF([1]Sheet2!DU238=999999,"NA",[1]Sheet2!DU238)</f>
        <v>NA</v>
      </c>
      <c r="DK239" s="14" t="str">
        <f>IF([1]Sheet2!DV238=999999,"NA",[1]Sheet2!DV238)</f>
        <v>NA</v>
      </c>
      <c r="DL239" s="14" t="str">
        <f>IF([1]Sheet2!DW238=999999,"NA",[1]Sheet2!DW238)</f>
        <v>NA</v>
      </c>
      <c r="DM239" s="14">
        <f>IF([1]Sheet2!DX238=999999,"NA",[1]Sheet2!DX238)</f>
        <v>0</v>
      </c>
      <c r="DN239" s="14">
        <f>IF([1]Sheet2!DY238=999999,"NA",[1]Sheet2!DY238)</f>
        <v>129</v>
      </c>
      <c r="DO239" s="14" t="str">
        <f>IF([1]Sheet2!DZ238=999999,"NA",[1]Sheet2!DZ238)</f>
        <v>NA</v>
      </c>
      <c r="DP239" s="14" t="str">
        <f>IF([1]Sheet2!EA238=999999,"NA",[1]Sheet2!EA238)</f>
        <v>NA</v>
      </c>
      <c r="DQ239" s="14" t="str">
        <f>IF([1]Sheet2!EB238=999999,"NA",[1]Sheet2!EB238)</f>
        <v>NA</v>
      </c>
      <c r="DR239" s="14">
        <f>[1]Sheet2!CY238</f>
        <v>0</v>
      </c>
      <c r="DS239" s="14">
        <f>[1]Sheet2!CZ238</f>
        <v>0</v>
      </c>
      <c r="DT239" s="14">
        <f>[1]Sheet2!DA238</f>
        <v>0</v>
      </c>
      <c r="DU239" s="14">
        <f>[1]Sheet2!DB238</f>
        <v>0</v>
      </c>
      <c r="DV239" s="14">
        <f>[1]Sheet2!DC238</f>
        <v>0</v>
      </c>
      <c r="DW239" s="14">
        <f>[1]Sheet2!DD238</f>
        <v>0</v>
      </c>
      <c r="DX239" s="14">
        <f>[1]Sheet2!DE238</f>
        <v>0</v>
      </c>
      <c r="DY239" s="14">
        <f>[1]Sheet2!DF238</f>
        <v>0</v>
      </c>
      <c r="DZ239" s="14">
        <f>[1]Sheet2!DG238</f>
        <v>0</v>
      </c>
      <c r="EA239" s="14">
        <f>[1]Sheet2!DH238</f>
        <v>0</v>
      </c>
      <c r="EB239" s="6">
        <f>[1]Sheet2!EC238</f>
        <v>0</v>
      </c>
      <c r="EC239" s="6">
        <f>[1]Sheet2!ED238</f>
        <v>0</v>
      </c>
      <c r="ED239" s="6">
        <f>[1]Sheet2!EE238</f>
        <v>0</v>
      </c>
      <c r="EE239" s="6">
        <f>[1]Sheet2!EF238</f>
        <v>0</v>
      </c>
      <c r="EF239" s="6">
        <f>[1]Sheet2!EG238</f>
        <v>0</v>
      </c>
      <c r="EG239" s="6">
        <f>[1]Sheet2!EH238</f>
        <v>0</v>
      </c>
      <c r="EH239" s="6">
        <f>[1]Sheet2!EI238</f>
        <v>0</v>
      </c>
      <c r="EI239" s="6">
        <f>[1]Sheet2!EJ238</f>
        <v>0</v>
      </c>
      <c r="EJ239" s="6">
        <f>[1]Sheet2!EK238</f>
        <v>0</v>
      </c>
      <c r="EK239" s="6">
        <f>[1]Sheet2!EL238</f>
        <v>0</v>
      </c>
      <c r="EL239" s="6" t="str">
        <f>[1]Sheet2!EM238</f>
        <v/>
      </c>
      <c r="EM239" s="6" t="str">
        <f>[1]Sheet2!EN238</f>
        <v/>
      </c>
      <c r="EN239" s="6" t="str">
        <f>[1]Sheet2!EO238</f>
        <v/>
      </c>
      <c r="EO239" s="6" t="str">
        <f>[1]Sheet2!EP238</f>
        <v/>
      </c>
      <c r="EP239" s="6" t="str">
        <f>[1]Sheet2!EQ238</f>
        <v/>
      </c>
      <c r="EQ239" s="6" t="str">
        <f>[1]Sheet2!ER238</f>
        <v/>
      </c>
      <c r="ER239" s="6" t="str">
        <f>[1]Sheet2!ES238</f>
        <v/>
      </c>
      <c r="ES239" s="6" t="str">
        <f>[1]Sheet2!ET238</f>
        <v/>
      </c>
      <c r="ET239" s="6" t="str">
        <f>[1]Sheet2!EU238</f>
        <v/>
      </c>
      <c r="EU239" s="6" t="str">
        <f>[1]Sheet2!EV238</f>
        <v/>
      </c>
      <c r="EV239" s="6" t="str">
        <f>[1]Sheet2!EW238</f>
        <v/>
      </c>
      <c r="EW239" s="6" t="str">
        <f>[1]Sheet2!EX238</f>
        <v/>
      </c>
      <c r="EX239" s="6" t="str">
        <f>[1]Sheet2!EY238</f>
        <v/>
      </c>
      <c r="EY239" s="6" t="str">
        <f>[1]Sheet2!EZ238</f>
        <v/>
      </c>
      <c r="EZ239" s="6" t="str">
        <f>[1]Sheet2!FA238</f>
        <v/>
      </c>
      <c r="FA239" s="6" t="str">
        <f>[1]Sheet2!FB238</f>
        <v/>
      </c>
      <c r="FB239" s="6" t="str">
        <f>[1]Sheet2!FC238</f>
        <v/>
      </c>
      <c r="FC239" s="6" t="str">
        <f>[1]Sheet2!FD238</f>
        <v/>
      </c>
      <c r="FD239" s="6" t="str">
        <f>[1]Sheet2!FE238</f>
        <v/>
      </c>
      <c r="FE239" s="6" t="str">
        <f>[1]Sheet2!FF238</f>
        <v/>
      </c>
      <c r="FF239" s="6" t="str">
        <f>[1]Sheet2!FG238</f>
        <v/>
      </c>
      <c r="FG239" s="6" t="str">
        <f>[1]Sheet2!FH238</f>
        <v/>
      </c>
      <c r="FH239" s="6" t="str">
        <f>[1]Sheet2!FI238</f>
        <v/>
      </c>
      <c r="FI239" s="6" t="str">
        <f>[1]Sheet2!FJ238</f>
        <v/>
      </c>
      <c r="FJ239" s="6" t="str">
        <f>[1]Sheet2!FK238</f>
        <v/>
      </c>
      <c r="FK239" s="6" t="str">
        <f>[1]Sheet2!FL238</f>
        <v/>
      </c>
      <c r="FL239" s="6" t="str">
        <f>[1]Sheet2!FM238</f>
        <v/>
      </c>
      <c r="FM239" s="6" t="str">
        <f>[1]Sheet2!FN238</f>
        <v/>
      </c>
      <c r="FN239" s="6" t="str">
        <f>[1]Sheet2!FO238</f>
        <v/>
      </c>
      <c r="FO239" s="6" t="str">
        <f>[1]Sheet2!FP238</f>
        <v/>
      </c>
    </row>
    <row r="240" spans="1:171" x14ac:dyDescent="0.25">
      <c r="A240" s="15">
        <v>43702</v>
      </c>
      <c r="B240" s="1"/>
      <c r="C240" s="1"/>
      <c r="D240" s="1"/>
      <c r="E240" s="14">
        <f>[1]Sheet2!N239</f>
        <v>0</v>
      </c>
      <c r="F240" s="14">
        <f>[1]Sheet2!BE239</f>
        <v>0</v>
      </c>
      <c r="G240" s="14">
        <f>[1]Sheet2!CW239</f>
        <v>0</v>
      </c>
      <c r="H240" s="1"/>
      <c r="I240" s="1"/>
      <c r="J240" s="1"/>
      <c r="K240" s="16"/>
      <c r="L240" s="16">
        <f>Demand_CWRS!B$10/31</f>
        <v>120.8438508064516</v>
      </c>
      <c r="M240" s="16">
        <f>Demand_CWRS!C$10/31</f>
        <v>552.80165425971859</v>
      </c>
      <c r="N240" s="16">
        <f>Demand_CWRS!D$10/31</f>
        <v>0</v>
      </c>
      <c r="O240" s="16">
        <f>Demand_CWRS!E$10/31</f>
        <v>141.75971877584777</v>
      </c>
      <c r="P240" s="16">
        <f>Demand_CWRS!F$10/31</f>
        <v>252.70758116211746</v>
      </c>
      <c r="Q240" s="16">
        <f>Demand_CWRS!G$10/31</f>
        <v>116.12903225806451</v>
      </c>
      <c r="R240" s="16">
        <f>Demand_CWRS!H$10/31</f>
        <v>252.70758116211746</v>
      </c>
      <c r="S240" s="16">
        <f>Demand_CWRS!I$10/31</f>
        <v>252.70758116211746</v>
      </c>
      <c r="T240" s="16">
        <f>Demand_CWRS!J$10/31</f>
        <v>252.70758116211746</v>
      </c>
      <c r="U240" s="16">
        <f>Demand_CWRS!K$10/31</f>
        <v>252.70758116211746</v>
      </c>
      <c r="V240" s="16">
        <f t="shared" si="96"/>
        <v>-29642.56910563468</v>
      </c>
      <c r="W240" s="16">
        <f t="shared" si="97"/>
        <v>-116789.02340777466</v>
      </c>
      <c r="X240" s="16">
        <f t="shared" si="98"/>
        <v>0</v>
      </c>
      <c r="Y240" s="16">
        <f t="shared" si="99"/>
        <v>-21437.436185884315</v>
      </c>
      <c r="Z240" s="16">
        <f t="shared" si="100"/>
        <v>-51194.278764487834</v>
      </c>
      <c r="AA240" s="16">
        <f t="shared" si="101"/>
        <v>-28198.925492886603</v>
      </c>
      <c r="AB240" s="16">
        <f t="shared" si="102"/>
        <v>-55503.443540128792</v>
      </c>
      <c r="AC240" s="16">
        <f t="shared" si="103"/>
        <v>-49710.433283718601</v>
      </c>
      <c r="AD240" s="16">
        <f t="shared" si="104"/>
        <v>-49810.433283718594</v>
      </c>
      <c r="AE240" s="16">
        <f t="shared" si="105"/>
        <v>-50410.433283718587</v>
      </c>
      <c r="AF240" s="14">
        <f>IF([1]Sheet2!AJ239=999999,"NA",[1]Sheet2!AJ239)</f>
        <v>0</v>
      </c>
      <c r="AG240" s="14">
        <f>IF([1]Sheet2!AK239=999999,"NA",[1]Sheet2!AK239)</f>
        <v>0</v>
      </c>
      <c r="AH240" s="14" t="str">
        <f>IF([1]Sheet2!AL239=999999,"NA",[1]Sheet2!AL239)</f>
        <v>NA</v>
      </c>
      <c r="AI240" s="14">
        <f>IF([1]Sheet2!AM239=999999,"NA",[1]Sheet2!AM239)</f>
        <v>0</v>
      </c>
      <c r="AJ240" s="14">
        <f>IF([1]Sheet2!AN239=999999,"NA",[1]Sheet2!AN239)</f>
        <v>0</v>
      </c>
      <c r="AK240" s="14">
        <f>IF([1]Sheet2!AO239=999999,"NA",[1]Sheet2!AO239)</f>
        <v>0</v>
      </c>
      <c r="AL240" s="14">
        <f>IF([1]Sheet2!AP239=999999,"NA",[1]Sheet2!AP239)</f>
        <v>0</v>
      </c>
      <c r="AM240" s="14">
        <f>IF([1]Sheet2!AQ239=999999,"NA",[1]Sheet2!AQ239)</f>
        <v>0</v>
      </c>
      <c r="AN240" s="14">
        <f>IF([1]Sheet2!AR239=999999,"NA",[1]Sheet2!AR239)</f>
        <v>0</v>
      </c>
      <c r="AO240" s="14">
        <f>IF([1]Sheet2!AS239=999999,"NA",[1]Sheet2!AS239)</f>
        <v>0</v>
      </c>
      <c r="AP240" s="14">
        <f>[1]Sheet2!P239</f>
        <v>0</v>
      </c>
      <c r="AQ240" s="14">
        <f>[1]Sheet2!Q239</f>
        <v>0</v>
      </c>
      <c r="AR240" s="14">
        <f>[1]Sheet2!R239</f>
        <v>0</v>
      </c>
      <c r="AS240" s="14">
        <f>[1]Sheet2!S239</f>
        <v>0</v>
      </c>
      <c r="AT240" s="14">
        <f>[1]Sheet2!T239</f>
        <v>0</v>
      </c>
      <c r="AU240" s="14">
        <f>[1]Sheet2!U239</f>
        <v>0</v>
      </c>
      <c r="AV240" s="14">
        <f>[1]Sheet2!V239</f>
        <v>0</v>
      </c>
      <c r="AW240" s="14">
        <f>[1]Sheet2!W239</f>
        <v>0</v>
      </c>
      <c r="AX240" s="14">
        <f>[1]Sheet2!X239</f>
        <v>0</v>
      </c>
      <c r="AY240" s="14">
        <f>[1]Sheet2!Y239</f>
        <v>0</v>
      </c>
      <c r="AZ240" s="16">
        <f>Demand_LP!B$10/31</f>
        <v>857.18246226220015</v>
      </c>
      <c r="BA240" s="16">
        <f>Demand_LP!C$10/31</f>
        <v>528.30835401157981</v>
      </c>
      <c r="BB240" s="16">
        <f>Demand_LP!D$10/31</f>
        <v>338.76323407775027</v>
      </c>
      <c r="BC240" s="16">
        <f>Demand_LP!E$10/31</f>
        <v>735.04776674937955</v>
      </c>
      <c r="BD240" s="16">
        <f>Demand_LP!F$10/31</f>
        <v>479.51259046732832</v>
      </c>
      <c r="BE240" s="16">
        <f>Demand_LP!G$10/31</f>
        <v>479.51259046732832</v>
      </c>
      <c r="BF240" s="16">
        <f>Demand_LP!H$10/31</f>
        <v>528.30835401157981</v>
      </c>
      <c r="BG240" s="16">
        <f>Demand_LP!I$10/31</f>
        <v>479.51259046732832</v>
      </c>
      <c r="BH240" s="16">
        <f>Demand_LP!J$10/31</f>
        <v>479.51259046732832</v>
      </c>
      <c r="BI240" s="16">
        <f>Demand_LP!K$10/31</f>
        <v>479.51259046732832</v>
      </c>
      <c r="BJ240" s="16">
        <f t="shared" si="106"/>
        <v>-174842.4666300393</v>
      </c>
      <c r="BK240" s="16">
        <f t="shared" si="107"/>
        <v>-135973.29090157137</v>
      </c>
      <c r="BL240" s="16">
        <f t="shared" si="108"/>
        <v>-65558.020595533526</v>
      </c>
      <c r="BM240" s="16">
        <f t="shared" si="109"/>
        <v>-172420.39543455676</v>
      </c>
      <c r="BN240" s="16">
        <f t="shared" si="110"/>
        <v>-101925.09456126143</v>
      </c>
      <c r="BO240" s="16">
        <f t="shared" si="111"/>
        <v>-100382.77847963216</v>
      </c>
      <c r="BP240" s="16">
        <f t="shared" si="112"/>
        <v>-130330.87038875074</v>
      </c>
      <c r="BQ240" s="16">
        <f t="shared" si="113"/>
        <v>-100382.77847963216</v>
      </c>
      <c r="BR240" s="16">
        <f t="shared" si="114"/>
        <v>-97982.778479632208</v>
      </c>
      <c r="BS240" s="16">
        <f t="shared" si="115"/>
        <v>-98682.778479632194</v>
      </c>
      <c r="BT240" s="14">
        <f>IF([1]Sheet2!CB239=999999,"NA",[1]Sheet2!CB239)</f>
        <v>0</v>
      </c>
      <c r="BU240" s="14">
        <f>IF([1]Sheet2!CC239=999999,"NA",[1]Sheet2!CC239)</f>
        <v>0</v>
      </c>
      <c r="BV240" s="14">
        <f>IF([1]Sheet2!CD239=999999,"NA",[1]Sheet2!CD239)</f>
        <v>0</v>
      </c>
      <c r="BW240" s="14">
        <f>IF([1]Sheet2!CE239=999999,"NA",[1]Sheet2!CE239)</f>
        <v>0</v>
      </c>
      <c r="BX240" s="14">
        <f>IF([1]Sheet2!CF239=999999,"NA",[1]Sheet2!CF239)</f>
        <v>0</v>
      </c>
      <c r="BY240" s="14">
        <f>IF([1]Sheet2!CG239=999999,"NA",[1]Sheet2!CG239)</f>
        <v>0</v>
      </c>
      <c r="BZ240" s="14">
        <f>IF([1]Sheet2!CH239=999999,"NA",[1]Sheet2!CH239)</f>
        <v>0</v>
      </c>
      <c r="CA240" s="14">
        <f>IF([1]Sheet2!CI239=999999,"NA",[1]Sheet2!CI239)</f>
        <v>0</v>
      </c>
      <c r="CB240" s="14">
        <f>IF([1]Sheet2!CJ239=999999,"NA",[1]Sheet2!CJ239)</f>
        <v>0</v>
      </c>
      <c r="CC240" s="14">
        <f>IF([1]Sheet2!CK239=999999,"NA",[1]Sheet2!CK239)</f>
        <v>0</v>
      </c>
      <c r="CD240" s="14">
        <f>[1]Sheet2!BH239</f>
        <v>0</v>
      </c>
      <c r="CE240" s="14">
        <f>[1]Sheet2!BI239</f>
        <v>0</v>
      </c>
      <c r="CF240" s="14">
        <f>[1]Sheet2!BJ239</f>
        <v>0</v>
      </c>
      <c r="CG240" s="14">
        <f>[1]Sheet2!BK239</f>
        <v>0</v>
      </c>
      <c r="CH240" s="14">
        <f>[1]Sheet2!BL239</f>
        <v>0</v>
      </c>
      <c r="CI240" s="14">
        <f>[1]Sheet2!BM239</f>
        <v>0</v>
      </c>
      <c r="CJ240" s="14">
        <f>[1]Sheet2!BN239</f>
        <v>0</v>
      </c>
      <c r="CK240" s="14">
        <f>[1]Sheet2!BO239</f>
        <v>0</v>
      </c>
      <c r="CL240" s="14">
        <f>[1]Sheet2!BP239</f>
        <v>0</v>
      </c>
      <c r="CM240" s="14">
        <f>[1]Sheet2!BQ239</f>
        <v>0</v>
      </c>
      <c r="CN240" s="16">
        <f>Demand_SW!B$10/31</f>
        <v>131.01736972704714</v>
      </c>
      <c r="CO240" s="16">
        <f>Demand_SW!C$10/31</f>
        <v>0</v>
      </c>
      <c r="CP240" s="16">
        <f>Demand_SW!D$10/31</f>
        <v>0</v>
      </c>
      <c r="CQ240" s="16">
        <f>Demand_SW!E$10/31</f>
        <v>0</v>
      </c>
      <c r="CR240" s="16">
        <f>Demand_SW!F$10/31</f>
        <v>0</v>
      </c>
      <c r="CS240" s="16">
        <f>Demand_SW!G$10/31</f>
        <v>131.01736972704714</v>
      </c>
      <c r="CT240" s="16">
        <f>Demand_SW!H$10/31</f>
        <v>0</v>
      </c>
      <c r="CU240" s="16">
        <f>Demand_SW!I$10/31</f>
        <v>0</v>
      </c>
      <c r="CV240" s="16">
        <f>Demand_SW!J$10/31</f>
        <v>0</v>
      </c>
      <c r="CW240" s="16">
        <f>Demand_SW!K$10/31</f>
        <v>0</v>
      </c>
      <c r="CX240" s="16">
        <f t="shared" si="116"/>
        <v>-26934.665012406982</v>
      </c>
      <c r="CY240" s="16">
        <f t="shared" si="117"/>
        <v>76.923076923077133</v>
      </c>
      <c r="CZ240" s="16">
        <f t="shared" si="118"/>
        <v>0</v>
      </c>
      <c r="DA240" s="16">
        <f t="shared" si="119"/>
        <v>0</v>
      </c>
      <c r="DB240" s="16">
        <f t="shared" si="120"/>
        <v>0</v>
      </c>
      <c r="DC240" s="16">
        <f t="shared" si="121"/>
        <v>-26463.895781637751</v>
      </c>
      <c r="DD240" s="16">
        <f t="shared" si="122"/>
        <v>76.923076923077133</v>
      </c>
      <c r="DE240" s="16">
        <f t="shared" si="123"/>
        <v>0</v>
      </c>
      <c r="DF240" s="16">
        <f t="shared" si="124"/>
        <v>0</v>
      </c>
      <c r="DG240" s="16">
        <f t="shared" si="125"/>
        <v>0</v>
      </c>
      <c r="DH240" s="14">
        <f>IF([1]Sheet2!DS239=999999,"NA",[1]Sheet2!DS239)</f>
        <v>0</v>
      </c>
      <c r="DI240" s="14">
        <f>IF([1]Sheet2!DT239=999999,"NA",[1]Sheet2!DT239)</f>
        <v>128</v>
      </c>
      <c r="DJ240" s="14" t="str">
        <f>IF([1]Sheet2!DU239=999999,"NA",[1]Sheet2!DU239)</f>
        <v>NA</v>
      </c>
      <c r="DK240" s="14" t="str">
        <f>IF([1]Sheet2!DV239=999999,"NA",[1]Sheet2!DV239)</f>
        <v>NA</v>
      </c>
      <c r="DL240" s="14" t="str">
        <f>IF([1]Sheet2!DW239=999999,"NA",[1]Sheet2!DW239)</f>
        <v>NA</v>
      </c>
      <c r="DM240" s="14">
        <f>IF([1]Sheet2!DX239=999999,"NA",[1]Sheet2!DX239)</f>
        <v>0</v>
      </c>
      <c r="DN240" s="14">
        <f>IF([1]Sheet2!DY239=999999,"NA",[1]Sheet2!DY239)</f>
        <v>128</v>
      </c>
      <c r="DO240" s="14" t="str">
        <f>IF([1]Sheet2!DZ239=999999,"NA",[1]Sheet2!DZ239)</f>
        <v>NA</v>
      </c>
      <c r="DP240" s="14" t="str">
        <f>IF([1]Sheet2!EA239=999999,"NA",[1]Sheet2!EA239)</f>
        <v>NA</v>
      </c>
      <c r="DQ240" s="14" t="str">
        <f>IF([1]Sheet2!EB239=999999,"NA",[1]Sheet2!EB239)</f>
        <v>NA</v>
      </c>
      <c r="DR240" s="14">
        <f>[1]Sheet2!CY239</f>
        <v>0</v>
      </c>
      <c r="DS240" s="14">
        <f>[1]Sheet2!CZ239</f>
        <v>0</v>
      </c>
      <c r="DT240" s="14">
        <f>[1]Sheet2!DA239</f>
        <v>0</v>
      </c>
      <c r="DU240" s="14">
        <f>[1]Sheet2!DB239</f>
        <v>0</v>
      </c>
      <c r="DV240" s="14">
        <f>[1]Sheet2!DC239</f>
        <v>0</v>
      </c>
      <c r="DW240" s="14">
        <f>[1]Sheet2!DD239</f>
        <v>0</v>
      </c>
      <c r="DX240" s="14">
        <f>[1]Sheet2!DE239</f>
        <v>0</v>
      </c>
      <c r="DY240" s="14">
        <f>[1]Sheet2!DF239</f>
        <v>0</v>
      </c>
      <c r="DZ240" s="14">
        <f>[1]Sheet2!DG239</f>
        <v>0</v>
      </c>
      <c r="EA240" s="14">
        <f>[1]Sheet2!DH239</f>
        <v>0</v>
      </c>
      <c r="EB240" s="6">
        <f>[1]Sheet2!EC239</f>
        <v>0</v>
      </c>
      <c r="EC240" s="6">
        <f>[1]Sheet2!ED239</f>
        <v>0</v>
      </c>
      <c r="ED240" s="6">
        <f>[1]Sheet2!EE239</f>
        <v>0</v>
      </c>
      <c r="EE240" s="6">
        <f>[1]Sheet2!EF239</f>
        <v>0</v>
      </c>
      <c r="EF240" s="6">
        <f>[1]Sheet2!EG239</f>
        <v>0</v>
      </c>
      <c r="EG240" s="6">
        <f>[1]Sheet2!EH239</f>
        <v>0</v>
      </c>
      <c r="EH240" s="6">
        <f>[1]Sheet2!EI239</f>
        <v>0</v>
      </c>
      <c r="EI240" s="6">
        <f>[1]Sheet2!EJ239</f>
        <v>0</v>
      </c>
      <c r="EJ240" s="6">
        <f>[1]Sheet2!EK239</f>
        <v>0</v>
      </c>
      <c r="EK240" s="6">
        <f>[1]Sheet2!EL239</f>
        <v>0</v>
      </c>
      <c r="EL240" s="6" t="str">
        <f>[1]Sheet2!EM239</f>
        <v/>
      </c>
      <c r="EM240" s="6" t="str">
        <f>[1]Sheet2!EN239</f>
        <v/>
      </c>
      <c r="EN240" s="6" t="str">
        <f>[1]Sheet2!EO239</f>
        <v/>
      </c>
      <c r="EO240" s="6" t="str">
        <f>[1]Sheet2!EP239</f>
        <v/>
      </c>
      <c r="EP240" s="6" t="str">
        <f>[1]Sheet2!EQ239</f>
        <v/>
      </c>
      <c r="EQ240" s="6" t="str">
        <f>[1]Sheet2!ER239</f>
        <v/>
      </c>
      <c r="ER240" s="6" t="str">
        <f>[1]Sheet2!ES239</f>
        <v/>
      </c>
      <c r="ES240" s="6" t="str">
        <f>[1]Sheet2!ET239</f>
        <v/>
      </c>
      <c r="ET240" s="6" t="str">
        <f>[1]Sheet2!EU239</f>
        <v/>
      </c>
      <c r="EU240" s="6" t="str">
        <f>[1]Sheet2!EV239</f>
        <v/>
      </c>
      <c r="EV240" s="6" t="str">
        <f>[1]Sheet2!EW239</f>
        <v/>
      </c>
      <c r="EW240" s="6" t="str">
        <f>[1]Sheet2!EX239</f>
        <v/>
      </c>
      <c r="EX240" s="6" t="str">
        <f>[1]Sheet2!EY239</f>
        <v/>
      </c>
      <c r="EY240" s="6" t="str">
        <f>[1]Sheet2!EZ239</f>
        <v/>
      </c>
      <c r="EZ240" s="6" t="str">
        <f>[1]Sheet2!FA239</f>
        <v/>
      </c>
      <c r="FA240" s="6" t="str">
        <f>[1]Sheet2!FB239</f>
        <v/>
      </c>
      <c r="FB240" s="6" t="str">
        <f>[1]Sheet2!FC239</f>
        <v/>
      </c>
      <c r="FC240" s="6" t="str">
        <f>[1]Sheet2!FD239</f>
        <v/>
      </c>
      <c r="FD240" s="6" t="str">
        <f>[1]Sheet2!FE239</f>
        <v/>
      </c>
      <c r="FE240" s="6" t="str">
        <f>[1]Sheet2!FF239</f>
        <v/>
      </c>
      <c r="FF240" s="6" t="str">
        <f>[1]Sheet2!FG239</f>
        <v/>
      </c>
      <c r="FG240" s="6" t="str">
        <f>[1]Sheet2!FH239</f>
        <v/>
      </c>
      <c r="FH240" s="6" t="str">
        <f>[1]Sheet2!FI239</f>
        <v/>
      </c>
      <c r="FI240" s="6" t="str">
        <f>[1]Sheet2!FJ239</f>
        <v/>
      </c>
      <c r="FJ240" s="6" t="str">
        <f>[1]Sheet2!FK239</f>
        <v/>
      </c>
      <c r="FK240" s="6" t="str">
        <f>[1]Sheet2!FL239</f>
        <v/>
      </c>
      <c r="FL240" s="6" t="str">
        <f>[1]Sheet2!FM239</f>
        <v/>
      </c>
      <c r="FM240" s="6" t="str">
        <f>[1]Sheet2!FN239</f>
        <v/>
      </c>
      <c r="FN240" s="6" t="str">
        <f>[1]Sheet2!FO239</f>
        <v/>
      </c>
      <c r="FO240" s="6" t="str">
        <f>[1]Sheet2!FP239</f>
        <v/>
      </c>
    </row>
    <row r="241" spans="1:171" s="27" customFormat="1" x14ac:dyDescent="0.25">
      <c r="A241" s="23">
        <v>43703</v>
      </c>
      <c r="B241" s="24"/>
      <c r="C241" s="24"/>
      <c r="D241" s="24"/>
      <c r="E241" s="25">
        <f>[1]Sheet2!N240</f>
        <v>0</v>
      </c>
      <c r="F241" s="25">
        <f>[1]Sheet2!BE240</f>
        <v>0</v>
      </c>
      <c r="G241" s="25">
        <f>[1]Sheet2!CW240</f>
        <v>0</v>
      </c>
      <c r="H241" s="24"/>
      <c r="I241" s="24"/>
      <c r="J241" s="24"/>
      <c r="K241" s="26"/>
      <c r="L241" s="26">
        <f>Demand_CWRS!B$10/31</f>
        <v>120.8438508064516</v>
      </c>
      <c r="M241" s="26">
        <f>Demand_CWRS!C$10/31</f>
        <v>552.80165425971859</v>
      </c>
      <c r="N241" s="26">
        <f>Demand_CWRS!D$10/31</f>
        <v>0</v>
      </c>
      <c r="O241" s="26">
        <f>Demand_CWRS!E$10/31</f>
        <v>141.75971877584777</v>
      </c>
      <c r="P241" s="26">
        <f>Demand_CWRS!F$10/31</f>
        <v>252.70758116211746</v>
      </c>
      <c r="Q241" s="26">
        <f>Demand_CWRS!G$10/31</f>
        <v>116.12903225806451</v>
      </c>
      <c r="R241" s="26">
        <f>Demand_CWRS!H$10/31</f>
        <v>252.70758116211746</v>
      </c>
      <c r="S241" s="26">
        <f>Demand_CWRS!I$10/31</f>
        <v>252.70758116211746</v>
      </c>
      <c r="T241" s="26">
        <f>Demand_CWRS!J$10/31</f>
        <v>252.70758116211746</v>
      </c>
      <c r="U241" s="26">
        <f>Demand_CWRS!K$10/31</f>
        <v>252.70758116211746</v>
      </c>
      <c r="V241" s="26">
        <f t="shared" si="96"/>
        <v>-29763.412956441131</v>
      </c>
      <c r="W241" s="26">
        <f t="shared" si="97"/>
        <v>-117341.82506203438</v>
      </c>
      <c r="X241" s="26">
        <f t="shared" si="98"/>
        <v>0</v>
      </c>
      <c r="Y241" s="26">
        <f t="shared" si="99"/>
        <v>-21579.195904660162</v>
      </c>
      <c r="Z241" s="26">
        <f t="shared" si="100"/>
        <v>-51446.986345649952</v>
      </c>
      <c r="AA241" s="26">
        <f t="shared" si="101"/>
        <v>-28315.054525144667</v>
      </c>
      <c r="AB241" s="26">
        <f t="shared" si="102"/>
        <v>-55756.15112129091</v>
      </c>
      <c r="AC241" s="26">
        <f t="shared" si="103"/>
        <v>-49963.140864880719</v>
      </c>
      <c r="AD241" s="26">
        <f t="shared" si="104"/>
        <v>-50063.140864880712</v>
      </c>
      <c r="AE241" s="26">
        <f t="shared" si="105"/>
        <v>-50663.140864880705</v>
      </c>
      <c r="AF241" s="25">
        <f>IF([1]Sheet2!AJ240=999999,"NA",[1]Sheet2!AJ240)</f>
        <v>0</v>
      </c>
      <c r="AG241" s="25">
        <f>IF([1]Sheet2!AK240=999999,"NA",[1]Sheet2!AK240)</f>
        <v>0</v>
      </c>
      <c r="AH241" s="25" t="str">
        <f>IF([1]Sheet2!AL240=999999,"NA",[1]Sheet2!AL240)</f>
        <v>NA</v>
      </c>
      <c r="AI241" s="25">
        <f>IF([1]Sheet2!AM240=999999,"NA",[1]Sheet2!AM240)</f>
        <v>0</v>
      </c>
      <c r="AJ241" s="25">
        <f>IF([1]Sheet2!AN240=999999,"NA",[1]Sheet2!AN240)</f>
        <v>0</v>
      </c>
      <c r="AK241" s="25">
        <f>IF([1]Sheet2!AO240=999999,"NA",[1]Sheet2!AO240)</f>
        <v>0</v>
      </c>
      <c r="AL241" s="25">
        <f>IF([1]Sheet2!AP240=999999,"NA",[1]Sheet2!AP240)</f>
        <v>0</v>
      </c>
      <c r="AM241" s="25">
        <f>IF([1]Sheet2!AQ240=999999,"NA",[1]Sheet2!AQ240)</f>
        <v>0</v>
      </c>
      <c r="AN241" s="25">
        <f>IF([1]Sheet2!AR240=999999,"NA",[1]Sheet2!AR240)</f>
        <v>0</v>
      </c>
      <c r="AO241" s="25">
        <f>IF([1]Sheet2!AS240=999999,"NA",[1]Sheet2!AS240)</f>
        <v>0</v>
      </c>
      <c r="AP241" s="25">
        <f>[1]Sheet2!P240</f>
        <v>0</v>
      </c>
      <c r="AQ241" s="25">
        <f>[1]Sheet2!Q240</f>
        <v>0</v>
      </c>
      <c r="AR241" s="25">
        <f>[1]Sheet2!R240</f>
        <v>0</v>
      </c>
      <c r="AS241" s="25">
        <f>[1]Sheet2!S240</f>
        <v>0</v>
      </c>
      <c r="AT241" s="25">
        <f>[1]Sheet2!T240</f>
        <v>0</v>
      </c>
      <c r="AU241" s="25">
        <f>[1]Sheet2!U240</f>
        <v>0</v>
      </c>
      <c r="AV241" s="25">
        <f>[1]Sheet2!V240</f>
        <v>0</v>
      </c>
      <c r="AW241" s="25">
        <f>[1]Sheet2!W240</f>
        <v>0</v>
      </c>
      <c r="AX241" s="25">
        <f>[1]Sheet2!X240</f>
        <v>0</v>
      </c>
      <c r="AY241" s="25">
        <f>[1]Sheet2!Y240</f>
        <v>0</v>
      </c>
      <c r="AZ241" s="26">
        <f>Demand_LP!B$10/31</f>
        <v>857.18246226220015</v>
      </c>
      <c r="BA241" s="26">
        <f>Demand_LP!C$10/31</f>
        <v>528.30835401157981</v>
      </c>
      <c r="BB241" s="26">
        <f>Demand_LP!D$10/31</f>
        <v>338.76323407775027</v>
      </c>
      <c r="BC241" s="26">
        <f>Demand_LP!E$10/31</f>
        <v>735.04776674937955</v>
      </c>
      <c r="BD241" s="26">
        <f>Demand_LP!F$10/31</f>
        <v>479.51259046732832</v>
      </c>
      <c r="BE241" s="26">
        <f>Demand_LP!G$10/31</f>
        <v>479.51259046732832</v>
      </c>
      <c r="BF241" s="26">
        <f>Demand_LP!H$10/31</f>
        <v>528.30835401157981</v>
      </c>
      <c r="BG241" s="26">
        <f>Demand_LP!I$10/31</f>
        <v>479.51259046732832</v>
      </c>
      <c r="BH241" s="26">
        <f>Demand_LP!J$10/31</f>
        <v>479.51259046732832</v>
      </c>
      <c r="BI241" s="26">
        <f>Demand_LP!K$10/31</f>
        <v>479.51259046732832</v>
      </c>
      <c r="BJ241" s="26">
        <f t="shared" si="106"/>
        <v>-175699.64909230149</v>
      </c>
      <c r="BK241" s="26">
        <f t="shared" si="107"/>
        <v>-136501.59925558296</v>
      </c>
      <c r="BL241" s="26">
        <f t="shared" si="108"/>
        <v>-65896.783829611275</v>
      </c>
      <c r="BM241" s="26">
        <f t="shared" si="109"/>
        <v>-173155.44320130613</v>
      </c>
      <c r="BN241" s="26">
        <f t="shared" si="110"/>
        <v>-102404.60715172876</v>
      </c>
      <c r="BO241" s="26">
        <f t="shared" si="111"/>
        <v>-100862.2910700995</v>
      </c>
      <c r="BP241" s="26">
        <f t="shared" si="112"/>
        <v>-130859.17874276232</v>
      </c>
      <c r="BQ241" s="26">
        <f t="shared" si="113"/>
        <v>-100862.2910700995</v>
      </c>
      <c r="BR241" s="26">
        <f t="shared" si="114"/>
        <v>-98462.291070099542</v>
      </c>
      <c r="BS241" s="26">
        <f t="shared" si="115"/>
        <v>-99162.291070099527</v>
      </c>
      <c r="BT241" s="25">
        <f>IF([1]Sheet2!CB240=999999,"NA",[1]Sheet2!CB240)</f>
        <v>0</v>
      </c>
      <c r="BU241" s="25">
        <f>IF([1]Sheet2!CC240=999999,"NA",[1]Sheet2!CC240)</f>
        <v>0</v>
      </c>
      <c r="BV241" s="25">
        <f>IF([1]Sheet2!CD240=999999,"NA",[1]Sheet2!CD240)</f>
        <v>0</v>
      </c>
      <c r="BW241" s="25">
        <f>IF([1]Sheet2!CE240=999999,"NA",[1]Sheet2!CE240)</f>
        <v>0</v>
      </c>
      <c r="BX241" s="25">
        <f>IF([1]Sheet2!CF240=999999,"NA",[1]Sheet2!CF240)</f>
        <v>0</v>
      </c>
      <c r="BY241" s="25">
        <f>IF([1]Sheet2!CG240=999999,"NA",[1]Sheet2!CG240)</f>
        <v>0</v>
      </c>
      <c r="BZ241" s="25">
        <f>IF([1]Sheet2!CH240=999999,"NA",[1]Sheet2!CH240)</f>
        <v>0</v>
      </c>
      <c r="CA241" s="25">
        <f>IF([1]Sheet2!CI240=999999,"NA",[1]Sheet2!CI240)</f>
        <v>0</v>
      </c>
      <c r="CB241" s="25">
        <f>IF([1]Sheet2!CJ240=999999,"NA",[1]Sheet2!CJ240)</f>
        <v>0</v>
      </c>
      <c r="CC241" s="25">
        <f>IF([1]Sheet2!CK240=999999,"NA",[1]Sheet2!CK240)</f>
        <v>0</v>
      </c>
      <c r="CD241" s="25">
        <f>[1]Sheet2!BH240</f>
        <v>0</v>
      </c>
      <c r="CE241" s="25">
        <f>[1]Sheet2!BI240</f>
        <v>0</v>
      </c>
      <c r="CF241" s="25">
        <f>[1]Sheet2!BJ240</f>
        <v>0</v>
      </c>
      <c r="CG241" s="25">
        <f>[1]Sheet2!BK240</f>
        <v>0</v>
      </c>
      <c r="CH241" s="25">
        <f>[1]Sheet2!BL240</f>
        <v>0</v>
      </c>
      <c r="CI241" s="25">
        <f>[1]Sheet2!BM240</f>
        <v>0</v>
      </c>
      <c r="CJ241" s="25">
        <f>[1]Sheet2!BN240</f>
        <v>0</v>
      </c>
      <c r="CK241" s="25">
        <f>[1]Sheet2!BO240</f>
        <v>0</v>
      </c>
      <c r="CL241" s="25">
        <f>[1]Sheet2!BP240</f>
        <v>0</v>
      </c>
      <c r="CM241" s="25">
        <f>[1]Sheet2!BQ240</f>
        <v>0</v>
      </c>
      <c r="CN241" s="26">
        <f>Demand_SW!B$10/31</f>
        <v>131.01736972704714</v>
      </c>
      <c r="CO241" s="26">
        <f>Demand_SW!C$10/31</f>
        <v>0</v>
      </c>
      <c r="CP241" s="26">
        <f>Demand_SW!D$10/31</f>
        <v>0</v>
      </c>
      <c r="CQ241" s="26">
        <f>Demand_SW!E$10/31</f>
        <v>0</v>
      </c>
      <c r="CR241" s="26">
        <f>Demand_SW!F$10/31</f>
        <v>0</v>
      </c>
      <c r="CS241" s="26">
        <f>Demand_SW!G$10/31</f>
        <v>131.01736972704714</v>
      </c>
      <c r="CT241" s="26">
        <f>Demand_SW!H$10/31</f>
        <v>0</v>
      </c>
      <c r="CU241" s="26">
        <f>Demand_SW!I$10/31</f>
        <v>0</v>
      </c>
      <c r="CV241" s="26">
        <f>Demand_SW!J$10/31</f>
        <v>0</v>
      </c>
      <c r="CW241" s="26">
        <f>Demand_SW!K$10/31</f>
        <v>0</v>
      </c>
      <c r="CX241" s="26">
        <f t="shared" si="116"/>
        <v>-27065.682382134029</v>
      </c>
      <c r="CY241" s="26">
        <f t="shared" si="117"/>
        <v>76.923076923077133</v>
      </c>
      <c r="CZ241" s="26">
        <f t="shared" si="118"/>
        <v>0</v>
      </c>
      <c r="DA241" s="26">
        <f t="shared" si="119"/>
        <v>0</v>
      </c>
      <c r="DB241" s="26">
        <f t="shared" si="120"/>
        <v>0</v>
      </c>
      <c r="DC241" s="26">
        <f t="shared" si="121"/>
        <v>-26594.913151364799</v>
      </c>
      <c r="DD241" s="26">
        <f t="shared" si="122"/>
        <v>76.923076923077133</v>
      </c>
      <c r="DE241" s="26">
        <f t="shared" si="123"/>
        <v>0</v>
      </c>
      <c r="DF241" s="26">
        <f t="shared" si="124"/>
        <v>0</v>
      </c>
      <c r="DG241" s="26">
        <f t="shared" si="125"/>
        <v>0</v>
      </c>
      <c r="DH241" s="25">
        <f>IF([1]Sheet2!DS240=999999,"NA",[1]Sheet2!DS240)</f>
        <v>0</v>
      </c>
      <c r="DI241" s="25">
        <f>IF([1]Sheet2!DT240=999999,"NA",[1]Sheet2!DT240)</f>
        <v>127</v>
      </c>
      <c r="DJ241" s="25" t="str">
        <f>IF([1]Sheet2!DU240=999999,"NA",[1]Sheet2!DU240)</f>
        <v>NA</v>
      </c>
      <c r="DK241" s="25" t="str">
        <f>IF([1]Sheet2!DV240=999999,"NA",[1]Sheet2!DV240)</f>
        <v>NA</v>
      </c>
      <c r="DL241" s="25" t="str">
        <f>IF([1]Sheet2!DW240=999999,"NA",[1]Sheet2!DW240)</f>
        <v>NA</v>
      </c>
      <c r="DM241" s="25">
        <f>IF([1]Sheet2!DX240=999999,"NA",[1]Sheet2!DX240)</f>
        <v>0</v>
      </c>
      <c r="DN241" s="25">
        <f>IF([1]Sheet2!DY240=999999,"NA",[1]Sheet2!DY240)</f>
        <v>127</v>
      </c>
      <c r="DO241" s="25" t="str">
        <f>IF([1]Sheet2!DZ240=999999,"NA",[1]Sheet2!DZ240)</f>
        <v>NA</v>
      </c>
      <c r="DP241" s="25" t="str">
        <f>IF([1]Sheet2!EA240=999999,"NA",[1]Sheet2!EA240)</f>
        <v>NA</v>
      </c>
      <c r="DQ241" s="25" t="str">
        <f>IF([1]Sheet2!EB240=999999,"NA",[1]Sheet2!EB240)</f>
        <v>NA</v>
      </c>
      <c r="DR241" s="25">
        <f>[1]Sheet2!CY240</f>
        <v>0</v>
      </c>
      <c r="DS241" s="25">
        <f>[1]Sheet2!CZ240</f>
        <v>0</v>
      </c>
      <c r="DT241" s="25">
        <f>[1]Sheet2!DA240</f>
        <v>0</v>
      </c>
      <c r="DU241" s="25">
        <f>[1]Sheet2!DB240</f>
        <v>0</v>
      </c>
      <c r="DV241" s="25">
        <f>[1]Sheet2!DC240</f>
        <v>0</v>
      </c>
      <c r="DW241" s="25">
        <f>[1]Sheet2!DD240</f>
        <v>0</v>
      </c>
      <c r="DX241" s="25">
        <f>[1]Sheet2!DE240</f>
        <v>0</v>
      </c>
      <c r="DY241" s="25">
        <f>[1]Sheet2!DF240</f>
        <v>0</v>
      </c>
      <c r="DZ241" s="25">
        <f>[1]Sheet2!DG240</f>
        <v>0</v>
      </c>
      <c r="EA241" s="25">
        <f>[1]Sheet2!DH240</f>
        <v>0</v>
      </c>
      <c r="EB241" s="27">
        <f>[1]Sheet2!EC240</f>
        <v>0</v>
      </c>
      <c r="EC241" s="27">
        <f>[1]Sheet2!ED240</f>
        <v>0</v>
      </c>
      <c r="ED241" s="27">
        <f>[1]Sheet2!EE240</f>
        <v>0</v>
      </c>
      <c r="EE241" s="27">
        <f>[1]Sheet2!EF240</f>
        <v>0</v>
      </c>
      <c r="EF241" s="27">
        <f>[1]Sheet2!EG240</f>
        <v>0</v>
      </c>
      <c r="EG241" s="27">
        <f>[1]Sheet2!EH240</f>
        <v>0</v>
      </c>
      <c r="EH241" s="27">
        <f>[1]Sheet2!EI240</f>
        <v>0</v>
      </c>
      <c r="EI241" s="27">
        <f>[1]Sheet2!EJ240</f>
        <v>0</v>
      </c>
      <c r="EJ241" s="27">
        <f>[1]Sheet2!EK240</f>
        <v>0</v>
      </c>
      <c r="EK241" s="27">
        <f>[1]Sheet2!EL240</f>
        <v>0</v>
      </c>
      <c r="EL241" s="27" t="str">
        <f>[1]Sheet2!EM240</f>
        <v/>
      </c>
      <c r="EM241" s="27" t="str">
        <f>[1]Sheet2!EN240</f>
        <v/>
      </c>
      <c r="EN241" s="27" t="str">
        <f>[1]Sheet2!EO240</f>
        <v/>
      </c>
      <c r="EO241" s="27" t="str">
        <f>[1]Sheet2!EP240</f>
        <v/>
      </c>
      <c r="EP241" s="27" t="str">
        <f>[1]Sheet2!EQ240</f>
        <v/>
      </c>
      <c r="EQ241" s="27" t="str">
        <f>[1]Sheet2!ER240</f>
        <v/>
      </c>
      <c r="ER241" s="27" t="str">
        <f>[1]Sheet2!ES240</f>
        <v/>
      </c>
      <c r="ES241" s="27" t="str">
        <f>[1]Sheet2!ET240</f>
        <v/>
      </c>
      <c r="ET241" s="27" t="str">
        <f>[1]Sheet2!EU240</f>
        <v/>
      </c>
      <c r="EU241" s="27" t="str">
        <f>[1]Sheet2!EV240</f>
        <v/>
      </c>
      <c r="EV241" s="27" t="str">
        <f>[1]Sheet2!EW240</f>
        <v/>
      </c>
      <c r="EW241" s="27" t="str">
        <f>[1]Sheet2!EX240</f>
        <v/>
      </c>
      <c r="EX241" s="27" t="str">
        <f>[1]Sheet2!EY240</f>
        <v/>
      </c>
      <c r="EY241" s="27" t="str">
        <f>[1]Sheet2!EZ240</f>
        <v/>
      </c>
      <c r="EZ241" s="27" t="str">
        <f>[1]Sheet2!FA240</f>
        <v/>
      </c>
      <c r="FA241" s="27" t="str">
        <f>[1]Sheet2!FB240</f>
        <v/>
      </c>
      <c r="FB241" s="27" t="str">
        <f>[1]Sheet2!FC240</f>
        <v/>
      </c>
      <c r="FC241" s="27" t="str">
        <f>[1]Sheet2!FD240</f>
        <v/>
      </c>
      <c r="FD241" s="27" t="str">
        <f>[1]Sheet2!FE240</f>
        <v/>
      </c>
      <c r="FE241" s="27" t="str">
        <f>[1]Sheet2!FF240</f>
        <v/>
      </c>
      <c r="FF241" s="27" t="str">
        <f>[1]Sheet2!FG240</f>
        <v/>
      </c>
      <c r="FG241" s="27" t="str">
        <f>[1]Sheet2!FH240</f>
        <v/>
      </c>
      <c r="FH241" s="27" t="str">
        <f>[1]Sheet2!FI240</f>
        <v/>
      </c>
      <c r="FI241" s="27" t="str">
        <f>[1]Sheet2!FJ240</f>
        <v/>
      </c>
      <c r="FJ241" s="27" t="str">
        <f>[1]Sheet2!FK240</f>
        <v/>
      </c>
      <c r="FK241" s="27" t="str">
        <f>[1]Sheet2!FL240</f>
        <v/>
      </c>
      <c r="FL241" s="27" t="str">
        <f>[1]Sheet2!FM240</f>
        <v/>
      </c>
      <c r="FM241" s="27" t="str">
        <f>[1]Sheet2!FN240</f>
        <v/>
      </c>
      <c r="FN241" s="27" t="str">
        <f>[1]Sheet2!FO240</f>
        <v/>
      </c>
      <c r="FO241" s="27" t="str">
        <f>[1]Sheet2!FP240</f>
        <v/>
      </c>
    </row>
    <row r="242" spans="1:171" x14ac:dyDescent="0.25">
      <c r="A242" s="15">
        <v>43704</v>
      </c>
      <c r="B242" s="1"/>
      <c r="C242" s="1"/>
      <c r="D242" s="1"/>
      <c r="E242" s="14">
        <f>[1]Sheet2!N241</f>
        <v>0</v>
      </c>
      <c r="F242" s="14">
        <f>[1]Sheet2!BE241</f>
        <v>0</v>
      </c>
      <c r="G242" s="14">
        <f>[1]Sheet2!CW241</f>
        <v>0</v>
      </c>
      <c r="H242" s="1"/>
      <c r="I242" s="1"/>
      <c r="J242" s="1"/>
      <c r="K242" s="16"/>
      <c r="L242" s="16">
        <f>Demand_CWRS!B$10/31</f>
        <v>120.8438508064516</v>
      </c>
      <c r="M242" s="16">
        <f>Demand_CWRS!C$10/31</f>
        <v>552.80165425971859</v>
      </c>
      <c r="N242" s="16">
        <f>Demand_CWRS!D$10/31</f>
        <v>0</v>
      </c>
      <c r="O242" s="16">
        <f>Demand_CWRS!E$10/31</f>
        <v>141.75971877584777</v>
      </c>
      <c r="P242" s="16">
        <f>Demand_CWRS!F$10/31</f>
        <v>252.70758116211746</v>
      </c>
      <c r="Q242" s="16">
        <f>Demand_CWRS!G$10/31</f>
        <v>116.12903225806451</v>
      </c>
      <c r="R242" s="16">
        <f>Demand_CWRS!H$10/31</f>
        <v>252.70758116211746</v>
      </c>
      <c r="S242" s="16">
        <f>Demand_CWRS!I$10/31</f>
        <v>252.70758116211746</v>
      </c>
      <c r="T242" s="16">
        <f>Demand_CWRS!J$10/31</f>
        <v>252.70758116211746</v>
      </c>
      <c r="U242" s="16">
        <f>Demand_CWRS!K$10/31</f>
        <v>252.70758116211746</v>
      </c>
      <c r="V242" s="16">
        <f t="shared" si="96"/>
        <v>-29884.256807247581</v>
      </c>
      <c r="W242" s="16">
        <f t="shared" si="97"/>
        <v>-117894.62671629409</v>
      </c>
      <c r="X242" s="16">
        <f t="shared" si="98"/>
        <v>0</v>
      </c>
      <c r="Y242" s="16">
        <f t="shared" si="99"/>
        <v>-21720.95562343601</v>
      </c>
      <c r="Z242" s="16">
        <f t="shared" si="100"/>
        <v>-51699.69392681207</v>
      </c>
      <c r="AA242" s="16">
        <f t="shared" si="101"/>
        <v>-28431.183557402732</v>
      </c>
      <c r="AB242" s="16">
        <f t="shared" si="102"/>
        <v>-56008.858702453028</v>
      </c>
      <c r="AC242" s="16">
        <f t="shared" si="103"/>
        <v>-50215.848446042837</v>
      </c>
      <c r="AD242" s="16">
        <f t="shared" si="104"/>
        <v>-50315.84844604283</v>
      </c>
      <c r="AE242" s="16">
        <f t="shared" si="105"/>
        <v>-50915.848446042823</v>
      </c>
      <c r="AF242" s="14">
        <f>IF([1]Sheet2!AJ241=999999,"NA",[1]Sheet2!AJ241)</f>
        <v>0</v>
      </c>
      <c r="AG242" s="14">
        <f>IF([1]Sheet2!AK241=999999,"NA",[1]Sheet2!AK241)</f>
        <v>0</v>
      </c>
      <c r="AH242" s="14" t="str">
        <f>IF([1]Sheet2!AL241=999999,"NA",[1]Sheet2!AL241)</f>
        <v>NA</v>
      </c>
      <c r="AI242" s="14">
        <f>IF([1]Sheet2!AM241=999999,"NA",[1]Sheet2!AM241)</f>
        <v>0</v>
      </c>
      <c r="AJ242" s="14">
        <f>IF([1]Sheet2!AN241=999999,"NA",[1]Sheet2!AN241)</f>
        <v>0</v>
      </c>
      <c r="AK242" s="14">
        <f>IF([1]Sheet2!AO241=999999,"NA",[1]Sheet2!AO241)</f>
        <v>0</v>
      </c>
      <c r="AL242" s="14">
        <f>IF([1]Sheet2!AP241=999999,"NA",[1]Sheet2!AP241)</f>
        <v>0</v>
      </c>
      <c r="AM242" s="14">
        <f>IF([1]Sheet2!AQ241=999999,"NA",[1]Sheet2!AQ241)</f>
        <v>0</v>
      </c>
      <c r="AN242" s="14">
        <f>IF([1]Sheet2!AR241=999999,"NA",[1]Sheet2!AR241)</f>
        <v>0</v>
      </c>
      <c r="AO242" s="14">
        <f>IF([1]Sheet2!AS241=999999,"NA",[1]Sheet2!AS241)</f>
        <v>0</v>
      </c>
      <c r="AP242" s="14">
        <f>[1]Sheet2!P241</f>
        <v>0</v>
      </c>
      <c r="AQ242" s="14">
        <f>[1]Sheet2!Q241</f>
        <v>0</v>
      </c>
      <c r="AR242" s="14">
        <f>[1]Sheet2!R241</f>
        <v>0</v>
      </c>
      <c r="AS242" s="14">
        <f>[1]Sheet2!S241</f>
        <v>0</v>
      </c>
      <c r="AT242" s="14">
        <f>[1]Sheet2!T241</f>
        <v>0</v>
      </c>
      <c r="AU242" s="14">
        <f>[1]Sheet2!U241</f>
        <v>0</v>
      </c>
      <c r="AV242" s="14">
        <f>[1]Sheet2!V241</f>
        <v>0</v>
      </c>
      <c r="AW242" s="14">
        <f>[1]Sheet2!W241</f>
        <v>0</v>
      </c>
      <c r="AX242" s="14">
        <f>[1]Sheet2!X241</f>
        <v>0</v>
      </c>
      <c r="AY242" s="14">
        <f>[1]Sheet2!Y241</f>
        <v>0</v>
      </c>
      <c r="AZ242" s="16">
        <f>Demand_LP!B$10/31</f>
        <v>857.18246226220015</v>
      </c>
      <c r="BA242" s="16">
        <f>Demand_LP!C$10/31</f>
        <v>528.30835401157981</v>
      </c>
      <c r="BB242" s="16">
        <f>Demand_LP!D$10/31</f>
        <v>338.76323407775027</v>
      </c>
      <c r="BC242" s="16">
        <f>Demand_LP!E$10/31</f>
        <v>735.04776674937955</v>
      </c>
      <c r="BD242" s="16">
        <f>Demand_LP!F$10/31</f>
        <v>479.51259046732832</v>
      </c>
      <c r="BE242" s="16">
        <f>Demand_LP!G$10/31</f>
        <v>479.51259046732832</v>
      </c>
      <c r="BF242" s="16">
        <f>Demand_LP!H$10/31</f>
        <v>528.30835401157981</v>
      </c>
      <c r="BG242" s="16">
        <f>Demand_LP!I$10/31</f>
        <v>479.51259046732832</v>
      </c>
      <c r="BH242" s="16">
        <f>Demand_LP!J$10/31</f>
        <v>479.51259046732832</v>
      </c>
      <c r="BI242" s="16">
        <f>Demand_LP!K$10/31</f>
        <v>479.51259046732832</v>
      </c>
      <c r="BJ242" s="16">
        <f t="shared" si="106"/>
        <v>-176556.83155456369</v>
      </c>
      <c r="BK242" s="16">
        <f t="shared" si="107"/>
        <v>-137029.90760959455</v>
      </c>
      <c r="BL242" s="16">
        <f t="shared" si="108"/>
        <v>-66235.547063689024</v>
      </c>
      <c r="BM242" s="16">
        <f t="shared" si="109"/>
        <v>-173890.4909680555</v>
      </c>
      <c r="BN242" s="16">
        <f t="shared" si="110"/>
        <v>-102884.1197421961</v>
      </c>
      <c r="BO242" s="16">
        <f t="shared" si="111"/>
        <v>-101341.80366056683</v>
      </c>
      <c r="BP242" s="16">
        <f t="shared" si="112"/>
        <v>-131387.4870967739</v>
      </c>
      <c r="BQ242" s="16">
        <f t="shared" si="113"/>
        <v>-101341.80366056683</v>
      </c>
      <c r="BR242" s="16">
        <f t="shared" si="114"/>
        <v>-98941.803660566875</v>
      </c>
      <c r="BS242" s="16">
        <f t="shared" si="115"/>
        <v>-99641.80366056686</v>
      </c>
      <c r="BT242" s="14">
        <f>IF([1]Sheet2!CB241=999999,"NA",[1]Sheet2!CB241)</f>
        <v>0</v>
      </c>
      <c r="BU242" s="14">
        <f>IF([1]Sheet2!CC241=999999,"NA",[1]Sheet2!CC241)</f>
        <v>0</v>
      </c>
      <c r="BV242" s="14">
        <f>IF([1]Sheet2!CD241=999999,"NA",[1]Sheet2!CD241)</f>
        <v>0</v>
      </c>
      <c r="BW242" s="14">
        <f>IF([1]Sheet2!CE241=999999,"NA",[1]Sheet2!CE241)</f>
        <v>0</v>
      </c>
      <c r="BX242" s="14">
        <f>IF([1]Sheet2!CF241=999999,"NA",[1]Sheet2!CF241)</f>
        <v>0</v>
      </c>
      <c r="BY242" s="14">
        <f>IF([1]Sheet2!CG241=999999,"NA",[1]Sheet2!CG241)</f>
        <v>0</v>
      </c>
      <c r="BZ242" s="14">
        <f>IF([1]Sheet2!CH241=999999,"NA",[1]Sheet2!CH241)</f>
        <v>0</v>
      </c>
      <c r="CA242" s="14">
        <f>IF([1]Sheet2!CI241=999999,"NA",[1]Sheet2!CI241)</f>
        <v>0</v>
      </c>
      <c r="CB242" s="14">
        <f>IF([1]Sheet2!CJ241=999999,"NA",[1]Sheet2!CJ241)</f>
        <v>0</v>
      </c>
      <c r="CC242" s="14">
        <f>IF([1]Sheet2!CK241=999999,"NA",[1]Sheet2!CK241)</f>
        <v>0</v>
      </c>
      <c r="CD242" s="14">
        <f>[1]Sheet2!BH241</f>
        <v>0</v>
      </c>
      <c r="CE242" s="14">
        <f>[1]Sheet2!BI241</f>
        <v>0</v>
      </c>
      <c r="CF242" s="14">
        <f>[1]Sheet2!BJ241</f>
        <v>0</v>
      </c>
      <c r="CG242" s="14">
        <f>[1]Sheet2!BK241</f>
        <v>0</v>
      </c>
      <c r="CH242" s="14">
        <f>[1]Sheet2!BL241</f>
        <v>0</v>
      </c>
      <c r="CI242" s="14">
        <f>[1]Sheet2!BM241</f>
        <v>0</v>
      </c>
      <c r="CJ242" s="14">
        <f>[1]Sheet2!BN241</f>
        <v>0</v>
      </c>
      <c r="CK242" s="14">
        <f>[1]Sheet2!BO241</f>
        <v>0</v>
      </c>
      <c r="CL242" s="14">
        <f>[1]Sheet2!BP241</f>
        <v>0</v>
      </c>
      <c r="CM242" s="14">
        <f>[1]Sheet2!BQ241</f>
        <v>0</v>
      </c>
      <c r="CN242" s="16">
        <f>Demand_SW!B$10/31</f>
        <v>131.01736972704714</v>
      </c>
      <c r="CO242" s="16">
        <f>Demand_SW!C$10/31</f>
        <v>0</v>
      </c>
      <c r="CP242" s="16">
        <f>Demand_SW!D$10/31</f>
        <v>0</v>
      </c>
      <c r="CQ242" s="16">
        <f>Demand_SW!E$10/31</f>
        <v>0</v>
      </c>
      <c r="CR242" s="16">
        <f>Demand_SW!F$10/31</f>
        <v>0</v>
      </c>
      <c r="CS242" s="16">
        <f>Demand_SW!G$10/31</f>
        <v>131.01736972704714</v>
      </c>
      <c r="CT242" s="16">
        <f>Demand_SW!H$10/31</f>
        <v>0</v>
      </c>
      <c r="CU242" s="16">
        <f>Demand_SW!I$10/31</f>
        <v>0</v>
      </c>
      <c r="CV242" s="16">
        <f>Demand_SW!J$10/31</f>
        <v>0</v>
      </c>
      <c r="CW242" s="16">
        <f>Demand_SW!K$10/31</f>
        <v>0</v>
      </c>
      <c r="CX242" s="16">
        <f t="shared" si="116"/>
        <v>-27196.699751861077</v>
      </c>
      <c r="CY242" s="16">
        <f t="shared" si="117"/>
        <v>76.923076923077133</v>
      </c>
      <c r="CZ242" s="16">
        <f t="shared" si="118"/>
        <v>0</v>
      </c>
      <c r="DA242" s="16">
        <f t="shared" si="119"/>
        <v>0</v>
      </c>
      <c r="DB242" s="16">
        <f t="shared" si="120"/>
        <v>0</v>
      </c>
      <c r="DC242" s="16">
        <f t="shared" si="121"/>
        <v>-26725.930521091846</v>
      </c>
      <c r="DD242" s="16">
        <f t="shared" si="122"/>
        <v>76.923076923077133</v>
      </c>
      <c r="DE242" s="16">
        <f t="shared" si="123"/>
        <v>0</v>
      </c>
      <c r="DF242" s="16">
        <f t="shared" si="124"/>
        <v>0</v>
      </c>
      <c r="DG242" s="16">
        <f t="shared" si="125"/>
        <v>0</v>
      </c>
      <c r="DH242" s="14">
        <f>IF([1]Sheet2!DS241=999999,"NA",[1]Sheet2!DS241)</f>
        <v>0</v>
      </c>
      <c r="DI242" s="14">
        <f>IF([1]Sheet2!DT241=999999,"NA",[1]Sheet2!DT241)</f>
        <v>126</v>
      </c>
      <c r="DJ242" s="14" t="str">
        <f>IF([1]Sheet2!DU241=999999,"NA",[1]Sheet2!DU241)</f>
        <v>NA</v>
      </c>
      <c r="DK242" s="14" t="str">
        <f>IF([1]Sheet2!DV241=999999,"NA",[1]Sheet2!DV241)</f>
        <v>NA</v>
      </c>
      <c r="DL242" s="14" t="str">
        <f>IF([1]Sheet2!DW241=999999,"NA",[1]Sheet2!DW241)</f>
        <v>NA</v>
      </c>
      <c r="DM242" s="14">
        <f>IF([1]Sheet2!DX241=999999,"NA",[1]Sheet2!DX241)</f>
        <v>0</v>
      </c>
      <c r="DN242" s="14">
        <f>IF([1]Sheet2!DY241=999999,"NA",[1]Sheet2!DY241)</f>
        <v>126</v>
      </c>
      <c r="DO242" s="14" t="str">
        <f>IF([1]Sheet2!DZ241=999999,"NA",[1]Sheet2!DZ241)</f>
        <v>NA</v>
      </c>
      <c r="DP242" s="14" t="str">
        <f>IF([1]Sheet2!EA241=999999,"NA",[1]Sheet2!EA241)</f>
        <v>NA</v>
      </c>
      <c r="DQ242" s="14" t="str">
        <f>IF([1]Sheet2!EB241=999999,"NA",[1]Sheet2!EB241)</f>
        <v>NA</v>
      </c>
      <c r="DR242" s="14">
        <f>[1]Sheet2!CY241</f>
        <v>0</v>
      </c>
      <c r="DS242" s="14">
        <f>[1]Sheet2!CZ241</f>
        <v>0</v>
      </c>
      <c r="DT242" s="14">
        <f>[1]Sheet2!DA241</f>
        <v>0</v>
      </c>
      <c r="DU242" s="14">
        <f>[1]Sheet2!DB241</f>
        <v>0</v>
      </c>
      <c r="DV242" s="14">
        <f>[1]Sheet2!DC241</f>
        <v>0</v>
      </c>
      <c r="DW242" s="14">
        <f>[1]Sheet2!DD241</f>
        <v>0</v>
      </c>
      <c r="DX242" s="14">
        <f>[1]Sheet2!DE241</f>
        <v>0</v>
      </c>
      <c r="DY242" s="14">
        <f>[1]Sheet2!DF241</f>
        <v>0</v>
      </c>
      <c r="DZ242" s="14">
        <f>[1]Sheet2!DG241</f>
        <v>0</v>
      </c>
      <c r="EA242" s="14">
        <f>[1]Sheet2!DH241</f>
        <v>0</v>
      </c>
      <c r="EB242" s="6">
        <f>[1]Sheet2!EC241</f>
        <v>0</v>
      </c>
      <c r="EC242" s="6">
        <f>[1]Sheet2!ED241</f>
        <v>0</v>
      </c>
      <c r="ED242" s="6">
        <f>[1]Sheet2!EE241</f>
        <v>0</v>
      </c>
      <c r="EE242" s="6">
        <f>[1]Sheet2!EF241</f>
        <v>0</v>
      </c>
      <c r="EF242" s="6">
        <f>[1]Sheet2!EG241</f>
        <v>0</v>
      </c>
      <c r="EG242" s="6">
        <f>[1]Sheet2!EH241</f>
        <v>0</v>
      </c>
      <c r="EH242" s="6">
        <f>[1]Sheet2!EI241</f>
        <v>0</v>
      </c>
      <c r="EI242" s="6">
        <f>[1]Sheet2!EJ241</f>
        <v>0</v>
      </c>
      <c r="EJ242" s="6">
        <f>[1]Sheet2!EK241</f>
        <v>0</v>
      </c>
      <c r="EK242" s="6">
        <f>[1]Sheet2!EL241</f>
        <v>0</v>
      </c>
      <c r="EL242" s="6" t="str">
        <f>[1]Sheet2!EM241</f>
        <v/>
      </c>
      <c r="EM242" s="6" t="str">
        <f>[1]Sheet2!EN241</f>
        <v/>
      </c>
      <c r="EN242" s="6" t="str">
        <f>[1]Sheet2!EO241</f>
        <v/>
      </c>
      <c r="EO242" s="6" t="str">
        <f>[1]Sheet2!EP241</f>
        <v/>
      </c>
      <c r="EP242" s="6" t="str">
        <f>[1]Sheet2!EQ241</f>
        <v/>
      </c>
      <c r="EQ242" s="6" t="str">
        <f>[1]Sheet2!ER241</f>
        <v/>
      </c>
      <c r="ER242" s="6" t="str">
        <f>[1]Sheet2!ES241</f>
        <v/>
      </c>
      <c r="ES242" s="6" t="str">
        <f>[1]Sheet2!ET241</f>
        <v/>
      </c>
      <c r="ET242" s="6" t="str">
        <f>[1]Sheet2!EU241</f>
        <v/>
      </c>
      <c r="EU242" s="6" t="str">
        <f>[1]Sheet2!EV241</f>
        <v/>
      </c>
      <c r="EV242" s="6" t="str">
        <f>[1]Sheet2!EW241</f>
        <v/>
      </c>
      <c r="EW242" s="6" t="str">
        <f>[1]Sheet2!EX241</f>
        <v/>
      </c>
      <c r="EX242" s="6" t="str">
        <f>[1]Sheet2!EY241</f>
        <v/>
      </c>
      <c r="EY242" s="6" t="str">
        <f>[1]Sheet2!EZ241</f>
        <v/>
      </c>
      <c r="EZ242" s="6" t="str">
        <f>[1]Sheet2!FA241</f>
        <v/>
      </c>
      <c r="FA242" s="6" t="str">
        <f>[1]Sheet2!FB241</f>
        <v/>
      </c>
      <c r="FB242" s="6" t="str">
        <f>[1]Sheet2!FC241</f>
        <v/>
      </c>
      <c r="FC242" s="6" t="str">
        <f>[1]Sheet2!FD241</f>
        <v/>
      </c>
      <c r="FD242" s="6" t="str">
        <f>[1]Sheet2!FE241</f>
        <v/>
      </c>
      <c r="FE242" s="6" t="str">
        <f>[1]Sheet2!FF241</f>
        <v/>
      </c>
      <c r="FF242" s="6" t="str">
        <f>[1]Sheet2!FG241</f>
        <v/>
      </c>
      <c r="FG242" s="6" t="str">
        <f>[1]Sheet2!FH241</f>
        <v/>
      </c>
      <c r="FH242" s="6" t="str">
        <f>[1]Sheet2!FI241</f>
        <v/>
      </c>
      <c r="FI242" s="6" t="str">
        <f>[1]Sheet2!FJ241</f>
        <v/>
      </c>
      <c r="FJ242" s="6" t="str">
        <f>[1]Sheet2!FK241</f>
        <v/>
      </c>
      <c r="FK242" s="6" t="str">
        <f>[1]Sheet2!FL241</f>
        <v/>
      </c>
      <c r="FL242" s="6" t="str">
        <f>[1]Sheet2!FM241</f>
        <v/>
      </c>
      <c r="FM242" s="6" t="str">
        <f>[1]Sheet2!FN241</f>
        <v/>
      </c>
      <c r="FN242" s="6" t="str">
        <f>[1]Sheet2!FO241</f>
        <v/>
      </c>
      <c r="FO242" s="6" t="str">
        <f>[1]Sheet2!FP241</f>
        <v/>
      </c>
    </row>
    <row r="243" spans="1:171" x14ac:dyDescent="0.25">
      <c r="A243" s="15">
        <v>43705</v>
      </c>
      <c r="B243" s="1"/>
      <c r="C243" s="1"/>
      <c r="D243" s="1"/>
      <c r="E243" s="14">
        <f>[1]Sheet2!N242</f>
        <v>0</v>
      </c>
      <c r="F243" s="14">
        <f>[1]Sheet2!BE242</f>
        <v>0</v>
      </c>
      <c r="G243" s="14">
        <f>[1]Sheet2!CW242</f>
        <v>0</v>
      </c>
      <c r="H243" s="1"/>
      <c r="I243" s="1"/>
      <c r="J243" s="1"/>
      <c r="K243" s="16"/>
      <c r="L243" s="16">
        <f>Demand_CWRS!B$10/31</f>
        <v>120.8438508064516</v>
      </c>
      <c r="M243" s="16">
        <f>Demand_CWRS!C$10/31</f>
        <v>552.80165425971859</v>
      </c>
      <c r="N243" s="16">
        <f>Demand_CWRS!D$10/31</f>
        <v>0</v>
      </c>
      <c r="O243" s="16">
        <f>Demand_CWRS!E$10/31</f>
        <v>141.75971877584777</v>
      </c>
      <c r="P243" s="16">
        <f>Demand_CWRS!F$10/31</f>
        <v>252.70758116211746</v>
      </c>
      <c r="Q243" s="16">
        <f>Demand_CWRS!G$10/31</f>
        <v>116.12903225806451</v>
      </c>
      <c r="R243" s="16">
        <f>Demand_CWRS!H$10/31</f>
        <v>252.70758116211746</v>
      </c>
      <c r="S243" s="16">
        <f>Demand_CWRS!I$10/31</f>
        <v>252.70758116211746</v>
      </c>
      <c r="T243" s="16">
        <f>Demand_CWRS!J$10/31</f>
        <v>252.70758116211746</v>
      </c>
      <c r="U243" s="16">
        <f>Demand_CWRS!K$10/31</f>
        <v>252.70758116211746</v>
      </c>
      <c r="V243" s="16">
        <f t="shared" si="96"/>
        <v>-30005.100658054031</v>
      </c>
      <c r="W243" s="16">
        <f t="shared" si="97"/>
        <v>-118447.42837055381</v>
      </c>
      <c r="X243" s="16">
        <f t="shared" si="98"/>
        <v>0</v>
      </c>
      <c r="Y243" s="16">
        <f t="shared" si="99"/>
        <v>-21862.715342211857</v>
      </c>
      <c r="Z243" s="16">
        <f t="shared" si="100"/>
        <v>-51952.401507974188</v>
      </c>
      <c r="AA243" s="16">
        <f t="shared" si="101"/>
        <v>-28547.312589660796</v>
      </c>
      <c r="AB243" s="16">
        <f t="shared" si="102"/>
        <v>-56261.566283615146</v>
      </c>
      <c r="AC243" s="16">
        <f t="shared" si="103"/>
        <v>-50468.556027204955</v>
      </c>
      <c r="AD243" s="16">
        <f t="shared" si="104"/>
        <v>-50568.556027204948</v>
      </c>
      <c r="AE243" s="16">
        <f t="shared" si="105"/>
        <v>-51168.556027204941</v>
      </c>
      <c r="AF243" s="14">
        <f>IF([1]Sheet2!AJ242=999999,"NA",[1]Sheet2!AJ242)</f>
        <v>0</v>
      </c>
      <c r="AG243" s="14">
        <f>IF([1]Sheet2!AK242=999999,"NA",[1]Sheet2!AK242)</f>
        <v>0</v>
      </c>
      <c r="AH243" s="14" t="str">
        <f>IF([1]Sheet2!AL242=999999,"NA",[1]Sheet2!AL242)</f>
        <v>NA</v>
      </c>
      <c r="AI243" s="14">
        <f>IF([1]Sheet2!AM242=999999,"NA",[1]Sheet2!AM242)</f>
        <v>0</v>
      </c>
      <c r="AJ243" s="14">
        <f>IF([1]Sheet2!AN242=999999,"NA",[1]Sheet2!AN242)</f>
        <v>0</v>
      </c>
      <c r="AK243" s="14">
        <f>IF([1]Sheet2!AO242=999999,"NA",[1]Sheet2!AO242)</f>
        <v>0</v>
      </c>
      <c r="AL243" s="14">
        <f>IF([1]Sheet2!AP242=999999,"NA",[1]Sheet2!AP242)</f>
        <v>0</v>
      </c>
      <c r="AM243" s="14">
        <f>IF([1]Sheet2!AQ242=999999,"NA",[1]Sheet2!AQ242)</f>
        <v>0</v>
      </c>
      <c r="AN243" s="14">
        <f>IF([1]Sheet2!AR242=999999,"NA",[1]Sheet2!AR242)</f>
        <v>0</v>
      </c>
      <c r="AO243" s="14">
        <f>IF([1]Sheet2!AS242=999999,"NA",[1]Sheet2!AS242)</f>
        <v>0</v>
      </c>
      <c r="AP243" s="14">
        <f>[1]Sheet2!P242</f>
        <v>0</v>
      </c>
      <c r="AQ243" s="14">
        <f>[1]Sheet2!Q242</f>
        <v>0</v>
      </c>
      <c r="AR243" s="14">
        <f>[1]Sheet2!R242</f>
        <v>0</v>
      </c>
      <c r="AS243" s="14">
        <f>[1]Sheet2!S242</f>
        <v>0</v>
      </c>
      <c r="AT243" s="14">
        <f>[1]Sheet2!T242</f>
        <v>0</v>
      </c>
      <c r="AU243" s="14">
        <f>[1]Sheet2!U242</f>
        <v>0</v>
      </c>
      <c r="AV243" s="14">
        <f>[1]Sheet2!V242</f>
        <v>0</v>
      </c>
      <c r="AW243" s="14">
        <f>[1]Sheet2!W242</f>
        <v>0</v>
      </c>
      <c r="AX243" s="14">
        <f>[1]Sheet2!X242</f>
        <v>0</v>
      </c>
      <c r="AY243" s="14">
        <f>[1]Sheet2!Y242</f>
        <v>0</v>
      </c>
      <c r="AZ243" s="16">
        <f>Demand_LP!B$10/31</f>
        <v>857.18246226220015</v>
      </c>
      <c r="BA243" s="16">
        <f>Demand_LP!C$10/31</f>
        <v>528.30835401157981</v>
      </c>
      <c r="BB243" s="16">
        <f>Demand_LP!D$10/31</f>
        <v>338.76323407775027</v>
      </c>
      <c r="BC243" s="16">
        <f>Demand_LP!E$10/31</f>
        <v>735.04776674937955</v>
      </c>
      <c r="BD243" s="16">
        <f>Demand_LP!F$10/31</f>
        <v>479.51259046732832</v>
      </c>
      <c r="BE243" s="16">
        <f>Demand_LP!G$10/31</f>
        <v>479.51259046732832</v>
      </c>
      <c r="BF243" s="16">
        <f>Demand_LP!H$10/31</f>
        <v>528.30835401157981</v>
      </c>
      <c r="BG243" s="16">
        <f>Demand_LP!I$10/31</f>
        <v>479.51259046732832</v>
      </c>
      <c r="BH243" s="16">
        <f>Demand_LP!J$10/31</f>
        <v>479.51259046732832</v>
      </c>
      <c r="BI243" s="16">
        <f>Demand_LP!K$10/31</f>
        <v>479.51259046732832</v>
      </c>
      <c r="BJ243" s="16">
        <f t="shared" si="106"/>
        <v>-177414.01401682588</v>
      </c>
      <c r="BK243" s="16">
        <f t="shared" si="107"/>
        <v>-137558.21596360614</v>
      </c>
      <c r="BL243" s="16">
        <f t="shared" si="108"/>
        <v>-66574.310297766773</v>
      </c>
      <c r="BM243" s="16">
        <f t="shared" si="109"/>
        <v>-174625.53873480487</v>
      </c>
      <c r="BN243" s="16">
        <f t="shared" si="110"/>
        <v>-103363.63233266343</v>
      </c>
      <c r="BO243" s="16">
        <f t="shared" si="111"/>
        <v>-101821.31625103416</v>
      </c>
      <c r="BP243" s="16">
        <f t="shared" si="112"/>
        <v>-131915.79545078549</v>
      </c>
      <c r="BQ243" s="16">
        <f t="shared" si="113"/>
        <v>-101821.31625103416</v>
      </c>
      <c r="BR243" s="16">
        <f t="shared" si="114"/>
        <v>-99421.316251034208</v>
      </c>
      <c r="BS243" s="16">
        <f t="shared" si="115"/>
        <v>-100121.31625103419</v>
      </c>
      <c r="BT243" s="14">
        <f>IF([1]Sheet2!CB242=999999,"NA",[1]Sheet2!CB242)</f>
        <v>0</v>
      </c>
      <c r="BU243" s="14">
        <f>IF([1]Sheet2!CC242=999999,"NA",[1]Sheet2!CC242)</f>
        <v>0</v>
      </c>
      <c r="BV243" s="14">
        <f>IF([1]Sheet2!CD242=999999,"NA",[1]Sheet2!CD242)</f>
        <v>0</v>
      </c>
      <c r="BW243" s="14">
        <f>IF([1]Sheet2!CE242=999999,"NA",[1]Sheet2!CE242)</f>
        <v>0</v>
      </c>
      <c r="BX243" s="14">
        <f>IF([1]Sheet2!CF242=999999,"NA",[1]Sheet2!CF242)</f>
        <v>0</v>
      </c>
      <c r="BY243" s="14">
        <f>IF([1]Sheet2!CG242=999999,"NA",[1]Sheet2!CG242)</f>
        <v>0</v>
      </c>
      <c r="BZ243" s="14">
        <f>IF([1]Sheet2!CH242=999999,"NA",[1]Sheet2!CH242)</f>
        <v>0</v>
      </c>
      <c r="CA243" s="14">
        <f>IF([1]Sheet2!CI242=999999,"NA",[1]Sheet2!CI242)</f>
        <v>0</v>
      </c>
      <c r="CB243" s="14">
        <f>IF([1]Sheet2!CJ242=999999,"NA",[1]Sheet2!CJ242)</f>
        <v>0</v>
      </c>
      <c r="CC243" s="14">
        <f>IF([1]Sheet2!CK242=999999,"NA",[1]Sheet2!CK242)</f>
        <v>0</v>
      </c>
      <c r="CD243" s="14">
        <f>[1]Sheet2!BH242</f>
        <v>0</v>
      </c>
      <c r="CE243" s="14">
        <f>[1]Sheet2!BI242</f>
        <v>0</v>
      </c>
      <c r="CF243" s="14">
        <f>[1]Sheet2!BJ242</f>
        <v>0</v>
      </c>
      <c r="CG243" s="14">
        <f>[1]Sheet2!BK242</f>
        <v>0</v>
      </c>
      <c r="CH243" s="14">
        <f>[1]Sheet2!BL242</f>
        <v>0</v>
      </c>
      <c r="CI243" s="14">
        <f>[1]Sheet2!BM242</f>
        <v>0</v>
      </c>
      <c r="CJ243" s="14">
        <f>[1]Sheet2!BN242</f>
        <v>0</v>
      </c>
      <c r="CK243" s="14">
        <f>[1]Sheet2!BO242</f>
        <v>0</v>
      </c>
      <c r="CL243" s="14">
        <f>[1]Sheet2!BP242</f>
        <v>0</v>
      </c>
      <c r="CM243" s="14">
        <f>[1]Sheet2!BQ242</f>
        <v>0</v>
      </c>
      <c r="CN243" s="16">
        <f>Demand_SW!B$10/31</f>
        <v>131.01736972704714</v>
      </c>
      <c r="CO243" s="16">
        <f>Demand_SW!C$10/31</f>
        <v>0</v>
      </c>
      <c r="CP243" s="16">
        <f>Demand_SW!D$10/31</f>
        <v>0</v>
      </c>
      <c r="CQ243" s="16">
        <f>Demand_SW!E$10/31</f>
        <v>0</v>
      </c>
      <c r="CR243" s="16">
        <f>Demand_SW!F$10/31</f>
        <v>0</v>
      </c>
      <c r="CS243" s="16">
        <f>Demand_SW!G$10/31</f>
        <v>131.01736972704714</v>
      </c>
      <c r="CT243" s="16">
        <f>Demand_SW!H$10/31</f>
        <v>0</v>
      </c>
      <c r="CU243" s="16">
        <f>Demand_SW!I$10/31</f>
        <v>0</v>
      </c>
      <c r="CV243" s="16">
        <f>Demand_SW!J$10/31</f>
        <v>0</v>
      </c>
      <c r="CW243" s="16">
        <f>Demand_SW!K$10/31</f>
        <v>0</v>
      </c>
      <c r="CX243" s="16">
        <f t="shared" si="116"/>
        <v>-27327.717121588124</v>
      </c>
      <c r="CY243" s="16">
        <f t="shared" si="117"/>
        <v>76.923076923077133</v>
      </c>
      <c r="CZ243" s="16">
        <f t="shared" si="118"/>
        <v>0</v>
      </c>
      <c r="DA243" s="16">
        <f t="shared" si="119"/>
        <v>0</v>
      </c>
      <c r="DB243" s="16">
        <f t="shared" si="120"/>
        <v>0</v>
      </c>
      <c r="DC243" s="16">
        <f t="shared" si="121"/>
        <v>-26856.947890818894</v>
      </c>
      <c r="DD243" s="16">
        <f t="shared" si="122"/>
        <v>76.923076923077133</v>
      </c>
      <c r="DE243" s="16">
        <f t="shared" si="123"/>
        <v>0</v>
      </c>
      <c r="DF243" s="16">
        <f t="shared" si="124"/>
        <v>0</v>
      </c>
      <c r="DG243" s="16">
        <f t="shared" si="125"/>
        <v>0</v>
      </c>
      <c r="DH243" s="14">
        <f>IF([1]Sheet2!DS242=999999,"NA",[1]Sheet2!DS242)</f>
        <v>0</v>
      </c>
      <c r="DI243" s="14">
        <f>IF([1]Sheet2!DT242=999999,"NA",[1]Sheet2!DT242)</f>
        <v>125</v>
      </c>
      <c r="DJ243" s="14" t="str">
        <f>IF([1]Sheet2!DU242=999999,"NA",[1]Sheet2!DU242)</f>
        <v>NA</v>
      </c>
      <c r="DK243" s="14" t="str">
        <f>IF([1]Sheet2!DV242=999999,"NA",[1]Sheet2!DV242)</f>
        <v>NA</v>
      </c>
      <c r="DL243" s="14" t="str">
        <f>IF([1]Sheet2!DW242=999999,"NA",[1]Sheet2!DW242)</f>
        <v>NA</v>
      </c>
      <c r="DM243" s="14">
        <f>IF([1]Sheet2!DX242=999999,"NA",[1]Sheet2!DX242)</f>
        <v>0</v>
      </c>
      <c r="DN243" s="14">
        <f>IF([1]Sheet2!DY242=999999,"NA",[1]Sheet2!DY242)</f>
        <v>125</v>
      </c>
      <c r="DO243" s="14" t="str">
        <f>IF([1]Sheet2!DZ242=999999,"NA",[1]Sheet2!DZ242)</f>
        <v>NA</v>
      </c>
      <c r="DP243" s="14" t="str">
        <f>IF([1]Sheet2!EA242=999999,"NA",[1]Sheet2!EA242)</f>
        <v>NA</v>
      </c>
      <c r="DQ243" s="14" t="str">
        <f>IF([1]Sheet2!EB242=999999,"NA",[1]Sheet2!EB242)</f>
        <v>NA</v>
      </c>
      <c r="DR243" s="14">
        <f>[1]Sheet2!CY242</f>
        <v>0</v>
      </c>
      <c r="DS243" s="14">
        <f>[1]Sheet2!CZ242</f>
        <v>0</v>
      </c>
      <c r="DT243" s="14">
        <f>[1]Sheet2!DA242</f>
        <v>0</v>
      </c>
      <c r="DU243" s="14">
        <f>[1]Sheet2!DB242</f>
        <v>0</v>
      </c>
      <c r="DV243" s="14">
        <f>[1]Sheet2!DC242</f>
        <v>0</v>
      </c>
      <c r="DW243" s="14">
        <f>[1]Sheet2!DD242</f>
        <v>0</v>
      </c>
      <c r="DX243" s="14">
        <f>[1]Sheet2!DE242</f>
        <v>0</v>
      </c>
      <c r="DY243" s="14">
        <f>[1]Sheet2!DF242</f>
        <v>0</v>
      </c>
      <c r="DZ243" s="14">
        <f>[1]Sheet2!DG242</f>
        <v>0</v>
      </c>
      <c r="EA243" s="14">
        <f>[1]Sheet2!DH242</f>
        <v>0</v>
      </c>
      <c r="EB243" s="6">
        <f>[1]Sheet2!EC242</f>
        <v>0</v>
      </c>
      <c r="EC243" s="6">
        <f>[1]Sheet2!ED242</f>
        <v>0</v>
      </c>
      <c r="ED243" s="6">
        <f>[1]Sheet2!EE242</f>
        <v>0</v>
      </c>
      <c r="EE243" s="6">
        <f>[1]Sheet2!EF242</f>
        <v>0</v>
      </c>
      <c r="EF243" s="6">
        <f>[1]Sheet2!EG242</f>
        <v>0</v>
      </c>
      <c r="EG243" s="6">
        <f>[1]Sheet2!EH242</f>
        <v>0</v>
      </c>
      <c r="EH243" s="6">
        <f>[1]Sheet2!EI242</f>
        <v>0</v>
      </c>
      <c r="EI243" s="6">
        <f>[1]Sheet2!EJ242</f>
        <v>0</v>
      </c>
      <c r="EJ243" s="6">
        <f>[1]Sheet2!EK242</f>
        <v>0</v>
      </c>
      <c r="EK243" s="6">
        <f>[1]Sheet2!EL242</f>
        <v>0</v>
      </c>
      <c r="EL243" s="6" t="str">
        <f>[1]Sheet2!EM242</f>
        <v/>
      </c>
      <c r="EM243" s="6" t="str">
        <f>[1]Sheet2!EN242</f>
        <v/>
      </c>
      <c r="EN243" s="6" t="str">
        <f>[1]Sheet2!EO242</f>
        <v/>
      </c>
      <c r="EO243" s="6" t="str">
        <f>[1]Sheet2!EP242</f>
        <v/>
      </c>
      <c r="EP243" s="6" t="str">
        <f>[1]Sheet2!EQ242</f>
        <v/>
      </c>
      <c r="EQ243" s="6" t="str">
        <f>[1]Sheet2!ER242</f>
        <v/>
      </c>
      <c r="ER243" s="6" t="str">
        <f>[1]Sheet2!ES242</f>
        <v/>
      </c>
      <c r="ES243" s="6" t="str">
        <f>[1]Sheet2!ET242</f>
        <v/>
      </c>
      <c r="ET243" s="6" t="str">
        <f>[1]Sheet2!EU242</f>
        <v/>
      </c>
      <c r="EU243" s="6" t="str">
        <f>[1]Sheet2!EV242</f>
        <v/>
      </c>
      <c r="EV243" s="6" t="str">
        <f>[1]Sheet2!EW242</f>
        <v/>
      </c>
      <c r="EW243" s="6" t="str">
        <f>[1]Sheet2!EX242</f>
        <v/>
      </c>
      <c r="EX243" s="6" t="str">
        <f>[1]Sheet2!EY242</f>
        <v/>
      </c>
      <c r="EY243" s="6" t="str">
        <f>[1]Sheet2!EZ242</f>
        <v/>
      </c>
      <c r="EZ243" s="6" t="str">
        <f>[1]Sheet2!FA242</f>
        <v/>
      </c>
      <c r="FA243" s="6" t="str">
        <f>[1]Sheet2!FB242</f>
        <v/>
      </c>
      <c r="FB243" s="6" t="str">
        <f>[1]Sheet2!FC242</f>
        <v/>
      </c>
      <c r="FC243" s="6" t="str">
        <f>[1]Sheet2!FD242</f>
        <v/>
      </c>
      <c r="FD243" s="6" t="str">
        <f>[1]Sheet2!FE242</f>
        <v/>
      </c>
      <c r="FE243" s="6" t="str">
        <f>[1]Sheet2!FF242</f>
        <v/>
      </c>
      <c r="FF243" s="6" t="str">
        <f>[1]Sheet2!FG242</f>
        <v/>
      </c>
      <c r="FG243" s="6" t="str">
        <f>[1]Sheet2!FH242</f>
        <v/>
      </c>
      <c r="FH243" s="6" t="str">
        <f>[1]Sheet2!FI242</f>
        <v/>
      </c>
      <c r="FI243" s="6" t="str">
        <f>[1]Sheet2!FJ242</f>
        <v/>
      </c>
      <c r="FJ243" s="6" t="str">
        <f>[1]Sheet2!FK242</f>
        <v/>
      </c>
      <c r="FK243" s="6" t="str">
        <f>[1]Sheet2!FL242</f>
        <v/>
      </c>
      <c r="FL243" s="6" t="str">
        <f>[1]Sheet2!FM242</f>
        <v/>
      </c>
      <c r="FM243" s="6" t="str">
        <f>[1]Sheet2!FN242</f>
        <v/>
      </c>
      <c r="FN243" s="6" t="str">
        <f>[1]Sheet2!FO242</f>
        <v/>
      </c>
      <c r="FO243" s="6" t="str">
        <f>[1]Sheet2!FP242</f>
        <v/>
      </c>
    </row>
    <row r="244" spans="1:171" x14ac:dyDescent="0.25">
      <c r="A244" s="15">
        <v>43706</v>
      </c>
      <c r="B244" s="1"/>
      <c r="C244" s="1"/>
      <c r="D244" s="1"/>
      <c r="E244" s="14">
        <f>[1]Sheet2!N243</f>
        <v>0</v>
      </c>
      <c r="F244" s="14">
        <f>[1]Sheet2!BE243</f>
        <v>0</v>
      </c>
      <c r="G244" s="14">
        <f>[1]Sheet2!CW243</f>
        <v>0</v>
      </c>
      <c r="H244" s="1"/>
      <c r="I244" s="1"/>
      <c r="J244" s="1"/>
      <c r="K244" s="16"/>
      <c r="L244" s="16">
        <f>Demand_CWRS!B$10/31</f>
        <v>120.8438508064516</v>
      </c>
      <c r="M244" s="16">
        <f>Demand_CWRS!C$10/31</f>
        <v>552.80165425971859</v>
      </c>
      <c r="N244" s="16">
        <f>Demand_CWRS!D$10/31</f>
        <v>0</v>
      </c>
      <c r="O244" s="16">
        <f>Demand_CWRS!E$10/31</f>
        <v>141.75971877584777</v>
      </c>
      <c r="P244" s="16">
        <f>Demand_CWRS!F$10/31</f>
        <v>252.70758116211746</v>
      </c>
      <c r="Q244" s="16">
        <f>Demand_CWRS!G$10/31</f>
        <v>116.12903225806451</v>
      </c>
      <c r="R244" s="16">
        <f>Demand_CWRS!H$10/31</f>
        <v>252.70758116211746</v>
      </c>
      <c r="S244" s="16">
        <f>Demand_CWRS!I$10/31</f>
        <v>252.70758116211746</v>
      </c>
      <c r="T244" s="16">
        <f>Demand_CWRS!J$10/31</f>
        <v>252.70758116211746</v>
      </c>
      <c r="U244" s="16">
        <f>Demand_CWRS!K$10/31</f>
        <v>252.70758116211746</v>
      </c>
      <c r="V244" s="16">
        <f t="shared" si="96"/>
        <v>-30125.944508860481</v>
      </c>
      <c r="W244" s="16">
        <f t="shared" si="97"/>
        <v>-119000.23002481353</v>
      </c>
      <c r="X244" s="16">
        <f t="shared" si="98"/>
        <v>0</v>
      </c>
      <c r="Y244" s="16">
        <f t="shared" si="99"/>
        <v>-22004.475060987705</v>
      </c>
      <c r="Z244" s="16">
        <f t="shared" si="100"/>
        <v>-52205.109089136306</v>
      </c>
      <c r="AA244" s="16">
        <f t="shared" si="101"/>
        <v>-28663.441621918861</v>
      </c>
      <c r="AB244" s="16">
        <f t="shared" si="102"/>
        <v>-56514.273864777264</v>
      </c>
      <c r="AC244" s="16">
        <f t="shared" si="103"/>
        <v>-50721.263608367073</v>
      </c>
      <c r="AD244" s="16">
        <f t="shared" si="104"/>
        <v>-50821.263608367066</v>
      </c>
      <c r="AE244" s="16">
        <f t="shared" si="105"/>
        <v>-51421.263608367059</v>
      </c>
      <c r="AF244" s="14">
        <f>IF([1]Sheet2!AJ243=999999,"NA",[1]Sheet2!AJ243)</f>
        <v>0</v>
      </c>
      <c r="AG244" s="14">
        <f>IF([1]Sheet2!AK243=999999,"NA",[1]Sheet2!AK243)</f>
        <v>0</v>
      </c>
      <c r="AH244" s="14" t="str">
        <f>IF([1]Sheet2!AL243=999999,"NA",[1]Sheet2!AL243)</f>
        <v>NA</v>
      </c>
      <c r="AI244" s="14">
        <f>IF([1]Sheet2!AM243=999999,"NA",[1]Sheet2!AM243)</f>
        <v>0</v>
      </c>
      <c r="AJ244" s="14">
        <f>IF([1]Sheet2!AN243=999999,"NA",[1]Sheet2!AN243)</f>
        <v>0</v>
      </c>
      <c r="AK244" s="14">
        <f>IF([1]Sheet2!AO243=999999,"NA",[1]Sheet2!AO243)</f>
        <v>0</v>
      </c>
      <c r="AL244" s="14">
        <f>IF([1]Sheet2!AP243=999999,"NA",[1]Sheet2!AP243)</f>
        <v>0</v>
      </c>
      <c r="AM244" s="14">
        <f>IF([1]Sheet2!AQ243=999999,"NA",[1]Sheet2!AQ243)</f>
        <v>0</v>
      </c>
      <c r="AN244" s="14">
        <f>IF([1]Sheet2!AR243=999999,"NA",[1]Sheet2!AR243)</f>
        <v>0</v>
      </c>
      <c r="AO244" s="14">
        <f>IF([1]Sheet2!AS243=999999,"NA",[1]Sheet2!AS243)</f>
        <v>0</v>
      </c>
      <c r="AP244" s="14">
        <f>[1]Sheet2!P243</f>
        <v>0</v>
      </c>
      <c r="AQ244" s="14">
        <f>[1]Sheet2!Q243</f>
        <v>0</v>
      </c>
      <c r="AR244" s="14">
        <f>[1]Sheet2!R243</f>
        <v>0</v>
      </c>
      <c r="AS244" s="14">
        <f>[1]Sheet2!S243</f>
        <v>0</v>
      </c>
      <c r="AT244" s="14">
        <f>[1]Sheet2!T243</f>
        <v>0</v>
      </c>
      <c r="AU244" s="14">
        <f>[1]Sheet2!U243</f>
        <v>0</v>
      </c>
      <c r="AV244" s="14">
        <f>[1]Sheet2!V243</f>
        <v>0</v>
      </c>
      <c r="AW244" s="14">
        <f>[1]Sheet2!W243</f>
        <v>0</v>
      </c>
      <c r="AX244" s="14">
        <f>[1]Sheet2!X243</f>
        <v>0</v>
      </c>
      <c r="AY244" s="14">
        <f>[1]Sheet2!Y243</f>
        <v>0</v>
      </c>
      <c r="AZ244" s="16">
        <f>Demand_LP!B$10/31</f>
        <v>857.18246226220015</v>
      </c>
      <c r="BA244" s="16">
        <f>Demand_LP!C$10/31</f>
        <v>528.30835401157981</v>
      </c>
      <c r="BB244" s="16">
        <f>Demand_LP!D$10/31</f>
        <v>338.76323407775027</v>
      </c>
      <c r="BC244" s="16">
        <f>Demand_LP!E$10/31</f>
        <v>735.04776674937955</v>
      </c>
      <c r="BD244" s="16">
        <f>Demand_LP!F$10/31</f>
        <v>479.51259046732832</v>
      </c>
      <c r="BE244" s="16">
        <f>Demand_LP!G$10/31</f>
        <v>479.51259046732832</v>
      </c>
      <c r="BF244" s="16">
        <f>Demand_LP!H$10/31</f>
        <v>528.30835401157981</v>
      </c>
      <c r="BG244" s="16">
        <f>Demand_LP!I$10/31</f>
        <v>479.51259046732832</v>
      </c>
      <c r="BH244" s="16">
        <f>Demand_LP!J$10/31</f>
        <v>479.51259046732832</v>
      </c>
      <c r="BI244" s="16">
        <f>Demand_LP!K$10/31</f>
        <v>479.51259046732832</v>
      </c>
      <c r="BJ244" s="16">
        <f t="shared" si="106"/>
        <v>-178271.19647908807</v>
      </c>
      <c r="BK244" s="16">
        <f t="shared" si="107"/>
        <v>-138086.52431761773</v>
      </c>
      <c r="BL244" s="16">
        <f t="shared" si="108"/>
        <v>-66913.073531844522</v>
      </c>
      <c r="BM244" s="16">
        <f t="shared" si="109"/>
        <v>-175360.58650155424</v>
      </c>
      <c r="BN244" s="16">
        <f t="shared" si="110"/>
        <v>-103843.14492313076</v>
      </c>
      <c r="BO244" s="16">
        <f t="shared" si="111"/>
        <v>-102300.8288415015</v>
      </c>
      <c r="BP244" s="16">
        <f t="shared" si="112"/>
        <v>-132444.10380479708</v>
      </c>
      <c r="BQ244" s="16">
        <f t="shared" si="113"/>
        <v>-102300.8288415015</v>
      </c>
      <c r="BR244" s="16">
        <f t="shared" si="114"/>
        <v>-99900.828841501541</v>
      </c>
      <c r="BS244" s="16">
        <f t="shared" si="115"/>
        <v>-100600.82884150153</v>
      </c>
      <c r="BT244" s="14">
        <f>IF([1]Sheet2!CB243=999999,"NA",[1]Sheet2!CB243)</f>
        <v>0</v>
      </c>
      <c r="BU244" s="14">
        <f>IF([1]Sheet2!CC243=999999,"NA",[1]Sheet2!CC243)</f>
        <v>0</v>
      </c>
      <c r="BV244" s="14">
        <f>IF([1]Sheet2!CD243=999999,"NA",[1]Sheet2!CD243)</f>
        <v>0</v>
      </c>
      <c r="BW244" s="14">
        <f>IF([1]Sheet2!CE243=999999,"NA",[1]Sheet2!CE243)</f>
        <v>0</v>
      </c>
      <c r="BX244" s="14">
        <f>IF([1]Sheet2!CF243=999999,"NA",[1]Sheet2!CF243)</f>
        <v>0</v>
      </c>
      <c r="BY244" s="14">
        <f>IF([1]Sheet2!CG243=999999,"NA",[1]Sheet2!CG243)</f>
        <v>0</v>
      </c>
      <c r="BZ244" s="14">
        <f>IF([1]Sheet2!CH243=999999,"NA",[1]Sheet2!CH243)</f>
        <v>0</v>
      </c>
      <c r="CA244" s="14">
        <f>IF([1]Sheet2!CI243=999999,"NA",[1]Sheet2!CI243)</f>
        <v>0</v>
      </c>
      <c r="CB244" s="14">
        <f>IF([1]Sheet2!CJ243=999999,"NA",[1]Sheet2!CJ243)</f>
        <v>0</v>
      </c>
      <c r="CC244" s="14">
        <f>IF([1]Sheet2!CK243=999999,"NA",[1]Sheet2!CK243)</f>
        <v>0</v>
      </c>
      <c r="CD244" s="14">
        <f>[1]Sheet2!BH243</f>
        <v>0</v>
      </c>
      <c r="CE244" s="14">
        <f>[1]Sheet2!BI243</f>
        <v>0</v>
      </c>
      <c r="CF244" s="14">
        <f>[1]Sheet2!BJ243</f>
        <v>0</v>
      </c>
      <c r="CG244" s="14">
        <f>[1]Sheet2!BK243</f>
        <v>0</v>
      </c>
      <c r="CH244" s="14">
        <f>[1]Sheet2!BL243</f>
        <v>0</v>
      </c>
      <c r="CI244" s="14">
        <f>[1]Sheet2!BM243</f>
        <v>0</v>
      </c>
      <c r="CJ244" s="14">
        <f>[1]Sheet2!BN243</f>
        <v>0</v>
      </c>
      <c r="CK244" s="14">
        <f>[1]Sheet2!BO243</f>
        <v>0</v>
      </c>
      <c r="CL244" s="14">
        <f>[1]Sheet2!BP243</f>
        <v>0</v>
      </c>
      <c r="CM244" s="14">
        <f>[1]Sheet2!BQ243</f>
        <v>0</v>
      </c>
      <c r="CN244" s="16">
        <f>Demand_SW!B$10/31</f>
        <v>131.01736972704714</v>
      </c>
      <c r="CO244" s="16">
        <f>Demand_SW!C$10/31</f>
        <v>0</v>
      </c>
      <c r="CP244" s="16">
        <f>Demand_SW!D$10/31</f>
        <v>0</v>
      </c>
      <c r="CQ244" s="16">
        <f>Demand_SW!E$10/31</f>
        <v>0</v>
      </c>
      <c r="CR244" s="16">
        <f>Demand_SW!F$10/31</f>
        <v>0</v>
      </c>
      <c r="CS244" s="16">
        <f>Demand_SW!G$10/31</f>
        <v>131.01736972704714</v>
      </c>
      <c r="CT244" s="16">
        <f>Demand_SW!H$10/31</f>
        <v>0</v>
      </c>
      <c r="CU244" s="16">
        <f>Demand_SW!I$10/31</f>
        <v>0</v>
      </c>
      <c r="CV244" s="16">
        <f>Demand_SW!J$10/31</f>
        <v>0</v>
      </c>
      <c r="CW244" s="16">
        <f>Demand_SW!K$10/31</f>
        <v>0</v>
      </c>
      <c r="CX244" s="16">
        <f t="shared" si="116"/>
        <v>-27458.734491315172</v>
      </c>
      <c r="CY244" s="16">
        <f t="shared" si="117"/>
        <v>76.923076923077133</v>
      </c>
      <c r="CZ244" s="16">
        <f t="shared" si="118"/>
        <v>0</v>
      </c>
      <c r="DA244" s="16">
        <f t="shared" si="119"/>
        <v>0</v>
      </c>
      <c r="DB244" s="16">
        <f t="shared" si="120"/>
        <v>0</v>
      </c>
      <c r="DC244" s="16">
        <f t="shared" si="121"/>
        <v>-26987.965260545941</v>
      </c>
      <c r="DD244" s="16">
        <f t="shared" si="122"/>
        <v>76.923076923077133</v>
      </c>
      <c r="DE244" s="16">
        <f t="shared" si="123"/>
        <v>0</v>
      </c>
      <c r="DF244" s="16">
        <f t="shared" si="124"/>
        <v>0</v>
      </c>
      <c r="DG244" s="16">
        <f t="shared" si="125"/>
        <v>0</v>
      </c>
      <c r="DH244" s="14">
        <f>IF([1]Sheet2!DS243=999999,"NA",[1]Sheet2!DS243)</f>
        <v>0</v>
      </c>
      <c r="DI244" s="14">
        <f>IF([1]Sheet2!DT243=999999,"NA",[1]Sheet2!DT243)</f>
        <v>124</v>
      </c>
      <c r="DJ244" s="14" t="str">
        <f>IF([1]Sheet2!DU243=999999,"NA",[1]Sheet2!DU243)</f>
        <v>NA</v>
      </c>
      <c r="DK244" s="14" t="str">
        <f>IF([1]Sheet2!DV243=999999,"NA",[1]Sheet2!DV243)</f>
        <v>NA</v>
      </c>
      <c r="DL244" s="14" t="str">
        <f>IF([1]Sheet2!DW243=999999,"NA",[1]Sheet2!DW243)</f>
        <v>NA</v>
      </c>
      <c r="DM244" s="14">
        <f>IF([1]Sheet2!DX243=999999,"NA",[1]Sheet2!DX243)</f>
        <v>0</v>
      </c>
      <c r="DN244" s="14">
        <f>IF([1]Sheet2!DY243=999999,"NA",[1]Sheet2!DY243)</f>
        <v>124</v>
      </c>
      <c r="DO244" s="14" t="str">
        <f>IF([1]Sheet2!DZ243=999999,"NA",[1]Sheet2!DZ243)</f>
        <v>NA</v>
      </c>
      <c r="DP244" s="14" t="str">
        <f>IF([1]Sheet2!EA243=999999,"NA",[1]Sheet2!EA243)</f>
        <v>NA</v>
      </c>
      <c r="DQ244" s="14" t="str">
        <f>IF([1]Sheet2!EB243=999999,"NA",[1]Sheet2!EB243)</f>
        <v>NA</v>
      </c>
      <c r="DR244" s="14">
        <f>[1]Sheet2!CY243</f>
        <v>0</v>
      </c>
      <c r="DS244" s="14">
        <f>[1]Sheet2!CZ243</f>
        <v>0</v>
      </c>
      <c r="DT244" s="14">
        <f>[1]Sheet2!DA243</f>
        <v>0</v>
      </c>
      <c r="DU244" s="14">
        <f>[1]Sheet2!DB243</f>
        <v>0</v>
      </c>
      <c r="DV244" s="14">
        <f>[1]Sheet2!DC243</f>
        <v>0</v>
      </c>
      <c r="DW244" s="14">
        <f>[1]Sheet2!DD243</f>
        <v>0</v>
      </c>
      <c r="DX244" s="14">
        <f>[1]Sheet2!DE243</f>
        <v>0</v>
      </c>
      <c r="DY244" s="14">
        <f>[1]Sheet2!DF243</f>
        <v>0</v>
      </c>
      <c r="DZ244" s="14">
        <f>[1]Sheet2!DG243</f>
        <v>0</v>
      </c>
      <c r="EA244" s="14">
        <f>[1]Sheet2!DH243</f>
        <v>0</v>
      </c>
      <c r="EB244" s="6">
        <f>[1]Sheet2!EC243</f>
        <v>0</v>
      </c>
      <c r="EC244" s="6">
        <f>[1]Sheet2!ED243</f>
        <v>0</v>
      </c>
      <c r="ED244" s="6">
        <f>[1]Sheet2!EE243</f>
        <v>0</v>
      </c>
      <c r="EE244" s="6">
        <f>[1]Sheet2!EF243</f>
        <v>0</v>
      </c>
      <c r="EF244" s="6">
        <f>[1]Sheet2!EG243</f>
        <v>0</v>
      </c>
      <c r="EG244" s="6">
        <f>[1]Sheet2!EH243</f>
        <v>0</v>
      </c>
      <c r="EH244" s="6">
        <f>[1]Sheet2!EI243</f>
        <v>0</v>
      </c>
      <c r="EI244" s="6">
        <f>[1]Sheet2!EJ243</f>
        <v>0</v>
      </c>
      <c r="EJ244" s="6">
        <f>[1]Sheet2!EK243</f>
        <v>0</v>
      </c>
      <c r="EK244" s="6">
        <f>[1]Sheet2!EL243</f>
        <v>0</v>
      </c>
      <c r="EL244" s="6" t="str">
        <f>[1]Sheet2!EM243</f>
        <v/>
      </c>
      <c r="EM244" s="6" t="str">
        <f>[1]Sheet2!EN243</f>
        <v/>
      </c>
      <c r="EN244" s="6" t="str">
        <f>[1]Sheet2!EO243</f>
        <v/>
      </c>
      <c r="EO244" s="6" t="str">
        <f>[1]Sheet2!EP243</f>
        <v/>
      </c>
      <c r="EP244" s="6" t="str">
        <f>[1]Sheet2!EQ243</f>
        <v/>
      </c>
      <c r="EQ244" s="6" t="str">
        <f>[1]Sheet2!ER243</f>
        <v/>
      </c>
      <c r="ER244" s="6" t="str">
        <f>[1]Sheet2!ES243</f>
        <v/>
      </c>
      <c r="ES244" s="6" t="str">
        <f>[1]Sheet2!ET243</f>
        <v/>
      </c>
      <c r="ET244" s="6" t="str">
        <f>[1]Sheet2!EU243</f>
        <v/>
      </c>
      <c r="EU244" s="6" t="str">
        <f>[1]Sheet2!EV243</f>
        <v/>
      </c>
      <c r="EV244" s="6" t="str">
        <f>[1]Sheet2!EW243</f>
        <v/>
      </c>
      <c r="EW244" s="6" t="str">
        <f>[1]Sheet2!EX243</f>
        <v/>
      </c>
      <c r="EX244" s="6" t="str">
        <f>[1]Sheet2!EY243</f>
        <v/>
      </c>
      <c r="EY244" s="6" t="str">
        <f>[1]Sheet2!EZ243</f>
        <v/>
      </c>
      <c r="EZ244" s="6" t="str">
        <f>[1]Sheet2!FA243</f>
        <v/>
      </c>
      <c r="FA244" s="6" t="str">
        <f>[1]Sheet2!FB243</f>
        <v/>
      </c>
      <c r="FB244" s="6" t="str">
        <f>[1]Sheet2!FC243</f>
        <v/>
      </c>
      <c r="FC244" s="6" t="str">
        <f>[1]Sheet2!FD243</f>
        <v/>
      </c>
      <c r="FD244" s="6" t="str">
        <f>[1]Sheet2!FE243</f>
        <v/>
      </c>
      <c r="FE244" s="6" t="str">
        <f>[1]Sheet2!FF243</f>
        <v/>
      </c>
      <c r="FF244" s="6" t="str">
        <f>[1]Sheet2!FG243</f>
        <v/>
      </c>
      <c r="FG244" s="6" t="str">
        <f>[1]Sheet2!FH243</f>
        <v/>
      </c>
      <c r="FH244" s="6" t="str">
        <f>[1]Sheet2!FI243</f>
        <v/>
      </c>
      <c r="FI244" s="6" t="str">
        <f>[1]Sheet2!FJ243</f>
        <v/>
      </c>
      <c r="FJ244" s="6" t="str">
        <f>[1]Sheet2!FK243</f>
        <v/>
      </c>
      <c r="FK244" s="6" t="str">
        <f>[1]Sheet2!FL243</f>
        <v/>
      </c>
      <c r="FL244" s="6" t="str">
        <f>[1]Sheet2!FM243</f>
        <v/>
      </c>
      <c r="FM244" s="6" t="str">
        <f>[1]Sheet2!FN243</f>
        <v/>
      </c>
      <c r="FN244" s="6" t="str">
        <f>[1]Sheet2!FO243</f>
        <v/>
      </c>
      <c r="FO244" s="6" t="str">
        <f>[1]Sheet2!FP243</f>
        <v/>
      </c>
    </row>
    <row r="245" spans="1:171" x14ac:dyDescent="0.25">
      <c r="A245" s="15">
        <v>43707</v>
      </c>
      <c r="B245" s="1"/>
      <c r="C245" s="1"/>
      <c r="D245" s="1"/>
      <c r="E245" s="14">
        <f>[1]Sheet2!N244</f>
        <v>0</v>
      </c>
      <c r="F245" s="14">
        <f>[1]Sheet2!BE244</f>
        <v>0</v>
      </c>
      <c r="G245" s="14">
        <f>[1]Sheet2!CW244</f>
        <v>0</v>
      </c>
      <c r="H245" s="1"/>
      <c r="I245" s="1"/>
      <c r="J245" s="1"/>
      <c r="K245" s="16"/>
      <c r="L245" s="16">
        <f>Demand_CWRS!B$10/31</f>
        <v>120.8438508064516</v>
      </c>
      <c r="M245" s="16">
        <f>Demand_CWRS!C$10/31</f>
        <v>552.80165425971859</v>
      </c>
      <c r="N245" s="16">
        <f>Demand_CWRS!D$10/31</f>
        <v>0</v>
      </c>
      <c r="O245" s="16">
        <f>Demand_CWRS!E$10/31</f>
        <v>141.75971877584777</v>
      </c>
      <c r="P245" s="16">
        <f>Demand_CWRS!F$10/31</f>
        <v>252.70758116211746</v>
      </c>
      <c r="Q245" s="16">
        <f>Demand_CWRS!G$10/31</f>
        <v>116.12903225806451</v>
      </c>
      <c r="R245" s="16">
        <f>Demand_CWRS!H$10/31</f>
        <v>252.70758116211746</v>
      </c>
      <c r="S245" s="16">
        <f>Demand_CWRS!I$10/31</f>
        <v>252.70758116211746</v>
      </c>
      <c r="T245" s="16">
        <f>Demand_CWRS!J$10/31</f>
        <v>252.70758116211746</v>
      </c>
      <c r="U245" s="16">
        <f>Demand_CWRS!K$10/31</f>
        <v>252.70758116211746</v>
      </c>
      <c r="V245" s="16">
        <f t="shared" si="96"/>
        <v>-30246.788359666931</v>
      </c>
      <c r="W245" s="16">
        <f t="shared" si="97"/>
        <v>-119553.03167907325</v>
      </c>
      <c r="X245" s="16">
        <f t="shared" si="98"/>
        <v>0</v>
      </c>
      <c r="Y245" s="16">
        <f t="shared" si="99"/>
        <v>-22146.234779763552</v>
      </c>
      <c r="Z245" s="16">
        <f t="shared" si="100"/>
        <v>-52457.816670298424</v>
      </c>
      <c r="AA245" s="16">
        <f t="shared" si="101"/>
        <v>-28779.570654176925</v>
      </c>
      <c r="AB245" s="16">
        <f t="shared" si="102"/>
        <v>-56766.981445939382</v>
      </c>
      <c r="AC245" s="16">
        <f t="shared" si="103"/>
        <v>-50973.971189529191</v>
      </c>
      <c r="AD245" s="16">
        <f t="shared" si="104"/>
        <v>-51073.971189529184</v>
      </c>
      <c r="AE245" s="16">
        <f t="shared" si="105"/>
        <v>-51673.971189529177</v>
      </c>
      <c r="AF245" s="14">
        <f>IF([1]Sheet2!AJ244=999999,"NA",[1]Sheet2!AJ244)</f>
        <v>0</v>
      </c>
      <c r="AG245" s="14">
        <f>IF([1]Sheet2!AK244=999999,"NA",[1]Sheet2!AK244)</f>
        <v>0</v>
      </c>
      <c r="AH245" s="14" t="str">
        <f>IF([1]Sheet2!AL244=999999,"NA",[1]Sheet2!AL244)</f>
        <v>NA</v>
      </c>
      <c r="AI245" s="14">
        <f>IF([1]Sheet2!AM244=999999,"NA",[1]Sheet2!AM244)</f>
        <v>0</v>
      </c>
      <c r="AJ245" s="14">
        <f>IF([1]Sheet2!AN244=999999,"NA",[1]Sheet2!AN244)</f>
        <v>0</v>
      </c>
      <c r="AK245" s="14">
        <f>IF([1]Sheet2!AO244=999999,"NA",[1]Sheet2!AO244)</f>
        <v>0</v>
      </c>
      <c r="AL245" s="14">
        <f>IF([1]Sheet2!AP244=999999,"NA",[1]Sheet2!AP244)</f>
        <v>0</v>
      </c>
      <c r="AM245" s="14">
        <f>IF([1]Sheet2!AQ244=999999,"NA",[1]Sheet2!AQ244)</f>
        <v>0</v>
      </c>
      <c r="AN245" s="14">
        <f>IF([1]Sheet2!AR244=999999,"NA",[1]Sheet2!AR244)</f>
        <v>0</v>
      </c>
      <c r="AO245" s="14">
        <f>IF([1]Sheet2!AS244=999999,"NA",[1]Sheet2!AS244)</f>
        <v>0</v>
      </c>
      <c r="AP245" s="14">
        <f>[1]Sheet2!P244</f>
        <v>0</v>
      </c>
      <c r="AQ245" s="14">
        <f>[1]Sheet2!Q244</f>
        <v>0</v>
      </c>
      <c r="AR245" s="14">
        <f>[1]Sheet2!R244</f>
        <v>0</v>
      </c>
      <c r="AS245" s="14">
        <f>[1]Sheet2!S244</f>
        <v>0</v>
      </c>
      <c r="AT245" s="14">
        <f>[1]Sheet2!T244</f>
        <v>0</v>
      </c>
      <c r="AU245" s="14">
        <f>[1]Sheet2!U244</f>
        <v>0</v>
      </c>
      <c r="AV245" s="14">
        <f>[1]Sheet2!V244</f>
        <v>0</v>
      </c>
      <c r="AW245" s="14">
        <f>[1]Sheet2!W244</f>
        <v>0</v>
      </c>
      <c r="AX245" s="14">
        <f>[1]Sheet2!X244</f>
        <v>0</v>
      </c>
      <c r="AY245" s="14">
        <f>[1]Sheet2!Y244</f>
        <v>0</v>
      </c>
      <c r="AZ245" s="16">
        <f>Demand_LP!B$10/31</f>
        <v>857.18246226220015</v>
      </c>
      <c r="BA245" s="16">
        <f>Demand_LP!C$10/31</f>
        <v>528.30835401157981</v>
      </c>
      <c r="BB245" s="16">
        <f>Demand_LP!D$10/31</f>
        <v>338.76323407775027</v>
      </c>
      <c r="BC245" s="16">
        <f>Demand_LP!E$10/31</f>
        <v>735.04776674937955</v>
      </c>
      <c r="BD245" s="16">
        <f>Demand_LP!F$10/31</f>
        <v>479.51259046732832</v>
      </c>
      <c r="BE245" s="16">
        <f>Demand_LP!G$10/31</f>
        <v>479.51259046732832</v>
      </c>
      <c r="BF245" s="16">
        <f>Demand_LP!H$10/31</f>
        <v>528.30835401157981</v>
      </c>
      <c r="BG245" s="16">
        <f>Demand_LP!I$10/31</f>
        <v>479.51259046732832</v>
      </c>
      <c r="BH245" s="16">
        <f>Demand_LP!J$10/31</f>
        <v>479.51259046732832</v>
      </c>
      <c r="BI245" s="16">
        <f>Demand_LP!K$10/31</f>
        <v>479.51259046732832</v>
      </c>
      <c r="BJ245" s="16">
        <f t="shared" si="106"/>
        <v>-179128.37894135027</v>
      </c>
      <c r="BK245" s="16">
        <f t="shared" si="107"/>
        <v>-138614.83267162932</v>
      </c>
      <c r="BL245" s="16">
        <f t="shared" si="108"/>
        <v>-67251.836765922271</v>
      </c>
      <c r="BM245" s="16">
        <f t="shared" si="109"/>
        <v>-176095.63426830361</v>
      </c>
      <c r="BN245" s="16">
        <f t="shared" si="110"/>
        <v>-104322.6575135981</v>
      </c>
      <c r="BO245" s="16">
        <f t="shared" si="111"/>
        <v>-102780.34143196883</v>
      </c>
      <c r="BP245" s="16">
        <f t="shared" si="112"/>
        <v>-132972.41215880867</v>
      </c>
      <c r="BQ245" s="16">
        <f t="shared" si="113"/>
        <v>-102780.34143196883</v>
      </c>
      <c r="BR245" s="16">
        <f t="shared" si="114"/>
        <v>-100380.34143196887</v>
      </c>
      <c r="BS245" s="16">
        <f t="shared" si="115"/>
        <v>-101080.34143196886</v>
      </c>
      <c r="BT245" s="14">
        <f>IF([1]Sheet2!CB244=999999,"NA",[1]Sheet2!CB244)</f>
        <v>0</v>
      </c>
      <c r="BU245" s="14">
        <f>IF([1]Sheet2!CC244=999999,"NA",[1]Sheet2!CC244)</f>
        <v>0</v>
      </c>
      <c r="BV245" s="14">
        <f>IF([1]Sheet2!CD244=999999,"NA",[1]Sheet2!CD244)</f>
        <v>0</v>
      </c>
      <c r="BW245" s="14">
        <f>IF([1]Sheet2!CE244=999999,"NA",[1]Sheet2!CE244)</f>
        <v>0</v>
      </c>
      <c r="BX245" s="14">
        <f>IF([1]Sheet2!CF244=999999,"NA",[1]Sheet2!CF244)</f>
        <v>0</v>
      </c>
      <c r="BY245" s="14">
        <f>IF([1]Sheet2!CG244=999999,"NA",[1]Sheet2!CG244)</f>
        <v>0</v>
      </c>
      <c r="BZ245" s="14">
        <f>IF([1]Sheet2!CH244=999999,"NA",[1]Sheet2!CH244)</f>
        <v>0</v>
      </c>
      <c r="CA245" s="14">
        <f>IF([1]Sheet2!CI244=999999,"NA",[1]Sheet2!CI244)</f>
        <v>0</v>
      </c>
      <c r="CB245" s="14">
        <f>IF([1]Sheet2!CJ244=999999,"NA",[1]Sheet2!CJ244)</f>
        <v>0</v>
      </c>
      <c r="CC245" s="14">
        <f>IF([1]Sheet2!CK244=999999,"NA",[1]Sheet2!CK244)</f>
        <v>0</v>
      </c>
      <c r="CD245" s="14">
        <f>[1]Sheet2!BH244</f>
        <v>0</v>
      </c>
      <c r="CE245" s="14">
        <f>[1]Sheet2!BI244</f>
        <v>0</v>
      </c>
      <c r="CF245" s="14">
        <f>[1]Sheet2!BJ244</f>
        <v>0</v>
      </c>
      <c r="CG245" s="14">
        <f>[1]Sheet2!BK244</f>
        <v>0</v>
      </c>
      <c r="CH245" s="14">
        <f>[1]Sheet2!BL244</f>
        <v>0</v>
      </c>
      <c r="CI245" s="14">
        <f>[1]Sheet2!BM244</f>
        <v>0</v>
      </c>
      <c r="CJ245" s="14">
        <f>[1]Sheet2!BN244</f>
        <v>0</v>
      </c>
      <c r="CK245" s="14">
        <f>[1]Sheet2!BO244</f>
        <v>0</v>
      </c>
      <c r="CL245" s="14">
        <f>[1]Sheet2!BP244</f>
        <v>0</v>
      </c>
      <c r="CM245" s="14">
        <f>[1]Sheet2!BQ244</f>
        <v>0</v>
      </c>
      <c r="CN245" s="16">
        <f>Demand_SW!B$10/31</f>
        <v>131.01736972704714</v>
      </c>
      <c r="CO245" s="16">
        <f>Demand_SW!C$10/31</f>
        <v>0</v>
      </c>
      <c r="CP245" s="16">
        <f>Demand_SW!D$10/31</f>
        <v>0</v>
      </c>
      <c r="CQ245" s="16">
        <f>Demand_SW!E$10/31</f>
        <v>0</v>
      </c>
      <c r="CR245" s="16">
        <f>Demand_SW!F$10/31</f>
        <v>0</v>
      </c>
      <c r="CS245" s="16">
        <f>Demand_SW!G$10/31</f>
        <v>131.01736972704714</v>
      </c>
      <c r="CT245" s="16">
        <f>Demand_SW!H$10/31</f>
        <v>0</v>
      </c>
      <c r="CU245" s="16">
        <f>Demand_SW!I$10/31</f>
        <v>0</v>
      </c>
      <c r="CV245" s="16">
        <f>Demand_SW!J$10/31</f>
        <v>0</v>
      </c>
      <c r="CW245" s="16">
        <f>Demand_SW!K$10/31</f>
        <v>0</v>
      </c>
      <c r="CX245" s="16">
        <f t="shared" si="116"/>
        <v>-27589.751861042219</v>
      </c>
      <c r="CY245" s="16">
        <f t="shared" si="117"/>
        <v>76.923076923077133</v>
      </c>
      <c r="CZ245" s="16">
        <f t="shared" si="118"/>
        <v>0</v>
      </c>
      <c r="DA245" s="16">
        <f t="shared" si="119"/>
        <v>0</v>
      </c>
      <c r="DB245" s="16">
        <f t="shared" si="120"/>
        <v>0</v>
      </c>
      <c r="DC245" s="16">
        <f t="shared" si="121"/>
        <v>-27118.982630272989</v>
      </c>
      <c r="DD245" s="16">
        <f t="shared" si="122"/>
        <v>76.923076923077133</v>
      </c>
      <c r="DE245" s="16">
        <f t="shared" si="123"/>
        <v>0</v>
      </c>
      <c r="DF245" s="16">
        <f t="shared" si="124"/>
        <v>0</v>
      </c>
      <c r="DG245" s="16">
        <f t="shared" si="125"/>
        <v>0</v>
      </c>
      <c r="DH245" s="14">
        <f>IF([1]Sheet2!DS244=999999,"NA",[1]Sheet2!DS244)</f>
        <v>0</v>
      </c>
      <c r="DI245" s="14">
        <f>IF([1]Sheet2!DT244=999999,"NA",[1]Sheet2!DT244)</f>
        <v>123</v>
      </c>
      <c r="DJ245" s="14" t="str">
        <f>IF([1]Sheet2!DU244=999999,"NA",[1]Sheet2!DU244)</f>
        <v>NA</v>
      </c>
      <c r="DK245" s="14" t="str">
        <f>IF([1]Sheet2!DV244=999999,"NA",[1]Sheet2!DV244)</f>
        <v>NA</v>
      </c>
      <c r="DL245" s="14" t="str">
        <f>IF([1]Sheet2!DW244=999999,"NA",[1]Sheet2!DW244)</f>
        <v>NA</v>
      </c>
      <c r="DM245" s="14">
        <f>IF([1]Sheet2!DX244=999999,"NA",[1]Sheet2!DX244)</f>
        <v>0</v>
      </c>
      <c r="DN245" s="14">
        <f>IF([1]Sheet2!DY244=999999,"NA",[1]Sheet2!DY244)</f>
        <v>123</v>
      </c>
      <c r="DO245" s="14" t="str">
        <f>IF([1]Sheet2!DZ244=999999,"NA",[1]Sheet2!DZ244)</f>
        <v>NA</v>
      </c>
      <c r="DP245" s="14" t="str">
        <f>IF([1]Sheet2!EA244=999999,"NA",[1]Sheet2!EA244)</f>
        <v>NA</v>
      </c>
      <c r="DQ245" s="14" t="str">
        <f>IF([1]Sheet2!EB244=999999,"NA",[1]Sheet2!EB244)</f>
        <v>NA</v>
      </c>
      <c r="DR245" s="14">
        <f>[1]Sheet2!CY244</f>
        <v>0</v>
      </c>
      <c r="DS245" s="14">
        <f>[1]Sheet2!CZ244</f>
        <v>0</v>
      </c>
      <c r="DT245" s="14">
        <f>[1]Sheet2!DA244</f>
        <v>0</v>
      </c>
      <c r="DU245" s="14">
        <f>[1]Sheet2!DB244</f>
        <v>0</v>
      </c>
      <c r="DV245" s="14">
        <f>[1]Sheet2!DC244</f>
        <v>0</v>
      </c>
      <c r="DW245" s="14">
        <f>[1]Sheet2!DD244</f>
        <v>0</v>
      </c>
      <c r="DX245" s="14">
        <f>[1]Sheet2!DE244</f>
        <v>0</v>
      </c>
      <c r="DY245" s="14">
        <f>[1]Sheet2!DF244</f>
        <v>0</v>
      </c>
      <c r="DZ245" s="14">
        <f>[1]Sheet2!DG244</f>
        <v>0</v>
      </c>
      <c r="EA245" s="14">
        <f>[1]Sheet2!DH244</f>
        <v>0</v>
      </c>
      <c r="EB245" s="6">
        <f>[1]Sheet2!EC244</f>
        <v>0</v>
      </c>
      <c r="EC245" s="6">
        <f>[1]Sheet2!ED244</f>
        <v>0</v>
      </c>
      <c r="ED245" s="6">
        <f>[1]Sheet2!EE244</f>
        <v>0</v>
      </c>
      <c r="EE245" s="6">
        <f>[1]Sheet2!EF244</f>
        <v>0</v>
      </c>
      <c r="EF245" s="6">
        <f>[1]Sheet2!EG244</f>
        <v>0</v>
      </c>
      <c r="EG245" s="6">
        <f>[1]Sheet2!EH244</f>
        <v>0</v>
      </c>
      <c r="EH245" s="6">
        <f>[1]Sheet2!EI244</f>
        <v>0</v>
      </c>
      <c r="EI245" s="6">
        <f>[1]Sheet2!EJ244</f>
        <v>0</v>
      </c>
      <c r="EJ245" s="6">
        <f>[1]Sheet2!EK244</f>
        <v>0</v>
      </c>
      <c r="EK245" s="6">
        <f>[1]Sheet2!EL244</f>
        <v>0</v>
      </c>
      <c r="EL245" s="6" t="str">
        <f>[1]Sheet2!EM244</f>
        <v/>
      </c>
      <c r="EM245" s="6" t="str">
        <f>[1]Sheet2!EN244</f>
        <v/>
      </c>
      <c r="EN245" s="6" t="str">
        <f>[1]Sheet2!EO244</f>
        <v/>
      </c>
      <c r="EO245" s="6" t="str">
        <f>[1]Sheet2!EP244</f>
        <v/>
      </c>
      <c r="EP245" s="6" t="str">
        <f>[1]Sheet2!EQ244</f>
        <v/>
      </c>
      <c r="EQ245" s="6" t="str">
        <f>[1]Sheet2!ER244</f>
        <v/>
      </c>
      <c r="ER245" s="6" t="str">
        <f>[1]Sheet2!ES244</f>
        <v/>
      </c>
      <c r="ES245" s="6" t="str">
        <f>[1]Sheet2!ET244</f>
        <v/>
      </c>
      <c r="ET245" s="6" t="str">
        <f>[1]Sheet2!EU244</f>
        <v/>
      </c>
      <c r="EU245" s="6" t="str">
        <f>[1]Sheet2!EV244</f>
        <v/>
      </c>
      <c r="EV245" s="6" t="str">
        <f>[1]Sheet2!EW244</f>
        <v/>
      </c>
      <c r="EW245" s="6" t="str">
        <f>[1]Sheet2!EX244</f>
        <v/>
      </c>
      <c r="EX245" s="6" t="str">
        <f>[1]Sheet2!EY244</f>
        <v/>
      </c>
      <c r="EY245" s="6" t="str">
        <f>[1]Sheet2!EZ244</f>
        <v/>
      </c>
      <c r="EZ245" s="6" t="str">
        <f>[1]Sheet2!FA244</f>
        <v/>
      </c>
      <c r="FA245" s="6" t="str">
        <f>[1]Sheet2!FB244</f>
        <v/>
      </c>
      <c r="FB245" s="6" t="str">
        <f>[1]Sheet2!FC244</f>
        <v/>
      </c>
      <c r="FC245" s="6" t="str">
        <f>[1]Sheet2!FD244</f>
        <v/>
      </c>
      <c r="FD245" s="6" t="str">
        <f>[1]Sheet2!FE244</f>
        <v/>
      </c>
      <c r="FE245" s="6" t="str">
        <f>[1]Sheet2!FF244</f>
        <v/>
      </c>
      <c r="FF245" s="6" t="str">
        <f>[1]Sheet2!FG244</f>
        <v/>
      </c>
      <c r="FG245" s="6" t="str">
        <f>[1]Sheet2!FH244</f>
        <v/>
      </c>
      <c r="FH245" s="6" t="str">
        <f>[1]Sheet2!FI244</f>
        <v/>
      </c>
      <c r="FI245" s="6" t="str">
        <f>[1]Sheet2!FJ244</f>
        <v/>
      </c>
      <c r="FJ245" s="6" t="str">
        <f>[1]Sheet2!FK244</f>
        <v/>
      </c>
      <c r="FK245" s="6" t="str">
        <f>[1]Sheet2!FL244</f>
        <v/>
      </c>
      <c r="FL245" s="6" t="str">
        <f>[1]Sheet2!FM244</f>
        <v/>
      </c>
      <c r="FM245" s="6" t="str">
        <f>[1]Sheet2!FN244</f>
        <v/>
      </c>
      <c r="FN245" s="6" t="str">
        <f>[1]Sheet2!FO244</f>
        <v/>
      </c>
      <c r="FO245" s="6" t="str">
        <f>[1]Sheet2!FP244</f>
        <v/>
      </c>
    </row>
    <row r="246" spans="1:171" x14ac:dyDescent="0.25">
      <c r="A246" s="15">
        <v>43708</v>
      </c>
      <c r="B246" s="1"/>
      <c r="C246" s="1"/>
      <c r="D246" s="1"/>
      <c r="E246" s="14">
        <f>[1]Sheet2!N245</f>
        <v>0</v>
      </c>
      <c r="F246" s="14">
        <f>[1]Sheet2!BE245</f>
        <v>0</v>
      </c>
      <c r="G246" s="14">
        <f>[1]Sheet2!CW245</f>
        <v>0</v>
      </c>
      <c r="H246" s="1"/>
      <c r="I246" s="1"/>
      <c r="J246" s="1"/>
      <c r="K246" s="16"/>
      <c r="L246" s="16">
        <f>Demand_CWRS!B$10/31</f>
        <v>120.8438508064516</v>
      </c>
      <c r="M246" s="16">
        <f>Demand_CWRS!C$10/31</f>
        <v>552.80165425971859</v>
      </c>
      <c r="N246" s="16">
        <f>Demand_CWRS!D$10/31</f>
        <v>0</v>
      </c>
      <c r="O246" s="16">
        <f>Demand_CWRS!E$10/31</f>
        <v>141.75971877584777</v>
      </c>
      <c r="P246" s="16">
        <f>Demand_CWRS!F$10/31</f>
        <v>252.70758116211746</v>
      </c>
      <c r="Q246" s="16">
        <f>Demand_CWRS!G$10/31</f>
        <v>116.12903225806451</v>
      </c>
      <c r="R246" s="16">
        <f>Demand_CWRS!H$10/31</f>
        <v>252.70758116211746</v>
      </c>
      <c r="S246" s="16">
        <f>Demand_CWRS!I$10/31</f>
        <v>252.70758116211746</v>
      </c>
      <c r="T246" s="16">
        <f>Demand_CWRS!J$10/31</f>
        <v>252.70758116211746</v>
      </c>
      <c r="U246" s="16">
        <f>Demand_CWRS!K$10/31</f>
        <v>252.70758116211746</v>
      </c>
      <c r="V246" s="16">
        <f t="shared" si="96"/>
        <v>-30367.632210473381</v>
      </c>
      <c r="W246" s="16">
        <f t="shared" si="97"/>
        <v>-120105.83333333296</v>
      </c>
      <c r="X246" s="16">
        <f t="shared" si="98"/>
        <v>0</v>
      </c>
      <c r="Y246" s="16">
        <f t="shared" si="99"/>
        <v>-22287.9944985394</v>
      </c>
      <c r="Z246" s="16">
        <f t="shared" si="100"/>
        <v>-52710.524251460542</v>
      </c>
      <c r="AA246" s="16">
        <f t="shared" si="101"/>
        <v>-28895.699686434989</v>
      </c>
      <c r="AB246" s="16">
        <f t="shared" si="102"/>
        <v>-57019.6890271015</v>
      </c>
      <c r="AC246" s="16">
        <f t="shared" si="103"/>
        <v>-51226.678770691309</v>
      </c>
      <c r="AD246" s="16">
        <f t="shared" si="104"/>
        <v>-51326.678770691302</v>
      </c>
      <c r="AE246" s="16">
        <f t="shared" si="105"/>
        <v>-51926.678770691295</v>
      </c>
      <c r="AF246" s="14">
        <f>IF([1]Sheet2!AJ245=999999,"NA",[1]Sheet2!AJ245)</f>
        <v>0</v>
      </c>
      <c r="AG246" s="14">
        <f>IF([1]Sheet2!AK245=999999,"NA",[1]Sheet2!AK245)</f>
        <v>0</v>
      </c>
      <c r="AH246" s="14" t="str">
        <f>IF([1]Sheet2!AL245=999999,"NA",[1]Sheet2!AL245)</f>
        <v>NA</v>
      </c>
      <c r="AI246" s="14">
        <f>IF([1]Sheet2!AM245=999999,"NA",[1]Sheet2!AM245)</f>
        <v>0</v>
      </c>
      <c r="AJ246" s="14">
        <f>IF([1]Sheet2!AN245=999999,"NA",[1]Sheet2!AN245)</f>
        <v>0</v>
      </c>
      <c r="AK246" s="14">
        <f>IF([1]Sheet2!AO245=999999,"NA",[1]Sheet2!AO245)</f>
        <v>0</v>
      </c>
      <c r="AL246" s="14">
        <f>IF([1]Sheet2!AP245=999999,"NA",[1]Sheet2!AP245)</f>
        <v>0</v>
      </c>
      <c r="AM246" s="14">
        <f>IF([1]Sheet2!AQ245=999999,"NA",[1]Sheet2!AQ245)</f>
        <v>0</v>
      </c>
      <c r="AN246" s="14">
        <f>IF([1]Sheet2!AR245=999999,"NA",[1]Sheet2!AR245)</f>
        <v>0</v>
      </c>
      <c r="AO246" s="14">
        <f>IF([1]Sheet2!AS245=999999,"NA",[1]Sheet2!AS245)</f>
        <v>0</v>
      </c>
      <c r="AP246" s="14">
        <f>[1]Sheet2!P245</f>
        <v>0</v>
      </c>
      <c r="AQ246" s="14">
        <f>[1]Sheet2!Q245</f>
        <v>0</v>
      </c>
      <c r="AR246" s="14">
        <f>[1]Sheet2!R245</f>
        <v>0</v>
      </c>
      <c r="AS246" s="14">
        <f>[1]Sheet2!S245</f>
        <v>0</v>
      </c>
      <c r="AT246" s="14">
        <f>[1]Sheet2!T245</f>
        <v>0</v>
      </c>
      <c r="AU246" s="14">
        <f>[1]Sheet2!U245</f>
        <v>0</v>
      </c>
      <c r="AV246" s="14">
        <f>[1]Sheet2!V245</f>
        <v>0</v>
      </c>
      <c r="AW246" s="14">
        <f>[1]Sheet2!W245</f>
        <v>0</v>
      </c>
      <c r="AX246" s="14">
        <f>[1]Sheet2!X245</f>
        <v>0</v>
      </c>
      <c r="AY246" s="14">
        <f>[1]Sheet2!Y245</f>
        <v>0</v>
      </c>
      <c r="AZ246" s="16">
        <f>Demand_LP!B$10/31</f>
        <v>857.18246226220015</v>
      </c>
      <c r="BA246" s="16">
        <f>Demand_LP!C$10/31</f>
        <v>528.30835401157981</v>
      </c>
      <c r="BB246" s="16">
        <f>Demand_LP!D$10/31</f>
        <v>338.76323407775027</v>
      </c>
      <c r="BC246" s="16">
        <f>Demand_LP!E$10/31</f>
        <v>735.04776674937955</v>
      </c>
      <c r="BD246" s="16">
        <f>Demand_LP!F$10/31</f>
        <v>479.51259046732832</v>
      </c>
      <c r="BE246" s="16">
        <f>Demand_LP!G$10/31</f>
        <v>479.51259046732832</v>
      </c>
      <c r="BF246" s="16">
        <f>Demand_LP!H$10/31</f>
        <v>528.30835401157981</v>
      </c>
      <c r="BG246" s="16">
        <f>Demand_LP!I$10/31</f>
        <v>479.51259046732832</v>
      </c>
      <c r="BH246" s="16">
        <f>Demand_LP!J$10/31</f>
        <v>479.51259046732832</v>
      </c>
      <c r="BI246" s="16">
        <f>Demand_LP!K$10/31</f>
        <v>479.51259046732832</v>
      </c>
      <c r="BJ246" s="16">
        <f t="shared" si="106"/>
        <v>-179985.56140361246</v>
      </c>
      <c r="BK246" s="16">
        <f t="shared" si="107"/>
        <v>-139143.14102564091</v>
      </c>
      <c r="BL246" s="16">
        <f t="shared" si="108"/>
        <v>-67590.60000000002</v>
      </c>
      <c r="BM246" s="16">
        <f t="shared" si="109"/>
        <v>-176830.68203505297</v>
      </c>
      <c r="BN246" s="16">
        <f t="shared" si="110"/>
        <v>-104802.17010406543</v>
      </c>
      <c r="BO246" s="16">
        <f t="shared" si="111"/>
        <v>-103259.85402243616</v>
      </c>
      <c r="BP246" s="16">
        <f t="shared" si="112"/>
        <v>-133500.72051282026</v>
      </c>
      <c r="BQ246" s="16">
        <f t="shared" si="113"/>
        <v>-103259.85402243616</v>
      </c>
      <c r="BR246" s="16">
        <f t="shared" si="114"/>
        <v>-100859.85402243621</v>
      </c>
      <c r="BS246" s="16">
        <f t="shared" si="115"/>
        <v>-101559.85402243619</v>
      </c>
      <c r="BT246" s="14">
        <f>IF([1]Sheet2!CB245=999999,"NA",[1]Sheet2!CB245)</f>
        <v>0</v>
      </c>
      <c r="BU246" s="14">
        <f>IF([1]Sheet2!CC245=999999,"NA",[1]Sheet2!CC245)</f>
        <v>0</v>
      </c>
      <c r="BV246" s="14">
        <f>IF([1]Sheet2!CD245=999999,"NA",[1]Sheet2!CD245)</f>
        <v>0</v>
      </c>
      <c r="BW246" s="14">
        <f>IF([1]Sheet2!CE245=999999,"NA",[1]Sheet2!CE245)</f>
        <v>0</v>
      </c>
      <c r="BX246" s="14">
        <f>IF([1]Sheet2!CF245=999999,"NA",[1]Sheet2!CF245)</f>
        <v>0</v>
      </c>
      <c r="BY246" s="14">
        <f>IF([1]Sheet2!CG245=999999,"NA",[1]Sheet2!CG245)</f>
        <v>0</v>
      </c>
      <c r="BZ246" s="14">
        <f>IF([1]Sheet2!CH245=999999,"NA",[1]Sheet2!CH245)</f>
        <v>0</v>
      </c>
      <c r="CA246" s="14">
        <f>IF([1]Sheet2!CI245=999999,"NA",[1]Sheet2!CI245)</f>
        <v>0</v>
      </c>
      <c r="CB246" s="14">
        <f>IF([1]Sheet2!CJ245=999999,"NA",[1]Sheet2!CJ245)</f>
        <v>0</v>
      </c>
      <c r="CC246" s="14">
        <f>IF([1]Sheet2!CK245=999999,"NA",[1]Sheet2!CK245)</f>
        <v>0</v>
      </c>
      <c r="CD246" s="14">
        <f>[1]Sheet2!BH245</f>
        <v>0</v>
      </c>
      <c r="CE246" s="14">
        <f>[1]Sheet2!BI245</f>
        <v>0</v>
      </c>
      <c r="CF246" s="14">
        <f>[1]Sheet2!BJ245</f>
        <v>0</v>
      </c>
      <c r="CG246" s="14">
        <f>[1]Sheet2!BK245</f>
        <v>0</v>
      </c>
      <c r="CH246" s="14">
        <f>[1]Sheet2!BL245</f>
        <v>0</v>
      </c>
      <c r="CI246" s="14">
        <f>[1]Sheet2!BM245</f>
        <v>0</v>
      </c>
      <c r="CJ246" s="14">
        <f>[1]Sheet2!BN245</f>
        <v>0</v>
      </c>
      <c r="CK246" s="14">
        <f>[1]Sheet2!BO245</f>
        <v>0</v>
      </c>
      <c r="CL246" s="14">
        <f>[1]Sheet2!BP245</f>
        <v>0</v>
      </c>
      <c r="CM246" s="14">
        <f>[1]Sheet2!BQ245</f>
        <v>0</v>
      </c>
      <c r="CN246" s="16">
        <f>Demand_SW!B$10/31</f>
        <v>131.01736972704714</v>
      </c>
      <c r="CO246" s="16">
        <f>Demand_SW!C$10/31</f>
        <v>0</v>
      </c>
      <c r="CP246" s="16">
        <f>Demand_SW!D$10/31</f>
        <v>0</v>
      </c>
      <c r="CQ246" s="16">
        <f>Demand_SW!E$10/31</f>
        <v>0</v>
      </c>
      <c r="CR246" s="16">
        <f>Demand_SW!F$10/31</f>
        <v>0</v>
      </c>
      <c r="CS246" s="16">
        <f>Demand_SW!G$10/31</f>
        <v>131.01736972704714</v>
      </c>
      <c r="CT246" s="16">
        <f>Demand_SW!H$10/31</f>
        <v>0</v>
      </c>
      <c r="CU246" s="16">
        <f>Demand_SW!I$10/31</f>
        <v>0</v>
      </c>
      <c r="CV246" s="16">
        <f>Demand_SW!J$10/31</f>
        <v>0</v>
      </c>
      <c r="CW246" s="16">
        <f>Demand_SW!K$10/31</f>
        <v>0</v>
      </c>
      <c r="CX246" s="16">
        <f t="shared" si="116"/>
        <v>-27720.769230769267</v>
      </c>
      <c r="CY246" s="16">
        <f t="shared" si="117"/>
        <v>76.923076923077133</v>
      </c>
      <c r="CZ246" s="16">
        <f t="shared" si="118"/>
        <v>0</v>
      </c>
      <c r="DA246" s="16">
        <f t="shared" si="119"/>
        <v>0</v>
      </c>
      <c r="DB246" s="16">
        <f t="shared" si="120"/>
        <v>0</v>
      </c>
      <c r="DC246" s="16">
        <f t="shared" si="121"/>
        <v>-27250.000000000036</v>
      </c>
      <c r="DD246" s="16">
        <f t="shared" si="122"/>
        <v>76.923076923077133</v>
      </c>
      <c r="DE246" s="16">
        <f t="shared" si="123"/>
        <v>0</v>
      </c>
      <c r="DF246" s="16">
        <f t="shared" si="124"/>
        <v>0</v>
      </c>
      <c r="DG246" s="16">
        <f t="shared" si="125"/>
        <v>0</v>
      </c>
      <c r="DH246" s="14">
        <f>IF([1]Sheet2!DS245=999999,"NA",[1]Sheet2!DS245)</f>
        <v>0</v>
      </c>
      <c r="DI246" s="14">
        <f>IF([1]Sheet2!DT245=999999,"NA",[1]Sheet2!DT245)</f>
        <v>122</v>
      </c>
      <c r="DJ246" s="14" t="str">
        <f>IF([1]Sheet2!DU245=999999,"NA",[1]Sheet2!DU245)</f>
        <v>NA</v>
      </c>
      <c r="DK246" s="14" t="str">
        <f>IF([1]Sheet2!DV245=999999,"NA",[1]Sheet2!DV245)</f>
        <v>NA</v>
      </c>
      <c r="DL246" s="14" t="str">
        <f>IF([1]Sheet2!DW245=999999,"NA",[1]Sheet2!DW245)</f>
        <v>NA</v>
      </c>
      <c r="DM246" s="14">
        <f>IF([1]Sheet2!DX245=999999,"NA",[1]Sheet2!DX245)</f>
        <v>0</v>
      </c>
      <c r="DN246" s="14">
        <f>IF([1]Sheet2!DY245=999999,"NA",[1]Sheet2!DY245)</f>
        <v>122</v>
      </c>
      <c r="DO246" s="14" t="str">
        <f>IF([1]Sheet2!DZ245=999999,"NA",[1]Sheet2!DZ245)</f>
        <v>NA</v>
      </c>
      <c r="DP246" s="14" t="str">
        <f>IF([1]Sheet2!EA245=999999,"NA",[1]Sheet2!EA245)</f>
        <v>NA</v>
      </c>
      <c r="DQ246" s="14" t="str">
        <f>IF([1]Sheet2!EB245=999999,"NA",[1]Sheet2!EB245)</f>
        <v>NA</v>
      </c>
      <c r="DR246" s="14">
        <f>[1]Sheet2!CY245</f>
        <v>0</v>
      </c>
      <c r="DS246" s="14">
        <f>[1]Sheet2!CZ245</f>
        <v>0</v>
      </c>
      <c r="DT246" s="14">
        <f>[1]Sheet2!DA245</f>
        <v>0</v>
      </c>
      <c r="DU246" s="14">
        <f>[1]Sheet2!DB245</f>
        <v>0</v>
      </c>
      <c r="DV246" s="14">
        <f>[1]Sheet2!DC245</f>
        <v>0</v>
      </c>
      <c r="DW246" s="14">
        <f>[1]Sheet2!DD245</f>
        <v>0</v>
      </c>
      <c r="DX246" s="14">
        <f>[1]Sheet2!DE245</f>
        <v>0</v>
      </c>
      <c r="DY246" s="14">
        <f>[1]Sheet2!DF245</f>
        <v>0</v>
      </c>
      <c r="DZ246" s="14">
        <f>[1]Sheet2!DG245</f>
        <v>0</v>
      </c>
      <c r="EA246" s="14">
        <f>[1]Sheet2!DH245</f>
        <v>0</v>
      </c>
      <c r="EB246" s="6">
        <f>[1]Sheet2!EC245</f>
        <v>0</v>
      </c>
      <c r="EC246" s="6">
        <f>[1]Sheet2!ED245</f>
        <v>0</v>
      </c>
      <c r="ED246" s="6">
        <f>[1]Sheet2!EE245</f>
        <v>0</v>
      </c>
      <c r="EE246" s="6">
        <f>[1]Sheet2!EF245</f>
        <v>0</v>
      </c>
      <c r="EF246" s="6">
        <f>[1]Sheet2!EG245</f>
        <v>0</v>
      </c>
      <c r="EG246" s="6">
        <f>[1]Sheet2!EH245</f>
        <v>0</v>
      </c>
      <c r="EH246" s="6">
        <f>[1]Sheet2!EI245</f>
        <v>0</v>
      </c>
      <c r="EI246" s="6">
        <f>[1]Sheet2!EJ245</f>
        <v>0</v>
      </c>
      <c r="EJ246" s="6">
        <f>[1]Sheet2!EK245</f>
        <v>0</v>
      </c>
      <c r="EK246" s="6">
        <f>[1]Sheet2!EL245</f>
        <v>0</v>
      </c>
      <c r="EL246" s="6" t="str">
        <f>[1]Sheet2!EM245</f>
        <v/>
      </c>
      <c r="EM246" s="6" t="str">
        <f>[1]Sheet2!EN245</f>
        <v/>
      </c>
      <c r="EN246" s="6" t="str">
        <f>[1]Sheet2!EO245</f>
        <v/>
      </c>
      <c r="EO246" s="6" t="str">
        <f>[1]Sheet2!EP245</f>
        <v/>
      </c>
      <c r="EP246" s="6" t="str">
        <f>[1]Sheet2!EQ245</f>
        <v/>
      </c>
      <c r="EQ246" s="6" t="str">
        <f>[1]Sheet2!ER245</f>
        <v/>
      </c>
      <c r="ER246" s="6" t="str">
        <f>[1]Sheet2!ES245</f>
        <v/>
      </c>
      <c r="ES246" s="6" t="str">
        <f>[1]Sheet2!ET245</f>
        <v/>
      </c>
      <c r="ET246" s="6" t="str">
        <f>[1]Sheet2!EU245</f>
        <v/>
      </c>
      <c r="EU246" s="6" t="str">
        <f>[1]Sheet2!EV245</f>
        <v/>
      </c>
      <c r="EV246" s="6" t="str">
        <f>[1]Sheet2!EW245</f>
        <v/>
      </c>
      <c r="EW246" s="6" t="str">
        <f>[1]Sheet2!EX245</f>
        <v/>
      </c>
      <c r="EX246" s="6" t="str">
        <f>[1]Sheet2!EY245</f>
        <v/>
      </c>
      <c r="EY246" s="6" t="str">
        <f>[1]Sheet2!EZ245</f>
        <v/>
      </c>
      <c r="EZ246" s="6" t="str">
        <f>[1]Sheet2!FA245</f>
        <v/>
      </c>
      <c r="FA246" s="6" t="str">
        <f>[1]Sheet2!FB245</f>
        <v/>
      </c>
      <c r="FB246" s="6" t="str">
        <f>[1]Sheet2!FC245</f>
        <v/>
      </c>
      <c r="FC246" s="6" t="str">
        <f>[1]Sheet2!FD245</f>
        <v/>
      </c>
      <c r="FD246" s="6" t="str">
        <f>[1]Sheet2!FE245</f>
        <v/>
      </c>
      <c r="FE246" s="6" t="str">
        <f>[1]Sheet2!FF245</f>
        <v/>
      </c>
      <c r="FF246" s="6" t="str">
        <f>[1]Sheet2!FG245</f>
        <v/>
      </c>
      <c r="FG246" s="6" t="str">
        <f>[1]Sheet2!FH245</f>
        <v/>
      </c>
      <c r="FH246" s="6" t="str">
        <f>[1]Sheet2!FI245</f>
        <v/>
      </c>
      <c r="FI246" s="6" t="str">
        <f>[1]Sheet2!FJ245</f>
        <v/>
      </c>
      <c r="FJ246" s="6" t="str">
        <f>[1]Sheet2!FK245</f>
        <v/>
      </c>
      <c r="FK246" s="6" t="str">
        <f>[1]Sheet2!FL245</f>
        <v/>
      </c>
      <c r="FL246" s="6" t="str">
        <f>[1]Sheet2!FM245</f>
        <v/>
      </c>
      <c r="FM246" s="6" t="str">
        <f>[1]Sheet2!FN245</f>
        <v/>
      </c>
      <c r="FN246" s="6" t="str">
        <f>[1]Sheet2!FO245</f>
        <v/>
      </c>
      <c r="FO246" s="6" t="str">
        <f>[1]Sheet2!FP245</f>
        <v/>
      </c>
    </row>
    <row r="247" spans="1:171" x14ac:dyDescent="0.25">
      <c r="A247" s="15">
        <v>43709</v>
      </c>
      <c r="B247" s="1"/>
      <c r="C247" s="1"/>
      <c r="D247" s="1"/>
      <c r="E247" s="14">
        <f>[1]Sheet2!N246</f>
        <v>0</v>
      </c>
      <c r="F247" s="14">
        <f>[1]Sheet2!BE246</f>
        <v>48000</v>
      </c>
      <c r="G247" s="14">
        <f>[1]Sheet2!CW246</f>
        <v>0</v>
      </c>
      <c r="H247" s="1"/>
      <c r="I247" s="1"/>
      <c r="J247" s="1"/>
      <c r="K247" s="16"/>
      <c r="L247" s="16">
        <f>Demand_CWRS!B$11/30</f>
        <v>118.04546474358973</v>
      </c>
      <c r="M247" s="16">
        <f>Demand_CWRS!C$11/30</f>
        <v>491.39401709401704</v>
      </c>
      <c r="N247" s="16">
        <f>Demand_CWRS!D$11/30</f>
        <v>0</v>
      </c>
      <c r="O247" s="16">
        <f>Demand_CWRS!E$11/30</f>
        <v>107.84935897435898</v>
      </c>
      <c r="P247" s="16">
        <f>Demand_CWRS!F$11/30</f>
        <v>218.22274305555553</v>
      </c>
      <c r="Q247" s="16">
        <f>Demand_CWRS!G$11/30</f>
        <v>118.04546474358973</v>
      </c>
      <c r="R247" s="16">
        <f>Demand_CWRS!H$11/30</f>
        <v>218.22274305555553</v>
      </c>
      <c r="S247" s="16">
        <f>Demand_CWRS!I$11/30</f>
        <v>218.22274305555553</v>
      </c>
      <c r="T247" s="16">
        <f>Demand_CWRS!J$11/30</f>
        <v>218.22274305555553</v>
      </c>
      <c r="U247" s="16">
        <f>Demand_CWRS!K$11/30</f>
        <v>218.22274305555553</v>
      </c>
      <c r="V247" s="16">
        <f t="shared" si="96"/>
        <v>-30485.677675216972</v>
      </c>
      <c r="W247" s="16">
        <f t="shared" si="97"/>
        <v>-120597.22735042698</v>
      </c>
      <c r="X247" s="16">
        <f t="shared" si="98"/>
        <v>0</v>
      </c>
      <c r="Y247" s="16">
        <f t="shared" si="99"/>
        <v>-22395.843857513759</v>
      </c>
      <c r="Z247" s="16">
        <f t="shared" si="100"/>
        <v>-52928.746994516099</v>
      </c>
      <c r="AA247" s="16">
        <f t="shared" si="101"/>
        <v>-29013.74515117858</v>
      </c>
      <c r="AB247" s="16">
        <f t="shared" si="102"/>
        <v>-57237.911770157058</v>
      </c>
      <c r="AC247" s="16">
        <f t="shared" si="103"/>
        <v>-51444.901513746867</v>
      </c>
      <c r="AD247" s="16">
        <f t="shared" si="104"/>
        <v>-51544.90151374686</v>
      </c>
      <c r="AE247" s="16">
        <f t="shared" si="105"/>
        <v>-52144.901513746852</v>
      </c>
      <c r="AF247" s="14">
        <f>IF([1]Sheet2!AJ246=999999,"NA",[1]Sheet2!AJ246)</f>
        <v>0</v>
      </c>
      <c r="AG247" s="14">
        <f>IF([1]Sheet2!AK246=999999,"NA",[1]Sheet2!AK246)</f>
        <v>0</v>
      </c>
      <c r="AH247" s="14" t="str">
        <f>IF([1]Sheet2!AL246=999999,"NA",[1]Sheet2!AL246)</f>
        <v>NA</v>
      </c>
      <c r="AI247" s="14">
        <f>IF([1]Sheet2!AM246=999999,"NA",[1]Sheet2!AM246)</f>
        <v>0</v>
      </c>
      <c r="AJ247" s="14">
        <f>IF([1]Sheet2!AN246=999999,"NA",[1]Sheet2!AN246)</f>
        <v>0</v>
      </c>
      <c r="AK247" s="14">
        <f>IF([1]Sheet2!AO246=999999,"NA",[1]Sheet2!AO246)</f>
        <v>0</v>
      </c>
      <c r="AL247" s="14">
        <f>IF([1]Sheet2!AP246=999999,"NA",[1]Sheet2!AP246)</f>
        <v>0</v>
      </c>
      <c r="AM247" s="14">
        <f>IF([1]Sheet2!AQ246=999999,"NA",[1]Sheet2!AQ246)</f>
        <v>0</v>
      </c>
      <c r="AN247" s="14">
        <f>IF([1]Sheet2!AR246=999999,"NA",[1]Sheet2!AR246)</f>
        <v>0</v>
      </c>
      <c r="AO247" s="14">
        <f>IF([1]Sheet2!AS246=999999,"NA",[1]Sheet2!AS246)</f>
        <v>0</v>
      </c>
      <c r="AP247" s="14">
        <f>[1]Sheet2!P246</f>
        <v>0</v>
      </c>
      <c r="AQ247" s="14">
        <f>[1]Sheet2!Q246</f>
        <v>0</v>
      </c>
      <c r="AR247" s="14">
        <f>[1]Sheet2!R246</f>
        <v>0</v>
      </c>
      <c r="AS247" s="14">
        <f>[1]Sheet2!S246</f>
        <v>0</v>
      </c>
      <c r="AT247" s="14">
        <f>[1]Sheet2!T246</f>
        <v>0</v>
      </c>
      <c r="AU247" s="14">
        <f>[1]Sheet2!U246</f>
        <v>0</v>
      </c>
      <c r="AV247" s="14">
        <f>[1]Sheet2!V246</f>
        <v>0</v>
      </c>
      <c r="AW247" s="14">
        <f>[1]Sheet2!W246</f>
        <v>0</v>
      </c>
      <c r="AX247" s="14">
        <f>[1]Sheet2!X246</f>
        <v>0</v>
      </c>
      <c r="AY247" s="14">
        <f>[1]Sheet2!Y246</f>
        <v>0</v>
      </c>
      <c r="AZ247" s="16">
        <f>Demand_LP!B$11/30</f>
        <v>902.60591613247857</v>
      </c>
      <c r="BA247" s="16">
        <f>Demand_LP!C$11/30</f>
        <v>593.76410256410259</v>
      </c>
      <c r="BB247" s="16">
        <f>Demand_LP!D$11/30</f>
        <v>290.27136752136749</v>
      </c>
      <c r="BC247" s="16">
        <f>Demand_LP!E$11/30</f>
        <v>790.42628205128199</v>
      </c>
      <c r="BD247" s="16">
        <f>Demand_LP!F$11/30</f>
        <v>538.46224626068363</v>
      </c>
      <c r="BE247" s="16">
        <f>Demand_LP!G$11/30</f>
        <v>538.46224626068363</v>
      </c>
      <c r="BF247" s="16">
        <f>Demand_LP!H$11/30</f>
        <v>593.76410256410259</v>
      </c>
      <c r="BG247" s="16">
        <f>Demand_LP!I$11/30</f>
        <v>538.46224626068363</v>
      </c>
      <c r="BH247" s="16">
        <f>Demand_LP!J$11/30</f>
        <v>538.46224626068363</v>
      </c>
      <c r="BI247" s="16">
        <f>Demand_LP!K$11/30</f>
        <v>538.46224626068363</v>
      </c>
      <c r="BJ247" s="16">
        <f t="shared" si="106"/>
        <v>-180888.16731974494</v>
      </c>
      <c r="BK247" s="16">
        <f t="shared" si="107"/>
        <v>-139736.90512820502</v>
      </c>
      <c r="BL247" s="16">
        <f t="shared" si="108"/>
        <v>-67880.871367521395</v>
      </c>
      <c r="BM247" s="16">
        <f t="shared" si="109"/>
        <v>-177621.10831710426</v>
      </c>
      <c r="BN247" s="16">
        <f t="shared" si="110"/>
        <v>-105340.63235032611</v>
      </c>
      <c r="BO247" s="16">
        <f t="shared" si="111"/>
        <v>-103798.31626869684</v>
      </c>
      <c r="BP247" s="16">
        <f t="shared" si="112"/>
        <v>-134094.48461538437</v>
      </c>
      <c r="BQ247" s="16">
        <f t="shared" si="113"/>
        <v>-103798.31626869684</v>
      </c>
      <c r="BR247" s="16">
        <f t="shared" si="114"/>
        <v>-101398.31626869689</v>
      </c>
      <c r="BS247" s="16">
        <f t="shared" si="115"/>
        <v>-102098.31626869687</v>
      </c>
      <c r="BT247" s="14">
        <f>IF([1]Sheet2!CB246=999999,"NA",[1]Sheet2!CB246)</f>
        <v>0</v>
      </c>
      <c r="BU247" s="14">
        <f>IF([1]Sheet2!CC246=999999,"NA",[1]Sheet2!CC246)</f>
        <v>0</v>
      </c>
      <c r="BV247" s="14">
        <f>IF([1]Sheet2!CD246=999999,"NA",[1]Sheet2!CD246)</f>
        <v>0</v>
      </c>
      <c r="BW247" s="14">
        <f>IF([1]Sheet2!CE246=999999,"NA",[1]Sheet2!CE246)</f>
        <v>0</v>
      </c>
      <c r="BX247" s="14">
        <f>IF([1]Sheet2!CF246=999999,"NA",[1]Sheet2!CF246)</f>
        <v>0</v>
      </c>
      <c r="BY247" s="14">
        <f>IF([1]Sheet2!CG246=999999,"NA",[1]Sheet2!CG246)</f>
        <v>0</v>
      </c>
      <c r="BZ247" s="14">
        <f>IF([1]Sheet2!CH246=999999,"NA",[1]Sheet2!CH246)</f>
        <v>0</v>
      </c>
      <c r="CA247" s="14">
        <f>IF([1]Sheet2!CI246=999999,"NA",[1]Sheet2!CI246)</f>
        <v>0</v>
      </c>
      <c r="CB247" s="14">
        <f>IF([1]Sheet2!CJ246=999999,"NA",[1]Sheet2!CJ246)</f>
        <v>0</v>
      </c>
      <c r="CC247" s="14">
        <f>IF([1]Sheet2!CK246=999999,"NA",[1]Sheet2!CK246)</f>
        <v>0</v>
      </c>
      <c r="CD247" s="14">
        <f>[1]Sheet2!BH246</f>
        <v>0</v>
      </c>
      <c r="CE247" s="14">
        <f>[1]Sheet2!BI246</f>
        <v>0</v>
      </c>
      <c r="CF247" s="14">
        <f>[1]Sheet2!BJ246</f>
        <v>0</v>
      </c>
      <c r="CG247" s="14">
        <f>[1]Sheet2!BK246</f>
        <v>0</v>
      </c>
      <c r="CH247" s="14">
        <f>[1]Sheet2!BL246</f>
        <v>0</v>
      </c>
      <c r="CI247" s="14">
        <f>[1]Sheet2!BM246</f>
        <v>0</v>
      </c>
      <c r="CJ247" s="14">
        <f>[1]Sheet2!BN246</f>
        <v>0</v>
      </c>
      <c r="CK247" s="14">
        <f>[1]Sheet2!BO246</f>
        <v>0</v>
      </c>
      <c r="CL247" s="14">
        <f>[1]Sheet2!BP246</f>
        <v>0</v>
      </c>
      <c r="CM247" s="14">
        <f>[1]Sheet2!BQ246</f>
        <v>0</v>
      </c>
      <c r="CN247" s="16">
        <f>Demand_SW!B$11/30</f>
        <v>144.23076923076923</v>
      </c>
      <c r="CO247" s="16">
        <f>Demand_SW!C$11/30</f>
        <v>0</v>
      </c>
      <c r="CP247" s="16">
        <f>Demand_SW!D$11/30</f>
        <v>0</v>
      </c>
      <c r="CQ247" s="16">
        <f>Demand_SW!E$11/30</f>
        <v>0</v>
      </c>
      <c r="CR247" s="16">
        <f>Demand_SW!F$11/30</f>
        <v>0</v>
      </c>
      <c r="CS247" s="16">
        <f>Demand_SW!G$11/30</f>
        <v>144.23076923076923</v>
      </c>
      <c r="CT247" s="16">
        <f>Demand_SW!H$11/30</f>
        <v>0</v>
      </c>
      <c r="CU247" s="16">
        <f>Demand_SW!I$11/30</f>
        <v>0</v>
      </c>
      <c r="CV247" s="16">
        <f>Demand_SW!J$11/30</f>
        <v>0</v>
      </c>
      <c r="CW247" s="16">
        <f>Demand_SW!K$11/30</f>
        <v>0</v>
      </c>
      <c r="CX247" s="16">
        <f t="shared" si="116"/>
        <v>-27865.000000000036</v>
      </c>
      <c r="CY247" s="16">
        <f t="shared" si="117"/>
        <v>76.923076923077133</v>
      </c>
      <c r="CZ247" s="16">
        <f t="shared" si="118"/>
        <v>0</v>
      </c>
      <c r="DA247" s="16">
        <f t="shared" si="119"/>
        <v>0</v>
      </c>
      <c r="DB247" s="16">
        <f t="shared" si="120"/>
        <v>0</v>
      </c>
      <c r="DC247" s="16">
        <f t="shared" si="121"/>
        <v>-27394.230769230806</v>
      </c>
      <c r="DD247" s="16">
        <f t="shared" si="122"/>
        <v>76.923076923077133</v>
      </c>
      <c r="DE247" s="16">
        <f t="shared" si="123"/>
        <v>0</v>
      </c>
      <c r="DF247" s="16">
        <f t="shared" si="124"/>
        <v>0</v>
      </c>
      <c r="DG247" s="16">
        <f t="shared" si="125"/>
        <v>0</v>
      </c>
      <c r="DH247" s="14">
        <f>IF([1]Sheet2!DS246=999999,"NA",[1]Sheet2!DS246)</f>
        <v>0</v>
      </c>
      <c r="DI247" s="14">
        <f>IF([1]Sheet2!DT246=999999,"NA",[1]Sheet2!DT246)</f>
        <v>121</v>
      </c>
      <c r="DJ247" s="14" t="str">
        <f>IF([1]Sheet2!DU246=999999,"NA",[1]Sheet2!DU246)</f>
        <v>NA</v>
      </c>
      <c r="DK247" s="14" t="str">
        <f>IF([1]Sheet2!DV246=999999,"NA",[1]Sheet2!DV246)</f>
        <v>NA</v>
      </c>
      <c r="DL247" s="14" t="str">
        <f>IF([1]Sheet2!DW246=999999,"NA",[1]Sheet2!DW246)</f>
        <v>NA</v>
      </c>
      <c r="DM247" s="14">
        <f>IF([1]Sheet2!DX246=999999,"NA",[1]Sheet2!DX246)</f>
        <v>0</v>
      </c>
      <c r="DN247" s="14">
        <f>IF([1]Sheet2!DY246=999999,"NA",[1]Sheet2!DY246)</f>
        <v>121</v>
      </c>
      <c r="DO247" s="14" t="str">
        <f>IF([1]Sheet2!DZ246=999999,"NA",[1]Sheet2!DZ246)</f>
        <v>NA</v>
      </c>
      <c r="DP247" s="14" t="str">
        <f>IF([1]Sheet2!EA246=999999,"NA",[1]Sheet2!EA246)</f>
        <v>NA</v>
      </c>
      <c r="DQ247" s="14" t="str">
        <f>IF([1]Sheet2!EB246=999999,"NA",[1]Sheet2!EB246)</f>
        <v>NA</v>
      </c>
      <c r="DR247" s="14">
        <f>[1]Sheet2!CY246</f>
        <v>0</v>
      </c>
      <c r="DS247" s="14">
        <f>[1]Sheet2!CZ246</f>
        <v>0</v>
      </c>
      <c r="DT247" s="14">
        <f>[1]Sheet2!DA246</f>
        <v>0</v>
      </c>
      <c r="DU247" s="14">
        <f>[1]Sheet2!DB246</f>
        <v>0</v>
      </c>
      <c r="DV247" s="14">
        <f>[1]Sheet2!DC246</f>
        <v>0</v>
      </c>
      <c r="DW247" s="14">
        <f>[1]Sheet2!DD246</f>
        <v>0</v>
      </c>
      <c r="DX247" s="14">
        <f>[1]Sheet2!DE246</f>
        <v>0</v>
      </c>
      <c r="DY247" s="14">
        <f>[1]Sheet2!DF246</f>
        <v>0</v>
      </c>
      <c r="DZ247" s="14">
        <f>[1]Sheet2!DG246</f>
        <v>0</v>
      </c>
      <c r="EA247" s="14">
        <f>[1]Sheet2!DH246</f>
        <v>0</v>
      </c>
      <c r="EB247" s="6">
        <f>[1]Sheet2!EC246</f>
        <v>0</v>
      </c>
      <c r="EC247" s="6">
        <f>[1]Sheet2!ED246</f>
        <v>0</v>
      </c>
      <c r="ED247" s="6">
        <f>[1]Sheet2!EE246</f>
        <v>0</v>
      </c>
      <c r="EE247" s="6">
        <f>[1]Sheet2!EF246</f>
        <v>0</v>
      </c>
      <c r="EF247" s="6">
        <f>[1]Sheet2!EG246</f>
        <v>0</v>
      </c>
      <c r="EG247" s="6">
        <f>[1]Sheet2!EH246</f>
        <v>0</v>
      </c>
      <c r="EH247" s="6">
        <f>[1]Sheet2!EI246</f>
        <v>0</v>
      </c>
      <c r="EI247" s="6">
        <f>[1]Sheet2!EJ246</f>
        <v>0</v>
      </c>
      <c r="EJ247" s="6">
        <f>[1]Sheet2!EK246</f>
        <v>0</v>
      </c>
      <c r="EK247" s="6">
        <f>[1]Sheet2!EL246</f>
        <v>0</v>
      </c>
      <c r="EL247" s="6" t="str">
        <f>[1]Sheet2!EM246</f>
        <v/>
      </c>
      <c r="EM247" s="6" t="str">
        <f>[1]Sheet2!EN246</f>
        <v/>
      </c>
      <c r="EN247" s="6" t="str">
        <f>[1]Sheet2!EO246</f>
        <v/>
      </c>
      <c r="EO247" s="6" t="str">
        <f>[1]Sheet2!EP246</f>
        <v/>
      </c>
      <c r="EP247" s="6" t="str">
        <f>[1]Sheet2!EQ246</f>
        <v/>
      </c>
      <c r="EQ247" s="6" t="str">
        <f>[1]Sheet2!ER246</f>
        <v/>
      </c>
      <c r="ER247" s="6" t="str">
        <f>[1]Sheet2!ES246</f>
        <v/>
      </c>
      <c r="ES247" s="6" t="str">
        <f>[1]Sheet2!ET246</f>
        <v/>
      </c>
      <c r="ET247" s="6" t="str">
        <f>[1]Sheet2!EU246</f>
        <v/>
      </c>
      <c r="EU247" s="6" t="str">
        <f>[1]Sheet2!EV246</f>
        <v/>
      </c>
      <c r="EV247" s="6" t="str">
        <f>[1]Sheet2!EW246</f>
        <v/>
      </c>
      <c r="EW247" s="6" t="str">
        <f>[1]Sheet2!EX246</f>
        <v/>
      </c>
      <c r="EX247" s="6" t="str">
        <f>[1]Sheet2!EY246</f>
        <v/>
      </c>
      <c r="EY247" s="6" t="str">
        <f>[1]Sheet2!EZ246</f>
        <v/>
      </c>
      <c r="EZ247" s="6" t="str">
        <f>[1]Sheet2!FA246</f>
        <v/>
      </c>
      <c r="FA247" s="6" t="str">
        <f>[1]Sheet2!FB246</f>
        <v/>
      </c>
      <c r="FB247" s="6" t="str">
        <f>[1]Sheet2!FC246</f>
        <v/>
      </c>
      <c r="FC247" s="6" t="str">
        <f>[1]Sheet2!FD246</f>
        <v/>
      </c>
      <c r="FD247" s="6" t="str">
        <f>[1]Sheet2!FE246</f>
        <v/>
      </c>
      <c r="FE247" s="6" t="str">
        <f>[1]Sheet2!FF246</f>
        <v/>
      </c>
      <c r="FF247" s="6" t="str">
        <f>[1]Sheet2!FG246</f>
        <v/>
      </c>
      <c r="FG247" s="6" t="str">
        <f>[1]Sheet2!FH246</f>
        <v/>
      </c>
      <c r="FH247" s="6" t="str">
        <f>[1]Sheet2!FI246</f>
        <v/>
      </c>
      <c r="FI247" s="6" t="str">
        <f>[1]Sheet2!FJ246</f>
        <v/>
      </c>
      <c r="FJ247" s="6" t="str">
        <f>[1]Sheet2!FK246</f>
        <v/>
      </c>
      <c r="FK247" s="6" t="str">
        <f>[1]Sheet2!FL246</f>
        <v/>
      </c>
      <c r="FL247" s="6" t="str">
        <f>[1]Sheet2!FM246</f>
        <v/>
      </c>
      <c r="FM247" s="6" t="str">
        <f>[1]Sheet2!FN246</f>
        <v/>
      </c>
      <c r="FN247" s="6" t="str">
        <f>[1]Sheet2!FO246</f>
        <v/>
      </c>
      <c r="FO247" s="6" t="str">
        <f>[1]Sheet2!FP246</f>
        <v/>
      </c>
    </row>
    <row r="248" spans="1:171" x14ac:dyDescent="0.25">
      <c r="A248" s="15">
        <v>43710</v>
      </c>
      <c r="B248" s="1"/>
      <c r="C248" s="1"/>
      <c r="D248" s="1"/>
      <c r="E248" s="14">
        <f>[1]Sheet2!N247</f>
        <v>0</v>
      </c>
      <c r="F248" s="14">
        <f>[1]Sheet2!BE247</f>
        <v>0</v>
      </c>
      <c r="G248" s="14">
        <f>[1]Sheet2!CW247</f>
        <v>0</v>
      </c>
      <c r="H248" s="1"/>
      <c r="I248" s="1"/>
      <c r="J248" s="1"/>
      <c r="K248" s="16"/>
      <c r="L248" s="16">
        <f>Demand_CWRS!B$11/30</f>
        <v>118.04546474358973</v>
      </c>
      <c r="M248" s="16">
        <f>Demand_CWRS!C$11/30</f>
        <v>491.39401709401704</v>
      </c>
      <c r="N248" s="16">
        <f>Demand_CWRS!D$11/30</f>
        <v>0</v>
      </c>
      <c r="O248" s="16">
        <f>Demand_CWRS!E$11/30</f>
        <v>107.84935897435898</v>
      </c>
      <c r="P248" s="16">
        <f>Demand_CWRS!F$11/30</f>
        <v>218.22274305555553</v>
      </c>
      <c r="Q248" s="16">
        <f>Demand_CWRS!G$11/30</f>
        <v>118.04546474358973</v>
      </c>
      <c r="R248" s="16">
        <f>Demand_CWRS!H$11/30</f>
        <v>218.22274305555553</v>
      </c>
      <c r="S248" s="16">
        <f>Demand_CWRS!I$11/30</f>
        <v>218.22274305555553</v>
      </c>
      <c r="T248" s="16">
        <f>Demand_CWRS!J$11/30</f>
        <v>218.22274305555553</v>
      </c>
      <c r="U248" s="16">
        <f>Demand_CWRS!K$11/30</f>
        <v>218.22274305555553</v>
      </c>
      <c r="V248" s="16">
        <f t="shared" si="96"/>
        <v>-30603.723139960563</v>
      </c>
      <c r="W248" s="16">
        <f t="shared" si="97"/>
        <v>-121088.621367521</v>
      </c>
      <c r="X248" s="16">
        <f t="shared" si="98"/>
        <v>0</v>
      </c>
      <c r="Y248" s="16">
        <f t="shared" si="99"/>
        <v>-22503.693216488118</v>
      </c>
      <c r="Z248" s="16">
        <f t="shared" si="100"/>
        <v>-53146.969737571657</v>
      </c>
      <c r="AA248" s="16">
        <f t="shared" si="101"/>
        <v>-29131.790615922171</v>
      </c>
      <c r="AB248" s="16">
        <f t="shared" si="102"/>
        <v>-57456.134513212615</v>
      </c>
      <c r="AC248" s="16">
        <f t="shared" si="103"/>
        <v>-51663.124256802424</v>
      </c>
      <c r="AD248" s="16">
        <f t="shared" si="104"/>
        <v>-51763.124256802417</v>
      </c>
      <c r="AE248" s="16">
        <f t="shared" si="105"/>
        <v>-52363.12425680241</v>
      </c>
      <c r="AF248" s="14">
        <f>IF([1]Sheet2!AJ247=999999,"NA",[1]Sheet2!AJ247)</f>
        <v>0</v>
      </c>
      <c r="AG248" s="14">
        <f>IF([1]Sheet2!AK247=999999,"NA",[1]Sheet2!AK247)</f>
        <v>0</v>
      </c>
      <c r="AH248" s="14" t="str">
        <f>IF([1]Sheet2!AL247=999999,"NA",[1]Sheet2!AL247)</f>
        <v>NA</v>
      </c>
      <c r="AI248" s="14">
        <f>IF([1]Sheet2!AM247=999999,"NA",[1]Sheet2!AM247)</f>
        <v>0</v>
      </c>
      <c r="AJ248" s="14">
        <f>IF([1]Sheet2!AN247=999999,"NA",[1]Sheet2!AN247)</f>
        <v>0</v>
      </c>
      <c r="AK248" s="14">
        <f>IF([1]Sheet2!AO247=999999,"NA",[1]Sheet2!AO247)</f>
        <v>0</v>
      </c>
      <c r="AL248" s="14">
        <f>IF([1]Sheet2!AP247=999999,"NA",[1]Sheet2!AP247)</f>
        <v>0</v>
      </c>
      <c r="AM248" s="14">
        <f>IF([1]Sheet2!AQ247=999999,"NA",[1]Sheet2!AQ247)</f>
        <v>0</v>
      </c>
      <c r="AN248" s="14">
        <f>IF([1]Sheet2!AR247=999999,"NA",[1]Sheet2!AR247)</f>
        <v>0</v>
      </c>
      <c r="AO248" s="14">
        <f>IF([1]Sheet2!AS247=999999,"NA",[1]Sheet2!AS247)</f>
        <v>0</v>
      </c>
      <c r="AP248" s="14">
        <f>[1]Sheet2!P247</f>
        <v>0</v>
      </c>
      <c r="AQ248" s="14">
        <f>[1]Sheet2!Q247</f>
        <v>0</v>
      </c>
      <c r="AR248" s="14">
        <f>[1]Sheet2!R247</f>
        <v>0</v>
      </c>
      <c r="AS248" s="14">
        <f>[1]Sheet2!S247</f>
        <v>0</v>
      </c>
      <c r="AT248" s="14">
        <f>[1]Sheet2!T247</f>
        <v>0</v>
      </c>
      <c r="AU248" s="14">
        <f>[1]Sheet2!U247</f>
        <v>0</v>
      </c>
      <c r="AV248" s="14">
        <f>[1]Sheet2!V247</f>
        <v>0</v>
      </c>
      <c r="AW248" s="14">
        <f>[1]Sheet2!W247</f>
        <v>0</v>
      </c>
      <c r="AX248" s="14">
        <f>[1]Sheet2!X247</f>
        <v>0</v>
      </c>
      <c r="AY248" s="14">
        <f>[1]Sheet2!Y247</f>
        <v>0</v>
      </c>
      <c r="AZ248" s="16">
        <f>Demand_LP!B$11/30</f>
        <v>902.60591613247857</v>
      </c>
      <c r="BA248" s="16">
        <f>Demand_LP!C$11/30</f>
        <v>593.76410256410259</v>
      </c>
      <c r="BB248" s="16">
        <f>Demand_LP!D$11/30</f>
        <v>290.27136752136749</v>
      </c>
      <c r="BC248" s="16">
        <f>Demand_LP!E$11/30</f>
        <v>790.42628205128199</v>
      </c>
      <c r="BD248" s="16">
        <f>Demand_LP!F$11/30</f>
        <v>538.46224626068363</v>
      </c>
      <c r="BE248" s="16">
        <f>Demand_LP!G$11/30</f>
        <v>538.46224626068363</v>
      </c>
      <c r="BF248" s="16">
        <f>Demand_LP!H$11/30</f>
        <v>593.76410256410259</v>
      </c>
      <c r="BG248" s="16">
        <f>Demand_LP!I$11/30</f>
        <v>538.46224626068363</v>
      </c>
      <c r="BH248" s="16">
        <f>Demand_LP!J$11/30</f>
        <v>538.46224626068363</v>
      </c>
      <c r="BI248" s="16">
        <f>Demand_LP!K$11/30</f>
        <v>538.46224626068363</v>
      </c>
      <c r="BJ248" s="16">
        <f t="shared" si="106"/>
        <v>-181790.77323587742</v>
      </c>
      <c r="BK248" s="16">
        <f t="shared" si="107"/>
        <v>-140330.66923076913</v>
      </c>
      <c r="BL248" s="16">
        <f t="shared" si="108"/>
        <v>-68171.142735042769</v>
      </c>
      <c r="BM248" s="16">
        <f t="shared" si="109"/>
        <v>-178411.53459915554</v>
      </c>
      <c r="BN248" s="16">
        <f t="shared" si="110"/>
        <v>-105879.09459658679</v>
      </c>
      <c r="BO248" s="16">
        <f t="shared" si="111"/>
        <v>-104336.77851495752</v>
      </c>
      <c r="BP248" s="16">
        <f t="shared" si="112"/>
        <v>-134688.24871794847</v>
      </c>
      <c r="BQ248" s="16">
        <f t="shared" si="113"/>
        <v>-104336.77851495752</v>
      </c>
      <c r="BR248" s="16">
        <f t="shared" si="114"/>
        <v>-101936.77851495756</v>
      </c>
      <c r="BS248" s="16">
        <f t="shared" si="115"/>
        <v>-102636.77851495755</v>
      </c>
      <c r="BT248" s="14">
        <f>IF([1]Sheet2!CB247=999999,"NA",[1]Sheet2!CB247)</f>
        <v>0</v>
      </c>
      <c r="BU248" s="14">
        <f>IF([1]Sheet2!CC247=999999,"NA",[1]Sheet2!CC247)</f>
        <v>0</v>
      </c>
      <c r="BV248" s="14">
        <f>IF([1]Sheet2!CD247=999999,"NA",[1]Sheet2!CD247)</f>
        <v>0</v>
      </c>
      <c r="BW248" s="14">
        <f>IF([1]Sheet2!CE247=999999,"NA",[1]Sheet2!CE247)</f>
        <v>0</v>
      </c>
      <c r="BX248" s="14">
        <f>IF([1]Sheet2!CF247=999999,"NA",[1]Sheet2!CF247)</f>
        <v>0</v>
      </c>
      <c r="BY248" s="14">
        <f>IF([1]Sheet2!CG247=999999,"NA",[1]Sheet2!CG247)</f>
        <v>0</v>
      </c>
      <c r="BZ248" s="14">
        <f>IF([1]Sheet2!CH247=999999,"NA",[1]Sheet2!CH247)</f>
        <v>0</v>
      </c>
      <c r="CA248" s="14">
        <f>IF([1]Sheet2!CI247=999999,"NA",[1]Sheet2!CI247)</f>
        <v>0</v>
      </c>
      <c r="CB248" s="14">
        <f>IF([1]Sheet2!CJ247=999999,"NA",[1]Sheet2!CJ247)</f>
        <v>0</v>
      </c>
      <c r="CC248" s="14">
        <f>IF([1]Sheet2!CK247=999999,"NA",[1]Sheet2!CK247)</f>
        <v>0</v>
      </c>
      <c r="CD248" s="14">
        <f>[1]Sheet2!BH247</f>
        <v>0</v>
      </c>
      <c r="CE248" s="14">
        <f>[1]Sheet2!BI247</f>
        <v>0</v>
      </c>
      <c r="CF248" s="14">
        <f>[1]Sheet2!BJ247</f>
        <v>0</v>
      </c>
      <c r="CG248" s="14">
        <f>[1]Sheet2!BK247</f>
        <v>0</v>
      </c>
      <c r="CH248" s="14">
        <f>[1]Sheet2!BL247</f>
        <v>0</v>
      </c>
      <c r="CI248" s="14">
        <f>[1]Sheet2!BM247</f>
        <v>0</v>
      </c>
      <c r="CJ248" s="14">
        <f>[1]Sheet2!BN247</f>
        <v>0</v>
      </c>
      <c r="CK248" s="14">
        <f>[1]Sheet2!BO247</f>
        <v>0</v>
      </c>
      <c r="CL248" s="14">
        <f>[1]Sheet2!BP247</f>
        <v>0</v>
      </c>
      <c r="CM248" s="14">
        <f>[1]Sheet2!BQ247</f>
        <v>0</v>
      </c>
      <c r="CN248" s="16">
        <f>Demand_SW!B$11/30</f>
        <v>144.23076923076923</v>
      </c>
      <c r="CO248" s="16">
        <f>Demand_SW!C$11/30</f>
        <v>0</v>
      </c>
      <c r="CP248" s="16">
        <f>Demand_SW!D$11/30</f>
        <v>0</v>
      </c>
      <c r="CQ248" s="16">
        <f>Demand_SW!E$11/30</f>
        <v>0</v>
      </c>
      <c r="CR248" s="16">
        <f>Demand_SW!F$11/30</f>
        <v>0</v>
      </c>
      <c r="CS248" s="16">
        <f>Demand_SW!G$11/30</f>
        <v>144.23076923076923</v>
      </c>
      <c r="CT248" s="16">
        <f>Demand_SW!H$11/30</f>
        <v>0</v>
      </c>
      <c r="CU248" s="16">
        <f>Demand_SW!I$11/30</f>
        <v>0</v>
      </c>
      <c r="CV248" s="16">
        <f>Demand_SW!J$11/30</f>
        <v>0</v>
      </c>
      <c r="CW248" s="16">
        <f>Demand_SW!K$11/30</f>
        <v>0</v>
      </c>
      <c r="CX248" s="16">
        <f t="shared" si="116"/>
        <v>-28009.230769230806</v>
      </c>
      <c r="CY248" s="16">
        <f t="shared" si="117"/>
        <v>76.923076923077133</v>
      </c>
      <c r="CZ248" s="16">
        <f t="shared" si="118"/>
        <v>0</v>
      </c>
      <c r="DA248" s="16">
        <f t="shared" si="119"/>
        <v>0</v>
      </c>
      <c r="DB248" s="16">
        <f t="shared" si="120"/>
        <v>0</v>
      </c>
      <c r="DC248" s="16">
        <f t="shared" si="121"/>
        <v>-27538.461538461575</v>
      </c>
      <c r="DD248" s="16">
        <f t="shared" si="122"/>
        <v>76.923076923077133</v>
      </c>
      <c r="DE248" s="16">
        <f t="shared" si="123"/>
        <v>0</v>
      </c>
      <c r="DF248" s="16">
        <f t="shared" si="124"/>
        <v>0</v>
      </c>
      <c r="DG248" s="16">
        <f t="shared" si="125"/>
        <v>0</v>
      </c>
      <c r="DH248" s="14">
        <f>IF([1]Sheet2!DS247=999999,"NA",[1]Sheet2!DS247)</f>
        <v>0</v>
      </c>
      <c r="DI248" s="14">
        <f>IF([1]Sheet2!DT247=999999,"NA",[1]Sheet2!DT247)</f>
        <v>120</v>
      </c>
      <c r="DJ248" s="14" t="str">
        <f>IF([1]Sheet2!DU247=999999,"NA",[1]Sheet2!DU247)</f>
        <v>NA</v>
      </c>
      <c r="DK248" s="14" t="str">
        <f>IF([1]Sheet2!DV247=999999,"NA",[1]Sheet2!DV247)</f>
        <v>NA</v>
      </c>
      <c r="DL248" s="14" t="str">
        <f>IF([1]Sheet2!DW247=999999,"NA",[1]Sheet2!DW247)</f>
        <v>NA</v>
      </c>
      <c r="DM248" s="14">
        <f>IF([1]Sheet2!DX247=999999,"NA",[1]Sheet2!DX247)</f>
        <v>0</v>
      </c>
      <c r="DN248" s="14">
        <f>IF([1]Sheet2!DY247=999999,"NA",[1]Sheet2!DY247)</f>
        <v>120</v>
      </c>
      <c r="DO248" s="14" t="str">
        <f>IF([1]Sheet2!DZ247=999999,"NA",[1]Sheet2!DZ247)</f>
        <v>NA</v>
      </c>
      <c r="DP248" s="14" t="str">
        <f>IF([1]Sheet2!EA247=999999,"NA",[1]Sheet2!EA247)</f>
        <v>NA</v>
      </c>
      <c r="DQ248" s="14" t="str">
        <f>IF([1]Sheet2!EB247=999999,"NA",[1]Sheet2!EB247)</f>
        <v>NA</v>
      </c>
      <c r="DR248" s="14">
        <f>[1]Sheet2!CY247</f>
        <v>0</v>
      </c>
      <c r="DS248" s="14">
        <f>[1]Sheet2!CZ247</f>
        <v>0</v>
      </c>
      <c r="DT248" s="14">
        <f>[1]Sheet2!DA247</f>
        <v>0</v>
      </c>
      <c r="DU248" s="14">
        <f>[1]Sheet2!DB247</f>
        <v>0</v>
      </c>
      <c r="DV248" s="14">
        <f>[1]Sheet2!DC247</f>
        <v>0</v>
      </c>
      <c r="DW248" s="14">
        <f>[1]Sheet2!DD247</f>
        <v>0</v>
      </c>
      <c r="DX248" s="14">
        <f>[1]Sheet2!DE247</f>
        <v>0</v>
      </c>
      <c r="DY248" s="14">
        <f>[1]Sheet2!DF247</f>
        <v>0</v>
      </c>
      <c r="DZ248" s="14">
        <f>[1]Sheet2!DG247</f>
        <v>0</v>
      </c>
      <c r="EA248" s="14">
        <f>[1]Sheet2!DH247</f>
        <v>0</v>
      </c>
      <c r="EB248" s="6">
        <f>[1]Sheet2!EC247</f>
        <v>0</v>
      </c>
      <c r="EC248" s="6">
        <f>[1]Sheet2!ED247</f>
        <v>0</v>
      </c>
      <c r="ED248" s="6">
        <f>[1]Sheet2!EE247</f>
        <v>0</v>
      </c>
      <c r="EE248" s="6">
        <f>[1]Sheet2!EF247</f>
        <v>0</v>
      </c>
      <c r="EF248" s="6">
        <f>[1]Sheet2!EG247</f>
        <v>0</v>
      </c>
      <c r="EG248" s="6">
        <f>[1]Sheet2!EH247</f>
        <v>0</v>
      </c>
      <c r="EH248" s="6">
        <f>[1]Sheet2!EI247</f>
        <v>0</v>
      </c>
      <c r="EI248" s="6">
        <f>[1]Sheet2!EJ247</f>
        <v>0</v>
      </c>
      <c r="EJ248" s="6">
        <f>[1]Sheet2!EK247</f>
        <v>0</v>
      </c>
      <c r="EK248" s="6">
        <f>[1]Sheet2!EL247</f>
        <v>0</v>
      </c>
      <c r="EL248" s="6" t="str">
        <f>[1]Sheet2!EM247</f>
        <v/>
      </c>
      <c r="EM248" s="6" t="str">
        <f>[1]Sheet2!EN247</f>
        <v/>
      </c>
      <c r="EN248" s="6" t="str">
        <f>[1]Sheet2!EO247</f>
        <v/>
      </c>
      <c r="EO248" s="6" t="str">
        <f>[1]Sheet2!EP247</f>
        <v/>
      </c>
      <c r="EP248" s="6" t="str">
        <f>[1]Sheet2!EQ247</f>
        <v/>
      </c>
      <c r="EQ248" s="6" t="str">
        <f>[1]Sheet2!ER247</f>
        <v/>
      </c>
      <c r="ER248" s="6" t="str">
        <f>[1]Sheet2!ES247</f>
        <v/>
      </c>
      <c r="ES248" s="6" t="str">
        <f>[1]Sheet2!ET247</f>
        <v/>
      </c>
      <c r="ET248" s="6" t="str">
        <f>[1]Sheet2!EU247</f>
        <v/>
      </c>
      <c r="EU248" s="6" t="str">
        <f>[1]Sheet2!EV247</f>
        <v/>
      </c>
      <c r="EV248" s="6" t="str">
        <f>[1]Sheet2!EW247</f>
        <v/>
      </c>
      <c r="EW248" s="6" t="str">
        <f>[1]Sheet2!EX247</f>
        <v/>
      </c>
      <c r="EX248" s="6" t="str">
        <f>[1]Sheet2!EY247</f>
        <v/>
      </c>
      <c r="EY248" s="6" t="str">
        <f>[1]Sheet2!EZ247</f>
        <v/>
      </c>
      <c r="EZ248" s="6" t="str">
        <f>[1]Sheet2!FA247</f>
        <v/>
      </c>
      <c r="FA248" s="6" t="str">
        <f>[1]Sheet2!FB247</f>
        <v/>
      </c>
      <c r="FB248" s="6" t="str">
        <f>[1]Sheet2!FC247</f>
        <v/>
      </c>
      <c r="FC248" s="6" t="str">
        <f>[1]Sheet2!FD247</f>
        <v/>
      </c>
      <c r="FD248" s="6" t="str">
        <f>[1]Sheet2!FE247</f>
        <v/>
      </c>
      <c r="FE248" s="6" t="str">
        <f>[1]Sheet2!FF247</f>
        <v/>
      </c>
      <c r="FF248" s="6" t="str">
        <f>[1]Sheet2!FG247</f>
        <v/>
      </c>
      <c r="FG248" s="6" t="str">
        <f>[1]Sheet2!FH247</f>
        <v/>
      </c>
      <c r="FH248" s="6" t="str">
        <f>[1]Sheet2!FI247</f>
        <v/>
      </c>
      <c r="FI248" s="6" t="str">
        <f>[1]Sheet2!FJ247</f>
        <v/>
      </c>
      <c r="FJ248" s="6" t="str">
        <f>[1]Sheet2!FK247</f>
        <v/>
      </c>
      <c r="FK248" s="6" t="str">
        <f>[1]Sheet2!FL247</f>
        <v/>
      </c>
      <c r="FL248" s="6" t="str">
        <f>[1]Sheet2!FM247</f>
        <v/>
      </c>
      <c r="FM248" s="6" t="str">
        <f>[1]Sheet2!FN247</f>
        <v/>
      </c>
      <c r="FN248" s="6" t="str">
        <f>[1]Sheet2!FO247</f>
        <v/>
      </c>
      <c r="FO248" s="6" t="str">
        <f>[1]Sheet2!FP247</f>
        <v/>
      </c>
    </row>
    <row r="249" spans="1:171" x14ac:dyDescent="0.25">
      <c r="A249" s="15">
        <v>43711</v>
      </c>
      <c r="B249" s="1"/>
      <c r="C249" s="1"/>
      <c r="D249" s="1"/>
      <c r="E249" s="14">
        <f>[1]Sheet2!N248</f>
        <v>48000</v>
      </c>
      <c r="F249" s="14">
        <f>[1]Sheet2!BE248</f>
        <v>0</v>
      </c>
      <c r="G249" s="14">
        <f>[1]Sheet2!CW248</f>
        <v>0</v>
      </c>
      <c r="H249" s="1"/>
      <c r="I249" s="1"/>
      <c r="J249" s="1"/>
      <c r="K249" s="16"/>
      <c r="L249" s="16">
        <f>Demand_CWRS!B$11/30</f>
        <v>118.04546474358973</v>
      </c>
      <c r="M249" s="16">
        <f>Demand_CWRS!C$11/30</f>
        <v>491.39401709401704</v>
      </c>
      <c r="N249" s="16">
        <f>Demand_CWRS!D$11/30</f>
        <v>0</v>
      </c>
      <c r="O249" s="16">
        <f>Demand_CWRS!E$11/30</f>
        <v>107.84935897435898</v>
      </c>
      <c r="P249" s="16">
        <f>Demand_CWRS!F$11/30</f>
        <v>218.22274305555553</v>
      </c>
      <c r="Q249" s="16">
        <f>Demand_CWRS!G$11/30</f>
        <v>118.04546474358973</v>
      </c>
      <c r="R249" s="16">
        <f>Demand_CWRS!H$11/30</f>
        <v>218.22274305555553</v>
      </c>
      <c r="S249" s="16">
        <f>Demand_CWRS!I$11/30</f>
        <v>218.22274305555553</v>
      </c>
      <c r="T249" s="16">
        <f>Demand_CWRS!J$11/30</f>
        <v>218.22274305555553</v>
      </c>
      <c r="U249" s="16">
        <f>Demand_CWRS!K$11/30</f>
        <v>218.22274305555553</v>
      </c>
      <c r="V249" s="16">
        <f t="shared" si="96"/>
        <v>-30721.768604704153</v>
      </c>
      <c r="W249" s="16">
        <f t="shared" si="97"/>
        <v>-121580.01538461502</v>
      </c>
      <c r="X249" s="16">
        <f t="shared" si="98"/>
        <v>0</v>
      </c>
      <c r="Y249" s="16">
        <f t="shared" si="99"/>
        <v>-22611.542575462478</v>
      </c>
      <c r="Z249" s="16">
        <f t="shared" si="100"/>
        <v>-53365.192480627215</v>
      </c>
      <c r="AA249" s="16">
        <f t="shared" si="101"/>
        <v>-29249.836080665762</v>
      </c>
      <c r="AB249" s="16">
        <f t="shared" si="102"/>
        <v>-57674.357256268173</v>
      </c>
      <c r="AC249" s="16">
        <f t="shared" si="103"/>
        <v>-51881.346999857982</v>
      </c>
      <c r="AD249" s="16">
        <f t="shared" si="104"/>
        <v>-51981.346999857975</v>
      </c>
      <c r="AE249" s="16">
        <f t="shared" si="105"/>
        <v>-52581.346999857968</v>
      </c>
      <c r="AF249" s="14">
        <f>IF([1]Sheet2!AJ248=999999,"NA",[1]Sheet2!AJ248)</f>
        <v>0</v>
      </c>
      <c r="AG249" s="14">
        <f>IF([1]Sheet2!AK248=999999,"NA",[1]Sheet2!AK248)</f>
        <v>0</v>
      </c>
      <c r="AH249" s="14" t="str">
        <f>IF([1]Sheet2!AL248=999999,"NA",[1]Sheet2!AL248)</f>
        <v>NA</v>
      </c>
      <c r="AI249" s="14">
        <f>IF([1]Sheet2!AM248=999999,"NA",[1]Sheet2!AM248)</f>
        <v>0</v>
      </c>
      <c r="AJ249" s="14">
        <f>IF([1]Sheet2!AN248=999999,"NA",[1]Sheet2!AN248)</f>
        <v>0</v>
      </c>
      <c r="AK249" s="14">
        <f>IF([1]Sheet2!AO248=999999,"NA",[1]Sheet2!AO248)</f>
        <v>0</v>
      </c>
      <c r="AL249" s="14">
        <f>IF([1]Sheet2!AP248=999999,"NA",[1]Sheet2!AP248)</f>
        <v>0</v>
      </c>
      <c r="AM249" s="14">
        <f>IF([1]Sheet2!AQ248=999999,"NA",[1]Sheet2!AQ248)</f>
        <v>0</v>
      </c>
      <c r="AN249" s="14">
        <f>IF([1]Sheet2!AR248=999999,"NA",[1]Sheet2!AR248)</f>
        <v>0</v>
      </c>
      <c r="AO249" s="14">
        <f>IF([1]Sheet2!AS248=999999,"NA",[1]Sheet2!AS248)</f>
        <v>0</v>
      </c>
      <c r="AP249" s="14">
        <f>[1]Sheet2!P248</f>
        <v>0</v>
      </c>
      <c r="AQ249" s="14">
        <f>[1]Sheet2!Q248</f>
        <v>0</v>
      </c>
      <c r="AR249" s="14">
        <f>[1]Sheet2!R248</f>
        <v>0</v>
      </c>
      <c r="AS249" s="14">
        <f>[1]Sheet2!S248</f>
        <v>0</v>
      </c>
      <c r="AT249" s="14">
        <f>[1]Sheet2!T248</f>
        <v>0</v>
      </c>
      <c r="AU249" s="14">
        <f>[1]Sheet2!U248</f>
        <v>0</v>
      </c>
      <c r="AV249" s="14">
        <f>[1]Sheet2!V248</f>
        <v>0</v>
      </c>
      <c r="AW249" s="14">
        <f>[1]Sheet2!W248</f>
        <v>0</v>
      </c>
      <c r="AX249" s="14">
        <f>[1]Sheet2!X248</f>
        <v>0</v>
      </c>
      <c r="AY249" s="14">
        <f>[1]Sheet2!Y248</f>
        <v>0</v>
      </c>
      <c r="AZ249" s="16">
        <f>Demand_LP!B$11/30</f>
        <v>902.60591613247857</v>
      </c>
      <c r="BA249" s="16">
        <f>Demand_LP!C$11/30</f>
        <v>593.76410256410259</v>
      </c>
      <c r="BB249" s="16">
        <f>Demand_LP!D$11/30</f>
        <v>290.27136752136749</v>
      </c>
      <c r="BC249" s="16">
        <f>Demand_LP!E$11/30</f>
        <v>790.42628205128199</v>
      </c>
      <c r="BD249" s="16">
        <f>Demand_LP!F$11/30</f>
        <v>538.46224626068363</v>
      </c>
      <c r="BE249" s="16">
        <f>Demand_LP!G$11/30</f>
        <v>538.46224626068363</v>
      </c>
      <c r="BF249" s="16">
        <f>Demand_LP!H$11/30</f>
        <v>593.76410256410259</v>
      </c>
      <c r="BG249" s="16">
        <f>Demand_LP!I$11/30</f>
        <v>538.46224626068363</v>
      </c>
      <c r="BH249" s="16">
        <f>Demand_LP!J$11/30</f>
        <v>538.46224626068363</v>
      </c>
      <c r="BI249" s="16">
        <f>Demand_LP!K$11/30</f>
        <v>538.46224626068363</v>
      </c>
      <c r="BJ249" s="16">
        <f t="shared" si="106"/>
        <v>-182693.3791520099</v>
      </c>
      <c r="BK249" s="16">
        <f t="shared" si="107"/>
        <v>-140924.43333333323</v>
      </c>
      <c r="BL249" s="16">
        <f t="shared" si="108"/>
        <v>-68461.414102564144</v>
      </c>
      <c r="BM249" s="16">
        <f t="shared" si="109"/>
        <v>-179201.96088120682</v>
      </c>
      <c r="BN249" s="16">
        <f t="shared" si="110"/>
        <v>-106417.55684284747</v>
      </c>
      <c r="BO249" s="16">
        <f t="shared" si="111"/>
        <v>-104875.2407612182</v>
      </c>
      <c r="BP249" s="16">
        <f t="shared" si="112"/>
        <v>-135282.01282051258</v>
      </c>
      <c r="BQ249" s="16">
        <f t="shared" si="113"/>
        <v>-104875.2407612182</v>
      </c>
      <c r="BR249" s="16">
        <f t="shared" si="114"/>
        <v>-102475.24076121824</v>
      </c>
      <c r="BS249" s="16">
        <f t="shared" si="115"/>
        <v>-103175.24076121823</v>
      </c>
      <c r="BT249" s="14">
        <f>IF([1]Sheet2!CB248=999999,"NA",[1]Sheet2!CB248)</f>
        <v>0</v>
      </c>
      <c r="BU249" s="14">
        <f>IF([1]Sheet2!CC248=999999,"NA",[1]Sheet2!CC248)</f>
        <v>0</v>
      </c>
      <c r="BV249" s="14">
        <f>IF([1]Sheet2!CD248=999999,"NA",[1]Sheet2!CD248)</f>
        <v>0</v>
      </c>
      <c r="BW249" s="14">
        <f>IF([1]Sheet2!CE248=999999,"NA",[1]Sheet2!CE248)</f>
        <v>0</v>
      </c>
      <c r="BX249" s="14">
        <f>IF([1]Sheet2!CF248=999999,"NA",[1]Sheet2!CF248)</f>
        <v>0</v>
      </c>
      <c r="BY249" s="14">
        <f>IF([1]Sheet2!CG248=999999,"NA",[1]Sheet2!CG248)</f>
        <v>0</v>
      </c>
      <c r="BZ249" s="14">
        <f>IF([1]Sheet2!CH248=999999,"NA",[1]Sheet2!CH248)</f>
        <v>0</v>
      </c>
      <c r="CA249" s="14">
        <f>IF([1]Sheet2!CI248=999999,"NA",[1]Sheet2!CI248)</f>
        <v>0</v>
      </c>
      <c r="CB249" s="14">
        <f>IF([1]Sheet2!CJ248=999999,"NA",[1]Sheet2!CJ248)</f>
        <v>0</v>
      </c>
      <c r="CC249" s="14">
        <f>IF([1]Sheet2!CK248=999999,"NA",[1]Sheet2!CK248)</f>
        <v>0</v>
      </c>
      <c r="CD249" s="14">
        <f>[1]Sheet2!BH248</f>
        <v>0</v>
      </c>
      <c r="CE249" s="14">
        <f>[1]Sheet2!BI248</f>
        <v>0</v>
      </c>
      <c r="CF249" s="14">
        <f>[1]Sheet2!BJ248</f>
        <v>0</v>
      </c>
      <c r="CG249" s="14">
        <f>[1]Sheet2!BK248</f>
        <v>0</v>
      </c>
      <c r="CH249" s="14">
        <f>[1]Sheet2!BL248</f>
        <v>0</v>
      </c>
      <c r="CI249" s="14">
        <f>[1]Sheet2!BM248</f>
        <v>0</v>
      </c>
      <c r="CJ249" s="14">
        <f>[1]Sheet2!BN248</f>
        <v>0</v>
      </c>
      <c r="CK249" s="14">
        <f>[1]Sheet2!BO248</f>
        <v>0</v>
      </c>
      <c r="CL249" s="14">
        <f>[1]Sheet2!BP248</f>
        <v>0</v>
      </c>
      <c r="CM249" s="14">
        <f>[1]Sheet2!BQ248</f>
        <v>0</v>
      </c>
      <c r="CN249" s="16">
        <f>Demand_SW!B$11/30</f>
        <v>144.23076923076923</v>
      </c>
      <c r="CO249" s="16">
        <f>Demand_SW!C$11/30</f>
        <v>0</v>
      </c>
      <c r="CP249" s="16">
        <f>Demand_SW!D$11/30</f>
        <v>0</v>
      </c>
      <c r="CQ249" s="16">
        <f>Demand_SW!E$11/30</f>
        <v>0</v>
      </c>
      <c r="CR249" s="16">
        <f>Demand_SW!F$11/30</f>
        <v>0</v>
      </c>
      <c r="CS249" s="16">
        <f>Demand_SW!G$11/30</f>
        <v>144.23076923076923</v>
      </c>
      <c r="CT249" s="16">
        <f>Demand_SW!H$11/30</f>
        <v>0</v>
      </c>
      <c r="CU249" s="16">
        <f>Demand_SW!I$11/30</f>
        <v>0</v>
      </c>
      <c r="CV249" s="16">
        <f>Demand_SW!J$11/30</f>
        <v>0</v>
      </c>
      <c r="CW249" s="16">
        <f>Demand_SW!K$11/30</f>
        <v>0</v>
      </c>
      <c r="CX249" s="16">
        <f t="shared" si="116"/>
        <v>-28153.461538461575</v>
      </c>
      <c r="CY249" s="16">
        <f t="shared" si="117"/>
        <v>76.923076923077133</v>
      </c>
      <c r="CZ249" s="16">
        <f t="shared" si="118"/>
        <v>0</v>
      </c>
      <c r="DA249" s="16">
        <f t="shared" si="119"/>
        <v>0</v>
      </c>
      <c r="DB249" s="16">
        <f t="shared" si="120"/>
        <v>0</v>
      </c>
      <c r="DC249" s="16">
        <f t="shared" si="121"/>
        <v>-27682.692307692345</v>
      </c>
      <c r="DD249" s="16">
        <f t="shared" si="122"/>
        <v>76.923076923077133</v>
      </c>
      <c r="DE249" s="16">
        <f t="shared" si="123"/>
        <v>0</v>
      </c>
      <c r="DF249" s="16">
        <f t="shared" si="124"/>
        <v>0</v>
      </c>
      <c r="DG249" s="16">
        <f t="shared" si="125"/>
        <v>0</v>
      </c>
      <c r="DH249" s="14">
        <f>IF([1]Sheet2!DS248=999999,"NA",[1]Sheet2!DS248)</f>
        <v>0</v>
      </c>
      <c r="DI249" s="14">
        <f>IF([1]Sheet2!DT248=999999,"NA",[1]Sheet2!DT248)</f>
        <v>119</v>
      </c>
      <c r="DJ249" s="14" t="str">
        <f>IF([1]Sheet2!DU248=999999,"NA",[1]Sheet2!DU248)</f>
        <v>NA</v>
      </c>
      <c r="DK249" s="14" t="str">
        <f>IF([1]Sheet2!DV248=999999,"NA",[1]Sheet2!DV248)</f>
        <v>NA</v>
      </c>
      <c r="DL249" s="14" t="str">
        <f>IF([1]Sheet2!DW248=999999,"NA",[1]Sheet2!DW248)</f>
        <v>NA</v>
      </c>
      <c r="DM249" s="14">
        <f>IF([1]Sheet2!DX248=999999,"NA",[1]Sheet2!DX248)</f>
        <v>0</v>
      </c>
      <c r="DN249" s="14">
        <f>IF([1]Sheet2!DY248=999999,"NA",[1]Sheet2!DY248)</f>
        <v>119</v>
      </c>
      <c r="DO249" s="14" t="str">
        <f>IF([1]Sheet2!DZ248=999999,"NA",[1]Sheet2!DZ248)</f>
        <v>NA</v>
      </c>
      <c r="DP249" s="14" t="str">
        <f>IF([1]Sheet2!EA248=999999,"NA",[1]Sheet2!EA248)</f>
        <v>NA</v>
      </c>
      <c r="DQ249" s="14" t="str">
        <f>IF([1]Sheet2!EB248=999999,"NA",[1]Sheet2!EB248)</f>
        <v>NA</v>
      </c>
      <c r="DR249" s="14">
        <f>[1]Sheet2!CY248</f>
        <v>0</v>
      </c>
      <c r="DS249" s="14">
        <f>[1]Sheet2!CZ248</f>
        <v>0</v>
      </c>
      <c r="DT249" s="14">
        <f>[1]Sheet2!DA248</f>
        <v>0</v>
      </c>
      <c r="DU249" s="14">
        <f>[1]Sheet2!DB248</f>
        <v>0</v>
      </c>
      <c r="DV249" s="14">
        <f>[1]Sheet2!DC248</f>
        <v>0</v>
      </c>
      <c r="DW249" s="14">
        <f>[1]Sheet2!DD248</f>
        <v>0</v>
      </c>
      <c r="DX249" s="14">
        <f>[1]Sheet2!DE248</f>
        <v>0</v>
      </c>
      <c r="DY249" s="14">
        <f>[1]Sheet2!DF248</f>
        <v>0</v>
      </c>
      <c r="DZ249" s="14">
        <f>[1]Sheet2!DG248</f>
        <v>0</v>
      </c>
      <c r="EA249" s="14">
        <f>[1]Sheet2!DH248</f>
        <v>0</v>
      </c>
      <c r="EB249" s="6">
        <f>[1]Sheet2!EC248</f>
        <v>0</v>
      </c>
      <c r="EC249" s="6">
        <f>[1]Sheet2!ED248</f>
        <v>0</v>
      </c>
      <c r="ED249" s="6">
        <f>[1]Sheet2!EE248</f>
        <v>0</v>
      </c>
      <c r="EE249" s="6">
        <f>[1]Sheet2!EF248</f>
        <v>0</v>
      </c>
      <c r="EF249" s="6">
        <f>[1]Sheet2!EG248</f>
        <v>0</v>
      </c>
      <c r="EG249" s="6">
        <f>[1]Sheet2!EH248</f>
        <v>0</v>
      </c>
      <c r="EH249" s="6">
        <f>[1]Sheet2!EI248</f>
        <v>0</v>
      </c>
      <c r="EI249" s="6">
        <f>[1]Sheet2!EJ248</f>
        <v>0</v>
      </c>
      <c r="EJ249" s="6">
        <f>[1]Sheet2!EK248</f>
        <v>0</v>
      </c>
      <c r="EK249" s="6">
        <f>[1]Sheet2!EL248</f>
        <v>0</v>
      </c>
      <c r="EL249" s="6" t="str">
        <f>[1]Sheet2!EM248</f>
        <v/>
      </c>
      <c r="EM249" s="6" t="str">
        <f>[1]Sheet2!EN248</f>
        <v/>
      </c>
      <c r="EN249" s="6" t="str">
        <f>[1]Sheet2!EO248</f>
        <v/>
      </c>
      <c r="EO249" s="6" t="str">
        <f>[1]Sheet2!EP248</f>
        <v/>
      </c>
      <c r="EP249" s="6" t="str">
        <f>[1]Sheet2!EQ248</f>
        <v/>
      </c>
      <c r="EQ249" s="6" t="str">
        <f>[1]Sheet2!ER248</f>
        <v/>
      </c>
      <c r="ER249" s="6" t="str">
        <f>[1]Sheet2!ES248</f>
        <v/>
      </c>
      <c r="ES249" s="6" t="str">
        <f>[1]Sheet2!ET248</f>
        <v/>
      </c>
      <c r="ET249" s="6" t="str">
        <f>[1]Sheet2!EU248</f>
        <v/>
      </c>
      <c r="EU249" s="6" t="str">
        <f>[1]Sheet2!EV248</f>
        <v/>
      </c>
      <c r="EV249" s="6" t="str">
        <f>[1]Sheet2!EW248</f>
        <v/>
      </c>
      <c r="EW249" s="6" t="str">
        <f>[1]Sheet2!EX248</f>
        <v/>
      </c>
      <c r="EX249" s="6" t="str">
        <f>[1]Sheet2!EY248</f>
        <v/>
      </c>
      <c r="EY249" s="6" t="str">
        <f>[1]Sheet2!EZ248</f>
        <v/>
      </c>
      <c r="EZ249" s="6" t="str">
        <f>[1]Sheet2!FA248</f>
        <v/>
      </c>
      <c r="FA249" s="6" t="str">
        <f>[1]Sheet2!FB248</f>
        <v/>
      </c>
      <c r="FB249" s="6" t="str">
        <f>[1]Sheet2!FC248</f>
        <v/>
      </c>
      <c r="FC249" s="6" t="str">
        <f>[1]Sheet2!FD248</f>
        <v/>
      </c>
      <c r="FD249" s="6" t="str">
        <f>[1]Sheet2!FE248</f>
        <v/>
      </c>
      <c r="FE249" s="6" t="str">
        <f>[1]Sheet2!FF248</f>
        <v/>
      </c>
      <c r="FF249" s="6" t="str">
        <f>[1]Sheet2!FG248</f>
        <v/>
      </c>
      <c r="FG249" s="6" t="str">
        <f>[1]Sheet2!FH248</f>
        <v/>
      </c>
      <c r="FH249" s="6" t="str">
        <f>[1]Sheet2!FI248</f>
        <v/>
      </c>
      <c r="FI249" s="6" t="str">
        <f>[1]Sheet2!FJ248</f>
        <v/>
      </c>
      <c r="FJ249" s="6" t="str">
        <f>[1]Sheet2!FK248</f>
        <v/>
      </c>
      <c r="FK249" s="6" t="str">
        <f>[1]Sheet2!FL248</f>
        <v/>
      </c>
      <c r="FL249" s="6" t="str">
        <f>[1]Sheet2!FM248</f>
        <v/>
      </c>
      <c r="FM249" s="6" t="str">
        <f>[1]Sheet2!FN248</f>
        <v/>
      </c>
      <c r="FN249" s="6" t="str">
        <f>[1]Sheet2!FO248</f>
        <v/>
      </c>
      <c r="FO249" s="6" t="str">
        <f>[1]Sheet2!FP248</f>
        <v/>
      </c>
    </row>
    <row r="250" spans="1:171" x14ac:dyDescent="0.25">
      <c r="A250" s="15">
        <v>43712</v>
      </c>
      <c r="B250" s="1"/>
      <c r="C250" s="1"/>
      <c r="D250" s="1"/>
      <c r="E250" s="14">
        <f>[1]Sheet2!N249</f>
        <v>0</v>
      </c>
      <c r="F250" s="14">
        <f>[1]Sheet2!BE249</f>
        <v>0</v>
      </c>
      <c r="G250" s="14">
        <f>[1]Sheet2!CW249</f>
        <v>0</v>
      </c>
      <c r="H250" s="1"/>
      <c r="I250" s="1"/>
      <c r="J250" s="1"/>
      <c r="K250" s="16"/>
      <c r="L250" s="16">
        <f>Demand_CWRS!B$11/30</f>
        <v>118.04546474358973</v>
      </c>
      <c r="M250" s="16">
        <f>Demand_CWRS!C$11/30</f>
        <v>491.39401709401704</v>
      </c>
      <c r="N250" s="16">
        <f>Demand_CWRS!D$11/30</f>
        <v>0</v>
      </c>
      <c r="O250" s="16">
        <f>Demand_CWRS!E$11/30</f>
        <v>107.84935897435898</v>
      </c>
      <c r="P250" s="16">
        <f>Demand_CWRS!F$11/30</f>
        <v>218.22274305555553</v>
      </c>
      <c r="Q250" s="16">
        <f>Demand_CWRS!G$11/30</f>
        <v>118.04546474358973</v>
      </c>
      <c r="R250" s="16">
        <f>Demand_CWRS!H$11/30</f>
        <v>218.22274305555553</v>
      </c>
      <c r="S250" s="16">
        <f>Demand_CWRS!I$11/30</f>
        <v>218.22274305555553</v>
      </c>
      <c r="T250" s="16">
        <f>Demand_CWRS!J$11/30</f>
        <v>218.22274305555553</v>
      </c>
      <c r="U250" s="16">
        <f>Demand_CWRS!K$11/30</f>
        <v>218.22274305555553</v>
      </c>
      <c r="V250" s="16">
        <f t="shared" si="96"/>
        <v>-30839.814069447744</v>
      </c>
      <c r="W250" s="16">
        <f t="shared" si="97"/>
        <v>-122071.40940170904</v>
      </c>
      <c r="X250" s="16">
        <f t="shared" si="98"/>
        <v>0</v>
      </c>
      <c r="Y250" s="16">
        <f t="shared" si="99"/>
        <v>-22719.391934436837</v>
      </c>
      <c r="Z250" s="16">
        <f t="shared" si="100"/>
        <v>-53583.415223682772</v>
      </c>
      <c r="AA250" s="16">
        <f t="shared" si="101"/>
        <v>-29367.881545409353</v>
      </c>
      <c r="AB250" s="16">
        <f t="shared" si="102"/>
        <v>-57892.579999323731</v>
      </c>
      <c r="AC250" s="16">
        <f t="shared" si="103"/>
        <v>-52099.56974291354</v>
      </c>
      <c r="AD250" s="16">
        <f t="shared" si="104"/>
        <v>-52199.569742913533</v>
      </c>
      <c r="AE250" s="16">
        <f t="shared" si="105"/>
        <v>-52799.569742913525</v>
      </c>
      <c r="AF250" s="14">
        <f>IF([1]Sheet2!AJ249=999999,"NA",[1]Sheet2!AJ249)</f>
        <v>0</v>
      </c>
      <c r="AG250" s="14">
        <f>IF([1]Sheet2!AK249=999999,"NA",[1]Sheet2!AK249)</f>
        <v>0</v>
      </c>
      <c r="AH250" s="14" t="str">
        <f>IF([1]Sheet2!AL249=999999,"NA",[1]Sheet2!AL249)</f>
        <v>NA</v>
      </c>
      <c r="AI250" s="14">
        <f>IF([1]Sheet2!AM249=999999,"NA",[1]Sheet2!AM249)</f>
        <v>0</v>
      </c>
      <c r="AJ250" s="14">
        <f>IF([1]Sheet2!AN249=999999,"NA",[1]Sheet2!AN249)</f>
        <v>0</v>
      </c>
      <c r="AK250" s="14">
        <f>IF([1]Sheet2!AO249=999999,"NA",[1]Sheet2!AO249)</f>
        <v>0</v>
      </c>
      <c r="AL250" s="14">
        <f>IF([1]Sheet2!AP249=999999,"NA",[1]Sheet2!AP249)</f>
        <v>0</v>
      </c>
      <c r="AM250" s="14">
        <f>IF([1]Sheet2!AQ249=999999,"NA",[1]Sheet2!AQ249)</f>
        <v>0</v>
      </c>
      <c r="AN250" s="14">
        <f>IF([1]Sheet2!AR249=999999,"NA",[1]Sheet2!AR249)</f>
        <v>0</v>
      </c>
      <c r="AO250" s="14">
        <f>IF([1]Sheet2!AS249=999999,"NA",[1]Sheet2!AS249)</f>
        <v>0</v>
      </c>
      <c r="AP250" s="14">
        <f>[1]Sheet2!P249</f>
        <v>0</v>
      </c>
      <c r="AQ250" s="14">
        <f>[1]Sheet2!Q249</f>
        <v>0</v>
      </c>
      <c r="AR250" s="14">
        <f>[1]Sheet2!R249</f>
        <v>0</v>
      </c>
      <c r="AS250" s="14">
        <f>[1]Sheet2!S249</f>
        <v>0</v>
      </c>
      <c r="AT250" s="14">
        <f>[1]Sheet2!T249</f>
        <v>0</v>
      </c>
      <c r="AU250" s="14">
        <f>[1]Sheet2!U249</f>
        <v>0</v>
      </c>
      <c r="AV250" s="14">
        <f>[1]Sheet2!V249</f>
        <v>0</v>
      </c>
      <c r="AW250" s="14">
        <f>[1]Sheet2!W249</f>
        <v>0</v>
      </c>
      <c r="AX250" s="14">
        <f>[1]Sheet2!X249</f>
        <v>0</v>
      </c>
      <c r="AY250" s="14">
        <f>[1]Sheet2!Y249</f>
        <v>0</v>
      </c>
      <c r="AZ250" s="16">
        <f>Demand_LP!B$11/30</f>
        <v>902.60591613247857</v>
      </c>
      <c r="BA250" s="16">
        <f>Demand_LP!C$11/30</f>
        <v>593.76410256410259</v>
      </c>
      <c r="BB250" s="16">
        <f>Demand_LP!D$11/30</f>
        <v>290.27136752136749</v>
      </c>
      <c r="BC250" s="16">
        <f>Demand_LP!E$11/30</f>
        <v>790.42628205128199</v>
      </c>
      <c r="BD250" s="16">
        <f>Demand_LP!F$11/30</f>
        <v>538.46224626068363</v>
      </c>
      <c r="BE250" s="16">
        <f>Demand_LP!G$11/30</f>
        <v>538.46224626068363</v>
      </c>
      <c r="BF250" s="16">
        <f>Demand_LP!H$11/30</f>
        <v>593.76410256410259</v>
      </c>
      <c r="BG250" s="16">
        <f>Demand_LP!I$11/30</f>
        <v>538.46224626068363</v>
      </c>
      <c r="BH250" s="16">
        <f>Demand_LP!J$11/30</f>
        <v>538.46224626068363</v>
      </c>
      <c r="BI250" s="16">
        <f>Demand_LP!K$11/30</f>
        <v>538.46224626068363</v>
      </c>
      <c r="BJ250" s="16">
        <f t="shared" si="106"/>
        <v>-183595.98506814238</v>
      </c>
      <c r="BK250" s="16">
        <f t="shared" si="107"/>
        <v>-141518.19743589734</v>
      </c>
      <c r="BL250" s="16">
        <f t="shared" si="108"/>
        <v>-68751.685470085518</v>
      </c>
      <c r="BM250" s="16">
        <f t="shared" si="109"/>
        <v>-179992.3871632581</v>
      </c>
      <c r="BN250" s="16">
        <f t="shared" si="110"/>
        <v>-106956.01908910814</v>
      </c>
      <c r="BO250" s="16">
        <f t="shared" si="111"/>
        <v>-105413.70300747888</v>
      </c>
      <c r="BP250" s="16">
        <f t="shared" si="112"/>
        <v>-135875.77692307669</v>
      </c>
      <c r="BQ250" s="16">
        <f t="shared" si="113"/>
        <v>-105413.70300747888</v>
      </c>
      <c r="BR250" s="16">
        <f t="shared" si="114"/>
        <v>-103013.70300747892</v>
      </c>
      <c r="BS250" s="16">
        <f t="shared" si="115"/>
        <v>-103713.70300747891</v>
      </c>
      <c r="BT250" s="14">
        <f>IF([1]Sheet2!CB249=999999,"NA",[1]Sheet2!CB249)</f>
        <v>0</v>
      </c>
      <c r="BU250" s="14">
        <f>IF([1]Sheet2!CC249=999999,"NA",[1]Sheet2!CC249)</f>
        <v>0</v>
      </c>
      <c r="BV250" s="14">
        <f>IF([1]Sheet2!CD249=999999,"NA",[1]Sheet2!CD249)</f>
        <v>0</v>
      </c>
      <c r="BW250" s="14">
        <f>IF([1]Sheet2!CE249=999999,"NA",[1]Sheet2!CE249)</f>
        <v>0</v>
      </c>
      <c r="BX250" s="14">
        <f>IF([1]Sheet2!CF249=999999,"NA",[1]Sheet2!CF249)</f>
        <v>0</v>
      </c>
      <c r="BY250" s="14">
        <f>IF([1]Sheet2!CG249=999999,"NA",[1]Sheet2!CG249)</f>
        <v>0</v>
      </c>
      <c r="BZ250" s="14">
        <f>IF([1]Sheet2!CH249=999999,"NA",[1]Sheet2!CH249)</f>
        <v>0</v>
      </c>
      <c r="CA250" s="14">
        <f>IF([1]Sheet2!CI249=999999,"NA",[1]Sheet2!CI249)</f>
        <v>0</v>
      </c>
      <c r="CB250" s="14">
        <f>IF([1]Sheet2!CJ249=999999,"NA",[1]Sheet2!CJ249)</f>
        <v>0</v>
      </c>
      <c r="CC250" s="14">
        <f>IF([1]Sheet2!CK249=999999,"NA",[1]Sheet2!CK249)</f>
        <v>0</v>
      </c>
      <c r="CD250" s="14">
        <f>[1]Sheet2!BH249</f>
        <v>0</v>
      </c>
      <c r="CE250" s="14">
        <f>[1]Sheet2!BI249</f>
        <v>0</v>
      </c>
      <c r="CF250" s="14">
        <f>[1]Sheet2!BJ249</f>
        <v>0</v>
      </c>
      <c r="CG250" s="14">
        <f>[1]Sheet2!BK249</f>
        <v>0</v>
      </c>
      <c r="CH250" s="14">
        <f>[1]Sheet2!BL249</f>
        <v>0</v>
      </c>
      <c r="CI250" s="14">
        <f>[1]Sheet2!BM249</f>
        <v>0</v>
      </c>
      <c r="CJ250" s="14">
        <f>[1]Sheet2!BN249</f>
        <v>0</v>
      </c>
      <c r="CK250" s="14">
        <f>[1]Sheet2!BO249</f>
        <v>0</v>
      </c>
      <c r="CL250" s="14">
        <f>[1]Sheet2!BP249</f>
        <v>0</v>
      </c>
      <c r="CM250" s="14">
        <f>[1]Sheet2!BQ249</f>
        <v>0</v>
      </c>
      <c r="CN250" s="16">
        <f>Demand_SW!B$11/30</f>
        <v>144.23076923076923</v>
      </c>
      <c r="CO250" s="16">
        <f>Demand_SW!C$11/30</f>
        <v>0</v>
      </c>
      <c r="CP250" s="16">
        <f>Demand_SW!D$11/30</f>
        <v>0</v>
      </c>
      <c r="CQ250" s="16">
        <f>Demand_SW!E$11/30</f>
        <v>0</v>
      </c>
      <c r="CR250" s="16">
        <f>Demand_SW!F$11/30</f>
        <v>0</v>
      </c>
      <c r="CS250" s="16">
        <f>Demand_SW!G$11/30</f>
        <v>144.23076923076923</v>
      </c>
      <c r="CT250" s="16">
        <f>Demand_SW!H$11/30</f>
        <v>0</v>
      </c>
      <c r="CU250" s="16">
        <f>Demand_SW!I$11/30</f>
        <v>0</v>
      </c>
      <c r="CV250" s="16">
        <f>Demand_SW!J$11/30</f>
        <v>0</v>
      </c>
      <c r="CW250" s="16">
        <f>Demand_SW!K$11/30</f>
        <v>0</v>
      </c>
      <c r="CX250" s="16">
        <f t="shared" si="116"/>
        <v>-28297.692307692345</v>
      </c>
      <c r="CY250" s="16">
        <f t="shared" si="117"/>
        <v>76.923076923077133</v>
      </c>
      <c r="CZ250" s="16">
        <f t="shared" si="118"/>
        <v>0</v>
      </c>
      <c r="DA250" s="16">
        <f t="shared" si="119"/>
        <v>0</v>
      </c>
      <c r="DB250" s="16">
        <f t="shared" si="120"/>
        <v>0</v>
      </c>
      <c r="DC250" s="16">
        <f t="shared" si="121"/>
        <v>-27826.923076923114</v>
      </c>
      <c r="DD250" s="16">
        <f t="shared" si="122"/>
        <v>76.923076923077133</v>
      </c>
      <c r="DE250" s="16">
        <f t="shared" si="123"/>
        <v>0</v>
      </c>
      <c r="DF250" s="16">
        <f t="shared" si="124"/>
        <v>0</v>
      </c>
      <c r="DG250" s="16">
        <f t="shared" si="125"/>
        <v>0</v>
      </c>
      <c r="DH250" s="14">
        <f>IF([1]Sheet2!DS249=999999,"NA",[1]Sheet2!DS249)</f>
        <v>0</v>
      </c>
      <c r="DI250" s="14">
        <f>IF([1]Sheet2!DT249=999999,"NA",[1]Sheet2!DT249)</f>
        <v>118</v>
      </c>
      <c r="DJ250" s="14" t="str">
        <f>IF([1]Sheet2!DU249=999999,"NA",[1]Sheet2!DU249)</f>
        <v>NA</v>
      </c>
      <c r="DK250" s="14" t="str">
        <f>IF([1]Sheet2!DV249=999999,"NA",[1]Sheet2!DV249)</f>
        <v>NA</v>
      </c>
      <c r="DL250" s="14" t="str">
        <f>IF([1]Sheet2!DW249=999999,"NA",[1]Sheet2!DW249)</f>
        <v>NA</v>
      </c>
      <c r="DM250" s="14">
        <f>IF([1]Sheet2!DX249=999999,"NA",[1]Sheet2!DX249)</f>
        <v>0</v>
      </c>
      <c r="DN250" s="14">
        <f>IF([1]Sheet2!DY249=999999,"NA",[1]Sheet2!DY249)</f>
        <v>118</v>
      </c>
      <c r="DO250" s="14" t="str">
        <f>IF([1]Sheet2!DZ249=999999,"NA",[1]Sheet2!DZ249)</f>
        <v>NA</v>
      </c>
      <c r="DP250" s="14" t="str">
        <f>IF([1]Sheet2!EA249=999999,"NA",[1]Sheet2!EA249)</f>
        <v>NA</v>
      </c>
      <c r="DQ250" s="14" t="str">
        <f>IF([1]Sheet2!EB249=999999,"NA",[1]Sheet2!EB249)</f>
        <v>NA</v>
      </c>
      <c r="DR250" s="14">
        <f>[1]Sheet2!CY249</f>
        <v>0</v>
      </c>
      <c r="DS250" s="14">
        <f>[1]Sheet2!CZ249</f>
        <v>0</v>
      </c>
      <c r="DT250" s="14">
        <f>[1]Sheet2!DA249</f>
        <v>0</v>
      </c>
      <c r="DU250" s="14">
        <f>[1]Sheet2!DB249</f>
        <v>0</v>
      </c>
      <c r="DV250" s="14">
        <f>[1]Sheet2!DC249</f>
        <v>0</v>
      </c>
      <c r="DW250" s="14">
        <f>[1]Sheet2!DD249</f>
        <v>0</v>
      </c>
      <c r="DX250" s="14">
        <f>[1]Sheet2!DE249</f>
        <v>0</v>
      </c>
      <c r="DY250" s="14">
        <f>[1]Sheet2!DF249</f>
        <v>0</v>
      </c>
      <c r="DZ250" s="14">
        <f>[1]Sheet2!DG249</f>
        <v>0</v>
      </c>
      <c r="EA250" s="14">
        <f>[1]Sheet2!DH249</f>
        <v>0</v>
      </c>
      <c r="EB250" s="6">
        <f>[1]Sheet2!EC249</f>
        <v>0</v>
      </c>
      <c r="EC250" s="6">
        <f>[1]Sheet2!ED249</f>
        <v>0</v>
      </c>
      <c r="ED250" s="6">
        <f>[1]Sheet2!EE249</f>
        <v>0</v>
      </c>
      <c r="EE250" s="6">
        <f>[1]Sheet2!EF249</f>
        <v>0</v>
      </c>
      <c r="EF250" s="6">
        <f>[1]Sheet2!EG249</f>
        <v>0</v>
      </c>
      <c r="EG250" s="6">
        <f>[1]Sheet2!EH249</f>
        <v>0</v>
      </c>
      <c r="EH250" s="6">
        <f>[1]Sheet2!EI249</f>
        <v>0</v>
      </c>
      <c r="EI250" s="6">
        <f>[1]Sheet2!EJ249</f>
        <v>0</v>
      </c>
      <c r="EJ250" s="6">
        <f>[1]Sheet2!EK249</f>
        <v>0</v>
      </c>
      <c r="EK250" s="6">
        <f>[1]Sheet2!EL249</f>
        <v>0</v>
      </c>
      <c r="EL250" s="6" t="str">
        <f>[1]Sheet2!EM249</f>
        <v/>
      </c>
      <c r="EM250" s="6" t="str">
        <f>[1]Sheet2!EN249</f>
        <v/>
      </c>
      <c r="EN250" s="6" t="str">
        <f>[1]Sheet2!EO249</f>
        <v/>
      </c>
      <c r="EO250" s="6" t="str">
        <f>[1]Sheet2!EP249</f>
        <v/>
      </c>
      <c r="EP250" s="6" t="str">
        <f>[1]Sheet2!EQ249</f>
        <v/>
      </c>
      <c r="EQ250" s="6" t="str">
        <f>[1]Sheet2!ER249</f>
        <v/>
      </c>
      <c r="ER250" s="6" t="str">
        <f>[1]Sheet2!ES249</f>
        <v/>
      </c>
      <c r="ES250" s="6" t="str">
        <f>[1]Sheet2!ET249</f>
        <v/>
      </c>
      <c r="ET250" s="6" t="str">
        <f>[1]Sheet2!EU249</f>
        <v/>
      </c>
      <c r="EU250" s="6" t="str">
        <f>[1]Sheet2!EV249</f>
        <v/>
      </c>
      <c r="EV250" s="6" t="str">
        <f>[1]Sheet2!EW249</f>
        <v/>
      </c>
      <c r="EW250" s="6" t="str">
        <f>[1]Sheet2!EX249</f>
        <v/>
      </c>
      <c r="EX250" s="6" t="str">
        <f>[1]Sheet2!EY249</f>
        <v/>
      </c>
      <c r="EY250" s="6" t="str">
        <f>[1]Sheet2!EZ249</f>
        <v/>
      </c>
      <c r="EZ250" s="6" t="str">
        <f>[1]Sheet2!FA249</f>
        <v/>
      </c>
      <c r="FA250" s="6" t="str">
        <f>[1]Sheet2!FB249</f>
        <v/>
      </c>
      <c r="FB250" s="6" t="str">
        <f>[1]Sheet2!FC249</f>
        <v/>
      </c>
      <c r="FC250" s="6" t="str">
        <f>[1]Sheet2!FD249</f>
        <v/>
      </c>
      <c r="FD250" s="6" t="str">
        <f>[1]Sheet2!FE249</f>
        <v/>
      </c>
      <c r="FE250" s="6" t="str">
        <f>[1]Sheet2!FF249</f>
        <v/>
      </c>
      <c r="FF250" s="6" t="str">
        <f>[1]Sheet2!FG249</f>
        <v/>
      </c>
      <c r="FG250" s="6" t="str">
        <f>[1]Sheet2!FH249</f>
        <v/>
      </c>
      <c r="FH250" s="6" t="str">
        <f>[1]Sheet2!FI249</f>
        <v/>
      </c>
      <c r="FI250" s="6" t="str">
        <f>[1]Sheet2!FJ249</f>
        <v/>
      </c>
      <c r="FJ250" s="6" t="str">
        <f>[1]Sheet2!FK249</f>
        <v/>
      </c>
      <c r="FK250" s="6" t="str">
        <f>[1]Sheet2!FL249</f>
        <v/>
      </c>
      <c r="FL250" s="6" t="str">
        <f>[1]Sheet2!FM249</f>
        <v/>
      </c>
      <c r="FM250" s="6" t="str">
        <f>[1]Sheet2!FN249</f>
        <v/>
      </c>
      <c r="FN250" s="6" t="str">
        <f>[1]Sheet2!FO249</f>
        <v/>
      </c>
      <c r="FO250" s="6" t="str">
        <f>[1]Sheet2!FP249</f>
        <v/>
      </c>
    </row>
    <row r="251" spans="1:171" x14ac:dyDescent="0.25">
      <c r="A251" s="15">
        <v>43713</v>
      </c>
      <c r="B251" s="1"/>
      <c r="C251" s="1"/>
      <c r="D251" s="1"/>
      <c r="E251" s="14">
        <f>[1]Sheet2!N250</f>
        <v>0</v>
      </c>
      <c r="F251" s="14">
        <f>[1]Sheet2!BE250</f>
        <v>0</v>
      </c>
      <c r="G251" s="14">
        <f>[1]Sheet2!CW250</f>
        <v>0</v>
      </c>
      <c r="H251" s="1"/>
      <c r="I251" s="1"/>
      <c r="J251" s="1"/>
      <c r="K251" s="16"/>
      <c r="L251" s="16">
        <f>Demand_CWRS!B$11/30</f>
        <v>118.04546474358973</v>
      </c>
      <c r="M251" s="16">
        <f>Demand_CWRS!C$11/30</f>
        <v>491.39401709401704</v>
      </c>
      <c r="N251" s="16">
        <f>Demand_CWRS!D$11/30</f>
        <v>0</v>
      </c>
      <c r="O251" s="16">
        <f>Demand_CWRS!E$11/30</f>
        <v>107.84935897435898</v>
      </c>
      <c r="P251" s="16">
        <f>Demand_CWRS!F$11/30</f>
        <v>218.22274305555553</v>
      </c>
      <c r="Q251" s="16">
        <f>Demand_CWRS!G$11/30</f>
        <v>118.04546474358973</v>
      </c>
      <c r="R251" s="16">
        <f>Demand_CWRS!H$11/30</f>
        <v>218.22274305555553</v>
      </c>
      <c r="S251" s="16">
        <f>Demand_CWRS!I$11/30</f>
        <v>218.22274305555553</v>
      </c>
      <c r="T251" s="16">
        <f>Demand_CWRS!J$11/30</f>
        <v>218.22274305555553</v>
      </c>
      <c r="U251" s="16">
        <f>Demand_CWRS!K$11/30</f>
        <v>218.22274305555553</v>
      </c>
      <c r="V251" s="16">
        <f t="shared" si="96"/>
        <v>-30957.859534191335</v>
      </c>
      <c r="W251" s="16">
        <f t="shared" si="97"/>
        <v>-122562.80341880306</v>
      </c>
      <c r="X251" s="16">
        <f t="shared" si="98"/>
        <v>0</v>
      </c>
      <c r="Y251" s="16">
        <f t="shared" si="99"/>
        <v>-22827.241293411196</v>
      </c>
      <c r="Z251" s="16">
        <f t="shared" si="100"/>
        <v>-53801.63796673833</v>
      </c>
      <c r="AA251" s="16">
        <f t="shared" si="101"/>
        <v>-29485.927010152944</v>
      </c>
      <c r="AB251" s="16">
        <f t="shared" si="102"/>
        <v>-58110.802742379288</v>
      </c>
      <c r="AC251" s="16">
        <f t="shared" si="103"/>
        <v>-52317.792485969097</v>
      </c>
      <c r="AD251" s="16">
        <f t="shared" si="104"/>
        <v>-52417.79248596909</v>
      </c>
      <c r="AE251" s="16">
        <f t="shared" si="105"/>
        <v>-53017.792485969083</v>
      </c>
      <c r="AF251" s="14">
        <f>IF([1]Sheet2!AJ250=999999,"NA",[1]Sheet2!AJ250)</f>
        <v>0</v>
      </c>
      <c r="AG251" s="14">
        <f>IF([1]Sheet2!AK250=999999,"NA",[1]Sheet2!AK250)</f>
        <v>0</v>
      </c>
      <c r="AH251" s="14" t="str">
        <f>IF([1]Sheet2!AL250=999999,"NA",[1]Sheet2!AL250)</f>
        <v>NA</v>
      </c>
      <c r="AI251" s="14">
        <f>IF([1]Sheet2!AM250=999999,"NA",[1]Sheet2!AM250)</f>
        <v>0</v>
      </c>
      <c r="AJ251" s="14">
        <f>IF([1]Sheet2!AN250=999999,"NA",[1]Sheet2!AN250)</f>
        <v>0</v>
      </c>
      <c r="AK251" s="14">
        <f>IF([1]Sheet2!AO250=999999,"NA",[1]Sheet2!AO250)</f>
        <v>0</v>
      </c>
      <c r="AL251" s="14">
        <f>IF([1]Sheet2!AP250=999999,"NA",[1]Sheet2!AP250)</f>
        <v>0</v>
      </c>
      <c r="AM251" s="14">
        <f>IF([1]Sheet2!AQ250=999999,"NA",[1]Sheet2!AQ250)</f>
        <v>0</v>
      </c>
      <c r="AN251" s="14">
        <f>IF([1]Sheet2!AR250=999999,"NA",[1]Sheet2!AR250)</f>
        <v>0</v>
      </c>
      <c r="AO251" s="14">
        <f>IF([1]Sheet2!AS250=999999,"NA",[1]Sheet2!AS250)</f>
        <v>0</v>
      </c>
      <c r="AP251" s="14">
        <f>[1]Sheet2!P250</f>
        <v>0</v>
      </c>
      <c r="AQ251" s="14">
        <f>[1]Sheet2!Q250</f>
        <v>0</v>
      </c>
      <c r="AR251" s="14">
        <f>[1]Sheet2!R250</f>
        <v>0</v>
      </c>
      <c r="AS251" s="14">
        <f>[1]Sheet2!S250</f>
        <v>0</v>
      </c>
      <c r="AT251" s="14">
        <f>[1]Sheet2!T250</f>
        <v>0</v>
      </c>
      <c r="AU251" s="14">
        <f>[1]Sheet2!U250</f>
        <v>0</v>
      </c>
      <c r="AV251" s="14">
        <f>[1]Sheet2!V250</f>
        <v>0</v>
      </c>
      <c r="AW251" s="14">
        <f>[1]Sheet2!W250</f>
        <v>0</v>
      </c>
      <c r="AX251" s="14">
        <f>[1]Sheet2!X250</f>
        <v>0</v>
      </c>
      <c r="AY251" s="14">
        <f>[1]Sheet2!Y250</f>
        <v>0</v>
      </c>
      <c r="AZ251" s="16">
        <f>Demand_LP!B$11/30</f>
        <v>902.60591613247857</v>
      </c>
      <c r="BA251" s="16">
        <f>Demand_LP!C$11/30</f>
        <v>593.76410256410259</v>
      </c>
      <c r="BB251" s="16">
        <f>Demand_LP!D$11/30</f>
        <v>290.27136752136749</v>
      </c>
      <c r="BC251" s="16">
        <f>Demand_LP!E$11/30</f>
        <v>790.42628205128199</v>
      </c>
      <c r="BD251" s="16">
        <f>Demand_LP!F$11/30</f>
        <v>538.46224626068363</v>
      </c>
      <c r="BE251" s="16">
        <f>Demand_LP!G$11/30</f>
        <v>538.46224626068363</v>
      </c>
      <c r="BF251" s="16">
        <f>Demand_LP!H$11/30</f>
        <v>593.76410256410259</v>
      </c>
      <c r="BG251" s="16">
        <f>Demand_LP!I$11/30</f>
        <v>538.46224626068363</v>
      </c>
      <c r="BH251" s="16">
        <f>Demand_LP!J$11/30</f>
        <v>538.46224626068363</v>
      </c>
      <c r="BI251" s="16">
        <f>Demand_LP!K$11/30</f>
        <v>538.46224626068363</v>
      </c>
      <c r="BJ251" s="16">
        <f t="shared" si="106"/>
        <v>-184498.59098427487</v>
      </c>
      <c r="BK251" s="16">
        <f t="shared" si="107"/>
        <v>-142111.96153846144</v>
      </c>
      <c r="BL251" s="16">
        <f t="shared" si="108"/>
        <v>-69041.956837606893</v>
      </c>
      <c r="BM251" s="16">
        <f t="shared" si="109"/>
        <v>-180782.81344530938</v>
      </c>
      <c r="BN251" s="16">
        <f t="shared" si="110"/>
        <v>-107494.48133536882</v>
      </c>
      <c r="BO251" s="16">
        <f t="shared" si="111"/>
        <v>-105952.16525373956</v>
      </c>
      <c r="BP251" s="16">
        <f t="shared" si="112"/>
        <v>-136469.54102564079</v>
      </c>
      <c r="BQ251" s="16">
        <f t="shared" si="113"/>
        <v>-105952.16525373956</v>
      </c>
      <c r="BR251" s="16">
        <f t="shared" si="114"/>
        <v>-103552.1652537396</v>
      </c>
      <c r="BS251" s="16">
        <f t="shared" si="115"/>
        <v>-104252.16525373959</v>
      </c>
      <c r="BT251" s="14">
        <f>IF([1]Sheet2!CB250=999999,"NA",[1]Sheet2!CB250)</f>
        <v>0</v>
      </c>
      <c r="BU251" s="14">
        <f>IF([1]Sheet2!CC250=999999,"NA",[1]Sheet2!CC250)</f>
        <v>0</v>
      </c>
      <c r="BV251" s="14">
        <f>IF([1]Sheet2!CD250=999999,"NA",[1]Sheet2!CD250)</f>
        <v>0</v>
      </c>
      <c r="BW251" s="14">
        <f>IF([1]Sheet2!CE250=999999,"NA",[1]Sheet2!CE250)</f>
        <v>0</v>
      </c>
      <c r="BX251" s="14">
        <f>IF([1]Sheet2!CF250=999999,"NA",[1]Sheet2!CF250)</f>
        <v>0</v>
      </c>
      <c r="BY251" s="14">
        <f>IF([1]Sheet2!CG250=999999,"NA",[1]Sheet2!CG250)</f>
        <v>0</v>
      </c>
      <c r="BZ251" s="14">
        <f>IF([1]Sheet2!CH250=999999,"NA",[1]Sheet2!CH250)</f>
        <v>0</v>
      </c>
      <c r="CA251" s="14">
        <f>IF([1]Sheet2!CI250=999999,"NA",[1]Sheet2!CI250)</f>
        <v>0</v>
      </c>
      <c r="CB251" s="14">
        <f>IF([1]Sheet2!CJ250=999999,"NA",[1]Sheet2!CJ250)</f>
        <v>0</v>
      </c>
      <c r="CC251" s="14">
        <f>IF([1]Sheet2!CK250=999999,"NA",[1]Sheet2!CK250)</f>
        <v>0</v>
      </c>
      <c r="CD251" s="14">
        <f>[1]Sheet2!BH250</f>
        <v>0</v>
      </c>
      <c r="CE251" s="14">
        <f>[1]Sheet2!BI250</f>
        <v>0</v>
      </c>
      <c r="CF251" s="14">
        <f>[1]Sheet2!BJ250</f>
        <v>0</v>
      </c>
      <c r="CG251" s="14">
        <f>[1]Sheet2!BK250</f>
        <v>0</v>
      </c>
      <c r="CH251" s="14">
        <f>[1]Sheet2!BL250</f>
        <v>0</v>
      </c>
      <c r="CI251" s="14">
        <f>[1]Sheet2!BM250</f>
        <v>0</v>
      </c>
      <c r="CJ251" s="14">
        <f>[1]Sheet2!BN250</f>
        <v>0</v>
      </c>
      <c r="CK251" s="14">
        <f>[1]Sheet2!BO250</f>
        <v>0</v>
      </c>
      <c r="CL251" s="14">
        <f>[1]Sheet2!BP250</f>
        <v>0</v>
      </c>
      <c r="CM251" s="14">
        <f>[1]Sheet2!BQ250</f>
        <v>0</v>
      </c>
      <c r="CN251" s="16">
        <f>Demand_SW!B$11/30</f>
        <v>144.23076923076923</v>
      </c>
      <c r="CO251" s="16">
        <f>Demand_SW!C$11/30</f>
        <v>0</v>
      </c>
      <c r="CP251" s="16">
        <f>Demand_SW!D$11/30</f>
        <v>0</v>
      </c>
      <c r="CQ251" s="16">
        <f>Demand_SW!E$11/30</f>
        <v>0</v>
      </c>
      <c r="CR251" s="16">
        <f>Demand_SW!F$11/30</f>
        <v>0</v>
      </c>
      <c r="CS251" s="16">
        <f>Demand_SW!G$11/30</f>
        <v>144.23076923076923</v>
      </c>
      <c r="CT251" s="16">
        <f>Demand_SW!H$11/30</f>
        <v>0</v>
      </c>
      <c r="CU251" s="16">
        <f>Demand_SW!I$11/30</f>
        <v>0</v>
      </c>
      <c r="CV251" s="16">
        <f>Demand_SW!J$11/30</f>
        <v>0</v>
      </c>
      <c r="CW251" s="16">
        <f>Demand_SW!K$11/30</f>
        <v>0</v>
      </c>
      <c r="CX251" s="16">
        <f t="shared" si="116"/>
        <v>-28441.923076923114</v>
      </c>
      <c r="CY251" s="16">
        <f t="shared" si="117"/>
        <v>76.923076923077133</v>
      </c>
      <c r="CZ251" s="16">
        <f t="shared" si="118"/>
        <v>0</v>
      </c>
      <c r="DA251" s="16">
        <f t="shared" si="119"/>
        <v>0</v>
      </c>
      <c r="DB251" s="16">
        <f t="shared" si="120"/>
        <v>0</v>
      </c>
      <c r="DC251" s="16">
        <f t="shared" si="121"/>
        <v>-27971.153846153884</v>
      </c>
      <c r="DD251" s="16">
        <f t="shared" si="122"/>
        <v>76.923076923077133</v>
      </c>
      <c r="DE251" s="16">
        <f t="shared" si="123"/>
        <v>0</v>
      </c>
      <c r="DF251" s="16">
        <f t="shared" si="124"/>
        <v>0</v>
      </c>
      <c r="DG251" s="16">
        <f t="shared" si="125"/>
        <v>0</v>
      </c>
      <c r="DH251" s="14">
        <f>IF([1]Sheet2!DS250=999999,"NA",[1]Sheet2!DS250)</f>
        <v>0</v>
      </c>
      <c r="DI251" s="14">
        <f>IF([1]Sheet2!DT250=999999,"NA",[1]Sheet2!DT250)</f>
        <v>117</v>
      </c>
      <c r="DJ251" s="14" t="str">
        <f>IF([1]Sheet2!DU250=999999,"NA",[1]Sheet2!DU250)</f>
        <v>NA</v>
      </c>
      <c r="DK251" s="14" t="str">
        <f>IF([1]Sheet2!DV250=999999,"NA",[1]Sheet2!DV250)</f>
        <v>NA</v>
      </c>
      <c r="DL251" s="14" t="str">
        <f>IF([1]Sheet2!DW250=999999,"NA",[1]Sheet2!DW250)</f>
        <v>NA</v>
      </c>
      <c r="DM251" s="14">
        <f>IF([1]Sheet2!DX250=999999,"NA",[1]Sheet2!DX250)</f>
        <v>0</v>
      </c>
      <c r="DN251" s="14">
        <f>IF([1]Sheet2!DY250=999999,"NA",[1]Sheet2!DY250)</f>
        <v>117</v>
      </c>
      <c r="DO251" s="14" t="str">
        <f>IF([1]Sheet2!DZ250=999999,"NA",[1]Sheet2!DZ250)</f>
        <v>NA</v>
      </c>
      <c r="DP251" s="14" t="str">
        <f>IF([1]Sheet2!EA250=999999,"NA",[1]Sheet2!EA250)</f>
        <v>NA</v>
      </c>
      <c r="DQ251" s="14" t="str">
        <f>IF([1]Sheet2!EB250=999999,"NA",[1]Sheet2!EB250)</f>
        <v>NA</v>
      </c>
      <c r="DR251" s="14">
        <f>[1]Sheet2!CY250</f>
        <v>0</v>
      </c>
      <c r="DS251" s="14">
        <f>[1]Sheet2!CZ250</f>
        <v>0</v>
      </c>
      <c r="DT251" s="14">
        <f>[1]Sheet2!DA250</f>
        <v>0</v>
      </c>
      <c r="DU251" s="14">
        <f>[1]Sheet2!DB250</f>
        <v>0</v>
      </c>
      <c r="DV251" s="14">
        <f>[1]Sheet2!DC250</f>
        <v>0</v>
      </c>
      <c r="DW251" s="14">
        <f>[1]Sheet2!DD250</f>
        <v>0</v>
      </c>
      <c r="DX251" s="14">
        <f>[1]Sheet2!DE250</f>
        <v>0</v>
      </c>
      <c r="DY251" s="14">
        <f>[1]Sheet2!DF250</f>
        <v>0</v>
      </c>
      <c r="DZ251" s="14">
        <f>[1]Sheet2!DG250</f>
        <v>0</v>
      </c>
      <c r="EA251" s="14">
        <f>[1]Sheet2!DH250</f>
        <v>0</v>
      </c>
      <c r="EB251" s="6">
        <f>[1]Sheet2!EC250</f>
        <v>0</v>
      </c>
      <c r="EC251" s="6">
        <f>[1]Sheet2!ED250</f>
        <v>0</v>
      </c>
      <c r="ED251" s="6">
        <f>[1]Sheet2!EE250</f>
        <v>0</v>
      </c>
      <c r="EE251" s="6">
        <f>[1]Sheet2!EF250</f>
        <v>0</v>
      </c>
      <c r="EF251" s="6">
        <f>[1]Sheet2!EG250</f>
        <v>0</v>
      </c>
      <c r="EG251" s="6">
        <f>[1]Sheet2!EH250</f>
        <v>0</v>
      </c>
      <c r="EH251" s="6">
        <f>[1]Sheet2!EI250</f>
        <v>0</v>
      </c>
      <c r="EI251" s="6">
        <f>[1]Sheet2!EJ250</f>
        <v>0</v>
      </c>
      <c r="EJ251" s="6">
        <f>[1]Sheet2!EK250</f>
        <v>0</v>
      </c>
      <c r="EK251" s="6">
        <f>[1]Sheet2!EL250</f>
        <v>0</v>
      </c>
      <c r="EL251" s="6" t="str">
        <f>[1]Sheet2!EM250</f>
        <v/>
      </c>
      <c r="EM251" s="6" t="str">
        <f>[1]Sheet2!EN250</f>
        <v/>
      </c>
      <c r="EN251" s="6" t="str">
        <f>[1]Sheet2!EO250</f>
        <v/>
      </c>
      <c r="EO251" s="6" t="str">
        <f>[1]Sheet2!EP250</f>
        <v/>
      </c>
      <c r="EP251" s="6" t="str">
        <f>[1]Sheet2!EQ250</f>
        <v/>
      </c>
      <c r="EQ251" s="6" t="str">
        <f>[1]Sheet2!ER250</f>
        <v/>
      </c>
      <c r="ER251" s="6" t="str">
        <f>[1]Sheet2!ES250</f>
        <v/>
      </c>
      <c r="ES251" s="6" t="str">
        <f>[1]Sheet2!ET250</f>
        <v/>
      </c>
      <c r="ET251" s="6" t="str">
        <f>[1]Sheet2!EU250</f>
        <v/>
      </c>
      <c r="EU251" s="6" t="str">
        <f>[1]Sheet2!EV250</f>
        <v/>
      </c>
      <c r="EV251" s="6" t="str">
        <f>[1]Sheet2!EW250</f>
        <v/>
      </c>
      <c r="EW251" s="6" t="str">
        <f>[1]Sheet2!EX250</f>
        <v/>
      </c>
      <c r="EX251" s="6" t="str">
        <f>[1]Sheet2!EY250</f>
        <v/>
      </c>
      <c r="EY251" s="6" t="str">
        <f>[1]Sheet2!EZ250</f>
        <v/>
      </c>
      <c r="EZ251" s="6" t="str">
        <f>[1]Sheet2!FA250</f>
        <v/>
      </c>
      <c r="FA251" s="6" t="str">
        <f>[1]Sheet2!FB250</f>
        <v/>
      </c>
      <c r="FB251" s="6" t="str">
        <f>[1]Sheet2!FC250</f>
        <v/>
      </c>
      <c r="FC251" s="6" t="str">
        <f>[1]Sheet2!FD250</f>
        <v/>
      </c>
      <c r="FD251" s="6" t="str">
        <f>[1]Sheet2!FE250</f>
        <v/>
      </c>
      <c r="FE251" s="6" t="str">
        <f>[1]Sheet2!FF250</f>
        <v/>
      </c>
      <c r="FF251" s="6" t="str">
        <f>[1]Sheet2!FG250</f>
        <v/>
      </c>
      <c r="FG251" s="6" t="str">
        <f>[1]Sheet2!FH250</f>
        <v/>
      </c>
      <c r="FH251" s="6" t="str">
        <f>[1]Sheet2!FI250</f>
        <v/>
      </c>
      <c r="FI251" s="6" t="str">
        <f>[1]Sheet2!FJ250</f>
        <v/>
      </c>
      <c r="FJ251" s="6" t="str">
        <f>[1]Sheet2!FK250</f>
        <v/>
      </c>
      <c r="FK251" s="6" t="str">
        <f>[1]Sheet2!FL250</f>
        <v/>
      </c>
      <c r="FL251" s="6" t="str">
        <f>[1]Sheet2!FM250</f>
        <v/>
      </c>
      <c r="FM251" s="6" t="str">
        <f>[1]Sheet2!FN250</f>
        <v/>
      </c>
      <c r="FN251" s="6" t="str">
        <f>[1]Sheet2!FO250</f>
        <v/>
      </c>
      <c r="FO251" s="6" t="str">
        <f>[1]Sheet2!FP250</f>
        <v/>
      </c>
    </row>
    <row r="252" spans="1:171" x14ac:dyDescent="0.25">
      <c r="A252" s="15">
        <v>43714</v>
      </c>
      <c r="B252" s="1"/>
      <c r="C252" s="1"/>
      <c r="D252" s="1"/>
      <c r="E252" s="14">
        <f>[1]Sheet2!N251</f>
        <v>0</v>
      </c>
      <c r="F252" s="14">
        <f>[1]Sheet2!BE251</f>
        <v>0</v>
      </c>
      <c r="G252" s="14">
        <f>[1]Sheet2!CW251</f>
        <v>0</v>
      </c>
      <c r="H252" s="1"/>
      <c r="I252" s="1"/>
      <c r="J252" s="1"/>
      <c r="K252" s="16"/>
      <c r="L252" s="16">
        <f>Demand_CWRS!B$11/30</f>
        <v>118.04546474358973</v>
      </c>
      <c r="M252" s="16">
        <f>Demand_CWRS!C$11/30</f>
        <v>491.39401709401704</v>
      </c>
      <c r="N252" s="16">
        <f>Demand_CWRS!D$11/30</f>
        <v>0</v>
      </c>
      <c r="O252" s="16">
        <f>Demand_CWRS!E$11/30</f>
        <v>107.84935897435898</v>
      </c>
      <c r="P252" s="16">
        <f>Demand_CWRS!F$11/30</f>
        <v>218.22274305555553</v>
      </c>
      <c r="Q252" s="16">
        <f>Demand_CWRS!G$11/30</f>
        <v>118.04546474358973</v>
      </c>
      <c r="R252" s="16">
        <f>Demand_CWRS!H$11/30</f>
        <v>218.22274305555553</v>
      </c>
      <c r="S252" s="16">
        <f>Demand_CWRS!I$11/30</f>
        <v>218.22274305555553</v>
      </c>
      <c r="T252" s="16">
        <f>Demand_CWRS!J$11/30</f>
        <v>218.22274305555553</v>
      </c>
      <c r="U252" s="16">
        <f>Demand_CWRS!K$11/30</f>
        <v>218.22274305555553</v>
      </c>
      <c r="V252" s="16">
        <f t="shared" si="96"/>
        <v>-31075.904998934926</v>
      </c>
      <c r="W252" s="16">
        <f t="shared" si="97"/>
        <v>-123054.19743589708</v>
      </c>
      <c r="X252" s="16">
        <f t="shared" si="98"/>
        <v>0</v>
      </c>
      <c r="Y252" s="16">
        <f t="shared" si="99"/>
        <v>-22935.090652385556</v>
      </c>
      <c r="Z252" s="16">
        <f t="shared" si="100"/>
        <v>-54019.860709793888</v>
      </c>
      <c r="AA252" s="16">
        <f t="shared" si="101"/>
        <v>-29603.972474896535</v>
      </c>
      <c r="AB252" s="16">
        <f t="shared" si="102"/>
        <v>-58329.025485434846</v>
      </c>
      <c r="AC252" s="16">
        <f t="shared" si="103"/>
        <v>-52536.015229024655</v>
      </c>
      <c r="AD252" s="16">
        <f t="shared" si="104"/>
        <v>-52636.015229024648</v>
      </c>
      <c r="AE252" s="16">
        <f t="shared" si="105"/>
        <v>-53236.015229024641</v>
      </c>
      <c r="AF252" s="14">
        <f>IF([1]Sheet2!AJ251=999999,"NA",[1]Sheet2!AJ251)</f>
        <v>0</v>
      </c>
      <c r="AG252" s="14">
        <f>IF([1]Sheet2!AK251=999999,"NA",[1]Sheet2!AK251)</f>
        <v>0</v>
      </c>
      <c r="AH252" s="14" t="str">
        <f>IF([1]Sheet2!AL251=999999,"NA",[1]Sheet2!AL251)</f>
        <v>NA</v>
      </c>
      <c r="AI252" s="14">
        <f>IF([1]Sheet2!AM251=999999,"NA",[1]Sheet2!AM251)</f>
        <v>0</v>
      </c>
      <c r="AJ252" s="14">
        <f>IF([1]Sheet2!AN251=999999,"NA",[1]Sheet2!AN251)</f>
        <v>0</v>
      </c>
      <c r="AK252" s="14">
        <f>IF([1]Sheet2!AO251=999999,"NA",[1]Sheet2!AO251)</f>
        <v>0</v>
      </c>
      <c r="AL252" s="14">
        <f>IF([1]Sheet2!AP251=999999,"NA",[1]Sheet2!AP251)</f>
        <v>0</v>
      </c>
      <c r="AM252" s="14">
        <f>IF([1]Sheet2!AQ251=999999,"NA",[1]Sheet2!AQ251)</f>
        <v>0</v>
      </c>
      <c r="AN252" s="14">
        <f>IF([1]Sheet2!AR251=999999,"NA",[1]Sheet2!AR251)</f>
        <v>0</v>
      </c>
      <c r="AO252" s="14">
        <f>IF([1]Sheet2!AS251=999999,"NA",[1]Sheet2!AS251)</f>
        <v>0</v>
      </c>
      <c r="AP252" s="14">
        <f>[1]Sheet2!P251</f>
        <v>0</v>
      </c>
      <c r="AQ252" s="14">
        <f>[1]Sheet2!Q251</f>
        <v>0</v>
      </c>
      <c r="AR252" s="14">
        <f>[1]Sheet2!R251</f>
        <v>0</v>
      </c>
      <c r="AS252" s="14">
        <f>[1]Sheet2!S251</f>
        <v>0</v>
      </c>
      <c r="AT252" s="14">
        <f>[1]Sheet2!T251</f>
        <v>0</v>
      </c>
      <c r="AU252" s="14">
        <f>[1]Sheet2!U251</f>
        <v>0</v>
      </c>
      <c r="AV252" s="14">
        <f>[1]Sheet2!V251</f>
        <v>0</v>
      </c>
      <c r="AW252" s="14">
        <f>[1]Sheet2!W251</f>
        <v>0</v>
      </c>
      <c r="AX252" s="14">
        <f>[1]Sheet2!X251</f>
        <v>0</v>
      </c>
      <c r="AY252" s="14">
        <f>[1]Sheet2!Y251</f>
        <v>0</v>
      </c>
      <c r="AZ252" s="16">
        <f>Demand_LP!B$11/30</f>
        <v>902.60591613247857</v>
      </c>
      <c r="BA252" s="16">
        <f>Demand_LP!C$11/30</f>
        <v>593.76410256410259</v>
      </c>
      <c r="BB252" s="16">
        <f>Demand_LP!D$11/30</f>
        <v>290.27136752136749</v>
      </c>
      <c r="BC252" s="16">
        <f>Demand_LP!E$11/30</f>
        <v>790.42628205128199</v>
      </c>
      <c r="BD252" s="16">
        <f>Demand_LP!F$11/30</f>
        <v>538.46224626068363</v>
      </c>
      <c r="BE252" s="16">
        <f>Demand_LP!G$11/30</f>
        <v>538.46224626068363</v>
      </c>
      <c r="BF252" s="16">
        <f>Demand_LP!H$11/30</f>
        <v>593.76410256410259</v>
      </c>
      <c r="BG252" s="16">
        <f>Demand_LP!I$11/30</f>
        <v>538.46224626068363</v>
      </c>
      <c r="BH252" s="16">
        <f>Demand_LP!J$11/30</f>
        <v>538.46224626068363</v>
      </c>
      <c r="BI252" s="16">
        <f>Demand_LP!K$11/30</f>
        <v>538.46224626068363</v>
      </c>
      <c r="BJ252" s="16">
        <f t="shared" si="106"/>
        <v>-185401.19690040735</v>
      </c>
      <c r="BK252" s="16">
        <f t="shared" si="107"/>
        <v>-142705.72564102555</v>
      </c>
      <c r="BL252" s="16">
        <f t="shared" si="108"/>
        <v>-69332.228205128267</v>
      </c>
      <c r="BM252" s="16">
        <f t="shared" si="109"/>
        <v>-181573.23972736066</v>
      </c>
      <c r="BN252" s="16">
        <f t="shared" si="110"/>
        <v>-108032.9435816295</v>
      </c>
      <c r="BO252" s="16">
        <f t="shared" si="111"/>
        <v>-106490.62750000024</v>
      </c>
      <c r="BP252" s="16">
        <f t="shared" si="112"/>
        <v>-137063.3051282049</v>
      </c>
      <c r="BQ252" s="16">
        <f t="shared" si="113"/>
        <v>-106490.62750000024</v>
      </c>
      <c r="BR252" s="16">
        <f t="shared" si="114"/>
        <v>-104090.62750000028</v>
      </c>
      <c r="BS252" s="16">
        <f t="shared" si="115"/>
        <v>-104790.62750000026</v>
      </c>
      <c r="BT252" s="14">
        <f>IF([1]Sheet2!CB251=999999,"NA",[1]Sheet2!CB251)</f>
        <v>0</v>
      </c>
      <c r="BU252" s="14">
        <f>IF([1]Sheet2!CC251=999999,"NA",[1]Sheet2!CC251)</f>
        <v>0</v>
      </c>
      <c r="BV252" s="14">
        <f>IF([1]Sheet2!CD251=999999,"NA",[1]Sheet2!CD251)</f>
        <v>0</v>
      </c>
      <c r="BW252" s="14">
        <f>IF([1]Sheet2!CE251=999999,"NA",[1]Sheet2!CE251)</f>
        <v>0</v>
      </c>
      <c r="BX252" s="14">
        <f>IF([1]Sheet2!CF251=999999,"NA",[1]Sheet2!CF251)</f>
        <v>0</v>
      </c>
      <c r="BY252" s="14">
        <f>IF([1]Sheet2!CG251=999999,"NA",[1]Sheet2!CG251)</f>
        <v>0</v>
      </c>
      <c r="BZ252" s="14">
        <f>IF([1]Sheet2!CH251=999999,"NA",[1]Sheet2!CH251)</f>
        <v>0</v>
      </c>
      <c r="CA252" s="14">
        <f>IF([1]Sheet2!CI251=999999,"NA",[1]Sheet2!CI251)</f>
        <v>0</v>
      </c>
      <c r="CB252" s="14">
        <f>IF([1]Sheet2!CJ251=999999,"NA",[1]Sheet2!CJ251)</f>
        <v>0</v>
      </c>
      <c r="CC252" s="14">
        <f>IF([1]Sheet2!CK251=999999,"NA",[1]Sheet2!CK251)</f>
        <v>0</v>
      </c>
      <c r="CD252" s="14">
        <f>[1]Sheet2!BH251</f>
        <v>0</v>
      </c>
      <c r="CE252" s="14">
        <f>[1]Sheet2!BI251</f>
        <v>0</v>
      </c>
      <c r="CF252" s="14">
        <f>[1]Sheet2!BJ251</f>
        <v>0</v>
      </c>
      <c r="CG252" s="14">
        <f>[1]Sheet2!BK251</f>
        <v>0</v>
      </c>
      <c r="CH252" s="14">
        <f>[1]Sheet2!BL251</f>
        <v>0</v>
      </c>
      <c r="CI252" s="14">
        <f>[1]Sheet2!BM251</f>
        <v>0</v>
      </c>
      <c r="CJ252" s="14">
        <f>[1]Sheet2!BN251</f>
        <v>0</v>
      </c>
      <c r="CK252" s="14">
        <f>[1]Sheet2!BO251</f>
        <v>0</v>
      </c>
      <c r="CL252" s="14">
        <f>[1]Sheet2!BP251</f>
        <v>0</v>
      </c>
      <c r="CM252" s="14">
        <f>[1]Sheet2!BQ251</f>
        <v>0</v>
      </c>
      <c r="CN252" s="16">
        <f>Demand_SW!B$11/30</f>
        <v>144.23076923076923</v>
      </c>
      <c r="CO252" s="16">
        <f>Demand_SW!C$11/30</f>
        <v>0</v>
      </c>
      <c r="CP252" s="16">
        <f>Demand_SW!D$11/30</f>
        <v>0</v>
      </c>
      <c r="CQ252" s="16">
        <f>Demand_SW!E$11/30</f>
        <v>0</v>
      </c>
      <c r="CR252" s="16">
        <f>Demand_SW!F$11/30</f>
        <v>0</v>
      </c>
      <c r="CS252" s="16">
        <f>Demand_SW!G$11/30</f>
        <v>144.23076923076923</v>
      </c>
      <c r="CT252" s="16">
        <f>Demand_SW!H$11/30</f>
        <v>0</v>
      </c>
      <c r="CU252" s="16">
        <f>Demand_SW!I$11/30</f>
        <v>0</v>
      </c>
      <c r="CV252" s="16">
        <f>Demand_SW!J$11/30</f>
        <v>0</v>
      </c>
      <c r="CW252" s="16">
        <f>Demand_SW!K$11/30</f>
        <v>0</v>
      </c>
      <c r="CX252" s="16">
        <f t="shared" si="116"/>
        <v>-28586.153846153884</v>
      </c>
      <c r="CY252" s="16">
        <f t="shared" si="117"/>
        <v>76.923076923077133</v>
      </c>
      <c r="CZ252" s="16">
        <f t="shared" si="118"/>
        <v>0</v>
      </c>
      <c r="DA252" s="16">
        <f t="shared" si="119"/>
        <v>0</v>
      </c>
      <c r="DB252" s="16">
        <f t="shared" si="120"/>
        <v>0</v>
      </c>
      <c r="DC252" s="16">
        <f t="shared" si="121"/>
        <v>-28115.384615384653</v>
      </c>
      <c r="DD252" s="16">
        <f t="shared" si="122"/>
        <v>76.923076923077133</v>
      </c>
      <c r="DE252" s="16">
        <f t="shared" si="123"/>
        <v>0</v>
      </c>
      <c r="DF252" s="16">
        <f t="shared" si="124"/>
        <v>0</v>
      </c>
      <c r="DG252" s="16">
        <f t="shared" si="125"/>
        <v>0</v>
      </c>
      <c r="DH252" s="14">
        <f>IF([1]Sheet2!DS251=999999,"NA",[1]Sheet2!DS251)</f>
        <v>0</v>
      </c>
      <c r="DI252" s="14">
        <f>IF([1]Sheet2!DT251=999999,"NA",[1]Sheet2!DT251)</f>
        <v>116</v>
      </c>
      <c r="DJ252" s="14" t="str">
        <f>IF([1]Sheet2!DU251=999999,"NA",[1]Sheet2!DU251)</f>
        <v>NA</v>
      </c>
      <c r="DK252" s="14" t="str">
        <f>IF([1]Sheet2!DV251=999999,"NA",[1]Sheet2!DV251)</f>
        <v>NA</v>
      </c>
      <c r="DL252" s="14" t="str">
        <f>IF([1]Sheet2!DW251=999999,"NA",[1]Sheet2!DW251)</f>
        <v>NA</v>
      </c>
      <c r="DM252" s="14">
        <f>IF([1]Sheet2!DX251=999999,"NA",[1]Sheet2!DX251)</f>
        <v>0</v>
      </c>
      <c r="DN252" s="14">
        <f>IF([1]Sheet2!DY251=999999,"NA",[1]Sheet2!DY251)</f>
        <v>116</v>
      </c>
      <c r="DO252" s="14" t="str">
        <f>IF([1]Sheet2!DZ251=999999,"NA",[1]Sheet2!DZ251)</f>
        <v>NA</v>
      </c>
      <c r="DP252" s="14" t="str">
        <f>IF([1]Sheet2!EA251=999999,"NA",[1]Sheet2!EA251)</f>
        <v>NA</v>
      </c>
      <c r="DQ252" s="14" t="str">
        <f>IF([1]Sheet2!EB251=999999,"NA",[1]Sheet2!EB251)</f>
        <v>NA</v>
      </c>
      <c r="DR252" s="14">
        <f>[1]Sheet2!CY251</f>
        <v>0</v>
      </c>
      <c r="DS252" s="14">
        <f>[1]Sheet2!CZ251</f>
        <v>0</v>
      </c>
      <c r="DT252" s="14">
        <f>[1]Sheet2!DA251</f>
        <v>0</v>
      </c>
      <c r="DU252" s="14">
        <f>[1]Sheet2!DB251</f>
        <v>0</v>
      </c>
      <c r="DV252" s="14">
        <f>[1]Sheet2!DC251</f>
        <v>0</v>
      </c>
      <c r="DW252" s="14">
        <f>[1]Sheet2!DD251</f>
        <v>0</v>
      </c>
      <c r="DX252" s="14">
        <f>[1]Sheet2!DE251</f>
        <v>0</v>
      </c>
      <c r="DY252" s="14">
        <f>[1]Sheet2!DF251</f>
        <v>0</v>
      </c>
      <c r="DZ252" s="14">
        <f>[1]Sheet2!DG251</f>
        <v>0</v>
      </c>
      <c r="EA252" s="14">
        <f>[1]Sheet2!DH251</f>
        <v>0</v>
      </c>
      <c r="EB252" s="6">
        <f>[1]Sheet2!EC251</f>
        <v>0</v>
      </c>
      <c r="EC252" s="6">
        <f>[1]Sheet2!ED251</f>
        <v>0</v>
      </c>
      <c r="ED252" s="6">
        <f>[1]Sheet2!EE251</f>
        <v>0</v>
      </c>
      <c r="EE252" s="6">
        <f>[1]Sheet2!EF251</f>
        <v>0</v>
      </c>
      <c r="EF252" s="6">
        <f>[1]Sheet2!EG251</f>
        <v>0</v>
      </c>
      <c r="EG252" s="6">
        <f>[1]Sheet2!EH251</f>
        <v>0</v>
      </c>
      <c r="EH252" s="6">
        <f>[1]Sheet2!EI251</f>
        <v>0</v>
      </c>
      <c r="EI252" s="6">
        <f>[1]Sheet2!EJ251</f>
        <v>0</v>
      </c>
      <c r="EJ252" s="6">
        <f>[1]Sheet2!EK251</f>
        <v>0</v>
      </c>
      <c r="EK252" s="6">
        <f>[1]Sheet2!EL251</f>
        <v>0</v>
      </c>
      <c r="EL252" s="6" t="str">
        <f>[1]Sheet2!EM251</f>
        <v/>
      </c>
      <c r="EM252" s="6" t="str">
        <f>[1]Sheet2!EN251</f>
        <v/>
      </c>
      <c r="EN252" s="6" t="str">
        <f>[1]Sheet2!EO251</f>
        <v/>
      </c>
      <c r="EO252" s="6" t="str">
        <f>[1]Sheet2!EP251</f>
        <v/>
      </c>
      <c r="EP252" s="6" t="str">
        <f>[1]Sheet2!EQ251</f>
        <v/>
      </c>
      <c r="EQ252" s="6" t="str">
        <f>[1]Sheet2!ER251</f>
        <v/>
      </c>
      <c r="ER252" s="6" t="str">
        <f>[1]Sheet2!ES251</f>
        <v/>
      </c>
      <c r="ES252" s="6" t="str">
        <f>[1]Sheet2!ET251</f>
        <v/>
      </c>
      <c r="ET252" s="6" t="str">
        <f>[1]Sheet2!EU251</f>
        <v/>
      </c>
      <c r="EU252" s="6" t="str">
        <f>[1]Sheet2!EV251</f>
        <v/>
      </c>
      <c r="EV252" s="6" t="str">
        <f>[1]Sheet2!EW251</f>
        <v/>
      </c>
      <c r="EW252" s="6" t="str">
        <f>[1]Sheet2!EX251</f>
        <v/>
      </c>
      <c r="EX252" s="6" t="str">
        <f>[1]Sheet2!EY251</f>
        <v/>
      </c>
      <c r="EY252" s="6" t="str">
        <f>[1]Sheet2!EZ251</f>
        <v/>
      </c>
      <c r="EZ252" s="6" t="str">
        <f>[1]Sheet2!FA251</f>
        <v/>
      </c>
      <c r="FA252" s="6" t="str">
        <f>[1]Sheet2!FB251</f>
        <v/>
      </c>
      <c r="FB252" s="6" t="str">
        <f>[1]Sheet2!FC251</f>
        <v/>
      </c>
      <c r="FC252" s="6" t="str">
        <f>[1]Sheet2!FD251</f>
        <v/>
      </c>
      <c r="FD252" s="6" t="str">
        <f>[1]Sheet2!FE251</f>
        <v/>
      </c>
      <c r="FE252" s="6" t="str">
        <f>[1]Sheet2!FF251</f>
        <v/>
      </c>
      <c r="FF252" s="6" t="str">
        <f>[1]Sheet2!FG251</f>
        <v/>
      </c>
      <c r="FG252" s="6" t="str">
        <f>[1]Sheet2!FH251</f>
        <v/>
      </c>
      <c r="FH252" s="6" t="str">
        <f>[1]Sheet2!FI251</f>
        <v/>
      </c>
      <c r="FI252" s="6" t="str">
        <f>[1]Sheet2!FJ251</f>
        <v/>
      </c>
      <c r="FJ252" s="6" t="str">
        <f>[1]Sheet2!FK251</f>
        <v/>
      </c>
      <c r="FK252" s="6" t="str">
        <f>[1]Sheet2!FL251</f>
        <v/>
      </c>
      <c r="FL252" s="6" t="str">
        <f>[1]Sheet2!FM251</f>
        <v/>
      </c>
      <c r="FM252" s="6" t="str">
        <f>[1]Sheet2!FN251</f>
        <v/>
      </c>
      <c r="FN252" s="6" t="str">
        <f>[1]Sheet2!FO251</f>
        <v/>
      </c>
      <c r="FO252" s="6" t="str">
        <f>[1]Sheet2!FP251</f>
        <v/>
      </c>
    </row>
    <row r="253" spans="1:171" x14ac:dyDescent="0.25">
      <c r="A253" s="15">
        <v>43715</v>
      </c>
      <c r="B253" s="1"/>
      <c r="C253" s="1"/>
      <c r="D253" s="1"/>
      <c r="E253" s="14">
        <f>[1]Sheet2!N252</f>
        <v>0</v>
      </c>
      <c r="F253" s="14">
        <f>[1]Sheet2!BE252</f>
        <v>0</v>
      </c>
      <c r="G253" s="14">
        <f>[1]Sheet2!CW252</f>
        <v>0</v>
      </c>
      <c r="H253" s="1"/>
      <c r="I253" s="1"/>
      <c r="J253" s="1"/>
      <c r="K253" s="16"/>
      <c r="L253" s="16">
        <f>Demand_CWRS!B$11/30</f>
        <v>118.04546474358973</v>
      </c>
      <c r="M253" s="16">
        <f>Demand_CWRS!C$11/30</f>
        <v>491.39401709401704</v>
      </c>
      <c r="N253" s="16">
        <f>Demand_CWRS!D$11/30</f>
        <v>0</v>
      </c>
      <c r="O253" s="16">
        <f>Demand_CWRS!E$11/30</f>
        <v>107.84935897435898</v>
      </c>
      <c r="P253" s="16">
        <f>Demand_CWRS!F$11/30</f>
        <v>218.22274305555553</v>
      </c>
      <c r="Q253" s="16">
        <f>Demand_CWRS!G$11/30</f>
        <v>118.04546474358973</v>
      </c>
      <c r="R253" s="16">
        <f>Demand_CWRS!H$11/30</f>
        <v>218.22274305555553</v>
      </c>
      <c r="S253" s="16">
        <f>Demand_CWRS!I$11/30</f>
        <v>218.22274305555553</v>
      </c>
      <c r="T253" s="16">
        <f>Demand_CWRS!J$11/30</f>
        <v>218.22274305555553</v>
      </c>
      <c r="U253" s="16">
        <f>Demand_CWRS!K$11/30</f>
        <v>218.22274305555553</v>
      </c>
      <c r="V253" s="16">
        <f t="shared" si="96"/>
        <v>-31193.950463678517</v>
      </c>
      <c r="W253" s="16">
        <f t="shared" si="97"/>
        <v>-123545.5914529911</v>
      </c>
      <c r="X253" s="16">
        <f t="shared" si="98"/>
        <v>0</v>
      </c>
      <c r="Y253" s="16">
        <f t="shared" si="99"/>
        <v>-23042.940011359915</v>
      </c>
      <c r="Z253" s="16">
        <f t="shared" si="100"/>
        <v>-54238.083452849445</v>
      </c>
      <c r="AA253" s="16">
        <f t="shared" si="101"/>
        <v>-29722.017939640125</v>
      </c>
      <c r="AB253" s="16">
        <f t="shared" si="102"/>
        <v>-58547.248228490404</v>
      </c>
      <c r="AC253" s="16">
        <f t="shared" si="103"/>
        <v>-52754.237972080213</v>
      </c>
      <c r="AD253" s="16">
        <f t="shared" si="104"/>
        <v>-52854.237972080206</v>
      </c>
      <c r="AE253" s="16">
        <f t="shared" si="105"/>
        <v>-53454.237972080198</v>
      </c>
      <c r="AF253" s="14">
        <f>IF([1]Sheet2!AJ252=999999,"NA",[1]Sheet2!AJ252)</f>
        <v>0</v>
      </c>
      <c r="AG253" s="14">
        <f>IF([1]Sheet2!AK252=999999,"NA",[1]Sheet2!AK252)</f>
        <v>0</v>
      </c>
      <c r="AH253" s="14" t="str">
        <f>IF([1]Sheet2!AL252=999999,"NA",[1]Sheet2!AL252)</f>
        <v>NA</v>
      </c>
      <c r="AI253" s="14">
        <f>IF([1]Sheet2!AM252=999999,"NA",[1]Sheet2!AM252)</f>
        <v>0</v>
      </c>
      <c r="AJ253" s="14">
        <f>IF([1]Sheet2!AN252=999999,"NA",[1]Sheet2!AN252)</f>
        <v>0</v>
      </c>
      <c r="AK253" s="14">
        <f>IF([1]Sheet2!AO252=999999,"NA",[1]Sheet2!AO252)</f>
        <v>0</v>
      </c>
      <c r="AL253" s="14">
        <f>IF([1]Sheet2!AP252=999999,"NA",[1]Sheet2!AP252)</f>
        <v>0</v>
      </c>
      <c r="AM253" s="14">
        <f>IF([1]Sheet2!AQ252=999999,"NA",[1]Sheet2!AQ252)</f>
        <v>0</v>
      </c>
      <c r="AN253" s="14">
        <f>IF([1]Sheet2!AR252=999999,"NA",[1]Sheet2!AR252)</f>
        <v>0</v>
      </c>
      <c r="AO253" s="14">
        <f>IF([1]Sheet2!AS252=999999,"NA",[1]Sheet2!AS252)</f>
        <v>0</v>
      </c>
      <c r="AP253" s="14">
        <f>[1]Sheet2!P252</f>
        <v>0</v>
      </c>
      <c r="AQ253" s="14">
        <f>[1]Sheet2!Q252</f>
        <v>0</v>
      </c>
      <c r="AR253" s="14">
        <f>[1]Sheet2!R252</f>
        <v>0</v>
      </c>
      <c r="AS253" s="14">
        <f>[1]Sheet2!S252</f>
        <v>0</v>
      </c>
      <c r="AT253" s="14">
        <f>[1]Sheet2!T252</f>
        <v>0</v>
      </c>
      <c r="AU253" s="14">
        <f>[1]Sheet2!U252</f>
        <v>0</v>
      </c>
      <c r="AV253" s="14">
        <f>[1]Sheet2!V252</f>
        <v>0</v>
      </c>
      <c r="AW253" s="14">
        <f>[1]Sheet2!W252</f>
        <v>0</v>
      </c>
      <c r="AX253" s="14">
        <f>[1]Sheet2!X252</f>
        <v>0</v>
      </c>
      <c r="AY253" s="14">
        <f>[1]Sheet2!Y252</f>
        <v>0</v>
      </c>
      <c r="AZ253" s="16">
        <f>Demand_LP!B$11/30</f>
        <v>902.60591613247857</v>
      </c>
      <c r="BA253" s="16">
        <f>Demand_LP!C$11/30</f>
        <v>593.76410256410259</v>
      </c>
      <c r="BB253" s="16">
        <f>Demand_LP!D$11/30</f>
        <v>290.27136752136749</v>
      </c>
      <c r="BC253" s="16">
        <f>Demand_LP!E$11/30</f>
        <v>790.42628205128199</v>
      </c>
      <c r="BD253" s="16">
        <f>Demand_LP!F$11/30</f>
        <v>538.46224626068363</v>
      </c>
      <c r="BE253" s="16">
        <f>Demand_LP!G$11/30</f>
        <v>538.46224626068363</v>
      </c>
      <c r="BF253" s="16">
        <f>Demand_LP!H$11/30</f>
        <v>593.76410256410259</v>
      </c>
      <c r="BG253" s="16">
        <f>Demand_LP!I$11/30</f>
        <v>538.46224626068363</v>
      </c>
      <c r="BH253" s="16">
        <f>Demand_LP!J$11/30</f>
        <v>538.46224626068363</v>
      </c>
      <c r="BI253" s="16">
        <f>Demand_LP!K$11/30</f>
        <v>538.46224626068363</v>
      </c>
      <c r="BJ253" s="16">
        <f t="shared" si="106"/>
        <v>-186303.80281653983</v>
      </c>
      <c r="BK253" s="16">
        <f t="shared" si="107"/>
        <v>-143299.48974358966</v>
      </c>
      <c r="BL253" s="16">
        <f t="shared" si="108"/>
        <v>-69622.499572649642</v>
      </c>
      <c r="BM253" s="16">
        <f t="shared" si="109"/>
        <v>-182363.66600941194</v>
      </c>
      <c r="BN253" s="16">
        <f t="shared" si="110"/>
        <v>-108571.40582789018</v>
      </c>
      <c r="BO253" s="16">
        <f t="shared" si="111"/>
        <v>-107029.08974626091</v>
      </c>
      <c r="BP253" s="16">
        <f t="shared" si="112"/>
        <v>-137657.069230769</v>
      </c>
      <c r="BQ253" s="16">
        <f t="shared" si="113"/>
        <v>-107029.08974626091</v>
      </c>
      <c r="BR253" s="16">
        <f t="shared" si="114"/>
        <v>-104629.08974626096</v>
      </c>
      <c r="BS253" s="16">
        <f t="shared" si="115"/>
        <v>-105329.08974626094</v>
      </c>
      <c r="BT253" s="14">
        <f>IF([1]Sheet2!CB252=999999,"NA",[1]Sheet2!CB252)</f>
        <v>0</v>
      </c>
      <c r="BU253" s="14">
        <f>IF([1]Sheet2!CC252=999999,"NA",[1]Sheet2!CC252)</f>
        <v>0</v>
      </c>
      <c r="BV253" s="14">
        <f>IF([1]Sheet2!CD252=999999,"NA",[1]Sheet2!CD252)</f>
        <v>0</v>
      </c>
      <c r="BW253" s="14">
        <f>IF([1]Sheet2!CE252=999999,"NA",[1]Sheet2!CE252)</f>
        <v>0</v>
      </c>
      <c r="BX253" s="14">
        <f>IF([1]Sheet2!CF252=999999,"NA",[1]Sheet2!CF252)</f>
        <v>0</v>
      </c>
      <c r="BY253" s="14">
        <f>IF([1]Sheet2!CG252=999999,"NA",[1]Sheet2!CG252)</f>
        <v>0</v>
      </c>
      <c r="BZ253" s="14">
        <f>IF([1]Sheet2!CH252=999999,"NA",[1]Sheet2!CH252)</f>
        <v>0</v>
      </c>
      <c r="CA253" s="14">
        <f>IF([1]Sheet2!CI252=999999,"NA",[1]Sheet2!CI252)</f>
        <v>0</v>
      </c>
      <c r="CB253" s="14">
        <f>IF([1]Sheet2!CJ252=999999,"NA",[1]Sheet2!CJ252)</f>
        <v>0</v>
      </c>
      <c r="CC253" s="14">
        <f>IF([1]Sheet2!CK252=999999,"NA",[1]Sheet2!CK252)</f>
        <v>0</v>
      </c>
      <c r="CD253" s="14">
        <f>[1]Sheet2!BH252</f>
        <v>0</v>
      </c>
      <c r="CE253" s="14">
        <f>[1]Sheet2!BI252</f>
        <v>0</v>
      </c>
      <c r="CF253" s="14">
        <f>[1]Sheet2!BJ252</f>
        <v>0</v>
      </c>
      <c r="CG253" s="14">
        <f>[1]Sheet2!BK252</f>
        <v>0</v>
      </c>
      <c r="CH253" s="14">
        <f>[1]Sheet2!BL252</f>
        <v>0</v>
      </c>
      <c r="CI253" s="14">
        <f>[1]Sheet2!BM252</f>
        <v>0</v>
      </c>
      <c r="CJ253" s="14">
        <f>[1]Sheet2!BN252</f>
        <v>0</v>
      </c>
      <c r="CK253" s="14">
        <f>[1]Sheet2!BO252</f>
        <v>0</v>
      </c>
      <c r="CL253" s="14">
        <f>[1]Sheet2!BP252</f>
        <v>0</v>
      </c>
      <c r="CM253" s="14">
        <f>[1]Sheet2!BQ252</f>
        <v>0</v>
      </c>
      <c r="CN253" s="16">
        <f>Demand_SW!B$11/30</f>
        <v>144.23076923076923</v>
      </c>
      <c r="CO253" s="16">
        <f>Demand_SW!C$11/30</f>
        <v>0</v>
      </c>
      <c r="CP253" s="16">
        <f>Demand_SW!D$11/30</f>
        <v>0</v>
      </c>
      <c r="CQ253" s="16">
        <f>Demand_SW!E$11/30</f>
        <v>0</v>
      </c>
      <c r="CR253" s="16">
        <f>Demand_SW!F$11/30</f>
        <v>0</v>
      </c>
      <c r="CS253" s="16">
        <f>Demand_SW!G$11/30</f>
        <v>144.23076923076923</v>
      </c>
      <c r="CT253" s="16">
        <f>Demand_SW!H$11/30</f>
        <v>0</v>
      </c>
      <c r="CU253" s="16">
        <f>Demand_SW!I$11/30</f>
        <v>0</v>
      </c>
      <c r="CV253" s="16">
        <f>Demand_SW!J$11/30</f>
        <v>0</v>
      </c>
      <c r="CW253" s="16">
        <f>Demand_SW!K$11/30</f>
        <v>0</v>
      </c>
      <c r="CX253" s="16">
        <f t="shared" si="116"/>
        <v>-28730.384615384653</v>
      </c>
      <c r="CY253" s="16">
        <f t="shared" si="117"/>
        <v>76.923076923077133</v>
      </c>
      <c r="CZ253" s="16">
        <f t="shared" si="118"/>
        <v>0</v>
      </c>
      <c r="DA253" s="16">
        <f t="shared" si="119"/>
        <v>0</v>
      </c>
      <c r="DB253" s="16">
        <f t="shared" si="120"/>
        <v>0</v>
      </c>
      <c r="DC253" s="16">
        <f t="shared" si="121"/>
        <v>-28259.615384615423</v>
      </c>
      <c r="DD253" s="16">
        <f t="shared" si="122"/>
        <v>76.923076923077133</v>
      </c>
      <c r="DE253" s="16">
        <f t="shared" si="123"/>
        <v>0</v>
      </c>
      <c r="DF253" s="16">
        <f t="shared" si="124"/>
        <v>0</v>
      </c>
      <c r="DG253" s="16">
        <f t="shared" si="125"/>
        <v>0</v>
      </c>
      <c r="DH253" s="14">
        <f>IF([1]Sheet2!DS252=999999,"NA",[1]Sheet2!DS252)</f>
        <v>0</v>
      </c>
      <c r="DI253" s="14">
        <f>IF([1]Sheet2!DT252=999999,"NA",[1]Sheet2!DT252)</f>
        <v>115</v>
      </c>
      <c r="DJ253" s="14" t="str">
        <f>IF([1]Sheet2!DU252=999999,"NA",[1]Sheet2!DU252)</f>
        <v>NA</v>
      </c>
      <c r="DK253" s="14" t="str">
        <f>IF([1]Sheet2!DV252=999999,"NA",[1]Sheet2!DV252)</f>
        <v>NA</v>
      </c>
      <c r="DL253" s="14" t="str">
        <f>IF([1]Sheet2!DW252=999999,"NA",[1]Sheet2!DW252)</f>
        <v>NA</v>
      </c>
      <c r="DM253" s="14">
        <f>IF([1]Sheet2!DX252=999999,"NA",[1]Sheet2!DX252)</f>
        <v>0</v>
      </c>
      <c r="DN253" s="14">
        <f>IF([1]Sheet2!DY252=999999,"NA",[1]Sheet2!DY252)</f>
        <v>115</v>
      </c>
      <c r="DO253" s="14" t="str">
        <f>IF([1]Sheet2!DZ252=999999,"NA",[1]Sheet2!DZ252)</f>
        <v>NA</v>
      </c>
      <c r="DP253" s="14" t="str">
        <f>IF([1]Sheet2!EA252=999999,"NA",[1]Sheet2!EA252)</f>
        <v>NA</v>
      </c>
      <c r="DQ253" s="14" t="str">
        <f>IF([1]Sheet2!EB252=999999,"NA",[1]Sheet2!EB252)</f>
        <v>NA</v>
      </c>
      <c r="DR253" s="14">
        <f>[1]Sheet2!CY252</f>
        <v>0</v>
      </c>
      <c r="DS253" s="14">
        <f>[1]Sheet2!CZ252</f>
        <v>0</v>
      </c>
      <c r="DT253" s="14">
        <f>[1]Sheet2!DA252</f>
        <v>0</v>
      </c>
      <c r="DU253" s="14">
        <f>[1]Sheet2!DB252</f>
        <v>0</v>
      </c>
      <c r="DV253" s="14">
        <f>[1]Sheet2!DC252</f>
        <v>0</v>
      </c>
      <c r="DW253" s="14">
        <f>[1]Sheet2!DD252</f>
        <v>0</v>
      </c>
      <c r="DX253" s="14">
        <f>[1]Sheet2!DE252</f>
        <v>0</v>
      </c>
      <c r="DY253" s="14">
        <f>[1]Sheet2!DF252</f>
        <v>0</v>
      </c>
      <c r="DZ253" s="14">
        <f>[1]Sheet2!DG252</f>
        <v>0</v>
      </c>
      <c r="EA253" s="14">
        <f>[1]Sheet2!DH252</f>
        <v>0</v>
      </c>
      <c r="EB253" s="6">
        <f>[1]Sheet2!EC252</f>
        <v>0</v>
      </c>
      <c r="EC253" s="6">
        <f>[1]Sheet2!ED252</f>
        <v>0</v>
      </c>
      <c r="ED253" s="6">
        <f>[1]Sheet2!EE252</f>
        <v>0</v>
      </c>
      <c r="EE253" s="6">
        <f>[1]Sheet2!EF252</f>
        <v>0</v>
      </c>
      <c r="EF253" s="6">
        <f>[1]Sheet2!EG252</f>
        <v>0</v>
      </c>
      <c r="EG253" s="6">
        <f>[1]Sheet2!EH252</f>
        <v>0</v>
      </c>
      <c r="EH253" s="6">
        <f>[1]Sheet2!EI252</f>
        <v>0</v>
      </c>
      <c r="EI253" s="6">
        <f>[1]Sheet2!EJ252</f>
        <v>0</v>
      </c>
      <c r="EJ253" s="6">
        <f>[1]Sheet2!EK252</f>
        <v>0</v>
      </c>
      <c r="EK253" s="6">
        <f>[1]Sheet2!EL252</f>
        <v>0</v>
      </c>
      <c r="EL253" s="6" t="str">
        <f>[1]Sheet2!EM252</f>
        <v/>
      </c>
      <c r="EM253" s="6" t="str">
        <f>[1]Sheet2!EN252</f>
        <v/>
      </c>
      <c r="EN253" s="6" t="str">
        <f>[1]Sheet2!EO252</f>
        <v/>
      </c>
      <c r="EO253" s="6" t="str">
        <f>[1]Sheet2!EP252</f>
        <v/>
      </c>
      <c r="EP253" s="6" t="str">
        <f>[1]Sheet2!EQ252</f>
        <v/>
      </c>
      <c r="EQ253" s="6" t="str">
        <f>[1]Sheet2!ER252</f>
        <v/>
      </c>
      <c r="ER253" s="6" t="str">
        <f>[1]Sheet2!ES252</f>
        <v/>
      </c>
      <c r="ES253" s="6" t="str">
        <f>[1]Sheet2!ET252</f>
        <v/>
      </c>
      <c r="ET253" s="6" t="str">
        <f>[1]Sheet2!EU252</f>
        <v/>
      </c>
      <c r="EU253" s="6" t="str">
        <f>[1]Sheet2!EV252</f>
        <v/>
      </c>
      <c r="EV253" s="6" t="str">
        <f>[1]Sheet2!EW252</f>
        <v/>
      </c>
      <c r="EW253" s="6" t="str">
        <f>[1]Sheet2!EX252</f>
        <v/>
      </c>
      <c r="EX253" s="6" t="str">
        <f>[1]Sheet2!EY252</f>
        <v/>
      </c>
      <c r="EY253" s="6" t="str">
        <f>[1]Sheet2!EZ252</f>
        <v/>
      </c>
      <c r="EZ253" s="6" t="str">
        <f>[1]Sheet2!FA252</f>
        <v/>
      </c>
      <c r="FA253" s="6" t="str">
        <f>[1]Sheet2!FB252</f>
        <v/>
      </c>
      <c r="FB253" s="6" t="str">
        <f>[1]Sheet2!FC252</f>
        <v/>
      </c>
      <c r="FC253" s="6" t="str">
        <f>[1]Sheet2!FD252</f>
        <v/>
      </c>
      <c r="FD253" s="6" t="str">
        <f>[1]Sheet2!FE252</f>
        <v/>
      </c>
      <c r="FE253" s="6" t="str">
        <f>[1]Sheet2!FF252</f>
        <v/>
      </c>
      <c r="FF253" s="6" t="str">
        <f>[1]Sheet2!FG252</f>
        <v/>
      </c>
      <c r="FG253" s="6" t="str">
        <f>[1]Sheet2!FH252</f>
        <v/>
      </c>
      <c r="FH253" s="6" t="str">
        <f>[1]Sheet2!FI252</f>
        <v/>
      </c>
      <c r="FI253" s="6" t="str">
        <f>[1]Sheet2!FJ252</f>
        <v/>
      </c>
      <c r="FJ253" s="6" t="str">
        <f>[1]Sheet2!FK252</f>
        <v/>
      </c>
      <c r="FK253" s="6" t="str">
        <f>[1]Sheet2!FL252</f>
        <v/>
      </c>
      <c r="FL253" s="6" t="str">
        <f>[1]Sheet2!FM252</f>
        <v/>
      </c>
      <c r="FM253" s="6" t="str">
        <f>[1]Sheet2!FN252</f>
        <v/>
      </c>
      <c r="FN253" s="6" t="str">
        <f>[1]Sheet2!FO252</f>
        <v/>
      </c>
      <c r="FO253" s="6" t="str">
        <f>[1]Sheet2!FP252</f>
        <v/>
      </c>
    </row>
    <row r="254" spans="1:171" x14ac:dyDescent="0.25">
      <c r="A254" s="15">
        <v>43716</v>
      </c>
      <c r="B254" s="1"/>
      <c r="C254" s="1"/>
      <c r="D254" s="1"/>
      <c r="E254" s="14">
        <f>[1]Sheet2!N253</f>
        <v>0</v>
      </c>
      <c r="F254" s="14">
        <f>[1]Sheet2!BE253</f>
        <v>0</v>
      </c>
      <c r="G254" s="14">
        <f>[1]Sheet2!CW253</f>
        <v>0</v>
      </c>
      <c r="H254" s="1">
        <v>48000</v>
      </c>
      <c r="I254" s="1">
        <v>48000</v>
      </c>
      <c r="J254" s="1" t="s">
        <v>42</v>
      </c>
      <c r="K254" s="16">
        <v>48000</v>
      </c>
      <c r="L254" s="16">
        <f>Demand_CWRS!B$11/30</f>
        <v>118.04546474358973</v>
      </c>
      <c r="M254" s="16">
        <f>Demand_CWRS!C$11/30</f>
        <v>491.39401709401704</v>
      </c>
      <c r="N254" s="16">
        <f>Demand_CWRS!D$11/30</f>
        <v>0</v>
      </c>
      <c r="O254" s="16">
        <f>Demand_CWRS!E$11/30</f>
        <v>107.84935897435898</v>
      </c>
      <c r="P254" s="16">
        <f>Demand_CWRS!F$11/30</f>
        <v>218.22274305555553</v>
      </c>
      <c r="Q254" s="16">
        <f>Demand_CWRS!G$11/30</f>
        <v>118.04546474358973</v>
      </c>
      <c r="R254" s="16">
        <f>Demand_CWRS!H$11/30</f>
        <v>218.22274305555553</v>
      </c>
      <c r="S254" s="16">
        <f>Demand_CWRS!I$11/30</f>
        <v>218.22274305555553</v>
      </c>
      <c r="T254" s="16">
        <f>Demand_CWRS!J$11/30</f>
        <v>218.22274305555553</v>
      </c>
      <c r="U254" s="16">
        <f>Demand_CWRS!K$11/30</f>
        <v>218.22274305555553</v>
      </c>
      <c r="V254" s="16">
        <f t="shared" si="96"/>
        <v>-31311.995928422108</v>
      </c>
      <c r="W254" s="16">
        <f t="shared" si="97"/>
        <v>-124036.98547008511</v>
      </c>
      <c r="X254" s="16">
        <f t="shared" si="98"/>
        <v>0</v>
      </c>
      <c r="Y254" s="16">
        <f t="shared" si="99"/>
        <v>-23150.789370334274</v>
      </c>
      <c r="Z254" s="16">
        <f t="shared" si="100"/>
        <v>-54456.306195905003</v>
      </c>
      <c r="AA254" s="16">
        <f t="shared" si="101"/>
        <v>-29840.063404383716</v>
      </c>
      <c r="AB254" s="16">
        <f t="shared" si="102"/>
        <v>-58765.470971545961</v>
      </c>
      <c r="AC254" s="16">
        <f t="shared" si="103"/>
        <v>-52972.46071513577</v>
      </c>
      <c r="AD254" s="16">
        <f t="shared" si="104"/>
        <v>-53072.460715135763</v>
      </c>
      <c r="AE254" s="16">
        <f t="shared" si="105"/>
        <v>-53672.460715135756</v>
      </c>
      <c r="AF254" s="14">
        <f>IF([1]Sheet2!AJ253=999999,"NA",[1]Sheet2!AJ253)</f>
        <v>0</v>
      </c>
      <c r="AG254" s="14">
        <f>IF([1]Sheet2!AK253=999999,"NA",[1]Sheet2!AK253)</f>
        <v>0</v>
      </c>
      <c r="AH254" s="14" t="str">
        <f>IF([1]Sheet2!AL253=999999,"NA",[1]Sheet2!AL253)</f>
        <v>NA</v>
      </c>
      <c r="AI254" s="14">
        <f>IF([1]Sheet2!AM253=999999,"NA",[1]Sheet2!AM253)</f>
        <v>0</v>
      </c>
      <c r="AJ254" s="14">
        <f>IF([1]Sheet2!AN253=999999,"NA",[1]Sheet2!AN253)</f>
        <v>0</v>
      </c>
      <c r="AK254" s="14">
        <f>IF([1]Sheet2!AO253=999999,"NA",[1]Sheet2!AO253)</f>
        <v>0</v>
      </c>
      <c r="AL254" s="14">
        <f>IF([1]Sheet2!AP253=999999,"NA",[1]Sheet2!AP253)</f>
        <v>0</v>
      </c>
      <c r="AM254" s="14">
        <f>IF([1]Sheet2!AQ253=999999,"NA",[1]Sheet2!AQ253)</f>
        <v>0</v>
      </c>
      <c r="AN254" s="14">
        <f>IF([1]Sheet2!AR253=999999,"NA",[1]Sheet2!AR253)</f>
        <v>0</v>
      </c>
      <c r="AO254" s="14">
        <f>IF([1]Sheet2!AS253=999999,"NA",[1]Sheet2!AS253)</f>
        <v>0</v>
      </c>
      <c r="AP254" s="14">
        <f>[1]Sheet2!P253</f>
        <v>0</v>
      </c>
      <c r="AQ254" s="14">
        <f>[1]Sheet2!Q253</f>
        <v>0</v>
      </c>
      <c r="AR254" s="14">
        <f>[1]Sheet2!R253</f>
        <v>0</v>
      </c>
      <c r="AS254" s="14">
        <f>[1]Sheet2!S253</f>
        <v>0</v>
      </c>
      <c r="AT254" s="14">
        <f>[1]Sheet2!T253</f>
        <v>0</v>
      </c>
      <c r="AU254" s="14">
        <f>[1]Sheet2!U253</f>
        <v>0</v>
      </c>
      <c r="AV254" s="14">
        <f>[1]Sheet2!V253</f>
        <v>0</v>
      </c>
      <c r="AW254" s="14">
        <f>[1]Sheet2!W253</f>
        <v>0</v>
      </c>
      <c r="AX254" s="14">
        <f>[1]Sheet2!X253</f>
        <v>0</v>
      </c>
      <c r="AY254" s="14">
        <f>[1]Sheet2!Y253</f>
        <v>0</v>
      </c>
      <c r="AZ254" s="16">
        <f>Demand_LP!B$11/30</f>
        <v>902.60591613247857</v>
      </c>
      <c r="BA254" s="16">
        <f>Demand_LP!C$11/30</f>
        <v>593.76410256410259</v>
      </c>
      <c r="BB254" s="16">
        <f>Demand_LP!D$11/30</f>
        <v>290.27136752136749</v>
      </c>
      <c r="BC254" s="16">
        <f>Demand_LP!E$11/30</f>
        <v>790.42628205128199</v>
      </c>
      <c r="BD254" s="16">
        <f>Demand_LP!F$11/30</f>
        <v>538.46224626068363</v>
      </c>
      <c r="BE254" s="16">
        <f>Demand_LP!G$11/30</f>
        <v>538.46224626068363</v>
      </c>
      <c r="BF254" s="16">
        <f>Demand_LP!H$11/30</f>
        <v>593.76410256410259</v>
      </c>
      <c r="BG254" s="16">
        <f>Demand_LP!I$11/30</f>
        <v>538.46224626068363</v>
      </c>
      <c r="BH254" s="16">
        <f>Demand_LP!J$11/30</f>
        <v>538.46224626068363</v>
      </c>
      <c r="BI254" s="16">
        <f>Demand_LP!K$11/30</f>
        <v>538.46224626068363</v>
      </c>
      <c r="BJ254" s="16">
        <f t="shared" si="106"/>
        <v>-187206.40873267231</v>
      </c>
      <c r="BK254" s="16">
        <f t="shared" si="107"/>
        <v>-143893.25384615376</v>
      </c>
      <c r="BL254" s="16">
        <f t="shared" si="108"/>
        <v>-69912.770940171016</v>
      </c>
      <c r="BM254" s="16">
        <f t="shared" si="109"/>
        <v>-183154.09229146322</v>
      </c>
      <c r="BN254" s="16">
        <f t="shared" si="110"/>
        <v>-109109.86807415086</v>
      </c>
      <c r="BO254" s="16">
        <f t="shared" si="111"/>
        <v>-107567.55199252159</v>
      </c>
      <c r="BP254" s="16">
        <f t="shared" si="112"/>
        <v>-138250.83333333311</v>
      </c>
      <c r="BQ254" s="16">
        <f t="shared" si="113"/>
        <v>-107567.55199252159</v>
      </c>
      <c r="BR254" s="16">
        <f t="shared" si="114"/>
        <v>-105167.55199252164</v>
      </c>
      <c r="BS254" s="16">
        <f t="shared" si="115"/>
        <v>-105867.55199252162</v>
      </c>
      <c r="BT254" s="14">
        <f>IF([1]Sheet2!CB253=999999,"NA",[1]Sheet2!CB253)</f>
        <v>0</v>
      </c>
      <c r="BU254" s="14">
        <f>IF([1]Sheet2!CC253=999999,"NA",[1]Sheet2!CC253)</f>
        <v>0</v>
      </c>
      <c r="BV254" s="14">
        <f>IF([1]Sheet2!CD253=999999,"NA",[1]Sheet2!CD253)</f>
        <v>0</v>
      </c>
      <c r="BW254" s="14">
        <f>IF([1]Sheet2!CE253=999999,"NA",[1]Sheet2!CE253)</f>
        <v>0</v>
      </c>
      <c r="BX254" s="14">
        <f>IF([1]Sheet2!CF253=999999,"NA",[1]Sheet2!CF253)</f>
        <v>0</v>
      </c>
      <c r="BY254" s="14">
        <f>IF([1]Sheet2!CG253=999999,"NA",[1]Sheet2!CG253)</f>
        <v>0</v>
      </c>
      <c r="BZ254" s="14">
        <f>IF([1]Sheet2!CH253=999999,"NA",[1]Sheet2!CH253)</f>
        <v>0</v>
      </c>
      <c r="CA254" s="14">
        <f>IF([1]Sheet2!CI253=999999,"NA",[1]Sheet2!CI253)</f>
        <v>0</v>
      </c>
      <c r="CB254" s="14">
        <f>IF([1]Sheet2!CJ253=999999,"NA",[1]Sheet2!CJ253)</f>
        <v>0</v>
      </c>
      <c r="CC254" s="14">
        <f>IF([1]Sheet2!CK253=999999,"NA",[1]Sheet2!CK253)</f>
        <v>0</v>
      </c>
      <c r="CD254" s="14">
        <f>[1]Sheet2!BH253</f>
        <v>0</v>
      </c>
      <c r="CE254" s="14">
        <f>[1]Sheet2!BI253</f>
        <v>0</v>
      </c>
      <c r="CF254" s="14">
        <f>[1]Sheet2!BJ253</f>
        <v>0</v>
      </c>
      <c r="CG254" s="14">
        <f>[1]Sheet2!BK253</f>
        <v>0</v>
      </c>
      <c r="CH254" s="14">
        <f>[1]Sheet2!BL253</f>
        <v>0</v>
      </c>
      <c r="CI254" s="14">
        <f>[1]Sheet2!BM253</f>
        <v>0</v>
      </c>
      <c r="CJ254" s="14">
        <f>[1]Sheet2!BN253</f>
        <v>0</v>
      </c>
      <c r="CK254" s="14">
        <f>[1]Sheet2!BO253</f>
        <v>0</v>
      </c>
      <c r="CL254" s="14">
        <f>[1]Sheet2!BP253</f>
        <v>0</v>
      </c>
      <c r="CM254" s="14">
        <f>[1]Sheet2!BQ253</f>
        <v>0</v>
      </c>
      <c r="CN254" s="16">
        <f>Demand_SW!B$11/30</f>
        <v>144.23076923076923</v>
      </c>
      <c r="CO254" s="16">
        <f>Demand_SW!C$11/30</f>
        <v>0</v>
      </c>
      <c r="CP254" s="16">
        <f>Demand_SW!D$11/30</f>
        <v>0</v>
      </c>
      <c r="CQ254" s="16">
        <f>Demand_SW!E$11/30</f>
        <v>0</v>
      </c>
      <c r="CR254" s="16">
        <f>Demand_SW!F$11/30</f>
        <v>0</v>
      </c>
      <c r="CS254" s="16">
        <f>Demand_SW!G$11/30</f>
        <v>144.23076923076923</v>
      </c>
      <c r="CT254" s="16">
        <f>Demand_SW!H$11/30</f>
        <v>0</v>
      </c>
      <c r="CU254" s="16">
        <f>Demand_SW!I$11/30</f>
        <v>0</v>
      </c>
      <c r="CV254" s="16">
        <f>Demand_SW!J$11/30</f>
        <v>0</v>
      </c>
      <c r="CW254" s="16">
        <f>Demand_SW!K$11/30</f>
        <v>0</v>
      </c>
      <c r="CX254" s="16">
        <f t="shared" si="116"/>
        <v>-28874.615384615423</v>
      </c>
      <c r="CY254" s="16">
        <f t="shared" si="117"/>
        <v>76.923076923077133</v>
      </c>
      <c r="CZ254" s="16">
        <f t="shared" si="118"/>
        <v>0</v>
      </c>
      <c r="DA254" s="16">
        <f t="shared" si="119"/>
        <v>0</v>
      </c>
      <c r="DB254" s="16">
        <f t="shared" si="120"/>
        <v>0</v>
      </c>
      <c r="DC254" s="16">
        <f t="shared" si="121"/>
        <v>-28403.846153846192</v>
      </c>
      <c r="DD254" s="16">
        <f t="shared" si="122"/>
        <v>76.923076923077133</v>
      </c>
      <c r="DE254" s="16">
        <f t="shared" si="123"/>
        <v>0</v>
      </c>
      <c r="DF254" s="16">
        <f t="shared" si="124"/>
        <v>0</v>
      </c>
      <c r="DG254" s="16">
        <f t="shared" si="125"/>
        <v>0</v>
      </c>
      <c r="DH254" s="14">
        <f>IF([1]Sheet2!DS253=999999,"NA",[1]Sheet2!DS253)</f>
        <v>0</v>
      </c>
      <c r="DI254" s="14">
        <f>IF([1]Sheet2!DT253=999999,"NA",[1]Sheet2!DT253)</f>
        <v>114</v>
      </c>
      <c r="DJ254" s="14" t="str">
        <f>IF([1]Sheet2!DU253=999999,"NA",[1]Sheet2!DU253)</f>
        <v>NA</v>
      </c>
      <c r="DK254" s="14" t="str">
        <f>IF([1]Sheet2!DV253=999999,"NA",[1]Sheet2!DV253)</f>
        <v>NA</v>
      </c>
      <c r="DL254" s="14" t="str">
        <f>IF([1]Sheet2!DW253=999999,"NA",[1]Sheet2!DW253)</f>
        <v>NA</v>
      </c>
      <c r="DM254" s="14">
        <f>IF([1]Sheet2!DX253=999999,"NA",[1]Sheet2!DX253)</f>
        <v>0</v>
      </c>
      <c r="DN254" s="14">
        <f>IF([1]Sheet2!DY253=999999,"NA",[1]Sheet2!DY253)</f>
        <v>114</v>
      </c>
      <c r="DO254" s="14" t="str">
        <f>IF([1]Sheet2!DZ253=999999,"NA",[1]Sheet2!DZ253)</f>
        <v>NA</v>
      </c>
      <c r="DP254" s="14" t="str">
        <f>IF([1]Sheet2!EA253=999999,"NA",[1]Sheet2!EA253)</f>
        <v>NA</v>
      </c>
      <c r="DQ254" s="14" t="str">
        <f>IF([1]Sheet2!EB253=999999,"NA",[1]Sheet2!EB253)</f>
        <v>NA</v>
      </c>
      <c r="DR254" s="14">
        <f>[1]Sheet2!CY253</f>
        <v>0</v>
      </c>
      <c r="DS254" s="14">
        <f>[1]Sheet2!CZ253</f>
        <v>0</v>
      </c>
      <c r="DT254" s="14">
        <f>[1]Sheet2!DA253</f>
        <v>0</v>
      </c>
      <c r="DU254" s="14">
        <f>[1]Sheet2!DB253</f>
        <v>0</v>
      </c>
      <c r="DV254" s="14">
        <f>[1]Sheet2!DC253</f>
        <v>0</v>
      </c>
      <c r="DW254" s="14">
        <f>[1]Sheet2!DD253</f>
        <v>0</v>
      </c>
      <c r="DX254" s="14">
        <f>[1]Sheet2!DE253</f>
        <v>0</v>
      </c>
      <c r="DY254" s="14">
        <f>[1]Sheet2!DF253</f>
        <v>0</v>
      </c>
      <c r="DZ254" s="14">
        <f>[1]Sheet2!DG253</f>
        <v>0</v>
      </c>
      <c r="EA254" s="14">
        <f>[1]Sheet2!DH253</f>
        <v>0</v>
      </c>
      <c r="EB254" s="6">
        <f>[1]Sheet2!EC253</f>
        <v>0</v>
      </c>
      <c r="EC254" s="6">
        <f>[1]Sheet2!ED253</f>
        <v>0</v>
      </c>
      <c r="ED254" s="6">
        <f>[1]Sheet2!EE253</f>
        <v>0</v>
      </c>
      <c r="EE254" s="6">
        <f>[1]Sheet2!EF253</f>
        <v>0</v>
      </c>
      <c r="EF254" s="6">
        <f>[1]Sheet2!EG253</f>
        <v>0</v>
      </c>
      <c r="EG254" s="6">
        <f>[1]Sheet2!EH253</f>
        <v>0</v>
      </c>
      <c r="EH254" s="6">
        <f>[1]Sheet2!EI253</f>
        <v>0</v>
      </c>
      <c r="EI254" s="6">
        <f>[1]Sheet2!EJ253</f>
        <v>0</v>
      </c>
      <c r="EJ254" s="6">
        <f>[1]Sheet2!EK253</f>
        <v>0</v>
      </c>
      <c r="EK254" s="6">
        <f>[1]Sheet2!EL253</f>
        <v>0</v>
      </c>
      <c r="EL254" s="6" t="str">
        <f>[1]Sheet2!EM253</f>
        <v/>
      </c>
      <c r="EM254" s="6" t="str">
        <f>[1]Sheet2!EN253</f>
        <v/>
      </c>
      <c r="EN254" s="6" t="str">
        <f>[1]Sheet2!EO253</f>
        <v/>
      </c>
      <c r="EO254" s="6" t="str">
        <f>[1]Sheet2!EP253</f>
        <v/>
      </c>
      <c r="EP254" s="6" t="str">
        <f>[1]Sheet2!EQ253</f>
        <v/>
      </c>
      <c r="EQ254" s="6" t="str">
        <f>[1]Sheet2!ER253</f>
        <v/>
      </c>
      <c r="ER254" s="6" t="str">
        <f>[1]Sheet2!ES253</f>
        <v/>
      </c>
      <c r="ES254" s="6" t="str">
        <f>[1]Sheet2!ET253</f>
        <v/>
      </c>
      <c r="ET254" s="6" t="str">
        <f>[1]Sheet2!EU253</f>
        <v/>
      </c>
      <c r="EU254" s="6" t="str">
        <f>[1]Sheet2!EV253</f>
        <v/>
      </c>
      <c r="EV254" s="6" t="str">
        <f>[1]Sheet2!EW253</f>
        <v/>
      </c>
      <c r="EW254" s="6" t="str">
        <f>[1]Sheet2!EX253</f>
        <v/>
      </c>
      <c r="EX254" s="6" t="str">
        <f>[1]Sheet2!EY253</f>
        <v/>
      </c>
      <c r="EY254" s="6" t="str">
        <f>[1]Sheet2!EZ253</f>
        <v/>
      </c>
      <c r="EZ254" s="6" t="str">
        <f>[1]Sheet2!FA253</f>
        <v/>
      </c>
      <c r="FA254" s="6" t="str">
        <f>[1]Sheet2!FB253</f>
        <v/>
      </c>
      <c r="FB254" s="6" t="str">
        <f>[1]Sheet2!FC253</f>
        <v/>
      </c>
      <c r="FC254" s="6" t="str">
        <f>[1]Sheet2!FD253</f>
        <v/>
      </c>
      <c r="FD254" s="6" t="str">
        <f>[1]Sheet2!FE253</f>
        <v/>
      </c>
      <c r="FE254" s="6" t="str">
        <f>[1]Sheet2!FF253</f>
        <v/>
      </c>
      <c r="FF254" s="6" t="str">
        <f>[1]Sheet2!FG253</f>
        <v/>
      </c>
      <c r="FG254" s="6" t="str">
        <f>[1]Sheet2!FH253</f>
        <v/>
      </c>
      <c r="FH254" s="6" t="str">
        <f>[1]Sheet2!FI253</f>
        <v/>
      </c>
      <c r="FI254" s="6" t="str">
        <f>[1]Sheet2!FJ253</f>
        <v/>
      </c>
      <c r="FJ254" s="6" t="str">
        <f>[1]Sheet2!FK253</f>
        <v/>
      </c>
      <c r="FK254" s="6" t="str">
        <f>[1]Sheet2!FL253</f>
        <v/>
      </c>
      <c r="FL254" s="6" t="str">
        <f>[1]Sheet2!FM253</f>
        <v/>
      </c>
      <c r="FM254" s="6" t="str">
        <f>[1]Sheet2!FN253</f>
        <v/>
      </c>
      <c r="FN254" s="6" t="str">
        <f>[1]Sheet2!FO253</f>
        <v/>
      </c>
      <c r="FO254" s="6" t="str">
        <f>[1]Sheet2!FP253</f>
        <v/>
      </c>
    </row>
    <row r="255" spans="1:171" x14ac:dyDescent="0.25">
      <c r="A255" s="15">
        <v>43717</v>
      </c>
      <c r="B255" s="1"/>
      <c r="C255" s="1"/>
      <c r="D255" s="1"/>
      <c r="E255" s="14">
        <f>[1]Sheet2!N254</f>
        <v>0</v>
      </c>
      <c r="F255" s="14">
        <f>[1]Sheet2!BE254</f>
        <v>0</v>
      </c>
      <c r="G255" s="14">
        <f>[1]Sheet2!CW254</f>
        <v>0</v>
      </c>
      <c r="H255" s="1"/>
      <c r="I255" s="1"/>
      <c r="J255" s="1"/>
      <c r="K255" s="16"/>
      <c r="L255" s="16">
        <f>Demand_CWRS!B$11/30</f>
        <v>118.04546474358973</v>
      </c>
      <c r="M255" s="16">
        <f>Demand_CWRS!C$11/30</f>
        <v>491.39401709401704</v>
      </c>
      <c r="N255" s="16">
        <f>Demand_CWRS!D$11/30</f>
        <v>0</v>
      </c>
      <c r="O255" s="16">
        <f>Demand_CWRS!E$11/30</f>
        <v>107.84935897435898</v>
      </c>
      <c r="P255" s="16">
        <f>Demand_CWRS!F$11/30</f>
        <v>218.22274305555553</v>
      </c>
      <c r="Q255" s="16">
        <f>Demand_CWRS!G$11/30</f>
        <v>118.04546474358973</v>
      </c>
      <c r="R255" s="16">
        <f>Demand_CWRS!H$11/30</f>
        <v>218.22274305555553</v>
      </c>
      <c r="S255" s="16">
        <f>Demand_CWRS!I$11/30</f>
        <v>218.22274305555553</v>
      </c>
      <c r="T255" s="16">
        <f>Demand_CWRS!J$11/30</f>
        <v>218.22274305555553</v>
      </c>
      <c r="U255" s="16">
        <f>Demand_CWRS!K$11/30</f>
        <v>218.22274305555553</v>
      </c>
      <c r="V255" s="16">
        <f t="shared" si="96"/>
        <v>-31430.041393165699</v>
      </c>
      <c r="W255" s="16">
        <f t="shared" si="97"/>
        <v>-124528.37948717913</v>
      </c>
      <c r="X255" s="16">
        <f t="shared" si="98"/>
        <v>0</v>
      </c>
      <c r="Y255" s="16">
        <f t="shared" si="99"/>
        <v>-23258.638729308634</v>
      </c>
      <c r="Z255" s="16">
        <f t="shared" si="100"/>
        <v>-54674.52893896056</v>
      </c>
      <c r="AA255" s="16">
        <f t="shared" si="101"/>
        <v>-29958.108869127307</v>
      </c>
      <c r="AB255" s="16">
        <f t="shared" si="102"/>
        <v>-58983.693714601519</v>
      </c>
      <c r="AC255" s="16">
        <f t="shared" si="103"/>
        <v>-53190.683458191328</v>
      </c>
      <c r="AD255" s="16">
        <f t="shared" si="104"/>
        <v>-53290.683458191321</v>
      </c>
      <c r="AE255" s="16">
        <f t="shared" si="105"/>
        <v>-53890.683458191314</v>
      </c>
      <c r="AF255" s="14">
        <f>IF([1]Sheet2!AJ254=999999,"NA",[1]Sheet2!AJ254)</f>
        <v>0</v>
      </c>
      <c r="AG255" s="14">
        <f>IF([1]Sheet2!AK254=999999,"NA",[1]Sheet2!AK254)</f>
        <v>0</v>
      </c>
      <c r="AH255" s="14" t="str">
        <f>IF([1]Sheet2!AL254=999999,"NA",[1]Sheet2!AL254)</f>
        <v>NA</v>
      </c>
      <c r="AI255" s="14">
        <f>IF([1]Sheet2!AM254=999999,"NA",[1]Sheet2!AM254)</f>
        <v>0</v>
      </c>
      <c r="AJ255" s="14">
        <f>IF([1]Sheet2!AN254=999999,"NA",[1]Sheet2!AN254)</f>
        <v>0</v>
      </c>
      <c r="AK255" s="14">
        <f>IF([1]Sheet2!AO254=999999,"NA",[1]Sheet2!AO254)</f>
        <v>0</v>
      </c>
      <c r="AL255" s="14">
        <f>IF([1]Sheet2!AP254=999999,"NA",[1]Sheet2!AP254)</f>
        <v>0</v>
      </c>
      <c r="AM255" s="14">
        <f>IF([1]Sheet2!AQ254=999999,"NA",[1]Sheet2!AQ254)</f>
        <v>0</v>
      </c>
      <c r="AN255" s="14">
        <f>IF([1]Sheet2!AR254=999999,"NA",[1]Sheet2!AR254)</f>
        <v>0</v>
      </c>
      <c r="AO255" s="14">
        <f>IF([1]Sheet2!AS254=999999,"NA",[1]Sheet2!AS254)</f>
        <v>0</v>
      </c>
      <c r="AP255" s="14">
        <f>[1]Sheet2!P254</f>
        <v>0</v>
      </c>
      <c r="AQ255" s="14">
        <f>[1]Sheet2!Q254</f>
        <v>0</v>
      </c>
      <c r="AR255" s="14">
        <f>[1]Sheet2!R254</f>
        <v>0</v>
      </c>
      <c r="AS255" s="14">
        <f>[1]Sheet2!S254</f>
        <v>0</v>
      </c>
      <c r="AT255" s="14">
        <f>[1]Sheet2!T254</f>
        <v>0</v>
      </c>
      <c r="AU255" s="14">
        <f>[1]Sheet2!U254</f>
        <v>0</v>
      </c>
      <c r="AV255" s="14">
        <f>[1]Sheet2!V254</f>
        <v>0</v>
      </c>
      <c r="AW255" s="14">
        <f>[1]Sheet2!W254</f>
        <v>0</v>
      </c>
      <c r="AX255" s="14">
        <f>[1]Sheet2!X254</f>
        <v>0</v>
      </c>
      <c r="AY255" s="14">
        <f>[1]Sheet2!Y254</f>
        <v>0</v>
      </c>
      <c r="AZ255" s="16">
        <f>Demand_LP!B$11/30</f>
        <v>902.60591613247857</v>
      </c>
      <c r="BA255" s="16">
        <f>Demand_LP!C$11/30</f>
        <v>593.76410256410259</v>
      </c>
      <c r="BB255" s="16">
        <f>Demand_LP!D$11/30</f>
        <v>290.27136752136749</v>
      </c>
      <c r="BC255" s="16">
        <f>Demand_LP!E$11/30</f>
        <v>790.42628205128199</v>
      </c>
      <c r="BD255" s="16">
        <f>Demand_LP!F$11/30</f>
        <v>538.46224626068363</v>
      </c>
      <c r="BE255" s="16">
        <f>Demand_LP!G$11/30</f>
        <v>538.46224626068363</v>
      </c>
      <c r="BF255" s="16">
        <f>Demand_LP!H$11/30</f>
        <v>593.76410256410259</v>
      </c>
      <c r="BG255" s="16">
        <f>Demand_LP!I$11/30</f>
        <v>538.46224626068363</v>
      </c>
      <c r="BH255" s="16">
        <f>Demand_LP!J$11/30</f>
        <v>538.46224626068363</v>
      </c>
      <c r="BI255" s="16">
        <f>Demand_LP!K$11/30</f>
        <v>538.46224626068363</v>
      </c>
      <c r="BJ255" s="16">
        <f t="shared" si="106"/>
        <v>-188109.01464880479</v>
      </c>
      <c r="BK255" s="16">
        <f t="shared" si="107"/>
        <v>-144487.01794871787</v>
      </c>
      <c r="BL255" s="16">
        <f t="shared" si="108"/>
        <v>-70203.042307692391</v>
      </c>
      <c r="BM255" s="16">
        <f t="shared" si="109"/>
        <v>-183944.51857351451</v>
      </c>
      <c r="BN255" s="16">
        <f t="shared" si="110"/>
        <v>-109648.33032041154</v>
      </c>
      <c r="BO255" s="16">
        <f t="shared" si="111"/>
        <v>-108106.01423878227</v>
      </c>
      <c r="BP255" s="16">
        <f t="shared" si="112"/>
        <v>-138844.59743589722</v>
      </c>
      <c r="BQ255" s="16">
        <f t="shared" si="113"/>
        <v>-108106.01423878227</v>
      </c>
      <c r="BR255" s="16">
        <f t="shared" si="114"/>
        <v>-105706.01423878231</v>
      </c>
      <c r="BS255" s="16">
        <f t="shared" si="115"/>
        <v>-106406.0142387823</v>
      </c>
      <c r="BT255" s="14">
        <f>IF([1]Sheet2!CB254=999999,"NA",[1]Sheet2!CB254)</f>
        <v>0</v>
      </c>
      <c r="BU255" s="14">
        <f>IF([1]Sheet2!CC254=999999,"NA",[1]Sheet2!CC254)</f>
        <v>0</v>
      </c>
      <c r="BV255" s="14">
        <f>IF([1]Sheet2!CD254=999999,"NA",[1]Sheet2!CD254)</f>
        <v>0</v>
      </c>
      <c r="BW255" s="14">
        <f>IF([1]Sheet2!CE254=999999,"NA",[1]Sheet2!CE254)</f>
        <v>0</v>
      </c>
      <c r="BX255" s="14">
        <f>IF([1]Sheet2!CF254=999999,"NA",[1]Sheet2!CF254)</f>
        <v>0</v>
      </c>
      <c r="BY255" s="14">
        <f>IF([1]Sheet2!CG254=999999,"NA",[1]Sheet2!CG254)</f>
        <v>0</v>
      </c>
      <c r="BZ255" s="14">
        <f>IF([1]Sheet2!CH254=999999,"NA",[1]Sheet2!CH254)</f>
        <v>0</v>
      </c>
      <c r="CA255" s="14">
        <f>IF([1]Sheet2!CI254=999999,"NA",[1]Sheet2!CI254)</f>
        <v>0</v>
      </c>
      <c r="CB255" s="14">
        <f>IF([1]Sheet2!CJ254=999999,"NA",[1]Sheet2!CJ254)</f>
        <v>0</v>
      </c>
      <c r="CC255" s="14">
        <f>IF([1]Sheet2!CK254=999999,"NA",[1]Sheet2!CK254)</f>
        <v>0</v>
      </c>
      <c r="CD255" s="14">
        <f>[1]Sheet2!BH254</f>
        <v>0</v>
      </c>
      <c r="CE255" s="14">
        <f>[1]Sheet2!BI254</f>
        <v>0</v>
      </c>
      <c r="CF255" s="14">
        <f>[1]Sheet2!BJ254</f>
        <v>0</v>
      </c>
      <c r="CG255" s="14">
        <f>[1]Sheet2!BK254</f>
        <v>0</v>
      </c>
      <c r="CH255" s="14">
        <f>[1]Sheet2!BL254</f>
        <v>0</v>
      </c>
      <c r="CI255" s="14">
        <f>[1]Sheet2!BM254</f>
        <v>0</v>
      </c>
      <c r="CJ255" s="14">
        <f>[1]Sheet2!BN254</f>
        <v>0</v>
      </c>
      <c r="CK255" s="14">
        <f>[1]Sheet2!BO254</f>
        <v>0</v>
      </c>
      <c r="CL255" s="14">
        <f>[1]Sheet2!BP254</f>
        <v>0</v>
      </c>
      <c r="CM255" s="14">
        <f>[1]Sheet2!BQ254</f>
        <v>0</v>
      </c>
      <c r="CN255" s="16">
        <f>Demand_SW!B$11/30</f>
        <v>144.23076923076923</v>
      </c>
      <c r="CO255" s="16">
        <f>Demand_SW!C$11/30</f>
        <v>0</v>
      </c>
      <c r="CP255" s="16">
        <f>Demand_SW!D$11/30</f>
        <v>0</v>
      </c>
      <c r="CQ255" s="16">
        <f>Demand_SW!E$11/30</f>
        <v>0</v>
      </c>
      <c r="CR255" s="16">
        <f>Demand_SW!F$11/30</f>
        <v>0</v>
      </c>
      <c r="CS255" s="16">
        <f>Demand_SW!G$11/30</f>
        <v>144.23076923076923</v>
      </c>
      <c r="CT255" s="16">
        <f>Demand_SW!H$11/30</f>
        <v>0</v>
      </c>
      <c r="CU255" s="16">
        <f>Demand_SW!I$11/30</f>
        <v>0</v>
      </c>
      <c r="CV255" s="16">
        <f>Demand_SW!J$11/30</f>
        <v>0</v>
      </c>
      <c r="CW255" s="16">
        <f>Demand_SW!K$11/30</f>
        <v>0</v>
      </c>
      <c r="CX255" s="16">
        <f t="shared" si="116"/>
        <v>-29018.846153846192</v>
      </c>
      <c r="CY255" s="16">
        <f t="shared" si="117"/>
        <v>76.923076923077133</v>
      </c>
      <c r="CZ255" s="16">
        <f t="shared" si="118"/>
        <v>0</v>
      </c>
      <c r="DA255" s="16">
        <f t="shared" si="119"/>
        <v>0</v>
      </c>
      <c r="DB255" s="16">
        <f t="shared" si="120"/>
        <v>0</v>
      </c>
      <c r="DC255" s="16">
        <f t="shared" si="121"/>
        <v>-28548.076923076962</v>
      </c>
      <c r="DD255" s="16">
        <f t="shared" si="122"/>
        <v>76.923076923077133</v>
      </c>
      <c r="DE255" s="16">
        <f t="shared" si="123"/>
        <v>0</v>
      </c>
      <c r="DF255" s="16">
        <f t="shared" si="124"/>
        <v>0</v>
      </c>
      <c r="DG255" s="16">
        <f t="shared" si="125"/>
        <v>0</v>
      </c>
      <c r="DH255" s="14">
        <f>IF([1]Sheet2!DS254=999999,"NA",[1]Sheet2!DS254)</f>
        <v>0</v>
      </c>
      <c r="DI255" s="14">
        <f>IF([1]Sheet2!DT254=999999,"NA",[1]Sheet2!DT254)</f>
        <v>113</v>
      </c>
      <c r="DJ255" s="14" t="str">
        <f>IF([1]Sheet2!DU254=999999,"NA",[1]Sheet2!DU254)</f>
        <v>NA</v>
      </c>
      <c r="DK255" s="14" t="str">
        <f>IF([1]Sheet2!DV254=999999,"NA",[1]Sheet2!DV254)</f>
        <v>NA</v>
      </c>
      <c r="DL255" s="14" t="str">
        <f>IF([1]Sheet2!DW254=999999,"NA",[1]Sheet2!DW254)</f>
        <v>NA</v>
      </c>
      <c r="DM255" s="14">
        <f>IF([1]Sheet2!DX254=999999,"NA",[1]Sheet2!DX254)</f>
        <v>0</v>
      </c>
      <c r="DN255" s="14">
        <f>IF([1]Sheet2!DY254=999999,"NA",[1]Sheet2!DY254)</f>
        <v>113</v>
      </c>
      <c r="DO255" s="14" t="str">
        <f>IF([1]Sheet2!DZ254=999999,"NA",[1]Sheet2!DZ254)</f>
        <v>NA</v>
      </c>
      <c r="DP255" s="14" t="str">
        <f>IF([1]Sheet2!EA254=999999,"NA",[1]Sheet2!EA254)</f>
        <v>NA</v>
      </c>
      <c r="DQ255" s="14" t="str">
        <f>IF([1]Sheet2!EB254=999999,"NA",[1]Sheet2!EB254)</f>
        <v>NA</v>
      </c>
      <c r="DR255" s="14">
        <f>[1]Sheet2!CY254</f>
        <v>0</v>
      </c>
      <c r="DS255" s="14">
        <f>[1]Sheet2!CZ254</f>
        <v>0</v>
      </c>
      <c r="DT255" s="14">
        <f>[1]Sheet2!DA254</f>
        <v>0</v>
      </c>
      <c r="DU255" s="14">
        <f>[1]Sheet2!DB254</f>
        <v>0</v>
      </c>
      <c r="DV255" s="14">
        <f>[1]Sheet2!DC254</f>
        <v>0</v>
      </c>
      <c r="DW255" s="14">
        <f>[1]Sheet2!DD254</f>
        <v>0</v>
      </c>
      <c r="DX255" s="14">
        <f>[1]Sheet2!DE254</f>
        <v>0</v>
      </c>
      <c r="DY255" s="14">
        <f>[1]Sheet2!DF254</f>
        <v>0</v>
      </c>
      <c r="DZ255" s="14">
        <f>[1]Sheet2!DG254</f>
        <v>0</v>
      </c>
      <c r="EA255" s="14">
        <f>[1]Sheet2!DH254</f>
        <v>0</v>
      </c>
      <c r="EB255" s="6">
        <f>[1]Sheet2!EC254</f>
        <v>0</v>
      </c>
      <c r="EC255" s="6">
        <f>[1]Sheet2!ED254</f>
        <v>0</v>
      </c>
      <c r="ED255" s="6">
        <f>[1]Sheet2!EE254</f>
        <v>0</v>
      </c>
      <c r="EE255" s="6">
        <f>[1]Sheet2!EF254</f>
        <v>0</v>
      </c>
      <c r="EF255" s="6">
        <f>[1]Sheet2!EG254</f>
        <v>0</v>
      </c>
      <c r="EG255" s="6">
        <f>[1]Sheet2!EH254</f>
        <v>0</v>
      </c>
      <c r="EH255" s="6">
        <f>[1]Sheet2!EI254</f>
        <v>0</v>
      </c>
      <c r="EI255" s="6">
        <f>[1]Sheet2!EJ254</f>
        <v>0</v>
      </c>
      <c r="EJ255" s="6">
        <f>[1]Sheet2!EK254</f>
        <v>0</v>
      </c>
      <c r="EK255" s="6">
        <f>[1]Sheet2!EL254</f>
        <v>0</v>
      </c>
      <c r="EL255" s="6" t="str">
        <f>[1]Sheet2!EM254</f>
        <v/>
      </c>
      <c r="EM255" s="6" t="str">
        <f>[1]Sheet2!EN254</f>
        <v/>
      </c>
      <c r="EN255" s="6" t="str">
        <f>[1]Sheet2!EO254</f>
        <v/>
      </c>
      <c r="EO255" s="6" t="str">
        <f>[1]Sheet2!EP254</f>
        <v/>
      </c>
      <c r="EP255" s="6" t="str">
        <f>[1]Sheet2!EQ254</f>
        <v/>
      </c>
      <c r="EQ255" s="6" t="str">
        <f>[1]Sheet2!ER254</f>
        <v/>
      </c>
      <c r="ER255" s="6" t="str">
        <f>[1]Sheet2!ES254</f>
        <v/>
      </c>
      <c r="ES255" s="6" t="str">
        <f>[1]Sheet2!ET254</f>
        <v/>
      </c>
      <c r="ET255" s="6" t="str">
        <f>[1]Sheet2!EU254</f>
        <v/>
      </c>
      <c r="EU255" s="6" t="str">
        <f>[1]Sheet2!EV254</f>
        <v/>
      </c>
      <c r="EV255" s="6" t="str">
        <f>[1]Sheet2!EW254</f>
        <v/>
      </c>
      <c r="EW255" s="6" t="str">
        <f>[1]Sheet2!EX254</f>
        <v/>
      </c>
      <c r="EX255" s="6" t="str">
        <f>[1]Sheet2!EY254</f>
        <v/>
      </c>
      <c r="EY255" s="6" t="str">
        <f>[1]Sheet2!EZ254</f>
        <v/>
      </c>
      <c r="EZ255" s="6" t="str">
        <f>[1]Sheet2!FA254</f>
        <v/>
      </c>
      <c r="FA255" s="6" t="str">
        <f>[1]Sheet2!FB254</f>
        <v/>
      </c>
      <c r="FB255" s="6" t="str">
        <f>[1]Sheet2!FC254</f>
        <v/>
      </c>
      <c r="FC255" s="6" t="str">
        <f>[1]Sheet2!FD254</f>
        <v/>
      </c>
      <c r="FD255" s="6" t="str">
        <f>[1]Sheet2!FE254</f>
        <v/>
      </c>
      <c r="FE255" s="6" t="str">
        <f>[1]Sheet2!FF254</f>
        <v/>
      </c>
      <c r="FF255" s="6" t="str">
        <f>[1]Sheet2!FG254</f>
        <v/>
      </c>
      <c r="FG255" s="6" t="str">
        <f>[1]Sheet2!FH254</f>
        <v/>
      </c>
      <c r="FH255" s="6" t="str">
        <f>[1]Sheet2!FI254</f>
        <v/>
      </c>
      <c r="FI255" s="6" t="str">
        <f>[1]Sheet2!FJ254</f>
        <v/>
      </c>
      <c r="FJ255" s="6" t="str">
        <f>[1]Sheet2!FK254</f>
        <v/>
      </c>
      <c r="FK255" s="6" t="str">
        <f>[1]Sheet2!FL254</f>
        <v/>
      </c>
      <c r="FL255" s="6" t="str">
        <f>[1]Sheet2!FM254</f>
        <v/>
      </c>
      <c r="FM255" s="6" t="str">
        <f>[1]Sheet2!FN254</f>
        <v/>
      </c>
      <c r="FN255" s="6" t="str">
        <f>[1]Sheet2!FO254</f>
        <v/>
      </c>
      <c r="FO255" s="6" t="str">
        <f>[1]Sheet2!FP254</f>
        <v/>
      </c>
    </row>
    <row r="256" spans="1:171" s="27" customFormat="1" x14ac:dyDescent="0.25">
      <c r="A256" s="23">
        <v>43718</v>
      </c>
      <c r="B256" s="24"/>
      <c r="C256" s="24"/>
      <c r="D256" s="24"/>
      <c r="E256" s="25">
        <f>[1]Sheet2!N255</f>
        <v>0</v>
      </c>
      <c r="F256" s="25">
        <f>[1]Sheet2!BE255</f>
        <v>0</v>
      </c>
      <c r="G256" s="25">
        <f>[1]Sheet2!CW255</f>
        <v>0</v>
      </c>
      <c r="H256" s="24"/>
      <c r="I256" s="24"/>
      <c r="J256" s="24"/>
      <c r="K256" s="26"/>
      <c r="L256" s="26">
        <f>Demand_CWRS!B$11/30</f>
        <v>118.04546474358973</v>
      </c>
      <c r="M256" s="26">
        <f>Demand_CWRS!C$11/30</f>
        <v>491.39401709401704</v>
      </c>
      <c r="N256" s="26">
        <f>Demand_CWRS!D$11/30</f>
        <v>0</v>
      </c>
      <c r="O256" s="26">
        <f>Demand_CWRS!E$11/30</f>
        <v>107.84935897435898</v>
      </c>
      <c r="P256" s="26">
        <f>Demand_CWRS!F$11/30</f>
        <v>218.22274305555553</v>
      </c>
      <c r="Q256" s="26">
        <f>Demand_CWRS!G$11/30</f>
        <v>118.04546474358973</v>
      </c>
      <c r="R256" s="26">
        <f>Demand_CWRS!H$11/30</f>
        <v>218.22274305555553</v>
      </c>
      <c r="S256" s="26">
        <f>Demand_CWRS!I$11/30</f>
        <v>218.22274305555553</v>
      </c>
      <c r="T256" s="26">
        <f>Demand_CWRS!J$11/30</f>
        <v>218.22274305555553</v>
      </c>
      <c r="U256" s="26">
        <f>Demand_CWRS!K$11/30</f>
        <v>218.22274305555553</v>
      </c>
      <c r="V256" s="26">
        <f t="shared" si="96"/>
        <v>-31548.086857909289</v>
      </c>
      <c r="W256" s="26">
        <f t="shared" si="97"/>
        <v>-125019.77350427315</v>
      </c>
      <c r="X256" s="26">
        <f t="shared" si="98"/>
        <v>0</v>
      </c>
      <c r="Y256" s="26">
        <f t="shared" si="99"/>
        <v>-23366.488088282993</v>
      </c>
      <c r="Z256" s="26">
        <f t="shared" si="100"/>
        <v>-54892.751682016118</v>
      </c>
      <c r="AA256" s="26">
        <f t="shared" si="101"/>
        <v>-30076.154333870898</v>
      </c>
      <c r="AB256" s="26">
        <f t="shared" si="102"/>
        <v>-59201.916457657077</v>
      </c>
      <c r="AC256" s="26">
        <f t="shared" si="103"/>
        <v>-53408.906201246886</v>
      </c>
      <c r="AD256" s="26">
        <f t="shared" si="104"/>
        <v>-53508.906201246878</v>
      </c>
      <c r="AE256" s="26">
        <f t="shared" si="105"/>
        <v>-54108.906201246871</v>
      </c>
      <c r="AF256" s="25">
        <f>IF([1]Sheet2!AJ255=999999,"NA",[1]Sheet2!AJ255)</f>
        <v>0</v>
      </c>
      <c r="AG256" s="25">
        <f>IF([1]Sheet2!AK255=999999,"NA",[1]Sheet2!AK255)</f>
        <v>0</v>
      </c>
      <c r="AH256" s="25" t="str">
        <f>IF([1]Sheet2!AL255=999999,"NA",[1]Sheet2!AL255)</f>
        <v>NA</v>
      </c>
      <c r="AI256" s="25">
        <f>IF([1]Sheet2!AM255=999999,"NA",[1]Sheet2!AM255)</f>
        <v>0</v>
      </c>
      <c r="AJ256" s="25">
        <f>IF([1]Sheet2!AN255=999999,"NA",[1]Sheet2!AN255)</f>
        <v>0</v>
      </c>
      <c r="AK256" s="25">
        <f>IF([1]Sheet2!AO255=999999,"NA",[1]Sheet2!AO255)</f>
        <v>0</v>
      </c>
      <c r="AL256" s="25">
        <f>IF([1]Sheet2!AP255=999999,"NA",[1]Sheet2!AP255)</f>
        <v>0</v>
      </c>
      <c r="AM256" s="25">
        <f>IF([1]Sheet2!AQ255=999999,"NA",[1]Sheet2!AQ255)</f>
        <v>0</v>
      </c>
      <c r="AN256" s="25">
        <f>IF([1]Sheet2!AR255=999999,"NA",[1]Sheet2!AR255)</f>
        <v>0</v>
      </c>
      <c r="AO256" s="25">
        <f>IF([1]Sheet2!AS255=999999,"NA",[1]Sheet2!AS255)</f>
        <v>0</v>
      </c>
      <c r="AP256" s="25">
        <f>[1]Sheet2!P255</f>
        <v>0</v>
      </c>
      <c r="AQ256" s="25">
        <f>[1]Sheet2!Q255</f>
        <v>0</v>
      </c>
      <c r="AR256" s="25">
        <f>[1]Sheet2!R255</f>
        <v>0</v>
      </c>
      <c r="AS256" s="25">
        <f>[1]Sheet2!S255</f>
        <v>0</v>
      </c>
      <c r="AT256" s="25">
        <f>[1]Sheet2!T255</f>
        <v>0</v>
      </c>
      <c r="AU256" s="25">
        <f>[1]Sheet2!U255</f>
        <v>0</v>
      </c>
      <c r="AV256" s="25">
        <f>[1]Sheet2!V255</f>
        <v>0</v>
      </c>
      <c r="AW256" s="25">
        <f>[1]Sheet2!W255</f>
        <v>0</v>
      </c>
      <c r="AX256" s="25">
        <f>[1]Sheet2!X255</f>
        <v>0</v>
      </c>
      <c r="AY256" s="25">
        <f>[1]Sheet2!Y255</f>
        <v>0</v>
      </c>
      <c r="AZ256" s="26">
        <f>Demand_LP!B$11/30</f>
        <v>902.60591613247857</v>
      </c>
      <c r="BA256" s="26">
        <f>Demand_LP!C$11/30</f>
        <v>593.76410256410259</v>
      </c>
      <c r="BB256" s="26">
        <f>Demand_LP!D$11/30</f>
        <v>290.27136752136749</v>
      </c>
      <c r="BC256" s="26">
        <f>Demand_LP!E$11/30</f>
        <v>790.42628205128199</v>
      </c>
      <c r="BD256" s="26">
        <f>Demand_LP!F$11/30</f>
        <v>538.46224626068363</v>
      </c>
      <c r="BE256" s="26">
        <f>Demand_LP!G$11/30</f>
        <v>538.46224626068363</v>
      </c>
      <c r="BF256" s="26">
        <f>Demand_LP!H$11/30</f>
        <v>593.76410256410259</v>
      </c>
      <c r="BG256" s="26">
        <f>Demand_LP!I$11/30</f>
        <v>538.46224626068363</v>
      </c>
      <c r="BH256" s="26">
        <f>Demand_LP!J$11/30</f>
        <v>538.46224626068363</v>
      </c>
      <c r="BI256" s="26">
        <f>Demand_LP!K$11/30</f>
        <v>538.46224626068363</v>
      </c>
      <c r="BJ256" s="26">
        <f t="shared" si="106"/>
        <v>-189011.62056493727</v>
      </c>
      <c r="BK256" s="26">
        <f t="shared" si="107"/>
        <v>-145080.78205128197</v>
      </c>
      <c r="BL256" s="26">
        <f t="shared" si="108"/>
        <v>-70493.313675213765</v>
      </c>
      <c r="BM256" s="26">
        <f t="shared" si="109"/>
        <v>-184734.94485556579</v>
      </c>
      <c r="BN256" s="26">
        <f t="shared" si="110"/>
        <v>-110186.79256667221</v>
      </c>
      <c r="BO256" s="26">
        <f t="shared" si="111"/>
        <v>-108644.47648504295</v>
      </c>
      <c r="BP256" s="26">
        <f t="shared" si="112"/>
        <v>-139438.36153846132</v>
      </c>
      <c r="BQ256" s="26">
        <f t="shared" si="113"/>
        <v>-108644.47648504295</v>
      </c>
      <c r="BR256" s="26">
        <f t="shared" si="114"/>
        <v>-106244.47648504299</v>
      </c>
      <c r="BS256" s="26">
        <f t="shared" si="115"/>
        <v>-106944.47648504298</v>
      </c>
      <c r="BT256" s="25">
        <f>IF([1]Sheet2!CB255=999999,"NA",[1]Sheet2!CB255)</f>
        <v>0</v>
      </c>
      <c r="BU256" s="25">
        <f>IF([1]Sheet2!CC255=999999,"NA",[1]Sheet2!CC255)</f>
        <v>0</v>
      </c>
      <c r="BV256" s="25">
        <f>IF([1]Sheet2!CD255=999999,"NA",[1]Sheet2!CD255)</f>
        <v>0</v>
      </c>
      <c r="BW256" s="25">
        <f>IF([1]Sheet2!CE255=999999,"NA",[1]Sheet2!CE255)</f>
        <v>0</v>
      </c>
      <c r="BX256" s="25">
        <f>IF([1]Sheet2!CF255=999999,"NA",[1]Sheet2!CF255)</f>
        <v>0</v>
      </c>
      <c r="BY256" s="25">
        <f>IF([1]Sheet2!CG255=999999,"NA",[1]Sheet2!CG255)</f>
        <v>0</v>
      </c>
      <c r="BZ256" s="25">
        <f>IF([1]Sheet2!CH255=999999,"NA",[1]Sheet2!CH255)</f>
        <v>0</v>
      </c>
      <c r="CA256" s="25">
        <f>IF([1]Sheet2!CI255=999999,"NA",[1]Sheet2!CI255)</f>
        <v>0</v>
      </c>
      <c r="CB256" s="25">
        <f>IF([1]Sheet2!CJ255=999999,"NA",[1]Sheet2!CJ255)</f>
        <v>0</v>
      </c>
      <c r="CC256" s="25">
        <f>IF([1]Sheet2!CK255=999999,"NA",[1]Sheet2!CK255)</f>
        <v>0</v>
      </c>
      <c r="CD256" s="25">
        <f>[1]Sheet2!BH255</f>
        <v>0</v>
      </c>
      <c r="CE256" s="25">
        <f>[1]Sheet2!BI255</f>
        <v>0</v>
      </c>
      <c r="CF256" s="25">
        <f>[1]Sheet2!BJ255</f>
        <v>0</v>
      </c>
      <c r="CG256" s="25">
        <f>[1]Sheet2!BK255</f>
        <v>0</v>
      </c>
      <c r="CH256" s="25">
        <f>[1]Sheet2!BL255</f>
        <v>0</v>
      </c>
      <c r="CI256" s="25">
        <f>[1]Sheet2!BM255</f>
        <v>0</v>
      </c>
      <c r="CJ256" s="25">
        <f>[1]Sheet2!BN255</f>
        <v>0</v>
      </c>
      <c r="CK256" s="25">
        <f>[1]Sheet2!BO255</f>
        <v>0</v>
      </c>
      <c r="CL256" s="25">
        <f>[1]Sheet2!BP255</f>
        <v>0</v>
      </c>
      <c r="CM256" s="25">
        <f>[1]Sheet2!BQ255</f>
        <v>0</v>
      </c>
      <c r="CN256" s="26">
        <f>Demand_SW!B$11/30</f>
        <v>144.23076923076923</v>
      </c>
      <c r="CO256" s="26">
        <f>Demand_SW!C$11/30</f>
        <v>0</v>
      </c>
      <c r="CP256" s="26">
        <f>Demand_SW!D$11/30</f>
        <v>0</v>
      </c>
      <c r="CQ256" s="26">
        <f>Demand_SW!E$11/30</f>
        <v>0</v>
      </c>
      <c r="CR256" s="26">
        <f>Demand_SW!F$11/30</f>
        <v>0</v>
      </c>
      <c r="CS256" s="26">
        <f>Demand_SW!G$11/30</f>
        <v>144.23076923076923</v>
      </c>
      <c r="CT256" s="26">
        <f>Demand_SW!H$11/30</f>
        <v>0</v>
      </c>
      <c r="CU256" s="26">
        <f>Demand_SW!I$11/30</f>
        <v>0</v>
      </c>
      <c r="CV256" s="26">
        <f>Demand_SW!J$11/30</f>
        <v>0</v>
      </c>
      <c r="CW256" s="26">
        <f>Demand_SW!K$11/30</f>
        <v>0</v>
      </c>
      <c r="CX256" s="26">
        <f t="shared" si="116"/>
        <v>-29163.076923076962</v>
      </c>
      <c r="CY256" s="26">
        <f t="shared" si="117"/>
        <v>76.923076923077133</v>
      </c>
      <c r="CZ256" s="26">
        <f t="shared" si="118"/>
        <v>0</v>
      </c>
      <c r="DA256" s="26">
        <f t="shared" si="119"/>
        <v>0</v>
      </c>
      <c r="DB256" s="26">
        <f t="shared" si="120"/>
        <v>0</v>
      </c>
      <c r="DC256" s="26">
        <f t="shared" si="121"/>
        <v>-28692.307692307731</v>
      </c>
      <c r="DD256" s="26">
        <f t="shared" si="122"/>
        <v>76.923076923077133</v>
      </c>
      <c r="DE256" s="26">
        <f t="shared" si="123"/>
        <v>0</v>
      </c>
      <c r="DF256" s="26">
        <f t="shared" si="124"/>
        <v>0</v>
      </c>
      <c r="DG256" s="26">
        <f t="shared" si="125"/>
        <v>0</v>
      </c>
      <c r="DH256" s="25">
        <f>IF([1]Sheet2!DS255=999999,"NA",[1]Sheet2!DS255)</f>
        <v>0</v>
      </c>
      <c r="DI256" s="25">
        <f>IF([1]Sheet2!DT255=999999,"NA",[1]Sheet2!DT255)</f>
        <v>112</v>
      </c>
      <c r="DJ256" s="25" t="str">
        <f>IF([1]Sheet2!DU255=999999,"NA",[1]Sheet2!DU255)</f>
        <v>NA</v>
      </c>
      <c r="DK256" s="25" t="str">
        <f>IF([1]Sheet2!DV255=999999,"NA",[1]Sheet2!DV255)</f>
        <v>NA</v>
      </c>
      <c r="DL256" s="25" t="str">
        <f>IF([1]Sheet2!DW255=999999,"NA",[1]Sheet2!DW255)</f>
        <v>NA</v>
      </c>
      <c r="DM256" s="25">
        <f>IF([1]Sheet2!DX255=999999,"NA",[1]Sheet2!DX255)</f>
        <v>0</v>
      </c>
      <c r="DN256" s="25">
        <f>IF([1]Sheet2!DY255=999999,"NA",[1]Sheet2!DY255)</f>
        <v>112</v>
      </c>
      <c r="DO256" s="25" t="str">
        <f>IF([1]Sheet2!DZ255=999999,"NA",[1]Sheet2!DZ255)</f>
        <v>NA</v>
      </c>
      <c r="DP256" s="25" t="str">
        <f>IF([1]Sheet2!EA255=999999,"NA",[1]Sheet2!EA255)</f>
        <v>NA</v>
      </c>
      <c r="DQ256" s="25" t="str">
        <f>IF([1]Sheet2!EB255=999999,"NA",[1]Sheet2!EB255)</f>
        <v>NA</v>
      </c>
      <c r="DR256" s="25">
        <f>[1]Sheet2!CY255</f>
        <v>0</v>
      </c>
      <c r="DS256" s="25">
        <f>[1]Sheet2!CZ255</f>
        <v>0</v>
      </c>
      <c r="DT256" s="25">
        <f>[1]Sheet2!DA255</f>
        <v>0</v>
      </c>
      <c r="DU256" s="25">
        <f>[1]Sheet2!DB255</f>
        <v>0</v>
      </c>
      <c r="DV256" s="25">
        <f>[1]Sheet2!DC255</f>
        <v>0</v>
      </c>
      <c r="DW256" s="25">
        <f>[1]Sheet2!DD255</f>
        <v>0</v>
      </c>
      <c r="DX256" s="25">
        <f>[1]Sheet2!DE255</f>
        <v>0</v>
      </c>
      <c r="DY256" s="25">
        <f>[1]Sheet2!DF255</f>
        <v>0</v>
      </c>
      <c r="DZ256" s="25">
        <f>[1]Sheet2!DG255</f>
        <v>0</v>
      </c>
      <c r="EA256" s="25">
        <f>[1]Sheet2!DH255</f>
        <v>0</v>
      </c>
      <c r="EB256" s="27">
        <f>[1]Sheet2!EC255</f>
        <v>0</v>
      </c>
      <c r="EC256" s="27">
        <f>[1]Sheet2!ED255</f>
        <v>0</v>
      </c>
      <c r="ED256" s="27">
        <f>[1]Sheet2!EE255</f>
        <v>0</v>
      </c>
      <c r="EE256" s="27">
        <f>[1]Sheet2!EF255</f>
        <v>0</v>
      </c>
      <c r="EF256" s="27">
        <f>[1]Sheet2!EG255</f>
        <v>0</v>
      </c>
      <c r="EG256" s="27">
        <f>[1]Sheet2!EH255</f>
        <v>0</v>
      </c>
      <c r="EH256" s="27">
        <f>[1]Sheet2!EI255</f>
        <v>0</v>
      </c>
      <c r="EI256" s="27">
        <f>[1]Sheet2!EJ255</f>
        <v>0</v>
      </c>
      <c r="EJ256" s="27">
        <f>[1]Sheet2!EK255</f>
        <v>0</v>
      </c>
      <c r="EK256" s="27">
        <f>[1]Sheet2!EL255</f>
        <v>0</v>
      </c>
      <c r="EL256" s="27" t="str">
        <f>[1]Sheet2!EM255</f>
        <v/>
      </c>
      <c r="EM256" s="27" t="str">
        <f>[1]Sheet2!EN255</f>
        <v/>
      </c>
      <c r="EN256" s="27" t="str">
        <f>[1]Sheet2!EO255</f>
        <v/>
      </c>
      <c r="EO256" s="27" t="str">
        <f>[1]Sheet2!EP255</f>
        <v/>
      </c>
      <c r="EP256" s="27" t="str">
        <f>[1]Sheet2!EQ255</f>
        <v/>
      </c>
      <c r="EQ256" s="27" t="str">
        <f>[1]Sheet2!ER255</f>
        <v/>
      </c>
      <c r="ER256" s="27" t="str">
        <f>[1]Sheet2!ES255</f>
        <v/>
      </c>
      <c r="ES256" s="27" t="str">
        <f>[1]Sheet2!ET255</f>
        <v/>
      </c>
      <c r="ET256" s="27" t="str">
        <f>[1]Sheet2!EU255</f>
        <v/>
      </c>
      <c r="EU256" s="27" t="str">
        <f>[1]Sheet2!EV255</f>
        <v/>
      </c>
      <c r="EV256" s="27" t="str">
        <f>[1]Sheet2!EW255</f>
        <v/>
      </c>
      <c r="EW256" s="27" t="str">
        <f>[1]Sheet2!EX255</f>
        <v/>
      </c>
      <c r="EX256" s="27" t="str">
        <f>[1]Sheet2!EY255</f>
        <v/>
      </c>
      <c r="EY256" s="27" t="str">
        <f>[1]Sheet2!EZ255</f>
        <v/>
      </c>
      <c r="EZ256" s="27" t="str">
        <f>[1]Sheet2!FA255</f>
        <v/>
      </c>
      <c r="FA256" s="27" t="str">
        <f>[1]Sheet2!FB255</f>
        <v/>
      </c>
      <c r="FB256" s="27" t="str">
        <f>[1]Sheet2!FC255</f>
        <v/>
      </c>
      <c r="FC256" s="27" t="str">
        <f>[1]Sheet2!FD255</f>
        <v/>
      </c>
      <c r="FD256" s="27" t="str">
        <f>[1]Sheet2!FE255</f>
        <v/>
      </c>
      <c r="FE256" s="27" t="str">
        <f>[1]Sheet2!FF255</f>
        <v/>
      </c>
      <c r="FF256" s="27" t="str">
        <f>[1]Sheet2!FG255</f>
        <v/>
      </c>
      <c r="FG256" s="27" t="str">
        <f>[1]Sheet2!FH255</f>
        <v/>
      </c>
      <c r="FH256" s="27" t="str">
        <f>[1]Sheet2!FI255</f>
        <v/>
      </c>
      <c r="FI256" s="27" t="str">
        <f>[1]Sheet2!FJ255</f>
        <v/>
      </c>
      <c r="FJ256" s="27" t="str">
        <f>[1]Sheet2!FK255</f>
        <v/>
      </c>
      <c r="FK256" s="27" t="str">
        <f>[1]Sheet2!FL255</f>
        <v/>
      </c>
      <c r="FL256" s="27" t="str">
        <f>[1]Sheet2!FM255</f>
        <v/>
      </c>
      <c r="FM256" s="27" t="str">
        <f>[1]Sheet2!FN255</f>
        <v/>
      </c>
      <c r="FN256" s="27" t="str">
        <f>[1]Sheet2!FO255</f>
        <v/>
      </c>
      <c r="FO256" s="27" t="str">
        <f>[1]Sheet2!FP255</f>
        <v/>
      </c>
    </row>
    <row r="257" spans="1:171" s="35" customFormat="1" x14ac:dyDescent="0.25">
      <c r="A257" s="31">
        <v>43719</v>
      </c>
      <c r="B257" s="32"/>
      <c r="C257" s="32"/>
      <c r="D257" s="32"/>
      <c r="E257" s="33">
        <f>[1]Sheet2!N256</f>
        <v>0</v>
      </c>
      <c r="F257" s="33">
        <f>[1]Sheet2!BE256</f>
        <v>0</v>
      </c>
      <c r="G257" s="33">
        <f>[1]Sheet2!CW256</f>
        <v>0</v>
      </c>
      <c r="H257" s="32"/>
      <c r="I257" s="32"/>
      <c r="J257" s="32"/>
      <c r="K257" s="34"/>
      <c r="L257" s="34">
        <f>Demand_CWRS!B$11/30</f>
        <v>118.04546474358973</v>
      </c>
      <c r="M257" s="34">
        <f>Demand_CWRS!C$11/30</f>
        <v>491.39401709401704</v>
      </c>
      <c r="N257" s="34">
        <f>Demand_CWRS!D$11/30</f>
        <v>0</v>
      </c>
      <c r="O257" s="34">
        <f>Demand_CWRS!E$11/30</f>
        <v>107.84935897435898</v>
      </c>
      <c r="P257" s="34">
        <f>Demand_CWRS!F$11/30</f>
        <v>218.22274305555553</v>
      </c>
      <c r="Q257" s="34">
        <f>Demand_CWRS!G$11/30</f>
        <v>118.04546474358973</v>
      </c>
      <c r="R257" s="34">
        <f>Demand_CWRS!H$11/30</f>
        <v>218.22274305555553</v>
      </c>
      <c r="S257" s="34">
        <f>Demand_CWRS!I$11/30</f>
        <v>218.22274305555553</v>
      </c>
      <c r="T257" s="34">
        <f>Demand_CWRS!J$11/30</f>
        <v>218.22274305555553</v>
      </c>
      <c r="U257" s="34">
        <f>Demand_CWRS!K$11/30</f>
        <v>218.22274305555553</v>
      </c>
      <c r="V257" s="34">
        <f t="shared" si="96"/>
        <v>-31666.13232265288</v>
      </c>
      <c r="W257" s="34">
        <f t="shared" si="97"/>
        <v>-125511.16752136717</v>
      </c>
      <c r="X257" s="34">
        <f t="shared" si="98"/>
        <v>0</v>
      </c>
      <c r="Y257" s="34">
        <f t="shared" si="99"/>
        <v>-23474.337447257352</v>
      </c>
      <c r="Z257" s="34">
        <f t="shared" si="100"/>
        <v>-55110.974425071676</v>
      </c>
      <c r="AA257" s="34">
        <f t="shared" si="101"/>
        <v>-30194.199798614489</v>
      </c>
      <c r="AB257" s="34">
        <f t="shared" si="102"/>
        <v>-59420.139200712634</v>
      </c>
      <c r="AC257" s="34">
        <f t="shared" si="103"/>
        <v>-53627.128944302443</v>
      </c>
      <c r="AD257" s="34">
        <f t="shared" si="104"/>
        <v>-53727.128944302436</v>
      </c>
      <c r="AE257" s="34">
        <f t="shared" si="105"/>
        <v>-54327.128944302429</v>
      </c>
      <c r="AF257" s="33">
        <f>IF([1]Sheet2!AJ256=999999,"NA",[1]Sheet2!AJ256)</f>
        <v>0</v>
      </c>
      <c r="AG257" s="33">
        <f>IF([1]Sheet2!AK256=999999,"NA",[1]Sheet2!AK256)</f>
        <v>0</v>
      </c>
      <c r="AH257" s="33" t="str">
        <f>IF([1]Sheet2!AL256=999999,"NA",[1]Sheet2!AL256)</f>
        <v>NA</v>
      </c>
      <c r="AI257" s="33">
        <f>IF([1]Sheet2!AM256=999999,"NA",[1]Sheet2!AM256)</f>
        <v>0</v>
      </c>
      <c r="AJ257" s="33">
        <f>IF([1]Sheet2!AN256=999999,"NA",[1]Sheet2!AN256)</f>
        <v>0</v>
      </c>
      <c r="AK257" s="33">
        <f>IF([1]Sheet2!AO256=999999,"NA",[1]Sheet2!AO256)</f>
        <v>0</v>
      </c>
      <c r="AL257" s="33">
        <f>IF([1]Sheet2!AP256=999999,"NA",[1]Sheet2!AP256)</f>
        <v>0</v>
      </c>
      <c r="AM257" s="33">
        <f>IF([1]Sheet2!AQ256=999999,"NA",[1]Sheet2!AQ256)</f>
        <v>0</v>
      </c>
      <c r="AN257" s="33">
        <f>IF([1]Sheet2!AR256=999999,"NA",[1]Sheet2!AR256)</f>
        <v>0</v>
      </c>
      <c r="AO257" s="33">
        <f>IF([1]Sheet2!AS256=999999,"NA",[1]Sheet2!AS256)</f>
        <v>0</v>
      </c>
      <c r="AP257" s="33">
        <f>[1]Sheet2!P256</f>
        <v>0</v>
      </c>
      <c r="AQ257" s="33">
        <f>[1]Sheet2!Q256</f>
        <v>0</v>
      </c>
      <c r="AR257" s="33">
        <f>[1]Sheet2!R256</f>
        <v>0</v>
      </c>
      <c r="AS257" s="33">
        <f>[1]Sheet2!S256</f>
        <v>0</v>
      </c>
      <c r="AT257" s="33">
        <f>[1]Sheet2!T256</f>
        <v>0</v>
      </c>
      <c r="AU257" s="33">
        <f>[1]Sheet2!U256</f>
        <v>0</v>
      </c>
      <c r="AV257" s="33">
        <f>[1]Sheet2!V256</f>
        <v>0</v>
      </c>
      <c r="AW257" s="33">
        <f>[1]Sheet2!W256</f>
        <v>0</v>
      </c>
      <c r="AX257" s="33">
        <f>[1]Sheet2!X256</f>
        <v>0</v>
      </c>
      <c r="AY257" s="33">
        <f>[1]Sheet2!Y256</f>
        <v>0</v>
      </c>
      <c r="AZ257" s="34">
        <f>Demand_LP!B$11/30</f>
        <v>902.60591613247857</v>
      </c>
      <c r="BA257" s="34">
        <f>Demand_LP!C$11/30</f>
        <v>593.76410256410259</v>
      </c>
      <c r="BB257" s="34">
        <f>Demand_LP!D$11/30</f>
        <v>290.27136752136749</v>
      </c>
      <c r="BC257" s="34">
        <f>Demand_LP!E$11/30</f>
        <v>790.42628205128199</v>
      </c>
      <c r="BD257" s="34">
        <f>Demand_LP!F$11/30</f>
        <v>538.46224626068363</v>
      </c>
      <c r="BE257" s="34">
        <f>Demand_LP!G$11/30</f>
        <v>538.46224626068363</v>
      </c>
      <c r="BF257" s="34">
        <f>Demand_LP!H$11/30</f>
        <v>593.76410256410259</v>
      </c>
      <c r="BG257" s="34">
        <f>Demand_LP!I$11/30</f>
        <v>538.46224626068363</v>
      </c>
      <c r="BH257" s="34">
        <f>Demand_LP!J$11/30</f>
        <v>538.46224626068363</v>
      </c>
      <c r="BI257" s="34">
        <f>Demand_LP!K$11/30</f>
        <v>538.46224626068363</v>
      </c>
      <c r="BJ257" s="34">
        <f t="shared" si="106"/>
        <v>-189914.22648106975</v>
      </c>
      <c r="BK257" s="34">
        <f t="shared" si="107"/>
        <v>-145674.54615384608</v>
      </c>
      <c r="BL257" s="34">
        <f t="shared" si="108"/>
        <v>-70783.58504273514</v>
      </c>
      <c r="BM257" s="34">
        <f t="shared" si="109"/>
        <v>-185525.37113761707</v>
      </c>
      <c r="BN257" s="34">
        <f t="shared" si="110"/>
        <v>-110725.25481293289</v>
      </c>
      <c r="BO257" s="34">
        <f t="shared" si="111"/>
        <v>-109182.93873130363</v>
      </c>
      <c r="BP257" s="34">
        <f t="shared" si="112"/>
        <v>-140032.12564102543</v>
      </c>
      <c r="BQ257" s="34">
        <f t="shared" si="113"/>
        <v>-109182.93873130363</v>
      </c>
      <c r="BR257" s="34">
        <f t="shared" si="114"/>
        <v>-106782.93873130367</v>
      </c>
      <c r="BS257" s="34">
        <f t="shared" si="115"/>
        <v>-107482.93873130366</v>
      </c>
      <c r="BT257" s="33">
        <f>IF([1]Sheet2!CB256=999999,"NA",[1]Sheet2!CB256)</f>
        <v>0</v>
      </c>
      <c r="BU257" s="33">
        <f>IF([1]Sheet2!CC256=999999,"NA",[1]Sheet2!CC256)</f>
        <v>0</v>
      </c>
      <c r="BV257" s="33">
        <f>IF([1]Sheet2!CD256=999999,"NA",[1]Sheet2!CD256)</f>
        <v>0</v>
      </c>
      <c r="BW257" s="33">
        <f>IF([1]Sheet2!CE256=999999,"NA",[1]Sheet2!CE256)</f>
        <v>0</v>
      </c>
      <c r="BX257" s="33">
        <f>IF([1]Sheet2!CF256=999999,"NA",[1]Sheet2!CF256)</f>
        <v>0</v>
      </c>
      <c r="BY257" s="33">
        <f>IF([1]Sheet2!CG256=999999,"NA",[1]Sheet2!CG256)</f>
        <v>0</v>
      </c>
      <c r="BZ257" s="33">
        <f>IF([1]Sheet2!CH256=999999,"NA",[1]Sheet2!CH256)</f>
        <v>0</v>
      </c>
      <c r="CA257" s="33">
        <f>IF([1]Sheet2!CI256=999999,"NA",[1]Sheet2!CI256)</f>
        <v>0</v>
      </c>
      <c r="CB257" s="33">
        <f>IF([1]Sheet2!CJ256=999999,"NA",[1]Sheet2!CJ256)</f>
        <v>0</v>
      </c>
      <c r="CC257" s="33">
        <f>IF([1]Sheet2!CK256=999999,"NA",[1]Sheet2!CK256)</f>
        <v>0</v>
      </c>
      <c r="CD257" s="33">
        <f>[1]Sheet2!BH256</f>
        <v>0</v>
      </c>
      <c r="CE257" s="33">
        <f>[1]Sheet2!BI256</f>
        <v>0</v>
      </c>
      <c r="CF257" s="33">
        <f>[1]Sheet2!BJ256</f>
        <v>0</v>
      </c>
      <c r="CG257" s="33">
        <f>[1]Sheet2!BK256</f>
        <v>0</v>
      </c>
      <c r="CH257" s="33">
        <f>[1]Sheet2!BL256</f>
        <v>0</v>
      </c>
      <c r="CI257" s="33">
        <f>[1]Sheet2!BM256</f>
        <v>0</v>
      </c>
      <c r="CJ257" s="33">
        <f>[1]Sheet2!BN256</f>
        <v>0</v>
      </c>
      <c r="CK257" s="33">
        <f>[1]Sheet2!BO256</f>
        <v>0</v>
      </c>
      <c r="CL257" s="33">
        <f>[1]Sheet2!BP256</f>
        <v>0</v>
      </c>
      <c r="CM257" s="33">
        <f>[1]Sheet2!BQ256</f>
        <v>0</v>
      </c>
      <c r="CN257" s="34">
        <f>Demand_SW!B$11/30</f>
        <v>144.23076923076923</v>
      </c>
      <c r="CO257" s="34">
        <f>Demand_SW!C$11/30</f>
        <v>0</v>
      </c>
      <c r="CP257" s="34">
        <f>Demand_SW!D$11/30</f>
        <v>0</v>
      </c>
      <c r="CQ257" s="34">
        <f>Demand_SW!E$11/30</f>
        <v>0</v>
      </c>
      <c r="CR257" s="34">
        <f>Demand_SW!F$11/30</f>
        <v>0</v>
      </c>
      <c r="CS257" s="34">
        <f>Demand_SW!G$11/30</f>
        <v>144.23076923076923</v>
      </c>
      <c r="CT257" s="34">
        <f>Demand_SW!H$11/30</f>
        <v>0</v>
      </c>
      <c r="CU257" s="34">
        <f>Demand_SW!I$11/30</f>
        <v>0</v>
      </c>
      <c r="CV257" s="34">
        <f>Demand_SW!J$11/30</f>
        <v>0</v>
      </c>
      <c r="CW257" s="34">
        <f>Demand_SW!K$11/30</f>
        <v>0</v>
      </c>
      <c r="CX257" s="34">
        <f t="shared" si="116"/>
        <v>-29307.307692307731</v>
      </c>
      <c r="CY257" s="34">
        <f t="shared" si="117"/>
        <v>76.923076923077133</v>
      </c>
      <c r="CZ257" s="34">
        <f t="shared" si="118"/>
        <v>0</v>
      </c>
      <c r="DA257" s="34">
        <f t="shared" si="119"/>
        <v>0</v>
      </c>
      <c r="DB257" s="34">
        <f t="shared" si="120"/>
        <v>0</v>
      </c>
      <c r="DC257" s="34">
        <f t="shared" si="121"/>
        <v>-28836.538461538501</v>
      </c>
      <c r="DD257" s="34">
        <f t="shared" si="122"/>
        <v>76.923076923077133</v>
      </c>
      <c r="DE257" s="34">
        <f t="shared" si="123"/>
        <v>0</v>
      </c>
      <c r="DF257" s="34">
        <f t="shared" si="124"/>
        <v>0</v>
      </c>
      <c r="DG257" s="34">
        <f t="shared" si="125"/>
        <v>0</v>
      </c>
      <c r="DH257" s="33">
        <f>IF([1]Sheet2!DS256=999999,"NA",[1]Sheet2!DS256)</f>
        <v>0</v>
      </c>
      <c r="DI257" s="33">
        <f>IF([1]Sheet2!DT256=999999,"NA",[1]Sheet2!DT256)</f>
        <v>111</v>
      </c>
      <c r="DJ257" s="33" t="str">
        <f>IF([1]Sheet2!DU256=999999,"NA",[1]Sheet2!DU256)</f>
        <v>NA</v>
      </c>
      <c r="DK257" s="33" t="str">
        <f>IF([1]Sheet2!DV256=999999,"NA",[1]Sheet2!DV256)</f>
        <v>NA</v>
      </c>
      <c r="DL257" s="33" t="str">
        <f>IF([1]Sheet2!DW256=999999,"NA",[1]Sheet2!DW256)</f>
        <v>NA</v>
      </c>
      <c r="DM257" s="33">
        <f>IF([1]Sheet2!DX256=999999,"NA",[1]Sheet2!DX256)</f>
        <v>0</v>
      </c>
      <c r="DN257" s="33">
        <f>IF([1]Sheet2!DY256=999999,"NA",[1]Sheet2!DY256)</f>
        <v>111</v>
      </c>
      <c r="DO257" s="33" t="str">
        <f>IF([1]Sheet2!DZ256=999999,"NA",[1]Sheet2!DZ256)</f>
        <v>NA</v>
      </c>
      <c r="DP257" s="33" t="str">
        <f>IF([1]Sheet2!EA256=999999,"NA",[1]Sheet2!EA256)</f>
        <v>NA</v>
      </c>
      <c r="DQ257" s="33" t="str">
        <f>IF([1]Sheet2!EB256=999999,"NA",[1]Sheet2!EB256)</f>
        <v>NA</v>
      </c>
      <c r="DR257" s="33">
        <f>[1]Sheet2!CY256</f>
        <v>0</v>
      </c>
      <c r="DS257" s="33">
        <f>[1]Sheet2!CZ256</f>
        <v>0</v>
      </c>
      <c r="DT257" s="33">
        <f>[1]Sheet2!DA256</f>
        <v>0</v>
      </c>
      <c r="DU257" s="33">
        <f>[1]Sheet2!DB256</f>
        <v>0</v>
      </c>
      <c r="DV257" s="33">
        <f>[1]Sheet2!DC256</f>
        <v>0</v>
      </c>
      <c r="DW257" s="33">
        <f>[1]Sheet2!DD256</f>
        <v>0</v>
      </c>
      <c r="DX257" s="33">
        <f>[1]Sheet2!DE256</f>
        <v>0</v>
      </c>
      <c r="DY257" s="33">
        <f>[1]Sheet2!DF256</f>
        <v>0</v>
      </c>
      <c r="DZ257" s="33">
        <f>[1]Sheet2!DG256</f>
        <v>0</v>
      </c>
      <c r="EA257" s="33">
        <f>[1]Sheet2!DH256</f>
        <v>0</v>
      </c>
      <c r="EB257" s="35">
        <f>[1]Sheet2!EC256</f>
        <v>0</v>
      </c>
      <c r="EC257" s="35">
        <v>0</v>
      </c>
      <c r="ED257" s="35">
        <f>[1]Sheet2!EE256</f>
        <v>0</v>
      </c>
      <c r="EE257" s="35">
        <f>[1]Sheet2!EF256</f>
        <v>0</v>
      </c>
      <c r="EF257" s="35">
        <f>[1]Sheet2!EG256</f>
        <v>0</v>
      </c>
      <c r="EG257" s="35">
        <f>[1]Sheet2!EH256</f>
        <v>0</v>
      </c>
      <c r="EH257" s="35">
        <f>[1]Sheet2!EI256</f>
        <v>0</v>
      </c>
      <c r="EI257" s="35">
        <f>[1]Sheet2!EJ256</f>
        <v>0</v>
      </c>
      <c r="EJ257" s="35">
        <f>[1]Sheet2!EK256</f>
        <v>0</v>
      </c>
      <c r="EK257" s="35">
        <f>[1]Sheet2!EL256</f>
        <v>0</v>
      </c>
      <c r="EL257" s="35" t="str">
        <f>[1]Sheet2!EM256</f>
        <v/>
      </c>
      <c r="EM257" s="35" t="str">
        <f>[1]Sheet2!EN256</f>
        <v/>
      </c>
      <c r="EN257" s="35" t="str">
        <f>[1]Sheet2!EO256</f>
        <v/>
      </c>
      <c r="EO257" s="35" t="str">
        <f>[1]Sheet2!EP256</f>
        <v/>
      </c>
      <c r="EP257" s="35" t="str">
        <f>[1]Sheet2!EQ256</f>
        <v/>
      </c>
      <c r="EQ257" s="35" t="str">
        <f>[1]Sheet2!ER256</f>
        <v/>
      </c>
      <c r="ER257" s="35" t="str">
        <f>[1]Sheet2!ES256</f>
        <v/>
      </c>
      <c r="ES257" s="35" t="str">
        <f>[1]Sheet2!ET256</f>
        <v/>
      </c>
      <c r="ET257" s="35" t="str">
        <f>[1]Sheet2!EU256</f>
        <v/>
      </c>
      <c r="EU257" s="35" t="str">
        <f>[1]Sheet2!EV256</f>
        <v/>
      </c>
      <c r="EV257" s="35" t="str">
        <f>[1]Sheet2!EW256</f>
        <v/>
      </c>
      <c r="EW257" s="35" t="str">
        <f>[1]Sheet2!EX256</f>
        <v/>
      </c>
      <c r="EX257" s="35" t="str">
        <f>[1]Sheet2!EY256</f>
        <v/>
      </c>
      <c r="EY257" s="35" t="str">
        <f>[1]Sheet2!EZ256</f>
        <v/>
      </c>
      <c r="EZ257" s="35" t="str">
        <f>[1]Sheet2!FA256</f>
        <v/>
      </c>
      <c r="FA257" s="35" t="str">
        <f>[1]Sheet2!FB256</f>
        <v/>
      </c>
      <c r="FB257" s="35" t="str">
        <f>[1]Sheet2!FC256</f>
        <v/>
      </c>
      <c r="FC257" s="35" t="str">
        <f>[1]Sheet2!FD256</f>
        <v/>
      </c>
      <c r="FD257" s="35" t="str">
        <f>[1]Sheet2!FE256</f>
        <v/>
      </c>
      <c r="FE257" s="35" t="str">
        <f>[1]Sheet2!FF256</f>
        <v/>
      </c>
      <c r="FF257" s="35" t="str">
        <f>[1]Sheet2!FG256</f>
        <v/>
      </c>
      <c r="FG257" s="35" t="str">
        <f>[1]Sheet2!FH256</f>
        <v/>
      </c>
      <c r="FH257" s="35" t="str">
        <f>[1]Sheet2!FI256</f>
        <v/>
      </c>
      <c r="FI257" s="35" t="str">
        <f>[1]Sheet2!FJ256</f>
        <v/>
      </c>
      <c r="FJ257" s="35" t="str">
        <f>[1]Sheet2!FK256</f>
        <v/>
      </c>
      <c r="FK257" s="35" t="str">
        <f>[1]Sheet2!FL256</f>
        <v/>
      </c>
      <c r="FL257" s="35" t="str">
        <f>[1]Sheet2!FM256</f>
        <v/>
      </c>
      <c r="FM257" s="35" t="str">
        <f>[1]Sheet2!FN256</f>
        <v/>
      </c>
      <c r="FN257" s="35" t="str">
        <f>[1]Sheet2!FO256</f>
        <v/>
      </c>
      <c r="FO257" s="35" t="str">
        <f>[1]Sheet2!FP256</f>
        <v/>
      </c>
    </row>
    <row r="258" spans="1:171" x14ac:dyDescent="0.25">
      <c r="A258" s="15">
        <v>43720</v>
      </c>
      <c r="B258" s="1"/>
      <c r="C258" s="1"/>
      <c r="D258" s="1"/>
      <c r="E258" s="14">
        <f>[1]Sheet2!N257</f>
        <v>0</v>
      </c>
      <c r="F258" s="14">
        <f>[1]Sheet2!BE257</f>
        <v>0</v>
      </c>
      <c r="G258" s="14">
        <f>[1]Sheet2!CW257</f>
        <v>0</v>
      </c>
      <c r="H258" s="1" t="s">
        <v>58</v>
      </c>
      <c r="I258" s="1" t="s">
        <v>58</v>
      </c>
      <c r="J258" s="1"/>
      <c r="K258" s="16" t="s">
        <v>58</v>
      </c>
      <c r="L258" s="16">
        <f>Demand_CWRS!B$11/30</f>
        <v>118.04546474358973</v>
      </c>
      <c r="M258" s="16">
        <f>Demand_CWRS!C$11/30</f>
        <v>491.39401709401704</v>
      </c>
      <c r="N258" s="16">
        <f>Demand_CWRS!D$11/30</f>
        <v>0</v>
      </c>
      <c r="O258" s="16">
        <f>Demand_CWRS!E$11/30</f>
        <v>107.84935897435898</v>
      </c>
      <c r="P258" s="16">
        <f>Demand_CWRS!F$11/30</f>
        <v>218.22274305555553</v>
      </c>
      <c r="Q258" s="16">
        <f>Demand_CWRS!G$11/30</f>
        <v>118.04546474358973</v>
      </c>
      <c r="R258" s="16">
        <f>Demand_CWRS!H$11/30</f>
        <v>218.22274305555553</v>
      </c>
      <c r="S258" s="16">
        <f>Demand_CWRS!I$11/30</f>
        <v>218.22274305555553</v>
      </c>
      <c r="T258" s="16">
        <f>Demand_CWRS!J$11/30</f>
        <v>218.22274305555553</v>
      </c>
      <c r="U258" s="16">
        <f>Demand_CWRS!K$11/30</f>
        <v>218.22274305555553</v>
      </c>
      <c r="V258" s="16">
        <f t="shared" si="96"/>
        <v>-31784.177787396471</v>
      </c>
      <c r="W258" s="16">
        <f t="shared" si="97"/>
        <v>-126002.56153846119</v>
      </c>
      <c r="X258" s="16">
        <f t="shared" si="98"/>
        <v>0</v>
      </c>
      <c r="Y258" s="16">
        <f t="shared" si="99"/>
        <v>-23582.186806231712</v>
      </c>
      <c r="Z258" s="16">
        <f t="shared" si="100"/>
        <v>-50829.197168127233</v>
      </c>
      <c r="AA258" s="16">
        <f t="shared" si="101"/>
        <v>-30312.24526335808</v>
      </c>
      <c r="AB258" s="16">
        <f t="shared" si="102"/>
        <v>-59638.361943768192</v>
      </c>
      <c r="AC258" s="16">
        <f t="shared" si="103"/>
        <v>-53845.351687358001</v>
      </c>
      <c r="AD258" s="16">
        <f t="shared" si="104"/>
        <v>-53945.351687357994</v>
      </c>
      <c r="AE258" s="16">
        <f t="shared" si="105"/>
        <v>-54545.351687357987</v>
      </c>
      <c r="AF258" s="14">
        <f>IF([1]Sheet2!AJ257=999999,"NA",[1]Sheet2!AJ257)</f>
        <v>0</v>
      </c>
      <c r="AG258" s="14">
        <f>IF([1]Sheet2!AK257=999999,"NA",[1]Sheet2!AK257)</f>
        <v>0</v>
      </c>
      <c r="AH258" s="14" t="str">
        <f>IF([1]Sheet2!AL257=999999,"NA",[1]Sheet2!AL257)</f>
        <v>NA</v>
      </c>
      <c r="AI258" s="14">
        <f>IF([1]Sheet2!AM257=999999,"NA",[1]Sheet2!AM257)</f>
        <v>0</v>
      </c>
      <c r="AJ258" s="14">
        <f>IF([1]Sheet2!AN257=999999,"NA",[1]Sheet2!AN257)</f>
        <v>0</v>
      </c>
      <c r="AK258" s="14">
        <f>IF([1]Sheet2!AO257=999999,"NA",[1]Sheet2!AO257)</f>
        <v>0</v>
      </c>
      <c r="AL258" s="14">
        <f>IF([1]Sheet2!AP257=999999,"NA",[1]Sheet2!AP257)</f>
        <v>0</v>
      </c>
      <c r="AM258" s="14">
        <f>IF([1]Sheet2!AQ257=999999,"NA",[1]Sheet2!AQ257)</f>
        <v>0</v>
      </c>
      <c r="AN258" s="14">
        <f>IF([1]Sheet2!AR257=999999,"NA",[1]Sheet2!AR257)</f>
        <v>0</v>
      </c>
      <c r="AO258" s="14">
        <f>IF([1]Sheet2!AS257=999999,"NA",[1]Sheet2!AS257)</f>
        <v>0</v>
      </c>
      <c r="AP258" s="14">
        <f>[1]Sheet2!P257</f>
        <v>0</v>
      </c>
      <c r="AQ258" s="14">
        <f>[1]Sheet2!Q257</f>
        <v>0</v>
      </c>
      <c r="AR258" s="14">
        <f>[1]Sheet2!R257</f>
        <v>0</v>
      </c>
      <c r="AS258" s="14">
        <f>[1]Sheet2!S257</f>
        <v>0</v>
      </c>
      <c r="AT258" s="14">
        <f>[1]Sheet2!T257</f>
        <v>4500</v>
      </c>
      <c r="AU258" s="14">
        <f>[1]Sheet2!U257</f>
        <v>0</v>
      </c>
      <c r="AV258" s="14">
        <f>[1]Sheet2!V257</f>
        <v>0</v>
      </c>
      <c r="AW258" s="14">
        <f>[1]Sheet2!W257</f>
        <v>0</v>
      </c>
      <c r="AX258" s="14">
        <f>[1]Sheet2!X257</f>
        <v>0</v>
      </c>
      <c r="AY258" s="14">
        <f>[1]Sheet2!Y257</f>
        <v>0</v>
      </c>
      <c r="AZ258" s="16">
        <f>Demand_LP!B$11/30</f>
        <v>902.60591613247857</v>
      </c>
      <c r="BA258" s="16">
        <f>Demand_LP!C$11/30</f>
        <v>593.76410256410259</v>
      </c>
      <c r="BB258" s="16">
        <f>Demand_LP!D$11/30</f>
        <v>290.27136752136749</v>
      </c>
      <c r="BC258" s="16">
        <f>Demand_LP!E$11/30</f>
        <v>790.42628205128199</v>
      </c>
      <c r="BD258" s="16">
        <f>Demand_LP!F$11/30</f>
        <v>538.46224626068363</v>
      </c>
      <c r="BE258" s="16">
        <f>Demand_LP!G$11/30</f>
        <v>538.46224626068363</v>
      </c>
      <c r="BF258" s="16">
        <f>Demand_LP!H$11/30</f>
        <v>593.76410256410259</v>
      </c>
      <c r="BG258" s="16">
        <f>Demand_LP!I$11/30</f>
        <v>538.46224626068363</v>
      </c>
      <c r="BH258" s="16">
        <f>Demand_LP!J$11/30</f>
        <v>538.46224626068363</v>
      </c>
      <c r="BI258" s="16">
        <f>Demand_LP!K$11/30</f>
        <v>538.46224626068363</v>
      </c>
      <c r="BJ258" s="16">
        <f t="shared" si="106"/>
        <v>-190816.83239720223</v>
      </c>
      <c r="BK258" s="16">
        <f t="shared" si="107"/>
        <v>-146268.31025641019</v>
      </c>
      <c r="BL258" s="16">
        <f t="shared" si="108"/>
        <v>-71073.856410256514</v>
      </c>
      <c r="BM258" s="16">
        <f t="shared" si="109"/>
        <v>-186315.79741966835</v>
      </c>
      <c r="BN258" s="16">
        <f t="shared" si="110"/>
        <v>-106956.71705919357</v>
      </c>
      <c r="BO258" s="16">
        <f t="shared" si="111"/>
        <v>-109721.40097756431</v>
      </c>
      <c r="BP258" s="16">
        <f t="shared" si="112"/>
        <v>-140625.88974358953</v>
      </c>
      <c r="BQ258" s="16">
        <f t="shared" si="113"/>
        <v>-109721.40097756431</v>
      </c>
      <c r="BR258" s="16">
        <f t="shared" si="114"/>
        <v>-107321.40097756435</v>
      </c>
      <c r="BS258" s="16">
        <f t="shared" si="115"/>
        <v>-108021.40097756434</v>
      </c>
      <c r="BT258" s="14">
        <f>IF([1]Sheet2!CB257=999999,"NA",[1]Sheet2!CB257)</f>
        <v>0</v>
      </c>
      <c r="BU258" s="14">
        <f>IF([1]Sheet2!CC257=999999,"NA",[1]Sheet2!CC257)</f>
        <v>0</v>
      </c>
      <c r="BV258" s="14">
        <f>IF([1]Sheet2!CD257=999999,"NA",[1]Sheet2!CD257)</f>
        <v>0</v>
      </c>
      <c r="BW258" s="14">
        <f>IF([1]Sheet2!CE257=999999,"NA",[1]Sheet2!CE257)</f>
        <v>0</v>
      </c>
      <c r="BX258" s="14">
        <f>IF([1]Sheet2!CF257=999999,"NA",[1]Sheet2!CF257)</f>
        <v>0</v>
      </c>
      <c r="BY258" s="14">
        <f>IF([1]Sheet2!CG257=999999,"NA",[1]Sheet2!CG257)</f>
        <v>0</v>
      </c>
      <c r="BZ258" s="14">
        <f>IF([1]Sheet2!CH257=999999,"NA",[1]Sheet2!CH257)</f>
        <v>0</v>
      </c>
      <c r="CA258" s="14">
        <f>IF([1]Sheet2!CI257=999999,"NA",[1]Sheet2!CI257)</f>
        <v>0</v>
      </c>
      <c r="CB258" s="14">
        <f>IF([1]Sheet2!CJ257=999999,"NA",[1]Sheet2!CJ257)</f>
        <v>0</v>
      </c>
      <c r="CC258" s="14">
        <f>IF([1]Sheet2!CK257=999999,"NA",[1]Sheet2!CK257)</f>
        <v>0</v>
      </c>
      <c r="CD258" s="14">
        <f>[1]Sheet2!BH257</f>
        <v>0</v>
      </c>
      <c r="CE258" s="14">
        <f>[1]Sheet2!BI257</f>
        <v>0</v>
      </c>
      <c r="CF258" s="14">
        <f>[1]Sheet2!BJ257</f>
        <v>0</v>
      </c>
      <c r="CG258" s="14">
        <f>[1]Sheet2!BK257</f>
        <v>0</v>
      </c>
      <c r="CH258" s="45">
        <f>[1]Sheet2!BL257</f>
        <v>4307</v>
      </c>
      <c r="CI258" s="14">
        <f>[1]Sheet2!BM257</f>
        <v>0</v>
      </c>
      <c r="CJ258" s="14">
        <f>[1]Sheet2!BN257</f>
        <v>0</v>
      </c>
      <c r="CK258" s="14">
        <f>[1]Sheet2!BO257</f>
        <v>0</v>
      </c>
      <c r="CL258" s="14">
        <f>[1]Sheet2!BP257</f>
        <v>0</v>
      </c>
      <c r="CM258" s="14">
        <f>[1]Sheet2!BQ257</f>
        <v>0</v>
      </c>
      <c r="CN258" s="16">
        <f>Demand_SW!B$11/30</f>
        <v>144.23076923076923</v>
      </c>
      <c r="CO258" s="16">
        <f>Demand_SW!C$11/30</f>
        <v>0</v>
      </c>
      <c r="CP258" s="16">
        <f>Demand_SW!D$11/30</f>
        <v>0</v>
      </c>
      <c r="CQ258" s="16">
        <f>Demand_SW!E$11/30</f>
        <v>0</v>
      </c>
      <c r="CR258" s="16">
        <f>Demand_SW!F$11/30</f>
        <v>0</v>
      </c>
      <c r="CS258" s="16">
        <f>Demand_SW!G$11/30</f>
        <v>144.23076923076923</v>
      </c>
      <c r="CT258" s="16">
        <f>Demand_SW!H$11/30</f>
        <v>0</v>
      </c>
      <c r="CU258" s="16">
        <f>Demand_SW!I$11/30</f>
        <v>0</v>
      </c>
      <c r="CV258" s="16">
        <f>Demand_SW!J$11/30</f>
        <v>0</v>
      </c>
      <c r="CW258" s="16">
        <f>Demand_SW!K$11/30</f>
        <v>0</v>
      </c>
      <c r="CX258" s="16">
        <f t="shared" si="116"/>
        <v>-29451.538461538501</v>
      </c>
      <c r="CY258" s="16">
        <f t="shared" si="117"/>
        <v>76.923076923077133</v>
      </c>
      <c r="CZ258" s="16">
        <f t="shared" si="118"/>
        <v>0</v>
      </c>
      <c r="DA258" s="16">
        <f t="shared" si="119"/>
        <v>0</v>
      </c>
      <c r="DB258" s="16">
        <f t="shared" si="120"/>
        <v>0</v>
      </c>
      <c r="DC258" s="16">
        <f t="shared" si="121"/>
        <v>-28980.769230769271</v>
      </c>
      <c r="DD258" s="16">
        <f t="shared" si="122"/>
        <v>76.923076923077133</v>
      </c>
      <c r="DE258" s="16">
        <f t="shared" si="123"/>
        <v>0</v>
      </c>
      <c r="DF258" s="16">
        <f t="shared" si="124"/>
        <v>0</v>
      </c>
      <c r="DG258" s="16">
        <f t="shared" si="125"/>
        <v>0</v>
      </c>
      <c r="DH258" s="14">
        <f>IF([1]Sheet2!DS257=999999,"NA",[1]Sheet2!DS257)</f>
        <v>0</v>
      </c>
      <c r="DI258" s="14">
        <f>IF([1]Sheet2!DT257=999999,"NA",[1]Sheet2!DT257)</f>
        <v>110</v>
      </c>
      <c r="DJ258" s="14" t="str">
        <f>IF([1]Sheet2!DU257=999999,"NA",[1]Sheet2!DU257)</f>
        <v>NA</v>
      </c>
      <c r="DK258" s="14" t="str">
        <f>IF([1]Sheet2!DV257=999999,"NA",[1]Sheet2!DV257)</f>
        <v>NA</v>
      </c>
      <c r="DL258" s="14" t="str">
        <f>IF([1]Sheet2!DW257=999999,"NA",[1]Sheet2!DW257)</f>
        <v>NA</v>
      </c>
      <c r="DM258" s="14">
        <f>IF([1]Sheet2!DX257=999999,"NA",[1]Sheet2!DX257)</f>
        <v>0</v>
      </c>
      <c r="DN258" s="14">
        <f>IF([1]Sheet2!DY257=999999,"NA",[1]Sheet2!DY257)</f>
        <v>110</v>
      </c>
      <c r="DO258" s="14" t="str">
        <f>IF([1]Sheet2!DZ257=999999,"NA",[1]Sheet2!DZ257)</f>
        <v>NA</v>
      </c>
      <c r="DP258" s="14" t="str">
        <f>IF([1]Sheet2!EA257=999999,"NA",[1]Sheet2!EA257)</f>
        <v>NA</v>
      </c>
      <c r="DQ258" s="14" t="str">
        <f>IF([1]Sheet2!EB257=999999,"NA",[1]Sheet2!EB257)</f>
        <v>NA</v>
      </c>
      <c r="DR258" s="14">
        <f>[1]Sheet2!CY257</f>
        <v>0</v>
      </c>
      <c r="DS258" s="14">
        <f>[1]Sheet2!CZ257</f>
        <v>0</v>
      </c>
      <c r="DT258" s="14">
        <f>[1]Sheet2!DA257</f>
        <v>0</v>
      </c>
      <c r="DU258" s="14">
        <f>[1]Sheet2!DB257</f>
        <v>0</v>
      </c>
      <c r="DV258" s="14">
        <f>[1]Sheet2!DC257</f>
        <v>0</v>
      </c>
      <c r="DW258" s="14">
        <f>[1]Sheet2!DD257</f>
        <v>0</v>
      </c>
      <c r="DX258" s="14">
        <f>[1]Sheet2!DE257</f>
        <v>0</v>
      </c>
      <c r="DY258" s="14">
        <f>[1]Sheet2!DF257</f>
        <v>0</v>
      </c>
      <c r="DZ258" s="14">
        <f>[1]Sheet2!DG257</f>
        <v>0</v>
      </c>
      <c r="EA258" s="14">
        <f>[1]Sheet2!DH257</f>
        <v>0</v>
      </c>
      <c r="EB258" s="6">
        <f>[1]Sheet2!EC257</f>
        <v>0</v>
      </c>
      <c r="EC258" s="6">
        <f>[1]Sheet2!ED257</f>
        <v>0</v>
      </c>
      <c r="ED258" s="6">
        <f>[1]Sheet2!EE257</f>
        <v>0</v>
      </c>
      <c r="EE258" s="6">
        <f>[1]Sheet2!EF257</f>
        <v>0</v>
      </c>
      <c r="EF258" s="6" t="str">
        <f>[1]Sheet2!EG257</f>
        <v>Arg</v>
      </c>
      <c r="EG258" s="6">
        <f>[1]Sheet2!EH257</f>
        <v>0</v>
      </c>
      <c r="EH258" s="6">
        <f>[1]Sheet2!EI257</f>
        <v>0</v>
      </c>
      <c r="EI258" s="6">
        <f>[1]Sheet2!EJ257</f>
        <v>0</v>
      </c>
      <c r="EJ258" s="6">
        <f>[1]Sheet2!EK257</f>
        <v>0</v>
      </c>
      <c r="EK258" s="6">
        <f>[1]Sheet2!EL257</f>
        <v>0</v>
      </c>
      <c r="EL258" s="6" t="str">
        <f>[1]Sheet2!EM257</f>
        <v/>
      </c>
      <c r="EM258" s="6" t="str">
        <f>[1]Sheet2!EN257</f>
        <v/>
      </c>
      <c r="EN258" s="6" t="str">
        <f>[1]Sheet2!EO257</f>
        <v/>
      </c>
      <c r="EO258" s="6" t="str">
        <f>[1]Sheet2!EP257</f>
        <v/>
      </c>
      <c r="EP258" s="6" t="str">
        <f>[1]Sheet2!EQ257</f>
        <v/>
      </c>
      <c r="EQ258" s="6" t="str">
        <f>[1]Sheet2!ER257</f>
        <v/>
      </c>
      <c r="ER258" s="6" t="str">
        <f>[1]Sheet2!ES257</f>
        <v/>
      </c>
      <c r="ES258" s="6" t="str">
        <f>[1]Sheet2!ET257</f>
        <v/>
      </c>
      <c r="ET258" s="6" t="str">
        <f>[1]Sheet2!EU257</f>
        <v/>
      </c>
      <c r="EU258" s="6" t="str">
        <f>[1]Sheet2!EV257</f>
        <v/>
      </c>
      <c r="EV258" s="6" t="str">
        <f>[1]Sheet2!EW257</f>
        <v/>
      </c>
      <c r="EW258" s="6" t="str">
        <f>[1]Sheet2!EX257</f>
        <v/>
      </c>
      <c r="EX258" s="6" t="str">
        <f>[1]Sheet2!EY257</f>
        <v/>
      </c>
      <c r="EY258" s="6" t="str">
        <f>[1]Sheet2!EZ257</f>
        <v/>
      </c>
      <c r="EZ258" s="6" t="str">
        <f>[1]Sheet2!FA257</f>
        <v/>
      </c>
      <c r="FA258" s="6" t="str">
        <f>[1]Sheet2!FB257</f>
        <v/>
      </c>
      <c r="FB258" s="6" t="str">
        <f>[1]Sheet2!FC257</f>
        <v/>
      </c>
      <c r="FC258" s="6" t="str">
        <f>[1]Sheet2!FD257</f>
        <v/>
      </c>
      <c r="FD258" s="6" t="str">
        <f>[1]Sheet2!FE257</f>
        <v/>
      </c>
      <c r="FE258" s="6" t="str">
        <f>[1]Sheet2!FF257</f>
        <v/>
      </c>
      <c r="FF258" s="6" t="str">
        <f>[1]Sheet2!FG257</f>
        <v/>
      </c>
      <c r="FG258" s="6" t="str">
        <f>[1]Sheet2!FH257</f>
        <v/>
      </c>
      <c r="FH258" s="6" t="str">
        <f>[1]Sheet2!FI257</f>
        <v/>
      </c>
      <c r="FI258" s="6" t="str">
        <f>[1]Sheet2!FJ257</f>
        <v/>
      </c>
      <c r="FJ258" s="6" t="str">
        <f>[1]Sheet2!FK257</f>
        <v/>
      </c>
      <c r="FK258" s="6" t="str">
        <f>[1]Sheet2!FL257</f>
        <v/>
      </c>
      <c r="FL258" s="6" t="str">
        <f>[1]Sheet2!FM257</f>
        <v/>
      </c>
      <c r="FM258" s="6" t="str">
        <f>[1]Sheet2!FN257</f>
        <v/>
      </c>
      <c r="FN258" s="6" t="str">
        <f>[1]Sheet2!FO257</f>
        <v/>
      </c>
      <c r="FO258" s="6" t="str">
        <f>[1]Sheet2!FP257</f>
        <v/>
      </c>
    </row>
    <row r="259" spans="1:171" x14ac:dyDescent="0.25">
      <c r="A259" s="15">
        <v>43721</v>
      </c>
      <c r="B259" s="1"/>
      <c r="C259" s="1"/>
      <c r="D259" s="1"/>
      <c r="E259" s="14">
        <f>[1]Sheet2!N258</f>
        <v>0</v>
      </c>
      <c r="F259" s="14">
        <f>[1]Sheet2!BE258</f>
        <v>0</v>
      </c>
      <c r="G259" s="14">
        <f>[1]Sheet2!CW258</f>
        <v>0</v>
      </c>
      <c r="H259" s="1"/>
      <c r="I259" s="1"/>
      <c r="J259" s="1"/>
      <c r="K259" s="16"/>
      <c r="L259" s="16">
        <f>Demand_CWRS!B$11/30</f>
        <v>118.04546474358973</v>
      </c>
      <c r="M259" s="16">
        <f>Demand_CWRS!C$11/30</f>
        <v>491.39401709401704</v>
      </c>
      <c r="N259" s="16">
        <f>Demand_CWRS!D$11/30</f>
        <v>0</v>
      </c>
      <c r="O259" s="16">
        <f>Demand_CWRS!E$11/30</f>
        <v>107.84935897435898</v>
      </c>
      <c r="P259" s="16">
        <f>Demand_CWRS!F$11/30</f>
        <v>218.22274305555553</v>
      </c>
      <c r="Q259" s="16">
        <f>Demand_CWRS!G$11/30</f>
        <v>118.04546474358973</v>
      </c>
      <c r="R259" s="16">
        <f>Demand_CWRS!H$11/30</f>
        <v>218.22274305555553</v>
      </c>
      <c r="S259" s="16">
        <f>Demand_CWRS!I$11/30</f>
        <v>218.22274305555553</v>
      </c>
      <c r="T259" s="16">
        <f>Demand_CWRS!J$11/30</f>
        <v>218.22274305555553</v>
      </c>
      <c r="U259" s="16">
        <f>Demand_CWRS!K$11/30</f>
        <v>218.22274305555553</v>
      </c>
      <c r="V259" s="16">
        <f t="shared" si="96"/>
        <v>-31902.223252140062</v>
      </c>
      <c r="W259" s="16">
        <f t="shared" si="97"/>
        <v>-126493.95555555521</v>
      </c>
      <c r="X259" s="16">
        <f t="shared" si="98"/>
        <v>0</v>
      </c>
      <c r="Y259" s="16">
        <f t="shared" si="99"/>
        <v>-23690.036165206071</v>
      </c>
      <c r="Z259" s="16">
        <f t="shared" si="100"/>
        <v>-50319.419911182791</v>
      </c>
      <c r="AA259" s="16">
        <f t="shared" si="101"/>
        <v>-30430.290728101671</v>
      </c>
      <c r="AB259" s="16">
        <f t="shared" si="102"/>
        <v>-59856.58468682375</v>
      </c>
      <c r="AC259" s="16">
        <f t="shared" si="103"/>
        <v>-54063.574430413559</v>
      </c>
      <c r="AD259" s="16">
        <f t="shared" si="104"/>
        <v>-54163.574430413551</v>
      </c>
      <c r="AE259" s="16">
        <f t="shared" si="105"/>
        <v>-54763.574430413544</v>
      </c>
      <c r="AF259" s="14">
        <f>IF([1]Sheet2!AJ258=999999,"NA",[1]Sheet2!AJ258)</f>
        <v>0</v>
      </c>
      <c r="AG259" s="14">
        <f>IF([1]Sheet2!AK258=999999,"NA",[1]Sheet2!AK258)</f>
        <v>0</v>
      </c>
      <c r="AH259" s="14" t="str">
        <f>IF([1]Sheet2!AL258=999999,"NA",[1]Sheet2!AL258)</f>
        <v>NA</v>
      </c>
      <c r="AI259" s="14">
        <f>IF([1]Sheet2!AM258=999999,"NA",[1]Sheet2!AM258)</f>
        <v>0</v>
      </c>
      <c r="AJ259" s="14">
        <f>IF([1]Sheet2!AN258=999999,"NA",[1]Sheet2!AN258)</f>
        <v>0</v>
      </c>
      <c r="AK259" s="14">
        <f>IF([1]Sheet2!AO258=999999,"NA",[1]Sheet2!AO258)</f>
        <v>0</v>
      </c>
      <c r="AL259" s="14">
        <f>IF([1]Sheet2!AP258=999999,"NA",[1]Sheet2!AP258)</f>
        <v>0</v>
      </c>
      <c r="AM259" s="14">
        <f>IF([1]Sheet2!AQ258=999999,"NA",[1]Sheet2!AQ258)</f>
        <v>0</v>
      </c>
      <c r="AN259" s="14">
        <f>IF([1]Sheet2!AR258=999999,"NA",[1]Sheet2!AR258)</f>
        <v>0</v>
      </c>
      <c r="AO259" s="14">
        <f>IF([1]Sheet2!AS258=999999,"NA",[1]Sheet2!AS258)</f>
        <v>0</v>
      </c>
      <c r="AP259" s="14">
        <f>[1]Sheet2!P258</f>
        <v>0</v>
      </c>
      <c r="AQ259" s="14">
        <f>[1]Sheet2!Q258</f>
        <v>0</v>
      </c>
      <c r="AR259" s="14">
        <f>[1]Sheet2!R258</f>
        <v>0</v>
      </c>
      <c r="AS259" s="14">
        <f>[1]Sheet2!S258</f>
        <v>0</v>
      </c>
      <c r="AT259" s="14">
        <f>[1]Sheet2!T258</f>
        <v>728</v>
      </c>
      <c r="AU259" s="14">
        <f>[1]Sheet2!U258</f>
        <v>0</v>
      </c>
      <c r="AV259" s="14">
        <f>[1]Sheet2!V258</f>
        <v>0</v>
      </c>
      <c r="AW259" s="14">
        <f>[1]Sheet2!W258</f>
        <v>0</v>
      </c>
      <c r="AX259" s="14">
        <f>[1]Sheet2!X258</f>
        <v>0</v>
      </c>
      <c r="AY259" s="14">
        <f>[1]Sheet2!Y258</f>
        <v>0</v>
      </c>
      <c r="AZ259" s="16">
        <f>Demand_LP!B$11/30</f>
        <v>902.60591613247857</v>
      </c>
      <c r="BA259" s="16">
        <f>Demand_LP!C$11/30</f>
        <v>593.76410256410259</v>
      </c>
      <c r="BB259" s="16">
        <f>Demand_LP!D$11/30</f>
        <v>290.27136752136749</v>
      </c>
      <c r="BC259" s="16">
        <f>Demand_LP!E$11/30</f>
        <v>790.42628205128199</v>
      </c>
      <c r="BD259" s="16">
        <f>Demand_LP!F$11/30</f>
        <v>538.46224626068363</v>
      </c>
      <c r="BE259" s="16">
        <f>Demand_LP!G$11/30</f>
        <v>538.46224626068363</v>
      </c>
      <c r="BF259" s="16">
        <f>Demand_LP!H$11/30</f>
        <v>593.76410256410259</v>
      </c>
      <c r="BG259" s="16">
        <f>Demand_LP!I$11/30</f>
        <v>538.46224626068363</v>
      </c>
      <c r="BH259" s="16">
        <f>Demand_LP!J$11/30</f>
        <v>538.46224626068363</v>
      </c>
      <c r="BI259" s="16">
        <f>Demand_LP!K$11/30</f>
        <v>538.46224626068363</v>
      </c>
      <c r="BJ259" s="16">
        <f t="shared" si="106"/>
        <v>-191719.43831333471</v>
      </c>
      <c r="BK259" s="16">
        <f t="shared" si="107"/>
        <v>-146862.07435897429</v>
      </c>
      <c r="BL259" s="16">
        <f t="shared" si="108"/>
        <v>-71364.127777777889</v>
      </c>
      <c r="BM259" s="16">
        <f t="shared" si="109"/>
        <v>-187106.22370171963</v>
      </c>
      <c r="BN259" s="16">
        <f t="shared" si="110"/>
        <v>-107495.17930545425</v>
      </c>
      <c r="BO259" s="16">
        <f t="shared" si="111"/>
        <v>-110259.86322382498</v>
      </c>
      <c r="BP259" s="16">
        <f t="shared" si="112"/>
        <v>-141219.65384615364</v>
      </c>
      <c r="BQ259" s="16">
        <f t="shared" si="113"/>
        <v>-110259.86322382498</v>
      </c>
      <c r="BR259" s="16">
        <f t="shared" si="114"/>
        <v>-107859.86322382503</v>
      </c>
      <c r="BS259" s="16">
        <f t="shared" si="115"/>
        <v>-108559.86322382501</v>
      </c>
      <c r="BT259" s="14">
        <f>IF([1]Sheet2!CB258=999999,"NA",[1]Sheet2!CB258)</f>
        <v>0</v>
      </c>
      <c r="BU259" s="14">
        <f>IF([1]Sheet2!CC258=999999,"NA",[1]Sheet2!CC258)</f>
        <v>0</v>
      </c>
      <c r="BV259" s="14">
        <f>IF([1]Sheet2!CD258=999999,"NA",[1]Sheet2!CD258)</f>
        <v>0</v>
      </c>
      <c r="BW259" s="14">
        <f>IF([1]Sheet2!CE258=999999,"NA",[1]Sheet2!CE258)</f>
        <v>0</v>
      </c>
      <c r="BX259" s="14">
        <f>IF([1]Sheet2!CF258=999999,"NA",[1]Sheet2!CF258)</f>
        <v>0</v>
      </c>
      <c r="BY259" s="14">
        <f>IF([1]Sheet2!CG258=999999,"NA",[1]Sheet2!CG258)</f>
        <v>0</v>
      </c>
      <c r="BZ259" s="14">
        <f>IF([1]Sheet2!CH258=999999,"NA",[1]Sheet2!CH258)</f>
        <v>0</v>
      </c>
      <c r="CA259" s="14">
        <f>IF([1]Sheet2!CI258=999999,"NA",[1]Sheet2!CI258)</f>
        <v>0</v>
      </c>
      <c r="CB259" s="14">
        <f>IF([1]Sheet2!CJ258=999999,"NA",[1]Sheet2!CJ258)</f>
        <v>0</v>
      </c>
      <c r="CC259" s="14">
        <f>IF([1]Sheet2!CK258=999999,"NA",[1]Sheet2!CK258)</f>
        <v>0</v>
      </c>
      <c r="CD259" s="14">
        <f>[1]Sheet2!BH258</f>
        <v>0</v>
      </c>
      <c r="CE259" s="14">
        <f>[1]Sheet2!BI258</f>
        <v>0</v>
      </c>
      <c r="CF259" s="14">
        <f>[1]Sheet2!BJ258</f>
        <v>0</v>
      </c>
      <c r="CG259" s="14">
        <f>[1]Sheet2!BK258</f>
        <v>0</v>
      </c>
      <c r="CH259" s="14">
        <f>[1]Sheet2!BL258</f>
        <v>0</v>
      </c>
      <c r="CI259" s="14">
        <f>[1]Sheet2!BM258</f>
        <v>0</v>
      </c>
      <c r="CJ259" s="14">
        <f>[1]Sheet2!BN258</f>
        <v>0</v>
      </c>
      <c r="CK259" s="14">
        <f>[1]Sheet2!BO258</f>
        <v>0</v>
      </c>
      <c r="CL259" s="14">
        <f>[1]Sheet2!BP258</f>
        <v>0</v>
      </c>
      <c r="CM259" s="14">
        <f>[1]Sheet2!BQ258</f>
        <v>0</v>
      </c>
      <c r="CN259" s="16">
        <f>Demand_SW!B$11/30</f>
        <v>144.23076923076923</v>
      </c>
      <c r="CO259" s="16">
        <f>Demand_SW!C$11/30</f>
        <v>0</v>
      </c>
      <c r="CP259" s="16">
        <f>Demand_SW!D$11/30</f>
        <v>0</v>
      </c>
      <c r="CQ259" s="16">
        <f>Demand_SW!E$11/30</f>
        <v>0</v>
      </c>
      <c r="CR259" s="16">
        <f>Demand_SW!F$11/30</f>
        <v>0</v>
      </c>
      <c r="CS259" s="16">
        <f>Demand_SW!G$11/30</f>
        <v>144.23076923076923</v>
      </c>
      <c r="CT259" s="16">
        <f>Demand_SW!H$11/30</f>
        <v>0</v>
      </c>
      <c r="CU259" s="16">
        <f>Demand_SW!I$11/30</f>
        <v>0</v>
      </c>
      <c r="CV259" s="16">
        <f>Demand_SW!J$11/30</f>
        <v>0</v>
      </c>
      <c r="CW259" s="16">
        <f>Demand_SW!K$11/30</f>
        <v>0</v>
      </c>
      <c r="CX259" s="16">
        <f t="shared" si="116"/>
        <v>-29595.769230769271</v>
      </c>
      <c r="CY259" s="16">
        <f t="shared" si="117"/>
        <v>76.923076923077133</v>
      </c>
      <c r="CZ259" s="16">
        <f t="shared" si="118"/>
        <v>0</v>
      </c>
      <c r="DA259" s="16">
        <f t="shared" si="119"/>
        <v>0</v>
      </c>
      <c r="DB259" s="16">
        <f t="shared" si="120"/>
        <v>0</v>
      </c>
      <c r="DC259" s="16">
        <f t="shared" si="121"/>
        <v>-29125.00000000004</v>
      </c>
      <c r="DD259" s="16">
        <f t="shared" si="122"/>
        <v>76.923076923077133</v>
      </c>
      <c r="DE259" s="16">
        <f t="shared" si="123"/>
        <v>0</v>
      </c>
      <c r="DF259" s="16">
        <f t="shared" si="124"/>
        <v>0</v>
      </c>
      <c r="DG259" s="16">
        <f t="shared" si="125"/>
        <v>0</v>
      </c>
      <c r="DH259" s="14">
        <f>IF([1]Sheet2!DS258=999999,"NA",[1]Sheet2!DS258)</f>
        <v>0</v>
      </c>
      <c r="DI259" s="14">
        <f>IF([1]Sheet2!DT258=999999,"NA",[1]Sheet2!DT258)</f>
        <v>109</v>
      </c>
      <c r="DJ259" s="14" t="str">
        <f>IF([1]Sheet2!DU258=999999,"NA",[1]Sheet2!DU258)</f>
        <v>NA</v>
      </c>
      <c r="DK259" s="14" t="str">
        <f>IF([1]Sheet2!DV258=999999,"NA",[1]Sheet2!DV258)</f>
        <v>NA</v>
      </c>
      <c r="DL259" s="14" t="str">
        <f>IF([1]Sheet2!DW258=999999,"NA",[1]Sheet2!DW258)</f>
        <v>NA</v>
      </c>
      <c r="DM259" s="14">
        <f>IF([1]Sheet2!DX258=999999,"NA",[1]Sheet2!DX258)</f>
        <v>0</v>
      </c>
      <c r="DN259" s="14">
        <f>IF([1]Sheet2!DY258=999999,"NA",[1]Sheet2!DY258)</f>
        <v>109</v>
      </c>
      <c r="DO259" s="14" t="str">
        <f>IF([1]Sheet2!DZ258=999999,"NA",[1]Sheet2!DZ258)</f>
        <v>NA</v>
      </c>
      <c r="DP259" s="14" t="str">
        <f>IF([1]Sheet2!EA258=999999,"NA",[1]Sheet2!EA258)</f>
        <v>NA</v>
      </c>
      <c r="DQ259" s="14" t="str">
        <f>IF([1]Sheet2!EB258=999999,"NA",[1]Sheet2!EB258)</f>
        <v>NA</v>
      </c>
      <c r="DR259" s="14">
        <f>[1]Sheet2!CY258</f>
        <v>0</v>
      </c>
      <c r="DS259" s="14">
        <f>[1]Sheet2!CZ258</f>
        <v>0</v>
      </c>
      <c r="DT259" s="14">
        <f>[1]Sheet2!DA258</f>
        <v>0</v>
      </c>
      <c r="DU259" s="14">
        <f>[1]Sheet2!DB258</f>
        <v>0</v>
      </c>
      <c r="DV259" s="14">
        <f>[1]Sheet2!DC258</f>
        <v>0</v>
      </c>
      <c r="DW259" s="14">
        <f>[1]Sheet2!DD258</f>
        <v>0</v>
      </c>
      <c r="DX259" s="14">
        <f>[1]Sheet2!DE258</f>
        <v>0</v>
      </c>
      <c r="DY259" s="14">
        <f>[1]Sheet2!DF258</f>
        <v>0</v>
      </c>
      <c r="DZ259" s="14">
        <f>[1]Sheet2!DG258</f>
        <v>0</v>
      </c>
      <c r="EA259" s="14">
        <f>[1]Sheet2!DH258</f>
        <v>0</v>
      </c>
      <c r="EB259" s="6">
        <f>[1]Sheet2!EC258</f>
        <v>0</v>
      </c>
      <c r="EC259" s="6">
        <f>[1]Sheet2!ED258</f>
        <v>0</v>
      </c>
      <c r="ED259" s="6">
        <f>[1]Sheet2!EE258</f>
        <v>0</v>
      </c>
      <c r="EE259" s="6">
        <f>[1]Sheet2!EF258</f>
        <v>0</v>
      </c>
      <c r="EF259" s="6">
        <f>[1]Sheet2!EG258</f>
        <v>0</v>
      </c>
      <c r="EG259" s="6">
        <f>[1]Sheet2!EH258</f>
        <v>0</v>
      </c>
      <c r="EH259" s="6">
        <f>[1]Sheet2!EI258</f>
        <v>0</v>
      </c>
      <c r="EI259" s="6">
        <f>[1]Sheet2!EJ258</f>
        <v>0</v>
      </c>
      <c r="EJ259" s="6">
        <f>[1]Sheet2!EK258</f>
        <v>0</v>
      </c>
      <c r="EK259" s="6">
        <f>[1]Sheet2!EL258</f>
        <v>0</v>
      </c>
      <c r="EL259" s="6" t="str">
        <f>[1]Sheet2!EM258</f>
        <v/>
      </c>
      <c r="EM259" s="6" t="str">
        <f>[1]Sheet2!EN258</f>
        <v/>
      </c>
      <c r="EN259" s="6" t="str">
        <f>[1]Sheet2!EO258</f>
        <v/>
      </c>
      <c r="EO259" s="6" t="str">
        <f>[1]Sheet2!EP258</f>
        <v/>
      </c>
      <c r="EP259" s="6" t="str">
        <f>[1]Sheet2!EQ258</f>
        <v/>
      </c>
      <c r="EQ259" s="6" t="str">
        <f>[1]Sheet2!ER258</f>
        <v/>
      </c>
      <c r="ER259" s="6" t="str">
        <f>[1]Sheet2!ES258</f>
        <v/>
      </c>
      <c r="ES259" s="6" t="str">
        <f>[1]Sheet2!ET258</f>
        <v/>
      </c>
      <c r="ET259" s="6" t="str">
        <f>[1]Sheet2!EU258</f>
        <v/>
      </c>
      <c r="EU259" s="6" t="str">
        <f>[1]Sheet2!EV258</f>
        <v/>
      </c>
      <c r="EV259" s="6" t="str">
        <f>[1]Sheet2!EW258</f>
        <v/>
      </c>
      <c r="EW259" s="6" t="str">
        <f>[1]Sheet2!EX258</f>
        <v/>
      </c>
      <c r="EX259" s="6" t="str">
        <f>[1]Sheet2!EY258</f>
        <v/>
      </c>
      <c r="EY259" s="6" t="str">
        <f>[1]Sheet2!EZ258</f>
        <v/>
      </c>
      <c r="EZ259" s="6" t="str">
        <f>[1]Sheet2!FA258</f>
        <v/>
      </c>
      <c r="FA259" s="6" t="str">
        <f>[1]Sheet2!FB258</f>
        <v/>
      </c>
      <c r="FB259" s="6" t="str">
        <f>[1]Sheet2!FC258</f>
        <v/>
      </c>
      <c r="FC259" s="6" t="str">
        <f>[1]Sheet2!FD258</f>
        <v/>
      </c>
      <c r="FD259" s="6" t="str">
        <f>[1]Sheet2!FE258</f>
        <v/>
      </c>
      <c r="FE259" s="6" t="str">
        <f>[1]Sheet2!FF258</f>
        <v/>
      </c>
      <c r="FF259" s="6" t="str">
        <f>[1]Sheet2!FG258</f>
        <v/>
      </c>
      <c r="FG259" s="6" t="str">
        <f>[1]Sheet2!FH258</f>
        <v/>
      </c>
      <c r="FH259" s="6" t="str">
        <f>[1]Sheet2!FI258</f>
        <v/>
      </c>
      <c r="FI259" s="6" t="str">
        <f>[1]Sheet2!FJ258</f>
        <v/>
      </c>
      <c r="FJ259" s="6" t="str">
        <f>[1]Sheet2!FK258</f>
        <v/>
      </c>
      <c r="FK259" s="6" t="str">
        <f>[1]Sheet2!FL258</f>
        <v/>
      </c>
      <c r="FL259" s="6" t="str">
        <f>[1]Sheet2!FM258</f>
        <v/>
      </c>
      <c r="FM259" s="6" t="str">
        <f>[1]Sheet2!FN258</f>
        <v/>
      </c>
      <c r="FN259" s="6" t="str">
        <f>[1]Sheet2!FO258</f>
        <v/>
      </c>
      <c r="FO259" s="6" t="str">
        <f>[1]Sheet2!FP258</f>
        <v/>
      </c>
    </row>
    <row r="260" spans="1:171" x14ac:dyDescent="0.25">
      <c r="A260" s="15">
        <v>43722</v>
      </c>
      <c r="B260" s="1"/>
      <c r="C260" s="1"/>
      <c r="D260" s="1"/>
      <c r="E260" s="14">
        <f>[1]Sheet2!N259</f>
        <v>0</v>
      </c>
      <c r="F260" s="14">
        <f>[1]Sheet2!BE259</f>
        <v>0</v>
      </c>
      <c r="G260" s="14">
        <f>[1]Sheet2!CW259</f>
        <v>0</v>
      </c>
      <c r="H260" s="1"/>
      <c r="I260" s="1"/>
      <c r="J260" s="1"/>
      <c r="K260" s="16"/>
      <c r="L260" s="16">
        <f>Demand_CWRS!B$11/30</f>
        <v>118.04546474358973</v>
      </c>
      <c r="M260" s="16">
        <f>Demand_CWRS!C$11/30</f>
        <v>491.39401709401704</v>
      </c>
      <c r="N260" s="16">
        <f>Demand_CWRS!D$11/30</f>
        <v>0</v>
      </c>
      <c r="O260" s="16">
        <f>Demand_CWRS!E$11/30</f>
        <v>107.84935897435898</v>
      </c>
      <c r="P260" s="16">
        <f>Demand_CWRS!F$11/30</f>
        <v>218.22274305555553</v>
      </c>
      <c r="Q260" s="16">
        <f>Demand_CWRS!G$11/30</f>
        <v>118.04546474358973</v>
      </c>
      <c r="R260" s="16">
        <f>Demand_CWRS!H$11/30</f>
        <v>218.22274305555553</v>
      </c>
      <c r="S260" s="16">
        <f>Demand_CWRS!I$11/30</f>
        <v>218.22274305555553</v>
      </c>
      <c r="T260" s="16">
        <f>Demand_CWRS!J$11/30</f>
        <v>218.22274305555553</v>
      </c>
      <c r="U260" s="16">
        <f>Demand_CWRS!K$11/30</f>
        <v>218.22274305555553</v>
      </c>
      <c r="V260" s="16">
        <f t="shared" si="96"/>
        <v>-32020.268716883653</v>
      </c>
      <c r="W260" s="16">
        <f t="shared" si="97"/>
        <v>-126985.34957264923</v>
      </c>
      <c r="X260" s="16">
        <f t="shared" si="98"/>
        <v>0</v>
      </c>
      <c r="Y260" s="16">
        <f t="shared" si="99"/>
        <v>-23797.88552418043</v>
      </c>
      <c r="Z260" s="16">
        <f t="shared" si="100"/>
        <v>-50537.642654238349</v>
      </c>
      <c r="AA260" s="16">
        <f t="shared" si="101"/>
        <v>-30548.336192845261</v>
      </c>
      <c r="AB260" s="16">
        <f t="shared" si="102"/>
        <v>-60074.807429879307</v>
      </c>
      <c r="AC260" s="16">
        <f t="shared" si="103"/>
        <v>-54281.797173469116</v>
      </c>
      <c r="AD260" s="16">
        <f t="shared" si="104"/>
        <v>-54381.797173469109</v>
      </c>
      <c r="AE260" s="16">
        <f t="shared" si="105"/>
        <v>-54981.797173469102</v>
      </c>
      <c r="AF260" s="14">
        <f>IF([1]Sheet2!AJ259=999999,"NA",[1]Sheet2!AJ259)</f>
        <v>0</v>
      </c>
      <c r="AG260" s="14">
        <f>IF([1]Sheet2!AK259=999999,"NA",[1]Sheet2!AK259)</f>
        <v>0</v>
      </c>
      <c r="AH260" s="14" t="str">
        <f>IF([1]Sheet2!AL259=999999,"NA",[1]Sheet2!AL259)</f>
        <v>NA</v>
      </c>
      <c r="AI260" s="14">
        <f>IF([1]Sheet2!AM259=999999,"NA",[1]Sheet2!AM259)</f>
        <v>0</v>
      </c>
      <c r="AJ260" s="14">
        <f>IF([1]Sheet2!AN259=999999,"NA",[1]Sheet2!AN259)</f>
        <v>0</v>
      </c>
      <c r="AK260" s="14">
        <f>IF([1]Sheet2!AO259=999999,"NA",[1]Sheet2!AO259)</f>
        <v>0</v>
      </c>
      <c r="AL260" s="14">
        <f>IF([1]Sheet2!AP259=999999,"NA",[1]Sheet2!AP259)</f>
        <v>0</v>
      </c>
      <c r="AM260" s="14">
        <f>IF([1]Sheet2!AQ259=999999,"NA",[1]Sheet2!AQ259)</f>
        <v>0</v>
      </c>
      <c r="AN260" s="14">
        <f>IF([1]Sheet2!AR259=999999,"NA",[1]Sheet2!AR259)</f>
        <v>0</v>
      </c>
      <c r="AO260" s="14">
        <f>IF([1]Sheet2!AS259=999999,"NA",[1]Sheet2!AS259)</f>
        <v>0</v>
      </c>
      <c r="AP260" s="14">
        <f>[1]Sheet2!P259</f>
        <v>0</v>
      </c>
      <c r="AQ260" s="14">
        <f>[1]Sheet2!Q259</f>
        <v>0</v>
      </c>
      <c r="AR260" s="14">
        <f>[1]Sheet2!R259</f>
        <v>0</v>
      </c>
      <c r="AS260" s="14">
        <f>[1]Sheet2!S259</f>
        <v>0</v>
      </c>
      <c r="AT260" s="14">
        <f>[1]Sheet2!T259</f>
        <v>0</v>
      </c>
      <c r="AU260" s="14">
        <f>[1]Sheet2!U259</f>
        <v>0</v>
      </c>
      <c r="AV260" s="14">
        <f>[1]Sheet2!V259</f>
        <v>0</v>
      </c>
      <c r="AW260" s="14">
        <f>[1]Sheet2!W259</f>
        <v>0</v>
      </c>
      <c r="AX260" s="14">
        <f>[1]Sheet2!X259</f>
        <v>0</v>
      </c>
      <c r="AY260" s="14">
        <f>[1]Sheet2!Y259</f>
        <v>0</v>
      </c>
      <c r="AZ260" s="16">
        <f>Demand_LP!B$11/30</f>
        <v>902.60591613247857</v>
      </c>
      <c r="BA260" s="16">
        <f>Demand_LP!C$11/30</f>
        <v>593.76410256410259</v>
      </c>
      <c r="BB260" s="16">
        <f>Demand_LP!D$11/30</f>
        <v>290.27136752136749</v>
      </c>
      <c r="BC260" s="16">
        <f>Demand_LP!E$11/30</f>
        <v>790.42628205128199</v>
      </c>
      <c r="BD260" s="16">
        <f>Demand_LP!F$11/30</f>
        <v>538.46224626068363</v>
      </c>
      <c r="BE260" s="16">
        <f>Demand_LP!G$11/30</f>
        <v>538.46224626068363</v>
      </c>
      <c r="BF260" s="16">
        <f>Demand_LP!H$11/30</f>
        <v>593.76410256410259</v>
      </c>
      <c r="BG260" s="16">
        <f>Demand_LP!I$11/30</f>
        <v>538.46224626068363</v>
      </c>
      <c r="BH260" s="16">
        <f>Demand_LP!J$11/30</f>
        <v>538.46224626068363</v>
      </c>
      <c r="BI260" s="16">
        <f>Demand_LP!K$11/30</f>
        <v>538.46224626068363</v>
      </c>
      <c r="BJ260" s="16">
        <f t="shared" si="106"/>
        <v>-192622.0442294672</v>
      </c>
      <c r="BK260" s="16">
        <f t="shared" si="107"/>
        <v>-147455.8384615384</v>
      </c>
      <c r="BL260" s="16">
        <f t="shared" si="108"/>
        <v>-71654.399145299263</v>
      </c>
      <c r="BM260" s="16">
        <f t="shared" si="109"/>
        <v>-187896.64998377091</v>
      </c>
      <c r="BN260" s="16">
        <f t="shared" si="110"/>
        <v>-108033.64155171493</v>
      </c>
      <c r="BO260" s="16">
        <f t="shared" si="111"/>
        <v>-110798.32547008566</v>
      </c>
      <c r="BP260" s="16">
        <f t="shared" si="112"/>
        <v>-141813.41794871775</v>
      </c>
      <c r="BQ260" s="16">
        <f t="shared" si="113"/>
        <v>-110798.32547008566</v>
      </c>
      <c r="BR260" s="16">
        <f t="shared" si="114"/>
        <v>-108398.32547008571</v>
      </c>
      <c r="BS260" s="16">
        <f t="shared" si="115"/>
        <v>-109098.32547008569</v>
      </c>
      <c r="BT260" s="14">
        <f>IF([1]Sheet2!CB259=999999,"NA",[1]Sheet2!CB259)</f>
        <v>0</v>
      </c>
      <c r="BU260" s="14">
        <f>IF([1]Sheet2!CC259=999999,"NA",[1]Sheet2!CC259)</f>
        <v>0</v>
      </c>
      <c r="BV260" s="14">
        <f>IF([1]Sheet2!CD259=999999,"NA",[1]Sheet2!CD259)</f>
        <v>0</v>
      </c>
      <c r="BW260" s="14">
        <f>IF([1]Sheet2!CE259=999999,"NA",[1]Sheet2!CE259)</f>
        <v>0</v>
      </c>
      <c r="BX260" s="14">
        <f>IF([1]Sheet2!CF259=999999,"NA",[1]Sheet2!CF259)</f>
        <v>0</v>
      </c>
      <c r="BY260" s="14">
        <f>IF([1]Sheet2!CG259=999999,"NA",[1]Sheet2!CG259)</f>
        <v>0</v>
      </c>
      <c r="BZ260" s="14">
        <f>IF([1]Sheet2!CH259=999999,"NA",[1]Sheet2!CH259)</f>
        <v>0</v>
      </c>
      <c r="CA260" s="14">
        <f>IF([1]Sheet2!CI259=999999,"NA",[1]Sheet2!CI259)</f>
        <v>0</v>
      </c>
      <c r="CB260" s="14">
        <f>IF([1]Sheet2!CJ259=999999,"NA",[1]Sheet2!CJ259)</f>
        <v>0</v>
      </c>
      <c r="CC260" s="14">
        <f>IF([1]Sheet2!CK259=999999,"NA",[1]Sheet2!CK259)</f>
        <v>0</v>
      </c>
      <c r="CD260" s="14">
        <f>[1]Sheet2!BH259</f>
        <v>0</v>
      </c>
      <c r="CE260" s="14">
        <f>[1]Sheet2!BI259</f>
        <v>0</v>
      </c>
      <c r="CF260" s="14">
        <f>[1]Sheet2!BJ259</f>
        <v>0</v>
      </c>
      <c r="CG260" s="14">
        <f>[1]Sheet2!BK259</f>
        <v>0</v>
      </c>
      <c r="CH260" s="14">
        <f>[1]Sheet2!BL259</f>
        <v>0</v>
      </c>
      <c r="CI260" s="14">
        <f>[1]Sheet2!BM259</f>
        <v>0</v>
      </c>
      <c r="CJ260" s="14">
        <f>[1]Sheet2!BN259</f>
        <v>0</v>
      </c>
      <c r="CK260" s="14">
        <f>[1]Sheet2!BO259</f>
        <v>0</v>
      </c>
      <c r="CL260" s="14">
        <f>[1]Sheet2!BP259</f>
        <v>0</v>
      </c>
      <c r="CM260" s="14">
        <f>[1]Sheet2!BQ259</f>
        <v>0</v>
      </c>
      <c r="CN260" s="16">
        <f>Demand_SW!B$11/30</f>
        <v>144.23076923076923</v>
      </c>
      <c r="CO260" s="16">
        <f>Demand_SW!C$11/30</f>
        <v>0</v>
      </c>
      <c r="CP260" s="16">
        <f>Demand_SW!D$11/30</f>
        <v>0</v>
      </c>
      <c r="CQ260" s="16">
        <f>Demand_SW!E$11/30</f>
        <v>0</v>
      </c>
      <c r="CR260" s="16">
        <f>Demand_SW!F$11/30</f>
        <v>0</v>
      </c>
      <c r="CS260" s="16">
        <f>Demand_SW!G$11/30</f>
        <v>144.23076923076923</v>
      </c>
      <c r="CT260" s="16">
        <f>Demand_SW!H$11/30</f>
        <v>0</v>
      </c>
      <c r="CU260" s="16">
        <f>Demand_SW!I$11/30</f>
        <v>0</v>
      </c>
      <c r="CV260" s="16">
        <f>Demand_SW!J$11/30</f>
        <v>0</v>
      </c>
      <c r="CW260" s="16">
        <f>Demand_SW!K$11/30</f>
        <v>0</v>
      </c>
      <c r="CX260" s="16">
        <f t="shared" si="116"/>
        <v>-29740.00000000004</v>
      </c>
      <c r="CY260" s="16">
        <f t="shared" si="117"/>
        <v>76.923076923077133</v>
      </c>
      <c r="CZ260" s="16">
        <f t="shared" si="118"/>
        <v>0</v>
      </c>
      <c r="DA260" s="16">
        <f t="shared" si="119"/>
        <v>0</v>
      </c>
      <c r="DB260" s="16">
        <f t="shared" si="120"/>
        <v>0</v>
      </c>
      <c r="DC260" s="16">
        <f t="shared" si="121"/>
        <v>-29269.23076923081</v>
      </c>
      <c r="DD260" s="16">
        <f t="shared" si="122"/>
        <v>76.923076923077133</v>
      </c>
      <c r="DE260" s="16">
        <f t="shared" si="123"/>
        <v>0</v>
      </c>
      <c r="DF260" s="16">
        <f t="shared" si="124"/>
        <v>0</v>
      </c>
      <c r="DG260" s="16">
        <f t="shared" si="125"/>
        <v>0</v>
      </c>
      <c r="DH260" s="14">
        <f>IF([1]Sheet2!DS259=999999,"NA",[1]Sheet2!DS259)</f>
        <v>0</v>
      </c>
      <c r="DI260" s="14">
        <f>IF([1]Sheet2!DT259=999999,"NA",[1]Sheet2!DT259)</f>
        <v>108</v>
      </c>
      <c r="DJ260" s="14" t="str">
        <f>IF([1]Sheet2!DU259=999999,"NA",[1]Sheet2!DU259)</f>
        <v>NA</v>
      </c>
      <c r="DK260" s="14" t="str">
        <f>IF([1]Sheet2!DV259=999999,"NA",[1]Sheet2!DV259)</f>
        <v>NA</v>
      </c>
      <c r="DL260" s="14" t="str">
        <f>IF([1]Sheet2!DW259=999999,"NA",[1]Sheet2!DW259)</f>
        <v>NA</v>
      </c>
      <c r="DM260" s="14">
        <f>IF([1]Sheet2!DX259=999999,"NA",[1]Sheet2!DX259)</f>
        <v>0</v>
      </c>
      <c r="DN260" s="14">
        <f>IF([1]Sheet2!DY259=999999,"NA",[1]Sheet2!DY259)</f>
        <v>108</v>
      </c>
      <c r="DO260" s="14" t="str">
        <f>IF([1]Sheet2!DZ259=999999,"NA",[1]Sheet2!DZ259)</f>
        <v>NA</v>
      </c>
      <c r="DP260" s="14" t="str">
        <f>IF([1]Sheet2!EA259=999999,"NA",[1]Sheet2!EA259)</f>
        <v>NA</v>
      </c>
      <c r="DQ260" s="14" t="str">
        <f>IF([1]Sheet2!EB259=999999,"NA",[1]Sheet2!EB259)</f>
        <v>NA</v>
      </c>
      <c r="DR260" s="14">
        <f>[1]Sheet2!CY259</f>
        <v>0</v>
      </c>
      <c r="DS260" s="14">
        <f>[1]Sheet2!CZ259</f>
        <v>0</v>
      </c>
      <c r="DT260" s="14">
        <f>[1]Sheet2!DA259</f>
        <v>0</v>
      </c>
      <c r="DU260" s="14">
        <f>[1]Sheet2!DB259</f>
        <v>0</v>
      </c>
      <c r="DV260" s="14">
        <f>[1]Sheet2!DC259</f>
        <v>0</v>
      </c>
      <c r="DW260" s="14">
        <f>[1]Sheet2!DD259</f>
        <v>0</v>
      </c>
      <c r="DX260" s="14">
        <f>[1]Sheet2!DE259</f>
        <v>0</v>
      </c>
      <c r="DY260" s="14">
        <f>[1]Sheet2!DF259</f>
        <v>0</v>
      </c>
      <c r="DZ260" s="14">
        <f>[1]Sheet2!DG259</f>
        <v>0</v>
      </c>
      <c r="EA260" s="14">
        <f>[1]Sheet2!DH259</f>
        <v>0</v>
      </c>
      <c r="EB260" s="6">
        <f>[1]Sheet2!EC259</f>
        <v>0</v>
      </c>
      <c r="EC260" s="6">
        <f>[1]Sheet2!ED259</f>
        <v>0</v>
      </c>
      <c r="ED260" s="6">
        <f>[1]Sheet2!EE259</f>
        <v>0</v>
      </c>
      <c r="EE260" s="6">
        <f>[1]Sheet2!EF259</f>
        <v>0</v>
      </c>
      <c r="EF260" s="6">
        <f>[1]Sheet2!EG259</f>
        <v>0</v>
      </c>
      <c r="EG260" s="6">
        <f>[1]Sheet2!EH259</f>
        <v>0</v>
      </c>
      <c r="EH260" s="6">
        <f>[1]Sheet2!EI259</f>
        <v>0</v>
      </c>
      <c r="EI260" s="6">
        <f>[1]Sheet2!EJ259</f>
        <v>0</v>
      </c>
      <c r="EJ260" s="6">
        <f>[1]Sheet2!EK259</f>
        <v>0</v>
      </c>
      <c r="EK260" s="6">
        <f>[1]Sheet2!EL259</f>
        <v>0</v>
      </c>
      <c r="EL260" s="6" t="str">
        <f>[1]Sheet2!EM259</f>
        <v/>
      </c>
      <c r="EM260" s="6" t="str">
        <f>[1]Sheet2!EN259</f>
        <v/>
      </c>
      <c r="EN260" s="6" t="str">
        <f>[1]Sheet2!EO259</f>
        <v/>
      </c>
      <c r="EO260" s="6" t="str">
        <f>[1]Sheet2!EP259</f>
        <v/>
      </c>
      <c r="EP260" s="6" t="str">
        <f>[1]Sheet2!EQ259</f>
        <v/>
      </c>
      <c r="EQ260" s="6" t="str">
        <f>[1]Sheet2!ER259</f>
        <v/>
      </c>
      <c r="ER260" s="6" t="str">
        <f>[1]Sheet2!ES259</f>
        <v/>
      </c>
      <c r="ES260" s="6" t="str">
        <f>[1]Sheet2!ET259</f>
        <v/>
      </c>
      <c r="ET260" s="6" t="str">
        <f>[1]Sheet2!EU259</f>
        <v/>
      </c>
      <c r="EU260" s="6" t="str">
        <f>[1]Sheet2!EV259</f>
        <v/>
      </c>
      <c r="EV260" s="6" t="str">
        <f>[1]Sheet2!EW259</f>
        <v/>
      </c>
      <c r="EW260" s="6" t="str">
        <f>[1]Sheet2!EX259</f>
        <v/>
      </c>
      <c r="EX260" s="6" t="str">
        <f>[1]Sheet2!EY259</f>
        <v/>
      </c>
      <c r="EY260" s="6" t="str">
        <f>[1]Sheet2!EZ259</f>
        <v/>
      </c>
      <c r="EZ260" s="6" t="str">
        <f>[1]Sheet2!FA259</f>
        <v/>
      </c>
      <c r="FA260" s="6" t="str">
        <f>[1]Sheet2!FB259</f>
        <v/>
      </c>
      <c r="FB260" s="6" t="str">
        <f>[1]Sheet2!FC259</f>
        <v/>
      </c>
      <c r="FC260" s="6" t="str">
        <f>[1]Sheet2!FD259</f>
        <v/>
      </c>
      <c r="FD260" s="6" t="str">
        <f>[1]Sheet2!FE259</f>
        <v/>
      </c>
      <c r="FE260" s="6" t="str">
        <f>[1]Sheet2!FF259</f>
        <v/>
      </c>
      <c r="FF260" s="6" t="str">
        <f>[1]Sheet2!FG259</f>
        <v/>
      </c>
      <c r="FG260" s="6" t="str">
        <f>[1]Sheet2!FH259</f>
        <v/>
      </c>
      <c r="FH260" s="6" t="str">
        <f>[1]Sheet2!FI259</f>
        <v/>
      </c>
      <c r="FI260" s="6" t="str">
        <f>[1]Sheet2!FJ259</f>
        <v/>
      </c>
      <c r="FJ260" s="6" t="str">
        <f>[1]Sheet2!FK259</f>
        <v/>
      </c>
      <c r="FK260" s="6" t="str">
        <f>[1]Sheet2!FL259</f>
        <v/>
      </c>
      <c r="FL260" s="6" t="str">
        <f>[1]Sheet2!FM259</f>
        <v/>
      </c>
      <c r="FM260" s="6" t="str">
        <f>[1]Sheet2!FN259</f>
        <v/>
      </c>
      <c r="FN260" s="6" t="str">
        <f>[1]Sheet2!FO259</f>
        <v/>
      </c>
      <c r="FO260" s="6" t="str">
        <f>[1]Sheet2!FP259</f>
        <v/>
      </c>
    </row>
    <row r="261" spans="1:171" x14ac:dyDescent="0.25">
      <c r="A261" s="15">
        <v>43723</v>
      </c>
      <c r="B261" s="1"/>
      <c r="C261" s="1"/>
      <c r="D261" s="1"/>
      <c r="E261" s="14">
        <f>[1]Sheet2!N260</f>
        <v>0</v>
      </c>
      <c r="F261" s="14">
        <f>[1]Sheet2!BE260</f>
        <v>0</v>
      </c>
      <c r="G261" s="14">
        <f>[1]Sheet2!CW260</f>
        <v>0</v>
      </c>
      <c r="H261" s="1"/>
      <c r="I261" s="1"/>
      <c r="J261" s="1"/>
      <c r="K261" s="16"/>
      <c r="L261" s="16">
        <f>Demand_CWRS!B$11/30</f>
        <v>118.04546474358973</v>
      </c>
      <c r="M261" s="16">
        <f>Demand_CWRS!C$11/30</f>
        <v>491.39401709401704</v>
      </c>
      <c r="N261" s="16">
        <f>Demand_CWRS!D$11/30</f>
        <v>0</v>
      </c>
      <c r="O261" s="16">
        <f>Demand_CWRS!E$11/30</f>
        <v>107.84935897435898</v>
      </c>
      <c r="P261" s="16">
        <f>Demand_CWRS!F$11/30</f>
        <v>218.22274305555553</v>
      </c>
      <c r="Q261" s="16">
        <f>Demand_CWRS!G$11/30</f>
        <v>118.04546474358973</v>
      </c>
      <c r="R261" s="16">
        <f>Demand_CWRS!H$11/30</f>
        <v>218.22274305555553</v>
      </c>
      <c r="S261" s="16">
        <f>Demand_CWRS!I$11/30</f>
        <v>218.22274305555553</v>
      </c>
      <c r="T261" s="16">
        <f>Demand_CWRS!J$11/30</f>
        <v>218.22274305555553</v>
      </c>
      <c r="U261" s="16">
        <f>Demand_CWRS!K$11/30</f>
        <v>218.22274305555553</v>
      </c>
      <c r="V261" s="16">
        <f t="shared" ref="V261:V324" si="126">IF(EL261="",V260-L261+AP261,EL261)</f>
        <v>-32138.314181627244</v>
      </c>
      <c r="W261" s="16">
        <f t="shared" ref="W261:W324" si="127">IF(EM261="",W260-M261+AQ261,EM261)</f>
        <v>-127476.74358974324</v>
      </c>
      <c r="X261" s="16">
        <f t="shared" ref="X261:X324" si="128">IF(EN261="",X260-N261+AR261,EN261)</f>
        <v>0</v>
      </c>
      <c r="Y261" s="16">
        <f t="shared" ref="Y261:Y324" si="129">IF(EO261="",Y260-O261+AS261,EO261)</f>
        <v>-23905.73488315479</v>
      </c>
      <c r="Z261" s="16">
        <f t="shared" ref="Z261:Z324" si="130">IF(EP261="",Z260-P261+AT261,EP261)</f>
        <v>-50755.865397293906</v>
      </c>
      <c r="AA261" s="16">
        <f t="shared" ref="AA261:AA324" si="131">IF(EQ261="",AA260-Q261+AU261,EQ261)</f>
        <v>-30666.381657588852</v>
      </c>
      <c r="AB261" s="16">
        <f t="shared" ref="AB261:AB324" si="132">IF(ER261="",AB260-R261+AV261,ER261)</f>
        <v>-60293.030172934865</v>
      </c>
      <c r="AC261" s="16">
        <f t="shared" ref="AC261:AC324" si="133">IF(ES261="",AC260-S261+AW261,ES261)</f>
        <v>-54500.019916524674</v>
      </c>
      <c r="AD261" s="16">
        <f t="shared" ref="AD261:AD324" si="134">IF(ET261="",AD260-T261+AX261,ET261)</f>
        <v>-54600.019916524667</v>
      </c>
      <c r="AE261" s="16">
        <f t="shared" ref="AE261:AE324" si="135">IF(EU261="",AE260-U261+AY261,EU261)</f>
        <v>-55200.019916524659</v>
      </c>
      <c r="AF261" s="14">
        <f>IF([1]Sheet2!AJ260=999999,"NA",[1]Sheet2!AJ260)</f>
        <v>0</v>
      </c>
      <c r="AG261" s="14">
        <f>IF([1]Sheet2!AK260=999999,"NA",[1]Sheet2!AK260)</f>
        <v>0</v>
      </c>
      <c r="AH261" s="14" t="str">
        <f>IF([1]Sheet2!AL260=999999,"NA",[1]Sheet2!AL260)</f>
        <v>NA</v>
      </c>
      <c r="AI261" s="14">
        <f>IF([1]Sheet2!AM260=999999,"NA",[1]Sheet2!AM260)</f>
        <v>0</v>
      </c>
      <c r="AJ261" s="14">
        <f>IF([1]Sheet2!AN260=999999,"NA",[1]Sheet2!AN260)</f>
        <v>0</v>
      </c>
      <c r="AK261" s="14">
        <f>IF([1]Sheet2!AO260=999999,"NA",[1]Sheet2!AO260)</f>
        <v>0</v>
      </c>
      <c r="AL261" s="14">
        <f>IF([1]Sheet2!AP260=999999,"NA",[1]Sheet2!AP260)</f>
        <v>0</v>
      </c>
      <c r="AM261" s="14">
        <f>IF([1]Sheet2!AQ260=999999,"NA",[1]Sheet2!AQ260)</f>
        <v>0</v>
      </c>
      <c r="AN261" s="14">
        <f>IF([1]Sheet2!AR260=999999,"NA",[1]Sheet2!AR260)</f>
        <v>0</v>
      </c>
      <c r="AO261" s="14">
        <f>IF([1]Sheet2!AS260=999999,"NA",[1]Sheet2!AS260)</f>
        <v>0</v>
      </c>
      <c r="AP261" s="14">
        <f>[1]Sheet2!P260</f>
        <v>0</v>
      </c>
      <c r="AQ261" s="14">
        <f>[1]Sheet2!Q260</f>
        <v>0</v>
      </c>
      <c r="AR261" s="14">
        <f>[1]Sheet2!R260</f>
        <v>0</v>
      </c>
      <c r="AS261" s="14">
        <f>[1]Sheet2!S260</f>
        <v>0</v>
      </c>
      <c r="AT261" s="14">
        <f>[1]Sheet2!T260</f>
        <v>0</v>
      </c>
      <c r="AU261" s="14">
        <f>[1]Sheet2!U260</f>
        <v>0</v>
      </c>
      <c r="AV261" s="14">
        <f>[1]Sheet2!V260</f>
        <v>0</v>
      </c>
      <c r="AW261" s="14">
        <f>[1]Sheet2!W260</f>
        <v>0</v>
      </c>
      <c r="AX261" s="14">
        <f>[1]Sheet2!X260</f>
        <v>0</v>
      </c>
      <c r="AY261" s="14">
        <f>[1]Sheet2!Y260</f>
        <v>0</v>
      </c>
      <c r="AZ261" s="16">
        <f>Demand_LP!B$11/30</f>
        <v>902.60591613247857</v>
      </c>
      <c r="BA261" s="16">
        <f>Demand_LP!C$11/30</f>
        <v>593.76410256410259</v>
      </c>
      <c r="BB261" s="16">
        <f>Demand_LP!D$11/30</f>
        <v>290.27136752136749</v>
      </c>
      <c r="BC261" s="16">
        <f>Demand_LP!E$11/30</f>
        <v>790.42628205128199</v>
      </c>
      <c r="BD261" s="16">
        <f>Demand_LP!F$11/30</f>
        <v>538.46224626068363</v>
      </c>
      <c r="BE261" s="16">
        <f>Demand_LP!G$11/30</f>
        <v>538.46224626068363</v>
      </c>
      <c r="BF261" s="16">
        <f>Demand_LP!H$11/30</f>
        <v>593.76410256410259</v>
      </c>
      <c r="BG261" s="16">
        <f>Demand_LP!I$11/30</f>
        <v>538.46224626068363</v>
      </c>
      <c r="BH261" s="16">
        <f>Demand_LP!J$11/30</f>
        <v>538.46224626068363</v>
      </c>
      <c r="BI261" s="16">
        <f>Demand_LP!K$11/30</f>
        <v>538.46224626068363</v>
      </c>
      <c r="BJ261" s="16">
        <f t="shared" ref="BJ261:BJ324" si="136">IF(EV261="",BJ260-AZ261+CD261,EV261)</f>
        <v>-193524.65014559968</v>
      </c>
      <c r="BK261" s="16">
        <f t="shared" ref="BK261:BK324" si="137">IF(EW261="",BK260-BA261+CE261,EW261)</f>
        <v>-148049.6025641025</v>
      </c>
      <c r="BL261" s="16">
        <f t="shared" ref="BL261:BL324" si="138">IF(EX261="",BL260-BB261+CF261,EX261)</f>
        <v>-71944.670512820638</v>
      </c>
      <c r="BM261" s="16">
        <f t="shared" ref="BM261:BM324" si="139">IF(EY261="",BM260-BC261+CG261,EY261)</f>
        <v>-188687.07626582219</v>
      </c>
      <c r="BN261" s="16">
        <f t="shared" ref="BN261:BN324" si="140">IF(EZ261="",BN260-BD261+CH261,EZ261)</f>
        <v>-108572.10379797561</v>
      </c>
      <c r="BO261" s="16">
        <f t="shared" ref="BO261:BO324" si="141">IF(FA261="",BO260-BE261+CI261,FA261)</f>
        <v>-111336.78771634634</v>
      </c>
      <c r="BP261" s="16">
        <f t="shared" ref="BP261:BP324" si="142">IF(FB261="",BP260-BF261+CJ261,FB261)</f>
        <v>-142407.18205128185</v>
      </c>
      <c r="BQ261" s="16">
        <f t="shared" ref="BQ261:BQ324" si="143">IF(FC261="",BQ260-BG261+CK261,FC261)</f>
        <v>-111336.78771634634</v>
      </c>
      <c r="BR261" s="16">
        <f t="shared" ref="BR261:BR324" si="144">IF(FD261="",BR260-BH261+CL261,FD261)</f>
        <v>-108936.78771634639</v>
      </c>
      <c r="BS261" s="16">
        <f t="shared" ref="BS261:BS324" si="145">IF(FE261="",BS260-BI261+CM261,FE261)</f>
        <v>-109636.78771634637</v>
      </c>
      <c r="BT261" s="14">
        <f>IF([1]Sheet2!CB260=999999,"NA",[1]Sheet2!CB260)</f>
        <v>0</v>
      </c>
      <c r="BU261" s="14">
        <f>IF([1]Sheet2!CC260=999999,"NA",[1]Sheet2!CC260)</f>
        <v>0</v>
      </c>
      <c r="BV261" s="14">
        <f>IF([1]Sheet2!CD260=999999,"NA",[1]Sheet2!CD260)</f>
        <v>0</v>
      </c>
      <c r="BW261" s="14">
        <f>IF([1]Sheet2!CE260=999999,"NA",[1]Sheet2!CE260)</f>
        <v>0</v>
      </c>
      <c r="BX261" s="14">
        <f>IF([1]Sheet2!CF260=999999,"NA",[1]Sheet2!CF260)</f>
        <v>0</v>
      </c>
      <c r="BY261" s="14">
        <f>IF([1]Sheet2!CG260=999999,"NA",[1]Sheet2!CG260)</f>
        <v>0</v>
      </c>
      <c r="BZ261" s="14">
        <f>IF([1]Sheet2!CH260=999999,"NA",[1]Sheet2!CH260)</f>
        <v>0</v>
      </c>
      <c r="CA261" s="14">
        <f>IF([1]Sheet2!CI260=999999,"NA",[1]Sheet2!CI260)</f>
        <v>0</v>
      </c>
      <c r="CB261" s="14">
        <f>IF([1]Sheet2!CJ260=999999,"NA",[1]Sheet2!CJ260)</f>
        <v>0</v>
      </c>
      <c r="CC261" s="14">
        <f>IF([1]Sheet2!CK260=999999,"NA",[1]Sheet2!CK260)</f>
        <v>0</v>
      </c>
      <c r="CD261" s="14">
        <f>[1]Sheet2!BH260</f>
        <v>0</v>
      </c>
      <c r="CE261" s="14">
        <f>[1]Sheet2!BI260</f>
        <v>0</v>
      </c>
      <c r="CF261" s="14">
        <f>[1]Sheet2!BJ260</f>
        <v>0</v>
      </c>
      <c r="CG261" s="14">
        <f>[1]Sheet2!BK260</f>
        <v>0</v>
      </c>
      <c r="CH261" s="14">
        <f>[1]Sheet2!BL260</f>
        <v>0</v>
      </c>
      <c r="CI261" s="14">
        <f>[1]Sheet2!BM260</f>
        <v>0</v>
      </c>
      <c r="CJ261" s="14">
        <f>[1]Sheet2!BN260</f>
        <v>0</v>
      </c>
      <c r="CK261" s="14">
        <f>[1]Sheet2!BO260</f>
        <v>0</v>
      </c>
      <c r="CL261" s="14">
        <f>[1]Sheet2!BP260</f>
        <v>0</v>
      </c>
      <c r="CM261" s="14">
        <f>[1]Sheet2!BQ260</f>
        <v>0</v>
      </c>
      <c r="CN261" s="16">
        <f>Demand_SW!B$11/30</f>
        <v>144.23076923076923</v>
      </c>
      <c r="CO261" s="16">
        <f>Demand_SW!C$11/30</f>
        <v>0</v>
      </c>
      <c r="CP261" s="16">
        <f>Demand_SW!D$11/30</f>
        <v>0</v>
      </c>
      <c r="CQ261" s="16">
        <f>Demand_SW!E$11/30</f>
        <v>0</v>
      </c>
      <c r="CR261" s="16">
        <f>Demand_SW!F$11/30</f>
        <v>0</v>
      </c>
      <c r="CS261" s="16">
        <f>Demand_SW!G$11/30</f>
        <v>144.23076923076923</v>
      </c>
      <c r="CT261" s="16">
        <f>Demand_SW!H$11/30</f>
        <v>0</v>
      </c>
      <c r="CU261" s="16">
        <f>Demand_SW!I$11/30</f>
        <v>0</v>
      </c>
      <c r="CV261" s="16">
        <f>Demand_SW!J$11/30</f>
        <v>0</v>
      </c>
      <c r="CW261" s="16">
        <f>Demand_SW!K$11/30</f>
        <v>0</v>
      </c>
      <c r="CX261" s="16">
        <f t="shared" ref="CX261:CX324" si="146">IF(FF261="",CX260-CN261+DR261,FF261)</f>
        <v>-25384.23076923081</v>
      </c>
      <c r="CY261" s="16">
        <f t="shared" ref="CY261:CY324" si="147">IF(FG261="",CY260-CO261+DS261,FG261)</f>
        <v>76.923076923077133</v>
      </c>
      <c r="CZ261" s="16">
        <f t="shared" ref="CZ261:CZ324" si="148">IF(FH261="",CZ260-CP261+DT261,FH261)</f>
        <v>0</v>
      </c>
      <c r="DA261" s="16">
        <f t="shared" ref="DA261:DA324" si="149">IF(FI261="",DA260-CQ261+DU261,FI261)</f>
        <v>0</v>
      </c>
      <c r="DB261" s="16">
        <f t="shared" ref="DB261:DB324" si="150">IF(FJ261="",DB260-CR261+DV261,FJ261)</f>
        <v>0</v>
      </c>
      <c r="DC261" s="16">
        <f t="shared" ref="DC261:DC324" si="151">IF(FK261="",DC260-CS261+DW261,FK261)</f>
        <v>-29413.461538461579</v>
      </c>
      <c r="DD261" s="16">
        <f t="shared" ref="DD261:DD324" si="152">IF(FL261="",DD260-CT261+DX261,FL261)</f>
        <v>76.923076923077133</v>
      </c>
      <c r="DE261" s="16">
        <f t="shared" ref="DE261:DE324" si="153">IF(FM261="",DE260-CU261+DY261,FM261)</f>
        <v>0</v>
      </c>
      <c r="DF261" s="16">
        <f t="shared" ref="DF261:DF324" si="154">IF(FN261="",DF260-CV261+DZ261,FN261)</f>
        <v>0</v>
      </c>
      <c r="DG261" s="16">
        <f t="shared" ref="DG261:DG324" si="155">IF(FO261="",DG260-CW261+EA261,FO261)</f>
        <v>0</v>
      </c>
      <c r="DH261" s="14">
        <f>IF([1]Sheet2!DS260=999999,"NA",[1]Sheet2!DS260)</f>
        <v>0</v>
      </c>
      <c r="DI261" s="14">
        <f>IF([1]Sheet2!DT260=999999,"NA",[1]Sheet2!DT260)</f>
        <v>107</v>
      </c>
      <c r="DJ261" s="14" t="str">
        <f>IF([1]Sheet2!DU260=999999,"NA",[1]Sheet2!DU260)</f>
        <v>NA</v>
      </c>
      <c r="DK261" s="14" t="str">
        <f>IF([1]Sheet2!DV260=999999,"NA",[1]Sheet2!DV260)</f>
        <v>NA</v>
      </c>
      <c r="DL261" s="14" t="str">
        <f>IF([1]Sheet2!DW260=999999,"NA",[1]Sheet2!DW260)</f>
        <v>NA</v>
      </c>
      <c r="DM261" s="14">
        <f>IF([1]Sheet2!DX260=999999,"NA",[1]Sheet2!DX260)</f>
        <v>0</v>
      </c>
      <c r="DN261" s="14">
        <f>IF([1]Sheet2!DY260=999999,"NA",[1]Sheet2!DY260)</f>
        <v>107</v>
      </c>
      <c r="DO261" s="14" t="str">
        <f>IF([1]Sheet2!DZ260=999999,"NA",[1]Sheet2!DZ260)</f>
        <v>NA</v>
      </c>
      <c r="DP261" s="14" t="str">
        <f>IF([1]Sheet2!EA260=999999,"NA",[1]Sheet2!EA260)</f>
        <v>NA</v>
      </c>
      <c r="DQ261" s="14" t="str">
        <f>IF([1]Sheet2!EB260=999999,"NA",[1]Sheet2!EB260)</f>
        <v>NA</v>
      </c>
      <c r="DR261" s="45">
        <f>[1]Sheet2!CY260</f>
        <v>4500</v>
      </c>
      <c r="DS261" s="14">
        <f>[1]Sheet2!CZ260</f>
        <v>0</v>
      </c>
      <c r="DT261" s="14">
        <f>[1]Sheet2!DA260</f>
        <v>0</v>
      </c>
      <c r="DU261" s="14">
        <f>[1]Sheet2!DB260</f>
        <v>0</v>
      </c>
      <c r="DV261" s="14">
        <f>[1]Sheet2!DC260</f>
        <v>0</v>
      </c>
      <c r="DW261" s="14">
        <f>[1]Sheet2!DD260</f>
        <v>0</v>
      </c>
      <c r="DX261" s="14">
        <f>[1]Sheet2!DE260</f>
        <v>0</v>
      </c>
      <c r="DY261" s="14">
        <f>[1]Sheet2!DF260</f>
        <v>0</v>
      </c>
      <c r="DZ261" s="14">
        <f>[1]Sheet2!DG260</f>
        <v>0</v>
      </c>
      <c r="EA261" s="14">
        <f>[1]Sheet2!DH260</f>
        <v>0</v>
      </c>
      <c r="EB261" s="6">
        <f>[1]Sheet2!EC260</f>
        <v>0</v>
      </c>
      <c r="EC261" s="6">
        <f>[1]Sheet2!ED260</f>
        <v>0</v>
      </c>
      <c r="ED261" s="6">
        <f>[1]Sheet2!EE260</f>
        <v>0</v>
      </c>
      <c r="EE261" s="6">
        <f>[1]Sheet2!EF260</f>
        <v>0</v>
      </c>
      <c r="EF261" s="6">
        <f>[1]Sheet2!EG260</f>
        <v>0</v>
      </c>
      <c r="EG261" s="6">
        <f>[1]Sheet2!EH260</f>
        <v>0</v>
      </c>
      <c r="EH261" s="6">
        <f>[1]Sheet2!EI260</f>
        <v>0</v>
      </c>
      <c r="EI261" s="6">
        <f>[1]Sheet2!EJ260</f>
        <v>0</v>
      </c>
      <c r="EJ261" s="6">
        <f>[1]Sheet2!EK260</f>
        <v>0</v>
      </c>
      <c r="EK261" s="6">
        <f>[1]Sheet2!EL260</f>
        <v>0</v>
      </c>
      <c r="EL261" s="6" t="str">
        <f>[1]Sheet2!EM260</f>
        <v/>
      </c>
      <c r="EM261" s="6" t="str">
        <f>[1]Sheet2!EN260</f>
        <v/>
      </c>
      <c r="EN261" s="6" t="str">
        <f>[1]Sheet2!EO260</f>
        <v/>
      </c>
      <c r="EO261" s="6" t="str">
        <f>[1]Sheet2!EP260</f>
        <v/>
      </c>
      <c r="EP261" s="6" t="str">
        <f>[1]Sheet2!EQ260</f>
        <v/>
      </c>
      <c r="EQ261" s="6" t="str">
        <f>[1]Sheet2!ER260</f>
        <v/>
      </c>
      <c r="ER261" s="6" t="str">
        <f>[1]Sheet2!ES260</f>
        <v/>
      </c>
      <c r="ES261" s="6" t="str">
        <f>[1]Sheet2!ET260</f>
        <v/>
      </c>
      <c r="ET261" s="6" t="str">
        <f>[1]Sheet2!EU260</f>
        <v/>
      </c>
      <c r="EU261" s="6" t="str">
        <f>[1]Sheet2!EV260</f>
        <v/>
      </c>
      <c r="EV261" s="6" t="str">
        <f>[1]Sheet2!EW260</f>
        <v/>
      </c>
      <c r="EW261" s="6" t="str">
        <f>[1]Sheet2!EX260</f>
        <v/>
      </c>
      <c r="EX261" s="6" t="str">
        <f>[1]Sheet2!EY260</f>
        <v/>
      </c>
      <c r="EY261" s="6" t="str">
        <f>[1]Sheet2!EZ260</f>
        <v/>
      </c>
      <c r="EZ261" s="6" t="str">
        <f>[1]Sheet2!FA260</f>
        <v/>
      </c>
      <c r="FA261" s="6" t="str">
        <f>[1]Sheet2!FB260</f>
        <v/>
      </c>
      <c r="FB261" s="6" t="str">
        <f>[1]Sheet2!FC260</f>
        <v/>
      </c>
      <c r="FC261" s="6" t="str">
        <f>[1]Sheet2!FD260</f>
        <v/>
      </c>
      <c r="FD261" s="6" t="str">
        <f>[1]Sheet2!FE260</f>
        <v/>
      </c>
      <c r="FE261" s="6" t="str">
        <f>[1]Sheet2!FF260</f>
        <v/>
      </c>
      <c r="FF261" s="6" t="str">
        <f>[1]Sheet2!FG260</f>
        <v/>
      </c>
      <c r="FG261" s="6" t="str">
        <f>[1]Sheet2!FH260</f>
        <v/>
      </c>
      <c r="FH261" s="6" t="str">
        <f>[1]Sheet2!FI260</f>
        <v/>
      </c>
      <c r="FI261" s="6" t="str">
        <f>[1]Sheet2!FJ260</f>
        <v/>
      </c>
      <c r="FJ261" s="6" t="str">
        <f>[1]Sheet2!FK260</f>
        <v/>
      </c>
      <c r="FK261" s="6" t="str">
        <f>[1]Sheet2!FL260</f>
        <v/>
      </c>
      <c r="FL261" s="6" t="str">
        <f>[1]Sheet2!FM260</f>
        <v/>
      </c>
      <c r="FM261" s="6" t="str">
        <f>[1]Sheet2!FN260</f>
        <v/>
      </c>
      <c r="FN261" s="6" t="str">
        <f>[1]Sheet2!FO260</f>
        <v/>
      </c>
      <c r="FO261" s="6" t="str">
        <f>[1]Sheet2!FP260</f>
        <v/>
      </c>
    </row>
    <row r="262" spans="1:171" x14ac:dyDescent="0.25">
      <c r="A262" s="15">
        <v>43724</v>
      </c>
      <c r="B262" s="1"/>
      <c r="C262" s="1"/>
      <c r="D262" s="1"/>
      <c r="E262" s="14">
        <f>[1]Sheet2!N261</f>
        <v>0</v>
      </c>
      <c r="F262" s="14">
        <f>[1]Sheet2!BE261</f>
        <v>0</v>
      </c>
      <c r="G262" s="14">
        <f>[1]Sheet2!CW261</f>
        <v>0</v>
      </c>
      <c r="H262" s="1"/>
      <c r="I262" s="1"/>
      <c r="J262" s="1"/>
      <c r="K262" s="16"/>
      <c r="L262" s="16">
        <f>Demand_CWRS!B$11/30</f>
        <v>118.04546474358973</v>
      </c>
      <c r="M262" s="16">
        <f>Demand_CWRS!C$11/30</f>
        <v>491.39401709401704</v>
      </c>
      <c r="N262" s="16">
        <f>Demand_CWRS!D$11/30</f>
        <v>0</v>
      </c>
      <c r="O262" s="16">
        <f>Demand_CWRS!E$11/30</f>
        <v>107.84935897435898</v>
      </c>
      <c r="P262" s="16">
        <f>Demand_CWRS!F$11/30</f>
        <v>218.22274305555553</v>
      </c>
      <c r="Q262" s="16">
        <f>Demand_CWRS!G$11/30</f>
        <v>118.04546474358973</v>
      </c>
      <c r="R262" s="16">
        <f>Demand_CWRS!H$11/30</f>
        <v>218.22274305555553</v>
      </c>
      <c r="S262" s="16">
        <f>Demand_CWRS!I$11/30</f>
        <v>218.22274305555553</v>
      </c>
      <c r="T262" s="16">
        <f>Demand_CWRS!J$11/30</f>
        <v>218.22274305555553</v>
      </c>
      <c r="U262" s="16">
        <f>Demand_CWRS!K$11/30</f>
        <v>218.22274305555553</v>
      </c>
      <c r="V262" s="16">
        <f t="shared" si="126"/>
        <v>-32256.359646370835</v>
      </c>
      <c r="W262" s="16">
        <f t="shared" si="127"/>
        <v>-127968.13760683726</v>
      </c>
      <c r="X262" s="16">
        <f t="shared" si="128"/>
        <v>0</v>
      </c>
      <c r="Y262" s="16">
        <f t="shared" si="129"/>
        <v>-24013.584242129149</v>
      </c>
      <c r="Z262" s="16">
        <f t="shared" si="130"/>
        <v>-50974.088140349464</v>
      </c>
      <c r="AA262" s="16">
        <f t="shared" si="131"/>
        <v>-30784.427122332443</v>
      </c>
      <c r="AB262" s="16">
        <f t="shared" si="132"/>
        <v>-60511.252915990422</v>
      </c>
      <c r="AC262" s="16">
        <f t="shared" si="133"/>
        <v>-54718.242659580232</v>
      </c>
      <c r="AD262" s="16">
        <f t="shared" si="134"/>
        <v>-54818.242659580224</v>
      </c>
      <c r="AE262" s="16">
        <f t="shared" si="135"/>
        <v>-55418.242659580217</v>
      </c>
      <c r="AF262" s="14">
        <f>IF([1]Sheet2!AJ261=999999,"NA",[1]Sheet2!AJ261)</f>
        <v>0</v>
      </c>
      <c r="AG262" s="14">
        <f>IF([1]Sheet2!AK261=999999,"NA",[1]Sheet2!AK261)</f>
        <v>0</v>
      </c>
      <c r="AH262" s="14" t="str">
        <f>IF([1]Sheet2!AL261=999999,"NA",[1]Sheet2!AL261)</f>
        <v>NA</v>
      </c>
      <c r="AI262" s="14">
        <f>IF([1]Sheet2!AM261=999999,"NA",[1]Sheet2!AM261)</f>
        <v>0</v>
      </c>
      <c r="AJ262" s="14">
        <f>IF([1]Sheet2!AN261=999999,"NA",[1]Sheet2!AN261)</f>
        <v>0</v>
      </c>
      <c r="AK262" s="14">
        <f>IF([1]Sheet2!AO261=999999,"NA",[1]Sheet2!AO261)</f>
        <v>0</v>
      </c>
      <c r="AL262" s="14">
        <f>IF([1]Sheet2!AP261=999999,"NA",[1]Sheet2!AP261)</f>
        <v>0</v>
      </c>
      <c r="AM262" s="14">
        <f>IF([1]Sheet2!AQ261=999999,"NA",[1]Sheet2!AQ261)</f>
        <v>0</v>
      </c>
      <c r="AN262" s="14">
        <f>IF([1]Sheet2!AR261=999999,"NA",[1]Sheet2!AR261)</f>
        <v>0</v>
      </c>
      <c r="AO262" s="14">
        <f>IF([1]Sheet2!AS261=999999,"NA",[1]Sheet2!AS261)</f>
        <v>0</v>
      </c>
      <c r="AP262" s="14">
        <f>[1]Sheet2!P261</f>
        <v>0</v>
      </c>
      <c r="AQ262" s="14">
        <f>[1]Sheet2!Q261</f>
        <v>0</v>
      </c>
      <c r="AR262" s="14">
        <f>[1]Sheet2!R261</f>
        <v>0</v>
      </c>
      <c r="AS262" s="14">
        <f>[1]Sheet2!S261</f>
        <v>0</v>
      </c>
      <c r="AT262" s="14">
        <f>[1]Sheet2!T261</f>
        <v>0</v>
      </c>
      <c r="AU262" s="14">
        <f>[1]Sheet2!U261</f>
        <v>0</v>
      </c>
      <c r="AV262" s="14">
        <f>[1]Sheet2!V261</f>
        <v>0</v>
      </c>
      <c r="AW262" s="14">
        <f>[1]Sheet2!W261</f>
        <v>0</v>
      </c>
      <c r="AX262" s="14">
        <f>[1]Sheet2!X261</f>
        <v>0</v>
      </c>
      <c r="AY262" s="14">
        <f>[1]Sheet2!Y261</f>
        <v>0</v>
      </c>
      <c r="AZ262" s="16">
        <f>Demand_LP!B$11/30</f>
        <v>902.60591613247857</v>
      </c>
      <c r="BA262" s="16">
        <f>Demand_LP!C$11/30</f>
        <v>593.76410256410259</v>
      </c>
      <c r="BB262" s="16">
        <f>Demand_LP!D$11/30</f>
        <v>290.27136752136749</v>
      </c>
      <c r="BC262" s="16">
        <f>Demand_LP!E$11/30</f>
        <v>790.42628205128199</v>
      </c>
      <c r="BD262" s="16">
        <f>Demand_LP!F$11/30</f>
        <v>538.46224626068363</v>
      </c>
      <c r="BE262" s="16">
        <f>Demand_LP!G$11/30</f>
        <v>538.46224626068363</v>
      </c>
      <c r="BF262" s="16">
        <f>Demand_LP!H$11/30</f>
        <v>593.76410256410259</v>
      </c>
      <c r="BG262" s="16">
        <f>Demand_LP!I$11/30</f>
        <v>538.46224626068363</v>
      </c>
      <c r="BH262" s="16">
        <f>Demand_LP!J$11/30</f>
        <v>538.46224626068363</v>
      </c>
      <c r="BI262" s="16">
        <f>Demand_LP!K$11/30</f>
        <v>538.46224626068363</v>
      </c>
      <c r="BJ262" s="16">
        <f t="shared" si="136"/>
        <v>-194427.25606173216</v>
      </c>
      <c r="BK262" s="16">
        <f t="shared" si="137"/>
        <v>-148643.36666666661</v>
      </c>
      <c r="BL262" s="16">
        <f t="shared" si="138"/>
        <v>-72234.941880342012</v>
      </c>
      <c r="BM262" s="16">
        <f t="shared" si="139"/>
        <v>-184977.50254787348</v>
      </c>
      <c r="BN262" s="16">
        <f t="shared" si="140"/>
        <v>-109110.56604423629</v>
      </c>
      <c r="BO262" s="16">
        <f t="shared" si="141"/>
        <v>-111875.24996260702</v>
      </c>
      <c r="BP262" s="16">
        <f t="shared" si="142"/>
        <v>-143000.94615384596</v>
      </c>
      <c r="BQ262" s="16">
        <f t="shared" si="143"/>
        <v>-111875.24996260702</v>
      </c>
      <c r="BR262" s="16">
        <f t="shared" si="144"/>
        <v>-109475.24996260706</v>
      </c>
      <c r="BS262" s="16">
        <f t="shared" si="145"/>
        <v>-110175.24996260705</v>
      </c>
      <c r="BT262" s="14">
        <f>IF([1]Sheet2!CB261=999999,"NA",[1]Sheet2!CB261)</f>
        <v>0</v>
      </c>
      <c r="BU262" s="14">
        <f>IF([1]Sheet2!CC261=999999,"NA",[1]Sheet2!CC261)</f>
        <v>0</v>
      </c>
      <c r="BV262" s="14">
        <f>IF([1]Sheet2!CD261=999999,"NA",[1]Sheet2!CD261)</f>
        <v>0</v>
      </c>
      <c r="BW262" s="14">
        <f>IF([1]Sheet2!CE261=999999,"NA",[1]Sheet2!CE261)</f>
        <v>0</v>
      </c>
      <c r="BX262" s="14">
        <f>IF([1]Sheet2!CF261=999999,"NA",[1]Sheet2!CF261)</f>
        <v>0</v>
      </c>
      <c r="BY262" s="14">
        <f>IF([1]Sheet2!CG261=999999,"NA",[1]Sheet2!CG261)</f>
        <v>0</v>
      </c>
      <c r="BZ262" s="14">
        <f>IF([1]Sheet2!CH261=999999,"NA",[1]Sheet2!CH261)</f>
        <v>0</v>
      </c>
      <c r="CA262" s="14">
        <f>IF([1]Sheet2!CI261=999999,"NA",[1]Sheet2!CI261)</f>
        <v>0</v>
      </c>
      <c r="CB262" s="14">
        <f>IF([1]Sheet2!CJ261=999999,"NA",[1]Sheet2!CJ261)</f>
        <v>0</v>
      </c>
      <c r="CC262" s="14">
        <f>IF([1]Sheet2!CK261=999999,"NA",[1]Sheet2!CK261)</f>
        <v>0</v>
      </c>
      <c r="CD262" s="14">
        <f>[1]Sheet2!BH261</f>
        <v>0</v>
      </c>
      <c r="CE262" s="14">
        <f>[1]Sheet2!BI261</f>
        <v>0</v>
      </c>
      <c r="CF262" s="14">
        <f>[1]Sheet2!BJ261</f>
        <v>0</v>
      </c>
      <c r="CG262" s="45">
        <f>[1]Sheet2!BK261</f>
        <v>4500</v>
      </c>
      <c r="CH262" s="14">
        <f>[1]Sheet2!BL261</f>
        <v>0</v>
      </c>
      <c r="CI262" s="14">
        <f>[1]Sheet2!BM261</f>
        <v>0</v>
      </c>
      <c r="CJ262" s="14">
        <f>[1]Sheet2!BN261</f>
        <v>0</v>
      </c>
      <c r="CK262" s="14">
        <f>[1]Sheet2!BO261</f>
        <v>0</v>
      </c>
      <c r="CL262" s="14">
        <f>[1]Sheet2!BP261</f>
        <v>0</v>
      </c>
      <c r="CM262" s="14">
        <f>[1]Sheet2!BQ261</f>
        <v>0</v>
      </c>
      <c r="CN262" s="16">
        <f>Demand_SW!B$11/30</f>
        <v>144.23076923076923</v>
      </c>
      <c r="CO262" s="16">
        <f>Demand_SW!C$11/30</f>
        <v>0</v>
      </c>
      <c r="CP262" s="16">
        <f>Demand_SW!D$11/30</f>
        <v>0</v>
      </c>
      <c r="CQ262" s="16">
        <f>Demand_SW!E$11/30</f>
        <v>0</v>
      </c>
      <c r="CR262" s="16">
        <f>Demand_SW!F$11/30</f>
        <v>0</v>
      </c>
      <c r="CS262" s="16">
        <f>Demand_SW!G$11/30</f>
        <v>144.23076923076923</v>
      </c>
      <c r="CT262" s="16">
        <f>Demand_SW!H$11/30</f>
        <v>0</v>
      </c>
      <c r="CU262" s="16">
        <f>Demand_SW!I$11/30</f>
        <v>0</v>
      </c>
      <c r="CV262" s="16">
        <f>Demand_SW!J$11/30</f>
        <v>0</v>
      </c>
      <c r="CW262" s="16">
        <f>Demand_SW!K$11/30</f>
        <v>0</v>
      </c>
      <c r="CX262" s="16">
        <f t="shared" si="146"/>
        <v>-21028.461538461579</v>
      </c>
      <c r="CY262" s="16">
        <f t="shared" si="147"/>
        <v>76.923076923077133</v>
      </c>
      <c r="CZ262" s="16">
        <f t="shared" si="148"/>
        <v>0</v>
      </c>
      <c r="DA262" s="16">
        <f t="shared" si="149"/>
        <v>0</v>
      </c>
      <c r="DB262" s="16">
        <f t="shared" si="150"/>
        <v>0</v>
      </c>
      <c r="DC262" s="16">
        <f t="shared" si="151"/>
        <v>-29557.692307692349</v>
      </c>
      <c r="DD262" s="16">
        <f t="shared" si="152"/>
        <v>76.923076923077133</v>
      </c>
      <c r="DE262" s="16">
        <f t="shared" si="153"/>
        <v>0</v>
      </c>
      <c r="DF262" s="16">
        <f t="shared" si="154"/>
        <v>0</v>
      </c>
      <c r="DG262" s="16">
        <f t="shared" si="155"/>
        <v>0</v>
      </c>
      <c r="DH262" s="14">
        <f>IF([1]Sheet2!DS261=999999,"NA",[1]Sheet2!DS261)</f>
        <v>0</v>
      </c>
      <c r="DI262" s="14">
        <f>IF([1]Sheet2!DT261=999999,"NA",[1]Sheet2!DT261)</f>
        <v>106</v>
      </c>
      <c r="DJ262" s="14" t="str">
        <f>IF([1]Sheet2!DU261=999999,"NA",[1]Sheet2!DU261)</f>
        <v>NA</v>
      </c>
      <c r="DK262" s="14" t="str">
        <f>IF([1]Sheet2!DV261=999999,"NA",[1]Sheet2!DV261)</f>
        <v>NA</v>
      </c>
      <c r="DL262" s="14" t="str">
        <f>IF([1]Sheet2!DW261=999999,"NA",[1]Sheet2!DW261)</f>
        <v>NA</v>
      </c>
      <c r="DM262" s="14">
        <f>IF([1]Sheet2!DX261=999999,"NA",[1]Sheet2!DX261)</f>
        <v>0</v>
      </c>
      <c r="DN262" s="14">
        <f>IF([1]Sheet2!DY261=999999,"NA",[1]Sheet2!DY261)</f>
        <v>106</v>
      </c>
      <c r="DO262" s="14" t="str">
        <f>IF([1]Sheet2!DZ261=999999,"NA",[1]Sheet2!DZ261)</f>
        <v>NA</v>
      </c>
      <c r="DP262" s="14" t="str">
        <f>IF([1]Sheet2!EA261=999999,"NA",[1]Sheet2!EA261)</f>
        <v>NA</v>
      </c>
      <c r="DQ262" s="14" t="str">
        <f>IF([1]Sheet2!EB261=999999,"NA",[1]Sheet2!EB261)</f>
        <v>NA</v>
      </c>
      <c r="DR262" s="45">
        <f>[1]Sheet2!CY261</f>
        <v>4500</v>
      </c>
      <c r="DS262" s="14">
        <f>[1]Sheet2!CZ261</f>
        <v>0</v>
      </c>
      <c r="DT262" s="14">
        <f>[1]Sheet2!DA261</f>
        <v>0</v>
      </c>
      <c r="DU262" s="14">
        <f>[1]Sheet2!DB261</f>
        <v>0</v>
      </c>
      <c r="DV262" s="14">
        <f>[1]Sheet2!DC261</f>
        <v>0</v>
      </c>
      <c r="DW262" s="14">
        <f>[1]Sheet2!DD261</f>
        <v>0</v>
      </c>
      <c r="DX262" s="14">
        <f>[1]Sheet2!DE261</f>
        <v>0</v>
      </c>
      <c r="DY262" s="14">
        <f>[1]Sheet2!DF261</f>
        <v>0</v>
      </c>
      <c r="DZ262" s="14">
        <f>[1]Sheet2!DG261</f>
        <v>0</v>
      </c>
      <c r="EA262" s="14">
        <f>[1]Sheet2!DH261</f>
        <v>0</v>
      </c>
      <c r="EB262" s="6">
        <f>[1]Sheet2!EC261</f>
        <v>0</v>
      </c>
      <c r="EC262" s="6">
        <f>[1]Sheet2!ED261</f>
        <v>0</v>
      </c>
      <c r="ED262" s="6">
        <f>[1]Sheet2!EE261</f>
        <v>0</v>
      </c>
      <c r="EE262" s="6" t="str">
        <f>[1]Sheet2!EF261</f>
        <v>Arg</v>
      </c>
      <c r="EF262" s="6">
        <f>[1]Sheet2!EG261</f>
        <v>0</v>
      </c>
      <c r="EG262" s="6">
        <f>[1]Sheet2!EH261</f>
        <v>0</v>
      </c>
      <c r="EH262" s="6">
        <f>[1]Sheet2!EI261</f>
        <v>0</v>
      </c>
      <c r="EI262" s="6">
        <f>[1]Sheet2!EJ261</f>
        <v>0</v>
      </c>
      <c r="EJ262" s="6">
        <f>[1]Sheet2!EK261</f>
        <v>0</v>
      </c>
      <c r="EK262" s="6">
        <f>[1]Sheet2!EL261</f>
        <v>0</v>
      </c>
      <c r="EL262" s="6" t="str">
        <f>[1]Sheet2!EM261</f>
        <v/>
      </c>
      <c r="EM262" s="6" t="str">
        <f>[1]Sheet2!EN261</f>
        <v/>
      </c>
      <c r="EN262" s="6" t="str">
        <f>[1]Sheet2!EO261</f>
        <v/>
      </c>
      <c r="EO262" s="6" t="str">
        <f>[1]Sheet2!EP261</f>
        <v/>
      </c>
      <c r="EP262" s="6" t="str">
        <f>[1]Sheet2!EQ261</f>
        <v/>
      </c>
      <c r="EQ262" s="6" t="str">
        <f>[1]Sheet2!ER261</f>
        <v/>
      </c>
      <c r="ER262" s="6" t="str">
        <f>[1]Sheet2!ES261</f>
        <v/>
      </c>
      <c r="ES262" s="6" t="str">
        <f>[1]Sheet2!ET261</f>
        <v/>
      </c>
      <c r="ET262" s="6" t="str">
        <f>[1]Sheet2!EU261</f>
        <v/>
      </c>
      <c r="EU262" s="6" t="str">
        <f>[1]Sheet2!EV261</f>
        <v/>
      </c>
      <c r="EV262" s="6" t="str">
        <f>[1]Sheet2!EW261</f>
        <v/>
      </c>
      <c r="EW262" s="6" t="str">
        <f>[1]Sheet2!EX261</f>
        <v/>
      </c>
      <c r="EX262" s="6" t="str">
        <f>[1]Sheet2!EY261</f>
        <v/>
      </c>
      <c r="EY262" s="6" t="str">
        <f>[1]Sheet2!EZ261</f>
        <v/>
      </c>
      <c r="EZ262" s="6" t="str">
        <f>[1]Sheet2!FA261</f>
        <v/>
      </c>
      <c r="FA262" s="6" t="str">
        <f>[1]Sheet2!FB261</f>
        <v/>
      </c>
      <c r="FB262" s="6" t="str">
        <f>[1]Sheet2!FC261</f>
        <v/>
      </c>
      <c r="FC262" s="6" t="str">
        <f>[1]Sheet2!FD261</f>
        <v/>
      </c>
      <c r="FD262" s="6" t="str">
        <f>[1]Sheet2!FE261</f>
        <v/>
      </c>
      <c r="FE262" s="6" t="str">
        <f>[1]Sheet2!FF261</f>
        <v/>
      </c>
      <c r="FF262" s="6" t="str">
        <f>[1]Sheet2!FG261</f>
        <v/>
      </c>
      <c r="FG262" s="6" t="str">
        <f>[1]Sheet2!FH261</f>
        <v/>
      </c>
      <c r="FH262" s="6" t="str">
        <f>[1]Sheet2!FI261</f>
        <v/>
      </c>
      <c r="FI262" s="6" t="str">
        <f>[1]Sheet2!FJ261</f>
        <v/>
      </c>
      <c r="FJ262" s="6" t="str">
        <f>[1]Sheet2!FK261</f>
        <v/>
      </c>
      <c r="FK262" s="6" t="str">
        <f>[1]Sheet2!FL261</f>
        <v/>
      </c>
      <c r="FL262" s="6" t="str">
        <f>[1]Sheet2!FM261</f>
        <v/>
      </c>
      <c r="FM262" s="6" t="str">
        <f>[1]Sheet2!FN261</f>
        <v/>
      </c>
      <c r="FN262" s="6" t="str">
        <f>[1]Sheet2!FO261</f>
        <v/>
      </c>
      <c r="FO262" s="6" t="str">
        <f>[1]Sheet2!FP261</f>
        <v/>
      </c>
    </row>
    <row r="263" spans="1:171" x14ac:dyDescent="0.25">
      <c r="A263" s="15">
        <v>43725</v>
      </c>
      <c r="B263" s="1"/>
      <c r="C263" s="1"/>
      <c r="D263" s="1"/>
      <c r="E263" s="14">
        <f>[1]Sheet2!N262</f>
        <v>0</v>
      </c>
      <c r="F263" s="14">
        <f>[1]Sheet2!BE262</f>
        <v>0</v>
      </c>
      <c r="G263" s="14">
        <f>[1]Sheet2!CW262</f>
        <v>0</v>
      </c>
      <c r="H263" s="1"/>
      <c r="I263" s="1"/>
      <c r="J263" s="1"/>
      <c r="K263" s="16"/>
      <c r="L263" s="16">
        <f>Demand_CWRS!B$11/30</f>
        <v>118.04546474358973</v>
      </c>
      <c r="M263" s="16">
        <f>Demand_CWRS!C$11/30</f>
        <v>491.39401709401704</v>
      </c>
      <c r="N263" s="16">
        <f>Demand_CWRS!D$11/30</f>
        <v>0</v>
      </c>
      <c r="O263" s="16">
        <f>Demand_CWRS!E$11/30</f>
        <v>107.84935897435898</v>
      </c>
      <c r="P263" s="16">
        <f>Demand_CWRS!F$11/30</f>
        <v>218.22274305555553</v>
      </c>
      <c r="Q263" s="16">
        <f>Demand_CWRS!G$11/30</f>
        <v>118.04546474358973</v>
      </c>
      <c r="R263" s="16">
        <f>Demand_CWRS!H$11/30</f>
        <v>218.22274305555553</v>
      </c>
      <c r="S263" s="16">
        <f>Demand_CWRS!I$11/30</f>
        <v>218.22274305555553</v>
      </c>
      <c r="T263" s="16">
        <f>Demand_CWRS!J$11/30</f>
        <v>218.22274305555553</v>
      </c>
      <c r="U263" s="16">
        <f>Demand_CWRS!K$11/30</f>
        <v>218.22274305555553</v>
      </c>
      <c r="V263" s="16">
        <f t="shared" si="126"/>
        <v>-32374.405111114425</v>
      </c>
      <c r="W263" s="16">
        <f t="shared" si="127"/>
        <v>-128459.53162393128</v>
      </c>
      <c r="X263" s="16">
        <f t="shared" si="128"/>
        <v>0</v>
      </c>
      <c r="Y263" s="16">
        <f t="shared" si="129"/>
        <v>-21538.433601103508</v>
      </c>
      <c r="Z263" s="16">
        <f t="shared" si="130"/>
        <v>-51192.310883405022</v>
      </c>
      <c r="AA263" s="16">
        <f t="shared" si="131"/>
        <v>-30902.472587076034</v>
      </c>
      <c r="AB263" s="16">
        <f t="shared" si="132"/>
        <v>-60729.47565904598</v>
      </c>
      <c r="AC263" s="16">
        <f t="shared" si="133"/>
        <v>-54936.465402635789</v>
      </c>
      <c r="AD263" s="16">
        <f t="shared" si="134"/>
        <v>-55036.465402635782</v>
      </c>
      <c r="AE263" s="16">
        <f t="shared" si="135"/>
        <v>-55636.465402635775</v>
      </c>
      <c r="AF263" s="14">
        <f>IF([1]Sheet2!AJ262=999999,"NA",[1]Sheet2!AJ262)</f>
        <v>0</v>
      </c>
      <c r="AG263" s="14">
        <f>IF([1]Sheet2!AK262=999999,"NA",[1]Sheet2!AK262)</f>
        <v>0</v>
      </c>
      <c r="AH263" s="14" t="str">
        <f>IF([1]Sheet2!AL262=999999,"NA",[1]Sheet2!AL262)</f>
        <v>NA</v>
      </c>
      <c r="AI263" s="14">
        <f>IF([1]Sheet2!AM262=999999,"NA",[1]Sheet2!AM262)</f>
        <v>0</v>
      </c>
      <c r="AJ263" s="14">
        <f>IF([1]Sheet2!AN262=999999,"NA",[1]Sheet2!AN262)</f>
        <v>0</v>
      </c>
      <c r="AK263" s="14">
        <f>IF([1]Sheet2!AO262=999999,"NA",[1]Sheet2!AO262)</f>
        <v>0</v>
      </c>
      <c r="AL263" s="14">
        <f>IF([1]Sheet2!AP262=999999,"NA",[1]Sheet2!AP262)</f>
        <v>0</v>
      </c>
      <c r="AM263" s="14">
        <f>IF([1]Sheet2!AQ262=999999,"NA",[1]Sheet2!AQ262)</f>
        <v>0</v>
      </c>
      <c r="AN263" s="14">
        <f>IF([1]Sheet2!AR262=999999,"NA",[1]Sheet2!AR262)</f>
        <v>0</v>
      </c>
      <c r="AO263" s="14">
        <f>IF([1]Sheet2!AS262=999999,"NA",[1]Sheet2!AS262)</f>
        <v>0</v>
      </c>
      <c r="AP263" s="14">
        <f>[1]Sheet2!P262</f>
        <v>0</v>
      </c>
      <c r="AQ263" s="14">
        <f>[1]Sheet2!Q262</f>
        <v>0</v>
      </c>
      <c r="AR263" s="14">
        <f>[1]Sheet2!R262</f>
        <v>0</v>
      </c>
      <c r="AS263" s="14">
        <f>[1]Sheet2!S262</f>
        <v>2583</v>
      </c>
      <c r="AT263" s="14">
        <f>[1]Sheet2!T262</f>
        <v>0</v>
      </c>
      <c r="AU263" s="14">
        <f>[1]Sheet2!U262</f>
        <v>0</v>
      </c>
      <c r="AV263" s="14">
        <f>[1]Sheet2!V262</f>
        <v>0</v>
      </c>
      <c r="AW263" s="14">
        <f>[1]Sheet2!W262</f>
        <v>0</v>
      </c>
      <c r="AX263" s="14">
        <f>[1]Sheet2!X262</f>
        <v>0</v>
      </c>
      <c r="AY263" s="14">
        <f>[1]Sheet2!Y262</f>
        <v>0</v>
      </c>
      <c r="AZ263" s="16">
        <f>Demand_LP!B$11/30</f>
        <v>902.60591613247857</v>
      </c>
      <c r="BA263" s="16">
        <f>Demand_LP!C$11/30</f>
        <v>593.76410256410259</v>
      </c>
      <c r="BB263" s="16">
        <f>Demand_LP!D$11/30</f>
        <v>290.27136752136749</v>
      </c>
      <c r="BC263" s="16">
        <f>Demand_LP!E$11/30</f>
        <v>790.42628205128199</v>
      </c>
      <c r="BD263" s="16">
        <f>Demand_LP!F$11/30</f>
        <v>538.46224626068363</v>
      </c>
      <c r="BE263" s="16">
        <f>Demand_LP!G$11/30</f>
        <v>538.46224626068363</v>
      </c>
      <c r="BF263" s="16">
        <f>Demand_LP!H$11/30</f>
        <v>593.76410256410259</v>
      </c>
      <c r="BG263" s="16">
        <f>Demand_LP!I$11/30</f>
        <v>538.46224626068363</v>
      </c>
      <c r="BH263" s="16">
        <f>Demand_LP!J$11/30</f>
        <v>538.46224626068363</v>
      </c>
      <c r="BI263" s="16">
        <f>Demand_LP!K$11/30</f>
        <v>538.46224626068363</v>
      </c>
      <c r="BJ263" s="16">
        <f t="shared" si="136"/>
        <v>-195329.86197786464</v>
      </c>
      <c r="BK263" s="16">
        <f t="shared" si="137"/>
        <v>-149237.13076923072</v>
      </c>
      <c r="BL263" s="16">
        <f t="shared" si="138"/>
        <v>-72525.213247863387</v>
      </c>
      <c r="BM263" s="16">
        <f t="shared" si="139"/>
        <v>-183944.92882992476</v>
      </c>
      <c r="BN263" s="16">
        <f t="shared" si="140"/>
        <v>-109649.02829049696</v>
      </c>
      <c r="BO263" s="16">
        <f t="shared" si="141"/>
        <v>-112413.7122088677</v>
      </c>
      <c r="BP263" s="16">
        <f t="shared" si="142"/>
        <v>-143594.71025641006</v>
      </c>
      <c r="BQ263" s="16">
        <f t="shared" si="143"/>
        <v>-112413.7122088677</v>
      </c>
      <c r="BR263" s="16">
        <f t="shared" si="144"/>
        <v>-110013.71220886774</v>
      </c>
      <c r="BS263" s="16">
        <f t="shared" si="145"/>
        <v>-110713.71220886773</v>
      </c>
      <c r="BT263" s="14">
        <f>IF([1]Sheet2!CB262=999999,"NA",[1]Sheet2!CB262)</f>
        <v>0</v>
      </c>
      <c r="BU263" s="14">
        <f>IF([1]Sheet2!CC262=999999,"NA",[1]Sheet2!CC262)</f>
        <v>0</v>
      </c>
      <c r="BV263" s="14">
        <f>IF([1]Sheet2!CD262=999999,"NA",[1]Sheet2!CD262)</f>
        <v>0</v>
      </c>
      <c r="BW263" s="14">
        <f>IF([1]Sheet2!CE262=999999,"NA",[1]Sheet2!CE262)</f>
        <v>0</v>
      </c>
      <c r="BX263" s="14">
        <f>IF([1]Sheet2!CF262=999999,"NA",[1]Sheet2!CF262)</f>
        <v>0</v>
      </c>
      <c r="BY263" s="14">
        <f>IF([1]Sheet2!CG262=999999,"NA",[1]Sheet2!CG262)</f>
        <v>0</v>
      </c>
      <c r="BZ263" s="14">
        <f>IF([1]Sheet2!CH262=999999,"NA",[1]Sheet2!CH262)</f>
        <v>0</v>
      </c>
      <c r="CA263" s="14">
        <f>IF([1]Sheet2!CI262=999999,"NA",[1]Sheet2!CI262)</f>
        <v>0</v>
      </c>
      <c r="CB263" s="14">
        <f>IF([1]Sheet2!CJ262=999999,"NA",[1]Sheet2!CJ262)</f>
        <v>0</v>
      </c>
      <c r="CC263" s="14">
        <f>IF([1]Sheet2!CK262=999999,"NA",[1]Sheet2!CK262)</f>
        <v>0</v>
      </c>
      <c r="CD263" s="14">
        <f>[1]Sheet2!BH262</f>
        <v>0</v>
      </c>
      <c r="CE263" s="14">
        <f>[1]Sheet2!BI262</f>
        <v>0</v>
      </c>
      <c r="CF263" s="14">
        <f>[1]Sheet2!BJ262</f>
        <v>0</v>
      </c>
      <c r="CG263" s="45">
        <f>[1]Sheet2!BK262</f>
        <v>1823</v>
      </c>
      <c r="CH263" s="14">
        <f>[1]Sheet2!BL262</f>
        <v>0</v>
      </c>
      <c r="CI263" s="14">
        <f>[1]Sheet2!BM262</f>
        <v>0</v>
      </c>
      <c r="CJ263" s="14">
        <f>[1]Sheet2!BN262</f>
        <v>0</v>
      </c>
      <c r="CK263" s="14">
        <f>[1]Sheet2!BO262</f>
        <v>0</v>
      </c>
      <c r="CL263" s="14">
        <f>[1]Sheet2!BP262</f>
        <v>0</v>
      </c>
      <c r="CM263" s="14">
        <f>[1]Sheet2!BQ262</f>
        <v>0</v>
      </c>
      <c r="CN263" s="16">
        <f>Demand_SW!B$11/30</f>
        <v>144.23076923076923</v>
      </c>
      <c r="CO263" s="16">
        <f>Demand_SW!C$11/30</f>
        <v>0</v>
      </c>
      <c r="CP263" s="16">
        <f>Demand_SW!D$11/30</f>
        <v>0</v>
      </c>
      <c r="CQ263" s="16">
        <f>Demand_SW!E$11/30</f>
        <v>0</v>
      </c>
      <c r="CR263" s="16">
        <f>Demand_SW!F$11/30</f>
        <v>0</v>
      </c>
      <c r="CS263" s="16">
        <f>Demand_SW!G$11/30</f>
        <v>144.23076923076923</v>
      </c>
      <c r="CT263" s="16">
        <f>Demand_SW!H$11/30</f>
        <v>0</v>
      </c>
      <c r="CU263" s="16">
        <f>Demand_SW!I$11/30</f>
        <v>0</v>
      </c>
      <c r="CV263" s="16">
        <f>Demand_SW!J$11/30</f>
        <v>0</v>
      </c>
      <c r="CW263" s="16">
        <f>Demand_SW!K$11/30</f>
        <v>0</v>
      </c>
      <c r="CX263" s="16">
        <f t="shared" si="146"/>
        <v>-16672.692307692349</v>
      </c>
      <c r="CY263" s="16">
        <f t="shared" si="147"/>
        <v>76.923076923077133</v>
      </c>
      <c r="CZ263" s="16">
        <f t="shared" si="148"/>
        <v>0</v>
      </c>
      <c r="DA263" s="16">
        <f t="shared" si="149"/>
        <v>0</v>
      </c>
      <c r="DB263" s="16">
        <f t="shared" si="150"/>
        <v>0</v>
      </c>
      <c r="DC263" s="16">
        <f t="shared" si="151"/>
        <v>-29701.923076923118</v>
      </c>
      <c r="DD263" s="16">
        <f t="shared" si="152"/>
        <v>76.923076923077133</v>
      </c>
      <c r="DE263" s="16">
        <f t="shared" si="153"/>
        <v>0</v>
      </c>
      <c r="DF263" s="16">
        <f t="shared" si="154"/>
        <v>0</v>
      </c>
      <c r="DG263" s="16">
        <f t="shared" si="155"/>
        <v>0</v>
      </c>
      <c r="DH263" s="14">
        <f>IF([1]Sheet2!DS262=999999,"NA",[1]Sheet2!DS262)</f>
        <v>0</v>
      </c>
      <c r="DI263" s="14">
        <f>IF([1]Sheet2!DT262=999999,"NA",[1]Sheet2!DT262)</f>
        <v>105</v>
      </c>
      <c r="DJ263" s="14" t="str">
        <f>IF([1]Sheet2!DU262=999999,"NA",[1]Sheet2!DU262)</f>
        <v>NA</v>
      </c>
      <c r="DK263" s="14" t="str">
        <f>IF([1]Sheet2!DV262=999999,"NA",[1]Sheet2!DV262)</f>
        <v>NA</v>
      </c>
      <c r="DL263" s="14" t="str">
        <f>IF([1]Sheet2!DW262=999999,"NA",[1]Sheet2!DW262)</f>
        <v>NA</v>
      </c>
      <c r="DM263" s="14">
        <f>IF([1]Sheet2!DX262=999999,"NA",[1]Sheet2!DX262)</f>
        <v>0</v>
      </c>
      <c r="DN263" s="14">
        <f>IF([1]Sheet2!DY262=999999,"NA",[1]Sheet2!DY262)</f>
        <v>105</v>
      </c>
      <c r="DO263" s="14" t="str">
        <f>IF([1]Sheet2!DZ262=999999,"NA",[1]Sheet2!DZ262)</f>
        <v>NA</v>
      </c>
      <c r="DP263" s="14" t="str">
        <f>IF([1]Sheet2!EA262=999999,"NA",[1]Sheet2!EA262)</f>
        <v>NA</v>
      </c>
      <c r="DQ263" s="14" t="str">
        <f>IF([1]Sheet2!EB262=999999,"NA",[1]Sheet2!EB262)</f>
        <v>NA</v>
      </c>
      <c r="DR263" s="45">
        <f>[1]Sheet2!CY262</f>
        <v>4500</v>
      </c>
      <c r="DS263" s="14">
        <f>[1]Sheet2!CZ262</f>
        <v>0</v>
      </c>
      <c r="DT263" s="14">
        <f>[1]Sheet2!DA262</f>
        <v>0</v>
      </c>
      <c r="DU263" s="14">
        <f>[1]Sheet2!DB262</f>
        <v>0</v>
      </c>
      <c r="DV263" s="14">
        <f>[1]Sheet2!DC262</f>
        <v>0</v>
      </c>
      <c r="DW263" s="14">
        <f>[1]Sheet2!DD262</f>
        <v>0</v>
      </c>
      <c r="DX263" s="14">
        <f>[1]Sheet2!DE262</f>
        <v>0</v>
      </c>
      <c r="DY263" s="14">
        <f>[1]Sheet2!DF262</f>
        <v>0</v>
      </c>
      <c r="DZ263" s="14">
        <f>[1]Sheet2!DG262</f>
        <v>0</v>
      </c>
      <c r="EA263" s="14">
        <f>[1]Sheet2!DH262</f>
        <v>0</v>
      </c>
      <c r="EB263" s="6">
        <f>[1]Sheet2!EC262</f>
        <v>0</v>
      </c>
      <c r="EC263" s="6">
        <f>[1]Sheet2!ED262</f>
        <v>0</v>
      </c>
      <c r="ED263" s="6">
        <f>[1]Sheet2!EE262</f>
        <v>0</v>
      </c>
      <c r="EE263" s="6" t="str">
        <f>[1]Sheet2!EF262</f>
        <v>Arg</v>
      </c>
      <c r="EF263" s="6">
        <f>[1]Sheet2!EG262</f>
        <v>0</v>
      </c>
      <c r="EG263" s="6">
        <f>[1]Sheet2!EH262</f>
        <v>0</v>
      </c>
      <c r="EH263" s="6">
        <f>[1]Sheet2!EI262</f>
        <v>0</v>
      </c>
      <c r="EI263" s="6">
        <f>[1]Sheet2!EJ262</f>
        <v>0</v>
      </c>
      <c r="EJ263" s="6">
        <f>[1]Sheet2!EK262</f>
        <v>0</v>
      </c>
      <c r="EK263" s="6">
        <f>[1]Sheet2!EL262</f>
        <v>0</v>
      </c>
      <c r="EL263" s="6" t="str">
        <f>[1]Sheet2!EM262</f>
        <v/>
      </c>
      <c r="EM263" s="6" t="str">
        <f>[1]Sheet2!EN262</f>
        <v/>
      </c>
      <c r="EN263" s="6" t="str">
        <f>[1]Sheet2!EO262</f>
        <v/>
      </c>
      <c r="EO263" s="6" t="str">
        <f>[1]Sheet2!EP262</f>
        <v/>
      </c>
      <c r="EP263" s="6" t="str">
        <f>[1]Sheet2!EQ262</f>
        <v/>
      </c>
      <c r="EQ263" s="6" t="str">
        <f>[1]Sheet2!ER262</f>
        <v/>
      </c>
      <c r="ER263" s="6" t="str">
        <f>[1]Sheet2!ES262</f>
        <v/>
      </c>
      <c r="ES263" s="6" t="str">
        <f>[1]Sheet2!ET262</f>
        <v/>
      </c>
      <c r="ET263" s="6" t="str">
        <f>[1]Sheet2!EU262</f>
        <v/>
      </c>
      <c r="EU263" s="6" t="str">
        <f>[1]Sheet2!EV262</f>
        <v/>
      </c>
      <c r="EV263" s="6" t="str">
        <f>[1]Sheet2!EW262</f>
        <v/>
      </c>
      <c r="EW263" s="6" t="str">
        <f>[1]Sheet2!EX262</f>
        <v/>
      </c>
      <c r="EX263" s="6" t="str">
        <f>[1]Sheet2!EY262</f>
        <v/>
      </c>
      <c r="EY263" s="6" t="str">
        <f>[1]Sheet2!EZ262</f>
        <v/>
      </c>
      <c r="EZ263" s="6" t="str">
        <f>[1]Sheet2!FA262</f>
        <v/>
      </c>
      <c r="FA263" s="6" t="str">
        <f>[1]Sheet2!FB262</f>
        <v/>
      </c>
      <c r="FB263" s="6" t="str">
        <f>[1]Sheet2!FC262</f>
        <v/>
      </c>
      <c r="FC263" s="6" t="str">
        <f>[1]Sheet2!FD262</f>
        <v/>
      </c>
      <c r="FD263" s="6" t="str">
        <f>[1]Sheet2!FE262</f>
        <v/>
      </c>
      <c r="FE263" s="6" t="str">
        <f>[1]Sheet2!FF262</f>
        <v/>
      </c>
      <c r="FF263" s="6" t="str">
        <f>[1]Sheet2!FG262</f>
        <v/>
      </c>
      <c r="FG263" s="6" t="str">
        <f>[1]Sheet2!FH262</f>
        <v/>
      </c>
      <c r="FH263" s="6" t="str">
        <f>[1]Sheet2!FI262</f>
        <v/>
      </c>
      <c r="FI263" s="6" t="str">
        <f>[1]Sheet2!FJ262</f>
        <v/>
      </c>
      <c r="FJ263" s="6" t="str">
        <f>[1]Sheet2!FK262</f>
        <v/>
      </c>
      <c r="FK263" s="6" t="str">
        <f>[1]Sheet2!FL262</f>
        <v/>
      </c>
      <c r="FL263" s="6" t="str">
        <f>[1]Sheet2!FM262</f>
        <v/>
      </c>
      <c r="FM263" s="6" t="str">
        <f>[1]Sheet2!FN262</f>
        <v/>
      </c>
      <c r="FN263" s="6" t="str">
        <f>[1]Sheet2!FO262</f>
        <v/>
      </c>
      <c r="FO263" s="6" t="str">
        <f>[1]Sheet2!FP262</f>
        <v/>
      </c>
    </row>
    <row r="264" spans="1:171" x14ac:dyDescent="0.25">
      <c r="A264" s="15">
        <v>43726</v>
      </c>
      <c r="B264" s="1"/>
      <c r="C264" s="1"/>
      <c r="D264" s="1"/>
      <c r="E264" s="14">
        <f>[1]Sheet2!N263</f>
        <v>0</v>
      </c>
      <c r="F264" s="14">
        <f>[1]Sheet2!BE263</f>
        <v>0</v>
      </c>
      <c r="G264" s="14">
        <f>[1]Sheet2!CW263</f>
        <v>0</v>
      </c>
      <c r="H264" s="1"/>
      <c r="I264" s="1"/>
      <c r="J264" s="1"/>
      <c r="K264" s="16"/>
      <c r="L264" s="16">
        <f>Demand_CWRS!B$11/30</f>
        <v>118.04546474358973</v>
      </c>
      <c r="M264" s="16">
        <f>Demand_CWRS!C$11/30</f>
        <v>491.39401709401704</v>
      </c>
      <c r="N264" s="16">
        <f>Demand_CWRS!D$11/30</f>
        <v>0</v>
      </c>
      <c r="O264" s="16">
        <f>Demand_CWRS!E$11/30</f>
        <v>107.84935897435898</v>
      </c>
      <c r="P264" s="16">
        <f>Demand_CWRS!F$11/30</f>
        <v>218.22274305555553</v>
      </c>
      <c r="Q264" s="16">
        <f>Demand_CWRS!G$11/30</f>
        <v>118.04546474358973</v>
      </c>
      <c r="R264" s="16">
        <f>Demand_CWRS!H$11/30</f>
        <v>218.22274305555553</v>
      </c>
      <c r="S264" s="16">
        <f>Demand_CWRS!I$11/30</f>
        <v>218.22274305555553</v>
      </c>
      <c r="T264" s="16">
        <f>Demand_CWRS!J$11/30</f>
        <v>218.22274305555553</v>
      </c>
      <c r="U264" s="16">
        <f>Demand_CWRS!K$11/30</f>
        <v>218.22274305555553</v>
      </c>
      <c r="V264" s="16">
        <f t="shared" si="126"/>
        <v>-32492.450575858016</v>
      </c>
      <c r="W264" s="16">
        <f t="shared" si="127"/>
        <v>-128950.9256410253</v>
      </c>
      <c r="X264" s="16">
        <f t="shared" si="128"/>
        <v>0</v>
      </c>
      <c r="Y264" s="16">
        <f t="shared" si="129"/>
        <v>-21646.282960077868</v>
      </c>
      <c r="Z264" s="16">
        <f t="shared" si="130"/>
        <v>-51410.533626460579</v>
      </c>
      <c r="AA264" s="16">
        <f t="shared" si="131"/>
        <v>-31020.518051819625</v>
      </c>
      <c r="AB264" s="16">
        <f t="shared" si="132"/>
        <v>-60947.698402101538</v>
      </c>
      <c r="AC264" s="16">
        <f t="shared" si="133"/>
        <v>-55154.688145691347</v>
      </c>
      <c r="AD264" s="16">
        <f t="shared" si="134"/>
        <v>-55254.68814569134</v>
      </c>
      <c r="AE264" s="16">
        <f t="shared" si="135"/>
        <v>-55854.688145691332</v>
      </c>
      <c r="AF264" s="14">
        <f>IF([1]Sheet2!AJ263=999999,"NA",[1]Sheet2!AJ263)</f>
        <v>0</v>
      </c>
      <c r="AG264" s="14">
        <f>IF([1]Sheet2!AK263=999999,"NA",[1]Sheet2!AK263)</f>
        <v>0</v>
      </c>
      <c r="AH264" s="14" t="str">
        <f>IF([1]Sheet2!AL263=999999,"NA",[1]Sheet2!AL263)</f>
        <v>NA</v>
      </c>
      <c r="AI264" s="14">
        <f>IF([1]Sheet2!AM263=999999,"NA",[1]Sheet2!AM263)</f>
        <v>0</v>
      </c>
      <c r="AJ264" s="14">
        <f>IF([1]Sheet2!AN263=999999,"NA",[1]Sheet2!AN263)</f>
        <v>0</v>
      </c>
      <c r="AK264" s="14">
        <f>IF([1]Sheet2!AO263=999999,"NA",[1]Sheet2!AO263)</f>
        <v>0</v>
      </c>
      <c r="AL264" s="14">
        <f>IF([1]Sheet2!AP263=999999,"NA",[1]Sheet2!AP263)</f>
        <v>0</v>
      </c>
      <c r="AM264" s="14">
        <f>IF([1]Sheet2!AQ263=999999,"NA",[1]Sheet2!AQ263)</f>
        <v>0</v>
      </c>
      <c r="AN264" s="14">
        <f>IF([1]Sheet2!AR263=999999,"NA",[1]Sheet2!AR263)</f>
        <v>0</v>
      </c>
      <c r="AO264" s="14">
        <f>IF([1]Sheet2!AS263=999999,"NA",[1]Sheet2!AS263)</f>
        <v>0</v>
      </c>
      <c r="AP264" s="14">
        <f>[1]Sheet2!P263</f>
        <v>0</v>
      </c>
      <c r="AQ264" s="14">
        <f>[1]Sheet2!Q263</f>
        <v>0</v>
      </c>
      <c r="AR264" s="14">
        <f>[1]Sheet2!R263</f>
        <v>0</v>
      </c>
      <c r="AS264" s="14">
        <f>[1]Sheet2!S263</f>
        <v>0</v>
      </c>
      <c r="AT264" s="14">
        <f>[1]Sheet2!T263</f>
        <v>0</v>
      </c>
      <c r="AU264" s="14">
        <f>[1]Sheet2!U263</f>
        <v>0</v>
      </c>
      <c r="AV264" s="14">
        <f>[1]Sheet2!V263</f>
        <v>0</v>
      </c>
      <c r="AW264" s="14">
        <f>[1]Sheet2!W263</f>
        <v>0</v>
      </c>
      <c r="AX264" s="14">
        <f>[1]Sheet2!X263</f>
        <v>0</v>
      </c>
      <c r="AY264" s="14">
        <f>[1]Sheet2!Y263</f>
        <v>0</v>
      </c>
      <c r="AZ264" s="16">
        <f>Demand_LP!B$11/30</f>
        <v>902.60591613247857</v>
      </c>
      <c r="BA264" s="16">
        <f>Demand_LP!C$11/30</f>
        <v>593.76410256410259</v>
      </c>
      <c r="BB264" s="16">
        <f>Demand_LP!D$11/30</f>
        <v>290.27136752136749</v>
      </c>
      <c r="BC264" s="16">
        <f>Demand_LP!E$11/30</f>
        <v>790.42628205128199</v>
      </c>
      <c r="BD264" s="16">
        <f>Demand_LP!F$11/30</f>
        <v>538.46224626068363</v>
      </c>
      <c r="BE264" s="16">
        <f>Demand_LP!G$11/30</f>
        <v>538.46224626068363</v>
      </c>
      <c r="BF264" s="16">
        <f>Demand_LP!H$11/30</f>
        <v>593.76410256410259</v>
      </c>
      <c r="BG264" s="16">
        <f>Demand_LP!I$11/30</f>
        <v>538.46224626068363</v>
      </c>
      <c r="BH264" s="16">
        <f>Demand_LP!J$11/30</f>
        <v>538.46224626068363</v>
      </c>
      <c r="BI264" s="16">
        <f>Demand_LP!K$11/30</f>
        <v>538.46224626068363</v>
      </c>
      <c r="BJ264" s="16">
        <f t="shared" si="136"/>
        <v>-196232.46789399712</v>
      </c>
      <c r="BK264" s="16">
        <f t="shared" si="137"/>
        <v>-149830.89487179482</v>
      </c>
      <c r="BL264" s="16">
        <f t="shared" si="138"/>
        <v>-72815.484615384761</v>
      </c>
      <c r="BM264" s="16">
        <f t="shared" si="139"/>
        <v>-184735.35511197604</v>
      </c>
      <c r="BN264" s="16">
        <f t="shared" si="140"/>
        <v>-110187.49053675764</v>
      </c>
      <c r="BO264" s="16">
        <f t="shared" si="141"/>
        <v>-112952.17445512838</v>
      </c>
      <c r="BP264" s="16">
        <f t="shared" si="142"/>
        <v>-144188.47435897417</v>
      </c>
      <c r="BQ264" s="16">
        <f t="shared" si="143"/>
        <v>-112952.17445512838</v>
      </c>
      <c r="BR264" s="16">
        <f t="shared" si="144"/>
        <v>-110552.17445512842</v>
      </c>
      <c r="BS264" s="16">
        <f t="shared" si="145"/>
        <v>-111252.17445512841</v>
      </c>
      <c r="BT264" s="14">
        <f>IF([1]Sheet2!CB263=999999,"NA",[1]Sheet2!CB263)</f>
        <v>0</v>
      </c>
      <c r="BU264" s="14">
        <f>IF([1]Sheet2!CC263=999999,"NA",[1]Sheet2!CC263)</f>
        <v>0</v>
      </c>
      <c r="BV264" s="14">
        <f>IF([1]Sheet2!CD263=999999,"NA",[1]Sheet2!CD263)</f>
        <v>0</v>
      </c>
      <c r="BW264" s="14">
        <f>IF([1]Sheet2!CE263=999999,"NA",[1]Sheet2!CE263)</f>
        <v>0</v>
      </c>
      <c r="BX264" s="14">
        <f>IF([1]Sheet2!CF263=999999,"NA",[1]Sheet2!CF263)</f>
        <v>0</v>
      </c>
      <c r="BY264" s="14">
        <f>IF([1]Sheet2!CG263=999999,"NA",[1]Sheet2!CG263)</f>
        <v>0</v>
      </c>
      <c r="BZ264" s="14">
        <f>IF([1]Sheet2!CH263=999999,"NA",[1]Sheet2!CH263)</f>
        <v>0</v>
      </c>
      <c r="CA264" s="14">
        <f>IF([1]Sheet2!CI263=999999,"NA",[1]Sheet2!CI263)</f>
        <v>0</v>
      </c>
      <c r="CB264" s="14">
        <f>IF([1]Sheet2!CJ263=999999,"NA",[1]Sheet2!CJ263)</f>
        <v>0</v>
      </c>
      <c r="CC264" s="14">
        <f>IF([1]Sheet2!CK263=999999,"NA",[1]Sheet2!CK263)</f>
        <v>0</v>
      </c>
      <c r="CD264" s="14">
        <f>[1]Sheet2!BH263</f>
        <v>0</v>
      </c>
      <c r="CE264" s="14">
        <f>[1]Sheet2!BI263</f>
        <v>0</v>
      </c>
      <c r="CF264" s="14">
        <f>[1]Sheet2!BJ263</f>
        <v>0</v>
      </c>
      <c r="CG264" s="14">
        <f>[1]Sheet2!BK263</f>
        <v>0</v>
      </c>
      <c r="CH264" s="14">
        <f>[1]Sheet2!BL263</f>
        <v>0</v>
      </c>
      <c r="CI264" s="14">
        <f>[1]Sheet2!BM263</f>
        <v>0</v>
      </c>
      <c r="CJ264" s="14">
        <f>[1]Sheet2!BN263</f>
        <v>0</v>
      </c>
      <c r="CK264" s="14">
        <f>[1]Sheet2!BO263</f>
        <v>0</v>
      </c>
      <c r="CL264" s="14">
        <f>[1]Sheet2!BP263</f>
        <v>0</v>
      </c>
      <c r="CM264" s="14">
        <f>[1]Sheet2!BQ263</f>
        <v>0</v>
      </c>
      <c r="CN264" s="16">
        <f>Demand_SW!B$11/30</f>
        <v>144.23076923076923</v>
      </c>
      <c r="CO264" s="16">
        <f>Demand_SW!C$11/30</f>
        <v>0</v>
      </c>
      <c r="CP264" s="16">
        <f>Demand_SW!D$11/30</f>
        <v>0</v>
      </c>
      <c r="CQ264" s="16">
        <f>Demand_SW!E$11/30</f>
        <v>0</v>
      </c>
      <c r="CR264" s="16">
        <f>Demand_SW!F$11/30</f>
        <v>0</v>
      </c>
      <c r="CS264" s="16">
        <f>Demand_SW!G$11/30</f>
        <v>144.23076923076923</v>
      </c>
      <c r="CT264" s="16">
        <f>Demand_SW!H$11/30</f>
        <v>0</v>
      </c>
      <c r="CU264" s="16">
        <f>Demand_SW!I$11/30</f>
        <v>0</v>
      </c>
      <c r="CV264" s="16">
        <f>Demand_SW!J$11/30</f>
        <v>0</v>
      </c>
      <c r="CW264" s="16">
        <f>Demand_SW!K$11/30</f>
        <v>0</v>
      </c>
      <c r="CX264" s="16">
        <f t="shared" si="146"/>
        <v>-12316.923076923118</v>
      </c>
      <c r="CY264" s="16">
        <f t="shared" si="147"/>
        <v>76.923076923077133</v>
      </c>
      <c r="CZ264" s="16">
        <f t="shared" si="148"/>
        <v>0</v>
      </c>
      <c r="DA264" s="16">
        <f t="shared" si="149"/>
        <v>0</v>
      </c>
      <c r="DB264" s="16">
        <f t="shared" si="150"/>
        <v>0</v>
      </c>
      <c r="DC264" s="16">
        <f t="shared" si="151"/>
        <v>-29846.153846153888</v>
      </c>
      <c r="DD264" s="16">
        <f t="shared" si="152"/>
        <v>76.923076923077133</v>
      </c>
      <c r="DE264" s="16">
        <f t="shared" si="153"/>
        <v>0</v>
      </c>
      <c r="DF264" s="16">
        <f t="shared" si="154"/>
        <v>0</v>
      </c>
      <c r="DG264" s="16">
        <f t="shared" si="155"/>
        <v>0</v>
      </c>
      <c r="DH264" s="14">
        <f>IF([1]Sheet2!DS263=999999,"NA",[1]Sheet2!DS263)</f>
        <v>0</v>
      </c>
      <c r="DI264" s="14">
        <f>IF([1]Sheet2!DT263=999999,"NA",[1]Sheet2!DT263)</f>
        <v>104</v>
      </c>
      <c r="DJ264" s="14" t="str">
        <f>IF([1]Sheet2!DU263=999999,"NA",[1]Sheet2!DU263)</f>
        <v>NA</v>
      </c>
      <c r="DK264" s="14" t="str">
        <f>IF([1]Sheet2!DV263=999999,"NA",[1]Sheet2!DV263)</f>
        <v>NA</v>
      </c>
      <c r="DL264" s="14" t="str">
        <f>IF([1]Sheet2!DW263=999999,"NA",[1]Sheet2!DW263)</f>
        <v>NA</v>
      </c>
      <c r="DM264" s="14">
        <f>IF([1]Sheet2!DX263=999999,"NA",[1]Sheet2!DX263)</f>
        <v>0</v>
      </c>
      <c r="DN264" s="14">
        <f>IF([1]Sheet2!DY263=999999,"NA",[1]Sheet2!DY263)</f>
        <v>104</v>
      </c>
      <c r="DO264" s="14" t="str">
        <f>IF([1]Sheet2!DZ263=999999,"NA",[1]Sheet2!DZ263)</f>
        <v>NA</v>
      </c>
      <c r="DP264" s="14" t="str">
        <f>IF([1]Sheet2!EA263=999999,"NA",[1]Sheet2!EA263)</f>
        <v>NA</v>
      </c>
      <c r="DQ264" s="14" t="str">
        <f>IF([1]Sheet2!EB263=999999,"NA",[1]Sheet2!EB263)</f>
        <v>NA</v>
      </c>
      <c r="DR264" s="45">
        <f>[1]Sheet2!CY263</f>
        <v>4500</v>
      </c>
      <c r="DS264" s="14">
        <f>[1]Sheet2!CZ263</f>
        <v>0</v>
      </c>
      <c r="DT264" s="14">
        <f>[1]Sheet2!DA263</f>
        <v>0</v>
      </c>
      <c r="DU264" s="14">
        <f>[1]Sheet2!DB263</f>
        <v>0</v>
      </c>
      <c r="DV264" s="14">
        <f>[1]Sheet2!DC263</f>
        <v>0</v>
      </c>
      <c r="DW264" s="14">
        <f>[1]Sheet2!DD263</f>
        <v>0</v>
      </c>
      <c r="DX264" s="14">
        <f>[1]Sheet2!DE263</f>
        <v>0</v>
      </c>
      <c r="DY264" s="14">
        <f>[1]Sheet2!DF263</f>
        <v>0</v>
      </c>
      <c r="DZ264" s="14">
        <f>[1]Sheet2!DG263</f>
        <v>0</v>
      </c>
      <c r="EA264" s="14">
        <f>[1]Sheet2!DH263</f>
        <v>0</v>
      </c>
      <c r="EB264" s="6">
        <f>[1]Sheet2!EC263</f>
        <v>0</v>
      </c>
      <c r="EC264" s="6">
        <f>[1]Sheet2!ED263</f>
        <v>0</v>
      </c>
      <c r="ED264" s="6">
        <f>[1]Sheet2!EE263</f>
        <v>0</v>
      </c>
      <c r="EE264" s="6">
        <f>[1]Sheet2!EF263</f>
        <v>0</v>
      </c>
      <c r="EF264" s="6">
        <f>[1]Sheet2!EG263</f>
        <v>0</v>
      </c>
      <c r="EG264" s="6">
        <f>[1]Sheet2!EH263</f>
        <v>0</v>
      </c>
      <c r="EH264" s="6">
        <f>[1]Sheet2!EI263</f>
        <v>0</v>
      </c>
      <c r="EI264" s="6">
        <f>[1]Sheet2!EJ263</f>
        <v>0</v>
      </c>
      <c r="EJ264" s="6">
        <f>[1]Sheet2!EK263</f>
        <v>0</v>
      </c>
      <c r="EK264" s="6">
        <f>[1]Sheet2!EL263</f>
        <v>0</v>
      </c>
      <c r="EL264" s="6" t="str">
        <f>[1]Sheet2!EM263</f>
        <v/>
      </c>
      <c r="EM264" s="6" t="str">
        <f>[1]Sheet2!EN263</f>
        <v/>
      </c>
      <c r="EN264" s="6" t="str">
        <f>[1]Sheet2!EO263</f>
        <v/>
      </c>
      <c r="EO264" s="6" t="str">
        <f>[1]Sheet2!EP263</f>
        <v/>
      </c>
      <c r="EP264" s="6" t="str">
        <f>[1]Sheet2!EQ263</f>
        <v/>
      </c>
      <c r="EQ264" s="6" t="str">
        <f>[1]Sheet2!ER263</f>
        <v/>
      </c>
      <c r="ER264" s="6" t="str">
        <f>[1]Sheet2!ES263</f>
        <v/>
      </c>
      <c r="ES264" s="6" t="str">
        <f>[1]Sheet2!ET263</f>
        <v/>
      </c>
      <c r="ET264" s="6" t="str">
        <f>[1]Sheet2!EU263</f>
        <v/>
      </c>
      <c r="EU264" s="6" t="str">
        <f>[1]Sheet2!EV263</f>
        <v/>
      </c>
      <c r="EV264" s="6" t="str">
        <f>[1]Sheet2!EW263</f>
        <v/>
      </c>
      <c r="EW264" s="6" t="str">
        <f>[1]Sheet2!EX263</f>
        <v/>
      </c>
      <c r="EX264" s="6" t="str">
        <f>[1]Sheet2!EY263</f>
        <v/>
      </c>
      <c r="EY264" s="6" t="str">
        <f>[1]Sheet2!EZ263</f>
        <v/>
      </c>
      <c r="EZ264" s="6" t="str">
        <f>[1]Sheet2!FA263</f>
        <v/>
      </c>
      <c r="FA264" s="6" t="str">
        <f>[1]Sheet2!FB263</f>
        <v/>
      </c>
      <c r="FB264" s="6" t="str">
        <f>[1]Sheet2!FC263</f>
        <v/>
      </c>
      <c r="FC264" s="6" t="str">
        <f>[1]Sheet2!FD263</f>
        <v/>
      </c>
      <c r="FD264" s="6" t="str">
        <f>[1]Sheet2!FE263</f>
        <v/>
      </c>
      <c r="FE264" s="6" t="str">
        <f>[1]Sheet2!FF263</f>
        <v/>
      </c>
      <c r="FF264" s="6" t="str">
        <f>[1]Sheet2!FG263</f>
        <v/>
      </c>
      <c r="FG264" s="6" t="str">
        <f>[1]Sheet2!FH263</f>
        <v/>
      </c>
      <c r="FH264" s="6" t="str">
        <f>[1]Sheet2!FI263</f>
        <v/>
      </c>
      <c r="FI264" s="6" t="str">
        <f>[1]Sheet2!FJ263</f>
        <v/>
      </c>
      <c r="FJ264" s="6" t="str">
        <f>[1]Sheet2!FK263</f>
        <v/>
      </c>
      <c r="FK264" s="6" t="str">
        <f>[1]Sheet2!FL263</f>
        <v/>
      </c>
      <c r="FL264" s="6" t="str">
        <f>[1]Sheet2!FM263</f>
        <v/>
      </c>
      <c r="FM264" s="6" t="str">
        <f>[1]Sheet2!FN263</f>
        <v/>
      </c>
      <c r="FN264" s="6" t="str">
        <f>[1]Sheet2!FO263</f>
        <v/>
      </c>
      <c r="FO264" s="6" t="str">
        <f>[1]Sheet2!FP263</f>
        <v/>
      </c>
    </row>
    <row r="265" spans="1:171" x14ac:dyDescent="0.25">
      <c r="A265" s="15">
        <v>43727</v>
      </c>
      <c r="B265" s="1"/>
      <c r="C265" s="1"/>
      <c r="D265" s="1"/>
      <c r="E265" s="14">
        <f>[1]Sheet2!N264</f>
        <v>0</v>
      </c>
      <c r="F265" s="14">
        <f>[1]Sheet2!BE264</f>
        <v>0</v>
      </c>
      <c r="G265" s="14">
        <f>[1]Sheet2!CW264</f>
        <v>0</v>
      </c>
      <c r="H265" s="1"/>
      <c r="I265" s="1"/>
      <c r="J265" s="1"/>
      <c r="K265" s="16"/>
      <c r="L265" s="16">
        <f>Demand_CWRS!B$11/30</f>
        <v>118.04546474358973</v>
      </c>
      <c r="M265" s="16">
        <f>Demand_CWRS!C$11/30</f>
        <v>491.39401709401704</v>
      </c>
      <c r="N265" s="16">
        <f>Demand_CWRS!D$11/30</f>
        <v>0</v>
      </c>
      <c r="O265" s="16">
        <f>Demand_CWRS!E$11/30</f>
        <v>107.84935897435898</v>
      </c>
      <c r="P265" s="16">
        <f>Demand_CWRS!F$11/30</f>
        <v>218.22274305555553</v>
      </c>
      <c r="Q265" s="16">
        <f>Demand_CWRS!G$11/30</f>
        <v>118.04546474358973</v>
      </c>
      <c r="R265" s="16">
        <f>Demand_CWRS!H$11/30</f>
        <v>218.22274305555553</v>
      </c>
      <c r="S265" s="16">
        <f>Demand_CWRS!I$11/30</f>
        <v>218.22274305555553</v>
      </c>
      <c r="T265" s="16">
        <f>Demand_CWRS!J$11/30</f>
        <v>218.22274305555553</v>
      </c>
      <c r="U265" s="16">
        <f>Demand_CWRS!K$11/30</f>
        <v>218.22274305555553</v>
      </c>
      <c r="V265" s="16">
        <f t="shared" si="126"/>
        <v>-32610.496040601607</v>
      </c>
      <c r="W265" s="16">
        <f t="shared" si="127"/>
        <v>-129442.31965811932</v>
      </c>
      <c r="X265" s="16">
        <f t="shared" si="128"/>
        <v>0</v>
      </c>
      <c r="Y265" s="16">
        <f t="shared" si="129"/>
        <v>-21754.132319052227</v>
      </c>
      <c r="Z265" s="16">
        <f t="shared" si="130"/>
        <v>-51628.756369516137</v>
      </c>
      <c r="AA265" s="16">
        <f t="shared" si="131"/>
        <v>-31138.563516563216</v>
      </c>
      <c r="AB265" s="16">
        <f t="shared" si="132"/>
        <v>-61165.921145157095</v>
      </c>
      <c r="AC265" s="16">
        <f t="shared" si="133"/>
        <v>-55372.910888746905</v>
      </c>
      <c r="AD265" s="16">
        <f t="shared" si="134"/>
        <v>-55472.910888746897</v>
      </c>
      <c r="AE265" s="16">
        <f t="shared" si="135"/>
        <v>-56072.91088874689</v>
      </c>
      <c r="AF265" s="14">
        <f>IF([1]Sheet2!AJ264=999999,"NA",[1]Sheet2!AJ264)</f>
        <v>0</v>
      </c>
      <c r="AG265" s="14">
        <f>IF([1]Sheet2!AK264=999999,"NA",[1]Sheet2!AK264)</f>
        <v>0</v>
      </c>
      <c r="AH265" s="14" t="str">
        <f>IF([1]Sheet2!AL264=999999,"NA",[1]Sheet2!AL264)</f>
        <v>NA</v>
      </c>
      <c r="AI265" s="14">
        <f>IF([1]Sheet2!AM264=999999,"NA",[1]Sheet2!AM264)</f>
        <v>0</v>
      </c>
      <c r="AJ265" s="14">
        <f>IF([1]Sheet2!AN264=999999,"NA",[1]Sheet2!AN264)</f>
        <v>0</v>
      </c>
      <c r="AK265" s="14">
        <f>IF([1]Sheet2!AO264=999999,"NA",[1]Sheet2!AO264)</f>
        <v>0</v>
      </c>
      <c r="AL265" s="14">
        <f>IF([1]Sheet2!AP264=999999,"NA",[1]Sheet2!AP264)</f>
        <v>0</v>
      </c>
      <c r="AM265" s="14">
        <f>IF([1]Sheet2!AQ264=999999,"NA",[1]Sheet2!AQ264)</f>
        <v>0</v>
      </c>
      <c r="AN265" s="14">
        <f>IF([1]Sheet2!AR264=999999,"NA",[1]Sheet2!AR264)</f>
        <v>0</v>
      </c>
      <c r="AO265" s="14">
        <f>IF([1]Sheet2!AS264=999999,"NA",[1]Sheet2!AS264)</f>
        <v>0</v>
      </c>
      <c r="AP265" s="14">
        <f>[1]Sheet2!P264</f>
        <v>0</v>
      </c>
      <c r="AQ265" s="14">
        <f>[1]Sheet2!Q264</f>
        <v>0</v>
      </c>
      <c r="AR265" s="14">
        <f>[1]Sheet2!R264</f>
        <v>0</v>
      </c>
      <c r="AS265" s="14">
        <f>[1]Sheet2!S264</f>
        <v>0</v>
      </c>
      <c r="AT265" s="14">
        <f>[1]Sheet2!T264</f>
        <v>0</v>
      </c>
      <c r="AU265" s="14">
        <f>[1]Sheet2!U264</f>
        <v>0</v>
      </c>
      <c r="AV265" s="14">
        <f>[1]Sheet2!V264</f>
        <v>0</v>
      </c>
      <c r="AW265" s="14">
        <f>[1]Sheet2!W264</f>
        <v>0</v>
      </c>
      <c r="AX265" s="14">
        <f>[1]Sheet2!X264</f>
        <v>0</v>
      </c>
      <c r="AY265" s="14">
        <f>[1]Sheet2!Y264</f>
        <v>0</v>
      </c>
      <c r="AZ265" s="16">
        <f>Demand_LP!B$11/30</f>
        <v>902.60591613247857</v>
      </c>
      <c r="BA265" s="16">
        <f>Demand_LP!C$11/30</f>
        <v>593.76410256410259</v>
      </c>
      <c r="BB265" s="16">
        <f>Demand_LP!D$11/30</f>
        <v>290.27136752136749</v>
      </c>
      <c r="BC265" s="16">
        <f>Demand_LP!E$11/30</f>
        <v>790.42628205128199</v>
      </c>
      <c r="BD265" s="16">
        <f>Demand_LP!F$11/30</f>
        <v>538.46224626068363</v>
      </c>
      <c r="BE265" s="16">
        <f>Demand_LP!G$11/30</f>
        <v>538.46224626068363</v>
      </c>
      <c r="BF265" s="16">
        <f>Demand_LP!H$11/30</f>
        <v>593.76410256410259</v>
      </c>
      <c r="BG265" s="16">
        <f>Demand_LP!I$11/30</f>
        <v>538.46224626068363</v>
      </c>
      <c r="BH265" s="16">
        <f>Demand_LP!J$11/30</f>
        <v>538.46224626068363</v>
      </c>
      <c r="BI265" s="16">
        <f>Demand_LP!K$11/30</f>
        <v>538.46224626068363</v>
      </c>
      <c r="BJ265" s="16">
        <f t="shared" si="136"/>
        <v>-197135.0738101296</v>
      </c>
      <c r="BK265" s="16">
        <f t="shared" si="137"/>
        <v>-150424.65897435893</v>
      </c>
      <c r="BL265" s="16">
        <f t="shared" si="138"/>
        <v>-73105.755982906136</v>
      </c>
      <c r="BM265" s="16">
        <f t="shared" si="139"/>
        <v>-185525.78139402732</v>
      </c>
      <c r="BN265" s="16">
        <f t="shared" si="140"/>
        <v>-110725.95278301832</v>
      </c>
      <c r="BO265" s="16">
        <f t="shared" si="141"/>
        <v>-113490.63670138906</v>
      </c>
      <c r="BP265" s="16">
        <f t="shared" si="142"/>
        <v>-144782.23846153828</v>
      </c>
      <c r="BQ265" s="16">
        <f t="shared" si="143"/>
        <v>-113490.63670138906</v>
      </c>
      <c r="BR265" s="16">
        <f t="shared" si="144"/>
        <v>-111090.6367013891</v>
      </c>
      <c r="BS265" s="16">
        <f t="shared" si="145"/>
        <v>-111790.63670138908</v>
      </c>
      <c r="BT265" s="14">
        <f>IF([1]Sheet2!CB264=999999,"NA",[1]Sheet2!CB264)</f>
        <v>0</v>
      </c>
      <c r="BU265" s="14">
        <f>IF([1]Sheet2!CC264=999999,"NA",[1]Sheet2!CC264)</f>
        <v>0</v>
      </c>
      <c r="BV265" s="14">
        <f>IF([1]Sheet2!CD264=999999,"NA",[1]Sheet2!CD264)</f>
        <v>0</v>
      </c>
      <c r="BW265" s="14">
        <f>IF([1]Sheet2!CE264=999999,"NA",[1]Sheet2!CE264)</f>
        <v>0</v>
      </c>
      <c r="BX265" s="14">
        <f>IF([1]Sheet2!CF264=999999,"NA",[1]Sheet2!CF264)</f>
        <v>0</v>
      </c>
      <c r="BY265" s="14">
        <f>IF([1]Sheet2!CG264=999999,"NA",[1]Sheet2!CG264)</f>
        <v>0</v>
      </c>
      <c r="BZ265" s="14">
        <f>IF([1]Sheet2!CH264=999999,"NA",[1]Sheet2!CH264)</f>
        <v>0</v>
      </c>
      <c r="CA265" s="14">
        <f>IF([1]Sheet2!CI264=999999,"NA",[1]Sheet2!CI264)</f>
        <v>0</v>
      </c>
      <c r="CB265" s="14">
        <f>IF([1]Sheet2!CJ264=999999,"NA",[1]Sheet2!CJ264)</f>
        <v>0</v>
      </c>
      <c r="CC265" s="14">
        <f>IF([1]Sheet2!CK264=999999,"NA",[1]Sheet2!CK264)</f>
        <v>0</v>
      </c>
      <c r="CD265" s="14">
        <f>[1]Sheet2!BH264</f>
        <v>0</v>
      </c>
      <c r="CE265" s="14">
        <f>[1]Sheet2!BI264</f>
        <v>0</v>
      </c>
      <c r="CF265" s="14">
        <f>[1]Sheet2!BJ264</f>
        <v>0</v>
      </c>
      <c r="CG265" s="14">
        <f>[1]Sheet2!BK264</f>
        <v>0</v>
      </c>
      <c r="CH265" s="14">
        <f>[1]Sheet2!BL264</f>
        <v>0</v>
      </c>
      <c r="CI265" s="14">
        <f>[1]Sheet2!BM264</f>
        <v>0</v>
      </c>
      <c r="CJ265" s="14">
        <f>[1]Sheet2!BN264</f>
        <v>0</v>
      </c>
      <c r="CK265" s="14">
        <f>[1]Sheet2!BO264</f>
        <v>0</v>
      </c>
      <c r="CL265" s="14">
        <f>[1]Sheet2!BP264</f>
        <v>0</v>
      </c>
      <c r="CM265" s="14">
        <f>[1]Sheet2!BQ264</f>
        <v>0</v>
      </c>
      <c r="CN265" s="16">
        <f>Demand_SW!B$11/30</f>
        <v>144.23076923076923</v>
      </c>
      <c r="CO265" s="16">
        <f>Demand_SW!C$11/30</f>
        <v>0</v>
      </c>
      <c r="CP265" s="16">
        <f>Demand_SW!D$11/30</f>
        <v>0</v>
      </c>
      <c r="CQ265" s="16">
        <f>Demand_SW!E$11/30</f>
        <v>0</v>
      </c>
      <c r="CR265" s="16">
        <f>Demand_SW!F$11/30</f>
        <v>0</v>
      </c>
      <c r="CS265" s="16">
        <f>Demand_SW!G$11/30</f>
        <v>144.23076923076923</v>
      </c>
      <c r="CT265" s="16">
        <f>Demand_SW!H$11/30</f>
        <v>0</v>
      </c>
      <c r="CU265" s="16">
        <f>Demand_SW!I$11/30</f>
        <v>0</v>
      </c>
      <c r="CV265" s="16">
        <f>Demand_SW!J$11/30</f>
        <v>0</v>
      </c>
      <c r="CW265" s="16">
        <f>Demand_SW!K$11/30</f>
        <v>0</v>
      </c>
      <c r="CX265" s="16">
        <f t="shared" si="146"/>
        <v>-12461.153846153888</v>
      </c>
      <c r="CY265" s="16">
        <f t="shared" si="147"/>
        <v>76.923076923077133</v>
      </c>
      <c r="CZ265" s="16">
        <f t="shared" si="148"/>
        <v>0</v>
      </c>
      <c r="DA265" s="16">
        <f t="shared" si="149"/>
        <v>0</v>
      </c>
      <c r="DB265" s="16">
        <f t="shared" si="150"/>
        <v>0</v>
      </c>
      <c r="DC265" s="16">
        <f t="shared" si="151"/>
        <v>-29990.384615384657</v>
      </c>
      <c r="DD265" s="16">
        <f t="shared" si="152"/>
        <v>76.923076923077133</v>
      </c>
      <c r="DE265" s="16">
        <f t="shared" si="153"/>
        <v>0</v>
      </c>
      <c r="DF265" s="16">
        <f t="shared" si="154"/>
        <v>0</v>
      </c>
      <c r="DG265" s="16">
        <f t="shared" si="155"/>
        <v>0</v>
      </c>
      <c r="DH265" s="14">
        <f>IF([1]Sheet2!DS264=999999,"NA",[1]Sheet2!DS264)</f>
        <v>0</v>
      </c>
      <c r="DI265" s="14">
        <f>IF([1]Sheet2!DT264=999999,"NA",[1]Sheet2!DT264)</f>
        <v>103</v>
      </c>
      <c r="DJ265" s="14" t="str">
        <f>IF([1]Sheet2!DU264=999999,"NA",[1]Sheet2!DU264)</f>
        <v>NA</v>
      </c>
      <c r="DK265" s="14" t="str">
        <f>IF([1]Sheet2!DV264=999999,"NA",[1]Sheet2!DV264)</f>
        <v>NA</v>
      </c>
      <c r="DL265" s="14" t="str">
        <f>IF([1]Sheet2!DW264=999999,"NA",[1]Sheet2!DW264)</f>
        <v>NA</v>
      </c>
      <c r="DM265" s="14">
        <f>IF([1]Sheet2!DX264=999999,"NA",[1]Sheet2!DX264)</f>
        <v>0</v>
      </c>
      <c r="DN265" s="14">
        <f>IF([1]Sheet2!DY264=999999,"NA",[1]Sheet2!DY264)</f>
        <v>103</v>
      </c>
      <c r="DO265" s="14" t="str">
        <f>IF([1]Sheet2!DZ264=999999,"NA",[1]Sheet2!DZ264)</f>
        <v>NA</v>
      </c>
      <c r="DP265" s="14" t="str">
        <f>IF([1]Sheet2!EA264=999999,"NA",[1]Sheet2!EA264)</f>
        <v>NA</v>
      </c>
      <c r="DQ265" s="14" t="str">
        <f>IF([1]Sheet2!EB264=999999,"NA",[1]Sheet2!EB264)</f>
        <v>NA</v>
      </c>
      <c r="DR265" s="45">
        <f>[1]Sheet2!CY264</f>
        <v>0</v>
      </c>
      <c r="DS265" s="14">
        <f>[1]Sheet2!CZ264</f>
        <v>0</v>
      </c>
      <c r="DT265" s="14">
        <f>[1]Sheet2!DA264</f>
        <v>0</v>
      </c>
      <c r="DU265" s="14">
        <f>[1]Sheet2!DB264</f>
        <v>0</v>
      </c>
      <c r="DV265" s="14">
        <f>[1]Sheet2!DC264</f>
        <v>0</v>
      </c>
      <c r="DW265" s="14">
        <f>[1]Sheet2!DD264</f>
        <v>0</v>
      </c>
      <c r="DX265" s="14">
        <f>[1]Sheet2!DE264</f>
        <v>0</v>
      </c>
      <c r="DY265" s="14">
        <f>[1]Sheet2!DF264</f>
        <v>0</v>
      </c>
      <c r="DZ265" s="14">
        <f>[1]Sheet2!DG264</f>
        <v>0</v>
      </c>
      <c r="EA265" s="14">
        <f>[1]Sheet2!DH264</f>
        <v>0</v>
      </c>
      <c r="EB265" s="6">
        <f>[1]Sheet2!EC264</f>
        <v>0</v>
      </c>
      <c r="EC265" s="6">
        <f>[1]Sheet2!ED264</f>
        <v>0</v>
      </c>
      <c r="ED265" s="6">
        <f>[1]Sheet2!EE264</f>
        <v>0</v>
      </c>
      <c r="EE265" s="6">
        <f>[1]Sheet2!EF264</f>
        <v>0</v>
      </c>
      <c r="EF265" s="6">
        <f>[1]Sheet2!EG264</f>
        <v>0</v>
      </c>
      <c r="EG265" s="6">
        <f>[1]Sheet2!EH264</f>
        <v>0</v>
      </c>
      <c r="EH265" s="6">
        <f>[1]Sheet2!EI264</f>
        <v>0</v>
      </c>
      <c r="EI265" s="6">
        <f>[1]Sheet2!EJ264</f>
        <v>0</v>
      </c>
      <c r="EJ265" s="6">
        <f>[1]Sheet2!EK264</f>
        <v>0</v>
      </c>
      <c r="EK265" s="6">
        <f>[1]Sheet2!EL264</f>
        <v>0</v>
      </c>
      <c r="EL265" s="6" t="str">
        <f>[1]Sheet2!EM264</f>
        <v/>
      </c>
      <c r="EM265" s="6" t="str">
        <f>[1]Sheet2!EN264</f>
        <v/>
      </c>
      <c r="EN265" s="6" t="str">
        <f>[1]Sheet2!EO264</f>
        <v/>
      </c>
      <c r="EO265" s="6" t="str">
        <f>[1]Sheet2!EP264</f>
        <v/>
      </c>
      <c r="EP265" s="6" t="str">
        <f>[1]Sheet2!EQ264</f>
        <v/>
      </c>
      <c r="EQ265" s="6" t="str">
        <f>[1]Sheet2!ER264</f>
        <v/>
      </c>
      <c r="ER265" s="6" t="str">
        <f>[1]Sheet2!ES264</f>
        <v/>
      </c>
      <c r="ES265" s="6" t="str">
        <f>[1]Sheet2!ET264</f>
        <v/>
      </c>
      <c r="ET265" s="6" t="str">
        <f>[1]Sheet2!EU264</f>
        <v/>
      </c>
      <c r="EU265" s="6" t="str">
        <f>[1]Sheet2!EV264</f>
        <v/>
      </c>
      <c r="EV265" s="6" t="str">
        <f>[1]Sheet2!EW264</f>
        <v/>
      </c>
      <c r="EW265" s="6" t="str">
        <f>[1]Sheet2!EX264</f>
        <v/>
      </c>
      <c r="EX265" s="6" t="str">
        <f>[1]Sheet2!EY264</f>
        <v/>
      </c>
      <c r="EY265" s="6" t="str">
        <f>[1]Sheet2!EZ264</f>
        <v/>
      </c>
      <c r="EZ265" s="6" t="str">
        <f>[1]Sheet2!FA264</f>
        <v/>
      </c>
      <c r="FA265" s="6" t="str">
        <f>[1]Sheet2!FB264</f>
        <v/>
      </c>
      <c r="FB265" s="6" t="str">
        <f>[1]Sheet2!FC264</f>
        <v/>
      </c>
      <c r="FC265" s="6" t="str">
        <f>[1]Sheet2!FD264</f>
        <v/>
      </c>
      <c r="FD265" s="6" t="str">
        <f>[1]Sheet2!FE264</f>
        <v/>
      </c>
      <c r="FE265" s="6" t="str">
        <f>[1]Sheet2!FF264</f>
        <v/>
      </c>
      <c r="FF265" s="6" t="str">
        <f>[1]Sheet2!FG264</f>
        <v/>
      </c>
      <c r="FG265" s="6" t="str">
        <f>[1]Sheet2!FH264</f>
        <v/>
      </c>
      <c r="FH265" s="6" t="str">
        <f>[1]Sheet2!FI264</f>
        <v/>
      </c>
      <c r="FI265" s="6" t="str">
        <f>[1]Sheet2!FJ264</f>
        <v/>
      </c>
      <c r="FJ265" s="6" t="str">
        <f>[1]Sheet2!FK264</f>
        <v/>
      </c>
      <c r="FK265" s="6" t="str">
        <f>[1]Sheet2!FL264</f>
        <v/>
      </c>
      <c r="FL265" s="6" t="str">
        <f>[1]Sheet2!FM264</f>
        <v/>
      </c>
      <c r="FM265" s="6" t="str">
        <f>[1]Sheet2!FN264</f>
        <v/>
      </c>
      <c r="FN265" s="6" t="str">
        <f>[1]Sheet2!FO264</f>
        <v/>
      </c>
      <c r="FO265" s="6" t="str">
        <f>[1]Sheet2!FP264</f>
        <v/>
      </c>
    </row>
    <row r="266" spans="1:171" x14ac:dyDescent="0.25">
      <c r="A266" s="15">
        <v>43728</v>
      </c>
      <c r="B266" s="1"/>
      <c r="C266" s="1"/>
      <c r="D266" s="1"/>
      <c r="E266" s="14">
        <f>[1]Sheet2!N265</f>
        <v>0</v>
      </c>
      <c r="F266" s="14">
        <f>[1]Sheet2!BE265</f>
        <v>48000</v>
      </c>
      <c r="G266" s="14">
        <f>[1]Sheet2!CW265</f>
        <v>0</v>
      </c>
      <c r="H266" s="1"/>
      <c r="I266" s="1"/>
      <c r="J266" s="1"/>
      <c r="K266" s="16"/>
      <c r="L266" s="16">
        <f>Demand_CWRS!B$11/30</f>
        <v>118.04546474358973</v>
      </c>
      <c r="M266" s="16">
        <f>Demand_CWRS!C$11/30</f>
        <v>491.39401709401704</v>
      </c>
      <c r="N266" s="16">
        <f>Demand_CWRS!D$11/30</f>
        <v>0</v>
      </c>
      <c r="O266" s="16">
        <f>Demand_CWRS!E$11/30</f>
        <v>107.84935897435898</v>
      </c>
      <c r="P266" s="16">
        <f>Demand_CWRS!F$11/30</f>
        <v>218.22274305555553</v>
      </c>
      <c r="Q266" s="16">
        <f>Demand_CWRS!G$11/30</f>
        <v>118.04546474358973</v>
      </c>
      <c r="R266" s="16">
        <f>Demand_CWRS!H$11/30</f>
        <v>218.22274305555553</v>
      </c>
      <c r="S266" s="16">
        <f>Demand_CWRS!I$11/30</f>
        <v>218.22274305555553</v>
      </c>
      <c r="T266" s="16">
        <f>Demand_CWRS!J$11/30</f>
        <v>218.22274305555553</v>
      </c>
      <c r="U266" s="16">
        <f>Demand_CWRS!K$11/30</f>
        <v>218.22274305555553</v>
      </c>
      <c r="V266" s="16">
        <f t="shared" si="126"/>
        <v>-32728.541505345198</v>
      </c>
      <c r="W266" s="16">
        <f t="shared" si="127"/>
        <v>-129933.71367521334</v>
      </c>
      <c r="X266" s="16">
        <f t="shared" si="128"/>
        <v>0</v>
      </c>
      <c r="Y266" s="16">
        <f t="shared" si="129"/>
        <v>-21861.981678026586</v>
      </c>
      <c r="Z266" s="16">
        <f t="shared" si="130"/>
        <v>-51846.979112571695</v>
      </c>
      <c r="AA266" s="16">
        <f t="shared" si="131"/>
        <v>-31256.608981306807</v>
      </c>
      <c r="AB266" s="16">
        <f t="shared" si="132"/>
        <v>-61384.143888212653</v>
      </c>
      <c r="AC266" s="16">
        <f t="shared" si="133"/>
        <v>-55591.133631802462</v>
      </c>
      <c r="AD266" s="16">
        <f t="shared" si="134"/>
        <v>-55691.133631802455</v>
      </c>
      <c r="AE266" s="16">
        <f t="shared" si="135"/>
        <v>-56291.133631802448</v>
      </c>
      <c r="AF266" s="14">
        <f>IF([1]Sheet2!AJ265=999999,"NA",[1]Sheet2!AJ265)</f>
        <v>0</v>
      </c>
      <c r="AG266" s="14">
        <f>IF([1]Sheet2!AK265=999999,"NA",[1]Sheet2!AK265)</f>
        <v>0</v>
      </c>
      <c r="AH266" s="14" t="str">
        <f>IF([1]Sheet2!AL265=999999,"NA",[1]Sheet2!AL265)</f>
        <v>NA</v>
      </c>
      <c r="AI266" s="14">
        <f>IF([1]Sheet2!AM265=999999,"NA",[1]Sheet2!AM265)</f>
        <v>0</v>
      </c>
      <c r="AJ266" s="14">
        <f>IF([1]Sheet2!AN265=999999,"NA",[1]Sheet2!AN265)</f>
        <v>0</v>
      </c>
      <c r="AK266" s="14">
        <f>IF([1]Sheet2!AO265=999999,"NA",[1]Sheet2!AO265)</f>
        <v>0</v>
      </c>
      <c r="AL266" s="14">
        <f>IF([1]Sheet2!AP265=999999,"NA",[1]Sheet2!AP265)</f>
        <v>0</v>
      </c>
      <c r="AM266" s="14">
        <f>IF([1]Sheet2!AQ265=999999,"NA",[1]Sheet2!AQ265)</f>
        <v>0</v>
      </c>
      <c r="AN266" s="14">
        <f>IF([1]Sheet2!AR265=999999,"NA",[1]Sheet2!AR265)</f>
        <v>0</v>
      </c>
      <c r="AO266" s="14">
        <f>IF([1]Sheet2!AS265=999999,"NA",[1]Sheet2!AS265)</f>
        <v>0</v>
      </c>
      <c r="AP266" s="14">
        <f>[1]Sheet2!P265</f>
        <v>0</v>
      </c>
      <c r="AQ266" s="14">
        <f>[1]Sheet2!Q265</f>
        <v>0</v>
      </c>
      <c r="AR266" s="14">
        <f>[1]Sheet2!R265</f>
        <v>0</v>
      </c>
      <c r="AS266" s="14">
        <f>[1]Sheet2!S265</f>
        <v>0</v>
      </c>
      <c r="AT266" s="14">
        <f>[1]Sheet2!T265</f>
        <v>0</v>
      </c>
      <c r="AU266" s="14">
        <f>[1]Sheet2!U265</f>
        <v>0</v>
      </c>
      <c r="AV266" s="14">
        <f>[1]Sheet2!V265</f>
        <v>0</v>
      </c>
      <c r="AW266" s="14">
        <f>[1]Sheet2!W265</f>
        <v>0</v>
      </c>
      <c r="AX266" s="14">
        <f>[1]Sheet2!X265</f>
        <v>0</v>
      </c>
      <c r="AY266" s="14">
        <f>[1]Sheet2!Y265</f>
        <v>0</v>
      </c>
      <c r="AZ266" s="16">
        <f>Demand_LP!B$11/30</f>
        <v>902.60591613247857</v>
      </c>
      <c r="BA266" s="16">
        <f>Demand_LP!C$11/30</f>
        <v>593.76410256410259</v>
      </c>
      <c r="BB266" s="16">
        <f>Demand_LP!D$11/30</f>
        <v>290.27136752136749</v>
      </c>
      <c r="BC266" s="16">
        <f>Demand_LP!E$11/30</f>
        <v>790.42628205128199</v>
      </c>
      <c r="BD266" s="16">
        <f>Demand_LP!F$11/30</f>
        <v>538.46224626068363</v>
      </c>
      <c r="BE266" s="16">
        <f>Demand_LP!G$11/30</f>
        <v>538.46224626068363</v>
      </c>
      <c r="BF266" s="16">
        <f>Demand_LP!H$11/30</f>
        <v>593.76410256410259</v>
      </c>
      <c r="BG266" s="16">
        <f>Demand_LP!I$11/30</f>
        <v>538.46224626068363</v>
      </c>
      <c r="BH266" s="16">
        <f>Demand_LP!J$11/30</f>
        <v>538.46224626068363</v>
      </c>
      <c r="BI266" s="16">
        <f>Demand_LP!K$11/30</f>
        <v>538.46224626068363</v>
      </c>
      <c r="BJ266" s="16">
        <f t="shared" si="136"/>
        <v>-198037.67972626208</v>
      </c>
      <c r="BK266" s="16">
        <f t="shared" si="137"/>
        <v>-151018.42307692303</v>
      </c>
      <c r="BL266" s="16">
        <f t="shared" si="138"/>
        <v>-73396.02735042751</v>
      </c>
      <c r="BM266" s="16">
        <f t="shared" si="139"/>
        <v>-186316.2076760786</v>
      </c>
      <c r="BN266" s="16">
        <f t="shared" si="140"/>
        <v>-111264.415029279</v>
      </c>
      <c r="BO266" s="16">
        <f t="shared" si="141"/>
        <v>-114029.09894764973</v>
      </c>
      <c r="BP266" s="16">
        <f t="shared" si="142"/>
        <v>-145376.00256410238</v>
      </c>
      <c r="BQ266" s="16">
        <f t="shared" si="143"/>
        <v>-114029.09894764973</v>
      </c>
      <c r="BR266" s="16">
        <f t="shared" si="144"/>
        <v>-111629.09894764978</v>
      </c>
      <c r="BS266" s="16">
        <f t="shared" si="145"/>
        <v>-112329.09894764976</v>
      </c>
      <c r="BT266" s="14">
        <f>IF([1]Sheet2!CB265=999999,"NA",[1]Sheet2!CB265)</f>
        <v>0</v>
      </c>
      <c r="BU266" s="14">
        <f>IF([1]Sheet2!CC265=999999,"NA",[1]Sheet2!CC265)</f>
        <v>0</v>
      </c>
      <c r="BV266" s="14">
        <f>IF([1]Sheet2!CD265=999999,"NA",[1]Sheet2!CD265)</f>
        <v>0</v>
      </c>
      <c r="BW266" s="14">
        <f>IF([1]Sheet2!CE265=999999,"NA",[1]Sheet2!CE265)</f>
        <v>0</v>
      </c>
      <c r="BX266" s="14">
        <f>IF([1]Sheet2!CF265=999999,"NA",[1]Sheet2!CF265)</f>
        <v>0</v>
      </c>
      <c r="BY266" s="14">
        <f>IF([1]Sheet2!CG265=999999,"NA",[1]Sheet2!CG265)</f>
        <v>0</v>
      </c>
      <c r="BZ266" s="14">
        <f>IF([1]Sheet2!CH265=999999,"NA",[1]Sheet2!CH265)</f>
        <v>0</v>
      </c>
      <c r="CA266" s="14">
        <f>IF([1]Sheet2!CI265=999999,"NA",[1]Sheet2!CI265)</f>
        <v>0</v>
      </c>
      <c r="CB266" s="14">
        <f>IF([1]Sheet2!CJ265=999999,"NA",[1]Sheet2!CJ265)</f>
        <v>0</v>
      </c>
      <c r="CC266" s="14">
        <f>IF([1]Sheet2!CK265=999999,"NA",[1]Sheet2!CK265)</f>
        <v>0</v>
      </c>
      <c r="CD266" s="14">
        <f>[1]Sheet2!BH265</f>
        <v>0</v>
      </c>
      <c r="CE266" s="14">
        <f>[1]Sheet2!BI265</f>
        <v>0</v>
      </c>
      <c r="CF266" s="14">
        <f>[1]Sheet2!BJ265</f>
        <v>0</v>
      </c>
      <c r="CG266" s="14">
        <f>[1]Sheet2!BK265</f>
        <v>0</v>
      </c>
      <c r="CH266" s="14">
        <f>[1]Sheet2!BL265</f>
        <v>0</v>
      </c>
      <c r="CI266" s="14">
        <f>[1]Sheet2!BM265</f>
        <v>0</v>
      </c>
      <c r="CJ266" s="14">
        <f>[1]Sheet2!BN265</f>
        <v>0</v>
      </c>
      <c r="CK266" s="14">
        <f>[1]Sheet2!BO265</f>
        <v>0</v>
      </c>
      <c r="CL266" s="14">
        <f>[1]Sheet2!BP265</f>
        <v>0</v>
      </c>
      <c r="CM266" s="14">
        <f>[1]Sheet2!BQ265</f>
        <v>0</v>
      </c>
      <c r="CN266" s="16">
        <f>Demand_SW!B$11/30</f>
        <v>144.23076923076923</v>
      </c>
      <c r="CO266" s="16">
        <f>Demand_SW!C$11/30</f>
        <v>0</v>
      </c>
      <c r="CP266" s="16">
        <f>Demand_SW!D$11/30</f>
        <v>0</v>
      </c>
      <c r="CQ266" s="16">
        <f>Demand_SW!E$11/30</f>
        <v>0</v>
      </c>
      <c r="CR266" s="16">
        <f>Demand_SW!F$11/30</f>
        <v>0</v>
      </c>
      <c r="CS266" s="16">
        <f>Demand_SW!G$11/30</f>
        <v>144.23076923076923</v>
      </c>
      <c r="CT266" s="16">
        <f>Demand_SW!H$11/30</f>
        <v>0</v>
      </c>
      <c r="CU266" s="16">
        <f>Demand_SW!I$11/30</f>
        <v>0</v>
      </c>
      <c r="CV266" s="16">
        <f>Demand_SW!J$11/30</f>
        <v>0</v>
      </c>
      <c r="CW266" s="16">
        <f>Demand_SW!K$11/30</f>
        <v>0</v>
      </c>
      <c r="CX266" s="16">
        <f t="shared" si="146"/>
        <v>-12605.384615384657</v>
      </c>
      <c r="CY266" s="16">
        <f t="shared" si="147"/>
        <v>76.923076923077133</v>
      </c>
      <c r="CZ266" s="16">
        <f t="shared" si="148"/>
        <v>0</v>
      </c>
      <c r="DA266" s="16">
        <f t="shared" si="149"/>
        <v>0</v>
      </c>
      <c r="DB266" s="16">
        <f t="shared" si="150"/>
        <v>0</v>
      </c>
      <c r="DC266" s="16">
        <f t="shared" si="151"/>
        <v>-30134.615384615427</v>
      </c>
      <c r="DD266" s="16">
        <f t="shared" si="152"/>
        <v>76.923076923077133</v>
      </c>
      <c r="DE266" s="16">
        <f t="shared" si="153"/>
        <v>0</v>
      </c>
      <c r="DF266" s="16">
        <f t="shared" si="154"/>
        <v>0</v>
      </c>
      <c r="DG266" s="16">
        <f t="shared" si="155"/>
        <v>0</v>
      </c>
      <c r="DH266" s="14">
        <f>IF([1]Sheet2!DS265=999999,"NA",[1]Sheet2!DS265)</f>
        <v>0</v>
      </c>
      <c r="DI266" s="14">
        <f>IF([1]Sheet2!DT265=999999,"NA",[1]Sheet2!DT265)</f>
        <v>102</v>
      </c>
      <c r="DJ266" s="14" t="str">
        <f>IF([1]Sheet2!DU265=999999,"NA",[1]Sheet2!DU265)</f>
        <v>NA</v>
      </c>
      <c r="DK266" s="14" t="str">
        <f>IF([1]Sheet2!DV265=999999,"NA",[1]Sheet2!DV265)</f>
        <v>NA</v>
      </c>
      <c r="DL266" s="14" t="str">
        <f>IF([1]Sheet2!DW265=999999,"NA",[1]Sheet2!DW265)</f>
        <v>NA</v>
      </c>
      <c r="DM266" s="14">
        <f>IF([1]Sheet2!DX265=999999,"NA",[1]Sheet2!DX265)</f>
        <v>0</v>
      </c>
      <c r="DN266" s="14">
        <f>IF([1]Sheet2!DY265=999999,"NA",[1]Sheet2!DY265)</f>
        <v>102</v>
      </c>
      <c r="DO266" s="14" t="str">
        <f>IF([1]Sheet2!DZ265=999999,"NA",[1]Sheet2!DZ265)</f>
        <v>NA</v>
      </c>
      <c r="DP266" s="14" t="str">
        <f>IF([1]Sheet2!EA265=999999,"NA",[1]Sheet2!EA265)</f>
        <v>NA</v>
      </c>
      <c r="DQ266" s="14" t="str">
        <f>IF([1]Sheet2!EB265=999999,"NA",[1]Sheet2!EB265)</f>
        <v>NA</v>
      </c>
      <c r="DR266" s="45">
        <f>[1]Sheet2!CY265</f>
        <v>0</v>
      </c>
      <c r="DS266" s="14">
        <f>[1]Sheet2!CZ265</f>
        <v>0</v>
      </c>
      <c r="DT266" s="14">
        <f>[1]Sheet2!DA265</f>
        <v>0</v>
      </c>
      <c r="DU266" s="14">
        <f>[1]Sheet2!DB265</f>
        <v>0</v>
      </c>
      <c r="DV266" s="14">
        <f>[1]Sheet2!DC265</f>
        <v>0</v>
      </c>
      <c r="DW266" s="14">
        <f>[1]Sheet2!DD265</f>
        <v>0</v>
      </c>
      <c r="DX266" s="14">
        <f>[1]Sheet2!DE265</f>
        <v>0</v>
      </c>
      <c r="DY266" s="14">
        <f>[1]Sheet2!DF265</f>
        <v>0</v>
      </c>
      <c r="DZ266" s="14">
        <f>[1]Sheet2!DG265</f>
        <v>0</v>
      </c>
      <c r="EA266" s="14">
        <f>[1]Sheet2!DH265</f>
        <v>0</v>
      </c>
      <c r="EB266" s="6">
        <f>[1]Sheet2!EC265</f>
        <v>0</v>
      </c>
      <c r="EC266" s="6">
        <f>[1]Sheet2!ED265</f>
        <v>0</v>
      </c>
      <c r="ED266" s="6">
        <f>[1]Sheet2!EE265</f>
        <v>0</v>
      </c>
      <c r="EE266" s="6">
        <f>[1]Sheet2!EF265</f>
        <v>0</v>
      </c>
      <c r="EF266" s="6">
        <f>[1]Sheet2!EG265</f>
        <v>0</v>
      </c>
      <c r="EG266" s="6">
        <f>[1]Sheet2!EH265</f>
        <v>0</v>
      </c>
      <c r="EH266" s="6">
        <f>[1]Sheet2!EI265</f>
        <v>0</v>
      </c>
      <c r="EI266" s="6">
        <f>[1]Sheet2!EJ265</f>
        <v>0</v>
      </c>
      <c r="EJ266" s="6">
        <f>[1]Sheet2!EK265</f>
        <v>0</v>
      </c>
      <c r="EK266" s="6">
        <f>[1]Sheet2!EL265</f>
        <v>0</v>
      </c>
      <c r="EL266" s="6" t="str">
        <f>[1]Sheet2!EM265</f>
        <v/>
      </c>
      <c r="EM266" s="6" t="str">
        <f>[1]Sheet2!EN265</f>
        <v/>
      </c>
      <c r="EN266" s="6" t="str">
        <f>[1]Sheet2!EO265</f>
        <v/>
      </c>
      <c r="EO266" s="6" t="str">
        <f>[1]Sheet2!EP265</f>
        <v/>
      </c>
      <c r="EP266" s="6" t="str">
        <f>[1]Sheet2!EQ265</f>
        <v/>
      </c>
      <c r="EQ266" s="6" t="str">
        <f>[1]Sheet2!ER265</f>
        <v/>
      </c>
      <c r="ER266" s="6" t="str">
        <f>[1]Sheet2!ES265</f>
        <v/>
      </c>
      <c r="ES266" s="6" t="str">
        <f>[1]Sheet2!ET265</f>
        <v/>
      </c>
      <c r="ET266" s="6" t="str">
        <f>[1]Sheet2!EU265</f>
        <v/>
      </c>
      <c r="EU266" s="6" t="str">
        <f>[1]Sheet2!EV265</f>
        <v/>
      </c>
      <c r="EV266" s="6" t="str">
        <f>[1]Sheet2!EW265</f>
        <v/>
      </c>
      <c r="EW266" s="6" t="str">
        <f>[1]Sheet2!EX265</f>
        <v/>
      </c>
      <c r="EX266" s="6" t="str">
        <f>[1]Sheet2!EY265</f>
        <v/>
      </c>
      <c r="EY266" s="6" t="str">
        <f>[1]Sheet2!EZ265</f>
        <v/>
      </c>
      <c r="EZ266" s="6" t="str">
        <f>[1]Sheet2!FA265</f>
        <v/>
      </c>
      <c r="FA266" s="6" t="str">
        <f>[1]Sheet2!FB265</f>
        <v/>
      </c>
      <c r="FB266" s="6" t="str">
        <f>[1]Sheet2!FC265</f>
        <v/>
      </c>
      <c r="FC266" s="6" t="str">
        <f>[1]Sheet2!FD265</f>
        <v/>
      </c>
      <c r="FD266" s="6" t="str">
        <f>[1]Sheet2!FE265</f>
        <v/>
      </c>
      <c r="FE266" s="6" t="str">
        <f>[1]Sheet2!FF265</f>
        <v/>
      </c>
      <c r="FF266" s="6" t="str">
        <f>[1]Sheet2!FG265</f>
        <v/>
      </c>
      <c r="FG266" s="6" t="str">
        <f>[1]Sheet2!FH265</f>
        <v/>
      </c>
      <c r="FH266" s="6" t="str">
        <f>[1]Sheet2!FI265</f>
        <v/>
      </c>
      <c r="FI266" s="6" t="str">
        <f>[1]Sheet2!FJ265</f>
        <v/>
      </c>
      <c r="FJ266" s="6" t="str">
        <f>[1]Sheet2!FK265</f>
        <v/>
      </c>
      <c r="FK266" s="6" t="str">
        <f>[1]Sheet2!FL265</f>
        <v/>
      </c>
      <c r="FL266" s="6" t="str">
        <f>[1]Sheet2!FM265</f>
        <v/>
      </c>
      <c r="FM266" s="6" t="str">
        <f>[1]Sheet2!FN265</f>
        <v/>
      </c>
      <c r="FN266" s="6" t="str">
        <f>[1]Sheet2!FO265</f>
        <v/>
      </c>
      <c r="FO266" s="6" t="str">
        <f>[1]Sheet2!FP265</f>
        <v/>
      </c>
    </row>
    <row r="267" spans="1:171" x14ac:dyDescent="0.25">
      <c r="A267" s="15">
        <v>43729</v>
      </c>
      <c r="B267" s="1"/>
      <c r="C267" s="1"/>
      <c r="D267" s="1"/>
      <c r="E267" s="14">
        <f>[1]Sheet2!N266</f>
        <v>0</v>
      </c>
      <c r="F267" s="14">
        <f>[1]Sheet2!BE266</f>
        <v>0</v>
      </c>
      <c r="G267" s="14">
        <f>[1]Sheet2!CW266</f>
        <v>0</v>
      </c>
      <c r="H267" s="1"/>
      <c r="I267" s="1"/>
      <c r="J267" s="1"/>
      <c r="K267" s="16"/>
      <c r="L267" s="16">
        <f>Demand_CWRS!B$11/30</f>
        <v>118.04546474358973</v>
      </c>
      <c r="M267" s="16">
        <f>Demand_CWRS!C$11/30</f>
        <v>491.39401709401704</v>
      </c>
      <c r="N267" s="16">
        <f>Demand_CWRS!D$11/30</f>
        <v>0</v>
      </c>
      <c r="O267" s="16">
        <f>Demand_CWRS!E$11/30</f>
        <v>107.84935897435898</v>
      </c>
      <c r="P267" s="16">
        <f>Demand_CWRS!F$11/30</f>
        <v>218.22274305555553</v>
      </c>
      <c r="Q267" s="16">
        <f>Demand_CWRS!G$11/30</f>
        <v>118.04546474358973</v>
      </c>
      <c r="R267" s="16">
        <f>Demand_CWRS!H$11/30</f>
        <v>218.22274305555553</v>
      </c>
      <c r="S267" s="16">
        <f>Demand_CWRS!I$11/30</f>
        <v>218.22274305555553</v>
      </c>
      <c r="T267" s="16">
        <f>Demand_CWRS!J$11/30</f>
        <v>218.22274305555553</v>
      </c>
      <c r="U267" s="16">
        <f>Demand_CWRS!K$11/30</f>
        <v>218.22274305555553</v>
      </c>
      <c r="V267" s="16">
        <f t="shared" si="126"/>
        <v>-32846.586970088785</v>
      </c>
      <c r="W267" s="16">
        <f t="shared" si="127"/>
        <v>-130425.10769230736</v>
      </c>
      <c r="X267" s="16">
        <f t="shared" si="128"/>
        <v>0</v>
      </c>
      <c r="Y267" s="16">
        <f t="shared" si="129"/>
        <v>-21969.831037000946</v>
      </c>
      <c r="Z267" s="16">
        <f t="shared" si="130"/>
        <v>-52065.201855627252</v>
      </c>
      <c r="AA267" s="16">
        <f t="shared" si="131"/>
        <v>-31374.654446050397</v>
      </c>
      <c r="AB267" s="16">
        <f t="shared" si="132"/>
        <v>-61602.366631268211</v>
      </c>
      <c r="AC267" s="16">
        <f t="shared" si="133"/>
        <v>-55809.35637485802</v>
      </c>
      <c r="AD267" s="16">
        <f t="shared" si="134"/>
        <v>-55909.356374858013</v>
      </c>
      <c r="AE267" s="16">
        <f t="shared" si="135"/>
        <v>-56509.356374858005</v>
      </c>
      <c r="AF267" s="14">
        <f>IF([1]Sheet2!AJ266=999999,"NA",[1]Sheet2!AJ266)</f>
        <v>0</v>
      </c>
      <c r="AG267" s="14">
        <f>IF([1]Sheet2!AK266=999999,"NA",[1]Sheet2!AK266)</f>
        <v>0</v>
      </c>
      <c r="AH267" s="14" t="str">
        <f>IF([1]Sheet2!AL266=999999,"NA",[1]Sheet2!AL266)</f>
        <v>NA</v>
      </c>
      <c r="AI267" s="14">
        <f>IF([1]Sheet2!AM266=999999,"NA",[1]Sheet2!AM266)</f>
        <v>0</v>
      </c>
      <c r="AJ267" s="14">
        <f>IF([1]Sheet2!AN266=999999,"NA",[1]Sheet2!AN266)</f>
        <v>0</v>
      </c>
      <c r="AK267" s="14">
        <f>IF([1]Sheet2!AO266=999999,"NA",[1]Sheet2!AO266)</f>
        <v>0</v>
      </c>
      <c r="AL267" s="14">
        <f>IF([1]Sheet2!AP266=999999,"NA",[1]Sheet2!AP266)</f>
        <v>0</v>
      </c>
      <c r="AM267" s="14">
        <f>IF([1]Sheet2!AQ266=999999,"NA",[1]Sheet2!AQ266)</f>
        <v>0</v>
      </c>
      <c r="AN267" s="14">
        <f>IF([1]Sheet2!AR266=999999,"NA",[1]Sheet2!AR266)</f>
        <v>0</v>
      </c>
      <c r="AO267" s="14">
        <f>IF([1]Sheet2!AS266=999999,"NA",[1]Sheet2!AS266)</f>
        <v>0</v>
      </c>
      <c r="AP267" s="14">
        <f>[1]Sheet2!P266</f>
        <v>0</v>
      </c>
      <c r="AQ267" s="14">
        <f>[1]Sheet2!Q266</f>
        <v>0</v>
      </c>
      <c r="AR267" s="14">
        <f>[1]Sheet2!R266</f>
        <v>0</v>
      </c>
      <c r="AS267" s="14">
        <f>[1]Sheet2!S266</f>
        <v>0</v>
      </c>
      <c r="AT267" s="14">
        <f>[1]Sheet2!T266</f>
        <v>0</v>
      </c>
      <c r="AU267" s="14">
        <f>[1]Sheet2!U266</f>
        <v>0</v>
      </c>
      <c r="AV267" s="14">
        <f>[1]Sheet2!V266</f>
        <v>0</v>
      </c>
      <c r="AW267" s="14">
        <f>[1]Sheet2!W266</f>
        <v>0</v>
      </c>
      <c r="AX267" s="14">
        <f>[1]Sheet2!X266</f>
        <v>0</v>
      </c>
      <c r="AY267" s="14">
        <f>[1]Sheet2!Y266</f>
        <v>0</v>
      </c>
      <c r="AZ267" s="16">
        <f>Demand_LP!B$11/30</f>
        <v>902.60591613247857</v>
      </c>
      <c r="BA267" s="16">
        <f>Demand_LP!C$11/30</f>
        <v>593.76410256410259</v>
      </c>
      <c r="BB267" s="16">
        <f>Demand_LP!D$11/30</f>
        <v>290.27136752136749</v>
      </c>
      <c r="BC267" s="16">
        <f>Demand_LP!E$11/30</f>
        <v>790.42628205128199</v>
      </c>
      <c r="BD267" s="16">
        <f>Demand_LP!F$11/30</f>
        <v>538.46224626068363</v>
      </c>
      <c r="BE267" s="16">
        <f>Demand_LP!G$11/30</f>
        <v>538.46224626068363</v>
      </c>
      <c r="BF267" s="16">
        <f>Demand_LP!H$11/30</f>
        <v>593.76410256410259</v>
      </c>
      <c r="BG267" s="16">
        <f>Demand_LP!I$11/30</f>
        <v>538.46224626068363</v>
      </c>
      <c r="BH267" s="16">
        <f>Demand_LP!J$11/30</f>
        <v>538.46224626068363</v>
      </c>
      <c r="BI267" s="16">
        <f>Demand_LP!K$11/30</f>
        <v>538.46224626068363</v>
      </c>
      <c r="BJ267" s="16">
        <f t="shared" si="136"/>
        <v>-198940.28564239456</v>
      </c>
      <c r="BK267" s="16">
        <f t="shared" si="137"/>
        <v>-151612.18717948714</v>
      </c>
      <c r="BL267" s="16">
        <f t="shared" si="138"/>
        <v>-73686.298717948885</v>
      </c>
      <c r="BM267" s="16">
        <f t="shared" si="139"/>
        <v>-187106.63395812988</v>
      </c>
      <c r="BN267" s="16">
        <f t="shared" si="140"/>
        <v>-111802.87727553968</v>
      </c>
      <c r="BO267" s="16">
        <f t="shared" si="141"/>
        <v>-114567.56119391041</v>
      </c>
      <c r="BP267" s="16">
        <f t="shared" si="142"/>
        <v>-145969.76666666649</v>
      </c>
      <c r="BQ267" s="16">
        <f t="shared" si="143"/>
        <v>-114567.56119391041</v>
      </c>
      <c r="BR267" s="16">
        <f t="shared" si="144"/>
        <v>-112167.56119391046</v>
      </c>
      <c r="BS267" s="16">
        <f t="shared" si="145"/>
        <v>-112867.56119391044</v>
      </c>
      <c r="BT267" s="14">
        <f>IF([1]Sheet2!CB266=999999,"NA",[1]Sheet2!CB266)</f>
        <v>0</v>
      </c>
      <c r="BU267" s="14">
        <f>IF([1]Sheet2!CC266=999999,"NA",[1]Sheet2!CC266)</f>
        <v>0</v>
      </c>
      <c r="BV267" s="14">
        <f>IF([1]Sheet2!CD266=999999,"NA",[1]Sheet2!CD266)</f>
        <v>0</v>
      </c>
      <c r="BW267" s="14">
        <f>IF([1]Sheet2!CE266=999999,"NA",[1]Sheet2!CE266)</f>
        <v>0</v>
      </c>
      <c r="BX267" s="14">
        <f>IF([1]Sheet2!CF266=999999,"NA",[1]Sheet2!CF266)</f>
        <v>0</v>
      </c>
      <c r="BY267" s="14">
        <f>IF([1]Sheet2!CG266=999999,"NA",[1]Sheet2!CG266)</f>
        <v>0</v>
      </c>
      <c r="BZ267" s="14">
        <f>IF([1]Sheet2!CH266=999999,"NA",[1]Sheet2!CH266)</f>
        <v>0</v>
      </c>
      <c r="CA267" s="14">
        <f>IF([1]Sheet2!CI266=999999,"NA",[1]Sheet2!CI266)</f>
        <v>0</v>
      </c>
      <c r="CB267" s="14">
        <f>IF([1]Sheet2!CJ266=999999,"NA",[1]Sheet2!CJ266)</f>
        <v>0</v>
      </c>
      <c r="CC267" s="14">
        <f>IF([1]Sheet2!CK266=999999,"NA",[1]Sheet2!CK266)</f>
        <v>0</v>
      </c>
      <c r="CD267" s="14">
        <f>[1]Sheet2!BH266</f>
        <v>0</v>
      </c>
      <c r="CE267" s="14">
        <f>[1]Sheet2!BI266</f>
        <v>0</v>
      </c>
      <c r="CF267" s="14">
        <f>[1]Sheet2!BJ266</f>
        <v>0</v>
      </c>
      <c r="CG267" s="14">
        <f>[1]Sheet2!BK266</f>
        <v>0</v>
      </c>
      <c r="CH267" s="14">
        <f>[1]Sheet2!BL266</f>
        <v>0</v>
      </c>
      <c r="CI267" s="14">
        <f>[1]Sheet2!BM266</f>
        <v>0</v>
      </c>
      <c r="CJ267" s="14">
        <f>[1]Sheet2!BN266</f>
        <v>0</v>
      </c>
      <c r="CK267" s="14">
        <f>[1]Sheet2!BO266</f>
        <v>0</v>
      </c>
      <c r="CL267" s="14">
        <f>[1]Sheet2!BP266</f>
        <v>0</v>
      </c>
      <c r="CM267" s="14">
        <f>[1]Sheet2!BQ266</f>
        <v>0</v>
      </c>
      <c r="CN267" s="16">
        <f>Demand_SW!B$11/30</f>
        <v>144.23076923076923</v>
      </c>
      <c r="CO267" s="16">
        <f>Demand_SW!C$11/30</f>
        <v>0</v>
      </c>
      <c r="CP267" s="16">
        <f>Demand_SW!D$11/30</f>
        <v>0</v>
      </c>
      <c r="CQ267" s="16">
        <f>Demand_SW!E$11/30</f>
        <v>0</v>
      </c>
      <c r="CR267" s="16">
        <f>Demand_SW!F$11/30</f>
        <v>0</v>
      </c>
      <c r="CS267" s="16">
        <f>Demand_SW!G$11/30</f>
        <v>144.23076923076923</v>
      </c>
      <c r="CT267" s="16">
        <f>Demand_SW!H$11/30</f>
        <v>0</v>
      </c>
      <c r="CU267" s="16">
        <f>Demand_SW!I$11/30</f>
        <v>0</v>
      </c>
      <c r="CV267" s="16">
        <f>Demand_SW!J$11/30</f>
        <v>0</v>
      </c>
      <c r="CW267" s="16">
        <f>Demand_SW!K$11/30</f>
        <v>0</v>
      </c>
      <c r="CX267" s="16">
        <f t="shared" si="146"/>
        <v>-12749.615384615427</v>
      </c>
      <c r="CY267" s="16">
        <f t="shared" si="147"/>
        <v>76.923076923077133</v>
      </c>
      <c r="CZ267" s="16">
        <f t="shared" si="148"/>
        <v>0</v>
      </c>
      <c r="DA267" s="16">
        <f t="shared" si="149"/>
        <v>0</v>
      </c>
      <c r="DB267" s="16">
        <f t="shared" si="150"/>
        <v>0</v>
      </c>
      <c r="DC267" s="16">
        <f t="shared" si="151"/>
        <v>-30278.846153846196</v>
      </c>
      <c r="DD267" s="16">
        <f t="shared" si="152"/>
        <v>76.923076923077133</v>
      </c>
      <c r="DE267" s="16">
        <f t="shared" si="153"/>
        <v>0</v>
      </c>
      <c r="DF267" s="16">
        <f t="shared" si="154"/>
        <v>0</v>
      </c>
      <c r="DG267" s="16">
        <f t="shared" si="155"/>
        <v>0</v>
      </c>
      <c r="DH267" s="14">
        <f>IF([1]Sheet2!DS266=999999,"NA",[1]Sheet2!DS266)</f>
        <v>0</v>
      </c>
      <c r="DI267" s="14">
        <f>IF([1]Sheet2!DT266=999999,"NA",[1]Sheet2!DT266)</f>
        <v>101</v>
      </c>
      <c r="DJ267" s="14" t="str">
        <f>IF([1]Sheet2!DU266=999999,"NA",[1]Sheet2!DU266)</f>
        <v>NA</v>
      </c>
      <c r="DK267" s="14" t="str">
        <f>IF([1]Sheet2!DV266=999999,"NA",[1]Sheet2!DV266)</f>
        <v>NA</v>
      </c>
      <c r="DL267" s="14" t="str">
        <f>IF([1]Sheet2!DW266=999999,"NA",[1]Sheet2!DW266)</f>
        <v>NA</v>
      </c>
      <c r="DM267" s="14">
        <f>IF([1]Sheet2!DX266=999999,"NA",[1]Sheet2!DX266)</f>
        <v>0</v>
      </c>
      <c r="DN267" s="14">
        <f>IF([1]Sheet2!DY266=999999,"NA",[1]Sheet2!DY266)</f>
        <v>101</v>
      </c>
      <c r="DO267" s="14" t="str">
        <f>IF([1]Sheet2!DZ266=999999,"NA",[1]Sheet2!DZ266)</f>
        <v>NA</v>
      </c>
      <c r="DP267" s="14" t="str">
        <f>IF([1]Sheet2!EA266=999999,"NA",[1]Sheet2!EA266)</f>
        <v>NA</v>
      </c>
      <c r="DQ267" s="14" t="str">
        <f>IF([1]Sheet2!EB266=999999,"NA",[1]Sheet2!EB266)</f>
        <v>NA</v>
      </c>
      <c r="DR267" s="45">
        <f>[1]Sheet2!CY266</f>
        <v>0</v>
      </c>
      <c r="DS267" s="14">
        <f>[1]Sheet2!CZ266</f>
        <v>0</v>
      </c>
      <c r="DT267" s="14">
        <f>[1]Sheet2!DA266</f>
        <v>0</v>
      </c>
      <c r="DU267" s="14">
        <f>[1]Sheet2!DB266</f>
        <v>0</v>
      </c>
      <c r="DV267" s="14">
        <f>[1]Sheet2!DC266</f>
        <v>0</v>
      </c>
      <c r="DW267" s="14">
        <f>[1]Sheet2!DD266</f>
        <v>0</v>
      </c>
      <c r="DX267" s="14">
        <f>[1]Sheet2!DE266</f>
        <v>0</v>
      </c>
      <c r="DY267" s="14">
        <f>[1]Sheet2!DF266</f>
        <v>0</v>
      </c>
      <c r="DZ267" s="14">
        <f>[1]Sheet2!DG266</f>
        <v>0</v>
      </c>
      <c r="EA267" s="14">
        <f>[1]Sheet2!DH266</f>
        <v>0</v>
      </c>
      <c r="EB267" s="6">
        <f>[1]Sheet2!EC266</f>
        <v>0</v>
      </c>
      <c r="EC267" s="6">
        <f>[1]Sheet2!ED266</f>
        <v>0</v>
      </c>
      <c r="ED267" s="6">
        <f>[1]Sheet2!EE266</f>
        <v>0</v>
      </c>
      <c r="EE267" s="6">
        <f>[1]Sheet2!EF266</f>
        <v>0</v>
      </c>
      <c r="EF267" s="6">
        <f>[1]Sheet2!EG266</f>
        <v>0</v>
      </c>
      <c r="EG267" s="6">
        <f>[1]Sheet2!EH266</f>
        <v>0</v>
      </c>
      <c r="EH267" s="6">
        <f>[1]Sheet2!EI266</f>
        <v>0</v>
      </c>
      <c r="EI267" s="6">
        <f>[1]Sheet2!EJ266</f>
        <v>0</v>
      </c>
      <c r="EJ267" s="6">
        <f>[1]Sheet2!EK266</f>
        <v>0</v>
      </c>
      <c r="EK267" s="6">
        <f>[1]Sheet2!EL266</f>
        <v>0</v>
      </c>
      <c r="EL267" s="6" t="str">
        <f>[1]Sheet2!EM266</f>
        <v/>
      </c>
      <c r="EM267" s="6" t="str">
        <f>[1]Sheet2!EN266</f>
        <v/>
      </c>
      <c r="EN267" s="6" t="str">
        <f>[1]Sheet2!EO266</f>
        <v/>
      </c>
      <c r="EO267" s="6" t="str">
        <f>[1]Sheet2!EP266</f>
        <v/>
      </c>
      <c r="EP267" s="6" t="str">
        <f>[1]Sheet2!EQ266</f>
        <v/>
      </c>
      <c r="EQ267" s="6" t="str">
        <f>[1]Sheet2!ER266</f>
        <v/>
      </c>
      <c r="ER267" s="6" t="str">
        <f>[1]Sheet2!ES266</f>
        <v/>
      </c>
      <c r="ES267" s="6" t="str">
        <f>[1]Sheet2!ET266</f>
        <v/>
      </c>
      <c r="ET267" s="6" t="str">
        <f>[1]Sheet2!EU266</f>
        <v/>
      </c>
      <c r="EU267" s="6" t="str">
        <f>[1]Sheet2!EV266</f>
        <v/>
      </c>
      <c r="EV267" s="6" t="str">
        <f>[1]Sheet2!EW266</f>
        <v/>
      </c>
      <c r="EW267" s="6" t="str">
        <f>[1]Sheet2!EX266</f>
        <v/>
      </c>
      <c r="EX267" s="6" t="str">
        <f>[1]Sheet2!EY266</f>
        <v/>
      </c>
      <c r="EY267" s="6" t="str">
        <f>[1]Sheet2!EZ266</f>
        <v/>
      </c>
      <c r="EZ267" s="6" t="str">
        <f>[1]Sheet2!FA266</f>
        <v/>
      </c>
      <c r="FA267" s="6" t="str">
        <f>[1]Sheet2!FB266</f>
        <v/>
      </c>
      <c r="FB267" s="6" t="str">
        <f>[1]Sheet2!FC266</f>
        <v/>
      </c>
      <c r="FC267" s="6" t="str">
        <f>[1]Sheet2!FD266</f>
        <v/>
      </c>
      <c r="FD267" s="6" t="str">
        <f>[1]Sheet2!FE266</f>
        <v/>
      </c>
      <c r="FE267" s="6" t="str">
        <f>[1]Sheet2!FF266</f>
        <v/>
      </c>
      <c r="FF267" s="6" t="str">
        <f>[1]Sheet2!FG266</f>
        <v/>
      </c>
      <c r="FG267" s="6" t="str">
        <f>[1]Sheet2!FH266</f>
        <v/>
      </c>
      <c r="FH267" s="6" t="str">
        <f>[1]Sheet2!FI266</f>
        <v/>
      </c>
      <c r="FI267" s="6" t="str">
        <f>[1]Sheet2!FJ266</f>
        <v/>
      </c>
      <c r="FJ267" s="6" t="str">
        <f>[1]Sheet2!FK266</f>
        <v/>
      </c>
      <c r="FK267" s="6" t="str">
        <f>[1]Sheet2!FL266</f>
        <v/>
      </c>
      <c r="FL267" s="6" t="str">
        <f>[1]Sheet2!FM266</f>
        <v/>
      </c>
      <c r="FM267" s="6" t="str">
        <f>[1]Sheet2!FN266</f>
        <v/>
      </c>
      <c r="FN267" s="6" t="str">
        <f>[1]Sheet2!FO266</f>
        <v/>
      </c>
      <c r="FO267" s="6" t="str">
        <f>[1]Sheet2!FP266</f>
        <v/>
      </c>
    </row>
    <row r="268" spans="1:171" x14ac:dyDescent="0.25">
      <c r="A268" s="15">
        <v>43730</v>
      </c>
      <c r="B268" s="1"/>
      <c r="C268" s="1"/>
      <c r="D268" s="1"/>
      <c r="E268" s="14">
        <f>[1]Sheet2!N267</f>
        <v>0</v>
      </c>
      <c r="F268" s="14">
        <f>[1]Sheet2!BE267</f>
        <v>0</v>
      </c>
      <c r="G268" s="14">
        <f>[1]Sheet2!CW267</f>
        <v>0</v>
      </c>
      <c r="H268" s="1"/>
      <c r="I268" s="1"/>
      <c r="J268" s="1"/>
      <c r="K268" s="16"/>
      <c r="L268" s="16">
        <f>Demand_CWRS!B$11/30</f>
        <v>118.04546474358973</v>
      </c>
      <c r="M268" s="16">
        <f>Demand_CWRS!C$11/30</f>
        <v>491.39401709401704</v>
      </c>
      <c r="N268" s="16">
        <f>Demand_CWRS!D$11/30</f>
        <v>0</v>
      </c>
      <c r="O268" s="16">
        <f>Demand_CWRS!E$11/30</f>
        <v>107.84935897435898</v>
      </c>
      <c r="P268" s="16">
        <f>Demand_CWRS!F$11/30</f>
        <v>218.22274305555553</v>
      </c>
      <c r="Q268" s="16">
        <f>Demand_CWRS!G$11/30</f>
        <v>118.04546474358973</v>
      </c>
      <c r="R268" s="16">
        <f>Demand_CWRS!H$11/30</f>
        <v>218.22274305555553</v>
      </c>
      <c r="S268" s="16">
        <f>Demand_CWRS!I$11/30</f>
        <v>218.22274305555553</v>
      </c>
      <c r="T268" s="16">
        <f>Demand_CWRS!J$11/30</f>
        <v>218.22274305555553</v>
      </c>
      <c r="U268" s="16">
        <f>Demand_CWRS!K$11/30</f>
        <v>218.22274305555553</v>
      </c>
      <c r="V268" s="16">
        <f t="shared" si="126"/>
        <v>-32964.632434832376</v>
      </c>
      <c r="W268" s="16">
        <f t="shared" si="127"/>
        <v>-130916.50170940137</v>
      </c>
      <c r="X268" s="16">
        <f t="shared" si="128"/>
        <v>0</v>
      </c>
      <c r="Y268" s="16">
        <f t="shared" si="129"/>
        <v>-22077.680395975305</v>
      </c>
      <c r="Z268" s="16">
        <f t="shared" si="130"/>
        <v>-52283.42459868281</v>
      </c>
      <c r="AA268" s="16">
        <f t="shared" si="131"/>
        <v>-31492.699910793988</v>
      </c>
      <c r="AB268" s="16">
        <f t="shared" si="132"/>
        <v>-61820.589374323768</v>
      </c>
      <c r="AC268" s="16">
        <f t="shared" si="133"/>
        <v>-56027.579117913578</v>
      </c>
      <c r="AD268" s="16">
        <f t="shared" si="134"/>
        <v>-56127.57911791357</v>
      </c>
      <c r="AE268" s="16">
        <f t="shared" si="135"/>
        <v>-56727.579117913563</v>
      </c>
      <c r="AF268" s="14">
        <f>IF([1]Sheet2!AJ267=999999,"NA",[1]Sheet2!AJ267)</f>
        <v>0</v>
      </c>
      <c r="AG268" s="14">
        <f>IF([1]Sheet2!AK267=999999,"NA",[1]Sheet2!AK267)</f>
        <v>0</v>
      </c>
      <c r="AH268" s="14" t="str">
        <f>IF([1]Sheet2!AL267=999999,"NA",[1]Sheet2!AL267)</f>
        <v>NA</v>
      </c>
      <c r="AI268" s="14">
        <f>IF([1]Sheet2!AM267=999999,"NA",[1]Sheet2!AM267)</f>
        <v>0</v>
      </c>
      <c r="AJ268" s="14">
        <f>IF([1]Sheet2!AN267=999999,"NA",[1]Sheet2!AN267)</f>
        <v>0</v>
      </c>
      <c r="AK268" s="14">
        <f>IF([1]Sheet2!AO267=999999,"NA",[1]Sheet2!AO267)</f>
        <v>0</v>
      </c>
      <c r="AL268" s="14">
        <f>IF([1]Sheet2!AP267=999999,"NA",[1]Sheet2!AP267)</f>
        <v>0</v>
      </c>
      <c r="AM268" s="14">
        <f>IF([1]Sheet2!AQ267=999999,"NA",[1]Sheet2!AQ267)</f>
        <v>0</v>
      </c>
      <c r="AN268" s="14">
        <f>IF([1]Sheet2!AR267=999999,"NA",[1]Sheet2!AR267)</f>
        <v>0</v>
      </c>
      <c r="AO268" s="14">
        <f>IF([1]Sheet2!AS267=999999,"NA",[1]Sheet2!AS267)</f>
        <v>0</v>
      </c>
      <c r="AP268" s="14">
        <f>[1]Sheet2!P267</f>
        <v>0</v>
      </c>
      <c r="AQ268" s="14">
        <f>[1]Sheet2!Q267</f>
        <v>0</v>
      </c>
      <c r="AR268" s="14">
        <f>[1]Sheet2!R267</f>
        <v>0</v>
      </c>
      <c r="AS268" s="14">
        <f>[1]Sheet2!S267</f>
        <v>0</v>
      </c>
      <c r="AT268" s="14">
        <f>[1]Sheet2!T267</f>
        <v>0</v>
      </c>
      <c r="AU268" s="14">
        <f>[1]Sheet2!U267</f>
        <v>0</v>
      </c>
      <c r="AV268" s="14">
        <f>[1]Sheet2!V267</f>
        <v>0</v>
      </c>
      <c r="AW268" s="14">
        <f>[1]Sheet2!W267</f>
        <v>0</v>
      </c>
      <c r="AX268" s="14">
        <f>[1]Sheet2!X267</f>
        <v>0</v>
      </c>
      <c r="AY268" s="14">
        <f>[1]Sheet2!Y267</f>
        <v>0</v>
      </c>
      <c r="AZ268" s="16">
        <f>Demand_LP!B$11/30</f>
        <v>902.60591613247857</v>
      </c>
      <c r="BA268" s="16">
        <f>Demand_LP!C$11/30</f>
        <v>593.76410256410259</v>
      </c>
      <c r="BB268" s="16">
        <f>Demand_LP!D$11/30</f>
        <v>290.27136752136749</v>
      </c>
      <c r="BC268" s="16">
        <f>Demand_LP!E$11/30</f>
        <v>790.42628205128199</v>
      </c>
      <c r="BD268" s="16">
        <f>Demand_LP!F$11/30</f>
        <v>538.46224626068363</v>
      </c>
      <c r="BE268" s="16">
        <f>Demand_LP!G$11/30</f>
        <v>538.46224626068363</v>
      </c>
      <c r="BF268" s="16">
        <f>Demand_LP!H$11/30</f>
        <v>593.76410256410259</v>
      </c>
      <c r="BG268" s="16">
        <f>Demand_LP!I$11/30</f>
        <v>538.46224626068363</v>
      </c>
      <c r="BH268" s="16">
        <f>Demand_LP!J$11/30</f>
        <v>538.46224626068363</v>
      </c>
      <c r="BI268" s="16">
        <f>Demand_LP!K$11/30</f>
        <v>538.46224626068363</v>
      </c>
      <c r="BJ268" s="16">
        <f t="shared" si="136"/>
        <v>-199842.89155852704</v>
      </c>
      <c r="BK268" s="16">
        <f t="shared" si="137"/>
        <v>-152205.95128205125</v>
      </c>
      <c r="BL268" s="16">
        <f t="shared" si="138"/>
        <v>-73976.570085470259</v>
      </c>
      <c r="BM268" s="16">
        <f t="shared" si="139"/>
        <v>-187897.06024018116</v>
      </c>
      <c r="BN268" s="16">
        <f t="shared" si="140"/>
        <v>-112341.33952180036</v>
      </c>
      <c r="BO268" s="16">
        <f t="shared" si="141"/>
        <v>-115106.02344017109</v>
      </c>
      <c r="BP268" s="16">
        <f t="shared" si="142"/>
        <v>-146563.53076923059</v>
      </c>
      <c r="BQ268" s="16">
        <f t="shared" si="143"/>
        <v>-115106.02344017109</v>
      </c>
      <c r="BR268" s="16">
        <f t="shared" si="144"/>
        <v>-112706.02344017114</v>
      </c>
      <c r="BS268" s="16">
        <f t="shared" si="145"/>
        <v>-113406.02344017112</v>
      </c>
      <c r="BT268" s="14">
        <f>IF([1]Sheet2!CB267=999999,"NA",[1]Sheet2!CB267)</f>
        <v>0</v>
      </c>
      <c r="BU268" s="14">
        <f>IF([1]Sheet2!CC267=999999,"NA",[1]Sheet2!CC267)</f>
        <v>0</v>
      </c>
      <c r="BV268" s="14">
        <f>IF([1]Sheet2!CD267=999999,"NA",[1]Sheet2!CD267)</f>
        <v>0</v>
      </c>
      <c r="BW268" s="14">
        <f>IF([1]Sheet2!CE267=999999,"NA",[1]Sheet2!CE267)</f>
        <v>0</v>
      </c>
      <c r="BX268" s="14">
        <f>IF([1]Sheet2!CF267=999999,"NA",[1]Sheet2!CF267)</f>
        <v>0</v>
      </c>
      <c r="BY268" s="14">
        <f>IF([1]Sheet2!CG267=999999,"NA",[1]Sheet2!CG267)</f>
        <v>0</v>
      </c>
      <c r="BZ268" s="14">
        <f>IF([1]Sheet2!CH267=999999,"NA",[1]Sheet2!CH267)</f>
        <v>0</v>
      </c>
      <c r="CA268" s="14">
        <f>IF([1]Sheet2!CI267=999999,"NA",[1]Sheet2!CI267)</f>
        <v>0</v>
      </c>
      <c r="CB268" s="14">
        <f>IF([1]Sheet2!CJ267=999999,"NA",[1]Sheet2!CJ267)</f>
        <v>0</v>
      </c>
      <c r="CC268" s="14">
        <f>IF([1]Sheet2!CK267=999999,"NA",[1]Sheet2!CK267)</f>
        <v>0</v>
      </c>
      <c r="CD268" s="14">
        <f>[1]Sheet2!BH267</f>
        <v>0</v>
      </c>
      <c r="CE268" s="14">
        <f>[1]Sheet2!BI267</f>
        <v>0</v>
      </c>
      <c r="CF268" s="14">
        <f>[1]Sheet2!BJ267</f>
        <v>0</v>
      </c>
      <c r="CG268" s="14">
        <f>[1]Sheet2!BK267</f>
        <v>0</v>
      </c>
      <c r="CH268" s="14">
        <f>[1]Sheet2!BL267</f>
        <v>0</v>
      </c>
      <c r="CI268" s="14">
        <f>[1]Sheet2!BM267</f>
        <v>0</v>
      </c>
      <c r="CJ268" s="14">
        <f>[1]Sheet2!BN267</f>
        <v>0</v>
      </c>
      <c r="CK268" s="14">
        <f>[1]Sheet2!BO267</f>
        <v>0</v>
      </c>
      <c r="CL268" s="14">
        <f>[1]Sheet2!BP267</f>
        <v>0</v>
      </c>
      <c r="CM268" s="14">
        <f>[1]Sheet2!BQ267</f>
        <v>0</v>
      </c>
      <c r="CN268" s="16">
        <f>Demand_SW!B$11/30</f>
        <v>144.23076923076923</v>
      </c>
      <c r="CO268" s="16">
        <f>Demand_SW!C$11/30</f>
        <v>0</v>
      </c>
      <c r="CP268" s="16">
        <f>Demand_SW!D$11/30</f>
        <v>0</v>
      </c>
      <c r="CQ268" s="16">
        <f>Demand_SW!E$11/30</f>
        <v>0</v>
      </c>
      <c r="CR268" s="16">
        <f>Demand_SW!F$11/30</f>
        <v>0</v>
      </c>
      <c r="CS268" s="16">
        <f>Demand_SW!G$11/30</f>
        <v>144.23076923076923</v>
      </c>
      <c r="CT268" s="16">
        <f>Demand_SW!H$11/30</f>
        <v>0</v>
      </c>
      <c r="CU268" s="16">
        <f>Demand_SW!I$11/30</f>
        <v>0</v>
      </c>
      <c r="CV268" s="16">
        <f>Demand_SW!J$11/30</f>
        <v>0</v>
      </c>
      <c r="CW268" s="16">
        <f>Demand_SW!K$11/30</f>
        <v>0</v>
      </c>
      <c r="CX268" s="16">
        <f t="shared" si="146"/>
        <v>-12893.846153846196</v>
      </c>
      <c r="CY268" s="16">
        <f t="shared" si="147"/>
        <v>76.923076923077133</v>
      </c>
      <c r="CZ268" s="16">
        <f t="shared" si="148"/>
        <v>0</v>
      </c>
      <c r="DA268" s="16">
        <f t="shared" si="149"/>
        <v>0</v>
      </c>
      <c r="DB268" s="16">
        <f t="shared" si="150"/>
        <v>0</v>
      </c>
      <c r="DC268" s="16">
        <f t="shared" si="151"/>
        <v>-30423.076923076966</v>
      </c>
      <c r="DD268" s="16">
        <f t="shared" si="152"/>
        <v>76.923076923077133</v>
      </c>
      <c r="DE268" s="16">
        <f t="shared" si="153"/>
        <v>0</v>
      </c>
      <c r="DF268" s="16">
        <f t="shared" si="154"/>
        <v>0</v>
      </c>
      <c r="DG268" s="16">
        <f t="shared" si="155"/>
        <v>0</v>
      </c>
      <c r="DH268" s="14">
        <f>IF([1]Sheet2!DS267=999999,"NA",[1]Sheet2!DS267)</f>
        <v>0</v>
      </c>
      <c r="DI268" s="14">
        <f>IF([1]Sheet2!DT267=999999,"NA",[1]Sheet2!DT267)</f>
        <v>100</v>
      </c>
      <c r="DJ268" s="14" t="str">
        <f>IF([1]Sheet2!DU267=999999,"NA",[1]Sheet2!DU267)</f>
        <v>NA</v>
      </c>
      <c r="DK268" s="14" t="str">
        <f>IF([1]Sheet2!DV267=999999,"NA",[1]Sheet2!DV267)</f>
        <v>NA</v>
      </c>
      <c r="DL268" s="14" t="str">
        <f>IF([1]Sheet2!DW267=999999,"NA",[1]Sheet2!DW267)</f>
        <v>NA</v>
      </c>
      <c r="DM268" s="14">
        <f>IF([1]Sheet2!DX267=999999,"NA",[1]Sheet2!DX267)</f>
        <v>0</v>
      </c>
      <c r="DN268" s="14">
        <f>IF([1]Sheet2!DY267=999999,"NA",[1]Sheet2!DY267)</f>
        <v>100</v>
      </c>
      <c r="DO268" s="14" t="str">
        <f>IF([1]Sheet2!DZ267=999999,"NA",[1]Sheet2!DZ267)</f>
        <v>NA</v>
      </c>
      <c r="DP268" s="14" t="str">
        <f>IF([1]Sheet2!EA267=999999,"NA",[1]Sheet2!EA267)</f>
        <v>NA</v>
      </c>
      <c r="DQ268" s="14" t="str">
        <f>IF([1]Sheet2!EB267=999999,"NA",[1]Sheet2!EB267)</f>
        <v>NA</v>
      </c>
      <c r="DR268" s="45">
        <f>[1]Sheet2!CY267</f>
        <v>0</v>
      </c>
      <c r="DS268" s="14">
        <f>[1]Sheet2!CZ267</f>
        <v>0</v>
      </c>
      <c r="DT268" s="14">
        <f>[1]Sheet2!DA267</f>
        <v>0</v>
      </c>
      <c r="DU268" s="14">
        <f>[1]Sheet2!DB267</f>
        <v>0</v>
      </c>
      <c r="DV268" s="14">
        <f>[1]Sheet2!DC267</f>
        <v>0</v>
      </c>
      <c r="DW268" s="14">
        <f>[1]Sheet2!DD267</f>
        <v>0</v>
      </c>
      <c r="DX268" s="14">
        <f>[1]Sheet2!DE267</f>
        <v>0</v>
      </c>
      <c r="DY268" s="14">
        <f>[1]Sheet2!DF267</f>
        <v>0</v>
      </c>
      <c r="DZ268" s="14">
        <f>[1]Sheet2!DG267</f>
        <v>0</v>
      </c>
      <c r="EA268" s="14">
        <f>[1]Sheet2!DH267</f>
        <v>0</v>
      </c>
      <c r="EB268" s="6">
        <f>[1]Sheet2!EC267</f>
        <v>0</v>
      </c>
      <c r="EC268" s="6">
        <f>[1]Sheet2!ED267</f>
        <v>0</v>
      </c>
      <c r="ED268" s="6">
        <f>[1]Sheet2!EE267</f>
        <v>0</v>
      </c>
      <c r="EE268" s="6">
        <f>[1]Sheet2!EF267</f>
        <v>0</v>
      </c>
      <c r="EF268" s="6">
        <f>[1]Sheet2!EG267</f>
        <v>0</v>
      </c>
      <c r="EG268" s="6">
        <f>[1]Sheet2!EH267</f>
        <v>0</v>
      </c>
      <c r="EH268" s="6">
        <f>[1]Sheet2!EI267</f>
        <v>0</v>
      </c>
      <c r="EI268" s="6">
        <f>[1]Sheet2!EJ267</f>
        <v>0</v>
      </c>
      <c r="EJ268" s="6">
        <f>[1]Sheet2!EK267</f>
        <v>0</v>
      </c>
      <c r="EK268" s="6">
        <f>[1]Sheet2!EL267</f>
        <v>0</v>
      </c>
      <c r="EL268" s="6" t="str">
        <f>[1]Sheet2!EM267</f>
        <v/>
      </c>
      <c r="EM268" s="6" t="str">
        <f>[1]Sheet2!EN267</f>
        <v/>
      </c>
      <c r="EN268" s="6" t="str">
        <f>[1]Sheet2!EO267</f>
        <v/>
      </c>
      <c r="EO268" s="6" t="str">
        <f>[1]Sheet2!EP267</f>
        <v/>
      </c>
      <c r="EP268" s="6" t="str">
        <f>[1]Sheet2!EQ267</f>
        <v/>
      </c>
      <c r="EQ268" s="6" t="str">
        <f>[1]Sheet2!ER267</f>
        <v/>
      </c>
      <c r="ER268" s="6" t="str">
        <f>[1]Sheet2!ES267</f>
        <v/>
      </c>
      <c r="ES268" s="6" t="str">
        <f>[1]Sheet2!ET267</f>
        <v/>
      </c>
      <c r="ET268" s="6" t="str">
        <f>[1]Sheet2!EU267</f>
        <v/>
      </c>
      <c r="EU268" s="6" t="str">
        <f>[1]Sheet2!EV267</f>
        <v/>
      </c>
      <c r="EV268" s="6" t="str">
        <f>[1]Sheet2!EW267</f>
        <v/>
      </c>
      <c r="EW268" s="6" t="str">
        <f>[1]Sheet2!EX267</f>
        <v/>
      </c>
      <c r="EX268" s="6" t="str">
        <f>[1]Sheet2!EY267</f>
        <v/>
      </c>
      <c r="EY268" s="6" t="str">
        <f>[1]Sheet2!EZ267</f>
        <v/>
      </c>
      <c r="EZ268" s="6" t="str">
        <f>[1]Sheet2!FA267</f>
        <v/>
      </c>
      <c r="FA268" s="6" t="str">
        <f>[1]Sheet2!FB267</f>
        <v/>
      </c>
      <c r="FB268" s="6" t="str">
        <f>[1]Sheet2!FC267</f>
        <v/>
      </c>
      <c r="FC268" s="6" t="str">
        <f>[1]Sheet2!FD267</f>
        <v/>
      </c>
      <c r="FD268" s="6" t="str">
        <f>[1]Sheet2!FE267</f>
        <v/>
      </c>
      <c r="FE268" s="6" t="str">
        <f>[1]Sheet2!FF267</f>
        <v/>
      </c>
      <c r="FF268" s="6" t="str">
        <f>[1]Sheet2!FG267</f>
        <v/>
      </c>
      <c r="FG268" s="6" t="str">
        <f>[1]Sheet2!FH267</f>
        <v/>
      </c>
      <c r="FH268" s="6" t="str">
        <f>[1]Sheet2!FI267</f>
        <v/>
      </c>
      <c r="FI268" s="6" t="str">
        <f>[1]Sheet2!FJ267</f>
        <v/>
      </c>
      <c r="FJ268" s="6" t="str">
        <f>[1]Sheet2!FK267</f>
        <v/>
      </c>
      <c r="FK268" s="6" t="str">
        <f>[1]Sheet2!FL267</f>
        <v/>
      </c>
      <c r="FL268" s="6" t="str">
        <f>[1]Sheet2!FM267</f>
        <v/>
      </c>
      <c r="FM268" s="6" t="str">
        <f>[1]Sheet2!FN267</f>
        <v/>
      </c>
      <c r="FN268" s="6" t="str">
        <f>[1]Sheet2!FO267</f>
        <v/>
      </c>
      <c r="FO268" s="6" t="str">
        <f>[1]Sheet2!FP267</f>
        <v/>
      </c>
    </row>
    <row r="269" spans="1:171" x14ac:dyDescent="0.25">
      <c r="A269" s="15">
        <v>43731</v>
      </c>
      <c r="B269" s="1"/>
      <c r="C269" s="1"/>
      <c r="D269" s="1"/>
      <c r="E269" s="14">
        <f>[1]Sheet2!N268</f>
        <v>0</v>
      </c>
      <c r="F269" s="14">
        <f>[1]Sheet2!BE268</f>
        <v>0</v>
      </c>
      <c r="G269" s="14">
        <f>[1]Sheet2!CW268</f>
        <v>0</v>
      </c>
      <c r="H269" s="1"/>
      <c r="I269" s="1"/>
      <c r="J269" s="1"/>
      <c r="K269" s="16"/>
      <c r="L269" s="16">
        <f>Demand_CWRS!B$11/30</f>
        <v>118.04546474358973</v>
      </c>
      <c r="M269" s="16">
        <f>Demand_CWRS!C$11/30</f>
        <v>491.39401709401704</v>
      </c>
      <c r="N269" s="16">
        <f>Demand_CWRS!D$11/30</f>
        <v>0</v>
      </c>
      <c r="O269" s="16">
        <f>Demand_CWRS!E$11/30</f>
        <v>107.84935897435898</v>
      </c>
      <c r="P269" s="16">
        <f>Demand_CWRS!F$11/30</f>
        <v>218.22274305555553</v>
      </c>
      <c r="Q269" s="16">
        <f>Demand_CWRS!G$11/30</f>
        <v>118.04546474358973</v>
      </c>
      <c r="R269" s="16">
        <f>Demand_CWRS!H$11/30</f>
        <v>218.22274305555553</v>
      </c>
      <c r="S269" s="16">
        <f>Demand_CWRS!I$11/30</f>
        <v>218.22274305555553</v>
      </c>
      <c r="T269" s="16">
        <f>Demand_CWRS!J$11/30</f>
        <v>218.22274305555553</v>
      </c>
      <c r="U269" s="16">
        <f>Demand_CWRS!K$11/30</f>
        <v>218.22274305555553</v>
      </c>
      <c r="V269" s="16">
        <f t="shared" si="126"/>
        <v>-33082.677899575967</v>
      </c>
      <c r="W269" s="16">
        <f t="shared" si="127"/>
        <v>-131407.89572649539</v>
      </c>
      <c r="X269" s="16">
        <f t="shared" si="128"/>
        <v>0</v>
      </c>
      <c r="Y269" s="16">
        <f t="shared" si="129"/>
        <v>-22185.529754949664</v>
      </c>
      <c r="Z269" s="16">
        <f t="shared" si="130"/>
        <v>-52501.647341738368</v>
      </c>
      <c r="AA269" s="16">
        <f t="shared" si="131"/>
        <v>-31610.745375537579</v>
      </c>
      <c r="AB269" s="16">
        <f t="shared" si="132"/>
        <v>-62038.812117379326</v>
      </c>
      <c r="AC269" s="16">
        <f t="shared" si="133"/>
        <v>-56245.801860969135</v>
      </c>
      <c r="AD269" s="16">
        <f t="shared" si="134"/>
        <v>-56345.801860969128</v>
      </c>
      <c r="AE269" s="16">
        <f t="shared" si="135"/>
        <v>-56945.801860969121</v>
      </c>
      <c r="AF269" s="14">
        <f>IF([1]Sheet2!AJ268=999999,"NA",[1]Sheet2!AJ268)</f>
        <v>0</v>
      </c>
      <c r="AG269" s="14">
        <f>IF([1]Sheet2!AK268=999999,"NA",[1]Sheet2!AK268)</f>
        <v>0</v>
      </c>
      <c r="AH269" s="14" t="str">
        <f>IF([1]Sheet2!AL268=999999,"NA",[1]Sheet2!AL268)</f>
        <v>NA</v>
      </c>
      <c r="AI269" s="14">
        <f>IF([1]Sheet2!AM268=999999,"NA",[1]Sheet2!AM268)</f>
        <v>0</v>
      </c>
      <c r="AJ269" s="14">
        <f>IF([1]Sheet2!AN268=999999,"NA",[1]Sheet2!AN268)</f>
        <v>0</v>
      </c>
      <c r="AK269" s="14">
        <f>IF([1]Sheet2!AO268=999999,"NA",[1]Sheet2!AO268)</f>
        <v>0</v>
      </c>
      <c r="AL269" s="14">
        <f>IF([1]Sheet2!AP268=999999,"NA",[1]Sheet2!AP268)</f>
        <v>0</v>
      </c>
      <c r="AM269" s="14">
        <f>IF([1]Sheet2!AQ268=999999,"NA",[1]Sheet2!AQ268)</f>
        <v>0</v>
      </c>
      <c r="AN269" s="14">
        <f>IF([1]Sheet2!AR268=999999,"NA",[1]Sheet2!AR268)</f>
        <v>0</v>
      </c>
      <c r="AO269" s="14">
        <f>IF([1]Sheet2!AS268=999999,"NA",[1]Sheet2!AS268)</f>
        <v>0</v>
      </c>
      <c r="AP269" s="14">
        <f>[1]Sheet2!P268</f>
        <v>0</v>
      </c>
      <c r="AQ269" s="14">
        <f>[1]Sheet2!Q268</f>
        <v>0</v>
      </c>
      <c r="AR269" s="14">
        <f>[1]Sheet2!R268</f>
        <v>0</v>
      </c>
      <c r="AS269" s="14">
        <f>[1]Sheet2!S268</f>
        <v>0</v>
      </c>
      <c r="AT269" s="14">
        <f>[1]Sheet2!T268</f>
        <v>0</v>
      </c>
      <c r="AU269" s="14">
        <f>[1]Sheet2!U268</f>
        <v>0</v>
      </c>
      <c r="AV269" s="14">
        <f>[1]Sheet2!V268</f>
        <v>0</v>
      </c>
      <c r="AW269" s="14">
        <f>[1]Sheet2!W268</f>
        <v>0</v>
      </c>
      <c r="AX269" s="14">
        <f>[1]Sheet2!X268</f>
        <v>0</v>
      </c>
      <c r="AY269" s="14">
        <f>[1]Sheet2!Y268</f>
        <v>0</v>
      </c>
      <c r="AZ269" s="16">
        <f>Demand_LP!B$11/30</f>
        <v>902.60591613247857</v>
      </c>
      <c r="BA269" s="16">
        <f>Demand_LP!C$11/30</f>
        <v>593.76410256410259</v>
      </c>
      <c r="BB269" s="16">
        <f>Demand_LP!D$11/30</f>
        <v>290.27136752136749</v>
      </c>
      <c r="BC269" s="16">
        <f>Demand_LP!E$11/30</f>
        <v>790.42628205128199</v>
      </c>
      <c r="BD269" s="16">
        <f>Demand_LP!F$11/30</f>
        <v>538.46224626068363</v>
      </c>
      <c r="BE269" s="16">
        <f>Demand_LP!G$11/30</f>
        <v>538.46224626068363</v>
      </c>
      <c r="BF269" s="16">
        <f>Demand_LP!H$11/30</f>
        <v>593.76410256410259</v>
      </c>
      <c r="BG269" s="16">
        <f>Demand_LP!I$11/30</f>
        <v>538.46224626068363</v>
      </c>
      <c r="BH269" s="16">
        <f>Demand_LP!J$11/30</f>
        <v>538.46224626068363</v>
      </c>
      <c r="BI269" s="16">
        <f>Demand_LP!K$11/30</f>
        <v>538.46224626068363</v>
      </c>
      <c r="BJ269" s="16">
        <f t="shared" si="136"/>
        <v>-200745.49747465953</v>
      </c>
      <c r="BK269" s="16">
        <f t="shared" si="137"/>
        <v>-152799.71538461535</v>
      </c>
      <c r="BL269" s="16">
        <f t="shared" si="138"/>
        <v>-74266.841452991634</v>
      </c>
      <c r="BM269" s="16">
        <f t="shared" si="139"/>
        <v>-188687.48652223244</v>
      </c>
      <c r="BN269" s="16">
        <f t="shared" si="140"/>
        <v>-112879.80176806104</v>
      </c>
      <c r="BO269" s="16">
        <f t="shared" si="141"/>
        <v>-115644.48568643177</v>
      </c>
      <c r="BP269" s="16">
        <f t="shared" si="142"/>
        <v>-147157.2948717947</v>
      </c>
      <c r="BQ269" s="16">
        <f t="shared" si="143"/>
        <v>-115644.48568643177</v>
      </c>
      <c r="BR269" s="16">
        <f t="shared" si="144"/>
        <v>-113244.48568643181</v>
      </c>
      <c r="BS269" s="16">
        <f t="shared" si="145"/>
        <v>-113944.4856864318</v>
      </c>
      <c r="BT269" s="14">
        <f>IF([1]Sheet2!CB268=999999,"NA",[1]Sheet2!CB268)</f>
        <v>0</v>
      </c>
      <c r="BU269" s="14">
        <f>IF([1]Sheet2!CC268=999999,"NA",[1]Sheet2!CC268)</f>
        <v>0</v>
      </c>
      <c r="BV269" s="14">
        <f>IF([1]Sheet2!CD268=999999,"NA",[1]Sheet2!CD268)</f>
        <v>0</v>
      </c>
      <c r="BW269" s="14">
        <f>IF([1]Sheet2!CE268=999999,"NA",[1]Sheet2!CE268)</f>
        <v>0</v>
      </c>
      <c r="BX269" s="14">
        <f>IF([1]Sheet2!CF268=999999,"NA",[1]Sheet2!CF268)</f>
        <v>0</v>
      </c>
      <c r="BY269" s="14">
        <f>IF([1]Sheet2!CG268=999999,"NA",[1]Sheet2!CG268)</f>
        <v>0</v>
      </c>
      <c r="BZ269" s="14">
        <f>IF([1]Sheet2!CH268=999999,"NA",[1]Sheet2!CH268)</f>
        <v>0</v>
      </c>
      <c r="CA269" s="14">
        <f>IF([1]Sheet2!CI268=999999,"NA",[1]Sheet2!CI268)</f>
        <v>0</v>
      </c>
      <c r="CB269" s="14">
        <f>IF([1]Sheet2!CJ268=999999,"NA",[1]Sheet2!CJ268)</f>
        <v>0</v>
      </c>
      <c r="CC269" s="14">
        <f>IF([1]Sheet2!CK268=999999,"NA",[1]Sheet2!CK268)</f>
        <v>0</v>
      </c>
      <c r="CD269" s="14">
        <f>[1]Sheet2!BH268</f>
        <v>0</v>
      </c>
      <c r="CE269" s="14">
        <f>[1]Sheet2!BI268</f>
        <v>0</v>
      </c>
      <c r="CF269" s="14">
        <f>[1]Sheet2!BJ268</f>
        <v>0</v>
      </c>
      <c r="CG269" s="14">
        <f>[1]Sheet2!BK268</f>
        <v>0</v>
      </c>
      <c r="CH269" s="14">
        <f>[1]Sheet2!BL268</f>
        <v>0</v>
      </c>
      <c r="CI269" s="14">
        <f>[1]Sheet2!BM268</f>
        <v>0</v>
      </c>
      <c r="CJ269" s="14">
        <f>[1]Sheet2!BN268</f>
        <v>0</v>
      </c>
      <c r="CK269" s="14">
        <f>[1]Sheet2!BO268</f>
        <v>0</v>
      </c>
      <c r="CL269" s="14">
        <f>[1]Sheet2!BP268</f>
        <v>0</v>
      </c>
      <c r="CM269" s="14">
        <f>[1]Sheet2!BQ268</f>
        <v>0</v>
      </c>
      <c r="CN269" s="16">
        <f>Demand_SW!B$11/30</f>
        <v>144.23076923076923</v>
      </c>
      <c r="CO269" s="16">
        <f>Demand_SW!C$11/30</f>
        <v>0</v>
      </c>
      <c r="CP269" s="16">
        <f>Demand_SW!D$11/30</f>
        <v>0</v>
      </c>
      <c r="CQ269" s="16">
        <f>Demand_SW!E$11/30</f>
        <v>0</v>
      </c>
      <c r="CR269" s="16">
        <f>Demand_SW!F$11/30</f>
        <v>0</v>
      </c>
      <c r="CS269" s="16">
        <f>Demand_SW!G$11/30</f>
        <v>144.23076923076923</v>
      </c>
      <c r="CT269" s="16">
        <f>Demand_SW!H$11/30</f>
        <v>0</v>
      </c>
      <c r="CU269" s="16">
        <f>Demand_SW!I$11/30</f>
        <v>0</v>
      </c>
      <c r="CV269" s="16">
        <f>Demand_SW!J$11/30</f>
        <v>0</v>
      </c>
      <c r="CW269" s="16">
        <f>Demand_SW!K$11/30</f>
        <v>0</v>
      </c>
      <c r="CX269" s="16">
        <f t="shared" si="146"/>
        <v>-13038.076923076966</v>
      </c>
      <c r="CY269" s="16">
        <f t="shared" si="147"/>
        <v>76.923076923077133</v>
      </c>
      <c r="CZ269" s="16">
        <f t="shared" si="148"/>
        <v>0</v>
      </c>
      <c r="DA269" s="16">
        <f t="shared" si="149"/>
        <v>0</v>
      </c>
      <c r="DB269" s="16">
        <f t="shared" si="150"/>
        <v>0</v>
      </c>
      <c r="DC269" s="16">
        <f t="shared" si="151"/>
        <v>-30567.307692307735</v>
      </c>
      <c r="DD269" s="16">
        <f t="shared" si="152"/>
        <v>76.923076923077133</v>
      </c>
      <c r="DE269" s="16">
        <f t="shared" si="153"/>
        <v>0</v>
      </c>
      <c r="DF269" s="16">
        <f t="shared" si="154"/>
        <v>0</v>
      </c>
      <c r="DG269" s="16">
        <f t="shared" si="155"/>
        <v>0</v>
      </c>
      <c r="DH269" s="14">
        <f>IF([1]Sheet2!DS268=999999,"NA",[1]Sheet2!DS268)</f>
        <v>0</v>
      </c>
      <c r="DI269" s="14">
        <f>IF([1]Sheet2!DT268=999999,"NA",[1]Sheet2!DT268)</f>
        <v>99</v>
      </c>
      <c r="DJ269" s="14" t="str">
        <f>IF([1]Sheet2!DU268=999999,"NA",[1]Sheet2!DU268)</f>
        <v>NA</v>
      </c>
      <c r="DK269" s="14" t="str">
        <f>IF([1]Sheet2!DV268=999999,"NA",[1]Sheet2!DV268)</f>
        <v>NA</v>
      </c>
      <c r="DL269" s="14" t="str">
        <f>IF([1]Sheet2!DW268=999999,"NA",[1]Sheet2!DW268)</f>
        <v>NA</v>
      </c>
      <c r="DM269" s="14">
        <f>IF([1]Sheet2!DX268=999999,"NA",[1]Sheet2!DX268)</f>
        <v>0</v>
      </c>
      <c r="DN269" s="14">
        <f>IF([1]Sheet2!DY268=999999,"NA",[1]Sheet2!DY268)</f>
        <v>99</v>
      </c>
      <c r="DO269" s="14" t="str">
        <f>IF([1]Sheet2!DZ268=999999,"NA",[1]Sheet2!DZ268)</f>
        <v>NA</v>
      </c>
      <c r="DP269" s="14" t="str">
        <f>IF([1]Sheet2!EA268=999999,"NA",[1]Sheet2!EA268)</f>
        <v>NA</v>
      </c>
      <c r="DQ269" s="14" t="str">
        <f>IF([1]Sheet2!EB268=999999,"NA",[1]Sheet2!EB268)</f>
        <v>NA</v>
      </c>
      <c r="DR269" s="14">
        <f>[1]Sheet2!CY268</f>
        <v>0</v>
      </c>
      <c r="DS269" s="14">
        <f>[1]Sheet2!CZ268</f>
        <v>0</v>
      </c>
      <c r="DT269" s="14">
        <f>[1]Sheet2!DA268</f>
        <v>0</v>
      </c>
      <c r="DU269" s="14">
        <f>[1]Sheet2!DB268</f>
        <v>0</v>
      </c>
      <c r="DV269" s="14">
        <f>[1]Sheet2!DC268</f>
        <v>0</v>
      </c>
      <c r="DW269" s="14">
        <f>[1]Sheet2!DD268</f>
        <v>0</v>
      </c>
      <c r="DX269" s="14">
        <f>[1]Sheet2!DE268</f>
        <v>0</v>
      </c>
      <c r="DY269" s="14">
        <f>[1]Sheet2!DF268</f>
        <v>0</v>
      </c>
      <c r="DZ269" s="14">
        <f>[1]Sheet2!DG268</f>
        <v>0</v>
      </c>
      <c r="EA269" s="14">
        <f>[1]Sheet2!DH268</f>
        <v>0</v>
      </c>
      <c r="EB269" s="6">
        <f>[1]Sheet2!EC268</f>
        <v>0</v>
      </c>
      <c r="EC269" s="6">
        <f>[1]Sheet2!ED268</f>
        <v>0</v>
      </c>
      <c r="ED269" s="6">
        <f>[1]Sheet2!EE268</f>
        <v>0</v>
      </c>
      <c r="EE269" s="6">
        <f>[1]Sheet2!EF268</f>
        <v>0</v>
      </c>
      <c r="EF269" s="6">
        <f>[1]Sheet2!EG268</f>
        <v>0</v>
      </c>
      <c r="EG269" s="6">
        <f>[1]Sheet2!EH268</f>
        <v>0</v>
      </c>
      <c r="EH269" s="6">
        <f>[1]Sheet2!EI268</f>
        <v>0</v>
      </c>
      <c r="EI269" s="6">
        <f>[1]Sheet2!EJ268</f>
        <v>0</v>
      </c>
      <c r="EJ269" s="6">
        <f>[1]Sheet2!EK268</f>
        <v>0</v>
      </c>
      <c r="EK269" s="6">
        <f>[1]Sheet2!EL268</f>
        <v>0</v>
      </c>
      <c r="EL269" s="6" t="str">
        <f>[1]Sheet2!EM268</f>
        <v/>
      </c>
      <c r="EM269" s="6" t="str">
        <f>[1]Sheet2!EN268</f>
        <v/>
      </c>
      <c r="EN269" s="6" t="str">
        <f>[1]Sheet2!EO268</f>
        <v/>
      </c>
      <c r="EO269" s="6" t="str">
        <f>[1]Sheet2!EP268</f>
        <v/>
      </c>
      <c r="EP269" s="6" t="str">
        <f>[1]Sheet2!EQ268</f>
        <v/>
      </c>
      <c r="EQ269" s="6" t="str">
        <f>[1]Sheet2!ER268</f>
        <v/>
      </c>
      <c r="ER269" s="6" t="str">
        <f>[1]Sheet2!ES268</f>
        <v/>
      </c>
      <c r="ES269" s="6" t="str">
        <f>[1]Sheet2!ET268</f>
        <v/>
      </c>
      <c r="ET269" s="6" t="str">
        <f>[1]Sheet2!EU268</f>
        <v/>
      </c>
      <c r="EU269" s="6" t="str">
        <f>[1]Sheet2!EV268</f>
        <v/>
      </c>
      <c r="EV269" s="6" t="str">
        <f>[1]Sheet2!EW268</f>
        <v/>
      </c>
      <c r="EW269" s="6" t="str">
        <f>[1]Sheet2!EX268</f>
        <v/>
      </c>
      <c r="EX269" s="6" t="str">
        <f>[1]Sheet2!EY268</f>
        <v/>
      </c>
      <c r="EY269" s="6" t="str">
        <f>[1]Sheet2!EZ268</f>
        <v/>
      </c>
      <c r="EZ269" s="6" t="str">
        <f>[1]Sheet2!FA268</f>
        <v/>
      </c>
      <c r="FA269" s="6" t="str">
        <f>[1]Sheet2!FB268</f>
        <v/>
      </c>
      <c r="FB269" s="6" t="str">
        <f>[1]Sheet2!FC268</f>
        <v/>
      </c>
      <c r="FC269" s="6" t="str">
        <f>[1]Sheet2!FD268</f>
        <v/>
      </c>
      <c r="FD269" s="6" t="str">
        <f>[1]Sheet2!FE268</f>
        <v/>
      </c>
      <c r="FE269" s="6" t="str">
        <f>[1]Sheet2!FF268</f>
        <v/>
      </c>
      <c r="FF269" s="6" t="str">
        <f>[1]Sheet2!FG268</f>
        <v/>
      </c>
      <c r="FG269" s="6" t="str">
        <f>[1]Sheet2!FH268</f>
        <v/>
      </c>
      <c r="FH269" s="6" t="str">
        <f>[1]Sheet2!FI268</f>
        <v/>
      </c>
      <c r="FI269" s="6" t="str">
        <f>[1]Sheet2!FJ268</f>
        <v/>
      </c>
      <c r="FJ269" s="6" t="str">
        <f>[1]Sheet2!FK268</f>
        <v/>
      </c>
      <c r="FK269" s="6" t="str">
        <f>[1]Sheet2!FL268</f>
        <v/>
      </c>
      <c r="FL269" s="6" t="str">
        <f>[1]Sheet2!FM268</f>
        <v/>
      </c>
      <c r="FM269" s="6" t="str">
        <f>[1]Sheet2!FN268</f>
        <v/>
      </c>
      <c r="FN269" s="6" t="str">
        <f>[1]Sheet2!FO268</f>
        <v/>
      </c>
      <c r="FO269" s="6" t="str">
        <f>[1]Sheet2!FP268</f>
        <v/>
      </c>
    </row>
    <row r="270" spans="1:171" x14ac:dyDescent="0.25">
      <c r="A270" s="15">
        <v>43732</v>
      </c>
      <c r="B270" s="1"/>
      <c r="C270" s="1"/>
      <c r="D270" s="1"/>
      <c r="E270" s="14">
        <f>[1]Sheet2!N269</f>
        <v>0</v>
      </c>
      <c r="F270" s="14">
        <f>[1]Sheet2!BE269</f>
        <v>0</v>
      </c>
      <c r="G270" s="14">
        <f>[1]Sheet2!CW269</f>
        <v>0</v>
      </c>
      <c r="H270" s="1"/>
      <c r="I270" s="1"/>
      <c r="J270" s="1"/>
      <c r="K270" s="16"/>
      <c r="L270" s="16">
        <f>Demand_CWRS!B$11/30</f>
        <v>118.04546474358973</v>
      </c>
      <c r="M270" s="16">
        <f>Demand_CWRS!C$11/30</f>
        <v>491.39401709401704</v>
      </c>
      <c r="N270" s="16">
        <f>Demand_CWRS!D$11/30</f>
        <v>0</v>
      </c>
      <c r="O270" s="16">
        <f>Demand_CWRS!E$11/30</f>
        <v>107.84935897435898</v>
      </c>
      <c r="P270" s="16">
        <f>Demand_CWRS!F$11/30</f>
        <v>218.22274305555553</v>
      </c>
      <c r="Q270" s="16">
        <f>Demand_CWRS!G$11/30</f>
        <v>118.04546474358973</v>
      </c>
      <c r="R270" s="16">
        <f>Demand_CWRS!H$11/30</f>
        <v>218.22274305555553</v>
      </c>
      <c r="S270" s="16">
        <f>Demand_CWRS!I$11/30</f>
        <v>218.22274305555553</v>
      </c>
      <c r="T270" s="16">
        <f>Demand_CWRS!J$11/30</f>
        <v>218.22274305555553</v>
      </c>
      <c r="U270" s="16">
        <f>Demand_CWRS!K$11/30</f>
        <v>218.22274305555553</v>
      </c>
      <c r="V270" s="16">
        <f t="shared" si="126"/>
        <v>-30372.723364319558</v>
      </c>
      <c r="W270" s="16">
        <f t="shared" si="127"/>
        <v>-130227.28974358941</v>
      </c>
      <c r="X270" s="16">
        <f t="shared" si="128"/>
        <v>0</v>
      </c>
      <c r="Y270" s="16">
        <f t="shared" si="129"/>
        <v>-22293.379113924024</v>
      </c>
      <c r="Z270" s="16">
        <f t="shared" si="130"/>
        <v>-52719.870084793925</v>
      </c>
      <c r="AA270" s="16">
        <f t="shared" si="131"/>
        <v>-31728.79084028117</v>
      </c>
      <c r="AB270" s="16">
        <f t="shared" si="132"/>
        <v>-62257.034860434884</v>
      </c>
      <c r="AC270" s="16">
        <f t="shared" si="133"/>
        <v>-56464.024604024693</v>
      </c>
      <c r="AD270" s="16">
        <f t="shared" si="134"/>
        <v>-56564.024604024686</v>
      </c>
      <c r="AE270" s="16">
        <f t="shared" si="135"/>
        <v>-57164.024604024678</v>
      </c>
      <c r="AF270" s="14">
        <f>IF([1]Sheet2!AJ269=999999,"NA",[1]Sheet2!AJ269)</f>
        <v>0</v>
      </c>
      <c r="AG270" s="14">
        <f>IF([1]Sheet2!AK269=999999,"NA",[1]Sheet2!AK269)</f>
        <v>0</v>
      </c>
      <c r="AH270" s="14" t="str">
        <f>IF([1]Sheet2!AL269=999999,"NA",[1]Sheet2!AL269)</f>
        <v>NA</v>
      </c>
      <c r="AI270" s="14">
        <f>IF([1]Sheet2!AM269=999999,"NA",[1]Sheet2!AM269)</f>
        <v>0</v>
      </c>
      <c r="AJ270" s="14">
        <f>IF([1]Sheet2!AN269=999999,"NA",[1]Sheet2!AN269)</f>
        <v>0</v>
      </c>
      <c r="AK270" s="14">
        <f>IF([1]Sheet2!AO269=999999,"NA",[1]Sheet2!AO269)</f>
        <v>0</v>
      </c>
      <c r="AL270" s="14">
        <f>IF([1]Sheet2!AP269=999999,"NA",[1]Sheet2!AP269)</f>
        <v>0</v>
      </c>
      <c r="AM270" s="14">
        <f>IF([1]Sheet2!AQ269=999999,"NA",[1]Sheet2!AQ269)</f>
        <v>0</v>
      </c>
      <c r="AN270" s="14">
        <f>IF([1]Sheet2!AR269=999999,"NA",[1]Sheet2!AR269)</f>
        <v>0</v>
      </c>
      <c r="AO270" s="14">
        <f>IF([1]Sheet2!AS269=999999,"NA",[1]Sheet2!AS269)</f>
        <v>0</v>
      </c>
      <c r="AP270" s="14">
        <f>[1]Sheet2!P269</f>
        <v>2828</v>
      </c>
      <c r="AQ270" s="14">
        <f>[1]Sheet2!Q269</f>
        <v>1672</v>
      </c>
      <c r="AR270" s="14">
        <f>[1]Sheet2!R269</f>
        <v>0</v>
      </c>
      <c r="AS270" s="14">
        <f>[1]Sheet2!S269</f>
        <v>0</v>
      </c>
      <c r="AT270" s="14">
        <f>[1]Sheet2!T269</f>
        <v>0</v>
      </c>
      <c r="AU270" s="14">
        <f>[1]Sheet2!U269</f>
        <v>0</v>
      </c>
      <c r="AV270" s="14">
        <f>[1]Sheet2!V269</f>
        <v>0</v>
      </c>
      <c r="AW270" s="14">
        <f>[1]Sheet2!W269</f>
        <v>0</v>
      </c>
      <c r="AX270" s="14">
        <f>[1]Sheet2!X269</f>
        <v>0</v>
      </c>
      <c r="AY270" s="14">
        <f>[1]Sheet2!Y269</f>
        <v>0</v>
      </c>
      <c r="AZ270" s="16">
        <f>Demand_LP!B$11/30</f>
        <v>902.60591613247857</v>
      </c>
      <c r="BA270" s="16">
        <f>Demand_LP!C$11/30</f>
        <v>593.76410256410259</v>
      </c>
      <c r="BB270" s="16">
        <f>Demand_LP!D$11/30</f>
        <v>290.27136752136749</v>
      </c>
      <c r="BC270" s="16">
        <f>Demand_LP!E$11/30</f>
        <v>790.42628205128199</v>
      </c>
      <c r="BD270" s="16">
        <f>Demand_LP!F$11/30</f>
        <v>538.46224626068363</v>
      </c>
      <c r="BE270" s="16">
        <f>Demand_LP!G$11/30</f>
        <v>538.46224626068363</v>
      </c>
      <c r="BF270" s="16">
        <f>Demand_LP!H$11/30</f>
        <v>593.76410256410259</v>
      </c>
      <c r="BG270" s="16">
        <f>Demand_LP!I$11/30</f>
        <v>538.46224626068363</v>
      </c>
      <c r="BH270" s="16">
        <f>Demand_LP!J$11/30</f>
        <v>538.46224626068363</v>
      </c>
      <c r="BI270" s="16">
        <f>Demand_LP!K$11/30</f>
        <v>538.46224626068363</v>
      </c>
      <c r="BJ270" s="16">
        <f t="shared" si="136"/>
        <v>-197148.10339079201</v>
      </c>
      <c r="BK270" s="16">
        <f t="shared" si="137"/>
        <v>-153393.47948717946</v>
      </c>
      <c r="BL270" s="16">
        <f t="shared" si="138"/>
        <v>-74557.112820513008</v>
      </c>
      <c r="BM270" s="16">
        <f t="shared" si="139"/>
        <v>-189477.91280428373</v>
      </c>
      <c r="BN270" s="16">
        <f t="shared" si="140"/>
        <v>-113418.26401432171</v>
      </c>
      <c r="BO270" s="16">
        <f t="shared" si="141"/>
        <v>-116182.94793269245</v>
      </c>
      <c r="BP270" s="16">
        <f t="shared" si="142"/>
        <v>-147751.05897435881</v>
      </c>
      <c r="BQ270" s="16">
        <f t="shared" si="143"/>
        <v>-116182.94793269245</v>
      </c>
      <c r="BR270" s="16">
        <f t="shared" si="144"/>
        <v>-113782.94793269249</v>
      </c>
      <c r="BS270" s="16">
        <f t="shared" si="145"/>
        <v>-114482.94793269248</v>
      </c>
      <c r="BT270" s="14">
        <f>IF([1]Sheet2!CB269=999999,"NA",[1]Sheet2!CB269)</f>
        <v>0</v>
      </c>
      <c r="BU270" s="14">
        <f>IF([1]Sheet2!CC269=999999,"NA",[1]Sheet2!CC269)</f>
        <v>0</v>
      </c>
      <c r="BV270" s="14">
        <f>IF([1]Sheet2!CD269=999999,"NA",[1]Sheet2!CD269)</f>
        <v>0</v>
      </c>
      <c r="BW270" s="14">
        <f>IF([1]Sheet2!CE269=999999,"NA",[1]Sheet2!CE269)</f>
        <v>0</v>
      </c>
      <c r="BX270" s="14">
        <f>IF([1]Sheet2!CF269=999999,"NA",[1]Sheet2!CF269)</f>
        <v>0</v>
      </c>
      <c r="BY270" s="14">
        <f>IF([1]Sheet2!CG269=999999,"NA",[1]Sheet2!CG269)</f>
        <v>0</v>
      </c>
      <c r="BZ270" s="14">
        <f>IF([1]Sheet2!CH269=999999,"NA",[1]Sheet2!CH269)</f>
        <v>0</v>
      </c>
      <c r="CA270" s="14">
        <f>IF([1]Sheet2!CI269=999999,"NA",[1]Sheet2!CI269)</f>
        <v>0</v>
      </c>
      <c r="CB270" s="14">
        <f>IF([1]Sheet2!CJ269=999999,"NA",[1]Sheet2!CJ269)</f>
        <v>0</v>
      </c>
      <c r="CC270" s="14">
        <f>IF([1]Sheet2!CK269=999999,"NA",[1]Sheet2!CK269)</f>
        <v>0</v>
      </c>
      <c r="CD270" s="45">
        <f>[1]Sheet2!BH269</f>
        <v>4500</v>
      </c>
      <c r="CE270" s="14">
        <f>[1]Sheet2!BI269</f>
        <v>0</v>
      </c>
      <c r="CF270" s="14">
        <f>[1]Sheet2!BJ269</f>
        <v>0</v>
      </c>
      <c r="CG270" s="14">
        <f>[1]Sheet2!BK269</f>
        <v>0</v>
      </c>
      <c r="CH270" s="14">
        <f>[1]Sheet2!BL269</f>
        <v>0</v>
      </c>
      <c r="CI270" s="14">
        <f>[1]Sheet2!BM269</f>
        <v>0</v>
      </c>
      <c r="CJ270" s="14">
        <f>[1]Sheet2!BN269</f>
        <v>0</v>
      </c>
      <c r="CK270" s="14">
        <f>[1]Sheet2!BO269</f>
        <v>0</v>
      </c>
      <c r="CL270" s="14">
        <f>[1]Sheet2!BP269</f>
        <v>0</v>
      </c>
      <c r="CM270" s="14">
        <f>[1]Sheet2!BQ269</f>
        <v>0</v>
      </c>
      <c r="CN270" s="16">
        <f>Demand_SW!B$11/30</f>
        <v>144.23076923076923</v>
      </c>
      <c r="CO270" s="16">
        <f>Demand_SW!C$11/30</f>
        <v>0</v>
      </c>
      <c r="CP270" s="16">
        <f>Demand_SW!D$11/30</f>
        <v>0</v>
      </c>
      <c r="CQ270" s="16">
        <f>Demand_SW!E$11/30</f>
        <v>0</v>
      </c>
      <c r="CR270" s="16">
        <f>Demand_SW!F$11/30</f>
        <v>0</v>
      </c>
      <c r="CS270" s="16">
        <f>Demand_SW!G$11/30</f>
        <v>144.23076923076923</v>
      </c>
      <c r="CT270" s="16">
        <f>Demand_SW!H$11/30</f>
        <v>0</v>
      </c>
      <c r="CU270" s="16">
        <f>Demand_SW!I$11/30</f>
        <v>0</v>
      </c>
      <c r="CV270" s="16">
        <f>Demand_SW!J$11/30</f>
        <v>0</v>
      </c>
      <c r="CW270" s="16">
        <f>Demand_SW!K$11/30</f>
        <v>0</v>
      </c>
      <c r="CX270" s="16">
        <f t="shared" si="146"/>
        <v>-13182.307692307735</v>
      </c>
      <c r="CY270" s="16">
        <f t="shared" si="147"/>
        <v>76.923076923077133</v>
      </c>
      <c r="CZ270" s="16">
        <f t="shared" si="148"/>
        <v>0</v>
      </c>
      <c r="DA270" s="16">
        <f t="shared" si="149"/>
        <v>0</v>
      </c>
      <c r="DB270" s="16">
        <f t="shared" si="150"/>
        <v>0</v>
      </c>
      <c r="DC270" s="16">
        <f t="shared" si="151"/>
        <v>-30711.538461538505</v>
      </c>
      <c r="DD270" s="16">
        <f t="shared" si="152"/>
        <v>76.923076923077133</v>
      </c>
      <c r="DE270" s="16">
        <f t="shared" si="153"/>
        <v>0</v>
      </c>
      <c r="DF270" s="16">
        <f t="shared" si="154"/>
        <v>0</v>
      </c>
      <c r="DG270" s="16">
        <f t="shared" si="155"/>
        <v>0</v>
      </c>
      <c r="DH270" s="14">
        <f>IF([1]Sheet2!DS269=999999,"NA",[1]Sheet2!DS269)</f>
        <v>0</v>
      </c>
      <c r="DI270" s="14">
        <f>IF([1]Sheet2!DT269=999999,"NA",[1]Sheet2!DT269)</f>
        <v>98</v>
      </c>
      <c r="DJ270" s="14" t="str">
        <f>IF([1]Sheet2!DU269=999999,"NA",[1]Sheet2!DU269)</f>
        <v>NA</v>
      </c>
      <c r="DK270" s="14" t="str">
        <f>IF([1]Sheet2!DV269=999999,"NA",[1]Sheet2!DV269)</f>
        <v>NA</v>
      </c>
      <c r="DL270" s="14" t="str">
        <f>IF([1]Sheet2!DW269=999999,"NA",[1]Sheet2!DW269)</f>
        <v>NA</v>
      </c>
      <c r="DM270" s="14">
        <f>IF([1]Sheet2!DX269=999999,"NA",[1]Sheet2!DX269)</f>
        <v>0</v>
      </c>
      <c r="DN270" s="14">
        <f>IF([1]Sheet2!DY269=999999,"NA",[1]Sheet2!DY269)</f>
        <v>98</v>
      </c>
      <c r="DO270" s="14" t="str">
        <f>IF([1]Sheet2!DZ269=999999,"NA",[1]Sheet2!DZ269)</f>
        <v>NA</v>
      </c>
      <c r="DP270" s="14" t="str">
        <f>IF([1]Sheet2!EA269=999999,"NA",[1]Sheet2!EA269)</f>
        <v>NA</v>
      </c>
      <c r="DQ270" s="14" t="str">
        <f>IF([1]Sheet2!EB269=999999,"NA",[1]Sheet2!EB269)</f>
        <v>NA</v>
      </c>
      <c r="DR270" s="14">
        <f>[1]Sheet2!CY269</f>
        <v>0</v>
      </c>
      <c r="DS270" s="14">
        <f>[1]Sheet2!CZ269</f>
        <v>0</v>
      </c>
      <c r="DT270" s="14">
        <f>[1]Sheet2!DA269</f>
        <v>0</v>
      </c>
      <c r="DU270" s="14">
        <f>[1]Sheet2!DB269</f>
        <v>0</v>
      </c>
      <c r="DV270" s="14">
        <f>[1]Sheet2!DC269</f>
        <v>0</v>
      </c>
      <c r="DW270" s="14">
        <f>[1]Sheet2!DD269</f>
        <v>0</v>
      </c>
      <c r="DX270" s="14">
        <f>[1]Sheet2!DE269</f>
        <v>0</v>
      </c>
      <c r="DY270" s="14">
        <f>[1]Sheet2!DF269</f>
        <v>0</v>
      </c>
      <c r="DZ270" s="14">
        <f>[1]Sheet2!DG269</f>
        <v>0</v>
      </c>
      <c r="EA270" s="14">
        <f>[1]Sheet2!DH269</f>
        <v>0</v>
      </c>
      <c r="EB270" s="6" t="str">
        <f>[1]Sheet2!EC269</f>
        <v>Arg</v>
      </c>
      <c r="EC270" s="6">
        <f>[1]Sheet2!ED269</f>
        <v>0</v>
      </c>
      <c r="ED270" s="6">
        <f>[1]Sheet2!EE269</f>
        <v>0</v>
      </c>
      <c r="EE270" s="6">
        <f>[1]Sheet2!EF269</f>
        <v>0</v>
      </c>
      <c r="EF270" s="6">
        <f>[1]Sheet2!EG269</f>
        <v>0</v>
      </c>
      <c r="EG270" s="6">
        <f>[1]Sheet2!EH269</f>
        <v>0</v>
      </c>
      <c r="EH270" s="6">
        <f>[1]Sheet2!EI269</f>
        <v>0</v>
      </c>
      <c r="EI270" s="6">
        <f>[1]Sheet2!EJ269</f>
        <v>0</v>
      </c>
      <c r="EJ270" s="6">
        <f>[1]Sheet2!EK269</f>
        <v>0</v>
      </c>
      <c r="EK270" s="6">
        <f>[1]Sheet2!EL269</f>
        <v>0</v>
      </c>
      <c r="EL270" s="6" t="str">
        <f>[1]Sheet2!EM269</f>
        <v/>
      </c>
      <c r="EM270" s="6" t="str">
        <f>[1]Sheet2!EN269</f>
        <v/>
      </c>
      <c r="EN270" s="6" t="str">
        <f>[1]Sheet2!EO269</f>
        <v/>
      </c>
      <c r="EO270" s="6" t="str">
        <f>[1]Sheet2!EP269</f>
        <v/>
      </c>
      <c r="EP270" s="6" t="str">
        <f>[1]Sheet2!EQ269</f>
        <v/>
      </c>
      <c r="EQ270" s="6" t="str">
        <f>[1]Sheet2!ER269</f>
        <v/>
      </c>
      <c r="ER270" s="6" t="str">
        <f>[1]Sheet2!ES269</f>
        <v/>
      </c>
      <c r="ES270" s="6" t="str">
        <f>[1]Sheet2!ET269</f>
        <v/>
      </c>
      <c r="ET270" s="6" t="str">
        <f>[1]Sheet2!EU269</f>
        <v/>
      </c>
      <c r="EU270" s="6" t="str">
        <f>[1]Sheet2!EV269</f>
        <v/>
      </c>
      <c r="EV270" s="6" t="str">
        <f>[1]Sheet2!EW269</f>
        <v/>
      </c>
      <c r="EW270" s="6" t="str">
        <f>[1]Sheet2!EX269</f>
        <v/>
      </c>
      <c r="EX270" s="6" t="str">
        <f>[1]Sheet2!EY269</f>
        <v/>
      </c>
      <c r="EY270" s="6" t="str">
        <f>[1]Sheet2!EZ269</f>
        <v/>
      </c>
      <c r="EZ270" s="6" t="str">
        <f>[1]Sheet2!FA269</f>
        <v/>
      </c>
      <c r="FA270" s="6" t="str">
        <f>[1]Sheet2!FB269</f>
        <v/>
      </c>
      <c r="FB270" s="6" t="str">
        <f>[1]Sheet2!FC269</f>
        <v/>
      </c>
      <c r="FC270" s="6" t="str">
        <f>[1]Sheet2!FD269</f>
        <v/>
      </c>
      <c r="FD270" s="6" t="str">
        <f>[1]Sheet2!FE269</f>
        <v/>
      </c>
      <c r="FE270" s="6" t="str">
        <f>[1]Sheet2!FF269</f>
        <v/>
      </c>
      <c r="FF270" s="6" t="str">
        <f>[1]Sheet2!FG269</f>
        <v/>
      </c>
      <c r="FG270" s="6" t="str">
        <f>[1]Sheet2!FH269</f>
        <v/>
      </c>
      <c r="FH270" s="6" t="str">
        <f>[1]Sheet2!FI269</f>
        <v/>
      </c>
      <c r="FI270" s="6" t="str">
        <f>[1]Sheet2!FJ269</f>
        <v/>
      </c>
      <c r="FJ270" s="6" t="str">
        <f>[1]Sheet2!FK269</f>
        <v/>
      </c>
      <c r="FK270" s="6" t="str">
        <f>[1]Sheet2!FL269</f>
        <v/>
      </c>
      <c r="FL270" s="6" t="str">
        <f>[1]Sheet2!FM269</f>
        <v/>
      </c>
      <c r="FM270" s="6" t="str">
        <f>[1]Sheet2!FN269</f>
        <v/>
      </c>
      <c r="FN270" s="6" t="str">
        <f>[1]Sheet2!FO269</f>
        <v/>
      </c>
      <c r="FO270" s="6" t="str">
        <f>[1]Sheet2!FP269</f>
        <v/>
      </c>
    </row>
    <row r="271" spans="1:171" x14ac:dyDescent="0.25">
      <c r="A271" s="15">
        <v>43733</v>
      </c>
      <c r="B271" s="1"/>
      <c r="C271" s="1"/>
      <c r="D271" s="1"/>
      <c r="E271" s="14">
        <f>[1]Sheet2!N270</f>
        <v>0</v>
      </c>
      <c r="F271" s="14">
        <f>[1]Sheet2!BE270</f>
        <v>0</v>
      </c>
      <c r="G271" s="14">
        <f>[1]Sheet2!CW270</f>
        <v>0</v>
      </c>
      <c r="H271" s="1"/>
      <c r="I271" s="1"/>
      <c r="J271" s="1"/>
      <c r="K271" s="16"/>
      <c r="L271" s="16">
        <f>Demand_CWRS!B$11/30</f>
        <v>118.04546474358973</v>
      </c>
      <c r="M271" s="16">
        <f>Demand_CWRS!C$11/30</f>
        <v>491.39401709401704</v>
      </c>
      <c r="N271" s="16">
        <f>Demand_CWRS!D$11/30</f>
        <v>0</v>
      </c>
      <c r="O271" s="16">
        <f>Demand_CWRS!E$11/30</f>
        <v>107.84935897435898</v>
      </c>
      <c r="P271" s="16">
        <f>Demand_CWRS!F$11/30</f>
        <v>218.22274305555553</v>
      </c>
      <c r="Q271" s="16">
        <f>Demand_CWRS!G$11/30</f>
        <v>118.04546474358973</v>
      </c>
      <c r="R271" s="16">
        <f>Demand_CWRS!H$11/30</f>
        <v>218.22274305555553</v>
      </c>
      <c r="S271" s="16">
        <f>Demand_CWRS!I$11/30</f>
        <v>218.22274305555553</v>
      </c>
      <c r="T271" s="16">
        <f>Demand_CWRS!J$11/30</f>
        <v>218.22274305555553</v>
      </c>
      <c r="U271" s="16">
        <f>Demand_CWRS!K$11/30</f>
        <v>218.22274305555553</v>
      </c>
      <c r="V271" s="16">
        <f t="shared" si="126"/>
        <v>-30490.768829063149</v>
      </c>
      <c r="W271" s="16">
        <f t="shared" si="127"/>
        <v>-126218.68376068343</v>
      </c>
      <c r="X271" s="16">
        <f t="shared" si="128"/>
        <v>0</v>
      </c>
      <c r="Y271" s="16">
        <f t="shared" si="129"/>
        <v>-22401.228472898383</v>
      </c>
      <c r="Z271" s="16">
        <f t="shared" si="130"/>
        <v>-52938.092827849483</v>
      </c>
      <c r="AA271" s="16">
        <f t="shared" si="131"/>
        <v>-31846.836305024761</v>
      </c>
      <c r="AB271" s="16">
        <f t="shared" si="132"/>
        <v>-62475.257603490441</v>
      </c>
      <c r="AC271" s="16">
        <f t="shared" si="133"/>
        <v>-56682.247347080251</v>
      </c>
      <c r="AD271" s="16">
        <f t="shared" si="134"/>
        <v>-56782.247347080243</v>
      </c>
      <c r="AE271" s="16">
        <f t="shared" si="135"/>
        <v>-57382.247347080236</v>
      </c>
      <c r="AF271" s="14">
        <f>IF([1]Sheet2!AJ270=999999,"NA",[1]Sheet2!AJ270)</f>
        <v>0</v>
      </c>
      <c r="AG271" s="14">
        <f>IF([1]Sheet2!AK270=999999,"NA",[1]Sheet2!AK270)</f>
        <v>0</v>
      </c>
      <c r="AH271" s="14" t="str">
        <f>IF([1]Sheet2!AL270=999999,"NA",[1]Sheet2!AL270)</f>
        <v>NA</v>
      </c>
      <c r="AI271" s="14">
        <f>IF([1]Sheet2!AM270=999999,"NA",[1]Sheet2!AM270)</f>
        <v>0</v>
      </c>
      <c r="AJ271" s="14">
        <f>IF([1]Sheet2!AN270=999999,"NA",[1]Sheet2!AN270)</f>
        <v>0</v>
      </c>
      <c r="AK271" s="14">
        <f>IF([1]Sheet2!AO270=999999,"NA",[1]Sheet2!AO270)</f>
        <v>0</v>
      </c>
      <c r="AL271" s="14">
        <f>IF([1]Sheet2!AP270=999999,"NA",[1]Sheet2!AP270)</f>
        <v>0</v>
      </c>
      <c r="AM271" s="14">
        <f>IF([1]Sheet2!AQ270=999999,"NA",[1]Sheet2!AQ270)</f>
        <v>0</v>
      </c>
      <c r="AN271" s="14">
        <f>IF([1]Sheet2!AR270=999999,"NA",[1]Sheet2!AR270)</f>
        <v>0</v>
      </c>
      <c r="AO271" s="14">
        <f>IF([1]Sheet2!AS270=999999,"NA",[1]Sheet2!AS270)</f>
        <v>0</v>
      </c>
      <c r="AP271" s="14">
        <f>[1]Sheet2!P270</f>
        <v>0</v>
      </c>
      <c r="AQ271" s="14">
        <f>[1]Sheet2!Q270</f>
        <v>4500</v>
      </c>
      <c r="AR271" s="14">
        <f>[1]Sheet2!R270</f>
        <v>0</v>
      </c>
      <c r="AS271" s="14">
        <f>[1]Sheet2!S270</f>
        <v>0</v>
      </c>
      <c r="AT271" s="14">
        <f>[1]Sheet2!T270</f>
        <v>0</v>
      </c>
      <c r="AU271" s="14">
        <f>[1]Sheet2!U270</f>
        <v>0</v>
      </c>
      <c r="AV271" s="14">
        <f>[1]Sheet2!V270</f>
        <v>0</v>
      </c>
      <c r="AW271" s="14">
        <f>[1]Sheet2!W270</f>
        <v>0</v>
      </c>
      <c r="AX271" s="14">
        <f>[1]Sheet2!X270</f>
        <v>0</v>
      </c>
      <c r="AY271" s="14">
        <f>[1]Sheet2!Y270</f>
        <v>0</v>
      </c>
      <c r="AZ271" s="16">
        <f>Demand_LP!B$11/30</f>
        <v>902.60591613247857</v>
      </c>
      <c r="BA271" s="16">
        <f>Demand_LP!C$11/30</f>
        <v>593.76410256410259</v>
      </c>
      <c r="BB271" s="16">
        <f>Demand_LP!D$11/30</f>
        <v>290.27136752136749</v>
      </c>
      <c r="BC271" s="16">
        <f>Demand_LP!E$11/30</f>
        <v>790.42628205128199</v>
      </c>
      <c r="BD271" s="16">
        <f>Demand_LP!F$11/30</f>
        <v>538.46224626068363</v>
      </c>
      <c r="BE271" s="16">
        <f>Demand_LP!G$11/30</f>
        <v>538.46224626068363</v>
      </c>
      <c r="BF271" s="16">
        <f>Demand_LP!H$11/30</f>
        <v>593.76410256410259</v>
      </c>
      <c r="BG271" s="16">
        <f>Demand_LP!I$11/30</f>
        <v>538.46224626068363</v>
      </c>
      <c r="BH271" s="16">
        <f>Demand_LP!J$11/30</f>
        <v>538.46224626068363</v>
      </c>
      <c r="BI271" s="16">
        <f>Demand_LP!K$11/30</f>
        <v>538.46224626068363</v>
      </c>
      <c r="BJ271" s="16">
        <f t="shared" si="136"/>
        <v>-194230.70930692449</v>
      </c>
      <c r="BK271" s="16">
        <f t="shared" si="137"/>
        <v>-153307.24358974356</v>
      </c>
      <c r="BL271" s="16">
        <f t="shared" si="138"/>
        <v>-74847.384188034383</v>
      </c>
      <c r="BM271" s="16">
        <f t="shared" si="139"/>
        <v>-190268.33908633501</v>
      </c>
      <c r="BN271" s="16">
        <f t="shared" si="140"/>
        <v>-113956.72626058239</v>
      </c>
      <c r="BO271" s="16">
        <f t="shared" si="141"/>
        <v>-116721.41017895313</v>
      </c>
      <c r="BP271" s="16">
        <f t="shared" si="142"/>
        <v>-148344.82307692291</v>
      </c>
      <c r="BQ271" s="16">
        <f t="shared" si="143"/>
        <v>-116721.41017895313</v>
      </c>
      <c r="BR271" s="16">
        <f t="shared" si="144"/>
        <v>-114321.41017895317</v>
      </c>
      <c r="BS271" s="16">
        <f t="shared" si="145"/>
        <v>-115021.41017895316</v>
      </c>
      <c r="BT271" s="14">
        <f>IF([1]Sheet2!CB270=999999,"NA",[1]Sheet2!CB270)</f>
        <v>0</v>
      </c>
      <c r="BU271" s="14">
        <f>IF([1]Sheet2!CC270=999999,"NA",[1]Sheet2!CC270)</f>
        <v>0</v>
      </c>
      <c r="BV271" s="14">
        <f>IF([1]Sheet2!CD270=999999,"NA",[1]Sheet2!CD270)</f>
        <v>0</v>
      </c>
      <c r="BW271" s="14">
        <f>IF([1]Sheet2!CE270=999999,"NA",[1]Sheet2!CE270)</f>
        <v>0</v>
      </c>
      <c r="BX271" s="14">
        <f>IF([1]Sheet2!CF270=999999,"NA",[1]Sheet2!CF270)</f>
        <v>0</v>
      </c>
      <c r="BY271" s="14">
        <f>IF([1]Sheet2!CG270=999999,"NA",[1]Sheet2!CG270)</f>
        <v>0</v>
      </c>
      <c r="BZ271" s="14">
        <f>IF([1]Sheet2!CH270=999999,"NA",[1]Sheet2!CH270)</f>
        <v>0</v>
      </c>
      <c r="CA271" s="14">
        <f>IF([1]Sheet2!CI270=999999,"NA",[1]Sheet2!CI270)</f>
        <v>0</v>
      </c>
      <c r="CB271" s="14">
        <f>IF([1]Sheet2!CJ270=999999,"NA",[1]Sheet2!CJ270)</f>
        <v>0</v>
      </c>
      <c r="CC271" s="14">
        <f>IF([1]Sheet2!CK270=999999,"NA",[1]Sheet2!CK270)</f>
        <v>0</v>
      </c>
      <c r="CD271" s="45">
        <f>[1]Sheet2!BH270</f>
        <v>3820</v>
      </c>
      <c r="CE271" s="45">
        <f>[1]Sheet2!BI270</f>
        <v>680</v>
      </c>
      <c r="CF271" s="14">
        <f>[1]Sheet2!BJ270</f>
        <v>0</v>
      </c>
      <c r="CG271" s="14">
        <f>[1]Sheet2!BK270</f>
        <v>0</v>
      </c>
      <c r="CH271" s="14">
        <f>[1]Sheet2!BL270</f>
        <v>0</v>
      </c>
      <c r="CI271" s="14">
        <f>[1]Sheet2!BM270</f>
        <v>0</v>
      </c>
      <c r="CJ271" s="14">
        <f>[1]Sheet2!BN270</f>
        <v>0</v>
      </c>
      <c r="CK271" s="14">
        <f>[1]Sheet2!BO270</f>
        <v>0</v>
      </c>
      <c r="CL271" s="14">
        <f>[1]Sheet2!BP270</f>
        <v>0</v>
      </c>
      <c r="CM271" s="14">
        <f>[1]Sheet2!BQ270</f>
        <v>0</v>
      </c>
      <c r="CN271" s="16">
        <f>Demand_SW!B$11/30</f>
        <v>144.23076923076923</v>
      </c>
      <c r="CO271" s="16">
        <f>Demand_SW!C$11/30</f>
        <v>0</v>
      </c>
      <c r="CP271" s="16">
        <f>Demand_SW!D$11/30</f>
        <v>0</v>
      </c>
      <c r="CQ271" s="16">
        <f>Demand_SW!E$11/30</f>
        <v>0</v>
      </c>
      <c r="CR271" s="16">
        <f>Demand_SW!F$11/30</f>
        <v>0</v>
      </c>
      <c r="CS271" s="16">
        <f>Demand_SW!G$11/30</f>
        <v>144.23076923076923</v>
      </c>
      <c r="CT271" s="16">
        <f>Demand_SW!H$11/30</f>
        <v>0</v>
      </c>
      <c r="CU271" s="16">
        <f>Demand_SW!I$11/30</f>
        <v>0</v>
      </c>
      <c r="CV271" s="16">
        <f>Demand_SW!J$11/30</f>
        <v>0</v>
      </c>
      <c r="CW271" s="16">
        <f>Demand_SW!K$11/30</f>
        <v>0</v>
      </c>
      <c r="CX271" s="16">
        <f t="shared" si="146"/>
        <v>-13326.538461538505</v>
      </c>
      <c r="CY271" s="16">
        <f t="shared" si="147"/>
        <v>76.923076923077133</v>
      </c>
      <c r="CZ271" s="16">
        <f t="shared" si="148"/>
        <v>0</v>
      </c>
      <c r="DA271" s="16">
        <f t="shared" si="149"/>
        <v>0</v>
      </c>
      <c r="DB271" s="16">
        <f t="shared" si="150"/>
        <v>0</v>
      </c>
      <c r="DC271" s="16">
        <f t="shared" si="151"/>
        <v>-30855.769230769274</v>
      </c>
      <c r="DD271" s="16">
        <f t="shared" si="152"/>
        <v>76.923076923077133</v>
      </c>
      <c r="DE271" s="16">
        <f t="shared" si="153"/>
        <v>0</v>
      </c>
      <c r="DF271" s="16">
        <f t="shared" si="154"/>
        <v>0</v>
      </c>
      <c r="DG271" s="16">
        <f t="shared" si="155"/>
        <v>0</v>
      </c>
      <c r="DH271" s="14">
        <f>IF([1]Sheet2!DS270=999999,"NA",[1]Sheet2!DS270)</f>
        <v>0</v>
      </c>
      <c r="DI271" s="14">
        <f>IF([1]Sheet2!DT270=999999,"NA",[1]Sheet2!DT270)</f>
        <v>97</v>
      </c>
      <c r="DJ271" s="14" t="str">
        <f>IF([1]Sheet2!DU270=999999,"NA",[1]Sheet2!DU270)</f>
        <v>NA</v>
      </c>
      <c r="DK271" s="14" t="str">
        <f>IF([1]Sheet2!DV270=999999,"NA",[1]Sheet2!DV270)</f>
        <v>NA</v>
      </c>
      <c r="DL271" s="14" t="str">
        <f>IF([1]Sheet2!DW270=999999,"NA",[1]Sheet2!DW270)</f>
        <v>NA</v>
      </c>
      <c r="DM271" s="14">
        <f>IF([1]Sheet2!DX270=999999,"NA",[1]Sheet2!DX270)</f>
        <v>0</v>
      </c>
      <c r="DN271" s="14">
        <f>IF([1]Sheet2!DY270=999999,"NA",[1]Sheet2!DY270)</f>
        <v>97</v>
      </c>
      <c r="DO271" s="14" t="str">
        <f>IF([1]Sheet2!DZ270=999999,"NA",[1]Sheet2!DZ270)</f>
        <v>NA</v>
      </c>
      <c r="DP271" s="14" t="str">
        <f>IF([1]Sheet2!EA270=999999,"NA",[1]Sheet2!EA270)</f>
        <v>NA</v>
      </c>
      <c r="DQ271" s="14" t="str">
        <f>IF([1]Sheet2!EB270=999999,"NA",[1]Sheet2!EB270)</f>
        <v>NA</v>
      </c>
      <c r="DR271" s="14">
        <f>[1]Sheet2!CY270</f>
        <v>0</v>
      </c>
      <c r="DS271" s="14">
        <f>[1]Sheet2!CZ270</f>
        <v>0</v>
      </c>
      <c r="DT271" s="14">
        <f>[1]Sheet2!DA270</f>
        <v>0</v>
      </c>
      <c r="DU271" s="14">
        <f>[1]Sheet2!DB270</f>
        <v>0</v>
      </c>
      <c r="DV271" s="14">
        <f>[1]Sheet2!DC270</f>
        <v>0</v>
      </c>
      <c r="DW271" s="14">
        <f>[1]Sheet2!DD270</f>
        <v>0</v>
      </c>
      <c r="DX271" s="14">
        <f>[1]Sheet2!DE270</f>
        <v>0</v>
      </c>
      <c r="DY271" s="14">
        <f>[1]Sheet2!DF270</f>
        <v>0</v>
      </c>
      <c r="DZ271" s="14">
        <f>[1]Sheet2!DG270</f>
        <v>0</v>
      </c>
      <c r="EA271" s="14">
        <f>[1]Sheet2!DH270</f>
        <v>0</v>
      </c>
      <c r="EB271" s="6" t="str">
        <f>[1]Sheet2!EC270</f>
        <v>Arg</v>
      </c>
      <c r="EC271" s="6" t="str">
        <f>[1]Sheet2!ED270</f>
        <v>Arg</v>
      </c>
      <c r="ED271" s="6">
        <f>[1]Sheet2!EE270</f>
        <v>0</v>
      </c>
      <c r="EE271" s="6">
        <f>[1]Sheet2!EF270</f>
        <v>0</v>
      </c>
      <c r="EF271" s="6">
        <f>[1]Sheet2!EG270</f>
        <v>0</v>
      </c>
      <c r="EG271" s="6">
        <f>[1]Sheet2!EH270</f>
        <v>0</v>
      </c>
      <c r="EH271" s="6">
        <f>[1]Sheet2!EI270</f>
        <v>0</v>
      </c>
      <c r="EI271" s="6">
        <f>[1]Sheet2!EJ270</f>
        <v>0</v>
      </c>
      <c r="EJ271" s="6">
        <f>[1]Sheet2!EK270</f>
        <v>0</v>
      </c>
      <c r="EK271" s="6">
        <f>[1]Sheet2!EL270</f>
        <v>0</v>
      </c>
      <c r="EL271" s="6" t="str">
        <f>[1]Sheet2!EM270</f>
        <v/>
      </c>
      <c r="EM271" s="6" t="str">
        <f>[1]Sheet2!EN270</f>
        <v/>
      </c>
      <c r="EN271" s="6" t="str">
        <f>[1]Sheet2!EO270</f>
        <v/>
      </c>
      <c r="EO271" s="6" t="str">
        <f>[1]Sheet2!EP270</f>
        <v/>
      </c>
      <c r="EP271" s="6" t="str">
        <f>[1]Sheet2!EQ270</f>
        <v/>
      </c>
      <c r="EQ271" s="6" t="str">
        <f>[1]Sheet2!ER270</f>
        <v/>
      </c>
      <c r="ER271" s="6" t="str">
        <f>[1]Sheet2!ES270</f>
        <v/>
      </c>
      <c r="ES271" s="6" t="str">
        <f>[1]Sheet2!ET270</f>
        <v/>
      </c>
      <c r="ET271" s="6" t="str">
        <f>[1]Sheet2!EU270</f>
        <v/>
      </c>
      <c r="EU271" s="6" t="str">
        <f>[1]Sheet2!EV270</f>
        <v/>
      </c>
      <c r="EV271" s="6" t="str">
        <f>[1]Sheet2!EW270</f>
        <v/>
      </c>
      <c r="EW271" s="6" t="str">
        <f>[1]Sheet2!EX270</f>
        <v/>
      </c>
      <c r="EX271" s="6" t="str">
        <f>[1]Sheet2!EY270</f>
        <v/>
      </c>
      <c r="EY271" s="6" t="str">
        <f>[1]Sheet2!EZ270</f>
        <v/>
      </c>
      <c r="EZ271" s="6" t="str">
        <f>[1]Sheet2!FA270</f>
        <v/>
      </c>
      <c r="FA271" s="6" t="str">
        <f>[1]Sheet2!FB270</f>
        <v/>
      </c>
      <c r="FB271" s="6" t="str">
        <f>[1]Sheet2!FC270</f>
        <v/>
      </c>
      <c r="FC271" s="6" t="str">
        <f>[1]Sheet2!FD270</f>
        <v/>
      </c>
      <c r="FD271" s="6" t="str">
        <f>[1]Sheet2!FE270</f>
        <v/>
      </c>
      <c r="FE271" s="6" t="str">
        <f>[1]Sheet2!FF270</f>
        <v/>
      </c>
      <c r="FF271" s="6" t="str">
        <f>[1]Sheet2!FG270</f>
        <v/>
      </c>
      <c r="FG271" s="6" t="str">
        <f>[1]Sheet2!FH270</f>
        <v/>
      </c>
      <c r="FH271" s="6" t="str">
        <f>[1]Sheet2!FI270</f>
        <v/>
      </c>
      <c r="FI271" s="6" t="str">
        <f>[1]Sheet2!FJ270</f>
        <v/>
      </c>
      <c r="FJ271" s="6" t="str">
        <f>[1]Sheet2!FK270</f>
        <v/>
      </c>
      <c r="FK271" s="6" t="str">
        <f>[1]Sheet2!FL270</f>
        <v/>
      </c>
      <c r="FL271" s="6" t="str">
        <f>[1]Sheet2!FM270</f>
        <v/>
      </c>
      <c r="FM271" s="6" t="str">
        <f>[1]Sheet2!FN270</f>
        <v/>
      </c>
      <c r="FN271" s="6" t="str">
        <f>[1]Sheet2!FO270</f>
        <v/>
      </c>
      <c r="FO271" s="6" t="str">
        <f>[1]Sheet2!FP270</f>
        <v/>
      </c>
    </row>
    <row r="272" spans="1:171" x14ac:dyDescent="0.25">
      <c r="A272" s="15">
        <v>43734</v>
      </c>
      <c r="B272" s="1"/>
      <c r="C272" s="1"/>
      <c r="D272" s="1"/>
      <c r="E272" s="14">
        <f>[1]Sheet2!N271</f>
        <v>0</v>
      </c>
      <c r="F272" s="14">
        <f>[1]Sheet2!BE271</f>
        <v>0</v>
      </c>
      <c r="G272" s="14">
        <f>[1]Sheet2!CW271</f>
        <v>0</v>
      </c>
      <c r="H272" s="1"/>
      <c r="I272" s="1"/>
      <c r="J272" s="1"/>
      <c r="K272" s="16"/>
      <c r="L272" s="16">
        <f>Demand_CWRS!B$11/30</f>
        <v>118.04546474358973</v>
      </c>
      <c r="M272" s="16">
        <f>Demand_CWRS!C$11/30</f>
        <v>491.39401709401704</v>
      </c>
      <c r="N272" s="16">
        <f>Demand_CWRS!D$11/30</f>
        <v>0</v>
      </c>
      <c r="O272" s="16">
        <f>Demand_CWRS!E$11/30</f>
        <v>107.84935897435898</v>
      </c>
      <c r="P272" s="16">
        <f>Demand_CWRS!F$11/30</f>
        <v>218.22274305555553</v>
      </c>
      <c r="Q272" s="16">
        <f>Demand_CWRS!G$11/30</f>
        <v>118.04546474358973</v>
      </c>
      <c r="R272" s="16">
        <f>Demand_CWRS!H$11/30</f>
        <v>218.22274305555553</v>
      </c>
      <c r="S272" s="16">
        <f>Demand_CWRS!I$11/30</f>
        <v>218.22274305555553</v>
      </c>
      <c r="T272" s="16">
        <f>Demand_CWRS!J$11/30</f>
        <v>218.22274305555553</v>
      </c>
      <c r="U272" s="16">
        <f>Demand_CWRS!K$11/30</f>
        <v>218.22274305555553</v>
      </c>
      <c r="V272" s="16">
        <f t="shared" si="126"/>
        <v>-30608.814293806739</v>
      </c>
      <c r="W272" s="16">
        <f t="shared" si="127"/>
        <v>-122210.07777777745</v>
      </c>
      <c r="X272" s="16">
        <f t="shared" si="128"/>
        <v>0</v>
      </c>
      <c r="Y272" s="16">
        <f t="shared" si="129"/>
        <v>-22509.077831872743</v>
      </c>
      <c r="Z272" s="16">
        <f t="shared" si="130"/>
        <v>-53156.315570905041</v>
      </c>
      <c r="AA272" s="16">
        <f t="shared" si="131"/>
        <v>-31964.881769768352</v>
      </c>
      <c r="AB272" s="16">
        <f t="shared" si="132"/>
        <v>-62693.480346545999</v>
      </c>
      <c r="AC272" s="16">
        <f t="shared" si="133"/>
        <v>-56900.470090135808</v>
      </c>
      <c r="AD272" s="16">
        <f t="shared" si="134"/>
        <v>-57000.470090135801</v>
      </c>
      <c r="AE272" s="16">
        <f t="shared" si="135"/>
        <v>-57600.470090135794</v>
      </c>
      <c r="AF272" s="14">
        <f>IF([1]Sheet2!AJ271=999999,"NA",[1]Sheet2!AJ271)</f>
        <v>0</v>
      </c>
      <c r="AG272" s="14">
        <f>IF([1]Sheet2!AK271=999999,"NA",[1]Sheet2!AK271)</f>
        <v>0</v>
      </c>
      <c r="AH272" s="14" t="str">
        <f>IF([1]Sheet2!AL271=999999,"NA",[1]Sheet2!AL271)</f>
        <v>NA</v>
      </c>
      <c r="AI272" s="14">
        <f>IF([1]Sheet2!AM271=999999,"NA",[1]Sheet2!AM271)</f>
        <v>0</v>
      </c>
      <c r="AJ272" s="14">
        <f>IF([1]Sheet2!AN271=999999,"NA",[1]Sheet2!AN271)</f>
        <v>0</v>
      </c>
      <c r="AK272" s="14">
        <f>IF([1]Sheet2!AO271=999999,"NA",[1]Sheet2!AO271)</f>
        <v>0</v>
      </c>
      <c r="AL272" s="14">
        <f>IF([1]Sheet2!AP271=999999,"NA",[1]Sheet2!AP271)</f>
        <v>0</v>
      </c>
      <c r="AM272" s="14">
        <f>IF([1]Sheet2!AQ271=999999,"NA",[1]Sheet2!AQ271)</f>
        <v>0</v>
      </c>
      <c r="AN272" s="14">
        <f>IF([1]Sheet2!AR271=999999,"NA",[1]Sheet2!AR271)</f>
        <v>0</v>
      </c>
      <c r="AO272" s="14">
        <f>IF([1]Sheet2!AS271=999999,"NA",[1]Sheet2!AS271)</f>
        <v>0</v>
      </c>
      <c r="AP272" s="14">
        <f>[1]Sheet2!P271</f>
        <v>0</v>
      </c>
      <c r="AQ272" s="14">
        <f>[1]Sheet2!Q271</f>
        <v>4500</v>
      </c>
      <c r="AR272" s="14">
        <f>[1]Sheet2!R271</f>
        <v>0</v>
      </c>
      <c r="AS272" s="14">
        <f>[1]Sheet2!S271</f>
        <v>0</v>
      </c>
      <c r="AT272" s="14">
        <f>[1]Sheet2!T271</f>
        <v>0</v>
      </c>
      <c r="AU272" s="14">
        <f>[1]Sheet2!U271</f>
        <v>0</v>
      </c>
      <c r="AV272" s="14">
        <f>[1]Sheet2!V271</f>
        <v>0</v>
      </c>
      <c r="AW272" s="14">
        <f>[1]Sheet2!W271</f>
        <v>0</v>
      </c>
      <c r="AX272" s="14">
        <f>[1]Sheet2!X271</f>
        <v>0</v>
      </c>
      <c r="AY272" s="14">
        <f>[1]Sheet2!Y271</f>
        <v>0</v>
      </c>
      <c r="AZ272" s="16">
        <f>Demand_LP!B$11/30</f>
        <v>902.60591613247857</v>
      </c>
      <c r="BA272" s="16">
        <f>Demand_LP!C$11/30</f>
        <v>593.76410256410259</v>
      </c>
      <c r="BB272" s="16">
        <f>Demand_LP!D$11/30</f>
        <v>290.27136752136749</v>
      </c>
      <c r="BC272" s="16">
        <f>Demand_LP!E$11/30</f>
        <v>790.42628205128199</v>
      </c>
      <c r="BD272" s="16">
        <f>Demand_LP!F$11/30</f>
        <v>538.46224626068363</v>
      </c>
      <c r="BE272" s="16">
        <f>Demand_LP!G$11/30</f>
        <v>538.46224626068363</v>
      </c>
      <c r="BF272" s="16">
        <f>Demand_LP!H$11/30</f>
        <v>593.76410256410259</v>
      </c>
      <c r="BG272" s="16">
        <f>Demand_LP!I$11/30</f>
        <v>538.46224626068363</v>
      </c>
      <c r="BH272" s="16">
        <f>Demand_LP!J$11/30</f>
        <v>538.46224626068363</v>
      </c>
      <c r="BI272" s="16">
        <f>Demand_LP!K$11/30</f>
        <v>538.46224626068363</v>
      </c>
      <c r="BJ272" s="16">
        <f t="shared" si="136"/>
        <v>-195133.31522305697</v>
      </c>
      <c r="BK272" s="16">
        <f t="shared" si="137"/>
        <v>-149831.00769230767</v>
      </c>
      <c r="BL272" s="16">
        <f t="shared" si="138"/>
        <v>-74707.655555555757</v>
      </c>
      <c r="BM272" s="16">
        <f t="shared" si="139"/>
        <v>-191058.76536838629</v>
      </c>
      <c r="BN272" s="16">
        <f t="shared" si="140"/>
        <v>-114495.18850684307</v>
      </c>
      <c r="BO272" s="16">
        <f t="shared" si="141"/>
        <v>-117259.87242521381</v>
      </c>
      <c r="BP272" s="16">
        <f t="shared" si="142"/>
        <v>-148938.58717948702</v>
      </c>
      <c r="BQ272" s="16">
        <f t="shared" si="143"/>
        <v>-117259.87242521381</v>
      </c>
      <c r="BR272" s="16">
        <f t="shared" si="144"/>
        <v>-114859.87242521385</v>
      </c>
      <c r="BS272" s="16">
        <f t="shared" si="145"/>
        <v>-115559.87242521383</v>
      </c>
      <c r="BT272" s="14">
        <f>IF([1]Sheet2!CB271=999999,"NA",[1]Sheet2!CB271)</f>
        <v>0</v>
      </c>
      <c r="BU272" s="14">
        <f>IF([1]Sheet2!CC271=999999,"NA",[1]Sheet2!CC271)</f>
        <v>0</v>
      </c>
      <c r="BV272" s="14">
        <f>IF([1]Sheet2!CD271=999999,"NA",[1]Sheet2!CD271)</f>
        <v>0</v>
      </c>
      <c r="BW272" s="14">
        <f>IF([1]Sheet2!CE271=999999,"NA",[1]Sheet2!CE271)</f>
        <v>0</v>
      </c>
      <c r="BX272" s="14">
        <f>IF([1]Sheet2!CF271=999999,"NA",[1]Sheet2!CF271)</f>
        <v>0</v>
      </c>
      <c r="BY272" s="14">
        <f>IF([1]Sheet2!CG271=999999,"NA",[1]Sheet2!CG271)</f>
        <v>0</v>
      </c>
      <c r="BZ272" s="14">
        <f>IF([1]Sheet2!CH271=999999,"NA",[1]Sheet2!CH271)</f>
        <v>0</v>
      </c>
      <c r="CA272" s="14">
        <f>IF([1]Sheet2!CI271=999999,"NA",[1]Sheet2!CI271)</f>
        <v>0</v>
      </c>
      <c r="CB272" s="14">
        <f>IF([1]Sheet2!CJ271=999999,"NA",[1]Sheet2!CJ271)</f>
        <v>0</v>
      </c>
      <c r="CC272" s="14">
        <f>IF([1]Sheet2!CK271=999999,"NA",[1]Sheet2!CK271)</f>
        <v>0</v>
      </c>
      <c r="CD272" s="14">
        <f>[1]Sheet2!BH271</f>
        <v>0</v>
      </c>
      <c r="CE272" s="45">
        <f>[1]Sheet2!BI271</f>
        <v>4070</v>
      </c>
      <c r="CF272" s="45">
        <f>[1]Sheet2!BJ271</f>
        <v>430</v>
      </c>
      <c r="CG272" s="14">
        <f>[1]Sheet2!BK271</f>
        <v>0</v>
      </c>
      <c r="CH272" s="14">
        <f>[1]Sheet2!BL271</f>
        <v>0</v>
      </c>
      <c r="CI272" s="14">
        <f>[1]Sheet2!BM271</f>
        <v>0</v>
      </c>
      <c r="CJ272" s="14">
        <f>[1]Sheet2!BN271</f>
        <v>0</v>
      </c>
      <c r="CK272" s="14">
        <f>[1]Sheet2!BO271</f>
        <v>0</v>
      </c>
      <c r="CL272" s="14">
        <f>[1]Sheet2!BP271</f>
        <v>0</v>
      </c>
      <c r="CM272" s="14">
        <f>[1]Sheet2!BQ271</f>
        <v>0</v>
      </c>
      <c r="CN272" s="16">
        <f>Demand_SW!B$11/30</f>
        <v>144.23076923076923</v>
      </c>
      <c r="CO272" s="16">
        <f>Demand_SW!C$11/30</f>
        <v>0</v>
      </c>
      <c r="CP272" s="16">
        <f>Demand_SW!D$11/30</f>
        <v>0</v>
      </c>
      <c r="CQ272" s="16">
        <f>Demand_SW!E$11/30</f>
        <v>0</v>
      </c>
      <c r="CR272" s="16">
        <f>Demand_SW!F$11/30</f>
        <v>0</v>
      </c>
      <c r="CS272" s="16">
        <f>Demand_SW!G$11/30</f>
        <v>144.23076923076923</v>
      </c>
      <c r="CT272" s="16">
        <f>Demand_SW!H$11/30</f>
        <v>0</v>
      </c>
      <c r="CU272" s="16">
        <f>Demand_SW!I$11/30</f>
        <v>0</v>
      </c>
      <c r="CV272" s="16">
        <f>Demand_SW!J$11/30</f>
        <v>0</v>
      </c>
      <c r="CW272" s="16">
        <f>Demand_SW!K$11/30</f>
        <v>0</v>
      </c>
      <c r="CX272" s="16">
        <f t="shared" si="146"/>
        <v>-13470.769230769274</v>
      </c>
      <c r="CY272" s="16">
        <f t="shared" si="147"/>
        <v>76.923076923077133</v>
      </c>
      <c r="CZ272" s="16">
        <f t="shared" si="148"/>
        <v>0</v>
      </c>
      <c r="DA272" s="16">
        <f t="shared" si="149"/>
        <v>0</v>
      </c>
      <c r="DB272" s="16">
        <f t="shared" si="150"/>
        <v>0</v>
      </c>
      <c r="DC272" s="16">
        <f t="shared" si="151"/>
        <v>-31000.000000000044</v>
      </c>
      <c r="DD272" s="16">
        <f t="shared" si="152"/>
        <v>76.923076923077133</v>
      </c>
      <c r="DE272" s="16">
        <f t="shared" si="153"/>
        <v>0</v>
      </c>
      <c r="DF272" s="16">
        <f t="shared" si="154"/>
        <v>0</v>
      </c>
      <c r="DG272" s="16">
        <f t="shared" si="155"/>
        <v>0</v>
      </c>
      <c r="DH272" s="14">
        <f>IF([1]Sheet2!DS271=999999,"NA",[1]Sheet2!DS271)</f>
        <v>0</v>
      </c>
      <c r="DI272" s="14">
        <f>IF([1]Sheet2!DT271=999999,"NA",[1]Sheet2!DT271)</f>
        <v>96</v>
      </c>
      <c r="DJ272" s="14" t="str">
        <f>IF([1]Sheet2!DU271=999999,"NA",[1]Sheet2!DU271)</f>
        <v>NA</v>
      </c>
      <c r="DK272" s="14" t="str">
        <f>IF([1]Sheet2!DV271=999999,"NA",[1]Sheet2!DV271)</f>
        <v>NA</v>
      </c>
      <c r="DL272" s="14" t="str">
        <f>IF([1]Sheet2!DW271=999999,"NA",[1]Sheet2!DW271)</f>
        <v>NA</v>
      </c>
      <c r="DM272" s="14">
        <f>IF([1]Sheet2!DX271=999999,"NA",[1]Sheet2!DX271)</f>
        <v>0</v>
      </c>
      <c r="DN272" s="14">
        <f>IF([1]Sheet2!DY271=999999,"NA",[1]Sheet2!DY271)</f>
        <v>96</v>
      </c>
      <c r="DO272" s="14" t="str">
        <f>IF([1]Sheet2!DZ271=999999,"NA",[1]Sheet2!DZ271)</f>
        <v>NA</v>
      </c>
      <c r="DP272" s="14" t="str">
        <f>IF([1]Sheet2!EA271=999999,"NA",[1]Sheet2!EA271)</f>
        <v>NA</v>
      </c>
      <c r="DQ272" s="14" t="str">
        <f>IF([1]Sheet2!EB271=999999,"NA",[1]Sheet2!EB271)</f>
        <v>NA</v>
      </c>
      <c r="DR272" s="14">
        <f>[1]Sheet2!CY271</f>
        <v>0</v>
      </c>
      <c r="DS272" s="14">
        <f>[1]Sheet2!CZ271</f>
        <v>0</v>
      </c>
      <c r="DT272" s="14">
        <f>[1]Sheet2!DA271</f>
        <v>0</v>
      </c>
      <c r="DU272" s="14">
        <f>[1]Sheet2!DB271</f>
        <v>0</v>
      </c>
      <c r="DV272" s="14">
        <f>[1]Sheet2!DC271</f>
        <v>0</v>
      </c>
      <c r="DW272" s="14">
        <f>[1]Sheet2!DD271</f>
        <v>0</v>
      </c>
      <c r="DX272" s="14">
        <f>[1]Sheet2!DE271</f>
        <v>0</v>
      </c>
      <c r="DY272" s="14">
        <f>[1]Sheet2!DF271</f>
        <v>0</v>
      </c>
      <c r="DZ272" s="14">
        <f>[1]Sheet2!DG271</f>
        <v>0</v>
      </c>
      <c r="EA272" s="14">
        <f>[1]Sheet2!DH271</f>
        <v>0</v>
      </c>
      <c r="EB272" s="6">
        <f>[1]Sheet2!EC271</f>
        <v>0</v>
      </c>
      <c r="EC272" s="6" t="str">
        <f>[1]Sheet2!ED271</f>
        <v>Arg</v>
      </c>
      <c r="ED272" s="6" t="str">
        <f>[1]Sheet2!EE271</f>
        <v>Arg</v>
      </c>
      <c r="EE272" s="6">
        <f>[1]Sheet2!EF271</f>
        <v>0</v>
      </c>
      <c r="EF272" s="6">
        <f>[1]Sheet2!EG271</f>
        <v>0</v>
      </c>
      <c r="EG272" s="6">
        <f>[1]Sheet2!EH271</f>
        <v>0</v>
      </c>
      <c r="EH272" s="6">
        <f>[1]Sheet2!EI271</f>
        <v>0</v>
      </c>
      <c r="EI272" s="6">
        <f>[1]Sheet2!EJ271</f>
        <v>0</v>
      </c>
      <c r="EJ272" s="6">
        <f>[1]Sheet2!EK271</f>
        <v>0</v>
      </c>
      <c r="EK272" s="6">
        <f>[1]Sheet2!EL271</f>
        <v>0</v>
      </c>
      <c r="EL272" s="6" t="str">
        <f>[1]Sheet2!EM271</f>
        <v/>
      </c>
      <c r="EM272" s="6" t="str">
        <f>[1]Sheet2!EN271</f>
        <v/>
      </c>
      <c r="EN272" s="6" t="str">
        <f>[1]Sheet2!EO271</f>
        <v/>
      </c>
      <c r="EO272" s="6" t="str">
        <f>[1]Sheet2!EP271</f>
        <v/>
      </c>
      <c r="EP272" s="6" t="str">
        <f>[1]Sheet2!EQ271</f>
        <v/>
      </c>
      <c r="EQ272" s="6" t="str">
        <f>[1]Sheet2!ER271</f>
        <v/>
      </c>
      <c r="ER272" s="6" t="str">
        <f>[1]Sheet2!ES271</f>
        <v/>
      </c>
      <c r="ES272" s="6" t="str">
        <f>[1]Sheet2!ET271</f>
        <v/>
      </c>
      <c r="ET272" s="6" t="str">
        <f>[1]Sheet2!EU271</f>
        <v/>
      </c>
      <c r="EU272" s="6" t="str">
        <f>[1]Sheet2!EV271</f>
        <v/>
      </c>
      <c r="EV272" s="6" t="str">
        <f>[1]Sheet2!EW271</f>
        <v/>
      </c>
      <c r="EW272" s="6" t="str">
        <f>[1]Sheet2!EX271</f>
        <v/>
      </c>
      <c r="EX272" s="6" t="str">
        <f>[1]Sheet2!EY271</f>
        <v/>
      </c>
      <c r="EY272" s="6" t="str">
        <f>[1]Sheet2!EZ271</f>
        <v/>
      </c>
      <c r="EZ272" s="6" t="str">
        <f>[1]Sheet2!FA271</f>
        <v/>
      </c>
      <c r="FA272" s="6" t="str">
        <f>[1]Sheet2!FB271</f>
        <v/>
      </c>
      <c r="FB272" s="6" t="str">
        <f>[1]Sheet2!FC271</f>
        <v/>
      </c>
      <c r="FC272" s="6" t="str">
        <f>[1]Sheet2!FD271</f>
        <v/>
      </c>
      <c r="FD272" s="6" t="str">
        <f>[1]Sheet2!FE271</f>
        <v/>
      </c>
      <c r="FE272" s="6" t="str">
        <f>[1]Sheet2!FF271</f>
        <v/>
      </c>
      <c r="FF272" s="6" t="str">
        <f>[1]Sheet2!FG271</f>
        <v/>
      </c>
      <c r="FG272" s="6" t="str">
        <f>[1]Sheet2!FH271</f>
        <v/>
      </c>
      <c r="FH272" s="6" t="str">
        <f>[1]Sheet2!FI271</f>
        <v/>
      </c>
      <c r="FI272" s="6" t="str">
        <f>[1]Sheet2!FJ271</f>
        <v/>
      </c>
      <c r="FJ272" s="6" t="str">
        <f>[1]Sheet2!FK271</f>
        <v/>
      </c>
      <c r="FK272" s="6" t="str">
        <f>[1]Sheet2!FL271</f>
        <v/>
      </c>
      <c r="FL272" s="6" t="str">
        <f>[1]Sheet2!FM271</f>
        <v/>
      </c>
      <c r="FM272" s="6" t="str">
        <f>[1]Sheet2!FN271</f>
        <v/>
      </c>
      <c r="FN272" s="6" t="str">
        <f>[1]Sheet2!FO271</f>
        <v/>
      </c>
      <c r="FO272" s="6" t="str">
        <f>[1]Sheet2!FP271</f>
        <v/>
      </c>
    </row>
    <row r="273" spans="1:171" x14ac:dyDescent="0.25">
      <c r="A273" s="15">
        <v>43735</v>
      </c>
      <c r="B273" s="1"/>
      <c r="C273" s="1"/>
      <c r="D273" s="1"/>
      <c r="E273" s="14">
        <f>[1]Sheet2!N272</f>
        <v>0</v>
      </c>
      <c r="F273" s="14">
        <f>[1]Sheet2!BE272</f>
        <v>0</v>
      </c>
      <c r="G273" s="14">
        <f>[1]Sheet2!CW272</f>
        <v>0</v>
      </c>
      <c r="H273" s="1"/>
      <c r="I273" s="1"/>
      <c r="J273" s="1"/>
      <c r="K273" s="16"/>
      <c r="L273" s="16">
        <f>Demand_CWRS!B$11/30</f>
        <v>118.04546474358973</v>
      </c>
      <c r="M273" s="16">
        <f>Demand_CWRS!C$11/30</f>
        <v>491.39401709401704</v>
      </c>
      <c r="N273" s="16">
        <f>Demand_CWRS!D$11/30</f>
        <v>0</v>
      </c>
      <c r="O273" s="16">
        <f>Demand_CWRS!E$11/30</f>
        <v>107.84935897435898</v>
      </c>
      <c r="P273" s="16">
        <f>Demand_CWRS!F$11/30</f>
        <v>218.22274305555553</v>
      </c>
      <c r="Q273" s="16">
        <f>Demand_CWRS!G$11/30</f>
        <v>118.04546474358973</v>
      </c>
      <c r="R273" s="16">
        <f>Demand_CWRS!H$11/30</f>
        <v>218.22274305555553</v>
      </c>
      <c r="S273" s="16">
        <f>Demand_CWRS!I$11/30</f>
        <v>218.22274305555553</v>
      </c>
      <c r="T273" s="16">
        <f>Demand_CWRS!J$11/30</f>
        <v>218.22274305555553</v>
      </c>
      <c r="U273" s="16">
        <f>Demand_CWRS!K$11/30</f>
        <v>218.22274305555553</v>
      </c>
      <c r="V273" s="16">
        <f t="shared" si="126"/>
        <v>-30726.85975855033</v>
      </c>
      <c r="W273" s="16">
        <f t="shared" si="127"/>
        <v>-119752.47179487147</v>
      </c>
      <c r="X273" s="16">
        <f t="shared" si="128"/>
        <v>0</v>
      </c>
      <c r="Y273" s="16">
        <f t="shared" si="129"/>
        <v>-22616.927190847102</v>
      </c>
      <c r="Z273" s="16">
        <f t="shared" si="130"/>
        <v>-53374.538313960598</v>
      </c>
      <c r="AA273" s="16">
        <f t="shared" si="131"/>
        <v>-32082.927234511943</v>
      </c>
      <c r="AB273" s="16">
        <f t="shared" si="132"/>
        <v>-62911.703089601557</v>
      </c>
      <c r="AC273" s="16">
        <f t="shared" si="133"/>
        <v>-57118.692833191366</v>
      </c>
      <c r="AD273" s="16">
        <f t="shared" si="134"/>
        <v>-57218.692833191359</v>
      </c>
      <c r="AE273" s="16">
        <f t="shared" si="135"/>
        <v>-57818.692833191351</v>
      </c>
      <c r="AF273" s="14">
        <f>IF([1]Sheet2!AJ272=999999,"NA",[1]Sheet2!AJ272)</f>
        <v>0</v>
      </c>
      <c r="AG273" s="14">
        <f>IF([1]Sheet2!AK272=999999,"NA",[1]Sheet2!AK272)</f>
        <v>0</v>
      </c>
      <c r="AH273" s="14" t="str">
        <f>IF([1]Sheet2!AL272=999999,"NA",[1]Sheet2!AL272)</f>
        <v>NA</v>
      </c>
      <c r="AI273" s="14">
        <f>IF([1]Sheet2!AM272=999999,"NA",[1]Sheet2!AM272)</f>
        <v>0</v>
      </c>
      <c r="AJ273" s="14">
        <f>IF([1]Sheet2!AN272=999999,"NA",[1]Sheet2!AN272)</f>
        <v>0</v>
      </c>
      <c r="AK273" s="14">
        <f>IF([1]Sheet2!AO272=999999,"NA",[1]Sheet2!AO272)</f>
        <v>0</v>
      </c>
      <c r="AL273" s="14">
        <f>IF([1]Sheet2!AP272=999999,"NA",[1]Sheet2!AP272)</f>
        <v>0</v>
      </c>
      <c r="AM273" s="14">
        <f>IF([1]Sheet2!AQ272=999999,"NA",[1]Sheet2!AQ272)</f>
        <v>0</v>
      </c>
      <c r="AN273" s="14">
        <f>IF([1]Sheet2!AR272=999999,"NA",[1]Sheet2!AR272)</f>
        <v>0</v>
      </c>
      <c r="AO273" s="14">
        <f>IF([1]Sheet2!AS272=999999,"NA",[1]Sheet2!AS272)</f>
        <v>0</v>
      </c>
      <c r="AP273" s="14">
        <f>[1]Sheet2!P272</f>
        <v>0</v>
      </c>
      <c r="AQ273" s="14">
        <f>[1]Sheet2!Q272</f>
        <v>2949</v>
      </c>
      <c r="AR273" s="14">
        <f>[1]Sheet2!R272</f>
        <v>0</v>
      </c>
      <c r="AS273" s="14">
        <f>[1]Sheet2!S272</f>
        <v>0</v>
      </c>
      <c r="AT273" s="14">
        <f>[1]Sheet2!T272</f>
        <v>0</v>
      </c>
      <c r="AU273" s="14">
        <f>[1]Sheet2!U272</f>
        <v>0</v>
      </c>
      <c r="AV273" s="14">
        <f>[1]Sheet2!V272</f>
        <v>0</v>
      </c>
      <c r="AW273" s="14">
        <f>[1]Sheet2!W272</f>
        <v>0</v>
      </c>
      <c r="AX273" s="14">
        <f>[1]Sheet2!X272</f>
        <v>0</v>
      </c>
      <c r="AY273" s="14">
        <f>[1]Sheet2!Y272</f>
        <v>0</v>
      </c>
      <c r="AZ273" s="16">
        <f>Demand_LP!B$11/30</f>
        <v>902.60591613247857</v>
      </c>
      <c r="BA273" s="16">
        <f>Demand_LP!C$11/30</f>
        <v>593.76410256410259</v>
      </c>
      <c r="BB273" s="16">
        <f>Demand_LP!D$11/30</f>
        <v>290.27136752136749</v>
      </c>
      <c r="BC273" s="16">
        <f>Demand_LP!E$11/30</f>
        <v>790.42628205128199</v>
      </c>
      <c r="BD273" s="16">
        <f>Demand_LP!F$11/30</f>
        <v>538.46224626068363</v>
      </c>
      <c r="BE273" s="16">
        <f>Demand_LP!G$11/30</f>
        <v>538.46224626068363</v>
      </c>
      <c r="BF273" s="16">
        <f>Demand_LP!H$11/30</f>
        <v>593.76410256410259</v>
      </c>
      <c r="BG273" s="16">
        <f>Demand_LP!I$11/30</f>
        <v>538.46224626068363</v>
      </c>
      <c r="BH273" s="16">
        <f>Demand_LP!J$11/30</f>
        <v>538.46224626068363</v>
      </c>
      <c r="BI273" s="16">
        <f>Demand_LP!K$11/30</f>
        <v>538.46224626068363</v>
      </c>
      <c r="BJ273" s="16">
        <f t="shared" si="136"/>
        <v>-196035.92113918945</v>
      </c>
      <c r="BK273" s="16">
        <f t="shared" si="137"/>
        <v>-150424.77179487178</v>
      </c>
      <c r="BL273" s="16">
        <f t="shared" si="138"/>
        <v>-73105.926923077132</v>
      </c>
      <c r="BM273" s="16">
        <f t="shared" si="139"/>
        <v>-191849.19165043757</v>
      </c>
      <c r="BN273" s="16">
        <f t="shared" si="140"/>
        <v>-115033.65075310375</v>
      </c>
      <c r="BO273" s="16">
        <f t="shared" si="141"/>
        <v>-117798.33467147448</v>
      </c>
      <c r="BP273" s="16">
        <f t="shared" si="142"/>
        <v>-149532.35128205112</v>
      </c>
      <c r="BQ273" s="16">
        <f t="shared" si="143"/>
        <v>-117798.33467147448</v>
      </c>
      <c r="BR273" s="16">
        <f t="shared" si="144"/>
        <v>-115398.33467147453</v>
      </c>
      <c r="BS273" s="16">
        <f t="shared" si="145"/>
        <v>-116098.33467147451</v>
      </c>
      <c r="BT273" s="14">
        <f>IF([1]Sheet2!CB272=999999,"NA",[1]Sheet2!CB272)</f>
        <v>0</v>
      </c>
      <c r="BU273" s="14">
        <f>IF([1]Sheet2!CC272=999999,"NA",[1]Sheet2!CC272)</f>
        <v>0</v>
      </c>
      <c r="BV273" s="14">
        <f>IF([1]Sheet2!CD272=999999,"NA",[1]Sheet2!CD272)</f>
        <v>0</v>
      </c>
      <c r="BW273" s="14">
        <f>IF([1]Sheet2!CE272=999999,"NA",[1]Sheet2!CE272)</f>
        <v>0</v>
      </c>
      <c r="BX273" s="14">
        <f>IF([1]Sheet2!CF272=999999,"NA",[1]Sheet2!CF272)</f>
        <v>0</v>
      </c>
      <c r="BY273" s="14">
        <f>IF([1]Sheet2!CG272=999999,"NA",[1]Sheet2!CG272)</f>
        <v>0</v>
      </c>
      <c r="BZ273" s="14">
        <f>IF([1]Sheet2!CH272=999999,"NA",[1]Sheet2!CH272)</f>
        <v>0</v>
      </c>
      <c r="CA273" s="14">
        <f>IF([1]Sheet2!CI272=999999,"NA",[1]Sheet2!CI272)</f>
        <v>0</v>
      </c>
      <c r="CB273" s="14">
        <f>IF([1]Sheet2!CJ272=999999,"NA",[1]Sheet2!CJ272)</f>
        <v>0</v>
      </c>
      <c r="CC273" s="14">
        <f>IF([1]Sheet2!CK272=999999,"NA",[1]Sheet2!CK272)</f>
        <v>0</v>
      </c>
      <c r="CD273" s="14">
        <f>[1]Sheet2!BH272</f>
        <v>0</v>
      </c>
      <c r="CE273" s="14">
        <f>[1]Sheet2!BI272</f>
        <v>0</v>
      </c>
      <c r="CF273" s="45">
        <f>[1]Sheet2!BJ272</f>
        <v>1892</v>
      </c>
      <c r="CG273" s="14">
        <f>[1]Sheet2!BK272</f>
        <v>0</v>
      </c>
      <c r="CH273" s="14">
        <f>[1]Sheet2!BL272</f>
        <v>0</v>
      </c>
      <c r="CI273" s="14">
        <f>[1]Sheet2!BM272</f>
        <v>0</v>
      </c>
      <c r="CJ273" s="14">
        <f>[1]Sheet2!BN272</f>
        <v>0</v>
      </c>
      <c r="CK273" s="14">
        <f>[1]Sheet2!BO272</f>
        <v>0</v>
      </c>
      <c r="CL273" s="14">
        <f>[1]Sheet2!BP272</f>
        <v>0</v>
      </c>
      <c r="CM273" s="14">
        <f>[1]Sheet2!BQ272</f>
        <v>0</v>
      </c>
      <c r="CN273" s="16">
        <f>Demand_SW!B$11/30</f>
        <v>144.23076923076923</v>
      </c>
      <c r="CO273" s="16">
        <f>Demand_SW!C$11/30</f>
        <v>0</v>
      </c>
      <c r="CP273" s="16">
        <f>Demand_SW!D$11/30</f>
        <v>0</v>
      </c>
      <c r="CQ273" s="16">
        <f>Demand_SW!E$11/30</f>
        <v>0</v>
      </c>
      <c r="CR273" s="16">
        <f>Demand_SW!F$11/30</f>
        <v>0</v>
      </c>
      <c r="CS273" s="16">
        <f>Demand_SW!G$11/30</f>
        <v>144.23076923076923</v>
      </c>
      <c r="CT273" s="16">
        <f>Demand_SW!H$11/30</f>
        <v>0</v>
      </c>
      <c r="CU273" s="16">
        <f>Demand_SW!I$11/30</f>
        <v>0</v>
      </c>
      <c r="CV273" s="16">
        <f>Demand_SW!J$11/30</f>
        <v>0</v>
      </c>
      <c r="CW273" s="16">
        <f>Demand_SW!K$11/30</f>
        <v>0</v>
      </c>
      <c r="CX273" s="16">
        <f t="shared" si="146"/>
        <v>-13615.000000000044</v>
      </c>
      <c r="CY273" s="16">
        <f t="shared" si="147"/>
        <v>76.923076923077133</v>
      </c>
      <c r="CZ273" s="16">
        <f t="shared" si="148"/>
        <v>0</v>
      </c>
      <c r="DA273" s="16">
        <f t="shared" si="149"/>
        <v>0</v>
      </c>
      <c r="DB273" s="16">
        <f t="shared" si="150"/>
        <v>0</v>
      </c>
      <c r="DC273" s="16">
        <f t="shared" si="151"/>
        <v>-26644.230769230813</v>
      </c>
      <c r="DD273" s="16">
        <f t="shared" si="152"/>
        <v>76.923076923077133</v>
      </c>
      <c r="DE273" s="16">
        <f t="shared" si="153"/>
        <v>0</v>
      </c>
      <c r="DF273" s="16">
        <f t="shared" si="154"/>
        <v>0</v>
      </c>
      <c r="DG273" s="16">
        <f t="shared" si="155"/>
        <v>0</v>
      </c>
      <c r="DH273" s="14">
        <f>IF([1]Sheet2!DS272=999999,"NA",[1]Sheet2!DS272)</f>
        <v>0</v>
      </c>
      <c r="DI273" s="14">
        <f>IF([1]Sheet2!DT272=999999,"NA",[1]Sheet2!DT272)</f>
        <v>95</v>
      </c>
      <c r="DJ273" s="14" t="str">
        <f>IF([1]Sheet2!DU272=999999,"NA",[1]Sheet2!DU272)</f>
        <v>NA</v>
      </c>
      <c r="DK273" s="14" t="str">
        <f>IF([1]Sheet2!DV272=999999,"NA",[1]Sheet2!DV272)</f>
        <v>NA</v>
      </c>
      <c r="DL273" s="14" t="str">
        <f>IF([1]Sheet2!DW272=999999,"NA",[1]Sheet2!DW272)</f>
        <v>NA</v>
      </c>
      <c r="DM273" s="14">
        <f>IF([1]Sheet2!DX272=999999,"NA",[1]Sheet2!DX272)</f>
        <v>0</v>
      </c>
      <c r="DN273" s="14">
        <f>IF([1]Sheet2!DY272=999999,"NA",[1]Sheet2!DY272)</f>
        <v>95</v>
      </c>
      <c r="DO273" s="14" t="str">
        <f>IF([1]Sheet2!DZ272=999999,"NA",[1]Sheet2!DZ272)</f>
        <v>NA</v>
      </c>
      <c r="DP273" s="14" t="str">
        <f>IF([1]Sheet2!EA272=999999,"NA",[1]Sheet2!EA272)</f>
        <v>NA</v>
      </c>
      <c r="DQ273" s="14" t="str">
        <f>IF([1]Sheet2!EB272=999999,"NA",[1]Sheet2!EB272)</f>
        <v>NA</v>
      </c>
      <c r="DR273" s="14">
        <f>[1]Sheet2!CY272</f>
        <v>0</v>
      </c>
      <c r="DS273" s="14">
        <f>[1]Sheet2!CZ272</f>
        <v>0</v>
      </c>
      <c r="DT273" s="14">
        <f>[1]Sheet2!DA272</f>
        <v>0</v>
      </c>
      <c r="DU273" s="14">
        <f>[1]Sheet2!DB272</f>
        <v>0</v>
      </c>
      <c r="DV273" s="14">
        <f>[1]Sheet2!DC272</f>
        <v>0</v>
      </c>
      <c r="DW273" s="45">
        <f>[1]Sheet2!DD272</f>
        <v>4500</v>
      </c>
      <c r="DX273" s="14">
        <f>[1]Sheet2!DE272</f>
        <v>0</v>
      </c>
      <c r="DY273" s="14">
        <f>[1]Sheet2!DF272</f>
        <v>0</v>
      </c>
      <c r="DZ273" s="14">
        <f>[1]Sheet2!DG272</f>
        <v>0</v>
      </c>
      <c r="EA273" s="14">
        <f>[1]Sheet2!DH272</f>
        <v>0</v>
      </c>
      <c r="EB273" s="6">
        <f>[1]Sheet2!EC272</f>
        <v>0</v>
      </c>
      <c r="EC273" s="6">
        <f>[1]Sheet2!ED272</f>
        <v>0</v>
      </c>
      <c r="ED273" s="6" t="str">
        <f>[1]Sheet2!EE272</f>
        <v>Arg</v>
      </c>
      <c r="EE273" s="6">
        <f>[1]Sheet2!EF272</f>
        <v>0</v>
      </c>
      <c r="EF273" s="6">
        <f>[1]Sheet2!EG272</f>
        <v>0</v>
      </c>
      <c r="EG273" s="6">
        <f>[1]Sheet2!EH272</f>
        <v>0</v>
      </c>
      <c r="EH273" s="6">
        <f>[1]Sheet2!EI272</f>
        <v>0</v>
      </c>
      <c r="EI273" s="6">
        <f>[1]Sheet2!EJ272</f>
        <v>0</v>
      </c>
      <c r="EJ273" s="6">
        <f>[1]Sheet2!EK272</f>
        <v>0</v>
      </c>
      <c r="EK273" s="6">
        <f>[1]Sheet2!EL272</f>
        <v>0</v>
      </c>
      <c r="EL273" s="6" t="str">
        <f>[1]Sheet2!EM272</f>
        <v/>
      </c>
      <c r="EM273" s="6" t="str">
        <f>[1]Sheet2!EN272</f>
        <v/>
      </c>
      <c r="EN273" s="6" t="str">
        <f>[1]Sheet2!EO272</f>
        <v/>
      </c>
      <c r="EO273" s="6" t="str">
        <f>[1]Sheet2!EP272</f>
        <v/>
      </c>
      <c r="EP273" s="6" t="str">
        <f>[1]Sheet2!EQ272</f>
        <v/>
      </c>
      <c r="EQ273" s="6" t="str">
        <f>[1]Sheet2!ER272</f>
        <v/>
      </c>
      <c r="ER273" s="6" t="str">
        <f>[1]Sheet2!ES272</f>
        <v/>
      </c>
      <c r="ES273" s="6" t="str">
        <f>[1]Sheet2!ET272</f>
        <v/>
      </c>
      <c r="ET273" s="6" t="str">
        <f>[1]Sheet2!EU272</f>
        <v/>
      </c>
      <c r="EU273" s="6" t="str">
        <f>[1]Sheet2!EV272</f>
        <v/>
      </c>
      <c r="EV273" s="6" t="str">
        <f>[1]Sheet2!EW272</f>
        <v/>
      </c>
      <c r="EW273" s="6" t="str">
        <f>[1]Sheet2!EX272</f>
        <v/>
      </c>
      <c r="EX273" s="6" t="str">
        <f>[1]Sheet2!EY272</f>
        <v/>
      </c>
      <c r="EY273" s="6" t="str">
        <f>[1]Sheet2!EZ272</f>
        <v/>
      </c>
      <c r="EZ273" s="6" t="str">
        <f>[1]Sheet2!FA272</f>
        <v/>
      </c>
      <c r="FA273" s="6" t="str">
        <f>[1]Sheet2!FB272</f>
        <v/>
      </c>
      <c r="FB273" s="6" t="str">
        <f>[1]Sheet2!FC272</f>
        <v/>
      </c>
      <c r="FC273" s="6" t="str">
        <f>[1]Sheet2!FD272</f>
        <v/>
      </c>
      <c r="FD273" s="6" t="str">
        <f>[1]Sheet2!FE272</f>
        <v/>
      </c>
      <c r="FE273" s="6" t="str">
        <f>[1]Sheet2!FF272</f>
        <v/>
      </c>
      <c r="FF273" s="6" t="str">
        <f>[1]Sheet2!FG272</f>
        <v/>
      </c>
      <c r="FG273" s="6" t="str">
        <f>[1]Sheet2!FH272</f>
        <v/>
      </c>
      <c r="FH273" s="6" t="str">
        <f>[1]Sheet2!FI272</f>
        <v/>
      </c>
      <c r="FI273" s="6" t="str">
        <f>[1]Sheet2!FJ272</f>
        <v/>
      </c>
      <c r="FJ273" s="6" t="str">
        <f>[1]Sheet2!FK272</f>
        <v/>
      </c>
      <c r="FK273" s="6" t="str">
        <f>[1]Sheet2!FL272</f>
        <v/>
      </c>
      <c r="FL273" s="6" t="str">
        <f>[1]Sheet2!FM272</f>
        <v/>
      </c>
      <c r="FM273" s="6" t="str">
        <f>[1]Sheet2!FN272</f>
        <v/>
      </c>
      <c r="FN273" s="6" t="str">
        <f>[1]Sheet2!FO272</f>
        <v/>
      </c>
      <c r="FO273" s="6" t="str">
        <f>[1]Sheet2!FP272</f>
        <v/>
      </c>
    </row>
    <row r="274" spans="1:171" x14ac:dyDescent="0.25">
      <c r="A274" s="15">
        <v>43736</v>
      </c>
      <c r="B274" s="1"/>
      <c r="C274" s="1"/>
      <c r="D274" s="1"/>
      <c r="E274" s="14">
        <f>[1]Sheet2!N273</f>
        <v>0</v>
      </c>
      <c r="F274" s="14">
        <f>[1]Sheet2!BE273</f>
        <v>48000</v>
      </c>
      <c r="G274" s="14">
        <f>[1]Sheet2!CW273</f>
        <v>0</v>
      </c>
      <c r="H274" s="1"/>
      <c r="I274" s="1"/>
      <c r="J274" s="1"/>
      <c r="K274" s="16"/>
      <c r="L274" s="16">
        <f>Demand_CWRS!B$11/30</f>
        <v>118.04546474358973</v>
      </c>
      <c r="M274" s="16">
        <f>Demand_CWRS!C$11/30</f>
        <v>491.39401709401704</v>
      </c>
      <c r="N274" s="16">
        <f>Demand_CWRS!D$11/30</f>
        <v>0</v>
      </c>
      <c r="O274" s="16">
        <f>Demand_CWRS!E$11/30</f>
        <v>107.84935897435898</v>
      </c>
      <c r="P274" s="16">
        <f>Demand_CWRS!F$11/30</f>
        <v>218.22274305555553</v>
      </c>
      <c r="Q274" s="16">
        <f>Demand_CWRS!G$11/30</f>
        <v>118.04546474358973</v>
      </c>
      <c r="R274" s="16">
        <f>Demand_CWRS!H$11/30</f>
        <v>218.22274305555553</v>
      </c>
      <c r="S274" s="16">
        <f>Demand_CWRS!I$11/30</f>
        <v>218.22274305555553</v>
      </c>
      <c r="T274" s="16">
        <f>Demand_CWRS!J$11/30</f>
        <v>218.22274305555553</v>
      </c>
      <c r="U274" s="16">
        <f>Demand_CWRS!K$11/30</f>
        <v>218.22274305555553</v>
      </c>
      <c r="V274" s="16">
        <f t="shared" si="126"/>
        <v>-30844.905223293921</v>
      </c>
      <c r="W274" s="16">
        <f t="shared" si="127"/>
        <v>-120243.86581196549</v>
      </c>
      <c r="X274" s="16">
        <f t="shared" si="128"/>
        <v>0</v>
      </c>
      <c r="Y274" s="16">
        <f t="shared" si="129"/>
        <v>-22724.776549821461</v>
      </c>
      <c r="Z274" s="16">
        <f t="shared" si="130"/>
        <v>-53592.761057016156</v>
      </c>
      <c r="AA274" s="16">
        <f t="shared" si="131"/>
        <v>-32200.972699255533</v>
      </c>
      <c r="AB274" s="16">
        <f t="shared" si="132"/>
        <v>-63129.925832657114</v>
      </c>
      <c r="AC274" s="16">
        <f t="shared" si="133"/>
        <v>-57336.915576246924</v>
      </c>
      <c r="AD274" s="16">
        <f t="shared" si="134"/>
        <v>-57436.915576246916</v>
      </c>
      <c r="AE274" s="16">
        <f t="shared" si="135"/>
        <v>-58036.915576246909</v>
      </c>
      <c r="AF274" s="14">
        <f>IF([1]Sheet2!AJ273=999999,"NA",[1]Sheet2!AJ273)</f>
        <v>0</v>
      </c>
      <c r="AG274" s="14">
        <f>IF([1]Sheet2!AK273=999999,"NA",[1]Sheet2!AK273)</f>
        <v>0</v>
      </c>
      <c r="AH274" s="14" t="str">
        <f>IF([1]Sheet2!AL273=999999,"NA",[1]Sheet2!AL273)</f>
        <v>NA</v>
      </c>
      <c r="AI274" s="14">
        <f>IF([1]Sheet2!AM273=999999,"NA",[1]Sheet2!AM273)</f>
        <v>0</v>
      </c>
      <c r="AJ274" s="14">
        <f>IF([1]Sheet2!AN273=999999,"NA",[1]Sheet2!AN273)</f>
        <v>0</v>
      </c>
      <c r="AK274" s="14">
        <f>IF([1]Sheet2!AO273=999999,"NA",[1]Sheet2!AO273)</f>
        <v>0</v>
      </c>
      <c r="AL274" s="14">
        <f>IF([1]Sheet2!AP273=999999,"NA",[1]Sheet2!AP273)</f>
        <v>0</v>
      </c>
      <c r="AM274" s="14">
        <f>IF([1]Sheet2!AQ273=999999,"NA",[1]Sheet2!AQ273)</f>
        <v>0</v>
      </c>
      <c r="AN274" s="14">
        <f>IF([1]Sheet2!AR273=999999,"NA",[1]Sheet2!AR273)</f>
        <v>0</v>
      </c>
      <c r="AO274" s="14">
        <f>IF([1]Sheet2!AS273=999999,"NA",[1]Sheet2!AS273)</f>
        <v>0</v>
      </c>
      <c r="AP274" s="14">
        <f>[1]Sheet2!P273</f>
        <v>0</v>
      </c>
      <c r="AQ274" s="14">
        <f>[1]Sheet2!Q273</f>
        <v>0</v>
      </c>
      <c r="AR274" s="14">
        <f>[1]Sheet2!R273</f>
        <v>0</v>
      </c>
      <c r="AS274" s="14">
        <f>[1]Sheet2!S273</f>
        <v>0</v>
      </c>
      <c r="AT274" s="14">
        <f>[1]Sheet2!T273</f>
        <v>0</v>
      </c>
      <c r="AU274" s="14">
        <f>[1]Sheet2!U273</f>
        <v>0</v>
      </c>
      <c r="AV274" s="14">
        <f>[1]Sheet2!V273</f>
        <v>0</v>
      </c>
      <c r="AW274" s="14">
        <f>[1]Sheet2!W273</f>
        <v>0</v>
      </c>
      <c r="AX274" s="14">
        <f>[1]Sheet2!X273</f>
        <v>0</v>
      </c>
      <c r="AY274" s="14">
        <f>[1]Sheet2!Y273</f>
        <v>0</v>
      </c>
      <c r="AZ274" s="16">
        <f>Demand_LP!B$11/30</f>
        <v>902.60591613247857</v>
      </c>
      <c r="BA274" s="16">
        <f>Demand_LP!C$11/30</f>
        <v>593.76410256410259</v>
      </c>
      <c r="BB274" s="16">
        <f>Demand_LP!D$11/30</f>
        <v>290.27136752136749</v>
      </c>
      <c r="BC274" s="16">
        <f>Demand_LP!E$11/30</f>
        <v>790.42628205128199</v>
      </c>
      <c r="BD274" s="16">
        <f>Demand_LP!F$11/30</f>
        <v>538.46224626068363</v>
      </c>
      <c r="BE274" s="16">
        <f>Demand_LP!G$11/30</f>
        <v>538.46224626068363</v>
      </c>
      <c r="BF274" s="16">
        <f>Demand_LP!H$11/30</f>
        <v>593.76410256410259</v>
      </c>
      <c r="BG274" s="16">
        <f>Demand_LP!I$11/30</f>
        <v>538.46224626068363</v>
      </c>
      <c r="BH274" s="16">
        <f>Demand_LP!J$11/30</f>
        <v>538.46224626068363</v>
      </c>
      <c r="BI274" s="16">
        <f>Demand_LP!K$11/30</f>
        <v>538.46224626068363</v>
      </c>
      <c r="BJ274" s="16">
        <f t="shared" si="136"/>
        <v>-196938.52705532193</v>
      </c>
      <c r="BK274" s="16">
        <f t="shared" si="137"/>
        <v>-151018.53589743588</v>
      </c>
      <c r="BL274" s="16">
        <f t="shared" si="138"/>
        <v>-73396.198290598506</v>
      </c>
      <c r="BM274" s="16">
        <f t="shared" si="139"/>
        <v>-192639.61793248885</v>
      </c>
      <c r="BN274" s="16">
        <f t="shared" si="140"/>
        <v>-115572.11299936443</v>
      </c>
      <c r="BO274" s="16">
        <f t="shared" si="141"/>
        <v>-118336.79691773516</v>
      </c>
      <c r="BP274" s="16">
        <f t="shared" si="142"/>
        <v>-150126.11538461523</v>
      </c>
      <c r="BQ274" s="16">
        <f t="shared" si="143"/>
        <v>-118336.79691773516</v>
      </c>
      <c r="BR274" s="16">
        <f t="shared" si="144"/>
        <v>-115936.79691773521</v>
      </c>
      <c r="BS274" s="16">
        <f t="shared" si="145"/>
        <v>-116636.79691773519</v>
      </c>
      <c r="BT274" s="14">
        <f>IF([1]Sheet2!CB273=999999,"NA",[1]Sheet2!CB273)</f>
        <v>0</v>
      </c>
      <c r="BU274" s="14">
        <f>IF([1]Sheet2!CC273=999999,"NA",[1]Sheet2!CC273)</f>
        <v>0</v>
      </c>
      <c r="BV274" s="14">
        <f>IF([1]Sheet2!CD273=999999,"NA",[1]Sheet2!CD273)</f>
        <v>0</v>
      </c>
      <c r="BW274" s="14">
        <f>IF([1]Sheet2!CE273=999999,"NA",[1]Sheet2!CE273)</f>
        <v>0</v>
      </c>
      <c r="BX274" s="14">
        <f>IF([1]Sheet2!CF273=999999,"NA",[1]Sheet2!CF273)</f>
        <v>0</v>
      </c>
      <c r="BY274" s="14">
        <f>IF([1]Sheet2!CG273=999999,"NA",[1]Sheet2!CG273)</f>
        <v>0</v>
      </c>
      <c r="BZ274" s="14">
        <f>IF([1]Sheet2!CH273=999999,"NA",[1]Sheet2!CH273)</f>
        <v>0</v>
      </c>
      <c r="CA274" s="14">
        <f>IF([1]Sheet2!CI273=999999,"NA",[1]Sheet2!CI273)</f>
        <v>0</v>
      </c>
      <c r="CB274" s="14">
        <f>IF([1]Sheet2!CJ273=999999,"NA",[1]Sheet2!CJ273)</f>
        <v>0</v>
      </c>
      <c r="CC274" s="14">
        <f>IF([1]Sheet2!CK273=999999,"NA",[1]Sheet2!CK273)</f>
        <v>0</v>
      </c>
      <c r="CD274" s="14">
        <f>[1]Sheet2!BH273</f>
        <v>0</v>
      </c>
      <c r="CE274" s="14">
        <f>[1]Sheet2!BI273</f>
        <v>0</v>
      </c>
      <c r="CF274" s="14">
        <f>[1]Sheet2!BJ273</f>
        <v>0</v>
      </c>
      <c r="CG274" s="14">
        <f>[1]Sheet2!BK273</f>
        <v>0</v>
      </c>
      <c r="CH274" s="14">
        <f>[1]Sheet2!BL273</f>
        <v>0</v>
      </c>
      <c r="CI274" s="14">
        <f>[1]Sheet2!BM273</f>
        <v>0</v>
      </c>
      <c r="CJ274" s="14">
        <f>[1]Sheet2!BN273</f>
        <v>0</v>
      </c>
      <c r="CK274" s="14">
        <f>[1]Sheet2!BO273</f>
        <v>0</v>
      </c>
      <c r="CL274" s="14">
        <f>[1]Sheet2!BP273</f>
        <v>0</v>
      </c>
      <c r="CM274" s="14">
        <f>[1]Sheet2!BQ273</f>
        <v>0</v>
      </c>
      <c r="CN274" s="16">
        <f>Demand_SW!B$11/30</f>
        <v>144.23076923076923</v>
      </c>
      <c r="CO274" s="16">
        <f>Demand_SW!C$11/30</f>
        <v>0</v>
      </c>
      <c r="CP274" s="16">
        <f>Demand_SW!D$11/30</f>
        <v>0</v>
      </c>
      <c r="CQ274" s="16">
        <f>Demand_SW!E$11/30</f>
        <v>0</v>
      </c>
      <c r="CR274" s="16">
        <f>Demand_SW!F$11/30</f>
        <v>0</v>
      </c>
      <c r="CS274" s="16">
        <f>Demand_SW!G$11/30</f>
        <v>144.23076923076923</v>
      </c>
      <c r="CT274" s="16">
        <f>Demand_SW!H$11/30</f>
        <v>0</v>
      </c>
      <c r="CU274" s="16">
        <f>Demand_SW!I$11/30</f>
        <v>0</v>
      </c>
      <c r="CV274" s="16">
        <f>Demand_SW!J$11/30</f>
        <v>0</v>
      </c>
      <c r="CW274" s="16">
        <f>Demand_SW!K$11/30</f>
        <v>0</v>
      </c>
      <c r="CX274" s="16">
        <f t="shared" si="146"/>
        <v>-13759.230769230813</v>
      </c>
      <c r="CY274" s="16">
        <f t="shared" si="147"/>
        <v>76.923076923077133</v>
      </c>
      <c r="CZ274" s="16">
        <f t="shared" si="148"/>
        <v>0</v>
      </c>
      <c r="DA274" s="16">
        <f t="shared" si="149"/>
        <v>0</v>
      </c>
      <c r="DB274" s="16">
        <f t="shared" si="150"/>
        <v>0</v>
      </c>
      <c r="DC274" s="16">
        <f t="shared" si="151"/>
        <v>-22288.461538461583</v>
      </c>
      <c r="DD274" s="16">
        <f t="shared" si="152"/>
        <v>76.923076923077133</v>
      </c>
      <c r="DE274" s="16">
        <f t="shared" si="153"/>
        <v>0</v>
      </c>
      <c r="DF274" s="16">
        <f t="shared" si="154"/>
        <v>0</v>
      </c>
      <c r="DG274" s="16">
        <f t="shared" si="155"/>
        <v>0</v>
      </c>
      <c r="DH274" s="14">
        <f>IF([1]Sheet2!DS273=999999,"NA",[1]Sheet2!DS273)</f>
        <v>0</v>
      </c>
      <c r="DI274" s="14">
        <f>IF([1]Sheet2!DT273=999999,"NA",[1]Sheet2!DT273)</f>
        <v>94</v>
      </c>
      <c r="DJ274" s="14" t="str">
        <f>IF([1]Sheet2!DU273=999999,"NA",[1]Sheet2!DU273)</f>
        <v>NA</v>
      </c>
      <c r="DK274" s="14" t="str">
        <f>IF([1]Sheet2!DV273=999999,"NA",[1]Sheet2!DV273)</f>
        <v>NA</v>
      </c>
      <c r="DL274" s="14" t="str">
        <f>IF([1]Sheet2!DW273=999999,"NA",[1]Sheet2!DW273)</f>
        <v>NA</v>
      </c>
      <c r="DM274" s="14">
        <f>IF([1]Sheet2!DX273=999999,"NA",[1]Sheet2!DX273)</f>
        <v>0</v>
      </c>
      <c r="DN274" s="14">
        <f>IF([1]Sheet2!DY273=999999,"NA",[1]Sheet2!DY273)</f>
        <v>94</v>
      </c>
      <c r="DO274" s="14" t="str">
        <f>IF([1]Sheet2!DZ273=999999,"NA",[1]Sheet2!DZ273)</f>
        <v>NA</v>
      </c>
      <c r="DP274" s="14" t="str">
        <f>IF([1]Sheet2!EA273=999999,"NA",[1]Sheet2!EA273)</f>
        <v>NA</v>
      </c>
      <c r="DQ274" s="14" t="str">
        <f>IF([1]Sheet2!EB273=999999,"NA",[1]Sheet2!EB273)</f>
        <v>NA</v>
      </c>
      <c r="DR274" s="14">
        <f>[1]Sheet2!CY273</f>
        <v>0</v>
      </c>
      <c r="DS274" s="14">
        <f>[1]Sheet2!CZ273</f>
        <v>0</v>
      </c>
      <c r="DT274" s="14">
        <f>[1]Sheet2!DA273</f>
        <v>0</v>
      </c>
      <c r="DU274" s="14">
        <f>[1]Sheet2!DB273</f>
        <v>0</v>
      </c>
      <c r="DV274" s="14">
        <f>[1]Sheet2!DC273</f>
        <v>0</v>
      </c>
      <c r="DW274" s="45">
        <f>[1]Sheet2!DD273</f>
        <v>4500</v>
      </c>
      <c r="DX274" s="14">
        <f>[1]Sheet2!DE273</f>
        <v>0</v>
      </c>
      <c r="DY274" s="14">
        <f>[1]Sheet2!DF273</f>
        <v>0</v>
      </c>
      <c r="DZ274" s="14">
        <f>[1]Sheet2!DG273</f>
        <v>0</v>
      </c>
      <c r="EA274" s="14">
        <f>[1]Sheet2!DH273</f>
        <v>0</v>
      </c>
      <c r="EB274" s="6">
        <f>[1]Sheet2!EC273</f>
        <v>0</v>
      </c>
      <c r="EC274" s="6">
        <f>[1]Sheet2!ED273</f>
        <v>0</v>
      </c>
      <c r="ED274" s="6">
        <f>[1]Sheet2!EE273</f>
        <v>0</v>
      </c>
      <c r="EE274" s="6">
        <f>[1]Sheet2!EF273</f>
        <v>0</v>
      </c>
      <c r="EF274" s="6">
        <f>[1]Sheet2!EG273</f>
        <v>0</v>
      </c>
      <c r="EG274" s="6">
        <f>[1]Sheet2!EH273</f>
        <v>0</v>
      </c>
      <c r="EH274" s="6">
        <f>[1]Sheet2!EI273</f>
        <v>0</v>
      </c>
      <c r="EI274" s="6">
        <f>[1]Sheet2!EJ273</f>
        <v>0</v>
      </c>
      <c r="EJ274" s="6">
        <f>[1]Sheet2!EK273</f>
        <v>0</v>
      </c>
      <c r="EK274" s="6">
        <f>[1]Sheet2!EL273</f>
        <v>0</v>
      </c>
      <c r="EL274" s="6" t="str">
        <f>[1]Sheet2!EM273</f>
        <v/>
      </c>
      <c r="EM274" s="6" t="str">
        <f>[1]Sheet2!EN273</f>
        <v/>
      </c>
      <c r="EN274" s="6" t="str">
        <f>[1]Sheet2!EO273</f>
        <v/>
      </c>
      <c r="EO274" s="6" t="str">
        <f>[1]Sheet2!EP273</f>
        <v/>
      </c>
      <c r="EP274" s="6" t="str">
        <f>[1]Sheet2!EQ273</f>
        <v/>
      </c>
      <c r="EQ274" s="6" t="str">
        <f>[1]Sheet2!ER273</f>
        <v/>
      </c>
      <c r="ER274" s="6" t="str">
        <f>[1]Sheet2!ES273</f>
        <v/>
      </c>
      <c r="ES274" s="6" t="str">
        <f>[1]Sheet2!ET273</f>
        <v/>
      </c>
      <c r="ET274" s="6" t="str">
        <f>[1]Sheet2!EU273</f>
        <v/>
      </c>
      <c r="EU274" s="6" t="str">
        <f>[1]Sheet2!EV273</f>
        <v/>
      </c>
      <c r="EV274" s="6" t="str">
        <f>[1]Sheet2!EW273</f>
        <v/>
      </c>
      <c r="EW274" s="6" t="str">
        <f>[1]Sheet2!EX273</f>
        <v/>
      </c>
      <c r="EX274" s="6" t="str">
        <f>[1]Sheet2!EY273</f>
        <v/>
      </c>
      <c r="EY274" s="6" t="str">
        <f>[1]Sheet2!EZ273</f>
        <v/>
      </c>
      <c r="EZ274" s="6" t="str">
        <f>[1]Sheet2!FA273</f>
        <v/>
      </c>
      <c r="FA274" s="6" t="str">
        <f>[1]Sheet2!FB273</f>
        <v/>
      </c>
      <c r="FB274" s="6" t="str">
        <f>[1]Sheet2!FC273</f>
        <v/>
      </c>
      <c r="FC274" s="6" t="str">
        <f>[1]Sheet2!FD273</f>
        <v/>
      </c>
      <c r="FD274" s="6" t="str">
        <f>[1]Sheet2!FE273</f>
        <v/>
      </c>
      <c r="FE274" s="6" t="str">
        <f>[1]Sheet2!FF273</f>
        <v/>
      </c>
      <c r="FF274" s="6" t="str">
        <f>[1]Sheet2!FG273</f>
        <v/>
      </c>
      <c r="FG274" s="6" t="str">
        <f>[1]Sheet2!FH273</f>
        <v/>
      </c>
      <c r="FH274" s="6" t="str">
        <f>[1]Sheet2!FI273</f>
        <v/>
      </c>
      <c r="FI274" s="6" t="str">
        <f>[1]Sheet2!FJ273</f>
        <v/>
      </c>
      <c r="FJ274" s="6" t="str">
        <f>[1]Sheet2!FK273</f>
        <v/>
      </c>
      <c r="FK274" s="6" t="str">
        <f>[1]Sheet2!FL273</f>
        <v/>
      </c>
      <c r="FL274" s="6" t="str">
        <f>[1]Sheet2!FM273</f>
        <v/>
      </c>
      <c r="FM274" s="6" t="str">
        <f>[1]Sheet2!FN273</f>
        <v/>
      </c>
      <c r="FN274" s="6" t="str">
        <f>[1]Sheet2!FO273</f>
        <v/>
      </c>
      <c r="FO274" s="6" t="str">
        <f>[1]Sheet2!FP273</f>
        <v/>
      </c>
    </row>
    <row r="275" spans="1:171" x14ac:dyDescent="0.25">
      <c r="A275" s="15">
        <v>43737</v>
      </c>
      <c r="B275" s="1"/>
      <c r="C275" s="1"/>
      <c r="D275" s="1"/>
      <c r="E275" s="14">
        <f>[1]Sheet2!N274</f>
        <v>0</v>
      </c>
      <c r="F275" s="14">
        <f>[1]Sheet2!BE274</f>
        <v>0</v>
      </c>
      <c r="G275" s="14">
        <f>[1]Sheet2!CW274</f>
        <v>0</v>
      </c>
      <c r="H275" s="1"/>
      <c r="I275" s="1"/>
      <c r="J275" s="1"/>
      <c r="K275" s="16"/>
      <c r="L275" s="16">
        <f>Demand_CWRS!B$11/30</f>
        <v>118.04546474358973</v>
      </c>
      <c r="M275" s="16">
        <f>Demand_CWRS!C$11/30</f>
        <v>491.39401709401704</v>
      </c>
      <c r="N275" s="16">
        <f>Demand_CWRS!D$11/30</f>
        <v>0</v>
      </c>
      <c r="O275" s="16">
        <f>Demand_CWRS!E$11/30</f>
        <v>107.84935897435898</v>
      </c>
      <c r="P275" s="16">
        <f>Demand_CWRS!F$11/30</f>
        <v>218.22274305555553</v>
      </c>
      <c r="Q275" s="16">
        <f>Demand_CWRS!G$11/30</f>
        <v>118.04546474358973</v>
      </c>
      <c r="R275" s="16">
        <f>Demand_CWRS!H$11/30</f>
        <v>218.22274305555553</v>
      </c>
      <c r="S275" s="16">
        <f>Demand_CWRS!I$11/30</f>
        <v>218.22274305555553</v>
      </c>
      <c r="T275" s="16">
        <f>Demand_CWRS!J$11/30</f>
        <v>218.22274305555553</v>
      </c>
      <c r="U275" s="16">
        <f>Demand_CWRS!K$11/30</f>
        <v>218.22274305555553</v>
      </c>
      <c r="V275" s="16">
        <f t="shared" si="126"/>
        <v>-30962.950688037512</v>
      </c>
      <c r="W275" s="16">
        <f t="shared" si="127"/>
        <v>-120735.25982905951</v>
      </c>
      <c r="X275" s="16">
        <f t="shared" si="128"/>
        <v>0</v>
      </c>
      <c r="Y275" s="16">
        <f t="shared" si="129"/>
        <v>-22832.625908795821</v>
      </c>
      <c r="Z275" s="16">
        <f t="shared" si="130"/>
        <v>-53810.983800071714</v>
      </c>
      <c r="AA275" s="16">
        <f t="shared" si="131"/>
        <v>-32319.018163999124</v>
      </c>
      <c r="AB275" s="16">
        <f t="shared" si="132"/>
        <v>-63348.148575712672</v>
      </c>
      <c r="AC275" s="16">
        <f t="shared" si="133"/>
        <v>-57555.138319302481</v>
      </c>
      <c r="AD275" s="16">
        <f t="shared" si="134"/>
        <v>-57655.138319302474</v>
      </c>
      <c r="AE275" s="16">
        <f t="shared" si="135"/>
        <v>-58255.138319302467</v>
      </c>
      <c r="AF275" s="14">
        <f>IF([1]Sheet2!AJ274=999999,"NA",[1]Sheet2!AJ274)</f>
        <v>0</v>
      </c>
      <c r="AG275" s="14">
        <f>IF([1]Sheet2!AK274=999999,"NA",[1]Sheet2!AK274)</f>
        <v>0</v>
      </c>
      <c r="AH275" s="14" t="str">
        <f>IF([1]Sheet2!AL274=999999,"NA",[1]Sheet2!AL274)</f>
        <v>NA</v>
      </c>
      <c r="AI275" s="14">
        <f>IF([1]Sheet2!AM274=999999,"NA",[1]Sheet2!AM274)</f>
        <v>0</v>
      </c>
      <c r="AJ275" s="14">
        <f>IF([1]Sheet2!AN274=999999,"NA",[1]Sheet2!AN274)</f>
        <v>0</v>
      </c>
      <c r="AK275" s="14">
        <f>IF([1]Sheet2!AO274=999999,"NA",[1]Sheet2!AO274)</f>
        <v>0</v>
      </c>
      <c r="AL275" s="14">
        <f>IF([1]Sheet2!AP274=999999,"NA",[1]Sheet2!AP274)</f>
        <v>0</v>
      </c>
      <c r="AM275" s="14">
        <f>IF([1]Sheet2!AQ274=999999,"NA",[1]Sheet2!AQ274)</f>
        <v>0</v>
      </c>
      <c r="AN275" s="14">
        <f>IF([1]Sheet2!AR274=999999,"NA",[1]Sheet2!AR274)</f>
        <v>0</v>
      </c>
      <c r="AO275" s="14">
        <f>IF([1]Sheet2!AS274=999999,"NA",[1]Sheet2!AS274)</f>
        <v>0</v>
      </c>
      <c r="AP275" s="14">
        <f>[1]Sheet2!P274</f>
        <v>0</v>
      </c>
      <c r="AQ275" s="14">
        <f>[1]Sheet2!Q274</f>
        <v>0</v>
      </c>
      <c r="AR275" s="14">
        <f>[1]Sheet2!R274</f>
        <v>0</v>
      </c>
      <c r="AS275" s="14">
        <f>[1]Sheet2!S274</f>
        <v>0</v>
      </c>
      <c r="AT275" s="14">
        <f>[1]Sheet2!T274</f>
        <v>0</v>
      </c>
      <c r="AU275" s="14">
        <f>[1]Sheet2!U274</f>
        <v>0</v>
      </c>
      <c r="AV275" s="14">
        <f>[1]Sheet2!V274</f>
        <v>0</v>
      </c>
      <c r="AW275" s="14">
        <f>[1]Sheet2!W274</f>
        <v>0</v>
      </c>
      <c r="AX275" s="14">
        <f>[1]Sheet2!X274</f>
        <v>0</v>
      </c>
      <c r="AY275" s="14">
        <f>[1]Sheet2!Y274</f>
        <v>0</v>
      </c>
      <c r="AZ275" s="16">
        <f>Demand_LP!B$11/30</f>
        <v>902.60591613247857</v>
      </c>
      <c r="BA275" s="16">
        <f>Demand_LP!C$11/30</f>
        <v>593.76410256410259</v>
      </c>
      <c r="BB275" s="16">
        <f>Demand_LP!D$11/30</f>
        <v>290.27136752136749</v>
      </c>
      <c r="BC275" s="16">
        <f>Demand_LP!E$11/30</f>
        <v>790.42628205128199</v>
      </c>
      <c r="BD275" s="16">
        <f>Demand_LP!F$11/30</f>
        <v>538.46224626068363</v>
      </c>
      <c r="BE275" s="16">
        <f>Demand_LP!G$11/30</f>
        <v>538.46224626068363</v>
      </c>
      <c r="BF275" s="16">
        <f>Demand_LP!H$11/30</f>
        <v>593.76410256410259</v>
      </c>
      <c r="BG275" s="16">
        <f>Demand_LP!I$11/30</f>
        <v>538.46224626068363</v>
      </c>
      <c r="BH275" s="16">
        <f>Demand_LP!J$11/30</f>
        <v>538.46224626068363</v>
      </c>
      <c r="BI275" s="16">
        <f>Demand_LP!K$11/30</f>
        <v>538.46224626068363</v>
      </c>
      <c r="BJ275" s="16">
        <f t="shared" si="136"/>
        <v>-197841.13297145441</v>
      </c>
      <c r="BK275" s="16">
        <f t="shared" si="137"/>
        <v>-151612.29999999999</v>
      </c>
      <c r="BL275" s="16">
        <f t="shared" si="138"/>
        <v>-73686.46965811988</v>
      </c>
      <c r="BM275" s="16">
        <f t="shared" si="139"/>
        <v>-193430.04421454013</v>
      </c>
      <c r="BN275" s="16">
        <f t="shared" si="140"/>
        <v>-116110.57524562511</v>
      </c>
      <c r="BO275" s="16">
        <f t="shared" si="141"/>
        <v>-118875.25916399584</v>
      </c>
      <c r="BP275" s="16">
        <f t="shared" si="142"/>
        <v>-150719.87948717934</v>
      </c>
      <c r="BQ275" s="16">
        <f t="shared" si="143"/>
        <v>-118875.25916399584</v>
      </c>
      <c r="BR275" s="16">
        <f t="shared" si="144"/>
        <v>-116475.25916399588</v>
      </c>
      <c r="BS275" s="16">
        <f t="shared" si="145"/>
        <v>-117175.25916399587</v>
      </c>
      <c r="BT275" s="14">
        <f>IF([1]Sheet2!CB274=999999,"NA",[1]Sheet2!CB274)</f>
        <v>0</v>
      </c>
      <c r="BU275" s="14">
        <f>IF([1]Sheet2!CC274=999999,"NA",[1]Sheet2!CC274)</f>
        <v>0</v>
      </c>
      <c r="BV275" s="14">
        <f>IF([1]Sheet2!CD274=999999,"NA",[1]Sheet2!CD274)</f>
        <v>0</v>
      </c>
      <c r="BW275" s="14">
        <f>IF([1]Sheet2!CE274=999999,"NA",[1]Sheet2!CE274)</f>
        <v>0</v>
      </c>
      <c r="BX275" s="14">
        <f>IF([1]Sheet2!CF274=999999,"NA",[1]Sheet2!CF274)</f>
        <v>0</v>
      </c>
      <c r="BY275" s="14">
        <f>IF([1]Sheet2!CG274=999999,"NA",[1]Sheet2!CG274)</f>
        <v>0</v>
      </c>
      <c r="BZ275" s="14">
        <f>IF([1]Sheet2!CH274=999999,"NA",[1]Sheet2!CH274)</f>
        <v>0</v>
      </c>
      <c r="CA275" s="14">
        <f>IF([1]Sheet2!CI274=999999,"NA",[1]Sheet2!CI274)</f>
        <v>0</v>
      </c>
      <c r="CB275" s="14">
        <f>IF([1]Sheet2!CJ274=999999,"NA",[1]Sheet2!CJ274)</f>
        <v>0</v>
      </c>
      <c r="CC275" s="14">
        <f>IF([1]Sheet2!CK274=999999,"NA",[1]Sheet2!CK274)</f>
        <v>0</v>
      </c>
      <c r="CD275" s="14">
        <f>[1]Sheet2!BH274</f>
        <v>0</v>
      </c>
      <c r="CE275" s="14">
        <f>[1]Sheet2!BI274</f>
        <v>0</v>
      </c>
      <c r="CF275" s="14">
        <f>[1]Sheet2!BJ274</f>
        <v>0</v>
      </c>
      <c r="CG275" s="14">
        <f>[1]Sheet2!BK274</f>
        <v>0</v>
      </c>
      <c r="CH275" s="14">
        <f>[1]Sheet2!BL274</f>
        <v>0</v>
      </c>
      <c r="CI275" s="14">
        <f>[1]Sheet2!BM274</f>
        <v>0</v>
      </c>
      <c r="CJ275" s="14">
        <f>[1]Sheet2!BN274</f>
        <v>0</v>
      </c>
      <c r="CK275" s="14">
        <f>[1]Sheet2!BO274</f>
        <v>0</v>
      </c>
      <c r="CL275" s="14">
        <f>[1]Sheet2!BP274</f>
        <v>0</v>
      </c>
      <c r="CM275" s="14">
        <f>[1]Sheet2!BQ274</f>
        <v>0</v>
      </c>
      <c r="CN275" s="16">
        <f>Demand_SW!B$11/30</f>
        <v>144.23076923076923</v>
      </c>
      <c r="CO275" s="16">
        <f>Demand_SW!C$11/30</f>
        <v>0</v>
      </c>
      <c r="CP275" s="16">
        <f>Demand_SW!D$11/30</f>
        <v>0</v>
      </c>
      <c r="CQ275" s="16">
        <f>Demand_SW!E$11/30</f>
        <v>0</v>
      </c>
      <c r="CR275" s="16">
        <f>Demand_SW!F$11/30</f>
        <v>0</v>
      </c>
      <c r="CS275" s="16">
        <f>Demand_SW!G$11/30</f>
        <v>144.23076923076923</v>
      </c>
      <c r="CT275" s="16">
        <f>Demand_SW!H$11/30</f>
        <v>0</v>
      </c>
      <c r="CU275" s="16">
        <f>Demand_SW!I$11/30</f>
        <v>0</v>
      </c>
      <c r="CV275" s="16">
        <f>Demand_SW!J$11/30</f>
        <v>0</v>
      </c>
      <c r="CW275" s="16">
        <f>Demand_SW!K$11/30</f>
        <v>0</v>
      </c>
      <c r="CX275" s="16">
        <f t="shared" si="146"/>
        <v>-13903.461538461583</v>
      </c>
      <c r="CY275" s="16">
        <f t="shared" si="147"/>
        <v>76.923076923077133</v>
      </c>
      <c r="CZ275" s="16">
        <f t="shared" si="148"/>
        <v>0</v>
      </c>
      <c r="DA275" s="16">
        <f t="shared" si="149"/>
        <v>0</v>
      </c>
      <c r="DB275" s="16">
        <f t="shared" si="150"/>
        <v>0</v>
      </c>
      <c r="DC275" s="16">
        <f t="shared" si="151"/>
        <v>-17932.692307692352</v>
      </c>
      <c r="DD275" s="16">
        <f t="shared" si="152"/>
        <v>76.923076923077133</v>
      </c>
      <c r="DE275" s="16">
        <f t="shared" si="153"/>
        <v>0</v>
      </c>
      <c r="DF275" s="16">
        <f t="shared" si="154"/>
        <v>0</v>
      </c>
      <c r="DG275" s="16">
        <f t="shared" si="155"/>
        <v>0</v>
      </c>
      <c r="DH275" s="14">
        <f>IF([1]Sheet2!DS274=999999,"NA",[1]Sheet2!DS274)</f>
        <v>0</v>
      </c>
      <c r="DI275" s="14">
        <f>IF([1]Sheet2!DT274=999999,"NA",[1]Sheet2!DT274)</f>
        <v>93</v>
      </c>
      <c r="DJ275" s="14" t="str">
        <f>IF([1]Sheet2!DU274=999999,"NA",[1]Sheet2!DU274)</f>
        <v>NA</v>
      </c>
      <c r="DK275" s="14" t="str">
        <f>IF([1]Sheet2!DV274=999999,"NA",[1]Sheet2!DV274)</f>
        <v>NA</v>
      </c>
      <c r="DL275" s="14" t="str">
        <f>IF([1]Sheet2!DW274=999999,"NA",[1]Sheet2!DW274)</f>
        <v>NA</v>
      </c>
      <c r="DM275" s="14">
        <f>IF([1]Sheet2!DX274=999999,"NA",[1]Sheet2!DX274)</f>
        <v>0</v>
      </c>
      <c r="DN275" s="14">
        <f>IF([1]Sheet2!DY274=999999,"NA",[1]Sheet2!DY274)</f>
        <v>93</v>
      </c>
      <c r="DO275" s="14" t="str">
        <f>IF([1]Sheet2!DZ274=999999,"NA",[1]Sheet2!DZ274)</f>
        <v>NA</v>
      </c>
      <c r="DP275" s="14" t="str">
        <f>IF([1]Sheet2!EA274=999999,"NA",[1]Sheet2!EA274)</f>
        <v>NA</v>
      </c>
      <c r="DQ275" s="14" t="str">
        <f>IF([1]Sheet2!EB274=999999,"NA",[1]Sheet2!EB274)</f>
        <v>NA</v>
      </c>
      <c r="DR275" s="14">
        <f>[1]Sheet2!CY274</f>
        <v>0</v>
      </c>
      <c r="DS275" s="14">
        <f>[1]Sheet2!CZ274</f>
        <v>0</v>
      </c>
      <c r="DT275" s="14">
        <f>[1]Sheet2!DA274</f>
        <v>0</v>
      </c>
      <c r="DU275" s="14">
        <f>[1]Sheet2!DB274</f>
        <v>0</v>
      </c>
      <c r="DV275" s="14">
        <f>[1]Sheet2!DC274</f>
        <v>0</v>
      </c>
      <c r="DW275" s="45">
        <f>[1]Sheet2!DD274</f>
        <v>4500</v>
      </c>
      <c r="DX275" s="14">
        <f>[1]Sheet2!DE274</f>
        <v>0</v>
      </c>
      <c r="DY275" s="14">
        <f>[1]Sheet2!DF274</f>
        <v>0</v>
      </c>
      <c r="DZ275" s="14">
        <f>[1]Sheet2!DG274</f>
        <v>0</v>
      </c>
      <c r="EA275" s="14">
        <f>[1]Sheet2!DH274</f>
        <v>0</v>
      </c>
      <c r="EB275" s="6">
        <f>[1]Sheet2!EC274</f>
        <v>0</v>
      </c>
      <c r="EC275" s="6">
        <f>[1]Sheet2!ED274</f>
        <v>0</v>
      </c>
      <c r="ED275" s="6">
        <f>[1]Sheet2!EE274</f>
        <v>0</v>
      </c>
      <c r="EE275" s="6">
        <f>[1]Sheet2!EF274</f>
        <v>0</v>
      </c>
      <c r="EF275" s="6">
        <f>[1]Sheet2!EG274</f>
        <v>0</v>
      </c>
      <c r="EG275" s="6">
        <f>[1]Sheet2!EH274</f>
        <v>0</v>
      </c>
      <c r="EH275" s="6">
        <f>[1]Sheet2!EI274</f>
        <v>0</v>
      </c>
      <c r="EI275" s="6">
        <f>[1]Sheet2!EJ274</f>
        <v>0</v>
      </c>
      <c r="EJ275" s="6">
        <f>[1]Sheet2!EK274</f>
        <v>0</v>
      </c>
      <c r="EK275" s="6">
        <f>[1]Sheet2!EL274</f>
        <v>0</v>
      </c>
      <c r="EL275" s="6" t="str">
        <f>[1]Sheet2!EM274</f>
        <v/>
      </c>
      <c r="EM275" s="6" t="str">
        <f>[1]Sheet2!EN274</f>
        <v/>
      </c>
      <c r="EN275" s="6" t="str">
        <f>[1]Sheet2!EO274</f>
        <v/>
      </c>
      <c r="EO275" s="6" t="str">
        <f>[1]Sheet2!EP274</f>
        <v/>
      </c>
      <c r="EP275" s="6" t="str">
        <f>[1]Sheet2!EQ274</f>
        <v/>
      </c>
      <c r="EQ275" s="6" t="str">
        <f>[1]Sheet2!ER274</f>
        <v/>
      </c>
      <c r="ER275" s="6" t="str">
        <f>[1]Sheet2!ES274</f>
        <v/>
      </c>
      <c r="ES275" s="6" t="str">
        <f>[1]Sheet2!ET274</f>
        <v/>
      </c>
      <c r="ET275" s="6" t="str">
        <f>[1]Sheet2!EU274</f>
        <v/>
      </c>
      <c r="EU275" s="6" t="str">
        <f>[1]Sheet2!EV274</f>
        <v/>
      </c>
      <c r="EV275" s="6" t="str">
        <f>[1]Sheet2!EW274</f>
        <v/>
      </c>
      <c r="EW275" s="6" t="str">
        <f>[1]Sheet2!EX274</f>
        <v/>
      </c>
      <c r="EX275" s="6" t="str">
        <f>[1]Sheet2!EY274</f>
        <v/>
      </c>
      <c r="EY275" s="6" t="str">
        <f>[1]Sheet2!EZ274</f>
        <v/>
      </c>
      <c r="EZ275" s="6" t="str">
        <f>[1]Sheet2!FA274</f>
        <v/>
      </c>
      <c r="FA275" s="6" t="str">
        <f>[1]Sheet2!FB274</f>
        <v/>
      </c>
      <c r="FB275" s="6" t="str">
        <f>[1]Sheet2!FC274</f>
        <v/>
      </c>
      <c r="FC275" s="6" t="str">
        <f>[1]Sheet2!FD274</f>
        <v/>
      </c>
      <c r="FD275" s="6" t="str">
        <f>[1]Sheet2!FE274</f>
        <v/>
      </c>
      <c r="FE275" s="6" t="str">
        <f>[1]Sheet2!FF274</f>
        <v/>
      </c>
      <c r="FF275" s="6" t="str">
        <f>[1]Sheet2!FG274</f>
        <v/>
      </c>
      <c r="FG275" s="6" t="str">
        <f>[1]Sheet2!FH274</f>
        <v/>
      </c>
      <c r="FH275" s="6" t="str">
        <f>[1]Sheet2!FI274</f>
        <v/>
      </c>
      <c r="FI275" s="6" t="str">
        <f>[1]Sheet2!FJ274</f>
        <v/>
      </c>
      <c r="FJ275" s="6" t="str">
        <f>[1]Sheet2!FK274</f>
        <v/>
      </c>
      <c r="FK275" s="6" t="str">
        <f>[1]Sheet2!FL274</f>
        <v/>
      </c>
      <c r="FL275" s="6" t="str">
        <f>[1]Sheet2!FM274</f>
        <v/>
      </c>
      <c r="FM275" s="6" t="str">
        <f>[1]Sheet2!FN274</f>
        <v/>
      </c>
      <c r="FN275" s="6" t="str">
        <f>[1]Sheet2!FO274</f>
        <v/>
      </c>
      <c r="FO275" s="6" t="str">
        <f>[1]Sheet2!FP274</f>
        <v/>
      </c>
    </row>
    <row r="276" spans="1:171" x14ac:dyDescent="0.25">
      <c r="A276" s="15">
        <v>43738</v>
      </c>
      <c r="B276" s="1"/>
      <c r="C276" s="1"/>
      <c r="D276" s="1"/>
      <c r="E276" s="14">
        <f>[1]Sheet2!N275</f>
        <v>0</v>
      </c>
      <c r="F276" s="14">
        <f>[1]Sheet2!BE275</f>
        <v>0</v>
      </c>
      <c r="G276" s="14">
        <f>[1]Sheet2!CW275</f>
        <v>0</v>
      </c>
      <c r="H276" s="1"/>
      <c r="I276" s="1"/>
      <c r="J276" s="1"/>
      <c r="K276" s="16"/>
      <c r="L276" s="16">
        <f>Demand_CWRS!B$11/30</f>
        <v>118.04546474358973</v>
      </c>
      <c r="M276" s="16">
        <f>Demand_CWRS!C$11/30</f>
        <v>491.39401709401704</v>
      </c>
      <c r="N276" s="16">
        <f>Demand_CWRS!D$11/30</f>
        <v>0</v>
      </c>
      <c r="O276" s="16">
        <f>Demand_CWRS!E$11/30</f>
        <v>107.84935897435898</v>
      </c>
      <c r="P276" s="16">
        <f>Demand_CWRS!F$11/30</f>
        <v>218.22274305555553</v>
      </c>
      <c r="Q276" s="16">
        <f>Demand_CWRS!G$11/30</f>
        <v>118.04546474358973</v>
      </c>
      <c r="R276" s="16">
        <f>Demand_CWRS!H$11/30</f>
        <v>218.22274305555553</v>
      </c>
      <c r="S276" s="16">
        <f>Demand_CWRS!I$11/30</f>
        <v>218.22274305555553</v>
      </c>
      <c r="T276" s="16">
        <f>Demand_CWRS!J$11/30</f>
        <v>218.22274305555553</v>
      </c>
      <c r="U276" s="16">
        <f>Demand_CWRS!K$11/30</f>
        <v>218.22274305555553</v>
      </c>
      <c r="V276" s="16">
        <f t="shared" si="126"/>
        <v>-31080.996152781103</v>
      </c>
      <c r="W276" s="16">
        <f t="shared" si="127"/>
        <v>-121226.65384615352</v>
      </c>
      <c r="X276" s="16">
        <f t="shared" si="128"/>
        <v>0</v>
      </c>
      <c r="Y276" s="16">
        <f t="shared" si="129"/>
        <v>-22940.47526777018</v>
      </c>
      <c r="Z276" s="16">
        <f t="shared" si="130"/>
        <v>-54029.206543127271</v>
      </c>
      <c r="AA276" s="16">
        <f t="shared" si="131"/>
        <v>-32437.063628742715</v>
      </c>
      <c r="AB276" s="16">
        <f t="shared" si="132"/>
        <v>-63566.37131876823</v>
      </c>
      <c r="AC276" s="16">
        <f t="shared" si="133"/>
        <v>-57773.361062358039</v>
      </c>
      <c r="AD276" s="16">
        <f t="shared" si="134"/>
        <v>-57873.361062358032</v>
      </c>
      <c r="AE276" s="16">
        <f t="shared" si="135"/>
        <v>-58473.361062358024</v>
      </c>
      <c r="AF276" s="14">
        <f>IF([1]Sheet2!AJ275=999999,"NA",[1]Sheet2!AJ275)</f>
        <v>0</v>
      </c>
      <c r="AG276" s="14">
        <f>IF([1]Sheet2!AK275=999999,"NA",[1]Sheet2!AK275)</f>
        <v>0</v>
      </c>
      <c r="AH276" s="14" t="str">
        <f>IF([1]Sheet2!AL275=999999,"NA",[1]Sheet2!AL275)</f>
        <v>NA</v>
      </c>
      <c r="AI276" s="14">
        <f>IF([1]Sheet2!AM275=999999,"NA",[1]Sheet2!AM275)</f>
        <v>0</v>
      </c>
      <c r="AJ276" s="14">
        <f>IF([1]Sheet2!AN275=999999,"NA",[1]Sheet2!AN275)</f>
        <v>0</v>
      </c>
      <c r="AK276" s="14">
        <f>IF([1]Sheet2!AO275=999999,"NA",[1]Sheet2!AO275)</f>
        <v>0</v>
      </c>
      <c r="AL276" s="14">
        <f>IF([1]Sheet2!AP275=999999,"NA",[1]Sheet2!AP275)</f>
        <v>0</v>
      </c>
      <c r="AM276" s="14">
        <f>IF([1]Sheet2!AQ275=999999,"NA",[1]Sheet2!AQ275)</f>
        <v>0</v>
      </c>
      <c r="AN276" s="14">
        <f>IF([1]Sheet2!AR275=999999,"NA",[1]Sheet2!AR275)</f>
        <v>0</v>
      </c>
      <c r="AO276" s="14">
        <f>IF([1]Sheet2!AS275=999999,"NA",[1]Sheet2!AS275)</f>
        <v>0</v>
      </c>
      <c r="AP276" s="14">
        <f>[1]Sheet2!P275</f>
        <v>0</v>
      </c>
      <c r="AQ276" s="14">
        <f>[1]Sheet2!Q275</f>
        <v>0</v>
      </c>
      <c r="AR276" s="14">
        <f>[1]Sheet2!R275</f>
        <v>0</v>
      </c>
      <c r="AS276" s="14">
        <f>[1]Sheet2!S275</f>
        <v>0</v>
      </c>
      <c r="AT276" s="14">
        <f>[1]Sheet2!T275</f>
        <v>0</v>
      </c>
      <c r="AU276" s="14">
        <f>[1]Sheet2!U275</f>
        <v>0</v>
      </c>
      <c r="AV276" s="14">
        <f>[1]Sheet2!V275</f>
        <v>0</v>
      </c>
      <c r="AW276" s="14">
        <f>[1]Sheet2!W275</f>
        <v>0</v>
      </c>
      <c r="AX276" s="14">
        <f>[1]Sheet2!X275</f>
        <v>0</v>
      </c>
      <c r="AY276" s="14">
        <f>[1]Sheet2!Y275</f>
        <v>0</v>
      </c>
      <c r="AZ276" s="16">
        <f>Demand_LP!B$11/30</f>
        <v>902.60591613247857</v>
      </c>
      <c r="BA276" s="16">
        <f>Demand_LP!C$11/30</f>
        <v>593.76410256410259</v>
      </c>
      <c r="BB276" s="16">
        <f>Demand_LP!D$11/30</f>
        <v>290.27136752136749</v>
      </c>
      <c r="BC276" s="16">
        <f>Demand_LP!E$11/30</f>
        <v>790.42628205128199</v>
      </c>
      <c r="BD276" s="16">
        <f>Demand_LP!F$11/30</f>
        <v>538.46224626068363</v>
      </c>
      <c r="BE276" s="16">
        <f>Demand_LP!G$11/30</f>
        <v>538.46224626068363</v>
      </c>
      <c r="BF276" s="16">
        <f>Demand_LP!H$11/30</f>
        <v>593.76410256410259</v>
      </c>
      <c r="BG276" s="16">
        <f>Demand_LP!I$11/30</f>
        <v>538.46224626068363</v>
      </c>
      <c r="BH276" s="16">
        <f>Demand_LP!J$11/30</f>
        <v>538.46224626068363</v>
      </c>
      <c r="BI276" s="16">
        <f>Demand_LP!K$11/30</f>
        <v>538.46224626068363</v>
      </c>
      <c r="BJ276" s="16">
        <f t="shared" si="136"/>
        <v>-198743.73888758689</v>
      </c>
      <c r="BK276" s="16">
        <f t="shared" si="137"/>
        <v>-152206.06410256409</v>
      </c>
      <c r="BL276" s="16">
        <f t="shared" si="138"/>
        <v>-73976.741025641255</v>
      </c>
      <c r="BM276" s="16">
        <f t="shared" si="139"/>
        <v>-194220.47049659141</v>
      </c>
      <c r="BN276" s="16">
        <f t="shared" si="140"/>
        <v>-116649.03749188579</v>
      </c>
      <c r="BO276" s="16">
        <f t="shared" si="141"/>
        <v>-119413.72141025652</v>
      </c>
      <c r="BP276" s="16">
        <f t="shared" si="142"/>
        <v>-151313.64358974344</v>
      </c>
      <c r="BQ276" s="16">
        <f t="shared" si="143"/>
        <v>-119413.72141025652</v>
      </c>
      <c r="BR276" s="16">
        <f t="shared" si="144"/>
        <v>-117013.72141025656</v>
      </c>
      <c r="BS276" s="16">
        <f t="shared" si="145"/>
        <v>-117713.72141025655</v>
      </c>
      <c r="BT276" s="14">
        <f>IF([1]Sheet2!CB275=999999,"NA",[1]Sheet2!CB275)</f>
        <v>0</v>
      </c>
      <c r="BU276" s="14">
        <f>IF([1]Sheet2!CC275=999999,"NA",[1]Sheet2!CC275)</f>
        <v>0</v>
      </c>
      <c r="BV276" s="14">
        <f>IF([1]Sheet2!CD275=999999,"NA",[1]Sheet2!CD275)</f>
        <v>0</v>
      </c>
      <c r="BW276" s="14">
        <f>IF([1]Sheet2!CE275=999999,"NA",[1]Sheet2!CE275)</f>
        <v>0</v>
      </c>
      <c r="BX276" s="14">
        <f>IF([1]Sheet2!CF275=999999,"NA",[1]Sheet2!CF275)</f>
        <v>0</v>
      </c>
      <c r="BY276" s="14">
        <f>IF([1]Sheet2!CG275=999999,"NA",[1]Sheet2!CG275)</f>
        <v>0</v>
      </c>
      <c r="BZ276" s="14">
        <f>IF([1]Sheet2!CH275=999999,"NA",[1]Sheet2!CH275)</f>
        <v>0</v>
      </c>
      <c r="CA276" s="14">
        <f>IF([1]Sheet2!CI275=999999,"NA",[1]Sheet2!CI275)</f>
        <v>0</v>
      </c>
      <c r="CB276" s="14">
        <f>IF([1]Sheet2!CJ275=999999,"NA",[1]Sheet2!CJ275)</f>
        <v>0</v>
      </c>
      <c r="CC276" s="14">
        <f>IF([1]Sheet2!CK275=999999,"NA",[1]Sheet2!CK275)</f>
        <v>0</v>
      </c>
      <c r="CD276" s="14">
        <f>[1]Sheet2!BH275</f>
        <v>0</v>
      </c>
      <c r="CE276" s="14">
        <f>[1]Sheet2!BI275</f>
        <v>0</v>
      </c>
      <c r="CF276" s="14">
        <f>[1]Sheet2!BJ275</f>
        <v>0</v>
      </c>
      <c r="CG276" s="14">
        <f>[1]Sheet2!BK275</f>
        <v>0</v>
      </c>
      <c r="CH276" s="14">
        <f>[1]Sheet2!BL275</f>
        <v>0</v>
      </c>
      <c r="CI276" s="14">
        <f>[1]Sheet2!BM275</f>
        <v>0</v>
      </c>
      <c r="CJ276" s="14">
        <f>[1]Sheet2!BN275</f>
        <v>0</v>
      </c>
      <c r="CK276" s="14">
        <f>[1]Sheet2!BO275</f>
        <v>0</v>
      </c>
      <c r="CL276" s="14">
        <f>[1]Sheet2!BP275</f>
        <v>0</v>
      </c>
      <c r="CM276" s="14">
        <f>[1]Sheet2!BQ275</f>
        <v>0</v>
      </c>
      <c r="CN276" s="16">
        <f>Demand_SW!B$11/30</f>
        <v>144.23076923076923</v>
      </c>
      <c r="CO276" s="16">
        <f>Demand_SW!C$11/30</f>
        <v>0</v>
      </c>
      <c r="CP276" s="16">
        <f>Demand_SW!D$11/30</f>
        <v>0</v>
      </c>
      <c r="CQ276" s="16">
        <f>Demand_SW!E$11/30</f>
        <v>0</v>
      </c>
      <c r="CR276" s="16">
        <f>Demand_SW!F$11/30</f>
        <v>0</v>
      </c>
      <c r="CS276" s="16">
        <f>Demand_SW!G$11/30</f>
        <v>144.23076923076923</v>
      </c>
      <c r="CT276" s="16">
        <f>Demand_SW!H$11/30</f>
        <v>0</v>
      </c>
      <c r="CU276" s="16">
        <f>Demand_SW!I$11/30</f>
        <v>0</v>
      </c>
      <c r="CV276" s="16">
        <f>Demand_SW!J$11/30</f>
        <v>0</v>
      </c>
      <c r="CW276" s="16">
        <f>Demand_SW!K$11/30</f>
        <v>0</v>
      </c>
      <c r="CX276" s="16">
        <f t="shared" si="146"/>
        <v>-14047.692307692352</v>
      </c>
      <c r="CY276" s="16">
        <f t="shared" si="147"/>
        <v>76.923076923077133</v>
      </c>
      <c r="CZ276" s="16">
        <f t="shared" si="148"/>
        <v>0</v>
      </c>
      <c r="DA276" s="16">
        <f t="shared" si="149"/>
        <v>0</v>
      </c>
      <c r="DB276" s="16">
        <f t="shared" si="150"/>
        <v>0</v>
      </c>
      <c r="DC276" s="16">
        <f t="shared" si="151"/>
        <v>-15278.923076923122</v>
      </c>
      <c r="DD276" s="16">
        <f t="shared" si="152"/>
        <v>76.923076923077133</v>
      </c>
      <c r="DE276" s="16">
        <f t="shared" si="153"/>
        <v>0</v>
      </c>
      <c r="DF276" s="16">
        <f t="shared" si="154"/>
        <v>0</v>
      </c>
      <c r="DG276" s="16">
        <f t="shared" si="155"/>
        <v>0</v>
      </c>
      <c r="DH276" s="14">
        <f>IF([1]Sheet2!DS275=999999,"NA",[1]Sheet2!DS275)</f>
        <v>0</v>
      </c>
      <c r="DI276" s="14">
        <f>IF([1]Sheet2!DT275=999999,"NA",[1]Sheet2!DT275)</f>
        <v>92</v>
      </c>
      <c r="DJ276" s="14" t="str">
        <f>IF([1]Sheet2!DU275=999999,"NA",[1]Sheet2!DU275)</f>
        <v>NA</v>
      </c>
      <c r="DK276" s="14" t="str">
        <f>IF([1]Sheet2!DV275=999999,"NA",[1]Sheet2!DV275)</f>
        <v>NA</v>
      </c>
      <c r="DL276" s="14" t="str">
        <f>IF([1]Sheet2!DW275=999999,"NA",[1]Sheet2!DW275)</f>
        <v>NA</v>
      </c>
      <c r="DM276" s="14">
        <f>IF([1]Sheet2!DX275=999999,"NA",[1]Sheet2!DX275)</f>
        <v>0</v>
      </c>
      <c r="DN276" s="14">
        <f>IF([1]Sheet2!DY275=999999,"NA",[1]Sheet2!DY275)</f>
        <v>92</v>
      </c>
      <c r="DO276" s="14" t="str">
        <f>IF([1]Sheet2!DZ275=999999,"NA",[1]Sheet2!DZ275)</f>
        <v>NA</v>
      </c>
      <c r="DP276" s="14" t="str">
        <f>IF([1]Sheet2!EA275=999999,"NA",[1]Sheet2!EA275)</f>
        <v>NA</v>
      </c>
      <c r="DQ276" s="14" t="str">
        <f>IF([1]Sheet2!EB275=999999,"NA",[1]Sheet2!EB275)</f>
        <v>NA</v>
      </c>
      <c r="DR276" s="14">
        <f>[1]Sheet2!CY275</f>
        <v>0</v>
      </c>
      <c r="DS276" s="14">
        <f>[1]Sheet2!CZ275</f>
        <v>0</v>
      </c>
      <c r="DT276" s="14">
        <f>[1]Sheet2!DA275</f>
        <v>0</v>
      </c>
      <c r="DU276" s="14">
        <f>[1]Sheet2!DB275</f>
        <v>0</v>
      </c>
      <c r="DV276" s="14">
        <f>[1]Sheet2!DC275</f>
        <v>0</v>
      </c>
      <c r="DW276" s="45">
        <f>[1]Sheet2!DD275</f>
        <v>2798</v>
      </c>
      <c r="DX276" s="14">
        <f>[1]Sheet2!DE275</f>
        <v>0</v>
      </c>
      <c r="DY276" s="14">
        <f>[1]Sheet2!DF275</f>
        <v>0</v>
      </c>
      <c r="DZ276" s="14">
        <f>[1]Sheet2!DG275</f>
        <v>0</v>
      </c>
      <c r="EA276" s="14">
        <f>[1]Sheet2!DH275</f>
        <v>0</v>
      </c>
      <c r="EB276" s="6">
        <f>[1]Sheet2!EC275</f>
        <v>0</v>
      </c>
      <c r="EC276" s="6">
        <f>[1]Sheet2!ED275</f>
        <v>0</v>
      </c>
      <c r="ED276" s="6">
        <f>[1]Sheet2!EE275</f>
        <v>0</v>
      </c>
      <c r="EE276" s="6">
        <f>[1]Sheet2!EF275</f>
        <v>0</v>
      </c>
      <c r="EF276" s="6">
        <f>[1]Sheet2!EG275</f>
        <v>0</v>
      </c>
      <c r="EG276" s="6">
        <f>[1]Sheet2!EH275</f>
        <v>0</v>
      </c>
      <c r="EH276" s="6">
        <f>[1]Sheet2!EI275</f>
        <v>0</v>
      </c>
      <c r="EI276" s="6">
        <f>[1]Sheet2!EJ275</f>
        <v>0</v>
      </c>
      <c r="EJ276" s="6">
        <f>[1]Sheet2!EK275</f>
        <v>0</v>
      </c>
      <c r="EK276" s="6">
        <f>[1]Sheet2!EL275</f>
        <v>0</v>
      </c>
      <c r="EL276" s="6" t="str">
        <f>[1]Sheet2!EM275</f>
        <v/>
      </c>
      <c r="EM276" s="6" t="str">
        <f>[1]Sheet2!EN275</f>
        <v/>
      </c>
      <c r="EN276" s="6" t="str">
        <f>[1]Sheet2!EO275</f>
        <v/>
      </c>
      <c r="EO276" s="6" t="str">
        <f>[1]Sheet2!EP275</f>
        <v/>
      </c>
      <c r="EP276" s="6" t="str">
        <f>[1]Sheet2!EQ275</f>
        <v/>
      </c>
      <c r="EQ276" s="6" t="str">
        <f>[1]Sheet2!ER275</f>
        <v/>
      </c>
      <c r="ER276" s="6" t="str">
        <f>[1]Sheet2!ES275</f>
        <v/>
      </c>
      <c r="ES276" s="6" t="str">
        <f>[1]Sheet2!ET275</f>
        <v/>
      </c>
      <c r="ET276" s="6" t="str">
        <f>[1]Sheet2!EU275</f>
        <v/>
      </c>
      <c r="EU276" s="6" t="str">
        <f>[1]Sheet2!EV275</f>
        <v/>
      </c>
      <c r="EV276" s="6" t="str">
        <f>[1]Sheet2!EW275</f>
        <v/>
      </c>
      <c r="EW276" s="6" t="str">
        <f>[1]Sheet2!EX275</f>
        <v/>
      </c>
      <c r="EX276" s="6" t="str">
        <f>[1]Sheet2!EY275</f>
        <v/>
      </c>
      <c r="EY276" s="6" t="str">
        <f>[1]Sheet2!EZ275</f>
        <v/>
      </c>
      <c r="EZ276" s="6" t="str">
        <f>[1]Sheet2!FA275</f>
        <v/>
      </c>
      <c r="FA276" s="6" t="str">
        <f>[1]Sheet2!FB275</f>
        <v/>
      </c>
      <c r="FB276" s="6" t="str">
        <f>[1]Sheet2!FC275</f>
        <v/>
      </c>
      <c r="FC276" s="6" t="str">
        <f>[1]Sheet2!FD275</f>
        <v/>
      </c>
      <c r="FD276" s="6" t="str">
        <f>[1]Sheet2!FE275</f>
        <v/>
      </c>
      <c r="FE276" s="6" t="str">
        <f>[1]Sheet2!FF275</f>
        <v/>
      </c>
      <c r="FF276" s="6" t="str">
        <f>[1]Sheet2!FG275</f>
        <v/>
      </c>
      <c r="FG276" s="6" t="str">
        <f>[1]Sheet2!FH275</f>
        <v/>
      </c>
      <c r="FH276" s="6" t="str">
        <f>[1]Sheet2!FI275</f>
        <v/>
      </c>
      <c r="FI276" s="6" t="str">
        <f>[1]Sheet2!FJ275</f>
        <v/>
      </c>
      <c r="FJ276" s="6" t="str">
        <f>[1]Sheet2!FK275</f>
        <v/>
      </c>
      <c r="FK276" s="6" t="str">
        <f>[1]Sheet2!FL275</f>
        <v/>
      </c>
      <c r="FL276" s="6" t="str">
        <f>[1]Sheet2!FM275</f>
        <v/>
      </c>
      <c r="FM276" s="6" t="str">
        <f>[1]Sheet2!FN275</f>
        <v/>
      </c>
      <c r="FN276" s="6" t="str">
        <f>[1]Sheet2!FO275</f>
        <v/>
      </c>
      <c r="FO276" s="6" t="str">
        <f>[1]Sheet2!FP275</f>
        <v/>
      </c>
    </row>
    <row r="277" spans="1:171" x14ac:dyDescent="0.25">
      <c r="A277" s="15">
        <v>43739</v>
      </c>
      <c r="B277" s="1"/>
      <c r="C277" s="1"/>
      <c r="D277" s="1"/>
      <c r="E277" s="14">
        <f>[1]Sheet2!N276</f>
        <v>0</v>
      </c>
      <c r="F277" s="14">
        <f>[1]Sheet2!BE276</f>
        <v>0</v>
      </c>
      <c r="G277" s="14">
        <f>[1]Sheet2!CW276</f>
        <v>0</v>
      </c>
      <c r="H277" s="1"/>
      <c r="I277" s="1"/>
      <c r="J277" s="1"/>
      <c r="K277" s="16"/>
      <c r="L277" s="16">
        <f>Demand_CWRS!B$12/31</f>
        <v>113.31027191894128</v>
      </c>
      <c r="M277" s="16">
        <f>Demand_CWRS!C$12/31</f>
        <v>480.06765922249781</v>
      </c>
      <c r="N277" s="16">
        <f>Demand_CWRS!D$12/31</f>
        <v>0</v>
      </c>
      <c r="O277" s="16">
        <f>Demand_CWRS!E$12/31</f>
        <v>103.22435897435898</v>
      </c>
      <c r="P277" s="16">
        <f>Demand_CWRS!F$12/31</f>
        <v>209.74544820099254</v>
      </c>
      <c r="Q277" s="16">
        <f>Demand_CWRS!G$12/31</f>
        <v>113.31027191894128</v>
      </c>
      <c r="R277" s="16">
        <f>Demand_CWRS!H$12/31</f>
        <v>209.74544820099254</v>
      </c>
      <c r="S277" s="16">
        <f>Demand_CWRS!I$12/31</f>
        <v>209.74544820099254</v>
      </c>
      <c r="T277" s="16">
        <f>Demand_CWRS!J$12/31</f>
        <v>209.74544820099254</v>
      </c>
      <c r="U277" s="16">
        <f>Demand_CWRS!K$12/31</f>
        <v>209.74544820099254</v>
      </c>
      <c r="V277" s="16">
        <f t="shared" si="126"/>
        <v>-31194.306424700044</v>
      </c>
      <c r="W277" s="16">
        <f t="shared" si="127"/>
        <v>-121706.72150537602</v>
      </c>
      <c r="X277" s="16">
        <f t="shared" si="128"/>
        <v>0</v>
      </c>
      <c r="Y277" s="16">
        <f t="shared" si="129"/>
        <v>-23043.699626744539</v>
      </c>
      <c r="Z277" s="16">
        <f t="shared" si="130"/>
        <v>-54238.951991328264</v>
      </c>
      <c r="AA277" s="16">
        <f t="shared" si="131"/>
        <v>-32550.373900661656</v>
      </c>
      <c r="AB277" s="16">
        <f t="shared" si="132"/>
        <v>-63776.116766969222</v>
      </c>
      <c r="AC277" s="16">
        <f t="shared" si="133"/>
        <v>-57983.106510559031</v>
      </c>
      <c r="AD277" s="16">
        <f t="shared" si="134"/>
        <v>-58083.106510559024</v>
      </c>
      <c r="AE277" s="16">
        <f t="shared" si="135"/>
        <v>-58683.106510559017</v>
      </c>
      <c r="AF277" s="14">
        <f>IF([1]Sheet2!AJ276=999999,"NA",[1]Sheet2!AJ276)</f>
        <v>0</v>
      </c>
      <c r="AG277" s="14">
        <f>IF([1]Sheet2!AK276=999999,"NA",[1]Sheet2!AK276)</f>
        <v>0</v>
      </c>
      <c r="AH277" s="14" t="str">
        <f>IF([1]Sheet2!AL276=999999,"NA",[1]Sheet2!AL276)</f>
        <v>NA</v>
      </c>
      <c r="AI277" s="14">
        <f>IF([1]Sheet2!AM276=999999,"NA",[1]Sheet2!AM276)</f>
        <v>0</v>
      </c>
      <c r="AJ277" s="14">
        <f>IF([1]Sheet2!AN276=999999,"NA",[1]Sheet2!AN276)</f>
        <v>0</v>
      </c>
      <c r="AK277" s="14">
        <f>IF([1]Sheet2!AO276=999999,"NA",[1]Sheet2!AO276)</f>
        <v>0</v>
      </c>
      <c r="AL277" s="14">
        <f>IF([1]Sheet2!AP276=999999,"NA",[1]Sheet2!AP276)</f>
        <v>0</v>
      </c>
      <c r="AM277" s="14">
        <f>IF([1]Sheet2!AQ276=999999,"NA",[1]Sheet2!AQ276)</f>
        <v>0</v>
      </c>
      <c r="AN277" s="14">
        <f>IF([1]Sheet2!AR276=999999,"NA",[1]Sheet2!AR276)</f>
        <v>0</v>
      </c>
      <c r="AO277" s="14">
        <f>IF([1]Sheet2!AS276=999999,"NA",[1]Sheet2!AS276)</f>
        <v>0</v>
      </c>
      <c r="AP277" s="14">
        <f>[1]Sheet2!P276</f>
        <v>0</v>
      </c>
      <c r="AQ277" s="14">
        <f>[1]Sheet2!Q276</f>
        <v>0</v>
      </c>
      <c r="AR277" s="14">
        <f>[1]Sheet2!R276</f>
        <v>0</v>
      </c>
      <c r="AS277" s="14">
        <f>[1]Sheet2!S276</f>
        <v>0</v>
      </c>
      <c r="AT277" s="14">
        <f>[1]Sheet2!T276</f>
        <v>0</v>
      </c>
      <c r="AU277" s="14">
        <f>[1]Sheet2!U276</f>
        <v>0</v>
      </c>
      <c r="AV277" s="14">
        <f>[1]Sheet2!V276</f>
        <v>0</v>
      </c>
      <c r="AW277" s="14">
        <f>[1]Sheet2!W276</f>
        <v>0</v>
      </c>
      <c r="AX277" s="14">
        <f>[1]Sheet2!X276</f>
        <v>0</v>
      </c>
      <c r="AY277" s="14">
        <f>[1]Sheet2!Y276</f>
        <v>0</v>
      </c>
      <c r="AZ277" s="16">
        <f>Demand_LP!B$12/31</f>
        <v>866.47279518196865</v>
      </c>
      <c r="BA277" s="16">
        <f>Demand_LP!C$12/31</f>
        <v>577.62712985938799</v>
      </c>
      <c r="BB277" s="16">
        <f>Demand_LP!D$12/31</f>
        <v>262.18502894954509</v>
      </c>
      <c r="BC277" s="16">
        <f>Demand_LP!E$12/31</f>
        <v>766.03229942100904</v>
      </c>
      <c r="BD277" s="16">
        <f>Demand_LP!F$12/31</f>
        <v>516.10499638130682</v>
      </c>
      <c r="BE277" s="16">
        <f>Demand_LP!G$12/31</f>
        <v>516.10499638130682</v>
      </c>
      <c r="BF277" s="16">
        <f>Demand_LP!H$12/31</f>
        <v>577.62712985938799</v>
      </c>
      <c r="BG277" s="16">
        <f>Demand_LP!I$12/31</f>
        <v>516.10499638130682</v>
      </c>
      <c r="BH277" s="16">
        <f>Demand_LP!J$12/31</f>
        <v>516.10499638130682</v>
      </c>
      <c r="BI277" s="16">
        <f>Demand_LP!K$12/31</f>
        <v>516.10499638130682</v>
      </c>
      <c r="BJ277" s="16">
        <f t="shared" si="136"/>
        <v>-199610.21168276886</v>
      </c>
      <c r="BK277" s="16">
        <f t="shared" si="137"/>
        <v>-152783.69123242347</v>
      </c>
      <c r="BL277" s="16">
        <f t="shared" si="138"/>
        <v>-74238.926054590804</v>
      </c>
      <c r="BM277" s="16">
        <f t="shared" si="139"/>
        <v>-194986.50279601241</v>
      </c>
      <c r="BN277" s="16">
        <f t="shared" si="140"/>
        <v>-117165.1424882671</v>
      </c>
      <c r="BO277" s="16">
        <f t="shared" si="141"/>
        <v>-119929.82640663783</v>
      </c>
      <c r="BP277" s="16">
        <f t="shared" si="142"/>
        <v>-151891.27071960282</v>
      </c>
      <c r="BQ277" s="16">
        <f t="shared" si="143"/>
        <v>-119929.82640663783</v>
      </c>
      <c r="BR277" s="16">
        <f t="shared" si="144"/>
        <v>-117529.82640663788</v>
      </c>
      <c r="BS277" s="16">
        <f t="shared" si="145"/>
        <v>-118229.82640663786</v>
      </c>
      <c r="BT277" s="14">
        <f>IF([1]Sheet2!CB276=999999,"NA",[1]Sheet2!CB276)</f>
        <v>0</v>
      </c>
      <c r="BU277" s="14">
        <f>IF([1]Sheet2!CC276=999999,"NA",[1]Sheet2!CC276)</f>
        <v>0</v>
      </c>
      <c r="BV277" s="14">
        <f>IF([1]Sheet2!CD276=999999,"NA",[1]Sheet2!CD276)</f>
        <v>0</v>
      </c>
      <c r="BW277" s="14">
        <f>IF([1]Sheet2!CE276=999999,"NA",[1]Sheet2!CE276)</f>
        <v>0</v>
      </c>
      <c r="BX277" s="14">
        <f>IF([1]Sheet2!CF276=999999,"NA",[1]Sheet2!CF276)</f>
        <v>0</v>
      </c>
      <c r="BY277" s="14">
        <f>IF([1]Sheet2!CG276=999999,"NA",[1]Sheet2!CG276)</f>
        <v>0</v>
      </c>
      <c r="BZ277" s="14">
        <f>IF([1]Sheet2!CH276=999999,"NA",[1]Sheet2!CH276)</f>
        <v>0</v>
      </c>
      <c r="CA277" s="14">
        <f>IF([1]Sheet2!CI276=999999,"NA",[1]Sheet2!CI276)</f>
        <v>0</v>
      </c>
      <c r="CB277" s="14">
        <f>IF([1]Sheet2!CJ276=999999,"NA",[1]Sheet2!CJ276)</f>
        <v>0</v>
      </c>
      <c r="CC277" s="14">
        <f>IF([1]Sheet2!CK276=999999,"NA",[1]Sheet2!CK276)</f>
        <v>0</v>
      </c>
      <c r="CD277" s="14">
        <f>[1]Sheet2!BH276</f>
        <v>0</v>
      </c>
      <c r="CE277" s="14">
        <f>[1]Sheet2!BI276</f>
        <v>0</v>
      </c>
      <c r="CF277" s="14">
        <f>[1]Sheet2!BJ276</f>
        <v>0</v>
      </c>
      <c r="CG277" s="14">
        <f>[1]Sheet2!BK276</f>
        <v>0</v>
      </c>
      <c r="CH277" s="14">
        <f>[1]Sheet2!BL276</f>
        <v>0</v>
      </c>
      <c r="CI277" s="14">
        <f>[1]Sheet2!BM276</f>
        <v>0</v>
      </c>
      <c r="CJ277" s="14">
        <f>[1]Sheet2!BN276</f>
        <v>0</v>
      </c>
      <c r="CK277" s="14">
        <f>[1]Sheet2!BO276</f>
        <v>0</v>
      </c>
      <c r="CL277" s="14">
        <f>[1]Sheet2!BP276</f>
        <v>0</v>
      </c>
      <c r="CM277" s="14">
        <f>[1]Sheet2!BQ276</f>
        <v>0</v>
      </c>
      <c r="CN277" s="16">
        <f>Demand_SW!B$12/31</f>
        <v>139.57816377171216</v>
      </c>
      <c r="CO277" s="16">
        <f>Demand_SW!C$12/31</f>
        <v>0</v>
      </c>
      <c r="CP277" s="16">
        <f>Demand_SW!D$12/31</f>
        <v>0</v>
      </c>
      <c r="CQ277" s="16">
        <f>Demand_SW!E$12/31</f>
        <v>0</v>
      </c>
      <c r="CR277" s="16">
        <f>Demand_SW!F$12/31</f>
        <v>0</v>
      </c>
      <c r="CS277" s="16">
        <f>Demand_SW!G$12/31</f>
        <v>139.57816377171216</v>
      </c>
      <c r="CT277" s="16">
        <f>Demand_SW!H$12/31</f>
        <v>0</v>
      </c>
      <c r="CU277" s="16">
        <f>Demand_SW!I$12/31</f>
        <v>0</v>
      </c>
      <c r="CV277" s="16">
        <f>Demand_SW!J$12/31</f>
        <v>0</v>
      </c>
      <c r="CW277" s="16">
        <f>Demand_SW!K$12/31</f>
        <v>0</v>
      </c>
      <c r="CX277" s="16">
        <f t="shared" si="146"/>
        <v>-14187.270471464064</v>
      </c>
      <c r="CY277" s="16">
        <f t="shared" si="147"/>
        <v>76.923076923077133</v>
      </c>
      <c r="CZ277" s="16">
        <f t="shared" si="148"/>
        <v>0</v>
      </c>
      <c r="DA277" s="16">
        <f t="shared" si="149"/>
        <v>0</v>
      </c>
      <c r="DB277" s="16">
        <f t="shared" si="150"/>
        <v>0</v>
      </c>
      <c r="DC277" s="16">
        <f t="shared" si="151"/>
        <v>-15418.501240694834</v>
      </c>
      <c r="DD277" s="16">
        <f t="shared" si="152"/>
        <v>76.923076923077133</v>
      </c>
      <c r="DE277" s="16">
        <f t="shared" si="153"/>
        <v>0</v>
      </c>
      <c r="DF277" s="16">
        <f t="shared" si="154"/>
        <v>0</v>
      </c>
      <c r="DG277" s="16">
        <f t="shared" si="155"/>
        <v>0</v>
      </c>
      <c r="DH277" s="14">
        <f>IF([1]Sheet2!DS276=999999,"NA",[1]Sheet2!DS276)</f>
        <v>0</v>
      </c>
      <c r="DI277" s="14">
        <f>IF([1]Sheet2!DT276=999999,"NA",[1]Sheet2!DT276)</f>
        <v>91</v>
      </c>
      <c r="DJ277" s="14" t="str">
        <f>IF([1]Sheet2!DU276=999999,"NA",[1]Sheet2!DU276)</f>
        <v>NA</v>
      </c>
      <c r="DK277" s="14" t="str">
        <f>IF([1]Sheet2!DV276=999999,"NA",[1]Sheet2!DV276)</f>
        <v>NA</v>
      </c>
      <c r="DL277" s="14" t="str">
        <f>IF([1]Sheet2!DW276=999999,"NA",[1]Sheet2!DW276)</f>
        <v>NA</v>
      </c>
      <c r="DM277" s="14">
        <f>IF([1]Sheet2!DX276=999999,"NA",[1]Sheet2!DX276)</f>
        <v>0</v>
      </c>
      <c r="DN277" s="14">
        <f>IF([1]Sheet2!DY276=999999,"NA",[1]Sheet2!DY276)</f>
        <v>91</v>
      </c>
      <c r="DO277" s="14" t="str">
        <f>IF([1]Sheet2!DZ276=999999,"NA",[1]Sheet2!DZ276)</f>
        <v>NA</v>
      </c>
      <c r="DP277" s="14" t="str">
        <f>IF([1]Sheet2!EA276=999999,"NA",[1]Sheet2!EA276)</f>
        <v>NA</v>
      </c>
      <c r="DQ277" s="14" t="str">
        <f>IF([1]Sheet2!EB276=999999,"NA",[1]Sheet2!EB276)</f>
        <v>NA</v>
      </c>
      <c r="DR277" s="14">
        <f>[1]Sheet2!CY276</f>
        <v>0</v>
      </c>
      <c r="DS277" s="14">
        <f>[1]Sheet2!CZ276</f>
        <v>0</v>
      </c>
      <c r="DT277" s="14">
        <f>[1]Sheet2!DA276</f>
        <v>0</v>
      </c>
      <c r="DU277" s="14">
        <f>[1]Sheet2!DB276</f>
        <v>0</v>
      </c>
      <c r="DV277" s="14">
        <f>[1]Sheet2!DC276</f>
        <v>0</v>
      </c>
      <c r="DW277" s="14">
        <f>[1]Sheet2!DD276</f>
        <v>0</v>
      </c>
      <c r="DX277" s="14">
        <f>[1]Sheet2!DE276</f>
        <v>0</v>
      </c>
      <c r="DY277" s="14">
        <f>[1]Sheet2!DF276</f>
        <v>0</v>
      </c>
      <c r="DZ277" s="14">
        <f>[1]Sheet2!DG276</f>
        <v>0</v>
      </c>
      <c r="EA277" s="14">
        <f>[1]Sheet2!DH276</f>
        <v>0</v>
      </c>
      <c r="EB277" s="6">
        <f>[1]Sheet2!EC276</f>
        <v>0</v>
      </c>
      <c r="EC277" s="6">
        <f>[1]Sheet2!ED276</f>
        <v>0</v>
      </c>
      <c r="ED277" s="6">
        <f>[1]Sheet2!EE276</f>
        <v>0</v>
      </c>
      <c r="EE277" s="6">
        <f>[1]Sheet2!EF276</f>
        <v>0</v>
      </c>
      <c r="EF277" s="6">
        <f>[1]Sheet2!EG276</f>
        <v>0</v>
      </c>
      <c r="EG277" s="6">
        <f>[1]Sheet2!EH276</f>
        <v>0</v>
      </c>
      <c r="EH277" s="6">
        <f>[1]Sheet2!EI276</f>
        <v>0</v>
      </c>
      <c r="EI277" s="6">
        <f>[1]Sheet2!EJ276</f>
        <v>0</v>
      </c>
      <c r="EJ277" s="6">
        <f>[1]Sheet2!EK276</f>
        <v>0</v>
      </c>
      <c r="EK277" s="6">
        <f>[1]Sheet2!EL276</f>
        <v>0</v>
      </c>
      <c r="EL277" s="6" t="str">
        <f>[1]Sheet2!EM276</f>
        <v/>
      </c>
      <c r="EM277" s="6" t="str">
        <f>[1]Sheet2!EN276</f>
        <v/>
      </c>
      <c r="EN277" s="6" t="str">
        <f>[1]Sheet2!EO276</f>
        <v/>
      </c>
      <c r="EO277" s="6" t="str">
        <f>[1]Sheet2!EP276</f>
        <v/>
      </c>
      <c r="EP277" s="6" t="str">
        <f>[1]Sheet2!EQ276</f>
        <v/>
      </c>
      <c r="EQ277" s="6" t="str">
        <f>[1]Sheet2!ER276</f>
        <v/>
      </c>
      <c r="ER277" s="6" t="str">
        <f>[1]Sheet2!ES276</f>
        <v/>
      </c>
      <c r="ES277" s="6" t="str">
        <f>[1]Sheet2!ET276</f>
        <v/>
      </c>
      <c r="ET277" s="6" t="str">
        <f>[1]Sheet2!EU276</f>
        <v/>
      </c>
      <c r="EU277" s="6" t="str">
        <f>[1]Sheet2!EV276</f>
        <v/>
      </c>
      <c r="EV277" s="6" t="str">
        <f>[1]Sheet2!EW276</f>
        <v/>
      </c>
      <c r="EW277" s="6" t="str">
        <f>[1]Sheet2!EX276</f>
        <v/>
      </c>
      <c r="EX277" s="6" t="str">
        <f>[1]Sheet2!EY276</f>
        <v/>
      </c>
      <c r="EY277" s="6" t="str">
        <f>[1]Sheet2!EZ276</f>
        <v/>
      </c>
      <c r="EZ277" s="6" t="str">
        <f>[1]Sheet2!FA276</f>
        <v/>
      </c>
      <c r="FA277" s="6" t="str">
        <f>[1]Sheet2!FB276</f>
        <v/>
      </c>
      <c r="FB277" s="6" t="str">
        <f>[1]Sheet2!FC276</f>
        <v/>
      </c>
      <c r="FC277" s="6" t="str">
        <f>[1]Sheet2!FD276</f>
        <v/>
      </c>
      <c r="FD277" s="6" t="str">
        <f>[1]Sheet2!FE276</f>
        <v/>
      </c>
      <c r="FE277" s="6" t="str">
        <f>[1]Sheet2!FF276</f>
        <v/>
      </c>
      <c r="FF277" s="6" t="str">
        <f>[1]Sheet2!FG276</f>
        <v/>
      </c>
      <c r="FG277" s="6" t="str">
        <f>[1]Sheet2!FH276</f>
        <v/>
      </c>
      <c r="FH277" s="6" t="str">
        <f>[1]Sheet2!FI276</f>
        <v/>
      </c>
      <c r="FI277" s="6" t="str">
        <f>[1]Sheet2!FJ276</f>
        <v/>
      </c>
      <c r="FJ277" s="6" t="str">
        <f>[1]Sheet2!FK276</f>
        <v/>
      </c>
      <c r="FK277" s="6" t="str">
        <f>[1]Sheet2!FL276</f>
        <v/>
      </c>
      <c r="FL277" s="6" t="str">
        <f>[1]Sheet2!FM276</f>
        <v/>
      </c>
      <c r="FM277" s="6" t="str">
        <f>[1]Sheet2!FN276</f>
        <v/>
      </c>
      <c r="FN277" s="6" t="str">
        <f>[1]Sheet2!FO276</f>
        <v/>
      </c>
      <c r="FO277" s="6" t="str">
        <f>[1]Sheet2!FP276</f>
        <v/>
      </c>
    </row>
    <row r="278" spans="1:171" x14ac:dyDescent="0.25">
      <c r="A278" s="15">
        <v>43740</v>
      </c>
      <c r="B278" s="1"/>
      <c r="C278" s="1"/>
      <c r="D278" s="1"/>
      <c r="E278" s="14">
        <f>[1]Sheet2!N277</f>
        <v>0</v>
      </c>
      <c r="F278" s="14">
        <f>[1]Sheet2!BE277</f>
        <v>0</v>
      </c>
      <c r="G278" s="14">
        <f>[1]Sheet2!CW277</f>
        <v>0</v>
      </c>
      <c r="H278" s="1"/>
      <c r="I278" s="1"/>
      <c r="J278" s="1"/>
      <c r="K278" s="16"/>
      <c r="L278" s="16">
        <f>Demand_CWRS!B$12/31</f>
        <v>113.31027191894128</v>
      </c>
      <c r="M278" s="16">
        <f>Demand_CWRS!C$12/31</f>
        <v>480.06765922249781</v>
      </c>
      <c r="N278" s="16">
        <f>Demand_CWRS!D$12/31</f>
        <v>0</v>
      </c>
      <c r="O278" s="16">
        <f>Demand_CWRS!E$12/31</f>
        <v>103.22435897435898</v>
      </c>
      <c r="P278" s="16">
        <f>Demand_CWRS!F$12/31</f>
        <v>209.74544820099254</v>
      </c>
      <c r="Q278" s="16">
        <f>Demand_CWRS!G$12/31</f>
        <v>113.31027191894128</v>
      </c>
      <c r="R278" s="16">
        <f>Demand_CWRS!H$12/31</f>
        <v>209.74544820099254</v>
      </c>
      <c r="S278" s="16">
        <f>Demand_CWRS!I$12/31</f>
        <v>209.74544820099254</v>
      </c>
      <c r="T278" s="16">
        <f>Demand_CWRS!J$12/31</f>
        <v>209.74544820099254</v>
      </c>
      <c r="U278" s="16">
        <f>Demand_CWRS!K$12/31</f>
        <v>209.74544820099254</v>
      </c>
      <c r="V278" s="16">
        <f t="shared" si="126"/>
        <v>-31307.616696618985</v>
      </c>
      <c r="W278" s="16">
        <f t="shared" si="127"/>
        <v>-122186.78916459851</v>
      </c>
      <c r="X278" s="16">
        <f t="shared" si="128"/>
        <v>0</v>
      </c>
      <c r="Y278" s="16">
        <f t="shared" si="129"/>
        <v>-23146.923985718899</v>
      </c>
      <c r="Z278" s="16">
        <f t="shared" si="130"/>
        <v>-54448.697439529256</v>
      </c>
      <c r="AA278" s="16">
        <f t="shared" si="131"/>
        <v>-29835.684172580597</v>
      </c>
      <c r="AB278" s="16">
        <f t="shared" si="132"/>
        <v>-62313.862215170215</v>
      </c>
      <c r="AC278" s="16">
        <f t="shared" si="133"/>
        <v>-58192.851958760024</v>
      </c>
      <c r="AD278" s="16">
        <f t="shared" si="134"/>
        <v>-58292.851958760017</v>
      </c>
      <c r="AE278" s="16">
        <f t="shared" si="135"/>
        <v>-58892.851958760009</v>
      </c>
      <c r="AF278" s="14">
        <f>IF([1]Sheet2!AJ277=999999,"NA",[1]Sheet2!AJ277)</f>
        <v>0</v>
      </c>
      <c r="AG278" s="14">
        <f>IF([1]Sheet2!AK277=999999,"NA",[1]Sheet2!AK277)</f>
        <v>0</v>
      </c>
      <c r="AH278" s="14" t="str">
        <f>IF([1]Sheet2!AL277=999999,"NA",[1]Sheet2!AL277)</f>
        <v>NA</v>
      </c>
      <c r="AI278" s="14">
        <f>IF([1]Sheet2!AM277=999999,"NA",[1]Sheet2!AM277)</f>
        <v>0</v>
      </c>
      <c r="AJ278" s="14">
        <f>IF([1]Sheet2!AN277=999999,"NA",[1]Sheet2!AN277)</f>
        <v>0</v>
      </c>
      <c r="AK278" s="14">
        <f>IF([1]Sheet2!AO277=999999,"NA",[1]Sheet2!AO277)</f>
        <v>0</v>
      </c>
      <c r="AL278" s="14">
        <f>IF([1]Sheet2!AP277=999999,"NA",[1]Sheet2!AP277)</f>
        <v>0</v>
      </c>
      <c r="AM278" s="14">
        <f>IF([1]Sheet2!AQ277=999999,"NA",[1]Sheet2!AQ277)</f>
        <v>0</v>
      </c>
      <c r="AN278" s="14">
        <f>IF([1]Sheet2!AR277=999999,"NA",[1]Sheet2!AR277)</f>
        <v>0</v>
      </c>
      <c r="AO278" s="14">
        <f>IF([1]Sheet2!AS277=999999,"NA",[1]Sheet2!AS277)</f>
        <v>0</v>
      </c>
      <c r="AP278" s="14">
        <f>[1]Sheet2!P277</f>
        <v>0</v>
      </c>
      <c r="AQ278" s="14">
        <f>[1]Sheet2!Q277</f>
        <v>0</v>
      </c>
      <c r="AR278" s="14">
        <f>[1]Sheet2!R277</f>
        <v>0</v>
      </c>
      <c r="AS278" s="14">
        <f>[1]Sheet2!S277</f>
        <v>0</v>
      </c>
      <c r="AT278" s="14">
        <f>[1]Sheet2!T277</f>
        <v>0</v>
      </c>
      <c r="AU278" s="14">
        <f>[1]Sheet2!U277</f>
        <v>2828</v>
      </c>
      <c r="AV278" s="14">
        <f>[1]Sheet2!V277</f>
        <v>1672</v>
      </c>
      <c r="AW278" s="14">
        <f>[1]Sheet2!W277</f>
        <v>0</v>
      </c>
      <c r="AX278" s="14">
        <f>[1]Sheet2!X277</f>
        <v>0</v>
      </c>
      <c r="AY278" s="14">
        <f>[1]Sheet2!Y277</f>
        <v>0</v>
      </c>
      <c r="AZ278" s="16">
        <f>Demand_LP!B$12/31</f>
        <v>866.47279518196865</v>
      </c>
      <c r="BA278" s="16">
        <f>Demand_LP!C$12/31</f>
        <v>577.62712985938799</v>
      </c>
      <c r="BB278" s="16">
        <f>Demand_LP!D$12/31</f>
        <v>262.18502894954509</v>
      </c>
      <c r="BC278" s="16">
        <f>Demand_LP!E$12/31</f>
        <v>766.03229942100904</v>
      </c>
      <c r="BD278" s="16">
        <f>Demand_LP!F$12/31</f>
        <v>516.10499638130682</v>
      </c>
      <c r="BE278" s="16">
        <f>Demand_LP!G$12/31</f>
        <v>516.10499638130682</v>
      </c>
      <c r="BF278" s="16">
        <f>Demand_LP!H$12/31</f>
        <v>577.62712985938799</v>
      </c>
      <c r="BG278" s="16">
        <f>Demand_LP!I$12/31</f>
        <v>516.10499638130682</v>
      </c>
      <c r="BH278" s="16">
        <f>Demand_LP!J$12/31</f>
        <v>516.10499638130682</v>
      </c>
      <c r="BI278" s="16">
        <f>Demand_LP!K$12/31</f>
        <v>516.10499638130682</v>
      </c>
      <c r="BJ278" s="16">
        <f t="shared" si="136"/>
        <v>-200476.68447795082</v>
      </c>
      <c r="BK278" s="16">
        <f t="shared" si="137"/>
        <v>-153361.31836228285</v>
      </c>
      <c r="BL278" s="16">
        <f t="shared" si="138"/>
        <v>-74501.111083540352</v>
      </c>
      <c r="BM278" s="16">
        <f t="shared" si="139"/>
        <v>-195752.53509543341</v>
      </c>
      <c r="BN278" s="16">
        <f t="shared" si="140"/>
        <v>-117681.24748464841</v>
      </c>
      <c r="BO278" s="16">
        <f t="shared" si="141"/>
        <v>-116138.93140301915</v>
      </c>
      <c r="BP278" s="16">
        <f t="shared" si="142"/>
        <v>-152275.8978494622</v>
      </c>
      <c r="BQ278" s="16">
        <f t="shared" si="143"/>
        <v>-120445.93140301915</v>
      </c>
      <c r="BR278" s="16">
        <f t="shared" si="144"/>
        <v>-118045.93140301919</v>
      </c>
      <c r="BS278" s="16">
        <f t="shared" si="145"/>
        <v>-118745.93140301917</v>
      </c>
      <c r="BT278" s="14">
        <f>IF([1]Sheet2!CB277=999999,"NA",[1]Sheet2!CB277)</f>
        <v>0</v>
      </c>
      <c r="BU278" s="14">
        <f>IF([1]Sheet2!CC277=999999,"NA",[1]Sheet2!CC277)</f>
        <v>0</v>
      </c>
      <c r="BV278" s="14">
        <f>IF([1]Sheet2!CD277=999999,"NA",[1]Sheet2!CD277)</f>
        <v>0</v>
      </c>
      <c r="BW278" s="14">
        <f>IF([1]Sheet2!CE277=999999,"NA",[1]Sheet2!CE277)</f>
        <v>0</v>
      </c>
      <c r="BX278" s="14">
        <f>IF([1]Sheet2!CF277=999999,"NA",[1]Sheet2!CF277)</f>
        <v>0</v>
      </c>
      <c r="BY278" s="14">
        <f>IF([1]Sheet2!CG277=999999,"NA",[1]Sheet2!CG277)</f>
        <v>0</v>
      </c>
      <c r="BZ278" s="14">
        <f>IF([1]Sheet2!CH277=999999,"NA",[1]Sheet2!CH277)</f>
        <v>0</v>
      </c>
      <c r="CA278" s="14">
        <f>IF([1]Sheet2!CI277=999999,"NA",[1]Sheet2!CI277)</f>
        <v>0</v>
      </c>
      <c r="CB278" s="14">
        <f>IF([1]Sheet2!CJ277=999999,"NA",[1]Sheet2!CJ277)</f>
        <v>0</v>
      </c>
      <c r="CC278" s="14">
        <f>IF([1]Sheet2!CK277=999999,"NA",[1]Sheet2!CK277)</f>
        <v>0</v>
      </c>
      <c r="CD278" s="14">
        <f>[1]Sheet2!BH277</f>
        <v>0</v>
      </c>
      <c r="CE278" s="14">
        <f>[1]Sheet2!BI277</f>
        <v>0</v>
      </c>
      <c r="CF278" s="14">
        <f>[1]Sheet2!BJ277</f>
        <v>0</v>
      </c>
      <c r="CG278" s="14">
        <f>[1]Sheet2!BK277</f>
        <v>0</v>
      </c>
      <c r="CH278" s="14">
        <f>[1]Sheet2!BL277</f>
        <v>0</v>
      </c>
      <c r="CI278" s="45">
        <f>[1]Sheet2!BM277</f>
        <v>4307</v>
      </c>
      <c r="CJ278" s="45">
        <f>[1]Sheet2!BN277</f>
        <v>193</v>
      </c>
      <c r="CK278" s="14">
        <f>[1]Sheet2!BO277</f>
        <v>0</v>
      </c>
      <c r="CL278" s="14">
        <f>[1]Sheet2!BP277</f>
        <v>0</v>
      </c>
      <c r="CM278" s="14">
        <f>[1]Sheet2!BQ277</f>
        <v>0</v>
      </c>
      <c r="CN278" s="16">
        <f>Demand_SW!B$12/31</f>
        <v>139.57816377171216</v>
      </c>
      <c r="CO278" s="16">
        <f>Demand_SW!C$12/31</f>
        <v>0</v>
      </c>
      <c r="CP278" s="16">
        <f>Demand_SW!D$12/31</f>
        <v>0</v>
      </c>
      <c r="CQ278" s="16">
        <f>Demand_SW!E$12/31</f>
        <v>0</v>
      </c>
      <c r="CR278" s="16">
        <f>Demand_SW!F$12/31</f>
        <v>0</v>
      </c>
      <c r="CS278" s="16">
        <f>Demand_SW!G$12/31</f>
        <v>139.57816377171216</v>
      </c>
      <c r="CT278" s="16">
        <f>Demand_SW!H$12/31</f>
        <v>0</v>
      </c>
      <c r="CU278" s="16">
        <f>Demand_SW!I$12/31</f>
        <v>0</v>
      </c>
      <c r="CV278" s="16">
        <f>Demand_SW!J$12/31</f>
        <v>0</v>
      </c>
      <c r="CW278" s="16">
        <f>Demand_SW!K$12/31</f>
        <v>0</v>
      </c>
      <c r="CX278" s="16">
        <f t="shared" si="146"/>
        <v>-14326.848635235776</v>
      </c>
      <c r="CY278" s="16">
        <f t="shared" si="147"/>
        <v>76.923076923077133</v>
      </c>
      <c r="CZ278" s="16">
        <f t="shared" si="148"/>
        <v>0</v>
      </c>
      <c r="DA278" s="16">
        <f t="shared" si="149"/>
        <v>0</v>
      </c>
      <c r="DB278" s="16">
        <f t="shared" si="150"/>
        <v>0</v>
      </c>
      <c r="DC278" s="16">
        <f t="shared" si="151"/>
        <v>-15558.079404466545</v>
      </c>
      <c r="DD278" s="16">
        <f t="shared" si="152"/>
        <v>76.923076923077133</v>
      </c>
      <c r="DE278" s="16">
        <f t="shared" si="153"/>
        <v>0</v>
      </c>
      <c r="DF278" s="16">
        <f t="shared" si="154"/>
        <v>0</v>
      </c>
      <c r="DG278" s="16">
        <f t="shared" si="155"/>
        <v>0</v>
      </c>
      <c r="DH278" s="14">
        <f>IF([1]Sheet2!DS277=999999,"NA",[1]Sheet2!DS277)</f>
        <v>0</v>
      </c>
      <c r="DI278" s="14">
        <f>IF([1]Sheet2!DT277=999999,"NA",[1]Sheet2!DT277)</f>
        <v>90</v>
      </c>
      <c r="DJ278" s="14" t="str">
        <f>IF([1]Sheet2!DU277=999999,"NA",[1]Sheet2!DU277)</f>
        <v>NA</v>
      </c>
      <c r="DK278" s="14" t="str">
        <f>IF([1]Sheet2!DV277=999999,"NA",[1]Sheet2!DV277)</f>
        <v>NA</v>
      </c>
      <c r="DL278" s="14" t="str">
        <f>IF([1]Sheet2!DW277=999999,"NA",[1]Sheet2!DW277)</f>
        <v>NA</v>
      </c>
      <c r="DM278" s="14">
        <f>IF([1]Sheet2!DX277=999999,"NA",[1]Sheet2!DX277)</f>
        <v>0</v>
      </c>
      <c r="DN278" s="14">
        <f>IF([1]Sheet2!DY277=999999,"NA",[1]Sheet2!DY277)</f>
        <v>90</v>
      </c>
      <c r="DO278" s="14" t="str">
        <f>IF([1]Sheet2!DZ277=999999,"NA",[1]Sheet2!DZ277)</f>
        <v>NA</v>
      </c>
      <c r="DP278" s="14" t="str">
        <f>IF([1]Sheet2!EA277=999999,"NA",[1]Sheet2!EA277)</f>
        <v>NA</v>
      </c>
      <c r="DQ278" s="14" t="str">
        <f>IF([1]Sheet2!EB277=999999,"NA",[1]Sheet2!EB277)</f>
        <v>NA</v>
      </c>
      <c r="DR278" s="14">
        <f>[1]Sheet2!CY277</f>
        <v>0</v>
      </c>
      <c r="DS278" s="14">
        <f>[1]Sheet2!CZ277</f>
        <v>0</v>
      </c>
      <c r="DT278" s="14">
        <f>[1]Sheet2!DA277</f>
        <v>0</v>
      </c>
      <c r="DU278" s="14">
        <f>[1]Sheet2!DB277</f>
        <v>0</v>
      </c>
      <c r="DV278" s="14">
        <f>[1]Sheet2!DC277</f>
        <v>0</v>
      </c>
      <c r="DW278" s="14">
        <f>[1]Sheet2!DD277</f>
        <v>0</v>
      </c>
      <c r="DX278" s="14">
        <f>[1]Sheet2!DE277</f>
        <v>0</v>
      </c>
      <c r="DY278" s="14">
        <f>[1]Sheet2!DF277</f>
        <v>0</v>
      </c>
      <c r="DZ278" s="14">
        <f>[1]Sheet2!DG277</f>
        <v>0</v>
      </c>
      <c r="EA278" s="14">
        <f>[1]Sheet2!DH277</f>
        <v>0</v>
      </c>
      <c r="EB278" s="6">
        <f>[1]Sheet2!EC277</f>
        <v>0</v>
      </c>
      <c r="EC278" s="6">
        <f>[1]Sheet2!ED277</f>
        <v>0</v>
      </c>
      <c r="ED278" s="6">
        <f>[1]Sheet2!EE277</f>
        <v>0</v>
      </c>
      <c r="EE278" s="6">
        <f>[1]Sheet2!EF277</f>
        <v>0</v>
      </c>
      <c r="EF278" s="6">
        <f>[1]Sheet2!EG277</f>
        <v>0</v>
      </c>
      <c r="EG278" s="6" t="str">
        <f>[1]Sheet2!EH277</f>
        <v>Arg</v>
      </c>
      <c r="EH278" s="6" t="str">
        <f>[1]Sheet2!EI277</f>
        <v>Arg</v>
      </c>
      <c r="EI278" s="6">
        <f>[1]Sheet2!EJ277</f>
        <v>0</v>
      </c>
      <c r="EJ278" s="6">
        <f>[1]Sheet2!EK277</f>
        <v>0</v>
      </c>
      <c r="EK278" s="6">
        <f>[1]Sheet2!EL277</f>
        <v>0</v>
      </c>
      <c r="EL278" s="6" t="str">
        <f>[1]Sheet2!EM277</f>
        <v/>
      </c>
      <c r="EM278" s="6" t="str">
        <f>[1]Sheet2!EN277</f>
        <v/>
      </c>
      <c r="EN278" s="6" t="str">
        <f>[1]Sheet2!EO277</f>
        <v/>
      </c>
      <c r="EO278" s="6" t="str">
        <f>[1]Sheet2!EP277</f>
        <v/>
      </c>
      <c r="EP278" s="6" t="str">
        <f>[1]Sheet2!EQ277</f>
        <v/>
      </c>
      <c r="EQ278" s="6" t="str">
        <f>[1]Sheet2!ER277</f>
        <v/>
      </c>
      <c r="ER278" s="6" t="str">
        <f>[1]Sheet2!ES277</f>
        <v/>
      </c>
      <c r="ES278" s="6" t="str">
        <f>[1]Sheet2!ET277</f>
        <v/>
      </c>
      <c r="ET278" s="6" t="str">
        <f>[1]Sheet2!EU277</f>
        <v/>
      </c>
      <c r="EU278" s="6" t="str">
        <f>[1]Sheet2!EV277</f>
        <v/>
      </c>
      <c r="EV278" s="6" t="str">
        <f>[1]Sheet2!EW277</f>
        <v/>
      </c>
      <c r="EW278" s="6" t="str">
        <f>[1]Sheet2!EX277</f>
        <v/>
      </c>
      <c r="EX278" s="6" t="str">
        <f>[1]Sheet2!EY277</f>
        <v/>
      </c>
      <c r="EY278" s="6" t="str">
        <f>[1]Sheet2!EZ277</f>
        <v/>
      </c>
      <c r="EZ278" s="6" t="str">
        <f>[1]Sheet2!FA277</f>
        <v/>
      </c>
      <c r="FA278" s="6" t="str">
        <f>[1]Sheet2!FB277</f>
        <v/>
      </c>
      <c r="FB278" s="6" t="str">
        <f>[1]Sheet2!FC277</f>
        <v/>
      </c>
      <c r="FC278" s="6" t="str">
        <f>[1]Sheet2!FD277</f>
        <v/>
      </c>
      <c r="FD278" s="6" t="str">
        <f>[1]Sheet2!FE277</f>
        <v/>
      </c>
      <c r="FE278" s="6" t="str">
        <f>[1]Sheet2!FF277</f>
        <v/>
      </c>
      <c r="FF278" s="6" t="str">
        <f>[1]Sheet2!FG277</f>
        <v/>
      </c>
      <c r="FG278" s="6" t="str">
        <f>[1]Sheet2!FH277</f>
        <v/>
      </c>
      <c r="FH278" s="6" t="str">
        <f>[1]Sheet2!FI277</f>
        <v/>
      </c>
      <c r="FI278" s="6" t="str">
        <f>[1]Sheet2!FJ277</f>
        <v/>
      </c>
      <c r="FJ278" s="6" t="str">
        <f>[1]Sheet2!FK277</f>
        <v/>
      </c>
      <c r="FK278" s="6" t="str">
        <f>[1]Sheet2!FL277</f>
        <v/>
      </c>
      <c r="FL278" s="6" t="str">
        <f>[1]Sheet2!FM277</f>
        <v/>
      </c>
      <c r="FM278" s="6" t="str">
        <f>[1]Sheet2!FN277</f>
        <v/>
      </c>
      <c r="FN278" s="6" t="str">
        <f>[1]Sheet2!FO277</f>
        <v/>
      </c>
      <c r="FO278" s="6" t="str">
        <f>[1]Sheet2!FP277</f>
        <v/>
      </c>
    </row>
    <row r="279" spans="1:171" x14ac:dyDescent="0.25">
      <c r="A279" s="15">
        <v>43741</v>
      </c>
      <c r="B279" s="1"/>
      <c r="C279" s="1"/>
      <c r="D279" s="1"/>
      <c r="E279" s="14">
        <f>[1]Sheet2!N278</f>
        <v>0</v>
      </c>
      <c r="F279" s="14">
        <f>[1]Sheet2!BE278</f>
        <v>0</v>
      </c>
      <c r="G279" s="14">
        <f>[1]Sheet2!CW278</f>
        <v>0</v>
      </c>
      <c r="H279" s="1"/>
      <c r="I279" s="1"/>
      <c r="J279" s="1"/>
      <c r="K279" s="16"/>
      <c r="L279" s="16">
        <f>Demand_CWRS!B$12/31</f>
        <v>113.31027191894128</v>
      </c>
      <c r="M279" s="16">
        <f>Demand_CWRS!C$12/31</f>
        <v>480.06765922249781</v>
      </c>
      <c r="N279" s="16">
        <f>Demand_CWRS!D$12/31</f>
        <v>0</v>
      </c>
      <c r="O279" s="16">
        <f>Demand_CWRS!E$12/31</f>
        <v>103.22435897435898</v>
      </c>
      <c r="P279" s="16">
        <f>Demand_CWRS!F$12/31</f>
        <v>209.74544820099254</v>
      </c>
      <c r="Q279" s="16">
        <f>Demand_CWRS!G$12/31</f>
        <v>113.31027191894128</v>
      </c>
      <c r="R279" s="16">
        <f>Demand_CWRS!H$12/31</f>
        <v>209.74544820099254</v>
      </c>
      <c r="S279" s="16">
        <f>Demand_CWRS!I$12/31</f>
        <v>209.74544820099254</v>
      </c>
      <c r="T279" s="16">
        <f>Demand_CWRS!J$12/31</f>
        <v>209.74544820099254</v>
      </c>
      <c r="U279" s="16">
        <f>Demand_CWRS!K$12/31</f>
        <v>209.74544820099254</v>
      </c>
      <c r="V279" s="16">
        <f t="shared" si="126"/>
        <v>-31420.926968537926</v>
      </c>
      <c r="W279" s="16">
        <f t="shared" si="127"/>
        <v>-122666.856823821</v>
      </c>
      <c r="X279" s="16">
        <f t="shared" si="128"/>
        <v>0</v>
      </c>
      <c r="Y279" s="16">
        <f t="shared" si="129"/>
        <v>-23250.148344693258</v>
      </c>
      <c r="Z279" s="16">
        <f t="shared" si="130"/>
        <v>-54658.442887730249</v>
      </c>
      <c r="AA279" s="16">
        <f t="shared" si="131"/>
        <v>-29948.994444499538</v>
      </c>
      <c r="AB279" s="16">
        <f t="shared" si="132"/>
        <v>-58967.607663371207</v>
      </c>
      <c r="AC279" s="16">
        <f t="shared" si="133"/>
        <v>-57458.597406961017</v>
      </c>
      <c r="AD279" s="16">
        <f t="shared" si="134"/>
        <v>-58502.597406961009</v>
      </c>
      <c r="AE279" s="16">
        <f t="shared" si="135"/>
        <v>-59102.597406961002</v>
      </c>
      <c r="AF279" s="14">
        <f>IF([1]Sheet2!AJ278=999999,"NA",[1]Sheet2!AJ278)</f>
        <v>0</v>
      </c>
      <c r="AG279" s="14">
        <f>IF([1]Sheet2!AK278=999999,"NA",[1]Sheet2!AK278)</f>
        <v>0</v>
      </c>
      <c r="AH279" s="14" t="str">
        <f>IF([1]Sheet2!AL278=999999,"NA",[1]Sheet2!AL278)</f>
        <v>NA</v>
      </c>
      <c r="AI279" s="14">
        <f>IF([1]Sheet2!AM278=999999,"NA",[1]Sheet2!AM278)</f>
        <v>0</v>
      </c>
      <c r="AJ279" s="14">
        <f>IF([1]Sheet2!AN278=999999,"NA",[1]Sheet2!AN278)</f>
        <v>0</v>
      </c>
      <c r="AK279" s="14">
        <f>IF([1]Sheet2!AO278=999999,"NA",[1]Sheet2!AO278)</f>
        <v>0</v>
      </c>
      <c r="AL279" s="14">
        <f>IF([1]Sheet2!AP278=999999,"NA",[1]Sheet2!AP278)</f>
        <v>0</v>
      </c>
      <c r="AM279" s="14">
        <f>IF([1]Sheet2!AQ278=999999,"NA",[1]Sheet2!AQ278)</f>
        <v>0</v>
      </c>
      <c r="AN279" s="14">
        <f>IF([1]Sheet2!AR278=999999,"NA",[1]Sheet2!AR278)</f>
        <v>0</v>
      </c>
      <c r="AO279" s="14">
        <f>IF([1]Sheet2!AS278=999999,"NA",[1]Sheet2!AS278)</f>
        <v>0</v>
      </c>
      <c r="AP279" s="14">
        <f>[1]Sheet2!P278</f>
        <v>0</v>
      </c>
      <c r="AQ279" s="14">
        <f>[1]Sheet2!Q278</f>
        <v>0</v>
      </c>
      <c r="AR279" s="14">
        <f>[1]Sheet2!R278</f>
        <v>0</v>
      </c>
      <c r="AS279" s="14">
        <f>[1]Sheet2!S278</f>
        <v>0</v>
      </c>
      <c r="AT279" s="14">
        <f>[1]Sheet2!T278</f>
        <v>0</v>
      </c>
      <c r="AU279" s="14">
        <f>[1]Sheet2!U278</f>
        <v>0</v>
      </c>
      <c r="AV279" s="14">
        <f>[1]Sheet2!V278</f>
        <v>3556</v>
      </c>
      <c r="AW279" s="14">
        <f>[1]Sheet2!W278</f>
        <v>944</v>
      </c>
      <c r="AX279" s="14">
        <f>[1]Sheet2!X278</f>
        <v>0</v>
      </c>
      <c r="AY279" s="14">
        <f>[1]Sheet2!Y278</f>
        <v>0</v>
      </c>
      <c r="AZ279" s="16">
        <f>Demand_LP!B$12/31</f>
        <v>866.47279518196865</v>
      </c>
      <c r="BA279" s="16">
        <f>Demand_LP!C$12/31</f>
        <v>577.62712985938799</v>
      </c>
      <c r="BB279" s="16">
        <f>Demand_LP!D$12/31</f>
        <v>262.18502894954509</v>
      </c>
      <c r="BC279" s="16">
        <f>Demand_LP!E$12/31</f>
        <v>766.03229942100904</v>
      </c>
      <c r="BD279" s="16">
        <f>Demand_LP!F$12/31</f>
        <v>516.10499638130682</v>
      </c>
      <c r="BE279" s="16">
        <f>Demand_LP!G$12/31</f>
        <v>516.10499638130682</v>
      </c>
      <c r="BF279" s="16">
        <f>Demand_LP!H$12/31</f>
        <v>577.62712985938799</v>
      </c>
      <c r="BG279" s="16">
        <f>Demand_LP!I$12/31</f>
        <v>516.10499638130682</v>
      </c>
      <c r="BH279" s="16">
        <f>Demand_LP!J$12/31</f>
        <v>516.10499638130682</v>
      </c>
      <c r="BI279" s="16">
        <f>Demand_LP!K$12/31</f>
        <v>516.10499638130682</v>
      </c>
      <c r="BJ279" s="16">
        <f t="shared" si="136"/>
        <v>-201343.15727313279</v>
      </c>
      <c r="BK279" s="16">
        <f t="shared" si="137"/>
        <v>-153938.94549214223</v>
      </c>
      <c r="BL279" s="16">
        <f t="shared" si="138"/>
        <v>-74763.296112489901</v>
      </c>
      <c r="BM279" s="16">
        <f t="shared" si="139"/>
        <v>-196518.56739485441</v>
      </c>
      <c r="BN279" s="16">
        <f t="shared" si="140"/>
        <v>-118197.35248102972</v>
      </c>
      <c r="BO279" s="16">
        <f t="shared" si="141"/>
        <v>-116655.03639940046</v>
      </c>
      <c r="BP279" s="16">
        <f t="shared" si="142"/>
        <v>-148353.52497932158</v>
      </c>
      <c r="BQ279" s="16">
        <f t="shared" si="143"/>
        <v>-120962.03639940046</v>
      </c>
      <c r="BR279" s="16">
        <f t="shared" si="144"/>
        <v>-118562.0363994005</v>
      </c>
      <c r="BS279" s="16">
        <f t="shared" si="145"/>
        <v>-119262.03639940049</v>
      </c>
      <c r="BT279" s="14">
        <f>IF([1]Sheet2!CB278=999999,"NA",[1]Sheet2!CB278)</f>
        <v>0</v>
      </c>
      <c r="BU279" s="14">
        <f>IF([1]Sheet2!CC278=999999,"NA",[1]Sheet2!CC278)</f>
        <v>0</v>
      </c>
      <c r="BV279" s="14">
        <f>IF([1]Sheet2!CD278=999999,"NA",[1]Sheet2!CD278)</f>
        <v>0</v>
      </c>
      <c r="BW279" s="14">
        <f>IF([1]Sheet2!CE278=999999,"NA",[1]Sheet2!CE278)</f>
        <v>0</v>
      </c>
      <c r="BX279" s="14">
        <f>IF([1]Sheet2!CF278=999999,"NA",[1]Sheet2!CF278)</f>
        <v>0</v>
      </c>
      <c r="BY279" s="14">
        <f>IF([1]Sheet2!CG278=999999,"NA",[1]Sheet2!CG278)</f>
        <v>0</v>
      </c>
      <c r="BZ279" s="14">
        <f>IF([1]Sheet2!CH278=999999,"NA",[1]Sheet2!CH278)</f>
        <v>0</v>
      </c>
      <c r="CA279" s="14">
        <f>IF([1]Sheet2!CI278=999999,"NA",[1]Sheet2!CI278)</f>
        <v>0</v>
      </c>
      <c r="CB279" s="14">
        <f>IF([1]Sheet2!CJ278=999999,"NA",[1]Sheet2!CJ278)</f>
        <v>0</v>
      </c>
      <c r="CC279" s="14">
        <f>IF([1]Sheet2!CK278=999999,"NA",[1]Sheet2!CK278)</f>
        <v>0</v>
      </c>
      <c r="CD279" s="14">
        <f>[1]Sheet2!BH278</f>
        <v>0</v>
      </c>
      <c r="CE279" s="14">
        <f>[1]Sheet2!BI278</f>
        <v>0</v>
      </c>
      <c r="CF279" s="14">
        <f>[1]Sheet2!BJ278</f>
        <v>0</v>
      </c>
      <c r="CG279" s="14">
        <f>[1]Sheet2!BK278</f>
        <v>0</v>
      </c>
      <c r="CH279" s="14">
        <f>[1]Sheet2!BL278</f>
        <v>0</v>
      </c>
      <c r="CI279" s="14">
        <f>[1]Sheet2!BM278</f>
        <v>0</v>
      </c>
      <c r="CJ279" s="45">
        <f>[1]Sheet2!BN278</f>
        <v>4500</v>
      </c>
      <c r="CK279" s="14">
        <f>[1]Sheet2!BO278</f>
        <v>0</v>
      </c>
      <c r="CL279" s="14">
        <f>[1]Sheet2!BP278</f>
        <v>0</v>
      </c>
      <c r="CM279" s="14">
        <f>[1]Sheet2!BQ278</f>
        <v>0</v>
      </c>
      <c r="CN279" s="16">
        <f>Demand_SW!B$12/31</f>
        <v>139.57816377171216</v>
      </c>
      <c r="CO279" s="16">
        <f>Demand_SW!C$12/31</f>
        <v>0</v>
      </c>
      <c r="CP279" s="16">
        <f>Demand_SW!D$12/31</f>
        <v>0</v>
      </c>
      <c r="CQ279" s="16">
        <f>Demand_SW!E$12/31</f>
        <v>0</v>
      </c>
      <c r="CR279" s="16">
        <f>Demand_SW!F$12/31</f>
        <v>0</v>
      </c>
      <c r="CS279" s="16">
        <f>Demand_SW!G$12/31</f>
        <v>139.57816377171216</v>
      </c>
      <c r="CT279" s="16">
        <f>Demand_SW!H$12/31</f>
        <v>0</v>
      </c>
      <c r="CU279" s="16">
        <f>Demand_SW!I$12/31</f>
        <v>0</v>
      </c>
      <c r="CV279" s="16">
        <f>Demand_SW!J$12/31</f>
        <v>0</v>
      </c>
      <c r="CW279" s="16">
        <f>Demand_SW!K$12/31</f>
        <v>0</v>
      </c>
      <c r="CX279" s="16">
        <f t="shared" si="146"/>
        <v>-14466.426799007488</v>
      </c>
      <c r="CY279" s="16">
        <f t="shared" si="147"/>
        <v>76.923076923077133</v>
      </c>
      <c r="CZ279" s="16">
        <f t="shared" si="148"/>
        <v>0</v>
      </c>
      <c r="DA279" s="16">
        <f t="shared" si="149"/>
        <v>0</v>
      </c>
      <c r="DB279" s="16">
        <f t="shared" si="150"/>
        <v>0</v>
      </c>
      <c r="DC279" s="16">
        <f t="shared" si="151"/>
        <v>-15697.657568238257</v>
      </c>
      <c r="DD279" s="16">
        <f t="shared" si="152"/>
        <v>76.923076923077133</v>
      </c>
      <c r="DE279" s="16">
        <f t="shared" si="153"/>
        <v>0</v>
      </c>
      <c r="DF279" s="16">
        <f t="shared" si="154"/>
        <v>0</v>
      </c>
      <c r="DG279" s="16">
        <f t="shared" si="155"/>
        <v>0</v>
      </c>
      <c r="DH279" s="14">
        <f>IF([1]Sheet2!DS278=999999,"NA",[1]Sheet2!DS278)</f>
        <v>0</v>
      </c>
      <c r="DI279" s="14">
        <f>IF([1]Sheet2!DT278=999999,"NA",[1]Sheet2!DT278)</f>
        <v>89</v>
      </c>
      <c r="DJ279" s="14" t="str">
        <f>IF([1]Sheet2!DU278=999999,"NA",[1]Sheet2!DU278)</f>
        <v>NA</v>
      </c>
      <c r="DK279" s="14" t="str">
        <f>IF([1]Sheet2!DV278=999999,"NA",[1]Sheet2!DV278)</f>
        <v>NA</v>
      </c>
      <c r="DL279" s="14" t="str">
        <f>IF([1]Sheet2!DW278=999999,"NA",[1]Sheet2!DW278)</f>
        <v>NA</v>
      </c>
      <c r="DM279" s="14">
        <f>IF([1]Sheet2!DX278=999999,"NA",[1]Sheet2!DX278)</f>
        <v>0</v>
      </c>
      <c r="DN279" s="14">
        <f>IF([1]Sheet2!DY278=999999,"NA",[1]Sheet2!DY278)</f>
        <v>89</v>
      </c>
      <c r="DO279" s="14" t="str">
        <f>IF([1]Sheet2!DZ278=999999,"NA",[1]Sheet2!DZ278)</f>
        <v>NA</v>
      </c>
      <c r="DP279" s="14" t="str">
        <f>IF([1]Sheet2!EA278=999999,"NA",[1]Sheet2!EA278)</f>
        <v>NA</v>
      </c>
      <c r="DQ279" s="14" t="str">
        <f>IF([1]Sheet2!EB278=999999,"NA",[1]Sheet2!EB278)</f>
        <v>NA</v>
      </c>
      <c r="DR279" s="14">
        <f>[1]Sheet2!CY278</f>
        <v>0</v>
      </c>
      <c r="DS279" s="14">
        <f>[1]Sheet2!CZ278</f>
        <v>0</v>
      </c>
      <c r="DT279" s="14">
        <f>[1]Sheet2!DA278</f>
        <v>0</v>
      </c>
      <c r="DU279" s="14">
        <f>[1]Sheet2!DB278</f>
        <v>0</v>
      </c>
      <c r="DV279" s="14">
        <f>[1]Sheet2!DC278</f>
        <v>0</v>
      </c>
      <c r="DW279" s="14">
        <f>[1]Sheet2!DD278</f>
        <v>0</v>
      </c>
      <c r="DX279" s="14">
        <f>[1]Sheet2!DE278</f>
        <v>0</v>
      </c>
      <c r="DY279" s="14">
        <f>[1]Sheet2!DF278</f>
        <v>0</v>
      </c>
      <c r="DZ279" s="14">
        <f>[1]Sheet2!DG278</f>
        <v>0</v>
      </c>
      <c r="EA279" s="14">
        <f>[1]Sheet2!DH278</f>
        <v>0</v>
      </c>
      <c r="EB279" s="6">
        <f>[1]Sheet2!EC278</f>
        <v>0</v>
      </c>
      <c r="EC279" s="6">
        <f>[1]Sheet2!ED278</f>
        <v>0</v>
      </c>
      <c r="ED279" s="6">
        <f>[1]Sheet2!EE278</f>
        <v>0</v>
      </c>
      <c r="EE279" s="6">
        <f>[1]Sheet2!EF278</f>
        <v>0</v>
      </c>
      <c r="EF279" s="6">
        <f>[1]Sheet2!EG278</f>
        <v>0</v>
      </c>
      <c r="EG279" s="6">
        <f>[1]Sheet2!EH278</f>
        <v>0</v>
      </c>
      <c r="EH279" s="6" t="str">
        <f>[1]Sheet2!EI278</f>
        <v>Arg</v>
      </c>
      <c r="EI279" s="6">
        <f>[1]Sheet2!EJ278</f>
        <v>0</v>
      </c>
      <c r="EJ279" s="6">
        <f>[1]Sheet2!EK278</f>
        <v>0</v>
      </c>
      <c r="EK279" s="6">
        <f>[1]Sheet2!EL278</f>
        <v>0</v>
      </c>
      <c r="EL279" s="6" t="str">
        <f>[1]Sheet2!EM278</f>
        <v/>
      </c>
      <c r="EM279" s="6" t="str">
        <f>[1]Sheet2!EN278</f>
        <v/>
      </c>
      <c r="EN279" s="6" t="str">
        <f>[1]Sheet2!EO278</f>
        <v/>
      </c>
      <c r="EO279" s="6" t="str">
        <f>[1]Sheet2!EP278</f>
        <v/>
      </c>
      <c r="EP279" s="6" t="str">
        <f>[1]Sheet2!EQ278</f>
        <v/>
      </c>
      <c r="EQ279" s="6" t="str">
        <f>[1]Sheet2!ER278</f>
        <v/>
      </c>
      <c r="ER279" s="6" t="str">
        <f>[1]Sheet2!ES278</f>
        <v/>
      </c>
      <c r="ES279" s="6" t="str">
        <f>[1]Sheet2!ET278</f>
        <v/>
      </c>
      <c r="ET279" s="6" t="str">
        <f>[1]Sheet2!EU278</f>
        <v/>
      </c>
      <c r="EU279" s="6" t="str">
        <f>[1]Sheet2!EV278</f>
        <v/>
      </c>
      <c r="EV279" s="6" t="str">
        <f>[1]Sheet2!EW278</f>
        <v/>
      </c>
      <c r="EW279" s="6" t="str">
        <f>[1]Sheet2!EX278</f>
        <v/>
      </c>
      <c r="EX279" s="6" t="str">
        <f>[1]Sheet2!EY278</f>
        <v/>
      </c>
      <c r="EY279" s="6" t="str">
        <f>[1]Sheet2!EZ278</f>
        <v/>
      </c>
      <c r="EZ279" s="6" t="str">
        <f>[1]Sheet2!FA278</f>
        <v/>
      </c>
      <c r="FA279" s="6" t="str">
        <f>[1]Sheet2!FB278</f>
        <v/>
      </c>
      <c r="FB279" s="6" t="str">
        <f>[1]Sheet2!FC278</f>
        <v/>
      </c>
      <c r="FC279" s="6" t="str">
        <f>[1]Sheet2!FD278</f>
        <v/>
      </c>
      <c r="FD279" s="6" t="str">
        <f>[1]Sheet2!FE278</f>
        <v/>
      </c>
      <c r="FE279" s="6" t="str">
        <f>[1]Sheet2!FF278</f>
        <v/>
      </c>
      <c r="FF279" s="6" t="str">
        <f>[1]Sheet2!FG278</f>
        <v/>
      </c>
      <c r="FG279" s="6" t="str">
        <f>[1]Sheet2!FH278</f>
        <v/>
      </c>
      <c r="FH279" s="6" t="str">
        <f>[1]Sheet2!FI278</f>
        <v/>
      </c>
      <c r="FI279" s="6" t="str">
        <f>[1]Sheet2!FJ278</f>
        <v/>
      </c>
      <c r="FJ279" s="6" t="str">
        <f>[1]Sheet2!FK278</f>
        <v/>
      </c>
      <c r="FK279" s="6" t="str">
        <f>[1]Sheet2!FL278</f>
        <v/>
      </c>
      <c r="FL279" s="6" t="str">
        <f>[1]Sheet2!FM278</f>
        <v/>
      </c>
      <c r="FM279" s="6" t="str">
        <f>[1]Sheet2!FN278</f>
        <v/>
      </c>
      <c r="FN279" s="6" t="str">
        <f>[1]Sheet2!FO278</f>
        <v/>
      </c>
      <c r="FO279" s="6" t="str">
        <f>[1]Sheet2!FP278</f>
        <v/>
      </c>
    </row>
    <row r="280" spans="1:171" x14ac:dyDescent="0.25">
      <c r="A280" s="15">
        <v>43742</v>
      </c>
      <c r="B280" s="1"/>
      <c r="C280" s="1"/>
      <c r="D280" s="1"/>
      <c r="E280" s="14">
        <f>[1]Sheet2!N279</f>
        <v>0</v>
      </c>
      <c r="F280" s="14">
        <f>[1]Sheet2!BE279</f>
        <v>0</v>
      </c>
      <c r="G280" s="14">
        <f>[1]Sheet2!CW279</f>
        <v>0</v>
      </c>
      <c r="H280" s="1"/>
      <c r="I280" s="1"/>
      <c r="J280" s="1"/>
      <c r="K280" s="16"/>
      <c r="L280" s="16">
        <f>Demand_CWRS!B$12/31</f>
        <v>113.31027191894128</v>
      </c>
      <c r="M280" s="16">
        <f>Demand_CWRS!C$12/31</f>
        <v>480.06765922249781</v>
      </c>
      <c r="N280" s="16">
        <f>Demand_CWRS!D$12/31</f>
        <v>0</v>
      </c>
      <c r="O280" s="16">
        <f>Demand_CWRS!E$12/31</f>
        <v>103.22435897435898</v>
      </c>
      <c r="P280" s="16">
        <f>Demand_CWRS!F$12/31</f>
        <v>209.74544820099254</v>
      </c>
      <c r="Q280" s="16">
        <f>Demand_CWRS!G$12/31</f>
        <v>113.31027191894128</v>
      </c>
      <c r="R280" s="16">
        <f>Demand_CWRS!H$12/31</f>
        <v>209.74544820099254</v>
      </c>
      <c r="S280" s="16">
        <f>Demand_CWRS!I$12/31</f>
        <v>209.74544820099254</v>
      </c>
      <c r="T280" s="16">
        <f>Demand_CWRS!J$12/31</f>
        <v>209.74544820099254</v>
      </c>
      <c r="U280" s="16">
        <f>Demand_CWRS!K$12/31</f>
        <v>209.74544820099254</v>
      </c>
      <c r="V280" s="16">
        <f t="shared" si="126"/>
        <v>-31534.237240456867</v>
      </c>
      <c r="W280" s="16">
        <f t="shared" si="127"/>
        <v>-123146.92448304349</v>
      </c>
      <c r="X280" s="16">
        <f t="shared" si="128"/>
        <v>0</v>
      </c>
      <c r="Y280" s="16">
        <f t="shared" si="129"/>
        <v>-23353.372703667617</v>
      </c>
      <c r="Z280" s="16">
        <f t="shared" si="130"/>
        <v>-54868.188335931241</v>
      </c>
      <c r="AA280" s="16">
        <f t="shared" si="131"/>
        <v>-30062.304716418479</v>
      </c>
      <c r="AB280" s="16">
        <f t="shared" si="132"/>
        <v>-59177.3531115722</v>
      </c>
      <c r="AC280" s="16">
        <f t="shared" si="133"/>
        <v>-53384.342855162009</v>
      </c>
      <c r="AD280" s="16">
        <f t="shared" si="134"/>
        <v>-58712.342855162002</v>
      </c>
      <c r="AE280" s="16">
        <f t="shared" si="135"/>
        <v>-59312.342855161995</v>
      </c>
      <c r="AF280" s="14">
        <f>IF([1]Sheet2!AJ279=999999,"NA",[1]Sheet2!AJ279)</f>
        <v>0</v>
      </c>
      <c r="AG280" s="14">
        <f>IF([1]Sheet2!AK279=999999,"NA",[1]Sheet2!AK279)</f>
        <v>0</v>
      </c>
      <c r="AH280" s="14" t="str">
        <f>IF([1]Sheet2!AL279=999999,"NA",[1]Sheet2!AL279)</f>
        <v>NA</v>
      </c>
      <c r="AI280" s="14">
        <f>IF([1]Sheet2!AM279=999999,"NA",[1]Sheet2!AM279)</f>
        <v>0</v>
      </c>
      <c r="AJ280" s="14">
        <f>IF([1]Sheet2!AN279=999999,"NA",[1]Sheet2!AN279)</f>
        <v>0</v>
      </c>
      <c r="AK280" s="14">
        <f>IF([1]Sheet2!AO279=999999,"NA",[1]Sheet2!AO279)</f>
        <v>0</v>
      </c>
      <c r="AL280" s="14">
        <f>IF([1]Sheet2!AP279=999999,"NA",[1]Sheet2!AP279)</f>
        <v>0</v>
      </c>
      <c r="AM280" s="14">
        <f>IF([1]Sheet2!AQ279=999999,"NA",[1]Sheet2!AQ279)</f>
        <v>0</v>
      </c>
      <c r="AN280" s="14">
        <f>IF([1]Sheet2!AR279=999999,"NA",[1]Sheet2!AR279)</f>
        <v>0</v>
      </c>
      <c r="AO280" s="14">
        <f>IF([1]Sheet2!AS279=999999,"NA",[1]Sheet2!AS279)</f>
        <v>0</v>
      </c>
      <c r="AP280" s="14">
        <f>[1]Sheet2!P279</f>
        <v>0</v>
      </c>
      <c r="AQ280" s="14">
        <f>[1]Sheet2!Q279</f>
        <v>0</v>
      </c>
      <c r="AR280" s="14">
        <f>[1]Sheet2!R279</f>
        <v>0</v>
      </c>
      <c r="AS280" s="14">
        <f>[1]Sheet2!S279</f>
        <v>0</v>
      </c>
      <c r="AT280" s="14">
        <f>[1]Sheet2!T279</f>
        <v>0</v>
      </c>
      <c r="AU280" s="14">
        <f>[1]Sheet2!U279</f>
        <v>0</v>
      </c>
      <c r="AV280" s="14">
        <f>[1]Sheet2!V279</f>
        <v>0</v>
      </c>
      <c r="AW280" s="14">
        <f>[1]Sheet2!W279</f>
        <v>4284</v>
      </c>
      <c r="AX280" s="14">
        <f>[1]Sheet2!X279</f>
        <v>0</v>
      </c>
      <c r="AY280" s="14">
        <f>[1]Sheet2!Y279</f>
        <v>0</v>
      </c>
      <c r="AZ280" s="16">
        <f>Demand_LP!B$12/31</f>
        <v>866.47279518196865</v>
      </c>
      <c r="BA280" s="16">
        <f>Demand_LP!C$12/31</f>
        <v>577.62712985938799</v>
      </c>
      <c r="BB280" s="16">
        <f>Demand_LP!D$12/31</f>
        <v>262.18502894954509</v>
      </c>
      <c r="BC280" s="16">
        <f>Demand_LP!E$12/31</f>
        <v>766.03229942100904</v>
      </c>
      <c r="BD280" s="16">
        <f>Demand_LP!F$12/31</f>
        <v>516.10499638130682</v>
      </c>
      <c r="BE280" s="16">
        <f>Demand_LP!G$12/31</f>
        <v>516.10499638130682</v>
      </c>
      <c r="BF280" s="16">
        <f>Demand_LP!H$12/31</f>
        <v>577.62712985938799</v>
      </c>
      <c r="BG280" s="16">
        <f>Demand_LP!I$12/31</f>
        <v>516.10499638130682</v>
      </c>
      <c r="BH280" s="16">
        <f>Demand_LP!J$12/31</f>
        <v>516.10499638130682</v>
      </c>
      <c r="BI280" s="16">
        <f>Demand_LP!K$12/31</f>
        <v>516.10499638130682</v>
      </c>
      <c r="BJ280" s="16">
        <f t="shared" si="136"/>
        <v>-202209.63006831476</v>
      </c>
      <c r="BK280" s="16">
        <f t="shared" si="137"/>
        <v>-154516.57262200161</v>
      </c>
      <c r="BL280" s="16">
        <f t="shared" si="138"/>
        <v>-75025.48114143945</v>
      </c>
      <c r="BM280" s="16">
        <f t="shared" si="139"/>
        <v>-197284.59969427541</v>
      </c>
      <c r="BN280" s="16">
        <f t="shared" si="140"/>
        <v>-118713.45747741104</v>
      </c>
      <c r="BO280" s="16">
        <f t="shared" si="141"/>
        <v>-117171.14139578177</v>
      </c>
      <c r="BP280" s="16">
        <f t="shared" si="142"/>
        <v>-148874.15210918096</v>
      </c>
      <c r="BQ280" s="16">
        <f t="shared" si="143"/>
        <v>-117171.14139578177</v>
      </c>
      <c r="BR280" s="16">
        <f t="shared" si="144"/>
        <v>-119078.14139578181</v>
      </c>
      <c r="BS280" s="16">
        <f t="shared" si="145"/>
        <v>-119778.1413957818</v>
      </c>
      <c r="BT280" s="14">
        <f>IF([1]Sheet2!CB279=999999,"NA",[1]Sheet2!CB279)</f>
        <v>0</v>
      </c>
      <c r="BU280" s="14">
        <f>IF([1]Sheet2!CC279=999999,"NA",[1]Sheet2!CC279)</f>
        <v>0</v>
      </c>
      <c r="BV280" s="14">
        <f>IF([1]Sheet2!CD279=999999,"NA",[1]Sheet2!CD279)</f>
        <v>0</v>
      </c>
      <c r="BW280" s="14">
        <f>IF([1]Sheet2!CE279=999999,"NA",[1]Sheet2!CE279)</f>
        <v>0</v>
      </c>
      <c r="BX280" s="14">
        <f>IF([1]Sheet2!CF279=999999,"NA",[1]Sheet2!CF279)</f>
        <v>0</v>
      </c>
      <c r="BY280" s="14">
        <f>IF([1]Sheet2!CG279=999999,"NA",[1]Sheet2!CG279)</f>
        <v>0</v>
      </c>
      <c r="BZ280" s="14">
        <f>IF([1]Sheet2!CH279=999999,"NA",[1]Sheet2!CH279)</f>
        <v>0</v>
      </c>
      <c r="CA280" s="14">
        <f>IF([1]Sheet2!CI279=999999,"NA",[1]Sheet2!CI279)</f>
        <v>0</v>
      </c>
      <c r="CB280" s="14">
        <f>IF([1]Sheet2!CJ279=999999,"NA",[1]Sheet2!CJ279)</f>
        <v>0</v>
      </c>
      <c r="CC280" s="14">
        <f>IF([1]Sheet2!CK279=999999,"NA",[1]Sheet2!CK279)</f>
        <v>0</v>
      </c>
      <c r="CD280" s="14">
        <f>[1]Sheet2!BH279</f>
        <v>0</v>
      </c>
      <c r="CE280" s="14">
        <f>[1]Sheet2!BI279</f>
        <v>0</v>
      </c>
      <c r="CF280" s="14">
        <f>[1]Sheet2!BJ279</f>
        <v>0</v>
      </c>
      <c r="CG280" s="14">
        <f>[1]Sheet2!BK279</f>
        <v>0</v>
      </c>
      <c r="CH280" s="14">
        <f>[1]Sheet2!BL279</f>
        <v>0</v>
      </c>
      <c r="CI280" s="14">
        <f>[1]Sheet2!BM279</f>
        <v>0</v>
      </c>
      <c r="CJ280" s="45">
        <f>[1]Sheet2!BN279</f>
        <v>57</v>
      </c>
      <c r="CK280" s="45">
        <f>[1]Sheet2!BO279</f>
        <v>4307</v>
      </c>
      <c r="CL280" s="14">
        <f>[1]Sheet2!BP279</f>
        <v>0</v>
      </c>
      <c r="CM280" s="14">
        <f>[1]Sheet2!BQ279</f>
        <v>0</v>
      </c>
      <c r="CN280" s="16">
        <f>Demand_SW!B$12/31</f>
        <v>139.57816377171216</v>
      </c>
      <c r="CO280" s="16">
        <f>Demand_SW!C$12/31</f>
        <v>0</v>
      </c>
      <c r="CP280" s="16">
        <f>Demand_SW!D$12/31</f>
        <v>0</v>
      </c>
      <c r="CQ280" s="16">
        <f>Demand_SW!E$12/31</f>
        <v>0</v>
      </c>
      <c r="CR280" s="16">
        <f>Demand_SW!F$12/31</f>
        <v>0</v>
      </c>
      <c r="CS280" s="16">
        <f>Demand_SW!G$12/31</f>
        <v>139.57816377171216</v>
      </c>
      <c r="CT280" s="16">
        <f>Demand_SW!H$12/31</f>
        <v>0</v>
      </c>
      <c r="CU280" s="16">
        <f>Demand_SW!I$12/31</f>
        <v>0</v>
      </c>
      <c r="CV280" s="16">
        <f>Demand_SW!J$12/31</f>
        <v>0</v>
      </c>
      <c r="CW280" s="16">
        <f>Demand_SW!K$12/31</f>
        <v>0</v>
      </c>
      <c r="CX280" s="16">
        <f t="shared" si="146"/>
        <v>-14606.0049627792</v>
      </c>
      <c r="CY280" s="16">
        <f t="shared" si="147"/>
        <v>76.923076923077133</v>
      </c>
      <c r="CZ280" s="16">
        <f t="shared" si="148"/>
        <v>0</v>
      </c>
      <c r="DA280" s="16">
        <f t="shared" si="149"/>
        <v>0</v>
      </c>
      <c r="DB280" s="16">
        <f t="shared" si="150"/>
        <v>0</v>
      </c>
      <c r="DC280" s="16">
        <f t="shared" si="151"/>
        <v>-15837.235732009969</v>
      </c>
      <c r="DD280" s="16">
        <f t="shared" si="152"/>
        <v>76.923076923077133</v>
      </c>
      <c r="DE280" s="16">
        <f t="shared" si="153"/>
        <v>0</v>
      </c>
      <c r="DF280" s="16">
        <f t="shared" si="154"/>
        <v>0</v>
      </c>
      <c r="DG280" s="16">
        <f t="shared" si="155"/>
        <v>0</v>
      </c>
      <c r="DH280" s="14">
        <f>IF([1]Sheet2!DS279=999999,"NA",[1]Sheet2!DS279)</f>
        <v>0</v>
      </c>
      <c r="DI280" s="14">
        <f>IF([1]Sheet2!DT279=999999,"NA",[1]Sheet2!DT279)</f>
        <v>88</v>
      </c>
      <c r="DJ280" s="14" t="str">
        <f>IF([1]Sheet2!DU279=999999,"NA",[1]Sheet2!DU279)</f>
        <v>NA</v>
      </c>
      <c r="DK280" s="14" t="str">
        <f>IF([1]Sheet2!DV279=999999,"NA",[1]Sheet2!DV279)</f>
        <v>NA</v>
      </c>
      <c r="DL280" s="14" t="str">
        <f>IF([1]Sheet2!DW279=999999,"NA",[1]Sheet2!DW279)</f>
        <v>NA</v>
      </c>
      <c r="DM280" s="14">
        <f>IF([1]Sheet2!DX279=999999,"NA",[1]Sheet2!DX279)</f>
        <v>0</v>
      </c>
      <c r="DN280" s="14">
        <f>IF([1]Sheet2!DY279=999999,"NA",[1]Sheet2!DY279)</f>
        <v>88</v>
      </c>
      <c r="DO280" s="14" t="str">
        <f>IF([1]Sheet2!DZ279=999999,"NA",[1]Sheet2!DZ279)</f>
        <v>NA</v>
      </c>
      <c r="DP280" s="14" t="str">
        <f>IF([1]Sheet2!EA279=999999,"NA",[1]Sheet2!EA279)</f>
        <v>NA</v>
      </c>
      <c r="DQ280" s="14" t="str">
        <f>IF([1]Sheet2!EB279=999999,"NA",[1]Sheet2!EB279)</f>
        <v>NA</v>
      </c>
      <c r="DR280" s="14">
        <f>[1]Sheet2!CY279</f>
        <v>0</v>
      </c>
      <c r="DS280" s="14">
        <f>[1]Sheet2!CZ279</f>
        <v>0</v>
      </c>
      <c r="DT280" s="14">
        <f>[1]Sheet2!DA279</f>
        <v>0</v>
      </c>
      <c r="DU280" s="14">
        <f>[1]Sheet2!DB279</f>
        <v>0</v>
      </c>
      <c r="DV280" s="14">
        <f>[1]Sheet2!DC279</f>
        <v>0</v>
      </c>
      <c r="DW280" s="14">
        <f>[1]Sheet2!DD279</f>
        <v>0</v>
      </c>
      <c r="DX280" s="14">
        <f>[1]Sheet2!DE279</f>
        <v>0</v>
      </c>
      <c r="DY280" s="14">
        <f>[1]Sheet2!DF279</f>
        <v>0</v>
      </c>
      <c r="DZ280" s="14">
        <f>[1]Sheet2!DG279</f>
        <v>0</v>
      </c>
      <c r="EA280" s="14">
        <f>[1]Sheet2!DH279</f>
        <v>0</v>
      </c>
      <c r="EB280" s="6">
        <f>[1]Sheet2!EC279</f>
        <v>0</v>
      </c>
      <c r="EC280" s="6">
        <f>[1]Sheet2!ED279</f>
        <v>0</v>
      </c>
      <c r="ED280" s="6">
        <f>[1]Sheet2!EE279</f>
        <v>0</v>
      </c>
      <c r="EE280" s="6">
        <f>[1]Sheet2!EF279</f>
        <v>0</v>
      </c>
      <c r="EF280" s="6">
        <f>[1]Sheet2!EG279</f>
        <v>0</v>
      </c>
      <c r="EG280" s="6">
        <f>[1]Sheet2!EH279</f>
        <v>0</v>
      </c>
      <c r="EH280" s="6" t="str">
        <f>[1]Sheet2!EI279</f>
        <v>Arg</v>
      </c>
      <c r="EI280" s="6" t="str">
        <f>[1]Sheet2!EJ279</f>
        <v>Arg</v>
      </c>
      <c r="EJ280" s="6">
        <f>[1]Sheet2!EK279</f>
        <v>0</v>
      </c>
      <c r="EK280" s="6">
        <f>[1]Sheet2!EL279</f>
        <v>0</v>
      </c>
      <c r="EL280" s="6" t="str">
        <f>[1]Sheet2!EM279</f>
        <v/>
      </c>
      <c r="EM280" s="6" t="str">
        <f>[1]Sheet2!EN279</f>
        <v/>
      </c>
      <c r="EN280" s="6" t="str">
        <f>[1]Sheet2!EO279</f>
        <v/>
      </c>
      <c r="EO280" s="6" t="str">
        <f>[1]Sheet2!EP279</f>
        <v/>
      </c>
      <c r="EP280" s="6" t="str">
        <f>[1]Sheet2!EQ279</f>
        <v/>
      </c>
      <c r="EQ280" s="6" t="str">
        <f>[1]Sheet2!ER279</f>
        <v/>
      </c>
      <c r="ER280" s="6" t="str">
        <f>[1]Sheet2!ES279</f>
        <v/>
      </c>
      <c r="ES280" s="6" t="str">
        <f>[1]Sheet2!ET279</f>
        <v/>
      </c>
      <c r="ET280" s="6" t="str">
        <f>[1]Sheet2!EU279</f>
        <v/>
      </c>
      <c r="EU280" s="6" t="str">
        <f>[1]Sheet2!EV279</f>
        <v/>
      </c>
      <c r="EV280" s="6" t="str">
        <f>[1]Sheet2!EW279</f>
        <v/>
      </c>
      <c r="EW280" s="6" t="str">
        <f>[1]Sheet2!EX279</f>
        <v/>
      </c>
      <c r="EX280" s="6" t="str">
        <f>[1]Sheet2!EY279</f>
        <v/>
      </c>
      <c r="EY280" s="6" t="str">
        <f>[1]Sheet2!EZ279</f>
        <v/>
      </c>
      <c r="EZ280" s="6" t="str">
        <f>[1]Sheet2!FA279</f>
        <v/>
      </c>
      <c r="FA280" s="6" t="str">
        <f>[1]Sheet2!FB279</f>
        <v/>
      </c>
      <c r="FB280" s="6" t="str">
        <f>[1]Sheet2!FC279</f>
        <v/>
      </c>
      <c r="FC280" s="6" t="str">
        <f>[1]Sheet2!FD279</f>
        <v/>
      </c>
      <c r="FD280" s="6" t="str">
        <f>[1]Sheet2!FE279</f>
        <v/>
      </c>
      <c r="FE280" s="6" t="str">
        <f>[1]Sheet2!FF279</f>
        <v/>
      </c>
      <c r="FF280" s="6" t="str">
        <f>[1]Sheet2!FG279</f>
        <v/>
      </c>
      <c r="FG280" s="6" t="str">
        <f>[1]Sheet2!FH279</f>
        <v/>
      </c>
      <c r="FH280" s="6" t="str">
        <f>[1]Sheet2!FI279</f>
        <v/>
      </c>
      <c r="FI280" s="6" t="str">
        <f>[1]Sheet2!FJ279</f>
        <v/>
      </c>
      <c r="FJ280" s="6" t="str">
        <f>[1]Sheet2!FK279</f>
        <v/>
      </c>
      <c r="FK280" s="6" t="str">
        <f>[1]Sheet2!FL279</f>
        <v/>
      </c>
      <c r="FL280" s="6" t="str">
        <f>[1]Sheet2!FM279</f>
        <v/>
      </c>
      <c r="FM280" s="6" t="str">
        <f>[1]Sheet2!FN279</f>
        <v/>
      </c>
      <c r="FN280" s="6" t="str">
        <f>[1]Sheet2!FO279</f>
        <v/>
      </c>
      <c r="FO280" s="6" t="str">
        <f>[1]Sheet2!FP279</f>
        <v/>
      </c>
    </row>
    <row r="281" spans="1:171" x14ac:dyDescent="0.25">
      <c r="A281" s="15">
        <v>43743</v>
      </c>
      <c r="B281" s="1"/>
      <c r="C281" s="1"/>
      <c r="D281" s="1"/>
      <c r="E281" s="14">
        <f>[1]Sheet2!N280</f>
        <v>0</v>
      </c>
      <c r="F281" s="14">
        <f>[1]Sheet2!BE280</f>
        <v>0</v>
      </c>
      <c r="G281" s="14">
        <f>[1]Sheet2!CW280</f>
        <v>0</v>
      </c>
      <c r="H281" s="1"/>
      <c r="I281" s="1"/>
      <c r="J281" s="1"/>
      <c r="K281" s="16"/>
      <c r="L281" s="16">
        <f>Demand_CWRS!B$12/31</f>
        <v>113.31027191894128</v>
      </c>
      <c r="M281" s="16">
        <f>Demand_CWRS!C$12/31</f>
        <v>480.06765922249781</v>
      </c>
      <c r="N281" s="16">
        <f>Demand_CWRS!D$12/31</f>
        <v>0</v>
      </c>
      <c r="O281" s="16">
        <f>Demand_CWRS!E$12/31</f>
        <v>103.22435897435898</v>
      </c>
      <c r="P281" s="16">
        <f>Demand_CWRS!F$12/31</f>
        <v>209.74544820099254</v>
      </c>
      <c r="Q281" s="16">
        <f>Demand_CWRS!G$12/31</f>
        <v>113.31027191894128</v>
      </c>
      <c r="R281" s="16">
        <f>Demand_CWRS!H$12/31</f>
        <v>209.74544820099254</v>
      </c>
      <c r="S281" s="16">
        <f>Demand_CWRS!I$12/31</f>
        <v>209.74544820099254</v>
      </c>
      <c r="T281" s="16">
        <f>Demand_CWRS!J$12/31</f>
        <v>209.74544820099254</v>
      </c>
      <c r="U281" s="16">
        <f>Demand_CWRS!K$12/31</f>
        <v>209.74544820099254</v>
      </c>
      <c r="V281" s="16">
        <f t="shared" si="126"/>
        <v>-31647.547512375808</v>
      </c>
      <c r="W281" s="16">
        <f t="shared" si="127"/>
        <v>-123626.99214226598</v>
      </c>
      <c r="X281" s="16">
        <f t="shared" si="128"/>
        <v>0</v>
      </c>
      <c r="Y281" s="16">
        <f t="shared" si="129"/>
        <v>-23456.597062641977</v>
      </c>
      <c r="Z281" s="16">
        <f t="shared" si="130"/>
        <v>-55077.933784132234</v>
      </c>
      <c r="AA281" s="16">
        <f t="shared" si="131"/>
        <v>-30175.61498833742</v>
      </c>
      <c r="AB281" s="16">
        <f t="shared" si="132"/>
        <v>-59387.098559773192</v>
      </c>
      <c r="AC281" s="16">
        <f t="shared" si="133"/>
        <v>-53594.088303363002</v>
      </c>
      <c r="AD281" s="16">
        <f t="shared" si="134"/>
        <v>-58922.088303362994</v>
      </c>
      <c r="AE281" s="16">
        <f t="shared" si="135"/>
        <v>-59522.088303362987</v>
      </c>
      <c r="AF281" s="14">
        <f>IF([1]Sheet2!AJ280=999999,"NA",[1]Sheet2!AJ280)</f>
        <v>0</v>
      </c>
      <c r="AG281" s="14">
        <f>IF([1]Sheet2!AK280=999999,"NA",[1]Sheet2!AK280)</f>
        <v>0</v>
      </c>
      <c r="AH281" s="14" t="str">
        <f>IF([1]Sheet2!AL280=999999,"NA",[1]Sheet2!AL280)</f>
        <v>NA</v>
      </c>
      <c r="AI281" s="14">
        <f>IF([1]Sheet2!AM280=999999,"NA",[1]Sheet2!AM280)</f>
        <v>0</v>
      </c>
      <c r="AJ281" s="14">
        <f>IF([1]Sheet2!AN280=999999,"NA",[1]Sheet2!AN280)</f>
        <v>0</v>
      </c>
      <c r="AK281" s="14">
        <f>IF([1]Sheet2!AO280=999999,"NA",[1]Sheet2!AO280)</f>
        <v>0</v>
      </c>
      <c r="AL281" s="14">
        <f>IF([1]Sheet2!AP280=999999,"NA",[1]Sheet2!AP280)</f>
        <v>0</v>
      </c>
      <c r="AM281" s="14">
        <f>IF([1]Sheet2!AQ280=999999,"NA",[1]Sheet2!AQ280)</f>
        <v>0</v>
      </c>
      <c r="AN281" s="14">
        <f>IF([1]Sheet2!AR280=999999,"NA",[1]Sheet2!AR280)</f>
        <v>0</v>
      </c>
      <c r="AO281" s="14">
        <f>IF([1]Sheet2!AS280=999999,"NA",[1]Sheet2!AS280)</f>
        <v>0</v>
      </c>
      <c r="AP281" s="14">
        <f>[1]Sheet2!P280</f>
        <v>0</v>
      </c>
      <c r="AQ281" s="14">
        <f>[1]Sheet2!Q280</f>
        <v>0</v>
      </c>
      <c r="AR281" s="14">
        <f>[1]Sheet2!R280</f>
        <v>0</v>
      </c>
      <c r="AS281" s="14">
        <f>[1]Sheet2!S280</f>
        <v>0</v>
      </c>
      <c r="AT281" s="14">
        <f>[1]Sheet2!T280</f>
        <v>0</v>
      </c>
      <c r="AU281" s="14">
        <f>[1]Sheet2!U280</f>
        <v>0</v>
      </c>
      <c r="AV281" s="14">
        <f>[1]Sheet2!V280</f>
        <v>0</v>
      </c>
      <c r="AW281" s="14">
        <f>[1]Sheet2!W280</f>
        <v>0</v>
      </c>
      <c r="AX281" s="14">
        <f>[1]Sheet2!X280</f>
        <v>0</v>
      </c>
      <c r="AY281" s="14">
        <f>[1]Sheet2!Y280</f>
        <v>0</v>
      </c>
      <c r="AZ281" s="16">
        <f>Demand_LP!B$12/31</f>
        <v>866.47279518196865</v>
      </c>
      <c r="BA281" s="16">
        <f>Demand_LP!C$12/31</f>
        <v>577.62712985938799</v>
      </c>
      <c r="BB281" s="16">
        <f>Demand_LP!D$12/31</f>
        <v>262.18502894954509</v>
      </c>
      <c r="BC281" s="16">
        <f>Demand_LP!E$12/31</f>
        <v>766.03229942100904</v>
      </c>
      <c r="BD281" s="16">
        <f>Demand_LP!F$12/31</f>
        <v>516.10499638130682</v>
      </c>
      <c r="BE281" s="16">
        <f>Demand_LP!G$12/31</f>
        <v>516.10499638130682</v>
      </c>
      <c r="BF281" s="16">
        <f>Demand_LP!H$12/31</f>
        <v>577.62712985938799</v>
      </c>
      <c r="BG281" s="16">
        <f>Demand_LP!I$12/31</f>
        <v>516.10499638130682</v>
      </c>
      <c r="BH281" s="16">
        <f>Demand_LP!J$12/31</f>
        <v>516.10499638130682</v>
      </c>
      <c r="BI281" s="16">
        <f>Demand_LP!K$12/31</f>
        <v>516.10499638130682</v>
      </c>
      <c r="BJ281" s="16">
        <f t="shared" si="136"/>
        <v>-203076.10286349672</v>
      </c>
      <c r="BK281" s="16">
        <f t="shared" si="137"/>
        <v>-155094.19975186099</v>
      </c>
      <c r="BL281" s="16">
        <f t="shared" si="138"/>
        <v>-75287.666170388999</v>
      </c>
      <c r="BM281" s="16">
        <f t="shared" si="139"/>
        <v>-198050.63199369641</v>
      </c>
      <c r="BN281" s="16">
        <f t="shared" si="140"/>
        <v>-119229.56247379235</v>
      </c>
      <c r="BO281" s="16">
        <f t="shared" si="141"/>
        <v>-117687.24639216308</v>
      </c>
      <c r="BP281" s="16">
        <f t="shared" si="142"/>
        <v>-149451.77923904033</v>
      </c>
      <c r="BQ281" s="16">
        <f t="shared" si="143"/>
        <v>-113516.24639216308</v>
      </c>
      <c r="BR281" s="16">
        <f t="shared" si="144"/>
        <v>-119594.24639216313</v>
      </c>
      <c r="BS281" s="16">
        <f t="shared" si="145"/>
        <v>-120294.24639216311</v>
      </c>
      <c r="BT281" s="14">
        <f>IF([1]Sheet2!CB280=999999,"NA",[1]Sheet2!CB280)</f>
        <v>0</v>
      </c>
      <c r="BU281" s="14">
        <f>IF([1]Sheet2!CC280=999999,"NA",[1]Sheet2!CC280)</f>
        <v>0</v>
      </c>
      <c r="BV281" s="14">
        <f>IF([1]Sheet2!CD280=999999,"NA",[1]Sheet2!CD280)</f>
        <v>0</v>
      </c>
      <c r="BW281" s="14">
        <f>IF([1]Sheet2!CE280=999999,"NA",[1]Sheet2!CE280)</f>
        <v>0</v>
      </c>
      <c r="BX281" s="14">
        <f>IF([1]Sheet2!CF280=999999,"NA",[1]Sheet2!CF280)</f>
        <v>0</v>
      </c>
      <c r="BY281" s="14">
        <f>IF([1]Sheet2!CG280=999999,"NA",[1]Sheet2!CG280)</f>
        <v>0</v>
      </c>
      <c r="BZ281" s="14">
        <f>IF([1]Sheet2!CH280=999999,"NA",[1]Sheet2!CH280)</f>
        <v>0</v>
      </c>
      <c r="CA281" s="14">
        <f>IF([1]Sheet2!CI280=999999,"NA",[1]Sheet2!CI280)</f>
        <v>0</v>
      </c>
      <c r="CB281" s="14">
        <f>IF([1]Sheet2!CJ280=999999,"NA",[1]Sheet2!CJ280)</f>
        <v>0</v>
      </c>
      <c r="CC281" s="14">
        <f>IF([1]Sheet2!CK280=999999,"NA",[1]Sheet2!CK280)</f>
        <v>0</v>
      </c>
      <c r="CD281" s="14">
        <f>[1]Sheet2!BH280</f>
        <v>0</v>
      </c>
      <c r="CE281" s="14">
        <f>[1]Sheet2!BI280</f>
        <v>0</v>
      </c>
      <c r="CF281" s="14">
        <f>[1]Sheet2!BJ280</f>
        <v>0</v>
      </c>
      <c r="CG281" s="14">
        <f>[1]Sheet2!BK280</f>
        <v>0</v>
      </c>
      <c r="CH281" s="14">
        <f>[1]Sheet2!BL280</f>
        <v>0</v>
      </c>
      <c r="CI281" s="14">
        <f>[1]Sheet2!BM280</f>
        <v>0</v>
      </c>
      <c r="CJ281" s="14">
        <f>[1]Sheet2!BN280</f>
        <v>0</v>
      </c>
      <c r="CK281" s="45">
        <f>[1]Sheet2!BO280</f>
        <v>4171</v>
      </c>
      <c r="CL281" s="14">
        <f>[1]Sheet2!BP280</f>
        <v>0</v>
      </c>
      <c r="CM281" s="14">
        <f>[1]Sheet2!BQ280</f>
        <v>0</v>
      </c>
      <c r="CN281" s="16">
        <f>Demand_SW!B$12/31</f>
        <v>139.57816377171216</v>
      </c>
      <c r="CO281" s="16">
        <f>Demand_SW!C$12/31</f>
        <v>0</v>
      </c>
      <c r="CP281" s="16">
        <f>Demand_SW!D$12/31</f>
        <v>0</v>
      </c>
      <c r="CQ281" s="16">
        <f>Demand_SW!E$12/31</f>
        <v>0</v>
      </c>
      <c r="CR281" s="16">
        <f>Demand_SW!F$12/31</f>
        <v>0</v>
      </c>
      <c r="CS281" s="16">
        <f>Demand_SW!G$12/31</f>
        <v>139.57816377171216</v>
      </c>
      <c r="CT281" s="16">
        <f>Demand_SW!H$12/31</f>
        <v>0</v>
      </c>
      <c r="CU281" s="16">
        <f>Demand_SW!I$12/31</f>
        <v>0</v>
      </c>
      <c r="CV281" s="16">
        <f>Demand_SW!J$12/31</f>
        <v>0</v>
      </c>
      <c r="CW281" s="16">
        <f>Demand_SW!K$12/31</f>
        <v>0</v>
      </c>
      <c r="CX281" s="16">
        <f t="shared" si="146"/>
        <v>-14745.583126550911</v>
      </c>
      <c r="CY281" s="16">
        <f t="shared" si="147"/>
        <v>76.923076923077133</v>
      </c>
      <c r="CZ281" s="16">
        <f t="shared" si="148"/>
        <v>0</v>
      </c>
      <c r="DA281" s="16">
        <f t="shared" si="149"/>
        <v>0</v>
      </c>
      <c r="DB281" s="16">
        <f t="shared" si="150"/>
        <v>0</v>
      </c>
      <c r="DC281" s="16">
        <f t="shared" si="151"/>
        <v>-15976.813895781681</v>
      </c>
      <c r="DD281" s="16">
        <f t="shared" si="152"/>
        <v>76.923076923077133</v>
      </c>
      <c r="DE281" s="16">
        <f t="shared" si="153"/>
        <v>0</v>
      </c>
      <c r="DF281" s="16">
        <f t="shared" si="154"/>
        <v>0</v>
      </c>
      <c r="DG281" s="16">
        <f t="shared" si="155"/>
        <v>0</v>
      </c>
      <c r="DH281" s="14">
        <f>IF([1]Sheet2!DS280=999999,"NA",[1]Sheet2!DS280)</f>
        <v>0</v>
      </c>
      <c r="DI281" s="14">
        <f>IF([1]Sheet2!DT280=999999,"NA",[1]Sheet2!DT280)</f>
        <v>87</v>
      </c>
      <c r="DJ281" s="14" t="str">
        <f>IF([1]Sheet2!DU280=999999,"NA",[1]Sheet2!DU280)</f>
        <v>NA</v>
      </c>
      <c r="DK281" s="14" t="str">
        <f>IF([1]Sheet2!DV280=999999,"NA",[1]Sheet2!DV280)</f>
        <v>NA</v>
      </c>
      <c r="DL281" s="14" t="str">
        <f>IF([1]Sheet2!DW280=999999,"NA",[1]Sheet2!DW280)</f>
        <v>NA</v>
      </c>
      <c r="DM281" s="14">
        <f>IF([1]Sheet2!DX280=999999,"NA",[1]Sheet2!DX280)</f>
        <v>0</v>
      </c>
      <c r="DN281" s="14">
        <f>IF([1]Sheet2!DY280=999999,"NA",[1]Sheet2!DY280)</f>
        <v>87</v>
      </c>
      <c r="DO281" s="14" t="str">
        <f>IF([1]Sheet2!DZ280=999999,"NA",[1]Sheet2!DZ280)</f>
        <v>NA</v>
      </c>
      <c r="DP281" s="14" t="str">
        <f>IF([1]Sheet2!EA280=999999,"NA",[1]Sheet2!EA280)</f>
        <v>NA</v>
      </c>
      <c r="DQ281" s="14" t="str">
        <f>IF([1]Sheet2!EB280=999999,"NA",[1]Sheet2!EB280)</f>
        <v>NA</v>
      </c>
      <c r="DR281" s="14">
        <f>[1]Sheet2!CY280</f>
        <v>0</v>
      </c>
      <c r="DS281" s="14">
        <f>[1]Sheet2!CZ280</f>
        <v>0</v>
      </c>
      <c r="DT281" s="14">
        <f>[1]Sheet2!DA280</f>
        <v>0</v>
      </c>
      <c r="DU281" s="14">
        <f>[1]Sheet2!DB280</f>
        <v>0</v>
      </c>
      <c r="DV281" s="14">
        <f>[1]Sheet2!DC280</f>
        <v>0</v>
      </c>
      <c r="DW281" s="14">
        <f>[1]Sheet2!DD280</f>
        <v>0</v>
      </c>
      <c r="DX281" s="14">
        <f>[1]Sheet2!DE280</f>
        <v>0</v>
      </c>
      <c r="DY281" s="14">
        <f>[1]Sheet2!DF280</f>
        <v>0</v>
      </c>
      <c r="DZ281" s="14">
        <f>[1]Sheet2!DG280</f>
        <v>0</v>
      </c>
      <c r="EA281" s="14">
        <f>[1]Sheet2!DH280</f>
        <v>0</v>
      </c>
      <c r="EB281" s="6">
        <f>[1]Sheet2!EC280</f>
        <v>0</v>
      </c>
      <c r="EC281" s="6">
        <f>[1]Sheet2!ED280</f>
        <v>0</v>
      </c>
      <c r="ED281" s="6">
        <f>[1]Sheet2!EE280</f>
        <v>0</v>
      </c>
      <c r="EE281" s="6">
        <f>[1]Sheet2!EF280</f>
        <v>0</v>
      </c>
      <c r="EF281" s="6">
        <f>[1]Sheet2!EG280</f>
        <v>0</v>
      </c>
      <c r="EG281" s="6">
        <f>[1]Sheet2!EH280</f>
        <v>0</v>
      </c>
      <c r="EH281" s="6">
        <f>[1]Sheet2!EI280</f>
        <v>0</v>
      </c>
      <c r="EI281" s="6" t="str">
        <f>[1]Sheet2!EJ280</f>
        <v>Arg</v>
      </c>
      <c r="EJ281" s="6">
        <f>[1]Sheet2!EK280</f>
        <v>0</v>
      </c>
      <c r="EK281" s="6">
        <f>[1]Sheet2!EL280</f>
        <v>0</v>
      </c>
      <c r="EL281" s="6" t="str">
        <f>[1]Sheet2!EM280</f>
        <v/>
      </c>
      <c r="EM281" s="6" t="str">
        <f>[1]Sheet2!EN280</f>
        <v/>
      </c>
      <c r="EN281" s="6" t="str">
        <f>[1]Sheet2!EO280</f>
        <v/>
      </c>
      <c r="EO281" s="6" t="str">
        <f>[1]Sheet2!EP280</f>
        <v/>
      </c>
      <c r="EP281" s="6" t="str">
        <f>[1]Sheet2!EQ280</f>
        <v/>
      </c>
      <c r="EQ281" s="6" t="str">
        <f>[1]Sheet2!ER280</f>
        <v/>
      </c>
      <c r="ER281" s="6" t="str">
        <f>[1]Sheet2!ES280</f>
        <v/>
      </c>
      <c r="ES281" s="6" t="str">
        <f>[1]Sheet2!ET280</f>
        <v/>
      </c>
      <c r="ET281" s="6" t="str">
        <f>[1]Sheet2!EU280</f>
        <v/>
      </c>
      <c r="EU281" s="6" t="str">
        <f>[1]Sheet2!EV280</f>
        <v/>
      </c>
      <c r="EV281" s="6" t="str">
        <f>[1]Sheet2!EW280</f>
        <v/>
      </c>
      <c r="EW281" s="6" t="str">
        <f>[1]Sheet2!EX280</f>
        <v/>
      </c>
      <c r="EX281" s="6" t="str">
        <f>[1]Sheet2!EY280</f>
        <v/>
      </c>
      <c r="EY281" s="6" t="str">
        <f>[1]Sheet2!EZ280</f>
        <v/>
      </c>
      <c r="EZ281" s="6" t="str">
        <f>[1]Sheet2!FA280</f>
        <v/>
      </c>
      <c r="FA281" s="6" t="str">
        <f>[1]Sheet2!FB280</f>
        <v/>
      </c>
      <c r="FB281" s="6" t="str">
        <f>[1]Sheet2!FC280</f>
        <v/>
      </c>
      <c r="FC281" s="6" t="str">
        <f>[1]Sheet2!FD280</f>
        <v/>
      </c>
      <c r="FD281" s="6" t="str">
        <f>[1]Sheet2!FE280</f>
        <v/>
      </c>
      <c r="FE281" s="6" t="str">
        <f>[1]Sheet2!FF280</f>
        <v/>
      </c>
      <c r="FF281" s="6" t="str">
        <f>[1]Sheet2!FG280</f>
        <v/>
      </c>
      <c r="FG281" s="6" t="str">
        <f>[1]Sheet2!FH280</f>
        <v/>
      </c>
      <c r="FH281" s="6" t="str">
        <f>[1]Sheet2!FI280</f>
        <v/>
      </c>
      <c r="FI281" s="6" t="str">
        <f>[1]Sheet2!FJ280</f>
        <v/>
      </c>
      <c r="FJ281" s="6" t="str">
        <f>[1]Sheet2!FK280</f>
        <v/>
      </c>
      <c r="FK281" s="6" t="str">
        <f>[1]Sheet2!FL280</f>
        <v/>
      </c>
      <c r="FL281" s="6" t="str">
        <f>[1]Sheet2!FM280</f>
        <v/>
      </c>
      <c r="FM281" s="6" t="str">
        <f>[1]Sheet2!FN280</f>
        <v/>
      </c>
      <c r="FN281" s="6" t="str">
        <f>[1]Sheet2!FO280</f>
        <v/>
      </c>
      <c r="FO281" s="6" t="str">
        <f>[1]Sheet2!FP280</f>
        <v/>
      </c>
    </row>
    <row r="282" spans="1:171" x14ac:dyDescent="0.25">
      <c r="A282" s="15">
        <v>43744</v>
      </c>
      <c r="B282" s="1"/>
      <c r="C282" s="1"/>
      <c r="D282" s="1"/>
      <c r="E282" s="14">
        <f>[1]Sheet2!N281</f>
        <v>0</v>
      </c>
      <c r="F282" s="14">
        <f>[1]Sheet2!BE281</f>
        <v>48000</v>
      </c>
      <c r="G282" s="14">
        <f>[1]Sheet2!CW281</f>
        <v>0</v>
      </c>
      <c r="H282" s="1"/>
      <c r="I282" s="1"/>
      <c r="J282" s="1"/>
      <c r="K282" s="16"/>
      <c r="L282" s="16">
        <f>Demand_CWRS!B$12/31</f>
        <v>113.31027191894128</v>
      </c>
      <c r="M282" s="16">
        <f>Demand_CWRS!C$12/31</f>
        <v>480.06765922249781</v>
      </c>
      <c r="N282" s="16">
        <f>Demand_CWRS!D$12/31</f>
        <v>0</v>
      </c>
      <c r="O282" s="16">
        <f>Demand_CWRS!E$12/31</f>
        <v>103.22435897435898</v>
      </c>
      <c r="P282" s="16">
        <f>Demand_CWRS!F$12/31</f>
        <v>209.74544820099254</v>
      </c>
      <c r="Q282" s="16">
        <f>Demand_CWRS!G$12/31</f>
        <v>113.31027191894128</v>
      </c>
      <c r="R282" s="16">
        <f>Demand_CWRS!H$12/31</f>
        <v>209.74544820099254</v>
      </c>
      <c r="S282" s="16">
        <f>Demand_CWRS!I$12/31</f>
        <v>209.74544820099254</v>
      </c>
      <c r="T282" s="16">
        <f>Demand_CWRS!J$12/31</f>
        <v>209.74544820099254</v>
      </c>
      <c r="U282" s="16">
        <f>Demand_CWRS!K$12/31</f>
        <v>209.74544820099254</v>
      </c>
      <c r="V282" s="16">
        <f t="shared" si="126"/>
        <v>-31760.857784294749</v>
      </c>
      <c r="W282" s="16">
        <f t="shared" si="127"/>
        <v>-124107.05980148847</v>
      </c>
      <c r="X282" s="16">
        <f t="shared" si="128"/>
        <v>0</v>
      </c>
      <c r="Y282" s="16">
        <f t="shared" si="129"/>
        <v>-23559.821421616336</v>
      </c>
      <c r="Z282" s="16">
        <f t="shared" si="130"/>
        <v>-55287.679232333227</v>
      </c>
      <c r="AA282" s="16">
        <f t="shared" si="131"/>
        <v>-30288.925260256361</v>
      </c>
      <c r="AB282" s="16">
        <f t="shared" si="132"/>
        <v>-59596.844007974185</v>
      </c>
      <c r="AC282" s="16">
        <f t="shared" si="133"/>
        <v>-53803.833751563994</v>
      </c>
      <c r="AD282" s="16">
        <f t="shared" si="134"/>
        <v>-59131.833751563987</v>
      </c>
      <c r="AE282" s="16">
        <f t="shared" si="135"/>
        <v>-59731.83375156398</v>
      </c>
      <c r="AF282" s="14">
        <f>IF([1]Sheet2!AJ281=999999,"NA",[1]Sheet2!AJ281)</f>
        <v>0</v>
      </c>
      <c r="AG282" s="14">
        <f>IF([1]Sheet2!AK281=999999,"NA",[1]Sheet2!AK281)</f>
        <v>0</v>
      </c>
      <c r="AH282" s="14" t="str">
        <f>IF([1]Sheet2!AL281=999999,"NA",[1]Sheet2!AL281)</f>
        <v>NA</v>
      </c>
      <c r="AI282" s="14">
        <f>IF([1]Sheet2!AM281=999999,"NA",[1]Sheet2!AM281)</f>
        <v>0</v>
      </c>
      <c r="AJ282" s="14">
        <f>IF([1]Sheet2!AN281=999999,"NA",[1]Sheet2!AN281)</f>
        <v>0</v>
      </c>
      <c r="AK282" s="14">
        <f>IF([1]Sheet2!AO281=999999,"NA",[1]Sheet2!AO281)</f>
        <v>0</v>
      </c>
      <c r="AL282" s="14">
        <f>IF([1]Sheet2!AP281=999999,"NA",[1]Sheet2!AP281)</f>
        <v>0</v>
      </c>
      <c r="AM282" s="14">
        <f>IF([1]Sheet2!AQ281=999999,"NA",[1]Sheet2!AQ281)</f>
        <v>0</v>
      </c>
      <c r="AN282" s="14">
        <f>IF([1]Sheet2!AR281=999999,"NA",[1]Sheet2!AR281)</f>
        <v>0</v>
      </c>
      <c r="AO282" s="14">
        <f>IF([1]Sheet2!AS281=999999,"NA",[1]Sheet2!AS281)</f>
        <v>0</v>
      </c>
      <c r="AP282" s="14">
        <f>[1]Sheet2!P281</f>
        <v>0</v>
      </c>
      <c r="AQ282" s="14">
        <f>[1]Sheet2!Q281</f>
        <v>0</v>
      </c>
      <c r="AR282" s="14">
        <f>[1]Sheet2!R281</f>
        <v>0</v>
      </c>
      <c r="AS282" s="14">
        <f>[1]Sheet2!S281</f>
        <v>0</v>
      </c>
      <c r="AT282" s="14">
        <f>[1]Sheet2!T281</f>
        <v>0</v>
      </c>
      <c r="AU282" s="14">
        <f>[1]Sheet2!U281</f>
        <v>0</v>
      </c>
      <c r="AV282" s="14">
        <f>[1]Sheet2!V281</f>
        <v>0</v>
      </c>
      <c r="AW282" s="14">
        <f>[1]Sheet2!W281</f>
        <v>0</v>
      </c>
      <c r="AX282" s="14">
        <f>[1]Sheet2!X281</f>
        <v>0</v>
      </c>
      <c r="AY282" s="14">
        <f>[1]Sheet2!Y281</f>
        <v>0</v>
      </c>
      <c r="AZ282" s="16">
        <f>Demand_LP!B$12/31</f>
        <v>866.47279518196865</v>
      </c>
      <c r="BA282" s="16">
        <f>Demand_LP!C$12/31</f>
        <v>577.62712985938799</v>
      </c>
      <c r="BB282" s="16">
        <f>Demand_LP!D$12/31</f>
        <v>262.18502894954509</v>
      </c>
      <c r="BC282" s="16">
        <f>Demand_LP!E$12/31</f>
        <v>766.03229942100904</v>
      </c>
      <c r="BD282" s="16">
        <f>Demand_LP!F$12/31</f>
        <v>516.10499638130682</v>
      </c>
      <c r="BE282" s="16">
        <f>Demand_LP!G$12/31</f>
        <v>516.10499638130682</v>
      </c>
      <c r="BF282" s="16">
        <f>Demand_LP!H$12/31</f>
        <v>577.62712985938799</v>
      </c>
      <c r="BG282" s="16">
        <f>Demand_LP!I$12/31</f>
        <v>516.10499638130682</v>
      </c>
      <c r="BH282" s="16">
        <f>Demand_LP!J$12/31</f>
        <v>516.10499638130682</v>
      </c>
      <c r="BI282" s="16">
        <f>Demand_LP!K$12/31</f>
        <v>516.10499638130682</v>
      </c>
      <c r="BJ282" s="16">
        <f t="shared" si="136"/>
        <v>-203942.57565867869</v>
      </c>
      <c r="BK282" s="16">
        <f t="shared" si="137"/>
        <v>-155671.82688172036</v>
      </c>
      <c r="BL282" s="16">
        <f t="shared" si="138"/>
        <v>-75549.851199338547</v>
      </c>
      <c r="BM282" s="16">
        <f t="shared" si="139"/>
        <v>-198816.66429311741</v>
      </c>
      <c r="BN282" s="16">
        <f t="shared" si="140"/>
        <v>-119745.66747017366</v>
      </c>
      <c r="BO282" s="16">
        <f t="shared" si="141"/>
        <v>-118203.3513885444</v>
      </c>
      <c r="BP282" s="16">
        <f t="shared" si="142"/>
        <v>-150029.40636889971</v>
      </c>
      <c r="BQ282" s="16">
        <f t="shared" si="143"/>
        <v>-114032.3513885444</v>
      </c>
      <c r="BR282" s="16">
        <f t="shared" si="144"/>
        <v>-120110.35138854444</v>
      </c>
      <c r="BS282" s="16">
        <f t="shared" si="145"/>
        <v>-120810.35138854443</v>
      </c>
      <c r="BT282" s="14">
        <f>IF([1]Sheet2!CB281=999999,"NA",[1]Sheet2!CB281)</f>
        <v>0</v>
      </c>
      <c r="BU282" s="14">
        <f>IF([1]Sheet2!CC281=999999,"NA",[1]Sheet2!CC281)</f>
        <v>0</v>
      </c>
      <c r="BV282" s="14">
        <f>IF([1]Sheet2!CD281=999999,"NA",[1]Sheet2!CD281)</f>
        <v>0</v>
      </c>
      <c r="BW282" s="14">
        <f>IF([1]Sheet2!CE281=999999,"NA",[1]Sheet2!CE281)</f>
        <v>0</v>
      </c>
      <c r="BX282" s="14">
        <f>IF([1]Sheet2!CF281=999999,"NA",[1]Sheet2!CF281)</f>
        <v>0</v>
      </c>
      <c r="BY282" s="14">
        <f>IF([1]Sheet2!CG281=999999,"NA",[1]Sheet2!CG281)</f>
        <v>0</v>
      </c>
      <c r="BZ282" s="14">
        <f>IF([1]Sheet2!CH281=999999,"NA",[1]Sheet2!CH281)</f>
        <v>0</v>
      </c>
      <c r="CA282" s="14">
        <f>IF([1]Sheet2!CI281=999999,"NA",[1]Sheet2!CI281)</f>
        <v>0</v>
      </c>
      <c r="CB282" s="14">
        <f>IF([1]Sheet2!CJ281=999999,"NA",[1]Sheet2!CJ281)</f>
        <v>0</v>
      </c>
      <c r="CC282" s="14">
        <f>IF([1]Sheet2!CK281=999999,"NA",[1]Sheet2!CK281)</f>
        <v>0</v>
      </c>
      <c r="CD282" s="14">
        <f>[1]Sheet2!BH281</f>
        <v>0</v>
      </c>
      <c r="CE282" s="14">
        <f>[1]Sheet2!BI281</f>
        <v>0</v>
      </c>
      <c r="CF282" s="14">
        <f>[1]Sheet2!BJ281</f>
        <v>0</v>
      </c>
      <c r="CG282" s="14">
        <f>[1]Sheet2!BK281</f>
        <v>0</v>
      </c>
      <c r="CH282" s="14">
        <f>[1]Sheet2!BL281</f>
        <v>0</v>
      </c>
      <c r="CI282" s="14">
        <f>[1]Sheet2!BM281</f>
        <v>0</v>
      </c>
      <c r="CJ282" s="14">
        <f>[1]Sheet2!BN281</f>
        <v>0</v>
      </c>
      <c r="CK282" s="14">
        <f>[1]Sheet2!BO281</f>
        <v>0</v>
      </c>
      <c r="CL282" s="14">
        <f>[1]Sheet2!BP281</f>
        <v>0</v>
      </c>
      <c r="CM282" s="14">
        <f>[1]Sheet2!BQ281</f>
        <v>0</v>
      </c>
      <c r="CN282" s="16">
        <f>Demand_SW!B$12/31</f>
        <v>139.57816377171216</v>
      </c>
      <c r="CO282" s="16">
        <f>Demand_SW!C$12/31</f>
        <v>0</v>
      </c>
      <c r="CP282" s="16">
        <f>Demand_SW!D$12/31</f>
        <v>0</v>
      </c>
      <c r="CQ282" s="16">
        <f>Demand_SW!E$12/31</f>
        <v>0</v>
      </c>
      <c r="CR282" s="16">
        <f>Demand_SW!F$12/31</f>
        <v>0</v>
      </c>
      <c r="CS282" s="16">
        <f>Demand_SW!G$12/31</f>
        <v>139.57816377171216</v>
      </c>
      <c r="CT282" s="16">
        <f>Demand_SW!H$12/31</f>
        <v>0</v>
      </c>
      <c r="CU282" s="16">
        <f>Demand_SW!I$12/31</f>
        <v>0</v>
      </c>
      <c r="CV282" s="16">
        <f>Demand_SW!J$12/31</f>
        <v>0</v>
      </c>
      <c r="CW282" s="16">
        <f>Demand_SW!K$12/31</f>
        <v>0</v>
      </c>
      <c r="CX282" s="16">
        <f t="shared" si="146"/>
        <v>-14885.161290322623</v>
      </c>
      <c r="CY282" s="16">
        <f t="shared" si="147"/>
        <v>76.923076923077133</v>
      </c>
      <c r="CZ282" s="16">
        <f t="shared" si="148"/>
        <v>0</v>
      </c>
      <c r="DA282" s="16">
        <f t="shared" si="149"/>
        <v>0</v>
      </c>
      <c r="DB282" s="16">
        <f t="shared" si="150"/>
        <v>0</v>
      </c>
      <c r="DC282" s="16">
        <f t="shared" si="151"/>
        <v>-16116.392059553393</v>
      </c>
      <c r="DD282" s="16">
        <f t="shared" si="152"/>
        <v>76.923076923077133</v>
      </c>
      <c r="DE282" s="16">
        <f t="shared" si="153"/>
        <v>0</v>
      </c>
      <c r="DF282" s="16">
        <f t="shared" si="154"/>
        <v>0</v>
      </c>
      <c r="DG282" s="16">
        <f t="shared" si="155"/>
        <v>0</v>
      </c>
      <c r="DH282" s="14">
        <f>IF([1]Sheet2!DS281=999999,"NA",[1]Sheet2!DS281)</f>
        <v>0</v>
      </c>
      <c r="DI282" s="14">
        <f>IF([1]Sheet2!DT281=999999,"NA",[1]Sheet2!DT281)</f>
        <v>86</v>
      </c>
      <c r="DJ282" s="14" t="str">
        <f>IF([1]Sheet2!DU281=999999,"NA",[1]Sheet2!DU281)</f>
        <v>NA</v>
      </c>
      <c r="DK282" s="14" t="str">
        <f>IF([1]Sheet2!DV281=999999,"NA",[1]Sheet2!DV281)</f>
        <v>NA</v>
      </c>
      <c r="DL282" s="14" t="str">
        <f>IF([1]Sheet2!DW281=999999,"NA",[1]Sheet2!DW281)</f>
        <v>NA</v>
      </c>
      <c r="DM282" s="14">
        <f>IF([1]Sheet2!DX281=999999,"NA",[1]Sheet2!DX281)</f>
        <v>0</v>
      </c>
      <c r="DN282" s="14">
        <f>IF([1]Sheet2!DY281=999999,"NA",[1]Sheet2!DY281)</f>
        <v>86</v>
      </c>
      <c r="DO282" s="14" t="str">
        <f>IF([1]Sheet2!DZ281=999999,"NA",[1]Sheet2!DZ281)</f>
        <v>NA</v>
      </c>
      <c r="DP282" s="14" t="str">
        <f>IF([1]Sheet2!EA281=999999,"NA",[1]Sheet2!EA281)</f>
        <v>NA</v>
      </c>
      <c r="DQ282" s="14" t="str">
        <f>IF([1]Sheet2!EB281=999999,"NA",[1]Sheet2!EB281)</f>
        <v>NA</v>
      </c>
      <c r="DR282" s="14">
        <f>[1]Sheet2!CY281</f>
        <v>0</v>
      </c>
      <c r="DS282" s="14">
        <f>[1]Sheet2!CZ281</f>
        <v>0</v>
      </c>
      <c r="DT282" s="14">
        <f>[1]Sheet2!DA281</f>
        <v>0</v>
      </c>
      <c r="DU282" s="14">
        <f>[1]Sheet2!DB281</f>
        <v>0</v>
      </c>
      <c r="DV282" s="14">
        <f>[1]Sheet2!DC281</f>
        <v>0</v>
      </c>
      <c r="DW282" s="14">
        <f>[1]Sheet2!DD281</f>
        <v>0</v>
      </c>
      <c r="DX282" s="14">
        <f>[1]Sheet2!DE281</f>
        <v>0</v>
      </c>
      <c r="DY282" s="14">
        <f>[1]Sheet2!DF281</f>
        <v>0</v>
      </c>
      <c r="DZ282" s="14">
        <f>[1]Sheet2!DG281</f>
        <v>0</v>
      </c>
      <c r="EA282" s="14">
        <f>[1]Sheet2!DH281</f>
        <v>0</v>
      </c>
      <c r="EB282" s="6">
        <f>[1]Sheet2!EC281</f>
        <v>0</v>
      </c>
      <c r="EC282" s="6">
        <f>[1]Sheet2!ED281</f>
        <v>0</v>
      </c>
      <c r="ED282" s="6">
        <f>[1]Sheet2!EE281</f>
        <v>0</v>
      </c>
      <c r="EE282" s="6">
        <f>[1]Sheet2!EF281</f>
        <v>0</v>
      </c>
      <c r="EF282" s="6">
        <f>[1]Sheet2!EG281</f>
        <v>0</v>
      </c>
      <c r="EG282" s="6">
        <f>[1]Sheet2!EH281</f>
        <v>0</v>
      </c>
      <c r="EH282" s="6">
        <f>[1]Sheet2!EI281</f>
        <v>0</v>
      </c>
      <c r="EI282" s="6">
        <f>[1]Sheet2!EJ281</f>
        <v>0</v>
      </c>
      <c r="EJ282" s="6">
        <f>[1]Sheet2!EK281</f>
        <v>0</v>
      </c>
      <c r="EK282" s="6">
        <f>[1]Sheet2!EL281</f>
        <v>0</v>
      </c>
      <c r="EL282" s="6" t="str">
        <f>[1]Sheet2!EM281</f>
        <v/>
      </c>
      <c r="EM282" s="6" t="str">
        <f>[1]Sheet2!EN281</f>
        <v/>
      </c>
      <c r="EN282" s="6" t="str">
        <f>[1]Sheet2!EO281</f>
        <v/>
      </c>
      <c r="EO282" s="6" t="str">
        <f>[1]Sheet2!EP281</f>
        <v/>
      </c>
      <c r="EP282" s="6" t="str">
        <f>[1]Sheet2!EQ281</f>
        <v/>
      </c>
      <c r="EQ282" s="6" t="str">
        <f>[1]Sheet2!ER281</f>
        <v/>
      </c>
      <c r="ER282" s="6" t="str">
        <f>[1]Sheet2!ES281</f>
        <v/>
      </c>
      <c r="ES282" s="6" t="str">
        <f>[1]Sheet2!ET281</f>
        <v/>
      </c>
      <c r="ET282" s="6" t="str">
        <f>[1]Sheet2!EU281</f>
        <v/>
      </c>
      <c r="EU282" s="6" t="str">
        <f>[1]Sheet2!EV281</f>
        <v/>
      </c>
      <c r="EV282" s="6" t="str">
        <f>[1]Sheet2!EW281</f>
        <v/>
      </c>
      <c r="EW282" s="6" t="str">
        <f>[1]Sheet2!EX281</f>
        <v/>
      </c>
      <c r="EX282" s="6" t="str">
        <f>[1]Sheet2!EY281</f>
        <v/>
      </c>
      <c r="EY282" s="6" t="str">
        <f>[1]Sheet2!EZ281</f>
        <v/>
      </c>
      <c r="EZ282" s="6" t="str">
        <f>[1]Sheet2!FA281</f>
        <v/>
      </c>
      <c r="FA282" s="6" t="str">
        <f>[1]Sheet2!FB281</f>
        <v/>
      </c>
      <c r="FB282" s="6" t="str">
        <f>[1]Sheet2!FC281</f>
        <v/>
      </c>
      <c r="FC282" s="6" t="str">
        <f>[1]Sheet2!FD281</f>
        <v/>
      </c>
      <c r="FD282" s="6" t="str">
        <f>[1]Sheet2!FE281</f>
        <v/>
      </c>
      <c r="FE282" s="6" t="str">
        <f>[1]Sheet2!FF281</f>
        <v/>
      </c>
      <c r="FF282" s="6" t="str">
        <f>[1]Sheet2!FG281</f>
        <v/>
      </c>
      <c r="FG282" s="6" t="str">
        <f>[1]Sheet2!FH281</f>
        <v/>
      </c>
      <c r="FH282" s="6" t="str">
        <f>[1]Sheet2!FI281</f>
        <v/>
      </c>
      <c r="FI282" s="6" t="str">
        <f>[1]Sheet2!FJ281</f>
        <v/>
      </c>
      <c r="FJ282" s="6" t="str">
        <f>[1]Sheet2!FK281</f>
        <v/>
      </c>
      <c r="FK282" s="6" t="str">
        <f>[1]Sheet2!FL281</f>
        <v/>
      </c>
      <c r="FL282" s="6" t="str">
        <f>[1]Sheet2!FM281</f>
        <v/>
      </c>
      <c r="FM282" s="6" t="str">
        <f>[1]Sheet2!FN281</f>
        <v/>
      </c>
      <c r="FN282" s="6" t="str">
        <f>[1]Sheet2!FO281</f>
        <v/>
      </c>
      <c r="FO282" s="6" t="str">
        <f>[1]Sheet2!FP281</f>
        <v/>
      </c>
    </row>
    <row r="283" spans="1:171" x14ac:dyDescent="0.25">
      <c r="A283" s="15">
        <v>43745</v>
      </c>
      <c r="B283" s="1"/>
      <c r="C283" s="1"/>
      <c r="D283" s="1"/>
      <c r="E283" s="14">
        <f>[1]Sheet2!N282</f>
        <v>48000</v>
      </c>
      <c r="F283" s="14">
        <f>[1]Sheet2!BE282</f>
        <v>0</v>
      </c>
      <c r="G283" s="14">
        <f>[1]Sheet2!CW282</f>
        <v>0</v>
      </c>
      <c r="H283" s="1"/>
      <c r="I283" s="1"/>
      <c r="J283" s="1"/>
      <c r="K283" s="16"/>
      <c r="L283" s="16">
        <f>Demand_CWRS!B$12/31</f>
        <v>113.31027191894128</v>
      </c>
      <c r="M283" s="16">
        <f>Demand_CWRS!C$12/31</f>
        <v>480.06765922249781</v>
      </c>
      <c r="N283" s="16">
        <f>Demand_CWRS!D$12/31</f>
        <v>0</v>
      </c>
      <c r="O283" s="16">
        <f>Demand_CWRS!E$12/31</f>
        <v>103.22435897435898</v>
      </c>
      <c r="P283" s="16">
        <f>Demand_CWRS!F$12/31</f>
        <v>209.74544820099254</v>
      </c>
      <c r="Q283" s="16">
        <f>Demand_CWRS!G$12/31</f>
        <v>113.31027191894128</v>
      </c>
      <c r="R283" s="16">
        <f>Demand_CWRS!H$12/31</f>
        <v>209.74544820099254</v>
      </c>
      <c r="S283" s="16">
        <f>Demand_CWRS!I$12/31</f>
        <v>209.74544820099254</v>
      </c>
      <c r="T283" s="16">
        <f>Demand_CWRS!J$12/31</f>
        <v>209.74544820099254</v>
      </c>
      <c r="U283" s="16">
        <f>Demand_CWRS!K$12/31</f>
        <v>209.74544820099254</v>
      </c>
      <c r="V283" s="16">
        <f t="shared" si="126"/>
        <v>-31874.16805621369</v>
      </c>
      <c r="W283" s="16">
        <f t="shared" si="127"/>
        <v>-124587.12746071097</v>
      </c>
      <c r="X283" s="16">
        <f t="shared" si="128"/>
        <v>0</v>
      </c>
      <c r="Y283" s="16">
        <f t="shared" si="129"/>
        <v>-23663.045780590695</v>
      </c>
      <c r="Z283" s="16">
        <f t="shared" si="130"/>
        <v>-55497.424680534219</v>
      </c>
      <c r="AA283" s="16">
        <f t="shared" si="131"/>
        <v>-30402.235532175302</v>
      </c>
      <c r="AB283" s="16">
        <f t="shared" si="132"/>
        <v>-59806.589456175177</v>
      </c>
      <c r="AC283" s="16">
        <f t="shared" si="133"/>
        <v>-54013.579199764987</v>
      </c>
      <c r="AD283" s="16">
        <f t="shared" si="134"/>
        <v>-59341.579199764979</v>
      </c>
      <c r="AE283" s="16">
        <f t="shared" si="135"/>
        <v>-59941.579199764972</v>
      </c>
      <c r="AF283" s="14">
        <f>IF([1]Sheet2!AJ282=999999,"NA",[1]Sheet2!AJ282)</f>
        <v>0</v>
      </c>
      <c r="AG283" s="14">
        <f>IF([1]Sheet2!AK282=999999,"NA",[1]Sheet2!AK282)</f>
        <v>0</v>
      </c>
      <c r="AH283" s="14" t="str">
        <f>IF([1]Sheet2!AL282=999999,"NA",[1]Sheet2!AL282)</f>
        <v>NA</v>
      </c>
      <c r="AI283" s="14">
        <f>IF([1]Sheet2!AM282=999999,"NA",[1]Sheet2!AM282)</f>
        <v>0</v>
      </c>
      <c r="AJ283" s="14">
        <f>IF([1]Sheet2!AN282=999999,"NA",[1]Sheet2!AN282)</f>
        <v>0</v>
      </c>
      <c r="AK283" s="14">
        <f>IF([1]Sheet2!AO282=999999,"NA",[1]Sheet2!AO282)</f>
        <v>0</v>
      </c>
      <c r="AL283" s="14">
        <f>IF([1]Sheet2!AP282=999999,"NA",[1]Sheet2!AP282)</f>
        <v>0</v>
      </c>
      <c r="AM283" s="14">
        <f>IF([1]Sheet2!AQ282=999999,"NA",[1]Sheet2!AQ282)</f>
        <v>0</v>
      </c>
      <c r="AN283" s="14">
        <f>IF([1]Sheet2!AR282=999999,"NA",[1]Sheet2!AR282)</f>
        <v>0</v>
      </c>
      <c r="AO283" s="14">
        <f>IF([1]Sheet2!AS282=999999,"NA",[1]Sheet2!AS282)</f>
        <v>0</v>
      </c>
      <c r="AP283" s="14">
        <f>[1]Sheet2!P282</f>
        <v>0</v>
      </c>
      <c r="AQ283" s="14">
        <f>[1]Sheet2!Q282</f>
        <v>0</v>
      </c>
      <c r="AR283" s="14">
        <f>[1]Sheet2!R282</f>
        <v>0</v>
      </c>
      <c r="AS283" s="14">
        <f>[1]Sheet2!S282</f>
        <v>0</v>
      </c>
      <c r="AT283" s="14">
        <f>[1]Sheet2!T282</f>
        <v>0</v>
      </c>
      <c r="AU283" s="14">
        <f>[1]Sheet2!U282</f>
        <v>0</v>
      </c>
      <c r="AV283" s="14">
        <f>[1]Sheet2!V282</f>
        <v>0</v>
      </c>
      <c r="AW283" s="14">
        <f>[1]Sheet2!W282</f>
        <v>0</v>
      </c>
      <c r="AX283" s="14">
        <f>[1]Sheet2!X282</f>
        <v>0</v>
      </c>
      <c r="AY283" s="14">
        <f>[1]Sheet2!Y282</f>
        <v>0</v>
      </c>
      <c r="AZ283" s="16">
        <f>Demand_LP!B$12/31</f>
        <v>866.47279518196865</v>
      </c>
      <c r="BA283" s="16">
        <f>Demand_LP!C$12/31</f>
        <v>577.62712985938799</v>
      </c>
      <c r="BB283" s="16">
        <f>Demand_LP!D$12/31</f>
        <v>262.18502894954509</v>
      </c>
      <c r="BC283" s="16">
        <f>Demand_LP!E$12/31</f>
        <v>766.03229942100904</v>
      </c>
      <c r="BD283" s="16">
        <f>Demand_LP!F$12/31</f>
        <v>516.10499638130682</v>
      </c>
      <c r="BE283" s="16">
        <f>Demand_LP!G$12/31</f>
        <v>516.10499638130682</v>
      </c>
      <c r="BF283" s="16">
        <f>Demand_LP!H$12/31</f>
        <v>577.62712985938799</v>
      </c>
      <c r="BG283" s="16">
        <f>Demand_LP!I$12/31</f>
        <v>516.10499638130682</v>
      </c>
      <c r="BH283" s="16">
        <f>Demand_LP!J$12/31</f>
        <v>516.10499638130682</v>
      </c>
      <c r="BI283" s="16">
        <f>Demand_LP!K$12/31</f>
        <v>516.10499638130682</v>
      </c>
      <c r="BJ283" s="16">
        <f t="shared" si="136"/>
        <v>-204809.04845386065</v>
      </c>
      <c r="BK283" s="16">
        <f t="shared" si="137"/>
        <v>-156249.45401157974</v>
      </c>
      <c r="BL283" s="16">
        <f t="shared" si="138"/>
        <v>-75812.036228288096</v>
      </c>
      <c r="BM283" s="16">
        <f t="shared" si="139"/>
        <v>-199582.69659253841</v>
      </c>
      <c r="BN283" s="16">
        <f t="shared" si="140"/>
        <v>-120261.77246655498</v>
      </c>
      <c r="BO283" s="16">
        <f t="shared" si="141"/>
        <v>-118719.45638492571</v>
      </c>
      <c r="BP283" s="16">
        <f t="shared" si="142"/>
        <v>-150607.03349875909</v>
      </c>
      <c r="BQ283" s="16">
        <f t="shared" si="143"/>
        <v>-114548.45638492571</v>
      </c>
      <c r="BR283" s="16">
        <f t="shared" si="144"/>
        <v>-120626.45638492575</v>
      </c>
      <c r="BS283" s="16">
        <f t="shared" si="145"/>
        <v>-121326.45638492574</v>
      </c>
      <c r="BT283" s="14">
        <f>IF([1]Sheet2!CB282=999999,"NA",[1]Sheet2!CB282)</f>
        <v>0</v>
      </c>
      <c r="BU283" s="14">
        <f>IF([1]Sheet2!CC282=999999,"NA",[1]Sheet2!CC282)</f>
        <v>0</v>
      </c>
      <c r="BV283" s="14">
        <f>IF([1]Sheet2!CD282=999999,"NA",[1]Sheet2!CD282)</f>
        <v>0</v>
      </c>
      <c r="BW283" s="14">
        <f>IF([1]Sheet2!CE282=999999,"NA",[1]Sheet2!CE282)</f>
        <v>0</v>
      </c>
      <c r="BX283" s="14">
        <f>IF([1]Sheet2!CF282=999999,"NA",[1]Sheet2!CF282)</f>
        <v>0</v>
      </c>
      <c r="BY283" s="14">
        <f>IF([1]Sheet2!CG282=999999,"NA",[1]Sheet2!CG282)</f>
        <v>0</v>
      </c>
      <c r="BZ283" s="14">
        <f>IF([1]Sheet2!CH282=999999,"NA",[1]Sheet2!CH282)</f>
        <v>0</v>
      </c>
      <c r="CA283" s="14">
        <f>IF([1]Sheet2!CI282=999999,"NA",[1]Sheet2!CI282)</f>
        <v>0</v>
      </c>
      <c r="CB283" s="14">
        <f>IF([1]Sheet2!CJ282=999999,"NA",[1]Sheet2!CJ282)</f>
        <v>0</v>
      </c>
      <c r="CC283" s="14">
        <f>IF([1]Sheet2!CK282=999999,"NA",[1]Sheet2!CK282)</f>
        <v>0</v>
      </c>
      <c r="CD283" s="14">
        <f>[1]Sheet2!BH282</f>
        <v>0</v>
      </c>
      <c r="CE283" s="14">
        <f>[1]Sheet2!BI282</f>
        <v>0</v>
      </c>
      <c r="CF283" s="14">
        <f>[1]Sheet2!BJ282</f>
        <v>0</v>
      </c>
      <c r="CG283" s="14">
        <f>[1]Sheet2!BK282</f>
        <v>0</v>
      </c>
      <c r="CH283" s="14">
        <f>[1]Sheet2!BL282</f>
        <v>0</v>
      </c>
      <c r="CI283" s="14">
        <f>[1]Sheet2!BM282</f>
        <v>0</v>
      </c>
      <c r="CJ283" s="14">
        <f>[1]Sheet2!BN282</f>
        <v>0</v>
      </c>
      <c r="CK283" s="14">
        <f>[1]Sheet2!BO282</f>
        <v>0</v>
      </c>
      <c r="CL283" s="14">
        <f>[1]Sheet2!BP282</f>
        <v>0</v>
      </c>
      <c r="CM283" s="14">
        <f>[1]Sheet2!BQ282</f>
        <v>0</v>
      </c>
      <c r="CN283" s="16">
        <f>Demand_SW!B$12/31</f>
        <v>139.57816377171216</v>
      </c>
      <c r="CO283" s="16">
        <f>Demand_SW!C$12/31</f>
        <v>0</v>
      </c>
      <c r="CP283" s="16">
        <f>Demand_SW!D$12/31</f>
        <v>0</v>
      </c>
      <c r="CQ283" s="16">
        <f>Demand_SW!E$12/31</f>
        <v>0</v>
      </c>
      <c r="CR283" s="16">
        <f>Demand_SW!F$12/31</f>
        <v>0</v>
      </c>
      <c r="CS283" s="16">
        <f>Demand_SW!G$12/31</f>
        <v>139.57816377171216</v>
      </c>
      <c r="CT283" s="16">
        <f>Demand_SW!H$12/31</f>
        <v>0</v>
      </c>
      <c r="CU283" s="16">
        <f>Demand_SW!I$12/31</f>
        <v>0</v>
      </c>
      <c r="CV283" s="16">
        <f>Demand_SW!J$12/31</f>
        <v>0</v>
      </c>
      <c r="CW283" s="16">
        <f>Demand_SW!K$12/31</f>
        <v>0</v>
      </c>
      <c r="CX283" s="16">
        <f t="shared" si="146"/>
        <v>-15024.739454094335</v>
      </c>
      <c r="CY283" s="16">
        <f t="shared" si="147"/>
        <v>76.923076923077133</v>
      </c>
      <c r="CZ283" s="16">
        <f t="shared" si="148"/>
        <v>0</v>
      </c>
      <c r="DA283" s="16">
        <f t="shared" si="149"/>
        <v>0</v>
      </c>
      <c r="DB283" s="16">
        <f t="shared" si="150"/>
        <v>0</v>
      </c>
      <c r="DC283" s="16">
        <f t="shared" si="151"/>
        <v>-16255.970223325105</v>
      </c>
      <c r="DD283" s="16">
        <f t="shared" si="152"/>
        <v>76.923076923077133</v>
      </c>
      <c r="DE283" s="16">
        <f t="shared" si="153"/>
        <v>0</v>
      </c>
      <c r="DF283" s="16">
        <f t="shared" si="154"/>
        <v>0</v>
      </c>
      <c r="DG283" s="16">
        <f t="shared" si="155"/>
        <v>0</v>
      </c>
      <c r="DH283" s="14">
        <f>IF([1]Sheet2!DS282=999999,"NA",[1]Sheet2!DS282)</f>
        <v>0</v>
      </c>
      <c r="DI283" s="14">
        <f>IF([1]Sheet2!DT282=999999,"NA",[1]Sheet2!DT282)</f>
        <v>85</v>
      </c>
      <c r="DJ283" s="14" t="str">
        <f>IF([1]Sheet2!DU282=999999,"NA",[1]Sheet2!DU282)</f>
        <v>NA</v>
      </c>
      <c r="DK283" s="14" t="str">
        <f>IF([1]Sheet2!DV282=999999,"NA",[1]Sheet2!DV282)</f>
        <v>NA</v>
      </c>
      <c r="DL283" s="14" t="str">
        <f>IF([1]Sheet2!DW282=999999,"NA",[1]Sheet2!DW282)</f>
        <v>NA</v>
      </c>
      <c r="DM283" s="14">
        <f>IF([1]Sheet2!DX282=999999,"NA",[1]Sheet2!DX282)</f>
        <v>0</v>
      </c>
      <c r="DN283" s="14">
        <f>IF([1]Sheet2!DY282=999999,"NA",[1]Sheet2!DY282)</f>
        <v>85</v>
      </c>
      <c r="DO283" s="14" t="str">
        <f>IF([1]Sheet2!DZ282=999999,"NA",[1]Sheet2!DZ282)</f>
        <v>NA</v>
      </c>
      <c r="DP283" s="14" t="str">
        <f>IF([1]Sheet2!EA282=999999,"NA",[1]Sheet2!EA282)</f>
        <v>NA</v>
      </c>
      <c r="DQ283" s="14" t="str">
        <f>IF([1]Sheet2!EB282=999999,"NA",[1]Sheet2!EB282)</f>
        <v>NA</v>
      </c>
      <c r="DR283" s="14">
        <f>[1]Sheet2!CY282</f>
        <v>0</v>
      </c>
      <c r="DS283" s="14">
        <f>[1]Sheet2!CZ282</f>
        <v>0</v>
      </c>
      <c r="DT283" s="14">
        <f>[1]Sheet2!DA282</f>
        <v>0</v>
      </c>
      <c r="DU283" s="14">
        <f>[1]Sheet2!DB282</f>
        <v>0</v>
      </c>
      <c r="DV283" s="14">
        <f>[1]Sheet2!DC282</f>
        <v>0</v>
      </c>
      <c r="DW283" s="14">
        <f>[1]Sheet2!DD282</f>
        <v>0</v>
      </c>
      <c r="DX283" s="14">
        <f>[1]Sheet2!DE282</f>
        <v>0</v>
      </c>
      <c r="DY283" s="14">
        <f>[1]Sheet2!DF282</f>
        <v>0</v>
      </c>
      <c r="DZ283" s="14">
        <f>[1]Sheet2!DG282</f>
        <v>0</v>
      </c>
      <c r="EA283" s="14">
        <f>[1]Sheet2!DH282</f>
        <v>0</v>
      </c>
      <c r="EB283" s="6">
        <f>[1]Sheet2!EC282</f>
        <v>0</v>
      </c>
      <c r="EC283" s="6">
        <f>[1]Sheet2!ED282</f>
        <v>0</v>
      </c>
      <c r="ED283" s="6">
        <f>[1]Sheet2!EE282</f>
        <v>0</v>
      </c>
      <c r="EE283" s="6">
        <f>[1]Sheet2!EF282</f>
        <v>0</v>
      </c>
      <c r="EF283" s="6">
        <f>[1]Sheet2!EG282</f>
        <v>0</v>
      </c>
      <c r="EG283" s="6">
        <f>[1]Sheet2!EH282</f>
        <v>0</v>
      </c>
      <c r="EH283" s="6">
        <f>[1]Sheet2!EI282</f>
        <v>0</v>
      </c>
      <c r="EI283" s="6">
        <f>[1]Sheet2!EJ282</f>
        <v>0</v>
      </c>
      <c r="EJ283" s="6">
        <f>[1]Sheet2!EK282</f>
        <v>0</v>
      </c>
      <c r="EK283" s="6">
        <f>[1]Sheet2!EL282</f>
        <v>0</v>
      </c>
      <c r="EL283" s="6" t="str">
        <f>[1]Sheet2!EM282</f>
        <v/>
      </c>
      <c r="EM283" s="6" t="str">
        <f>[1]Sheet2!EN282</f>
        <v/>
      </c>
      <c r="EN283" s="6" t="str">
        <f>[1]Sheet2!EO282</f>
        <v/>
      </c>
      <c r="EO283" s="6" t="str">
        <f>[1]Sheet2!EP282</f>
        <v/>
      </c>
      <c r="EP283" s="6" t="str">
        <f>[1]Sheet2!EQ282</f>
        <v/>
      </c>
      <c r="EQ283" s="6" t="str">
        <f>[1]Sheet2!ER282</f>
        <v/>
      </c>
      <c r="ER283" s="6" t="str">
        <f>[1]Sheet2!ES282</f>
        <v/>
      </c>
      <c r="ES283" s="6" t="str">
        <f>[1]Sheet2!ET282</f>
        <v/>
      </c>
      <c r="ET283" s="6" t="str">
        <f>[1]Sheet2!EU282</f>
        <v/>
      </c>
      <c r="EU283" s="6" t="str">
        <f>[1]Sheet2!EV282</f>
        <v/>
      </c>
      <c r="EV283" s="6" t="str">
        <f>[1]Sheet2!EW282</f>
        <v/>
      </c>
      <c r="EW283" s="6" t="str">
        <f>[1]Sheet2!EX282</f>
        <v/>
      </c>
      <c r="EX283" s="6" t="str">
        <f>[1]Sheet2!EY282</f>
        <v/>
      </c>
      <c r="EY283" s="6" t="str">
        <f>[1]Sheet2!EZ282</f>
        <v/>
      </c>
      <c r="EZ283" s="6" t="str">
        <f>[1]Sheet2!FA282</f>
        <v/>
      </c>
      <c r="FA283" s="6" t="str">
        <f>[1]Sheet2!FB282</f>
        <v/>
      </c>
      <c r="FB283" s="6" t="str">
        <f>[1]Sheet2!FC282</f>
        <v/>
      </c>
      <c r="FC283" s="6" t="str">
        <f>[1]Sheet2!FD282</f>
        <v/>
      </c>
      <c r="FD283" s="6" t="str">
        <f>[1]Sheet2!FE282</f>
        <v/>
      </c>
      <c r="FE283" s="6" t="str">
        <f>[1]Sheet2!FF282</f>
        <v/>
      </c>
      <c r="FF283" s="6" t="str">
        <f>[1]Sheet2!FG282</f>
        <v/>
      </c>
      <c r="FG283" s="6" t="str">
        <f>[1]Sheet2!FH282</f>
        <v/>
      </c>
      <c r="FH283" s="6" t="str">
        <f>[1]Sheet2!FI282</f>
        <v/>
      </c>
      <c r="FI283" s="6" t="str">
        <f>[1]Sheet2!FJ282</f>
        <v/>
      </c>
      <c r="FJ283" s="6" t="str">
        <f>[1]Sheet2!FK282</f>
        <v/>
      </c>
      <c r="FK283" s="6" t="str">
        <f>[1]Sheet2!FL282</f>
        <v/>
      </c>
      <c r="FL283" s="6" t="str">
        <f>[1]Sheet2!FM282</f>
        <v/>
      </c>
      <c r="FM283" s="6" t="str">
        <f>[1]Sheet2!FN282</f>
        <v/>
      </c>
      <c r="FN283" s="6" t="str">
        <f>[1]Sheet2!FO282</f>
        <v/>
      </c>
      <c r="FO283" s="6" t="str">
        <f>[1]Sheet2!FP282</f>
        <v/>
      </c>
    </row>
    <row r="284" spans="1:171" x14ac:dyDescent="0.25">
      <c r="A284" s="15">
        <v>43746</v>
      </c>
      <c r="B284" s="1"/>
      <c r="C284" s="1"/>
      <c r="D284" s="1"/>
      <c r="E284" s="14">
        <f>[1]Sheet2!N283</f>
        <v>0</v>
      </c>
      <c r="F284" s="14">
        <f>[1]Sheet2!BE283</f>
        <v>0</v>
      </c>
      <c r="G284" s="14">
        <f>[1]Sheet2!CW283</f>
        <v>0</v>
      </c>
      <c r="H284" s="1"/>
      <c r="I284" s="1"/>
      <c r="J284" s="1"/>
      <c r="K284" s="16"/>
      <c r="L284" s="16">
        <f>Demand_CWRS!B$12/31</f>
        <v>113.31027191894128</v>
      </c>
      <c r="M284" s="16">
        <f>Demand_CWRS!C$12/31</f>
        <v>480.06765922249781</v>
      </c>
      <c r="N284" s="16">
        <f>Demand_CWRS!D$12/31</f>
        <v>0</v>
      </c>
      <c r="O284" s="16">
        <f>Demand_CWRS!E$12/31</f>
        <v>103.22435897435898</v>
      </c>
      <c r="P284" s="16">
        <f>Demand_CWRS!F$12/31</f>
        <v>209.74544820099254</v>
      </c>
      <c r="Q284" s="16">
        <f>Demand_CWRS!G$12/31</f>
        <v>113.31027191894128</v>
      </c>
      <c r="R284" s="16">
        <f>Demand_CWRS!H$12/31</f>
        <v>209.74544820099254</v>
      </c>
      <c r="S284" s="16">
        <f>Demand_CWRS!I$12/31</f>
        <v>209.74544820099254</v>
      </c>
      <c r="T284" s="16">
        <f>Demand_CWRS!J$12/31</f>
        <v>209.74544820099254</v>
      </c>
      <c r="U284" s="16">
        <f>Demand_CWRS!K$12/31</f>
        <v>209.74544820099254</v>
      </c>
      <c r="V284" s="16">
        <f t="shared" si="126"/>
        <v>-31987.478328132631</v>
      </c>
      <c r="W284" s="16">
        <f t="shared" si="127"/>
        <v>-125067.19511993346</v>
      </c>
      <c r="X284" s="16">
        <f t="shared" si="128"/>
        <v>0</v>
      </c>
      <c r="Y284" s="16">
        <f t="shared" si="129"/>
        <v>-23766.270139565055</v>
      </c>
      <c r="Z284" s="16">
        <f t="shared" si="130"/>
        <v>-55707.170128735212</v>
      </c>
      <c r="AA284" s="16">
        <f t="shared" si="131"/>
        <v>-30515.545804094243</v>
      </c>
      <c r="AB284" s="16">
        <f t="shared" si="132"/>
        <v>-60016.33490437617</v>
      </c>
      <c r="AC284" s="16">
        <f t="shared" si="133"/>
        <v>-54223.324647965979</v>
      </c>
      <c r="AD284" s="16">
        <f t="shared" si="134"/>
        <v>-59551.324647965972</v>
      </c>
      <c r="AE284" s="16">
        <f t="shared" si="135"/>
        <v>-60151.324647965965</v>
      </c>
      <c r="AF284" s="14">
        <f>IF([1]Sheet2!AJ283=999999,"NA",[1]Sheet2!AJ283)</f>
        <v>0</v>
      </c>
      <c r="AG284" s="14">
        <f>IF([1]Sheet2!AK283=999999,"NA",[1]Sheet2!AK283)</f>
        <v>0</v>
      </c>
      <c r="AH284" s="14" t="str">
        <f>IF([1]Sheet2!AL283=999999,"NA",[1]Sheet2!AL283)</f>
        <v>NA</v>
      </c>
      <c r="AI284" s="14">
        <f>IF([1]Sheet2!AM283=999999,"NA",[1]Sheet2!AM283)</f>
        <v>0</v>
      </c>
      <c r="AJ284" s="14">
        <f>IF([1]Sheet2!AN283=999999,"NA",[1]Sheet2!AN283)</f>
        <v>0</v>
      </c>
      <c r="AK284" s="14">
        <f>IF([1]Sheet2!AO283=999999,"NA",[1]Sheet2!AO283)</f>
        <v>0</v>
      </c>
      <c r="AL284" s="14">
        <f>IF([1]Sheet2!AP283=999999,"NA",[1]Sheet2!AP283)</f>
        <v>0</v>
      </c>
      <c r="AM284" s="14">
        <f>IF([1]Sheet2!AQ283=999999,"NA",[1]Sheet2!AQ283)</f>
        <v>0</v>
      </c>
      <c r="AN284" s="14">
        <f>IF([1]Sheet2!AR283=999999,"NA",[1]Sheet2!AR283)</f>
        <v>0</v>
      </c>
      <c r="AO284" s="14">
        <f>IF([1]Sheet2!AS283=999999,"NA",[1]Sheet2!AS283)</f>
        <v>0</v>
      </c>
      <c r="AP284" s="14">
        <f>[1]Sheet2!P283</f>
        <v>0</v>
      </c>
      <c r="AQ284" s="14">
        <f>[1]Sheet2!Q283</f>
        <v>0</v>
      </c>
      <c r="AR284" s="14">
        <f>[1]Sheet2!R283</f>
        <v>0</v>
      </c>
      <c r="AS284" s="14">
        <f>[1]Sheet2!S283</f>
        <v>0</v>
      </c>
      <c r="AT284" s="14">
        <f>[1]Sheet2!T283</f>
        <v>0</v>
      </c>
      <c r="AU284" s="14">
        <f>[1]Sheet2!U283</f>
        <v>0</v>
      </c>
      <c r="AV284" s="14">
        <f>[1]Sheet2!V283</f>
        <v>0</v>
      </c>
      <c r="AW284" s="14">
        <f>[1]Sheet2!W283</f>
        <v>0</v>
      </c>
      <c r="AX284" s="14">
        <f>[1]Sheet2!X283</f>
        <v>0</v>
      </c>
      <c r="AY284" s="14">
        <f>[1]Sheet2!Y283</f>
        <v>0</v>
      </c>
      <c r="AZ284" s="16">
        <f>Demand_LP!B$12/31</f>
        <v>866.47279518196865</v>
      </c>
      <c r="BA284" s="16">
        <f>Demand_LP!C$12/31</f>
        <v>577.62712985938799</v>
      </c>
      <c r="BB284" s="16">
        <f>Demand_LP!D$12/31</f>
        <v>262.18502894954509</v>
      </c>
      <c r="BC284" s="16">
        <f>Demand_LP!E$12/31</f>
        <v>766.03229942100904</v>
      </c>
      <c r="BD284" s="16">
        <f>Demand_LP!F$12/31</f>
        <v>516.10499638130682</v>
      </c>
      <c r="BE284" s="16">
        <f>Demand_LP!G$12/31</f>
        <v>516.10499638130682</v>
      </c>
      <c r="BF284" s="16">
        <f>Demand_LP!H$12/31</f>
        <v>577.62712985938799</v>
      </c>
      <c r="BG284" s="16">
        <f>Demand_LP!I$12/31</f>
        <v>516.10499638130682</v>
      </c>
      <c r="BH284" s="16">
        <f>Demand_LP!J$12/31</f>
        <v>516.10499638130682</v>
      </c>
      <c r="BI284" s="16">
        <f>Demand_LP!K$12/31</f>
        <v>516.10499638130682</v>
      </c>
      <c r="BJ284" s="16">
        <f t="shared" si="136"/>
        <v>-205675.52124904262</v>
      </c>
      <c r="BK284" s="16">
        <f t="shared" si="137"/>
        <v>-156827.08114143912</v>
      </c>
      <c r="BL284" s="16">
        <f t="shared" si="138"/>
        <v>-76074.221257237645</v>
      </c>
      <c r="BM284" s="16">
        <f t="shared" si="139"/>
        <v>-200348.72889195941</v>
      </c>
      <c r="BN284" s="16">
        <f t="shared" si="140"/>
        <v>-120777.87746293629</v>
      </c>
      <c r="BO284" s="16">
        <f t="shared" si="141"/>
        <v>-119235.56138130702</v>
      </c>
      <c r="BP284" s="16">
        <f t="shared" si="142"/>
        <v>-151184.66062861847</v>
      </c>
      <c r="BQ284" s="16">
        <f t="shared" si="143"/>
        <v>-115064.56138130702</v>
      </c>
      <c r="BR284" s="16">
        <f t="shared" si="144"/>
        <v>-121142.56138130707</v>
      </c>
      <c r="BS284" s="16">
        <f t="shared" si="145"/>
        <v>-121842.56138130705</v>
      </c>
      <c r="BT284" s="14">
        <f>IF([1]Sheet2!CB283=999999,"NA",[1]Sheet2!CB283)</f>
        <v>0</v>
      </c>
      <c r="BU284" s="14">
        <f>IF([1]Sheet2!CC283=999999,"NA",[1]Sheet2!CC283)</f>
        <v>0</v>
      </c>
      <c r="BV284" s="14">
        <f>IF([1]Sheet2!CD283=999999,"NA",[1]Sheet2!CD283)</f>
        <v>0</v>
      </c>
      <c r="BW284" s="14">
        <f>IF([1]Sheet2!CE283=999999,"NA",[1]Sheet2!CE283)</f>
        <v>0</v>
      </c>
      <c r="BX284" s="14">
        <f>IF([1]Sheet2!CF283=999999,"NA",[1]Sheet2!CF283)</f>
        <v>0</v>
      </c>
      <c r="BY284" s="14">
        <f>IF([1]Sheet2!CG283=999999,"NA",[1]Sheet2!CG283)</f>
        <v>0</v>
      </c>
      <c r="BZ284" s="14">
        <f>IF([1]Sheet2!CH283=999999,"NA",[1]Sheet2!CH283)</f>
        <v>0</v>
      </c>
      <c r="CA284" s="14">
        <f>IF([1]Sheet2!CI283=999999,"NA",[1]Sheet2!CI283)</f>
        <v>0</v>
      </c>
      <c r="CB284" s="14">
        <f>IF([1]Sheet2!CJ283=999999,"NA",[1]Sheet2!CJ283)</f>
        <v>0</v>
      </c>
      <c r="CC284" s="14">
        <f>IF([1]Sheet2!CK283=999999,"NA",[1]Sheet2!CK283)</f>
        <v>0</v>
      </c>
      <c r="CD284" s="14">
        <f>[1]Sheet2!BH283</f>
        <v>0</v>
      </c>
      <c r="CE284" s="14">
        <f>[1]Sheet2!BI283</f>
        <v>0</v>
      </c>
      <c r="CF284" s="14">
        <f>[1]Sheet2!BJ283</f>
        <v>0</v>
      </c>
      <c r="CG284" s="14">
        <f>[1]Sheet2!BK283</f>
        <v>0</v>
      </c>
      <c r="CH284" s="14">
        <f>[1]Sheet2!BL283</f>
        <v>0</v>
      </c>
      <c r="CI284" s="14">
        <f>[1]Sheet2!BM283</f>
        <v>0</v>
      </c>
      <c r="CJ284" s="14">
        <f>[1]Sheet2!BN283</f>
        <v>0</v>
      </c>
      <c r="CK284" s="14">
        <f>[1]Sheet2!BO283</f>
        <v>0</v>
      </c>
      <c r="CL284" s="14">
        <f>[1]Sheet2!BP283</f>
        <v>0</v>
      </c>
      <c r="CM284" s="14">
        <f>[1]Sheet2!BQ283</f>
        <v>0</v>
      </c>
      <c r="CN284" s="16">
        <f>Demand_SW!B$12/31</f>
        <v>139.57816377171216</v>
      </c>
      <c r="CO284" s="16">
        <f>Demand_SW!C$12/31</f>
        <v>0</v>
      </c>
      <c r="CP284" s="16">
        <f>Demand_SW!D$12/31</f>
        <v>0</v>
      </c>
      <c r="CQ284" s="16">
        <f>Demand_SW!E$12/31</f>
        <v>0</v>
      </c>
      <c r="CR284" s="16">
        <f>Demand_SW!F$12/31</f>
        <v>0</v>
      </c>
      <c r="CS284" s="16">
        <f>Demand_SW!G$12/31</f>
        <v>139.57816377171216</v>
      </c>
      <c r="CT284" s="16">
        <f>Demand_SW!H$12/31</f>
        <v>0</v>
      </c>
      <c r="CU284" s="16">
        <f>Demand_SW!I$12/31</f>
        <v>0</v>
      </c>
      <c r="CV284" s="16">
        <f>Demand_SW!J$12/31</f>
        <v>0</v>
      </c>
      <c r="CW284" s="16">
        <f>Demand_SW!K$12/31</f>
        <v>0</v>
      </c>
      <c r="CX284" s="16">
        <f t="shared" si="146"/>
        <v>-15164.317617866047</v>
      </c>
      <c r="CY284" s="16">
        <f t="shared" si="147"/>
        <v>76.923076923077133</v>
      </c>
      <c r="CZ284" s="16">
        <f t="shared" si="148"/>
        <v>0</v>
      </c>
      <c r="DA284" s="16">
        <f t="shared" si="149"/>
        <v>0</v>
      </c>
      <c r="DB284" s="16">
        <f t="shared" si="150"/>
        <v>0</v>
      </c>
      <c r="DC284" s="16">
        <f t="shared" si="151"/>
        <v>-16395.548387096816</v>
      </c>
      <c r="DD284" s="16">
        <f t="shared" si="152"/>
        <v>76.923076923077133</v>
      </c>
      <c r="DE284" s="16">
        <f t="shared" si="153"/>
        <v>0</v>
      </c>
      <c r="DF284" s="16">
        <f t="shared" si="154"/>
        <v>0</v>
      </c>
      <c r="DG284" s="16">
        <f t="shared" si="155"/>
        <v>0</v>
      </c>
      <c r="DH284" s="14">
        <f>IF([1]Sheet2!DS283=999999,"NA",[1]Sheet2!DS283)</f>
        <v>0</v>
      </c>
      <c r="DI284" s="14">
        <f>IF([1]Sheet2!DT283=999999,"NA",[1]Sheet2!DT283)</f>
        <v>84</v>
      </c>
      <c r="DJ284" s="14" t="str">
        <f>IF([1]Sheet2!DU283=999999,"NA",[1]Sheet2!DU283)</f>
        <v>NA</v>
      </c>
      <c r="DK284" s="14" t="str">
        <f>IF([1]Sheet2!DV283=999999,"NA",[1]Sheet2!DV283)</f>
        <v>NA</v>
      </c>
      <c r="DL284" s="14" t="str">
        <f>IF([1]Sheet2!DW283=999999,"NA",[1]Sheet2!DW283)</f>
        <v>NA</v>
      </c>
      <c r="DM284" s="14">
        <f>IF([1]Sheet2!DX283=999999,"NA",[1]Sheet2!DX283)</f>
        <v>0</v>
      </c>
      <c r="DN284" s="14">
        <f>IF([1]Sheet2!DY283=999999,"NA",[1]Sheet2!DY283)</f>
        <v>84</v>
      </c>
      <c r="DO284" s="14" t="str">
        <f>IF([1]Sheet2!DZ283=999999,"NA",[1]Sheet2!DZ283)</f>
        <v>NA</v>
      </c>
      <c r="DP284" s="14" t="str">
        <f>IF([1]Sheet2!EA283=999999,"NA",[1]Sheet2!EA283)</f>
        <v>NA</v>
      </c>
      <c r="DQ284" s="14" t="str">
        <f>IF([1]Sheet2!EB283=999999,"NA",[1]Sheet2!EB283)</f>
        <v>NA</v>
      </c>
      <c r="DR284" s="14">
        <f>[1]Sheet2!CY283</f>
        <v>0</v>
      </c>
      <c r="DS284" s="14">
        <f>[1]Sheet2!CZ283</f>
        <v>0</v>
      </c>
      <c r="DT284" s="14">
        <f>[1]Sheet2!DA283</f>
        <v>0</v>
      </c>
      <c r="DU284" s="14">
        <f>[1]Sheet2!DB283</f>
        <v>0</v>
      </c>
      <c r="DV284" s="14">
        <f>[1]Sheet2!DC283</f>
        <v>0</v>
      </c>
      <c r="DW284" s="14">
        <f>[1]Sheet2!DD283</f>
        <v>0</v>
      </c>
      <c r="DX284" s="14">
        <f>[1]Sheet2!DE283</f>
        <v>0</v>
      </c>
      <c r="DY284" s="14">
        <f>[1]Sheet2!DF283</f>
        <v>0</v>
      </c>
      <c r="DZ284" s="14">
        <f>[1]Sheet2!DG283</f>
        <v>0</v>
      </c>
      <c r="EA284" s="14">
        <f>[1]Sheet2!DH283</f>
        <v>0</v>
      </c>
      <c r="EB284" s="6">
        <f>[1]Sheet2!EC283</f>
        <v>0</v>
      </c>
      <c r="EC284" s="6">
        <f>[1]Sheet2!ED283</f>
        <v>0</v>
      </c>
      <c r="ED284" s="6">
        <f>[1]Sheet2!EE283</f>
        <v>0</v>
      </c>
      <c r="EE284" s="6">
        <f>[1]Sheet2!EF283</f>
        <v>0</v>
      </c>
      <c r="EF284" s="6">
        <f>[1]Sheet2!EG283</f>
        <v>0</v>
      </c>
      <c r="EG284" s="6">
        <f>[1]Sheet2!EH283</f>
        <v>0</v>
      </c>
      <c r="EH284" s="6">
        <f>[1]Sheet2!EI283</f>
        <v>0</v>
      </c>
      <c r="EI284" s="6">
        <f>[1]Sheet2!EJ283</f>
        <v>0</v>
      </c>
      <c r="EJ284" s="6">
        <f>[1]Sheet2!EK283</f>
        <v>0</v>
      </c>
      <c r="EK284" s="6">
        <f>[1]Sheet2!EL283</f>
        <v>0</v>
      </c>
      <c r="EL284" s="6" t="str">
        <f>[1]Sheet2!EM283</f>
        <v/>
      </c>
      <c r="EM284" s="6" t="str">
        <f>[1]Sheet2!EN283</f>
        <v/>
      </c>
      <c r="EN284" s="6" t="str">
        <f>[1]Sheet2!EO283</f>
        <v/>
      </c>
      <c r="EO284" s="6" t="str">
        <f>[1]Sheet2!EP283</f>
        <v/>
      </c>
      <c r="EP284" s="6" t="str">
        <f>[1]Sheet2!EQ283</f>
        <v/>
      </c>
      <c r="EQ284" s="6" t="str">
        <f>[1]Sheet2!ER283</f>
        <v/>
      </c>
      <c r="ER284" s="6" t="str">
        <f>[1]Sheet2!ES283</f>
        <v/>
      </c>
      <c r="ES284" s="6" t="str">
        <f>[1]Sheet2!ET283</f>
        <v/>
      </c>
      <c r="ET284" s="6" t="str">
        <f>[1]Sheet2!EU283</f>
        <v/>
      </c>
      <c r="EU284" s="6" t="str">
        <f>[1]Sheet2!EV283</f>
        <v/>
      </c>
      <c r="EV284" s="6" t="str">
        <f>[1]Sheet2!EW283</f>
        <v/>
      </c>
      <c r="EW284" s="6" t="str">
        <f>[1]Sheet2!EX283</f>
        <v/>
      </c>
      <c r="EX284" s="6" t="str">
        <f>[1]Sheet2!EY283</f>
        <v/>
      </c>
      <c r="EY284" s="6" t="str">
        <f>[1]Sheet2!EZ283</f>
        <v/>
      </c>
      <c r="EZ284" s="6" t="str">
        <f>[1]Sheet2!FA283</f>
        <v/>
      </c>
      <c r="FA284" s="6" t="str">
        <f>[1]Sheet2!FB283</f>
        <v/>
      </c>
      <c r="FB284" s="6" t="str">
        <f>[1]Sheet2!FC283</f>
        <v/>
      </c>
      <c r="FC284" s="6" t="str">
        <f>[1]Sheet2!FD283</f>
        <v/>
      </c>
      <c r="FD284" s="6" t="str">
        <f>[1]Sheet2!FE283</f>
        <v/>
      </c>
      <c r="FE284" s="6" t="str">
        <f>[1]Sheet2!FF283</f>
        <v/>
      </c>
      <c r="FF284" s="6" t="str">
        <f>[1]Sheet2!FG283</f>
        <v/>
      </c>
      <c r="FG284" s="6" t="str">
        <f>[1]Sheet2!FH283</f>
        <v/>
      </c>
      <c r="FH284" s="6" t="str">
        <f>[1]Sheet2!FI283</f>
        <v/>
      </c>
      <c r="FI284" s="6" t="str">
        <f>[1]Sheet2!FJ283</f>
        <v/>
      </c>
      <c r="FJ284" s="6" t="str">
        <f>[1]Sheet2!FK283</f>
        <v/>
      </c>
      <c r="FK284" s="6" t="str">
        <f>[1]Sheet2!FL283</f>
        <v/>
      </c>
      <c r="FL284" s="6" t="str">
        <f>[1]Sheet2!FM283</f>
        <v/>
      </c>
      <c r="FM284" s="6" t="str">
        <f>[1]Sheet2!FN283</f>
        <v/>
      </c>
      <c r="FN284" s="6" t="str">
        <f>[1]Sheet2!FO283</f>
        <v/>
      </c>
      <c r="FO284" s="6" t="str">
        <f>[1]Sheet2!FP283</f>
        <v/>
      </c>
    </row>
    <row r="285" spans="1:171" x14ac:dyDescent="0.25">
      <c r="A285" s="15">
        <v>43747</v>
      </c>
      <c r="B285" s="1"/>
      <c r="C285" s="1"/>
      <c r="D285" s="1"/>
      <c r="E285" s="14">
        <f>[1]Sheet2!N284</f>
        <v>0</v>
      </c>
      <c r="F285" s="14">
        <f>[1]Sheet2!BE284</f>
        <v>0</v>
      </c>
      <c r="G285" s="14">
        <f>[1]Sheet2!CW284</f>
        <v>0</v>
      </c>
      <c r="H285" s="1"/>
      <c r="I285" s="1"/>
      <c r="J285" s="1"/>
      <c r="K285" s="16"/>
      <c r="L285" s="16">
        <f>Demand_CWRS!B$12/31</f>
        <v>113.31027191894128</v>
      </c>
      <c r="M285" s="16">
        <f>Demand_CWRS!C$12/31</f>
        <v>480.06765922249781</v>
      </c>
      <c r="N285" s="16">
        <f>Demand_CWRS!D$12/31</f>
        <v>0</v>
      </c>
      <c r="O285" s="16">
        <f>Demand_CWRS!E$12/31</f>
        <v>103.22435897435898</v>
      </c>
      <c r="P285" s="16">
        <f>Demand_CWRS!F$12/31</f>
        <v>209.74544820099254</v>
      </c>
      <c r="Q285" s="16">
        <f>Demand_CWRS!G$12/31</f>
        <v>113.31027191894128</v>
      </c>
      <c r="R285" s="16">
        <f>Demand_CWRS!H$12/31</f>
        <v>209.74544820099254</v>
      </c>
      <c r="S285" s="16">
        <f>Demand_CWRS!I$12/31</f>
        <v>209.74544820099254</v>
      </c>
      <c r="T285" s="16">
        <f>Demand_CWRS!J$12/31</f>
        <v>209.74544820099254</v>
      </c>
      <c r="U285" s="16">
        <f>Demand_CWRS!K$12/31</f>
        <v>209.74544820099254</v>
      </c>
      <c r="V285" s="16">
        <f t="shared" si="126"/>
        <v>-32100.788600051572</v>
      </c>
      <c r="W285" s="16">
        <f t="shared" si="127"/>
        <v>-125547.26277915595</v>
      </c>
      <c r="X285" s="16">
        <f t="shared" si="128"/>
        <v>0</v>
      </c>
      <c r="Y285" s="16">
        <f t="shared" si="129"/>
        <v>-23869.494498539414</v>
      </c>
      <c r="Z285" s="16">
        <f t="shared" si="130"/>
        <v>-55916.915576936204</v>
      </c>
      <c r="AA285" s="16">
        <f t="shared" si="131"/>
        <v>-30628.856076013184</v>
      </c>
      <c r="AB285" s="16">
        <f t="shared" si="132"/>
        <v>-60226.080352577163</v>
      </c>
      <c r="AC285" s="16">
        <f t="shared" si="133"/>
        <v>-54433.070096166972</v>
      </c>
      <c r="AD285" s="16">
        <f t="shared" si="134"/>
        <v>-55261.070096166965</v>
      </c>
      <c r="AE285" s="16">
        <f t="shared" si="135"/>
        <v>-60361.070096166957</v>
      </c>
      <c r="AF285" s="14">
        <f>IF([1]Sheet2!AJ284=999999,"NA",[1]Sheet2!AJ284)</f>
        <v>0</v>
      </c>
      <c r="AG285" s="14">
        <f>IF([1]Sheet2!AK284=999999,"NA",[1]Sheet2!AK284)</f>
        <v>0</v>
      </c>
      <c r="AH285" s="14" t="str">
        <f>IF([1]Sheet2!AL284=999999,"NA",[1]Sheet2!AL284)</f>
        <v>NA</v>
      </c>
      <c r="AI285" s="14">
        <f>IF([1]Sheet2!AM284=999999,"NA",[1]Sheet2!AM284)</f>
        <v>0</v>
      </c>
      <c r="AJ285" s="14">
        <f>IF([1]Sheet2!AN284=999999,"NA",[1]Sheet2!AN284)</f>
        <v>0</v>
      </c>
      <c r="AK285" s="14">
        <f>IF([1]Sheet2!AO284=999999,"NA",[1]Sheet2!AO284)</f>
        <v>0</v>
      </c>
      <c r="AL285" s="14">
        <f>IF([1]Sheet2!AP284=999999,"NA",[1]Sheet2!AP284)</f>
        <v>0</v>
      </c>
      <c r="AM285" s="14">
        <f>IF([1]Sheet2!AQ284=999999,"NA",[1]Sheet2!AQ284)</f>
        <v>0</v>
      </c>
      <c r="AN285" s="14">
        <f>IF([1]Sheet2!AR284=999999,"NA",[1]Sheet2!AR284)</f>
        <v>0</v>
      </c>
      <c r="AO285" s="14">
        <f>IF([1]Sheet2!AS284=999999,"NA",[1]Sheet2!AS284)</f>
        <v>0</v>
      </c>
      <c r="AP285" s="14">
        <f>[1]Sheet2!P284</f>
        <v>0</v>
      </c>
      <c r="AQ285" s="14">
        <f>[1]Sheet2!Q284</f>
        <v>0</v>
      </c>
      <c r="AR285" s="14">
        <f>[1]Sheet2!R284</f>
        <v>0</v>
      </c>
      <c r="AS285" s="14">
        <f>[1]Sheet2!S284</f>
        <v>0</v>
      </c>
      <c r="AT285" s="14">
        <f>[1]Sheet2!T284</f>
        <v>0</v>
      </c>
      <c r="AU285" s="14">
        <f>[1]Sheet2!U284</f>
        <v>0</v>
      </c>
      <c r="AV285" s="14">
        <f>[1]Sheet2!V284</f>
        <v>0</v>
      </c>
      <c r="AW285" s="14">
        <f>[1]Sheet2!W284</f>
        <v>0</v>
      </c>
      <c r="AX285" s="14">
        <f>[1]Sheet2!X284</f>
        <v>4500</v>
      </c>
      <c r="AY285" s="14">
        <f>[1]Sheet2!Y284</f>
        <v>0</v>
      </c>
      <c r="AZ285" s="16">
        <f>Demand_LP!B$12/31</f>
        <v>866.47279518196865</v>
      </c>
      <c r="BA285" s="16">
        <f>Demand_LP!C$12/31</f>
        <v>577.62712985938799</v>
      </c>
      <c r="BB285" s="16">
        <f>Demand_LP!D$12/31</f>
        <v>262.18502894954509</v>
      </c>
      <c r="BC285" s="16">
        <f>Demand_LP!E$12/31</f>
        <v>766.03229942100904</v>
      </c>
      <c r="BD285" s="16">
        <f>Demand_LP!F$12/31</f>
        <v>516.10499638130682</v>
      </c>
      <c r="BE285" s="16">
        <f>Demand_LP!G$12/31</f>
        <v>516.10499638130682</v>
      </c>
      <c r="BF285" s="16">
        <f>Demand_LP!H$12/31</f>
        <v>577.62712985938799</v>
      </c>
      <c r="BG285" s="16">
        <f>Demand_LP!I$12/31</f>
        <v>516.10499638130682</v>
      </c>
      <c r="BH285" s="16">
        <f>Demand_LP!J$12/31</f>
        <v>516.10499638130682</v>
      </c>
      <c r="BI285" s="16">
        <f>Demand_LP!K$12/31</f>
        <v>516.10499638130682</v>
      </c>
      <c r="BJ285" s="16">
        <f t="shared" si="136"/>
        <v>-206541.99404422459</v>
      </c>
      <c r="BK285" s="16">
        <f t="shared" si="137"/>
        <v>-157404.7082712985</v>
      </c>
      <c r="BL285" s="16">
        <f t="shared" si="138"/>
        <v>-76336.406286187193</v>
      </c>
      <c r="BM285" s="16">
        <f t="shared" si="139"/>
        <v>-201114.76119138041</v>
      </c>
      <c r="BN285" s="16">
        <f t="shared" si="140"/>
        <v>-121293.9824593176</v>
      </c>
      <c r="BO285" s="16">
        <f t="shared" si="141"/>
        <v>-119751.66637768834</v>
      </c>
      <c r="BP285" s="16">
        <f t="shared" si="142"/>
        <v>-151762.28775847785</v>
      </c>
      <c r="BQ285" s="16">
        <f t="shared" si="143"/>
        <v>-115580.66637768834</v>
      </c>
      <c r="BR285" s="16">
        <f t="shared" si="144"/>
        <v>-121658.66637768838</v>
      </c>
      <c r="BS285" s="16">
        <f t="shared" si="145"/>
        <v>-122358.66637768837</v>
      </c>
      <c r="BT285" s="14">
        <f>IF([1]Sheet2!CB284=999999,"NA",[1]Sheet2!CB284)</f>
        <v>0</v>
      </c>
      <c r="BU285" s="14">
        <f>IF([1]Sheet2!CC284=999999,"NA",[1]Sheet2!CC284)</f>
        <v>0</v>
      </c>
      <c r="BV285" s="14">
        <f>IF([1]Sheet2!CD284=999999,"NA",[1]Sheet2!CD284)</f>
        <v>0</v>
      </c>
      <c r="BW285" s="14">
        <f>IF([1]Sheet2!CE284=999999,"NA",[1]Sheet2!CE284)</f>
        <v>0</v>
      </c>
      <c r="BX285" s="14">
        <f>IF([1]Sheet2!CF284=999999,"NA",[1]Sheet2!CF284)</f>
        <v>0</v>
      </c>
      <c r="BY285" s="14">
        <f>IF([1]Sheet2!CG284=999999,"NA",[1]Sheet2!CG284)</f>
        <v>0</v>
      </c>
      <c r="BZ285" s="14">
        <f>IF([1]Sheet2!CH284=999999,"NA",[1]Sheet2!CH284)</f>
        <v>0</v>
      </c>
      <c r="CA285" s="14">
        <f>IF([1]Sheet2!CI284=999999,"NA",[1]Sheet2!CI284)</f>
        <v>0</v>
      </c>
      <c r="CB285" s="14">
        <f>IF([1]Sheet2!CJ284=999999,"NA",[1]Sheet2!CJ284)</f>
        <v>0</v>
      </c>
      <c r="CC285" s="14">
        <f>IF([1]Sheet2!CK284=999999,"NA",[1]Sheet2!CK284)</f>
        <v>0</v>
      </c>
      <c r="CD285" s="14">
        <f>[1]Sheet2!BH284</f>
        <v>0</v>
      </c>
      <c r="CE285" s="14">
        <f>[1]Sheet2!BI284</f>
        <v>0</v>
      </c>
      <c r="CF285" s="14">
        <f>[1]Sheet2!BJ284</f>
        <v>0</v>
      </c>
      <c r="CG285" s="14">
        <f>[1]Sheet2!BK284</f>
        <v>0</v>
      </c>
      <c r="CH285" s="14">
        <f>[1]Sheet2!BL284</f>
        <v>0</v>
      </c>
      <c r="CI285" s="14">
        <f>[1]Sheet2!BM284</f>
        <v>0</v>
      </c>
      <c r="CJ285" s="14">
        <f>[1]Sheet2!BN284</f>
        <v>0</v>
      </c>
      <c r="CK285" s="14">
        <f>[1]Sheet2!BO284</f>
        <v>0</v>
      </c>
      <c r="CL285" s="14">
        <f>[1]Sheet2!BP284</f>
        <v>0</v>
      </c>
      <c r="CM285" s="14">
        <f>[1]Sheet2!BQ284</f>
        <v>0</v>
      </c>
      <c r="CN285" s="16">
        <f>Demand_SW!B$12/31</f>
        <v>139.57816377171216</v>
      </c>
      <c r="CO285" s="16">
        <f>Demand_SW!C$12/31</f>
        <v>0</v>
      </c>
      <c r="CP285" s="16">
        <f>Demand_SW!D$12/31</f>
        <v>0</v>
      </c>
      <c r="CQ285" s="16">
        <f>Demand_SW!E$12/31</f>
        <v>0</v>
      </c>
      <c r="CR285" s="16">
        <f>Demand_SW!F$12/31</f>
        <v>0</v>
      </c>
      <c r="CS285" s="16">
        <f>Demand_SW!G$12/31</f>
        <v>139.57816377171216</v>
      </c>
      <c r="CT285" s="16">
        <f>Demand_SW!H$12/31</f>
        <v>0</v>
      </c>
      <c r="CU285" s="16">
        <f>Demand_SW!I$12/31</f>
        <v>0</v>
      </c>
      <c r="CV285" s="16">
        <f>Demand_SW!J$12/31</f>
        <v>0</v>
      </c>
      <c r="CW285" s="16">
        <f>Demand_SW!K$12/31</f>
        <v>0</v>
      </c>
      <c r="CX285" s="16">
        <f t="shared" si="146"/>
        <v>-15303.895781637759</v>
      </c>
      <c r="CY285" s="16">
        <f t="shared" si="147"/>
        <v>76.923076923077133</v>
      </c>
      <c r="CZ285" s="16">
        <f t="shared" si="148"/>
        <v>0</v>
      </c>
      <c r="DA285" s="16">
        <f t="shared" si="149"/>
        <v>0</v>
      </c>
      <c r="DB285" s="16">
        <f t="shared" si="150"/>
        <v>0</v>
      </c>
      <c r="DC285" s="16">
        <f t="shared" si="151"/>
        <v>-16535.126550868528</v>
      </c>
      <c r="DD285" s="16">
        <f t="shared" si="152"/>
        <v>76.923076923077133</v>
      </c>
      <c r="DE285" s="16">
        <f t="shared" si="153"/>
        <v>0</v>
      </c>
      <c r="DF285" s="16">
        <f t="shared" si="154"/>
        <v>0</v>
      </c>
      <c r="DG285" s="16">
        <f t="shared" si="155"/>
        <v>0</v>
      </c>
      <c r="DH285" s="14">
        <f>IF([1]Sheet2!DS284=999999,"NA",[1]Sheet2!DS284)</f>
        <v>0</v>
      </c>
      <c r="DI285" s="14">
        <f>IF([1]Sheet2!DT284=999999,"NA",[1]Sheet2!DT284)</f>
        <v>83</v>
      </c>
      <c r="DJ285" s="14" t="str">
        <f>IF([1]Sheet2!DU284=999999,"NA",[1]Sheet2!DU284)</f>
        <v>NA</v>
      </c>
      <c r="DK285" s="14" t="str">
        <f>IF([1]Sheet2!DV284=999999,"NA",[1]Sheet2!DV284)</f>
        <v>NA</v>
      </c>
      <c r="DL285" s="14" t="str">
        <f>IF([1]Sheet2!DW284=999999,"NA",[1]Sheet2!DW284)</f>
        <v>NA</v>
      </c>
      <c r="DM285" s="14">
        <f>IF([1]Sheet2!DX284=999999,"NA",[1]Sheet2!DX284)</f>
        <v>0</v>
      </c>
      <c r="DN285" s="14">
        <f>IF([1]Sheet2!DY284=999999,"NA",[1]Sheet2!DY284)</f>
        <v>83</v>
      </c>
      <c r="DO285" s="14" t="str">
        <f>IF([1]Sheet2!DZ284=999999,"NA",[1]Sheet2!DZ284)</f>
        <v>NA</v>
      </c>
      <c r="DP285" s="14" t="str">
        <f>IF([1]Sheet2!EA284=999999,"NA",[1]Sheet2!EA284)</f>
        <v>NA</v>
      </c>
      <c r="DQ285" s="14" t="str">
        <f>IF([1]Sheet2!EB284=999999,"NA",[1]Sheet2!EB284)</f>
        <v>NA</v>
      </c>
      <c r="DR285" s="14">
        <f>[1]Sheet2!CY284</f>
        <v>0</v>
      </c>
      <c r="DS285" s="14">
        <f>[1]Sheet2!CZ284</f>
        <v>0</v>
      </c>
      <c r="DT285" s="14">
        <f>[1]Sheet2!DA284</f>
        <v>0</v>
      </c>
      <c r="DU285" s="14">
        <f>[1]Sheet2!DB284</f>
        <v>0</v>
      </c>
      <c r="DV285" s="14">
        <f>[1]Sheet2!DC284</f>
        <v>0</v>
      </c>
      <c r="DW285" s="14">
        <f>[1]Sheet2!DD284</f>
        <v>0</v>
      </c>
      <c r="DX285" s="14">
        <f>[1]Sheet2!DE284</f>
        <v>0</v>
      </c>
      <c r="DY285" s="14">
        <f>[1]Sheet2!DF284</f>
        <v>0</v>
      </c>
      <c r="DZ285" s="14">
        <f>[1]Sheet2!DG284</f>
        <v>0</v>
      </c>
      <c r="EA285" s="14">
        <f>[1]Sheet2!DH284</f>
        <v>0</v>
      </c>
      <c r="EB285" s="6">
        <f>[1]Sheet2!EC284</f>
        <v>0</v>
      </c>
      <c r="EC285" s="6">
        <f>[1]Sheet2!ED284</f>
        <v>0</v>
      </c>
      <c r="ED285" s="6">
        <f>[1]Sheet2!EE284</f>
        <v>0</v>
      </c>
      <c r="EE285" s="6">
        <f>[1]Sheet2!EF284</f>
        <v>0</v>
      </c>
      <c r="EF285" s="6">
        <f>[1]Sheet2!EG284</f>
        <v>0</v>
      </c>
      <c r="EG285" s="6">
        <f>[1]Sheet2!EH284</f>
        <v>0</v>
      </c>
      <c r="EH285" s="6">
        <f>[1]Sheet2!EI284</f>
        <v>0</v>
      </c>
      <c r="EI285" s="6">
        <f>[1]Sheet2!EJ284</f>
        <v>0</v>
      </c>
      <c r="EJ285" s="6">
        <f>[1]Sheet2!EK284</f>
        <v>0</v>
      </c>
      <c r="EK285" s="6">
        <f>[1]Sheet2!EL284</f>
        <v>0</v>
      </c>
      <c r="EL285" s="6" t="str">
        <f>[1]Sheet2!EM284</f>
        <v/>
      </c>
      <c r="EM285" s="6" t="str">
        <f>[1]Sheet2!EN284</f>
        <v/>
      </c>
      <c r="EN285" s="6" t="str">
        <f>[1]Sheet2!EO284</f>
        <v/>
      </c>
      <c r="EO285" s="6" t="str">
        <f>[1]Sheet2!EP284</f>
        <v/>
      </c>
      <c r="EP285" s="6" t="str">
        <f>[1]Sheet2!EQ284</f>
        <v/>
      </c>
      <c r="EQ285" s="6" t="str">
        <f>[1]Sheet2!ER284</f>
        <v/>
      </c>
      <c r="ER285" s="6" t="str">
        <f>[1]Sheet2!ES284</f>
        <v/>
      </c>
      <c r="ES285" s="6" t="str">
        <f>[1]Sheet2!ET284</f>
        <v/>
      </c>
      <c r="ET285" s="6" t="str">
        <f>[1]Sheet2!EU284</f>
        <v/>
      </c>
      <c r="EU285" s="6" t="str">
        <f>[1]Sheet2!EV284</f>
        <v/>
      </c>
      <c r="EV285" s="6" t="str">
        <f>[1]Sheet2!EW284</f>
        <v/>
      </c>
      <c r="EW285" s="6" t="str">
        <f>[1]Sheet2!EX284</f>
        <v/>
      </c>
      <c r="EX285" s="6" t="str">
        <f>[1]Sheet2!EY284</f>
        <v/>
      </c>
      <c r="EY285" s="6" t="str">
        <f>[1]Sheet2!EZ284</f>
        <v/>
      </c>
      <c r="EZ285" s="6" t="str">
        <f>[1]Sheet2!FA284</f>
        <v/>
      </c>
      <c r="FA285" s="6" t="str">
        <f>[1]Sheet2!FB284</f>
        <v/>
      </c>
      <c r="FB285" s="6" t="str">
        <f>[1]Sheet2!FC284</f>
        <v/>
      </c>
      <c r="FC285" s="6" t="str">
        <f>[1]Sheet2!FD284</f>
        <v/>
      </c>
      <c r="FD285" s="6" t="str">
        <f>[1]Sheet2!FE284</f>
        <v/>
      </c>
      <c r="FE285" s="6" t="str">
        <f>[1]Sheet2!FF284</f>
        <v/>
      </c>
      <c r="FF285" s="6" t="str">
        <f>[1]Sheet2!FG284</f>
        <v/>
      </c>
      <c r="FG285" s="6" t="str">
        <f>[1]Sheet2!FH284</f>
        <v/>
      </c>
      <c r="FH285" s="6" t="str">
        <f>[1]Sheet2!FI284</f>
        <v/>
      </c>
      <c r="FI285" s="6" t="str">
        <f>[1]Sheet2!FJ284</f>
        <v/>
      </c>
      <c r="FJ285" s="6" t="str">
        <f>[1]Sheet2!FK284</f>
        <v/>
      </c>
      <c r="FK285" s="6" t="str">
        <f>[1]Sheet2!FL284</f>
        <v/>
      </c>
      <c r="FL285" s="6" t="str">
        <f>[1]Sheet2!FM284</f>
        <v/>
      </c>
      <c r="FM285" s="6" t="str">
        <f>[1]Sheet2!FN284</f>
        <v/>
      </c>
      <c r="FN285" s="6" t="str">
        <f>[1]Sheet2!FO284</f>
        <v/>
      </c>
      <c r="FO285" s="6" t="str">
        <f>[1]Sheet2!FP284</f>
        <v/>
      </c>
    </row>
    <row r="286" spans="1:171" x14ac:dyDescent="0.25">
      <c r="A286" s="15">
        <v>43748</v>
      </c>
      <c r="B286" s="1"/>
      <c r="C286" s="1"/>
      <c r="D286" s="1"/>
      <c r="E286" s="14">
        <f>[1]Sheet2!N285</f>
        <v>0</v>
      </c>
      <c r="F286" s="14">
        <f>[1]Sheet2!BE285</f>
        <v>0</v>
      </c>
      <c r="G286" s="14">
        <f>[1]Sheet2!CW285</f>
        <v>0</v>
      </c>
      <c r="H286" s="1"/>
      <c r="I286" s="1"/>
      <c r="J286" s="1"/>
      <c r="K286" s="16"/>
      <c r="L286" s="16">
        <f>Demand_CWRS!B$12/31</f>
        <v>113.31027191894128</v>
      </c>
      <c r="M286" s="16">
        <f>Demand_CWRS!C$12/31</f>
        <v>480.06765922249781</v>
      </c>
      <c r="N286" s="16">
        <f>Demand_CWRS!D$12/31</f>
        <v>0</v>
      </c>
      <c r="O286" s="16">
        <f>Demand_CWRS!E$12/31</f>
        <v>103.22435897435898</v>
      </c>
      <c r="P286" s="16">
        <f>Demand_CWRS!F$12/31</f>
        <v>209.74544820099254</v>
      </c>
      <c r="Q286" s="16">
        <f>Demand_CWRS!G$12/31</f>
        <v>113.31027191894128</v>
      </c>
      <c r="R286" s="16">
        <f>Demand_CWRS!H$12/31</f>
        <v>209.74544820099254</v>
      </c>
      <c r="S286" s="16">
        <f>Demand_CWRS!I$12/31</f>
        <v>209.74544820099254</v>
      </c>
      <c r="T286" s="16">
        <f>Demand_CWRS!J$12/31</f>
        <v>209.74544820099254</v>
      </c>
      <c r="U286" s="16">
        <f>Demand_CWRS!K$12/31</f>
        <v>209.74544820099254</v>
      </c>
      <c r="V286" s="16">
        <f t="shared" si="126"/>
        <v>-32214.098871970513</v>
      </c>
      <c r="W286" s="16">
        <f t="shared" si="127"/>
        <v>-126027.33043837844</v>
      </c>
      <c r="X286" s="16">
        <f t="shared" si="128"/>
        <v>0</v>
      </c>
      <c r="Y286" s="16">
        <f t="shared" si="129"/>
        <v>-23972.718857513773</v>
      </c>
      <c r="Z286" s="16">
        <f t="shared" si="130"/>
        <v>-56126.661025137197</v>
      </c>
      <c r="AA286" s="16">
        <f t="shared" si="131"/>
        <v>-30742.166347932125</v>
      </c>
      <c r="AB286" s="16">
        <f t="shared" si="132"/>
        <v>-60435.825800778155</v>
      </c>
      <c r="AC286" s="16">
        <f t="shared" si="133"/>
        <v>-54642.815544367964</v>
      </c>
      <c r="AD286" s="16">
        <f t="shared" si="134"/>
        <v>-54742.815544367957</v>
      </c>
      <c r="AE286" s="16">
        <f t="shared" si="135"/>
        <v>-56798.81554436795</v>
      </c>
      <c r="AF286" s="14">
        <f>IF([1]Sheet2!AJ285=999999,"NA",[1]Sheet2!AJ285)</f>
        <v>0</v>
      </c>
      <c r="AG286" s="14">
        <f>IF([1]Sheet2!AK285=999999,"NA",[1]Sheet2!AK285)</f>
        <v>0</v>
      </c>
      <c r="AH286" s="14" t="str">
        <f>IF([1]Sheet2!AL285=999999,"NA",[1]Sheet2!AL285)</f>
        <v>NA</v>
      </c>
      <c r="AI286" s="14">
        <f>IF([1]Sheet2!AM285=999999,"NA",[1]Sheet2!AM285)</f>
        <v>0</v>
      </c>
      <c r="AJ286" s="14">
        <f>IF([1]Sheet2!AN285=999999,"NA",[1]Sheet2!AN285)</f>
        <v>0</v>
      </c>
      <c r="AK286" s="14">
        <f>IF([1]Sheet2!AO285=999999,"NA",[1]Sheet2!AO285)</f>
        <v>0</v>
      </c>
      <c r="AL286" s="14">
        <f>IF([1]Sheet2!AP285=999999,"NA",[1]Sheet2!AP285)</f>
        <v>0</v>
      </c>
      <c r="AM286" s="14">
        <f>IF([1]Sheet2!AQ285=999999,"NA",[1]Sheet2!AQ285)</f>
        <v>0</v>
      </c>
      <c r="AN286" s="14">
        <f>IF([1]Sheet2!AR285=999999,"NA",[1]Sheet2!AR285)</f>
        <v>0</v>
      </c>
      <c r="AO286" s="14">
        <f>IF([1]Sheet2!AS285=999999,"NA",[1]Sheet2!AS285)</f>
        <v>0</v>
      </c>
      <c r="AP286" s="14">
        <f>[1]Sheet2!P285</f>
        <v>0</v>
      </c>
      <c r="AQ286" s="14">
        <f>[1]Sheet2!Q285</f>
        <v>0</v>
      </c>
      <c r="AR286" s="14">
        <f>[1]Sheet2!R285</f>
        <v>0</v>
      </c>
      <c r="AS286" s="14">
        <f>[1]Sheet2!S285</f>
        <v>0</v>
      </c>
      <c r="AT286" s="14">
        <f>[1]Sheet2!T285</f>
        <v>0</v>
      </c>
      <c r="AU286" s="14">
        <f>[1]Sheet2!U285</f>
        <v>0</v>
      </c>
      <c r="AV286" s="14">
        <f>[1]Sheet2!V285</f>
        <v>0</v>
      </c>
      <c r="AW286" s="14">
        <f>[1]Sheet2!W285</f>
        <v>0</v>
      </c>
      <c r="AX286" s="14">
        <f>[1]Sheet2!X285</f>
        <v>728</v>
      </c>
      <c r="AY286" s="14">
        <f>[1]Sheet2!Y285</f>
        <v>3772</v>
      </c>
      <c r="AZ286" s="16">
        <f>Demand_LP!B$12/31</f>
        <v>866.47279518196865</v>
      </c>
      <c r="BA286" s="16">
        <f>Demand_LP!C$12/31</f>
        <v>577.62712985938799</v>
      </c>
      <c r="BB286" s="16">
        <f>Demand_LP!D$12/31</f>
        <v>262.18502894954509</v>
      </c>
      <c r="BC286" s="16">
        <f>Demand_LP!E$12/31</f>
        <v>766.03229942100904</v>
      </c>
      <c r="BD286" s="16">
        <f>Demand_LP!F$12/31</f>
        <v>516.10499638130682</v>
      </c>
      <c r="BE286" s="16">
        <f>Demand_LP!G$12/31</f>
        <v>516.10499638130682</v>
      </c>
      <c r="BF286" s="16">
        <f>Demand_LP!H$12/31</f>
        <v>577.62712985938799</v>
      </c>
      <c r="BG286" s="16">
        <f>Demand_LP!I$12/31</f>
        <v>516.10499638130682</v>
      </c>
      <c r="BH286" s="16">
        <f>Demand_LP!J$12/31</f>
        <v>516.10499638130682</v>
      </c>
      <c r="BI286" s="16">
        <f>Demand_LP!K$12/31</f>
        <v>516.10499638130682</v>
      </c>
      <c r="BJ286" s="16">
        <f t="shared" si="136"/>
        <v>-207408.46683940655</v>
      </c>
      <c r="BK286" s="16">
        <f t="shared" si="137"/>
        <v>-157982.33540115788</v>
      </c>
      <c r="BL286" s="16">
        <f t="shared" si="138"/>
        <v>-76598.591315136742</v>
      </c>
      <c r="BM286" s="16">
        <f t="shared" si="139"/>
        <v>-201880.79349080141</v>
      </c>
      <c r="BN286" s="16">
        <f t="shared" si="140"/>
        <v>-121810.08745569891</v>
      </c>
      <c r="BO286" s="16">
        <f t="shared" si="141"/>
        <v>-120267.77137406965</v>
      </c>
      <c r="BP286" s="16">
        <f t="shared" si="142"/>
        <v>-152339.91488833723</v>
      </c>
      <c r="BQ286" s="16">
        <f t="shared" si="143"/>
        <v>-116096.77137406965</v>
      </c>
      <c r="BR286" s="16">
        <f t="shared" si="144"/>
        <v>-117867.77137406969</v>
      </c>
      <c r="BS286" s="16">
        <f t="shared" si="145"/>
        <v>-122681.77137406968</v>
      </c>
      <c r="BT286" s="14">
        <f>IF([1]Sheet2!CB285=999999,"NA",[1]Sheet2!CB285)</f>
        <v>0</v>
      </c>
      <c r="BU286" s="14">
        <f>IF([1]Sheet2!CC285=999999,"NA",[1]Sheet2!CC285)</f>
        <v>0</v>
      </c>
      <c r="BV286" s="14">
        <f>IF([1]Sheet2!CD285=999999,"NA",[1]Sheet2!CD285)</f>
        <v>0</v>
      </c>
      <c r="BW286" s="14">
        <f>IF([1]Sheet2!CE285=999999,"NA",[1]Sheet2!CE285)</f>
        <v>0</v>
      </c>
      <c r="BX286" s="14">
        <f>IF([1]Sheet2!CF285=999999,"NA",[1]Sheet2!CF285)</f>
        <v>0</v>
      </c>
      <c r="BY286" s="14">
        <f>IF([1]Sheet2!CG285=999999,"NA",[1]Sheet2!CG285)</f>
        <v>0</v>
      </c>
      <c r="BZ286" s="14">
        <f>IF([1]Sheet2!CH285=999999,"NA",[1]Sheet2!CH285)</f>
        <v>0</v>
      </c>
      <c r="CA286" s="14">
        <f>IF([1]Sheet2!CI285=999999,"NA",[1]Sheet2!CI285)</f>
        <v>0</v>
      </c>
      <c r="CB286" s="14">
        <f>IF([1]Sheet2!CJ285=999999,"NA",[1]Sheet2!CJ285)</f>
        <v>0</v>
      </c>
      <c r="CC286" s="14">
        <f>IF([1]Sheet2!CK285=999999,"NA",[1]Sheet2!CK285)</f>
        <v>0</v>
      </c>
      <c r="CD286" s="14">
        <f>[1]Sheet2!BH285</f>
        <v>0</v>
      </c>
      <c r="CE286" s="14">
        <f>[1]Sheet2!BI285</f>
        <v>0</v>
      </c>
      <c r="CF286" s="14">
        <f>[1]Sheet2!BJ285</f>
        <v>0</v>
      </c>
      <c r="CG286" s="14">
        <f>[1]Sheet2!BK285</f>
        <v>0</v>
      </c>
      <c r="CH286" s="14">
        <f>[1]Sheet2!BL285</f>
        <v>0</v>
      </c>
      <c r="CI286" s="14">
        <f>[1]Sheet2!BM285</f>
        <v>0</v>
      </c>
      <c r="CJ286" s="14">
        <f>[1]Sheet2!BN285</f>
        <v>0</v>
      </c>
      <c r="CK286" s="14">
        <f>[1]Sheet2!BO285</f>
        <v>0</v>
      </c>
      <c r="CL286" s="45">
        <f>[1]Sheet2!BP285</f>
        <v>4307</v>
      </c>
      <c r="CM286" s="45">
        <f>[1]Sheet2!BQ285</f>
        <v>193</v>
      </c>
      <c r="CN286" s="16">
        <f>Demand_SW!B$12/31</f>
        <v>139.57816377171216</v>
      </c>
      <c r="CO286" s="16">
        <f>Demand_SW!C$12/31</f>
        <v>0</v>
      </c>
      <c r="CP286" s="16">
        <f>Demand_SW!D$12/31</f>
        <v>0</v>
      </c>
      <c r="CQ286" s="16">
        <f>Demand_SW!E$12/31</f>
        <v>0</v>
      </c>
      <c r="CR286" s="16">
        <f>Demand_SW!F$12/31</f>
        <v>0</v>
      </c>
      <c r="CS286" s="16">
        <f>Demand_SW!G$12/31</f>
        <v>139.57816377171216</v>
      </c>
      <c r="CT286" s="16">
        <f>Demand_SW!H$12/31</f>
        <v>0</v>
      </c>
      <c r="CU286" s="16">
        <f>Demand_SW!I$12/31</f>
        <v>0</v>
      </c>
      <c r="CV286" s="16">
        <f>Demand_SW!J$12/31</f>
        <v>0</v>
      </c>
      <c r="CW286" s="16">
        <f>Demand_SW!K$12/31</f>
        <v>0</v>
      </c>
      <c r="CX286" s="16">
        <f t="shared" si="146"/>
        <v>-15443.473945409471</v>
      </c>
      <c r="CY286" s="16">
        <f t="shared" si="147"/>
        <v>76.923076923077133</v>
      </c>
      <c r="CZ286" s="16">
        <f t="shared" si="148"/>
        <v>0</v>
      </c>
      <c r="DA286" s="16">
        <f t="shared" si="149"/>
        <v>0</v>
      </c>
      <c r="DB286" s="16">
        <f t="shared" si="150"/>
        <v>0</v>
      </c>
      <c r="DC286" s="16">
        <f t="shared" si="151"/>
        <v>-16674.70471464024</v>
      </c>
      <c r="DD286" s="16">
        <f t="shared" si="152"/>
        <v>76.923076923077133</v>
      </c>
      <c r="DE286" s="16">
        <f t="shared" si="153"/>
        <v>0</v>
      </c>
      <c r="DF286" s="16">
        <f t="shared" si="154"/>
        <v>0</v>
      </c>
      <c r="DG286" s="16">
        <f t="shared" si="155"/>
        <v>0</v>
      </c>
      <c r="DH286" s="14">
        <f>IF([1]Sheet2!DS285=999999,"NA",[1]Sheet2!DS285)</f>
        <v>0</v>
      </c>
      <c r="DI286" s="14">
        <f>IF([1]Sheet2!DT285=999999,"NA",[1]Sheet2!DT285)</f>
        <v>82</v>
      </c>
      <c r="DJ286" s="14" t="str">
        <f>IF([1]Sheet2!DU285=999999,"NA",[1]Sheet2!DU285)</f>
        <v>NA</v>
      </c>
      <c r="DK286" s="14" t="str">
        <f>IF([1]Sheet2!DV285=999999,"NA",[1]Sheet2!DV285)</f>
        <v>NA</v>
      </c>
      <c r="DL286" s="14" t="str">
        <f>IF([1]Sheet2!DW285=999999,"NA",[1]Sheet2!DW285)</f>
        <v>NA</v>
      </c>
      <c r="DM286" s="14">
        <f>IF([1]Sheet2!DX285=999999,"NA",[1]Sheet2!DX285)</f>
        <v>0</v>
      </c>
      <c r="DN286" s="14">
        <f>IF([1]Sheet2!DY285=999999,"NA",[1]Sheet2!DY285)</f>
        <v>82</v>
      </c>
      <c r="DO286" s="14" t="str">
        <f>IF([1]Sheet2!DZ285=999999,"NA",[1]Sheet2!DZ285)</f>
        <v>NA</v>
      </c>
      <c r="DP286" s="14" t="str">
        <f>IF([1]Sheet2!EA285=999999,"NA",[1]Sheet2!EA285)</f>
        <v>NA</v>
      </c>
      <c r="DQ286" s="14" t="str">
        <f>IF([1]Sheet2!EB285=999999,"NA",[1]Sheet2!EB285)</f>
        <v>NA</v>
      </c>
      <c r="DR286" s="14">
        <f>[1]Sheet2!CY285</f>
        <v>0</v>
      </c>
      <c r="DS286" s="14">
        <f>[1]Sheet2!CZ285</f>
        <v>0</v>
      </c>
      <c r="DT286" s="14">
        <f>[1]Sheet2!DA285</f>
        <v>0</v>
      </c>
      <c r="DU286" s="14">
        <f>[1]Sheet2!DB285</f>
        <v>0</v>
      </c>
      <c r="DV286" s="14">
        <f>[1]Sheet2!DC285</f>
        <v>0</v>
      </c>
      <c r="DW286" s="14">
        <f>[1]Sheet2!DD285</f>
        <v>0</v>
      </c>
      <c r="DX286" s="14">
        <f>[1]Sheet2!DE285</f>
        <v>0</v>
      </c>
      <c r="DY286" s="14">
        <f>[1]Sheet2!DF285</f>
        <v>0</v>
      </c>
      <c r="DZ286" s="14">
        <f>[1]Sheet2!DG285</f>
        <v>0</v>
      </c>
      <c r="EA286" s="14">
        <f>[1]Sheet2!DH285</f>
        <v>0</v>
      </c>
      <c r="EB286" s="6">
        <f>[1]Sheet2!EC285</f>
        <v>0</v>
      </c>
      <c r="EC286" s="6">
        <f>[1]Sheet2!ED285</f>
        <v>0</v>
      </c>
      <c r="ED286" s="6">
        <f>[1]Sheet2!EE285</f>
        <v>0</v>
      </c>
      <c r="EE286" s="6">
        <f>[1]Sheet2!EF285</f>
        <v>0</v>
      </c>
      <c r="EF286" s="6">
        <f>[1]Sheet2!EG285</f>
        <v>0</v>
      </c>
      <c r="EG286" s="6">
        <f>[1]Sheet2!EH285</f>
        <v>0</v>
      </c>
      <c r="EH286" s="6">
        <f>[1]Sheet2!EI285</f>
        <v>0</v>
      </c>
      <c r="EI286" s="6">
        <f>[1]Sheet2!EJ285</f>
        <v>0</v>
      </c>
      <c r="EJ286" s="6" t="str">
        <f>[1]Sheet2!EK285</f>
        <v>Arg</v>
      </c>
      <c r="EK286" s="6" t="str">
        <f>[1]Sheet2!EL285</f>
        <v>Arg</v>
      </c>
      <c r="EL286" s="6" t="str">
        <f>[1]Sheet2!EM285</f>
        <v/>
      </c>
      <c r="EM286" s="6" t="str">
        <f>[1]Sheet2!EN285</f>
        <v/>
      </c>
      <c r="EN286" s="6" t="str">
        <f>[1]Sheet2!EO285</f>
        <v/>
      </c>
      <c r="EO286" s="6" t="str">
        <f>[1]Sheet2!EP285</f>
        <v/>
      </c>
      <c r="EP286" s="6" t="str">
        <f>[1]Sheet2!EQ285</f>
        <v/>
      </c>
      <c r="EQ286" s="6" t="str">
        <f>[1]Sheet2!ER285</f>
        <v/>
      </c>
      <c r="ER286" s="6" t="str">
        <f>[1]Sheet2!ES285</f>
        <v/>
      </c>
      <c r="ES286" s="6" t="str">
        <f>[1]Sheet2!ET285</f>
        <v/>
      </c>
      <c r="ET286" s="6" t="str">
        <f>[1]Sheet2!EU285</f>
        <v/>
      </c>
      <c r="EU286" s="6" t="str">
        <f>[1]Sheet2!EV285</f>
        <v/>
      </c>
      <c r="EV286" s="6" t="str">
        <f>[1]Sheet2!EW285</f>
        <v/>
      </c>
      <c r="EW286" s="6" t="str">
        <f>[1]Sheet2!EX285</f>
        <v/>
      </c>
      <c r="EX286" s="6" t="str">
        <f>[1]Sheet2!EY285</f>
        <v/>
      </c>
      <c r="EY286" s="6" t="str">
        <f>[1]Sheet2!EZ285</f>
        <v/>
      </c>
      <c r="EZ286" s="6" t="str">
        <f>[1]Sheet2!FA285</f>
        <v/>
      </c>
      <c r="FA286" s="6" t="str">
        <f>[1]Sheet2!FB285</f>
        <v/>
      </c>
      <c r="FB286" s="6" t="str">
        <f>[1]Sheet2!FC285</f>
        <v/>
      </c>
      <c r="FC286" s="6" t="str">
        <f>[1]Sheet2!FD285</f>
        <v/>
      </c>
      <c r="FD286" s="6" t="str">
        <f>[1]Sheet2!FE285</f>
        <v/>
      </c>
      <c r="FE286" s="6" t="str">
        <f>[1]Sheet2!FF285</f>
        <v/>
      </c>
      <c r="FF286" s="6" t="str">
        <f>[1]Sheet2!FG285</f>
        <v/>
      </c>
      <c r="FG286" s="6" t="str">
        <f>[1]Sheet2!FH285</f>
        <v/>
      </c>
      <c r="FH286" s="6" t="str">
        <f>[1]Sheet2!FI285</f>
        <v/>
      </c>
      <c r="FI286" s="6" t="str">
        <f>[1]Sheet2!FJ285</f>
        <v/>
      </c>
      <c r="FJ286" s="6" t="str">
        <f>[1]Sheet2!FK285</f>
        <v/>
      </c>
      <c r="FK286" s="6" t="str">
        <f>[1]Sheet2!FL285</f>
        <v/>
      </c>
      <c r="FL286" s="6" t="str">
        <f>[1]Sheet2!FM285</f>
        <v/>
      </c>
      <c r="FM286" s="6" t="str">
        <f>[1]Sheet2!FN285</f>
        <v/>
      </c>
      <c r="FN286" s="6" t="str">
        <f>[1]Sheet2!FO285</f>
        <v/>
      </c>
      <c r="FO286" s="6" t="str">
        <f>[1]Sheet2!FP285</f>
        <v/>
      </c>
    </row>
    <row r="287" spans="1:171" x14ac:dyDescent="0.25">
      <c r="A287" s="15">
        <v>43749</v>
      </c>
      <c r="B287" s="1"/>
      <c r="C287" s="1"/>
      <c r="D287" s="1"/>
      <c r="E287" s="14">
        <f>[1]Sheet2!N286</f>
        <v>0</v>
      </c>
      <c r="F287" s="14">
        <f>[1]Sheet2!BE286</f>
        <v>0</v>
      </c>
      <c r="G287" s="14">
        <f>[1]Sheet2!CW286</f>
        <v>0</v>
      </c>
      <c r="H287" s="1"/>
      <c r="I287" s="1"/>
      <c r="J287" s="1"/>
      <c r="K287" s="16"/>
      <c r="L287" s="16">
        <f>Demand_CWRS!B$12/31</f>
        <v>113.31027191894128</v>
      </c>
      <c r="M287" s="16">
        <f>Demand_CWRS!C$12/31</f>
        <v>480.06765922249781</v>
      </c>
      <c r="N287" s="16">
        <f>Demand_CWRS!D$12/31</f>
        <v>0</v>
      </c>
      <c r="O287" s="16">
        <f>Demand_CWRS!E$12/31</f>
        <v>103.22435897435898</v>
      </c>
      <c r="P287" s="16">
        <f>Demand_CWRS!F$12/31</f>
        <v>209.74544820099254</v>
      </c>
      <c r="Q287" s="16">
        <f>Demand_CWRS!G$12/31</f>
        <v>113.31027191894128</v>
      </c>
      <c r="R287" s="16">
        <f>Demand_CWRS!H$12/31</f>
        <v>209.74544820099254</v>
      </c>
      <c r="S287" s="16">
        <f>Demand_CWRS!I$12/31</f>
        <v>209.74544820099254</v>
      </c>
      <c r="T287" s="16">
        <f>Demand_CWRS!J$12/31</f>
        <v>209.74544820099254</v>
      </c>
      <c r="U287" s="16">
        <f>Demand_CWRS!K$12/31</f>
        <v>209.74544820099254</v>
      </c>
      <c r="V287" s="16">
        <f t="shared" si="126"/>
        <v>-32327.409143889454</v>
      </c>
      <c r="W287" s="16">
        <f t="shared" si="127"/>
        <v>-126507.39809760093</v>
      </c>
      <c r="X287" s="16">
        <f t="shared" si="128"/>
        <v>0</v>
      </c>
      <c r="Y287" s="16">
        <f t="shared" si="129"/>
        <v>-24075.943216488133</v>
      </c>
      <c r="Z287" s="16">
        <f t="shared" si="130"/>
        <v>-56336.406473338189</v>
      </c>
      <c r="AA287" s="16">
        <f t="shared" si="131"/>
        <v>-30855.476619851066</v>
      </c>
      <c r="AB287" s="16">
        <f t="shared" si="132"/>
        <v>-60645.571248979148</v>
      </c>
      <c r="AC287" s="16">
        <f t="shared" si="133"/>
        <v>-54852.560992568957</v>
      </c>
      <c r="AD287" s="16">
        <f t="shared" si="134"/>
        <v>-54952.56099256895</v>
      </c>
      <c r="AE287" s="16">
        <f t="shared" si="135"/>
        <v>-55552.560992568942</v>
      </c>
      <c r="AF287" s="14">
        <f>IF([1]Sheet2!AJ286=999999,"NA",[1]Sheet2!AJ286)</f>
        <v>0</v>
      </c>
      <c r="AG287" s="14">
        <f>IF([1]Sheet2!AK286=999999,"NA",[1]Sheet2!AK286)</f>
        <v>0</v>
      </c>
      <c r="AH287" s="14" t="str">
        <f>IF([1]Sheet2!AL286=999999,"NA",[1]Sheet2!AL286)</f>
        <v>NA</v>
      </c>
      <c r="AI287" s="14">
        <f>IF([1]Sheet2!AM286=999999,"NA",[1]Sheet2!AM286)</f>
        <v>0</v>
      </c>
      <c r="AJ287" s="14">
        <f>IF([1]Sheet2!AN286=999999,"NA",[1]Sheet2!AN286)</f>
        <v>0</v>
      </c>
      <c r="AK287" s="14">
        <f>IF([1]Sheet2!AO286=999999,"NA",[1]Sheet2!AO286)</f>
        <v>0</v>
      </c>
      <c r="AL287" s="14">
        <f>IF([1]Sheet2!AP286=999999,"NA",[1]Sheet2!AP286)</f>
        <v>0</v>
      </c>
      <c r="AM287" s="14">
        <f>IF([1]Sheet2!AQ286=999999,"NA",[1]Sheet2!AQ286)</f>
        <v>0</v>
      </c>
      <c r="AN287" s="14">
        <f>IF([1]Sheet2!AR286=999999,"NA",[1]Sheet2!AR286)</f>
        <v>0</v>
      </c>
      <c r="AO287" s="14">
        <f>IF([1]Sheet2!AS286=999999,"NA",[1]Sheet2!AS286)</f>
        <v>0</v>
      </c>
      <c r="AP287" s="14">
        <f>[1]Sheet2!P286</f>
        <v>0</v>
      </c>
      <c r="AQ287" s="14">
        <f>[1]Sheet2!Q286</f>
        <v>0</v>
      </c>
      <c r="AR287" s="14">
        <f>[1]Sheet2!R286</f>
        <v>0</v>
      </c>
      <c r="AS287" s="14">
        <f>[1]Sheet2!S286</f>
        <v>0</v>
      </c>
      <c r="AT287" s="14">
        <f>[1]Sheet2!T286</f>
        <v>0</v>
      </c>
      <c r="AU287" s="14">
        <f>[1]Sheet2!U286</f>
        <v>0</v>
      </c>
      <c r="AV287" s="14">
        <f>[1]Sheet2!V286</f>
        <v>0</v>
      </c>
      <c r="AW287" s="14">
        <f>[1]Sheet2!W286</f>
        <v>0</v>
      </c>
      <c r="AX287" s="14">
        <f>[1]Sheet2!X286</f>
        <v>0</v>
      </c>
      <c r="AY287" s="14">
        <f>[1]Sheet2!Y286</f>
        <v>1456</v>
      </c>
      <c r="AZ287" s="16">
        <f>Demand_LP!B$12/31</f>
        <v>866.47279518196865</v>
      </c>
      <c r="BA287" s="16">
        <f>Demand_LP!C$12/31</f>
        <v>577.62712985938799</v>
      </c>
      <c r="BB287" s="16">
        <f>Demand_LP!D$12/31</f>
        <v>262.18502894954509</v>
      </c>
      <c r="BC287" s="16">
        <f>Demand_LP!E$12/31</f>
        <v>766.03229942100904</v>
      </c>
      <c r="BD287" s="16">
        <f>Demand_LP!F$12/31</f>
        <v>516.10499638130682</v>
      </c>
      <c r="BE287" s="16">
        <f>Demand_LP!G$12/31</f>
        <v>516.10499638130682</v>
      </c>
      <c r="BF287" s="16">
        <f>Demand_LP!H$12/31</f>
        <v>577.62712985938799</v>
      </c>
      <c r="BG287" s="16">
        <f>Demand_LP!I$12/31</f>
        <v>516.10499638130682</v>
      </c>
      <c r="BH287" s="16">
        <f>Demand_LP!J$12/31</f>
        <v>516.10499638130682</v>
      </c>
      <c r="BI287" s="16">
        <f>Demand_LP!K$12/31</f>
        <v>516.10499638130682</v>
      </c>
      <c r="BJ287" s="16">
        <f t="shared" si="136"/>
        <v>-208274.93963458852</v>
      </c>
      <c r="BK287" s="16">
        <f t="shared" si="137"/>
        <v>-158559.96253101726</v>
      </c>
      <c r="BL287" s="16">
        <f t="shared" si="138"/>
        <v>-76860.776344086291</v>
      </c>
      <c r="BM287" s="16">
        <f t="shared" si="139"/>
        <v>-202646.82579022241</v>
      </c>
      <c r="BN287" s="16">
        <f t="shared" si="140"/>
        <v>-122326.19245208023</v>
      </c>
      <c r="BO287" s="16">
        <f t="shared" si="141"/>
        <v>-120783.87637045096</v>
      </c>
      <c r="BP287" s="16">
        <f t="shared" si="142"/>
        <v>-152917.5420181966</v>
      </c>
      <c r="BQ287" s="16">
        <f t="shared" si="143"/>
        <v>-116612.87637045096</v>
      </c>
      <c r="BR287" s="16">
        <f t="shared" si="144"/>
        <v>-118383.87637045101</v>
      </c>
      <c r="BS287" s="16">
        <f t="shared" si="145"/>
        <v>-119083.87637045099</v>
      </c>
      <c r="BT287" s="14">
        <f>IF([1]Sheet2!CB286=999999,"NA",[1]Sheet2!CB286)</f>
        <v>0</v>
      </c>
      <c r="BU287" s="14">
        <f>IF([1]Sheet2!CC286=999999,"NA",[1]Sheet2!CC286)</f>
        <v>0</v>
      </c>
      <c r="BV287" s="14">
        <f>IF([1]Sheet2!CD286=999999,"NA",[1]Sheet2!CD286)</f>
        <v>0</v>
      </c>
      <c r="BW287" s="14">
        <f>IF([1]Sheet2!CE286=999999,"NA",[1]Sheet2!CE286)</f>
        <v>0</v>
      </c>
      <c r="BX287" s="14">
        <f>IF([1]Sheet2!CF286=999999,"NA",[1]Sheet2!CF286)</f>
        <v>0</v>
      </c>
      <c r="BY287" s="14">
        <f>IF([1]Sheet2!CG286=999999,"NA",[1]Sheet2!CG286)</f>
        <v>0</v>
      </c>
      <c r="BZ287" s="14">
        <f>IF([1]Sheet2!CH286=999999,"NA",[1]Sheet2!CH286)</f>
        <v>0</v>
      </c>
      <c r="CA287" s="14">
        <f>IF([1]Sheet2!CI286=999999,"NA",[1]Sheet2!CI286)</f>
        <v>0</v>
      </c>
      <c r="CB287" s="14">
        <f>IF([1]Sheet2!CJ286=999999,"NA",[1]Sheet2!CJ286)</f>
        <v>0</v>
      </c>
      <c r="CC287" s="14">
        <f>IF([1]Sheet2!CK286=999999,"NA",[1]Sheet2!CK286)</f>
        <v>0</v>
      </c>
      <c r="CD287" s="14">
        <f>[1]Sheet2!BH286</f>
        <v>0</v>
      </c>
      <c r="CE287" s="14">
        <f>[1]Sheet2!BI286</f>
        <v>0</v>
      </c>
      <c r="CF287" s="14">
        <f>[1]Sheet2!BJ286</f>
        <v>0</v>
      </c>
      <c r="CG287" s="14">
        <f>[1]Sheet2!BK286</f>
        <v>0</v>
      </c>
      <c r="CH287" s="14">
        <f>[1]Sheet2!BL286</f>
        <v>0</v>
      </c>
      <c r="CI287" s="14">
        <f>[1]Sheet2!BM286</f>
        <v>0</v>
      </c>
      <c r="CJ287" s="14">
        <f>[1]Sheet2!BN286</f>
        <v>0</v>
      </c>
      <c r="CK287" s="14">
        <f>[1]Sheet2!BO286</f>
        <v>0</v>
      </c>
      <c r="CL287" s="14">
        <f>[1]Sheet2!BP286</f>
        <v>0</v>
      </c>
      <c r="CM287" s="45">
        <f>[1]Sheet2!BQ286</f>
        <v>4114</v>
      </c>
      <c r="CN287" s="16">
        <f>Demand_SW!B$12/31</f>
        <v>139.57816377171216</v>
      </c>
      <c r="CO287" s="16">
        <f>Demand_SW!C$12/31</f>
        <v>0</v>
      </c>
      <c r="CP287" s="16">
        <f>Demand_SW!D$12/31</f>
        <v>0</v>
      </c>
      <c r="CQ287" s="16">
        <f>Demand_SW!E$12/31</f>
        <v>0</v>
      </c>
      <c r="CR287" s="16">
        <f>Demand_SW!F$12/31</f>
        <v>0</v>
      </c>
      <c r="CS287" s="16">
        <f>Demand_SW!G$12/31</f>
        <v>139.57816377171216</v>
      </c>
      <c r="CT287" s="16">
        <f>Demand_SW!H$12/31</f>
        <v>0</v>
      </c>
      <c r="CU287" s="16">
        <f>Demand_SW!I$12/31</f>
        <v>0</v>
      </c>
      <c r="CV287" s="16">
        <f>Demand_SW!J$12/31</f>
        <v>0</v>
      </c>
      <c r="CW287" s="16">
        <f>Demand_SW!K$12/31</f>
        <v>0</v>
      </c>
      <c r="CX287" s="16">
        <f t="shared" si="146"/>
        <v>-15583.052109181182</v>
      </c>
      <c r="CY287" s="16">
        <f t="shared" si="147"/>
        <v>76.923076923077133</v>
      </c>
      <c r="CZ287" s="16">
        <f t="shared" si="148"/>
        <v>0</v>
      </c>
      <c r="DA287" s="16">
        <f t="shared" si="149"/>
        <v>0</v>
      </c>
      <c r="DB287" s="16">
        <f t="shared" si="150"/>
        <v>0</v>
      </c>
      <c r="DC287" s="16">
        <f t="shared" si="151"/>
        <v>-16814.282878411952</v>
      </c>
      <c r="DD287" s="16">
        <f t="shared" si="152"/>
        <v>76.923076923077133</v>
      </c>
      <c r="DE287" s="16">
        <f t="shared" si="153"/>
        <v>0</v>
      </c>
      <c r="DF287" s="16">
        <f t="shared" si="154"/>
        <v>0</v>
      </c>
      <c r="DG287" s="16">
        <f t="shared" si="155"/>
        <v>0</v>
      </c>
      <c r="DH287" s="14">
        <f>IF([1]Sheet2!DS286=999999,"NA",[1]Sheet2!DS286)</f>
        <v>0</v>
      </c>
      <c r="DI287" s="14">
        <f>IF([1]Sheet2!DT286=999999,"NA",[1]Sheet2!DT286)</f>
        <v>81</v>
      </c>
      <c r="DJ287" s="14" t="str">
        <f>IF([1]Sheet2!DU286=999999,"NA",[1]Sheet2!DU286)</f>
        <v>NA</v>
      </c>
      <c r="DK287" s="14" t="str">
        <f>IF([1]Sheet2!DV286=999999,"NA",[1]Sheet2!DV286)</f>
        <v>NA</v>
      </c>
      <c r="DL287" s="14" t="str">
        <f>IF([1]Sheet2!DW286=999999,"NA",[1]Sheet2!DW286)</f>
        <v>NA</v>
      </c>
      <c r="DM287" s="14">
        <f>IF([1]Sheet2!DX286=999999,"NA",[1]Sheet2!DX286)</f>
        <v>0</v>
      </c>
      <c r="DN287" s="14">
        <f>IF([1]Sheet2!DY286=999999,"NA",[1]Sheet2!DY286)</f>
        <v>81</v>
      </c>
      <c r="DO287" s="14" t="str">
        <f>IF([1]Sheet2!DZ286=999999,"NA",[1]Sheet2!DZ286)</f>
        <v>NA</v>
      </c>
      <c r="DP287" s="14" t="str">
        <f>IF([1]Sheet2!EA286=999999,"NA",[1]Sheet2!EA286)</f>
        <v>NA</v>
      </c>
      <c r="DQ287" s="14" t="str">
        <f>IF([1]Sheet2!EB286=999999,"NA",[1]Sheet2!EB286)</f>
        <v>NA</v>
      </c>
      <c r="DR287" s="14">
        <f>[1]Sheet2!CY286</f>
        <v>0</v>
      </c>
      <c r="DS287" s="14">
        <f>[1]Sheet2!CZ286</f>
        <v>0</v>
      </c>
      <c r="DT287" s="14">
        <f>[1]Sheet2!DA286</f>
        <v>0</v>
      </c>
      <c r="DU287" s="14">
        <f>[1]Sheet2!DB286</f>
        <v>0</v>
      </c>
      <c r="DV287" s="14">
        <f>[1]Sheet2!DC286</f>
        <v>0</v>
      </c>
      <c r="DW287" s="14">
        <f>[1]Sheet2!DD286</f>
        <v>0</v>
      </c>
      <c r="DX287" s="14">
        <f>[1]Sheet2!DE286</f>
        <v>0</v>
      </c>
      <c r="DY287" s="14">
        <f>[1]Sheet2!DF286</f>
        <v>0</v>
      </c>
      <c r="DZ287" s="14">
        <f>[1]Sheet2!DG286</f>
        <v>0</v>
      </c>
      <c r="EA287" s="14">
        <f>[1]Sheet2!DH286</f>
        <v>0</v>
      </c>
      <c r="EB287" s="6">
        <f>[1]Sheet2!EC286</f>
        <v>0</v>
      </c>
      <c r="EC287" s="6">
        <f>[1]Sheet2!ED286</f>
        <v>0</v>
      </c>
      <c r="ED287" s="6">
        <f>[1]Sheet2!EE286</f>
        <v>0</v>
      </c>
      <c r="EE287" s="6">
        <f>[1]Sheet2!EF286</f>
        <v>0</v>
      </c>
      <c r="EF287" s="6">
        <f>[1]Sheet2!EG286</f>
        <v>0</v>
      </c>
      <c r="EG287" s="6">
        <f>[1]Sheet2!EH286</f>
        <v>0</v>
      </c>
      <c r="EH287" s="6">
        <f>[1]Sheet2!EI286</f>
        <v>0</v>
      </c>
      <c r="EI287" s="6">
        <f>[1]Sheet2!EJ286</f>
        <v>0</v>
      </c>
      <c r="EJ287" s="6">
        <f>[1]Sheet2!EK286</f>
        <v>0</v>
      </c>
      <c r="EK287" s="6" t="str">
        <f>[1]Sheet2!EL286</f>
        <v>Arg</v>
      </c>
      <c r="EL287" s="6" t="str">
        <f>[1]Sheet2!EM286</f>
        <v/>
      </c>
      <c r="EM287" s="6" t="str">
        <f>[1]Sheet2!EN286</f>
        <v/>
      </c>
      <c r="EN287" s="6" t="str">
        <f>[1]Sheet2!EO286</f>
        <v/>
      </c>
      <c r="EO287" s="6" t="str">
        <f>[1]Sheet2!EP286</f>
        <v/>
      </c>
      <c r="EP287" s="6" t="str">
        <f>[1]Sheet2!EQ286</f>
        <v/>
      </c>
      <c r="EQ287" s="6" t="str">
        <f>[1]Sheet2!ER286</f>
        <v/>
      </c>
      <c r="ER287" s="6" t="str">
        <f>[1]Sheet2!ES286</f>
        <v/>
      </c>
      <c r="ES287" s="6" t="str">
        <f>[1]Sheet2!ET286</f>
        <v/>
      </c>
      <c r="ET287" s="6" t="str">
        <f>[1]Sheet2!EU286</f>
        <v/>
      </c>
      <c r="EU287" s="6" t="str">
        <f>[1]Sheet2!EV286</f>
        <v/>
      </c>
      <c r="EV287" s="6" t="str">
        <f>[1]Sheet2!EW286</f>
        <v/>
      </c>
      <c r="EW287" s="6" t="str">
        <f>[1]Sheet2!EX286</f>
        <v/>
      </c>
      <c r="EX287" s="6" t="str">
        <f>[1]Sheet2!EY286</f>
        <v/>
      </c>
      <c r="EY287" s="6" t="str">
        <f>[1]Sheet2!EZ286</f>
        <v/>
      </c>
      <c r="EZ287" s="6" t="str">
        <f>[1]Sheet2!FA286</f>
        <v/>
      </c>
      <c r="FA287" s="6" t="str">
        <f>[1]Sheet2!FB286</f>
        <v/>
      </c>
      <c r="FB287" s="6" t="str">
        <f>[1]Sheet2!FC286</f>
        <v/>
      </c>
      <c r="FC287" s="6" t="str">
        <f>[1]Sheet2!FD286</f>
        <v/>
      </c>
      <c r="FD287" s="6" t="str">
        <f>[1]Sheet2!FE286</f>
        <v/>
      </c>
      <c r="FE287" s="6" t="str">
        <f>[1]Sheet2!FF286</f>
        <v/>
      </c>
      <c r="FF287" s="6" t="str">
        <f>[1]Sheet2!FG286</f>
        <v/>
      </c>
      <c r="FG287" s="6" t="str">
        <f>[1]Sheet2!FH286</f>
        <v/>
      </c>
      <c r="FH287" s="6" t="str">
        <f>[1]Sheet2!FI286</f>
        <v/>
      </c>
      <c r="FI287" s="6" t="str">
        <f>[1]Sheet2!FJ286</f>
        <v/>
      </c>
      <c r="FJ287" s="6" t="str">
        <f>[1]Sheet2!FK286</f>
        <v/>
      </c>
      <c r="FK287" s="6" t="str">
        <f>[1]Sheet2!FL286</f>
        <v/>
      </c>
      <c r="FL287" s="6" t="str">
        <f>[1]Sheet2!FM286</f>
        <v/>
      </c>
      <c r="FM287" s="6" t="str">
        <f>[1]Sheet2!FN286</f>
        <v/>
      </c>
      <c r="FN287" s="6" t="str">
        <f>[1]Sheet2!FO286</f>
        <v/>
      </c>
      <c r="FO287" s="6" t="str">
        <f>[1]Sheet2!FP286</f>
        <v/>
      </c>
    </row>
    <row r="288" spans="1:171" x14ac:dyDescent="0.25">
      <c r="A288" s="15">
        <v>43750</v>
      </c>
      <c r="B288" s="1"/>
      <c r="C288" s="1"/>
      <c r="D288" s="1"/>
      <c r="E288" s="14">
        <f>[1]Sheet2!N287</f>
        <v>0</v>
      </c>
      <c r="F288" s="14">
        <f>[1]Sheet2!BE287</f>
        <v>0</v>
      </c>
      <c r="G288" s="14">
        <f>[1]Sheet2!CW287</f>
        <v>0</v>
      </c>
      <c r="H288" s="1"/>
      <c r="I288" s="1"/>
      <c r="J288" s="1"/>
      <c r="K288" s="16"/>
      <c r="L288" s="16">
        <f>Demand_CWRS!B$12/31</f>
        <v>113.31027191894128</v>
      </c>
      <c r="M288" s="16">
        <f>Demand_CWRS!C$12/31</f>
        <v>480.06765922249781</v>
      </c>
      <c r="N288" s="16">
        <f>Demand_CWRS!D$12/31</f>
        <v>0</v>
      </c>
      <c r="O288" s="16">
        <f>Demand_CWRS!E$12/31</f>
        <v>103.22435897435898</v>
      </c>
      <c r="P288" s="16">
        <f>Demand_CWRS!F$12/31</f>
        <v>209.74544820099254</v>
      </c>
      <c r="Q288" s="16">
        <f>Demand_CWRS!G$12/31</f>
        <v>113.31027191894128</v>
      </c>
      <c r="R288" s="16">
        <f>Demand_CWRS!H$12/31</f>
        <v>209.74544820099254</v>
      </c>
      <c r="S288" s="16">
        <f>Demand_CWRS!I$12/31</f>
        <v>209.74544820099254</v>
      </c>
      <c r="T288" s="16">
        <f>Demand_CWRS!J$12/31</f>
        <v>209.74544820099254</v>
      </c>
      <c r="U288" s="16">
        <f>Demand_CWRS!K$12/31</f>
        <v>209.74544820099254</v>
      </c>
      <c r="V288" s="16">
        <f t="shared" si="126"/>
        <v>-32440.719415808395</v>
      </c>
      <c r="W288" s="16">
        <f t="shared" si="127"/>
        <v>-126987.46575682343</v>
      </c>
      <c r="X288" s="16">
        <f t="shared" si="128"/>
        <v>0</v>
      </c>
      <c r="Y288" s="16">
        <f t="shared" si="129"/>
        <v>-24179.167575462492</v>
      </c>
      <c r="Z288" s="16">
        <f t="shared" si="130"/>
        <v>-56546.151921539182</v>
      </c>
      <c r="AA288" s="16">
        <f t="shared" si="131"/>
        <v>-30968.786891770007</v>
      </c>
      <c r="AB288" s="16">
        <f t="shared" si="132"/>
        <v>-60855.31669718014</v>
      </c>
      <c r="AC288" s="16">
        <f t="shared" si="133"/>
        <v>-55062.306440769949</v>
      </c>
      <c r="AD288" s="16">
        <f t="shared" si="134"/>
        <v>-55162.306440769942</v>
      </c>
      <c r="AE288" s="16">
        <f t="shared" si="135"/>
        <v>-55762.306440769935</v>
      </c>
      <c r="AF288" s="14">
        <f>IF([1]Sheet2!AJ287=999999,"NA",[1]Sheet2!AJ287)</f>
        <v>0</v>
      </c>
      <c r="AG288" s="14">
        <f>IF([1]Sheet2!AK287=999999,"NA",[1]Sheet2!AK287)</f>
        <v>0</v>
      </c>
      <c r="AH288" s="14" t="str">
        <f>IF([1]Sheet2!AL287=999999,"NA",[1]Sheet2!AL287)</f>
        <v>NA</v>
      </c>
      <c r="AI288" s="14">
        <f>IF([1]Sheet2!AM287=999999,"NA",[1]Sheet2!AM287)</f>
        <v>0</v>
      </c>
      <c r="AJ288" s="14">
        <f>IF([1]Sheet2!AN287=999999,"NA",[1]Sheet2!AN287)</f>
        <v>0</v>
      </c>
      <c r="AK288" s="14">
        <f>IF([1]Sheet2!AO287=999999,"NA",[1]Sheet2!AO287)</f>
        <v>0</v>
      </c>
      <c r="AL288" s="14">
        <f>IF([1]Sheet2!AP287=999999,"NA",[1]Sheet2!AP287)</f>
        <v>0</v>
      </c>
      <c r="AM288" s="14">
        <f>IF([1]Sheet2!AQ287=999999,"NA",[1]Sheet2!AQ287)</f>
        <v>0</v>
      </c>
      <c r="AN288" s="14">
        <f>IF([1]Sheet2!AR287=999999,"NA",[1]Sheet2!AR287)</f>
        <v>0</v>
      </c>
      <c r="AO288" s="14">
        <f>IF([1]Sheet2!AS287=999999,"NA",[1]Sheet2!AS287)</f>
        <v>0</v>
      </c>
      <c r="AP288" s="14">
        <f>[1]Sheet2!P287</f>
        <v>0</v>
      </c>
      <c r="AQ288" s="14">
        <f>[1]Sheet2!Q287</f>
        <v>0</v>
      </c>
      <c r="AR288" s="14">
        <f>[1]Sheet2!R287</f>
        <v>0</v>
      </c>
      <c r="AS288" s="14">
        <f>[1]Sheet2!S287</f>
        <v>0</v>
      </c>
      <c r="AT288" s="14">
        <f>[1]Sheet2!T287</f>
        <v>0</v>
      </c>
      <c r="AU288" s="14">
        <f>[1]Sheet2!U287</f>
        <v>0</v>
      </c>
      <c r="AV288" s="14">
        <f>[1]Sheet2!V287</f>
        <v>0</v>
      </c>
      <c r="AW288" s="14">
        <f>[1]Sheet2!W287</f>
        <v>0</v>
      </c>
      <c r="AX288" s="14">
        <f>[1]Sheet2!X287</f>
        <v>0</v>
      </c>
      <c r="AY288" s="14">
        <f>[1]Sheet2!Y287</f>
        <v>0</v>
      </c>
      <c r="AZ288" s="16">
        <f>Demand_LP!B$12/31</f>
        <v>866.47279518196865</v>
      </c>
      <c r="BA288" s="16">
        <f>Demand_LP!C$12/31</f>
        <v>577.62712985938799</v>
      </c>
      <c r="BB288" s="16">
        <f>Demand_LP!D$12/31</f>
        <v>262.18502894954509</v>
      </c>
      <c r="BC288" s="16">
        <f>Demand_LP!E$12/31</f>
        <v>766.03229942100904</v>
      </c>
      <c r="BD288" s="16">
        <f>Demand_LP!F$12/31</f>
        <v>516.10499638130682</v>
      </c>
      <c r="BE288" s="16">
        <f>Demand_LP!G$12/31</f>
        <v>516.10499638130682</v>
      </c>
      <c r="BF288" s="16">
        <f>Demand_LP!H$12/31</f>
        <v>577.62712985938799</v>
      </c>
      <c r="BG288" s="16">
        <f>Demand_LP!I$12/31</f>
        <v>516.10499638130682</v>
      </c>
      <c r="BH288" s="16">
        <f>Demand_LP!J$12/31</f>
        <v>516.10499638130682</v>
      </c>
      <c r="BI288" s="16">
        <f>Demand_LP!K$12/31</f>
        <v>516.10499638130682</v>
      </c>
      <c r="BJ288" s="16">
        <f t="shared" si="136"/>
        <v>-209141.41242977048</v>
      </c>
      <c r="BK288" s="16">
        <f t="shared" si="137"/>
        <v>-159137.58966087663</v>
      </c>
      <c r="BL288" s="16">
        <f t="shared" si="138"/>
        <v>-77122.96137303584</v>
      </c>
      <c r="BM288" s="16">
        <f t="shared" si="139"/>
        <v>-203412.85808964341</v>
      </c>
      <c r="BN288" s="16">
        <f t="shared" si="140"/>
        <v>-122842.29744846154</v>
      </c>
      <c r="BO288" s="16">
        <f t="shared" si="141"/>
        <v>-121299.98136683227</v>
      </c>
      <c r="BP288" s="16">
        <f t="shared" si="142"/>
        <v>-153495.16914805598</v>
      </c>
      <c r="BQ288" s="16">
        <f t="shared" si="143"/>
        <v>-117128.98136683227</v>
      </c>
      <c r="BR288" s="16">
        <f t="shared" si="144"/>
        <v>-118899.98136683232</v>
      </c>
      <c r="BS288" s="16">
        <f t="shared" si="145"/>
        <v>-119599.9813668323</v>
      </c>
      <c r="BT288" s="14">
        <f>IF([1]Sheet2!CB287=999999,"NA",[1]Sheet2!CB287)</f>
        <v>0</v>
      </c>
      <c r="BU288" s="14">
        <f>IF([1]Sheet2!CC287=999999,"NA",[1]Sheet2!CC287)</f>
        <v>0</v>
      </c>
      <c r="BV288" s="14">
        <f>IF([1]Sheet2!CD287=999999,"NA",[1]Sheet2!CD287)</f>
        <v>0</v>
      </c>
      <c r="BW288" s="14">
        <f>IF([1]Sheet2!CE287=999999,"NA",[1]Sheet2!CE287)</f>
        <v>0</v>
      </c>
      <c r="BX288" s="14">
        <f>IF([1]Sheet2!CF287=999999,"NA",[1]Sheet2!CF287)</f>
        <v>0</v>
      </c>
      <c r="BY288" s="14">
        <f>IF([1]Sheet2!CG287=999999,"NA",[1]Sheet2!CG287)</f>
        <v>0</v>
      </c>
      <c r="BZ288" s="14">
        <f>IF([1]Sheet2!CH287=999999,"NA",[1]Sheet2!CH287)</f>
        <v>0</v>
      </c>
      <c r="CA288" s="14">
        <f>IF([1]Sheet2!CI287=999999,"NA",[1]Sheet2!CI287)</f>
        <v>0</v>
      </c>
      <c r="CB288" s="14">
        <f>IF([1]Sheet2!CJ287=999999,"NA",[1]Sheet2!CJ287)</f>
        <v>0</v>
      </c>
      <c r="CC288" s="14">
        <f>IF([1]Sheet2!CK287=999999,"NA",[1]Sheet2!CK287)</f>
        <v>0</v>
      </c>
      <c r="CD288" s="14">
        <f>[1]Sheet2!BH287</f>
        <v>0</v>
      </c>
      <c r="CE288" s="14">
        <f>[1]Sheet2!BI287</f>
        <v>0</v>
      </c>
      <c r="CF288" s="14">
        <f>[1]Sheet2!BJ287</f>
        <v>0</v>
      </c>
      <c r="CG288" s="14">
        <f>[1]Sheet2!BK287</f>
        <v>0</v>
      </c>
      <c r="CH288" s="14">
        <f>[1]Sheet2!BL287</f>
        <v>0</v>
      </c>
      <c r="CI288" s="14">
        <f>[1]Sheet2!BM287</f>
        <v>0</v>
      </c>
      <c r="CJ288" s="14">
        <f>[1]Sheet2!BN287</f>
        <v>0</v>
      </c>
      <c r="CK288" s="14">
        <f>[1]Sheet2!BO287</f>
        <v>0</v>
      </c>
      <c r="CL288" s="14">
        <f>[1]Sheet2!BP287</f>
        <v>0</v>
      </c>
      <c r="CM288" s="14">
        <f>[1]Sheet2!BQ287</f>
        <v>0</v>
      </c>
      <c r="CN288" s="16">
        <f>Demand_SW!B$12/31</f>
        <v>139.57816377171216</v>
      </c>
      <c r="CO288" s="16">
        <f>Demand_SW!C$12/31</f>
        <v>0</v>
      </c>
      <c r="CP288" s="16">
        <f>Demand_SW!D$12/31</f>
        <v>0</v>
      </c>
      <c r="CQ288" s="16">
        <f>Demand_SW!E$12/31</f>
        <v>0</v>
      </c>
      <c r="CR288" s="16">
        <f>Demand_SW!F$12/31</f>
        <v>0</v>
      </c>
      <c r="CS288" s="16">
        <f>Demand_SW!G$12/31</f>
        <v>139.57816377171216</v>
      </c>
      <c r="CT288" s="16">
        <f>Demand_SW!H$12/31</f>
        <v>0</v>
      </c>
      <c r="CU288" s="16">
        <f>Demand_SW!I$12/31</f>
        <v>0</v>
      </c>
      <c r="CV288" s="16">
        <f>Demand_SW!J$12/31</f>
        <v>0</v>
      </c>
      <c r="CW288" s="16">
        <f>Demand_SW!K$12/31</f>
        <v>0</v>
      </c>
      <c r="CX288" s="16">
        <f t="shared" si="146"/>
        <v>-15722.630272952894</v>
      </c>
      <c r="CY288" s="16">
        <f t="shared" si="147"/>
        <v>76.923076923077133</v>
      </c>
      <c r="CZ288" s="16">
        <f t="shared" si="148"/>
        <v>0</v>
      </c>
      <c r="DA288" s="16">
        <f t="shared" si="149"/>
        <v>0</v>
      </c>
      <c r="DB288" s="16">
        <f t="shared" si="150"/>
        <v>0</v>
      </c>
      <c r="DC288" s="16">
        <f t="shared" si="151"/>
        <v>-16953.861042183664</v>
      </c>
      <c r="DD288" s="16">
        <f t="shared" si="152"/>
        <v>76.923076923077133</v>
      </c>
      <c r="DE288" s="16">
        <f t="shared" si="153"/>
        <v>0</v>
      </c>
      <c r="DF288" s="16">
        <f t="shared" si="154"/>
        <v>0</v>
      </c>
      <c r="DG288" s="16">
        <f t="shared" si="155"/>
        <v>0</v>
      </c>
      <c r="DH288" s="14">
        <f>IF([1]Sheet2!DS287=999999,"NA",[1]Sheet2!DS287)</f>
        <v>0</v>
      </c>
      <c r="DI288" s="14">
        <f>IF([1]Sheet2!DT287=999999,"NA",[1]Sheet2!DT287)</f>
        <v>80</v>
      </c>
      <c r="DJ288" s="14" t="str">
        <f>IF([1]Sheet2!DU287=999999,"NA",[1]Sheet2!DU287)</f>
        <v>NA</v>
      </c>
      <c r="DK288" s="14" t="str">
        <f>IF([1]Sheet2!DV287=999999,"NA",[1]Sheet2!DV287)</f>
        <v>NA</v>
      </c>
      <c r="DL288" s="14" t="str">
        <f>IF([1]Sheet2!DW287=999999,"NA",[1]Sheet2!DW287)</f>
        <v>NA</v>
      </c>
      <c r="DM288" s="14">
        <f>IF([1]Sheet2!DX287=999999,"NA",[1]Sheet2!DX287)</f>
        <v>0</v>
      </c>
      <c r="DN288" s="14">
        <f>IF([1]Sheet2!DY287=999999,"NA",[1]Sheet2!DY287)</f>
        <v>80</v>
      </c>
      <c r="DO288" s="14" t="str">
        <f>IF([1]Sheet2!DZ287=999999,"NA",[1]Sheet2!DZ287)</f>
        <v>NA</v>
      </c>
      <c r="DP288" s="14" t="str">
        <f>IF([1]Sheet2!EA287=999999,"NA",[1]Sheet2!EA287)</f>
        <v>NA</v>
      </c>
      <c r="DQ288" s="14" t="str">
        <f>IF([1]Sheet2!EB287=999999,"NA",[1]Sheet2!EB287)</f>
        <v>NA</v>
      </c>
      <c r="DR288" s="14">
        <f>[1]Sheet2!CY287</f>
        <v>0</v>
      </c>
      <c r="DS288" s="14">
        <f>[1]Sheet2!CZ287</f>
        <v>0</v>
      </c>
      <c r="DT288" s="14">
        <f>[1]Sheet2!DA287</f>
        <v>0</v>
      </c>
      <c r="DU288" s="14">
        <f>[1]Sheet2!DB287</f>
        <v>0</v>
      </c>
      <c r="DV288" s="14">
        <f>[1]Sheet2!DC287</f>
        <v>0</v>
      </c>
      <c r="DW288" s="14">
        <f>[1]Sheet2!DD287</f>
        <v>0</v>
      </c>
      <c r="DX288" s="14">
        <f>[1]Sheet2!DE287</f>
        <v>0</v>
      </c>
      <c r="DY288" s="14">
        <f>[1]Sheet2!DF287</f>
        <v>0</v>
      </c>
      <c r="DZ288" s="14">
        <f>[1]Sheet2!DG287</f>
        <v>0</v>
      </c>
      <c r="EA288" s="14">
        <f>[1]Sheet2!DH287</f>
        <v>0</v>
      </c>
      <c r="EB288" s="6">
        <f>[1]Sheet2!EC287</f>
        <v>0</v>
      </c>
      <c r="EC288" s="6">
        <f>[1]Sheet2!ED287</f>
        <v>0</v>
      </c>
      <c r="ED288" s="6">
        <f>[1]Sheet2!EE287</f>
        <v>0</v>
      </c>
      <c r="EE288" s="6">
        <f>[1]Sheet2!EF287</f>
        <v>0</v>
      </c>
      <c r="EF288" s="6">
        <f>[1]Sheet2!EG287</f>
        <v>0</v>
      </c>
      <c r="EG288" s="6">
        <f>[1]Sheet2!EH287</f>
        <v>0</v>
      </c>
      <c r="EH288" s="6">
        <f>[1]Sheet2!EI287</f>
        <v>0</v>
      </c>
      <c r="EI288" s="6">
        <f>[1]Sheet2!EJ287</f>
        <v>0</v>
      </c>
      <c r="EJ288" s="6">
        <f>[1]Sheet2!EK287</f>
        <v>0</v>
      </c>
      <c r="EK288" s="6">
        <f>[1]Sheet2!EL287</f>
        <v>0</v>
      </c>
      <c r="EL288" s="6" t="str">
        <f>[1]Sheet2!EM287</f>
        <v/>
      </c>
      <c r="EM288" s="6" t="str">
        <f>[1]Sheet2!EN287</f>
        <v/>
      </c>
      <c r="EN288" s="6" t="str">
        <f>[1]Sheet2!EO287</f>
        <v/>
      </c>
      <c r="EO288" s="6" t="str">
        <f>[1]Sheet2!EP287</f>
        <v/>
      </c>
      <c r="EP288" s="6" t="str">
        <f>[1]Sheet2!EQ287</f>
        <v/>
      </c>
      <c r="EQ288" s="6" t="str">
        <f>[1]Sheet2!ER287</f>
        <v/>
      </c>
      <c r="ER288" s="6" t="str">
        <f>[1]Sheet2!ES287</f>
        <v/>
      </c>
      <c r="ES288" s="6" t="str">
        <f>[1]Sheet2!ET287</f>
        <v/>
      </c>
      <c r="ET288" s="6" t="str">
        <f>[1]Sheet2!EU287</f>
        <v/>
      </c>
      <c r="EU288" s="6" t="str">
        <f>[1]Sheet2!EV287</f>
        <v/>
      </c>
      <c r="EV288" s="6" t="str">
        <f>[1]Sheet2!EW287</f>
        <v/>
      </c>
      <c r="EW288" s="6" t="str">
        <f>[1]Sheet2!EX287</f>
        <v/>
      </c>
      <c r="EX288" s="6" t="str">
        <f>[1]Sheet2!EY287</f>
        <v/>
      </c>
      <c r="EY288" s="6" t="str">
        <f>[1]Sheet2!EZ287</f>
        <v/>
      </c>
      <c r="EZ288" s="6" t="str">
        <f>[1]Sheet2!FA287</f>
        <v/>
      </c>
      <c r="FA288" s="6" t="str">
        <f>[1]Sheet2!FB287</f>
        <v/>
      </c>
      <c r="FB288" s="6" t="str">
        <f>[1]Sheet2!FC287</f>
        <v/>
      </c>
      <c r="FC288" s="6" t="str">
        <f>[1]Sheet2!FD287</f>
        <v/>
      </c>
      <c r="FD288" s="6" t="str">
        <f>[1]Sheet2!FE287</f>
        <v/>
      </c>
      <c r="FE288" s="6" t="str">
        <f>[1]Sheet2!FF287</f>
        <v/>
      </c>
      <c r="FF288" s="6" t="str">
        <f>[1]Sheet2!FG287</f>
        <v/>
      </c>
      <c r="FG288" s="6" t="str">
        <f>[1]Sheet2!FH287</f>
        <v/>
      </c>
      <c r="FH288" s="6" t="str">
        <f>[1]Sheet2!FI287</f>
        <v/>
      </c>
      <c r="FI288" s="6" t="str">
        <f>[1]Sheet2!FJ287</f>
        <v/>
      </c>
      <c r="FJ288" s="6" t="str">
        <f>[1]Sheet2!FK287</f>
        <v/>
      </c>
      <c r="FK288" s="6" t="str">
        <f>[1]Sheet2!FL287</f>
        <v/>
      </c>
      <c r="FL288" s="6" t="str">
        <f>[1]Sheet2!FM287</f>
        <v/>
      </c>
      <c r="FM288" s="6" t="str">
        <f>[1]Sheet2!FN287</f>
        <v/>
      </c>
      <c r="FN288" s="6" t="str">
        <f>[1]Sheet2!FO287</f>
        <v/>
      </c>
      <c r="FO288" s="6" t="str">
        <f>[1]Sheet2!FP287</f>
        <v/>
      </c>
    </row>
    <row r="289" spans="1:171" x14ac:dyDescent="0.25">
      <c r="A289" s="15">
        <v>43751</v>
      </c>
      <c r="B289" s="1"/>
      <c r="C289" s="1"/>
      <c r="D289" s="1"/>
      <c r="E289" s="14">
        <f>[1]Sheet2!N288</f>
        <v>0</v>
      </c>
      <c r="F289" s="14">
        <f>[1]Sheet2!BE288</f>
        <v>0</v>
      </c>
      <c r="G289" s="14">
        <f>[1]Sheet2!CW288</f>
        <v>0</v>
      </c>
      <c r="H289" s="1"/>
      <c r="I289" s="1"/>
      <c r="J289" s="1"/>
      <c r="K289" s="16"/>
      <c r="L289" s="16">
        <f>Demand_CWRS!B$12/31</f>
        <v>113.31027191894128</v>
      </c>
      <c r="M289" s="16">
        <f>Demand_CWRS!C$12/31</f>
        <v>480.06765922249781</v>
      </c>
      <c r="N289" s="16">
        <f>Demand_CWRS!D$12/31</f>
        <v>0</v>
      </c>
      <c r="O289" s="16">
        <f>Demand_CWRS!E$12/31</f>
        <v>103.22435897435898</v>
      </c>
      <c r="P289" s="16">
        <f>Demand_CWRS!F$12/31</f>
        <v>209.74544820099254</v>
      </c>
      <c r="Q289" s="16">
        <f>Demand_CWRS!G$12/31</f>
        <v>113.31027191894128</v>
      </c>
      <c r="R289" s="16">
        <f>Demand_CWRS!H$12/31</f>
        <v>209.74544820099254</v>
      </c>
      <c r="S289" s="16">
        <f>Demand_CWRS!I$12/31</f>
        <v>209.74544820099254</v>
      </c>
      <c r="T289" s="16">
        <f>Demand_CWRS!J$12/31</f>
        <v>209.74544820099254</v>
      </c>
      <c r="U289" s="16">
        <f>Demand_CWRS!K$12/31</f>
        <v>209.74544820099254</v>
      </c>
      <c r="V289" s="16">
        <f t="shared" si="126"/>
        <v>-32554.029687727336</v>
      </c>
      <c r="W289" s="16">
        <f t="shared" si="127"/>
        <v>-127467.53341604592</v>
      </c>
      <c r="X289" s="16">
        <f t="shared" si="128"/>
        <v>0</v>
      </c>
      <c r="Y289" s="16">
        <f t="shared" si="129"/>
        <v>-24282.391934436851</v>
      </c>
      <c r="Z289" s="16">
        <f t="shared" si="130"/>
        <v>-56755.897369740174</v>
      </c>
      <c r="AA289" s="16">
        <f t="shared" si="131"/>
        <v>-31082.097163688948</v>
      </c>
      <c r="AB289" s="16">
        <f t="shared" si="132"/>
        <v>-61065.062145381133</v>
      </c>
      <c r="AC289" s="16">
        <f t="shared" si="133"/>
        <v>-55272.051888970942</v>
      </c>
      <c r="AD289" s="16">
        <f t="shared" si="134"/>
        <v>-55372.051888970935</v>
      </c>
      <c r="AE289" s="16">
        <f t="shared" si="135"/>
        <v>-55972.051888970927</v>
      </c>
      <c r="AF289" s="14">
        <f>IF([1]Sheet2!AJ288=999999,"NA",[1]Sheet2!AJ288)</f>
        <v>0</v>
      </c>
      <c r="AG289" s="14">
        <f>IF([1]Sheet2!AK288=999999,"NA",[1]Sheet2!AK288)</f>
        <v>0</v>
      </c>
      <c r="AH289" s="14" t="str">
        <f>IF([1]Sheet2!AL288=999999,"NA",[1]Sheet2!AL288)</f>
        <v>NA</v>
      </c>
      <c r="AI289" s="14">
        <f>IF([1]Sheet2!AM288=999999,"NA",[1]Sheet2!AM288)</f>
        <v>0</v>
      </c>
      <c r="AJ289" s="14">
        <f>IF([1]Sheet2!AN288=999999,"NA",[1]Sheet2!AN288)</f>
        <v>0</v>
      </c>
      <c r="AK289" s="14">
        <f>IF([1]Sheet2!AO288=999999,"NA",[1]Sheet2!AO288)</f>
        <v>0</v>
      </c>
      <c r="AL289" s="14">
        <f>IF([1]Sheet2!AP288=999999,"NA",[1]Sheet2!AP288)</f>
        <v>0</v>
      </c>
      <c r="AM289" s="14">
        <f>IF([1]Sheet2!AQ288=999999,"NA",[1]Sheet2!AQ288)</f>
        <v>0</v>
      </c>
      <c r="AN289" s="14">
        <f>IF([1]Sheet2!AR288=999999,"NA",[1]Sheet2!AR288)</f>
        <v>0</v>
      </c>
      <c r="AO289" s="14">
        <f>IF([1]Sheet2!AS288=999999,"NA",[1]Sheet2!AS288)</f>
        <v>0</v>
      </c>
      <c r="AP289" s="14">
        <f>[1]Sheet2!P288</f>
        <v>0</v>
      </c>
      <c r="AQ289" s="14">
        <f>[1]Sheet2!Q288</f>
        <v>0</v>
      </c>
      <c r="AR289" s="14">
        <f>[1]Sheet2!R288</f>
        <v>0</v>
      </c>
      <c r="AS289" s="14">
        <f>[1]Sheet2!S288</f>
        <v>0</v>
      </c>
      <c r="AT289" s="14">
        <f>[1]Sheet2!T288</f>
        <v>0</v>
      </c>
      <c r="AU289" s="14">
        <f>[1]Sheet2!U288</f>
        <v>0</v>
      </c>
      <c r="AV289" s="14">
        <f>[1]Sheet2!V288</f>
        <v>0</v>
      </c>
      <c r="AW289" s="14">
        <f>[1]Sheet2!W288</f>
        <v>0</v>
      </c>
      <c r="AX289" s="14">
        <f>[1]Sheet2!X288</f>
        <v>0</v>
      </c>
      <c r="AY289" s="14">
        <f>[1]Sheet2!Y288</f>
        <v>0</v>
      </c>
      <c r="AZ289" s="16">
        <f>Demand_LP!B$12/31</f>
        <v>866.47279518196865</v>
      </c>
      <c r="BA289" s="16">
        <f>Demand_LP!C$12/31</f>
        <v>577.62712985938799</v>
      </c>
      <c r="BB289" s="16">
        <f>Demand_LP!D$12/31</f>
        <v>262.18502894954509</v>
      </c>
      <c r="BC289" s="16">
        <f>Demand_LP!E$12/31</f>
        <v>766.03229942100904</v>
      </c>
      <c r="BD289" s="16">
        <f>Demand_LP!F$12/31</f>
        <v>516.10499638130682</v>
      </c>
      <c r="BE289" s="16">
        <f>Demand_LP!G$12/31</f>
        <v>516.10499638130682</v>
      </c>
      <c r="BF289" s="16">
        <f>Demand_LP!H$12/31</f>
        <v>577.62712985938799</v>
      </c>
      <c r="BG289" s="16">
        <f>Demand_LP!I$12/31</f>
        <v>516.10499638130682</v>
      </c>
      <c r="BH289" s="16">
        <f>Demand_LP!J$12/31</f>
        <v>516.10499638130682</v>
      </c>
      <c r="BI289" s="16">
        <f>Demand_LP!K$12/31</f>
        <v>516.10499638130682</v>
      </c>
      <c r="BJ289" s="16">
        <f t="shared" si="136"/>
        <v>-210007.88522495245</v>
      </c>
      <c r="BK289" s="16">
        <f t="shared" si="137"/>
        <v>-159715.21679073601</v>
      </c>
      <c r="BL289" s="16">
        <f t="shared" si="138"/>
        <v>-77385.146401985388</v>
      </c>
      <c r="BM289" s="16">
        <f t="shared" si="139"/>
        <v>-204178.89038906441</v>
      </c>
      <c r="BN289" s="16">
        <f t="shared" si="140"/>
        <v>-123358.40244484285</v>
      </c>
      <c r="BO289" s="16">
        <f t="shared" si="141"/>
        <v>-121816.08636321359</v>
      </c>
      <c r="BP289" s="16">
        <f t="shared" si="142"/>
        <v>-154072.79627791536</v>
      </c>
      <c r="BQ289" s="16">
        <f t="shared" si="143"/>
        <v>-117645.08636321359</v>
      </c>
      <c r="BR289" s="16">
        <f t="shared" si="144"/>
        <v>-119416.08636321363</v>
      </c>
      <c r="BS289" s="16">
        <f t="shared" si="145"/>
        <v>-120116.08636321362</v>
      </c>
      <c r="BT289" s="14">
        <f>IF([1]Sheet2!CB288=999999,"NA",[1]Sheet2!CB288)</f>
        <v>0</v>
      </c>
      <c r="BU289" s="14">
        <f>IF([1]Sheet2!CC288=999999,"NA",[1]Sheet2!CC288)</f>
        <v>0</v>
      </c>
      <c r="BV289" s="14">
        <f>IF([1]Sheet2!CD288=999999,"NA",[1]Sheet2!CD288)</f>
        <v>0</v>
      </c>
      <c r="BW289" s="14">
        <f>IF([1]Sheet2!CE288=999999,"NA",[1]Sheet2!CE288)</f>
        <v>0</v>
      </c>
      <c r="BX289" s="14">
        <f>IF([1]Sheet2!CF288=999999,"NA",[1]Sheet2!CF288)</f>
        <v>0</v>
      </c>
      <c r="BY289" s="14">
        <f>IF([1]Sheet2!CG288=999999,"NA",[1]Sheet2!CG288)</f>
        <v>0</v>
      </c>
      <c r="BZ289" s="14">
        <f>IF([1]Sheet2!CH288=999999,"NA",[1]Sheet2!CH288)</f>
        <v>0</v>
      </c>
      <c r="CA289" s="14">
        <f>IF([1]Sheet2!CI288=999999,"NA",[1]Sheet2!CI288)</f>
        <v>0</v>
      </c>
      <c r="CB289" s="14">
        <f>IF([1]Sheet2!CJ288=999999,"NA",[1]Sheet2!CJ288)</f>
        <v>0</v>
      </c>
      <c r="CC289" s="14">
        <f>IF([1]Sheet2!CK288=999999,"NA",[1]Sheet2!CK288)</f>
        <v>0</v>
      </c>
      <c r="CD289" s="14">
        <f>[1]Sheet2!BH288</f>
        <v>0</v>
      </c>
      <c r="CE289" s="14">
        <f>[1]Sheet2!BI288</f>
        <v>0</v>
      </c>
      <c r="CF289" s="14">
        <f>[1]Sheet2!BJ288</f>
        <v>0</v>
      </c>
      <c r="CG289" s="14">
        <f>[1]Sheet2!BK288</f>
        <v>0</v>
      </c>
      <c r="CH289" s="14">
        <f>[1]Sheet2!BL288</f>
        <v>0</v>
      </c>
      <c r="CI289" s="14">
        <f>[1]Sheet2!BM288</f>
        <v>0</v>
      </c>
      <c r="CJ289" s="14">
        <f>[1]Sheet2!BN288</f>
        <v>0</v>
      </c>
      <c r="CK289" s="14">
        <f>[1]Sheet2!BO288</f>
        <v>0</v>
      </c>
      <c r="CL289" s="14">
        <f>[1]Sheet2!BP288</f>
        <v>0</v>
      </c>
      <c r="CM289" s="14">
        <f>[1]Sheet2!BQ288</f>
        <v>0</v>
      </c>
      <c r="CN289" s="16">
        <f>Demand_SW!B$12/31</f>
        <v>139.57816377171216</v>
      </c>
      <c r="CO289" s="16">
        <f>Demand_SW!C$12/31</f>
        <v>0</v>
      </c>
      <c r="CP289" s="16">
        <f>Demand_SW!D$12/31</f>
        <v>0</v>
      </c>
      <c r="CQ289" s="16">
        <f>Demand_SW!E$12/31</f>
        <v>0</v>
      </c>
      <c r="CR289" s="16">
        <f>Demand_SW!F$12/31</f>
        <v>0</v>
      </c>
      <c r="CS289" s="16">
        <f>Demand_SW!G$12/31</f>
        <v>139.57816377171216</v>
      </c>
      <c r="CT289" s="16">
        <f>Demand_SW!H$12/31</f>
        <v>0</v>
      </c>
      <c r="CU289" s="16">
        <f>Demand_SW!I$12/31</f>
        <v>0</v>
      </c>
      <c r="CV289" s="16">
        <f>Demand_SW!J$12/31</f>
        <v>0</v>
      </c>
      <c r="CW289" s="16">
        <f>Demand_SW!K$12/31</f>
        <v>0</v>
      </c>
      <c r="CX289" s="16">
        <f t="shared" si="146"/>
        <v>-15862.208436724606</v>
      </c>
      <c r="CY289" s="16">
        <f t="shared" si="147"/>
        <v>76.923076923077133</v>
      </c>
      <c r="CZ289" s="16">
        <f t="shared" si="148"/>
        <v>0</v>
      </c>
      <c r="DA289" s="16">
        <f t="shared" si="149"/>
        <v>0</v>
      </c>
      <c r="DB289" s="16">
        <f t="shared" si="150"/>
        <v>0</v>
      </c>
      <c r="DC289" s="16">
        <f t="shared" si="151"/>
        <v>-17093.439205955376</v>
      </c>
      <c r="DD289" s="16">
        <f t="shared" si="152"/>
        <v>76.923076923077133</v>
      </c>
      <c r="DE289" s="16">
        <f t="shared" si="153"/>
        <v>0</v>
      </c>
      <c r="DF289" s="16">
        <f t="shared" si="154"/>
        <v>0</v>
      </c>
      <c r="DG289" s="16">
        <f t="shared" si="155"/>
        <v>0</v>
      </c>
      <c r="DH289" s="14">
        <f>IF([1]Sheet2!DS288=999999,"NA",[1]Sheet2!DS288)</f>
        <v>0</v>
      </c>
      <c r="DI289" s="14">
        <f>IF([1]Sheet2!DT288=999999,"NA",[1]Sheet2!DT288)</f>
        <v>79</v>
      </c>
      <c r="DJ289" s="14" t="str">
        <f>IF([1]Sheet2!DU288=999999,"NA",[1]Sheet2!DU288)</f>
        <v>NA</v>
      </c>
      <c r="DK289" s="14" t="str">
        <f>IF([1]Sheet2!DV288=999999,"NA",[1]Sheet2!DV288)</f>
        <v>NA</v>
      </c>
      <c r="DL289" s="14" t="str">
        <f>IF([1]Sheet2!DW288=999999,"NA",[1]Sheet2!DW288)</f>
        <v>NA</v>
      </c>
      <c r="DM289" s="14">
        <f>IF([1]Sheet2!DX288=999999,"NA",[1]Sheet2!DX288)</f>
        <v>0</v>
      </c>
      <c r="DN289" s="14">
        <f>IF([1]Sheet2!DY288=999999,"NA",[1]Sheet2!DY288)</f>
        <v>79</v>
      </c>
      <c r="DO289" s="14" t="str">
        <f>IF([1]Sheet2!DZ288=999999,"NA",[1]Sheet2!DZ288)</f>
        <v>NA</v>
      </c>
      <c r="DP289" s="14" t="str">
        <f>IF([1]Sheet2!EA288=999999,"NA",[1]Sheet2!EA288)</f>
        <v>NA</v>
      </c>
      <c r="DQ289" s="14" t="str">
        <f>IF([1]Sheet2!EB288=999999,"NA",[1]Sheet2!EB288)</f>
        <v>NA</v>
      </c>
      <c r="DR289" s="14">
        <f>[1]Sheet2!CY288</f>
        <v>0</v>
      </c>
      <c r="DS289" s="14">
        <f>[1]Sheet2!CZ288</f>
        <v>0</v>
      </c>
      <c r="DT289" s="14">
        <f>[1]Sheet2!DA288</f>
        <v>0</v>
      </c>
      <c r="DU289" s="14">
        <f>[1]Sheet2!DB288</f>
        <v>0</v>
      </c>
      <c r="DV289" s="14">
        <f>[1]Sheet2!DC288</f>
        <v>0</v>
      </c>
      <c r="DW289" s="14">
        <f>[1]Sheet2!DD288</f>
        <v>0</v>
      </c>
      <c r="DX289" s="14">
        <f>[1]Sheet2!DE288</f>
        <v>0</v>
      </c>
      <c r="DY289" s="14">
        <f>[1]Sheet2!DF288</f>
        <v>0</v>
      </c>
      <c r="DZ289" s="14">
        <f>[1]Sheet2!DG288</f>
        <v>0</v>
      </c>
      <c r="EA289" s="14">
        <f>[1]Sheet2!DH288</f>
        <v>0</v>
      </c>
      <c r="EB289" s="6">
        <f>[1]Sheet2!EC288</f>
        <v>0</v>
      </c>
      <c r="EC289" s="6">
        <f>[1]Sheet2!ED288</f>
        <v>0</v>
      </c>
      <c r="ED289" s="6">
        <f>[1]Sheet2!EE288</f>
        <v>0</v>
      </c>
      <c r="EE289" s="6">
        <f>[1]Sheet2!EF288</f>
        <v>0</v>
      </c>
      <c r="EF289" s="6">
        <f>[1]Sheet2!EG288</f>
        <v>0</v>
      </c>
      <c r="EG289" s="6">
        <f>[1]Sheet2!EH288</f>
        <v>0</v>
      </c>
      <c r="EH289" s="6">
        <f>[1]Sheet2!EI288</f>
        <v>0</v>
      </c>
      <c r="EI289" s="6">
        <f>[1]Sheet2!EJ288</f>
        <v>0</v>
      </c>
      <c r="EJ289" s="6">
        <f>[1]Sheet2!EK288</f>
        <v>0</v>
      </c>
      <c r="EK289" s="6">
        <f>[1]Sheet2!EL288</f>
        <v>0</v>
      </c>
      <c r="EL289" s="6" t="str">
        <f>[1]Sheet2!EM288</f>
        <v/>
      </c>
      <c r="EM289" s="6" t="str">
        <f>[1]Sheet2!EN288</f>
        <v/>
      </c>
      <c r="EN289" s="6" t="str">
        <f>[1]Sheet2!EO288</f>
        <v/>
      </c>
      <c r="EO289" s="6" t="str">
        <f>[1]Sheet2!EP288</f>
        <v/>
      </c>
      <c r="EP289" s="6" t="str">
        <f>[1]Sheet2!EQ288</f>
        <v/>
      </c>
      <c r="EQ289" s="6" t="str">
        <f>[1]Sheet2!ER288</f>
        <v/>
      </c>
      <c r="ER289" s="6" t="str">
        <f>[1]Sheet2!ES288</f>
        <v/>
      </c>
      <c r="ES289" s="6" t="str">
        <f>[1]Sheet2!ET288</f>
        <v/>
      </c>
      <c r="ET289" s="6" t="str">
        <f>[1]Sheet2!EU288</f>
        <v/>
      </c>
      <c r="EU289" s="6" t="str">
        <f>[1]Sheet2!EV288</f>
        <v/>
      </c>
      <c r="EV289" s="6" t="str">
        <f>[1]Sheet2!EW288</f>
        <v/>
      </c>
      <c r="EW289" s="6" t="str">
        <f>[1]Sheet2!EX288</f>
        <v/>
      </c>
      <c r="EX289" s="6" t="str">
        <f>[1]Sheet2!EY288</f>
        <v/>
      </c>
      <c r="EY289" s="6" t="str">
        <f>[1]Sheet2!EZ288</f>
        <v/>
      </c>
      <c r="EZ289" s="6" t="str">
        <f>[1]Sheet2!FA288</f>
        <v/>
      </c>
      <c r="FA289" s="6" t="str">
        <f>[1]Sheet2!FB288</f>
        <v/>
      </c>
      <c r="FB289" s="6" t="str">
        <f>[1]Sheet2!FC288</f>
        <v/>
      </c>
      <c r="FC289" s="6" t="str">
        <f>[1]Sheet2!FD288</f>
        <v/>
      </c>
      <c r="FD289" s="6" t="str">
        <f>[1]Sheet2!FE288</f>
        <v/>
      </c>
      <c r="FE289" s="6" t="str">
        <f>[1]Sheet2!FF288</f>
        <v/>
      </c>
      <c r="FF289" s="6" t="str">
        <f>[1]Sheet2!FG288</f>
        <v/>
      </c>
      <c r="FG289" s="6" t="str">
        <f>[1]Sheet2!FH288</f>
        <v/>
      </c>
      <c r="FH289" s="6" t="str">
        <f>[1]Sheet2!FI288</f>
        <v/>
      </c>
      <c r="FI289" s="6" t="str">
        <f>[1]Sheet2!FJ288</f>
        <v/>
      </c>
      <c r="FJ289" s="6" t="str">
        <f>[1]Sheet2!FK288</f>
        <v/>
      </c>
      <c r="FK289" s="6" t="str">
        <f>[1]Sheet2!FL288</f>
        <v/>
      </c>
      <c r="FL289" s="6" t="str">
        <f>[1]Sheet2!FM288</f>
        <v/>
      </c>
      <c r="FM289" s="6" t="str">
        <f>[1]Sheet2!FN288</f>
        <v/>
      </c>
      <c r="FN289" s="6" t="str">
        <f>[1]Sheet2!FO288</f>
        <v/>
      </c>
      <c r="FO289" s="6" t="str">
        <f>[1]Sheet2!FP288</f>
        <v/>
      </c>
    </row>
    <row r="290" spans="1:171" x14ac:dyDescent="0.25">
      <c r="A290" s="15">
        <v>43752</v>
      </c>
      <c r="B290" s="1"/>
      <c r="C290" s="1"/>
      <c r="D290" s="1"/>
      <c r="E290" s="14">
        <f>[1]Sheet2!N289</f>
        <v>0</v>
      </c>
      <c r="F290" s="14">
        <f>[1]Sheet2!BE289</f>
        <v>48000</v>
      </c>
      <c r="G290" s="14">
        <f>[1]Sheet2!CW289</f>
        <v>0</v>
      </c>
      <c r="H290" s="1"/>
      <c r="I290" s="1"/>
      <c r="J290" s="1"/>
      <c r="K290" s="16"/>
      <c r="L290" s="16">
        <f>Demand_CWRS!B$12/31</f>
        <v>113.31027191894128</v>
      </c>
      <c r="M290" s="16">
        <f>Demand_CWRS!C$12/31</f>
        <v>480.06765922249781</v>
      </c>
      <c r="N290" s="16">
        <f>Demand_CWRS!D$12/31</f>
        <v>0</v>
      </c>
      <c r="O290" s="16">
        <f>Demand_CWRS!E$12/31</f>
        <v>103.22435897435898</v>
      </c>
      <c r="P290" s="16">
        <f>Demand_CWRS!F$12/31</f>
        <v>209.74544820099254</v>
      </c>
      <c r="Q290" s="16">
        <f>Demand_CWRS!G$12/31</f>
        <v>113.31027191894128</v>
      </c>
      <c r="R290" s="16">
        <f>Demand_CWRS!H$12/31</f>
        <v>209.74544820099254</v>
      </c>
      <c r="S290" s="16">
        <f>Demand_CWRS!I$12/31</f>
        <v>209.74544820099254</v>
      </c>
      <c r="T290" s="16">
        <f>Demand_CWRS!J$12/31</f>
        <v>209.74544820099254</v>
      </c>
      <c r="U290" s="16">
        <f>Demand_CWRS!K$12/31</f>
        <v>209.74544820099254</v>
      </c>
      <c r="V290" s="16">
        <f t="shared" si="126"/>
        <v>-32667.339959646277</v>
      </c>
      <c r="W290" s="16">
        <f t="shared" si="127"/>
        <v>-127947.60107526841</v>
      </c>
      <c r="X290" s="16">
        <f t="shared" si="128"/>
        <v>0</v>
      </c>
      <c r="Y290" s="16">
        <f t="shared" si="129"/>
        <v>-24385.616293411211</v>
      </c>
      <c r="Z290" s="16">
        <f t="shared" si="130"/>
        <v>-56965.642817941167</v>
      </c>
      <c r="AA290" s="16">
        <f t="shared" si="131"/>
        <v>-31195.407435607889</v>
      </c>
      <c r="AB290" s="16">
        <f t="shared" si="132"/>
        <v>-61274.807593582125</v>
      </c>
      <c r="AC290" s="16">
        <f t="shared" si="133"/>
        <v>-55481.797337171934</v>
      </c>
      <c r="AD290" s="16">
        <f t="shared" si="134"/>
        <v>-55581.797337171927</v>
      </c>
      <c r="AE290" s="16">
        <f t="shared" si="135"/>
        <v>-56181.79733717192</v>
      </c>
      <c r="AF290" s="14">
        <f>IF([1]Sheet2!AJ289=999999,"NA",[1]Sheet2!AJ289)</f>
        <v>0</v>
      </c>
      <c r="AG290" s="14">
        <f>IF([1]Sheet2!AK289=999999,"NA",[1]Sheet2!AK289)</f>
        <v>0</v>
      </c>
      <c r="AH290" s="14" t="str">
        <f>IF([1]Sheet2!AL289=999999,"NA",[1]Sheet2!AL289)</f>
        <v>NA</v>
      </c>
      <c r="AI290" s="14">
        <f>IF([1]Sheet2!AM289=999999,"NA",[1]Sheet2!AM289)</f>
        <v>0</v>
      </c>
      <c r="AJ290" s="14">
        <f>IF([1]Sheet2!AN289=999999,"NA",[1]Sheet2!AN289)</f>
        <v>0</v>
      </c>
      <c r="AK290" s="14">
        <f>IF([1]Sheet2!AO289=999999,"NA",[1]Sheet2!AO289)</f>
        <v>0</v>
      </c>
      <c r="AL290" s="14">
        <f>IF([1]Sheet2!AP289=999999,"NA",[1]Sheet2!AP289)</f>
        <v>0</v>
      </c>
      <c r="AM290" s="14">
        <f>IF([1]Sheet2!AQ289=999999,"NA",[1]Sheet2!AQ289)</f>
        <v>0</v>
      </c>
      <c r="AN290" s="14">
        <f>IF([1]Sheet2!AR289=999999,"NA",[1]Sheet2!AR289)</f>
        <v>0</v>
      </c>
      <c r="AO290" s="14">
        <f>IF([1]Sheet2!AS289=999999,"NA",[1]Sheet2!AS289)</f>
        <v>0</v>
      </c>
      <c r="AP290" s="14">
        <f>[1]Sheet2!P289</f>
        <v>0</v>
      </c>
      <c r="AQ290" s="14">
        <f>[1]Sheet2!Q289</f>
        <v>0</v>
      </c>
      <c r="AR290" s="14">
        <f>[1]Sheet2!R289</f>
        <v>0</v>
      </c>
      <c r="AS290" s="14">
        <f>[1]Sheet2!S289</f>
        <v>0</v>
      </c>
      <c r="AT290" s="14">
        <f>[1]Sheet2!T289</f>
        <v>0</v>
      </c>
      <c r="AU290" s="14">
        <f>[1]Sheet2!U289</f>
        <v>0</v>
      </c>
      <c r="AV290" s="14">
        <f>[1]Sheet2!V289</f>
        <v>0</v>
      </c>
      <c r="AW290" s="14">
        <f>[1]Sheet2!W289</f>
        <v>0</v>
      </c>
      <c r="AX290" s="14">
        <f>[1]Sheet2!X289</f>
        <v>0</v>
      </c>
      <c r="AY290" s="14">
        <f>[1]Sheet2!Y289</f>
        <v>0</v>
      </c>
      <c r="AZ290" s="16">
        <f>Demand_LP!B$12/31</f>
        <v>866.47279518196865</v>
      </c>
      <c r="BA290" s="16">
        <f>Demand_LP!C$12/31</f>
        <v>577.62712985938799</v>
      </c>
      <c r="BB290" s="16">
        <f>Demand_LP!D$12/31</f>
        <v>262.18502894954509</v>
      </c>
      <c r="BC290" s="16">
        <f>Demand_LP!E$12/31</f>
        <v>766.03229942100904</v>
      </c>
      <c r="BD290" s="16">
        <f>Demand_LP!F$12/31</f>
        <v>516.10499638130682</v>
      </c>
      <c r="BE290" s="16">
        <f>Demand_LP!G$12/31</f>
        <v>516.10499638130682</v>
      </c>
      <c r="BF290" s="16">
        <f>Demand_LP!H$12/31</f>
        <v>577.62712985938799</v>
      </c>
      <c r="BG290" s="16">
        <f>Demand_LP!I$12/31</f>
        <v>516.10499638130682</v>
      </c>
      <c r="BH290" s="16">
        <f>Demand_LP!J$12/31</f>
        <v>516.10499638130682</v>
      </c>
      <c r="BI290" s="16">
        <f>Demand_LP!K$12/31</f>
        <v>516.10499638130682</v>
      </c>
      <c r="BJ290" s="16">
        <f t="shared" si="136"/>
        <v>-210874.35802013442</v>
      </c>
      <c r="BK290" s="16">
        <f t="shared" si="137"/>
        <v>-160292.84392059539</v>
      </c>
      <c r="BL290" s="16">
        <f t="shared" si="138"/>
        <v>-77647.331430934937</v>
      </c>
      <c r="BM290" s="16">
        <f t="shared" si="139"/>
        <v>-204944.92268848541</v>
      </c>
      <c r="BN290" s="16">
        <f t="shared" si="140"/>
        <v>-123874.50744122417</v>
      </c>
      <c r="BO290" s="16">
        <f t="shared" si="141"/>
        <v>-122332.1913595949</v>
      </c>
      <c r="BP290" s="16">
        <f t="shared" si="142"/>
        <v>-154650.42340777474</v>
      </c>
      <c r="BQ290" s="16">
        <f t="shared" si="143"/>
        <v>-118161.1913595949</v>
      </c>
      <c r="BR290" s="16">
        <f t="shared" si="144"/>
        <v>-119932.19135959494</v>
      </c>
      <c r="BS290" s="16">
        <f t="shared" si="145"/>
        <v>-120632.19135959493</v>
      </c>
      <c r="BT290" s="14">
        <f>IF([1]Sheet2!CB289=999999,"NA",[1]Sheet2!CB289)</f>
        <v>0</v>
      </c>
      <c r="BU290" s="14">
        <f>IF([1]Sheet2!CC289=999999,"NA",[1]Sheet2!CC289)</f>
        <v>0</v>
      </c>
      <c r="BV290" s="14">
        <f>IF([1]Sheet2!CD289=999999,"NA",[1]Sheet2!CD289)</f>
        <v>0</v>
      </c>
      <c r="BW290" s="14">
        <f>IF([1]Sheet2!CE289=999999,"NA",[1]Sheet2!CE289)</f>
        <v>0</v>
      </c>
      <c r="BX290" s="14">
        <f>IF([1]Sheet2!CF289=999999,"NA",[1]Sheet2!CF289)</f>
        <v>0</v>
      </c>
      <c r="BY290" s="14">
        <f>IF([1]Sheet2!CG289=999999,"NA",[1]Sheet2!CG289)</f>
        <v>0</v>
      </c>
      <c r="BZ290" s="14">
        <f>IF([1]Sheet2!CH289=999999,"NA",[1]Sheet2!CH289)</f>
        <v>0</v>
      </c>
      <c r="CA290" s="14">
        <f>IF([1]Sheet2!CI289=999999,"NA",[1]Sheet2!CI289)</f>
        <v>0</v>
      </c>
      <c r="CB290" s="14">
        <f>IF([1]Sheet2!CJ289=999999,"NA",[1]Sheet2!CJ289)</f>
        <v>0</v>
      </c>
      <c r="CC290" s="14">
        <f>IF([1]Sheet2!CK289=999999,"NA",[1]Sheet2!CK289)</f>
        <v>0</v>
      </c>
      <c r="CD290" s="14">
        <f>[1]Sheet2!BH289</f>
        <v>0</v>
      </c>
      <c r="CE290" s="14">
        <f>[1]Sheet2!BI289</f>
        <v>0</v>
      </c>
      <c r="CF290" s="14">
        <f>[1]Sheet2!BJ289</f>
        <v>0</v>
      </c>
      <c r="CG290" s="14">
        <f>[1]Sheet2!BK289</f>
        <v>0</v>
      </c>
      <c r="CH290" s="14">
        <f>[1]Sheet2!BL289</f>
        <v>0</v>
      </c>
      <c r="CI290" s="14">
        <f>[1]Sheet2!BM289</f>
        <v>0</v>
      </c>
      <c r="CJ290" s="14">
        <f>[1]Sheet2!BN289</f>
        <v>0</v>
      </c>
      <c r="CK290" s="14">
        <f>[1]Sheet2!BO289</f>
        <v>0</v>
      </c>
      <c r="CL290" s="14">
        <f>[1]Sheet2!BP289</f>
        <v>0</v>
      </c>
      <c r="CM290" s="14">
        <f>[1]Sheet2!BQ289</f>
        <v>0</v>
      </c>
      <c r="CN290" s="16">
        <f>Demand_SW!B$12/31</f>
        <v>139.57816377171216</v>
      </c>
      <c r="CO290" s="16">
        <f>Demand_SW!C$12/31</f>
        <v>0</v>
      </c>
      <c r="CP290" s="16">
        <f>Demand_SW!D$12/31</f>
        <v>0</v>
      </c>
      <c r="CQ290" s="16">
        <f>Demand_SW!E$12/31</f>
        <v>0</v>
      </c>
      <c r="CR290" s="16">
        <f>Demand_SW!F$12/31</f>
        <v>0</v>
      </c>
      <c r="CS290" s="16">
        <f>Demand_SW!G$12/31</f>
        <v>139.57816377171216</v>
      </c>
      <c r="CT290" s="16">
        <f>Demand_SW!H$12/31</f>
        <v>0</v>
      </c>
      <c r="CU290" s="16">
        <f>Demand_SW!I$12/31</f>
        <v>0</v>
      </c>
      <c r="CV290" s="16">
        <f>Demand_SW!J$12/31</f>
        <v>0</v>
      </c>
      <c r="CW290" s="16">
        <f>Demand_SW!K$12/31</f>
        <v>0</v>
      </c>
      <c r="CX290" s="16">
        <f t="shared" si="146"/>
        <v>-16001.786600496318</v>
      </c>
      <c r="CY290" s="16">
        <f t="shared" si="147"/>
        <v>76.923076923077133</v>
      </c>
      <c r="CZ290" s="16">
        <f t="shared" si="148"/>
        <v>0</v>
      </c>
      <c r="DA290" s="16">
        <f t="shared" si="149"/>
        <v>0</v>
      </c>
      <c r="DB290" s="16">
        <f t="shared" si="150"/>
        <v>0</v>
      </c>
      <c r="DC290" s="16">
        <f t="shared" si="151"/>
        <v>-17233.017369727087</v>
      </c>
      <c r="DD290" s="16">
        <f t="shared" si="152"/>
        <v>76.923076923077133</v>
      </c>
      <c r="DE290" s="16">
        <f t="shared" si="153"/>
        <v>0</v>
      </c>
      <c r="DF290" s="16">
        <f t="shared" si="154"/>
        <v>0</v>
      </c>
      <c r="DG290" s="16">
        <f t="shared" si="155"/>
        <v>0</v>
      </c>
      <c r="DH290" s="14">
        <f>IF([1]Sheet2!DS289=999999,"NA",[1]Sheet2!DS289)</f>
        <v>0</v>
      </c>
      <c r="DI290" s="14">
        <f>IF([1]Sheet2!DT289=999999,"NA",[1]Sheet2!DT289)</f>
        <v>78</v>
      </c>
      <c r="DJ290" s="14" t="str">
        <f>IF([1]Sheet2!DU289=999999,"NA",[1]Sheet2!DU289)</f>
        <v>NA</v>
      </c>
      <c r="DK290" s="14" t="str">
        <f>IF([1]Sheet2!DV289=999999,"NA",[1]Sheet2!DV289)</f>
        <v>NA</v>
      </c>
      <c r="DL290" s="14" t="str">
        <f>IF([1]Sheet2!DW289=999999,"NA",[1]Sheet2!DW289)</f>
        <v>NA</v>
      </c>
      <c r="DM290" s="14">
        <f>IF([1]Sheet2!DX289=999999,"NA",[1]Sheet2!DX289)</f>
        <v>0</v>
      </c>
      <c r="DN290" s="14">
        <f>IF([1]Sheet2!DY289=999999,"NA",[1]Sheet2!DY289)</f>
        <v>78</v>
      </c>
      <c r="DO290" s="14" t="str">
        <f>IF([1]Sheet2!DZ289=999999,"NA",[1]Sheet2!DZ289)</f>
        <v>NA</v>
      </c>
      <c r="DP290" s="14" t="str">
        <f>IF([1]Sheet2!EA289=999999,"NA",[1]Sheet2!EA289)</f>
        <v>NA</v>
      </c>
      <c r="DQ290" s="14" t="str">
        <f>IF([1]Sheet2!EB289=999999,"NA",[1]Sheet2!EB289)</f>
        <v>NA</v>
      </c>
      <c r="DR290" s="14">
        <f>[1]Sheet2!CY289</f>
        <v>0</v>
      </c>
      <c r="DS290" s="14">
        <f>[1]Sheet2!CZ289</f>
        <v>0</v>
      </c>
      <c r="DT290" s="14">
        <f>[1]Sheet2!DA289</f>
        <v>0</v>
      </c>
      <c r="DU290" s="14">
        <f>[1]Sheet2!DB289</f>
        <v>0</v>
      </c>
      <c r="DV290" s="14">
        <f>[1]Sheet2!DC289</f>
        <v>0</v>
      </c>
      <c r="DW290" s="14">
        <f>[1]Sheet2!DD289</f>
        <v>0</v>
      </c>
      <c r="DX290" s="14">
        <f>[1]Sheet2!DE289</f>
        <v>0</v>
      </c>
      <c r="DY290" s="14">
        <f>[1]Sheet2!DF289</f>
        <v>0</v>
      </c>
      <c r="DZ290" s="14">
        <f>[1]Sheet2!DG289</f>
        <v>0</v>
      </c>
      <c r="EA290" s="14">
        <f>[1]Sheet2!DH289</f>
        <v>0</v>
      </c>
      <c r="EB290" s="6">
        <f>[1]Sheet2!EC289</f>
        <v>0</v>
      </c>
      <c r="EC290" s="6">
        <f>[1]Sheet2!ED289</f>
        <v>0</v>
      </c>
      <c r="ED290" s="6">
        <f>[1]Sheet2!EE289</f>
        <v>0</v>
      </c>
      <c r="EE290" s="6">
        <f>[1]Sheet2!EF289</f>
        <v>0</v>
      </c>
      <c r="EF290" s="6">
        <f>[1]Sheet2!EG289</f>
        <v>0</v>
      </c>
      <c r="EG290" s="6">
        <f>[1]Sheet2!EH289</f>
        <v>0</v>
      </c>
      <c r="EH290" s="6">
        <f>[1]Sheet2!EI289</f>
        <v>0</v>
      </c>
      <c r="EI290" s="6">
        <f>[1]Sheet2!EJ289</f>
        <v>0</v>
      </c>
      <c r="EJ290" s="6">
        <f>[1]Sheet2!EK289</f>
        <v>0</v>
      </c>
      <c r="EK290" s="6">
        <f>[1]Sheet2!EL289</f>
        <v>0</v>
      </c>
      <c r="EL290" s="6" t="str">
        <f>[1]Sheet2!EM289</f>
        <v/>
      </c>
      <c r="EM290" s="6" t="str">
        <f>[1]Sheet2!EN289</f>
        <v/>
      </c>
      <c r="EN290" s="6" t="str">
        <f>[1]Sheet2!EO289</f>
        <v/>
      </c>
      <c r="EO290" s="6" t="str">
        <f>[1]Sheet2!EP289</f>
        <v/>
      </c>
      <c r="EP290" s="6" t="str">
        <f>[1]Sheet2!EQ289</f>
        <v/>
      </c>
      <c r="EQ290" s="6" t="str">
        <f>[1]Sheet2!ER289</f>
        <v/>
      </c>
      <c r="ER290" s="6" t="str">
        <f>[1]Sheet2!ES289</f>
        <v/>
      </c>
      <c r="ES290" s="6" t="str">
        <f>[1]Sheet2!ET289</f>
        <v/>
      </c>
      <c r="ET290" s="6" t="str">
        <f>[1]Sheet2!EU289</f>
        <v/>
      </c>
      <c r="EU290" s="6" t="str">
        <f>[1]Sheet2!EV289</f>
        <v/>
      </c>
      <c r="EV290" s="6" t="str">
        <f>[1]Sheet2!EW289</f>
        <v/>
      </c>
      <c r="EW290" s="6" t="str">
        <f>[1]Sheet2!EX289</f>
        <v/>
      </c>
      <c r="EX290" s="6" t="str">
        <f>[1]Sheet2!EY289</f>
        <v/>
      </c>
      <c r="EY290" s="6" t="str">
        <f>[1]Sheet2!EZ289</f>
        <v/>
      </c>
      <c r="EZ290" s="6" t="str">
        <f>[1]Sheet2!FA289</f>
        <v/>
      </c>
      <c r="FA290" s="6" t="str">
        <f>[1]Sheet2!FB289</f>
        <v/>
      </c>
      <c r="FB290" s="6" t="str">
        <f>[1]Sheet2!FC289</f>
        <v/>
      </c>
      <c r="FC290" s="6" t="str">
        <f>[1]Sheet2!FD289</f>
        <v/>
      </c>
      <c r="FD290" s="6" t="str">
        <f>[1]Sheet2!FE289</f>
        <v/>
      </c>
      <c r="FE290" s="6" t="str">
        <f>[1]Sheet2!FF289</f>
        <v/>
      </c>
      <c r="FF290" s="6" t="str">
        <f>[1]Sheet2!FG289</f>
        <v/>
      </c>
      <c r="FG290" s="6" t="str">
        <f>[1]Sheet2!FH289</f>
        <v/>
      </c>
      <c r="FH290" s="6" t="str">
        <f>[1]Sheet2!FI289</f>
        <v/>
      </c>
      <c r="FI290" s="6" t="str">
        <f>[1]Sheet2!FJ289</f>
        <v/>
      </c>
      <c r="FJ290" s="6" t="str">
        <f>[1]Sheet2!FK289</f>
        <v/>
      </c>
      <c r="FK290" s="6" t="str">
        <f>[1]Sheet2!FL289</f>
        <v/>
      </c>
      <c r="FL290" s="6" t="str">
        <f>[1]Sheet2!FM289</f>
        <v/>
      </c>
      <c r="FM290" s="6" t="str">
        <f>[1]Sheet2!FN289</f>
        <v/>
      </c>
      <c r="FN290" s="6" t="str">
        <f>[1]Sheet2!FO289</f>
        <v/>
      </c>
      <c r="FO290" s="6" t="str">
        <f>[1]Sheet2!FP289</f>
        <v/>
      </c>
    </row>
    <row r="291" spans="1:171" x14ac:dyDescent="0.25">
      <c r="A291" s="15">
        <v>43753</v>
      </c>
      <c r="B291" s="1"/>
      <c r="C291" s="1"/>
      <c r="D291" s="1"/>
      <c r="E291" s="14">
        <f>[1]Sheet2!N290</f>
        <v>0</v>
      </c>
      <c r="F291" s="14">
        <f>[1]Sheet2!BE290</f>
        <v>0</v>
      </c>
      <c r="G291" s="14">
        <f>[1]Sheet2!CW290</f>
        <v>0</v>
      </c>
      <c r="H291" s="1"/>
      <c r="I291" s="1"/>
      <c r="J291" s="1"/>
      <c r="K291" s="16"/>
      <c r="L291" s="16">
        <f>Demand_CWRS!B$12/31</f>
        <v>113.31027191894128</v>
      </c>
      <c r="M291" s="16">
        <f>Demand_CWRS!C$12/31</f>
        <v>480.06765922249781</v>
      </c>
      <c r="N291" s="16">
        <f>Demand_CWRS!D$12/31</f>
        <v>0</v>
      </c>
      <c r="O291" s="16">
        <f>Demand_CWRS!E$12/31</f>
        <v>103.22435897435898</v>
      </c>
      <c r="P291" s="16">
        <f>Demand_CWRS!F$12/31</f>
        <v>209.74544820099254</v>
      </c>
      <c r="Q291" s="16">
        <f>Demand_CWRS!G$12/31</f>
        <v>113.31027191894128</v>
      </c>
      <c r="R291" s="16">
        <f>Demand_CWRS!H$12/31</f>
        <v>209.74544820099254</v>
      </c>
      <c r="S291" s="16">
        <f>Demand_CWRS!I$12/31</f>
        <v>209.74544820099254</v>
      </c>
      <c r="T291" s="16">
        <f>Demand_CWRS!J$12/31</f>
        <v>209.74544820099254</v>
      </c>
      <c r="U291" s="16">
        <f>Demand_CWRS!K$12/31</f>
        <v>209.74544820099254</v>
      </c>
      <c r="V291" s="16">
        <f t="shared" si="126"/>
        <v>-32780.650231565218</v>
      </c>
      <c r="W291" s="16">
        <f t="shared" si="127"/>
        <v>-128427.6687344909</v>
      </c>
      <c r="X291" s="16">
        <f t="shared" si="128"/>
        <v>0</v>
      </c>
      <c r="Y291" s="16">
        <f t="shared" si="129"/>
        <v>-24488.84065238557</v>
      </c>
      <c r="Z291" s="16">
        <f t="shared" si="130"/>
        <v>-57175.388266142159</v>
      </c>
      <c r="AA291" s="16">
        <f t="shared" si="131"/>
        <v>-31308.71770752683</v>
      </c>
      <c r="AB291" s="16">
        <f t="shared" si="132"/>
        <v>-61484.553041783118</v>
      </c>
      <c r="AC291" s="16">
        <f t="shared" si="133"/>
        <v>-55691.542785372927</v>
      </c>
      <c r="AD291" s="16">
        <f t="shared" si="134"/>
        <v>-55791.54278537292</v>
      </c>
      <c r="AE291" s="16">
        <f t="shared" si="135"/>
        <v>-56391.542785372912</v>
      </c>
      <c r="AF291" s="14">
        <f>IF([1]Sheet2!AJ290=999999,"NA",[1]Sheet2!AJ290)</f>
        <v>0</v>
      </c>
      <c r="AG291" s="14">
        <f>IF([1]Sheet2!AK290=999999,"NA",[1]Sheet2!AK290)</f>
        <v>0</v>
      </c>
      <c r="AH291" s="14" t="str">
        <f>IF([1]Sheet2!AL290=999999,"NA",[1]Sheet2!AL290)</f>
        <v>NA</v>
      </c>
      <c r="AI291" s="14">
        <f>IF([1]Sheet2!AM290=999999,"NA",[1]Sheet2!AM290)</f>
        <v>0</v>
      </c>
      <c r="AJ291" s="14">
        <f>IF([1]Sheet2!AN290=999999,"NA",[1]Sheet2!AN290)</f>
        <v>0</v>
      </c>
      <c r="AK291" s="14">
        <f>IF([1]Sheet2!AO290=999999,"NA",[1]Sheet2!AO290)</f>
        <v>0</v>
      </c>
      <c r="AL291" s="14">
        <f>IF([1]Sheet2!AP290=999999,"NA",[1]Sheet2!AP290)</f>
        <v>0</v>
      </c>
      <c r="AM291" s="14">
        <f>IF([1]Sheet2!AQ290=999999,"NA",[1]Sheet2!AQ290)</f>
        <v>0</v>
      </c>
      <c r="AN291" s="14">
        <f>IF([1]Sheet2!AR290=999999,"NA",[1]Sheet2!AR290)</f>
        <v>0</v>
      </c>
      <c r="AO291" s="14">
        <f>IF([1]Sheet2!AS290=999999,"NA",[1]Sheet2!AS290)</f>
        <v>0</v>
      </c>
      <c r="AP291" s="14">
        <f>[1]Sheet2!P290</f>
        <v>0</v>
      </c>
      <c r="AQ291" s="14">
        <f>[1]Sheet2!Q290</f>
        <v>0</v>
      </c>
      <c r="AR291" s="14">
        <f>[1]Sheet2!R290</f>
        <v>0</v>
      </c>
      <c r="AS291" s="14">
        <f>[1]Sheet2!S290</f>
        <v>0</v>
      </c>
      <c r="AT291" s="14">
        <f>[1]Sheet2!T290</f>
        <v>0</v>
      </c>
      <c r="AU291" s="14">
        <f>[1]Sheet2!U290</f>
        <v>0</v>
      </c>
      <c r="AV291" s="14">
        <f>[1]Sheet2!V290</f>
        <v>0</v>
      </c>
      <c r="AW291" s="14">
        <f>[1]Sheet2!W290</f>
        <v>0</v>
      </c>
      <c r="AX291" s="14">
        <f>[1]Sheet2!X290</f>
        <v>0</v>
      </c>
      <c r="AY291" s="14">
        <f>[1]Sheet2!Y290</f>
        <v>0</v>
      </c>
      <c r="AZ291" s="16">
        <f>Demand_LP!B$12/31</f>
        <v>866.47279518196865</v>
      </c>
      <c r="BA291" s="16">
        <f>Demand_LP!C$12/31</f>
        <v>577.62712985938799</v>
      </c>
      <c r="BB291" s="16">
        <f>Demand_LP!D$12/31</f>
        <v>262.18502894954509</v>
      </c>
      <c r="BC291" s="16">
        <f>Demand_LP!E$12/31</f>
        <v>766.03229942100904</v>
      </c>
      <c r="BD291" s="16">
        <f>Demand_LP!F$12/31</f>
        <v>516.10499638130682</v>
      </c>
      <c r="BE291" s="16">
        <f>Demand_LP!G$12/31</f>
        <v>516.10499638130682</v>
      </c>
      <c r="BF291" s="16">
        <f>Demand_LP!H$12/31</f>
        <v>577.62712985938799</v>
      </c>
      <c r="BG291" s="16">
        <f>Demand_LP!I$12/31</f>
        <v>516.10499638130682</v>
      </c>
      <c r="BH291" s="16">
        <f>Demand_LP!J$12/31</f>
        <v>516.10499638130682</v>
      </c>
      <c r="BI291" s="16">
        <f>Demand_LP!K$12/31</f>
        <v>516.10499638130682</v>
      </c>
      <c r="BJ291" s="16">
        <f t="shared" si="136"/>
        <v>-211740.83081531638</v>
      </c>
      <c r="BK291" s="16">
        <f t="shared" si="137"/>
        <v>-160870.47105045477</v>
      </c>
      <c r="BL291" s="16">
        <f t="shared" si="138"/>
        <v>-77909.516459884486</v>
      </c>
      <c r="BM291" s="16">
        <f t="shared" si="139"/>
        <v>-205710.95498790641</v>
      </c>
      <c r="BN291" s="16">
        <f t="shared" si="140"/>
        <v>-124390.61243760548</v>
      </c>
      <c r="BO291" s="16">
        <f t="shared" si="141"/>
        <v>-122848.29635597621</v>
      </c>
      <c r="BP291" s="16">
        <f t="shared" si="142"/>
        <v>-155228.05053763412</v>
      </c>
      <c r="BQ291" s="16">
        <f t="shared" si="143"/>
        <v>-118677.29635597621</v>
      </c>
      <c r="BR291" s="16">
        <f t="shared" si="144"/>
        <v>-120448.29635597626</v>
      </c>
      <c r="BS291" s="16">
        <f t="shared" si="145"/>
        <v>-121148.29635597624</v>
      </c>
      <c r="BT291" s="14">
        <f>IF([1]Sheet2!CB290=999999,"NA",[1]Sheet2!CB290)</f>
        <v>0</v>
      </c>
      <c r="BU291" s="14">
        <f>IF([1]Sheet2!CC290=999999,"NA",[1]Sheet2!CC290)</f>
        <v>0</v>
      </c>
      <c r="BV291" s="14">
        <f>IF([1]Sheet2!CD290=999999,"NA",[1]Sheet2!CD290)</f>
        <v>0</v>
      </c>
      <c r="BW291" s="14">
        <f>IF([1]Sheet2!CE290=999999,"NA",[1]Sheet2!CE290)</f>
        <v>0</v>
      </c>
      <c r="BX291" s="14">
        <f>IF([1]Sheet2!CF290=999999,"NA",[1]Sheet2!CF290)</f>
        <v>0</v>
      </c>
      <c r="BY291" s="14">
        <f>IF([1]Sheet2!CG290=999999,"NA",[1]Sheet2!CG290)</f>
        <v>0</v>
      </c>
      <c r="BZ291" s="14">
        <f>IF([1]Sheet2!CH290=999999,"NA",[1]Sheet2!CH290)</f>
        <v>0</v>
      </c>
      <c r="CA291" s="14">
        <f>IF([1]Sheet2!CI290=999999,"NA",[1]Sheet2!CI290)</f>
        <v>0</v>
      </c>
      <c r="CB291" s="14">
        <f>IF([1]Sheet2!CJ290=999999,"NA",[1]Sheet2!CJ290)</f>
        <v>0</v>
      </c>
      <c r="CC291" s="14">
        <f>IF([1]Sheet2!CK290=999999,"NA",[1]Sheet2!CK290)</f>
        <v>0</v>
      </c>
      <c r="CD291" s="14">
        <f>[1]Sheet2!BH290</f>
        <v>0</v>
      </c>
      <c r="CE291" s="14">
        <f>[1]Sheet2!BI290</f>
        <v>0</v>
      </c>
      <c r="CF291" s="14">
        <f>[1]Sheet2!BJ290</f>
        <v>0</v>
      </c>
      <c r="CG291" s="14">
        <f>[1]Sheet2!BK290</f>
        <v>0</v>
      </c>
      <c r="CH291" s="14">
        <f>[1]Sheet2!BL290</f>
        <v>0</v>
      </c>
      <c r="CI291" s="14">
        <f>[1]Sheet2!BM290</f>
        <v>0</v>
      </c>
      <c r="CJ291" s="14">
        <f>[1]Sheet2!BN290</f>
        <v>0</v>
      </c>
      <c r="CK291" s="14">
        <f>[1]Sheet2!BO290</f>
        <v>0</v>
      </c>
      <c r="CL291" s="14">
        <f>[1]Sheet2!BP290</f>
        <v>0</v>
      </c>
      <c r="CM291" s="14">
        <f>[1]Sheet2!BQ290</f>
        <v>0</v>
      </c>
      <c r="CN291" s="16">
        <f>Demand_SW!B$12/31</f>
        <v>139.57816377171216</v>
      </c>
      <c r="CO291" s="16">
        <f>Demand_SW!C$12/31</f>
        <v>0</v>
      </c>
      <c r="CP291" s="16">
        <f>Demand_SW!D$12/31</f>
        <v>0</v>
      </c>
      <c r="CQ291" s="16">
        <f>Demand_SW!E$12/31</f>
        <v>0</v>
      </c>
      <c r="CR291" s="16">
        <f>Demand_SW!F$12/31</f>
        <v>0</v>
      </c>
      <c r="CS291" s="16">
        <f>Demand_SW!G$12/31</f>
        <v>139.57816377171216</v>
      </c>
      <c r="CT291" s="16">
        <f>Demand_SW!H$12/31</f>
        <v>0</v>
      </c>
      <c r="CU291" s="16">
        <f>Demand_SW!I$12/31</f>
        <v>0</v>
      </c>
      <c r="CV291" s="16">
        <f>Demand_SW!J$12/31</f>
        <v>0</v>
      </c>
      <c r="CW291" s="16">
        <f>Demand_SW!K$12/31</f>
        <v>0</v>
      </c>
      <c r="CX291" s="16">
        <f t="shared" si="146"/>
        <v>-16141.36476426803</v>
      </c>
      <c r="CY291" s="16">
        <f t="shared" si="147"/>
        <v>76.923076923077133</v>
      </c>
      <c r="CZ291" s="16">
        <f t="shared" si="148"/>
        <v>0</v>
      </c>
      <c r="DA291" s="16">
        <f t="shared" si="149"/>
        <v>0</v>
      </c>
      <c r="DB291" s="16">
        <f t="shared" si="150"/>
        <v>0</v>
      </c>
      <c r="DC291" s="16">
        <f t="shared" si="151"/>
        <v>-17372.595533498799</v>
      </c>
      <c r="DD291" s="16">
        <f t="shared" si="152"/>
        <v>76.923076923077133</v>
      </c>
      <c r="DE291" s="16">
        <f t="shared" si="153"/>
        <v>0</v>
      </c>
      <c r="DF291" s="16">
        <f t="shared" si="154"/>
        <v>0</v>
      </c>
      <c r="DG291" s="16">
        <f t="shared" si="155"/>
        <v>0</v>
      </c>
      <c r="DH291" s="14">
        <f>IF([1]Sheet2!DS290=999999,"NA",[1]Sheet2!DS290)</f>
        <v>0</v>
      </c>
      <c r="DI291" s="14">
        <f>IF([1]Sheet2!DT290=999999,"NA",[1]Sheet2!DT290)</f>
        <v>77</v>
      </c>
      <c r="DJ291" s="14" t="str">
        <f>IF([1]Sheet2!DU290=999999,"NA",[1]Sheet2!DU290)</f>
        <v>NA</v>
      </c>
      <c r="DK291" s="14" t="str">
        <f>IF([1]Sheet2!DV290=999999,"NA",[1]Sheet2!DV290)</f>
        <v>NA</v>
      </c>
      <c r="DL291" s="14" t="str">
        <f>IF([1]Sheet2!DW290=999999,"NA",[1]Sheet2!DW290)</f>
        <v>NA</v>
      </c>
      <c r="DM291" s="14">
        <f>IF([1]Sheet2!DX290=999999,"NA",[1]Sheet2!DX290)</f>
        <v>0</v>
      </c>
      <c r="DN291" s="14">
        <f>IF([1]Sheet2!DY290=999999,"NA",[1]Sheet2!DY290)</f>
        <v>77</v>
      </c>
      <c r="DO291" s="14" t="str">
        <f>IF([1]Sheet2!DZ290=999999,"NA",[1]Sheet2!DZ290)</f>
        <v>NA</v>
      </c>
      <c r="DP291" s="14" t="str">
        <f>IF([1]Sheet2!EA290=999999,"NA",[1]Sheet2!EA290)</f>
        <v>NA</v>
      </c>
      <c r="DQ291" s="14" t="str">
        <f>IF([1]Sheet2!EB290=999999,"NA",[1]Sheet2!EB290)</f>
        <v>NA</v>
      </c>
      <c r="DR291" s="14">
        <f>[1]Sheet2!CY290</f>
        <v>0</v>
      </c>
      <c r="DS291" s="14">
        <f>[1]Sheet2!CZ290</f>
        <v>0</v>
      </c>
      <c r="DT291" s="14">
        <f>[1]Sheet2!DA290</f>
        <v>0</v>
      </c>
      <c r="DU291" s="14">
        <f>[1]Sheet2!DB290</f>
        <v>0</v>
      </c>
      <c r="DV291" s="14">
        <f>[1]Sheet2!DC290</f>
        <v>0</v>
      </c>
      <c r="DW291" s="14">
        <f>[1]Sheet2!DD290</f>
        <v>0</v>
      </c>
      <c r="DX291" s="14">
        <f>[1]Sheet2!DE290</f>
        <v>0</v>
      </c>
      <c r="DY291" s="14">
        <f>[1]Sheet2!DF290</f>
        <v>0</v>
      </c>
      <c r="DZ291" s="14">
        <f>[1]Sheet2!DG290</f>
        <v>0</v>
      </c>
      <c r="EA291" s="14">
        <f>[1]Sheet2!DH290</f>
        <v>0</v>
      </c>
      <c r="EB291" s="6">
        <f>[1]Sheet2!EC290</f>
        <v>0</v>
      </c>
      <c r="EC291" s="6">
        <f>[1]Sheet2!ED290</f>
        <v>0</v>
      </c>
      <c r="ED291" s="6">
        <f>[1]Sheet2!EE290</f>
        <v>0</v>
      </c>
      <c r="EE291" s="6">
        <f>[1]Sheet2!EF290</f>
        <v>0</v>
      </c>
      <c r="EF291" s="6">
        <f>[1]Sheet2!EG290</f>
        <v>0</v>
      </c>
      <c r="EG291" s="6">
        <f>[1]Sheet2!EH290</f>
        <v>0</v>
      </c>
      <c r="EH291" s="6">
        <f>[1]Sheet2!EI290</f>
        <v>0</v>
      </c>
      <c r="EI291" s="6">
        <f>[1]Sheet2!EJ290</f>
        <v>0</v>
      </c>
      <c r="EJ291" s="6">
        <f>[1]Sheet2!EK290</f>
        <v>0</v>
      </c>
      <c r="EK291" s="6">
        <f>[1]Sheet2!EL290</f>
        <v>0</v>
      </c>
      <c r="EL291" s="6" t="str">
        <f>[1]Sheet2!EM290</f>
        <v/>
      </c>
      <c r="EM291" s="6" t="str">
        <f>[1]Sheet2!EN290</f>
        <v/>
      </c>
      <c r="EN291" s="6" t="str">
        <f>[1]Sheet2!EO290</f>
        <v/>
      </c>
      <c r="EO291" s="6" t="str">
        <f>[1]Sheet2!EP290</f>
        <v/>
      </c>
      <c r="EP291" s="6" t="str">
        <f>[1]Sheet2!EQ290</f>
        <v/>
      </c>
      <c r="EQ291" s="6" t="str">
        <f>[1]Sheet2!ER290</f>
        <v/>
      </c>
      <c r="ER291" s="6" t="str">
        <f>[1]Sheet2!ES290</f>
        <v/>
      </c>
      <c r="ES291" s="6" t="str">
        <f>[1]Sheet2!ET290</f>
        <v/>
      </c>
      <c r="ET291" s="6" t="str">
        <f>[1]Sheet2!EU290</f>
        <v/>
      </c>
      <c r="EU291" s="6" t="str">
        <f>[1]Sheet2!EV290</f>
        <v/>
      </c>
      <c r="EV291" s="6" t="str">
        <f>[1]Sheet2!EW290</f>
        <v/>
      </c>
      <c r="EW291" s="6" t="str">
        <f>[1]Sheet2!EX290</f>
        <v/>
      </c>
      <c r="EX291" s="6" t="str">
        <f>[1]Sheet2!EY290</f>
        <v/>
      </c>
      <c r="EY291" s="6" t="str">
        <f>[1]Sheet2!EZ290</f>
        <v/>
      </c>
      <c r="EZ291" s="6" t="str">
        <f>[1]Sheet2!FA290</f>
        <v/>
      </c>
      <c r="FA291" s="6" t="str">
        <f>[1]Sheet2!FB290</f>
        <v/>
      </c>
      <c r="FB291" s="6" t="str">
        <f>[1]Sheet2!FC290</f>
        <v/>
      </c>
      <c r="FC291" s="6" t="str">
        <f>[1]Sheet2!FD290</f>
        <v/>
      </c>
      <c r="FD291" s="6" t="str">
        <f>[1]Sheet2!FE290</f>
        <v/>
      </c>
      <c r="FE291" s="6" t="str">
        <f>[1]Sheet2!FF290</f>
        <v/>
      </c>
      <c r="FF291" s="6" t="str">
        <f>[1]Sheet2!FG290</f>
        <v/>
      </c>
      <c r="FG291" s="6" t="str">
        <f>[1]Sheet2!FH290</f>
        <v/>
      </c>
      <c r="FH291" s="6" t="str">
        <f>[1]Sheet2!FI290</f>
        <v/>
      </c>
      <c r="FI291" s="6" t="str">
        <f>[1]Sheet2!FJ290</f>
        <v/>
      </c>
      <c r="FJ291" s="6" t="str">
        <f>[1]Sheet2!FK290</f>
        <v/>
      </c>
      <c r="FK291" s="6" t="str">
        <f>[1]Sheet2!FL290</f>
        <v/>
      </c>
      <c r="FL291" s="6" t="str">
        <f>[1]Sheet2!FM290</f>
        <v/>
      </c>
      <c r="FM291" s="6" t="str">
        <f>[1]Sheet2!FN290</f>
        <v/>
      </c>
      <c r="FN291" s="6" t="str">
        <f>[1]Sheet2!FO290</f>
        <v/>
      </c>
      <c r="FO291" s="6" t="str">
        <f>[1]Sheet2!FP290</f>
        <v/>
      </c>
    </row>
    <row r="292" spans="1:171" x14ac:dyDescent="0.25">
      <c r="A292" s="15">
        <v>43754</v>
      </c>
      <c r="B292" s="1"/>
      <c r="C292" s="1"/>
      <c r="D292" s="1"/>
      <c r="E292" s="14">
        <f>[1]Sheet2!N291</f>
        <v>0</v>
      </c>
      <c r="F292" s="14">
        <f>[1]Sheet2!BE291</f>
        <v>0</v>
      </c>
      <c r="G292" s="14">
        <f>[1]Sheet2!CW291</f>
        <v>0</v>
      </c>
      <c r="H292" s="1"/>
      <c r="I292" s="1"/>
      <c r="J292" s="1"/>
      <c r="K292" s="16"/>
      <c r="L292" s="16">
        <f>Demand_CWRS!B$12/31</f>
        <v>113.31027191894128</v>
      </c>
      <c r="M292" s="16">
        <f>Demand_CWRS!C$12/31</f>
        <v>480.06765922249781</v>
      </c>
      <c r="N292" s="16">
        <f>Demand_CWRS!D$12/31</f>
        <v>0</v>
      </c>
      <c r="O292" s="16">
        <f>Demand_CWRS!E$12/31</f>
        <v>103.22435897435898</v>
      </c>
      <c r="P292" s="16">
        <f>Demand_CWRS!F$12/31</f>
        <v>209.74544820099254</v>
      </c>
      <c r="Q292" s="16">
        <f>Demand_CWRS!G$12/31</f>
        <v>113.31027191894128</v>
      </c>
      <c r="R292" s="16">
        <f>Demand_CWRS!H$12/31</f>
        <v>209.74544820099254</v>
      </c>
      <c r="S292" s="16">
        <f>Demand_CWRS!I$12/31</f>
        <v>209.74544820099254</v>
      </c>
      <c r="T292" s="16">
        <f>Demand_CWRS!J$12/31</f>
        <v>209.74544820099254</v>
      </c>
      <c r="U292" s="16">
        <f>Demand_CWRS!K$12/31</f>
        <v>209.74544820099254</v>
      </c>
      <c r="V292" s="16">
        <f t="shared" si="126"/>
        <v>-32893.960503484159</v>
      </c>
      <c r="W292" s="16">
        <f t="shared" si="127"/>
        <v>-128907.73639371339</v>
      </c>
      <c r="X292" s="16">
        <f t="shared" si="128"/>
        <v>0</v>
      </c>
      <c r="Y292" s="16">
        <f t="shared" si="129"/>
        <v>-24592.065011359929</v>
      </c>
      <c r="Z292" s="16">
        <f t="shared" si="130"/>
        <v>-57385.133714343152</v>
      </c>
      <c r="AA292" s="16">
        <f t="shared" si="131"/>
        <v>-31422.027979445771</v>
      </c>
      <c r="AB292" s="16">
        <f t="shared" si="132"/>
        <v>-61694.29848998411</v>
      </c>
      <c r="AC292" s="16">
        <f t="shared" si="133"/>
        <v>-55901.28823357392</v>
      </c>
      <c r="AD292" s="16">
        <f t="shared" si="134"/>
        <v>-56001.288233573912</v>
      </c>
      <c r="AE292" s="16">
        <f t="shared" si="135"/>
        <v>-56601.288233573905</v>
      </c>
      <c r="AF292" s="14">
        <f>IF([1]Sheet2!AJ291=999999,"NA",[1]Sheet2!AJ291)</f>
        <v>0</v>
      </c>
      <c r="AG292" s="14">
        <f>IF([1]Sheet2!AK291=999999,"NA",[1]Sheet2!AK291)</f>
        <v>0</v>
      </c>
      <c r="AH292" s="14" t="str">
        <f>IF([1]Sheet2!AL291=999999,"NA",[1]Sheet2!AL291)</f>
        <v>NA</v>
      </c>
      <c r="AI292" s="14">
        <f>IF([1]Sheet2!AM291=999999,"NA",[1]Sheet2!AM291)</f>
        <v>0</v>
      </c>
      <c r="AJ292" s="14">
        <f>IF([1]Sheet2!AN291=999999,"NA",[1]Sheet2!AN291)</f>
        <v>0</v>
      </c>
      <c r="AK292" s="14">
        <f>IF([1]Sheet2!AO291=999999,"NA",[1]Sheet2!AO291)</f>
        <v>0</v>
      </c>
      <c r="AL292" s="14">
        <f>IF([1]Sheet2!AP291=999999,"NA",[1]Sheet2!AP291)</f>
        <v>0</v>
      </c>
      <c r="AM292" s="14">
        <f>IF([1]Sheet2!AQ291=999999,"NA",[1]Sheet2!AQ291)</f>
        <v>0</v>
      </c>
      <c r="AN292" s="14">
        <f>IF([1]Sheet2!AR291=999999,"NA",[1]Sheet2!AR291)</f>
        <v>0</v>
      </c>
      <c r="AO292" s="14">
        <f>IF([1]Sheet2!AS291=999999,"NA",[1]Sheet2!AS291)</f>
        <v>0</v>
      </c>
      <c r="AP292" s="14">
        <f>[1]Sheet2!P291</f>
        <v>0</v>
      </c>
      <c r="AQ292" s="14">
        <f>[1]Sheet2!Q291</f>
        <v>0</v>
      </c>
      <c r="AR292" s="14">
        <f>[1]Sheet2!R291</f>
        <v>0</v>
      </c>
      <c r="AS292" s="14">
        <f>[1]Sheet2!S291</f>
        <v>0</v>
      </c>
      <c r="AT292" s="14">
        <f>[1]Sheet2!T291</f>
        <v>0</v>
      </c>
      <c r="AU292" s="14">
        <f>[1]Sheet2!U291</f>
        <v>0</v>
      </c>
      <c r="AV292" s="14">
        <f>[1]Sheet2!V291</f>
        <v>0</v>
      </c>
      <c r="AW292" s="14">
        <f>[1]Sheet2!W291</f>
        <v>0</v>
      </c>
      <c r="AX292" s="14">
        <f>[1]Sheet2!X291</f>
        <v>0</v>
      </c>
      <c r="AY292" s="14">
        <f>[1]Sheet2!Y291</f>
        <v>0</v>
      </c>
      <c r="AZ292" s="16">
        <f>Demand_LP!B$12/31</f>
        <v>866.47279518196865</v>
      </c>
      <c r="BA292" s="16">
        <f>Demand_LP!C$12/31</f>
        <v>577.62712985938799</v>
      </c>
      <c r="BB292" s="16">
        <f>Demand_LP!D$12/31</f>
        <v>262.18502894954509</v>
      </c>
      <c r="BC292" s="16">
        <f>Demand_LP!E$12/31</f>
        <v>766.03229942100904</v>
      </c>
      <c r="BD292" s="16">
        <f>Demand_LP!F$12/31</f>
        <v>516.10499638130682</v>
      </c>
      <c r="BE292" s="16">
        <f>Demand_LP!G$12/31</f>
        <v>516.10499638130682</v>
      </c>
      <c r="BF292" s="16">
        <f>Demand_LP!H$12/31</f>
        <v>577.62712985938799</v>
      </c>
      <c r="BG292" s="16">
        <f>Demand_LP!I$12/31</f>
        <v>516.10499638130682</v>
      </c>
      <c r="BH292" s="16">
        <f>Demand_LP!J$12/31</f>
        <v>516.10499638130682</v>
      </c>
      <c r="BI292" s="16">
        <f>Demand_LP!K$12/31</f>
        <v>516.10499638130682</v>
      </c>
      <c r="BJ292" s="16">
        <f t="shared" si="136"/>
        <v>-212607.30361049835</v>
      </c>
      <c r="BK292" s="16">
        <f t="shared" si="137"/>
        <v>-161448.09818031415</v>
      </c>
      <c r="BL292" s="16">
        <f t="shared" si="138"/>
        <v>-78171.701488834035</v>
      </c>
      <c r="BM292" s="16">
        <f t="shared" si="139"/>
        <v>-206476.98728732741</v>
      </c>
      <c r="BN292" s="16">
        <f t="shared" si="140"/>
        <v>-124906.71743398679</v>
      </c>
      <c r="BO292" s="16">
        <f t="shared" si="141"/>
        <v>-123364.40135235753</v>
      </c>
      <c r="BP292" s="16">
        <f t="shared" si="142"/>
        <v>-155805.6776674935</v>
      </c>
      <c r="BQ292" s="16">
        <f t="shared" si="143"/>
        <v>-119193.40135235753</v>
      </c>
      <c r="BR292" s="16">
        <f t="shared" si="144"/>
        <v>-120964.40135235757</v>
      </c>
      <c r="BS292" s="16">
        <f t="shared" si="145"/>
        <v>-121664.40135235756</v>
      </c>
      <c r="BT292" s="14">
        <f>IF([1]Sheet2!CB291=999999,"NA",[1]Sheet2!CB291)</f>
        <v>0</v>
      </c>
      <c r="BU292" s="14">
        <f>IF([1]Sheet2!CC291=999999,"NA",[1]Sheet2!CC291)</f>
        <v>0</v>
      </c>
      <c r="BV292" s="14">
        <f>IF([1]Sheet2!CD291=999999,"NA",[1]Sheet2!CD291)</f>
        <v>0</v>
      </c>
      <c r="BW292" s="14">
        <f>IF([1]Sheet2!CE291=999999,"NA",[1]Sheet2!CE291)</f>
        <v>0</v>
      </c>
      <c r="BX292" s="14">
        <f>IF([1]Sheet2!CF291=999999,"NA",[1]Sheet2!CF291)</f>
        <v>0</v>
      </c>
      <c r="BY292" s="14">
        <f>IF([1]Sheet2!CG291=999999,"NA",[1]Sheet2!CG291)</f>
        <v>0</v>
      </c>
      <c r="BZ292" s="14">
        <f>IF([1]Sheet2!CH291=999999,"NA",[1]Sheet2!CH291)</f>
        <v>0</v>
      </c>
      <c r="CA292" s="14">
        <f>IF([1]Sheet2!CI291=999999,"NA",[1]Sheet2!CI291)</f>
        <v>0</v>
      </c>
      <c r="CB292" s="14">
        <f>IF([1]Sheet2!CJ291=999999,"NA",[1]Sheet2!CJ291)</f>
        <v>0</v>
      </c>
      <c r="CC292" s="14">
        <f>IF([1]Sheet2!CK291=999999,"NA",[1]Sheet2!CK291)</f>
        <v>0</v>
      </c>
      <c r="CD292" s="14">
        <f>[1]Sheet2!BH291</f>
        <v>0</v>
      </c>
      <c r="CE292" s="14">
        <f>[1]Sheet2!BI291</f>
        <v>0</v>
      </c>
      <c r="CF292" s="14">
        <f>[1]Sheet2!BJ291</f>
        <v>0</v>
      </c>
      <c r="CG292" s="14">
        <f>[1]Sheet2!BK291</f>
        <v>0</v>
      </c>
      <c r="CH292" s="14">
        <f>[1]Sheet2!BL291</f>
        <v>0</v>
      </c>
      <c r="CI292" s="14">
        <f>[1]Sheet2!BM291</f>
        <v>0</v>
      </c>
      <c r="CJ292" s="14">
        <f>[1]Sheet2!BN291</f>
        <v>0</v>
      </c>
      <c r="CK292" s="14">
        <f>[1]Sheet2!BO291</f>
        <v>0</v>
      </c>
      <c r="CL292" s="14">
        <f>[1]Sheet2!BP291</f>
        <v>0</v>
      </c>
      <c r="CM292" s="14">
        <f>[1]Sheet2!BQ291</f>
        <v>0</v>
      </c>
      <c r="CN292" s="16">
        <f>Demand_SW!B$12/31</f>
        <v>139.57816377171216</v>
      </c>
      <c r="CO292" s="16">
        <f>Demand_SW!C$12/31</f>
        <v>0</v>
      </c>
      <c r="CP292" s="16">
        <f>Demand_SW!D$12/31</f>
        <v>0</v>
      </c>
      <c r="CQ292" s="16">
        <f>Demand_SW!E$12/31</f>
        <v>0</v>
      </c>
      <c r="CR292" s="16">
        <f>Demand_SW!F$12/31</f>
        <v>0</v>
      </c>
      <c r="CS292" s="16">
        <f>Demand_SW!G$12/31</f>
        <v>139.57816377171216</v>
      </c>
      <c r="CT292" s="16">
        <f>Demand_SW!H$12/31</f>
        <v>0</v>
      </c>
      <c r="CU292" s="16">
        <f>Demand_SW!I$12/31</f>
        <v>0</v>
      </c>
      <c r="CV292" s="16">
        <f>Demand_SW!J$12/31</f>
        <v>0</v>
      </c>
      <c r="CW292" s="16">
        <f>Demand_SW!K$12/31</f>
        <v>0</v>
      </c>
      <c r="CX292" s="16">
        <f t="shared" si="146"/>
        <v>-16280.942928039742</v>
      </c>
      <c r="CY292" s="16">
        <f t="shared" si="147"/>
        <v>76.923076923077133</v>
      </c>
      <c r="CZ292" s="16">
        <f t="shared" si="148"/>
        <v>0</v>
      </c>
      <c r="DA292" s="16">
        <f t="shared" si="149"/>
        <v>0</v>
      </c>
      <c r="DB292" s="16">
        <f t="shared" si="150"/>
        <v>0</v>
      </c>
      <c r="DC292" s="16">
        <f t="shared" si="151"/>
        <v>-17512.173697270511</v>
      </c>
      <c r="DD292" s="16">
        <f t="shared" si="152"/>
        <v>76.923076923077133</v>
      </c>
      <c r="DE292" s="16">
        <f t="shared" si="153"/>
        <v>0</v>
      </c>
      <c r="DF292" s="16">
        <f t="shared" si="154"/>
        <v>0</v>
      </c>
      <c r="DG292" s="16">
        <f t="shared" si="155"/>
        <v>0</v>
      </c>
      <c r="DH292" s="14">
        <f>IF([1]Sheet2!DS291=999999,"NA",[1]Sheet2!DS291)</f>
        <v>0</v>
      </c>
      <c r="DI292" s="14">
        <f>IF([1]Sheet2!DT291=999999,"NA",[1]Sheet2!DT291)</f>
        <v>76</v>
      </c>
      <c r="DJ292" s="14" t="str">
        <f>IF([1]Sheet2!DU291=999999,"NA",[1]Sheet2!DU291)</f>
        <v>NA</v>
      </c>
      <c r="DK292" s="14" t="str">
        <f>IF([1]Sheet2!DV291=999999,"NA",[1]Sheet2!DV291)</f>
        <v>NA</v>
      </c>
      <c r="DL292" s="14" t="str">
        <f>IF([1]Sheet2!DW291=999999,"NA",[1]Sheet2!DW291)</f>
        <v>NA</v>
      </c>
      <c r="DM292" s="14">
        <f>IF([1]Sheet2!DX291=999999,"NA",[1]Sheet2!DX291)</f>
        <v>0</v>
      </c>
      <c r="DN292" s="14">
        <f>IF([1]Sheet2!DY291=999999,"NA",[1]Sheet2!DY291)</f>
        <v>76</v>
      </c>
      <c r="DO292" s="14" t="str">
        <f>IF([1]Sheet2!DZ291=999999,"NA",[1]Sheet2!DZ291)</f>
        <v>NA</v>
      </c>
      <c r="DP292" s="14" t="str">
        <f>IF([1]Sheet2!EA291=999999,"NA",[1]Sheet2!EA291)</f>
        <v>NA</v>
      </c>
      <c r="DQ292" s="14" t="str">
        <f>IF([1]Sheet2!EB291=999999,"NA",[1]Sheet2!EB291)</f>
        <v>NA</v>
      </c>
      <c r="DR292" s="14">
        <f>[1]Sheet2!CY291</f>
        <v>0</v>
      </c>
      <c r="DS292" s="14">
        <f>[1]Sheet2!CZ291</f>
        <v>0</v>
      </c>
      <c r="DT292" s="14">
        <f>[1]Sheet2!DA291</f>
        <v>0</v>
      </c>
      <c r="DU292" s="14">
        <f>[1]Sheet2!DB291</f>
        <v>0</v>
      </c>
      <c r="DV292" s="14">
        <f>[1]Sheet2!DC291</f>
        <v>0</v>
      </c>
      <c r="DW292" s="14">
        <f>[1]Sheet2!DD291</f>
        <v>0</v>
      </c>
      <c r="DX292" s="14">
        <f>[1]Sheet2!DE291</f>
        <v>0</v>
      </c>
      <c r="DY292" s="14">
        <f>[1]Sheet2!DF291</f>
        <v>0</v>
      </c>
      <c r="DZ292" s="14">
        <f>[1]Sheet2!DG291</f>
        <v>0</v>
      </c>
      <c r="EA292" s="14">
        <f>[1]Sheet2!DH291</f>
        <v>0</v>
      </c>
      <c r="EB292" s="6">
        <f>[1]Sheet2!EC291</f>
        <v>0</v>
      </c>
      <c r="EC292" s="6">
        <f>[1]Sheet2!ED291</f>
        <v>0</v>
      </c>
      <c r="ED292" s="6">
        <f>[1]Sheet2!EE291</f>
        <v>0</v>
      </c>
      <c r="EE292" s="6">
        <f>[1]Sheet2!EF291</f>
        <v>0</v>
      </c>
      <c r="EF292" s="6">
        <f>[1]Sheet2!EG291</f>
        <v>0</v>
      </c>
      <c r="EG292" s="6">
        <f>[1]Sheet2!EH291</f>
        <v>0</v>
      </c>
      <c r="EH292" s="6">
        <f>[1]Sheet2!EI291</f>
        <v>0</v>
      </c>
      <c r="EI292" s="6">
        <f>[1]Sheet2!EJ291</f>
        <v>0</v>
      </c>
      <c r="EJ292" s="6">
        <f>[1]Sheet2!EK291</f>
        <v>0</v>
      </c>
      <c r="EK292" s="6">
        <f>[1]Sheet2!EL291</f>
        <v>0</v>
      </c>
      <c r="EL292" s="6" t="str">
        <f>[1]Sheet2!EM291</f>
        <v/>
      </c>
      <c r="EM292" s="6" t="str">
        <f>[1]Sheet2!EN291</f>
        <v/>
      </c>
      <c r="EN292" s="6" t="str">
        <f>[1]Sheet2!EO291</f>
        <v/>
      </c>
      <c r="EO292" s="6" t="str">
        <f>[1]Sheet2!EP291</f>
        <v/>
      </c>
      <c r="EP292" s="6" t="str">
        <f>[1]Sheet2!EQ291</f>
        <v/>
      </c>
      <c r="EQ292" s="6" t="str">
        <f>[1]Sheet2!ER291</f>
        <v/>
      </c>
      <c r="ER292" s="6" t="str">
        <f>[1]Sheet2!ES291</f>
        <v/>
      </c>
      <c r="ES292" s="6" t="str">
        <f>[1]Sheet2!ET291</f>
        <v/>
      </c>
      <c r="ET292" s="6" t="str">
        <f>[1]Sheet2!EU291</f>
        <v/>
      </c>
      <c r="EU292" s="6" t="str">
        <f>[1]Sheet2!EV291</f>
        <v/>
      </c>
      <c r="EV292" s="6" t="str">
        <f>[1]Sheet2!EW291</f>
        <v/>
      </c>
      <c r="EW292" s="6" t="str">
        <f>[1]Sheet2!EX291</f>
        <v/>
      </c>
      <c r="EX292" s="6" t="str">
        <f>[1]Sheet2!EY291</f>
        <v/>
      </c>
      <c r="EY292" s="6" t="str">
        <f>[1]Sheet2!EZ291</f>
        <v/>
      </c>
      <c r="EZ292" s="6" t="str">
        <f>[1]Sheet2!FA291</f>
        <v/>
      </c>
      <c r="FA292" s="6" t="str">
        <f>[1]Sheet2!FB291</f>
        <v/>
      </c>
      <c r="FB292" s="6" t="str">
        <f>[1]Sheet2!FC291</f>
        <v/>
      </c>
      <c r="FC292" s="6" t="str">
        <f>[1]Sheet2!FD291</f>
        <v/>
      </c>
      <c r="FD292" s="6" t="str">
        <f>[1]Sheet2!FE291</f>
        <v/>
      </c>
      <c r="FE292" s="6" t="str">
        <f>[1]Sheet2!FF291</f>
        <v/>
      </c>
      <c r="FF292" s="6" t="str">
        <f>[1]Sheet2!FG291</f>
        <v/>
      </c>
      <c r="FG292" s="6" t="str">
        <f>[1]Sheet2!FH291</f>
        <v/>
      </c>
      <c r="FH292" s="6" t="str">
        <f>[1]Sheet2!FI291</f>
        <v/>
      </c>
      <c r="FI292" s="6" t="str">
        <f>[1]Sheet2!FJ291</f>
        <v/>
      </c>
      <c r="FJ292" s="6" t="str">
        <f>[1]Sheet2!FK291</f>
        <v/>
      </c>
      <c r="FK292" s="6" t="str">
        <f>[1]Sheet2!FL291</f>
        <v/>
      </c>
      <c r="FL292" s="6" t="str">
        <f>[1]Sheet2!FM291</f>
        <v/>
      </c>
      <c r="FM292" s="6" t="str">
        <f>[1]Sheet2!FN291</f>
        <v/>
      </c>
      <c r="FN292" s="6" t="str">
        <f>[1]Sheet2!FO291</f>
        <v/>
      </c>
      <c r="FO292" s="6" t="str">
        <f>[1]Sheet2!FP291</f>
        <v/>
      </c>
    </row>
    <row r="293" spans="1:171" x14ac:dyDescent="0.25">
      <c r="A293" s="15">
        <v>43755</v>
      </c>
      <c r="B293" s="1"/>
      <c r="C293" s="1"/>
      <c r="D293" s="1"/>
      <c r="E293" s="14">
        <f>[1]Sheet2!N292</f>
        <v>0</v>
      </c>
      <c r="F293" s="14">
        <f>[1]Sheet2!BE292</f>
        <v>0</v>
      </c>
      <c r="G293" s="14">
        <f>[1]Sheet2!CW292</f>
        <v>0</v>
      </c>
      <c r="H293" s="1"/>
      <c r="I293" s="1"/>
      <c r="J293" s="1"/>
      <c r="K293" s="16"/>
      <c r="L293" s="16">
        <f>Demand_CWRS!B$12/31</f>
        <v>113.31027191894128</v>
      </c>
      <c r="M293" s="16">
        <f>Demand_CWRS!C$12/31</f>
        <v>480.06765922249781</v>
      </c>
      <c r="N293" s="16">
        <f>Demand_CWRS!D$12/31</f>
        <v>0</v>
      </c>
      <c r="O293" s="16">
        <f>Demand_CWRS!E$12/31</f>
        <v>103.22435897435898</v>
      </c>
      <c r="P293" s="16">
        <f>Demand_CWRS!F$12/31</f>
        <v>209.74544820099254</v>
      </c>
      <c r="Q293" s="16">
        <f>Demand_CWRS!G$12/31</f>
        <v>113.31027191894128</v>
      </c>
      <c r="R293" s="16">
        <f>Demand_CWRS!H$12/31</f>
        <v>209.74544820099254</v>
      </c>
      <c r="S293" s="16">
        <f>Demand_CWRS!I$12/31</f>
        <v>209.74544820099254</v>
      </c>
      <c r="T293" s="16">
        <f>Demand_CWRS!J$12/31</f>
        <v>209.74544820099254</v>
      </c>
      <c r="U293" s="16">
        <f>Demand_CWRS!K$12/31</f>
        <v>209.74544820099254</v>
      </c>
      <c r="V293" s="16">
        <f t="shared" si="126"/>
        <v>-33007.2707754031</v>
      </c>
      <c r="W293" s="16">
        <f t="shared" si="127"/>
        <v>-129387.80405293588</v>
      </c>
      <c r="X293" s="16">
        <f t="shared" si="128"/>
        <v>0</v>
      </c>
      <c r="Y293" s="16">
        <f t="shared" si="129"/>
        <v>-24695.289370334289</v>
      </c>
      <c r="Z293" s="16">
        <f t="shared" si="130"/>
        <v>-57594.879162544144</v>
      </c>
      <c r="AA293" s="16">
        <f t="shared" si="131"/>
        <v>-31535.338251364712</v>
      </c>
      <c r="AB293" s="16">
        <f t="shared" si="132"/>
        <v>-61904.043938185103</v>
      </c>
      <c r="AC293" s="16">
        <f t="shared" si="133"/>
        <v>-56111.033681774912</v>
      </c>
      <c r="AD293" s="16">
        <f t="shared" si="134"/>
        <v>-56211.033681774905</v>
      </c>
      <c r="AE293" s="16">
        <f t="shared" si="135"/>
        <v>-56811.033681774898</v>
      </c>
      <c r="AF293" s="14">
        <f>IF([1]Sheet2!AJ292=999999,"NA",[1]Sheet2!AJ292)</f>
        <v>0</v>
      </c>
      <c r="AG293" s="14">
        <f>IF([1]Sheet2!AK292=999999,"NA",[1]Sheet2!AK292)</f>
        <v>0</v>
      </c>
      <c r="AH293" s="14" t="str">
        <f>IF([1]Sheet2!AL292=999999,"NA",[1]Sheet2!AL292)</f>
        <v>NA</v>
      </c>
      <c r="AI293" s="14">
        <f>IF([1]Sheet2!AM292=999999,"NA",[1]Sheet2!AM292)</f>
        <v>0</v>
      </c>
      <c r="AJ293" s="14">
        <f>IF([1]Sheet2!AN292=999999,"NA",[1]Sheet2!AN292)</f>
        <v>0</v>
      </c>
      <c r="AK293" s="14">
        <f>IF([1]Sheet2!AO292=999999,"NA",[1]Sheet2!AO292)</f>
        <v>0</v>
      </c>
      <c r="AL293" s="14">
        <f>IF([1]Sheet2!AP292=999999,"NA",[1]Sheet2!AP292)</f>
        <v>0</v>
      </c>
      <c r="AM293" s="14">
        <f>IF([1]Sheet2!AQ292=999999,"NA",[1]Sheet2!AQ292)</f>
        <v>0</v>
      </c>
      <c r="AN293" s="14">
        <f>IF([1]Sheet2!AR292=999999,"NA",[1]Sheet2!AR292)</f>
        <v>0</v>
      </c>
      <c r="AO293" s="14">
        <f>IF([1]Sheet2!AS292=999999,"NA",[1]Sheet2!AS292)</f>
        <v>0</v>
      </c>
      <c r="AP293" s="14">
        <f>[1]Sheet2!P292</f>
        <v>0</v>
      </c>
      <c r="AQ293" s="14">
        <f>[1]Sheet2!Q292</f>
        <v>0</v>
      </c>
      <c r="AR293" s="14">
        <f>[1]Sheet2!R292</f>
        <v>0</v>
      </c>
      <c r="AS293" s="14">
        <f>[1]Sheet2!S292</f>
        <v>0</v>
      </c>
      <c r="AT293" s="14">
        <f>[1]Sheet2!T292</f>
        <v>0</v>
      </c>
      <c r="AU293" s="14">
        <f>[1]Sheet2!U292</f>
        <v>0</v>
      </c>
      <c r="AV293" s="14">
        <f>[1]Sheet2!V292</f>
        <v>0</v>
      </c>
      <c r="AW293" s="14">
        <f>[1]Sheet2!W292</f>
        <v>0</v>
      </c>
      <c r="AX293" s="14">
        <f>[1]Sheet2!X292</f>
        <v>0</v>
      </c>
      <c r="AY293" s="14">
        <f>[1]Sheet2!Y292</f>
        <v>0</v>
      </c>
      <c r="AZ293" s="16">
        <f>Demand_LP!B$12/31</f>
        <v>866.47279518196865</v>
      </c>
      <c r="BA293" s="16">
        <f>Demand_LP!C$12/31</f>
        <v>577.62712985938799</v>
      </c>
      <c r="BB293" s="16">
        <f>Demand_LP!D$12/31</f>
        <v>262.18502894954509</v>
      </c>
      <c r="BC293" s="16">
        <f>Demand_LP!E$12/31</f>
        <v>766.03229942100904</v>
      </c>
      <c r="BD293" s="16">
        <f>Demand_LP!F$12/31</f>
        <v>516.10499638130682</v>
      </c>
      <c r="BE293" s="16">
        <f>Demand_LP!G$12/31</f>
        <v>516.10499638130682</v>
      </c>
      <c r="BF293" s="16">
        <f>Demand_LP!H$12/31</f>
        <v>577.62712985938799</v>
      </c>
      <c r="BG293" s="16">
        <f>Demand_LP!I$12/31</f>
        <v>516.10499638130682</v>
      </c>
      <c r="BH293" s="16">
        <f>Demand_LP!J$12/31</f>
        <v>516.10499638130682</v>
      </c>
      <c r="BI293" s="16">
        <f>Demand_LP!K$12/31</f>
        <v>516.10499638130682</v>
      </c>
      <c r="BJ293" s="16">
        <f t="shared" si="136"/>
        <v>-213473.77640568031</v>
      </c>
      <c r="BK293" s="16">
        <f t="shared" si="137"/>
        <v>-162025.72531017353</v>
      </c>
      <c r="BL293" s="16">
        <f t="shared" si="138"/>
        <v>-78433.886517783583</v>
      </c>
      <c r="BM293" s="16">
        <f t="shared" si="139"/>
        <v>-207243.01958674841</v>
      </c>
      <c r="BN293" s="16">
        <f t="shared" si="140"/>
        <v>-125422.82243036811</v>
      </c>
      <c r="BO293" s="16">
        <f t="shared" si="141"/>
        <v>-123880.50634873884</v>
      </c>
      <c r="BP293" s="16">
        <f t="shared" si="142"/>
        <v>-156383.30479735287</v>
      </c>
      <c r="BQ293" s="16">
        <f t="shared" si="143"/>
        <v>-119709.50634873884</v>
      </c>
      <c r="BR293" s="16">
        <f t="shared" si="144"/>
        <v>-121480.50634873888</v>
      </c>
      <c r="BS293" s="16">
        <f t="shared" si="145"/>
        <v>-122180.50634873887</v>
      </c>
      <c r="BT293" s="14">
        <f>IF([1]Sheet2!CB292=999999,"NA",[1]Sheet2!CB292)</f>
        <v>0</v>
      </c>
      <c r="BU293" s="14">
        <f>IF([1]Sheet2!CC292=999999,"NA",[1]Sheet2!CC292)</f>
        <v>0</v>
      </c>
      <c r="BV293" s="14">
        <f>IF([1]Sheet2!CD292=999999,"NA",[1]Sheet2!CD292)</f>
        <v>0</v>
      </c>
      <c r="BW293" s="14">
        <f>IF([1]Sheet2!CE292=999999,"NA",[1]Sheet2!CE292)</f>
        <v>0</v>
      </c>
      <c r="BX293" s="14">
        <f>IF([1]Sheet2!CF292=999999,"NA",[1]Sheet2!CF292)</f>
        <v>0</v>
      </c>
      <c r="BY293" s="14">
        <f>IF([1]Sheet2!CG292=999999,"NA",[1]Sheet2!CG292)</f>
        <v>0</v>
      </c>
      <c r="BZ293" s="14">
        <f>IF([1]Sheet2!CH292=999999,"NA",[1]Sheet2!CH292)</f>
        <v>0</v>
      </c>
      <c r="CA293" s="14">
        <f>IF([1]Sheet2!CI292=999999,"NA",[1]Sheet2!CI292)</f>
        <v>0</v>
      </c>
      <c r="CB293" s="14">
        <f>IF([1]Sheet2!CJ292=999999,"NA",[1]Sheet2!CJ292)</f>
        <v>0</v>
      </c>
      <c r="CC293" s="14">
        <f>IF([1]Sheet2!CK292=999999,"NA",[1]Sheet2!CK292)</f>
        <v>0</v>
      </c>
      <c r="CD293" s="14">
        <f>[1]Sheet2!BH292</f>
        <v>0</v>
      </c>
      <c r="CE293" s="14">
        <f>[1]Sheet2!BI292</f>
        <v>0</v>
      </c>
      <c r="CF293" s="14">
        <f>[1]Sheet2!BJ292</f>
        <v>0</v>
      </c>
      <c r="CG293" s="14">
        <f>[1]Sheet2!BK292</f>
        <v>0</v>
      </c>
      <c r="CH293" s="14">
        <f>[1]Sheet2!BL292</f>
        <v>0</v>
      </c>
      <c r="CI293" s="14">
        <f>[1]Sheet2!BM292</f>
        <v>0</v>
      </c>
      <c r="CJ293" s="14">
        <f>[1]Sheet2!BN292</f>
        <v>0</v>
      </c>
      <c r="CK293" s="14">
        <f>[1]Sheet2!BO292</f>
        <v>0</v>
      </c>
      <c r="CL293" s="14">
        <f>[1]Sheet2!BP292</f>
        <v>0</v>
      </c>
      <c r="CM293" s="14">
        <f>[1]Sheet2!BQ292</f>
        <v>0</v>
      </c>
      <c r="CN293" s="16">
        <f>Demand_SW!B$12/31</f>
        <v>139.57816377171216</v>
      </c>
      <c r="CO293" s="16">
        <f>Demand_SW!C$12/31</f>
        <v>0</v>
      </c>
      <c r="CP293" s="16">
        <f>Demand_SW!D$12/31</f>
        <v>0</v>
      </c>
      <c r="CQ293" s="16">
        <f>Demand_SW!E$12/31</f>
        <v>0</v>
      </c>
      <c r="CR293" s="16">
        <f>Demand_SW!F$12/31</f>
        <v>0</v>
      </c>
      <c r="CS293" s="16">
        <f>Demand_SW!G$12/31</f>
        <v>139.57816377171216</v>
      </c>
      <c r="CT293" s="16">
        <f>Demand_SW!H$12/31</f>
        <v>0</v>
      </c>
      <c r="CU293" s="16">
        <f>Demand_SW!I$12/31</f>
        <v>0</v>
      </c>
      <c r="CV293" s="16">
        <f>Demand_SW!J$12/31</f>
        <v>0</v>
      </c>
      <c r="CW293" s="16">
        <f>Demand_SW!K$12/31</f>
        <v>0</v>
      </c>
      <c r="CX293" s="16">
        <f t="shared" si="146"/>
        <v>-16420.521091811454</v>
      </c>
      <c r="CY293" s="16">
        <f t="shared" si="147"/>
        <v>76.923076923077133</v>
      </c>
      <c r="CZ293" s="16">
        <f t="shared" si="148"/>
        <v>0</v>
      </c>
      <c r="DA293" s="16">
        <f t="shared" si="149"/>
        <v>0</v>
      </c>
      <c r="DB293" s="16">
        <f t="shared" si="150"/>
        <v>0</v>
      </c>
      <c r="DC293" s="16">
        <f t="shared" si="151"/>
        <v>-17651.751861042223</v>
      </c>
      <c r="DD293" s="16">
        <f t="shared" si="152"/>
        <v>76.923076923077133</v>
      </c>
      <c r="DE293" s="16">
        <f t="shared" si="153"/>
        <v>0</v>
      </c>
      <c r="DF293" s="16">
        <f t="shared" si="154"/>
        <v>0</v>
      </c>
      <c r="DG293" s="16">
        <f t="shared" si="155"/>
        <v>0</v>
      </c>
      <c r="DH293" s="14">
        <f>IF([1]Sheet2!DS292=999999,"NA",[1]Sheet2!DS292)</f>
        <v>0</v>
      </c>
      <c r="DI293" s="14">
        <f>IF([1]Sheet2!DT292=999999,"NA",[1]Sheet2!DT292)</f>
        <v>75</v>
      </c>
      <c r="DJ293" s="14" t="str">
        <f>IF([1]Sheet2!DU292=999999,"NA",[1]Sheet2!DU292)</f>
        <v>NA</v>
      </c>
      <c r="DK293" s="14" t="str">
        <f>IF([1]Sheet2!DV292=999999,"NA",[1]Sheet2!DV292)</f>
        <v>NA</v>
      </c>
      <c r="DL293" s="14" t="str">
        <f>IF([1]Sheet2!DW292=999999,"NA",[1]Sheet2!DW292)</f>
        <v>NA</v>
      </c>
      <c r="DM293" s="14">
        <f>IF([1]Sheet2!DX292=999999,"NA",[1]Sheet2!DX292)</f>
        <v>0</v>
      </c>
      <c r="DN293" s="14">
        <f>IF([1]Sheet2!DY292=999999,"NA",[1]Sheet2!DY292)</f>
        <v>75</v>
      </c>
      <c r="DO293" s="14" t="str">
        <f>IF([1]Sheet2!DZ292=999999,"NA",[1]Sheet2!DZ292)</f>
        <v>NA</v>
      </c>
      <c r="DP293" s="14" t="str">
        <f>IF([1]Sheet2!EA292=999999,"NA",[1]Sheet2!EA292)</f>
        <v>NA</v>
      </c>
      <c r="DQ293" s="14" t="str">
        <f>IF([1]Sheet2!EB292=999999,"NA",[1]Sheet2!EB292)</f>
        <v>NA</v>
      </c>
      <c r="DR293" s="14">
        <f>[1]Sheet2!CY292</f>
        <v>0</v>
      </c>
      <c r="DS293" s="14">
        <f>[1]Sheet2!CZ292</f>
        <v>0</v>
      </c>
      <c r="DT293" s="14">
        <f>[1]Sheet2!DA292</f>
        <v>0</v>
      </c>
      <c r="DU293" s="14">
        <f>[1]Sheet2!DB292</f>
        <v>0</v>
      </c>
      <c r="DV293" s="14">
        <f>[1]Sheet2!DC292</f>
        <v>0</v>
      </c>
      <c r="DW293" s="14">
        <f>[1]Sheet2!DD292</f>
        <v>0</v>
      </c>
      <c r="DX293" s="14">
        <f>[1]Sheet2!DE292</f>
        <v>0</v>
      </c>
      <c r="DY293" s="14">
        <f>[1]Sheet2!DF292</f>
        <v>0</v>
      </c>
      <c r="DZ293" s="14">
        <f>[1]Sheet2!DG292</f>
        <v>0</v>
      </c>
      <c r="EA293" s="14">
        <f>[1]Sheet2!DH292</f>
        <v>0</v>
      </c>
      <c r="EB293" s="6">
        <f>[1]Sheet2!EC292</f>
        <v>0</v>
      </c>
      <c r="EC293" s="6">
        <f>[1]Sheet2!ED292</f>
        <v>0</v>
      </c>
      <c r="ED293" s="6">
        <f>[1]Sheet2!EE292</f>
        <v>0</v>
      </c>
      <c r="EE293" s="6">
        <f>[1]Sheet2!EF292</f>
        <v>0</v>
      </c>
      <c r="EF293" s="6">
        <f>[1]Sheet2!EG292</f>
        <v>0</v>
      </c>
      <c r="EG293" s="6">
        <f>[1]Sheet2!EH292</f>
        <v>0</v>
      </c>
      <c r="EH293" s="6">
        <f>[1]Sheet2!EI292</f>
        <v>0</v>
      </c>
      <c r="EI293" s="6">
        <f>[1]Sheet2!EJ292</f>
        <v>0</v>
      </c>
      <c r="EJ293" s="6">
        <f>[1]Sheet2!EK292</f>
        <v>0</v>
      </c>
      <c r="EK293" s="6">
        <f>[1]Sheet2!EL292</f>
        <v>0</v>
      </c>
      <c r="EL293" s="6" t="str">
        <f>[1]Sheet2!EM292</f>
        <v/>
      </c>
      <c r="EM293" s="6" t="str">
        <f>[1]Sheet2!EN292</f>
        <v/>
      </c>
      <c r="EN293" s="6" t="str">
        <f>[1]Sheet2!EO292</f>
        <v/>
      </c>
      <c r="EO293" s="6" t="str">
        <f>[1]Sheet2!EP292</f>
        <v/>
      </c>
      <c r="EP293" s="6" t="str">
        <f>[1]Sheet2!EQ292</f>
        <v/>
      </c>
      <c r="EQ293" s="6" t="str">
        <f>[1]Sheet2!ER292</f>
        <v/>
      </c>
      <c r="ER293" s="6" t="str">
        <f>[1]Sheet2!ES292</f>
        <v/>
      </c>
      <c r="ES293" s="6" t="str">
        <f>[1]Sheet2!ET292</f>
        <v/>
      </c>
      <c r="ET293" s="6" t="str">
        <f>[1]Sheet2!EU292</f>
        <v/>
      </c>
      <c r="EU293" s="6" t="str">
        <f>[1]Sheet2!EV292</f>
        <v/>
      </c>
      <c r="EV293" s="6" t="str">
        <f>[1]Sheet2!EW292</f>
        <v/>
      </c>
      <c r="EW293" s="6" t="str">
        <f>[1]Sheet2!EX292</f>
        <v/>
      </c>
      <c r="EX293" s="6" t="str">
        <f>[1]Sheet2!EY292</f>
        <v/>
      </c>
      <c r="EY293" s="6" t="str">
        <f>[1]Sheet2!EZ292</f>
        <v/>
      </c>
      <c r="EZ293" s="6" t="str">
        <f>[1]Sheet2!FA292</f>
        <v/>
      </c>
      <c r="FA293" s="6" t="str">
        <f>[1]Sheet2!FB292</f>
        <v/>
      </c>
      <c r="FB293" s="6" t="str">
        <f>[1]Sheet2!FC292</f>
        <v/>
      </c>
      <c r="FC293" s="6" t="str">
        <f>[1]Sheet2!FD292</f>
        <v/>
      </c>
      <c r="FD293" s="6" t="str">
        <f>[1]Sheet2!FE292</f>
        <v/>
      </c>
      <c r="FE293" s="6" t="str">
        <f>[1]Sheet2!FF292</f>
        <v/>
      </c>
      <c r="FF293" s="6" t="str">
        <f>[1]Sheet2!FG292</f>
        <v/>
      </c>
      <c r="FG293" s="6" t="str">
        <f>[1]Sheet2!FH292</f>
        <v/>
      </c>
      <c r="FH293" s="6" t="str">
        <f>[1]Sheet2!FI292</f>
        <v/>
      </c>
      <c r="FI293" s="6" t="str">
        <f>[1]Sheet2!FJ292</f>
        <v/>
      </c>
      <c r="FJ293" s="6" t="str">
        <f>[1]Sheet2!FK292</f>
        <v/>
      </c>
      <c r="FK293" s="6" t="str">
        <f>[1]Sheet2!FL292</f>
        <v/>
      </c>
      <c r="FL293" s="6" t="str">
        <f>[1]Sheet2!FM292</f>
        <v/>
      </c>
      <c r="FM293" s="6" t="str">
        <f>[1]Sheet2!FN292</f>
        <v/>
      </c>
      <c r="FN293" s="6" t="str">
        <f>[1]Sheet2!FO292</f>
        <v/>
      </c>
      <c r="FO293" s="6" t="str">
        <f>[1]Sheet2!FP292</f>
        <v/>
      </c>
    </row>
    <row r="294" spans="1:171" x14ac:dyDescent="0.25">
      <c r="A294" s="15">
        <v>43756</v>
      </c>
      <c r="B294" s="1"/>
      <c r="C294" s="1"/>
      <c r="D294" s="1"/>
      <c r="E294" s="14">
        <f>[1]Sheet2!N293</f>
        <v>0</v>
      </c>
      <c r="F294" s="14">
        <f>[1]Sheet2!BE293</f>
        <v>0</v>
      </c>
      <c r="G294" s="14">
        <f>[1]Sheet2!CW293</f>
        <v>0</v>
      </c>
      <c r="H294" s="1"/>
      <c r="I294" s="1"/>
      <c r="J294" s="1"/>
      <c r="K294" s="16"/>
      <c r="L294" s="16">
        <f>Demand_CWRS!B$12/31</f>
        <v>113.31027191894128</v>
      </c>
      <c r="M294" s="16">
        <f>Demand_CWRS!C$12/31</f>
        <v>480.06765922249781</v>
      </c>
      <c r="N294" s="16">
        <f>Demand_CWRS!D$12/31</f>
        <v>0</v>
      </c>
      <c r="O294" s="16">
        <f>Demand_CWRS!E$12/31</f>
        <v>103.22435897435898</v>
      </c>
      <c r="P294" s="16">
        <f>Demand_CWRS!F$12/31</f>
        <v>209.74544820099254</v>
      </c>
      <c r="Q294" s="16">
        <f>Demand_CWRS!G$12/31</f>
        <v>113.31027191894128</v>
      </c>
      <c r="R294" s="16">
        <f>Demand_CWRS!H$12/31</f>
        <v>209.74544820099254</v>
      </c>
      <c r="S294" s="16">
        <f>Demand_CWRS!I$12/31</f>
        <v>209.74544820099254</v>
      </c>
      <c r="T294" s="16">
        <f>Demand_CWRS!J$12/31</f>
        <v>209.74544820099254</v>
      </c>
      <c r="U294" s="16">
        <f>Demand_CWRS!K$12/31</f>
        <v>209.74544820099254</v>
      </c>
      <c r="V294" s="16">
        <f t="shared" si="126"/>
        <v>-33120.581047322041</v>
      </c>
      <c r="W294" s="16">
        <f t="shared" si="127"/>
        <v>-129867.87171215838</v>
      </c>
      <c r="X294" s="16">
        <f t="shared" si="128"/>
        <v>0</v>
      </c>
      <c r="Y294" s="16">
        <f t="shared" si="129"/>
        <v>-24798.513729308648</v>
      </c>
      <c r="Z294" s="16">
        <f t="shared" si="130"/>
        <v>-57804.624610745137</v>
      </c>
      <c r="AA294" s="16">
        <f t="shared" si="131"/>
        <v>-31648.648523283653</v>
      </c>
      <c r="AB294" s="16">
        <f t="shared" si="132"/>
        <v>-62113.789386386095</v>
      </c>
      <c r="AC294" s="16">
        <f t="shared" si="133"/>
        <v>-56320.779129975905</v>
      </c>
      <c r="AD294" s="16">
        <f t="shared" si="134"/>
        <v>-56420.779129975897</v>
      </c>
      <c r="AE294" s="16">
        <f t="shared" si="135"/>
        <v>-57020.77912997589</v>
      </c>
      <c r="AF294" s="14">
        <f>IF([1]Sheet2!AJ293=999999,"NA",[1]Sheet2!AJ293)</f>
        <v>0</v>
      </c>
      <c r="AG294" s="14">
        <f>IF([1]Sheet2!AK293=999999,"NA",[1]Sheet2!AK293)</f>
        <v>0</v>
      </c>
      <c r="AH294" s="14" t="str">
        <f>IF([1]Sheet2!AL293=999999,"NA",[1]Sheet2!AL293)</f>
        <v>NA</v>
      </c>
      <c r="AI294" s="14">
        <f>IF([1]Sheet2!AM293=999999,"NA",[1]Sheet2!AM293)</f>
        <v>0</v>
      </c>
      <c r="AJ294" s="14">
        <f>IF([1]Sheet2!AN293=999999,"NA",[1]Sheet2!AN293)</f>
        <v>0</v>
      </c>
      <c r="AK294" s="14">
        <f>IF([1]Sheet2!AO293=999999,"NA",[1]Sheet2!AO293)</f>
        <v>0</v>
      </c>
      <c r="AL294" s="14">
        <f>IF([1]Sheet2!AP293=999999,"NA",[1]Sheet2!AP293)</f>
        <v>0</v>
      </c>
      <c r="AM294" s="14">
        <f>IF([1]Sheet2!AQ293=999999,"NA",[1]Sheet2!AQ293)</f>
        <v>0</v>
      </c>
      <c r="AN294" s="14">
        <f>IF([1]Sheet2!AR293=999999,"NA",[1]Sheet2!AR293)</f>
        <v>0</v>
      </c>
      <c r="AO294" s="14">
        <f>IF([1]Sheet2!AS293=999999,"NA",[1]Sheet2!AS293)</f>
        <v>0</v>
      </c>
      <c r="AP294" s="14">
        <f>[1]Sheet2!P293</f>
        <v>0</v>
      </c>
      <c r="AQ294" s="14">
        <f>[1]Sheet2!Q293</f>
        <v>0</v>
      </c>
      <c r="AR294" s="14">
        <f>[1]Sheet2!R293</f>
        <v>0</v>
      </c>
      <c r="AS294" s="14">
        <f>[1]Sheet2!S293</f>
        <v>0</v>
      </c>
      <c r="AT294" s="14">
        <f>[1]Sheet2!T293</f>
        <v>0</v>
      </c>
      <c r="AU294" s="14">
        <f>[1]Sheet2!U293</f>
        <v>0</v>
      </c>
      <c r="AV294" s="14">
        <f>[1]Sheet2!V293</f>
        <v>0</v>
      </c>
      <c r="AW294" s="14">
        <f>[1]Sheet2!W293</f>
        <v>0</v>
      </c>
      <c r="AX294" s="14">
        <f>[1]Sheet2!X293</f>
        <v>0</v>
      </c>
      <c r="AY294" s="14">
        <f>[1]Sheet2!Y293</f>
        <v>0</v>
      </c>
      <c r="AZ294" s="16">
        <f>Demand_LP!B$12/31</f>
        <v>866.47279518196865</v>
      </c>
      <c r="BA294" s="16">
        <f>Demand_LP!C$12/31</f>
        <v>577.62712985938799</v>
      </c>
      <c r="BB294" s="16">
        <f>Demand_LP!D$12/31</f>
        <v>262.18502894954509</v>
      </c>
      <c r="BC294" s="16">
        <f>Demand_LP!E$12/31</f>
        <v>766.03229942100904</v>
      </c>
      <c r="BD294" s="16">
        <f>Demand_LP!F$12/31</f>
        <v>516.10499638130682</v>
      </c>
      <c r="BE294" s="16">
        <f>Demand_LP!G$12/31</f>
        <v>516.10499638130682</v>
      </c>
      <c r="BF294" s="16">
        <f>Demand_LP!H$12/31</f>
        <v>577.62712985938799</v>
      </c>
      <c r="BG294" s="16">
        <f>Demand_LP!I$12/31</f>
        <v>516.10499638130682</v>
      </c>
      <c r="BH294" s="16">
        <f>Demand_LP!J$12/31</f>
        <v>516.10499638130682</v>
      </c>
      <c r="BI294" s="16">
        <f>Demand_LP!K$12/31</f>
        <v>516.10499638130682</v>
      </c>
      <c r="BJ294" s="16">
        <f t="shared" si="136"/>
        <v>-214340.24920086228</v>
      </c>
      <c r="BK294" s="16">
        <f t="shared" si="137"/>
        <v>-162603.3524400329</v>
      </c>
      <c r="BL294" s="16">
        <f t="shared" si="138"/>
        <v>-78696.071546733132</v>
      </c>
      <c r="BM294" s="16">
        <f t="shared" si="139"/>
        <v>-208009.05188616941</v>
      </c>
      <c r="BN294" s="16">
        <f t="shared" si="140"/>
        <v>-125938.92742674942</v>
      </c>
      <c r="BO294" s="16">
        <f t="shared" si="141"/>
        <v>-124396.61134512015</v>
      </c>
      <c r="BP294" s="16">
        <f t="shared" si="142"/>
        <v>-156960.93192721225</v>
      </c>
      <c r="BQ294" s="16">
        <f t="shared" si="143"/>
        <v>-120225.61134512015</v>
      </c>
      <c r="BR294" s="16">
        <f t="shared" si="144"/>
        <v>-121996.6113451202</v>
      </c>
      <c r="BS294" s="16">
        <f t="shared" si="145"/>
        <v>-122696.61134512018</v>
      </c>
      <c r="BT294" s="14">
        <f>IF([1]Sheet2!CB293=999999,"NA",[1]Sheet2!CB293)</f>
        <v>0</v>
      </c>
      <c r="BU294" s="14">
        <f>IF([1]Sheet2!CC293=999999,"NA",[1]Sheet2!CC293)</f>
        <v>0</v>
      </c>
      <c r="BV294" s="14">
        <f>IF([1]Sheet2!CD293=999999,"NA",[1]Sheet2!CD293)</f>
        <v>0</v>
      </c>
      <c r="BW294" s="14">
        <f>IF([1]Sheet2!CE293=999999,"NA",[1]Sheet2!CE293)</f>
        <v>0</v>
      </c>
      <c r="BX294" s="14">
        <f>IF([1]Sheet2!CF293=999999,"NA",[1]Sheet2!CF293)</f>
        <v>0</v>
      </c>
      <c r="BY294" s="14">
        <f>IF([1]Sheet2!CG293=999999,"NA",[1]Sheet2!CG293)</f>
        <v>0</v>
      </c>
      <c r="BZ294" s="14">
        <f>IF([1]Sheet2!CH293=999999,"NA",[1]Sheet2!CH293)</f>
        <v>0</v>
      </c>
      <c r="CA294" s="14">
        <f>IF([1]Sheet2!CI293=999999,"NA",[1]Sheet2!CI293)</f>
        <v>0</v>
      </c>
      <c r="CB294" s="14">
        <f>IF([1]Sheet2!CJ293=999999,"NA",[1]Sheet2!CJ293)</f>
        <v>0</v>
      </c>
      <c r="CC294" s="14">
        <f>IF([1]Sheet2!CK293=999999,"NA",[1]Sheet2!CK293)</f>
        <v>0</v>
      </c>
      <c r="CD294" s="14">
        <f>[1]Sheet2!BH293</f>
        <v>0</v>
      </c>
      <c r="CE294" s="14">
        <f>[1]Sheet2!BI293</f>
        <v>0</v>
      </c>
      <c r="CF294" s="14">
        <f>[1]Sheet2!BJ293</f>
        <v>0</v>
      </c>
      <c r="CG294" s="14">
        <f>[1]Sheet2!BK293</f>
        <v>0</v>
      </c>
      <c r="CH294" s="14">
        <f>[1]Sheet2!BL293</f>
        <v>0</v>
      </c>
      <c r="CI294" s="14">
        <f>[1]Sheet2!BM293</f>
        <v>0</v>
      </c>
      <c r="CJ294" s="14">
        <f>[1]Sheet2!BN293</f>
        <v>0</v>
      </c>
      <c r="CK294" s="14">
        <f>[1]Sheet2!BO293</f>
        <v>0</v>
      </c>
      <c r="CL294" s="14">
        <f>[1]Sheet2!BP293</f>
        <v>0</v>
      </c>
      <c r="CM294" s="14">
        <f>[1]Sheet2!BQ293</f>
        <v>0</v>
      </c>
      <c r="CN294" s="16">
        <f>Demand_SW!B$12/31</f>
        <v>139.57816377171216</v>
      </c>
      <c r="CO294" s="16">
        <f>Demand_SW!C$12/31</f>
        <v>0</v>
      </c>
      <c r="CP294" s="16">
        <f>Demand_SW!D$12/31</f>
        <v>0</v>
      </c>
      <c r="CQ294" s="16">
        <f>Demand_SW!E$12/31</f>
        <v>0</v>
      </c>
      <c r="CR294" s="16">
        <f>Demand_SW!F$12/31</f>
        <v>0</v>
      </c>
      <c r="CS294" s="16">
        <f>Demand_SW!G$12/31</f>
        <v>139.57816377171216</v>
      </c>
      <c r="CT294" s="16">
        <f>Demand_SW!H$12/31</f>
        <v>0</v>
      </c>
      <c r="CU294" s="16">
        <f>Demand_SW!I$12/31</f>
        <v>0</v>
      </c>
      <c r="CV294" s="16">
        <f>Demand_SW!J$12/31</f>
        <v>0</v>
      </c>
      <c r="CW294" s="16">
        <f>Demand_SW!K$12/31</f>
        <v>0</v>
      </c>
      <c r="CX294" s="16">
        <f t="shared" si="146"/>
        <v>-16560.099255583165</v>
      </c>
      <c r="CY294" s="16">
        <f t="shared" si="147"/>
        <v>76.923076923077133</v>
      </c>
      <c r="CZ294" s="16">
        <f t="shared" si="148"/>
        <v>0</v>
      </c>
      <c r="DA294" s="16">
        <f t="shared" si="149"/>
        <v>0</v>
      </c>
      <c r="DB294" s="16">
        <f t="shared" si="150"/>
        <v>0</v>
      </c>
      <c r="DC294" s="16">
        <f t="shared" si="151"/>
        <v>-17791.330024813935</v>
      </c>
      <c r="DD294" s="16">
        <f t="shared" si="152"/>
        <v>76.923076923077133</v>
      </c>
      <c r="DE294" s="16">
        <f t="shared" si="153"/>
        <v>0</v>
      </c>
      <c r="DF294" s="16">
        <f t="shared" si="154"/>
        <v>0</v>
      </c>
      <c r="DG294" s="16">
        <f t="shared" si="155"/>
        <v>0</v>
      </c>
      <c r="DH294" s="14">
        <f>IF([1]Sheet2!DS293=999999,"NA",[1]Sheet2!DS293)</f>
        <v>0</v>
      </c>
      <c r="DI294" s="14">
        <f>IF([1]Sheet2!DT293=999999,"NA",[1]Sheet2!DT293)</f>
        <v>74</v>
      </c>
      <c r="DJ294" s="14" t="str">
        <f>IF([1]Sheet2!DU293=999999,"NA",[1]Sheet2!DU293)</f>
        <v>NA</v>
      </c>
      <c r="DK294" s="14" t="str">
        <f>IF([1]Sheet2!DV293=999999,"NA",[1]Sheet2!DV293)</f>
        <v>NA</v>
      </c>
      <c r="DL294" s="14" t="str">
        <f>IF([1]Sheet2!DW293=999999,"NA",[1]Sheet2!DW293)</f>
        <v>NA</v>
      </c>
      <c r="DM294" s="14">
        <f>IF([1]Sheet2!DX293=999999,"NA",[1]Sheet2!DX293)</f>
        <v>0</v>
      </c>
      <c r="DN294" s="14">
        <f>IF([1]Sheet2!DY293=999999,"NA",[1]Sheet2!DY293)</f>
        <v>74</v>
      </c>
      <c r="DO294" s="14" t="str">
        <f>IF([1]Sheet2!DZ293=999999,"NA",[1]Sheet2!DZ293)</f>
        <v>NA</v>
      </c>
      <c r="DP294" s="14" t="str">
        <f>IF([1]Sheet2!EA293=999999,"NA",[1]Sheet2!EA293)</f>
        <v>NA</v>
      </c>
      <c r="DQ294" s="14" t="str">
        <f>IF([1]Sheet2!EB293=999999,"NA",[1]Sheet2!EB293)</f>
        <v>NA</v>
      </c>
      <c r="DR294" s="14">
        <f>[1]Sheet2!CY293</f>
        <v>0</v>
      </c>
      <c r="DS294" s="14">
        <f>[1]Sheet2!CZ293</f>
        <v>0</v>
      </c>
      <c r="DT294" s="14">
        <f>[1]Sheet2!DA293</f>
        <v>0</v>
      </c>
      <c r="DU294" s="14">
        <f>[1]Sheet2!DB293</f>
        <v>0</v>
      </c>
      <c r="DV294" s="14">
        <f>[1]Sheet2!DC293</f>
        <v>0</v>
      </c>
      <c r="DW294" s="14">
        <f>[1]Sheet2!DD293</f>
        <v>0</v>
      </c>
      <c r="DX294" s="14">
        <f>[1]Sheet2!DE293</f>
        <v>0</v>
      </c>
      <c r="DY294" s="14">
        <f>[1]Sheet2!DF293</f>
        <v>0</v>
      </c>
      <c r="DZ294" s="14">
        <f>[1]Sheet2!DG293</f>
        <v>0</v>
      </c>
      <c r="EA294" s="14">
        <f>[1]Sheet2!DH293</f>
        <v>0</v>
      </c>
      <c r="EB294" s="6">
        <f>[1]Sheet2!EC293</f>
        <v>0</v>
      </c>
      <c r="EC294" s="6">
        <f>[1]Sheet2!ED293</f>
        <v>0</v>
      </c>
      <c r="ED294" s="6">
        <f>[1]Sheet2!EE293</f>
        <v>0</v>
      </c>
      <c r="EE294" s="6">
        <f>[1]Sheet2!EF293</f>
        <v>0</v>
      </c>
      <c r="EF294" s="6">
        <f>[1]Sheet2!EG293</f>
        <v>0</v>
      </c>
      <c r="EG294" s="6">
        <f>[1]Sheet2!EH293</f>
        <v>0</v>
      </c>
      <c r="EH294" s="6">
        <f>[1]Sheet2!EI293</f>
        <v>0</v>
      </c>
      <c r="EI294" s="6">
        <f>[1]Sheet2!EJ293</f>
        <v>0</v>
      </c>
      <c r="EJ294" s="6">
        <f>[1]Sheet2!EK293</f>
        <v>0</v>
      </c>
      <c r="EK294" s="6">
        <f>[1]Sheet2!EL293</f>
        <v>0</v>
      </c>
      <c r="EL294" s="6" t="str">
        <f>[1]Sheet2!EM293</f>
        <v/>
      </c>
      <c r="EM294" s="6" t="str">
        <f>[1]Sheet2!EN293</f>
        <v/>
      </c>
      <c r="EN294" s="6" t="str">
        <f>[1]Sheet2!EO293</f>
        <v/>
      </c>
      <c r="EO294" s="6" t="str">
        <f>[1]Sheet2!EP293</f>
        <v/>
      </c>
      <c r="EP294" s="6" t="str">
        <f>[1]Sheet2!EQ293</f>
        <v/>
      </c>
      <c r="EQ294" s="6" t="str">
        <f>[1]Sheet2!ER293</f>
        <v/>
      </c>
      <c r="ER294" s="6" t="str">
        <f>[1]Sheet2!ES293</f>
        <v/>
      </c>
      <c r="ES294" s="6" t="str">
        <f>[1]Sheet2!ET293</f>
        <v/>
      </c>
      <c r="ET294" s="6" t="str">
        <f>[1]Sheet2!EU293</f>
        <v/>
      </c>
      <c r="EU294" s="6" t="str">
        <f>[1]Sheet2!EV293</f>
        <v/>
      </c>
      <c r="EV294" s="6" t="str">
        <f>[1]Sheet2!EW293</f>
        <v/>
      </c>
      <c r="EW294" s="6" t="str">
        <f>[1]Sheet2!EX293</f>
        <v/>
      </c>
      <c r="EX294" s="6" t="str">
        <f>[1]Sheet2!EY293</f>
        <v/>
      </c>
      <c r="EY294" s="6" t="str">
        <f>[1]Sheet2!EZ293</f>
        <v/>
      </c>
      <c r="EZ294" s="6" t="str">
        <f>[1]Sheet2!FA293</f>
        <v/>
      </c>
      <c r="FA294" s="6" t="str">
        <f>[1]Sheet2!FB293</f>
        <v/>
      </c>
      <c r="FB294" s="6" t="str">
        <f>[1]Sheet2!FC293</f>
        <v/>
      </c>
      <c r="FC294" s="6" t="str">
        <f>[1]Sheet2!FD293</f>
        <v/>
      </c>
      <c r="FD294" s="6" t="str">
        <f>[1]Sheet2!FE293</f>
        <v/>
      </c>
      <c r="FE294" s="6" t="str">
        <f>[1]Sheet2!FF293</f>
        <v/>
      </c>
      <c r="FF294" s="6" t="str">
        <f>[1]Sheet2!FG293</f>
        <v/>
      </c>
      <c r="FG294" s="6" t="str">
        <f>[1]Sheet2!FH293</f>
        <v/>
      </c>
      <c r="FH294" s="6" t="str">
        <f>[1]Sheet2!FI293</f>
        <v/>
      </c>
      <c r="FI294" s="6" t="str">
        <f>[1]Sheet2!FJ293</f>
        <v/>
      </c>
      <c r="FJ294" s="6" t="str">
        <f>[1]Sheet2!FK293</f>
        <v/>
      </c>
      <c r="FK294" s="6" t="str">
        <f>[1]Sheet2!FL293</f>
        <v/>
      </c>
      <c r="FL294" s="6" t="str">
        <f>[1]Sheet2!FM293</f>
        <v/>
      </c>
      <c r="FM294" s="6" t="str">
        <f>[1]Sheet2!FN293</f>
        <v/>
      </c>
      <c r="FN294" s="6" t="str">
        <f>[1]Sheet2!FO293</f>
        <v/>
      </c>
      <c r="FO294" s="6" t="str">
        <f>[1]Sheet2!FP293</f>
        <v/>
      </c>
    </row>
    <row r="295" spans="1:171" x14ac:dyDescent="0.25">
      <c r="A295" s="15">
        <v>43757</v>
      </c>
      <c r="B295" s="1"/>
      <c r="C295" s="1"/>
      <c r="D295" s="1"/>
      <c r="E295" s="14">
        <f>[1]Sheet2!N294</f>
        <v>0</v>
      </c>
      <c r="F295" s="14">
        <f>[1]Sheet2!BE294</f>
        <v>0</v>
      </c>
      <c r="G295" s="14">
        <f>[1]Sheet2!CW294</f>
        <v>0</v>
      </c>
      <c r="H295" s="1"/>
      <c r="I295" s="1"/>
      <c r="J295" s="1"/>
      <c r="K295" s="16"/>
      <c r="L295" s="16">
        <f>Demand_CWRS!B$12/31</f>
        <v>113.31027191894128</v>
      </c>
      <c r="M295" s="16">
        <f>Demand_CWRS!C$12/31</f>
        <v>480.06765922249781</v>
      </c>
      <c r="N295" s="16">
        <f>Demand_CWRS!D$12/31</f>
        <v>0</v>
      </c>
      <c r="O295" s="16">
        <f>Demand_CWRS!E$12/31</f>
        <v>103.22435897435898</v>
      </c>
      <c r="P295" s="16">
        <f>Demand_CWRS!F$12/31</f>
        <v>209.74544820099254</v>
      </c>
      <c r="Q295" s="16">
        <f>Demand_CWRS!G$12/31</f>
        <v>113.31027191894128</v>
      </c>
      <c r="R295" s="16">
        <f>Demand_CWRS!H$12/31</f>
        <v>209.74544820099254</v>
      </c>
      <c r="S295" s="16">
        <f>Demand_CWRS!I$12/31</f>
        <v>209.74544820099254</v>
      </c>
      <c r="T295" s="16">
        <f>Demand_CWRS!J$12/31</f>
        <v>209.74544820099254</v>
      </c>
      <c r="U295" s="16">
        <f>Demand_CWRS!K$12/31</f>
        <v>209.74544820099254</v>
      </c>
      <c r="V295" s="16">
        <f t="shared" si="126"/>
        <v>-33233.891319240982</v>
      </c>
      <c r="W295" s="16">
        <f t="shared" si="127"/>
        <v>-130347.93937138087</v>
      </c>
      <c r="X295" s="16">
        <f t="shared" si="128"/>
        <v>0</v>
      </c>
      <c r="Y295" s="16">
        <f t="shared" si="129"/>
        <v>-24901.738088283008</v>
      </c>
      <c r="Z295" s="16">
        <f t="shared" si="130"/>
        <v>-58014.37005894613</v>
      </c>
      <c r="AA295" s="16">
        <f t="shared" si="131"/>
        <v>-31761.958795202594</v>
      </c>
      <c r="AB295" s="16">
        <f t="shared" si="132"/>
        <v>-62323.534834587088</v>
      </c>
      <c r="AC295" s="16">
        <f t="shared" si="133"/>
        <v>-56530.524578176897</v>
      </c>
      <c r="AD295" s="16">
        <f t="shared" si="134"/>
        <v>-56630.52457817689</v>
      </c>
      <c r="AE295" s="16">
        <f t="shared" si="135"/>
        <v>-57230.524578176883</v>
      </c>
      <c r="AF295" s="14">
        <f>IF([1]Sheet2!AJ294=999999,"NA",[1]Sheet2!AJ294)</f>
        <v>0</v>
      </c>
      <c r="AG295" s="14">
        <f>IF([1]Sheet2!AK294=999999,"NA",[1]Sheet2!AK294)</f>
        <v>0</v>
      </c>
      <c r="AH295" s="14" t="str">
        <f>IF([1]Sheet2!AL294=999999,"NA",[1]Sheet2!AL294)</f>
        <v>NA</v>
      </c>
      <c r="AI295" s="14">
        <f>IF([1]Sheet2!AM294=999999,"NA",[1]Sheet2!AM294)</f>
        <v>0</v>
      </c>
      <c r="AJ295" s="14">
        <f>IF([1]Sheet2!AN294=999999,"NA",[1]Sheet2!AN294)</f>
        <v>0</v>
      </c>
      <c r="AK295" s="14">
        <f>IF([1]Sheet2!AO294=999999,"NA",[1]Sheet2!AO294)</f>
        <v>0</v>
      </c>
      <c r="AL295" s="14">
        <f>IF([1]Sheet2!AP294=999999,"NA",[1]Sheet2!AP294)</f>
        <v>0</v>
      </c>
      <c r="AM295" s="14">
        <f>IF([1]Sheet2!AQ294=999999,"NA",[1]Sheet2!AQ294)</f>
        <v>0</v>
      </c>
      <c r="AN295" s="14">
        <f>IF([1]Sheet2!AR294=999999,"NA",[1]Sheet2!AR294)</f>
        <v>0</v>
      </c>
      <c r="AO295" s="14">
        <f>IF([1]Sheet2!AS294=999999,"NA",[1]Sheet2!AS294)</f>
        <v>0</v>
      </c>
      <c r="AP295" s="14">
        <f>[1]Sheet2!P294</f>
        <v>0</v>
      </c>
      <c r="AQ295" s="14">
        <f>[1]Sheet2!Q294</f>
        <v>0</v>
      </c>
      <c r="AR295" s="14">
        <f>[1]Sheet2!R294</f>
        <v>0</v>
      </c>
      <c r="AS295" s="14">
        <f>[1]Sheet2!S294</f>
        <v>0</v>
      </c>
      <c r="AT295" s="14">
        <f>[1]Sheet2!T294</f>
        <v>0</v>
      </c>
      <c r="AU295" s="14">
        <f>[1]Sheet2!U294</f>
        <v>0</v>
      </c>
      <c r="AV295" s="14">
        <f>[1]Sheet2!V294</f>
        <v>0</v>
      </c>
      <c r="AW295" s="14">
        <f>[1]Sheet2!W294</f>
        <v>0</v>
      </c>
      <c r="AX295" s="14">
        <f>[1]Sheet2!X294</f>
        <v>0</v>
      </c>
      <c r="AY295" s="14">
        <f>[1]Sheet2!Y294</f>
        <v>0</v>
      </c>
      <c r="AZ295" s="16">
        <f>Demand_LP!B$12/31</f>
        <v>866.47279518196865</v>
      </c>
      <c r="BA295" s="16">
        <f>Demand_LP!C$12/31</f>
        <v>577.62712985938799</v>
      </c>
      <c r="BB295" s="16">
        <f>Demand_LP!D$12/31</f>
        <v>262.18502894954509</v>
      </c>
      <c r="BC295" s="16">
        <f>Demand_LP!E$12/31</f>
        <v>766.03229942100904</v>
      </c>
      <c r="BD295" s="16">
        <f>Demand_LP!F$12/31</f>
        <v>516.10499638130682</v>
      </c>
      <c r="BE295" s="16">
        <f>Demand_LP!G$12/31</f>
        <v>516.10499638130682</v>
      </c>
      <c r="BF295" s="16">
        <f>Demand_LP!H$12/31</f>
        <v>577.62712985938799</v>
      </c>
      <c r="BG295" s="16">
        <f>Demand_LP!I$12/31</f>
        <v>516.10499638130682</v>
      </c>
      <c r="BH295" s="16">
        <f>Demand_LP!J$12/31</f>
        <v>516.10499638130682</v>
      </c>
      <c r="BI295" s="16">
        <f>Demand_LP!K$12/31</f>
        <v>516.10499638130682</v>
      </c>
      <c r="BJ295" s="16">
        <f t="shared" si="136"/>
        <v>-215206.72199604425</v>
      </c>
      <c r="BK295" s="16">
        <f t="shared" si="137"/>
        <v>-163180.97956989228</v>
      </c>
      <c r="BL295" s="16">
        <f t="shared" si="138"/>
        <v>-78958.256575682681</v>
      </c>
      <c r="BM295" s="16">
        <f t="shared" si="139"/>
        <v>-208775.08418559041</v>
      </c>
      <c r="BN295" s="16">
        <f t="shared" si="140"/>
        <v>-126455.03242313073</v>
      </c>
      <c r="BO295" s="16">
        <f t="shared" si="141"/>
        <v>-124912.71634150147</v>
      </c>
      <c r="BP295" s="16">
        <f t="shared" si="142"/>
        <v>-157538.55905707163</v>
      </c>
      <c r="BQ295" s="16">
        <f t="shared" si="143"/>
        <v>-120741.71634150147</v>
      </c>
      <c r="BR295" s="16">
        <f t="shared" si="144"/>
        <v>-122512.71634150151</v>
      </c>
      <c r="BS295" s="16">
        <f t="shared" si="145"/>
        <v>-123212.71634150149</v>
      </c>
      <c r="BT295" s="14">
        <f>IF([1]Sheet2!CB294=999999,"NA",[1]Sheet2!CB294)</f>
        <v>0</v>
      </c>
      <c r="BU295" s="14">
        <f>IF([1]Sheet2!CC294=999999,"NA",[1]Sheet2!CC294)</f>
        <v>0</v>
      </c>
      <c r="BV295" s="14">
        <f>IF([1]Sheet2!CD294=999999,"NA",[1]Sheet2!CD294)</f>
        <v>0</v>
      </c>
      <c r="BW295" s="14">
        <f>IF([1]Sheet2!CE294=999999,"NA",[1]Sheet2!CE294)</f>
        <v>0</v>
      </c>
      <c r="BX295" s="14">
        <f>IF([1]Sheet2!CF294=999999,"NA",[1]Sheet2!CF294)</f>
        <v>0</v>
      </c>
      <c r="BY295" s="14">
        <f>IF([1]Sheet2!CG294=999999,"NA",[1]Sheet2!CG294)</f>
        <v>0</v>
      </c>
      <c r="BZ295" s="14">
        <f>IF([1]Sheet2!CH294=999999,"NA",[1]Sheet2!CH294)</f>
        <v>0</v>
      </c>
      <c r="CA295" s="14">
        <f>IF([1]Sheet2!CI294=999999,"NA",[1]Sheet2!CI294)</f>
        <v>0</v>
      </c>
      <c r="CB295" s="14">
        <f>IF([1]Sheet2!CJ294=999999,"NA",[1]Sheet2!CJ294)</f>
        <v>0</v>
      </c>
      <c r="CC295" s="14">
        <f>IF([1]Sheet2!CK294=999999,"NA",[1]Sheet2!CK294)</f>
        <v>0</v>
      </c>
      <c r="CD295" s="14">
        <f>[1]Sheet2!BH294</f>
        <v>0</v>
      </c>
      <c r="CE295" s="14">
        <f>[1]Sheet2!BI294</f>
        <v>0</v>
      </c>
      <c r="CF295" s="14">
        <f>[1]Sheet2!BJ294</f>
        <v>0</v>
      </c>
      <c r="CG295" s="14">
        <f>[1]Sheet2!BK294</f>
        <v>0</v>
      </c>
      <c r="CH295" s="14">
        <f>[1]Sheet2!BL294</f>
        <v>0</v>
      </c>
      <c r="CI295" s="14">
        <f>[1]Sheet2!BM294</f>
        <v>0</v>
      </c>
      <c r="CJ295" s="14">
        <f>[1]Sheet2!BN294</f>
        <v>0</v>
      </c>
      <c r="CK295" s="14">
        <f>[1]Sheet2!BO294</f>
        <v>0</v>
      </c>
      <c r="CL295" s="14">
        <f>[1]Sheet2!BP294</f>
        <v>0</v>
      </c>
      <c r="CM295" s="14">
        <f>[1]Sheet2!BQ294</f>
        <v>0</v>
      </c>
      <c r="CN295" s="16">
        <f>Demand_SW!B$12/31</f>
        <v>139.57816377171216</v>
      </c>
      <c r="CO295" s="16">
        <f>Demand_SW!C$12/31</f>
        <v>0</v>
      </c>
      <c r="CP295" s="16">
        <f>Demand_SW!D$12/31</f>
        <v>0</v>
      </c>
      <c r="CQ295" s="16">
        <f>Demand_SW!E$12/31</f>
        <v>0</v>
      </c>
      <c r="CR295" s="16">
        <f>Demand_SW!F$12/31</f>
        <v>0</v>
      </c>
      <c r="CS295" s="16">
        <f>Demand_SW!G$12/31</f>
        <v>139.57816377171216</v>
      </c>
      <c r="CT295" s="16">
        <f>Demand_SW!H$12/31</f>
        <v>0</v>
      </c>
      <c r="CU295" s="16">
        <f>Demand_SW!I$12/31</f>
        <v>0</v>
      </c>
      <c r="CV295" s="16">
        <f>Demand_SW!J$12/31</f>
        <v>0</v>
      </c>
      <c r="CW295" s="16">
        <f>Demand_SW!K$12/31</f>
        <v>0</v>
      </c>
      <c r="CX295" s="16">
        <f t="shared" si="146"/>
        <v>-16699.677419354877</v>
      </c>
      <c r="CY295" s="16">
        <f t="shared" si="147"/>
        <v>76.923076923077133</v>
      </c>
      <c r="CZ295" s="16">
        <f t="shared" si="148"/>
        <v>0</v>
      </c>
      <c r="DA295" s="16">
        <f t="shared" si="149"/>
        <v>0</v>
      </c>
      <c r="DB295" s="16">
        <f t="shared" si="150"/>
        <v>0</v>
      </c>
      <c r="DC295" s="16">
        <f t="shared" si="151"/>
        <v>-17930.908188585647</v>
      </c>
      <c r="DD295" s="16">
        <f t="shared" si="152"/>
        <v>76.923076923077133</v>
      </c>
      <c r="DE295" s="16">
        <f t="shared" si="153"/>
        <v>0</v>
      </c>
      <c r="DF295" s="16">
        <f t="shared" si="154"/>
        <v>0</v>
      </c>
      <c r="DG295" s="16">
        <f t="shared" si="155"/>
        <v>0</v>
      </c>
      <c r="DH295" s="14">
        <f>IF([1]Sheet2!DS294=999999,"NA",[1]Sheet2!DS294)</f>
        <v>0</v>
      </c>
      <c r="DI295" s="14">
        <f>IF([1]Sheet2!DT294=999999,"NA",[1]Sheet2!DT294)</f>
        <v>73</v>
      </c>
      <c r="DJ295" s="14" t="str">
        <f>IF([1]Sheet2!DU294=999999,"NA",[1]Sheet2!DU294)</f>
        <v>NA</v>
      </c>
      <c r="DK295" s="14" t="str">
        <f>IF([1]Sheet2!DV294=999999,"NA",[1]Sheet2!DV294)</f>
        <v>NA</v>
      </c>
      <c r="DL295" s="14" t="str">
        <f>IF([1]Sheet2!DW294=999999,"NA",[1]Sheet2!DW294)</f>
        <v>NA</v>
      </c>
      <c r="DM295" s="14">
        <f>IF([1]Sheet2!DX294=999999,"NA",[1]Sheet2!DX294)</f>
        <v>0</v>
      </c>
      <c r="DN295" s="14">
        <f>IF([1]Sheet2!DY294=999999,"NA",[1]Sheet2!DY294)</f>
        <v>73</v>
      </c>
      <c r="DO295" s="14" t="str">
        <f>IF([1]Sheet2!DZ294=999999,"NA",[1]Sheet2!DZ294)</f>
        <v>NA</v>
      </c>
      <c r="DP295" s="14" t="str">
        <f>IF([1]Sheet2!EA294=999999,"NA",[1]Sheet2!EA294)</f>
        <v>NA</v>
      </c>
      <c r="DQ295" s="14" t="str">
        <f>IF([1]Sheet2!EB294=999999,"NA",[1]Sheet2!EB294)</f>
        <v>NA</v>
      </c>
      <c r="DR295" s="14">
        <f>[1]Sheet2!CY294</f>
        <v>0</v>
      </c>
      <c r="DS295" s="14">
        <f>[1]Sheet2!CZ294</f>
        <v>0</v>
      </c>
      <c r="DT295" s="14">
        <f>[1]Sheet2!DA294</f>
        <v>0</v>
      </c>
      <c r="DU295" s="14">
        <f>[1]Sheet2!DB294</f>
        <v>0</v>
      </c>
      <c r="DV295" s="14">
        <f>[1]Sheet2!DC294</f>
        <v>0</v>
      </c>
      <c r="DW295" s="14">
        <f>[1]Sheet2!DD294</f>
        <v>0</v>
      </c>
      <c r="DX295" s="14">
        <f>[1]Sheet2!DE294</f>
        <v>0</v>
      </c>
      <c r="DY295" s="14">
        <f>[1]Sheet2!DF294</f>
        <v>0</v>
      </c>
      <c r="DZ295" s="14">
        <f>[1]Sheet2!DG294</f>
        <v>0</v>
      </c>
      <c r="EA295" s="14">
        <f>[1]Sheet2!DH294</f>
        <v>0</v>
      </c>
      <c r="EB295" s="6">
        <f>[1]Sheet2!EC294</f>
        <v>0</v>
      </c>
      <c r="EC295" s="6">
        <f>[1]Sheet2!ED294</f>
        <v>0</v>
      </c>
      <c r="ED295" s="6">
        <f>[1]Sheet2!EE294</f>
        <v>0</v>
      </c>
      <c r="EE295" s="6">
        <f>[1]Sheet2!EF294</f>
        <v>0</v>
      </c>
      <c r="EF295" s="6">
        <f>[1]Sheet2!EG294</f>
        <v>0</v>
      </c>
      <c r="EG295" s="6">
        <f>[1]Sheet2!EH294</f>
        <v>0</v>
      </c>
      <c r="EH295" s="6">
        <f>[1]Sheet2!EI294</f>
        <v>0</v>
      </c>
      <c r="EI295" s="6">
        <f>[1]Sheet2!EJ294</f>
        <v>0</v>
      </c>
      <c r="EJ295" s="6">
        <f>[1]Sheet2!EK294</f>
        <v>0</v>
      </c>
      <c r="EK295" s="6">
        <f>[1]Sheet2!EL294</f>
        <v>0</v>
      </c>
      <c r="EL295" s="6" t="str">
        <f>[1]Sheet2!EM294</f>
        <v/>
      </c>
      <c r="EM295" s="6" t="str">
        <f>[1]Sheet2!EN294</f>
        <v/>
      </c>
      <c r="EN295" s="6" t="str">
        <f>[1]Sheet2!EO294</f>
        <v/>
      </c>
      <c r="EO295" s="6" t="str">
        <f>[1]Sheet2!EP294</f>
        <v/>
      </c>
      <c r="EP295" s="6" t="str">
        <f>[1]Sheet2!EQ294</f>
        <v/>
      </c>
      <c r="EQ295" s="6" t="str">
        <f>[1]Sheet2!ER294</f>
        <v/>
      </c>
      <c r="ER295" s="6" t="str">
        <f>[1]Sheet2!ES294</f>
        <v/>
      </c>
      <c r="ES295" s="6" t="str">
        <f>[1]Sheet2!ET294</f>
        <v/>
      </c>
      <c r="ET295" s="6" t="str">
        <f>[1]Sheet2!EU294</f>
        <v/>
      </c>
      <c r="EU295" s="6" t="str">
        <f>[1]Sheet2!EV294</f>
        <v/>
      </c>
      <c r="EV295" s="6" t="str">
        <f>[1]Sheet2!EW294</f>
        <v/>
      </c>
      <c r="EW295" s="6" t="str">
        <f>[1]Sheet2!EX294</f>
        <v/>
      </c>
      <c r="EX295" s="6" t="str">
        <f>[1]Sheet2!EY294</f>
        <v/>
      </c>
      <c r="EY295" s="6" t="str">
        <f>[1]Sheet2!EZ294</f>
        <v/>
      </c>
      <c r="EZ295" s="6" t="str">
        <f>[1]Sheet2!FA294</f>
        <v/>
      </c>
      <c r="FA295" s="6" t="str">
        <f>[1]Sheet2!FB294</f>
        <v/>
      </c>
      <c r="FB295" s="6" t="str">
        <f>[1]Sheet2!FC294</f>
        <v/>
      </c>
      <c r="FC295" s="6" t="str">
        <f>[1]Sheet2!FD294</f>
        <v/>
      </c>
      <c r="FD295" s="6" t="str">
        <f>[1]Sheet2!FE294</f>
        <v/>
      </c>
      <c r="FE295" s="6" t="str">
        <f>[1]Sheet2!FF294</f>
        <v/>
      </c>
      <c r="FF295" s="6" t="str">
        <f>[1]Sheet2!FG294</f>
        <v/>
      </c>
      <c r="FG295" s="6" t="str">
        <f>[1]Sheet2!FH294</f>
        <v/>
      </c>
      <c r="FH295" s="6" t="str">
        <f>[1]Sheet2!FI294</f>
        <v/>
      </c>
      <c r="FI295" s="6" t="str">
        <f>[1]Sheet2!FJ294</f>
        <v/>
      </c>
      <c r="FJ295" s="6" t="str">
        <f>[1]Sheet2!FK294</f>
        <v/>
      </c>
      <c r="FK295" s="6" t="str">
        <f>[1]Sheet2!FL294</f>
        <v/>
      </c>
      <c r="FL295" s="6" t="str">
        <f>[1]Sheet2!FM294</f>
        <v/>
      </c>
      <c r="FM295" s="6" t="str">
        <f>[1]Sheet2!FN294</f>
        <v/>
      </c>
      <c r="FN295" s="6" t="str">
        <f>[1]Sheet2!FO294</f>
        <v/>
      </c>
      <c r="FO295" s="6" t="str">
        <f>[1]Sheet2!FP294</f>
        <v/>
      </c>
    </row>
    <row r="296" spans="1:171" x14ac:dyDescent="0.25">
      <c r="A296" s="15">
        <v>43758</v>
      </c>
      <c r="B296" s="1"/>
      <c r="C296" s="1"/>
      <c r="D296" s="1"/>
      <c r="E296" s="14">
        <f>[1]Sheet2!N295</f>
        <v>0</v>
      </c>
      <c r="F296" s="14">
        <f>[1]Sheet2!BE295</f>
        <v>0</v>
      </c>
      <c r="G296" s="14">
        <f>[1]Sheet2!CW295</f>
        <v>0</v>
      </c>
      <c r="H296" s="1"/>
      <c r="I296" s="1"/>
      <c r="J296" s="1"/>
      <c r="K296" s="16"/>
      <c r="L296" s="16">
        <f>Demand_CWRS!B$12/31</f>
        <v>113.31027191894128</v>
      </c>
      <c r="M296" s="16">
        <f>Demand_CWRS!C$12/31</f>
        <v>480.06765922249781</v>
      </c>
      <c r="N296" s="16">
        <f>Demand_CWRS!D$12/31</f>
        <v>0</v>
      </c>
      <c r="O296" s="16">
        <f>Demand_CWRS!E$12/31</f>
        <v>103.22435897435898</v>
      </c>
      <c r="P296" s="16">
        <f>Demand_CWRS!F$12/31</f>
        <v>209.74544820099254</v>
      </c>
      <c r="Q296" s="16">
        <f>Demand_CWRS!G$12/31</f>
        <v>113.31027191894128</v>
      </c>
      <c r="R296" s="16">
        <f>Demand_CWRS!H$12/31</f>
        <v>209.74544820099254</v>
      </c>
      <c r="S296" s="16">
        <f>Demand_CWRS!I$12/31</f>
        <v>209.74544820099254</v>
      </c>
      <c r="T296" s="16">
        <f>Demand_CWRS!J$12/31</f>
        <v>209.74544820099254</v>
      </c>
      <c r="U296" s="16">
        <f>Demand_CWRS!K$12/31</f>
        <v>209.74544820099254</v>
      </c>
      <c r="V296" s="16">
        <f t="shared" si="126"/>
        <v>-33347.201591159923</v>
      </c>
      <c r="W296" s="16">
        <f t="shared" si="127"/>
        <v>-130828.00703060336</v>
      </c>
      <c r="X296" s="16">
        <f t="shared" si="128"/>
        <v>0</v>
      </c>
      <c r="Y296" s="16">
        <f t="shared" si="129"/>
        <v>-25004.962447257367</v>
      </c>
      <c r="Z296" s="16">
        <f t="shared" si="130"/>
        <v>-58224.115507147122</v>
      </c>
      <c r="AA296" s="16">
        <f t="shared" si="131"/>
        <v>-31875.269067121535</v>
      </c>
      <c r="AB296" s="16">
        <f t="shared" si="132"/>
        <v>-62533.280282788081</v>
      </c>
      <c r="AC296" s="16">
        <f t="shared" si="133"/>
        <v>-56740.27002637789</v>
      </c>
      <c r="AD296" s="16">
        <f t="shared" si="134"/>
        <v>-56840.270026377882</v>
      </c>
      <c r="AE296" s="16">
        <f t="shared" si="135"/>
        <v>-57440.270026377875</v>
      </c>
      <c r="AF296" s="14">
        <f>IF([1]Sheet2!AJ295=999999,"NA",[1]Sheet2!AJ295)</f>
        <v>0</v>
      </c>
      <c r="AG296" s="14">
        <f>IF([1]Sheet2!AK295=999999,"NA",[1]Sheet2!AK295)</f>
        <v>0</v>
      </c>
      <c r="AH296" s="14" t="str">
        <f>IF([1]Sheet2!AL295=999999,"NA",[1]Sheet2!AL295)</f>
        <v>NA</v>
      </c>
      <c r="AI296" s="14">
        <f>IF([1]Sheet2!AM295=999999,"NA",[1]Sheet2!AM295)</f>
        <v>0</v>
      </c>
      <c r="AJ296" s="14">
        <f>IF([1]Sheet2!AN295=999999,"NA",[1]Sheet2!AN295)</f>
        <v>0</v>
      </c>
      <c r="AK296" s="14">
        <f>IF([1]Sheet2!AO295=999999,"NA",[1]Sheet2!AO295)</f>
        <v>0</v>
      </c>
      <c r="AL296" s="14">
        <f>IF([1]Sheet2!AP295=999999,"NA",[1]Sheet2!AP295)</f>
        <v>0</v>
      </c>
      <c r="AM296" s="14">
        <f>IF([1]Sheet2!AQ295=999999,"NA",[1]Sheet2!AQ295)</f>
        <v>0</v>
      </c>
      <c r="AN296" s="14">
        <f>IF([1]Sheet2!AR295=999999,"NA",[1]Sheet2!AR295)</f>
        <v>0</v>
      </c>
      <c r="AO296" s="14">
        <f>IF([1]Sheet2!AS295=999999,"NA",[1]Sheet2!AS295)</f>
        <v>0</v>
      </c>
      <c r="AP296" s="14">
        <f>[1]Sheet2!P295</f>
        <v>0</v>
      </c>
      <c r="AQ296" s="14">
        <f>[1]Sheet2!Q295</f>
        <v>0</v>
      </c>
      <c r="AR296" s="14">
        <f>[1]Sheet2!R295</f>
        <v>0</v>
      </c>
      <c r="AS296" s="14">
        <f>[1]Sheet2!S295</f>
        <v>0</v>
      </c>
      <c r="AT296" s="14">
        <f>[1]Sheet2!T295</f>
        <v>0</v>
      </c>
      <c r="AU296" s="14">
        <f>[1]Sheet2!U295</f>
        <v>0</v>
      </c>
      <c r="AV296" s="14">
        <f>[1]Sheet2!V295</f>
        <v>0</v>
      </c>
      <c r="AW296" s="14">
        <f>[1]Sheet2!W295</f>
        <v>0</v>
      </c>
      <c r="AX296" s="14">
        <f>[1]Sheet2!X295</f>
        <v>0</v>
      </c>
      <c r="AY296" s="14">
        <f>[1]Sheet2!Y295</f>
        <v>0</v>
      </c>
      <c r="AZ296" s="16">
        <f>Demand_LP!B$12/31</f>
        <v>866.47279518196865</v>
      </c>
      <c r="BA296" s="16">
        <f>Demand_LP!C$12/31</f>
        <v>577.62712985938799</v>
      </c>
      <c r="BB296" s="16">
        <f>Demand_LP!D$12/31</f>
        <v>262.18502894954509</v>
      </c>
      <c r="BC296" s="16">
        <f>Demand_LP!E$12/31</f>
        <v>766.03229942100904</v>
      </c>
      <c r="BD296" s="16">
        <f>Demand_LP!F$12/31</f>
        <v>516.10499638130682</v>
      </c>
      <c r="BE296" s="16">
        <f>Demand_LP!G$12/31</f>
        <v>516.10499638130682</v>
      </c>
      <c r="BF296" s="16">
        <f>Demand_LP!H$12/31</f>
        <v>577.62712985938799</v>
      </c>
      <c r="BG296" s="16">
        <f>Demand_LP!I$12/31</f>
        <v>516.10499638130682</v>
      </c>
      <c r="BH296" s="16">
        <f>Demand_LP!J$12/31</f>
        <v>516.10499638130682</v>
      </c>
      <c r="BI296" s="16">
        <f>Demand_LP!K$12/31</f>
        <v>516.10499638130682</v>
      </c>
      <c r="BJ296" s="16">
        <f t="shared" si="136"/>
        <v>-216073.19479122621</v>
      </c>
      <c r="BK296" s="16">
        <f t="shared" si="137"/>
        <v>-163758.60669975166</v>
      </c>
      <c r="BL296" s="16">
        <f t="shared" si="138"/>
        <v>-79220.441604632229</v>
      </c>
      <c r="BM296" s="16">
        <f t="shared" si="139"/>
        <v>-209541.11648501141</v>
      </c>
      <c r="BN296" s="16">
        <f t="shared" si="140"/>
        <v>-126971.13741951204</v>
      </c>
      <c r="BO296" s="16">
        <f t="shared" si="141"/>
        <v>-125428.82133788278</v>
      </c>
      <c r="BP296" s="16">
        <f t="shared" si="142"/>
        <v>-158116.18618693101</v>
      </c>
      <c r="BQ296" s="16">
        <f t="shared" si="143"/>
        <v>-121257.82133788278</v>
      </c>
      <c r="BR296" s="16">
        <f t="shared" si="144"/>
        <v>-123028.82133788282</v>
      </c>
      <c r="BS296" s="16">
        <f t="shared" si="145"/>
        <v>-123728.82133788281</v>
      </c>
      <c r="BT296" s="14">
        <f>IF([1]Sheet2!CB295=999999,"NA",[1]Sheet2!CB295)</f>
        <v>0</v>
      </c>
      <c r="BU296" s="14">
        <f>IF([1]Sheet2!CC295=999999,"NA",[1]Sheet2!CC295)</f>
        <v>0</v>
      </c>
      <c r="BV296" s="14">
        <f>IF([1]Sheet2!CD295=999999,"NA",[1]Sheet2!CD295)</f>
        <v>0</v>
      </c>
      <c r="BW296" s="14">
        <f>IF([1]Sheet2!CE295=999999,"NA",[1]Sheet2!CE295)</f>
        <v>0</v>
      </c>
      <c r="BX296" s="14">
        <f>IF([1]Sheet2!CF295=999999,"NA",[1]Sheet2!CF295)</f>
        <v>0</v>
      </c>
      <c r="BY296" s="14">
        <f>IF([1]Sheet2!CG295=999999,"NA",[1]Sheet2!CG295)</f>
        <v>0</v>
      </c>
      <c r="BZ296" s="14">
        <f>IF([1]Sheet2!CH295=999999,"NA",[1]Sheet2!CH295)</f>
        <v>0</v>
      </c>
      <c r="CA296" s="14">
        <f>IF([1]Sheet2!CI295=999999,"NA",[1]Sheet2!CI295)</f>
        <v>0</v>
      </c>
      <c r="CB296" s="14">
        <f>IF([1]Sheet2!CJ295=999999,"NA",[1]Sheet2!CJ295)</f>
        <v>0</v>
      </c>
      <c r="CC296" s="14">
        <f>IF([1]Sheet2!CK295=999999,"NA",[1]Sheet2!CK295)</f>
        <v>0</v>
      </c>
      <c r="CD296" s="14">
        <f>[1]Sheet2!BH295</f>
        <v>0</v>
      </c>
      <c r="CE296" s="14">
        <f>[1]Sheet2!BI295</f>
        <v>0</v>
      </c>
      <c r="CF296" s="14">
        <f>[1]Sheet2!BJ295</f>
        <v>0</v>
      </c>
      <c r="CG296" s="14">
        <f>[1]Sheet2!BK295</f>
        <v>0</v>
      </c>
      <c r="CH296" s="14">
        <f>[1]Sheet2!BL295</f>
        <v>0</v>
      </c>
      <c r="CI296" s="14">
        <f>[1]Sheet2!BM295</f>
        <v>0</v>
      </c>
      <c r="CJ296" s="14">
        <f>[1]Sheet2!BN295</f>
        <v>0</v>
      </c>
      <c r="CK296" s="14">
        <f>[1]Sheet2!BO295</f>
        <v>0</v>
      </c>
      <c r="CL296" s="14">
        <f>[1]Sheet2!BP295</f>
        <v>0</v>
      </c>
      <c r="CM296" s="14">
        <f>[1]Sheet2!BQ295</f>
        <v>0</v>
      </c>
      <c r="CN296" s="16">
        <f>Demand_SW!B$12/31</f>
        <v>139.57816377171216</v>
      </c>
      <c r="CO296" s="16">
        <f>Demand_SW!C$12/31</f>
        <v>0</v>
      </c>
      <c r="CP296" s="16">
        <f>Demand_SW!D$12/31</f>
        <v>0</v>
      </c>
      <c r="CQ296" s="16">
        <f>Demand_SW!E$12/31</f>
        <v>0</v>
      </c>
      <c r="CR296" s="16">
        <f>Demand_SW!F$12/31</f>
        <v>0</v>
      </c>
      <c r="CS296" s="16">
        <f>Demand_SW!G$12/31</f>
        <v>139.57816377171216</v>
      </c>
      <c r="CT296" s="16">
        <f>Demand_SW!H$12/31</f>
        <v>0</v>
      </c>
      <c r="CU296" s="16">
        <f>Demand_SW!I$12/31</f>
        <v>0</v>
      </c>
      <c r="CV296" s="16">
        <f>Demand_SW!J$12/31</f>
        <v>0</v>
      </c>
      <c r="CW296" s="16">
        <f>Demand_SW!K$12/31</f>
        <v>0</v>
      </c>
      <c r="CX296" s="16">
        <f t="shared" si="146"/>
        <v>-16839.255583126589</v>
      </c>
      <c r="CY296" s="16">
        <f t="shared" si="147"/>
        <v>76.923076923077133</v>
      </c>
      <c r="CZ296" s="16">
        <f t="shared" si="148"/>
        <v>0</v>
      </c>
      <c r="DA296" s="16">
        <f t="shared" si="149"/>
        <v>0</v>
      </c>
      <c r="DB296" s="16">
        <f t="shared" si="150"/>
        <v>0</v>
      </c>
      <c r="DC296" s="16">
        <f t="shared" si="151"/>
        <v>-18070.486352357359</v>
      </c>
      <c r="DD296" s="16">
        <f t="shared" si="152"/>
        <v>76.923076923077133</v>
      </c>
      <c r="DE296" s="16">
        <f t="shared" si="153"/>
        <v>0</v>
      </c>
      <c r="DF296" s="16">
        <f t="shared" si="154"/>
        <v>0</v>
      </c>
      <c r="DG296" s="16">
        <f t="shared" si="155"/>
        <v>0</v>
      </c>
      <c r="DH296" s="14">
        <f>IF([1]Sheet2!DS295=999999,"NA",[1]Sheet2!DS295)</f>
        <v>0</v>
      </c>
      <c r="DI296" s="14">
        <f>IF([1]Sheet2!DT295=999999,"NA",[1]Sheet2!DT295)</f>
        <v>72</v>
      </c>
      <c r="DJ296" s="14" t="str">
        <f>IF([1]Sheet2!DU295=999999,"NA",[1]Sheet2!DU295)</f>
        <v>NA</v>
      </c>
      <c r="DK296" s="14" t="str">
        <f>IF([1]Sheet2!DV295=999999,"NA",[1]Sheet2!DV295)</f>
        <v>NA</v>
      </c>
      <c r="DL296" s="14" t="str">
        <f>IF([1]Sheet2!DW295=999999,"NA",[1]Sheet2!DW295)</f>
        <v>NA</v>
      </c>
      <c r="DM296" s="14">
        <f>IF([1]Sheet2!DX295=999999,"NA",[1]Sheet2!DX295)</f>
        <v>0</v>
      </c>
      <c r="DN296" s="14">
        <f>IF([1]Sheet2!DY295=999999,"NA",[1]Sheet2!DY295)</f>
        <v>72</v>
      </c>
      <c r="DO296" s="14" t="str">
        <f>IF([1]Sheet2!DZ295=999999,"NA",[1]Sheet2!DZ295)</f>
        <v>NA</v>
      </c>
      <c r="DP296" s="14" t="str">
        <f>IF([1]Sheet2!EA295=999999,"NA",[1]Sheet2!EA295)</f>
        <v>NA</v>
      </c>
      <c r="DQ296" s="14" t="str">
        <f>IF([1]Sheet2!EB295=999999,"NA",[1]Sheet2!EB295)</f>
        <v>NA</v>
      </c>
      <c r="DR296" s="14">
        <f>[1]Sheet2!CY295</f>
        <v>0</v>
      </c>
      <c r="DS296" s="14">
        <f>[1]Sheet2!CZ295</f>
        <v>0</v>
      </c>
      <c r="DT296" s="14">
        <f>[1]Sheet2!DA295</f>
        <v>0</v>
      </c>
      <c r="DU296" s="14">
        <f>[1]Sheet2!DB295</f>
        <v>0</v>
      </c>
      <c r="DV296" s="14">
        <f>[1]Sheet2!DC295</f>
        <v>0</v>
      </c>
      <c r="DW296" s="14">
        <f>[1]Sheet2!DD295</f>
        <v>0</v>
      </c>
      <c r="DX296" s="14">
        <f>[1]Sheet2!DE295</f>
        <v>0</v>
      </c>
      <c r="DY296" s="14">
        <f>[1]Sheet2!DF295</f>
        <v>0</v>
      </c>
      <c r="DZ296" s="14">
        <f>[1]Sheet2!DG295</f>
        <v>0</v>
      </c>
      <c r="EA296" s="14">
        <f>[1]Sheet2!DH295</f>
        <v>0</v>
      </c>
      <c r="EB296" s="6">
        <f>[1]Sheet2!EC295</f>
        <v>0</v>
      </c>
      <c r="EC296" s="6">
        <f>[1]Sheet2!ED295</f>
        <v>0</v>
      </c>
      <c r="ED296" s="6">
        <f>[1]Sheet2!EE295</f>
        <v>0</v>
      </c>
      <c r="EE296" s="6">
        <f>[1]Sheet2!EF295</f>
        <v>0</v>
      </c>
      <c r="EF296" s="6">
        <f>[1]Sheet2!EG295</f>
        <v>0</v>
      </c>
      <c r="EG296" s="6">
        <f>[1]Sheet2!EH295</f>
        <v>0</v>
      </c>
      <c r="EH296" s="6">
        <f>[1]Sheet2!EI295</f>
        <v>0</v>
      </c>
      <c r="EI296" s="6">
        <f>[1]Sheet2!EJ295</f>
        <v>0</v>
      </c>
      <c r="EJ296" s="6">
        <f>[1]Sheet2!EK295</f>
        <v>0</v>
      </c>
      <c r="EK296" s="6">
        <f>[1]Sheet2!EL295</f>
        <v>0</v>
      </c>
      <c r="EL296" s="6" t="str">
        <f>[1]Sheet2!EM295</f>
        <v/>
      </c>
      <c r="EM296" s="6" t="str">
        <f>[1]Sheet2!EN295</f>
        <v/>
      </c>
      <c r="EN296" s="6" t="str">
        <f>[1]Sheet2!EO295</f>
        <v/>
      </c>
      <c r="EO296" s="6" t="str">
        <f>[1]Sheet2!EP295</f>
        <v/>
      </c>
      <c r="EP296" s="6" t="str">
        <f>[1]Sheet2!EQ295</f>
        <v/>
      </c>
      <c r="EQ296" s="6" t="str">
        <f>[1]Sheet2!ER295</f>
        <v/>
      </c>
      <c r="ER296" s="6" t="str">
        <f>[1]Sheet2!ES295</f>
        <v/>
      </c>
      <c r="ES296" s="6" t="str">
        <f>[1]Sheet2!ET295</f>
        <v/>
      </c>
      <c r="ET296" s="6" t="str">
        <f>[1]Sheet2!EU295</f>
        <v/>
      </c>
      <c r="EU296" s="6" t="str">
        <f>[1]Sheet2!EV295</f>
        <v/>
      </c>
      <c r="EV296" s="6" t="str">
        <f>[1]Sheet2!EW295</f>
        <v/>
      </c>
      <c r="EW296" s="6" t="str">
        <f>[1]Sheet2!EX295</f>
        <v/>
      </c>
      <c r="EX296" s="6" t="str">
        <f>[1]Sheet2!EY295</f>
        <v/>
      </c>
      <c r="EY296" s="6" t="str">
        <f>[1]Sheet2!EZ295</f>
        <v/>
      </c>
      <c r="EZ296" s="6" t="str">
        <f>[1]Sheet2!FA295</f>
        <v/>
      </c>
      <c r="FA296" s="6" t="str">
        <f>[1]Sheet2!FB295</f>
        <v/>
      </c>
      <c r="FB296" s="6" t="str">
        <f>[1]Sheet2!FC295</f>
        <v/>
      </c>
      <c r="FC296" s="6" t="str">
        <f>[1]Sheet2!FD295</f>
        <v/>
      </c>
      <c r="FD296" s="6" t="str">
        <f>[1]Sheet2!FE295</f>
        <v/>
      </c>
      <c r="FE296" s="6" t="str">
        <f>[1]Sheet2!FF295</f>
        <v/>
      </c>
      <c r="FF296" s="6" t="str">
        <f>[1]Sheet2!FG295</f>
        <v/>
      </c>
      <c r="FG296" s="6" t="str">
        <f>[1]Sheet2!FH295</f>
        <v/>
      </c>
      <c r="FH296" s="6" t="str">
        <f>[1]Sheet2!FI295</f>
        <v/>
      </c>
      <c r="FI296" s="6" t="str">
        <f>[1]Sheet2!FJ295</f>
        <v/>
      </c>
      <c r="FJ296" s="6" t="str">
        <f>[1]Sheet2!FK295</f>
        <v/>
      </c>
      <c r="FK296" s="6" t="str">
        <f>[1]Sheet2!FL295</f>
        <v/>
      </c>
      <c r="FL296" s="6" t="str">
        <f>[1]Sheet2!FM295</f>
        <v/>
      </c>
      <c r="FM296" s="6" t="str">
        <f>[1]Sheet2!FN295</f>
        <v/>
      </c>
      <c r="FN296" s="6" t="str">
        <f>[1]Sheet2!FO295</f>
        <v/>
      </c>
      <c r="FO296" s="6" t="str">
        <f>[1]Sheet2!FP295</f>
        <v/>
      </c>
    </row>
    <row r="297" spans="1:171" x14ac:dyDescent="0.25">
      <c r="A297" s="15">
        <v>43759</v>
      </c>
      <c r="B297" s="1"/>
      <c r="C297" s="1"/>
      <c r="D297" s="1"/>
      <c r="E297" s="14">
        <f>[1]Sheet2!N296</f>
        <v>0</v>
      </c>
      <c r="F297" s="14">
        <f>[1]Sheet2!BE296</f>
        <v>0</v>
      </c>
      <c r="G297" s="14">
        <f>[1]Sheet2!CW296</f>
        <v>0</v>
      </c>
      <c r="H297" s="1"/>
      <c r="I297" s="1"/>
      <c r="J297" s="1"/>
      <c r="K297" s="16"/>
      <c r="L297" s="16">
        <f>Demand_CWRS!B$12/31</f>
        <v>113.31027191894128</v>
      </c>
      <c r="M297" s="16">
        <f>Demand_CWRS!C$12/31</f>
        <v>480.06765922249781</v>
      </c>
      <c r="N297" s="16">
        <f>Demand_CWRS!D$12/31</f>
        <v>0</v>
      </c>
      <c r="O297" s="16">
        <f>Demand_CWRS!E$12/31</f>
        <v>103.22435897435898</v>
      </c>
      <c r="P297" s="16">
        <f>Demand_CWRS!F$12/31</f>
        <v>209.74544820099254</v>
      </c>
      <c r="Q297" s="16">
        <f>Demand_CWRS!G$12/31</f>
        <v>113.31027191894128</v>
      </c>
      <c r="R297" s="16">
        <f>Demand_CWRS!H$12/31</f>
        <v>209.74544820099254</v>
      </c>
      <c r="S297" s="16">
        <f>Demand_CWRS!I$12/31</f>
        <v>209.74544820099254</v>
      </c>
      <c r="T297" s="16">
        <f>Demand_CWRS!J$12/31</f>
        <v>209.74544820099254</v>
      </c>
      <c r="U297" s="16">
        <f>Demand_CWRS!K$12/31</f>
        <v>209.74544820099254</v>
      </c>
      <c r="V297" s="16">
        <f t="shared" si="126"/>
        <v>-33460.511863078864</v>
      </c>
      <c r="W297" s="16">
        <f t="shared" si="127"/>
        <v>-131308.07468982585</v>
      </c>
      <c r="X297" s="16">
        <f t="shared" si="128"/>
        <v>0</v>
      </c>
      <c r="Y297" s="16">
        <f t="shared" si="129"/>
        <v>-25108.186806231726</v>
      </c>
      <c r="Z297" s="16">
        <f t="shared" si="130"/>
        <v>-58433.860955348115</v>
      </c>
      <c r="AA297" s="16">
        <f t="shared" si="131"/>
        <v>-31988.579339040476</v>
      </c>
      <c r="AB297" s="16">
        <f t="shared" si="132"/>
        <v>-62743.025730989073</v>
      </c>
      <c r="AC297" s="16">
        <f t="shared" si="133"/>
        <v>-56950.015474578882</v>
      </c>
      <c r="AD297" s="16">
        <f t="shared" si="134"/>
        <v>-57050.015474578875</v>
      </c>
      <c r="AE297" s="16">
        <f t="shared" si="135"/>
        <v>-57650.015474578868</v>
      </c>
      <c r="AF297" s="14">
        <f>IF([1]Sheet2!AJ296=999999,"NA",[1]Sheet2!AJ296)</f>
        <v>0</v>
      </c>
      <c r="AG297" s="14">
        <f>IF([1]Sheet2!AK296=999999,"NA",[1]Sheet2!AK296)</f>
        <v>0</v>
      </c>
      <c r="AH297" s="14" t="str">
        <f>IF([1]Sheet2!AL296=999999,"NA",[1]Sheet2!AL296)</f>
        <v>NA</v>
      </c>
      <c r="AI297" s="14">
        <f>IF([1]Sheet2!AM296=999999,"NA",[1]Sheet2!AM296)</f>
        <v>0</v>
      </c>
      <c r="AJ297" s="14">
        <f>IF([1]Sheet2!AN296=999999,"NA",[1]Sheet2!AN296)</f>
        <v>0</v>
      </c>
      <c r="AK297" s="14">
        <f>IF([1]Sheet2!AO296=999999,"NA",[1]Sheet2!AO296)</f>
        <v>0</v>
      </c>
      <c r="AL297" s="14">
        <f>IF([1]Sheet2!AP296=999999,"NA",[1]Sheet2!AP296)</f>
        <v>0</v>
      </c>
      <c r="AM297" s="14">
        <f>IF([1]Sheet2!AQ296=999999,"NA",[1]Sheet2!AQ296)</f>
        <v>0</v>
      </c>
      <c r="AN297" s="14">
        <f>IF([1]Sheet2!AR296=999999,"NA",[1]Sheet2!AR296)</f>
        <v>0</v>
      </c>
      <c r="AO297" s="14">
        <f>IF([1]Sheet2!AS296=999999,"NA",[1]Sheet2!AS296)</f>
        <v>0</v>
      </c>
      <c r="AP297" s="14">
        <f>[1]Sheet2!P296</f>
        <v>0</v>
      </c>
      <c r="AQ297" s="14">
        <f>[1]Sheet2!Q296</f>
        <v>0</v>
      </c>
      <c r="AR297" s="14">
        <f>[1]Sheet2!R296</f>
        <v>0</v>
      </c>
      <c r="AS297" s="14">
        <f>[1]Sheet2!S296</f>
        <v>0</v>
      </c>
      <c r="AT297" s="14">
        <f>[1]Sheet2!T296</f>
        <v>0</v>
      </c>
      <c r="AU297" s="14">
        <f>[1]Sheet2!U296</f>
        <v>0</v>
      </c>
      <c r="AV297" s="14">
        <f>[1]Sheet2!V296</f>
        <v>0</v>
      </c>
      <c r="AW297" s="14">
        <f>[1]Sheet2!W296</f>
        <v>0</v>
      </c>
      <c r="AX297" s="14">
        <f>[1]Sheet2!X296</f>
        <v>0</v>
      </c>
      <c r="AY297" s="14">
        <f>[1]Sheet2!Y296</f>
        <v>0</v>
      </c>
      <c r="AZ297" s="16">
        <f>Demand_LP!B$12/31</f>
        <v>866.47279518196865</v>
      </c>
      <c r="BA297" s="16">
        <f>Demand_LP!C$12/31</f>
        <v>577.62712985938799</v>
      </c>
      <c r="BB297" s="16">
        <f>Demand_LP!D$12/31</f>
        <v>262.18502894954509</v>
      </c>
      <c r="BC297" s="16">
        <f>Demand_LP!E$12/31</f>
        <v>766.03229942100904</v>
      </c>
      <c r="BD297" s="16">
        <f>Demand_LP!F$12/31</f>
        <v>516.10499638130682</v>
      </c>
      <c r="BE297" s="16">
        <f>Demand_LP!G$12/31</f>
        <v>516.10499638130682</v>
      </c>
      <c r="BF297" s="16">
        <f>Demand_LP!H$12/31</f>
        <v>577.62712985938799</v>
      </c>
      <c r="BG297" s="16">
        <f>Demand_LP!I$12/31</f>
        <v>516.10499638130682</v>
      </c>
      <c r="BH297" s="16">
        <f>Demand_LP!J$12/31</f>
        <v>516.10499638130682</v>
      </c>
      <c r="BI297" s="16">
        <f>Demand_LP!K$12/31</f>
        <v>516.10499638130682</v>
      </c>
      <c r="BJ297" s="16">
        <f t="shared" si="136"/>
        <v>-216939.66758640818</v>
      </c>
      <c r="BK297" s="16">
        <f t="shared" si="137"/>
        <v>-164336.23382961104</v>
      </c>
      <c r="BL297" s="16">
        <f t="shared" si="138"/>
        <v>-79482.626633581778</v>
      </c>
      <c r="BM297" s="16">
        <f t="shared" si="139"/>
        <v>-210307.14878443241</v>
      </c>
      <c r="BN297" s="16">
        <f t="shared" si="140"/>
        <v>-127487.24241589336</v>
      </c>
      <c r="BO297" s="16">
        <f t="shared" si="141"/>
        <v>-125944.92633426409</v>
      </c>
      <c r="BP297" s="16">
        <f t="shared" si="142"/>
        <v>-158693.81331679039</v>
      </c>
      <c r="BQ297" s="16">
        <f t="shared" si="143"/>
        <v>-121773.92633426409</v>
      </c>
      <c r="BR297" s="16">
        <f t="shared" si="144"/>
        <v>-123544.92633426414</v>
      </c>
      <c r="BS297" s="16">
        <f t="shared" si="145"/>
        <v>-124244.92633426412</v>
      </c>
      <c r="BT297" s="14">
        <f>IF([1]Sheet2!CB296=999999,"NA",[1]Sheet2!CB296)</f>
        <v>0</v>
      </c>
      <c r="BU297" s="14">
        <f>IF([1]Sheet2!CC296=999999,"NA",[1]Sheet2!CC296)</f>
        <v>0</v>
      </c>
      <c r="BV297" s="14">
        <f>IF([1]Sheet2!CD296=999999,"NA",[1]Sheet2!CD296)</f>
        <v>0</v>
      </c>
      <c r="BW297" s="14">
        <f>IF([1]Sheet2!CE296=999999,"NA",[1]Sheet2!CE296)</f>
        <v>0</v>
      </c>
      <c r="BX297" s="14">
        <f>IF([1]Sheet2!CF296=999999,"NA",[1]Sheet2!CF296)</f>
        <v>0</v>
      </c>
      <c r="BY297" s="14">
        <f>IF([1]Sheet2!CG296=999999,"NA",[1]Sheet2!CG296)</f>
        <v>0</v>
      </c>
      <c r="BZ297" s="14">
        <f>IF([1]Sheet2!CH296=999999,"NA",[1]Sheet2!CH296)</f>
        <v>0</v>
      </c>
      <c r="CA297" s="14">
        <f>IF([1]Sheet2!CI296=999999,"NA",[1]Sheet2!CI296)</f>
        <v>0</v>
      </c>
      <c r="CB297" s="14">
        <f>IF([1]Sheet2!CJ296=999999,"NA",[1]Sheet2!CJ296)</f>
        <v>0</v>
      </c>
      <c r="CC297" s="14">
        <f>IF([1]Sheet2!CK296=999999,"NA",[1]Sheet2!CK296)</f>
        <v>0</v>
      </c>
      <c r="CD297" s="14">
        <f>[1]Sheet2!BH296</f>
        <v>0</v>
      </c>
      <c r="CE297" s="14">
        <f>[1]Sheet2!BI296</f>
        <v>0</v>
      </c>
      <c r="CF297" s="14">
        <f>[1]Sheet2!BJ296</f>
        <v>0</v>
      </c>
      <c r="CG297" s="14">
        <f>[1]Sheet2!BK296</f>
        <v>0</v>
      </c>
      <c r="CH297" s="14">
        <f>[1]Sheet2!BL296</f>
        <v>0</v>
      </c>
      <c r="CI297" s="14">
        <f>[1]Sheet2!BM296</f>
        <v>0</v>
      </c>
      <c r="CJ297" s="14">
        <f>[1]Sheet2!BN296</f>
        <v>0</v>
      </c>
      <c r="CK297" s="14">
        <f>[1]Sheet2!BO296</f>
        <v>0</v>
      </c>
      <c r="CL297" s="14">
        <f>[1]Sheet2!BP296</f>
        <v>0</v>
      </c>
      <c r="CM297" s="14">
        <f>[1]Sheet2!BQ296</f>
        <v>0</v>
      </c>
      <c r="CN297" s="16">
        <f>Demand_SW!B$12/31</f>
        <v>139.57816377171216</v>
      </c>
      <c r="CO297" s="16">
        <f>Demand_SW!C$12/31</f>
        <v>0</v>
      </c>
      <c r="CP297" s="16">
        <f>Demand_SW!D$12/31</f>
        <v>0</v>
      </c>
      <c r="CQ297" s="16">
        <f>Demand_SW!E$12/31</f>
        <v>0</v>
      </c>
      <c r="CR297" s="16">
        <f>Demand_SW!F$12/31</f>
        <v>0</v>
      </c>
      <c r="CS297" s="16">
        <f>Demand_SW!G$12/31</f>
        <v>139.57816377171216</v>
      </c>
      <c r="CT297" s="16">
        <f>Demand_SW!H$12/31</f>
        <v>0</v>
      </c>
      <c r="CU297" s="16">
        <f>Demand_SW!I$12/31</f>
        <v>0</v>
      </c>
      <c r="CV297" s="16">
        <f>Demand_SW!J$12/31</f>
        <v>0</v>
      </c>
      <c r="CW297" s="16">
        <f>Demand_SW!K$12/31</f>
        <v>0</v>
      </c>
      <c r="CX297" s="16">
        <f t="shared" si="146"/>
        <v>-16978.833746898301</v>
      </c>
      <c r="CY297" s="16">
        <f t="shared" si="147"/>
        <v>76.923076923077133</v>
      </c>
      <c r="CZ297" s="16">
        <f t="shared" si="148"/>
        <v>0</v>
      </c>
      <c r="DA297" s="16">
        <f t="shared" si="149"/>
        <v>0</v>
      </c>
      <c r="DB297" s="16">
        <f t="shared" si="150"/>
        <v>0</v>
      </c>
      <c r="DC297" s="16">
        <f t="shared" si="151"/>
        <v>-18210.06451612907</v>
      </c>
      <c r="DD297" s="16">
        <f t="shared" si="152"/>
        <v>76.923076923077133</v>
      </c>
      <c r="DE297" s="16">
        <f t="shared" si="153"/>
        <v>0</v>
      </c>
      <c r="DF297" s="16">
        <f t="shared" si="154"/>
        <v>0</v>
      </c>
      <c r="DG297" s="16">
        <f t="shared" si="155"/>
        <v>0</v>
      </c>
      <c r="DH297" s="14">
        <f>IF([1]Sheet2!DS296=999999,"NA",[1]Sheet2!DS296)</f>
        <v>0</v>
      </c>
      <c r="DI297" s="14">
        <f>IF([1]Sheet2!DT296=999999,"NA",[1]Sheet2!DT296)</f>
        <v>71</v>
      </c>
      <c r="DJ297" s="14" t="str">
        <f>IF([1]Sheet2!DU296=999999,"NA",[1]Sheet2!DU296)</f>
        <v>NA</v>
      </c>
      <c r="DK297" s="14" t="str">
        <f>IF([1]Sheet2!DV296=999999,"NA",[1]Sheet2!DV296)</f>
        <v>NA</v>
      </c>
      <c r="DL297" s="14" t="str">
        <f>IF([1]Sheet2!DW296=999999,"NA",[1]Sheet2!DW296)</f>
        <v>NA</v>
      </c>
      <c r="DM297" s="14">
        <f>IF([1]Sheet2!DX296=999999,"NA",[1]Sheet2!DX296)</f>
        <v>0</v>
      </c>
      <c r="DN297" s="14">
        <f>IF([1]Sheet2!DY296=999999,"NA",[1]Sheet2!DY296)</f>
        <v>71</v>
      </c>
      <c r="DO297" s="14" t="str">
        <f>IF([1]Sheet2!DZ296=999999,"NA",[1]Sheet2!DZ296)</f>
        <v>NA</v>
      </c>
      <c r="DP297" s="14" t="str">
        <f>IF([1]Sheet2!EA296=999999,"NA",[1]Sheet2!EA296)</f>
        <v>NA</v>
      </c>
      <c r="DQ297" s="14" t="str">
        <f>IF([1]Sheet2!EB296=999999,"NA",[1]Sheet2!EB296)</f>
        <v>NA</v>
      </c>
      <c r="DR297" s="14">
        <f>[1]Sheet2!CY296</f>
        <v>0</v>
      </c>
      <c r="DS297" s="14">
        <f>[1]Sheet2!CZ296</f>
        <v>0</v>
      </c>
      <c r="DT297" s="14">
        <f>[1]Sheet2!DA296</f>
        <v>0</v>
      </c>
      <c r="DU297" s="14">
        <f>[1]Sheet2!DB296</f>
        <v>0</v>
      </c>
      <c r="DV297" s="14">
        <f>[1]Sheet2!DC296</f>
        <v>0</v>
      </c>
      <c r="DW297" s="14">
        <f>[1]Sheet2!DD296</f>
        <v>0</v>
      </c>
      <c r="DX297" s="14">
        <f>[1]Sheet2!DE296</f>
        <v>0</v>
      </c>
      <c r="DY297" s="14">
        <f>[1]Sheet2!DF296</f>
        <v>0</v>
      </c>
      <c r="DZ297" s="14">
        <f>[1]Sheet2!DG296</f>
        <v>0</v>
      </c>
      <c r="EA297" s="14">
        <f>[1]Sheet2!DH296</f>
        <v>0</v>
      </c>
      <c r="EB297" s="6">
        <f>[1]Sheet2!EC296</f>
        <v>0</v>
      </c>
      <c r="EC297" s="6">
        <f>[1]Sheet2!ED296</f>
        <v>0</v>
      </c>
      <c r="ED297" s="6">
        <f>[1]Sheet2!EE296</f>
        <v>0</v>
      </c>
      <c r="EE297" s="6">
        <f>[1]Sheet2!EF296</f>
        <v>0</v>
      </c>
      <c r="EF297" s="6">
        <f>[1]Sheet2!EG296</f>
        <v>0</v>
      </c>
      <c r="EG297" s="6">
        <f>[1]Sheet2!EH296</f>
        <v>0</v>
      </c>
      <c r="EH297" s="6">
        <f>[1]Sheet2!EI296</f>
        <v>0</v>
      </c>
      <c r="EI297" s="6">
        <f>[1]Sheet2!EJ296</f>
        <v>0</v>
      </c>
      <c r="EJ297" s="6">
        <f>[1]Sheet2!EK296</f>
        <v>0</v>
      </c>
      <c r="EK297" s="6">
        <f>[1]Sheet2!EL296</f>
        <v>0</v>
      </c>
      <c r="EL297" s="6" t="str">
        <f>[1]Sheet2!EM296</f>
        <v/>
      </c>
      <c r="EM297" s="6" t="str">
        <f>[1]Sheet2!EN296</f>
        <v/>
      </c>
      <c r="EN297" s="6" t="str">
        <f>[1]Sheet2!EO296</f>
        <v/>
      </c>
      <c r="EO297" s="6" t="str">
        <f>[1]Sheet2!EP296</f>
        <v/>
      </c>
      <c r="EP297" s="6" t="str">
        <f>[1]Sheet2!EQ296</f>
        <v/>
      </c>
      <c r="EQ297" s="6" t="str">
        <f>[1]Sheet2!ER296</f>
        <v/>
      </c>
      <c r="ER297" s="6" t="str">
        <f>[1]Sheet2!ES296</f>
        <v/>
      </c>
      <c r="ES297" s="6" t="str">
        <f>[1]Sheet2!ET296</f>
        <v/>
      </c>
      <c r="ET297" s="6" t="str">
        <f>[1]Sheet2!EU296</f>
        <v/>
      </c>
      <c r="EU297" s="6" t="str">
        <f>[1]Sheet2!EV296</f>
        <v/>
      </c>
      <c r="EV297" s="6" t="str">
        <f>[1]Sheet2!EW296</f>
        <v/>
      </c>
      <c r="EW297" s="6" t="str">
        <f>[1]Sheet2!EX296</f>
        <v/>
      </c>
      <c r="EX297" s="6" t="str">
        <f>[1]Sheet2!EY296</f>
        <v/>
      </c>
      <c r="EY297" s="6" t="str">
        <f>[1]Sheet2!EZ296</f>
        <v/>
      </c>
      <c r="EZ297" s="6" t="str">
        <f>[1]Sheet2!FA296</f>
        <v/>
      </c>
      <c r="FA297" s="6" t="str">
        <f>[1]Sheet2!FB296</f>
        <v/>
      </c>
      <c r="FB297" s="6" t="str">
        <f>[1]Sheet2!FC296</f>
        <v/>
      </c>
      <c r="FC297" s="6" t="str">
        <f>[1]Sheet2!FD296</f>
        <v/>
      </c>
      <c r="FD297" s="6" t="str">
        <f>[1]Sheet2!FE296</f>
        <v/>
      </c>
      <c r="FE297" s="6" t="str">
        <f>[1]Sheet2!FF296</f>
        <v/>
      </c>
      <c r="FF297" s="6" t="str">
        <f>[1]Sheet2!FG296</f>
        <v/>
      </c>
      <c r="FG297" s="6" t="str">
        <f>[1]Sheet2!FH296</f>
        <v/>
      </c>
      <c r="FH297" s="6" t="str">
        <f>[1]Sheet2!FI296</f>
        <v/>
      </c>
      <c r="FI297" s="6" t="str">
        <f>[1]Sheet2!FJ296</f>
        <v/>
      </c>
      <c r="FJ297" s="6" t="str">
        <f>[1]Sheet2!FK296</f>
        <v/>
      </c>
      <c r="FK297" s="6" t="str">
        <f>[1]Sheet2!FL296</f>
        <v/>
      </c>
      <c r="FL297" s="6" t="str">
        <f>[1]Sheet2!FM296</f>
        <v/>
      </c>
      <c r="FM297" s="6" t="str">
        <f>[1]Sheet2!FN296</f>
        <v/>
      </c>
      <c r="FN297" s="6" t="str">
        <f>[1]Sheet2!FO296</f>
        <v/>
      </c>
      <c r="FO297" s="6" t="str">
        <f>[1]Sheet2!FP296</f>
        <v/>
      </c>
    </row>
    <row r="298" spans="1:171" x14ac:dyDescent="0.25">
      <c r="A298" s="15">
        <v>43760</v>
      </c>
      <c r="B298" s="1"/>
      <c r="C298" s="1"/>
      <c r="D298" s="1"/>
      <c r="E298" s="14">
        <f>[1]Sheet2!N297</f>
        <v>0</v>
      </c>
      <c r="F298" s="14">
        <f>[1]Sheet2!BE297</f>
        <v>48000</v>
      </c>
      <c r="G298" s="14">
        <f>[1]Sheet2!CW297</f>
        <v>0</v>
      </c>
      <c r="H298" s="1"/>
      <c r="I298" s="1"/>
      <c r="J298" s="1"/>
      <c r="K298" s="16"/>
      <c r="L298" s="16">
        <f>Demand_CWRS!B$12/31</f>
        <v>113.31027191894128</v>
      </c>
      <c r="M298" s="16">
        <f>Demand_CWRS!C$12/31</f>
        <v>480.06765922249781</v>
      </c>
      <c r="N298" s="16">
        <f>Demand_CWRS!D$12/31</f>
        <v>0</v>
      </c>
      <c r="O298" s="16">
        <f>Demand_CWRS!E$12/31</f>
        <v>103.22435897435898</v>
      </c>
      <c r="P298" s="16">
        <f>Demand_CWRS!F$12/31</f>
        <v>209.74544820099254</v>
      </c>
      <c r="Q298" s="16">
        <f>Demand_CWRS!G$12/31</f>
        <v>113.31027191894128</v>
      </c>
      <c r="R298" s="16">
        <f>Demand_CWRS!H$12/31</f>
        <v>209.74544820099254</v>
      </c>
      <c r="S298" s="16">
        <f>Demand_CWRS!I$12/31</f>
        <v>209.74544820099254</v>
      </c>
      <c r="T298" s="16">
        <f>Demand_CWRS!J$12/31</f>
        <v>209.74544820099254</v>
      </c>
      <c r="U298" s="16">
        <f>Demand_CWRS!K$12/31</f>
        <v>209.74544820099254</v>
      </c>
      <c r="V298" s="16">
        <f t="shared" si="126"/>
        <v>-33573.822134997805</v>
      </c>
      <c r="W298" s="16">
        <f t="shared" si="127"/>
        <v>-131788.14234904834</v>
      </c>
      <c r="X298" s="16">
        <f t="shared" si="128"/>
        <v>0</v>
      </c>
      <c r="Y298" s="16">
        <f t="shared" si="129"/>
        <v>-25211.411165206086</v>
      </c>
      <c r="Z298" s="16">
        <f t="shared" si="130"/>
        <v>-58643.606403549107</v>
      </c>
      <c r="AA298" s="16">
        <f t="shared" si="131"/>
        <v>-32101.889610959417</v>
      </c>
      <c r="AB298" s="16">
        <f t="shared" si="132"/>
        <v>-62952.771179190066</v>
      </c>
      <c r="AC298" s="16">
        <f t="shared" si="133"/>
        <v>-57159.760922779875</v>
      </c>
      <c r="AD298" s="16">
        <f t="shared" si="134"/>
        <v>-57259.760922779868</v>
      </c>
      <c r="AE298" s="16">
        <f t="shared" si="135"/>
        <v>-57859.76092277986</v>
      </c>
      <c r="AF298" s="14">
        <f>IF([1]Sheet2!AJ297=999999,"NA",[1]Sheet2!AJ297)</f>
        <v>0</v>
      </c>
      <c r="AG298" s="14">
        <f>IF([1]Sheet2!AK297=999999,"NA",[1]Sheet2!AK297)</f>
        <v>0</v>
      </c>
      <c r="AH298" s="14" t="str">
        <f>IF([1]Sheet2!AL297=999999,"NA",[1]Sheet2!AL297)</f>
        <v>NA</v>
      </c>
      <c r="AI298" s="14">
        <f>IF([1]Sheet2!AM297=999999,"NA",[1]Sheet2!AM297)</f>
        <v>0</v>
      </c>
      <c r="AJ298" s="14">
        <f>IF([1]Sheet2!AN297=999999,"NA",[1]Sheet2!AN297)</f>
        <v>0</v>
      </c>
      <c r="AK298" s="14">
        <f>IF([1]Sheet2!AO297=999999,"NA",[1]Sheet2!AO297)</f>
        <v>0</v>
      </c>
      <c r="AL298" s="14">
        <f>IF([1]Sheet2!AP297=999999,"NA",[1]Sheet2!AP297)</f>
        <v>0</v>
      </c>
      <c r="AM298" s="14">
        <f>IF([1]Sheet2!AQ297=999999,"NA",[1]Sheet2!AQ297)</f>
        <v>0</v>
      </c>
      <c r="AN298" s="14">
        <f>IF([1]Sheet2!AR297=999999,"NA",[1]Sheet2!AR297)</f>
        <v>0</v>
      </c>
      <c r="AO298" s="14">
        <f>IF([1]Sheet2!AS297=999999,"NA",[1]Sheet2!AS297)</f>
        <v>0</v>
      </c>
      <c r="AP298" s="14">
        <f>[1]Sheet2!P297</f>
        <v>0</v>
      </c>
      <c r="AQ298" s="14">
        <f>[1]Sheet2!Q297</f>
        <v>0</v>
      </c>
      <c r="AR298" s="14">
        <f>[1]Sheet2!R297</f>
        <v>0</v>
      </c>
      <c r="AS298" s="14">
        <f>[1]Sheet2!S297</f>
        <v>0</v>
      </c>
      <c r="AT298" s="14">
        <f>[1]Sheet2!T297</f>
        <v>0</v>
      </c>
      <c r="AU298" s="14">
        <f>[1]Sheet2!U297</f>
        <v>0</v>
      </c>
      <c r="AV298" s="14">
        <f>[1]Sheet2!V297</f>
        <v>0</v>
      </c>
      <c r="AW298" s="14">
        <f>[1]Sheet2!W297</f>
        <v>0</v>
      </c>
      <c r="AX298" s="14">
        <f>[1]Sheet2!X297</f>
        <v>0</v>
      </c>
      <c r="AY298" s="14">
        <f>[1]Sheet2!Y297</f>
        <v>0</v>
      </c>
      <c r="AZ298" s="16">
        <f>Demand_LP!B$12/31</f>
        <v>866.47279518196865</v>
      </c>
      <c r="BA298" s="16">
        <f>Demand_LP!C$12/31</f>
        <v>577.62712985938799</v>
      </c>
      <c r="BB298" s="16">
        <f>Demand_LP!D$12/31</f>
        <v>262.18502894954509</v>
      </c>
      <c r="BC298" s="16">
        <f>Demand_LP!E$12/31</f>
        <v>766.03229942100904</v>
      </c>
      <c r="BD298" s="16">
        <f>Demand_LP!F$12/31</f>
        <v>516.10499638130682</v>
      </c>
      <c r="BE298" s="16">
        <f>Demand_LP!G$12/31</f>
        <v>516.10499638130682</v>
      </c>
      <c r="BF298" s="16">
        <f>Demand_LP!H$12/31</f>
        <v>577.62712985938799</v>
      </c>
      <c r="BG298" s="16">
        <f>Demand_LP!I$12/31</f>
        <v>516.10499638130682</v>
      </c>
      <c r="BH298" s="16">
        <f>Demand_LP!J$12/31</f>
        <v>516.10499638130682</v>
      </c>
      <c r="BI298" s="16">
        <f>Demand_LP!K$12/31</f>
        <v>516.10499638130682</v>
      </c>
      <c r="BJ298" s="16">
        <f t="shared" si="136"/>
        <v>-217806.14038159014</v>
      </c>
      <c r="BK298" s="16">
        <f t="shared" si="137"/>
        <v>-164913.86095947042</v>
      </c>
      <c r="BL298" s="16">
        <f t="shared" si="138"/>
        <v>-79744.811662531327</v>
      </c>
      <c r="BM298" s="16">
        <f t="shared" si="139"/>
        <v>-211073.18108385341</v>
      </c>
      <c r="BN298" s="16">
        <f t="shared" si="140"/>
        <v>-128003.34741227467</v>
      </c>
      <c r="BO298" s="16">
        <f t="shared" si="141"/>
        <v>-126461.0313306454</v>
      </c>
      <c r="BP298" s="16">
        <f t="shared" si="142"/>
        <v>-159271.44044664977</v>
      </c>
      <c r="BQ298" s="16">
        <f t="shared" si="143"/>
        <v>-122290.0313306454</v>
      </c>
      <c r="BR298" s="16">
        <f t="shared" si="144"/>
        <v>-124061.03133064545</v>
      </c>
      <c r="BS298" s="16">
        <f t="shared" si="145"/>
        <v>-124761.03133064543</v>
      </c>
      <c r="BT298" s="14">
        <f>IF([1]Sheet2!CB297=999999,"NA",[1]Sheet2!CB297)</f>
        <v>0</v>
      </c>
      <c r="BU298" s="14">
        <f>IF([1]Sheet2!CC297=999999,"NA",[1]Sheet2!CC297)</f>
        <v>0</v>
      </c>
      <c r="BV298" s="14">
        <f>IF([1]Sheet2!CD297=999999,"NA",[1]Sheet2!CD297)</f>
        <v>0</v>
      </c>
      <c r="BW298" s="14">
        <f>IF([1]Sheet2!CE297=999999,"NA",[1]Sheet2!CE297)</f>
        <v>0</v>
      </c>
      <c r="BX298" s="14">
        <f>IF([1]Sheet2!CF297=999999,"NA",[1]Sheet2!CF297)</f>
        <v>0</v>
      </c>
      <c r="BY298" s="14">
        <f>IF([1]Sheet2!CG297=999999,"NA",[1]Sheet2!CG297)</f>
        <v>0</v>
      </c>
      <c r="BZ298" s="14">
        <f>IF([1]Sheet2!CH297=999999,"NA",[1]Sheet2!CH297)</f>
        <v>0</v>
      </c>
      <c r="CA298" s="14">
        <f>IF([1]Sheet2!CI297=999999,"NA",[1]Sheet2!CI297)</f>
        <v>0</v>
      </c>
      <c r="CB298" s="14">
        <f>IF([1]Sheet2!CJ297=999999,"NA",[1]Sheet2!CJ297)</f>
        <v>0</v>
      </c>
      <c r="CC298" s="14">
        <f>IF([1]Sheet2!CK297=999999,"NA",[1]Sheet2!CK297)</f>
        <v>0</v>
      </c>
      <c r="CD298" s="14">
        <f>[1]Sheet2!BH297</f>
        <v>0</v>
      </c>
      <c r="CE298" s="14">
        <f>[1]Sheet2!BI297</f>
        <v>0</v>
      </c>
      <c r="CF298" s="14">
        <f>[1]Sheet2!BJ297</f>
        <v>0</v>
      </c>
      <c r="CG298" s="14">
        <f>[1]Sheet2!BK297</f>
        <v>0</v>
      </c>
      <c r="CH298" s="14">
        <f>[1]Sheet2!BL297</f>
        <v>0</v>
      </c>
      <c r="CI298" s="14">
        <f>[1]Sheet2!BM297</f>
        <v>0</v>
      </c>
      <c r="CJ298" s="14">
        <f>[1]Sheet2!BN297</f>
        <v>0</v>
      </c>
      <c r="CK298" s="14">
        <f>[1]Sheet2!BO297</f>
        <v>0</v>
      </c>
      <c r="CL298" s="14">
        <f>[1]Sheet2!BP297</f>
        <v>0</v>
      </c>
      <c r="CM298" s="14">
        <f>[1]Sheet2!BQ297</f>
        <v>0</v>
      </c>
      <c r="CN298" s="16">
        <f>Demand_SW!B$12/31</f>
        <v>139.57816377171216</v>
      </c>
      <c r="CO298" s="16">
        <f>Demand_SW!C$12/31</f>
        <v>0</v>
      </c>
      <c r="CP298" s="16">
        <f>Demand_SW!D$12/31</f>
        <v>0</v>
      </c>
      <c r="CQ298" s="16">
        <f>Demand_SW!E$12/31</f>
        <v>0</v>
      </c>
      <c r="CR298" s="16">
        <f>Demand_SW!F$12/31</f>
        <v>0</v>
      </c>
      <c r="CS298" s="16">
        <f>Demand_SW!G$12/31</f>
        <v>139.57816377171216</v>
      </c>
      <c r="CT298" s="16">
        <f>Demand_SW!H$12/31</f>
        <v>0</v>
      </c>
      <c r="CU298" s="16">
        <f>Demand_SW!I$12/31</f>
        <v>0</v>
      </c>
      <c r="CV298" s="16">
        <f>Demand_SW!J$12/31</f>
        <v>0</v>
      </c>
      <c r="CW298" s="16">
        <f>Demand_SW!K$12/31</f>
        <v>0</v>
      </c>
      <c r="CX298" s="16">
        <f t="shared" si="146"/>
        <v>-17118.411910670013</v>
      </c>
      <c r="CY298" s="16">
        <f t="shared" si="147"/>
        <v>76.923076923077133</v>
      </c>
      <c r="CZ298" s="16">
        <f t="shared" si="148"/>
        <v>0</v>
      </c>
      <c r="DA298" s="16">
        <f t="shared" si="149"/>
        <v>0</v>
      </c>
      <c r="DB298" s="16">
        <f t="shared" si="150"/>
        <v>0</v>
      </c>
      <c r="DC298" s="16">
        <f t="shared" si="151"/>
        <v>-18349.642679900782</v>
      </c>
      <c r="DD298" s="16">
        <f t="shared" si="152"/>
        <v>76.923076923077133</v>
      </c>
      <c r="DE298" s="16">
        <f t="shared" si="153"/>
        <v>0</v>
      </c>
      <c r="DF298" s="16">
        <f t="shared" si="154"/>
        <v>0</v>
      </c>
      <c r="DG298" s="16">
        <f t="shared" si="155"/>
        <v>0</v>
      </c>
      <c r="DH298" s="14">
        <f>IF([1]Sheet2!DS297=999999,"NA",[1]Sheet2!DS297)</f>
        <v>0</v>
      </c>
      <c r="DI298" s="14">
        <f>IF([1]Sheet2!DT297=999999,"NA",[1]Sheet2!DT297)</f>
        <v>70</v>
      </c>
      <c r="DJ298" s="14" t="str">
        <f>IF([1]Sheet2!DU297=999999,"NA",[1]Sheet2!DU297)</f>
        <v>NA</v>
      </c>
      <c r="DK298" s="14" t="str">
        <f>IF([1]Sheet2!DV297=999999,"NA",[1]Sheet2!DV297)</f>
        <v>NA</v>
      </c>
      <c r="DL298" s="14" t="str">
        <f>IF([1]Sheet2!DW297=999999,"NA",[1]Sheet2!DW297)</f>
        <v>NA</v>
      </c>
      <c r="DM298" s="14">
        <f>IF([1]Sheet2!DX297=999999,"NA",[1]Sheet2!DX297)</f>
        <v>0</v>
      </c>
      <c r="DN298" s="14">
        <f>IF([1]Sheet2!DY297=999999,"NA",[1]Sheet2!DY297)</f>
        <v>70</v>
      </c>
      <c r="DO298" s="14" t="str">
        <f>IF([1]Sheet2!DZ297=999999,"NA",[1]Sheet2!DZ297)</f>
        <v>NA</v>
      </c>
      <c r="DP298" s="14" t="str">
        <f>IF([1]Sheet2!EA297=999999,"NA",[1]Sheet2!EA297)</f>
        <v>NA</v>
      </c>
      <c r="DQ298" s="14" t="str">
        <f>IF([1]Sheet2!EB297=999999,"NA",[1]Sheet2!EB297)</f>
        <v>NA</v>
      </c>
      <c r="DR298" s="14">
        <f>[1]Sheet2!CY297</f>
        <v>0</v>
      </c>
      <c r="DS298" s="14">
        <f>[1]Sheet2!CZ297</f>
        <v>0</v>
      </c>
      <c r="DT298" s="14">
        <f>[1]Sheet2!DA297</f>
        <v>0</v>
      </c>
      <c r="DU298" s="14">
        <f>[1]Sheet2!DB297</f>
        <v>0</v>
      </c>
      <c r="DV298" s="14">
        <f>[1]Sheet2!DC297</f>
        <v>0</v>
      </c>
      <c r="DW298" s="14">
        <f>[1]Sheet2!DD297</f>
        <v>0</v>
      </c>
      <c r="DX298" s="14">
        <f>[1]Sheet2!DE297</f>
        <v>0</v>
      </c>
      <c r="DY298" s="14">
        <f>[1]Sheet2!DF297</f>
        <v>0</v>
      </c>
      <c r="DZ298" s="14">
        <f>[1]Sheet2!DG297</f>
        <v>0</v>
      </c>
      <c r="EA298" s="14">
        <f>[1]Sheet2!DH297</f>
        <v>0</v>
      </c>
      <c r="EB298" s="6">
        <f>[1]Sheet2!EC297</f>
        <v>0</v>
      </c>
      <c r="EC298" s="6">
        <f>[1]Sheet2!ED297</f>
        <v>0</v>
      </c>
      <c r="ED298" s="6">
        <f>[1]Sheet2!EE297</f>
        <v>0</v>
      </c>
      <c r="EE298" s="6">
        <f>[1]Sheet2!EF297</f>
        <v>0</v>
      </c>
      <c r="EF298" s="6">
        <f>[1]Sheet2!EG297</f>
        <v>0</v>
      </c>
      <c r="EG298" s="6">
        <f>[1]Sheet2!EH297</f>
        <v>0</v>
      </c>
      <c r="EH298" s="6">
        <f>[1]Sheet2!EI297</f>
        <v>0</v>
      </c>
      <c r="EI298" s="6">
        <f>[1]Sheet2!EJ297</f>
        <v>0</v>
      </c>
      <c r="EJ298" s="6">
        <f>[1]Sheet2!EK297</f>
        <v>0</v>
      </c>
      <c r="EK298" s="6">
        <f>[1]Sheet2!EL297</f>
        <v>0</v>
      </c>
      <c r="EL298" s="6" t="str">
        <f>[1]Sheet2!EM297</f>
        <v/>
      </c>
      <c r="EM298" s="6" t="str">
        <f>[1]Sheet2!EN297</f>
        <v/>
      </c>
      <c r="EN298" s="6" t="str">
        <f>[1]Sheet2!EO297</f>
        <v/>
      </c>
      <c r="EO298" s="6" t="str">
        <f>[1]Sheet2!EP297</f>
        <v/>
      </c>
      <c r="EP298" s="6" t="str">
        <f>[1]Sheet2!EQ297</f>
        <v/>
      </c>
      <c r="EQ298" s="6" t="str">
        <f>[1]Sheet2!ER297</f>
        <v/>
      </c>
      <c r="ER298" s="6" t="str">
        <f>[1]Sheet2!ES297</f>
        <v/>
      </c>
      <c r="ES298" s="6" t="str">
        <f>[1]Sheet2!ET297</f>
        <v/>
      </c>
      <c r="ET298" s="6" t="str">
        <f>[1]Sheet2!EU297</f>
        <v/>
      </c>
      <c r="EU298" s="6" t="str">
        <f>[1]Sheet2!EV297</f>
        <v/>
      </c>
      <c r="EV298" s="6" t="str">
        <f>[1]Sheet2!EW297</f>
        <v/>
      </c>
      <c r="EW298" s="6" t="str">
        <f>[1]Sheet2!EX297</f>
        <v/>
      </c>
      <c r="EX298" s="6" t="str">
        <f>[1]Sheet2!EY297</f>
        <v/>
      </c>
      <c r="EY298" s="6" t="str">
        <f>[1]Sheet2!EZ297</f>
        <v/>
      </c>
      <c r="EZ298" s="6" t="str">
        <f>[1]Sheet2!FA297</f>
        <v/>
      </c>
      <c r="FA298" s="6" t="str">
        <f>[1]Sheet2!FB297</f>
        <v/>
      </c>
      <c r="FB298" s="6" t="str">
        <f>[1]Sheet2!FC297</f>
        <v/>
      </c>
      <c r="FC298" s="6" t="str">
        <f>[1]Sheet2!FD297</f>
        <v/>
      </c>
      <c r="FD298" s="6" t="str">
        <f>[1]Sheet2!FE297</f>
        <v/>
      </c>
      <c r="FE298" s="6" t="str">
        <f>[1]Sheet2!FF297</f>
        <v/>
      </c>
      <c r="FF298" s="6" t="str">
        <f>[1]Sheet2!FG297</f>
        <v/>
      </c>
      <c r="FG298" s="6" t="str">
        <f>[1]Sheet2!FH297</f>
        <v/>
      </c>
      <c r="FH298" s="6" t="str">
        <f>[1]Sheet2!FI297</f>
        <v/>
      </c>
      <c r="FI298" s="6" t="str">
        <f>[1]Sheet2!FJ297</f>
        <v/>
      </c>
      <c r="FJ298" s="6" t="str">
        <f>[1]Sheet2!FK297</f>
        <v/>
      </c>
      <c r="FK298" s="6" t="str">
        <f>[1]Sheet2!FL297</f>
        <v/>
      </c>
      <c r="FL298" s="6" t="str">
        <f>[1]Sheet2!FM297</f>
        <v/>
      </c>
      <c r="FM298" s="6" t="str">
        <f>[1]Sheet2!FN297</f>
        <v/>
      </c>
      <c r="FN298" s="6" t="str">
        <f>[1]Sheet2!FO297</f>
        <v/>
      </c>
      <c r="FO298" s="6" t="str">
        <f>[1]Sheet2!FP297</f>
        <v/>
      </c>
    </row>
    <row r="299" spans="1:171" x14ac:dyDescent="0.25">
      <c r="A299" s="15">
        <v>43761</v>
      </c>
      <c r="B299" s="1"/>
      <c r="C299" s="1"/>
      <c r="D299" s="1"/>
      <c r="E299" s="14">
        <f>[1]Sheet2!N298</f>
        <v>0</v>
      </c>
      <c r="F299" s="14">
        <f>[1]Sheet2!BE298</f>
        <v>0</v>
      </c>
      <c r="G299" s="14">
        <f>[1]Sheet2!CW298</f>
        <v>0</v>
      </c>
      <c r="H299" s="1"/>
      <c r="I299" s="1"/>
      <c r="J299" s="1"/>
      <c r="K299" s="16"/>
      <c r="L299" s="16">
        <f>Demand_CWRS!B$12/31</f>
        <v>113.31027191894128</v>
      </c>
      <c r="M299" s="16">
        <f>Demand_CWRS!C$12/31</f>
        <v>480.06765922249781</v>
      </c>
      <c r="N299" s="16">
        <f>Demand_CWRS!D$12/31</f>
        <v>0</v>
      </c>
      <c r="O299" s="16">
        <f>Demand_CWRS!E$12/31</f>
        <v>103.22435897435898</v>
      </c>
      <c r="P299" s="16">
        <f>Demand_CWRS!F$12/31</f>
        <v>209.74544820099254</v>
      </c>
      <c r="Q299" s="16">
        <f>Demand_CWRS!G$12/31</f>
        <v>113.31027191894128</v>
      </c>
      <c r="R299" s="16">
        <f>Demand_CWRS!H$12/31</f>
        <v>209.74544820099254</v>
      </c>
      <c r="S299" s="16">
        <f>Demand_CWRS!I$12/31</f>
        <v>209.74544820099254</v>
      </c>
      <c r="T299" s="16">
        <f>Demand_CWRS!J$12/31</f>
        <v>209.74544820099254</v>
      </c>
      <c r="U299" s="16">
        <f>Demand_CWRS!K$12/31</f>
        <v>209.74544820099254</v>
      </c>
      <c r="V299" s="16">
        <f t="shared" si="126"/>
        <v>-33687.132406916746</v>
      </c>
      <c r="W299" s="16">
        <f t="shared" si="127"/>
        <v>-132268.21000827083</v>
      </c>
      <c r="X299" s="16">
        <f t="shared" si="128"/>
        <v>0</v>
      </c>
      <c r="Y299" s="16">
        <f t="shared" si="129"/>
        <v>-25314.635524180445</v>
      </c>
      <c r="Z299" s="16">
        <f t="shared" si="130"/>
        <v>-58853.3518517501</v>
      </c>
      <c r="AA299" s="16">
        <f t="shared" si="131"/>
        <v>-32215.199882878358</v>
      </c>
      <c r="AB299" s="16">
        <f t="shared" si="132"/>
        <v>-63162.516627391058</v>
      </c>
      <c r="AC299" s="16">
        <f t="shared" si="133"/>
        <v>-57369.506370980867</v>
      </c>
      <c r="AD299" s="16">
        <f t="shared" si="134"/>
        <v>-57469.50637098086</v>
      </c>
      <c r="AE299" s="16">
        <f t="shared" si="135"/>
        <v>-58069.506370980853</v>
      </c>
      <c r="AF299" s="14">
        <f>IF([1]Sheet2!AJ298=999999,"NA",[1]Sheet2!AJ298)</f>
        <v>0</v>
      </c>
      <c r="AG299" s="14">
        <f>IF([1]Sheet2!AK298=999999,"NA",[1]Sheet2!AK298)</f>
        <v>0</v>
      </c>
      <c r="AH299" s="14" t="str">
        <f>IF([1]Sheet2!AL298=999999,"NA",[1]Sheet2!AL298)</f>
        <v>NA</v>
      </c>
      <c r="AI299" s="14">
        <f>IF([1]Sheet2!AM298=999999,"NA",[1]Sheet2!AM298)</f>
        <v>0</v>
      </c>
      <c r="AJ299" s="14">
        <f>IF([1]Sheet2!AN298=999999,"NA",[1]Sheet2!AN298)</f>
        <v>0</v>
      </c>
      <c r="AK299" s="14">
        <f>IF([1]Sheet2!AO298=999999,"NA",[1]Sheet2!AO298)</f>
        <v>0</v>
      </c>
      <c r="AL299" s="14">
        <f>IF([1]Sheet2!AP298=999999,"NA",[1]Sheet2!AP298)</f>
        <v>0</v>
      </c>
      <c r="AM299" s="14">
        <f>IF([1]Sheet2!AQ298=999999,"NA",[1]Sheet2!AQ298)</f>
        <v>0</v>
      </c>
      <c r="AN299" s="14">
        <f>IF([1]Sheet2!AR298=999999,"NA",[1]Sheet2!AR298)</f>
        <v>0</v>
      </c>
      <c r="AO299" s="14">
        <f>IF([1]Sheet2!AS298=999999,"NA",[1]Sheet2!AS298)</f>
        <v>0</v>
      </c>
      <c r="AP299" s="14">
        <f>[1]Sheet2!P298</f>
        <v>0</v>
      </c>
      <c r="AQ299" s="14">
        <f>[1]Sheet2!Q298</f>
        <v>0</v>
      </c>
      <c r="AR299" s="14">
        <f>[1]Sheet2!R298</f>
        <v>0</v>
      </c>
      <c r="AS299" s="14">
        <f>[1]Sheet2!S298</f>
        <v>0</v>
      </c>
      <c r="AT299" s="14">
        <f>[1]Sheet2!T298</f>
        <v>0</v>
      </c>
      <c r="AU299" s="14">
        <f>[1]Sheet2!U298</f>
        <v>0</v>
      </c>
      <c r="AV299" s="14">
        <f>[1]Sheet2!V298</f>
        <v>0</v>
      </c>
      <c r="AW299" s="14">
        <f>[1]Sheet2!W298</f>
        <v>0</v>
      </c>
      <c r="AX299" s="14">
        <f>[1]Sheet2!X298</f>
        <v>0</v>
      </c>
      <c r="AY299" s="14">
        <f>[1]Sheet2!Y298</f>
        <v>0</v>
      </c>
      <c r="AZ299" s="16">
        <f>Demand_LP!B$12/31</f>
        <v>866.47279518196865</v>
      </c>
      <c r="BA299" s="16">
        <f>Demand_LP!C$12/31</f>
        <v>577.62712985938799</v>
      </c>
      <c r="BB299" s="16">
        <f>Demand_LP!D$12/31</f>
        <v>262.18502894954509</v>
      </c>
      <c r="BC299" s="16">
        <f>Demand_LP!E$12/31</f>
        <v>766.03229942100904</v>
      </c>
      <c r="BD299" s="16">
        <f>Demand_LP!F$12/31</f>
        <v>516.10499638130682</v>
      </c>
      <c r="BE299" s="16">
        <f>Demand_LP!G$12/31</f>
        <v>516.10499638130682</v>
      </c>
      <c r="BF299" s="16">
        <f>Demand_LP!H$12/31</f>
        <v>577.62712985938799</v>
      </c>
      <c r="BG299" s="16">
        <f>Demand_LP!I$12/31</f>
        <v>516.10499638130682</v>
      </c>
      <c r="BH299" s="16">
        <f>Demand_LP!J$12/31</f>
        <v>516.10499638130682</v>
      </c>
      <c r="BI299" s="16">
        <f>Demand_LP!K$12/31</f>
        <v>516.10499638130682</v>
      </c>
      <c r="BJ299" s="16">
        <f t="shared" si="136"/>
        <v>-218672.61317677211</v>
      </c>
      <c r="BK299" s="16">
        <f t="shared" si="137"/>
        <v>-165491.4880893298</v>
      </c>
      <c r="BL299" s="16">
        <f t="shared" si="138"/>
        <v>-80006.996691480876</v>
      </c>
      <c r="BM299" s="16">
        <f t="shared" si="139"/>
        <v>-211839.21338327441</v>
      </c>
      <c r="BN299" s="16">
        <f t="shared" si="140"/>
        <v>-128519.45240865598</v>
      </c>
      <c r="BO299" s="16">
        <f t="shared" si="141"/>
        <v>-126977.13632702672</v>
      </c>
      <c r="BP299" s="16">
        <f t="shared" si="142"/>
        <v>-159849.06757650914</v>
      </c>
      <c r="BQ299" s="16">
        <f t="shared" si="143"/>
        <v>-122806.13632702672</v>
      </c>
      <c r="BR299" s="16">
        <f t="shared" si="144"/>
        <v>-124577.13632702676</v>
      </c>
      <c r="BS299" s="16">
        <f t="shared" si="145"/>
        <v>-125277.13632702675</v>
      </c>
      <c r="BT299" s="14">
        <f>IF([1]Sheet2!CB298=999999,"NA",[1]Sheet2!CB298)</f>
        <v>0</v>
      </c>
      <c r="BU299" s="14">
        <f>IF([1]Sheet2!CC298=999999,"NA",[1]Sheet2!CC298)</f>
        <v>0</v>
      </c>
      <c r="BV299" s="14">
        <f>IF([1]Sheet2!CD298=999999,"NA",[1]Sheet2!CD298)</f>
        <v>0</v>
      </c>
      <c r="BW299" s="14">
        <f>IF([1]Sheet2!CE298=999999,"NA",[1]Sheet2!CE298)</f>
        <v>0</v>
      </c>
      <c r="BX299" s="14">
        <f>IF([1]Sheet2!CF298=999999,"NA",[1]Sheet2!CF298)</f>
        <v>0</v>
      </c>
      <c r="BY299" s="14">
        <f>IF([1]Sheet2!CG298=999999,"NA",[1]Sheet2!CG298)</f>
        <v>0</v>
      </c>
      <c r="BZ299" s="14">
        <f>IF([1]Sheet2!CH298=999999,"NA",[1]Sheet2!CH298)</f>
        <v>0</v>
      </c>
      <c r="CA299" s="14">
        <f>IF([1]Sheet2!CI298=999999,"NA",[1]Sheet2!CI298)</f>
        <v>0</v>
      </c>
      <c r="CB299" s="14">
        <f>IF([1]Sheet2!CJ298=999999,"NA",[1]Sheet2!CJ298)</f>
        <v>0</v>
      </c>
      <c r="CC299" s="14">
        <f>IF([1]Sheet2!CK298=999999,"NA",[1]Sheet2!CK298)</f>
        <v>0</v>
      </c>
      <c r="CD299" s="14">
        <f>[1]Sheet2!BH298</f>
        <v>0</v>
      </c>
      <c r="CE299" s="14">
        <f>[1]Sheet2!BI298</f>
        <v>0</v>
      </c>
      <c r="CF299" s="14">
        <f>[1]Sheet2!BJ298</f>
        <v>0</v>
      </c>
      <c r="CG299" s="14">
        <f>[1]Sheet2!BK298</f>
        <v>0</v>
      </c>
      <c r="CH299" s="14">
        <f>[1]Sheet2!BL298</f>
        <v>0</v>
      </c>
      <c r="CI299" s="14">
        <f>[1]Sheet2!BM298</f>
        <v>0</v>
      </c>
      <c r="CJ299" s="14">
        <f>[1]Sheet2!BN298</f>
        <v>0</v>
      </c>
      <c r="CK299" s="14">
        <f>[1]Sheet2!BO298</f>
        <v>0</v>
      </c>
      <c r="CL299" s="14">
        <f>[1]Sheet2!BP298</f>
        <v>0</v>
      </c>
      <c r="CM299" s="14">
        <f>[1]Sheet2!BQ298</f>
        <v>0</v>
      </c>
      <c r="CN299" s="16">
        <f>Demand_SW!B$12/31</f>
        <v>139.57816377171216</v>
      </c>
      <c r="CO299" s="16">
        <f>Demand_SW!C$12/31</f>
        <v>0</v>
      </c>
      <c r="CP299" s="16">
        <f>Demand_SW!D$12/31</f>
        <v>0</v>
      </c>
      <c r="CQ299" s="16">
        <f>Demand_SW!E$12/31</f>
        <v>0</v>
      </c>
      <c r="CR299" s="16">
        <f>Demand_SW!F$12/31</f>
        <v>0</v>
      </c>
      <c r="CS299" s="16">
        <f>Demand_SW!G$12/31</f>
        <v>139.57816377171216</v>
      </c>
      <c r="CT299" s="16">
        <f>Demand_SW!H$12/31</f>
        <v>0</v>
      </c>
      <c r="CU299" s="16">
        <f>Demand_SW!I$12/31</f>
        <v>0</v>
      </c>
      <c r="CV299" s="16">
        <f>Demand_SW!J$12/31</f>
        <v>0</v>
      </c>
      <c r="CW299" s="16">
        <f>Demand_SW!K$12/31</f>
        <v>0</v>
      </c>
      <c r="CX299" s="16">
        <f t="shared" si="146"/>
        <v>-17257.990074441725</v>
      </c>
      <c r="CY299" s="16">
        <f t="shared" si="147"/>
        <v>76.923076923077133</v>
      </c>
      <c r="CZ299" s="16">
        <f t="shared" si="148"/>
        <v>0</v>
      </c>
      <c r="DA299" s="16">
        <f t="shared" si="149"/>
        <v>0</v>
      </c>
      <c r="DB299" s="16">
        <f t="shared" si="150"/>
        <v>0</v>
      </c>
      <c r="DC299" s="16">
        <f t="shared" si="151"/>
        <v>-18489.220843672494</v>
      </c>
      <c r="DD299" s="16">
        <f t="shared" si="152"/>
        <v>76.923076923077133</v>
      </c>
      <c r="DE299" s="16">
        <f t="shared" si="153"/>
        <v>0</v>
      </c>
      <c r="DF299" s="16">
        <f t="shared" si="154"/>
        <v>0</v>
      </c>
      <c r="DG299" s="16">
        <f t="shared" si="155"/>
        <v>0</v>
      </c>
      <c r="DH299" s="14">
        <f>IF([1]Sheet2!DS298=999999,"NA",[1]Sheet2!DS298)</f>
        <v>0</v>
      </c>
      <c r="DI299" s="14">
        <f>IF([1]Sheet2!DT298=999999,"NA",[1]Sheet2!DT298)</f>
        <v>69</v>
      </c>
      <c r="DJ299" s="14" t="str">
        <f>IF([1]Sheet2!DU298=999999,"NA",[1]Sheet2!DU298)</f>
        <v>NA</v>
      </c>
      <c r="DK299" s="14" t="str">
        <f>IF([1]Sheet2!DV298=999999,"NA",[1]Sheet2!DV298)</f>
        <v>NA</v>
      </c>
      <c r="DL299" s="14" t="str">
        <f>IF([1]Sheet2!DW298=999999,"NA",[1]Sheet2!DW298)</f>
        <v>NA</v>
      </c>
      <c r="DM299" s="14">
        <f>IF([1]Sheet2!DX298=999999,"NA",[1]Sheet2!DX298)</f>
        <v>0</v>
      </c>
      <c r="DN299" s="14">
        <f>IF([1]Sheet2!DY298=999999,"NA",[1]Sheet2!DY298)</f>
        <v>69</v>
      </c>
      <c r="DO299" s="14" t="str">
        <f>IF([1]Sheet2!DZ298=999999,"NA",[1]Sheet2!DZ298)</f>
        <v>NA</v>
      </c>
      <c r="DP299" s="14" t="str">
        <f>IF([1]Sheet2!EA298=999999,"NA",[1]Sheet2!EA298)</f>
        <v>NA</v>
      </c>
      <c r="DQ299" s="14" t="str">
        <f>IF([1]Sheet2!EB298=999999,"NA",[1]Sheet2!EB298)</f>
        <v>NA</v>
      </c>
      <c r="DR299" s="14">
        <f>[1]Sheet2!CY298</f>
        <v>0</v>
      </c>
      <c r="DS299" s="14">
        <f>[1]Sheet2!CZ298</f>
        <v>0</v>
      </c>
      <c r="DT299" s="14">
        <f>[1]Sheet2!DA298</f>
        <v>0</v>
      </c>
      <c r="DU299" s="14">
        <f>[1]Sheet2!DB298</f>
        <v>0</v>
      </c>
      <c r="DV299" s="14">
        <f>[1]Sheet2!DC298</f>
        <v>0</v>
      </c>
      <c r="DW299" s="14">
        <f>[1]Sheet2!DD298</f>
        <v>0</v>
      </c>
      <c r="DX299" s="14">
        <f>[1]Sheet2!DE298</f>
        <v>0</v>
      </c>
      <c r="DY299" s="14">
        <f>[1]Sheet2!DF298</f>
        <v>0</v>
      </c>
      <c r="DZ299" s="14">
        <f>[1]Sheet2!DG298</f>
        <v>0</v>
      </c>
      <c r="EA299" s="14">
        <f>[1]Sheet2!DH298</f>
        <v>0</v>
      </c>
      <c r="EB299" s="6">
        <f>[1]Sheet2!EC298</f>
        <v>0</v>
      </c>
      <c r="EC299" s="6">
        <f>[1]Sheet2!ED298</f>
        <v>0</v>
      </c>
      <c r="ED299" s="6">
        <f>[1]Sheet2!EE298</f>
        <v>0</v>
      </c>
      <c r="EE299" s="6">
        <f>[1]Sheet2!EF298</f>
        <v>0</v>
      </c>
      <c r="EF299" s="6">
        <f>[1]Sheet2!EG298</f>
        <v>0</v>
      </c>
      <c r="EG299" s="6">
        <f>[1]Sheet2!EH298</f>
        <v>0</v>
      </c>
      <c r="EH299" s="6">
        <f>[1]Sheet2!EI298</f>
        <v>0</v>
      </c>
      <c r="EI299" s="6">
        <f>[1]Sheet2!EJ298</f>
        <v>0</v>
      </c>
      <c r="EJ299" s="6">
        <f>[1]Sheet2!EK298</f>
        <v>0</v>
      </c>
      <c r="EK299" s="6">
        <f>[1]Sheet2!EL298</f>
        <v>0</v>
      </c>
      <c r="EL299" s="6" t="str">
        <f>[1]Sheet2!EM298</f>
        <v/>
      </c>
      <c r="EM299" s="6" t="str">
        <f>[1]Sheet2!EN298</f>
        <v/>
      </c>
      <c r="EN299" s="6" t="str">
        <f>[1]Sheet2!EO298</f>
        <v/>
      </c>
      <c r="EO299" s="6" t="str">
        <f>[1]Sheet2!EP298</f>
        <v/>
      </c>
      <c r="EP299" s="6" t="str">
        <f>[1]Sheet2!EQ298</f>
        <v/>
      </c>
      <c r="EQ299" s="6" t="str">
        <f>[1]Sheet2!ER298</f>
        <v/>
      </c>
      <c r="ER299" s="6" t="str">
        <f>[1]Sheet2!ES298</f>
        <v/>
      </c>
      <c r="ES299" s="6" t="str">
        <f>[1]Sheet2!ET298</f>
        <v/>
      </c>
      <c r="ET299" s="6" t="str">
        <f>[1]Sheet2!EU298</f>
        <v/>
      </c>
      <c r="EU299" s="6" t="str">
        <f>[1]Sheet2!EV298</f>
        <v/>
      </c>
      <c r="EV299" s="6" t="str">
        <f>[1]Sheet2!EW298</f>
        <v/>
      </c>
      <c r="EW299" s="6" t="str">
        <f>[1]Sheet2!EX298</f>
        <v/>
      </c>
      <c r="EX299" s="6" t="str">
        <f>[1]Sheet2!EY298</f>
        <v/>
      </c>
      <c r="EY299" s="6" t="str">
        <f>[1]Sheet2!EZ298</f>
        <v/>
      </c>
      <c r="EZ299" s="6" t="str">
        <f>[1]Sheet2!FA298</f>
        <v/>
      </c>
      <c r="FA299" s="6" t="str">
        <f>[1]Sheet2!FB298</f>
        <v/>
      </c>
      <c r="FB299" s="6" t="str">
        <f>[1]Sheet2!FC298</f>
        <v/>
      </c>
      <c r="FC299" s="6" t="str">
        <f>[1]Sheet2!FD298</f>
        <v/>
      </c>
      <c r="FD299" s="6" t="str">
        <f>[1]Sheet2!FE298</f>
        <v/>
      </c>
      <c r="FE299" s="6" t="str">
        <f>[1]Sheet2!FF298</f>
        <v/>
      </c>
      <c r="FF299" s="6" t="str">
        <f>[1]Sheet2!FG298</f>
        <v/>
      </c>
      <c r="FG299" s="6" t="str">
        <f>[1]Sheet2!FH298</f>
        <v/>
      </c>
      <c r="FH299" s="6" t="str">
        <f>[1]Sheet2!FI298</f>
        <v/>
      </c>
      <c r="FI299" s="6" t="str">
        <f>[1]Sheet2!FJ298</f>
        <v/>
      </c>
      <c r="FJ299" s="6" t="str">
        <f>[1]Sheet2!FK298</f>
        <v/>
      </c>
      <c r="FK299" s="6" t="str">
        <f>[1]Sheet2!FL298</f>
        <v/>
      </c>
      <c r="FL299" s="6" t="str">
        <f>[1]Sheet2!FM298</f>
        <v/>
      </c>
      <c r="FM299" s="6" t="str">
        <f>[1]Sheet2!FN298</f>
        <v/>
      </c>
      <c r="FN299" s="6" t="str">
        <f>[1]Sheet2!FO298</f>
        <v/>
      </c>
      <c r="FO299" s="6" t="str">
        <f>[1]Sheet2!FP298</f>
        <v/>
      </c>
    </row>
    <row r="300" spans="1:171" x14ac:dyDescent="0.25">
      <c r="A300" s="15">
        <v>43762</v>
      </c>
      <c r="B300" s="1"/>
      <c r="C300" s="1"/>
      <c r="D300" s="1"/>
      <c r="E300" s="14">
        <f>[1]Sheet2!N299</f>
        <v>0</v>
      </c>
      <c r="F300" s="14">
        <f>[1]Sheet2!BE299</f>
        <v>0</v>
      </c>
      <c r="G300" s="14">
        <f>[1]Sheet2!CW299</f>
        <v>0</v>
      </c>
      <c r="H300" s="1"/>
      <c r="I300" s="1"/>
      <c r="J300" s="1"/>
      <c r="K300" s="16"/>
      <c r="L300" s="16">
        <f>Demand_CWRS!B$12/31</f>
        <v>113.31027191894128</v>
      </c>
      <c r="M300" s="16">
        <f>Demand_CWRS!C$12/31</f>
        <v>480.06765922249781</v>
      </c>
      <c r="N300" s="16">
        <f>Demand_CWRS!D$12/31</f>
        <v>0</v>
      </c>
      <c r="O300" s="16">
        <f>Demand_CWRS!E$12/31</f>
        <v>103.22435897435898</v>
      </c>
      <c r="P300" s="16">
        <f>Demand_CWRS!F$12/31</f>
        <v>209.74544820099254</v>
      </c>
      <c r="Q300" s="16">
        <f>Demand_CWRS!G$12/31</f>
        <v>113.31027191894128</v>
      </c>
      <c r="R300" s="16">
        <f>Demand_CWRS!H$12/31</f>
        <v>209.74544820099254</v>
      </c>
      <c r="S300" s="16">
        <f>Demand_CWRS!I$12/31</f>
        <v>209.74544820099254</v>
      </c>
      <c r="T300" s="16">
        <f>Demand_CWRS!J$12/31</f>
        <v>209.74544820099254</v>
      </c>
      <c r="U300" s="16">
        <f>Demand_CWRS!K$12/31</f>
        <v>209.74544820099254</v>
      </c>
      <c r="V300" s="16">
        <f t="shared" si="126"/>
        <v>-33800.442678835687</v>
      </c>
      <c r="W300" s="16">
        <f t="shared" si="127"/>
        <v>-132748.27766749333</v>
      </c>
      <c r="X300" s="16">
        <f t="shared" si="128"/>
        <v>0</v>
      </c>
      <c r="Y300" s="16">
        <f t="shared" si="129"/>
        <v>-25417.859883154804</v>
      </c>
      <c r="Z300" s="16">
        <f t="shared" si="130"/>
        <v>-59063.097299951092</v>
      </c>
      <c r="AA300" s="16">
        <f t="shared" si="131"/>
        <v>-32328.510154797299</v>
      </c>
      <c r="AB300" s="16">
        <f t="shared" si="132"/>
        <v>-63372.262075592051</v>
      </c>
      <c r="AC300" s="16">
        <f t="shared" si="133"/>
        <v>-57579.25181918186</v>
      </c>
      <c r="AD300" s="16">
        <f t="shared" si="134"/>
        <v>-57679.251819181853</v>
      </c>
      <c r="AE300" s="16">
        <f t="shared" si="135"/>
        <v>-58279.251819181845</v>
      </c>
      <c r="AF300" s="14">
        <f>IF([1]Sheet2!AJ299=999999,"NA",[1]Sheet2!AJ299)</f>
        <v>0</v>
      </c>
      <c r="AG300" s="14">
        <f>IF([1]Sheet2!AK299=999999,"NA",[1]Sheet2!AK299)</f>
        <v>0</v>
      </c>
      <c r="AH300" s="14" t="str">
        <f>IF([1]Sheet2!AL299=999999,"NA",[1]Sheet2!AL299)</f>
        <v>NA</v>
      </c>
      <c r="AI300" s="14">
        <f>IF([1]Sheet2!AM299=999999,"NA",[1]Sheet2!AM299)</f>
        <v>0</v>
      </c>
      <c r="AJ300" s="14">
        <f>IF([1]Sheet2!AN299=999999,"NA",[1]Sheet2!AN299)</f>
        <v>0</v>
      </c>
      <c r="AK300" s="14">
        <f>IF([1]Sheet2!AO299=999999,"NA",[1]Sheet2!AO299)</f>
        <v>0</v>
      </c>
      <c r="AL300" s="14">
        <f>IF([1]Sheet2!AP299=999999,"NA",[1]Sheet2!AP299)</f>
        <v>0</v>
      </c>
      <c r="AM300" s="14">
        <f>IF([1]Sheet2!AQ299=999999,"NA",[1]Sheet2!AQ299)</f>
        <v>0</v>
      </c>
      <c r="AN300" s="14">
        <f>IF([1]Sheet2!AR299=999999,"NA",[1]Sheet2!AR299)</f>
        <v>0</v>
      </c>
      <c r="AO300" s="14">
        <f>IF([1]Sheet2!AS299=999999,"NA",[1]Sheet2!AS299)</f>
        <v>0</v>
      </c>
      <c r="AP300" s="14">
        <f>[1]Sheet2!P299</f>
        <v>0</v>
      </c>
      <c r="AQ300" s="14">
        <f>[1]Sheet2!Q299</f>
        <v>0</v>
      </c>
      <c r="AR300" s="14">
        <f>[1]Sheet2!R299</f>
        <v>0</v>
      </c>
      <c r="AS300" s="14">
        <f>[1]Sheet2!S299</f>
        <v>0</v>
      </c>
      <c r="AT300" s="14">
        <f>[1]Sheet2!T299</f>
        <v>0</v>
      </c>
      <c r="AU300" s="14">
        <f>[1]Sheet2!U299</f>
        <v>0</v>
      </c>
      <c r="AV300" s="14">
        <f>[1]Sheet2!V299</f>
        <v>0</v>
      </c>
      <c r="AW300" s="14">
        <f>[1]Sheet2!W299</f>
        <v>0</v>
      </c>
      <c r="AX300" s="14">
        <f>[1]Sheet2!X299</f>
        <v>0</v>
      </c>
      <c r="AY300" s="14">
        <f>[1]Sheet2!Y299</f>
        <v>0</v>
      </c>
      <c r="AZ300" s="16">
        <f>Demand_LP!B$12/31</f>
        <v>866.47279518196865</v>
      </c>
      <c r="BA300" s="16">
        <f>Demand_LP!C$12/31</f>
        <v>577.62712985938799</v>
      </c>
      <c r="BB300" s="16">
        <f>Demand_LP!D$12/31</f>
        <v>262.18502894954509</v>
      </c>
      <c r="BC300" s="16">
        <f>Demand_LP!E$12/31</f>
        <v>766.03229942100904</v>
      </c>
      <c r="BD300" s="16">
        <f>Demand_LP!F$12/31</f>
        <v>516.10499638130682</v>
      </c>
      <c r="BE300" s="16">
        <f>Demand_LP!G$12/31</f>
        <v>516.10499638130682</v>
      </c>
      <c r="BF300" s="16">
        <f>Demand_LP!H$12/31</f>
        <v>577.62712985938799</v>
      </c>
      <c r="BG300" s="16">
        <f>Demand_LP!I$12/31</f>
        <v>516.10499638130682</v>
      </c>
      <c r="BH300" s="16">
        <f>Demand_LP!J$12/31</f>
        <v>516.10499638130682</v>
      </c>
      <c r="BI300" s="16">
        <f>Demand_LP!K$12/31</f>
        <v>516.10499638130682</v>
      </c>
      <c r="BJ300" s="16">
        <f t="shared" si="136"/>
        <v>-219539.08597195407</v>
      </c>
      <c r="BK300" s="16">
        <f t="shared" si="137"/>
        <v>-166069.11521918917</v>
      </c>
      <c r="BL300" s="16">
        <f t="shared" si="138"/>
        <v>-80269.181720430424</v>
      </c>
      <c r="BM300" s="16">
        <f t="shared" si="139"/>
        <v>-212605.24568269541</v>
      </c>
      <c r="BN300" s="16">
        <f t="shared" si="140"/>
        <v>-129035.5574050373</v>
      </c>
      <c r="BO300" s="16">
        <f t="shared" si="141"/>
        <v>-127493.24132340803</v>
      </c>
      <c r="BP300" s="16">
        <f t="shared" si="142"/>
        <v>-160426.69470636852</v>
      </c>
      <c r="BQ300" s="16">
        <f t="shared" si="143"/>
        <v>-123322.24132340803</v>
      </c>
      <c r="BR300" s="16">
        <f t="shared" si="144"/>
        <v>-125093.24132340807</v>
      </c>
      <c r="BS300" s="16">
        <f t="shared" si="145"/>
        <v>-125793.24132340806</v>
      </c>
      <c r="BT300" s="14">
        <f>IF([1]Sheet2!CB299=999999,"NA",[1]Sheet2!CB299)</f>
        <v>0</v>
      </c>
      <c r="BU300" s="14">
        <f>IF([1]Sheet2!CC299=999999,"NA",[1]Sheet2!CC299)</f>
        <v>0</v>
      </c>
      <c r="BV300" s="14">
        <f>IF([1]Sheet2!CD299=999999,"NA",[1]Sheet2!CD299)</f>
        <v>0</v>
      </c>
      <c r="BW300" s="14">
        <f>IF([1]Sheet2!CE299=999999,"NA",[1]Sheet2!CE299)</f>
        <v>0</v>
      </c>
      <c r="BX300" s="14">
        <f>IF([1]Sheet2!CF299=999999,"NA",[1]Sheet2!CF299)</f>
        <v>0</v>
      </c>
      <c r="BY300" s="14">
        <f>IF([1]Sheet2!CG299=999999,"NA",[1]Sheet2!CG299)</f>
        <v>0</v>
      </c>
      <c r="BZ300" s="14">
        <f>IF([1]Sheet2!CH299=999999,"NA",[1]Sheet2!CH299)</f>
        <v>0</v>
      </c>
      <c r="CA300" s="14">
        <f>IF([1]Sheet2!CI299=999999,"NA",[1]Sheet2!CI299)</f>
        <v>0</v>
      </c>
      <c r="CB300" s="14">
        <f>IF([1]Sheet2!CJ299=999999,"NA",[1]Sheet2!CJ299)</f>
        <v>0</v>
      </c>
      <c r="CC300" s="14">
        <f>IF([1]Sheet2!CK299=999999,"NA",[1]Sheet2!CK299)</f>
        <v>0</v>
      </c>
      <c r="CD300" s="14">
        <f>[1]Sheet2!BH299</f>
        <v>0</v>
      </c>
      <c r="CE300" s="14">
        <f>[1]Sheet2!BI299</f>
        <v>0</v>
      </c>
      <c r="CF300" s="14">
        <f>[1]Sheet2!BJ299</f>
        <v>0</v>
      </c>
      <c r="CG300" s="14">
        <f>[1]Sheet2!BK299</f>
        <v>0</v>
      </c>
      <c r="CH300" s="14">
        <f>[1]Sheet2!BL299</f>
        <v>0</v>
      </c>
      <c r="CI300" s="14">
        <f>[1]Sheet2!BM299</f>
        <v>0</v>
      </c>
      <c r="CJ300" s="14">
        <f>[1]Sheet2!BN299</f>
        <v>0</v>
      </c>
      <c r="CK300" s="14">
        <f>[1]Sheet2!BO299</f>
        <v>0</v>
      </c>
      <c r="CL300" s="14">
        <f>[1]Sheet2!BP299</f>
        <v>0</v>
      </c>
      <c r="CM300" s="14">
        <f>[1]Sheet2!BQ299</f>
        <v>0</v>
      </c>
      <c r="CN300" s="16">
        <f>Demand_SW!B$12/31</f>
        <v>139.57816377171216</v>
      </c>
      <c r="CO300" s="16">
        <f>Demand_SW!C$12/31</f>
        <v>0</v>
      </c>
      <c r="CP300" s="16">
        <f>Demand_SW!D$12/31</f>
        <v>0</v>
      </c>
      <c r="CQ300" s="16">
        <f>Demand_SW!E$12/31</f>
        <v>0</v>
      </c>
      <c r="CR300" s="16">
        <f>Demand_SW!F$12/31</f>
        <v>0</v>
      </c>
      <c r="CS300" s="16">
        <f>Demand_SW!G$12/31</f>
        <v>139.57816377171216</v>
      </c>
      <c r="CT300" s="16">
        <f>Demand_SW!H$12/31</f>
        <v>0</v>
      </c>
      <c r="CU300" s="16">
        <f>Demand_SW!I$12/31</f>
        <v>0</v>
      </c>
      <c r="CV300" s="16">
        <f>Demand_SW!J$12/31</f>
        <v>0</v>
      </c>
      <c r="CW300" s="16">
        <f>Demand_SW!K$12/31</f>
        <v>0</v>
      </c>
      <c r="CX300" s="16">
        <f t="shared" si="146"/>
        <v>-17397.568238213436</v>
      </c>
      <c r="CY300" s="16">
        <f t="shared" si="147"/>
        <v>76.923076923077133</v>
      </c>
      <c r="CZ300" s="16">
        <f t="shared" si="148"/>
        <v>0</v>
      </c>
      <c r="DA300" s="16">
        <f t="shared" si="149"/>
        <v>0</v>
      </c>
      <c r="DB300" s="16">
        <f t="shared" si="150"/>
        <v>0</v>
      </c>
      <c r="DC300" s="16">
        <f t="shared" si="151"/>
        <v>-18628.799007444206</v>
      </c>
      <c r="DD300" s="16">
        <f t="shared" si="152"/>
        <v>76.923076923077133</v>
      </c>
      <c r="DE300" s="16">
        <f t="shared" si="153"/>
        <v>0</v>
      </c>
      <c r="DF300" s="16">
        <f t="shared" si="154"/>
        <v>0</v>
      </c>
      <c r="DG300" s="16">
        <f t="shared" si="155"/>
        <v>0</v>
      </c>
      <c r="DH300" s="14">
        <f>IF([1]Sheet2!DS299=999999,"NA",[1]Sheet2!DS299)</f>
        <v>0</v>
      </c>
      <c r="DI300" s="14">
        <f>IF([1]Sheet2!DT299=999999,"NA",[1]Sheet2!DT299)</f>
        <v>68</v>
      </c>
      <c r="DJ300" s="14" t="str">
        <f>IF([1]Sheet2!DU299=999999,"NA",[1]Sheet2!DU299)</f>
        <v>NA</v>
      </c>
      <c r="DK300" s="14" t="str">
        <f>IF([1]Sheet2!DV299=999999,"NA",[1]Sheet2!DV299)</f>
        <v>NA</v>
      </c>
      <c r="DL300" s="14" t="str">
        <f>IF([1]Sheet2!DW299=999999,"NA",[1]Sheet2!DW299)</f>
        <v>NA</v>
      </c>
      <c r="DM300" s="14">
        <f>IF([1]Sheet2!DX299=999999,"NA",[1]Sheet2!DX299)</f>
        <v>0</v>
      </c>
      <c r="DN300" s="14">
        <f>IF([1]Sheet2!DY299=999999,"NA",[1]Sheet2!DY299)</f>
        <v>68</v>
      </c>
      <c r="DO300" s="14" t="str">
        <f>IF([1]Sheet2!DZ299=999999,"NA",[1]Sheet2!DZ299)</f>
        <v>NA</v>
      </c>
      <c r="DP300" s="14" t="str">
        <f>IF([1]Sheet2!EA299=999999,"NA",[1]Sheet2!EA299)</f>
        <v>NA</v>
      </c>
      <c r="DQ300" s="14" t="str">
        <f>IF([1]Sheet2!EB299=999999,"NA",[1]Sheet2!EB299)</f>
        <v>NA</v>
      </c>
      <c r="DR300" s="14">
        <f>[1]Sheet2!CY299</f>
        <v>0</v>
      </c>
      <c r="DS300" s="14">
        <f>[1]Sheet2!CZ299</f>
        <v>0</v>
      </c>
      <c r="DT300" s="14">
        <f>[1]Sheet2!DA299</f>
        <v>0</v>
      </c>
      <c r="DU300" s="14">
        <f>[1]Sheet2!DB299</f>
        <v>0</v>
      </c>
      <c r="DV300" s="14">
        <f>[1]Sheet2!DC299</f>
        <v>0</v>
      </c>
      <c r="DW300" s="14">
        <f>[1]Sheet2!DD299</f>
        <v>0</v>
      </c>
      <c r="DX300" s="14">
        <f>[1]Sheet2!DE299</f>
        <v>0</v>
      </c>
      <c r="DY300" s="14">
        <f>[1]Sheet2!DF299</f>
        <v>0</v>
      </c>
      <c r="DZ300" s="14">
        <f>[1]Sheet2!DG299</f>
        <v>0</v>
      </c>
      <c r="EA300" s="14">
        <f>[1]Sheet2!DH299</f>
        <v>0</v>
      </c>
      <c r="EB300" s="6">
        <f>[1]Sheet2!EC299</f>
        <v>0</v>
      </c>
      <c r="EC300" s="6">
        <f>[1]Sheet2!ED299</f>
        <v>0</v>
      </c>
      <c r="ED300" s="6">
        <f>[1]Sheet2!EE299</f>
        <v>0</v>
      </c>
      <c r="EE300" s="6">
        <f>[1]Sheet2!EF299</f>
        <v>0</v>
      </c>
      <c r="EF300" s="6">
        <f>[1]Sheet2!EG299</f>
        <v>0</v>
      </c>
      <c r="EG300" s="6">
        <f>[1]Sheet2!EH299</f>
        <v>0</v>
      </c>
      <c r="EH300" s="6">
        <f>[1]Sheet2!EI299</f>
        <v>0</v>
      </c>
      <c r="EI300" s="6">
        <f>[1]Sheet2!EJ299</f>
        <v>0</v>
      </c>
      <c r="EJ300" s="6">
        <f>[1]Sheet2!EK299</f>
        <v>0</v>
      </c>
      <c r="EK300" s="6">
        <f>[1]Sheet2!EL299</f>
        <v>0</v>
      </c>
      <c r="EL300" s="6" t="str">
        <f>[1]Sheet2!EM299</f>
        <v/>
      </c>
      <c r="EM300" s="6" t="str">
        <f>[1]Sheet2!EN299</f>
        <v/>
      </c>
      <c r="EN300" s="6" t="str">
        <f>[1]Sheet2!EO299</f>
        <v/>
      </c>
      <c r="EO300" s="6" t="str">
        <f>[1]Sheet2!EP299</f>
        <v/>
      </c>
      <c r="EP300" s="6" t="str">
        <f>[1]Sheet2!EQ299</f>
        <v/>
      </c>
      <c r="EQ300" s="6" t="str">
        <f>[1]Sheet2!ER299</f>
        <v/>
      </c>
      <c r="ER300" s="6" t="str">
        <f>[1]Sheet2!ES299</f>
        <v/>
      </c>
      <c r="ES300" s="6" t="str">
        <f>[1]Sheet2!ET299</f>
        <v/>
      </c>
      <c r="ET300" s="6" t="str">
        <f>[1]Sheet2!EU299</f>
        <v/>
      </c>
      <c r="EU300" s="6" t="str">
        <f>[1]Sheet2!EV299</f>
        <v/>
      </c>
      <c r="EV300" s="6" t="str">
        <f>[1]Sheet2!EW299</f>
        <v/>
      </c>
      <c r="EW300" s="6" t="str">
        <f>[1]Sheet2!EX299</f>
        <v/>
      </c>
      <c r="EX300" s="6" t="str">
        <f>[1]Sheet2!EY299</f>
        <v/>
      </c>
      <c r="EY300" s="6" t="str">
        <f>[1]Sheet2!EZ299</f>
        <v/>
      </c>
      <c r="EZ300" s="6" t="str">
        <f>[1]Sheet2!FA299</f>
        <v/>
      </c>
      <c r="FA300" s="6" t="str">
        <f>[1]Sheet2!FB299</f>
        <v/>
      </c>
      <c r="FB300" s="6" t="str">
        <f>[1]Sheet2!FC299</f>
        <v/>
      </c>
      <c r="FC300" s="6" t="str">
        <f>[1]Sheet2!FD299</f>
        <v/>
      </c>
      <c r="FD300" s="6" t="str">
        <f>[1]Sheet2!FE299</f>
        <v/>
      </c>
      <c r="FE300" s="6" t="str">
        <f>[1]Sheet2!FF299</f>
        <v/>
      </c>
      <c r="FF300" s="6" t="str">
        <f>[1]Sheet2!FG299</f>
        <v/>
      </c>
      <c r="FG300" s="6" t="str">
        <f>[1]Sheet2!FH299</f>
        <v/>
      </c>
      <c r="FH300" s="6" t="str">
        <f>[1]Sheet2!FI299</f>
        <v/>
      </c>
      <c r="FI300" s="6" t="str">
        <f>[1]Sheet2!FJ299</f>
        <v/>
      </c>
      <c r="FJ300" s="6" t="str">
        <f>[1]Sheet2!FK299</f>
        <v/>
      </c>
      <c r="FK300" s="6" t="str">
        <f>[1]Sheet2!FL299</f>
        <v/>
      </c>
      <c r="FL300" s="6" t="str">
        <f>[1]Sheet2!FM299</f>
        <v/>
      </c>
      <c r="FM300" s="6" t="str">
        <f>[1]Sheet2!FN299</f>
        <v/>
      </c>
      <c r="FN300" s="6" t="str">
        <f>[1]Sheet2!FO299</f>
        <v/>
      </c>
      <c r="FO300" s="6" t="str">
        <f>[1]Sheet2!FP299</f>
        <v/>
      </c>
    </row>
    <row r="301" spans="1:171" x14ac:dyDescent="0.25">
      <c r="A301" s="15">
        <v>43763</v>
      </c>
      <c r="B301" s="1"/>
      <c r="C301" s="1"/>
      <c r="D301" s="1"/>
      <c r="E301" s="14">
        <f>[1]Sheet2!N300</f>
        <v>0</v>
      </c>
      <c r="F301" s="14">
        <f>[1]Sheet2!BE300</f>
        <v>0</v>
      </c>
      <c r="G301" s="14">
        <f>[1]Sheet2!CW300</f>
        <v>0</v>
      </c>
      <c r="H301" s="1"/>
      <c r="I301" s="1"/>
      <c r="J301" s="1"/>
      <c r="K301" s="16"/>
      <c r="L301" s="16">
        <f>Demand_CWRS!B$12/31</f>
        <v>113.31027191894128</v>
      </c>
      <c r="M301" s="16">
        <f>Demand_CWRS!C$12/31</f>
        <v>480.06765922249781</v>
      </c>
      <c r="N301" s="16">
        <f>Demand_CWRS!D$12/31</f>
        <v>0</v>
      </c>
      <c r="O301" s="16">
        <f>Demand_CWRS!E$12/31</f>
        <v>103.22435897435898</v>
      </c>
      <c r="P301" s="16">
        <f>Demand_CWRS!F$12/31</f>
        <v>209.74544820099254</v>
      </c>
      <c r="Q301" s="16">
        <f>Demand_CWRS!G$12/31</f>
        <v>113.31027191894128</v>
      </c>
      <c r="R301" s="16">
        <f>Demand_CWRS!H$12/31</f>
        <v>209.74544820099254</v>
      </c>
      <c r="S301" s="16">
        <f>Demand_CWRS!I$12/31</f>
        <v>209.74544820099254</v>
      </c>
      <c r="T301" s="16">
        <f>Demand_CWRS!J$12/31</f>
        <v>209.74544820099254</v>
      </c>
      <c r="U301" s="16">
        <f>Demand_CWRS!K$12/31</f>
        <v>209.74544820099254</v>
      </c>
      <c r="V301" s="16">
        <f t="shared" si="126"/>
        <v>-33913.752950754628</v>
      </c>
      <c r="W301" s="16">
        <f t="shared" si="127"/>
        <v>-133228.34532671582</v>
      </c>
      <c r="X301" s="16">
        <f t="shared" si="128"/>
        <v>0</v>
      </c>
      <c r="Y301" s="16">
        <f t="shared" si="129"/>
        <v>-25521.084242129164</v>
      </c>
      <c r="Z301" s="16">
        <f t="shared" si="130"/>
        <v>-59272.842748152085</v>
      </c>
      <c r="AA301" s="16">
        <f t="shared" si="131"/>
        <v>-32441.82042671624</v>
      </c>
      <c r="AB301" s="16">
        <f t="shared" si="132"/>
        <v>-63582.007523793043</v>
      </c>
      <c r="AC301" s="16">
        <f t="shared" si="133"/>
        <v>-57788.997267382852</v>
      </c>
      <c r="AD301" s="16">
        <f t="shared" si="134"/>
        <v>-57888.997267382845</v>
      </c>
      <c r="AE301" s="16">
        <f t="shared" si="135"/>
        <v>-58488.997267382838</v>
      </c>
      <c r="AF301" s="14">
        <f>IF([1]Sheet2!AJ300=999999,"NA",[1]Sheet2!AJ300)</f>
        <v>0</v>
      </c>
      <c r="AG301" s="14">
        <f>IF([1]Sheet2!AK300=999999,"NA",[1]Sheet2!AK300)</f>
        <v>0</v>
      </c>
      <c r="AH301" s="14" t="str">
        <f>IF([1]Sheet2!AL300=999999,"NA",[1]Sheet2!AL300)</f>
        <v>NA</v>
      </c>
      <c r="AI301" s="14">
        <f>IF([1]Sheet2!AM300=999999,"NA",[1]Sheet2!AM300)</f>
        <v>0</v>
      </c>
      <c r="AJ301" s="14">
        <f>IF([1]Sheet2!AN300=999999,"NA",[1]Sheet2!AN300)</f>
        <v>0</v>
      </c>
      <c r="AK301" s="14">
        <f>IF([1]Sheet2!AO300=999999,"NA",[1]Sheet2!AO300)</f>
        <v>0</v>
      </c>
      <c r="AL301" s="14">
        <f>IF([1]Sheet2!AP300=999999,"NA",[1]Sheet2!AP300)</f>
        <v>0</v>
      </c>
      <c r="AM301" s="14">
        <f>IF([1]Sheet2!AQ300=999999,"NA",[1]Sheet2!AQ300)</f>
        <v>0</v>
      </c>
      <c r="AN301" s="14">
        <f>IF([1]Sheet2!AR300=999999,"NA",[1]Sheet2!AR300)</f>
        <v>0</v>
      </c>
      <c r="AO301" s="14">
        <f>IF([1]Sheet2!AS300=999999,"NA",[1]Sheet2!AS300)</f>
        <v>0</v>
      </c>
      <c r="AP301" s="14">
        <f>[1]Sheet2!P300</f>
        <v>0</v>
      </c>
      <c r="AQ301" s="14">
        <f>[1]Sheet2!Q300</f>
        <v>0</v>
      </c>
      <c r="AR301" s="14">
        <f>[1]Sheet2!R300</f>
        <v>0</v>
      </c>
      <c r="AS301" s="14">
        <f>[1]Sheet2!S300</f>
        <v>0</v>
      </c>
      <c r="AT301" s="14">
        <f>[1]Sheet2!T300</f>
        <v>0</v>
      </c>
      <c r="AU301" s="14">
        <f>[1]Sheet2!U300</f>
        <v>0</v>
      </c>
      <c r="AV301" s="14">
        <f>[1]Sheet2!V300</f>
        <v>0</v>
      </c>
      <c r="AW301" s="14">
        <f>[1]Sheet2!W300</f>
        <v>0</v>
      </c>
      <c r="AX301" s="14">
        <f>[1]Sheet2!X300</f>
        <v>0</v>
      </c>
      <c r="AY301" s="14">
        <f>[1]Sheet2!Y300</f>
        <v>0</v>
      </c>
      <c r="AZ301" s="16">
        <f>Demand_LP!B$12/31</f>
        <v>866.47279518196865</v>
      </c>
      <c r="BA301" s="16">
        <f>Demand_LP!C$12/31</f>
        <v>577.62712985938799</v>
      </c>
      <c r="BB301" s="16">
        <f>Demand_LP!D$12/31</f>
        <v>262.18502894954509</v>
      </c>
      <c r="BC301" s="16">
        <f>Demand_LP!E$12/31</f>
        <v>766.03229942100904</v>
      </c>
      <c r="BD301" s="16">
        <f>Demand_LP!F$12/31</f>
        <v>516.10499638130682</v>
      </c>
      <c r="BE301" s="16">
        <f>Demand_LP!G$12/31</f>
        <v>516.10499638130682</v>
      </c>
      <c r="BF301" s="16">
        <f>Demand_LP!H$12/31</f>
        <v>577.62712985938799</v>
      </c>
      <c r="BG301" s="16">
        <f>Demand_LP!I$12/31</f>
        <v>516.10499638130682</v>
      </c>
      <c r="BH301" s="16">
        <f>Demand_LP!J$12/31</f>
        <v>516.10499638130682</v>
      </c>
      <c r="BI301" s="16">
        <f>Demand_LP!K$12/31</f>
        <v>516.10499638130682</v>
      </c>
      <c r="BJ301" s="16">
        <f t="shared" si="136"/>
        <v>-220405.55876713604</v>
      </c>
      <c r="BK301" s="16">
        <f t="shared" si="137"/>
        <v>-166646.74234904855</v>
      </c>
      <c r="BL301" s="16">
        <f t="shared" si="138"/>
        <v>-80531.366749379973</v>
      </c>
      <c r="BM301" s="16">
        <f t="shared" si="139"/>
        <v>-213371.27798211641</v>
      </c>
      <c r="BN301" s="16">
        <f t="shared" si="140"/>
        <v>-129551.66240141861</v>
      </c>
      <c r="BO301" s="16">
        <f t="shared" si="141"/>
        <v>-128009.34631978934</v>
      </c>
      <c r="BP301" s="16">
        <f t="shared" si="142"/>
        <v>-161004.3218362279</v>
      </c>
      <c r="BQ301" s="16">
        <f t="shared" si="143"/>
        <v>-123838.34631978934</v>
      </c>
      <c r="BR301" s="16">
        <f t="shared" si="144"/>
        <v>-125609.34631978939</v>
      </c>
      <c r="BS301" s="16">
        <f t="shared" si="145"/>
        <v>-126309.34631978937</v>
      </c>
      <c r="BT301" s="14">
        <f>IF([1]Sheet2!CB300=999999,"NA",[1]Sheet2!CB300)</f>
        <v>0</v>
      </c>
      <c r="BU301" s="14">
        <f>IF([1]Sheet2!CC300=999999,"NA",[1]Sheet2!CC300)</f>
        <v>0</v>
      </c>
      <c r="BV301" s="14">
        <f>IF([1]Sheet2!CD300=999999,"NA",[1]Sheet2!CD300)</f>
        <v>0</v>
      </c>
      <c r="BW301" s="14">
        <f>IF([1]Sheet2!CE300=999999,"NA",[1]Sheet2!CE300)</f>
        <v>0</v>
      </c>
      <c r="BX301" s="14">
        <f>IF([1]Sheet2!CF300=999999,"NA",[1]Sheet2!CF300)</f>
        <v>0</v>
      </c>
      <c r="BY301" s="14">
        <f>IF([1]Sheet2!CG300=999999,"NA",[1]Sheet2!CG300)</f>
        <v>0</v>
      </c>
      <c r="BZ301" s="14">
        <f>IF([1]Sheet2!CH300=999999,"NA",[1]Sheet2!CH300)</f>
        <v>0</v>
      </c>
      <c r="CA301" s="14">
        <f>IF([1]Sheet2!CI300=999999,"NA",[1]Sheet2!CI300)</f>
        <v>0</v>
      </c>
      <c r="CB301" s="14">
        <f>IF([1]Sheet2!CJ300=999999,"NA",[1]Sheet2!CJ300)</f>
        <v>0</v>
      </c>
      <c r="CC301" s="14">
        <f>IF([1]Sheet2!CK300=999999,"NA",[1]Sheet2!CK300)</f>
        <v>0</v>
      </c>
      <c r="CD301" s="14">
        <f>[1]Sheet2!BH300</f>
        <v>0</v>
      </c>
      <c r="CE301" s="14">
        <f>[1]Sheet2!BI300</f>
        <v>0</v>
      </c>
      <c r="CF301" s="14">
        <f>[1]Sheet2!BJ300</f>
        <v>0</v>
      </c>
      <c r="CG301" s="14">
        <f>[1]Sheet2!BK300</f>
        <v>0</v>
      </c>
      <c r="CH301" s="14">
        <f>[1]Sheet2!BL300</f>
        <v>0</v>
      </c>
      <c r="CI301" s="14">
        <f>[1]Sheet2!BM300</f>
        <v>0</v>
      </c>
      <c r="CJ301" s="14">
        <f>[1]Sheet2!BN300</f>
        <v>0</v>
      </c>
      <c r="CK301" s="14">
        <f>[1]Sheet2!BO300</f>
        <v>0</v>
      </c>
      <c r="CL301" s="14">
        <f>[1]Sheet2!BP300</f>
        <v>0</v>
      </c>
      <c r="CM301" s="14">
        <f>[1]Sheet2!BQ300</f>
        <v>0</v>
      </c>
      <c r="CN301" s="16">
        <f>Demand_SW!B$12/31</f>
        <v>139.57816377171216</v>
      </c>
      <c r="CO301" s="16">
        <f>Demand_SW!C$12/31</f>
        <v>0</v>
      </c>
      <c r="CP301" s="16">
        <f>Demand_SW!D$12/31</f>
        <v>0</v>
      </c>
      <c r="CQ301" s="16">
        <f>Demand_SW!E$12/31</f>
        <v>0</v>
      </c>
      <c r="CR301" s="16">
        <f>Demand_SW!F$12/31</f>
        <v>0</v>
      </c>
      <c r="CS301" s="16">
        <f>Demand_SW!G$12/31</f>
        <v>139.57816377171216</v>
      </c>
      <c r="CT301" s="16">
        <f>Demand_SW!H$12/31</f>
        <v>0</v>
      </c>
      <c r="CU301" s="16">
        <f>Demand_SW!I$12/31</f>
        <v>0</v>
      </c>
      <c r="CV301" s="16">
        <f>Demand_SW!J$12/31</f>
        <v>0</v>
      </c>
      <c r="CW301" s="16">
        <f>Demand_SW!K$12/31</f>
        <v>0</v>
      </c>
      <c r="CX301" s="16">
        <f t="shared" si="146"/>
        <v>-17537.146401985148</v>
      </c>
      <c r="CY301" s="16">
        <f t="shared" si="147"/>
        <v>76.923076923077133</v>
      </c>
      <c r="CZ301" s="16">
        <f t="shared" si="148"/>
        <v>0</v>
      </c>
      <c r="DA301" s="16">
        <f t="shared" si="149"/>
        <v>0</v>
      </c>
      <c r="DB301" s="16">
        <f t="shared" si="150"/>
        <v>0</v>
      </c>
      <c r="DC301" s="16">
        <f t="shared" si="151"/>
        <v>-18768.377171215918</v>
      </c>
      <c r="DD301" s="16">
        <f t="shared" si="152"/>
        <v>76.923076923077133</v>
      </c>
      <c r="DE301" s="16">
        <f t="shared" si="153"/>
        <v>0</v>
      </c>
      <c r="DF301" s="16">
        <f t="shared" si="154"/>
        <v>0</v>
      </c>
      <c r="DG301" s="16">
        <f t="shared" si="155"/>
        <v>0</v>
      </c>
      <c r="DH301" s="14">
        <f>IF([1]Sheet2!DS300=999999,"NA",[1]Sheet2!DS300)</f>
        <v>0</v>
      </c>
      <c r="DI301" s="14">
        <f>IF([1]Sheet2!DT300=999999,"NA",[1]Sheet2!DT300)</f>
        <v>67</v>
      </c>
      <c r="DJ301" s="14" t="str">
        <f>IF([1]Sheet2!DU300=999999,"NA",[1]Sheet2!DU300)</f>
        <v>NA</v>
      </c>
      <c r="DK301" s="14" t="str">
        <f>IF([1]Sheet2!DV300=999999,"NA",[1]Sheet2!DV300)</f>
        <v>NA</v>
      </c>
      <c r="DL301" s="14" t="str">
        <f>IF([1]Sheet2!DW300=999999,"NA",[1]Sheet2!DW300)</f>
        <v>NA</v>
      </c>
      <c r="DM301" s="14">
        <f>IF([1]Sheet2!DX300=999999,"NA",[1]Sheet2!DX300)</f>
        <v>0</v>
      </c>
      <c r="DN301" s="14">
        <f>IF([1]Sheet2!DY300=999999,"NA",[1]Sheet2!DY300)</f>
        <v>67</v>
      </c>
      <c r="DO301" s="14" t="str">
        <f>IF([1]Sheet2!DZ300=999999,"NA",[1]Sheet2!DZ300)</f>
        <v>NA</v>
      </c>
      <c r="DP301" s="14" t="str">
        <f>IF([1]Sheet2!EA300=999999,"NA",[1]Sheet2!EA300)</f>
        <v>NA</v>
      </c>
      <c r="DQ301" s="14" t="str">
        <f>IF([1]Sheet2!EB300=999999,"NA",[1]Sheet2!EB300)</f>
        <v>NA</v>
      </c>
      <c r="DR301" s="14">
        <f>[1]Sheet2!CY300</f>
        <v>0</v>
      </c>
      <c r="DS301" s="14">
        <f>[1]Sheet2!CZ300</f>
        <v>0</v>
      </c>
      <c r="DT301" s="14">
        <f>[1]Sheet2!DA300</f>
        <v>0</v>
      </c>
      <c r="DU301" s="14">
        <f>[1]Sheet2!DB300</f>
        <v>0</v>
      </c>
      <c r="DV301" s="14">
        <f>[1]Sheet2!DC300</f>
        <v>0</v>
      </c>
      <c r="DW301" s="14">
        <f>[1]Sheet2!DD300</f>
        <v>0</v>
      </c>
      <c r="DX301" s="14">
        <f>[1]Sheet2!DE300</f>
        <v>0</v>
      </c>
      <c r="DY301" s="14">
        <f>[1]Sheet2!DF300</f>
        <v>0</v>
      </c>
      <c r="DZ301" s="14">
        <f>[1]Sheet2!DG300</f>
        <v>0</v>
      </c>
      <c r="EA301" s="14">
        <f>[1]Sheet2!DH300</f>
        <v>0</v>
      </c>
      <c r="EB301" s="6">
        <f>[1]Sheet2!EC300</f>
        <v>0</v>
      </c>
      <c r="EC301" s="6">
        <f>[1]Sheet2!ED300</f>
        <v>0</v>
      </c>
      <c r="ED301" s="6">
        <f>[1]Sheet2!EE300</f>
        <v>0</v>
      </c>
      <c r="EE301" s="6">
        <f>[1]Sheet2!EF300</f>
        <v>0</v>
      </c>
      <c r="EF301" s="6">
        <f>[1]Sheet2!EG300</f>
        <v>0</v>
      </c>
      <c r="EG301" s="6">
        <f>[1]Sheet2!EH300</f>
        <v>0</v>
      </c>
      <c r="EH301" s="6">
        <f>[1]Sheet2!EI300</f>
        <v>0</v>
      </c>
      <c r="EI301" s="6">
        <f>[1]Sheet2!EJ300</f>
        <v>0</v>
      </c>
      <c r="EJ301" s="6">
        <f>[1]Sheet2!EK300</f>
        <v>0</v>
      </c>
      <c r="EK301" s="6">
        <f>[1]Sheet2!EL300</f>
        <v>0</v>
      </c>
      <c r="EL301" s="6" t="str">
        <f>[1]Sheet2!EM300</f>
        <v/>
      </c>
      <c r="EM301" s="6" t="str">
        <f>[1]Sheet2!EN300</f>
        <v/>
      </c>
      <c r="EN301" s="6" t="str">
        <f>[1]Sheet2!EO300</f>
        <v/>
      </c>
      <c r="EO301" s="6" t="str">
        <f>[1]Sheet2!EP300</f>
        <v/>
      </c>
      <c r="EP301" s="6" t="str">
        <f>[1]Sheet2!EQ300</f>
        <v/>
      </c>
      <c r="EQ301" s="6" t="str">
        <f>[1]Sheet2!ER300</f>
        <v/>
      </c>
      <c r="ER301" s="6" t="str">
        <f>[1]Sheet2!ES300</f>
        <v/>
      </c>
      <c r="ES301" s="6" t="str">
        <f>[1]Sheet2!ET300</f>
        <v/>
      </c>
      <c r="ET301" s="6" t="str">
        <f>[1]Sheet2!EU300</f>
        <v/>
      </c>
      <c r="EU301" s="6" t="str">
        <f>[1]Sheet2!EV300</f>
        <v/>
      </c>
      <c r="EV301" s="6" t="str">
        <f>[1]Sheet2!EW300</f>
        <v/>
      </c>
      <c r="EW301" s="6" t="str">
        <f>[1]Sheet2!EX300</f>
        <v/>
      </c>
      <c r="EX301" s="6" t="str">
        <f>[1]Sheet2!EY300</f>
        <v/>
      </c>
      <c r="EY301" s="6" t="str">
        <f>[1]Sheet2!EZ300</f>
        <v/>
      </c>
      <c r="EZ301" s="6" t="str">
        <f>[1]Sheet2!FA300</f>
        <v/>
      </c>
      <c r="FA301" s="6" t="str">
        <f>[1]Sheet2!FB300</f>
        <v/>
      </c>
      <c r="FB301" s="6" t="str">
        <f>[1]Sheet2!FC300</f>
        <v/>
      </c>
      <c r="FC301" s="6" t="str">
        <f>[1]Sheet2!FD300</f>
        <v/>
      </c>
      <c r="FD301" s="6" t="str">
        <f>[1]Sheet2!FE300</f>
        <v/>
      </c>
      <c r="FE301" s="6" t="str">
        <f>[1]Sheet2!FF300</f>
        <v/>
      </c>
      <c r="FF301" s="6" t="str">
        <f>[1]Sheet2!FG300</f>
        <v/>
      </c>
      <c r="FG301" s="6" t="str">
        <f>[1]Sheet2!FH300</f>
        <v/>
      </c>
      <c r="FH301" s="6" t="str">
        <f>[1]Sheet2!FI300</f>
        <v/>
      </c>
      <c r="FI301" s="6" t="str">
        <f>[1]Sheet2!FJ300</f>
        <v/>
      </c>
      <c r="FJ301" s="6" t="str">
        <f>[1]Sheet2!FK300</f>
        <v/>
      </c>
      <c r="FK301" s="6" t="str">
        <f>[1]Sheet2!FL300</f>
        <v/>
      </c>
      <c r="FL301" s="6" t="str">
        <f>[1]Sheet2!FM300</f>
        <v/>
      </c>
      <c r="FM301" s="6" t="str">
        <f>[1]Sheet2!FN300</f>
        <v/>
      </c>
      <c r="FN301" s="6" t="str">
        <f>[1]Sheet2!FO300</f>
        <v/>
      </c>
      <c r="FO301" s="6" t="str">
        <f>[1]Sheet2!FP300</f>
        <v/>
      </c>
    </row>
    <row r="302" spans="1:171" x14ac:dyDescent="0.25">
      <c r="A302" s="15">
        <v>43764</v>
      </c>
      <c r="B302" s="1"/>
      <c r="C302" s="1"/>
      <c r="D302" s="1"/>
      <c r="E302" s="14">
        <f>[1]Sheet2!N301</f>
        <v>0</v>
      </c>
      <c r="F302" s="14">
        <f>[1]Sheet2!BE301</f>
        <v>0</v>
      </c>
      <c r="G302" s="14">
        <f>[1]Sheet2!CW301</f>
        <v>0</v>
      </c>
      <c r="H302" s="1"/>
      <c r="I302" s="1"/>
      <c r="J302" s="1"/>
      <c r="K302" s="16"/>
      <c r="L302" s="16">
        <f>Demand_CWRS!B$12/31</f>
        <v>113.31027191894128</v>
      </c>
      <c r="M302" s="16">
        <f>Demand_CWRS!C$12/31</f>
        <v>480.06765922249781</v>
      </c>
      <c r="N302" s="16">
        <f>Demand_CWRS!D$12/31</f>
        <v>0</v>
      </c>
      <c r="O302" s="16">
        <f>Demand_CWRS!E$12/31</f>
        <v>103.22435897435898</v>
      </c>
      <c r="P302" s="16">
        <f>Demand_CWRS!F$12/31</f>
        <v>209.74544820099254</v>
      </c>
      <c r="Q302" s="16">
        <f>Demand_CWRS!G$12/31</f>
        <v>113.31027191894128</v>
      </c>
      <c r="R302" s="16">
        <f>Demand_CWRS!H$12/31</f>
        <v>209.74544820099254</v>
      </c>
      <c r="S302" s="16">
        <f>Demand_CWRS!I$12/31</f>
        <v>209.74544820099254</v>
      </c>
      <c r="T302" s="16">
        <f>Demand_CWRS!J$12/31</f>
        <v>209.74544820099254</v>
      </c>
      <c r="U302" s="16">
        <f>Demand_CWRS!K$12/31</f>
        <v>209.74544820099254</v>
      </c>
      <c r="V302" s="16">
        <f t="shared" si="126"/>
        <v>-34027.063222673569</v>
      </c>
      <c r="W302" s="16">
        <f t="shared" si="127"/>
        <v>-133708.41298593831</v>
      </c>
      <c r="X302" s="16">
        <f t="shared" si="128"/>
        <v>0</v>
      </c>
      <c r="Y302" s="16">
        <f t="shared" si="129"/>
        <v>-25624.308601103523</v>
      </c>
      <c r="Z302" s="16">
        <f t="shared" si="130"/>
        <v>-59482.588196353077</v>
      </c>
      <c r="AA302" s="16">
        <f t="shared" si="131"/>
        <v>-32555.130698635181</v>
      </c>
      <c r="AB302" s="16">
        <f t="shared" si="132"/>
        <v>-63791.752971994036</v>
      </c>
      <c r="AC302" s="16">
        <f t="shared" si="133"/>
        <v>-57998.742715583845</v>
      </c>
      <c r="AD302" s="16">
        <f t="shared" si="134"/>
        <v>-58098.742715583838</v>
      </c>
      <c r="AE302" s="16">
        <f t="shared" si="135"/>
        <v>-58698.74271558383</v>
      </c>
      <c r="AF302" s="14">
        <f>IF([1]Sheet2!AJ301=999999,"NA",[1]Sheet2!AJ301)</f>
        <v>0</v>
      </c>
      <c r="AG302" s="14">
        <f>IF([1]Sheet2!AK301=999999,"NA",[1]Sheet2!AK301)</f>
        <v>0</v>
      </c>
      <c r="AH302" s="14" t="str">
        <f>IF([1]Sheet2!AL301=999999,"NA",[1]Sheet2!AL301)</f>
        <v>NA</v>
      </c>
      <c r="AI302" s="14">
        <f>IF([1]Sheet2!AM301=999999,"NA",[1]Sheet2!AM301)</f>
        <v>0</v>
      </c>
      <c r="AJ302" s="14">
        <f>IF([1]Sheet2!AN301=999999,"NA",[1]Sheet2!AN301)</f>
        <v>0</v>
      </c>
      <c r="AK302" s="14">
        <f>IF([1]Sheet2!AO301=999999,"NA",[1]Sheet2!AO301)</f>
        <v>0</v>
      </c>
      <c r="AL302" s="14">
        <f>IF([1]Sheet2!AP301=999999,"NA",[1]Sheet2!AP301)</f>
        <v>0</v>
      </c>
      <c r="AM302" s="14">
        <f>IF([1]Sheet2!AQ301=999999,"NA",[1]Sheet2!AQ301)</f>
        <v>0</v>
      </c>
      <c r="AN302" s="14">
        <f>IF([1]Sheet2!AR301=999999,"NA",[1]Sheet2!AR301)</f>
        <v>0</v>
      </c>
      <c r="AO302" s="14">
        <f>IF([1]Sheet2!AS301=999999,"NA",[1]Sheet2!AS301)</f>
        <v>0</v>
      </c>
      <c r="AP302" s="14">
        <f>[1]Sheet2!P301</f>
        <v>0</v>
      </c>
      <c r="AQ302" s="14">
        <f>[1]Sheet2!Q301</f>
        <v>0</v>
      </c>
      <c r="AR302" s="14">
        <f>[1]Sheet2!R301</f>
        <v>0</v>
      </c>
      <c r="AS302" s="14">
        <f>[1]Sheet2!S301</f>
        <v>0</v>
      </c>
      <c r="AT302" s="14">
        <f>[1]Sheet2!T301</f>
        <v>0</v>
      </c>
      <c r="AU302" s="14">
        <f>[1]Sheet2!U301</f>
        <v>0</v>
      </c>
      <c r="AV302" s="14">
        <f>[1]Sheet2!V301</f>
        <v>0</v>
      </c>
      <c r="AW302" s="14">
        <f>[1]Sheet2!W301</f>
        <v>0</v>
      </c>
      <c r="AX302" s="14">
        <f>[1]Sheet2!X301</f>
        <v>0</v>
      </c>
      <c r="AY302" s="14">
        <f>[1]Sheet2!Y301</f>
        <v>0</v>
      </c>
      <c r="AZ302" s="16">
        <f>Demand_LP!B$12/31</f>
        <v>866.47279518196865</v>
      </c>
      <c r="BA302" s="16">
        <f>Demand_LP!C$12/31</f>
        <v>577.62712985938799</v>
      </c>
      <c r="BB302" s="16">
        <f>Demand_LP!D$12/31</f>
        <v>262.18502894954509</v>
      </c>
      <c r="BC302" s="16">
        <f>Demand_LP!E$12/31</f>
        <v>766.03229942100904</v>
      </c>
      <c r="BD302" s="16">
        <f>Demand_LP!F$12/31</f>
        <v>516.10499638130682</v>
      </c>
      <c r="BE302" s="16">
        <f>Demand_LP!G$12/31</f>
        <v>516.10499638130682</v>
      </c>
      <c r="BF302" s="16">
        <f>Demand_LP!H$12/31</f>
        <v>577.62712985938799</v>
      </c>
      <c r="BG302" s="16">
        <f>Demand_LP!I$12/31</f>
        <v>516.10499638130682</v>
      </c>
      <c r="BH302" s="16">
        <f>Demand_LP!J$12/31</f>
        <v>516.10499638130682</v>
      </c>
      <c r="BI302" s="16">
        <f>Demand_LP!K$12/31</f>
        <v>516.10499638130682</v>
      </c>
      <c r="BJ302" s="16">
        <f t="shared" si="136"/>
        <v>-221272.03156231801</v>
      </c>
      <c r="BK302" s="16">
        <f t="shared" si="137"/>
        <v>-167224.36947890793</v>
      </c>
      <c r="BL302" s="16">
        <f t="shared" si="138"/>
        <v>-80793.551778329522</v>
      </c>
      <c r="BM302" s="16">
        <f t="shared" si="139"/>
        <v>-214137.31028153741</v>
      </c>
      <c r="BN302" s="16">
        <f t="shared" si="140"/>
        <v>-130067.76739779992</v>
      </c>
      <c r="BO302" s="16">
        <f t="shared" si="141"/>
        <v>-128525.45131617066</v>
      </c>
      <c r="BP302" s="16">
        <f t="shared" si="142"/>
        <v>-161581.94896608728</v>
      </c>
      <c r="BQ302" s="16">
        <f t="shared" si="143"/>
        <v>-124354.45131617066</v>
      </c>
      <c r="BR302" s="16">
        <f t="shared" si="144"/>
        <v>-126125.4513161707</v>
      </c>
      <c r="BS302" s="16">
        <f t="shared" si="145"/>
        <v>-126825.45131617069</v>
      </c>
      <c r="BT302" s="14">
        <f>IF([1]Sheet2!CB301=999999,"NA",[1]Sheet2!CB301)</f>
        <v>0</v>
      </c>
      <c r="BU302" s="14">
        <f>IF([1]Sheet2!CC301=999999,"NA",[1]Sheet2!CC301)</f>
        <v>0</v>
      </c>
      <c r="BV302" s="14">
        <f>IF([1]Sheet2!CD301=999999,"NA",[1]Sheet2!CD301)</f>
        <v>0</v>
      </c>
      <c r="BW302" s="14">
        <f>IF([1]Sheet2!CE301=999999,"NA",[1]Sheet2!CE301)</f>
        <v>0</v>
      </c>
      <c r="BX302" s="14">
        <f>IF([1]Sheet2!CF301=999999,"NA",[1]Sheet2!CF301)</f>
        <v>0</v>
      </c>
      <c r="BY302" s="14">
        <f>IF([1]Sheet2!CG301=999999,"NA",[1]Sheet2!CG301)</f>
        <v>0</v>
      </c>
      <c r="BZ302" s="14">
        <f>IF([1]Sheet2!CH301=999999,"NA",[1]Sheet2!CH301)</f>
        <v>0</v>
      </c>
      <c r="CA302" s="14">
        <f>IF([1]Sheet2!CI301=999999,"NA",[1]Sheet2!CI301)</f>
        <v>0</v>
      </c>
      <c r="CB302" s="14">
        <f>IF([1]Sheet2!CJ301=999999,"NA",[1]Sheet2!CJ301)</f>
        <v>0</v>
      </c>
      <c r="CC302" s="14">
        <f>IF([1]Sheet2!CK301=999999,"NA",[1]Sheet2!CK301)</f>
        <v>0</v>
      </c>
      <c r="CD302" s="14">
        <f>[1]Sheet2!BH301</f>
        <v>0</v>
      </c>
      <c r="CE302" s="14">
        <f>[1]Sheet2!BI301</f>
        <v>0</v>
      </c>
      <c r="CF302" s="14">
        <f>[1]Sheet2!BJ301</f>
        <v>0</v>
      </c>
      <c r="CG302" s="14">
        <f>[1]Sheet2!BK301</f>
        <v>0</v>
      </c>
      <c r="CH302" s="14">
        <f>[1]Sheet2!BL301</f>
        <v>0</v>
      </c>
      <c r="CI302" s="14">
        <f>[1]Sheet2!BM301</f>
        <v>0</v>
      </c>
      <c r="CJ302" s="14">
        <f>[1]Sheet2!BN301</f>
        <v>0</v>
      </c>
      <c r="CK302" s="14">
        <f>[1]Sheet2!BO301</f>
        <v>0</v>
      </c>
      <c r="CL302" s="14">
        <f>[1]Sheet2!BP301</f>
        <v>0</v>
      </c>
      <c r="CM302" s="14">
        <f>[1]Sheet2!BQ301</f>
        <v>0</v>
      </c>
      <c r="CN302" s="16">
        <f>Demand_SW!B$12/31</f>
        <v>139.57816377171216</v>
      </c>
      <c r="CO302" s="16">
        <f>Demand_SW!C$12/31</f>
        <v>0</v>
      </c>
      <c r="CP302" s="16">
        <f>Demand_SW!D$12/31</f>
        <v>0</v>
      </c>
      <c r="CQ302" s="16">
        <f>Demand_SW!E$12/31</f>
        <v>0</v>
      </c>
      <c r="CR302" s="16">
        <f>Demand_SW!F$12/31</f>
        <v>0</v>
      </c>
      <c r="CS302" s="16">
        <f>Demand_SW!G$12/31</f>
        <v>139.57816377171216</v>
      </c>
      <c r="CT302" s="16">
        <f>Demand_SW!H$12/31</f>
        <v>0</v>
      </c>
      <c r="CU302" s="16">
        <f>Demand_SW!I$12/31</f>
        <v>0</v>
      </c>
      <c r="CV302" s="16">
        <f>Demand_SW!J$12/31</f>
        <v>0</v>
      </c>
      <c r="CW302" s="16">
        <f>Demand_SW!K$12/31</f>
        <v>0</v>
      </c>
      <c r="CX302" s="16">
        <f t="shared" si="146"/>
        <v>-17676.72456575686</v>
      </c>
      <c r="CY302" s="16">
        <f t="shared" si="147"/>
        <v>76.923076923077133</v>
      </c>
      <c r="CZ302" s="16">
        <f t="shared" si="148"/>
        <v>0</v>
      </c>
      <c r="DA302" s="16">
        <f t="shared" si="149"/>
        <v>0</v>
      </c>
      <c r="DB302" s="16">
        <f t="shared" si="150"/>
        <v>0</v>
      </c>
      <c r="DC302" s="16">
        <f t="shared" si="151"/>
        <v>-18907.95533498763</v>
      </c>
      <c r="DD302" s="16">
        <f t="shared" si="152"/>
        <v>76.923076923077133</v>
      </c>
      <c r="DE302" s="16">
        <f t="shared" si="153"/>
        <v>0</v>
      </c>
      <c r="DF302" s="16">
        <f t="shared" si="154"/>
        <v>0</v>
      </c>
      <c r="DG302" s="16">
        <f t="shared" si="155"/>
        <v>0</v>
      </c>
      <c r="DH302" s="14">
        <f>IF([1]Sheet2!DS301=999999,"NA",[1]Sheet2!DS301)</f>
        <v>0</v>
      </c>
      <c r="DI302" s="14">
        <f>IF([1]Sheet2!DT301=999999,"NA",[1]Sheet2!DT301)</f>
        <v>66</v>
      </c>
      <c r="DJ302" s="14" t="str">
        <f>IF([1]Sheet2!DU301=999999,"NA",[1]Sheet2!DU301)</f>
        <v>NA</v>
      </c>
      <c r="DK302" s="14" t="str">
        <f>IF([1]Sheet2!DV301=999999,"NA",[1]Sheet2!DV301)</f>
        <v>NA</v>
      </c>
      <c r="DL302" s="14" t="str">
        <f>IF([1]Sheet2!DW301=999999,"NA",[1]Sheet2!DW301)</f>
        <v>NA</v>
      </c>
      <c r="DM302" s="14">
        <f>IF([1]Sheet2!DX301=999999,"NA",[1]Sheet2!DX301)</f>
        <v>0</v>
      </c>
      <c r="DN302" s="14">
        <f>IF([1]Sheet2!DY301=999999,"NA",[1]Sheet2!DY301)</f>
        <v>66</v>
      </c>
      <c r="DO302" s="14" t="str">
        <f>IF([1]Sheet2!DZ301=999999,"NA",[1]Sheet2!DZ301)</f>
        <v>NA</v>
      </c>
      <c r="DP302" s="14" t="str">
        <f>IF([1]Sheet2!EA301=999999,"NA",[1]Sheet2!EA301)</f>
        <v>NA</v>
      </c>
      <c r="DQ302" s="14" t="str">
        <f>IF([1]Sheet2!EB301=999999,"NA",[1]Sheet2!EB301)</f>
        <v>NA</v>
      </c>
      <c r="DR302" s="14">
        <f>[1]Sheet2!CY301</f>
        <v>0</v>
      </c>
      <c r="DS302" s="14">
        <f>[1]Sheet2!CZ301</f>
        <v>0</v>
      </c>
      <c r="DT302" s="14">
        <f>[1]Sheet2!DA301</f>
        <v>0</v>
      </c>
      <c r="DU302" s="14">
        <f>[1]Sheet2!DB301</f>
        <v>0</v>
      </c>
      <c r="DV302" s="14">
        <f>[1]Sheet2!DC301</f>
        <v>0</v>
      </c>
      <c r="DW302" s="14">
        <f>[1]Sheet2!DD301</f>
        <v>0</v>
      </c>
      <c r="DX302" s="14">
        <f>[1]Sheet2!DE301</f>
        <v>0</v>
      </c>
      <c r="DY302" s="14">
        <f>[1]Sheet2!DF301</f>
        <v>0</v>
      </c>
      <c r="DZ302" s="14">
        <f>[1]Sheet2!DG301</f>
        <v>0</v>
      </c>
      <c r="EA302" s="14">
        <f>[1]Sheet2!DH301</f>
        <v>0</v>
      </c>
      <c r="EB302" s="6">
        <f>[1]Sheet2!EC301</f>
        <v>0</v>
      </c>
      <c r="EC302" s="6">
        <f>[1]Sheet2!ED301</f>
        <v>0</v>
      </c>
      <c r="ED302" s="6">
        <f>[1]Sheet2!EE301</f>
        <v>0</v>
      </c>
      <c r="EE302" s="6">
        <f>[1]Sheet2!EF301</f>
        <v>0</v>
      </c>
      <c r="EF302" s="6">
        <f>[1]Sheet2!EG301</f>
        <v>0</v>
      </c>
      <c r="EG302" s="6">
        <f>[1]Sheet2!EH301</f>
        <v>0</v>
      </c>
      <c r="EH302" s="6">
        <f>[1]Sheet2!EI301</f>
        <v>0</v>
      </c>
      <c r="EI302" s="6">
        <f>[1]Sheet2!EJ301</f>
        <v>0</v>
      </c>
      <c r="EJ302" s="6">
        <f>[1]Sheet2!EK301</f>
        <v>0</v>
      </c>
      <c r="EK302" s="6">
        <f>[1]Sheet2!EL301</f>
        <v>0</v>
      </c>
      <c r="EL302" s="6" t="str">
        <f>[1]Sheet2!EM301</f>
        <v/>
      </c>
      <c r="EM302" s="6" t="str">
        <f>[1]Sheet2!EN301</f>
        <v/>
      </c>
      <c r="EN302" s="6" t="str">
        <f>[1]Sheet2!EO301</f>
        <v/>
      </c>
      <c r="EO302" s="6" t="str">
        <f>[1]Sheet2!EP301</f>
        <v/>
      </c>
      <c r="EP302" s="6" t="str">
        <f>[1]Sheet2!EQ301</f>
        <v/>
      </c>
      <c r="EQ302" s="6" t="str">
        <f>[1]Sheet2!ER301</f>
        <v/>
      </c>
      <c r="ER302" s="6" t="str">
        <f>[1]Sheet2!ES301</f>
        <v/>
      </c>
      <c r="ES302" s="6" t="str">
        <f>[1]Sheet2!ET301</f>
        <v/>
      </c>
      <c r="ET302" s="6" t="str">
        <f>[1]Sheet2!EU301</f>
        <v/>
      </c>
      <c r="EU302" s="6" t="str">
        <f>[1]Sheet2!EV301</f>
        <v/>
      </c>
      <c r="EV302" s="6" t="str">
        <f>[1]Sheet2!EW301</f>
        <v/>
      </c>
      <c r="EW302" s="6" t="str">
        <f>[1]Sheet2!EX301</f>
        <v/>
      </c>
      <c r="EX302" s="6" t="str">
        <f>[1]Sheet2!EY301</f>
        <v/>
      </c>
      <c r="EY302" s="6" t="str">
        <f>[1]Sheet2!EZ301</f>
        <v/>
      </c>
      <c r="EZ302" s="6" t="str">
        <f>[1]Sheet2!FA301</f>
        <v/>
      </c>
      <c r="FA302" s="6" t="str">
        <f>[1]Sheet2!FB301</f>
        <v/>
      </c>
      <c r="FB302" s="6" t="str">
        <f>[1]Sheet2!FC301</f>
        <v/>
      </c>
      <c r="FC302" s="6" t="str">
        <f>[1]Sheet2!FD301</f>
        <v/>
      </c>
      <c r="FD302" s="6" t="str">
        <f>[1]Sheet2!FE301</f>
        <v/>
      </c>
      <c r="FE302" s="6" t="str">
        <f>[1]Sheet2!FF301</f>
        <v/>
      </c>
      <c r="FF302" s="6" t="str">
        <f>[1]Sheet2!FG301</f>
        <v/>
      </c>
      <c r="FG302" s="6" t="str">
        <f>[1]Sheet2!FH301</f>
        <v/>
      </c>
      <c r="FH302" s="6" t="str">
        <f>[1]Sheet2!FI301</f>
        <v/>
      </c>
      <c r="FI302" s="6" t="str">
        <f>[1]Sheet2!FJ301</f>
        <v/>
      </c>
      <c r="FJ302" s="6" t="str">
        <f>[1]Sheet2!FK301</f>
        <v/>
      </c>
      <c r="FK302" s="6" t="str">
        <f>[1]Sheet2!FL301</f>
        <v/>
      </c>
      <c r="FL302" s="6" t="str">
        <f>[1]Sheet2!FM301</f>
        <v/>
      </c>
      <c r="FM302" s="6" t="str">
        <f>[1]Sheet2!FN301</f>
        <v/>
      </c>
      <c r="FN302" s="6" t="str">
        <f>[1]Sheet2!FO301</f>
        <v/>
      </c>
      <c r="FO302" s="6" t="str">
        <f>[1]Sheet2!FP301</f>
        <v/>
      </c>
    </row>
    <row r="303" spans="1:171" x14ac:dyDescent="0.25">
      <c r="A303" s="15">
        <v>43765</v>
      </c>
      <c r="B303" s="1"/>
      <c r="C303" s="1"/>
      <c r="D303" s="1"/>
      <c r="E303" s="14">
        <f>[1]Sheet2!N302</f>
        <v>0</v>
      </c>
      <c r="F303" s="14">
        <f>[1]Sheet2!BE302</f>
        <v>0</v>
      </c>
      <c r="G303" s="14">
        <f>[1]Sheet2!CW302</f>
        <v>0</v>
      </c>
      <c r="H303" s="1"/>
      <c r="I303" s="1"/>
      <c r="J303" s="1"/>
      <c r="K303" s="16"/>
      <c r="L303" s="16">
        <f>Demand_CWRS!B$12/31</f>
        <v>113.31027191894128</v>
      </c>
      <c r="M303" s="16">
        <f>Demand_CWRS!C$12/31</f>
        <v>480.06765922249781</v>
      </c>
      <c r="N303" s="16">
        <f>Demand_CWRS!D$12/31</f>
        <v>0</v>
      </c>
      <c r="O303" s="16">
        <f>Demand_CWRS!E$12/31</f>
        <v>103.22435897435898</v>
      </c>
      <c r="P303" s="16">
        <f>Demand_CWRS!F$12/31</f>
        <v>209.74544820099254</v>
      </c>
      <c r="Q303" s="16">
        <f>Demand_CWRS!G$12/31</f>
        <v>113.31027191894128</v>
      </c>
      <c r="R303" s="16">
        <f>Demand_CWRS!H$12/31</f>
        <v>209.74544820099254</v>
      </c>
      <c r="S303" s="16">
        <f>Demand_CWRS!I$12/31</f>
        <v>209.74544820099254</v>
      </c>
      <c r="T303" s="16">
        <f>Demand_CWRS!J$12/31</f>
        <v>209.74544820099254</v>
      </c>
      <c r="U303" s="16">
        <f>Demand_CWRS!K$12/31</f>
        <v>209.74544820099254</v>
      </c>
      <c r="V303" s="16">
        <f t="shared" si="126"/>
        <v>-34140.37349459251</v>
      </c>
      <c r="W303" s="16">
        <f t="shared" si="127"/>
        <v>-134188.4806451608</v>
      </c>
      <c r="X303" s="16">
        <f t="shared" si="128"/>
        <v>0</v>
      </c>
      <c r="Y303" s="16">
        <f t="shared" si="129"/>
        <v>-25727.532960077882</v>
      </c>
      <c r="Z303" s="16">
        <f t="shared" si="130"/>
        <v>-59692.33364455407</v>
      </c>
      <c r="AA303" s="16">
        <f t="shared" si="131"/>
        <v>-32668.440970554122</v>
      </c>
      <c r="AB303" s="16">
        <f t="shared" si="132"/>
        <v>-64001.498420195028</v>
      </c>
      <c r="AC303" s="16">
        <f t="shared" si="133"/>
        <v>-58208.488163784838</v>
      </c>
      <c r="AD303" s="16">
        <f t="shared" si="134"/>
        <v>-58308.48816378483</v>
      </c>
      <c r="AE303" s="16">
        <f t="shared" si="135"/>
        <v>-58908.488163784823</v>
      </c>
      <c r="AF303" s="14">
        <f>IF([1]Sheet2!AJ302=999999,"NA",[1]Sheet2!AJ302)</f>
        <v>0</v>
      </c>
      <c r="AG303" s="14">
        <f>IF([1]Sheet2!AK302=999999,"NA",[1]Sheet2!AK302)</f>
        <v>0</v>
      </c>
      <c r="AH303" s="14" t="str">
        <f>IF([1]Sheet2!AL302=999999,"NA",[1]Sheet2!AL302)</f>
        <v>NA</v>
      </c>
      <c r="AI303" s="14">
        <f>IF([1]Sheet2!AM302=999999,"NA",[1]Sheet2!AM302)</f>
        <v>0</v>
      </c>
      <c r="AJ303" s="14">
        <f>IF([1]Sheet2!AN302=999999,"NA",[1]Sheet2!AN302)</f>
        <v>0</v>
      </c>
      <c r="AK303" s="14">
        <f>IF([1]Sheet2!AO302=999999,"NA",[1]Sheet2!AO302)</f>
        <v>0</v>
      </c>
      <c r="AL303" s="14">
        <f>IF([1]Sheet2!AP302=999999,"NA",[1]Sheet2!AP302)</f>
        <v>0</v>
      </c>
      <c r="AM303" s="14">
        <f>IF([1]Sheet2!AQ302=999999,"NA",[1]Sheet2!AQ302)</f>
        <v>0</v>
      </c>
      <c r="AN303" s="14">
        <f>IF([1]Sheet2!AR302=999999,"NA",[1]Sheet2!AR302)</f>
        <v>0</v>
      </c>
      <c r="AO303" s="14">
        <f>IF([1]Sheet2!AS302=999999,"NA",[1]Sheet2!AS302)</f>
        <v>0</v>
      </c>
      <c r="AP303" s="14">
        <f>[1]Sheet2!P302</f>
        <v>0</v>
      </c>
      <c r="AQ303" s="14">
        <f>[1]Sheet2!Q302</f>
        <v>0</v>
      </c>
      <c r="AR303" s="14">
        <f>[1]Sheet2!R302</f>
        <v>0</v>
      </c>
      <c r="AS303" s="14">
        <f>[1]Sheet2!S302</f>
        <v>0</v>
      </c>
      <c r="AT303" s="14">
        <f>[1]Sheet2!T302</f>
        <v>0</v>
      </c>
      <c r="AU303" s="14">
        <f>[1]Sheet2!U302</f>
        <v>0</v>
      </c>
      <c r="AV303" s="14">
        <f>[1]Sheet2!V302</f>
        <v>0</v>
      </c>
      <c r="AW303" s="14">
        <f>[1]Sheet2!W302</f>
        <v>0</v>
      </c>
      <c r="AX303" s="14">
        <f>[1]Sheet2!X302</f>
        <v>0</v>
      </c>
      <c r="AY303" s="14">
        <f>[1]Sheet2!Y302</f>
        <v>0</v>
      </c>
      <c r="AZ303" s="16">
        <f>Demand_LP!B$12/31</f>
        <v>866.47279518196865</v>
      </c>
      <c r="BA303" s="16">
        <f>Demand_LP!C$12/31</f>
        <v>577.62712985938799</v>
      </c>
      <c r="BB303" s="16">
        <f>Demand_LP!D$12/31</f>
        <v>262.18502894954509</v>
      </c>
      <c r="BC303" s="16">
        <f>Demand_LP!E$12/31</f>
        <v>766.03229942100904</v>
      </c>
      <c r="BD303" s="16">
        <f>Demand_LP!F$12/31</f>
        <v>516.10499638130682</v>
      </c>
      <c r="BE303" s="16">
        <f>Demand_LP!G$12/31</f>
        <v>516.10499638130682</v>
      </c>
      <c r="BF303" s="16">
        <f>Demand_LP!H$12/31</f>
        <v>577.62712985938799</v>
      </c>
      <c r="BG303" s="16">
        <f>Demand_LP!I$12/31</f>
        <v>516.10499638130682</v>
      </c>
      <c r="BH303" s="16">
        <f>Demand_LP!J$12/31</f>
        <v>516.10499638130682</v>
      </c>
      <c r="BI303" s="16">
        <f>Demand_LP!K$12/31</f>
        <v>516.10499638130682</v>
      </c>
      <c r="BJ303" s="16">
        <f t="shared" si="136"/>
        <v>-222138.50435749997</v>
      </c>
      <c r="BK303" s="16">
        <f t="shared" si="137"/>
        <v>-167801.99660876731</v>
      </c>
      <c r="BL303" s="16">
        <f t="shared" si="138"/>
        <v>-81055.73680727907</v>
      </c>
      <c r="BM303" s="16">
        <f t="shared" si="139"/>
        <v>-214903.34258095842</v>
      </c>
      <c r="BN303" s="16">
        <f t="shared" si="140"/>
        <v>-130583.87239418123</v>
      </c>
      <c r="BO303" s="16">
        <f t="shared" si="141"/>
        <v>-129041.55631255197</v>
      </c>
      <c r="BP303" s="16">
        <f t="shared" si="142"/>
        <v>-162159.57609594666</v>
      </c>
      <c r="BQ303" s="16">
        <f t="shared" si="143"/>
        <v>-124870.55631255197</v>
      </c>
      <c r="BR303" s="16">
        <f t="shared" si="144"/>
        <v>-126641.55631255201</v>
      </c>
      <c r="BS303" s="16">
        <f t="shared" si="145"/>
        <v>-127341.556312552</v>
      </c>
      <c r="BT303" s="14">
        <f>IF([1]Sheet2!CB302=999999,"NA",[1]Sheet2!CB302)</f>
        <v>0</v>
      </c>
      <c r="BU303" s="14">
        <f>IF([1]Sheet2!CC302=999999,"NA",[1]Sheet2!CC302)</f>
        <v>0</v>
      </c>
      <c r="BV303" s="14">
        <f>IF([1]Sheet2!CD302=999999,"NA",[1]Sheet2!CD302)</f>
        <v>0</v>
      </c>
      <c r="BW303" s="14">
        <f>IF([1]Sheet2!CE302=999999,"NA",[1]Sheet2!CE302)</f>
        <v>0</v>
      </c>
      <c r="BX303" s="14">
        <f>IF([1]Sheet2!CF302=999999,"NA",[1]Sheet2!CF302)</f>
        <v>0</v>
      </c>
      <c r="BY303" s="14">
        <f>IF([1]Sheet2!CG302=999999,"NA",[1]Sheet2!CG302)</f>
        <v>0</v>
      </c>
      <c r="BZ303" s="14">
        <f>IF([1]Sheet2!CH302=999999,"NA",[1]Sheet2!CH302)</f>
        <v>0</v>
      </c>
      <c r="CA303" s="14">
        <f>IF([1]Sheet2!CI302=999999,"NA",[1]Sheet2!CI302)</f>
        <v>0</v>
      </c>
      <c r="CB303" s="14">
        <f>IF([1]Sheet2!CJ302=999999,"NA",[1]Sheet2!CJ302)</f>
        <v>0</v>
      </c>
      <c r="CC303" s="14">
        <f>IF([1]Sheet2!CK302=999999,"NA",[1]Sheet2!CK302)</f>
        <v>0</v>
      </c>
      <c r="CD303" s="14">
        <f>[1]Sheet2!BH302</f>
        <v>0</v>
      </c>
      <c r="CE303" s="14">
        <f>[1]Sheet2!BI302</f>
        <v>0</v>
      </c>
      <c r="CF303" s="14">
        <f>[1]Sheet2!BJ302</f>
        <v>0</v>
      </c>
      <c r="CG303" s="14">
        <f>[1]Sheet2!BK302</f>
        <v>0</v>
      </c>
      <c r="CH303" s="14">
        <f>[1]Sheet2!BL302</f>
        <v>0</v>
      </c>
      <c r="CI303" s="14">
        <f>[1]Sheet2!BM302</f>
        <v>0</v>
      </c>
      <c r="CJ303" s="14">
        <f>[1]Sheet2!BN302</f>
        <v>0</v>
      </c>
      <c r="CK303" s="14">
        <f>[1]Sheet2!BO302</f>
        <v>0</v>
      </c>
      <c r="CL303" s="14">
        <f>[1]Sheet2!BP302</f>
        <v>0</v>
      </c>
      <c r="CM303" s="14">
        <f>[1]Sheet2!BQ302</f>
        <v>0</v>
      </c>
      <c r="CN303" s="16">
        <f>Demand_SW!B$12/31</f>
        <v>139.57816377171216</v>
      </c>
      <c r="CO303" s="16">
        <f>Demand_SW!C$12/31</f>
        <v>0</v>
      </c>
      <c r="CP303" s="16">
        <f>Demand_SW!D$12/31</f>
        <v>0</v>
      </c>
      <c r="CQ303" s="16">
        <f>Demand_SW!E$12/31</f>
        <v>0</v>
      </c>
      <c r="CR303" s="16">
        <f>Demand_SW!F$12/31</f>
        <v>0</v>
      </c>
      <c r="CS303" s="16">
        <f>Demand_SW!G$12/31</f>
        <v>139.57816377171216</v>
      </c>
      <c r="CT303" s="16">
        <f>Demand_SW!H$12/31</f>
        <v>0</v>
      </c>
      <c r="CU303" s="16">
        <f>Demand_SW!I$12/31</f>
        <v>0</v>
      </c>
      <c r="CV303" s="16">
        <f>Demand_SW!J$12/31</f>
        <v>0</v>
      </c>
      <c r="CW303" s="16">
        <f>Demand_SW!K$12/31</f>
        <v>0</v>
      </c>
      <c r="CX303" s="16">
        <f t="shared" si="146"/>
        <v>-17816.302729528572</v>
      </c>
      <c r="CY303" s="16">
        <f t="shared" si="147"/>
        <v>76.923076923077133</v>
      </c>
      <c r="CZ303" s="16">
        <f t="shared" si="148"/>
        <v>0</v>
      </c>
      <c r="DA303" s="16">
        <f t="shared" si="149"/>
        <v>0</v>
      </c>
      <c r="DB303" s="16">
        <f t="shared" si="150"/>
        <v>0</v>
      </c>
      <c r="DC303" s="16">
        <f t="shared" si="151"/>
        <v>-19047.533498759341</v>
      </c>
      <c r="DD303" s="16">
        <f t="shared" si="152"/>
        <v>76.923076923077133</v>
      </c>
      <c r="DE303" s="16">
        <f t="shared" si="153"/>
        <v>0</v>
      </c>
      <c r="DF303" s="16">
        <f t="shared" si="154"/>
        <v>0</v>
      </c>
      <c r="DG303" s="16">
        <f t="shared" si="155"/>
        <v>0</v>
      </c>
      <c r="DH303" s="14">
        <f>IF([1]Sheet2!DS302=999999,"NA",[1]Sheet2!DS302)</f>
        <v>0</v>
      </c>
      <c r="DI303" s="14">
        <f>IF([1]Sheet2!DT302=999999,"NA",[1]Sheet2!DT302)</f>
        <v>65</v>
      </c>
      <c r="DJ303" s="14" t="str">
        <f>IF([1]Sheet2!DU302=999999,"NA",[1]Sheet2!DU302)</f>
        <v>NA</v>
      </c>
      <c r="DK303" s="14" t="str">
        <f>IF([1]Sheet2!DV302=999999,"NA",[1]Sheet2!DV302)</f>
        <v>NA</v>
      </c>
      <c r="DL303" s="14" t="str">
        <f>IF([1]Sheet2!DW302=999999,"NA",[1]Sheet2!DW302)</f>
        <v>NA</v>
      </c>
      <c r="DM303" s="14">
        <f>IF([1]Sheet2!DX302=999999,"NA",[1]Sheet2!DX302)</f>
        <v>0</v>
      </c>
      <c r="DN303" s="14">
        <f>IF([1]Sheet2!DY302=999999,"NA",[1]Sheet2!DY302)</f>
        <v>65</v>
      </c>
      <c r="DO303" s="14" t="str">
        <f>IF([1]Sheet2!DZ302=999999,"NA",[1]Sheet2!DZ302)</f>
        <v>NA</v>
      </c>
      <c r="DP303" s="14" t="str">
        <f>IF([1]Sheet2!EA302=999999,"NA",[1]Sheet2!EA302)</f>
        <v>NA</v>
      </c>
      <c r="DQ303" s="14" t="str">
        <f>IF([1]Sheet2!EB302=999999,"NA",[1]Sheet2!EB302)</f>
        <v>NA</v>
      </c>
      <c r="DR303" s="14">
        <f>[1]Sheet2!CY302</f>
        <v>0</v>
      </c>
      <c r="DS303" s="14">
        <f>[1]Sheet2!CZ302</f>
        <v>0</v>
      </c>
      <c r="DT303" s="14">
        <f>[1]Sheet2!DA302</f>
        <v>0</v>
      </c>
      <c r="DU303" s="14">
        <f>[1]Sheet2!DB302</f>
        <v>0</v>
      </c>
      <c r="DV303" s="14">
        <f>[1]Sheet2!DC302</f>
        <v>0</v>
      </c>
      <c r="DW303" s="14">
        <f>[1]Sheet2!DD302</f>
        <v>0</v>
      </c>
      <c r="DX303" s="14">
        <f>[1]Sheet2!DE302</f>
        <v>0</v>
      </c>
      <c r="DY303" s="14">
        <f>[1]Sheet2!DF302</f>
        <v>0</v>
      </c>
      <c r="DZ303" s="14">
        <f>[1]Sheet2!DG302</f>
        <v>0</v>
      </c>
      <c r="EA303" s="14">
        <f>[1]Sheet2!DH302</f>
        <v>0</v>
      </c>
      <c r="EB303" s="6">
        <f>[1]Sheet2!EC302</f>
        <v>0</v>
      </c>
      <c r="EC303" s="6">
        <f>[1]Sheet2!ED302</f>
        <v>0</v>
      </c>
      <c r="ED303" s="6">
        <f>[1]Sheet2!EE302</f>
        <v>0</v>
      </c>
      <c r="EE303" s="6">
        <f>[1]Sheet2!EF302</f>
        <v>0</v>
      </c>
      <c r="EF303" s="6">
        <f>[1]Sheet2!EG302</f>
        <v>0</v>
      </c>
      <c r="EG303" s="6">
        <f>[1]Sheet2!EH302</f>
        <v>0</v>
      </c>
      <c r="EH303" s="6">
        <f>[1]Sheet2!EI302</f>
        <v>0</v>
      </c>
      <c r="EI303" s="6">
        <f>[1]Sheet2!EJ302</f>
        <v>0</v>
      </c>
      <c r="EJ303" s="6">
        <f>[1]Sheet2!EK302</f>
        <v>0</v>
      </c>
      <c r="EK303" s="6">
        <f>[1]Sheet2!EL302</f>
        <v>0</v>
      </c>
      <c r="EL303" s="6" t="str">
        <f>[1]Sheet2!EM302</f>
        <v/>
      </c>
      <c r="EM303" s="6" t="str">
        <f>[1]Sheet2!EN302</f>
        <v/>
      </c>
      <c r="EN303" s="6" t="str">
        <f>[1]Sheet2!EO302</f>
        <v/>
      </c>
      <c r="EO303" s="6" t="str">
        <f>[1]Sheet2!EP302</f>
        <v/>
      </c>
      <c r="EP303" s="6" t="str">
        <f>[1]Sheet2!EQ302</f>
        <v/>
      </c>
      <c r="EQ303" s="6" t="str">
        <f>[1]Sheet2!ER302</f>
        <v/>
      </c>
      <c r="ER303" s="6" t="str">
        <f>[1]Sheet2!ES302</f>
        <v/>
      </c>
      <c r="ES303" s="6" t="str">
        <f>[1]Sheet2!ET302</f>
        <v/>
      </c>
      <c r="ET303" s="6" t="str">
        <f>[1]Sheet2!EU302</f>
        <v/>
      </c>
      <c r="EU303" s="6" t="str">
        <f>[1]Sheet2!EV302</f>
        <v/>
      </c>
      <c r="EV303" s="6" t="str">
        <f>[1]Sheet2!EW302</f>
        <v/>
      </c>
      <c r="EW303" s="6" t="str">
        <f>[1]Sheet2!EX302</f>
        <v/>
      </c>
      <c r="EX303" s="6" t="str">
        <f>[1]Sheet2!EY302</f>
        <v/>
      </c>
      <c r="EY303" s="6" t="str">
        <f>[1]Sheet2!EZ302</f>
        <v/>
      </c>
      <c r="EZ303" s="6" t="str">
        <f>[1]Sheet2!FA302</f>
        <v/>
      </c>
      <c r="FA303" s="6" t="str">
        <f>[1]Sheet2!FB302</f>
        <v/>
      </c>
      <c r="FB303" s="6" t="str">
        <f>[1]Sheet2!FC302</f>
        <v/>
      </c>
      <c r="FC303" s="6" t="str">
        <f>[1]Sheet2!FD302</f>
        <v/>
      </c>
      <c r="FD303" s="6" t="str">
        <f>[1]Sheet2!FE302</f>
        <v/>
      </c>
      <c r="FE303" s="6" t="str">
        <f>[1]Sheet2!FF302</f>
        <v/>
      </c>
      <c r="FF303" s="6" t="str">
        <f>[1]Sheet2!FG302</f>
        <v/>
      </c>
      <c r="FG303" s="6" t="str">
        <f>[1]Sheet2!FH302</f>
        <v/>
      </c>
      <c r="FH303" s="6" t="str">
        <f>[1]Sheet2!FI302</f>
        <v/>
      </c>
      <c r="FI303" s="6" t="str">
        <f>[1]Sheet2!FJ302</f>
        <v/>
      </c>
      <c r="FJ303" s="6" t="str">
        <f>[1]Sheet2!FK302</f>
        <v/>
      </c>
      <c r="FK303" s="6" t="str">
        <f>[1]Sheet2!FL302</f>
        <v/>
      </c>
      <c r="FL303" s="6" t="str">
        <f>[1]Sheet2!FM302</f>
        <v/>
      </c>
      <c r="FM303" s="6" t="str">
        <f>[1]Sheet2!FN302</f>
        <v/>
      </c>
      <c r="FN303" s="6" t="str">
        <f>[1]Sheet2!FO302</f>
        <v/>
      </c>
      <c r="FO303" s="6" t="str">
        <f>[1]Sheet2!FP302</f>
        <v/>
      </c>
    </row>
    <row r="304" spans="1:171" x14ac:dyDescent="0.25">
      <c r="A304" s="15">
        <v>43766</v>
      </c>
      <c r="B304" s="1"/>
      <c r="C304" s="1"/>
      <c r="D304" s="1"/>
      <c r="E304" s="14">
        <f>[1]Sheet2!N303</f>
        <v>0</v>
      </c>
      <c r="F304" s="14">
        <f>[1]Sheet2!BE303</f>
        <v>0</v>
      </c>
      <c r="G304" s="14">
        <f>[1]Sheet2!CW303</f>
        <v>0</v>
      </c>
      <c r="H304" s="1"/>
      <c r="I304" s="1"/>
      <c r="J304" s="1"/>
      <c r="K304" s="16"/>
      <c r="L304" s="16">
        <f>Demand_CWRS!B$12/31</f>
        <v>113.31027191894128</v>
      </c>
      <c r="M304" s="16">
        <f>Demand_CWRS!C$12/31</f>
        <v>480.06765922249781</v>
      </c>
      <c r="N304" s="16">
        <f>Demand_CWRS!D$12/31</f>
        <v>0</v>
      </c>
      <c r="O304" s="16">
        <f>Demand_CWRS!E$12/31</f>
        <v>103.22435897435898</v>
      </c>
      <c r="P304" s="16">
        <f>Demand_CWRS!F$12/31</f>
        <v>209.74544820099254</v>
      </c>
      <c r="Q304" s="16">
        <f>Demand_CWRS!G$12/31</f>
        <v>113.31027191894128</v>
      </c>
      <c r="R304" s="16">
        <f>Demand_CWRS!H$12/31</f>
        <v>209.74544820099254</v>
      </c>
      <c r="S304" s="16">
        <f>Demand_CWRS!I$12/31</f>
        <v>209.74544820099254</v>
      </c>
      <c r="T304" s="16">
        <f>Demand_CWRS!J$12/31</f>
        <v>209.74544820099254</v>
      </c>
      <c r="U304" s="16">
        <f>Demand_CWRS!K$12/31</f>
        <v>209.74544820099254</v>
      </c>
      <c r="V304" s="16">
        <f t="shared" si="126"/>
        <v>-34253.683766511451</v>
      </c>
      <c r="W304" s="16">
        <f t="shared" si="127"/>
        <v>-134668.54830438329</v>
      </c>
      <c r="X304" s="16">
        <f t="shared" si="128"/>
        <v>0</v>
      </c>
      <c r="Y304" s="16">
        <f t="shared" si="129"/>
        <v>-25830.757319052242</v>
      </c>
      <c r="Z304" s="16">
        <f t="shared" si="130"/>
        <v>-59902.079092755062</v>
      </c>
      <c r="AA304" s="16">
        <f t="shared" si="131"/>
        <v>-32781.751242473067</v>
      </c>
      <c r="AB304" s="16">
        <f t="shared" si="132"/>
        <v>-64211.243868396021</v>
      </c>
      <c r="AC304" s="16">
        <f t="shared" si="133"/>
        <v>-58418.23361198583</v>
      </c>
      <c r="AD304" s="16">
        <f t="shared" si="134"/>
        <v>-58518.233611985823</v>
      </c>
      <c r="AE304" s="16">
        <f t="shared" si="135"/>
        <v>-59118.233611985816</v>
      </c>
      <c r="AF304" s="14">
        <f>IF([1]Sheet2!AJ303=999999,"NA",[1]Sheet2!AJ303)</f>
        <v>0</v>
      </c>
      <c r="AG304" s="14">
        <f>IF([1]Sheet2!AK303=999999,"NA",[1]Sheet2!AK303)</f>
        <v>0</v>
      </c>
      <c r="AH304" s="14" t="str">
        <f>IF([1]Sheet2!AL303=999999,"NA",[1]Sheet2!AL303)</f>
        <v>NA</v>
      </c>
      <c r="AI304" s="14">
        <f>IF([1]Sheet2!AM303=999999,"NA",[1]Sheet2!AM303)</f>
        <v>0</v>
      </c>
      <c r="AJ304" s="14">
        <f>IF([1]Sheet2!AN303=999999,"NA",[1]Sheet2!AN303)</f>
        <v>0</v>
      </c>
      <c r="AK304" s="14">
        <f>IF([1]Sheet2!AO303=999999,"NA",[1]Sheet2!AO303)</f>
        <v>0</v>
      </c>
      <c r="AL304" s="14">
        <f>IF([1]Sheet2!AP303=999999,"NA",[1]Sheet2!AP303)</f>
        <v>0</v>
      </c>
      <c r="AM304" s="14">
        <f>IF([1]Sheet2!AQ303=999999,"NA",[1]Sheet2!AQ303)</f>
        <v>0</v>
      </c>
      <c r="AN304" s="14">
        <f>IF([1]Sheet2!AR303=999999,"NA",[1]Sheet2!AR303)</f>
        <v>0</v>
      </c>
      <c r="AO304" s="14">
        <f>IF([1]Sheet2!AS303=999999,"NA",[1]Sheet2!AS303)</f>
        <v>0</v>
      </c>
      <c r="AP304" s="14">
        <f>[1]Sheet2!P303</f>
        <v>0</v>
      </c>
      <c r="AQ304" s="14">
        <f>[1]Sheet2!Q303</f>
        <v>0</v>
      </c>
      <c r="AR304" s="14">
        <f>[1]Sheet2!R303</f>
        <v>0</v>
      </c>
      <c r="AS304" s="14">
        <f>[1]Sheet2!S303</f>
        <v>0</v>
      </c>
      <c r="AT304" s="14">
        <f>[1]Sheet2!T303</f>
        <v>0</v>
      </c>
      <c r="AU304" s="14">
        <f>[1]Sheet2!U303</f>
        <v>0</v>
      </c>
      <c r="AV304" s="14">
        <f>[1]Sheet2!V303</f>
        <v>0</v>
      </c>
      <c r="AW304" s="14">
        <f>[1]Sheet2!W303</f>
        <v>0</v>
      </c>
      <c r="AX304" s="14">
        <f>[1]Sheet2!X303</f>
        <v>0</v>
      </c>
      <c r="AY304" s="14">
        <f>[1]Sheet2!Y303</f>
        <v>0</v>
      </c>
      <c r="AZ304" s="16">
        <f>Demand_LP!B$12/31</f>
        <v>866.47279518196865</v>
      </c>
      <c r="BA304" s="16">
        <f>Demand_LP!C$12/31</f>
        <v>577.62712985938799</v>
      </c>
      <c r="BB304" s="16">
        <f>Demand_LP!D$12/31</f>
        <v>262.18502894954509</v>
      </c>
      <c r="BC304" s="16">
        <f>Demand_LP!E$12/31</f>
        <v>766.03229942100904</v>
      </c>
      <c r="BD304" s="16">
        <f>Demand_LP!F$12/31</f>
        <v>516.10499638130682</v>
      </c>
      <c r="BE304" s="16">
        <f>Demand_LP!G$12/31</f>
        <v>516.10499638130682</v>
      </c>
      <c r="BF304" s="16">
        <f>Demand_LP!H$12/31</f>
        <v>577.62712985938799</v>
      </c>
      <c r="BG304" s="16">
        <f>Demand_LP!I$12/31</f>
        <v>516.10499638130682</v>
      </c>
      <c r="BH304" s="16">
        <f>Demand_LP!J$12/31</f>
        <v>516.10499638130682</v>
      </c>
      <c r="BI304" s="16">
        <f>Demand_LP!K$12/31</f>
        <v>516.10499638130682</v>
      </c>
      <c r="BJ304" s="16">
        <f t="shared" si="136"/>
        <v>-223004.97715268194</v>
      </c>
      <c r="BK304" s="16">
        <f t="shared" si="137"/>
        <v>-168379.62373862669</v>
      </c>
      <c r="BL304" s="16">
        <f t="shared" si="138"/>
        <v>-81317.921836228619</v>
      </c>
      <c r="BM304" s="16">
        <f t="shared" si="139"/>
        <v>-215669.37488037942</v>
      </c>
      <c r="BN304" s="16">
        <f t="shared" si="140"/>
        <v>-131099.97739056253</v>
      </c>
      <c r="BO304" s="16">
        <f t="shared" si="141"/>
        <v>-129557.66130893328</v>
      </c>
      <c r="BP304" s="16">
        <f t="shared" si="142"/>
        <v>-162737.20322580604</v>
      </c>
      <c r="BQ304" s="16">
        <f t="shared" si="143"/>
        <v>-125386.66130893328</v>
      </c>
      <c r="BR304" s="16">
        <f t="shared" si="144"/>
        <v>-127157.66130893333</v>
      </c>
      <c r="BS304" s="16">
        <f t="shared" si="145"/>
        <v>-127857.66130893331</v>
      </c>
      <c r="BT304" s="14">
        <f>IF([1]Sheet2!CB303=999999,"NA",[1]Sheet2!CB303)</f>
        <v>0</v>
      </c>
      <c r="BU304" s="14">
        <f>IF([1]Sheet2!CC303=999999,"NA",[1]Sheet2!CC303)</f>
        <v>0</v>
      </c>
      <c r="BV304" s="14">
        <f>IF([1]Sheet2!CD303=999999,"NA",[1]Sheet2!CD303)</f>
        <v>0</v>
      </c>
      <c r="BW304" s="14">
        <f>IF([1]Sheet2!CE303=999999,"NA",[1]Sheet2!CE303)</f>
        <v>0</v>
      </c>
      <c r="BX304" s="14">
        <f>IF([1]Sheet2!CF303=999999,"NA",[1]Sheet2!CF303)</f>
        <v>0</v>
      </c>
      <c r="BY304" s="14">
        <f>IF([1]Sheet2!CG303=999999,"NA",[1]Sheet2!CG303)</f>
        <v>0</v>
      </c>
      <c r="BZ304" s="14">
        <f>IF([1]Sheet2!CH303=999999,"NA",[1]Sheet2!CH303)</f>
        <v>0</v>
      </c>
      <c r="CA304" s="14">
        <f>IF([1]Sheet2!CI303=999999,"NA",[1]Sheet2!CI303)</f>
        <v>0</v>
      </c>
      <c r="CB304" s="14">
        <f>IF([1]Sheet2!CJ303=999999,"NA",[1]Sheet2!CJ303)</f>
        <v>0</v>
      </c>
      <c r="CC304" s="14">
        <f>IF([1]Sheet2!CK303=999999,"NA",[1]Sheet2!CK303)</f>
        <v>0</v>
      </c>
      <c r="CD304" s="14">
        <f>[1]Sheet2!BH303</f>
        <v>0</v>
      </c>
      <c r="CE304" s="14">
        <f>[1]Sheet2!BI303</f>
        <v>0</v>
      </c>
      <c r="CF304" s="14">
        <f>[1]Sheet2!BJ303</f>
        <v>0</v>
      </c>
      <c r="CG304" s="14">
        <f>[1]Sheet2!BK303</f>
        <v>0</v>
      </c>
      <c r="CH304" s="14">
        <f>[1]Sheet2!BL303</f>
        <v>0</v>
      </c>
      <c r="CI304" s="14">
        <f>[1]Sheet2!BM303</f>
        <v>0</v>
      </c>
      <c r="CJ304" s="14">
        <f>[1]Sheet2!BN303</f>
        <v>0</v>
      </c>
      <c r="CK304" s="14">
        <f>[1]Sheet2!BO303</f>
        <v>0</v>
      </c>
      <c r="CL304" s="14">
        <f>[1]Sheet2!BP303</f>
        <v>0</v>
      </c>
      <c r="CM304" s="14">
        <f>[1]Sheet2!BQ303</f>
        <v>0</v>
      </c>
      <c r="CN304" s="16">
        <f>Demand_SW!B$12/31</f>
        <v>139.57816377171216</v>
      </c>
      <c r="CO304" s="16">
        <f>Demand_SW!C$12/31</f>
        <v>0</v>
      </c>
      <c r="CP304" s="16">
        <f>Demand_SW!D$12/31</f>
        <v>0</v>
      </c>
      <c r="CQ304" s="16">
        <f>Demand_SW!E$12/31</f>
        <v>0</v>
      </c>
      <c r="CR304" s="16">
        <f>Demand_SW!F$12/31</f>
        <v>0</v>
      </c>
      <c r="CS304" s="16">
        <f>Demand_SW!G$12/31</f>
        <v>139.57816377171216</v>
      </c>
      <c r="CT304" s="16">
        <f>Demand_SW!H$12/31</f>
        <v>0</v>
      </c>
      <c r="CU304" s="16">
        <f>Demand_SW!I$12/31</f>
        <v>0</v>
      </c>
      <c r="CV304" s="16">
        <f>Demand_SW!J$12/31</f>
        <v>0</v>
      </c>
      <c r="CW304" s="16">
        <f>Demand_SW!K$12/31</f>
        <v>0</v>
      </c>
      <c r="CX304" s="16">
        <f t="shared" si="146"/>
        <v>-17955.880893300284</v>
      </c>
      <c r="CY304" s="16">
        <f t="shared" si="147"/>
        <v>76.923076923077133</v>
      </c>
      <c r="CZ304" s="16">
        <f t="shared" si="148"/>
        <v>0</v>
      </c>
      <c r="DA304" s="16">
        <f t="shared" si="149"/>
        <v>0</v>
      </c>
      <c r="DB304" s="16">
        <f t="shared" si="150"/>
        <v>0</v>
      </c>
      <c r="DC304" s="16">
        <f t="shared" si="151"/>
        <v>-19187.111662531053</v>
      </c>
      <c r="DD304" s="16">
        <f t="shared" si="152"/>
        <v>76.923076923077133</v>
      </c>
      <c r="DE304" s="16">
        <f t="shared" si="153"/>
        <v>0</v>
      </c>
      <c r="DF304" s="16">
        <f t="shared" si="154"/>
        <v>0</v>
      </c>
      <c r="DG304" s="16">
        <f t="shared" si="155"/>
        <v>0</v>
      </c>
      <c r="DH304" s="14">
        <f>IF([1]Sheet2!DS303=999999,"NA",[1]Sheet2!DS303)</f>
        <v>0</v>
      </c>
      <c r="DI304" s="14">
        <f>IF([1]Sheet2!DT303=999999,"NA",[1]Sheet2!DT303)</f>
        <v>64</v>
      </c>
      <c r="DJ304" s="14" t="str">
        <f>IF([1]Sheet2!DU303=999999,"NA",[1]Sheet2!DU303)</f>
        <v>NA</v>
      </c>
      <c r="DK304" s="14" t="str">
        <f>IF([1]Sheet2!DV303=999999,"NA",[1]Sheet2!DV303)</f>
        <v>NA</v>
      </c>
      <c r="DL304" s="14" t="str">
        <f>IF([1]Sheet2!DW303=999999,"NA",[1]Sheet2!DW303)</f>
        <v>NA</v>
      </c>
      <c r="DM304" s="14">
        <f>IF([1]Sheet2!DX303=999999,"NA",[1]Sheet2!DX303)</f>
        <v>0</v>
      </c>
      <c r="DN304" s="14">
        <f>IF([1]Sheet2!DY303=999999,"NA",[1]Sheet2!DY303)</f>
        <v>64</v>
      </c>
      <c r="DO304" s="14" t="str">
        <f>IF([1]Sheet2!DZ303=999999,"NA",[1]Sheet2!DZ303)</f>
        <v>NA</v>
      </c>
      <c r="DP304" s="14" t="str">
        <f>IF([1]Sheet2!EA303=999999,"NA",[1]Sheet2!EA303)</f>
        <v>NA</v>
      </c>
      <c r="DQ304" s="14" t="str">
        <f>IF([1]Sheet2!EB303=999999,"NA",[1]Sheet2!EB303)</f>
        <v>NA</v>
      </c>
      <c r="DR304" s="14">
        <f>[1]Sheet2!CY303</f>
        <v>0</v>
      </c>
      <c r="DS304" s="14">
        <f>[1]Sheet2!CZ303</f>
        <v>0</v>
      </c>
      <c r="DT304" s="14">
        <f>[1]Sheet2!DA303</f>
        <v>0</v>
      </c>
      <c r="DU304" s="14">
        <f>[1]Sheet2!DB303</f>
        <v>0</v>
      </c>
      <c r="DV304" s="14">
        <f>[1]Sheet2!DC303</f>
        <v>0</v>
      </c>
      <c r="DW304" s="14">
        <f>[1]Sheet2!DD303</f>
        <v>0</v>
      </c>
      <c r="DX304" s="14">
        <f>[1]Sheet2!DE303</f>
        <v>0</v>
      </c>
      <c r="DY304" s="14">
        <f>[1]Sheet2!DF303</f>
        <v>0</v>
      </c>
      <c r="DZ304" s="14">
        <f>[1]Sheet2!DG303</f>
        <v>0</v>
      </c>
      <c r="EA304" s="14">
        <f>[1]Sheet2!DH303</f>
        <v>0</v>
      </c>
      <c r="EB304" s="6">
        <f>[1]Sheet2!EC303</f>
        <v>0</v>
      </c>
      <c r="EC304" s="6">
        <f>[1]Sheet2!ED303</f>
        <v>0</v>
      </c>
      <c r="ED304" s="6">
        <f>[1]Sheet2!EE303</f>
        <v>0</v>
      </c>
      <c r="EE304" s="6">
        <f>[1]Sheet2!EF303</f>
        <v>0</v>
      </c>
      <c r="EF304" s="6">
        <f>[1]Sheet2!EG303</f>
        <v>0</v>
      </c>
      <c r="EG304" s="6">
        <f>[1]Sheet2!EH303</f>
        <v>0</v>
      </c>
      <c r="EH304" s="6">
        <f>[1]Sheet2!EI303</f>
        <v>0</v>
      </c>
      <c r="EI304" s="6">
        <f>[1]Sheet2!EJ303</f>
        <v>0</v>
      </c>
      <c r="EJ304" s="6">
        <f>[1]Sheet2!EK303</f>
        <v>0</v>
      </c>
      <c r="EK304" s="6">
        <f>[1]Sheet2!EL303</f>
        <v>0</v>
      </c>
      <c r="EL304" s="6" t="str">
        <f>[1]Sheet2!EM303</f>
        <v/>
      </c>
      <c r="EM304" s="6" t="str">
        <f>[1]Sheet2!EN303</f>
        <v/>
      </c>
      <c r="EN304" s="6" t="str">
        <f>[1]Sheet2!EO303</f>
        <v/>
      </c>
      <c r="EO304" s="6" t="str">
        <f>[1]Sheet2!EP303</f>
        <v/>
      </c>
      <c r="EP304" s="6" t="str">
        <f>[1]Sheet2!EQ303</f>
        <v/>
      </c>
      <c r="EQ304" s="6" t="str">
        <f>[1]Sheet2!ER303</f>
        <v/>
      </c>
      <c r="ER304" s="6" t="str">
        <f>[1]Sheet2!ES303</f>
        <v/>
      </c>
      <c r="ES304" s="6" t="str">
        <f>[1]Sheet2!ET303</f>
        <v/>
      </c>
      <c r="ET304" s="6" t="str">
        <f>[1]Sheet2!EU303</f>
        <v/>
      </c>
      <c r="EU304" s="6" t="str">
        <f>[1]Sheet2!EV303</f>
        <v/>
      </c>
      <c r="EV304" s="6" t="str">
        <f>[1]Sheet2!EW303</f>
        <v/>
      </c>
      <c r="EW304" s="6" t="str">
        <f>[1]Sheet2!EX303</f>
        <v/>
      </c>
      <c r="EX304" s="6" t="str">
        <f>[1]Sheet2!EY303</f>
        <v/>
      </c>
      <c r="EY304" s="6" t="str">
        <f>[1]Sheet2!EZ303</f>
        <v/>
      </c>
      <c r="EZ304" s="6" t="str">
        <f>[1]Sheet2!FA303</f>
        <v/>
      </c>
      <c r="FA304" s="6" t="str">
        <f>[1]Sheet2!FB303</f>
        <v/>
      </c>
      <c r="FB304" s="6" t="str">
        <f>[1]Sheet2!FC303</f>
        <v/>
      </c>
      <c r="FC304" s="6" t="str">
        <f>[1]Sheet2!FD303</f>
        <v/>
      </c>
      <c r="FD304" s="6" t="str">
        <f>[1]Sheet2!FE303</f>
        <v/>
      </c>
      <c r="FE304" s="6" t="str">
        <f>[1]Sheet2!FF303</f>
        <v/>
      </c>
      <c r="FF304" s="6" t="str">
        <f>[1]Sheet2!FG303</f>
        <v/>
      </c>
      <c r="FG304" s="6" t="str">
        <f>[1]Sheet2!FH303</f>
        <v/>
      </c>
      <c r="FH304" s="6" t="str">
        <f>[1]Sheet2!FI303</f>
        <v/>
      </c>
      <c r="FI304" s="6" t="str">
        <f>[1]Sheet2!FJ303</f>
        <v/>
      </c>
      <c r="FJ304" s="6" t="str">
        <f>[1]Sheet2!FK303</f>
        <v/>
      </c>
      <c r="FK304" s="6" t="str">
        <f>[1]Sheet2!FL303</f>
        <v/>
      </c>
      <c r="FL304" s="6" t="str">
        <f>[1]Sheet2!FM303</f>
        <v/>
      </c>
      <c r="FM304" s="6" t="str">
        <f>[1]Sheet2!FN303</f>
        <v/>
      </c>
      <c r="FN304" s="6" t="str">
        <f>[1]Sheet2!FO303</f>
        <v/>
      </c>
      <c r="FO304" s="6" t="str">
        <f>[1]Sheet2!FP303</f>
        <v/>
      </c>
    </row>
    <row r="305" spans="1:171" x14ac:dyDescent="0.25">
      <c r="A305" s="15">
        <v>43767</v>
      </c>
      <c r="B305" s="1"/>
      <c r="C305" s="1"/>
      <c r="D305" s="1"/>
      <c r="E305" s="14">
        <f>[1]Sheet2!N304</f>
        <v>0</v>
      </c>
      <c r="F305" s="14">
        <f>[1]Sheet2!BE304</f>
        <v>0</v>
      </c>
      <c r="G305" s="14">
        <f>[1]Sheet2!CW304</f>
        <v>0</v>
      </c>
      <c r="H305" s="1"/>
      <c r="I305" s="1"/>
      <c r="J305" s="1"/>
      <c r="K305" s="16"/>
      <c r="L305" s="16">
        <f>Demand_CWRS!B$12/31</f>
        <v>113.31027191894128</v>
      </c>
      <c r="M305" s="16">
        <f>Demand_CWRS!C$12/31</f>
        <v>480.06765922249781</v>
      </c>
      <c r="N305" s="16">
        <f>Demand_CWRS!D$12/31</f>
        <v>0</v>
      </c>
      <c r="O305" s="16">
        <f>Demand_CWRS!E$12/31</f>
        <v>103.22435897435898</v>
      </c>
      <c r="P305" s="16">
        <f>Demand_CWRS!F$12/31</f>
        <v>209.74544820099254</v>
      </c>
      <c r="Q305" s="16">
        <f>Demand_CWRS!G$12/31</f>
        <v>113.31027191894128</v>
      </c>
      <c r="R305" s="16">
        <f>Demand_CWRS!H$12/31</f>
        <v>209.74544820099254</v>
      </c>
      <c r="S305" s="16">
        <f>Demand_CWRS!I$12/31</f>
        <v>209.74544820099254</v>
      </c>
      <c r="T305" s="16">
        <f>Demand_CWRS!J$12/31</f>
        <v>209.74544820099254</v>
      </c>
      <c r="U305" s="16">
        <f>Demand_CWRS!K$12/31</f>
        <v>209.74544820099254</v>
      </c>
      <c r="V305" s="16">
        <f t="shared" si="126"/>
        <v>-34366.994038430392</v>
      </c>
      <c r="W305" s="16">
        <f t="shared" si="127"/>
        <v>-135148.61596360579</v>
      </c>
      <c r="X305" s="16">
        <f t="shared" si="128"/>
        <v>0</v>
      </c>
      <c r="Y305" s="16">
        <f t="shared" si="129"/>
        <v>-25933.981678026601</v>
      </c>
      <c r="Z305" s="16">
        <f t="shared" si="130"/>
        <v>-60111.824540956055</v>
      </c>
      <c r="AA305" s="16">
        <f t="shared" si="131"/>
        <v>-32895.061514392008</v>
      </c>
      <c r="AB305" s="16">
        <f t="shared" si="132"/>
        <v>-64420.989316597013</v>
      </c>
      <c r="AC305" s="16">
        <f t="shared" si="133"/>
        <v>-58627.979060186823</v>
      </c>
      <c r="AD305" s="16">
        <f t="shared" si="134"/>
        <v>-58727.979060186815</v>
      </c>
      <c r="AE305" s="16">
        <f t="shared" si="135"/>
        <v>-59327.979060186808</v>
      </c>
      <c r="AF305" s="14">
        <f>IF([1]Sheet2!AJ304=999999,"NA",[1]Sheet2!AJ304)</f>
        <v>0</v>
      </c>
      <c r="AG305" s="14">
        <f>IF([1]Sheet2!AK304=999999,"NA",[1]Sheet2!AK304)</f>
        <v>0</v>
      </c>
      <c r="AH305" s="14" t="str">
        <f>IF([1]Sheet2!AL304=999999,"NA",[1]Sheet2!AL304)</f>
        <v>NA</v>
      </c>
      <c r="AI305" s="14">
        <f>IF([1]Sheet2!AM304=999999,"NA",[1]Sheet2!AM304)</f>
        <v>0</v>
      </c>
      <c r="AJ305" s="14">
        <f>IF([1]Sheet2!AN304=999999,"NA",[1]Sheet2!AN304)</f>
        <v>0</v>
      </c>
      <c r="AK305" s="14">
        <f>IF([1]Sheet2!AO304=999999,"NA",[1]Sheet2!AO304)</f>
        <v>0</v>
      </c>
      <c r="AL305" s="14">
        <f>IF([1]Sheet2!AP304=999999,"NA",[1]Sheet2!AP304)</f>
        <v>0</v>
      </c>
      <c r="AM305" s="14">
        <f>IF([1]Sheet2!AQ304=999999,"NA",[1]Sheet2!AQ304)</f>
        <v>0</v>
      </c>
      <c r="AN305" s="14">
        <f>IF([1]Sheet2!AR304=999999,"NA",[1]Sheet2!AR304)</f>
        <v>0</v>
      </c>
      <c r="AO305" s="14">
        <f>IF([1]Sheet2!AS304=999999,"NA",[1]Sheet2!AS304)</f>
        <v>0</v>
      </c>
      <c r="AP305" s="14">
        <f>[1]Sheet2!P304</f>
        <v>0</v>
      </c>
      <c r="AQ305" s="14">
        <f>[1]Sheet2!Q304</f>
        <v>0</v>
      </c>
      <c r="AR305" s="14">
        <f>[1]Sheet2!R304</f>
        <v>0</v>
      </c>
      <c r="AS305" s="14">
        <f>[1]Sheet2!S304</f>
        <v>0</v>
      </c>
      <c r="AT305" s="14">
        <f>[1]Sheet2!T304</f>
        <v>0</v>
      </c>
      <c r="AU305" s="14">
        <f>[1]Sheet2!U304</f>
        <v>0</v>
      </c>
      <c r="AV305" s="14">
        <f>[1]Sheet2!V304</f>
        <v>0</v>
      </c>
      <c r="AW305" s="14">
        <f>[1]Sheet2!W304</f>
        <v>0</v>
      </c>
      <c r="AX305" s="14">
        <f>[1]Sheet2!X304</f>
        <v>0</v>
      </c>
      <c r="AY305" s="14">
        <f>[1]Sheet2!Y304</f>
        <v>0</v>
      </c>
      <c r="AZ305" s="16">
        <f>Demand_LP!B$12/31</f>
        <v>866.47279518196865</v>
      </c>
      <c r="BA305" s="16">
        <f>Demand_LP!C$12/31</f>
        <v>577.62712985938799</v>
      </c>
      <c r="BB305" s="16">
        <f>Demand_LP!D$12/31</f>
        <v>262.18502894954509</v>
      </c>
      <c r="BC305" s="16">
        <f>Demand_LP!E$12/31</f>
        <v>766.03229942100904</v>
      </c>
      <c r="BD305" s="16">
        <f>Demand_LP!F$12/31</f>
        <v>516.10499638130682</v>
      </c>
      <c r="BE305" s="16">
        <f>Demand_LP!G$12/31</f>
        <v>516.10499638130682</v>
      </c>
      <c r="BF305" s="16">
        <f>Demand_LP!H$12/31</f>
        <v>577.62712985938799</v>
      </c>
      <c r="BG305" s="16">
        <f>Demand_LP!I$12/31</f>
        <v>516.10499638130682</v>
      </c>
      <c r="BH305" s="16">
        <f>Demand_LP!J$12/31</f>
        <v>516.10499638130682</v>
      </c>
      <c r="BI305" s="16">
        <f>Demand_LP!K$12/31</f>
        <v>516.10499638130682</v>
      </c>
      <c r="BJ305" s="16">
        <f t="shared" si="136"/>
        <v>-223871.4499478639</v>
      </c>
      <c r="BK305" s="16">
        <f t="shared" si="137"/>
        <v>-168957.25086848607</v>
      </c>
      <c r="BL305" s="16">
        <f t="shared" si="138"/>
        <v>-81580.106865178168</v>
      </c>
      <c r="BM305" s="16">
        <f t="shared" si="139"/>
        <v>-216435.40717980042</v>
      </c>
      <c r="BN305" s="16">
        <f t="shared" si="140"/>
        <v>-131616.08238694383</v>
      </c>
      <c r="BO305" s="16">
        <f t="shared" si="141"/>
        <v>-130073.7663053146</v>
      </c>
      <c r="BP305" s="16">
        <f t="shared" si="142"/>
        <v>-163314.83035566541</v>
      </c>
      <c r="BQ305" s="16">
        <f t="shared" si="143"/>
        <v>-125902.7663053146</v>
      </c>
      <c r="BR305" s="16">
        <f t="shared" si="144"/>
        <v>-127673.76630531464</v>
      </c>
      <c r="BS305" s="16">
        <f t="shared" si="145"/>
        <v>-128373.76630531462</v>
      </c>
      <c r="BT305" s="14">
        <f>IF([1]Sheet2!CB304=999999,"NA",[1]Sheet2!CB304)</f>
        <v>0</v>
      </c>
      <c r="BU305" s="14">
        <f>IF([1]Sheet2!CC304=999999,"NA",[1]Sheet2!CC304)</f>
        <v>0</v>
      </c>
      <c r="BV305" s="14">
        <f>IF([1]Sheet2!CD304=999999,"NA",[1]Sheet2!CD304)</f>
        <v>0</v>
      </c>
      <c r="BW305" s="14">
        <f>IF([1]Sheet2!CE304=999999,"NA",[1]Sheet2!CE304)</f>
        <v>0</v>
      </c>
      <c r="BX305" s="14">
        <f>IF([1]Sheet2!CF304=999999,"NA",[1]Sheet2!CF304)</f>
        <v>0</v>
      </c>
      <c r="BY305" s="14">
        <f>IF([1]Sheet2!CG304=999999,"NA",[1]Sheet2!CG304)</f>
        <v>0</v>
      </c>
      <c r="BZ305" s="14">
        <f>IF([1]Sheet2!CH304=999999,"NA",[1]Sheet2!CH304)</f>
        <v>0</v>
      </c>
      <c r="CA305" s="14">
        <f>IF([1]Sheet2!CI304=999999,"NA",[1]Sheet2!CI304)</f>
        <v>0</v>
      </c>
      <c r="CB305" s="14">
        <f>IF([1]Sheet2!CJ304=999999,"NA",[1]Sheet2!CJ304)</f>
        <v>0</v>
      </c>
      <c r="CC305" s="14">
        <f>IF([1]Sheet2!CK304=999999,"NA",[1]Sheet2!CK304)</f>
        <v>0</v>
      </c>
      <c r="CD305" s="14">
        <f>[1]Sheet2!BH304</f>
        <v>0</v>
      </c>
      <c r="CE305" s="14">
        <f>[1]Sheet2!BI304</f>
        <v>0</v>
      </c>
      <c r="CF305" s="14">
        <f>[1]Sheet2!BJ304</f>
        <v>0</v>
      </c>
      <c r="CG305" s="14">
        <f>[1]Sheet2!BK304</f>
        <v>0</v>
      </c>
      <c r="CH305" s="14">
        <f>[1]Sheet2!BL304</f>
        <v>0</v>
      </c>
      <c r="CI305" s="14">
        <f>[1]Sheet2!BM304</f>
        <v>0</v>
      </c>
      <c r="CJ305" s="14">
        <f>[1]Sheet2!BN304</f>
        <v>0</v>
      </c>
      <c r="CK305" s="14">
        <f>[1]Sheet2!BO304</f>
        <v>0</v>
      </c>
      <c r="CL305" s="14">
        <f>[1]Sheet2!BP304</f>
        <v>0</v>
      </c>
      <c r="CM305" s="14">
        <f>[1]Sheet2!BQ304</f>
        <v>0</v>
      </c>
      <c r="CN305" s="16">
        <f>Demand_SW!B$12/31</f>
        <v>139.57816377171216</v>
      </c>
      <c r="CO305" s="16">
        <f>Demand_SW!C$12/31</f>
        <v>0</v>
      </c>
      <c r="CP305" s="16">
        <f>Demand_SW!D$12/31</f>
        <v>0</v>
      </c>
      <c r="CQ305" s="16">
        <f>Demand_SW!E$12/31</f>
        <v>0</v>
      </c>
      <c r="CR305" s="16">
        <f>Demand_SW!F$12/31</f>
        <v>0</v>
      </c>
      <c r="CS305" s="16">
        <f>Demand_SW!G$12/31</f>
        <v>139.57816377171216</v>
      </c>
      <c r="CT305" s="16">
        <f>Demand_SW!H$12/31</f>
        <v>0</v>
      </c>
      <c r="CU305" s="16">
        <f>Demand_SW!I$12/31</f>
        <v>0</v>
      </c>
      <c r="CV305" s="16">
        <f>Demand_SW!J$12/31</f>
        <v>0</v>
      </c>
      <c r="CW305" s="16">
        <f>Demand_SW!K$12/31</f>
        <v>0</v>
      </c>
      <c r="CX305" s="16">
        <f t="shared" si="146"/>
        <v>-18095.459057071996</v>
      </c>
      <c r="CY305" s="16">
        <f t="shared" si="147"/>
        <v>76.923076923077133</v>
      </c>
      <c r="CZ305" s="16">
        <f t="shared" si="148"/>
        <v>0</v>
      </c>
      <c r="DA305" s="16">
        <f t="shared" si="149"/>
        <v>0</v>
      </c>
      <c r="DB305" s="16">
        <f t="shared" si="150"/>
        <v>0</v>
      </c>
      <c r="DC305" s="16">
        <f t="shared" si="151"/>
        <v>-19326.689826302765</v>
      </c>
      <c r="DD305" s="16">
        <f t="shared" si="152"/>
        <v>76.923076923077133</v>
      </c>
      <c r="DE305" s="16">
        <f t="shared" si="153"/>
        <v>0</v>
      </c>
      <c r="DF305" s="16">
        <f t="shared" si="154"/>
        <v>0</v>
      </c>
      <c r="DG305" s="16">
        <f t="shared" si="155"/>
        <v>0</v>
      </c>
      <c r="DH305" s="14">
        <f>IF([1]Sheet2!DS304=999999,"NA",[1]Sheet2!DS304)</f>
        <v>0</v>
      </c>
      <c r="DI305" s="14">
        <f>IF([1]Sheet2!DT304=999999,"NA",[1]Sheet2!DT304)</f>
        <v>63</v>
      </c>
      <c r="DJ305" s="14" t="str">
        <f>IF([1]Sheet2!DU304=999999,"NA",[1]Sheet2!DU304)</f>
        <v>NA</v>
      </c>
      <c r="DK305" s="14" t="str">
        <f>IF([1]Sheet2!DV304=999999,"NA",[1]Sheet2!DV304)</f>
        <v>NA</v>
      </c>
      <c r="DL305" s="14" t="str">
        <f>IF([1]Sheet2!DW304=999999,"NA",[1]Sheet2!DW304)</f>
        <v>NA</v>
      </c>
      <c r="DM305" s="14">
        <f>IF([1]Sheet2!DX304=999999,"NA",[1]Sheet2!DX304)</f>
        <v>0</v>
      </c>
      <c r="DN305" s="14">
        <f>IF([1]Sheet2!DY304=999999,"NA",[1]Sheet2!DY304)</f>
        <v>63</v>
      </c>
      <c r="DO305" s="14" t="str">
        <f>IF([1]Sheet2!DZ304=999999,"NA",[1]Sheet2!DZ304)</f>
        <v>NA</v>
      </c>
      <c r="DP305" s="14" t="str">
        <f>IF([1]Sheet2!EA304=999999,"NA",[1]Sheet2!EA304)</f>
        <v>NA</v>
      </c>
      <c r="DQ305" s="14" t="str">
        <f>IF([1]Sheet2!EB304=999999,"NA",[1]Sheet2!EB304)</f>
        <v>NA</v>
      </c>
      <c r="DR305" s="14">
        <f>[1]Sheet2!CY304</f>
        <v>0</v>
      </c>
      <c r="DS305" s="14">
        <f>[1]Sheet2!CZ304</f>
        <v>0</v>
      </c>
      <c r="DT305" s="14">
        <f>[1]Sheet2!DA304</f>
        <v>0</v>
      </c>
      <c r="DU305" s="14">
        <f>[1]Sheet2!DB304</f>
        <v>0</v>
      </c>
      <c r="DV305" s="14">
        <f>[1]Sheet2!DC304</f>
        <v>0</v>
      </c>
      <c r="DW305" s="14">
        <f>[1]Sheet2!DD304</f>
        <v>0</v>
      </c>
      <c r="DX305" s="14">
        <f>[1]Sheet2!DE304</f>
        <v>0</v>
      </c>
      <c r="DY305" s="14">
        <f>[1]Sheet2!DF304</f>
        <v>0</v>
      </c>
      <c r="DZ305" s="14">
        <f>[1]Sheet2!DG304</f>
        <v>0</v>
      </c>
      <c r="EA305" s="14">
        <f>[1]Sheet2!DH304</f>
        <v>0</v>
      </c>
      <c r="EB305" s="6">
        <f>[1]Sheet2!EC304</f>
        <v>0</v>
      </c>
      <c r="EC305" s="6">
        <f>[1]Sheet2!ED304</f>
        <v>0</v>
      </c>
      <c r="ED305" s="6">
        <f>[1]Sheet2!EE304</f>
        <v>0</v>
      </c>
      <c r="EE305" s="6">
        <f>[1]Sheet2!EF304</f>
        <v>0</v>
      </c>
      <c r="EF305" s="6">
        <f>[1]Sheet2!EG304</f>
        <v>0</v>
      </c>
      <c r="EG305" s="6">
        <f>[1]Sheet2!EH304</f>
        <v>0</v>
      </c>
      <c r="EH305" s="6">
        <f>[1]Sheet2!EI304</f>
        <v>0</v>
      </c>
      <c r="EI305" s="6">
        <f>[1]Sheet2!EJ304</f>
        <v>0</v>
      </c>
      <c r="EJ305" s="6">
        <f>[1]Sheet2!EK304</f>
        <v>0</v>
      </c>
      <c r="EK305" s="6">
        <f>[1]Sheet2!EL304</f>
        <v>0</v>
      </c>
      <c r="EL305" s="6" t="str">
        <f>[1]Sheet2!EM304</f>
        <v/>
      </c>
      <c r="EM305" s="6" t="str">
        <f>[1]Sheet2!EN304</f>
        <v/>
      </c>
      <c r="EN305" s="6" t="str">
        <f>[1]Sheet2!EO304</f>
        <v/>
      </c>
      <c r="EO305" s="6" t="str">
        <f>[1]Sheet2!EP304</f>
        <v/>
      </c>
      <c r="EP305" s="6" t="str">
        <f>[1]Sheet2!EQ304</f>
        <v/>
      </c>
      <c r="EQ305" s="6" t="str">
        <f>[1]Sheet2!ER304</f>
        <v/>
      </c>
      <c r="ER305" s="6" t="str">
        <f>[1]Sheet2!ES304</f>
        <v/>
      </c>
      <c r="ES305" s="6" t="str">
        <f>[1]Sheet2!ET304</f>
        <v/>
      </c>
      <c r="ET305" s="6" t="str">
        <f>[1]Sheet2!EU304</f>
        <v/>
      </c>
      <c r="EU305" s="6" t="str">
        <f>[1]Sheet2!EV304</f>
        <v/>
      </c>
      <c r="EV305" s="6" t="str">
        <f>[1]Sheet2!EW304</f>
        <v/>
      </c>
      <c r="EW305" s="6" t="str">
        <f>[1]Sheet2!EX304</f>
        <v/>
      </c>
      <c r="EX305" s="6" t="str">
        <f>[1]Sheet2!EY304</f>
        <v/>
      </c>
      <c r="EY305" s="6" t="str">
        <f>[1]Sheet2!EZ304</f>
        <v/>
      </c>
      <c r="EZ305" s="6" t="str">
        <f>[1]Sheet2!FA304</f>
        <v/>
      </c>
      <c r="FA305" s="6" t="str">
        <f>[1]Sheet2!FB304</f>
        <v/>
      </c>
      <c r="FB305" s="6" t="str">
        <f>[1]Sheet2!FC304</f>
        <v/>
      </c>
      <c r="FC305" s="6" t="str">
        <f>[1]Sheet2!FD304</f>
        <v/>
      </c>
      <c r="FD305" s="6" t="str">
        <f>[1]Sheet2!FE304</f>
        <v/>
      </c>
      <c r="FE305" s="6" t="str">
        <f>[1]Sheet2!FF304</f>
        <v/>
      </c>
      <c r="FF305" s="6" t="str">
        <f>[1]Sheet2!FG304</f>
        <v/>
      </c>
      <c r="FG305" s="6" t="str">
        <f>[1]Sheet2!FH304</f>
        <v/>
      </c>
      <c r="FH305" s="6" t="str">
        <f>[1]Sheet2!FI304</f>
        <v/>
      </c>
      <c r="FI305" s="6" t="str">
        <f>[1]Sheet2!FJ304</f>
        <v/>
      </c>
      <c r="FJ305" s="6" t="str">
        <f>[1]Sheet2!FK304</f>
        <v/>
      </c>
      <c r="FK305" s="6" t="str">
        <f>[1]Sheet2!FL304</f>
        <v/>
      </c>
      <c r="FL305" s="6" t="str">
        <f>[1]Sheet2!FM304</f>
        <v/>
      </c>
      <c r="FM305" s="6" t="str">
        <f>[1]Sheet2!FN304</f>
        <v/>
      </c>
      <c r="FN305" s="6" t="str">
        <f>[1]Sheet2!FO304</f>
        <v/>
      </c>
      <c r="FO305" s="6" t="str">
        <f>[1]Sheet2!FP304</f>
        <v/>
      </c>
    </row>
    <row r="306" spans="1:171" x14ac:dyDescent="0.25">
      <c r="A306" s="15">
        <v>43768</v>
      </c>
      <c r="B306" s="1"/>
      <c r="C306" s="1"/>
      <c r="D306" s="1"/>
      <c r="E306" s="14">
        <f>[1]Sheet2!N305</f>
        <v>0</v>
      </c>
      <c r="F306" s="14">
        <f>[1]Sheet2!BE305</f>
        <v>48000</v>
      </c>
      <c r="G306" s="14">
        <f>[1]Sheet2!CW305</f>
        <v>0</v>
      </c>
      <c r="H306" s="1"/>
      <c r="I306" s="1"/>
      <c r="J306" s="1"/>
      <c r="K306" s="16"/>
      <c r="L306" s="16">
        <f>Demand_CWRS!B$12/31</f>
        <v>113.31027191894128</v>
      </c>
      <c r="M306" s="16">
        <f>Demand_CWRS!C$12/31</f>
        <v>480.06765922249781</v>
      </c>
      <c r="N306" s="16">
        <f>Demand_CWRS!D$12/31</f>
        <v>0</v>
      </c>
      <c r="O306" s="16">
        <f>Demand_CWRS!E$12/31</f>
        <v>103.22435897435898</v>
      </c>
      <c r="P306" s="16">
        <f>Demand_CWRS!F$12/31</f>
        <v>209.74544820099254</v>
      </c>
      <c r="Q306" s="16">
        <f>Demand_CWRS!G$12/31</f>
        <v>113.31027191894128</v>
      </c>
      <c r="R306" s="16">
        <f>Demand_CWRS!H$12/31</f>
        <v>209.74544820099254</v>
      </c>
      <c r="S306" s="16">
        <f>Demand_CWRS!I$12/31</f>
        <v>209.74544820099254</v>
      </c>
      <c r="T306" s="16">
        <f>Demand_CWRS!J$12/31</f>
        <v>209.74544820099254</v>
      </c>
      <c r="U306" s="16">
        <f>Demand_CWRS!K$12/31</f>
        <v>209.74544820099254</v>
      </c>
      <c r="V306" s="16">
        <f t="shared" si="126"/>
        <v>-34480.304310349333</v>
      </c>
      <c r="W306" s="16">
        <f t="shared" si="127"/>
        <v>-135628.68362282828</v>
      </c>
      <c r="X306" s="16">
        <f t="shared" si="128"/>
        <v>0</v>
      </c>
      <c r="Y306" s="16">
        <f t="shared" si="129"/>
        <v>-26037.20603700096</v>
      </c>
      <c r="Z306" s="16">
        <f t="shared" si="130"/>
        <v>-60321.569989157048</v>
      </c>
      <c r="AA306" s="16">
        <f t="shared" si="131"/>
        <v>-33008.371786310949</v>
      </c>
      <c r="AB306" s="16">
        <f t="shared" si="132"/>
        <v>-64630.734764798006</v>
      </c>
      <c r="AC306" s="16">
        <f t="shared" si="133"/>
        <v>-58837.724508387815</v>
      </c>
      <c r="AD306" s="16">
        <f t="shared" si="134"/>
        <v>-58937.724508387808</v>
      </c>
      <c r="AE306" s="16">
        <f t="shared" si="135"/>
        <v>-59537.724508387801</v>
      </c>
      <c r="AF306" s="14">
        <f>IF([1]Sheet2!AJ305=999999,"NA",[1]Sheet2!AJ305)</f>
        <v>0</v>
      </c>
      <c r="AG306" s="14">
        <f>IF([1]Sheet2!AK305=999999,"NA",[1]Sheet2!AK305)</f>
        <v>0</v>
      </c>
      <c r="AH306" s="14" t="str">
        <f>IF([1]Sheet2!AL305=999999,"NA",[1]Sheet2!AL305)</f>
        <v>NA</v>
      </c>
      <c r="AI306" s="14">
        <f>IF([1]Sheet2!AM305=999999,"NA",[1]Sheet2!AM305)</f>
        <v>0</v>
      </c>
      <c r="AJ306" s="14">
        <f>IF([1]Sheet2!AN305=999999,"NA",[1]Sheet2!AN305)</f>
        <v>0</v>
      </c>
      <c r="AK306" s="14">
        <f>IF([1]Sheet2!AO305=999999,"NA",[1]Sheet2!AO305)</f>
        <v>0</v>
      </c>
      <c r="AL306" s="14">
        <f>IF([1]Sheet2!AP305=999999,"NA",[1]Sheet2!AP305)</f>
        <v>0</v>
      </c>
      <c r="AM306" s="14">
        <f>IF([1]Sheet2!AQ305=999999,"NA",[1]Sheet2!AQ305)</f>
        <v>0</v>
      </c>
      <c r="AN306" s="14">
        <f>IF([1]Sheet2!AR305=999999,"NA",[1]Sheet2!AR305)</f>
        <v>0</v>
      </c>
      <c r="AO306" s="14">
        <f>IF([1]Sheet2!AS305=999999,"NA",[1]Sheet2!AS305)</f>
        <v>0</v>
      </c>
      <c r="AP306" s="14">
        <f>[1]Sheet2!P305</f>
        <v>0</v>
      </c>
      <c r="AQ306" s="14">
        <f>[1]Sheet2!Q305</f>
        <v>0</v>
      </c>
      <c r="AR306" s="14">
        <f>[1]Sheet2!R305</f>
        <v>0</v>
      </c>
      <c r="AS306" s="14">
        <f>[1]Sheet2!S305</f>
        <v>0</v>
      </c>
      <c r="AT306" s="14">
        <f>[1]Sheet2!T305</f>
        <v>0</v>
      </c>
      <c r="AU306" s="14">
        <f>[1]Sheet2!U305</f>
        <v>0</v>
      </c>
      <c r="AV306" s="14">
        <f>[1]Sheet2!V305</f>
        <v>0</v>
      </c>
      <c r="AW306" s="14">
        <f>[1]Sheet2!W305</f>
        <v>0</v>
      </c>
      <c r="AX306" s="14">
        <f>[1]Sheet2!X305</f>
        <v>0</v>
      </c>
      <c r="AY306" s="14">
        <f>[1]Sheet2!Y305</f>
        <v>0</v>
      </c>
      <c r="AZ306" s="16">
        <f>Demand_LP!B$12/31</f>
        <v>866.47279518196865</v>
      </c>
      <c r="BA306" s="16">
        <f>Demand_LP!C$12/31</f>
        <v>577.62712985938799</v>
      </c>
      <c r="BB306" s="16">
        <f>Demand_LP!D$12/31</f>
        <v>262.18502894954509</v>
      </c>
      <c r="BC306" s="16">
        <f>Demand_LP!E$12/31</f>
        <v>766.03229942100904</v>
      </c>
      <c r="BD306" s="16">
        <f>Demand_LP!F$12/31</f>
        <v>516.10499638130682</v>
      </c>
      <c r="BE306" s="16">
        <f>Demand_LP!G$12/31</f>
        <v>516.10499638130682</v>
      </c>
      <c r="BF306" s="16">
        <f>Demand_LP!H$12/31</f>
        <v>577.62712985938799</v>
      </c>
      <c r="BG306" s="16">
        <f>Demand_LP!I$12/31</f>
        <v>516.10499638130682</v>
      </c>
      <c r="BH306" s="16">
        <f>Demand_LP!J$12/31</f>
        <v>516.10499638130682</v>
      </c>
      <c r="BI306" s="16">
        <f>Demand_LP!K$12/31</f>
        <v>516.10499638130682</v>
      </c>
      <c r="BJ306" s="16">
        <f t="shared" si="136"/>
        <v>-224737.92274304587</v>
      </c>
      <c r="BK306" s="16">
        <f t="shared" si="137"/>
        <v>-169534.87799834544</v>
      </c>
      <c r="BL306" s="16">
        <f t="shared" si="138"/>
        <v>-81842.291894127717</v>
      </c>
      <c r="BM306" s="16">
        <f t="shared" si="139"/>
        <v>-217201.43947922142</v>
      </c>
      <c r="BN306" s="16">
        <f t="shared" si="140"/>
        <v>-132132.18738332513</v>
      </c>
      <c r="BO306" s="16">
        <f t="shared" si="141"/>
        <v>-130589.87130169591</v>
      </c>
      <c r="BP306" s="16">
        <f t="shared" si="142"/>
        <v>-163892.45748552479</v>
      </c>
      <c r="BQ306" s="16">
        <f t="shared" si="143"/>
        <v>-126418.87130169591</v>
      </c>
      <c r="BR306" s="16">
        <f t="shared" si="144"/>
        <v>-128189.87130169595</v>
      </c>
      <c r="BS306" s="16">
        <f t="shared" si="145"/>
        <v>-128889.87130169594</v>
      </c>
      <c r="BT306" s="14">
        <f>IF([1]Sheet2!CB305=999999,"NA",[1]Sheet2!CB305)</f>
        <v>0</v>
      </c>
      <c r="BU306" s="14">
        <f>IF([1]Sheet2!CC305=999999,"NA",[1]Sheet2!CC305)</f>
        <v>0</v>
      </c>
      <c r="BV306" s="14">
        <f>IF([1]Sheet2!CD305=999999,"NA",[1]Sheet2!CD305)</f>
        <v>0</v>
      </c>
      <c r="BW306" s="14">
        <f>IF([1]Sheet2!CE305=999999,"NA",[1]Sheet2!CE305)</f>
        <v>0</v>
      </c>
      <c r="BX306" s="14">
        <f>IF([1]Sheet2!CF305=999999,"NA",[1]Sheet2!CF305)</f>
        <v>0</v>
      </c>
      <c r="BY306" s="14">
        <f>IF([1]Sheet2!CG305=999999,"NA",[1]Sheet2!CG305)</f>
        <v>0</v>
      </c>
      <c r="BZ306" s="14">
        <f>IF([1]Sheet2!CH305=999999,"NA",[1]Sheet2!CH305)</f>
        <v>0</v>
      </c>
      <c r="CA306" s="14">
        <f>IF([1]Sheet2!CI305=999999,"NA",[1]Sheet2!CI305)</f>
        <v>0</v>
      </c>
      <c r="CB306" s="14">
        <f>IF([1]Sheet2!CJ305=999999,"NA",[1]Sheet2!CJ305)</f>
        <v>0</v>
      </c>
      <c r="CC306" s="14">
        <f>IF([1]Sheet2!CK305=999999,"NA",[1]Sheet2!CK305)</f>
        <v>0</v>
      </c>
      <c r="CD306" s="14">
        <f>[1]Sheet2!BH305</f>
        <v>0</v>
      </c>
      <c r="CE306" s="14">
        <f>[1]Sheet2!BI305</f>
        <v>0</v>
      </c>
      <c r="CF306" s="14">
        <f>[1]Sheet2!BJ305</f>
        <v>0</v>
      </c>
      <c r="CG306" s="14">
        <f>[1]Sheet2!BK305</f>
        <v>0</v>
      </c>
      <c r="CH306" s="14">
        <f>[1]Sheet2!BL305</f>
        <v>0</v>
      </c>
      <c r="CI306" s="14">
        <f>[1]Sheet2!BM305</f>
        <v>0</v>
      </c>
      <c r="CJ306" s="14">
        <f>[1]Sheet2!BN305</f>
        <v>0</v>
      </c>
      <c r="CK306" s="14">
        <f>[1]Sheet2!BO305</f>
        <v>0</v>
      </c>
      <c r="CL306" s="14">
        <f>[1]Sheet2!BP305</f>
        <v>0</v>
      </c>
      <c r="CM306" s="14">
        <f>[1]Sheet2!BQ305</f>
        <v>0</v>
      </c>
      <c r="CN306" s="16">
        <f>Demand_SW!B$12/31</f>
        <v>139.57816377171216</v>
      </c>
      <c r="CO306" s="16">
        <f>Demand_SW!C$12/31</f>
        <v>0</v>
      </c>
      <c r="CP306" s="16">
        <f>Demand_SW!D$12/31</f>
        <v>0</v>
      </c>
      <c r="CQ306" s="16">
        <f>Demand_SW!E$12/31</f>
        <v>0</v>
      </c>
      <c r="CR306" s="16">
        <f>Demand_SW!F$12/31</f>
        <v>0</v>
      </c>
      <c r="CS306" s="16">
        <f>Demand_SW!G$12/31</f>
        <v>139.57816377171216</v>
      </c>
      <c r="CT306" s="16">
        <f>Demand_SW!H$12/31</f>
        <v>0</v>
      </c>
      <c r="CU306" s="16">
        <f>Demand_SW!I$12/31</f>
        <v>0</v>
      </c>
      <c r="CV306" s="16">
        <f>Demand_SW!J$12/31</f>
        <v>0</v>
      </c>
      <c r="CW306" s="16">
        <f>Demand_SW!K$12/31</f>
        <v>0</v>
      </c>
      <c r="CX306" s="16">
        <f t="shared" si="146"/>
        <v>-18235.037220843707</v>
      </c>
      <c r="CY306" s="16">
        <f t="shared" si="147"/>
        <v>76.923076923077133</v>
      </c>
      <c r="CZ306" s="16">
        <f t="shared" si="148"/>
        <v>0</v>
      </c>
      <c r="DA306" s="16">
        <f t="shared" si="149"/>
        <v>0</v>
      </c>
      <c r="DB306" s="16">
        <f t="shared" si="150"/>
        <v>0</v>
      </c>
      <c r="DC306" s="16">
        <f t="shared" si="151"/>
        <v>-19466.267990074477</v>
      </c>
      <c r="DD306" s="16">
        <f t="shared" si="152"/>
        <v>76.923076923077133</v>
      </c>
      <c r="DE306" s="16">
        <f t="shared" si="153"/>
        <v>0</v>
      </c>
      <c r="DF306" s="16">
        <f t="shared" si="154"/>
        <v>0</v>
      </c>
      <c r="DG306" s="16">
        <f t="shared" si="155"/>
        <v>0</v>
      </c>
      <c r="DH306" s="14">
        <f>IF([1]Sheet2!DS305=999999,"NA",[1]Sheet2!DS305)</f>
        <v>0</v>
      </c>
      <c r="DI306" s="14">
        <f>IF([1]Sheet2!DT305=999999,"NA",[1]Sheet2!DT305)</f>
        <v>62</v>
      </c>
      <c r="DJ306" s="14" t="str">
        <f>IF([1]Sheet2!DU305=999999,"NA",[1]Sheet2!DU305)</f>
        <v>NA</v>
      </c>
      <c r="DK306" s="14" t="str">
        <f>IF([1]Sheet2!DV305=999999,"NA",[1]Sheet2!DV305)</f>
        <v>NA</v>
      </c>
      <c r="DL306" s="14" t="str">
        <f>IF([1]Sheet2!DW305=999999,"NA",[1]Sheet2!DW305)</f>
        <v>NA</v>
      </c>
      <c r="DM306" s="14">
        <f>IF([1]Sheet2!DX305=999999,"NA",[1]Sheet2!DX305)</f>
        <v>0</v>
      </c>
      <c r="DN306" s="14">
        <f>IF([1]Sheet2!DY305=999999,"NA",[1]Sheet2!DY305)</f>
        <v>62</v>
      </c>
      <c r="DO306" s="14" t="str">
        <f>IF([1]Sheet2!DZ305=999999,"NA",[1]Sheet2!DZ305)</f>
        <v>NA</v>
      </c>
      <c r="DP306" s="14" t="str">
        <f>IF([1]Sheet2!EA305=999999,"NA",[1]Sheet2!EA305)</f>
        <v>NA</v>
      </c>
      <c r="DQ306" s="14" t="str">
        <f>IF([1]Sheet2!EB305=999999,"NA",[1]Sheet2!EB305)</f>
        <v>NA</v>
      </c>
      <c r="DR306" s="14">
        <f>[1]Sheet2!CY305</f>
        <v>0</v>
      </c>
      <c r="DS306" s="14">
        <f>[1]Sheet2!CZ305</f>
        <v>0</v>
      </c>
      <c r="DT306" s="14">
        <f>[1]Sheet2!DA305</f>
        <v>0</v>
      </c>
      <c r="DU306" s="14">
        <f>[1]Sheet2!DB305</f>
        <v>0</v>
      </c>
      <c r="DV306" s="14">
        <f>[1]Sheet2!DC305</f>
        <v>0</v>
      </c>
      <c r="DW306" s="14">
        <f>[1]Sheet2!DD305</f>
        <v>0</v>
      </c>
      <c r="DX306" s="14">
        <f>[1]Sheet2!DE305</f>
        <v>0</v>
      </c>
      <c r="DY306" s="14">
        <f>[1]Sheet2!DF305</f>
        <v>0</v>
      </c>
      <c r="DZ306" s="14">
        <f>[1]Sheet2!DG305</f>
        <v>0</v>
      </c>
      <c r="EA306" s="14">
        <f>[1]Sheet2!DH305</f>
        <v>0</v>
      </c>
      <c r="EB306" s="6">
        <f>[1]Sheet2!EC305</f>
        <v>0</v>
      </c>
      <c r="EC306" s="6">
        <f>[1]Sheet2!ED305</f>
        <v>0</v>
      </c>
      <c r="ED306" s="6">
        <f>[1]Sheet2!EE305</f>
        <v>0</v>
      </c>
      <c r="EE306" s="6">
        <f>[1]Sheet2!EF305</f>
        <v>0</v>
      </c>
      <c r="EF306" s="6">
        <f>[1]Sheet2!EG305</f>
        <v>0</v>
      </c>
      <c r="EG306" s="6">
        <f>[1]Sheet2!EH305</f>
        <v>0</v>
      </c>
      <c r="EH306" s="6">
        <f>[1]Sheet2!EI305</f>
        <v>0</v>
      </c>
      <c r="EI306" s="6">
        <f>[1]Sheet2!EJ305</f>
        <v>0</v>
      </c>
      <c r="EJ306" s="6">
        <f>[1]Sheet2!EK305</f>
        <v>0</v>
      </c>
      <c r="EK306" s="6">
        <f>[1]Sheet2!EL305</f>
        <v>0</v>
      </c>
      <c r="EL306" s="6" t="str">
        <f>[1]Sheet2!EM305</f>
        <v/>
      </c>
      <c r="EM306" s="6" t="str">
        <f>[1]Sheet2!EN305</f>
        <v/>
      </c>
      <c r="EN306" s="6" t="str">
        <f>[1]Sheet2!EO305</f>
        <v/>
      </c>
      <c r="EO306" s="6" t="str">
        <f>[1]Sheet2!EP305</f>
        <v/>
      </c>
      <c r="EP306" s="6" t="str">
        <f>[1]Sheet2!EQ305</f>
        <v/>
      </c>
      <c r="EQ306" s="6" t="str">
        <f>[1]Sheet2!ER305</f>
        <v/>
      </c>
      <c r="ER306" s="6" t="str">
        <f>[1]Sheet2!ES305</f>
        <v/>
      </c>
      <c r="ES306" s="6" t="str">
        <f>[1]Sheet2!ET305</f>
        <v/>
      </c>
      <c r="ET306" s="6" t="str">
        <f>[1]Sheet2!EU305</f>
        <v/>
      </c>
      <c r="EU306" s="6" t="str">
        <f>[1]Sheet2!EV305</f>
        <v/>
      </c>
      <c r="EV306" s="6" t="str">
        <f>[1]Sheet2!EW305</f>
        <v/>
      </c>
      <c r="EW306" s="6" t="str">
        <f>[1]Sheet2!EX305</f>
        <v/>
      </c>
      <c r="EX306" s="6" t="str">
        <f>[1]Sheet2!EY305</f>
        <v/>
      </c>
      <c r="EY306" s="6" t="str">
        <f>[1]Sheet2!EZ305</f>
        <v/>
      </c>
      <c r="EZ306" s="6" t="str">
        <f>[1]Sheet2!FA305</f>
        <v/>
      </c>
      <c r="FA306" s="6" t="str">
        <f>[1]Sheet2!FB305</f>
        <v/>
      </c>
      <c r="FB306" s="6" t="str">
        <f>[1]Sheet2!FC305</f>
        <v/>
      </c>
      <c r="FC306" s="6" t="str">
        <f>[1]Sheet2!FD305</f>
        <v/>
      </c>
      <c r="FD306" s="6" t="str">
        <f>[1]Sheet2!FE305</f>
        <v/>
      </c>
      <c r="FE306" s="6" t="str">
        <f>[1]Sheet2!FF305</f>
        <v/>
      </c>
      <c r="FF306" s="6" t="str">
        <f>[1]Sheet2!FG305</f>
        <v/>
      </c>
      <c r="FG306" s="6" t="str">
        <f>[1]Sheet2!FH305</f>
        <v/>
      </c>
      <c r="FH306" s="6" t="str">
        <f>[1]Sheet2!FI305</f>
        <v/>
      </c>
      <c r="FI306" s="6" t="str">
        <f>[1]Sheet2!FJ305</f>
        <v/>
      </c>
      <c r="FJ306" s="6" t="str">
        <f>[1]Sheet2!FK305</f>
        <v/>
      </c>
      <c r="FK306" s="6" t="str">
        <f>[1]Sheet2!FL305</f>
        <v/>
      </c>
      <c r="FL306" s="6" t="str">
        <f>[1]Sheet2!FM305</f>
        <v/>
      </c>
      <c r="FM306" s="6" t="str">
        <f>[1]Sheet2!FN305</f>
        <v/>
      </c>
      <c r="FN306" s="6" t="str">
        <f>[1]Sheet2!FO305</f>
        <v/>
      </c>
      <c r="FO306" s="6" t="str">
        <f>[1]Sheet2!FP305</f>
        <v/>
      </c>
    </row>
    <row r="307" spans="1:171" x14ac:dyDescent="0.25">
      <c r="A307" s="15">
        <v>43769</v>
      </c>
      <c r="B307" s="1"/>
      <c r="C307" s="1"/>
      <c r="D307" s="1"/>
      <c r="E307" s="14">
        <f>[1]Sheet2!N306</f>
        <v>0</v>
      </c>
      <c r="F307" s="14">
        <f>[1]Sheet2!BE306</f>
        <v>0</v>
      </c>
      <c r="G307" s="14">
        <f>[1]Sheet2!CW306</f>
        <v>0</v>
      </c>
      <c r="H307" s="1"/>
      <c r="I307" s="1"/>
      <c r="J307" s="1"/>
      <c r="K307" s="16"/>
      <c r="L307" s="16">
        <f>Demand_CWRS!B$12/31</f>
        <v>113.31027191894128</v>
      </c>
      <c r="M307" s="16">
        <f>Demand_CWRS!C$12/31</f>
        <v>480.06765922249781</v>
      </c>
      <c r="N307" s="16">
        <f>Demand_CWRS!D$12/31</f>
        <v>0</v>
      </c>
      <c r="O307" s="16">
        <f>Demand_CWRS!E$12/31</f>
        <v>103.22435897435898</v>
      </c>
      <c r="P307" s="16">
        <f>Demand_CWRS!F$12/31</f>
        <v>209.74544820099254</v>
      </c>
      <c r="Q307" s="16">
        <f>Demand_CWRS!G$12/31</f>
        <v>113.31027191894128</v>
      </c>
      <c r="R307" s="16">
        <f>Demand_CWRS!H$12/31</f>
        <v>209.74544820099254</v>
      </c>
      <c r="S307" s="16">
        <f>Demand_CWRS!I$12/31</f>
        <v>209.74544820099254</v>
      </c>
      <c r="T307" s="16">
        <f>Demand_CWRS!J$12/31</f>
        <v>209.74544820099254</v>
      </c>
      <c r="U307" s="16">
        <f>Demand_CWRS!K$12/31</f>
        <v>209.74544820099254</v>
      </c>
      <c r="V307" s="16">
        <f t="shared" si="126"/>
        <v>-34593.614582268274</v>
      </c>
      <c r="W307" s="16">
        <f t="shared" si="127"/>
        <v>-136108.75128205077</v>
      </c>
      <c r="X307" s="16">
        <f t="shared" si="128"/>
        <v>0</v>
      </c>
      <c r="Y307" s="16">
        <f t="shared" si="129"/>
        <v>-26140.43039597532</v>
      </c>
      <c r="Z307" s="16">
        <f t="shared" si="130"/>
        <v>-60531.31543735804</v>
      </c>
      <c r="AA307" s="16">
        <f t="shared" si="131"/>
        <v>-33121.68205822989</v>
      </c>
      <c r="AB307" s="16">
        <f t="shared" si="132"/>
        <v>-64840.480212998998</v>
      </c>
      <c r="AC307" s="16">
        <f t="shared" si="133"/>
        <v>-59047.469956588808</v>
      </c>
      <c r="AD307" s="16">
        <f t="shared" si="134"/>
        <v>-59147.4699565888</v>
      </c>
      <c r="AE307" s="16">
        <f t="shared" si="135"/>
        <v>-59747.469956588793</v>
      </c>
      <c r="AF307" s="14">
        <f>IF([1]Sheet2!AJ306=999999,"NA",[1]Sheet2!AJ306)</f>
        <v>0</v>
      </c>
      <c r="AG307" s="14">
        <f>IF([1]Sheet2!AK306=999999,"NA",[1]Sheet2!AK306)</f>
        <v>0</v>
      </c>
      <c r="AH307" s="14" t="str">
        <f>IF([1]Sheet2!AL306=999999,"NA",[1]Sheet2!AL306)</f>
        <v>NA</v>
      </c>
      <c r="AI307" s="14">
        <f>IF([1]Sheet2!AM306=999999,"NA",[1]Sheet2!AM306)</f>
        <v>0</v>
      </c>
      <c r="AJ307" s="14">
        <f>IF([1]Sheet2!AN306=999999,"NA",[1]Sheet2!AN306)</f>
        <v>0</v>
      </c>
      <c r="AK307" s="14">
        <f>IF([1]Sheet2!AO306=999999,"NA",[1]Sheet2!AO306)</f>
        <v>0</v>
      </c>
      <c r="AL307" s="14">
        <f>IF([1]Sheet2!AP306=999999,"NA",[1]Sheet2!AP306)</f>
        <v>0</v>
      </c>
      <c r="AM307" s="14">
        <f>IF([1]Sheet2!AQ306=999999,"NA",[1]Sheet2!AQ306)</f>
        <v>0</v>
      </c>
      <c r="AN307" s="14">
        <f>IF([1]Sheet2!AR306=999999,"NA",[1]Sheet2!AR306)</f>
        <v>0</v>
      </c>
      <c r="AO307" s="14">
        <f>IF([1]Sheet2!AS306=999999,"NA",[1]Sheet2!AS306)</f>
        <v>0</v>
      </c>
      <c r="AP307" s="14">
        <f>[1]Sheet2!P306</f>
        <v>0</v>
      </c>
      <c r="AQ307" s="14">
        <f>[1]Sheet2!Q306</f>
        <v>0</v>
      </c>
      <c r="AR307" s="14">
        <f>[1]Sheet2!R306</f>
        <v>0</v>
      </c>
      <c r="AS307" s="14">
        <f>[1]Sheet2!S306</f>
        <v>0</v>
      </c>
      <c r="AT307" s="14">
        <f>[1]Sheet2!T306</f>
        <v>0</v>
      </c>
      <c r="AU307" s="14">
        <f>[1]Sheet2!U306</f>
        <v>0</v>
      </c>
      <c r="AV307" s="14">
        <f>[1]Sheet2!V306</f>
        <v>0</v>
      </c>
      <c r="AW307" s="14">
        <f>[1]Sheet2!W306</f>
        <v>0</v>
      </c>
      <c r="AX307" s="14">
        <f>[1]Sheet2!X306</f>
        <v>0</v>
      </c>
      <c r="AY307" s="14">
        <f>[1]Sheet2!Y306</f>
        <v>0</v>
      </c>
      <c r="AZ307" s="16">
        <f>Demand_LP!B$12/31</f>
        <v>866.47279518196865</v>
      </c>
      <c r="BA307" s="16">
        <f>Demand_LP!C$12/31</f>
        <v>577.62712985938799</v>
      </c>
      <c r="BB307" s="16">
        <f>Demand_LP!D$12/31</f>
        <v>262.18502894954509</v>
      </c>
      <c r="BC307" s="16">
        <f>Demand_LP!E$12/31</f>
        <v>766.03229942100904</v>
      </c>
      <c r="BD307" s="16">
        <f>Demand_LP!F$12/31</f>
        <v>516.10499638130682</v>
      </c>
      <c r="BE307" s="16">
        <f>Demand_LP!G$12/31</f>
        <v>516.10499638130682</v>
      </c>
      <c r="BF307" s="16">
        <f>Demand_LP!H$12/31</f>
        <v>577.62712985938799</v>
      </c>
      <c r="BG307" s="16">
        <f>Demand_LP!I$12/31</f>
        <v>516.10499638130682</v>
      </c>
      <c r="BH307" s="16">
        <f>Demand_LP!J$12/31</f>
        <v>516.10499638130682</v>
      </c>
      <c r="BI307" s="16">
        <f>Demand_LP!K$12/31</f>
        <v>516.10499638130682</v>
      </c>
      <c r="BJ307" s="16">
        <f t="shared" si="136"/>
        <v>-225604.39553822784</v>
      </c>
      <c r="BK307" s="16">
        <f t="shared" si="137"/>
        <v>-170112.50512820482</v>
      </c>
      <c r="BL307" s="16">
        <f t="shared" si="138"/>
        <v>-82104.476923077265</v>
      </c>
      <c r="BM307" s="16">
        <f t="shared" si="139"/>
        <v>-217967.47177864242</v>
      </c>
      <c r="BN307" s="16">
        <f t="shared" si="140"/>
        <v>-132648.29237970643</v>
      </c>
      <c r="BO307" s="16">
        <f t="shared" si="141"/>
        <v>-131105.97629807721</v>
      </c>
      <c r="BP307" s="16">
        <f t="shared" si="142"/>
        <v>-164470.08461538417</v>
      </c>
      <c r="BQ307" s="16">
        <f t="shared" si="143"/>
        <v>-126934.97629807722</v>
      </c>
      <c r="BR307" s="16">
        <f t="shared" si="144"/>
        <v>-128705.97629807726</v>
      </c>
      <c r="BS307" s="16">
        <f t="shared" si="145"/>
        <v>-129405.97629807725</v>
      </c>
      <c r="BT307" s="14">
        <f>IF([1]Sheet2!CB306=999999,"NA",[1]Sheet2!CB306)</f>
        <v>0</v>
      </c>
      <c r="BU307" s="14">
        <f>IF([1]Sheet2!CC306=999999,"NA",[1]Sheet2!CC306)</f>
        <v>0</v>
      </c>
      <c r="BV307" s="14">
        <f>IF([1]Sheet2!CD306=999999,"NA",[1]Sheet2!CD306)</f>
        <v>0</v>
      </c>
      <c r="BW307" s="14">
        <f>IF([1]Sheet2!CE306=999999,"NA",[1]Sheet2!CE306)</f>
        <v>0</v>
      </c>
      <c r="BX307" s="14">
        <f>IF([1]Sheet2!CF306=999999,"NA",[1]Sheet2!CF306)</f>
        <v>0</v>
      </c>
      <c r="BY307" s="14">
        <f>IF([1]Sheet2!CG306=999999,"NA",[1]Sheet2!CG306)</f>
        <v>0</v>
      </c>
      <c r="BZ307" s="14">
        <f>IF([1]Sheet2!CH306=999999,"NA",[1]Sheet2!CH306)</f>
        <v>0</v>
      </c>
      <c r="CA307" s="14">
        <f>IF([1]Sheet2!CI306=999999,"NA",[1]Sheet2!CI306)</f>
        <v>0</v>
      </c>
      <c r="CB307" s="14">
        <f>IF([1]Sheet2!CJ306=999999,"NA",[1]Sheet2!CJ306)</f>
        <v>0</v>
      </c>
      <c r="CC307" s="14">
        <f>IF([1]Sheet2!CK306=999999,"NA",[1]Sheet2!CK306)</f>
        <v>0</v>
      </c>
      <c r="CD307" s="14">
        <f>[1]Sheet2!BH306</f>
        <v>0</v>
      </c>
      <c r="CE307" s="14">
        <f>[1]Sheet2!BI306</f>
        <v>0</v>
      </c>
      <c r="CF307" s="14">
        <f>[1]Sheet2!BJ306</f>
        <v>0</v>
      </c>
      <c r="CG307" s="14">
        <f>[1]Sheet2!BK306</f>
        <v>0</v>
      </c>
      <c r="CH307" s="14">
        <f>[1]Sheet2!BL306</f>
        <v>0</v>
      </c>
      <c r="CI307" s="14">
        <f>[1]Sheet2!BM306</f>
        <v>0</v>
      </c>
      <c r="CJ307" s="14">
        <f>[1]Sheet2!BN306</f>
        <v>0</v>
      </c>
      <c r="CK307" s="14">
        <f>[1]Sheet2!BO306</f>
        <v>0</v>
      </c>
      <c r="CL307" s="14">
        <f>[1]Sheet2!BP306</f>
        <v>0</v>
      </c>
      <c r="CM307" s="14">
        <f>[1]Sheet2!BQ306</f>
        <v>0</v>
      </c>
      <c r="CN307" s="16">
        <f>Demand_SW!B$12/31</f>
        <v>139.57816377171216</v>
      </c>
      <c r="CO307" s="16">
        <f>Demand_SW!C$12/31</f>
        <v>0</v>
      </c>
      <c r="CP307" s="16">
        <f>Demand_SW!D$12/31</f>
        <v>0</v>
      </c>
      <c r="CQ307" s="16">
        <f>Demand_SW!E$12/31</f>
        <v>0</v>
      </c>
      <c r="CR307" s="16">
        <f>Demand_SW!F$12/31</f>
        <v>0</v>
      </c>
      <c r="CS307" s="16">
        <f>Demand_SW!G$12/31</f>
        <v>139.57816377171216</v>
      </c>
      <c r="CT307" s="16">
        <f>Demand_SW!H$12/31</f>
        <v>0</v>
      </c>
      <c r="CU307" s="16">
        <f>Demand_SW!I$12/31</f>
        <v>0</v>
      </c>
      <c r="CV307" s="16">
        <f>Demand_SW!J$12/31</f>
        <v>0</v>
      </c>
      <c r="CW307" s="16">
        <f>Demand_SW!K$12/31</f>
        <v>0</v>
      </c>
      <c r="CX307" s="16">
        <f t="shared" si="146"/>
        <v>-18374.615384615419</v>
      </c>
      <c r="CY307" s="16">
        <f t="shared" si="147"/>
        <v>76.923076923077133</v>
      </c>
      <c r="CZ307" s="16">
        <f t="shared" si="148"/>
        <v>0</v>
      </c>
      <c r="DA307" s="16">
        <f t="shared" si="149"/>
        <v>0</v>
      </c>
      <c r="DB307" s="16">
        <f t="shared" si="150"/>
        <v>0</v>
      </c>
      <c r="DC307" s="16">
        <f t="shared" si="151"/>
        <v>-19605.846153846189</v>
      </c>
      <c r="DD307" s="16">
        <f t="shared" si="152"/>
        <v>76.923076923077133</v>
      </c>
      <c r="DE307" s="16">
        <f t="shared" si="153"/>
        <v>0</v>
      </c>
      <c r="DF307" s="16">
        <f t="shared" si="154"/>
        <v>0</v>
      </c>
      <c r="DG307" s="16">
        <f t="shared" si="155"/>
        <v>0</v>
      </c>
      <c r="DH307" s="14">
        <f>IF([1]Sheet2!DS306=999999,"NA",[1]Sheet2!DS306)</f>
        <v>0</v>
      </c>
      <c r="DI307" s="14">
        <f>IF([1]Sheet2!DT306=999999,"NA",[1]Sheet2!DT306)</f>
        <v>61</v>
      </c>
      <c r="DJ307" s="14" t="str">
        <f>IF([1]Sheet2!DU306=999999,"NA",[1]Sheet2!DU306)</f>
        <v>NA</v>
      </c>
      <c r="DK307" s="14" t="str">
        <f>IF([1]Sheet2!DV306=999999,"NA",[1]Sheet2!DV306)</f>
        <v>NA</v>
      </c>
      <c r="DL307" s="14" t="str">
        <f>IF([1]Sheet2!DW306=999999,"NA",[1]Sheet2!DW306)</f>
        <v>NA</v>
      </c>
      <c r="DM307" s="14">
        <f>IF([1]Sheet2!DX306=999999,"NA",[1]Sheet2!DX306)</f>
        <v>0</v>
      </c>
      <c r="DN307" s="14">
        <f>IF([1]Sheet2!DY306=999999,"NA",[1]Sheet2!DY306)</f>
        <v>61</v>
      </c>
      <c r="DO307" s="14" t="str">
        <f>IF([1]Sheet2!DZ306=999999,"NA",[1]Sheet2!DZ306)</f>
        <v>NA</v>
      </c>
      <c r="DP307" s="14" t="str">
        <f>IF([1]Sheet2!EA306=999999,"NA",[1]Sheet2!EA306)</f>
        <v>NA</v>
      </c>
      <c r="DQ307" s="14" t="str">
        <f>IF([1]Sheet2!EB306=999999,"NA",[1]Sheet2!EB306)</f>
        <v>NA</v>
      </c>
      <c r="DR307" s="14">
        <f>[1]Sheet2!CY306</f>
        <v>0</v>
      </c>
      <c r="DS307" s="14">
        <f>[1]Sheet2!CZ306</f>
        <v>0</v>
      </c>
      <c r="DT307" s="14">
        <f>[1]Sheet2!DA306</f>
        <v>0</v>
      </c>
      <c r="DU307" s="14">
        <f>[1]Sheet2!DB306</f>
        <v>0</v>
      </c>
      <c r="DV307" s="14">
        <f>[1]Sheet2!DC306</f>
        <v>0</v>
      </c>
      <c r="DW307" s="14">
        <f>[1]Sheet2!DD306</f>
        <v>0</v>
      </c>
      <c r="DX307" s="14">
        <f>[1]Sheet2!DE306</f>
        <v>0</v>
      </c>
      <c r="DY307" s="14">
        <f>[1]Sheet2!DF306</f>
        <v>0</v>
      </c>
      <c r="DZ307" s="14">
        <f>[1]Sheet2!DG306</f>
        <v>0</v>
      </c>
      <c r="EA307" s="14">
        <f>[1]Sheet2!DH306</f>
        <v>0</v>
      </c>
      <c r="EB307" s="6">
        <f>[1]Sheet2!EC306</f>
        <v>0</v>
      </c>
      <c r="EC307" s="6">
        <f>[1]Sheet2!ED306</f>
        <v>0</v>
      </c>
      <c r="ED307" s="6">
        <f>[1]Sheet2!EE306</f>
        <v>0</v>
      </c>
      <c r="EE307" s="6">
        <f>[1]Sheet2!EF306</f>
        <v>0</v>
      </c>
      <c r="EF307" s="6">
        <f>[1]Sheet2!EG306</f>
        <v>0</v>
      </c>
      <c r="EG307" s="6">
        <f>[1]Sheet2!EH306</f>
        <v>0</v>
      </c>
      <c r="EH307" s="6">
        <f>[1]Sheet2!EI306</f>
        <v>0</v>
      </c>
      <c r="EI307" s="6">
        <f>[1]Sheet2!EJ306</f>
        <v>0</v>
      </c>
      <c r="EJ307" s="6">
        <f>[1]Sheet2!EK306</f>
        <v>0</v>
      </c>
      <c r="EK307" s="6">
        <f>[1]Sheet2!EL306</f>
        <v>0</v>
      </c>
      <c r="EL307" s="6" t="str">
        <f>[1]Sheet2!EM306</f>
        <v/>
      </c>
      <c r="EM307" s="6" t="str">
        <f>[1]Sheet2!EN306</f>
        <v/>
      </c>
      <c r="EN307" s="6" t="str">
        <f>[1]Sheet2!EO306</f>
        <v/>
      </c>
      <c r="EO307" s="6" t="str">
        <f>[1]Sheet2!EP306</f>
        <v/>
      </c>
      <c r="EP307" s="6" t="str">
        <f>[1]Sheet2!EQ306</f>
        <v/>
      </c>
      <c r="EQ307" s="6" t="str">
        <f>[1]Sheet2!ER306</f>
        <v/>
      </c>
      <c r="ER307" s="6" t="str">
        <f>[1]Sheet2!ES306</f>
        <v/>
      </c>
      <c r="ES307" s="6" t="str">
        <f>[1]Sheet2!ET306</f>
        <v/>
      </c>
      <c r="ET307" s="6" t="str">
        <f>[1]Sheet2!EU306</f>
        <v/>
      </c>
      <c r="EU307" s="6" t="str">
        <f>[1]Sheet2!EV306</f>
        <v/>
      </c>
      <c r="EV307" s="6" t="str">
        <f>[1]Sheet2!EW306</f>
        <v/>
      </c>
      <c r="EW307" s="6" t="str">
        <f>[1]Sheet2!EX306</f>
        <v/>
      </c>
      <c r="EX307" s="6" t="str">
        <f>[1]Sheet2!EY306</f>
        <v/>
      </c>
      <c r="EY307" s="6" t="str">
        <f>[1]Sheet2!EZ306</f>
        <v/>
      </c>
      <c r="EZ307" s="6" t="str">
        <f>[1]Sheet2!FA306</f>
        <v/>
      </c>
      <c r="FA307" s="6" t="str">
        <f>[1]Sheet2!FB306</f>
        <v/>
      </c>
      <c r="FB307" s="6" t="str">
        <f>[1]Sheet2!FC306</f>
        <v/>
      </c>
      <c r="FC307" s="6" t="str">
        <f>[1]Sheet2!FD306</f>
        <v/>
      </c>
      <c r="FD307" s="6" t="str">
        <f>[1]Sheet2!FE306</f>
        <v/>
      </c>
      <c r="FE307" s="6" t="str">
        <f>[1]Sheet2!FF306</f>
        <v/>
      </c>
      <c r="FF307" s="6" t="str">
        <f>[1]Sheet2!FG306</f>
        <v/>
      </c>
      <c r="FG307" s="6" t="str">
        <f>[1]Sheet2!FH306</f>
        <v/>
      </c>
      <c r="FH307" s="6" t="str">
        <f>[1]Sheet2!FI306</f>
        <v/>
      </c>
      <c r="FI307" s="6" t="str">
        <f>[1]Sheet2!FJ306</f>
        <v/>
      </c>
      <c r="FJ307" s="6" t="str">
        <f>[1]Sheet2!FK306</f>
        <v/>
      </c>
      <c r="FK307" s="6" t="str">
        <f>[1]Sheet2!FL306</f>
        <v/>
      </c>
      <c r="FL307" s="6" t="str">
        <f>[1]Sheet2!FM306</f>
        <v/>
      </c>
      <c r="FM307" s="6" t="str">
        <f>[1]Sheet2!FN306</f>
        <v/>
      </c>
      <c r="FN307" s="6" t="str">
        <f>[1]Sheet2!FO306</f>
        <v/>
      </c>
      <c r="FO307" s="6" t="str">
        <f>[1]Sheet2!FP306</f>
        <v/>
      </c>
    </row>
    <row r="308" spans="1:171" x14ac:dyDescent="0.25">
      <c r="A308" s="15">
        <v>43770</v>
      </c>
      <c r="B308" s="1"/>
      <c r="C308" s="1"/>
      <c r="D308" s="1"/>
      <c r="E308" s="14">
        <f>[1]Sheet2!N307</f>
        <v>48000</v>
      </c>
      <c r="F308" s="14">
        <f>[1]Sheet2!BE307</f>
        <v>0</v>
      </c>
      <c r="G308" s="14">
        <f>[1]Sheet2!CW307</f>
        <v>0</v>
      </c>
      <c r="H308" s="1"/>
      <c r="I308" s="1"/>
      <c r="J308" s="1"/>
      <c r="K308" s="16"/>
      <c r="L308" s="16">
        <f>Demand_CWRS!B$13/30</f>
        <v>111.92954594017094</v>
      </c>
      <c r="M308" s="16">
        <f>Demand_CWRS!C$13/30</f>
        <v>550.01145299145287</v>
      </c>
      <c r="N308" s="16">
        <f>Demand_CWRS!D$13/30</f>
        <v>0</v>
      </c>
      <c r="O308" s="16">
        <f>Demand_CWRS!E$13/30</f>
        <v>105.42606837606837</v>
      </c>
      <c r="P308" s="16">
        <f>Demand_CWRS!F$13/30</f>
        <v>220.33041399572647</v>
      </c>
      <c r="Q308" s="16">
        <f>Demand_CWRS!G$13/30</f>
        <v>111.92954594017094</v>
      </c>
      <c r="R308" s="16">
        <f>Demand_CWRS!H$13/30</f>
        <v>220.33041399572647</v>
      </c>
      <c r="S308" s="16">
        <f>Demand_CWRS!I$13/30</f>
        <v>220.33041399572647</v>
      </c>
      <c r="T308" s="16">
        <f>Demand_CWRS!J$13/30</f>
        <v>220.33041399572647</v>
      </c>
      <c r="U308" s="16">
        <f>Demand_CWRS!K$13/30</f>
        <v>220.33041399572647</v>
      </c>
      <c r="V308" s="16">
        <f t="shared" si="126"/>
        <v>-34705.544128208443</v>
      </c>
      <c r="W308" s="16">
        <f t="shared" si="127"/>
        <v>-136658.76273504223</v>
      </c>
      <c r="X308" s="16">
        <f t="shared" si="128"/>
        <v>0</v>
      </c>
      <c r="Y308" s="16">
        <f t="shared" si="129"/>
        <v>-26245.856464351389</v>
      </c>
      <c r="Z308" s="16">
        <f t="shared" si="130"/>
        <v>-60751.645851353765</v>
      </c>
      <c r="AA308" s="16">
        <f t="shared" si="131"/>
        <v>-33233.611604170059</v>
      </c>
      <c r="AB308" s="16">
        <f t="shared" si="132"/>
        <v>-65060.810626994724</v>
      </c>
      <c r="AC308" s="16">
        <f t="shared" si="133"/>
        <v>-59267.800370584533</v>
      </c>
      <c r="AD308" s="16">
        <f t="shared" si="134"/>
        <v>-59367.800370584526</v>
      </c>
      <c r="AE308" s="16">
        <f t="shared" si="135"/>
        <v>-59967.800370584519</v>
      </c>
      <c r="AF308" s="14">
        <f>IF([1]Sheet2!AJ307=999999,"NA",[1]Sheet2!AJ307)</f>
        <v>0</v>
      </c>
      <c r="AG308" s="14">
        <f>IF([1]Sheet2!AK307=999999,"NA",[1]Sheet2!AK307)</f>
        <v>0</v>
      </c>
      <c r="AH308" s="14" t="str">
        <f>IF([1]Sheet2!AL307=999999,"NA",[1]Sheet2!AL307)</f>
        <v>NA</v>
      </c>
      <c r="AI308" s="14">
        <f>IF([1]Sheet2!AM307=999999,"NA",[1]Sheet2!AM307)</f>
        <v>0</v>
      </c>
      <c r="AJ308" s="14">
        <f>IF([1]Sheet2!AN307=999999,"NA",[1]Sheet2!AN307)</f>
        <v>0</v>
      </c>
      <c r="AK308" s="14">
        <f>IF([1]Sheet2!AO307=999999,"NA",[1]Sheet2!AO307)</f>
        <v>0</v>
      </c>
      <c r="AL308" s="14">
        <f>IF([1]Sheet2!AP307=999999,"NA",[1]Sheet2!AP307)</f>
        <v>0</v>
      </c>
      <c r="AM308" s="14">
        <f>IF([1]Sheet2!AQ307=999999,"NA",[1]Sheet2!AQ307)</f>
        <v>0</v>
      </c>
      <c r="AN308" s="14">
        <f>IF([1]Sheet2!AR307=999999,"NA",[1]Sheet2!AR307)</f>
        <v>0</v>
      </c>
      <c r="AO308" s="14">
        <f>IF([1]Sheet2!AS307=999999,"NA",[1]Sheet2!AS307)</f>
        <v>0</v>
      </c>
      <c r="AP308" s="14">
        <f>[1]Sheet2!P307</f>
        <v>0</v>
      </c>
      <c r="AQ308" s="14">
        <f>[1]Sheet2!Q307</f>
        <v>0</v>
      </c>
      <c r="AR308" s="14">
        <f>[1]Sheet2!R307</f>
        <v>0</v>
      </c>
      <c r="AS308" s="14">
        <f>[1]Sheet2!S307</f>
        <v>0</v>
      </c>
      <c r="AT308" s="14">
        <f>[1]Sheet2!T307</f>
        <v>0</v>
      </c>
      <c r="AU308" s="14">
        <f>[1]Sheet2!U307</f>
        <v>0</v>
      </c>
      <c r="AV308" s="14">
        <f>[1]Sheet2!V307</f>
        <v>0</v>
      </c>
      <c r="AW308" s="14">
        <f>[1]Sheet2!W307</f>
        <v>0</v>
      </c>
      <c r="AX308" s="14">
        <f>[1]Sheet2!X307</f>
        <v>0</v>
      </c>
      <c r="AY308" s="14">
        <f>[1]Sheet2!Y307</f>
        <v>0</v>
      </c>
      <c r="AZ308" s="16">
        <f>Demand_LP!B$13/30</f>
        <v>849.16414262820524</v>
      </c>
      <c r="BA308" s="16">
        <f>Demand_LP!C$13/30</f>
        <v>632.84239316239314</v>
      </c>
      <c r="BB308" s="16">
        <f>Demand_LP!D$13/30</f>
        <v>269.64247863247863</v>
      </c>
      <c r="BC308" s="16">
        <f>Demand_LP!E$13/30</f>
        <v>815.03102564102551</v>
      </c>
      <c r="BD308" s="16">
        <f>Demand_LP!F$13/30</f>
        <v>536.05500267094021</v>
      </c>
      <c r="BE308" s="16">
        <f>Demand_LP!G$13/30</f>
        <v>536.05500267094021</v>
      </c>
      <c r="BF308" s="16">
        <f>Demand_LP!H$13/30</f>
        <v>632.84239316239314</v>
      </c>
      <c r="BG308" s="16">
        <f>Demand_LP!I$13/30</f>
        <v>536.05500267094021</v>
      </c>
      <c r="BH308" s="16">
        <f>Demand_LP!J$13/30</f>
        <v>536.05500267094021</v>
      </c>
      <c r="BI308" s="16">
        <f>Demand_LP!K$13/30</f>
        <v>536.05500267094021</v>
      </c>
      <c r="BJ308" s="16">
        <f t="shared" si="136"/>
        <v>-226453.55968085604</v>
      </c>
      <c r="BK308" s="16">
        <f t="shared" si="137"/>
        <v>-170745.34752136722</v>
      </c>
      <c r="BL308" s="16">
        <f t="shared" si="138"/>
        <v>-82374.119401709744</v>
      </c>
      <c r="BM308" s="16">
        <f t="shared" si="139"/>
        <v>-218782.50280428343</v>
      </c>
      <c r="BN308" s="16">
        <f t="shared" si="140"/>
        <v>-133184.34738237737</v>
      </c>
      <c r="BO308" s="16">
        <f t="shared" si="141"/>
        <v>-131642.03130074815</v>
      </c>
      <c r="BP308" s="16">
        <f t="shared" si="142"/>
        <v>-165102.92700854657</v>
      </c>
      <c r="BQ308" s="16">
        <f t="shared" si="143"/>
        <v>-127471.03130074816</v>
      </c>
      <c r="BR308" s="16">
        <f t="shared" si="144"/>
        <v>-129242.0313007482</v>
      </c>
      <c r="BS308" s="16">
        <f t="shared" si="145"/>
        <v>-129942.03130074819</v>
      </c>
      <c r="BT308" s="14">
        <f>IF([1]Sheet2!CB307=999999,"NA",[1]Sheet2!CB307)</f>
        <v>0</v>
      </c>
      <c r="BU308" s="14">
        <f>IF([1]Sheet2!CC307=999999,"NA",[1]Sheet2!CC307)</f>
        <v>0</v>
      </c>
      <c r="BV308" s="14">
        <f>IF([1]Sheet2!CD307=999999,"NA",[1]Sheet2!CD307)</f>
        <v>0</v>
      </c>
      <c r="BW308" s="14">
        <f>IF([1]Sheet2!CE307=999999,"NA",[1]Sheet2!CE307)</f>
        <v>0</v>
      </c>
      <c r="BX308" s="14">
        <f>IF([1]Sheet2!CF307=999999,"NA",[1]Sheet2!CF307)</f>
        <v>0</v>
      </c>
      <c r="BY308" s="14">
        <f>IF([1]Sheet2!CG307=999999,"NA",[1]Sheet2!CG307)</f>
        <v>0</v>
      </c>
      <c r="BZ308" s="14">
        <f>IF([1]Sheet2!CH307=999999,"NA",[1]Sheet2!CH307)</f>
        <v>0</v>
      </c>
      <c r="CA308" s="14">
        <f>IF([1]Sheet2!CI307=999999,"NA",[1]Sheet2!CI307)</f>
        <v>0</v>
      </c>
      <c r="CB308" s="14">
        <f>IF([1]Sheet2!CJ307=999999,"NA",[1]Sheet2!CJ307)</f>
        <v>0</v>
      </c>
      <c r="CC308" s="14">
        <f>IF([1]Sheet2!CK307=999999,"NA",[1]Sheet2!CK307)</f>
        <v>0</v>
      </c>
      <c r="CD308" s="14">
        <f>[1]Sheet2!BH307</f>
        <v>0</v>
      </c>
      <c r="CE308" s="14">
        <f>[1]Sheet2!BI307</f>
        <v>0</v>
      </c>
      <c r="CF308" s="14">
        <f>[1]Sheet2!BJ307</f>
        <v>0</v>
      </c>
      <c r="CG308" s="14">
        <f>[1]Sheet2!BK307</f>
        <v>0</v>
      </c>
      <c r="CH308" s="14">
        <f>[1]Sheet2!BL307</f>
        <v>0</v>
      </c>
      <c r="CI308" s="14">
        <f>[1]Sheet2!BM307</f>
        <v>0</v>
      </c>
      <c r="CJ308" s="14">
        <f>[1]Sheet2!BN307</f>
        <v>0</v>
      </c>
      <c r="CK308" s="14">
        <f>[1]Sheet2!BO307</f>
        <v>0</v>
      </c>
      <c r="CL308" s="14">
        <f>[1]Sheet2!BP307</f>
        <v>0</v>
      </c>
      <c r="CM308" s="14">
        <f>[1]Sheet2!BQ307</f>
        <v>0</v>
      </c>
      <c r="CN308" s="16">
        <f>Demand_SW!B$13/30</f>
        <v>144.23076923076923</v>
      </c>
      <c r="CO308" s="16">
        <f>Demand_SW!C$13/30</f>
        <v>0</v>
      </c>
      <c r="CP308" s="16">
        <f>Demand_SW!D$13/30</f>
        <v>0</v>
      </c>
      <c r="CQ308" s="16">
        <f>Demand_SW!E$13/30</f>
        <v>0</v>
      </c>
      <c r="CR308" s="16">
        <f>Demand_SW!F$13/30</f>
        <v>0</v>
      </c>
      <c r="CS308" s="16">
        <f>Demand_SW!G$13/30</f>
        <v>144.23076923076923</v>
      </c>
      <c r="CT308" s="16">
        <f>Demand_SW!H$13/30</f>
        <v>0</v>
      </c>
      <c r="CU308" s="16">
        <f>Demand_SW!I$13/30</f>
        <v>0</v>
      </c>
      <c r="CV308" s="16">
        <f>Demand_SW!J$13/30</f>
        <v>0</v>
      </c>
      <c r="CW308" s="16">
        <f>Demand_SW!K$13/30</f>
        <v>0</v>
      </c>
      <c r="CX308" s="16">
        <f t="shared" si="146"/>
        <v>-18518.846153846189</v>
      </c>
      <c r="CY308" s="16">
        <f t="shared" si="147"/>
        <v>76.923076923077133</v>
      </c>
      <c r="CZ308" s="16">
        <f t="shared" si="148"/>
        <v>0</v>
      </c>
      <c r="DA308" s="16">
        <f t="shared" si="149"/>
        <v>0</v>
      </c>
      <c r="DB308" s="16">
        <f t="shared" si="150"/>
        <v>0</v>
      </c>
      <c r="DC308" s="16">
        <f t="shared" si="151"/>
        <v>-19750.076923076958</v>
      </c>
      <c r="DD308" s="16">
        <f t="shared" si="152"/>
        <v>76.923076923077133</v>
      </c>
      <c r="DE308" s="16">
        <f t="shared" si="153"/>
        <v>0</v>
      </c>
      <c r="DF308" s="16">
        <f t="shared" si="154"/>
        <v>0</v>
      </c>
      <c r="DG308" s="16">
        <f t="shared" si="155"/>
        <v>0</v>
      </c>
      <c r="DH308" s="14">
        <f>IF([1]Sheet2!DS307=999999,"NA",[1]Sheet2!DS307)</f>
        <v>0</v>
      </c>
      <c r="DI308" s="14">
        <f>IF([1]Sheet2!DT307=999999,"NA",[1]Sheet2!DT307)</f>
        <v>60</v>
      </c>
      <c r="DJ308" s="14" t="str">
        <f>IF([1]Sheet2!DU307=999999,"NA",[1]Sheet2!DU307)</f>
        <v>NA</v>
      </c>
      <c r="DK308" s="14" t="str">
        <f>IF([1]Sheet2!DV307=999999,"NA",[1]Sheet2!DV307)</f>
        <v>NA</v>
      </c>
      <c r="DL308" s="14" t="str">
        <f>IF([1]Sheet2!DW307=999999,"NA",[1]Sheet2!DW307)</f>
        <v>NA</v>
      </c>
      <c r="DM308" s="14">
        <f>IF([1]Sheet2!DX307=999999,"NA",[1]Sheet2!DX307)</f>
        <v>0</v>
      </c>
      <c r="DN308" s="14">
        <f>IF([1]Sheet2!DY307=999999,"NA",[1]Sheet2!DY307)</f>
        <v>60</v>
      </c>
      <c r="DO308" s="14" t="str">
        <f>IF([1]Sheet2!DZ307=999999,"NA",[1]Sheet2!DZ307)</f>
        <v>NA</v>
      </c>
      <c r="DP308" s="14" t="str">
        <f>IF([1]Sheet2!EA307=999999,"NA",[1]Sheet2!EA307)</f>
        <v>NA</v>
      </c>
      <c r="DQ308" s="14" t="str">
        <f>IF([1]Sheet2!EB307=999999,"NA",[1]Sheet2!EB307)</f>
        <v>NA</v>
      </c>
      <c r="DR308" s="14">
        <f>[1]Sheet2!CY307</f>
        <v>0</v>
      </c>
      <c r="DS308" s="14">
        <f>[1]Sheet2!CZ307</f>
        <v>0</v>
      </c>
      <c r="DT308" s="14">
        <f>[1]Sheet2!DA307</f>
        <v>0</v>
      </c>
      <c r="DU308" s="14">
        <f>[1]Sheet2!DB307</f>
        <v>0</v>
      </c>
      <c r="DV308" s="14">
        <f>[1]Sheet2!DC307</f>
        <v>0</v>
      </c>
      <c r="DW308" s="14">
        <f>[1]Sheet2!DD307</f>
        <v>0</v>
      </c>
      <c r="DX308" s="14">
        <f>[1]Sheet2!DE307</f>
        <v>0</v>
      </c>
      <c r="DY308" s="14">
        <f>[1]Sheet2!DF307</f>
        <v>0</v>
      </c>
      <c r="DZ308" s="14">
        <f>[1]Sheet2!DG307</f>
        <v>0</v>
      </c>
      <c r="EA308" s="14">
        <f>[1]Sheet2!DH307</f>
        <v>0</v>
      </c>
      <c r="EB308" s="6">
        <f>[1]Sheet2!EC307</f>
        <v>0</v>
      </c>
      <c r="EC308" s="6">
        <f>[1]Sheet2!ED307</f>
        <v>0</v>
      </c>
      <c r="ED308" s="6">
        <f>[1]Sheet2!EE307</f>
        <v>0</v>
      </c>
      <c r="EE308" s="6">
        <f>[1]Sheet2!EF307</f>
        <v>0</v>
      </c>
      <c r="EF308" s="6">
        <f>[1]Sheet2!EG307</f>
        <v>0</v>
      </c>
      <c r="EG308" s="6">
        <f>[1]Sheet2!EH307</f>
        <v>0</v>
      </c>
      <c r="EH308" s="6">
        <f>[1]Sheet2!EI307</f>
        <v>0</v>
      </c>
      <c r="EI308" s="6">
        <f>[1]Sheet2!EJ307</f>
        <v>0</v>
      </c>
      <c r="EJ308" s="6">
        <f>[1]Sheet2!EK307</f>
        <v>0</v>
      </c>
      <c r="EK308" s="6">
        <f>[1]Sheet2!EL307</f>
        <v>0</v>
      </c>
      <c r="EL308" s="6" t="str">
        <f>[1]Sheet2!EM307</f>
        <v/>
      </c>
      <c r="EM308" s="6" t="str">
        <f>[1]Sheet2!EN307</f>
        <v/>
      </c>
      <c r="EN308" s="6" t="str">
        <f>[1]Sheet2!EO307</f>
        <v/>
      </c>
      <c r="EO308" s="6" t="str">
        <f>[1]Sheet2!EP307</f>
        <v/>
      </c>
      <c r="EP308" s="6" t="str">
        <f>[1]Sheet2!EQ307</f>
        <v/>
      </c>
      <c r="EQ308" s="6" t="str">
        <f>[1]Sheet2!ER307</f>
        <v/>
      </c>
      <c r="ER308" s="6" t="str">
        <f>[1]Sheet2!ES307</f>
        <v/>
      </c>
      <c r="ES308" s="6" t="str">
        <f>[1]Sheet2!ET307</f>
        <v/>
      </c>
      <c r="ET308" s="6" t="str">
        <f>[1]Sheet2!EU307</f>
        <v/>
      </c>
      <c r="EU308" s="6" t="str">
        <f>[1]Sheet2!EV307</f>
        <v/>
      </c>
      <c r="EV308" s="6" t="str">
        <f>[1]Sheet2!EW307</f>
        <v/>
      </c>
      <c r="EW308" s="6" t="str">
        <f>[1]Sheet2!EX307</f>
        <v/>
      </c>
      <c r="EX308" s="6" t="str">
        <f>[1]Sheet2!EY307</f>
        <v/>
      </c>
      <c r="EY308" s="6" t="str">
        <f>[1]Sheet2!EZ307</f>
        <v/>
      </c>
      <c r="EZ308" s="6" t="str">
        <f>[1]Sheet2!FA307</f>
        <v/>
      </c>
      <c r="FA308" s="6" t="str">
        <f>[1]Sheet2!FB307</f>
        <v/>
      </c>
      <c r="FB308" s="6" t="str">
        <f>[1]Sheet2!FC307</f>
        <v/>
      </c>
      <c r="FC308" s="6" t="str">
        <f>[1]Sheet2!FD307</f>
        <v/>
      </c>
      <c r="FD308" s="6" t="str">
        <f>[1]Sheet2!FE307</f>
        <v/>
      </c>
      <c r="FE308" s="6" t="str">
        <f>[1]Sheet2!FF307</f>
        <v/>
      </c>
      <c r="FF308" s="6" t="str">
        <f>[1]Sheet2!FG307</f>
        <v/>
      </c>
      <c r="FG308" s="6" t="str">
        <f>[1]Sheet2!FH307</f>
        <v/>
      </c>
      <c r="FH308" s="6" t="str">
        <f>[1]Sheet2!FI307</f>
        <v/>
      </c>
      <c r="FI308" s="6" t="str">
        <f>[1]Sheet2!FJ307</f>
        <v/>
      </c>
      <c r="FJ308" s="6" t="str">
        <f>[1]Sheet2!FK307</f>
        <v/>
      </c>
      <c r="FK308" s="6" t="str">
        <f>[1]Sheet2!FL307</f>
        <v/>
      </c>
      <c r="FL308" s="6" t="str">
        <f>[1]Sheet2!FM307</f>
        <v/>
      </c>
      <c r="FM308" s="6" t="str">
        <f>[1]Sheet2!FN307</f>
        <v/>
      </c>
      <c r="FN308" s="6" t="str">
        <f>[1]Sheet2!FO307</f>
        <v/>
      </c>
      <c r="FO308" s="6" t="str">
        <f>[1]Sheet2!FP307</f>
        <v/>
      </c>
    </row>
    <row r="309" spans="1:171" x14ac:dyDescent="0.25">
      <c r="A309" s="15">
        <v>43771</v>
      </c>
      <c r="B309" s="1"/>
      <c r="C309" s="1"/>
      <c r="D309" s="1"/>
      <c r="E309" s="14">
        <f>[1]Sheet2!N308</f>
        <v>0</v>
      </c>
      <c r="F309" s="14">
        <f>[1]Sheet2!BE308</f>
        <v>0</v>
      </c>
      <c r="G309" s="14">
        <f>[1]Sheet2!CW308</f>
        <v>0</v>
      </c>
      <c r="H309" s="1"/>
      <c r="I309" s="1"/>
      <c r="J309" s="1"/>
      <c r="K309" s="16"/>
      <c r="L309" s="16">
        <f>Demand_CWRS!B$13/30</f>
        <v>111.92954594017094</v>
      </c>
      <c r="M309" s="16">
        <f>Demand_CWRS!C$13/30</f>
        <v>550.01145299145287</v>
      </c>
      <c r="N309" s="16">
        <f>Demand_CWRS!D$13/30</f>
        <v>0</v>
      </c>
      <c r="O309" s="16">
        <f>Demand_CWRS!E$13/30</f>
        <v>105.42606837606837</v>
      </c>
      <c r="P309" s="16">
        <f>Demand_CWRS!F$13/30</f>
        <v>220.33041399572647</v>
      </c>
      <c r="Q309" s="16">
        <f>Demand_CWRS!G$13/30</f>
        <v>111.92954594017094</v>
      </c>
      <c r="R309" s="16">
        <f>Demand_CWRS!H$13/30</f>
        <v>220.33041399572647</v>
      </c>
      <c r="S309" s="16">
        <f>Demand_CWRS!I$13/30</f>
        <v>220.33041399572647</v>
      </c>
      <c r="T309" s="16">
        <f>Demand_CWRS!J$13/30</f>
        <v>220.33041399572647</v>
      </c>
      <c r="U309" s="16">
        <f>Demand_CWRS!K$13/30</f>
        <v>220.33041399572647</v>
      </c>
      <c r="V309" s="16">
        <f t="shared" si="126"/>
        <v>-34817.473674148612</v>
      </c>
      <c r="W309" s="16">
        <f t="shared" si="127"/>
        <v>-137208.77418803368</v>
      </c>
      <c r="X309" s="16">
        <f t="shared" si="128"/>
        <v>0</v>
      </c>
      <c r="Y309" s="16">
        <f t="shared" si="129"/>
        <v>-26351.282532727459</v>
      </c>
      <c r="Z309" s="16">
        <f t="shared" si="130"/>
        <v>-60971.976265349491</v>
      </c>
      <c r="AA309" s="16">
        <f t="shared" si="131"/>
        <v>-33345.541150110228</v>
      </c>
      <c r="AB309" s="16">
        <f t="shared" si="132"/>
        <v>-65281.141040990449</v>
      </c>
      <c r="AC309" s="16">
        <f t="shared" si="133"/>
        <v>-59488.130784580258</v>
      </c>
      <c r="AD309" s="16">
        <f t="shared" si="134"/>
        <v>-59588.130784580251</v>
      </c>
      <c r="AE309" s="16">
        <f t="shared" si="135"/>
        <v>-60188.130784580244</v>
      </c>
      <c r="AF309" s="14">
        <f>IF([1]Sheet2!AJ308=999999,"NA",[1]Sheet2!AJ308)</f>
        <v>0</v>
      </c>
      <c r="AG309" s="14">
        <f>IF([1]Sheet2!AK308=999999,"NA",[1]Sheet2!AK308)</f>
        <v>0</v>
      </c>
      <c r="AH309" s="14" t="str">
        <f>IF([1]Sheet2!AL308=999999,"NA",[1]Sheet2!AL308)</f>
        <v>NA</v>
      </c>
      <c r="AI309" s="14">
        <f>IF([1]Sheet2!AM308=999999,"NA",[1]Sheet2!AM308)</f>
        <v>0</v>
      </c>
      <c r="AJ309" s="14">
        <f>IF([1]Sheet2!AN308=999999,"NA",[1]Sheet2!AN308)</f>
        <v>0</v>
      </c>
      <c r="AK309" s="14">
        <f>IF([1]Sheet2!AO308=999999,"NA",[1]Sheet2!AO308)</f>
        <v>0</v>
      </c>
      <c r="AL309" s="14">
        <f>IF([1]Sheet2!AP308=999999,"NA",[1]Sheet2!AP308)</f>
        <v>0</v>
      </c>
      <c r="AM309" s="14">
        <f>IF([1]Sheet2!AQ308=999999,"NA",[1]Sheet2!AQ308)</f>
        <v>0</v>
      </c>
      <c r="AN309" s="14">
        <f>IF([1]Sheet2!AR308=999999,"NA",[1]Sheet2!AR308)</f>
        <v>0</v>
      </c>
      <c r="AO309" s="14">
        <f>IF([1]Sheet2!AS308=999999,"NA",[1]Sheet2!AS308)</f>
        <v>0</v>
      </c>
      <c r="AP309" s="14">
        <f>[1]Sheet2!P308</f>
        <v>0</v>
      </c>
      <c r="AQ309" s="14">
        <f>[1]Sheet2!Q308</f>
        <v>0</v>
      </c>
      <c r="AR309" s="14">
        <f>[1]Sheet2!R308</f>
        <v>0</v>
      </c>
      <c r="AS309" s="14">
        <f>[1]Sheet2!S308</f>
        <v>0</v>
      </c>
      <c r="AT309" s="14">
        <f>[1]Sheet2!T308</f>
        <v>0</v>
      </c>
      <c r="AU309" s="14">
        <f>[1]Sheet2!U308</f>
        <v>0</v>
      </c>
      <c r="AV309" s="14">
        <f>[1]Sheet2!V308</f>
        <v>0</v>
      </c>
      <c r="AW309" s="14">
        <f>[1]Sheet2!W308</f>
        <v>0</v>
      </c>
      <c r="AX309" s="14">
        <f>[1]Sheet2!X308</f>
        <v>0</v>
      </c>
      <c r="AY309" s="14">
        <f>[1]Sheet2!Y308</f>
        <v>0</v>
      </c>
      <c r="AZ309" s="16">
        <f>Demand_LP!B$13/30</f>
        <v>849.16414262820524</v>
      </c>
      <c r="BA309" s="16">
        <f>Demand_LP!C$13/30</f>
        <v>632.84239316239314</v>
      </c>
      <c r="BB309" s="16">
        <f>Demand_LP!D$13/30</f>
        <v>269.64247863247863</v>
      </c>
      <c r="BC309" s="16">
        <f>Demand_LP!E$13/30</f>
        <v>815.03102564102551</v>
      </c>
      <c r="BD309" s="16">
        <f>Demand_LP!F$13/30</f>
        <v>536.05500267094021</v>
      </c>
      <c r="BE309" s="16">
        <f>Demand_LP!G$13/30</f>
        <v>536.05500267094021</v>
      </c>
      <c r="BF309" s="16">
        <f>Demand_LP!H$13/30</f>
        <v>632.84239316239314</v>
      </c>
      <c r="BG309" s="16">
        <f>Demand_LP!I$13/30</f>
        <v>536.05500267094021</v>
      </c>
      <c r="BH309" s="16">
        <f>Demand_LP!J$13/30</f>
        <v>536.05500267094021</v>
      </c>
      <c r="BI309" s="16">
        <f>Demand_LP!K$13/30</f>
        <v>536.05500267094021</v>
      </c>
      <c r="BJ309" s="16">
        <f t="shared" si="136"/>
        <v>-227302.72382348424</v>
      </c>
      <c r="BK309" s="16">
        <f t="shared" si="137"/>
        <v>-171378.18991452962</v>
      </c>
      <c r="BL309" s="16">
        <f t="shared" si="138"/>
        <v>-82643.761880342223</v>
      </c>
      <c r="BM309" s="16">
        <f t="shared" si="139"/>
        <v>-219597.53382992445</v>
      </c>
      <c r="BN309" s="16">
        <f t="shared" si="140"/>
        <v>-133720.40238504831</v>
      </c>
      <c r="BO309" s="16">
        <f t="shared" si="141"/>
        <v>-132178.08630341908</v>
      </c>
      <c r="BP309" s="16">
        <f t="shared" si="142"/>
        <v>-165735.76940170897</v>
      </c>
      <c r="BQ309" s="16">
        <f t="shared" si="143"/>
        <v>-128007.0863034191</v>
      </c>
      <c r="BR309" s="16">
        <f t="shared" si="144"/>
        <v>-129778.08630341914</v>
      </c>
      <c r="BS309" s="16">
        <f t="shared" si="145"/>
        <v>-130478.08630341913</v>
      </c>
      <c r="BT309" s="14">
        <f>IF([1]Sheet2!CB308=999999,"NA",[1]Sheet2!CB308)</f>
        <v>0</v>
      </c>
      <c r="BU309" s="14">
        <f>IF([1]Sheet2!CC308=999999,"NA",[1]Sheet2!CC308)</f>
        <v>0</v>
      </c>
      <c r="BV309" s="14">
        <f>IF([1]Sheet2!CD308=999999,"NA",[1]Sheet2!CD308)</f>
        <v>0</v>
      </c>
      <c r="BW309" s="14">
        <f>IF([1]Sheet2!CE308=999999,"NA",[1]Sheet2!CE308)</f>
        <v>0</v>
      </c>
      <c r="BX309" s="14">
        <f>IF([1]Sheet2!CF308=999999,"NA",[1]Sheet2!CF308)</f>
        <v>0</v>
      </c>
      <c r="BY309" s="14">
        <f>IF([1]Sheet2!CG308=999999,"NA",[1]Sheet2!CG308)</f>
        <v>0</v>
      </c>
      <c r="BZ309" s="14">
        <f>IF([1]Sheet2!CH308=999999,"NA",[1]Sheet2!CH308)</f>
        <v>0</v>
      </c>
      <c r="CA309" s="14">
        <f>IF([1]Sheet2!CI308=999999,"NA",[1]Sheet2!CI308)</f>
        <v>0</v>
      </c>
      <c r="CB309" s="14">
        <f>IF([1]Sheet2!CJ308=999999,"NA",[1]Sheet2!CJ308)</f>
        <v>0</v>
      </c>
      <c r="CC309" s="14">
        <f>IF([1]Sheet2!CK308=999999,"NA",[1]Sheet2!CK308)</f>
        <v>0</v>
      </c>
      <c r="CD309" s="14">
        <f>[1]Sheet2!BH308</f>
        <v>0</v>
      </c>
      <c r="CE309" s="14">
        <f>[1]Sheet2!BI308</f>
        <v>0</v>
      </c>
      <c r="CF309" s="14">
        <f>[1]Sheet2!BJ308</f>
        <v>0</v>
      </c>
      <c r="CG309" s="14">
        <f>[1]Sheet2!BK308</f>
        <v>0</v>
      </c>
      <c r="CH309" s="14">
        <f>[1]Sheet2!BL308</f>
        <v>0</v>
      </c>
      <c r="CI309" s="14">
        <f>[1]Sheet2!BM308</f>
        <v>0</v>
      </c>
      <c r="CJ309" s="14">
        <f>[1]Sheet2!BN308</f>
        <v>0</v>
      </c>
      <c r="CK309" s="14">
        <f>[1]Sheet2!BO308</f>
        <v>0</v>
      </c>
      <c r="CL309" s="14">
        <f>[1]Sheet2!BP308</f>
        <v>0</v>
      </c>
      <c r="CM309" s="14">
        <f>[1]Sheet2!BQ308</f>
        <v>0</v>
      </c>
      <c r="CN309" s="16">
        <f>Demand_SW!B$13/30</f>
        <v>144.23076923076923</v>
      </c>
      <c r="CO309" s="16">
        <f>Demand_SW!C$13/30</f>
        <v>0</v>
      </c>
      <c r="CP309" s="16">
        <f>Demand_SW!D$13/30</f>
        <v>0</v>
      </c>
      <c r="CQ309" s="16">
        <f>Demand_SW!E$13/30</f>
        <v>0</v>
      </c>
      <c r="CR309" s="16">
        <f>Demand_SW!F$13/30</f>
        <v>0</v>
      </c>
      <c r="CS309" s="16">
        <f>Demand_SW!G$13/30</f>
        <v>144.23076923076923</v>
      </c>
      <c r="CT309" s="16">
        <f>Demand_SW!H$13/30</f>
        <v>0</v>
      </c>
      <c r="CU309" s="16">
        <f>Demand_SW!I$13/30</f>
        <v>0</v>
      </c>
      <c r="CV309" s="16">
        <f>Demand_SW!J$13/30</f>
        <v>0</v>
      </c>
      <c r="CW309" s="16">
        <f>Demand_SW!K$13/30</f>
        <v>0</v>
      </c>
      <c r="CX309" s="16">
        <f t="shared" si="146"/>
        <v>-18663.076923076958</v>
      </c>
      <c r="CY309" s="16">
        <f t="shared" si="147"/>
        <v>76.923076923077133</v>
      </c>
      <c r="CZ309" s="16">
        <f t="shared" si="148"/>
        <v>0</v>
      </c>
      <c r="DA309" s="16">
        <f t="shared" si="149"/>
        <v>0</v>
      </c>
      <c r="DB309" s="16">
        <f t="shared" si="150"/>
        <v>0</v>
      </c>
      <c r="DC309" s="16">
        <f t="shared" si="151"/>
        <v>-19894.307692307728</v>
      </c>
      <c r="DD309" s="16">
        <f t="shared" si="152"/>
        <v>76.923076923077133</v>
      </c>
      <c r="DE309" s="16">
        <f t="shared" si="153"/>
        <v>0</v>
      </c>
      <c r="DF309" s="16">
        <f t="shared" si="154"/>
        <v>0</v>
      </c>
      <c r="DG309" s="16">
        <f t="shared" si="155"/>
        <v>0</v>
      </c>
      <c r="DH309" s="14">
        <f>IF([1]Sheet2!DS308=999999,"NA",[1]Sheet2!DS308)</f>
        <v>0</v>
      </c>
      <c r="DI309" s="14">
        <f>IF([1]Sheet2!DT308=999999,"NA",[1]Sheet2!DT308)</f>
        <v>59</v>
      </c>
      <c r="DJ309" s="14" t="str">
        <f>IF([1]Sheet2!DU308=999999,"NA",[1]Sheet2!DU308)</f>
        <v>NA</v>
      </c>
      <c r="DK309" s="14" t="str">
        <f>IF([1]Sheet2!DV308=999999,"NA",[1]Sheet2!DV308)</f>
        <v>NA</v>
      </c>
      <c r="DL309" s="14" t="str">
        <f>IF([1]Sheet2!DW308=999999,"NA",[1]Sheet2!DW308)</f>
        <v>NA</v>
      </c>
      <c r="DM309" s="14">
        <f>IF([1]Sheet2!DX308=999999,"NA",[1]Sheet2!DX308)</f>
        <v>0</v>
      </c>
      <c r="DN309" s="14">
        <f>IF([1]Sheet2!DY308=999999,"NA",[1]Sheet2!DY308)</f>
        <v>59</v>
      </c>
      <c r="DO309" s="14" t="str">
        <f>IF([1]Sheet2!DZ308=999999,"NA",[1]Sheet2!DZ308)</f>
        <v>NA</v>
      </c>
      <c r="DP309" s="14" t="str">
        <f>IF([1]Sheet2!EA308=999999,"NA",[1]Sheet2!EA308)</f>
        <v>NA</v>
      </c>
      <c r="DQ309" s="14" t="str">
        <f>IF([1]Sheet2!EB308=999999,"NA",[1]Sheet2!EB308)</f>
        <v>NA</v>
      </c>
      <c r="DR309" s="14">
        <f>[1]Sheet2!CY308</f>
        <v>0</v>
      </c>
      <c r="DS309" s="14">
        <f>[1]Sheet2!CZ308</f>
        <v>0</v>
      </c>
      <c r="DT309" s="14">
        <f>[1]Sheet2!DA308</f>
        <v>0</v>
      </c>
      <c r="DU309" s="14">
        <f>[1]Sheet2!DB308</f>
        <v>0</v>
      </c>
      <c r="DV309" s="14">
        <f>[1]Sheet2!DC308</f>
        <v>0</v>
      </c>
      <c r="DW309" s="14">
        <f>[1]Sheet2!DD308</f>
        <v>0</v>
      </c>
      <c r="DX309" s="14">
        <f>[1]Sheet2!DE308</f>
        <v>0</v>
      </c>
      <c r="DY309" s="14">
        <f>[1]Sheet2!DF308</f>
        <v>0</v>
      </c>
      <c r="DZ309" s="14">
        <f>[1]Sheet2!DG308</f>
        <v>0</v>
      </c>
      <c r="EA309" s="14">
        <f>[1]Sheet2!DH308</f>
        <v>0</v>
      </c>
      <c r="EB309" s="6">
        <f>[1]Sheet2!EC308</f>
        <v>0</v>
      </c>
      <c r="EC309" s="6">
        <f>[1]Sheet2!ED308</f>
        <v>0</v>
      </c>
      <c r="ED309" s="6">
        <f>[1]Sheet2!EE308</f>
        <v>0</v>
      </c>
      <c r="EE309" s="6">
        <f>[1]Sheet2!EF308</f>
        <v>0</v>
      </c>
      <c r="EF309" s="6">
        <f>[1]Sheet2!EG308</f>
        <v>0</v>
      </c>
      <c r="EG309" s="6">
        <f>[1]Sheet2!EH308</f>
        <v>0</v>
      </c>
      <c r="EH309" s="6">
        <f>[1]Sheet2!EI308</f>
        <v>0</v>
      </c>
      <c r="EI309" s="6">
        <f>[1]Sheet2!EJ308</f>
        <v>0</v>
      </c>
      <c r="EJ309" s="6">
        <f>[1]Sheet2!EK308</f>
        <v>0</v>
      </c>
      <c r="EK309" s="6">
        <f>[1]Sheet2!EL308</f>
        <v>0</v>
      </c>
      <c r="EL309" s="6" t="str">
        <f>[1]Sheet2!EM308</f>
        <v/>
      </c>
      <c r="EM309" s="6" t="str">
        <f>[1]Sheet2!EN308</f>
        <v/>
      </c>
      <c r="EN309" s="6" t="str">
        <f>[1]Sheet2!EO308</f>
        <v/>
      </c>
      <c r="EO309" s="6" t="str">
        <f>[1]Sheet2!EP308</f>
        <v/>
      </c>
      <c r="EP309" s="6" t="str">
        <f>[1]Sheet2!EQ308</f>
        <v/>
      </c>
      <c r="EQ309" s="6" t="str">
        <f>[1]Sheet2!ER308</f>
        <v/>
      </c>
      <c r="ER309" s="6" t="str">
        <f>[1]Sheet2!ES308</f>
        <v/>
      </c>
      <c r="ES309" s="6" t="str">
        <f>[1]Sheet2!ET308</f>
        <v/>
      </c>
      <c r="ET309" s="6" t="str">
        <f>[1]Sheet2!EU308</f>
        <v/>
      </c>
      <c r="EU309" s="6" t="str">
        <f>[1]Sheet2!EV308</f>
        <v/>
      </c>
      <c r="EV309" s="6" t="str">
        <f>[1]Sheet2!EW308</f>
        <v/>
      </c>
      <c r="EW309" s="6" t="str">
        <f>[1]Sheet2!EX308</f>
        <v/>
      </c>
      <c r="EX309" s="6" t="str">
        <f>[1]Sheet2!EY308</f>
        <v/>
      </c>
      <c r="EY309" s="6" t="str">
        <f>[1]Sheet2!EZ308</f>
        <v/>
      </c>
      <c r="EZ309" s="6" t="str">
        <f>[1]Sheet2!FA308</f>
        <v/>
      </c>
      <c r="FA309" s="6" t="str">
        <f>[1]Sheet2!FB308</f>
        <v/>
      </c>
      <c r="FB309" s="6" t="str">
        <f>[1]Sheet2!FC308</f>
        <v/>
      </c>
      <c r="FC309" s="6" t="str">
        <f>[1]Sheet2!FD308</f>
        <v/>
      </c>
      <c r="FD309" s="6" t="str">
        <f>[1]Sheet2!FE308</f>
        <v/>
      </c>
      <c r="FE309" s="6" t="str">
        <f>[1]Sheet2!FF308</f>
        <v/>
      </c>
      <c r="FF309" s="6" t="str">
        <f>[1]Sheet2!FG308</f>
        <v/>
      </c>
      <c r="FG309" s="6" t="str">
        <f>[1]Sheet2!FH308</f>
        <v/>
      </c>
      <c r="FH309" s="6" t="str">
        <f>[1]Sheet2!FI308</f>
        <v/>
      </c>
      <c r="FI309" s="6" t="str">
        <f>[1]Sheet2!FJ308</f>
        <v/>
      </c>
      <c r="FJ309" s="6" t="str">
        <f>[1]Sheet2!FK308</f>
        <v/>
      </c>
      <c r="FK309" s="6" t="str">
        <f>[1]Sheet2!FL308</f>
        <v/>
      </c>
      <c r="FL309" s="6" t="str">
        <f>[1]Sheet2!FM308</f>
        <v/>
      </c>
      <c r="FM309" s="6" t="str">
        <f>[1]Sheet2!FN308</f>
        <v/>
      </c>
      <c r="FN309" s="6" t="str">
        <f>[1]Sheet2!FO308</f>
        <v/>
      </c>
      <c r="FO309" s="6" t="str">
        <f>[1]Sheet2!FP308</f>
        <v/>
      </c>
    </row>
    <row r="310" spans="1:171" x14ac:dyDescent="0.25">
      <c r="A310" s="15">
        <v>43772</v>
      </c>
      <c r="B310" s="1"/>
      <c r="C310" s="1"/>
      <c r="D310" s="1"/>
      <c r="E310" s="14">
        <f>[1]Sheet2!N309</f>
        <v>0</v>
      </c>
      <c r="F310" s="14">
        <f>[1]Sheet2!BE309</f>
        <v>0</v>
      </c>
      <c r="G310" s="14">
        <f>[1]Sheet2!CW309</f>
        <v>0</v>
      </c>
      <c r="H310" s="1"/>
      <c r="I310" s="1"/>
      <c r="J310" s="1"/>
      <c r="K310" s="16"/>
      <c r="L310" s="16">
        <f>Demand_CWRS!B$13/30</f>
        <v>111.92954594017094</v>
      </c>
      <c r="M310" s="16">
        <f>Demand_CWRS!C$13/30</f>
        <v>550.01145299145287</v>
      </c>
      <c r="N310" s="16">
        <f>Demand_CWRS!D$13/30</f>
        <v>0</v>
      </c>
      <c r="O310" s="16">
        <f>Demand_CWRS!E$13/30</f>
        <v>105.42606837606837</v>
      </c>
      <c r="P310" s="16">
        <f>Demand_CWRS!F$13/30</f>
        <v>220.33041399572647</v>
      </c>
      <c r="Q310" s="16">
        <f>Demand_CWRS!G$13/30</f>
        <v>111.92954594017094</v>
      </c>
      <c r="R310" s="16">
        <f>Demand_CWRS!H$13/30</f>
        <v>220.33041399572647</v>
      </c>
      <c r="S310" s="16">
        <f>Demand_CWRS!I$13/30</f>
        <v>220.33041399572647</v>
      </c>
      <c r="T310" s="16">
        <f>Demand_CWRS!J$13/30</f>
        <v>220.33041399572647</v>
      </c>
      <c r="U310" s="16">
        <f>Demand_CWRS!K$13/30</f>
        <v>220.33041399572647</v>
      </c>
      <c r="V310" s="16">
        <f t="shared" si="126"/>
        <v>-34929.403220088781</v>
      </c>
      <c r="W310" s="16">
        <f t="shared" si="127"/>
        <v>-137758.78564102514</v>
      </c>
      <c r="X310" s="16">
        <f t="shared" si="128"/>
        <v>0</v>
      </c>
      <c r="Y310" s="16">
        <f t="shared" si="129"/>
        <v>-26456.708601103528</v>
      </c>
      <c r="Z310" s="16">
        <f t="shared" si="130"/>
        <v>-61192.306679345216</v>
      </c>
      <c r="AA310" s="16">
        <f t="shared" si="131"/>
        <v>-33457.470696050397</v>
      </c>
      <c r="AB310" s="16">
        <f t="shared" si="132"/>
        <v>-65501.471454986175</v>
      </c>
      <c r="AC310" s="16">
        <f t="shared" si="133"/>
        <v>-59708.461198575984</v>
      </c>
      <c r="AD310" s="16">
        <f t="shared" si="134"/>
        <v>-59808.461198575977</v>
      </c>
      <c r="AE310" s="16">
        <f t="shared" si="135"/>
        <v>-60408.461198575969</v>
      </c>
      <c r="AF310" s="14">
        <f>IF([1]Sheet2!AJ309=999999,"NA",[1]Sheet2!AJ309)</f>
        <v>0</v>
      </c>
      <c r="AG310" s="14">
        <f>IF([1]Sheet2!AK309=999999,"NA",[1]Sheet2!AK309)</f>
        <v>0</v>
      </c>
      <c r="AH310" s="14" t="str">
        <f>IF([1]Sheet2!AL309=999999,"NA",[1]Sheet2!AL309)</f>
        <v>NA</v>
      </c>
      <c r="AI310" s="14">
        <f>IF([1]Sheet2!AM309=999999,"NA",[1]Sheet2!AM309)</f>
        <v>0</v>
      </c>
      <c r="AJ310" s="14">
        <f>IF([1]Sheet2!AN309=999999,"NA",[1]Sheet2!AN309)</f>
        <v>0</v>
      </c>
      <c r="AK310" s="14">
        <f>IF([1]Sheet2!AO309=999999,"NA",[1]Sheet2!AO309)</f>
        <v>0</v>
      </c>
      <c r="AL310" s="14">
        <f>IF([1]Sheet2!AP309=999999,"NA",[1]Sheet2!AP309)</f>
        <v>0</v>
      </c>
      <c r="AM310" s="14">
        <f>IF([1]Sheet2!AQ309=999999,"NA",[1]Sheet2!AQ309)</f>
        <v>0</v>
      </c>
      <c r="AN310" s="14">
        <f>IF([1]Sheet2!AR309=999999,"NA",[1]Sheet2!AR309)</f>
        <v>0</v>
      </c>
      <c r="AO310" s="14">
        <f>IF([1]Sheet2!AS309=999999,"NA",[1]Sheet2!AS309)</f>
        <v>0</v>
      </c>
      <c r="AP310" s="14">
        <f>[1]Sheet2!P309</f>
        <v>0</v>
      </c>
      <c r="AQ310" s="14">
        <f>[1]Sheet2!Q309</f>
        <v>0</v>
      </c>
      <c r="AR310" s="14">
        <f>[1]Sheet2!R309</f>
        <v>0</v>
      </c>
      <c r="AS310" s="14">
        <f>[1]Sheet2!S309</f>
        <v>0</v>
      </c>
      <c r="AT310" s="14">
        <f>[1]Sheet2!T309</f>
        <v>0</v>
      </c>
      <c r="AU310" s="14">
        <f>[1]Sheet2!U309</f>
        <v>0</v>
      </c>
      <c r="AV310" s="14">
        <f>[1]Sheet2!V309</f>
        <v>0</v>
      </c>
      <c r="AW310" s="14">
        <f>[1]Sheet2!W309</f>
        <v>0</v>
      </c>
      <c r="AX310" s="14">
        <f>[1]Sheet2!X309</f>
        <v>0</v>
      </c>
      <c r="AY310" s="14">
        <f>[1]Sheet2!Y309</f>
        <v>0</v>
      </c>
      <c r="AZ310" s="16">
        <f>Demand_LP!B$13/30</f>
        <v>849.16414262820524</v>
      </c>
      <c r="BA310" s="16">
        <f>Demand_LP!C$13/30</f>
        <v>632.84239316239314</v>
      </c>
      <c r="BB310" s="16">
        <f>Demand_LP!D$13/30</f>
        <v>269.64247863247863</v>
      </c>
      <c r="BC310" s="16">
        <f>Demand_LP!E$13/30</f>
        <v>815.03102564102551</v>
      </c>
      <c r="BD310" s="16">
        <f>Demand_LP!F$13/30</f>
        <v>536.05500267094021</v>
      </c>
      <c r="BE310" s="16">
        <f>Demand_LP!G$13/30</f>
        <v>536.05500267094021</v>
      </c>
      <c r="BF310" s="16">
        <f>Demand_LP!H$13/30</f>
        <v>632.84239316239314</v>
      </c>
      <c r="BG310" s="16">
        <f>Demand_LP!I$13/30</f>
        <v>536.05500267094021</v>
      </c>
      <c r="BH310" s="16">
        <f>Demand_LP!J$13/30</f>
        <v>536.05500267094021</v>
      </c>
      <c r="BI310" s="16">
        <f>Demand_LP!K$13/30</f>
        <v>536.05500267094021</v>
      </c>
      <c r="BJ310" s="16">
        <f t="shared" si="136"/>
        <v>-228151.88796611244</v>
      </c>
      <c r="BK310" s="16">
        <f t="shared" si="137"/>
        <v>-172011.03230769202</v>
      </c>
      <c r="BL310" s="16">
        <f t="shared" si="138"/>
        <v>-82913.404358974702</v>
      </c>
      <c r="BM310" s="16">
        <f t="shared" si="139"/>
        <v>-220412.56485556546</v>
      </c>
      <c r="BN310" s="16">
        <f t="shared" si="140"/>
        <v>-134256.45738771925</v>
      </c>
      <c r="BO310" s="16">
        <f t="shared" si="141"/>
        <v>-132714.14130609002</v>
      </c>
      <c r="BP310" s="16">
        <f t="shared" si="142"/>
        <v>-166368.61179487137</v>
      </c>
      <c r="BQ310" s="16">
        <f t="shared" si="143"/>
        <v>-128543.14130609004</v>
      </c>
      <c r="BR310" s="16">
        <f t="shared" si="144"/>
        <v>-130314.14130609008</v>
      </c>
      <c r="BS310" s="16">
        <f t="shared" si="145"/>
        <v>-131014.14130609007</v>
      </c>
      <c r="BT310" s="14">
        <f>IF([1]Sheet2!CB309=999999,"NA",[1]Sheet2!CB309)</f>
        <v>0</v>
      </c>
      <c r="BU310" s="14">
        <f>IF([1]Sheet2!CC309=999999,"NA",[1]Sheet2!CC309)</f>
        <v>0</v>
      </c>
      <c r="BV310" s="14">
        <f>IF([1]Sheet2!CD309=999999,"NA",[1]Sheet2!CD309)</f>
        <v>0</v>
      </c>
      <c r="BW310" s="14">
        <f>IF([1]Sheet2!CE309=999999,"NA",[1]Sheet2!CE309)</f>
        <v>0</v>
      </c>
      <c r="BX310" s="14">
        <f>IF([1]Sheet2!CF309=999999,"NA",[1]Sheet2!CF309)</f>
        <v>0</v>
      </c>
      <c r="BY310" s="14">
        <f>IF([1]Sheet2!CG309=999999,"NA",[1]Sheet2!CG309)</f>
        <v>0</v>
      </c>
      <c r="BZ310" s="14">
        <f>IF([1]Sheet2!CH309=999999,"NA",[1]Sheet2!CH309)</f>
        <v>0</v>
      </c>
      <c r="CA310" s="14">
        <f>IF([1]Sheet2!CI309=999999,"NA",[1]Sheet2!CI309)</f>
        <v>0</v>
      </c>
      <c r="CB310" s="14">
        <f>IF([1]Sheet2!CJ309=999999,"NA",[1]Sheet2!CJ309)</f>
        <v>0</v>
      </c>
      <c r="CC310" s="14">
        <f>IF([1]Sheet2!CK309=999999,"NA",[1]Sheet2!CK309)</f>
        <v>0</v>
      </c>
      <c r="CD310" s="14">
        <f>[1]Sheet2!BH309</f>
        <v>0</v>
      </c>
      <c r="CE310" s="14">
        <f>[1]Sheet2!BI309</f>
        <v>0</v>
      </c>
      <c r="CF310" s="14">
        <f>[1]Sheet2!BJ309</f>
        <v>0</v>
      </c>
      <c r="CG310" s="14">
        <f>[1]Sheet2!BK309</f>
        <v>0</v>
      </c>
      <c r="CH310" s="14">
        <f>[1]Sheet2!BL309</f>
        <v>0</v>
      </c>
      <c r="CI310" s="14">
        <f>[1]Sheet2!BM309</f>
        <v>0</v>
      </c>
      <c r="CJ310" s="14">
        <f>[1]Sheet2!BN309</f>
        <v>0</v>
      </c>
      <c r="CK310" s="14">
        <f>[1]Sheet2!BO309</f>
        <v>0</v>
      </c>
      <c r="CL310" s="14">
        <f>[1]Sheet2!BP309</f>
        <v>0</v>
      </c>
      <c r="CM310" s="14">
        <f>[1]Sheet2!BQ309</f>
        <v>0</v>
      </c>
      <c r="CN310" s="16">
        <f>Demand_SW!B$13/30</f>
        <v>144.23076923076923</v>
      </c>
      <c r="CO310" s="16">
        <f>Demand_SW!C$13/30</f>
        <v>0</v>
      </c>
      <c r="CP310" s="16">
        <f>Demand_SW!D$13/30</f>
        <v>0</v>
      </c>
      <c r="CQ310" s="16">
        <f>Demand_SW!E$13/30</f>
        <v>0</v>
      </c>
      <c r="CR310" s="16">
        <f>Demand_SW!F$13/30</f>
        <v>0</v>
      </c>
      <c r="CS310" s="16">
        <f>Demand_SW!G$13/30</f>
        <v>144.23076923076923</v>
      </c>
      <c r="CT310" s="16">
        <f>Demand_SW!H$13/30</f>
        <v>0</v>
      </c>
      <c r="CU310" s="16">
        <f>Demand_SW!I$13/30</f>
        <v>0</v>
      </c>
      <c r="CV310" s="16">
        <f>Demand_SW!J$13/30</f>
        <v>0</v>
      </c>
      <c r="CW310" s="16">
        <f>Demand_SW!K$13/30</f>
        <v>0</v>
      </c>
      <c r="CX310" s="16">
        <f t="shared" si="146"/>
        <v>-18807.307692307728</v>
      </c>
      <c r="CY310" s="16">
        <f t="shared" si="147"/>
        <v>76.923076923077133</v>
      </c>
      <c r="CZ310" s="16">
        <f t="shared" si="148"/>
        <v>0</v>
      </c>
      <c r="DA310" s="16">
        <f t="shared" si="149"/>
        <v>0</v>
      </c>
      <c r="DB310" s="16">
        <f t="shared" si="150"/>
        <v>0</v>
      </c>
      <c r="DC310" s="16">
        <f t="shared" si="151"/>
        <v>-20038.538461538497</v>
      </c>
      <c r="DD310" s="16">
        <f t="shared" si="152"/>
        <v>76.923076923077133</v>
      </c>
      <c r="DE310" s="16">
        <f t="shared" si="153"/>
        <v>0</v>
      </c>
      <c r="DF310" s="16">
        <f t="shared" si="154"/>
        <v>0</v>
      </c>
      <c r="DG310" s="16">
        <f t="shared" si="155"/>
        <v>0</v>
      </c>
      <c r="DH310" s="14">
        <f>IF([1]Sheet2!DS309=999999,"NA",[1]Sheet2!DS309)</f>
        <v>0</v>
      </c>
      <c r="DI310" s="14">
        <f>IF([1]Sheet2!DT309=999999,"NA",[1]Sheet2!DT309)</f>
        <v>58</v>
      </c>
      <c r="DJ310" s="14" t="str">
        <f>IF([1]Sheet2!DU309=999999,"NA",[1]Sheet2!DU309)</f>
        <v>NA</v>
      </c>
      <c r="DK310" s="14" t="str">
        <f>IF([1]Sheet2!DV309=999999,"NA",[1]Sheet2!DV309)</f>
        <v>NA</v>
      </c>
      <c r="DL310" s="14" t="str">
        <f>IF([1]Sheet2!DW309=999999,"NA",[1]Sheet2!DW309)</f>
        <v>NA</v>
      </c>
      <c r="DM310" s="14">
        <f>IF([1]Sheet2!DX309=999999,"NA",[1]Sheet2!DX309)</f>
        <v>0</v>
      </c>
      <c r="DN310" s="14">
        <f>IF([1]Sheet2!DY309=999999,"NA",[1]Sheet2!DY309)</f>
        <v>58</v>
      </c>
      <c r="DO310" s="14" t="str">
        <f>IF([1]Sheet2!DZ309=999999,"NA",[1]Sheet2!DZ309)</f>
        <v>NA</v>
      </c>
      <c r="DP310" s="14" t="str">
        <f>IF([1]Sheet2!EA309=999999,"NA",[1]Sheet2!EA309)</f>
        <v>NA</v>
      </c>
      <c r="DQ310" s="14" t="str">
        <f>IF([1]Sheet2!EB309=999999,"NA",[1]Sheet2!EB309)</f>
        <v>NA</v>
      </c>
      <c r="DR310" s="14">
        <f>[1]Sheet2!CY309</f>
        <v>0</v>
      </c>
      <c r="DS310" s="14">
        <f>[1]Sheet2!CZ309</f>
        <v>0</v>
      </c>
      <c r="DT310" s="14">
        <f>[1]Sheet2!DA309</f>
        <v>0</v>
      </c>
      <c r="DU310" s="14">
        <f>[1]Sheet2!DB309</f>
        <v>0</v>
      </c>
      <c r="DV310" s="14">
        <f>[1]Sheet2!DC309</f>
        <v>0</v>
      </c>
      <c r="DW310" s="14">
        <f>[1]Sheet2!DD309</f>
        <v>0</v>
      </c>
      <c r="DX310" s="14">
        <f>[1]Sheet2!DE309</f>
        <v>0</v>
      </c>
      <c r="DY310" s="14">
        <f>[1]Sheet2!DF309</f>
        <v>0</v>
      </c>
      <c r="DZ310" s="14">
        <f>[1]Sheet2!DG309</f>
        <v>0</v>
      </c>
      <c r="EA310" s="14">
        <f>[1]Sheet2!DH309</f>
        <v>0</v>
      </c>
      <c r="EB310" s="6">
        <f>[1]Sheet2!EC309</f>
        <v>0</v>
      </c>
      <c r="EC310" s="6">
        <f>[1]Sheet2!ED309</f>
        <v>0</v>
      </c>
      <c r="ED310" s="6">
        <f>[1]Sheet2!EE309</f>
        <v>0</v>
      </c>
      <c r="EE310" s="6">
        <f>[1]Sheet2!EF309</f>
        <v>0</v>
      </c>
      <c r="EF310" s="6">
        <f>[1]Sheet2!EG309</f>
        <v>0</v>
      </c>
      <c r="EG310" s="6">
        <f>[1]Sheet2!EH309</f>
        <v>0</v>
      </c>
      <c r="EH310" s="6">
        <f>[1]Sheet2!EI309</f>
        <v>0</v>
      </c>
      <c r="EI310" s="6">
        <f>[1]Sheet2!EJ309</f>
        <v>0</v>
      </c>
      <c r="EJ310" s="6">
        <f>[1]Sheet2!EK309</f>
        <v>0</v>
      </c>
      <c r="EK310" s="6">
        <f>[1]Sheet2!EL309</f>
        <v>0</v>
      </c>
      <c r="EL310" s="6" t="str">
        <f>[1]Sheet2!EM309</f>
        <v/>
      </c>
      <c r="EM310" s="6" t="str">
        <f>[1]Sheet2!EN309</f>
        <v/>
      </c>
      <c r="EN310" s="6" t="str">
        <f>[1]Sheet2!EO309</f>
        <v/>
      </c>
      <c r="EO310" s="6" t="str">
        <f>[1]Sheet2!EP309</f>
        <v/>
      </c>
      <c r="EP310" s="6" t="str">
        <f>[1]Sheet2!EQ309</f>
        <v/>
      </c>
      <c r="EQ310" s="6" t="str">
        <f>[1]Sheet2!ER309</f>
        <v/>
      </c>
      <c r="ER310" s="6" t="str">
        <f>[1]Sheet2!ES309</f>
        <v/>
      </c>
      <c r="ES310" s="6" t="str">
        <f>[1]Sheet2!ET309</f>
        <v/>
      </c>
      <c r="ET310" s="6" t="str">
        <f>[1]Sheet2!EU309</f>
        <v/>
      </c>
      <c r="EU310" s="6" t="str">
        <f>[1]Sheet2!EV309</f>
        <v/>
      </c>
      <c r="EV310" s="6" t="str">
        <f>[1]Sheet2!EW309</f>
        <v/>
      </c>
      <c r="EW310" s="6" t="str">
        <f>[1]Sheet2!EX309</f>
        <v/>
      </c>
      <c r="EX310" s="6" t="str">
        <f>[1]Sheet2!EY309</f>
        <v/>
      </c>
      <c r="EY310" s="6" t="str">
        <f>[1]Sheet2!EZ309</f>
        <v/>
      </c>
      <c r="EZ310" s="6" t="str">
        <f>[1]Sheet2!FA309</f>
        <v/>
      </c>
      <c r="FA310" s="6" t="str">
        <f>[1]Sheet2!FB309</f>
        <v/>
      </c>
      <c r="FB310" s="6" t="str">
        <f>[1]Sheet2!FC309</f>
        <v/>
      </c>
      <c r="FC310" s="6" t="str">
        <f>[1]Sheet2!FD309</f>
        <v/>
      </c>
      <c r="FD310" s="6" t="str">
        <f>[1]Sheet2!FE309</f>
        <v/>
      </c>
      <c r="FE310" s="6" t="str">
        <f>[1]Sheet2!FF309</f>
        <v/>
      </c>
      <c r="FF310" s="6" t="str">
        <f>[1]Sheet2!FG309</f>
        <v/>
      </c>
      <c r="FG310" s="6" t="str">
        <f>[1]Sheet2!FH309</f>
        <v/>
      </c>
      <c r="FH310" s="6" t="str">
        <f>[1]Sheet2!FI309</f>
        <v/>
      </c>
      <c r="FI310" s="6" t="str">
        <f>[1]Sheet2!FJ309</f>
        <v/>
      </c>
      <c r="FJ310" s="6" t="str">
        <f>[1]Sheet2!FK309</f>
        <v/>
      </c>
      <c r="FK310" s="6" t="str">
        <f>[1]Sheet2!FL309</f>
        <v/>
      </c>
      <c r="FL310" s="6" t="str">
        <f>[1]Sheet2!FM309</f>
        <v/>
      </c>
      <c r="FM310" s="6" t="str">
        <f>[1]Sheet2!FN309</f>
        <v/>
      </c>
      <c r="FN310" s="6" t="str">
        <f>[1]Sheet2!FO309</f>
        <v/>
      </c>
      <c r="FO310" s="6" t="str">
        <f>[1]Sheet2!FP309</f>
        <v/>
      </c>
    </row>
    <row r="311" spans="1:171" x14ac:dyDescent="0.25">
      <c r="A311" s="15">
        <v>43773</v>
      </c>
      <c r="B311" s="1"/>
      <c r="C311" s="1"/>
      <c r="D311" s="1"/>
      <c r="E311" s="14">
        <f>[1]Sheet2!N310</f>
        <v>0</v>
      </c>
      <c r="F311" s="14">
        <f>[1]Sheet2!BE310</f>
        <v>0</v>
      </c>
      <c r="G311" s="14">
        <f>[1]Sheet2!CW310</f>
        <v>0</v>
      </c>
      <c r="H311" s="1"/>
      <c r="I311" s="1"/>
      <c r="J311" s="1"/>
      <c r="K311" s="16"/>
      <c r="L311" s="16">
        <f>Demand_CWRS!B$13/30</f>
        <v>111.92954594017094</v>
      </c>
      <c r="M311" s="16">
        <f>Demand_CWRS!C$13/30</f>
        <v>550.01145299145287</v>
      </c>
      <c r="N311" s="16">
        <f>Demand_CWRS!D$13/30</f>
        <v>0</v>
      </c>
      <c r="O311" s="16">
        <f>Demand_CWRS!E$13/30</f>
        <v>105.42606837606837</v>
      </c>
      <c r="P311" s="16">
        <f>Demand_CWRS!F$13/30</f>
        <v>220.33041399572647</v>
      </c>
      <c r="Q311" s="16">
        <f>Demand_CWRS!G$13/30</f>
        <v>111.92954594017094</v>
      </c>
      <c r="R311" s="16">
        <f>Demand_CWRS!H$13/30</f>
        <v>220.33041399572647</v>
      </c>
      <c r="S311" s="16">
        <f>Demand_CWRS!I$13/30</f>
        <v>220.33041399572647</v>
      </c>
      <c r="T311" s="16">
        <f>Demand_CWRS!J$13/30</f>
        <v>220.33041399572647</v>
      </c>
      <c r="U311" s="16">
        <f>Demand_CWRS!K$13/30</f>
        <v>220.33041399572647</v>
      </c>
      <c r="V311" s="16">
        <f t="shared" si="126"/>
        <v>-35041.332766028951</v>
      </c>
      <c r="W311" s="16">
        <f t="shared" si="127"/>
        <v>-138308.7970940166</v>
      </c>
      <c r="X311" s="16">
        <f t="shared" si="128"/>
        <v>0</v>
      </c>
      <c r="Y311" s="16">
        <f t="shared" si="129"/>
        <v>-26562.134669479598</v>
      </c>
      <c r="Z311" s="16">
        <f t="shared" si="130"/>
        <v>-61412.637093340942</v>
      </c>
      <c r="AA311" s="16">
        <f t="shared" si="131"/>
        <v>-33569.400241990566</v>
      </c>
      <c r="AB311" s="16">
        <f t="shared" si="132"/>
        <v>-65721.8018689819</v>
      </c>
      <c r="AC311" s="16">
        <f t="shared" si="133"/>
        <v>-59928.791612571709</v>
      </c>
      <c r="AD311" s="16">
        <f t="shared" si="134"/>
        <v>-60028.791612571702</v>
      </c>
      <c r="AE311" s="16">
        <f t="shared" si="135"/>
        <v>-60628.791612571695</v>
      </c>
      <c r="AF311" s="14">
        <f>IF([1]Sheet2!AJ310=999999,"NA",[1]Sheet2!AJ310)</f>
        <v>0</v>
      </c>
      <c r="AG311" s="14">
        <f>IF([1]Sheet2!AK310=999999,"NA",[1]Sheet2!AK310)</f>
        <v>0</v>
      </c>
      <c r="AH311" s="14" t="str">
        <f>IF([1]Sheet2!AL310=999999,"NA",[1]Sheet2!AL310)</f>
        <v>NA</v>
      </c>
      <c r="AI311" s="14">
        <f>IF([1]Sheet2!AM310=999999,"NA",[1]Sheet2!AM310)</f>
        <v>0</v>
      </c>
      <c r="AJ311" s="14">
        <f>IF([1]Sheet2!AN310=999999,"NA",[1]Sheet2!AN310)</f>
        <v>0</v>
      </c>
      <c r="AK311" s="14">
        <f>IF([1]Sheet2!AO310=999999,"NA",[1]Sheet2!AO310)</f>
        <v>0</v>
      </c>
      <c r="AL311" s="14">
        <f>IF([1]Sheet2!AP310=999999,"NA",[1]Sheet2!AP310)</f>
        <v>0</v>
      </c>
      <c r="AM311" s="14">
        <f>IF([1]Sheet2!AQ310=999999,"NA",[1]Sheet2!AQ310)</f>
        <v>0</v>
      </c>
      <c r="AN311" s="14">
        <f>IF([1]Sheet2!AR310=999999,"NA",[1]Sheet2!AR310)</f>
        <v>0</v>
      </c>
      <c r="AO311" s="14">
        <f>IF([1]Sheet2!AS310=999999,"NA",[1]Sheet2!AS310)</f>
        <v>0</v>
      </c>
      <c r="AP311" s="14">
        <f>[1]Sheet2!P310</f>
        <v>0</v>
      </c>
      <c r="AQ311" s="14">
        <f>[1]Sheet2!Q310</f>
        <v>0</v>
      </c>
      <c r="AR311" s="14">
        <f>[1]Sheet2!R310</f>
        <v>0</v>
      </c>
      <c r="AS311" s="14">
        <f>[1]Sheet2!S310</f>
        <v>0</v>
      </c>
      <c r="AT311" s="14">
        <f>[1]Sheet2!T310</f>
        <v>0</v>
      </c>
      <c r="AU311" s="14">
        <f>[1]Sheet2!U310</f>
        <v>0</v>
      </c>
      <c r="AV311" s="14">
        <f>[1]Sheet2!V310</f>
        <v>0</v>
      </c>
      <c r="AW311" s="14">
        <f>[1]Sheet2!W310</f>
        <v>0</v>
      </c>
      <c r="AX311" s="14">
        <f>[1]Sheet2!X310</f>
        <v>0</v>
      </c>
      <c r="AY311" s="14">
        <f>[1]Sheet2!Y310</f>
        <v>0</v>
      </c>
      <c r="AZ311" s="16">
        <f>Demand_LP!B$13/30</f>
        <v>849.16414262820524</v>
      </c>
      <c r="BA311" s="16">
        <f>Demand_LP!C$13/30</f>
        <v>632.84239316239314</v>
      </c>
      <c r="BB311" s="16">
        <f>Demand_LP!D$13/30</f>
        <v>269.64247863247863</v>
      </c>
      <c r="BC311" s="16">
        <f>Demand_LP!E$13/30</f>
        <v>815.03102564102551</v>
      </c>
      <c r="BD311" s="16">
        <f>Demand_LP!F$13/30</f>
        <v>536.05500267094021</v>
      </c>
      <c r="BE311" s="16">
        <f>Demand_LP!G$13/30</f>
        <v>536.05500267094021</v>
      </c>
      <c r="BF311" s="16">
        <f>Demand_LP!H$13/30</f>
        <v>632.84239316239314</v>
      </c>
      <c r="BG311" s="16">
        <f>Demand_LP!I$13/30</f>
        <v>536.05500267094021</v>
      </c>
      <c r="BH311" s="16">
        <f>Demand_LP!J$13/30</f>
        <v>536.05500267094021</v>
      </c>
      <c r="BI311" s="16">
        <f>Demand_LP!K$13/30</f>
        <v>536.05500267094021</v>
      </c>
      <c r="BJ311" s="16">
        <f t="shared" si="136"/>
        <v>-229001.05210874064</v>
      </c>
      <c r="BK311" s="16">
        <f t="shared" si="137"/>
        <v>-172643.87470085442</v>
      </c>
      <c r="BL311" s="16">
        <f t="shared" si="138"/>
        <v>-83183.04683760718</v>
      </c>
      <c r="BM311" s="16">
        <f t="shared" si="139"/>
        <v>-221227.59588120648</v>
      </c>
      <c r="BN311" s="16">
        <f t="shared" si="140"/>
        <v>-134792.51239039018</v>
      </c>
      <c r="BO311" s="16">
        <f t="shared" si="141"/>
        <v>-133250.19630876096</v>
      </c>
      <c r="BP311" s="16">
        <f t="shared" si="142"/>
        <v>-167001.45418803376</v>
      </c>
      <c r="BQ311" s="16">
        <f t="shared" si="143"/>
        <v>-129079.19630876098</v>
      </c>
      <c r="BR311" s="16">
        <f t="shared" si="144"/>
        <v>-130850.19630876102</v>
      </c>
      <c r="BS311" s="16">
        <f t="shared" si="145"/>
        <v>-131550.19630876102</v>
      </c>
      <c r="BT311" s="14">
        <f>IF([1]Sheet2!CB310=999999,"NA",[1]Sheet2!CB310)</f>
        <v>0</v>
      </c>
      <c r="BU311" s="14">
        <f>IF([1]Sheet2!CC310=999999,"NA",[1]Sheet2!CC310)</f>
        <v>0</v>
      </c>
      <c r="BV311" s="14">
        <f>IF([1]Sheet2!CD310=999999,"NA",[1]Sheet2!CD310)</f>
        <v>0</v>
      </c>
      <c r="BW311" s="14">
        <f>IF([1]Sheet2!CE310=999999,"NA",[1]Sheet2!CE310)</f>
        <v>0</v>
      </c>
      <c r="BX311" s="14">
        <f>IF([1]Sheet2!CF310=999999,"NA",[1]Sheet2!CF310)</f>
        <v>0</v>
      </c>
      <c r="BY311" s="14">
        <f>IF([1]Sheet2!CG310=999999,"NA",[1]Sheet2!CG310)</f>
        <v>0</v>
      </c>
      <c r="BZ311" s="14">
        <f>IF([1]Sheet2!CH310=999999,"NA",[1]Sheet2!CH310)</f>
        <v>0</v>
      </c>
      <c r="CA311" s="14">
        <f>IF([1]Sheet2!CI310=999999,"NA",[1]Sheet2!CI310)</f>
        <v>0</v>
      </c>
      <c r="CB311" s="14">
        <f>IF([1]Sheet2!CJ310=999999,"NA",[1]Sheet2!CJ310)</f>
        <v>0</v>
      </c>
      <c r="CC311" s="14">
        <f>IF([1]Sheet2!CK310=999999,"NA",[1]Sheet2!CK310)</f>
        <v>0</v>
      </c>
      <c r="CD311" s="14">
        <f>[1]Sheet2!BH310</f>
        <v>0</v>
      </c>
      <c r="CE311" s="14">
        <f>[1]Sheet2!BI310</f>
        <v>0</v>
      </c>
      <c r="CF311" s="14">
        <f>[1]Sheet2!BJ310</f>
        <v>0</v>
      </c>
      <c r="CG311" s="14">
        <f>[1]Sheet2!BK310</f>
        <v>0</v>
      </c>
      <c r="CH311" s="14">
        <f>[1]Sheet2!BL310</f>
        <v>0</v>
      </c>
      <c r="CI311" s="14">
        <f>[1]Sheet2!BM310</f>
        <v>0</v>
      </c>
      <c r="CJ311" s="14">
        <f>[1]Sheet2!BN310</f>
        <v>0</v>
      </c>
      <c r="CK311" s="14">
        <f>[1]Sheet2!BO310</f>
        <v>0</v>
      </c>
      <c r="CL311" s="14">
        <f>[1]Sheet2!BP310</f>
        <v>0</v>
      </c>
      <c r="CM311" s="14">
        <f>[1]Sheet2!BQ310</f>
        <v>0</v>
      </c>
      <c r="CN311" s="16">
        <f>Demand_SW!B$13/30</f>
        <v>144.23076923076923</v>
      </c>
      <c r="CO311" s="16">
        <f>Demand_SW!C$13/30</f>
        <v>0</v>
      </c>
      <c r="CP311" s="16">
        <f>Demand_SW!D$13/30</f>
        <v>0</v>
      </c>
      <c r="CQ311" s="16">
        <f>Demand_SW!E$13/30</f>
        <v>0</v>
      </c>
      <c r="CR311" s="16">
        <f>Demand_SW!F$13/30</f>
        <v>0</v>
      </c>
      <c r="CS311" s="16">
        <f>Demand_SW!G$13/30</f>
        <v>144.23076923076923</v>
      </c>
      <c r="CT311" s="16">
        <f>Demand_SW!H$13/30</f>
        <v>0</v>
      </c>
      <c r="CU311" s="16">
        <f>Demand_SW!I$13/30</f>
        <v>0</v>
      </c>
      <c r="CV311" s="16">
        <f>Demand_SW!J$13/30</f>
        <v>0</v>
      </c>
      <c r="CW311" s="16">
        <f>Demand_SW!K$13/30</f>
        <v>0</v>
      </c>
      <c r="CX311" s="16">
        <f t="shared" si="146"/>
        <v>-18951.538461538497</v>
      </c>
      <c r="CY311" s="16">
        <f t="shared" si="147"/>
        <v>76.923076923077133</v>
      </c>
      <c r="CZ311" s="16">
        <f t="shared" si="148"/>
        <v>0</v>
      </c>
      <c r="DA311" s="16">
        <f t="shared" si="149"/>
        <v>0</v>
      </c>
      <c r="DB311" s="16">
        <f t="shared" si="150"/>
        <v>0</v>
      </c>
      <c r="DC311" s="16">
        <f t="shared" si="151"/>
        <v>-20182.769230769267</v>
      </c>
      <c r="DD311" s="16">
        <f t="shared" si="152"/>
        <v>76.923076923077133</v>
      </c>
      <c r="DE311" s="16">
        <f t="shared" si="153"/>
        <v>0</v>
      </c>
      <c r="DF311" s="16">
        <f t="shared" si="154"/>
        <v>0</v>
      </c>
      <c r="DG311" s="16">
        <f t="shared" si="155"/>
        <v>0</v>
      </c>
      <c r="DH311" s="14">
        <f>IF([1]Sheet2!DS310=999999,"NA",[1]Sheet2!DS310)</f>
        <v>0</v>
      </c>
      <c r="DI311" s="14">
        <f>IF([1]Sheet2!DT310=999999,"NA",[1]Sheet2!DT310)</f>
        <v>57</v>
      </c>
      <c r="DJ311" s="14" t="str">
        <f>IF([1]Sheet2!DU310=999999,"NA",[1]Sheet2!DU310)</f>
        <v>NA</v>
      </c>
      <c r="DK311" s="14" t="str">
        <f>IF([1]Sheet2!DV310=999999,"NA",[1]Sheet2!DV310)</f>
        <v>NA</v>
      </c>
      <c r="DL311" s="14" t="str">
        <f>IF([1]Sheet2!DW310=999999,"NA",[1]Sheet2!DW310)</f>
        <v>NA</v>
      </c>
      <c r="DM311" s="14">
        <f>IF([1]Sheet2!DX310=999999,"NA",[1]Sheet2!DX310)</f>
        <v>0</v>
      </c>
      <c r="DN311" s="14">
        <f>IF([1]Sheet2!DY310=999999,"NA",[1]Sheet2!DY310)</f>
        <v>57</v>
      </c>
      <c r="DO311" s="14" t="str">
        <f>IF([1]Sheet2!DZ310=999999,"NA",[1]Sheet2!DZ310)</f>
        <v>NA</v>
      </c>
      <c r="DP311" s="14" t="str">
        <f>IF([1]Sheet2!EA310=999999,"NA",[1]Sheet2!EA310)</f>
        <v>NA</v>
      </c>
      <c r="DQ311" s="14" t="str">
        <f>IF([1]Sheet2!EB310=999999,"NA",[1]Sheet2!EB310)</f>
        <v>NA</v>
      </c>
      <c r="DR311" s="14">
        <f>[1]Sheet2!CY310</f>
        <v>0</v>
      </c>
      <c r="DS311" s="14">
        <f>[1]Sheet2!CZ310</f>
        <v>0</v>
      </c>
      <c r="DT311" s="14">
        <f>[1]Sheet2!DA310</f>
        <v>0</v>
      </c>
      <c r="DU311" s="14">
        <f>[1]Sheet2!DB310</f>
        <v>0</v>
      </c>
      <c r="DV311" s="14">
        <f>[1]Sheet2!DC310</f>
        <v>0</v>
      </c>
      <c r="DW311" s="14">
        <f>[1]Sheet2!DD310</f>
        <v>0</v>
      </c>
      <c r="DX311" s="14">
        <f>[1]Sheet2!DE310</f>
        <v>0</v>
      </c>
      <c r="DY311" s="14">
        <f>[1]Sheet2!DF310</f>
        <v>0</v>
      </c>
      <c r="DZ311" s="14">
        <f>[1]Sheet2!DG310</f>
        <v>0</v>
      </c>
      <c r="EA311" s="14">
        <f>[1]Sheet2!DH310</f>
        <v>0</v>
      </c>
      <c r="EB311" s="6">
        <f>[1]Sheet2!EC310</f>
        <v>0</v>
      </c>
      <c r="EC311" s="6">
        <f>[1]Sheet2!ED310</f>
        <v>0</v>
      </c>
      <c r="ED311" s="6">
        <f>[1]Sheet2!EE310</f>
        <v>0</v>
      </c>
      <c r="EE311" s="6">
        <f>[1]Sheet2!EF310</f>
        <v>0</v>
      </c>
      <c r="EF311" s="6">
        <f>[1]Sheet2!EG310</f>
        <v>0</v>
      </c>
      <c r="EG311" s="6">
        <f>[1]Sheet2!EH310</f>
        <v>0</v>
      </c>
      <c r="EH311" s="6">
        <f>[1]Sheet2!EI310</f>
        <v>0</v>
      </c>
      <c r="EI311" s="6">
        <f>[1]Sheet2!EJ310</f>
        <v>0</v>
      </c>
      <c r="EJ311" s="6">
        <f>[1]Sheet2!EK310</f>
        <v>0</v>
      </c>
      <c r="EK311" s="6">
        <f>[1]Sheet2!EL310</f>
        <v>0</v>
      </c>
      <c r="EL311" s="6" t="str">
        <f>[1]Sheet2!EM310</f>
        <v/>
      </c>
      <c r="EM311" s="6" t="str">
        <f>[1]Sheet2!EN310</f>
        <v/>
      </c>
      <c r="EN311" s="6" t="str">
        <f>[1]Sheet2!EO310</f>
        <v/>
      </c>
      <c r="EO311" s="6" t="str">
        <f>[1]Sheet2!EP310</f>
        <v/>
      </c>
      <c r="EP311" s="6" t="str">
        <f>[1]Sheet2!EQ310</f>
        <v/>
      </c>
      <c r="EQ311" s="6" t="str">
        <f>[1]Sheet2!ER310</f>
        <v/>
      </c>
      <c r="ER311" s="6" t="str">
        <f>[1]Sheet2!ES310</f>
        <v/>
      </c>
      <c r="ES311" s="6" t="str">
        <f>[1]Sheet2!ET310</f>
        <v/>
      </c>
      <c r="ET311" s="6" t="str">
        <f>[1]Sheet2!EU310</f>
        <v/>
      </c>
      <c r="EU311" s="6" t="str">
        <f>[1]Sheet2!EV310</f>
        <v/>
      </c>
      <c r="EV311" s="6" t="str">
        <f>[1]Sheet2!EW310</f>
        <v/>
      </c>
      <c r="EW311" s="6" t="str">
        <f>[1]Sheet2!EX310</f>
        <v/>
      </c>
      <c r="EX311" s="6" t="str">
        <f>[1]Sheet2!EY310</f>
        <v/>
      </c>
      <c r="EY311" s="6" t="str">
        <f>[1]Sheet2!EZ310</f>
        <v/>
      </c>
      <c r="EZ311" s="6" t="str">
        <f>[1]Sheet2!FA310</f>
        <v/>
      </c>
      <c r="FA311" s="6" t="str">
        <f>[1]Sheet2!FB310</f>
        <v/>
      </c>
      <c r="FB311" s="6" t="str">
        <f>[1]Sheet2!FC310</f>
        <v/>
      </c>
      <c r="FC311" s="6" t="str">
        <f>[1]Sheet2!FD310</f>
        <v/>
      </c>
      <c r="FD311" s="6" t="str">
        <f>[1]Sheet2!FE310</f>
        <v/>
      </c>
      <c r="FE311" s="6" t="str">
        <f>[1]Sheet2!FF310</f>
        <v/>
      </c>
      <c r="FF311" s="6" t="str">
        <f>[1]Sheet2!FG310</f>
        <v/>
      </c>
      <c r="FG311" s="6" t="str">
        <f>[1]Sheet2!FH310</f>
        <v/>
      </c>
      <c r="FH311" s="6" t="str">
        <f>[1]Sheet2!FI310</f>
        <v/>
      </c>
      <c r="FI311" s="6" t="str">
        <f>[1]Sheet2!FJ310</f>
        <v/>
      </c>
      <c r="FJ311" s="6" t="str">
        <f>[1]Sheet2!FK310</f>
        <v/>
      </c>
      <c r="FK311" s="6" t="str">
        <f>[1]Sheet2!FL310</f>
        <v/>
      </c>
      <c r="FL311" s="6" t="str">
        <f>[1]Sheet2!FM310</f>
        <v/>
      </c>
      <c r="FM311" s="6" t="str">
        <f>[1]Sheet2!FN310</f>
        <v/>
      </c>
      <c r="FN311" s="6" t="str">
        <f>[1]Sheet2!FO310</f>
        <v/>
      </c>
      <c r="FO311" s="6" t="str">
        <f>[1]Sheet2!FP310</f>
        <v/>
      </c>
    </row>
    <row r="312" spans="1:171" x14ac:dyDescent="0.25">
      <c r="A312" s="15">
        <v>43774</v>
      </c>
      <c r="B312" s="1"/>
      <c r="C312" s="1"/>
      <c r="D312" s="1"/>
      <c r="E312" s="14">
        <f>[1]Sheet2!N311</f>
        <v>0</v>
      </c>
      <c r="F312" s="14">
        <f>[1]Sheet2!BE311</f>
        <v>0</v>
      </c>
      <c r="G312" s="14">
        <f>[1]Sheet2!CW311</f>
        <v>0</v>
      </c>
      <c r="H312" s="1"/>
      <c r="I312" s="1"/>
      <c r="J312" s="1"/>
      <c r="K312" s="16"/>
      <c r="L312" s="16">
        <f>Demand_CWRS!B$13/30</f>
        <v>111.92954594017094</v>
      </c>
      <c r="M312" s="16">
        <f>Demand_CWRS!C$13/30</f>
        <v>550.01145299145287</v>
      </c>
      <c r="N312" s="16">
        <f>Demand_CWRS!D$13/30</f>
        <v>0</v>
      </c>
      <c r="O312" s="16">
        <f>Demand_CWRS!E$13/30</f>
        <v>105.42606837606837</v>
      </c>
      <c r="P312" s="16">
        <f>Demand_CWRS!F$13/30</f>
        <v>220.33041399572647</v>
      </c>
      <c r="Q312" s="16">
        <f>Demand_CWRS!G$13/30</f>
        <v>111.92954594017094</v>
      </c>
      <c r="R312" s="16">
        <f>Demand_CWRS!H$13/30</f>
        <v>220.33041399572647</v>
      </c>
      <c r="S312" s="16">
        <f>Demand_CWRS!I$13/30</f>
        <v>220.33041399572647</v>
      </c>
      <c r="T312" s="16">
        <f>Demand_CWRS!J$13/30</f>
        <v>220.33041399572647</v>
      </c>
      <c r="U312" s="16">
        <f>Demand_CWRS!K$13/30</f>
        <v>220.33041399572647</v>
      </c>
      <c r="V312" s="16">
        <f t="shared" si="126"/>
        <v>-35153.26231196912</v>
      </c>
      <c r="W312" s="16">
        <f t="shared" si="127"/>
        <v>-138858.80854700806</v>
      </c>
      <c r="X312" s="16">
        <f t="shared" si="128"/>
        <v>0</v>
      </c>
      <c r="Y312" s="16">
        <f t="shared" si="129"/>
        <v>-26667.560737855667</v>
      </c>
      <c r="Z312" s="16">
        <f t="shared" si="130"/>
        <v>-61632.967507336667</v>
      </c>
      <c r="AA312" s="16">
        <f t="shared" si="131"/>
        <v>-33681.329787930736</v>
      </c>
      <c r="AB312" s="16">
        <f t="shared" si="132"/>
        <v>-65942.132282977633</v>
      </c>
      <c r="AC312" s="16">
        <f t="shared" si="133"/>
        <v>-60149.122026567435</v>
      </c>
      <c r="AD312" s="16">
        <f t="shared" si="134"/>
        <v>-60249.122026567427</v>
      </c>
      <c r="AE312" s="16">
        <f t="shared" si="135"/>
        <v>-60849.12202656742</v>
      </c>
      <c r="AF312" s="14">
        <f>IF([1]Sheet2!AJ311=999999,"NA",[1]Sheet2!AJ311)</f>
        <v>0</v>
      </c>
      <c r="AG312" s="14">
        <f>IF([1]Sheet2!AK311=999999,"NA",[1]Sheet2!AK311)</f>
        <v>0</v>
      </c>
      <c r="AH312" s="14" t="str">
        <f>IF([1]Sheet2!AL311=999999,"NA",[1]Sheet2!AL311)</f>
        <v>NA</v>
      </c>
      <c r="AI312" s="14">
        <f>IF([1]Sheet2!AM311=999999,"NA",[1]Sheet2!AM311)</f>
        <v>0</v>
      </c>
      <c r="AJ312" s="14">
        <f>IF([1]Sheet2!AN311=999999,"NA",[1]Sheet2!AN311)</f>
        <v>0</v>
      </c>
      <c r="AK312" s="14">
        <f>IF([1]Sheet2!AO311=999999,"NA",[1]Sheet2!AO311)</f>
        <v>0</v>
      </c>
      <c r="AL312" s="14">
        <f>IF([1]Sheet2!AP311=999999,"NA",[1]Sheet2!AP311)</f>
        <v>0</v>
      </c>
      <c r="AM312" s="14">
        <f>IF([1]Sheet2!AQ311=999999,"NA",[1]Sheet2!AQ311)</f>
        <v>0</v>
      </c>
      <c r="AN312" s="14">
        <f>IF([1]Sheet2!AR311=999999,"NA",[1]Sheet2!AR311)</f>
        <v>0</v>
      </c>
      <c r="AO312" s="14">
        <f>IF([1]Sheet2!AS311=999999,"NA",[1]Sheet2!AS311)</f>
        <v>0</v>
      </c>
      <c r="AP312" s="14">
        <f>[1]Sheet2!P311</f>
        <v>0</v>
      </c>
      <c r="AQ312" s="14">
        <f>[1]Sheet2!Q311</f>
        <v>0</v>
      </c>
      <c r="AR312" s="14">
        <f>[1]Sheet2!R311</f>
        <v>0</v>
      </c>
      <c r="AS312" s="14">
        <f>[1]Sheet2!S311</f>
        <v>0</v>
      </c>
      <c r="AT312" s="14">
        <f>[1]Sheet2!T311</f>
        <v>0</v>
      </c>
      <c r="AU312" s="14">
        <f>[1]Sheet2!U311</f>
        <v>0</v>
      </c>
      <c r="AV312" s="14">
        <f>[1]Sheet2!V311</f>
        <v>0</v>
      </c>
      <c r="AW312" s="14">
        <f>[1]Sheet2!W311</f>
        <v>0</v>
      </c>
      <c r="AX312" s="14">
        <f>[1]Sheet2!X311</f>
        <v>0</v>
      </c>
      <c r="AY312" s="14">
        <f>[1]Sheet2!Y311</f>
        <v>0</v>
      </c>
      <c r="AZ312" s="16">
        <f>Demand_LP!B$13/30</f>
        <v>849.16414262820524</v>
      </c>
      <c r="BA312" s="16">
        <f>Demand_LP!C$13/30</f>
        <v>632.84239316239314</v>
      </c>
      <c r="BB312" s="16">
        <f>Demand_LP!D$13/30</f>
        <v>269.64247863247863</v>
      </c>
      <c r="BC312" s="16">
        <f>Demand_LP!E$13/30</f>
        <v>815.03102564102551</v>
      </c>
      <c r="BD312" s="16">
        <f>Demand_LP!F$13/30</f>
        <v>536.05500267094021</v>
      </c>
      <c r="BE312" s="16">
        <f>Demand_LP!G$13/30</f>
        <v>536.05500267094021</v>
      </c>
      <c r="BF312" s="16">
        <f>Demand_LP!H$13/30</f>
        <v>632.84239316239314</v>
      </c>
      <c r="BG312" s="16">
        <f>Demand_LP!I$13/30</f>
        <v>536.05500267094021</v>
      </c>
      <c r="BH312" s="16">
        <f>Demand_LP!J$13/30</f>
        <v>536.05500267094021</v>
      </c>
      <c r="BI312" s="16">
        <f>Demand_LP!K$13/30</f>
        <v>536.05500267094021</v>
      </c>
      <c r="BJ312" s="16">
        <f t="shared" si="136"/>
        <v>-229850.21625136884</v>
      </c>
      <c r="BK312" s="16">
        <f t="shared" si="137"/>
        <v>-173276.71709401681</v>
      </c>
      <c r="BL312" s="16">
        <f t="shared" si="138"/>
        <v>-83452.689316239659</v>
      </c>
      <c r="BM312" s="16">
        <f t="shared" si="139"/>
        <v>-222042.62690684749</v>
      </c>
      <c r="BN312" s="16">
        <f t="shared" si="140"/>
        <v>-135328.56739306112</v>
      </c>
      <c r="BO312" s="16">
        <f t="shared" si="141"/>
        <v>-133786.2513114319</v>
      </c>
      <c r="BP312" s="16">
        <f t="shared" si="142"/>
        <v>-167634.29658119616</v>
      </c>
      <c r="BQ312" s="16">
        <f t="shared" si="143"/>
        <v>-129615.25131143192</v>
      </c>
      <c r="BR312" s="16">
        <f t="shared" si="144"/>
        <v>-131386.25131143196</v>
      </c>
      <c r="BS312" s="16">
        <f t="shared" si="145"/>
        <v>-132086.25131143196</v>
      </c>
      <c r="BT312" s="14">
        <f>IF([1]Sheet2!CB311=999999,"NA",[1]Sheet2!CB311)</f>
        <v>0</v>
      </c>
      <c r="BU312" s="14">
        <f>IF([1]Sheet2!CC311=999999,"NA",[1]Sheet2!CC311)</f>
        <v>0</v>
      </c>
      <c r="BV312" s="14">
        <f>IF([1]Sheet2!CD311=999999,"NA",[1]Sheet2!CD311)</f>
        <v>0</v>
      </c>
      <c r="BW312" s="14">
        <f>IF([1]Sheet2!CE311=999999,"NA",[1]Sheet2!CE311)</f>
        <v>0</v>
      </c>
      <c r="BX312" s="14">
        <f>IF([1]Sheet2!CF311=999999,"NA",[1]Sheet2!CF311)</f>
        <v>0</v>
      </c>
      <c r="BY312" s="14">
        <f>IF([1]Sheet2!CG311=999999,"NA",[1]Sheet2!CG311)</f>
        <v>0</v>
      </c>
      <c r="BZ312" s="14">
        <f>IF([1]Sheet2!CH311=999999,"NA",[1]Sheet2!CH311)</f>
        <v>0</v>
      </c>
      <c r="CA312" s="14">
        <f>IF([1]Sheet2!CI311=999999,"NA",[1]Sheet2!CI311)</f>
        <v>0</v>
      </c>
      <c r="CB312" s="14">
        <f>IF([1]Sheet2!CJ311=999999,"NA",[1]Sheet2!CJ311)</f>
        <v>0</v>
      </c>
      <c r="CC312" s="14">
        <f>IF([1]Sheet2!CK311=999999,"NA",[1]Sheet2!CK311)</f>
        <v>0</v>
      </c>
      <c r="CD312" s="14">
        <f>[1]Sheet2!BH311</f>
        <v>0</v>
      </c>
      <c r="CE312" s="14">
        <f>[1]Sheet2!BI311</f>
        <v>0</v>
      </c>
      <c r="CF312" s="14">
        <f>[1]Sheet2!BJ311</f>
        <v>0</v>
      </c>
      <c r="CG312" s="14">
        <f>[1]Sheet2!BK311</f>
        <v>0</v>
      </c>
      <c r="CH312" s="14">
        <f>[1]Sheet2!BL311</f>
        <v>0</v>
      </c>
      <c r="CI312" s="14">
        <f>[1]Sheet2!BM311</f>
        <v>0</v>
      </c>
      <c r="CJ312" s="14">
        <f>[1]Sheet2!BN311</f>
        <v>0</v>
      </c>
      <c r="CK312" s="14">
        <f>[1]Sheet2!BO311</f>
        <v>0</v>
      </c>
      <c r="CL312" s="14">
        <f>[1]Sheet2!BP311</f>
        <v>0</v>
      </c>
      <c r="CM312" s="14">
        <f>[1]Sheet2!BQ311</f>
        <v>0</v>
      </c>
      <c r="CN312" s="16">
        <f>Demand_SW!B$13/30</f>
        <v>144.23076923076923</v>
      </c>
      <c r="CO312" s="16">
        <f>Demand_SW!C$13/30</f>
        <v>0</v>
      </c>
      <c r="CP312" s="16">
        <f>Demand_SW!D$13/30</f>
        <v>0</v>
      </c>
      <c r="CQ312" s="16">
        <f>Demand_SW!E$13/30</f>
        <v>0</v>
      </c>
      <c r="CR312" s="16">
        <f>Demand_SW!F$13/30</f>
        <v>0</v>
      </c>
      <c r="CS312" s="16">
        <f>Demand_SW!G$13/30</f>
        <v>144.23076923076923</v>
      </c>
      <c r="CT312" s="16">
        <f>Demand_SW!H$13/30</f>
        <v>0</v>
      </c>
      <c r="CU312" s="16">
        <f>Demand_SW!I$13/30</f>
        <v>0</v>
      </c>
      <c r="CV312" s="16">
        <f>Demand_SW!J$13/30</f>
        <v>0</v>
      </c>
      <c r="CW312" s="16">
        <f>Demand_SW!K$13/30</f>
        <v>0</v>
      </c>
      <c r="CX312" s="16">
        <f t="shared" si="146"/>
        <v>-19095.769230769267</v>
      </c>
      <c r="CY312" s="16">
        <f t="shared" si="147"/>
        <v>76.923076923077133</v>
      </c>
      <c r="CZ312" s="16">
        <f t="shared" si="148"/>
        <v>0</v>
      </c>
      <c r="DA312" s="16">
        <f t="shared" si="149"/>
        <v>0</v>
      </c>
      <c r="DB312" s="16">
        <f t="shared" si="150"/>
        <v>0</v>
      </c>
      <c r="DC312" s="16">
        <f t="shared" si="151"/>
        <v>-20327.000000000036</v>
      </c>
      <c r="DD312" s="16">
        <f t="shared" si="152"/>
        <v>76.923076923077133</v>
      </c>
      <c r="DE312" s="16">
        <f t="shared" si="153"/>
        <v>0</v>
      </c>
      <c r="DF312" s="16">
        <f t="shared" si="154"/>
        <v>0</v>
      </c>
      <c r="DG312" s="16">
        <f t="shared" si="155"/>
        <v>0</v>
      </c>
      <c r="DH312" s="14">
        <f>IF([1]Sheet2!DS311=999999,"NA",[1]Sheet2!DS311)</f>
        <v>0</v>
      </c>
      <c r="DI312" s="14">
        <f>IF([1]Sheet2!DT311=999999,"NA",[1]Sheet2!DT311)</f>
        <v>56</v>
      </c>
      <c r="DJ312" s="14" t="str">
        <f>IF([1]Sheet2!DU311=999999,"NA",[1]Sheet2!DU311)</f>
        <v>NA</v>
      </c>
      <c r="DK312" s="14" t="str">
        <f>IF([1]Sheet2!DV311=999999,"NA",[1]Sheet2!DV311)</f>
        <v>NA</v>
      </c>
      <c r="DL312" s="14" t="str">
        <f>IF([1]Sheet2!DW311=999999,"NA",[1]Sheet2!DW311)</f>
        <v>NA</v>
      </c>
      <c r="DM312" s="14">
        <f>IF([1]Sheet2!DX311=999999,"NA",[1]Sheet2!DX311)</f>
        <v>0</v>
      </c>
      <c r="DN312" s="14">
        <f>IF([1]Sheet2!DY311=999999,"NA",[1]Sheet2!DY311)</f>
        <v>56</v>
      </c>
      <c r="DO312" s="14" t="str">
        <f>IF([1]Sheet2!DZ311=999999,"NA",[1]Sheet2!DZ311)</f>
        <v>NA</v>
      </c>
      <c r="DP312" s="14" t="str">
        <f>IF([1]Sheet2!EA311=999999,"NA",[1]Sheet2!EA311)</f>
        <v>NA</v>
      </c>
      <c r="DQ312" s="14" t="str">
        <f>IF([1]Sheet2!EB311=999999,"NA",[1]Sheet2!EB311)</f>
        <v>NA</v>
      </c>
      <c r="DR312" s="14">
        <f>[1]Sheet2!CY311</f>
        <v>0</v>
      </c>
      <c r="DS312" s="14">
        <f>[1]Sheet2!CZ311</f>
        <v>0</v>
      </c>
      <c r="DT312" s="14">
        <f>[1]Sheet2!DA311</f>
        <v>0</v>
      </c>
      <c r="DU312" s="14">
        <f>[1]Sheet2!DB311</f>
        <v>0</v>
      </c>
      <c r="DV312" s="14">
        <f>[1]Sheet2!DC311</f>
        <v>0</v>
      </c>
      <c r="DW312" s="14">
        <f>[1]Sheet2!DD311</f>
        <v>0</v>
      </c>
      <c r="DX312" s="14">
        <f>[1]Sheet2!DE311</f>
        <v>0</v>
      </c>
      <c r="DY312" s="14">
        <f>[1]Sheet2!DF311</f>
        <v>0</v>
      </c>
      <c r="DZ312" s="14">
        <f>[1]Sheet2!DG311</f>
        <v>0</v>
      </c>
      <c r="EA312" s="14">
        <f>[1]Sheet2!DH311</f>
        <v>0</v>
      </c>
      <c r="EB312" s="6">
        <f>[1]Sheet2!EC311</f>
        <v>0</v>
      </c>
      <c r="EC312" s="6">
        <f>[1]Sheet2!ED311</f>
        <v>0</v>
      </c>
      <c r="ED312" s="6">
        <f>[1]Sheet2!EE311</f>
        <v>0</v>
      </c>
      <c r="EE312" s="6">
        <f>[1]Sheet2!EF311</f>
        <v>0</v>
      </c>
      <c r="EF312" s="6">
        <f>[1]Sheet2!EG311</f>
        <v>0</v>
      </c>
      <c r="EG312" s="6">
        <f>[1]Sheet2!EH311</f>
        <v>0</v>
      </c>
      <c r="EH312" s="6">
        <f>[1]Sheet2!EI311</f>
        <v>0</v>
      </c>
      <c r="EI312" s="6">
        <f>[1]Sheet2!EJ311</f>
        <v>0</v>
      </c>
      <c r="EJ312" s="6">
        <f>[1]Sheet2!EK311</f>
        <v>0</v>
      </c>
      <c r="EK312" s="6">
        <f>[1]Sheet2!EL311</f>
        <v>0</v>
      </c>
      <c r="EL312" s="6" t="str">
        <f>[1]Sheet2!EM311</f>
        <v/>
      </c>
      <c r="EM312" s="6" t="str">
        <f>[1]Sheet2!EN311</f>
        <v/>
      </c>
      <c r="EN312" s="6" t="str">
        <f>[1]Sheet2!EO311</f>
        <v/>
      </c>
      <c r="EO312" s="6" t="str">
        <f>[1]Sheet2!EP311</f>
        <v/>
      </c>
      <c r="EP312" s="6" t="str">
        <f>[1]Sheet2!EQ311</f>
        <v/>
      </c>
      <c r="EQ312" s="6" t="str">
        <f>[1]Sheet2!ER311</f>
        <v/>
      </c>
      <c r="ER312" s="6" t="str">
        <f>[1]Sheet2!ES311</f>
        <v/>
      </c>
      <c r="ES312" s="6" t="str">
        <f>[1]Sheet2!ET311</f>
        <v/>
      </c>
      <c r="ET312" s="6" t="str">
        <f>[1]Sheet2!EU311</f>
        <v/>
      </c>
      <c r="EU312" s="6" t="str">
        <f>[1]Sheet2!EV311</f>
        <v/>
      </c>
      <c r="EV312" s="6" t="str">
        <f>[1]Sheet2!EW311</f>
        <v/>
      </c>
      <c r="EW312" s="6" t="str">
        <f>[1]Sheet2!EX311</f>
        <v/>
      </c>
      <c r="EX312" s="6" t="str">
        <f>[1]Sheet2!EY311</f>
        <v/>
      </c>
      <c r="EY312" s="6" t="str">
        <f>[1]Sheet2!EZ311</f>
        <v/>
      </c>
      <c r="EZ312" s="6" t="str">
        <f>[1]Sheet2!FA311</f>
        <v/>
      </c>
      <c r="FA312" s="6" t="str">
        <f>[1]Sheet2!FB311</f>
        <v/>
      </c>
      <c r="FB312" s="6" t="str">
        <f>[1]Sheet2!FC311</f>
        <v/>
      </c>
      <c r="FC312" s="6" t="str">
        <f>[1]Sheet2!FD311</f>
        <v/>
      </c>
      <c r="FD312" s="6" t="str">
        <f>[1]Sheet2!FE311</f>
        <v/>
      </c>
      <c r="FE312" s="6" t="str">
        <f>[1]Sheet2!FF311</f>
        <v/>
      </c>
      <c r="FF312" s="6" t="str">
        <f>[1]Sheet2!FG311</f>
        <v/>
      </c>
      <c r="FG312" s="6" t="str">
        <f>[1]Sheet2!FH311</f>
        <v/>
      </c>
      <c r="FH312" s="6" t="str">
        <f>[1]Sheet2!FI311</f>
        <v/>
      </c>
      <c r="FI312" s="6" t="str">
        <f>[1]Sheet2!FJ311</f>
        <v/>
      </c>
      <c r="FJ312" s="6" t="str">
        <f>[1]Sheet2!FK311</f>
        <v/>
      </c>
      <c r="FK312" s="6" t="str">
        <f>[1]Sheet2!FL311</f>
        <v/>
      </c>
      <c r="FL312" s="6" t="str">
        <f>[1]Sheet2!FM311</f>
        <v/>
      </c>
      <c r="FM312" s="6" t="str">
        <f>[1]Sheet2!FN311</f>
        <v/>
      </c>
      <c r="FN312" s="6" t="str">
        <f>[1]Sheet2!FO311</f>
        <v/>
      </c>
      <c r="FO312" s="6" t="str">
        <f>[1]Sheet2!FP311</f>
        <v/>
      </c>
    </row>
    <row r="313" spans="1:171" x14ac:dyDescent="0.25">
      <c r="A313" s="15">
        <v>43775</v>
      </c>
      <c r="B313" s="1"/>
      <c r="C313" s="1"/>
      <c r="D313" s="1"/>
      <c r="E313" s="14">
        <f>[1]Sheet2!N312</f>
        <v>0</v>
      </c>
      <c r="F313" s="14">
        <f>[1]Sheet2!BE312</f>
        <v>0</v>
      </c>
      <c r="G313" s="14">
        <f>[1]Sheet2!CW312</f>
        <v>0</v>
      </c>
      <c r="H313" s="1"/>
      <c r="I313" s="1"/>
      <c r="J313" s="1"/>
      <c r="K313" s="16"/>
      <c r="L313" s="16">
        <f>Demand_CWRS!B$13/30</f>
        <v>111.92954594017094</v>
      </c>
      <c r="M313" s="16">
        <f>Demand_CWRS!C$13/30</f>
        <v>550.01145299145287</v>
      </c>
      <c r="N313" s="16">
        <f>Demand_CWRS!D$13/30</f>
        <v>0</v>
      </c>
      <c r="O313" s="16">
        <f>Demand_CWRS!E$13/30</f>
        <v>105.42606837606837</v>
      </c>
      <c r="P313" s="16">
        <f>Demand_CWRS!F$13/30</f>
        <v>220.33041399572647</v>
      </c>
      <c r="Q313" s="16">
        <f>Demand_CWRS!G$13/30</f>
        <v>111.92954594017094</v>
      </c>
      <c r="R313" s="16">
        <f>Demand_CWRS!H$13/30</f>
        <v>220.33041399572647</v>
      </c>
      <c r="S313" s="16">
        <f>Demand_CWRS!I$13/30</f>
        <v>220.33041399572647</v>
      </c>
      <c r="T313" s="16">
        <f>Demand_CWRS!J$13/30</f>
        <v>220.33041399572647</v>
      </c>
      <c r="U313" s="16">
        <f>Demand_CWRS!K$13/30</f>
        <v>220.33041399572647</v>
      </c>
      <c r="V313" s="16">
        <f t="shared" si="126"/>
        <v>-35265.191857909289</v>
      </c>
      <c r="W313" s="16">
        <f t="shared" si="127"/>
        <v>-139408.81999999951</v>
      </c>
      <c r="X313" s="16">
        <f t="shared" si="128"/>
        <v>0</v>
      </c>
      <c r="Y313" s="16">
        <f t="shared" si="129"/>
        <v>-26772.986806231736</v>
      </c>
      <c r="Z313" s="16">
        <f t="shared" si="130"/>
        <v>-61853.297921332392</v>
      </c>
      <c r="AA313" s="16">
        <f t="shared" si="131"/>
        <v>-33793.259333870905</v>
      </c>
      <c r="AB313" s="16">
        <f t="shared" si="132"/>
        <v>-66162.462696973365</v>
      </c>
      <c r="AC313" s="16">
        <f t="shared" si="133"/>
        <v>-60369.45244056316</v>
      </c>
      <c r="AD313" s="16">
        <f t="shared" si="134"/>
        <v>-60469.452440563153</v>
      </c>
      <c r="AE313" s="16">
        <f t="shared" si="135"/>
        <v>-61069.452440563146</v>
      </c>
      <c r="AF313" s="14">
        <f>IF([1]Sheet2!AJ312=999999,"NA",[1]Sheet2!AJ312)</f>
        <v>0</v>
      </c>
      <c r="AG313" s="14">
        <f>IF([1]Sheet2!AK312=999999,"NA",[1]Sheet2!AK312)</f>
        <v>0</v>
      </c>
      <c r="AH313" s="14" t="str">
        <f>IF([1]Sheet2!AL312=999999,"NA",[1]Sheet2!AL312)</f>
        <v>NA</v>
      </c>
      <c r="AI313" s="14">
        <f>IF([1]Sheet2!AM312=999999,"NA",[1]Sheet2!AM312)</f>
        <v>0</v>
      </c>
      <c r="AJ313" s="14">
        <f>IF([1]Sheet2!AN312=999999,"NA",[1]Sheet2!AN312)</f>
        <v>0</v>
      </c>
      <c r="AK313" s="14">
        <f>IF([1]Sheet2!AO312=999999,"NA",[1]Sheet2!AO312)</f>
        <v>0</v>
      </c>
      <c r="AL313" s="14">
        <f>IF([1]Sheet2!AP312=999999,"NA",[1]Sheet2!AP312)</f>
        <v>0</v>
      </c>
      <c r="AM313" s="14">
        <f>IF([1]Sheet2!AQ312=999999,"NA",[1]Sheet2!AQ312)</f>
        <v>0</v>
      </c>
      <c r="AN313" s="14">
        <f>IF([1]Sheet2!AR312=999999,"NA",[1]Sheet2!AR312)</f>
        <v>0</v>
      </c>
      <c r="AO313" s="14">
        <f>IF([1]Sheet2!AS312=999999,"NA",[1]Sheet2!AS312)</f>
        <v>0</v>
      </c>
      <c r="AP313" s="14">
        <f>[1]Sheet2!P312</f>
        <v>0</v>
      </c>
      <c r="AQ313" s="14">
        <f>[1]Sheet2!Q312</f>
        <v>0</v>
      </c>
      <c r="AR313" s="14">
        <f>[1]Sheet2!R312</f>
        <v>0</v>
      </c>
      <c r="AS313" s="14">
        <f>[1]Sheet2!S312</f>
        <v>0</v>
      </c>
      <c r="AT313" s="14">
        <f>[1]Sheet2!T312</f>
        <v>0</v>
      </c>
      <c r="AU313" s="14">
        <f>[1]Sheet2!U312</f>
        <v>0</v>
      </c>
      <c r="AV313" s="14">
        <f>[1]Sheet2!V312</f>
        <v>0</v>
      </c>
      <c r="AW313" s="14">
        <f>[1]Sheet2!W312</f>
        <v>0</v>
      </c>
      <c r="AX313" s="14">
        <f>[1]Sheet2!X312</f>
        <v>0</v>
      </c>
      <c r="AY313" s="14">
        <f>[1]Sheet2!Y312</f>
        <v>0</v>
      </c>
      <c r="AZ313" s="16">
        <f>Demand_LP!B$13/30</f>
        <v>849.16414262820524</v>
      </c>
      <c r="BA313" s="16">
        <f>Demand_LP!C$13/30</f>
        <v>632.84239316239314</v>
      </c>
      <c r="BB313" s="16">
        <f>Demand_LP!D$13/30</f>
        <v>269.64247863247863</v>
      </c>
      <c r="BC313" s="16">
        <f>Demand_LP!E$13/30</f>
        <v>815.03102564102551</v>
      </c>
      <c r="BD313" s="16">
        <f>Demand_LP!F$13/30</f>
        <v>536.05500267094021</v>
      </c>
      <c r="BE313" s="16">
        <f>Demand_LP!G$13/30</f>
        <v>536.05500267094021</v>
      </c>
      <c r="BF313" s="16">
        <f>Demand_LP!H$13/30</f>
        <v>632.84239316239314</v>
      </c>
      <c r="BG313" s="16">
        <f>Demand_LP!I$13/30</f>
        <v>536.05500267094021</v>
      </c>
      <c r="BH313" s="16">
        <f>Demand_LP!J$13/30</f>
        <v>536.05500267094021</v>
      </c>
      <c r="BI313" s="16">
        <f>Demand_LP!K$13/30</f>
        <v>536.05500267094021</v>
      </c>
      <c r="BJ313" s="16">
        <f t="shared" si="136"/>
        <v>-230699.38039399704</v>
      </c>
      <c r="BK313" s="16">
        <f t="shared" si="137"/>
        <v>-173909.55948717921</v>
      </c>
      <c r="BL313" s="16">
        <f t="shared" si="138"/>
        <v>-83722.331794872138</v>
      </c>
      <c r="BM313" s="16">
        <f t="shared" si="139"/>
        <v>-222857.65793248851</v>
      </c>
      <c r="BN313" s="16">
        <f t="shared" si="140"/>
        <v>-135864.62239573206</v>
      </c>
      <c r="BO313" s="16">
        <f t="shared" si="141"/>
        <v>-134322.30631410284</v>
      </c>
      <c r="BP313" s="16">
        <f t="shared" si="142"/>
        <v>-168267.13897435856</v>
      </c>
      <c r="BQ313" s="16">
        <f t="shared" si="143"/>
        <v>-130151.30631410285</v>
      </c>
      <c r="BR313" s="16">
        <f t="shared" si="144"/>
        <v>-131922.3063141029</v>
      </c>
      <c r="BS313" s="16">
        <f t="shared" si="145"/>
        <v>-132622.3063141029</v>
      </c>
      <c r="BT313" s="14">
        <f>IF([1]Sheet2!CB312=999999,"NA",[1]Sheet2!CB312)</f>
        <v>0</v>
      </c>
      <c r="BU313" s="14">
        <f>IF([1]Sheet2!CC312=999999,"NA",[1]Sheet2!CC312)</f>
        <v>0</v>
      </c>
      <c r="BV313" s="14">
        <f>IF([1]Sheet2!CD312=999999,"NA",[1]Sheet2!CD312)</f>
        <v>0</v>
      </c>
      <c r="BW313" s="14">
        <f>IF([1]Sheet2!CE312=999999,"NA",[1]Sheet2!CE312)</f>
        <v>0</v>
      </c>
      <c r="BX313" s="14">
        <f>IF([1]Sheet2!CF312=999999,"NA",[1]Sheet2!CF312)</f>
        <v>0</v>
      </c>
      <c r="BY313" s="14">
        <f>IF([1]Sheet2!CG312=999999,"NA",[1]Sheet2!CG312)</f>
        <v>0</v>
      </c>
      <c r="BZ313" s="14">
        <f>IF([1]Sheet2!CH312=999999,"NA",[1]Sheet2!CH312)</f>
        <v>0</v>
      </c>
      <c r="CA313" s="14">
        <f>IF([1]Sheet2!CI312=999999,"NA",[1]Sheet2!CI312)</f>
        <v>0</v>
      </c>
      <c r="CB313" s="14">
        <f>IF([1]Sheet2!CJ312=999999,"NA",[1]Sheet2!CJ312)</f>
        <v>0</v>
      </c>
      <c r="CC313" s="14">
        <f>IF([1]Sheet2!CK312=999999,"NA",[1]Sheet2!CK312)</f>
        <v>0</v>
      </c>
      <c r="CD313" s="14">
        <f>[1]Sheet2!BH312</f>
        <v>0</v>
      </c>
      <c r="CE313" s="14">
        <f>[1]Sheet2!BI312</f>
        <v>0</v>
      </c>
      <c r="CF313" s="14">
        <f>[1]Sheet2!BJ312</f>
        <v>0</v>
      </c>
      <c r="CG313" s="14">
        <f>[1]Sheet2!BK312</f>
        <v>0</v>
      </c>
      <c r="CH313" s="14">
        <f>[1]Sheet2!BL312</f>
        <v>0</v>
      </c>
      <c r="CI313" s="14">
        <f>[1]Sheet2!BM312</f>
        <v>0</v>
      </c>
      <c r="CJ313" s="14">
        <f>[1]Sheet2!BN312</f>
        <v>0</v>
      </c>
      <c r="CK313" s="14">
        <f>[1]Sheet2!BO312</f>
        <v>0</v>
      </c>
      <c r="CL313" s="14">
        <f>[1]Sheet2!BP312</f>
        <v>0</v>
      </c>
      <c r="CM313" s="14">
        <f>[1]Sheet2!BQ312</f>
        <v>0</v>
      </c>
      <c r="CN313" s="16">
        <f>Demand_SW!B$13/30</f>
        <v>144.23076923076923</v>
      </c>
      <c r="CO313" s="16">
        <f>Demand_SW!C$13/30</f>
        <v>0</v>
      </c>
      <c r="CP313" s="16">
        <f>Demand_SW!D$13/30</f>
        <v>0</v>
      </c>
      <c r="CQ313" s="16">
        <f>Demand_SW!E$13/30</f>
        <v>0</v>
      </c>
      <c r="CR313" s="16">
        <f>Demand_SW!F$13/30</f>
        <v>0</v>
      </c>
      <c r="CS313" s="16">
        <f>Demand_SW!G$13/30</f>
        <v>144.23076923076923</v>
      </c>
      <c r="CT313" s="16">
        <f>Demand_SW!H$13/30</f>
        <v>0</v>
      </c>
      <c r="CU313" s="16">
        <f>Demand_SW!I$13/30</f>
        <v>0</v>
      </c>
      <c r="CV313" s="16">
        <f>Demand_SW!J$13/30</f>
        <v>0</v>
      </c>
      <c r="CW313" s="16">
        <f>Demand_SW!K$13/30</f>
        <v>0</v>
      </c>
      <c r="CX313" s="16">
        <f t="shared" si="146"/>
        <v>-19240.000000000036</v>
      </c>
      <c r="CY313" s="16">
        <f t="shared" si="147"/>
        <v>76.923076923077133</v>
      </c>
      <c r="CZ313" s="16">
        <f t="shared" si="148"/>
        <v>0</v>
      </c>
      <c r="DA313" s="16">
        <f t="shared" si="149"/>
        <v>0</v>
      </c>
      <c r="DB313" s="16">
        <f t="shared" si="150"/>
        <v>0</v>
      </c>
      <c r="DC313" s="16">
        <f t="shared" si="151"/>
        <v>-20471.230769230806</v>
      </c>
      <c r="DD313" s="16">
        <f t="shared" si="152"/>
        <v>76.923076923077133</v>
      </c>
      <c r="DE313" s="16">
        <f t="shared" si="153"/>
        <v>0</v>
      </c>
      <c r="DF313" s="16">
        <f t="shared" si="154"/>
        <v>0</v>
      </c>
      <c r="DG313" s="16">
        <f t="shared" si="155"/>
        <v>0</v>
      </c>
      <c r="DH313" s="14">
        <f>IF([1]Sheet2!DS312=999999,"NA",[1]Sheet2!DS312)</f>
        <v>0</v>
      </c>
      <c r="DI313" s="14">
        <f>IF([1]Sheet2!DT312=999999,"NA",[1]Sheet2!DT312)</f>
        <v>55</v>
      </c>
      <c r="DJ313" s="14" t="str">
        <f>IF([1]Sheet2!DU312=999999,"NA",[1]Sheet2!DU312)</f>
        <v>NA</v>
      </c>
      <c r="DK313" s="14" t="str">
        <f>IF([1]Sheet2!DV312=999999,"NA",[1]Sheet2!DV312)</f>
        <v>NA</v>
      </c>
      <c r="DL313" s="14" t="str">
        <f>IF([1]Sheet2!DW312=999999,"NA",[1]Sheet2!DW312)</f>
        <v>NA</v>
      </c>
      <c r="DM313" s="14">
        <f>IF([1]Sheet2!DX312=999999,"NA",[1]Sheet2!DX312)</f>
        <v>0</v>
      </c>
      <c r="DN313" s="14">
        <f>IF([1]Sheet2!DY312=999999,"NA",[1]Sheet2!DY312)</f>
        <v>55</v>
      </c>
      <c r="DO313" s="14" t="str">
        <f>IF([1]Sheet2!DZ312=999999,"NA",[1]Sheet2!DZ312)</f>
        <v>NA</v>
      </c>
      <c r="DP313" s="14" t="str">
        <f>IF([1]Sheet2!EA312=999999,"NA",[1]Sheet2!EA312)</f>
        <v>NA</v>
      </c>
      <c r="DQ313" s="14" t="str">
        <f>IF([1]Sheet2!EB312=999999,"NA",[1]Sheet2!EB312)</f>
        <v>NA</v>
      </c>
      <c r="DR313" s="14">
        <f>[1]Sheet2!CY312</f>
        <v>0</v>
      </c>
      <c r="DS313" s="14">
        <f>[1]Sheet2!CZ312</f>
        <v>0</v>
      </c>
      <c r="DT313" s="14">
        <f>[1]Sheet2!DA312</f>
        <v>0</v>
      </c>
      <c r="DU313" s="14">
        <f>[1]Sheet2!DB312</f>
        <v>0</v>
      </c>
      <c r="DV313" s="14">
        <f>[1]Sheet2!DC312</f>
        <v>0</v>
      </c>
      <c r="DW313" s="14">
        <f>[1]Sheet2!DD312</f>
        <v>0</v>
      </c>
      <c r="DX313" s="14">
        <f>[1]Sheet2!DE312</f>
        <v>0</v>
      </c>
      <c r="DY313" s="14">
        <f>[1]Sheet2!DF312</f>
        <v>0</v>
      </c>
      <c r="DZ313" s="14">
        <f>[1]Sheet2!DG312</f>
        <v>0</v>
      </c>
      <c r="EA313" s="14">
        <f>[1]Sheet2!DH312</f>
        <v>0</v>
      </c>
      <c r="EB313" s="6">
        <f>[1]Sheet2!EC312</f>
        <v>0</v>
      </c>
      <c r="EC313" s="6">
        <f>[1]Sheet2!ED312</f>
        <v>0</v>
      </c>
      <c r="ED313" s="6">
        <f>[1]Sheet2!EE312</f>
        <v>0</v>
      </c>
      <c r="EE313" s="6">
        <f>[1]Sheet2!EF312</f>
        <v>0</v>
      </c>
      <c r="EF313" s="6">
        <f>[1]Sheet2!EG312</f>
        <v>0</v>
      </c>
      <c r="EG313" s="6">
        <f>[1]Sheet2!EH312</f>
        <v>0</v>
      </c>
      <c r="EH313" s="6">
        <f>[1]Sheet2!EI312</f>
        <v>0</v>
      </c>
      <c r="EI313" s="6">
        <f>[1]Sheet2!EJ312</f>
        <v>0</v>
      </c>
      <c r="EJ313" s="6">
        <f>[1]Sheet2!EK312</f>
        <v>0</v>
      </c>
      <c r="EK313" s="6">
        <f>[1]Sheet2!EL312</f>
        <v>0</v>
      </c>
      <c r="EL313" s="6" t="str">
        <f>[1]Sheet2!EM312</f>
        <v/>
      </c>
      <c r="EM313" s="6" t="str">
        <f>[1]Sheet2!EN312</f>
        <v/>
      </c>
      <c r="EN313" s="6" t="str">
        <f>[1]Sheet2!EO312</f>
        <v/>
      </c>
      <c r="EO313" s="6" t="str">
        <f>[1]Sheet2!EP312</f>
        <v/>
      </c>
      <c r="EP313" s="6" t="str">
        <f>[1]Sheet2!EQ312</f>
        <v/>
      </c>
      <c r="EQ313" s="6" t="str">
        <f>[1]Sheet2!ER312</f>
        <v/>
      </c>
      <c r="ER313" s="6" t="str">
        <f>[1]Sheet2!ES312</f>
        <v/>
      </c>
      <c r="ES313" s="6" t="str">
        <f>[1]Sheet2!ET312</f>
        <v/>
      </c>
      <c r="ET313" s="6" t="str">
        <f>[1]Sheet2!EU312</f>
        <v/>
      </c>
      <c r="EU313" s="6" t="str">
        <f>[1]Sheet2!EV312</f>
        <v/>
      </c>
      <c r="EV313" s="6" t="str">
        <f>[1]Sheet2!EW312</f>
        <v/>
      </c>
      <c r="EW313" s="6" t="str">
        <f>[1]Sheet2!EX312</f>
        <v/>
      </c>
      <c r="EX313" s="6" t="str">
        <f>[1]Sheet2!EY312</f>
        <v/>
      </c>
      <c r="EY313" s="6" t="str">
        <f>[1]Sheet2!EZ312</f>
        <v/>
      </c>
      <c r="EZ313" s="6" t="str">
        <f>[1]Sheet2!FA312</f>
        <v/>
      </c>
      <c r="FA313" s="6" t="str">
        <f>[1]Sheet2!FB312</f>
        <v/>
      </c>
      <c r="FB313" s="6" t="str">
        <f>[1]Sheet2!FC312</f>
        <v/>
      </c>
      <c r="FC313" s="6" t="str">
        <f>[1]Sheet2!FD312</f>
        <v/>
      </c>
      <c r="FD313" s="6" t="str">
        <f>[1]Sheet2!FE312</f>
        <v/>
      </c>
      <c r="FE313" s="6" t="str">
        <f>[1]Sheet2!FF312</f>
        <v/>
      </c>
      <c r="FF313" s="6" t="str">
        <f>[1]Sheet2!FG312</f>
        <v/>
      </c>
      <c r="FG313" s="6" t="str">
        <f>[1]Sheet2!FH312</f>
        <v/>
      </c>
      <c r="FH313" s="6" t="str">
        <f>[1]Sheet2!FI312</f>
        <v/>
      </c>
      <c r="FI313" s="6" t="str">
        <f>[1]Sheet2!FJ312</f>
        <v/>
      </c>
      <c r="FJ313" s="6" t="str">
        <f>[1]Sheet2!FK312</f>
        <v/>
      </c>
      <c r="FK313" s="6" t="str">
        <f>[1]Sheet2!FL312</f>
        <v/>
      </c>
      <c r="FL313" s="6" t="str">
        <f>[1]Sheet2!FM312</f>
        <v/>
      </c>
      <c r="FM313" s="6" t="str">
        <f>[1]Sheet2!FN312</f>
        <v/>
      </c>
      <c r="FN313" s="6" t="str">
        <f>[1]Sheet2!FO312</f>
        <v/>
      </c>
      <c r="FO313" s="6" t="str">
        <f>[1]Sheet2!FP312</f>
        <v/>
      </c>
    </row>
    <row r="314" spans="1:171" x14ac:dyDescent="0.25">
      <c r="A314" s="15">
        <v>43776</v>
      </c>
      <c r="B314" s="1"/>
      <c r="C314" s="1"/>
      <c r="D314" s="1"/>
      <c r="E314" s="14">
        <f>[1]Sheet2!N313</f>
        <v>0</v>
      </c>
      <c r="F314" s="14">
        <f>[1]Sheet2!BE313</f>
        <v>48000</v>
      </c>
      <c r="G314" s="14">
        <f>[1]Sheet2!CW313</f>
        <v>0</v>
      </c>
      <c r="H314" s="1"/>
      <c r="I314" s="1"/>
      <c r="J314" s="1"/>
      <c r="K314" s="16"/>
      <c r="L314" s="16">
        <f>Demand_CWRS!B$13/30</f>
        <v>111.92954594017094</v>
      </c>
      <c r="M314" s="16">
        <f>Demand_CWRS!C$13/30</f>
        <v>550.01145299145287</v>
      </c>
      <c r="N314" s="16">
        <f>Demand_CWRS!D$13/30</f>
        <v>0</v>
      </c>
      <c r="O314" s="16">
        <f>Demand_CWRS!E$13/30</f>
        <v>105.42606837606837</v>
      </c>
      <c r="P314" s="16">
        <f>Demand_CWRS!F$13/30</f>
        <v>220.33041399572647</v>
      </c>
      <c r="Q314" s="16">
        <f>Demand_CWRS!G$13/30</f>
        <v>111.92954594017094</v>
      </c>
      <c r="R314" s="16">
        <f>Demand_CWRS!H$13/30</f>
        <v>220.33041399572647</v>
      </c>
      <c r="S314" s="16">
        <f>Demand_CWRS!I$13/30</f>
        <v>220.33041399572647</v>
      </c>
      <c r="T314" s="16">
        <f>Demand_CWRS!J$13/30</f>
        <v>220.33041399572647</v>
      </c>
      <c r="U314" s="16">
        <f>Demand_CWRS!K$13/30</f>
        <v>220.33041399572647</v>
      </c>
      <c r="V314" s="16">
        <f t="shared" si="126"/>
        <v>-35377.121403849458</v>
      </c>
      <c r="W314" s="16">
        <f t="shared" si="127"/>
        <v>-139958.83145299097</v>
      </c>
      <c r="X314" s="16">
        <f t="shared" si="128"/>
        <v>0</v>
      </c>
      <c r="Y314" s="16">
        <f t="shared" si="129"/>
        <v>-26878.412874607806</v>
      </c>
      <c r="Z314" s="16">
        <f t="shared" si="130"/>
        <v>-62073.628335328118</v>
      </c>
      <c r="AA314" s="16">
        <f t="shared" si="131"/>
        <v>-33905.188879811074</v>
      </c>
      <c r="AB314" s="16">
        <f t="shared" si="132"/>
        <v>-66382.793110969098</v>
      </c>
      <c r="AC314" s="16">
        <f t="shared" si="133"/>
        <v>-60589.782854558885</v>
      </c>
      <c r="AD314" s="16">
        <f t="shared" si="134"/>
        <v>-60689.782854558878</v>
      </c>
      <c r="AE314" s="16">
        <f t="shared" si="135"/>
        <v>-61289.782854558871</v>
      </c>
      <c r="AF314" s="14">
        <f>IF([1]Sheet2!AJ313=999999,"NA",[1]Sheet2!AJ313)</f>
        <v>0</v>
      </c>
      <c r="AG314" s="14">
        <f>IF([1]Sheet2!AK313=999999,"NA",[1]Sheet2!AK313)</f>
        <v>0</v>
      </c>
      <c r="AH314" s="14" t="str">
        <f>IF([1]Sheet2!AL313=999999,"NA",[1]Sheet2!AL313)</f>
        <v>NA</v>
      </c>
      <c r="AI314" s="14">
        <f>IF([1]Sheet2!AM313=999999,"NA",[1]Sheet2!AM313)</f>
        <v>0</v>
      </c>
      <c r="AJ314" s="14">
        <f>IF([1]Sheet2!AN313=999999,"NA",[1]Sheet2!AN313)</f>
        <v>0</v>
      </c>
      <c r="AK314" s="14">
        <f>IF([1]Sheet2!AO313=999999,"NA",[1]Sheet2!AO313)</f>
        <v>0</v>
      </c>
      <c r="AL314" s="14">
        <f>IF([1]Sheet2!AP313=999999,"NA",[1]Sheet2!AP313)</f>
        <v>0</v>
      </c>
      <c r="AM314" s="14">
        <f>IF([1]Sheet2!AQ313=999999,"NA",[1]Sheet2!AQ313)</f>
        <v>0</v>
      </c>
      <c r="AN314" s="14">
        <f>IF([1]Sheet2!AR313=999999,"NA",[1]Sheet2!AR313)</f>
        <v>0</v>
      </c>
      <c r="AO314" s="14">
        <f>IF([1]Sheet2!AS313=999999,"NA",[1]Sheet2!AS313)</f>
        <v>0</v>
      </c>
      <c r="AP314" s="14">
        <f>[1]Sheet2!P313</f>
        <v>0</v>
      </c>
      <c r="AQ314" s="14">
        <f>[1]Sheet2!Q313</f>
        <v>0</v>
      </c>
      <c r="AR314" s="14">
        <f>[1]Sheet2!R313</f>
        <v>0</v>
      </c>
      <c r="AS314" s="14">
        <f>[1]Sheet2!S313</f>
        <v>0</v>
      </c>
      <c r="AT314" s="14">
        <f>[1]Sheet2!T313</f>
        <v>0</v>
      </c>
      <c r="AU314" s="14">
        <f>[1]Sheet2!U313</f>
        <v>0</v>
      </c>
      <c r="AV314" s="14">
        <f>[1]Sheet2!V313</f>
        <v>0</v>
      </c>
      <c r="AW314" s="14">
        <f>[1]Sheet2!W313</f>
        <v>0</v>
      </c>
      <c r="AX314" s="14">
        <f>[1]Sheet2!X313</f>
        <v>0</v>
      </c>
      <c r="AY314" s="14">
        <f>[1]Sheet2!Y313</f>
        <v>0</v>
      </c>
      <c r="AZ314" s="16">
        <f>Demand_LP!B$13/30</f>
        <v>849.16414262820524</v>
      </c>
      <c r="BA314" s="16">
        <f>Demand_LP!C$13/30</f>
        <v>632.84239316239314</v>
      </c>
      <c r="BB314" s="16">
        <f>Demand_LP!D$13/30</f>
        <v>269.64247863247863</v>
      </c>
      <c r="BC314" s="16">
        <f>Demand_LP!E$13/30</f>
        <v>815.03102564102551</v>
      </c>
      <c r="BD314" s="16">
        <f>Demand_LP!F$13/30</f>
        <v>536.05500267094021</v>
      </c>
      <c r="BE314" s="16">
        <f>Demand_LP!G$13/30</f>
        <v>536.05500267094021</v>
      </c>
      <c r="BF314" s="16">
        <f>Demand_LP!H$13/30</f>
        <v>632.84239316239314</v>
      </c>
      <c r="BG314" s="16">
        <f>Demand_LP!I$13/30</f>
        <v>536.05500267094021</v>
      </c>
      <c r="BH314" s="16">
        <f>Demand_LP!J$13/30</f>
        <v>536.05500267094021</v>
      </c>
      <c r="BI314" s="16">
        <f>Demand_LP!K$13/30</f>
        <v>536.05500267094021</v>
      </c>
      <c r="BJ314" s="16">
        <f t="shared" si="136"/>
        <v>-231548.54453662524</v>
      </c>
      <c r="BK314" s="16">
        <f t="shared" si="137"/>
        <v>-174542.40188034161</v>
      </c>
      <c r="BL314" s="16">
        <f t="shared" si="138"/>
        <v>-83991.974273504617</v>
      </c>
      <c r="BM314" s="16">
        <f t="shared" si="139"/>
        <v>-223672.68895812953</v>
      </c>
      <c r="BN314" s="16">
        <f t="shared" si="140"/>
        <v>-136400.677398403</v>
      </c>
      <c r="BO314" s="16">
        <f t="shared" si="141"/>
        <v>-134858.36131677378</v>
      </c>
      <c r="BP314" s="16">
        <f t="shared" si="142"/>
        <v>-168899.98136752096</v>
      </c>
      <c r="BQ314" s="16">
        <f t="shared" si="143"/>
        <v>-130687.36131677379</v>
      </c>
      <c r="BR314" s="16">
        <f t="shared" si="144"/>
        <v>-132458.36131677384</v>
      </c>
      <c r="BS314" s="16">
        <f t="shared" si="145"/>
        <v>-133158.36131677384</v>
      </c>
      <c r="BT314" s="14">
        <f>IF([1]Sheet2!CB313=999999,"NA",[1]Sheet2!CB313)</f>
        <v>0</v>
      </c>
      <c r="BU314" s="14">
        <f>IF([1]Sheet2!CC313=999999,"NA",[1]Sheet2!CC313)</f>
        <v>0</v>
      </c>
      <c r="BV314" s="14">
        <f>IF([1]Sheet2!CD313=999999,"NA",[1]Sheet2!CD313)</f>
        <v>0</v>
      </c>
      <c r="BW314" s="14">
        <f>IF([1]Sheet2!CE313=999999,"NA",[1]Sheet2!CE313)</f>
        <v>0</v>
      </c>
      <c r="BX314" s="14">
        <f>IF([1]Sheet2!CF313=999999,"NA",[1]Sheet2!CF313)</f>
        <v>0</v>
      </c>
      <c r="BY314" s="14">
        <f>IF([1]Sheet2!CG313=999999,"NA",[1]Sheet2!CG313)</f>
        <v>0</v>
      </c>
      <c r="BZ314" s="14">
        <f>IF([1]Sheet2!CH313=999999,"NA",[1]Sheet2!CH313)</f>
        <v>0</v>
      </c>
      <c r="CA314" s="14">
        <f>IF([1]Sheet2!CI313=999999,"NA",[1]Sheet2!CI313)</f>
        <v>0</v>
      </c>
      <c r="CB314" s="14">
        <f>IF([1]Sheet2!CJ313=999999,"NA",[1]Sheet2!CJ313)</f>
        <v>0</v>
      </c>
      <c r="CC314" s="14">
        <f>IF([1]Sheet2!CK313=999999,"NA",[1]Sheet2!CK313)</f>
        <v>0</v>
      </c>
      <c r="CD314" s="14">
        <f>[1]Sheet2!BH313</f>
        <v>0</v>
      </c>
      <c r="CE314" s="14">
        <f>[1]Sheet2!BI313</f>
        <v>0</v>
      </c>
      <c r="CF314" s="14">
        <f>[1]Sheet2!BJ313</f>
        <v>0</v>
      </c>
      <c r="CG314" s="14">
        <f>[1]Sheet2!BK313</f>
        <v>0</v>
      </c>
      <c r="CH314" s="14">
        <f>[1]Sheet2!BL313</f>
        <v>0</v>
      </c>
      <c r="CI314" s="14">
        <f>[1]Sheet2!BM313</f>
        <v>0</v>
      </c>
      <c r="CJ314" s="14">
        <f>[1]Sheet2!BN313</f>
        <v>0</v>
      </c>
      <c r="CK314" s="14">
        <f>[1]Sheet2!BO313</f>
        <v>0</v>
      </c>
      <c r="CL314" s="14">
        <f>[1]Sheet2!BP313</f>
        <v>0</v>
      </c>
      <c r="CM314" s="14">
        <f>[1]Sheet2!BQ313</f>
        <v>0</v>
      </c>
      <c r="CN314" s="16">
        <f>Demand_SW!B$13/30</f>
        <v>144.23076923076923</v>
      </c>
      <c r="CO314" s="16">
        <f>Demand_SW!C$13/30</f>
        <v>0</v>
      </c>
      <c r="CP314" s="16">
        <f>Demand_SW!D$13/30</f>
        <v>0</v>
      </c>
      <c r="CQ314" s="16">
        <f>Demand_SW!E$13/30</f>
        <v>0</v>
      </c>
      <c r="CR314" s="16">
        <f>Demand_SW!F$13/30</f>
        <v>0</v>
      </c>
      <c r="CS314" s="16">
        <f>Demand_SW!G$13/30</f>
        <v>144.23076923076923</v>
      </c>
      <c r="CT314" s="16">
        <f>Demand_SW!H$13/30</f>
        <v>0</v>
      </c>
      <c r="CU314" s="16">
        <f>Demand_SW!I$13/30</f>
        <v>0</v>
      </c>
      <c r="CV314" s="16">
        <f>Demand_SW!J$13/30</f>
        <v>0</v>
      </c>
      <c r="CW314" s="16">
        <f>Demand_SW!K$13/30</f>
        <v>0</v>
      </c>
      <c r="CX314" s="16">
        <f t="shared" si="146"/>
        <v>-19384.230769230806</v>
      </c>
      <c r="CY314" s="16">
        <f t="shared" si="147"/>
        <v>76.923076923077133</v>
      </c>
      <c r="CZ314" s="16">
        <f t="shared" si="148"/>
        <v>0</v>
      </c>
      <c r="DA314" s="16">
        <f t="shared" si="149"/>
        <v>0</v>
      </c>
      <c r="DB314" s="16">
        <f t="shared" si="150"/>
        <v>0</v>
      </c>
      <c r="DC314" s="16">
        <f t="shared" si="151"/>
        <v>-20615.461538461575</v>
      </c>
      <c r="DD314" s="16">
        <f t="shared" si="152"/>
        <v>76.923076923077133</v>
      </c>
      <c r="DE314" s="16">
        <f t="shared" si="153"/>
        <v>0</v>
      </c>
      <c r="DF314" s="16">
        <f t="shared" si="154"/>
        <v>0</v>
      </c>
      <c r="DG314" s="16">
        <f t="shared" si="155"/>
        <v>0</v>
      </c>
      <c r="DH314" s="14">
        <f>IF([1]Sheet2!DS313=999999,"NA",[1]Sheet2!DS313)</f>
        <v>0</v>
      </c>
      <c r="DI314" s="14">
        <f>IF([1]Sheet2!DT313=999999,"NA",[1]Sheet2!DT313)</f>
        <v>54</v>
      </c>
      <c r="DJ314" s="14" t="str">
        <f>IF([1]Sheet2!DU313=999999,"NA",[1]Sheet2!DU313)</f>
        <v>NA</v>
      </c>
      <c r="DK314" s="14" t="str">
        <f>IF([1]Sheet2!DV313=999999,"NA",[1]Sheet2!DV313)</f>
        <v>NA</v>
      </c>
      <c r="DL314" s="14" t="str">
        <f>IF([1]Sheet2!DW313=999999,"NA",[1]Sheet2!DW313)</f>
        <v>NA</v>
      </c>
      <c r="DM314" s="14">
        <f>IF([1]Sheet2!DX313=999999,"NA",[1]Sheet2!DX313)</f>
        <v>0</v>
      </c>
      <c r="DN314" s="14">
        <f>IF([1]Sheet2!DY313=999999,"NA",[1]Sheet2!DY313)</f>
        <v>54</v>
      </c>
      <c r="DO314" s="14" t="str">
        <f>IF([1]Sheet2!DZ313=999999,"NA",[1]Sheet2!DZ313)</f>
        <v>NA</v>
      </c>
      <c r="DP314" s="14" t="str">
        <f>IF([1]Sheet2!EA313=999999,"NA",[1]Sheet2!EA313)</f>
        <v>NA</v>
      </c>
      <c r="DQ314" s="14" t="str">
        <f>IF([1]Sheet2!EB313=999999,"NA",[1]Sheet2!EB313)</f>
        <v>NA</v>
      </c>
      <c r="DR314" s="14">
        <f>[1]Sheet2!CY313</f>
        <v>0</v>
      </c>
      <c r="DS314" s="14">
        <f>[1]Sheet2!CZ313</f>
        <v>0</v>
      </c>
      <c r="DT314" s="14">
        <f>[1]Sheet2!DA313</f>
        <v>0</v>
      </c>
      <c r="DU314" s="14">
        <f>[1]Sheet2!DB313</f>
        <v>0</v>
      </c>
      <c r="DV314" s="14">
        <f>[1]Sheet2!DC313</f>
        <v>0</v>
      </c>
      <c r="DW314" s="14">
        <f>[1]Sheet2!DD313</f>
        <v>0</v>
      </c>
      <c r="DX314" s="14">
        <f>[1]Sheet2!DE313</f>
        <v>0</v>
      </c>
      <c r="DY314" s="14">
        <f>[1]Sheet2!DF313</f>
        <v>0</v>
      </c>
      <c r="DZ314" s="14">
        <f>[1]Sheet2!DG313</f>
        <v>0</v>
      </c>
      <c r="EA314" s="14">
        <f>[1]Sheet2!DH313</f>
        <v>0</v>
      </c>
      <c r="EB314" s="6">
        <f>[1]Sheet2!EC313</f>
        <v>0</v>
      </c>
      <c r="EC314" s="6">
        <f>[1]Sheet2!ED313</f>
        <v>0</v>
      </c>
      <c r="ED314" s="6">
        <f>[1]Sheet2!EE313</f>
        <v>0</v>
      </c>
      <c r="EE314" s="6">
        <f>[1]Sheet2!EF313</f>
        <v>0</v>
      </c>
      <c r="EF314" s="6">
        <f>[1]Sheet2!EG313</f>
        <v>0</v>
      </c>
      <c r="EG314" s="6">
        <f>[1]Sheet2!EH313</f>
        <v>0</v>
      </c>
      <c r="EH314" s="6">
        <f>[1]Sheet2!EI313</f>
        <v>0</v>
      </c>
      <c r="EI314" s="6">
        <f>[1]Sheet2!EJ313</f>
        <v>0</v>
      </c>
      <c r="EJ314" s="6">
        <f>[1]Sheet2!EK313</f>
        <v>0</v>
      </c>
      <c r="EK314" s="6">
        <f>[1]Sheet2!EL313</f>
        <v>0</v>
      </c>
      <c r="EL314" s="6" t="str">
        <f>[1]Sheet2!EM313</f>
        <v/>
      </c>
      <c r="EM314" s="6" t="str">
        <f>[1]Sheet2!EN313</f>
        <v/>
      </c>
      <c r="EN314" s="6" t="str">
        <f>[1]Sheet2!EO313</f>
        <v/>
      </c>
      <c r="EO314" s="6" t="str">
        <f>[1]Sheet2!EP313</f>
        <v/>
      </c>
      <c r="EP314" s="6" t="str">
        <f>[1]Sheet2!EQ313</f>
        <v/>
      </c>
      <c r="EQ314" s="6" t="str">
        <f>[1]Sheet2!ER313</f>
        <v/>
      </c>
      <c r="ER314" s="6" t="str">
        <f>[1]Sheet2!ES313</f>
        <v/>
      </c>
      <c r="ES314" s="6" t="str">
        <f>[1]Sheet2!ET313</f>
        <v/>
      </c>
      <c r="ET314" s="6" t="str">
        <f>[1]Sheet2!EU313</f>
        <v/>
      </c>
      <c r="EU314" s="6" t="str">
        <f>[1]Sheet2!EV313</f>
        <v/>
      </c>
      <c r="EV314" s="6" t="str">
        <f>[1]Sheet2!EW313</f>
        <v/>
      </c>
      <c r="EW314" s="6" t="str">
        <f>[1]Sheet2!EX313</f>
        <v/>
      </c>
      <c r="EX314" s="6" t="str">
        <f>[1]Sheet2!EY313</f>
        <v/>
      </c>
      <c r="EY314" s="6" t="str">
        <f>[1]Sheet2!EZ313</f>
        <v/>
      </c>
      <c r="EZ314" s="6" t="str">
        <f>[1]Sheet2!FA313</f>
        <v/>
      </c>
      <c r="FA314" s="6" t="str">
        <f>[1]Sheet2!FB313</f>
        <v/>
      </c>
      <c r="FB314" s="6" t="str">
        <f>[1]Sheet2!FC313</f>
        <v/>
      </c>
      <c r="FC314" s="6" t="str">
        <f>[1]Sheet2!FD313</f>
        <v/>
      </c>
      <c r="FD314" s="6" t="str">
        <f>[1]Sheet2!FE313</f>
        <v/>
      </c>
      <c r="FE314" s="6" t="str">
        <f>[1]Sheet2!FF313</f>
        <v/>
      </c>
      <c r="FF314" s="6" t="str">
        <f>[1]Sheet2!FG313</f>
        <v/>
      </c>
      <c r="FG314" s="6" t="str">
        <f>[1]Sheet2!FH313</f>
        <v/>
      </c>
      <c r="FH314" s="6" t="str">
        <f>[1]Sheet2!FI313</f>
        <v/>
      </c>
      <c r="FI314" s="6" t="str">
        <f>[1]Sheet2!FJ313</f>
        <v/>
      </c>
      <c r="FJ314" s="6" t="str">
        <f>[1]Sheet2!FK313</f>
        <v/>
      </c>
      <c r="FK314" s="6" t="str">
        <f>[1]Sheet2!FL313</f>
        <v/>
      </c>
      <c r="FL314" s="6" t="str">
        <f>[1]Sheet2!FM313</f>
        <v/>
      </c>
      <c r="FM314" s="6" t="str">
        <f>[1]Sheet2!FN313</f>
        <v/>
      </c>
      <c r="FN314" s="6" t="str">
        <f>[1]Sheet2!FO313</f>
        <v/>
      </c>
      <c r="FO314" s="6" t="str">
        <f>[1]Sheet2!FP313</f>
        <v/>
      </c>
    </row>
    <row r="315" spans="1:171" x14ac:dyDescent="0.25">
      <c r="A315" s="15">
        <v>43777</v>
      </c>
      <c r="B315" s="1"/>
      <c r="C315" s="1"/>
      <c r="D315" s="1"/>
      <c r="E315" s="14">
        <f>[1]Sheet2!N314</f>
        <v>0</v>
      </c>
      <c r="F315" s="14">
        <f>[1]Sheet2!BE314</f>
        <v>0</v>
      </c>
      <c r="G315" s="14">
        <f>[1]Sheet2!CW314</f>
        <v>0</v>
      </c>
      <c r="H315" s="1"/>
      <c r="I315" s="1"/>
      <c r="J315" s="1"/>
      <c r="K315" s="16"/>
      <c r="L315" s="16">
        <f>Demand_CWRS!B$13/30</f>
        <v>111.92954594017094</v>
      </c>
      <c r="M315" s="16">
        <f>Demand_CWRS!C$13/30</f>
        <v>550.01145299145287</v>
      </c>
      <c r="N315" s="16">
        <f>Demand_CWRS!D$13/30</f>
        <v>0</v>
      </c>
      <c r="O315" s="16">
        <f>Demand_CWRS!E$13/30</f>
        <v>105.42606837606837</v>
      </c>
      <c r="P315" s="16">
        <f>Demand_CWRS!F$13/30</f>
        <v>220.33041399572647</v>
      </c>
      <c r="Q315" s="16">
        <f>Demand_CWRS!G$13/30</f>
        <v>111.92954594017094</v>
      </c>
      <c r="R315" s="16">
        <f>Demand_CWRS!H$13/30</f>
        <v>220.33041399572647</v>
      </c>
      <c r="S315" s="16">
        <f>Demand_CWRS!I$13/30</f>
        <v>220.33041399572647</v>
      </c>
      <c r="T315" s="16">
        <f>Demand_CWRS!J$13/30</f>
        <v>220.33041399572647</v>
      </c>
      <c r="U315" s="16">
        <f>Demand_CWRS!K$13/30</f>
        <v>220.33041399572647</v>
      </c>
      <c r="V315" s="16">
        <f t="shared" si="126"/>
        <v>-35489.050949789627</v>
      </c>
      <c r="W315" s="16">
        <f t="shared" si="127"/>
        <v>-140508.84290598243</v>
      </c>
      <c r="X315" s="16">
        <f t="shared" si="128"/>
        <v>0</v>
      </c>
      <c r="Y315" s="16">
        <f t="shared" si="129"/>
        <v>-26983.838942983875</v>
      </c>
      <c r="Z315" s="16">
        <f t="shared" si="130"/>
        <v>-62293.958749323843</v>
      </c>
      <c r="AA315" s="16">
        <f t="shared" si="131"/>
        <v>-34017.118425751243</v>
      </c>
      <c r="AB315" s="16">
        <f t="shared" si="132"/>
        <v>-66603.123524964831</v>
      </c>
      <c r="AC315" s="16">
        <f t="shared" si="133"/>
        <v>-60810.113268554611</v>
      </c>
      <c r="AD315" s="16">
        <f t="shared" si="134"/>
        <v>-60910.113268554604</v>
      </c>
      <c r="AE315" s="16">
        <f t="shared" si="135"/>
        <v>-61510.113268554596</v>
      </c>
      <c r="AF315" s="14">
        <f>IF([1]Sheet2!AJ314=999999,"NA",[1]Sheet2!AJ314)</f>
        <v>0</v>
      </c>
      <c r="AG315" s="14">
        <f>IF([1]Sheet2!AK314=999999,"NA",[1]Sheet2!AK314)</f>
        <v>0</v>
      </c>
      <c r="AH315" s="14" t="str">
        <f>IF([1]Sheet2!AL314=999999,"NA",[1]Sheet2!AL314)</f>
        <v>NA</v>
      </c>
      <c r="AI315" s="14">
        <f>IF([1]Sheet2!AM314=999999,"NA",[1]Sheet2!AM314)</f>
        <v>0</v>
      </c>
      <c r="AJ315" s="14">
        <f>IF([1]Sheet2!AN314=999999,"NA",[1]Sheet2!AN314)</f>
        <v>0</v>
      </c>
      <c r="AK315" s="14">
        <f>IF([1]Sheet2!AO314=999999,"NA",[1]Sheet2!AO314)</f>
        <v>0</v>
      </c>
      <c r="AL315" s="14">
        <f>IF([1]Sheet2!AP314=999999,"NA",[1]Sheet2!AP314)</f>
        <v>0</v>
      </c>
      <c r="AM315" s="14">
        <f>IF([1]Sheet2!AQ314=999999,"NA",[1]Sheet2!AQ314)</f>
        <v>0</v>
      </c>
      <c r="AN315" s="14">
        <f>IF([1]Sheet2!AR314=999999,"NA",[1]Sheet2!AR314)</f>
        <v>0</v>
      </c>
      <c r="AO315" s="14">
        <f>IF([1]Sheet2!AS314=999999,"NA",[1]Sheet2!AS314)</f>
        <v>0</v>
      </c>
      <c r="AP315" s="14">
        <f>[1]Sheet2!P314</f>
        <v>0</v>
      </c>
      <c r="AQ315" s="14">
        <f>[1]Sheet2!Q314</f>
        <v>0</v>
      </c>
      <c r="AR315" s="14">
        <f>[1]Sheet2!R314</f>
        <v>0</v>
      </c>
      <c r="AS315" s="14">
        <f>[1]Sheet2!S314</f>
        <v>0</v>
      </c>
      <c r="AT315" s="14">
        <f>[1]Sheet2!T314</f>
        <v>0</v>
      </c>
      <c r="AU315" s="14">
        <f>[1]Sheet2!U314</f>
        <v>0</v>
      </c>
      <c r="AV315" s="14">
        <f>[1]Sheet2!V314</f>
        <v>0</v>
      </c>
      <c r="AW315" s="14">
        <f>[1]Sheet2!W314</f>
        <v>0</v>
      </c>
      <c r="AX315" s="14">
        <f>[1]Sheet2!X314</f>
        <v>0</v>
      </c>
      <c r="AY315" s="14">
        <f>[1]Sheet2!Y314</f>
        <v>0</v>
      </c>
      <c r="AZ315" s="16">
        <f>Demand_LP!B$13/30</f>
        <v>849.16414262820524</v>
      </c>
      <c r="BA315" s="16">
        <f>Demand_LP!C$13/30</f>
        <v>632.84239316239314</v>
      </c>
      <c r="BB315" s="16">
        <f>Demand_LP!D$13/30</f>
        <v>269.64247863247863</v>
      </c>
      <c r="BC315" s="16">
        <f>Demand_LP!E$13/30</f>
        <v>815.03102564102551</v>
      </c>
      <c r="BD315" s="16">
        <f>Demand_LP!F$13/30</f>
        <v>536.05500267094021</v>
      </c>
      <c r="BE315" s="16">
        <f>Demand_LP!G$13/30</f>
        <v>536.05500267094021</v>
      </c>
      <c r="BF315" s="16">
        <f>Demand_LP!H$13/30</f>
        <v>632.84239316239314</v>
      </c>
      <c r="BG315" s="16">
        <f>Demand_LP!I$13/30</f>
        <v>536.05500267094021</v>
      </c>
      <c r="BH315" s="16">
        <f>Demand_LP!J$13/30</f>
        <v>536.05500267094021</v>
      </c>
      <c r="BI315" s="16">
        <f>Demand_LP!K$13/30</f>
        <v>536.05500267094021</v>
      </c>
      <c r="BJ315" s="16">
        <f t="shared" si="136"/>
        <v>-232397.70867925344</v>
      </c>
      <c r="BK315" s="16">
        <f t="shared" si="137"/>
        <v>-175175.24427350401</v>
      </c>
      <c r="BL315" s="16">
        <f t="shared" si="138"/>
        <v>-84261.616752137095</v>
      </c>
      <c r="BM315" s="16">
        <f t="shared" si="139"/>
        <v>-224487.71998377054</v>
      </c>
      <c r="BN315" s="16">
        <f t="shared" si="140"/>
        <v>-136936.73240107394</v>
      </c>
      <c r="BO315" s="16">
        <f t="shared" si="141"/>
        <v>-135394.41631944472</v>
      </c>
      <c r="BP315" s="16">
        <f t="shared" si="142"/>
        <v>-169532.82376068336</v>
      </c>
      <c r="BQ315" s="16">
        <f t="shared" si="143"/>
        <v>-131223.41631944475</v>
      </c>
      <c r="BR315" s="16">
        <f t="shared" si="144"/>
        <v>-132994.41631944478</v>
      </c>
      <c r="BS315" s="16">
        <f t="shared" si="145"/>
        <v>-133694.41631944478</v>
      </c>
      <c r="BT315" s="14">
        <f>IF([1]Sheet2!CB314=999999,"NA",[1]Sheet2!CB314)</f>
        <v>0</v>
      </c>
      <c r="BU315" s="14">
        <f>IF([1]Sheet2!CC314=999999,"NA",[1]Sheet2!CC314)</f>
        <v>0</v>
      </c>
      <c r="BV315" s="14">
        <f>IF([1]Sheet2!CD314=999999,"NA",[1]Sheet2!CD314)</f>
        <v>0</v>
      </c>
      <c r="BW315" s="14">
        <f>IF([1]Sheet2!CE314=999999,"NA",[1]Sheet2!CE314)</f>
        <v>0</v>
      </c>
      <c r="BX315" s="14">
        <f>IF([1]Sheet2!CF314=999999,"NA",[1]Sheet2!CF314)</f>
        <v>0</v>
      </c>
      <c r="BY315" s="14">
        <f>IF([1]Sheet2!CG314=999999,"NA",[1]Sheet2!CG314)</f>
        <v>0</v>
      </c>
      <c r="BZ315" s="14">
        <f>IF([1]Sheet2!CH314=999999,"NA",[1]Sheet2!CH314)</f>
        <v>0</v>
      </c>
      <c r="CA315" s="14">
        <f>IF([1]Sheet2!CI314=999999,"NA",[1]Sheet2!CI314)</f>
        <v>0</v>
      </c>
      <c r="CB315" s="14">
        <f>IF([1]Sheet2!CJ314=999999,"NA",[1]Sheet2!CJ314)</f>
        <v>0</v>
      </c>
      <c r="CC315" s="14">
        <f>IF([1]Sheet2!CK314=999999,"NA",[1]Sheet2!CK314)</f>
        <v>0</v>
      </c>
      <c r="CD315" s="14">
        <f>[1]Sheet2!BH314</f>
        <v>0</v>
      </c>
      <c r="CE315" s="14">
        <f>[1]Sheet2!BI314</f>
        <v>0</v>
      </c>
      <c r="CF315" s="14">
        <f>[1]Sheet2!BJ314</f>
        <v>0</v>
      </c>
      <c r="CG315" s="14">
        <f>[1]Sheet2!BK314</f>
        <v>0</v>
      </c>
      <c r="CH315" s="14">
        <f>[1]Sheet2!BL314</f>
        <v>0</v>
      </c>
      <c r="CI315" s="14">
        <f>[1]Sheet2!BM314</f>
        <v>0</v>
      </c>
      <c r="CJ315" s="14">
        <f>[1]Sheet2!BN314</f>
        <v>0</v>
      </c>
      <c r="CK315" s="14">
        <f>[1]Sheet2!BO314</f>
        <v>0</v>
      </c>
      <c r="CL315" s="14">
        <f>[1]Sheet2!BP314</f>
        <v>0</v>
      </c>
      <c r="CM315" s="14">
        <f>[1]Sheet2!BQ314</f>
        <v>0</v>
      </c>
      <c r="CN315" s="16">
        <f>Demand_SW!B$13/30</f>
        <v>144.23076923076923</v>
      </c>
      <c r="CO315" s="16">
        <f>Demand_SW!C$13/30</f>
        <v>0</v>
      </c>
      <c r="CP315" s="16">
        <f>Demand_SW!D$13/30</f>
        <v>0</v>
      </c>
      <c r="CQ315" s="16">
        <f>Demand_SW!E$13/30</f>
        <v>0</v>
      </c>
      <c r="CR315" s="16">
        <f>Demand_SW!F$13/30</f>
        <v>0</v>
      </c>
      <c r="CS315" s="16">
        <f>Demand_SW!G$13/30</f>
        <v>144.23076923076923</v>
      </c>
      <c r="CT315" s="16">
        <f>Demand_SW!H$13/30</f>
        <v>0</v>
      </c>
      <c r="CU315" s="16">
        <f>Demand_SW!I$13/30</f>
        <v>0</v>
      </c>
      <c r="CV315" s="16">
        <f>Demand_SW!J$13/30</f>
        <v>0</v>
      </c>
      <c r="CW315" s="16">
        <f>Demand_SW!K$13/30</f>
        <v>0</v>
      </c>
      <c r="CX315" s="16">
        <f t="shared" si="146"/>
        <v>-19528.461538461575</v>
      </c>
      <c r="CY315" s="16">
        <f t="shared" si="147"/>
        <v>76.923076923077133</v>
      </c>
      <c r="CZ315" s="16">
        <f t="shared" si="148"/>
        <v>0</v>
      </c>
      <c r="DA315" s="16">
        <f t="shared" si="149"/>
        <v>0</v>
      </c>
      <c r="DB315" s="16">
        <f t="shared" si="150"/>
        <v>0</v>
      </c>
      <c r="DC315" s="16">
        <f t="shared" si="151"/>
        <v>-20759.692307692345</v>
      </c>
      <c r="DD315" s="16">
        <f t="shared" si="152"/>
        <v>76.923076923077133</v>
      </c>
      <c r="DE315" s="16">
        <f t="shared" si="153"/>
        <v>0</v>
      </c>
      <c r="DF315" s="16">
        <f t="shared" si="154"/>
        <v>0</v>
      </c>
      <c r="DG315" s="16">
        <f t="shared" si="155"/>
        <v>0</v>
      </c>
      <c r="DH315" s="14">
        <f>IF([1]Sheet2!DS314=999999,"NA",[1]Sheet2!DS314)</f>
        <v>0</v>
      </c>
      <c r="DI315" s="14">
        <f>IF([1]Sheet2!DT314=999999,"NA",[1]Sheet2!DT314)</f>
        <v>53</v>
      </c>
      <c r="DJ315" s="14" t="str">
        <f>IF([1]Sheet2!DU314=999999,"NA",[1]Sheet2!DU314)</f>
        <v>NA</v>
      </c>
      <c r="DK315" s="14" t="str">
        <f>IF([1]Sheet2!DV314=999999,"NA",[1]Sheet2!DV314)</f>
        <v>NA</v>
      </c>
      <c r="DL315" s="14" t="str">
        <f>IF([1]Sheet2!DW314=999999,"NA",[1]Sheet2!DW314)</f>
        <v>NA</v>
      </c>
      <c r="DM315" s="14">
        <f>IF([1]Sheet2!DX314=999999,"NA",[1]Sheet2!DX314)</f>
        <v>0</v>
      </c>
      <c r="DN315" s="14">
        <f>IF([1]Sheet2!DY314=999999,"NA",[1]Sheet2!DY314)</f>
        <v>53</v>
      </c>
      <c r="DO315" s="14" t="str">
        <f>IF([1]Sheet2!DZ314=999999,"NA",[1]Sheet2!DZ314)</f>
        <v>NA</v>
      </c>
      <c r="DP315" s="14" t="str">
        <f>IF([1]Sheet2!EA314=999999,"NA",[1]Sheet2!EA314)</f>
        <v>NA</v>
      </c>
      <c r="DQ315" s="14" t="str">
        <f>IF([1]Sheet2!EB314=999999,"NA",[1]Sheet2!EB314)</f>
        <v>NA</v>
      </c>
      <c r="DR315" s="14">
        <f>[1]Sheet2!CY314</f>
        <v>0</v>
      </c>
      <c r="DS315" s="14">
        <f>[1]Sheet2!CZ314</f>
        <v>0</v>
      </c>
      <c r="DT315" s="14">
        <f>[1]Sheet2!DA314</f>
        <v>0</v>
      </c>
      <c r="DU315" s="14">
        <f>[1]Sheet2!DB314</f>
        <v>0</v>
      </c>
      <c r="DV315" s="14">
        <f>[1]Sheet2!DC314</f>
        <v>0</v>
      </c>
      <c r="DW315" s="14">
        <f>[1]Sheet2!DD314</f>
        <v>0</v>
      </c>
      <c r="DX315" s="14">
        <f>[1]Sheet2!DE314</f>
        <v>0</v>
      </c>
      <c r="DY315" s="14">
        <f>[1]Sheet2!DF314</f>
        <v>0</v>
      </c>
      <c r="DZ315" s="14">
        <f>[1]Sheet2!DG314</f>
        <v>0</v>
      </c>
      <c r="EA315" s="14">
        <f>[1]Sheet2!DH314</f>
        <v>0</v>
      </c>
      <c r="EB315" s="6">
        <f>[1]Sheet2!EC314</f>
        <v>0</v>
      </c>
      <c r="EC315" s="6">
        <f>[1]Sheet2!ED314</f>
        <v>0</v>
      </c>
      <c r="ED315" s="6">
        <f>[1]Sheet2!EE314</f>
        <v>0</v>
      </c>
      <c r="EE315" s="6">
        <f>[1]Sheet2!EF314</f>
        <v>0</v>
      </c>
      <c r="EF315" s="6">
        <f>[1]Sheet2!EG314</f>
        <v>0</v>
      </c>
      <c r="EG315" s="6">
        <f>[1]Sheet2!EH314</f>
        <v>0</v>
      </c>
      <c r="EH315" s="6">
        <f>[1]Sheet2!EI314</f>
        <v>0</v>
      </c>
      <c r="EI315" s="6">
        <f>[1]Sheet2!EJ314</f>
        <v>0</v>
      </c>
      <c r="EJ315" s="6">
        <f>[1]Sheet2!EK314</f>
        <v>0</v>
      </c>
      <c r="EK315" s="6">
        <f>[1]Sheet2!EL314</f>
        <v>0</v>
      </c>
      <c r="EL315" s="6" t="str">
        <f>[1]Sheet2!EM314</f>
        <v/>
      </c>
      <c r="EM315" s="6" t="str">
        <f>[1]Sheet2!EN314</f>
        <v/>
      </c>
      <c r="EN315" s="6" t="str">
        <f>[1]Sheet2!EO314</f>
        <v/>
      </c>
      <c r="EO315" s="6" t="str">
        <f>[1]Sheet2!EP314</f>
        <v/>
      </c>
      <c r="EP315" s="6" t="str">
        <f>[1]Sheet2!EQ314</f>
        <v/>
      </c>
      <c r="EQ315" s="6" t="str">
        <f>[1]Sheet2!ER314</f>
        <v/>
      </c>
      <c r="ER315" s="6" t="str">
        <f>[1]Sheet2!ES314</f>
        <v/>
      </c>
      <c r="ES315" s="6" t="str">
        <f>[1]Sheet2!ET314</f>
        <v/>
      </c>
      <c r="ET315" s="6" t="str">
        <f>[1]Sheet2!EU314</f>
        <v/>
      </c>
      <c r="EU315" s="6" t="str">
        <f>[1]Sheet2!EV314</f>
        <v/>
      </c>
      <c r="EV315" s="6" t="str">
        <f>[1]Sheet2!EW314</f>
        <v/>
      </c>
      <c r="EW315" s="6" t="str">
        <f>[1]Sheet2!EX314</f>
        <v/>
      </c>
      <c r="EX315" s="6" t="str">
        <f>[1]Sheet2!EY314</f>
        <v/>
      </c>
      <c r="EY315" s="6" t="str">
        <f>[1]Sheet2!EZ314</f>
        <v/>
      </c>
      <c r="EZ315" s="6" t="str">
        <f>[1]Sheet2!FA314</f>
        <v/>
      </c>
      <c r="FA315" s="6" t="str">
        <f>[1]Sheet2!FB314</f>
        <v/>
      </c>
      <c r="FB315" s="6" t="str">
        <f>[1]Sheet2!FC314</f>
        <v/>
      </c>
      <c r="FC315" s="6" t="str">
        <f>[1]Sheet2!FD314</f>
        <v/>
      </c>
      <c r="FD315" s="6" t="str">
        <f>[1]Sheet2!FE314</f>
        <v/>
      </c>
      <c r="FE315" s="6" t="str">
        <f>[1]Sheet2!FF314</f>
        <v/>
      </c>
      <c r="FF315" s="6" t="str">
        <f>[1]Sheet2!FG314</f>
        <v/>
      </c>
      <c r="FG315" s="6" t="str">
        <f>[1]Sheet2!FH314</f>
        <v/>
      </c>
      <c r="FH315" s="6" t="str">
        <f>[1]Sheet2!FI314</f>
        <v/>
      </c>
      <c r="FI315" s="6" t="str">
        <f>[1]Sheet2!FJ314</f>
        <v/>
      </c>
      <c r="FJ315" s="6" t="str">
        <f>[1]Sheet2!FK314</f>
        <v/>
      </c>
      <c r="FK315" s="6" t="str">
        <f>[1]Sheet2!FL314</f>
        <v/>
      </c>
      <c r="FL315" s="6" t="str">
        <f>[1]Sheet2!FM314</f>
        <v/>
      </c>
      <c r="FM315" s="6" t="str">
        <f>[1]Sheet2!FN314</f>
        <v/>
      </c>
      <c r="FN315" s="6" t="str">
        <f>[1]Sheet2!FO314</f>
        <v/>
      </c>
      <c r="FO315" s="6" t="str">
        <f>[1]Sheet2!FP314</f>
        <v/>
      </c>
    </row>
    <row r="316" spans="1:171" x14ac:dyDescent="0.25">
      <c r="A316" s="15">
        <v>43778</v>
      </c>
      <c r="B316" s="1"/>
      <c r="C316" s="1"/>
      <c r="D316" s="1"/>
      <c r="E316" s="14">
        <f>[1]Sheet2!N315</f>
        <v>0</v>
      </c>
      <c r="F316" s="14">
        <f>[1]Sheet2!BE315</f>
        <v>0</v>
      </c>
      <c r="G316" s="14">
        <f>[1]Sheet2!CW315</f>
        <v>0</v>
      </c>
      <c r="H316" s="1"/>
      <c r="I316" s="1"/>
      <c r="J316" s="1"/>
      <c r="K316" s="16"/>
      <c r="L316" s="16">
        <f>Demand_CWRS!B$13/30</f>
        <v>111.92954594017094</v>
      </c>
      <c r="M316" s="16">
        <f>Demand_CWRS!C$13/30</f>
        <v>550.01145299145287</v>
      </c>
      <c r="N316" s="16">
        <f>Demand_CWRS!D$13/30</f>
        <v>0</v>
      </c>
      <c r="O316" s="16">
        <f>Demand_CWRS!E$13/30</f>
        <v>105.42606837606837</v>
      </c>
      <c r="P316" s="16">
        <f>Demand_CWRS!F$13/30</f>
        <v>220.33041399572647</v>
      </c>
      <c r="Q316" s="16">
        <f>Demand_CWRS!G$13/30</f>
        <v>111.92954594017094</v>
      </c>
      <c r="R316" s="16">
        <f>Demand_CWRS!H$13/30</f>
        <v>220.33041399572647</v>
      </c>
      <c r="S316" s="16">
        <f>Demand_CWRS!I$13/30</f>
        <v>220.33041399572647</v>
      </c>
      <c r="T316" s="16">
        <f>Demand_CWRS!J$13/30</f>
        <v>220.33041399572647</v>
      </c>
      <c r="U316" s="16">
        <f>Demand_CWRS!K$13/30</f>
        <v>220.33041399572647</v>
      </c>
      <c r="V316" s="16">
        <f t="shared" si="126"/>
        <v>-35600.980495729797</v>
      </c>
      <c r="W316" s="16">
        <f t="shared" si="127"/>
        <v>-141058.85435897388</v>
      </c>
      <c r="X316" s="16">
        <f t="shared" si="128"/>
        <v>0</v>
      </c>
      <c r="Y316" s="16">
        <f t="shared" si="129"/>
        <v>-27089.265011359945</v>
      </c>
      <c r="Z316" s="16">
        <f t="shared" si="130"/>
        <v>-62514.289163319569</v>
      </c>
      <c r="AA316" s="16">
        <f t="shared" si="131"/>
        <v>-34129.047971691412</v>
      </c>
      <c r="AB316" s="16">
        <f t="shared" si="132"/>
        <v>-66823.453938960563</v>
      </c>
      <c r="AC316" s="16">
        <f t="shared" si="133"/>
        <v>-61030.443682550336</v>
      </c>
      <c r="AD316" s="16">
        <f t="shared" si="134"/>
        <v>-61130.443682550329</v>
      </c>
      <c r="AE316" s="16">
        <f t="shared" si="135"/>
        <v>-61730.443682550322</v>
      </c>
      <c r="AF316" s="14">
        <f>IF([1]Sheet2!AJ315=999999,"NA",[1]Sheet2!AJ315)</f>
        <v>0</v>
      </c>
      <c r="AG316" s="14">
        <f>IF([1]Sheet2!AK315=999999,"NA",[1]Sheet2!AK315)</f>
        <v>0</v>
      </c>
      <c r="AH316" s="14" t="str">
        <f>IF([1]Sheet2!AL315=999999,"NA",[1]Sheet2!AL315)</f>
        <v>NA</v>
      </c>
      <c r="AI316" s="14">
        <f>IF([1]Sheet2!AM315=999999,"NA",[1]Sheet2!AM315)</f>
        <v>0</v>
      </c>
      <c r="AJ316" s="14">
        <f>IF([1]Sheet2!AN315=999999,"NA",[1]Sheet2!AN315)</f>
        <v>0</v>
      </c>
      <c r="AK316" s="14">
        <f>IF([1]Sheet2!AO315=999999,"NA",[1]Sheet2!AO315)</f>
        <v>0</v>
      </c>
      <c r="AL316" s="14">
        <f>IF([1]Sheet2!AP315=999999,"NA",[1]Sheet2!AP315)</f>
        <v>0</v>
      </c>
      <c r="AM316" s="14">
        <f>IF([1]Sheet2!AQ315=999999,"NA",[1]Sheet2!AQ315)</f>
        <v>0</v>
      </c>
      <c r="AN316" s="14">
        <f>IF([1]Sheet2!AR315=999999,"NA",[1]Sheet2!AR315)</f>
        <v>0</v>
      </c>
      <c r="AO316" s="14">
        <f>IF([1]Sheet2!AS315=999999,"NA",[1]Sheet2!AS315)</f>
        <v>0</v>
      </c>
      <c r="AP316" s="14">
        <f>[1]Sheet2!P315</f>
        <v>0</v>
      </c>
      <c r="AQ316" s="14">
        <f>[1]Sheet2!Q315</f>
        <v>0</v>
      </c>
      <c r="AR316" s="14">
        <f>[1]Sheet2!R315</f>
        <v>0</v>
      </c>
      <c r="AS316" s="14">
        <f>[1]Sheet2!S315</f>
        <v>0</v>
      </c>
      <c r="AT316" s="14">
        <f>[1]Sheet2!T315</f>
        <v>0</v>
      </c>
      <c r="AU316" s="14">
        <f>[1]Sheet2!U315</f>
        <v>0</v>
      </c>
      <c r="AV316" s="14">
        <f>[1]Sheet2!V315</f>
        <v>0</v>
      </c>
      <c r="AW316" s="14">
        <f>[1]Sheet2!W315</f>
        <v>0</v>
      </c>
      <c r="AX316" s="14">
        <f>[1]Sheet2!X315</f>
        <v>0</v>
      </c>
      <c r="AY316" s="14">
        <f>[1]Sheet2!Y315</f>
        <v>0</v>
      </c>
      <c r="AZ316" s="16">
        <f>Demand_LP!B$13/30</f>
        <v>849.16414262820524</v>
      </c>
      <c r="BA316" s="16">
        <f>Demand_LP!C$13/30</f>
        <v>632.84239316239314</v>
      </c>
      <c r="BB316" s="16">
        <f>Demand_LP!D$13/30</f>
        <v>269.64247863247863</v>
      </c>
      <c r="BC316" s="16">
        <f>Demand_LP!E$13/30</f>
        <v>815.03102564102551</v>
      </c>
      <c r="BD316" s="16">
        <f>Demand_LP!F$13/30</f>
        <v>536.05500267094021</v>
      </c>
      <c r="BE316" s="16">
        <f>Demand_LP!G$13/30</f>
        <v>536.05500267094021</v>
      </c>
      <c r="BF316" s="16">
        <f>Demand_LP!H$13/30</f>
        <v>632.84239316239314</v>
      </c>
      <c r="BG316" s="16">
        <f>Demand_LP!I$13/30</f>
        <v>536.05500267094021</v>
      </c>
      <c r="BH316" s="16">
        <f>Demand_LP!J$13/30</f>
        <v>536.05500267094021</v>
      </c>
      <c r="BI316" s="16">
        <f>Demand_LP!K$13/30</f>
        <v>536.05500267094021</v>
      </c>
      <c r="BJ316" s="16">
        <f t="shared" si="136"/>
        <v>-233246.87282188164</v>
      </c>
      <c r="BK316" s="16">
        <f t="shared" si="137"/>
        <v>-175808.08666666641</v>
      </c>
      <c r="BL316" s="16">
        <f t="shared" si="138"/>
        <v>-84531.259230769574</v>
      </c>
      <c r="BM316" s="16">
        <f t="shared" si="139"/>
        <v>-225302.75100941156</v>
      </c>
      <c r="BN316" s="16">
        <f t="shared" si="140"/>
        <v>-137472.78740374488</v>
      </c>
      <c r="BO316" s="16">
        <f t="shared" si="141"/>
        <v>-135930.47132211566</v>
      </c>
      <c r="BP316" s="16">
        <f t="shared" si="142"/>
        <v>-170165.66615384576</v>
      </c>
      <c r="BQ316" s="16">
        <f t="shared" si="143"/>
        <v>-131759.47132211569</v>
      </c>
      <c r="BR316" s="16">
        <f t="shared" si="144"/>
        <v>-133530.47132211571</v>
      </c>
      <c r="BS316" s="16">
        <f t="shared" si="145"/>
        <v>-134230.47132211571</v>
      </c>
      <c r="BT316" s="14">
        <f>IF([1]Sheet2!CB315=999999,"NA",[1]Sheet2!CB315)</f>
        <v>0</v>
      </c>
      <c r="BU316" s="14">
        <f>IF([1]Sheet2!CC315=999999,"NA",[1]Sheet2!CC315)</f>
        <v>0</v>
      </c>
      <c r="BV316" s="14">
        <f>IF([1]Sheet2!CD315=999999,"NA",[1]Sheet2!CD315)</f>
        <v>0</v>
      </c>
      <c r="BW316" s="14">
        <f>IF([1]Sheet2!CE315=999999,"NA",[1]Sheet2!CE315)</f>
        <v>0</v>
      </c>
      <c r="BX316" s="14">
        <f>IF([1]Sheet2!CF315=999999,"NA",[1]Sheet2!CF315)</f>
        <v>0</v>
      </c>
      <c r="BY316" s="14">
        <f>IF([1]Sheet2!CG315=999999,"NA",[1]Sheet2!CG315)</f>
        <v>0</v>
      </c>
      <c r="BZ316" s="14">
        <f>IF([1]Sheet2!CH315=999999,"NA",[1]Sheet2!CH315)</f>
        <v>0</v>
      </c>
      <c r="CA316" s="14">
        <f>IF([1]Sheet2!CI315=999999,"NA",[1]Sheet2!CI315)</f>
        <v>0</v>
      </c>
      <c r="CB316" s="14">
        <f>IF([1]Sheet2!CJ315=999999,"NA",[1]Sheet2!CJ315)</f>
        <v>0</v>
      </c>
      <c r="CC316" s="14">
        <f>IF([1]Sheet2!CK315=999999,"NA",[1]Sheet2!CK315)</f>
        <v>0</v>
      </c>
      <c r="CD316" s="14">
        <f>[1]Sheet2!BH315</f>
        <v>0</v>
      </c>
      <c r="CE316" s="14">
        <f>[1]Sheet2!BI315</f>
        <v>0</v>
      </c>
      <c r="CF316" s="14">
        <f>[1]Sheet2!BJ315</f>
        <v>0</v>
      </c>
      <c r="CG316" s="14">
        <f>[1]Sheet2!BK315</f>
        <v>0</v>
      </c>
      <c r="CH316" s="14">
        <f>[1]Sheet2!BL315</f>
        <v>0</v>
      </c>
      <c r="CI316" s="14">
        <f>[1]Sheet2!BM315</f>
        <v>0</v>
      </c>
      <c r="CJ316" s="14">
        <f>[1]Sheet2!BN315</f>
        <v>0</v>
      </c>
      <c r="CK316" s="14">
        <f>[1]Sheet2!BO315</f>
        <v>0</v>
      </c>
      <c r="CL316" s="14">
        <f>[1]Sheet2!BP315</f>
        <v>0</v>
      </c>
      <c r="CM316" s="14">
        <f>[1]Sheet2!BQ315</f>
        <v>0</v>
      </c>
      <c r="CN316" s="16">
        <f>Demand_SW!B$13/30</f>
        <v>144.23076923076923</v>
      </c>
      <c r="CO316" s="16">
        <f>Demand_SW!C$13/30</f>
        <v>0</v>
      </c>
      <c r="CP316" s="16">
        <f>Demand_SW!D$13/30</f>
        <v>0</v>
      </c>
      <c r="CQ316" s="16">
        <f>Demand_SW!E$13/30</f>
        <v>0</v>
      </c>
      <c r="CR316" s="16">
        <f>Demand_SW!F$13/30</f>
        <v>0</v>
      </c>
      <c r="CS316" s="16">
        <f>Demand_SW!G$13/30</f>
        <v>144.23076923076923</v>
      </c>
      <c r="CT316" s="16">
        <f>Demand_SW!H$13/30</f>
        <v>0</v>
      </c>
      <c r="CU316" s="16">
        <f>Demand_SW!I$13/30</f>
        <v>0</v>
      </c>
      <c r="CV316" s="16">
        <f>Demand_SW!J$13/30</f>
        <v>0</v>
      </c>
      <c r="CW316" s="16">
        <f>Demand_SW!K$13/30</f>
        <v>0</v>
      </c>
      <c r="CX316" s="16">
        <f t="shared" si="146"/>
        <v>-19672.692307692345</v>
      </c>
      <c r="CY316" s="16">
        <f t="shared" si="147"/>
        <v>76.923076923077133</v>
      </c>
      <c r="CZ316" s="16">
        <f t="shared" si="148"/>
        <v>0</v>
      </c>
      <c r="DA316" s="16">
        <f t="shared" si="149"/>
        <v>0</v>
      </c>
      <c r="DB316" s="16">
        <f t="shared" si="150"/>
        <v>0</v>
      </c>
      <c r="DC316" s="16">
        <f t="shared" si="151"/>
        <v>-20903.923076923114</v>
      </c>
      <c r="DD316" s="16">
        <f t="shared" si="152"/>
        <v>76.923076923077133</v>
      </c>
      <c r="DE316" s="16">
        <f t="shared" si="153"/>
        <v>0</v>
      </c>
      <c r="DF316" s="16">
        <f t="shared" si="154"/>
        <v>0</v>
      </c>
      <c r="DG316" s="16">
        <f t="shared" si="155"/>
        <v>0</v>
      </c>
      <c r="DH316" s="14">
        <f>IF([1]Sheet2!DS315=999999,"NA",[1]Sheet2!DS315)</f>
        <v>0</v>
      </c>
      <c r="DI316" s="14">
        <f>IF([1]Sheet2!DT315=999999,"NA",[1]Sheet2!DT315)</f>
        <v>52</v>
      </c>
      <c r="DJ316" s="14" t="str">
        <f>IF([1]Sheet2!DU315=999999,"NA",[1]Sheet2!DU315)</f>
        <v>NA</v>
      </c>
      <c r="DK316" s="14" t="str">
        <f>IF([1]Sheet2!DV315=999999,"NA",[1]Sheet2!DV315)</f>
        <v>NA</v>
      </c>
      <c r="DL316" s="14" t="str">
        <f>IF([1]Sheet2!DW315=999999,"NA",[1]Sheet2!DW315)</f>
        <v>NA</v>
      </c>
      <c r="DM316" s="14">
        <f>IF([1]Sheet2!DX315=999999,"NA",[1]Sheet2!DX315)</f>
        <v>0</v>
      </c>
      <c r="DN316" s="14">
        <f>IF([1]Sheet2!DY315=999999,"NA",[1]Sheet2!DY315)</f>
        <v>52</v>
      </c>
      <c r="DO316" s="14" t="str">
        <f>IF([1]Sheet2!DZ315=999999,"NA",[1]Sheet2!DZ315)</f>
        <v>NA</v>
      </c>
      <c r="DP316" s="14" t="str">
        <f>IF([1]Sheet2!EA315=999999,"NA",[1]Sheet2!EA315)</f>
        <v>NA</v>
      </c>
      <c r="DQ316" s="14" t="str">
        <f>IF([1]Sheet2!EB315=999999,"NA",[1]Sheet2!EB315)</f>
        <v>NA</v>
      </c>
      <c r="DR316" s="14">
        <f>[1]Sheet2!CY315</f>
        <v>0</v>
      </c>
      <c r="DS316" s="14">
        <f>[1]Sheet2!CZ315</f>
        <v>0</v>
      </c>
      <c r="DT316" s="14">
        <f>[1]Sheet2!DA315</f>
        <v>0</v>
      </c>
      <c r="DU316" s="14">
        <f>[1]Sheet2!DB315</f>
        <v>0</v>
      </c>
      <c r="DV316" s="14">
        <f>[1]Sheet2!DC315</f>
        <v>0</v>
      </c>
      <c r="DW316" s="14">
        <f>[1]Sheet2!DD315</f>
        <v>0</v>
      </c>
      <c r="DX316" s="14">
        <f>[1]Sheet2!DE315</f>
        <v>0</v>
      </c>
      <c r="DY316" s="14">
        <f>[1]Sheet2!DF315</f>
        <v>0</v>
      </c>
      <c r="DZ316" s="14">
        <f>[1]Sheet2!DG315</f>
        <v>0</v>
      </c>
      <c r="EA316" s="14">
        <f>[1]Sheet2!DH315</f>
        <v>0</v>
      </c>
      <c r="EB316" s="6">
        <f>[1]Sheet2!EC315</f>
        <v>0</v>
      </c>
      <c r="EC316" s="6">
        <f>[1]Sheet2!ED315</f>
        <v>0</v>
      </c>
      <c r="ED316" s="6">
        <f>[1]Sheet2!EE315</f>
        <v>0</v>
      </c>
      <c r="EE316" s="6">
        <f>[1]Sheet2!EF315</f>
        <v>0</v>
      </c>
      <c r="EF316" s="6">
        <f>[1]Sheet2!EG315</f>
        <v>0</v>
      </c>
      <c r="EG316" s="6">
        <f>[1]Sheet2!EH315</f>
        <v>0</v>
      </c>
      <c r="EH316" s="6">
        <f>[1]Sheet2!EI315</f>
        <v>0</v>
      </c>
      <c r="EI316" s="6">
        <f>[1]Sheet2!EJ315</f>
        <v>0</v>
      </c>
      <c r="EJ316" s="6">
        <f>[1]Sheet2!EK315</f>
        <v>0</v>
      </c>
      <c r="EK316" s="6">
        <f>[1]Sheet2!EL315</f>
        <v>0</v>
      </c>
      <c r="EL316" s="6" t="str">
        <f>[1]Sheet2!EM315</f>
        <v/>
      </c>
      <c r="EM316" s="6" t="str">
        <f>[1]Sheet2!EN315</f>
        <v/>
      </c>
      <c r="EN316" s="6" t="str">
        <f>[1]Sheet2!EO315</f>
        <v/>
      </c>
      <c r="EO316" s="6" t="str">
        <f>[1]Sheet2!EP315</f>
        <v/>
      </c>
      <c r="EP316" s="6" t="str">
        <f>[1]Sheet2!EQ315</f>
        <v/>
      </c>
      <c r="EQ316" s="6" t="str">
        <f>[1]Sheet2!ER315</f>
        <v/>
      </c>
      <c r="ER316" s="6" t="str">
        <f>[1]Sheet2!ES315</f>
        <v/>
      </c>
      <c r="ES316" s="6" t="str">
        <f>[1]Sheet2!ET315</f>
        <v/>
      </c>
      <c r="ET316" s="6" t="str">
        <f>[1]Sheet2!EU315</f>
        <v/>
      </c>
      <c r="EU316" s="6" t="str">
        <f>[1]Sheet2!EV315</f>
        <v/>
      </c>
      <c r="EV316" s="6" t="str">
        <f>[1]Sheet2!EW315</f>
        <v/>
      </c>
      <c r="EW316" s="6" t="str">
        <f>[1]Sheet2!EX315</f>
        <v/>
      </c>
      <c r="EX316" s="6" t="str">
        <f>[1]Sheet2!EY315</f>
        <v/>
      </c>
      <c r="EY316" s="6" t="str">
        <f>[1]Sheet2!EZ315</f>
        <v/>
      </c>
      <c r="EZ316" s="6" t="str">
        <f>[1]Sheet2!FA315</f>
        <v/>
      </c>
      <c r="FA316" s="6" t="str">
        <f>[1]Sheet2!FB315</f>
        <v/>
      </c>
      <c r="FB316" s="6" t="str">
        <f>[1]Sheet2!FC315</f>
        <v/>
      </c>
      <c r="FC316" s="6" t="str">
        <f>[1]Sheet2!FD315</f>
        <v/>
      </c>
      <c r="FD316" s="6" t="str">
        <f>[1]Sheet2!FE315</f>
        <v/>
      </c>
      <c r="FE316" s="6" t="str">
        <f>[1]Sheet2!FF315</f>
        <v/>
      </c>
      <c r="FF316" s="6" t="str">
        <f>[1]Sheet2!FG315</f>
        <v/>
      </c>
      <c r="FG316" s="6" t="str">
        <f>[1]Sheet2!FH315</f>
        <v/>
      </c>
      <c r="FH316" s="6" t="str">
        <f>[1]Sheet2!FI315</f>
        <v/>
      </c>
      <c r="FI316" s="6" t="str">
        <f>[1]Sheet2!FJ315</f>
        <v/>
      </c>
      <c r="FJ316" s="6" t="str">
        <f>[1]Sheet2!FK315</f>
        <v/>
      </c>
      <c r="FK316" s="6" t="str">
        <f>[1]Sheet2!FL315</f>
        <v/>
      </c>
      <c r="FL316" s="6" t="str">
        <f>[1]Sheet2!FM315</f>
        <v/>
      </c>
      <c r="FM316" s="6" t="str">
        <f>[1]Sheet2!FN315</f>
        <v/>
      </c>
      <c r="FN316" s="6" t="str">
        <f>[1]Sheet2!FO315</f>
        <v/>
      </c>
      <c r="FO316" s="6" t="str">
        <f>[1]Sheet2!FP315</f>
        <v/>
      </c>
    </row>
    <row r="317" spans="1:171" x14ac:dyDescent="0.25">
      <c r="A317" s="15">
        <v>43779</v>
      </c>
      <c r="B317" s="1"/>
      <c r="C317" s="1"/>
      <c r="D317" s="1"/>
      <c r="E317" s="14">
        <f>[1]Sheet2!N316</f>
        <v>0</v>
      </c>
      <c r="F317" s="14">
        <f>[1]Sheet2!BE316</f>
        <v>0</v>
      </c>
      <c r="G317" s="14">
        <f>[1]Sheet2!CW316</f>
        <v>0</v>
      </c>
      <c r="H317" s="1"/>
      <c r="I317" s="1"/>
      <c r="J317" s="1"/>
      <c r="K317" s="16"/>
      <c r="L317" s="16">
        <f>Demand_CWRS!B$13/30</f>
        <v>111.92954594017094</v>
      </c>
      <c r="M317" s="16">
        <f>Demand_CWRS!C$13/30</f>
        <v>550.01145299145287</v>
      </c>
      <c r="N317" s="16">
        <f>Demand_CWRS!D$13/30</f>
        <v>0</v>
      </c>
      <c r="O317" s="16">
        <f>Demand_CWRS!E$13/30</f>
        <v>105.42606837606837</v>
      </c>
      <c r="P317" s="16">
        <f>Demand_CWRS!F$13/30</f>
        <v>220.33041399572647</v>
      </c>
      <c r="Q317" s="16">
        <f>Demand_CWRS!G$13/30</f>
        <v>111.92954594017094</v>
      </c>
      <c r="R317" s="16">
        <f>Demand_CWRS!H$13/30</f>
        <v>220.33041399572647</v>
      </c>
      <c r="S317" s="16">
        <f>Demand_CWRS!I$13/30</f>
        <v>220.33041399572647</v>
      </c>
      <c r="T317" s="16">
        <f>Demand_CWRS!J$13/30</f>
        <v>220.33041399572647</v>
      </c>
      <c r="U317" s="16">
        <f>Demand_CWRS!K$13/30</f>
        <v>220.33041399572647</v>
      </c>
      <c r="V317" s="16">
        <f t="shared" si="126"/>
        <v>-35712.910041669966</v>
      </c>
      <c r="W317" s="16">
        <f t="shared" si="127"/>
        <v>-141608.86581196534</v>
      </c>
      <c r="X317" s="16">
        <f t="shared" si="128"/>
        <v>0</v>
      </c>
      <c r="Y317" s="16">
        <f t="shared" si="129"/>
        <v>-27194.691079736014</v>
      </c>
      <c r="Z317" s="16">
        <f t="shared" si="130"/>
        <v>-62734.619577315294</v>
      </c>
      <c r="AA317" s="16">
        <f t="shared" si="131"/>
        <v>-34240.977517631582</v>
      </c>
      <c r="AB317" s="16">
        <f t="shared" si="132"/>
        <v>-67043.784352956296</v>
      </c>
      <c r="AC317" s="16">
        <f t="shared" si="133"/>
        <v>-61250.774096546062</v>
      </c>
      <c r="AD317" s="16">
        <f t="shared" si="134"/>
        <v>-61350.774096546054</v>
      </c>
      <c r="AE317" s="16">
        <f t="shared" si="135"/>
        <v>-61950.774096546047</v>
      </c>
      <c r="AF317" s="14">
        <f>IF([1]Sheet2!AJ316=999999,"NA",[1]Sheet2!AJ316)</f>
        <v>0</v>
      </c>
      <c r="AG317" s="14">
        <f>IF([1]Sheet2!AK316=999999,"NA",[1]Sheet2!AK316)</f>
        <v>0</v>
      </c>
      <c r="AH317" s="14" t="str">
        <f>IF([1]Sheet2!AL316=999999,"NA",[1]Sheet2!AL316)</f>
        <v>NA</v>
      </c>
      <c r="AI317" s="14">
        <f>IF([1]Sheet2!AM316=999999,"NA",[1]Sheet2!AM316)</f>
        <v>0</v>
      </c>
      <c r="AJ317" s="14">
        <f>IF([1]Sheet2!AN316=999999,"NA",[1]Sheet2!AN316)</f>
        <v>0</v>
      </c>
      <c r="AK317" s="14">
        <f>IF([1]Sheet2!AO316=999999,"NA",[1]Sheet2!AO316)</f>
        <v>0</v>
      </c>
      <c r="AL317" s="14">
        <f>IF([1]Sheet2!AP316=999999,"NA",[1]Sheet2!AP316)</f>
        <v>0</v>
      </c>
      <c r="AM317" s="14">
        <f>IF([1]Sheet2!AQ316=999999,"NA",[1]Sheet2!AQ316)</f>
        <v>0</v>
      </c>
      <c r="AN317" s="14">
        <f>IF([1]Sheet2!AR316=999999,"NA",[1]Sheet2!AR316)</f>
        <v>0</v>
      </c>
      <c r="AO317" s="14">
        <f>IF([1]Sheet2!AS316=999999,"NA",[1]Sheet2!AS316)</f>
        <v>0</v>
      </c>
      <c r="AP317" s="14">
        <f>[1]Sheet2!P316</f>
        <v>0</v>
      </c>
      <c r="AQ317" s="14">
        <f>[1]Sheet2!Q316</f>
        <v>0</v>
      </c>
      <c r="AR317" s="14">
        <f>[1]Sheet2!R316</f>
        <v>0</v>
      </c>
      <c r="AS317" s="14">
        <f>[1]Sheet2!S316</f>
        <v>0</v>
      </c>
      <c r="AT317" s="14">
        <f>[1]Sheet2!T316</f>
        <v>0</v>
      </c>
      <c r="AU317" s="14">
        <f>[1]Sheet2!U316</f>
        <v>0</v>
      </c>
      <c r="AV317" s="14">
        <f>[1]Sheet2!V316</f>
        <v>0</v>
      </c>
      <c r="AW317" s="14">
        <f>[1]Sheet2!W316</f>
        <v>0</v>
      </c>
      <c r="AX317" s="14">
        <f>[1]Sheet2!X316</f>
        <v>0</v>
      </c>
      <c r="AY317" s="14">
        <f>[1]Sheet2!Y316</f>
        <v>0</v>
      </c>
      <c r="AZ317" s="16">
        <f>Demand_LP!B$13/30</f>
        <v>849.16414262820524</v>
      </c>
      <c r="BA317" s="16">
        <f>Demand_LP!C$13/30</f>
        <v>632.84239316239314</v>
      </c>
      <c r="BB317" s="16">
        <f>Demand_LP!D$13/30</f>
        <v>269.64247863247863</v>
      </c>
      <c r="BC317" s="16">
        <f>Demand_LP!E$13/30</f>
        <v>815.03102564102551</v>
      </c>
      <c r="BD317" s="16">
        <f>Demand_LP!F$13/30</f>
        <v>536.05500267094021</v>
      </c>
      <c r="BE317" s="16">
        <f>Demand_LP!G$13/30</f>
        <v>536.05500267094021</v>
      </c>
      <c r="BF317" s="16">
        <f>Demand_LP!H$13/30</f>
        <v>632.84239316239314</v>
      </c>
      <c r="BG317" s="16">
        <f>Demand_LP!I$13/30</f>
        <v>536.05500267094021</v>
      </c>
      <c r="BH317" s="16">
        <f>Demand_LP!J$13/30</f>
        <v>536.05500267094021</v>
      </c>
      <c r="BI317" s="16">
        <f>Demand_LP!K$13/30</f>
        <v>536.05500267094021</v>
      </c>
      <c r="BJ317" s="16">
        <f t="shared" si="136"/>
        <v>-234096.03696450984</v>
      </c>
      <c r="BK317" s="16">
        <f t="shared" si="137"/>
        <v>-176440.92905982881</v>
      </c>
      <c r="BL317" s="16">
        <f t="shared" si="138"/>
        <v>-84800.901709402053</v>
      </c>
      <c r="BM317" s="16">
        <f t="shared" si="139"/>
        <v>-226117.78203505257</v>
      </c>
      <c r="BN317" s="16">
        <f t="shared" si="140"/>
        <v>-138008.84240641582</v>
      </c>
      <c r="BO317" s="16">
        <f t="shared" si="141"/>
        <v>-136466.5263247866</v>
      </c>
      <c r="BP317" s="16">
        <f t="shared" si="142"/>
        <v>-170798.50854700815</v>
      </c>
      <c r="BQ317" s="16">
        <f t="shared" si="143"/>
        <v>-132295.52632478662</v>
      </c>
      <c r="BR317" s="16">
        <f t="shared" si="144"/>
        <v>-134066.52632478665</v>
      </c>
      <c r="BS317" s="16">
        <f t="shared" si="145"/>
        <v>-134766.52632478665</v>
      </c>
      <c r="BT317" s="14">
        <f>IF([1]Sheet2!CB316=999999,"NA",[1]Sheet2!CB316)</f>
        <v>0</v>
      </c>
      <c r="BU317" s="14">
        <f>IF([1]Sheet2!CC316=999999,"NA",[1]Sheet2!CC316)</f>
        <v>0</v>
      </c>
      <c r="BV317" s="14">
        <f>IF([1]Sheet2!CD316=999999,"NA",[1]Sheet2!CD316)</f>
        <v>0</v>
      </c>
      <c r="BW317" s="14">
        <f>IF([1]Sheet2!CE316=999999,"NA",[1]Sheet2!CE316)</f>
        <v>0</v>
      </c>
      <c r="BX317" s="14">
        <f>IF([1]Sheet2!CF316=999999,"NA",[1]Sheet2!CF316)</f>
        <v>0</v>
      </c>
      <c r="BY317" s="14">
        <f>IF([1]Sheet2!CG316=999999,"NA",[1]Sheet2!CG316)</f>
        <v>0</v>
      </c>
      <c r="BZ317" s="14">
        <f>IF([1]Sheet2!CH316=999999,"NA",[1]Sheet2!CH316)</f>
        <v>0</v>
      </c>
      <c r="CA317" s="14">
        <f>IF([1]Sheet2!CI316=999999,"NA",[1]Sheet2!CI316)</f>
        <v>0</v>
      </c>
      <c r="CB317" s="14">
        <f>IF([1]Sheet2!CJ316=999999,"NA",[1]Sheet2!CJ316)</f>
        <v>0</v>
      </c>
      <c r="CC317" s="14">
        <f>IF([1]Sheet2!CK316=999999,"NA",[1]Sheet2!CK316)</f>
        <v>0</v>
      </c>
      <c r="CD317" s="14">
        <f>[1]Sheet2!BH316</f>
        <v>0</v>
      </c>
      <c r="CE317" s="14">
        <f>[1]Sheet2!BI316</f>
        <v>0</v>
      </c>
      <c r="CF317" s="14">
        <f>[1]Sheet2!BJ316</f>
        <v>0</v>
      </c>
      <c r="CG317" s="14">
        <f>[1]Sheet2!BK316</f>
        <v>0</v>
      </c>
      <c r="CH317" s="14">
        <f>[1]Sheet2!BL316</f>
        <v>0</v>
      </c>
      <c r="CI317" s="14">
        <f>[1]Sheet2!BM316</f>
        <v>0</v>
      </c>
      <c r="CJ317" s="14">
        <f>[1]Sheet2!BN316</f>
        <v>0</v>
      </c>
      <c r="CK317" s="14">
        <f>[1]Sheet2!BO316</f>
        <v>0</v>
      </c>
      <c r="CL317" s="14">
        <f>[1]Sheet2!BP316</f>
        <v>0</v>
      </c>
      <c r="CM317" s="14">
        <f>[1]Sheet2!BQ316</f>
        <v>0</v>
      </c>
      <c r="CN317" s="16">
        <f>Demand_SW!B$13/30</f>
        <v>144.23076923076923</v>
      </c>
      <c r="CO317" s="16">
        <f>Demand_SW!C$13/30</f>
        <v>0</v>
      </c>
      <c r="CP317" s="16">
        <f>Demand_SW!D$13/30</f>
        <v>0</v>
      </c>
      <c r="CQ317" s="16">
        <f>Demand_SW!E$13/30</f>
        <v>0</v>
      </c>
      <c r="CR317" s="16">
        <f>Demand_SW!F$13/30</f>
        <v>0</v>
      </c>
      <c r="CS317" s="16">
        <f>Demand_SW!G$13/30</f>
        <v>144.23076923076923</v>
      </c>
      <c r="CT317" s="16">
        <f>Demand_SW!H$13/30</f>
        <v>0</v>
      </c>
      <c r="CU317" s="16">
        <f>Demand_SW!I$13/30</f>
        <v>0</v>
      </c>
      <c r="CV317" s="16">
        <f>Demand_SW!J$13/30</f>
        <v>0</v>
      </c>
      <c r="CW317" s="16">
        <f>Demand_SW!K$13/30</f>
        <v>0</v>
      </c>
      <c r="CX317" s="16">
        <f t="shared" si="146"/>
        <v>-19816.923076923114</v>
      </c>
      <c r="CY317" s="16">
        <f t="shared" si="147"/>
        <v>76.923076923077133</v>
      </c>
      <c r="CZ317" s="16">
        <f t="shared" si="148"/>
        <v>0</v>
      </c>
      <c r="DA317" s="16">
        <f t="shared" si="149"/>
        <v>0</v>
      </c>
      <c r="DB317" s="16">
        <f t="shared" si="150"/>
        <v>0</v>
      </c>
      <c r="DC317" s="16">
        <f t="shared" si="151"/>
        <v>-21048.153846153884</v>
      </c>
      <c r="DD317" s="16">
        <f t="shared" si="152"/>
        <v>76.923076923077133</v>
      </c>
      <c r="DE317" s="16">
        <f t="shared" si="153"/>
        <v>0</v>
      </c>
      <c r="DF317" s="16">
        <f t="shared" si="154"/>
        <v>0</v>
      </c>
      <c r="DG317" s="16">
        <f t="shared" si="155"/>
        <v>0</v>
      </c>
      <c r="DH317" s="14">
        <f>IF([1]Sheet2!DS316=999999,"NA",[1]Sheet2!DS316)</f>
        <v>0</v>
      </c>
      <c r="DI317" s="14">
        <f>IF([1]Sheet2!DT316=999999,"NA",[1]Sheet2!DT316)</f>
        <v>51</v>
      </c>
      <c r="DJ317" s="14" t="str">
        <f>IF([1]Sheet2!DU316=999999,"NA",[1]Sheet2!DU316)</f>
        <v>NA</v>
      </c>
      <c r="DK317" s="14" t="str">
        <f>IF([1]Sheet2!DV316=999999,"NA",[1]Sheet2!DV316)</f>
        <v>NA</v>
      </c>
      <c r="DL317" s="14" t="str">
        <f>IF([1]Sheet2!DW316=999999,"NA",[1]Sheet2!DW316)</f>
        <v>NA</v>
      </c>
      <c r="DM317" s="14">
        <f>IF([1]Sheet2!DX316=999999,"NA",[1]Sheet2!DX316)</f>
        <v>0</v>
      </c>
      <c r="DN317" s="14">
        <f>IF([1]Sheet2!DY316=999999,"NA",[1]Sheet2!DY316)</f>
        <v>51</v>
      </c>
      <c r="DO317" s="14" t="str">
        <f>IF([1]Sheet2!DZ316=999999,"NA",[1]Sheet2!DZ316)</f>
        <v>NA</v>
      </c>
      <c r="DP317" s="14" t="str">
        <f>IF([1]Sheet2!EA316=999999,"NA",[1]Sheet2!EA316)</f>
        <v>NA</v>
      </c>
      <c r="DQ317" s="14" t="str">
        <f>IF([1]Sheet2!EB316=999999,"NA",[1]Sheet2!EB316)</f>
        <v>NA</v>
      </c>
      <c r="DR317" s="14">
        <f>[1]Sheet2!CY316</f>
        <v>0</v>
      </c>
      <c r="DS317" s="14">
        <f>[1]Sheet2!CZ316</f>
        <v>0</v>
      </c>
      <c r="DT317" s="14">
        <f>[1]Sheet2!DA316</f>
        <v>0</v>
      </c>
      <c r="DU317" s="14">
        <f>[1]Sheet2!DB316</f>
        <v>0</v>
      </c>
      <c r="DV317" s="14">
        <f>[1]Sheet2!DC316</f>
        <v>0</v>
      </c>
      <c r="DW317" s="14">
        <f>[1]Sheet2!DD316</f>
        <v>0</v>
      </c>
      <c r="DX317" s="14">
        <f>[1]Sheet2!DE316</f>
        <v>0</v>
      </c>
      <c r="DY317" s="14">
        <f>[1]Sheet2!DF316</f>
        <v>0</v>
      </c>
      <c r="DZ317" s="14">
        <f>[1]Sheet2!DG316</f>
        <v>0</v>
      </c>
      <c r="EA317" s="14">
        <f>[1]Sheet2!DH316</f>
        <v>0</v>
      </c>
      <c r="EB317" s="6">
        <f>[1]Sheet2!EC316</f>
        <v>0</v>
      </c>
      <c r="EC317" s="6">
        <f>[1]Sheet2!ED316</f>
        <v>0</v>
      </c>
      <c r="ED317" s="6">
        <f>[1]Sheet2!EE316</f>
        <v>0</v>
      </c>
      <c r="EE317" s="6">
        <f>[1]Sheet2!EF316</f>
        <v>0</v>
      </c>
      <c r="EF317" s="6">
        <f>[1]Sheet2!EG316</f>
        <v>0</v>
      </c>
      <c r="EG317" s="6">
        <f>[1]Sheet2!EH316</f>
        <v>0</v>
      </c>
      <c r="EH317" s="6">
        <f>[1]Sheet2!EI316</f>
        <v>0</v>
      </c>
      <c r="EI317" s="6">
        <f>[1]Sheet2!EJ316</f>
        <v>0</v>
      </c>
      <c r="EJ317" s="6">
        <f>[1]Sheet2!EK316</f>
        <v>0</v>
      </c>
      <c r="EK317" s="6">
        <f>[1]Sheet2!EL316</f>
        <v>0</v>
      </c>
      <c r="EL317" s="6" t="str">
        <f>[1]Sheet2!EM316</f>
        <v/>
      </c>
      <c r="EM317" s="6" t="str">
        <f>[1]Sheet2!EN316</f>
        <v/>
      </c>
      <c r="EN317" s="6" t="str">
        <f>[1]Sheet2!EO316</f>
        <v/>
      </c>
      <c r="EO317" s="6" t="str">
        <f>[1]Sheet2!EP316</f>
        <v/>
      </c>
      <c r="EP317" s="6" t="str">
        <f>[1]Sheet2!EQ316</f>
        <v/>
      </c>
      <c r="EQ317" s="6" t="str">
        <f>[1]Sheet2!ER316</f>
        <v/>
      </c>
      <c r="ER317" s="6" t="str">
        <f>[1]Sheet2!ES316</f>
        <v/>
      </c>
      <c r="ES317" s="6" t="str">
        <f>[1]Sheet2!ET316</f>
        <v/>
      </c>
      <c r="ET317" s="6" t="str">
        <f>[1]Sheet2!EU316</f>
        <v/>
      </c>
      <c r="EU317" s="6" t="str">
        <f>[1]Sheet2!EV316</f>
        <v/>
      </c>
      <c r="EV317" s="6" t="str">
        <f>[1]Sheet2!EW316</f>
        <v/>
      </c>
      <c r="EW317" s="6" t="str">
        <f>[1]Sheet2!EX316</f>
        <v/>
      </c>
      <c r="EX317" s="6" t="str">
        <f>[1]Sheet2!EY316</f>
        <v/>
      </c>
      <c r="EY317" s="6" t="str">
        <f>[1]Sheet2!EZ316</f>
        <v/>
      </c>
      <c r="EZ317" s="6" t="str">
        <f>[1]Sheet2!FA316</f>
        <v/>
      </c>
      <c r="FA317" s="6" t="str">
        <f>[1]Sheet2!FB316</f>
        <v/>
      </c>
      <c r="FB317" s="6" t="str">
        <f>[1]Sheet2!FC316</f>
        <v/>
      </c>
      <c r="FC317" s="6" t="str">
        <f>[1]Sheet2!FD316</f>
        <v/>
      </c>
      <c r="FD317" s="6" t="str">
        <f>[1]Sheet2!FE316</f>
        <v/>
      </c>
      <c r="FE317" s="6" t="str">
        <f>[1]Sheet2!FF316</f>
        <v/>
      </c>
      <c r="FF317" s="6" t="str">
        <f>[1]Sheet2!FG316</f>
        <v/>
      </c>
      <c r="FG317" s="6" t="str">
        <f>[1]Sheet2!FH316</f>
        <v/>
      </c>
      <c r="FH317" s="6" t="str">
        <f>[1]Sheet2!FI316</f>
        <v/>
      </c>
      <c r="FI317" s="6" t="str">
        <f>[1]Sheet2!FJ316</f>
        <v/>
      </c>
      <c r="FJ317" s="6" t="str">
        <f>[1]Sheet2!FK316</f>
        <v/>
      </c>
      <c r="FK317" s="6" t="str">
        <f>[1]Sheet2!FL316</f>
        <v/>
      </c>
      <c r="FL317" s="6" t="str">
        <f>[1]Sheet2!FM316</f>
        <v/>
      </c>
      <c r="FM317" s="6" t="str">
        <f>[1]Sheet2!FN316</f>
        <v/>
      </c>
      <c r="FN317" s="6" t="str">
        <f>[1]Sheet2!FO316</f>
        <v/>
      </c>
      <c r="FO317" s="6" t="str">
        <f>[1]Sheet2!FP316</f>
        <v/>
      </c>
    </row>
    <row r="318" spans="1:171" x14ac:dyDescent="0.25">
      <c r="A318" s="15">
        <v>43780</v>
      </c>
      <c r="B318" s="1"/>
      <c r="C318" s="1"/>
      <c r="D318" s="1"/>
      <c r="E318" s="14">
        <f>[1]Sheet2!N317</f>
        <v>0</v>
      </c>
      <c r="F318" s="14">
        <f>[1]Sheet2!BE317</f>
        <v>0</v>
      </c>
      <c r="G318" s="14">
        <f>[1]Sheet2!CW317</f>
        <v>0</v>
      </c>
      <c r="H318" s="1"/>
      <c r="I318" s="1"/>
      <c r="J318" s="1"/>
      <c r="K318" s="16"/>
      <c r="L318" s="16">
        <f>Demand_CWRS!B$13/30</f>
        <v>111.92954594017094</v>
      </c>
      <c r="M318" s="16">
        <f>Demand_CWRS!C$13/30</f>
        <v>550.01145299145287</v>
      </c>
      <c r="N318" s="16">
        <f>Demand_CWRS!D$13/30</f>
        <v>0</v>
      </c>
      <c r="O318" s="16">
        <f>Demand_CWRS!E$13/30</f>
        <v>105.42606837606837</v>
      </c>
      <c r="P318" s="16">
        <f>Demand_CWRS!F$13/30</f>
        <v>220.33041399572647</v>
      </c>
      <c r="Q318" s="16">
        <f>Demand_CWRS!G$13/30</f>
        <v>111.92954594017094</v>
      </c>
      <c r="R318" s="16">
        <f>Demand_CWRS!H$13/30</f>
        <v>220.33041399572647</v>
      </c>
      <c r="S318" s="16">
        <f>Demand_CWRS!I$13/30</f>
        <v>220.33041399572647</v>
      </c>
      <c r="T318" s="16">
        <f>Demand_CWRS!J$13/30</f>
        <v>220.33041399572647</v>
      </c>
      <c r="U318" s="16">
        <f>Demand_CWRS!K$13/30</f>
        <v>220.33041399572647</v>
      </c>
      <c r="V318" s="16">
        <f t="shared" si="126"/>
        <v>-35824.839587610135</v>
      </c>
      <c r="W318" s="16">
        <f t="shared" si="127"/>
        <v>-142158.8772649568</v>
      </c>
      <c r="X318" s="16">
        <f t="shared" si="128"/>
        <v>0</v>
      </c>
      <c r="Y318" s="16">
        <f t="shared" si="129"/>
        <v>-27300.117148112084</v>
      </c>
      <c r="Z318" s="16">
        <f t="shared" si="130"/>
        <v>-62954.949991311019</v>
      </c>
      <c r="AA318" s="16">
        <f t="shared" si="131"/>
        <v>-34352.907063571751</v>
      </c>
      <c r="AB318" s="16">
        <f t="shared" si="132"/>
        <v>-67264.114766952029</v>
      </c>
      <c r="AC318" s="16">
        <f t="shared" si="133"/>
        <v>-61471.104510541787</v>
      </c>
      <c r="AD318" s="16">
        <f t="shared" si="134"/>
        <v>-61571.10451054178</v>
      </c>
      <c r="AE318" s="16">
        <f t="shared" si="135"/>
        <v>-62171.104510541772</v>
      </c>
      <c r="AF318" s="14">
        <f>IF([1]Sheet2!AJ317=999999,"NA",[1]Sheet2!AJ317)</f>
        <v>0</v>
      </c>
      <c r="AG318" s="14">
        <f>IF([1]Sheet2!AK317=999999,"NA",[1]Sheet2!AK317)</f>
        <v>0</v>
      </c>
      <c r="AH318" s="14" t="str">
        <f>IF([1]Sheet2!AL317=999999,"NA",[1]Sheet2!AL317)</f>
        <v>NA</v>
      </c>
      <c r="AI318" s="14">
        <f>IF([1]Sheet2!AM317=999999,"NA",[1]Sheet2!AM317)</f>
        <v>0</v>
      </c>
      <c r="AJ318" s="14">
        <f>IF([1]Sheet2!AN317=999999,"NA",[1]Sheet2!AN317)</f>
        <v>0</v>
      </c>
      <c r="AK318" s="14">
        <f>IF([1]Sheet2!AO317=999999,"NA",[1]Sheet2!AO317)</f>
        <v>0</v>
      </c>
      <c r="AL318" s="14">
        <f>IF([1]Sheet2!AP317=999999,"NA",[1]Sheet2!AP317)</f>
        <v>0</v>
      </c>
      <c r="AM318" s="14">
        <f>IF([1]Sheet2!AQ317=999999,"NA",[1]Sheet2!AQ317)</f>
        <v>0</v>
      </c>
      <c r="AN318" s="14">
        <f>IF([1]Sheet2!AR317=999999,"NA",[1]Sheet2!AR317)</f>
        <v>0</v>
      </c>
      <c r="AO318" s="14">
        <f>IF([1]Sheet2!AS317=999999,"NA",[1]Sheet2!AS317)</f>
        <v>0</v>
      </c>
      <c r="AP318" s="14">
        <f>[1]Sheet2!P317</f>
        <v>0</v>
      </c>
      <c r="AQ318" s="14">
        <f>[1]Sheet2!Q317</f>
        <v>0</v>
      </c>
      <c r="AR318" s="14">
        <f>[1]Sheet2!R317</f>
        <v>0</v>
      </c>
      <c r="AS318" s="14">
        <f>[1]Sheet2!S317</f>
        <v>0</v>
      </c>
      <c r="AT318" s="14">
        <f>[1]Sheet2!T317</f>
        <v>0</v>
      </c>
      <c r="AU318" s="14">
        <f>[1]Sheet2!U317</f>
        <v>0</v>
      </c>
      <c r="AV318" s="14">
        <f>[1]Sheet2!V317</f>
        <v>0</v>
      </c>
      <c r="AW318" s="14">
        <f>[1]Sheet2!W317</f>
        <v>0</v>
      </c>
      <c r="AX318" s="14">
        <f>[1]Sheet2!X317</f>
        <v>0</v>
      </c>
      <c r="AY318" s="14">
        <f>[1]Sheet2!Y317</f>
        <v>0</v>
      </c>
      <c r="AZ318" s="16">
        <f>Demand_LP!B$13/30</f>
        <v>849.16414262820524</v>
      </c>
      <c r="BA318" s="16">
        <f>Demand_LP!C$13/30</f>
        <v>632.84239316239314</v>
      </c>
      <c r="BB318" s="16">
        <f>Demand_LP!D$13/30</f>
        <v>269.64247863247863</v>
      </c>
      <c r="BC318" s="16">
        <f>Demand_LP!E$13/30</f>
        <v>815.03102564102551</v>
      </c>
      <c r="BD318" s="16">
        <f>Demand_LP!F$13/30</f>
        <v>536.05500267094021</v>
      </c>
      <c r="BE318" s="16">
        <f>Demand_LP!G$13/30</f>
        <v>536.05500267094021</v>
      </c>
      <c r="BF318" s="16">
        <f>Demand_LP!H$13/30</f>
        <v>632.84239316239314</v>
      </c>
      <c r="BG318" s="16">
        <f>Demand_LP!I$13/30</f>
        <v>536.05500267094021</v>
      </c>
      <c r="BH318" s="16">
        <f>Demand_LP!J$13/30</f>
        <v>536.05500267094021</v>
      </c>
      <c r="BI318" s="16">
        <f>Demand_LP!K$13/30</f>
        <v>536.05500267094021</v>
      </c>
      <c r="BJ318" s="16">
        <f t="shared" si="136"/>
        <v>-234945.20110713804</v>
      </c>
      <c r="BK318" s="16">
        <f t="shared" si="137"/>
        <v>-177073.7714529912</v>
      </c>
      <c r="BL318" s="16">
        <f t="shared" si="138"/>
        <v>-85070.544188034532</v>
      </c>
      <c r="BM318" s="16">
        <f t="shared" si="139"/>
        <v>-226932.81306069359</v>
      </c>
      <c r="BN318" s="16">
        <f t="shared" si="140"/>
        <v>-138544.89740908676</v>
      </c>
      <c r="BO318" s="16">
        <f t="shared" si="141"/>
        <v>-137002.58132745753</v>
      </c>
      <c r="BP318" s="16">
        <f t="shared" si="142"/>
        <v>-171431.35094017055</v>
      </c>
      <c r="BQ318" s="16">
        <f t="shared" si="143"/>
        <v>-132831.58132745756</v>
      </c>
      <c r="BR318" s="16">
        <f t="shared" si="144"/>
        <v>-134602.58132745759</v>
      </c>
      <c r="BS318" s="16">
        <f t="shared" si="145"/>
        <v>-135302.58132745759</v>
      </c>
      <c r="BT318" s="14">
        <f>IF([1]Sheet2!CB317=999999,"NA",[1]Sheet2!CB317)</f>
        <v>0</v>
      </c>
      <c r="BU318" s="14">
        <f>IF([1]Sheet2!CC317=999999,"NA",[1]Sheet2!CC317)</f>
        <v>0</v>
      </c>
      <c r="BV318" s="14">
        <f>IF([1]Sheet2!CD317=999999,"NA",[1]Sheet2!CD317)</f>
        <v>0</v>
      </c>
      <c r="BW318" s="14">
        <f>IF([1]Sheet2!CE317=999999,"NA",[1]Sheet2!CE317)</f>
        <v>0</v>
      </c>
      <c r="BX318" s="14">
        <f>IF([1]Sheet2!CF317=999999,"NA",[1]Sheet2!CF317)</f>
        <v>0</v>
      </c>
      <c r="BY318" s="14">
        <f>IF([1]Sheet2!CG317=999999,"NA",[1]Sheet2!CG317)</f>
        <v>0</v>
      </c>
      <c r="BZ318" s="14">
        <f>IF([1]Sheet2!CH317=999999,"NA",[1]Sheet2!CH317)</f>
        <v>0</v>
      </c>
      <c r="CA318" s="14">
        <f>IF([1]Sheet2!CI317=999999,"NA",[1]Sheet2!CI317)</f>
        <v>0</v>
      </c>
      <c r="CB318" s="14">
        <f>IF([1]Sheet2!CJ317=999999,"NA",[1]Sheet2!CJ317)</f>
        <v>0</v>
      </c>
      <c r="CC318" s="14">
        <f>IF([1]Sheet2!CK317=999999,"NA",[1]Sheet2!CK317)</f>
        <v>0</v>
      </c>
      <c r="CD318" s="14">
        <f>[1]Sheet2!BH317</f>
        <v>0</v>
      </c>
      <c r="CE318" s="14">
        <f>[1]Sheet2!BI317</f>
        <v>0</v>
      </c>
      <c r="CF318" s="14">
        <f>[1]Sheet2!BJ317</f>
        <v>0</v>
      </c>
      <c r="CG318" s="14">
        <f>[1]Sheet2!BK317</f>
        <v>0</v>
      </c>
      <c r="CH318" s="14">
        <f>[1]Sheet2!BL317</f>
        <v>0</v>
      </c>
      <c r="CI318" s="14">
        <f>[1]Sheet2!BM317</f>
        <v>0</v>
      </c>
      <c r="CJ318" s="14">
        <f>[1]Sheet2!BN317</f>
        <v>0</v>
      </c>
      <c r="CK318" s="14">
        <f>[1]Sheet2!BO317</f>
        <v>0</v>
      </c>
      <c r="CL318" s="14">
        <f>[1]Sheet2!BP317</f>
        <v>0</v>
      </c>
      <c r="CM318" s="14">
        <f>[1]Sheet2!BQ317</f>
        <v>0</v>
      </c>
      <c r="CN318" s="16">
        <f>Demand_SW!B$13/30</f>
        <v>144.23076923076923</v>
      </c>
      <c r="CO318" s="16">
        <f>Demand_SW!C$13/30</f>
        <v>0</v>
      </c>
      <c r="CP318" s="16">
        <f>Demand_SW!D$13/30</f>
        <v>0</v>
      </c>
      <c r="CQ318" s="16">
        <f>Demand_SW!E$13/30</f>
        <v>0</v>
      </c>
      <c r="CR318" s="16">
        <f>Demand_SW!F$13/30</f>
        <v>0</v>
      </c>
      <c r="CS318" s="16">
        <f>Demand_SW!G$13/30</f>
        <v>144.23076923076923</v>
      </c>
      <c r="CT318" s="16">
        <f>Demand_SW!H$13/30</f>
        <v>0</v>
      </c>
      <c r="CU318" s="16">
        <f>Demand_SW!I$13/30</f>
        <v>0</v>
      </c>
      <c r="CV318" s="16">
        <f>Demand_SW!J$13/30</f>
        <v>0</v>
      </c>
      <c r="CW318" s="16">
        <f>Demand_SW!K$13/30</f>
        <v>0</v>
      </c>
      <c r="CX318" s="16">
        <f t="shared" si="146"/>
        <v>-19961.153846153884</v>
      </c>
      <c r="CY318" s="16">
        <f t="shared" si="147"/>
        <v>76.923076923077133</v>
      </c>
      <c r="CZ318" s="16">
        <f t="shared" si="148"/>
        <v>0</v>
      </c>
      <c r="DA318" s="16">
        <f t="shared" si="149"/>
        <v>0</v>
      </c>
      <c r="DB318" s="16">
        <f t="shared" si="150"/>
        <v>0</v>
      </c>
      <c r="DC318" s="16">
        <f t="shared" si="151"/>
        <v>-21192.384615384653</v>
      </c>
      <c r="DD318" s="16">
        <f t="shared" si="152"/>
        <v>76.923076923077133</v>
      </c>
      <c r="DE318" s="16">
        <f t="shared" si="153"/>
        <v>0</v>
      </c>
      <c r="DF318" s="16">
        <f t="shared" si="154"/>
        <v>0</v>
      </c>
      <c r="DG318" s="16">
        <f t="shared" si="155"/>
        <v>0</v>
      </c>
      <c r="DH318" s="14">
        <f>IF([1]Sheet2!DS317=999999,"NA",[1]Sheet2!DS317)</f>
        <v>0</v>
      </c>
      <c r="DI318" s="14">
        <f>IF([1]Sheet2!DT317=999999,"NA",[1]Sheet2!DT317)</f>
        <v>50</v>
      </c>
      <c r="DJ318" s="14" t="str">
        <f>IF([1]Sheet2!DU317=999999,"NA",[1]Sheet2!DU317)</f>
        <v>NA</v>
      </c>
      <c r="DK318" s="14" t="str">
        <f>IF([1]Sheet2!DV317=999999,"NA",[1]Sheet2!DV317)</f>
        <v>NA</v>
      </c>
      <c r="DL318" s="14" t="str">
        <f>IF([1]Sheet2!DW317=999999,"NA",[1]Sheet2!DW317)</f>
        <v>NA</v>
      </c>
      <c r="DM318" s="14">
        <f>IF([1]Sheet2!DX317=999999,"NA",[1]Sheet2!DX317)</f>
        <v>0</v>
      </c>
      <c r="DN318" s="14">
        <f>IF([1]Sheet2!DY317=999999,"NA",[1]Sheet2!DY317)</f>
        <v>50</v>
      </c>
      <c r="DO318" s="14" t="str">
        <f>IF([1]Sheet2!DZ317=999999,"NA",[1]Sheet2!DZ317)</f>
        <v>NA</v>
      </c>
      <c r="DP318" s="14" t="str">
        <f>IF([1]Sheet2!EA317=999999,"NA",[1]Sheet2!EA317)</f>
        <v>NA</v>
      </c>
      <c r="DQ318" s="14" t="str">
        <f>IF([1]Sheet2!EB317=999999,"NA",[1]Sheet2!EB317)</f>
        <v>NA</v>
      </c>
      <c r="DR318" s="14">
        <f>[1]Sheet2!CY317</f>
        <v>0</v>
      </c>
      <c r="DS318" s="14">
        <f>[1]Sheet2!CZ317</f>
        <v>0</v>
      </c>
      <c r="DT318" s="14">
        <f>[1]Sheet2!DA317</f>
        <v>0</v>
      </c>
      <c r="DU318" s="14">
        <f>[1]Sheet2!DB317</f>
        <v>0</v>
      </c>
      <c r="DV318" s="14">
        <f>[1]Sheet2!DC317</f>
        <v>0</v>
      </c>
      <c r="DW318" s="14">
        <f>[1]Sheet2!DD317</f>
        <v>0</v>
      </c>
      <c r="DX318" s="14">
        <f>[1]Sheet2!DE317</f>
        <v>0</v>
      </c>
      <c r="DY318" s="14">
        <f>[1]Sheet2!DF317</f>
        <v>0</v>
      </c>
      <c r="DZ318" s="14">
        <f>[1]Sheet2!DG317</f>
        <v>0</v>
      </c>
      <c r="EA318" s="14">
        <f>[1]Sheet2!DH317</f>
        <v>0</v>
      </c>
      <c r="EB318" s="6">
        <f>[1]Sheet2!EC317</f>
        <v>0</v>
      </c>
      <c r="EC318" s="6">
        <f>[1]Sheet2!ED317</f>
        <v>0</v>
      </c>
      <c r="ED318" s="6">
        <f>[1]Sheet2!EE317</f>
        <v>0</v>
      </c>
      <c r="EE318" s="6">
        <f>[1]Sheet2!EF317</f>
        <v>0</v>
      </c>
      <c r="EF318" s="6">
        <f>[1]Sheet2!EG317</f>
        <v>0</v>
      </c>
      <c r="EG318" s="6">
        <f>[1]Sheet2!EH317</f>
        <v>0</v>
      </c>
      <c r="EH318" s="6">
        <f>[1]Sheet2!EI317</f>
        <v>0</v>
      </c>
      <c r="EI318" s="6">
        <f>[1]Sheet2!EJ317</f>
        <v>0</v>
      </c>
      <c r="EJ318" s="6">
        <f>[1]Sheet2!EK317</f>
        <v>0</v>
      </c>
      <c r="EK318" s="6">
        <f>[1]Sheet2!EL317</f>
        <v>0</v>
      </c>
      <c r="EL318" s="6" t="str">
        <f>[1]Sheet2!EM317</f>
        <v/>
      </c>
      <c r="EM318" s="6" t="str">
        <f>[1]Sheet2!EN317</f>
        <v/>
      </c>
      <c r="EN318" s="6" t="str">
        <f>[1]Sheet2!EO317</f>
        <v/>
      </c>
      <c r="EO318" s="6" t="str">
        <f>[1]Sheet2!EP317</f>
        <v/>
      </c>
      <c r="EP318" s="6" t="str">
        <f>[1]Sheet2!EQ317</f>
        <v/>
      </c>
      <c r="EQ318" s="6" t="str">
        <f>[1]Sheet2!ER317</f>
        <v/>
      </c>
      <c r="ER318" s="6" t="str">
        <f>[1]Sheet2!ES317</f>
        <v/>
      </c>
      <c r="ES318" s="6" t="str">
        <f>[1]Sheet2!ET317</f>
        <v/>
      </c>
      <c r="ET318" s="6" t="str">
        <f>[1]Sheet2!EU317</f>
        <v/>
      </c>
      <c r="EU318" s="6" t="str">
        <f>[1]Sheet2!EV317</f>
        <v/>
      </c>
      <c r="EV318" s="6" t="str">
        <f>[1]Sheet2!EW317</f>
        <v/>
      </c>
      <c r="EW318" s="6" t="str">
        <f>[1]Sheet2!EX317</f>
        <v/>
      </c>
      <c r="EX318" s="6" t="str">
        <f>[1]Sheet2!EY317</f>
        <v/>
      </c>
      <c r="EY318" s="6" t="str">
        <f>[1]Sheet2!EZ317</f>
        <v/>
      </c>
      <c r="EZ318" s="6" t="str">
        <f>[1]Sheet2!FA317</f>
        <v/>
      </c>
      <c r="FA318" s="6" t="str">
        <f>[1]Sheet2!FB317</f>
        <v/>
      </c>
      <c r="FB318" s="6" t="str">
        <f>[1]Sheet2!FC317</f>
        <v/>
      </c>
      <c r="FC318" s="6" t="str">
        <f>[1]Sheet2!FD317</f>
        <v/>
      </c>
      <c r="FD318" s="6" t="str">
        <f>[1]Sheet2!FE317</f>
        <v/>
      </c>
      <c r="FE318" s="6" t="str">
        <f>[1]Sheet2!FF317</f>
        <v/>
      </c>
      <c r="FF318" s="6" t="str">
        <f>[1]Sheet2!FG317</f>
        <v/>
      </c>
      <c r="FG318" s="6" t="str">
        <f>[1]Sheet2!FH317</f>
        <v/>
      </c>
      <c r="FH318" s="6" t="str">
        <f>[1]Sheet2!FI317</f>
        <v/>
      </c>
      <c r="FI318" s="6" t="str">
        <f>[1]Sheet2!FJ317</f>
        <v/>
      </c>
      <c r="FJ318" s="6" t="str">
        <f>[1]Sheet2!FK317</f>
        <v/>
      </c>
      <c r="FK318" s="6" t="str">
        <f>[1]Sheet2!FL317</f>
        <v/>
      </c>
      <c r="FL318" s="6" t="str">
        <f>[1]Sheet2!FM317</f>
        <v/>
      </c>
      <c r="FM318" s="6" t="str">
        <f>[1]Sheet2!FN317</f>
        <v/>
      </c>
      <c r="FN318" s="6" t="str">
        <f>[1]Sheet2!FO317</f>
        <v/>
      </c>
      <c r="FO318" s="6" t="str">
        <f>[1]Sheet2!FP317</f>
        <v/>
      </c>
    </row>
    <row r="319" spans="1:171" x14ac:dyDescent="0.25">
      <c r="A319" s="15">
        <v>43781</v>
      </c>
      <c r="B319" s="1"/>
      <c r="C319" s="1"/>
      <c r="D319" s="1"/>
      <c r="E319" s="14">
        <f>[1]Sheet2!N318</f>
        <v>0</v>
      </c>
      <c r="F319" s="14">
        <f>[1]Sheet2!BE318</f>
        <v>0</v>
      </c>
      <c r="G319" s="14">
        <f>[1]Sheet2!CW318</f>
        <v>0</v>
      </c>
      <c r="H319" s="1"/>
      <c r="I319" s="1"/>
      <c r="J319" s="1"/>
      <c r="K319" s="16"/>
      <c r="L319" s="16">
        <f>Demand_CWRS!B$13/30</f>
        <v>111.92954594017094</v>
      </c>
      <c r="M319" s="16">
        <f>Demand_CWRS!C$13/30</f>
        <v>550.01145299145287</v>
      </c>
      <c r="N319" s="16">
        <f>Demand_CWRS!D$13/30</f>
        <v>0</v>
      </c>
      <c r="O319" s="16">
        <f>Demand_CWRS!E$13/30</f>
        <v>105.42606837606837</v>
      </c>
      <c r="P319" s="16">
        <f>Demand_CWRS!F$13/30</f>
        <v>220.33041399572647</v>
      </c>
      <c r="Q319" s="16">
        <f>Demand_CWRS!G$13/30</f>
        <v>111.92954594017094</v>
      </c>
      <c r="R319" s="16">
        <f>Demand_CWRS!H$13/30</f>
        <v>220.33041399572647</v>
      </c>
      <c r="S319" s="16">
        <f>Demand_CWRS!I$13/30</f>
        <v>220.33041399572647</v>
      </c>
      <c r="T319" s="16">
        <f>Demand_CWRS!J$13/30</f>
        <v>220.33041399572647</v>
      </c>
      <c r="U319" s="16">
        <f>Demand_CWRS!K$13/30</f>
        <v>220.33041399572647</v>
      </c>
      <c r="V319" s="16">
        <f t="shared" si="126"/>
        <v>-35936.769133550304</v>
      </c>
      <c r="W319" s="16">
        <f t="shared" si="127"/>
        <v>-142708.88871794826</v>
      </c>
      <c r="X319" s="16">
        <f t="shared" si="128"/>
        <v>0</v>
      </c>
      <c r="Y319" s="16">
        <f t="shared" si="129"/>
        <v>-27405.543216488153</v>
      </c>
      <c r="Z319" s="16">
        <f t="shared" si="130"/>
        <v>-63175.280405306745</v>
      </c>
      <c r="AA319" s="16">
        <f t="shared" si="131"/>
        <v>-34464.83660951192</v>
      </c>
      <c r="AB319" s="16">
        <f t="shared" si="132"/>
        <v>-67484.445180947761</v>
      </c>
      <c r="AC319" s="16">
        <f t="shared" si="133"/>
        <v>-61691.434924537512</v>
      </c>
      <c r="AD319" s="16">
        <f t="shared" si="134"/>
        <v>-61791.434924537505</v>
      </c>
      <c r="AE319" s="16">
        <f t="shared" si="135"/>
        <v>-62391.434924537498</v>
      </c>
      <c r="AF319" s="14">
        <f>IF([1]Sheet2!AJ318=999999,"NA",[1]Sheet2!AJ318)</f>
        <v>0</v>
      </c>
      <c r="AG319" s="14">
        <f>IF([1]Sheet2!AK318=999999,"NA",[1]Sheet2!AK318)</f>
        <v>0</v>
      </c>
      <c r="AH319" s="14" t="str">
        <f>IF([1]Sheet2!AL318=999999,"NA",[1]Sheet2!AL318)</f>
        <v>NA</v>
      </c>
      <c r="AI319" s="14">
        <f>IF([1]Sheet2!AM318=999999,"NA",[1]Sheet2!AM318)</f>
        <v>0</v>
      </c>
      <c r="AJ319" s="14">
        <f>IF([1]Sheet2!AN318=999999,"NA",[1]Sheet2!AN318)</f>
        <v>0</v>
      </c>
      <c r="AK319" s="14">
        <f>IF([1]Sheet2!AO318=999999,"NA",[1]Sheet2!AO318)</f>
        <v>0</v>
      </c>
      <c r="AL319" s="14">
        <f>IF([1]Sheet2!AP318=999999,"NA",[1]Sheet2!AP318)</f>
        <v>0</v>
      </c>
      <c r="AM319" s="14">
        <f>IF([1]Sheet2!AQ318=999999,"NA",[1]Sheet2!AQ318)</f>
        <v>0</v>
      </c>
      <c r="AN319" s="14">
        <f>IF([1]Sheet2!AR318=999999,"NA",[1]Sheet2!AR318)</f>
        <v>0</v>
      </c>
      <c r="AO319" s="14">
        <f>IF([1]Sheet2!AS318=999999,"NA",[1]Sheet2!AS318)</f>
        <v>0</v>
      </c>
      <c r="AP319" s="14">
        <f>[1]Sheet2!P318</f>
        <v>0</v>
      </c>
      <c r="AQ319" s="14">
        <f>[1]Sheet2!Q318</f>
        <v>0</v>
      </c>
      <c r="AR319" s="14">
        <f>[1]Sheet2!R318</f>
        <v>0</v>
      </c>
      <c r="AS319" s="14">
        <f>[1]Sheet2!S318</f>
        <v>0</v>
      </c>
      <c r="AT319" s="14">
        <f>[1]Sheet2!T318</f>
        <v>0</v>
      </c>
      <c r="AU319" s="14">
        <f>[1]Sheet2!U318</f>
        <v>0</v>
      </c>
      <c r="AV319" s="14">
        <f>[1]Sheet2!V318</f>
        <v>0</v>
      </c>
      <c r="AW319" s="14">
        <f>[1]Sheet2!W318</f>
        <v>0</v>
      </c>
      <c r="AX319" s="14">
        <f>[1]Sheet2!X318</f>
        <v>0</v>
      </c>
      <c r="AY319" s="14">
        <f>[1]Sheet2!Y318</f>
        <v>0</v>
      </c>
      <c r="AZ319" s="16">
        <f>Demand_LP!B$13/30</f>
        <v>849.16414262820524</v>
      </c>
      <c r="BA319" s="16">
        <f>Demand_LP!C$13/30</f>
        <v>632.84239316239314</v>
      </c>
      <c r="BB319" s="16">
        <f>Demand_LP!D$13/30</f>
        <v>269.64247863247863</v>
      </c>
      <c r="BC319" s="16">
        <f>Demand_LP!E$13/30</f>
        <v>815.03102564102551</v>
      </c>
      <c r="BD319" s="16">
        <f>Demand_LP!F$13/30</f>
        <v>536.05500267094021</v>
      </c>
      <c r="BE319" s="16">
        <f>Demand_LP!G$13/30</f>
        <v>536.05500267094021</v>
      </c>
      <c r="BF319" s="16">
        <f>Demand_LP!H$13/30</f>
        <v>632.84239316239314</v>
      </c>
      <c r="BG319" s="16">
        <f>Demand_LP!I$13/30</f>
        <v>536.05500267094021</v>
      </c>
      <c r="BH319" s="16">
        <f>Demand_LP!J$13/30</f>
        <v>536.05500267094021</v>
      </c>
      <c r="BI319" s="16">
        <f>Demand_LP!K$13/30</f>
        <v>536.05500267094021</v>
      </c>
      <c r="BJ319" s="16">
        <f t="shared" si="136"/>
        <v>-235794.36524976624</v>
      </c>
      <c r="BK319" s="16">
        <f t="shared" si="137"/>
        <v>-177706.6138461536</v>
      </c>
      <c r="BL319" s="16">
        <f t="shared" si="138"/>
        <v>-85340.18666666701</v>
      </c>
      <c r="BM319" s="16">
        <f t="shared" si="139"/>
        <v>-227747.8440863346</v>
      </c>
      <c r="BN319" s="16">
        <f t="shared" si="140"/>
        <v>-139080.95241175769</v>
      </c>
      <c r="BO319" s="16">
        <f t="shared" si="141"/>
        <v>-137538.63633012847</v>
      </c>
      <c r="BP319" s="16">
        <f t="shared" si="142"/>
        <v>-172064.19333333295</v>
      </c>
      <c r="BQ319" s="16">
        <f t="shared" si="143"/>
        <v>-133367.6363301285</v>
      </c>
      <c r="BR319" s="16">
        <f t="shared" si="144"/>
        <v>-135138.63633012853</v>
      </c>
      <c r="BS319" s="16">
        <f t="shared" si="145"/>
        <v>-135838.63633012853</v>
      </c>
      <c r="BT319" s="14">
        <f>IF([1]Sheet2!CB318=999999,"NA",[1]Sheet2!CB318)</f>
        <v>0</v>
      </c>
      <c r="BU319" s="14">
        <f>IF([1]Sheet2!CC318=999999,"NA",[1]Sheet2!CC318)</f>
        <v>0</v>
      </c>
      <c r="BV319" s="14">
        <f>IF([1]Sheet2!CD318=999999,"NA",[1]Sheet2!CD318)</f>
        <v>0</v>
      </c>
      <c r="BW319" s="14">
        <f>IF([1]Sheet2!CE318=999999,"NA",[1]Sheet2!CE318)</f>
        <v>0</v>
      </c>
      <c r="BX319" s="14">
        <f>IF([1]Sheet2!CF318=999999,"NA",[1]Sheet2!CF318)</f>
        <v>0</v>
      </c>
      <c r="BY319" s="14">
        <f>IF([1]Sheet2!CG318=999999,"NA",[1]Sheet2!CG318)</f>
        <v>0</v>
      </c>
      <c r="BZ319" s="14">
        <f>IF([1]Sheet2!CH318=999999,"NA",[1]Sheet2!CH318)</f>
        <v>0</v>
      </c>
      <c r="CA319" s="14">
        <f>IF([1]Sheet2!CI318=999999,"NA",[1]Sheet2!CI318)</f>
        <v>0</v>
      </c>
      <c r="CB319" s="14">
        <f>IF([1]Sheet2!CJ318=999999,"NA",[1]Sheet2!CJ318)</f>
        <v>0</v>
      </c>
      <c r="CC319" s="14">
        <f>IF([1]Sheet2!CK318=999999,"NA",[1]Sheet2!CK318)</f>
        <v>0</v>
      </c>
      <c r="CD319" s="14">
        <f>[1]Sheet2!BH318</f>
        <v>0</v>
      </c>
      <c r="CE319" s="14">
        <f>[1]Sheet2!BI318</f>
        <v>0</v>
      </c>
      <c r="CF319" s="14">
        <f>[1]Sheet2!BJ318</f>
        <v>0</v>
      </c>
      <c r="CG319" s="14">
        <f>[1]Sheet2!BK318</f>
        <v>0</v>
      </c>
      <c r="CH319" s="14">
        <f>[1]Sheet2!BL318</f>
        <v>0</v>
      </c>
      <c r="CI319" s="14">
        <f>[1]Sheet2!BM318</f>
        <v>0</v>
      </c>
      <c r="CJ319" s="14">
        <f>[1]Sheet2!BN318</f>
        <v>0</v>
      </c>
      <c r="CK319" s="14">
        <f>[1]Sheet2!BO318</f>
        <v>0</v>
      </c>
      <c r="CL319" s="14">
        <f>[1]Sheet2!BP318</f>
        <v>0</v>
      </c>
      <c r="CM319" s="14">
        <f>[1]Sheet2!BQ318</f>
        <v>0</v>
      </c>
      <c r="CN319" s="16">
        <f>Demand_SW!B$13/30</f>
        <v>144.23076923076923</v>
      </c>
      <c r="CO319" s="16">
        <f>Demand_SW!C$13/30</f>
        <v>0</v>
      </c>
      <c r="CP319" s="16">
        <f>Demand_SW!D$13/30</f>
        <v>0</v>
      </c>
      <c r="CQ319" s="16">
        <f>Demand_SW!E$13/30</f>
        <v>0</v>
      </c>
      <c r="CR319" s="16">
        <f>Demand_SW!F$13/30</f>
        <v>0</v>
      </c>
      <c r="CS319" s="16">
        <f>Demand_SW!G$13/30</f>
        <v>144.23076923076923</v>
      </c>
      <c r="CT319" s="16">
        <f>Demand_SW!H$13/30</f>
        <v>0</v>
      </c>
      <c r="CU319" s="16">
        <f>Demand_SW!I$13/30</f>
        <v>0</v>
      </c>
      <c r="CV319" s="16">
        <f>Demand_SW!J$13/30</f>
        <v>0</v>
      </c>
      <c r="CW319" s="16">
        <f>Demand_SW!K$13/30</f>
        <v>0</v>
      </c>
      <c r="CX319" s="16">
        <f t="shared" si="146"/>
        <v>-20105.384615384653</v>
      </c>
      <c r="CY319" s="16">
        <f t="shared" si="147"/>
        <v>76.923076923077133</v>
      </c>
      <c r="CZ319" s="16">
        <f t="shared" si="148"/>
        <v>0</v>
      </c>
      <c r="DA319" s="16">
        <f t="shared" si="149"/>
        <v>0</v>
      </c>
      <c r="DB319" s="16">
        <f t="shared" si="150"/>
        <v>0</v>
      </c>
      <c r="DC319" s="16">
        <f t="shared" si="151"/>
        <v>-21336.615384615423</v>
      </c>
      <c r="DD319" s="16">
        <f t="shared" si="152"/>
        <v>76.923076923077133</v>
      </c>
      <c r="DE319" s="16">
        <f t="shared" si="153"/>
        <v>0</v>
      </c>
      <c r="DF319" s="16">
        <f t="shared" si="154"/>
        <v>0</v>
      </c>
      <c r="DG319" s="16">
        <f t="shared" si="155"/>
        <v>0</v>
      </c>
      <c r="DH319" s="14">
        <f>IF([1]Sheet2!DS318=999999,"NA",[1]Sheet2!DS318)</f>
        <v>0</v>
      </c>
      <c r="DI319" s="14">
        <f>IF([1]Sheet2!DT318=999999,"NA",[1]Sheet2!DT318)</f>
        <v>49</v>
      </c>
      <c r="DJ319" s="14" t="str">
        <f>IF([1]Sheet2!DU318=999999,"NA",[1]Sheet2!DU318)</f>
        <v>NA</v>
      </c>
      <c r="DK319" s="14" t="str">
        <f>IF([1]Sheet2!DV318=999999,"NA",[1]Sheet2!DV318)</f>
        <v>NA</v>
      </c>
      <c r="DL319" s="14" t="str">
        <f>IF([1]Sheet2!DW318=999999,"NA",[1]Sheet2!DW318)</f>
        <v>NA</v>
      </c>
      <c r="DM319" s="14">
        <f>IF([1]Sheet2!DX318=999999,"NA",[1]Sheet2!DX318)</f>
        <v>0</v>
      </c>
      <c r="DN319" s="14">
        <f>IF([1]Sheet2!DY318=999999,"NA",[1]Sheet2!DY318)</f>
        <v>49</v>
      </c>
      <c r="DO319" s="14" t="str">
        <f>IF([1]Sheet2!DZ318=999999,"NA",[1]Sheet2!DZ318)</f>
        <v>NA</v>
      </c>
      <c r="DP319" s="14" t="str">
        <f>IF([1]Sheet2!EA318=999999,"NA",[1]Sheet2!EA318)</f>
        <v>NA</v>
      </c>
      <c r="DQ319" s="14" t="str">
        <f>IF([1]Sheet2!EB318=999999,"NA",[1]Sheet2!EB318)</f>
        <v>NA</v>
      </c>
      <c r="DR319" s="14">
        <f>[1]Sheet2!CY318</f>
        <v>0</v>
      </c>
      <c r="DS319" s="14">
        <f>[1]Sheet2!CZ318</f>
        <v>0</v>
      </c>
      <c r="DT319" s="14">
        <f>[1]Sheet2!DA318</f>
        <v>0</v>
      </c>
      <c r="DU319" s="14">
        <f>[1]Sheet2!DB318</f>
        <v>0</v>
      </c>
      <c r="DV319" s="14">
        <f>[1]Sheet2!DC318</f>
        <v>0</v>
      </c>
      <c r="DW319" s="14">
        <f>[1]Sheet2!DD318</f>
        <v>0</v>
      </c>
      <c r="DX319" s="14">
        <f>[1]Sheet2!DE318</f>
        <v>0</v>
      </c>
      <c r="DY319" s="14">
        <f>[1]Sheet2!DF318</f>
        <v>0</v>
      </c>
      <c r="DZ319" s="14">
        <f>[1]Sheet2!DG318</f>
        <v>0</v>
      </c>
      <c r="EA319" s="14">
        <f>[1]Sheet2!DH318</f>
        <v>0</v>
      </c>
      <c r="EB319" s="6">
        <f>[1]Sheet2!EC318</f>
        <v>0</v>
      </c>
      <c r="EC319" s="6">
        <f>[1]Sheet2!ED318</f>
        <v>0</v>
      </c>
      <c r="ED319" s="6">
        <f>[1]Sheet2!EE318</f>
        <v>0</v>
      </c>
      <c r="EE319" s="6">
        <f>[1]Sheet2!EF318</f>
        <v>0</v>
      </c>
      <c r="EF319" s="6">
        <f>[1]Sheet2!EG318</f>
        <v>0</v>
      </c>
      <c r="EG319" s="6">
        <f>[1]Sheet2!EH318</f>
        <v>0</v>
      </c>
      <c r="EH319" s="6">
        <f>[1]Sheet2!EI318</f>
        <v>0</v>
      </c>
      <c r="EI319" s="6">
        <f>[1]Sheet2!EJ318</f>
        <v>0</v>
      </c>
      <c r="EJ319" s="6">
        <f>[1]Sheet2!EK318</f>
        <v>0</v>
      </c>
      <c r="EK319" s="6">
        <f>[1]Sheet2!EL318</f>
        <v>0</v>
      </c>
      <c r="EL319" s="6" t="str">
        <f>[1]Sheet2!EM318</f>
        <v/>
      </c>
      <c r="EM319" s="6" t="str">
        <f>[1]Sheet2!EN318</f>
        <v/>
      </c>
      <c r="EN319" s="6" t="str">
        <f>[1]Sheet2!EO318</f>
        <v/>
      </c>
      <c r="EO319" s="6" t="str">
        <f>[1]Sheet2!EP318</f>
        <v/>
      </c>
      <c r="EP319" s="6" t="str">
        <f>[1]Sheet2!EQ318</f>
        <v/>
      </c>
      <c r="EQ319" s="6" t="str">
        <f>[1]Sheet2!ER318</f>
        <v/>
      </c>
      <c r="ER319" s="6" t="str">
        <f>[1]Sheet2!ES318</f>
        <v/>
      </c>
      <c r="ES319" s="6" t="str">
        <f>[1]Sheet2!ET318</f>
        <v/>
      </c>
      <c r="ET319" s="6" t="str">
        <f>[1]Sheet2!EU318</f>
        <v/>
      </c>
      <c r="EU319" s="6" t="str">
        <f>[1]Sheet2!EV318</f>
        <v/>
      </c>
      <c r="EV319" s="6" t="str">
        <f>[1]Sheet2!EW318</f>
        <v/>
      </c>
      <c r="EW319" s="6" t="str">
        <f>[1]Sheet2!EX318</f>
        <v/>
      </c>
      <c r="EX319" s="6" t="str">
        <f>[1]Sheet2!EY318</f>
        <v/>
      </c>
      <c r="EY319" s="6" t="str">
        <f>[1]Sheet2!EZ318</f>
        <v/>
      </c>
      <c r="EZ319" s="6" t="str">
        <f>[1]Sheet2!FA318</f>
        <v/>
      </c>
      <c r="FA319" s="6" t="str">
        <f>[1]Sheet2!FB318</f>
        <v/>
      </c>
      <c r="FB319" s="6" t="str">
        <f>[1]Sheet2!FC318</f>
        <v/>
      </c>
      <c r="FC319" s="6" t="str">
        <f>[1]Sheet2!FD318</f>
        <v/>
      </c>
      <c r="FD319" s="6" t="str">
        <f>[1]Sheet2!FE318</f>
        <v/>
      </c>
      <c r="FE319" s="6" t="str">
        <f>[1]Sheet2!FF318</f>
        <v/>
      </c>
      <c r="FF319" s="6" t="str">
        <f>[1]Sheet2!FG318</f>
        <v/>
      </c>
      <c r="FG319" s="6" t="str">
        <f>[1]Sheet2!FH318</f>
        <v/>
      </c>
      <c r="FH319" s="6" t="str">
        <f>[1]Sheet2!FI318</f>
        <v/>
      </c>
      <c r="FI319" s="6" t="str">
        <f>[1]Sheet2!FJ318</f>
        <v/>
      </c>
      <c r="FJ319" s="6" t="str">
        <f>[1]Sheet2!FK318</f>
        <v/>
      </c>
      <c r="FK319" s="6" t="str">
        <f>[1]Sheet2!FL318</f>
        <v/>
      </c>
      <c r="FL319" s="6" t="str">
        <f>[1]Sheet2!FM318</f>
        <v/>
      </c>
      <c r="FM319" s="6" t="str">
        <f>[1]Sheet2!FN318</f>
        <v/>
      </c>
      <c r="FN319" s="6" t="str">
        <f>[1]Sheet2!FO318</f>
        <v/>
      </c>
      <c r="FO319" s="6" t="str">
        <f>[1]Sheet2!FP318</f>
        <v/>
      </c>
    </row>
    <row r="320" spans="1:171" x14ac:dyDescent="0.25">
      <c r="A320" s="15">
        <v>43782</v>
      </c>
      <c r="B320" s="1"/>
      <c r="C320" s="1"/>
      <c r="D320" s="1"/>
      <c r="E320" s="14">
        <f>[1]Sheet2!N319</f>
        <v>0</v>
      </c>
      <c r="F320" s="14">
        <f>[1]Sheet2!BE319</f>
        <v>0</v>
      </c>
      <c r="G320" s="14">
        <f>[1]Sheet2!CW319</f>
        <v>0</v>
      </c>
      <c r="H320" s="1"/>
      <c r="I320" s="1"/>
      <c r="J320" s="1"/>
      <c r="K320" s="16"/>
      <c r="L320" s="16">
        <f>Demand_CWRS!B$13/30</f>
        <v>111.92954594017094</v>
      </c>
      <c r="M320" s="16">
        <f>Demand_CWRS!C$13/30</f>
        <v>550.01145299145287</v>
      </c>
      <c r="N320" s="16">
        <f>Demand_CWRS!D$13/30</f>
        <v>0</v>
      </c>
      <c r="O320" s="16">
        <f>Demand_CWRS!E$13/30</f>
        <v>105.42606837606837</v>
      </c>
      <c r="P320" s="16">
        <f>Demand_CWRS!F$13/30</f>
        <v>220.33041399572647</v>
      </c>
      <c r="Q320" s="16">
        <f>Demand_CWRS!G$13/30</f>
        <v>111.92954594017094</v>
      </c>
      <c r="R320" s="16">
        <f>Demand_CWRS!H$13/30</f>
        <v>220.33041399572647</v>
      </c>
      <c r="S320" s="16">
        <f>Demand_CWRS!I$13/30</f>
        <v>220.33041399572647</v>
      </c>
      <c r="T320" s="16">
        <f>Demand_CWRS!J$13/30</f>
        <v>220.33041399572647</v>
      </c>
      <c r="U320" s="16">
        <f>Demand_CWRS!K$13/30</f>
        <v>220.33041399572647</v>
      </c>
      <c r="V320" s="16">
        <f t="shared" si="126"/>
        <v>-36048.698679490473</v>
      </c>
      <c r="W320" s="16">
        <f t="shared" si="127"/>
        <v>-143258.90017093971</v>
      </c>
      <c r="X320" s="16">
        <f t="shared" si="128"/>
        <v>0</v>
      </c>
      <c r="Y320" s="16">
        <f t="shared" si="129"/>
        <v>-27510.969284864223</v>
      </c>
      <c r="Z320" s="16">
        <f t="shared" si="130"/>
        <v>-63395.61081930247</v>
      </c>
      <c r="AA320" s="16">
        <f t="shared" si="131"/>
        <v>-34576.766155452089</v>
      </c>
      <c r="AB320" s="16">
        <f t="shared" si="132"/>
        <v>-67704.775594943494</v>
      </c>
      <c r="AC320" s="16">
        <f t="shared" si="133"/>
        <v>-61911.765338533238</v>
      </c>
      <c r="AD320" s="16">
        <f t="shared" si="134"/>
        <v>-62011.765338533231</v>
      </c>
      <c r="AE320" s="16">
        <f t="shared" si="135"/>
        <v>-62611.765338533223</v>
      </c>
      <c r="AF320" s="14">
        <f>IF([1]Sheet2!AJ319=999999,"NA",[1]Sheet2!AJ319)</f>
        <v>0</v>
      </c>
      <c r="AG320" s="14">
        <f>IF([1]Sheet2!AK319=999999,"NA",[1]Sheet2!AK319)</f>
        <v>0</v>
      </c>
      <c r="AH320" s="14" t="str">
        <f>IF([1]Sheet2!AL319=999999,"NA",[1]Sheet2!AL319)</f>
        <v>NA</v>
      </c>
      <c r="AI320" s="14">
        <f>IF([1]Sheet2!AM319=999999,"NA",[1]Sheet2!AM319)</f>
        <v>0</v>
      </c>
      <c r="AJ320" s="14">
        <f>IF([1]Sheet2!AN319=999999,"NA",[1]Sheet2!AN319)</f>
        <v>0</v>
      </c>
      <c r="AK320" s="14">
        <f>IF([1]Sheet2!AO319=999999,"NA",[1]Sheet2!AO319)</f>
        <v>0</v>
      </c>
      <c r="AL320" s="14">
        <f>IF([1]Sheet2!AP319=999999,"NA",[1]Sheet2!AP319)</f>
        <v>0</v>
      </c>
      <c r="AM320" s="14">
        <f>IF([1]Sheet2!AQ319=999999,"NA",[1]Sheet2!AQ319)</f>
        <v>0</v>
      </c>
      <c r="AN320" s="14">
        <f>IF([1]Sheet2!AR319=999999,"NA",[1]Sheet2!AR319)</f>
        <v>0</v>
      </c>
      <c r="AO320" s="14">
        <f>IF([1]Sheet2!AS319=999999,"NA",[1]Sheet2!AS319)</f>
        <v>0</v>
      </c>
      <c r="AP320" s="14">
        <f>[1]Sheet2!P319</f>
        <v>0</v>
      </c>
      <c r="AQ320" s="14">
        <f>[1]Sheet2!Q319</f>
        <v>0</v>
      </c>
      <c r="AR320" s="14">
        <f>[1]Sheet2!R319</f>
        <v>0</v>
      </c>
      <c r="AS320" s="14">
        <f>[1]Sheet2!S319</f>
        <v>0</v>
      </c>
      <c r="AT320" s="14">
        <f>[1]Sheet2!T319</f>
        <v>0</v>
      </c>
      <c r="AU320" s="14">
        <f>[1]Sheet2!U319</f>
        <v>0</v>
      </c>
      <c r="AV320" s="14">
        <f>[1]Sheet2!V319</f>
        <v>0</v>
      </c>
      <c r="AW320" s="14">
        <f>[1]Sheet2!W319</f>
        <v>0</v>
      </c>
      <c r="AX320" s="14">
        <f>[1]Sheet2!X319</f>
        <v>0</v>
      </c>
      <c r="AY320" s="14">
        <f>[1]Sheet2!Y319</f>
        <v>0</v>
      </c>
      <c r="AZ320" s="16">
        <f>Demand_LP!B$13/30</f>
        <v>849.16414262820524</v>
      </c>
      <c r="BA320" s="16">
        <f>Demand_LP!C$13/30</f>
        <v>632.84239316239314</v>
      </c>
      <c r="BB320" s="16">
        <f>Demand_LP!D$13/30</f>
        <v>269.64247863247863</v>
      </c>
      <c r="BC320" s="16">
        <f>Demand_LP!E$13/30</f>
        <v>815.03102564102551</v>
      </c>
      <c r="BD320" s="16">
        <f>Demand_LP!F$13/30</f>
        <v>536.05500267094021</v>
      </c>
      <c r="BE320" s="16">
        <f>Demand_LP!G$13/30</f>
        <v>536.05500267094021</v>
      </c>
      <c r="BF320" s="16">
        <f>Demand_LP!H$13/30</f>
        <v>632.84239316239314</v>
      </c>
      <c r="BG320" s="16">
        <f>Demand_LP!I$13/30</f>
        <v>536.05500267094021</v>
      </c>
      <c r="BH320" s="16">
        <f>Demand_LP!J$13/30</f>
        <v>536.05500267094021</v>
      </c>
      <c r="BI320" s="16">
        <f>Demand_LP!K$13/30</f>
        <v>536.05500267094021</v>
      </c>
      <c r="BJ320" s="16">
        <f t="shared" si="136"/>
        <v>-236643.52939239444</v>
      </c>
      <c r="BK320" s="16">
        <f t="shared" si="137"/>
        <v>-178339.456239316</v>
      </c>
      <c r="BL320" s="16">
        <f t="shared" si="138"/>
        <v>-85609.829145299489</v>
      </c>
      <c r="BM320" s="16">
        <f t="shared" si="139"/>
        <v>-228562.87511197562</v>
      </c>
      <c r="BN320" s="16">
        <f t="shared" si="140"/>
        <v>-139617.00741442863</v>
      </c>
      <c r="BO320" s="16">
        <f t="shared" si="141"/>
        <v>-138074.69133279941</v>
      </c>
      <c r="BP320" s="16">
        <f t="shared" si="142"/>
        <v>-172697.03572649535</v>
      </c>
      <c r="BQ320" s="16">
        <f t="shared" si="143"/>
        <v>-133903.69133279944</v>
      </c>
      <c r="BR320" s="16">
        <f t="shared" si="144"/>
        <v>-135674.69133279947</v>
      </c>
      <c r="BS320" s="16">
        <f t="shared" si="145"/>
        <v>-136374.69133279947</v>
      </c>
      <c r="BT320" s="14">
        <f>IF([1]Sheet2!CB319=999999,"NA",[1]Sheet2!CB319)</f>
        <v>0</v>
      </c>
      <c r="BU320" s="14">
        <f>IF([1]Sheet2!CC319=999999,"NA",[1]Sheet2!CC319)</f>
        <v>0</v>
      </c>
      <c r="BV320" s="14">
        <f>IF([1]Sheet2!CD319=999999,"NA",[1]Sheet2!CD319)</f>
        <v>0</v>
      </c>
      <c r="BW320" s="14">
        <f>IF([1]Sheet2!CE319=999999,"NA",[1]Sheet2!CE319)</f>
        <v>0</v>
      </c>
      <c r="BX320" s="14">
        <f>IF([1]Sheet2!CF319=999999,"NA",[1]Sheet2!CF319)</f>
        <v>0</v>
      </c>
      <c r="BY320" s="14">
        <f>IF([1]Sheet2!CG319=999999,"NA",[1]Sheet2!CG319)</f>
        <v>0</v>
      </c>
      <c r="BZ320" s="14">
        <f>IF([1]Sheet2!CH319=999999,"NA",[1]Sheet2!CH319)</f>
        <v>0</v>
      </c>
      <c r="CA320" s="14">
        <f>IF([1]Sheet2!CI319=999999,"NA",[1]Sheet2!CI319)</f>
        <v>0</v>
      </c>
      <c r="CB320" s="14">
        <f>IF([1]Sheet2!CJ319=999999,"NA",[1]Sheet2!CJ319)</f>
        <v>0</v>
      </c>
      <c r="CC320" s="14">
        <f>IF([1]Sheet2!CK319=999999,"NA",[1]Sheet2!CK319)</f>
        <v>0</v>
      </c>
      <c r="CD320" s="14">
        <f>[1]Sheet2!BH319</f>
        <v>0</v>
      </c>
      <c r="CE320" s="14">
        <f>[1]Sheet2!BI319</f>
        <v>0</v>
      </c>
      <c r="CF320" s="14">
        <f>[1]Sheet2!BJ319</f>
        <v>0</v>
      </c>
      <c r="CG320" s="14">
        <f>[1]Sheet2!BK319</f>
        <v>0</v>
      </c>
      <c r="CH320" s="14">
        <f>[1]Sheet2!BL319</f>
        <v>0</v>
      </c>
      <c r="CI320" s="14">
        <f>[1]Sheet2!BM319</f>
        <v>0</v>
      </c>
      <c r="CJ320" s="14">
        <f>[1]Sheet2!BN319</f>
        <v>0</v>
      </c>
      <c r="CK320" s="14">
        <f>[1]Sheet2!BO319</f>
        <v>0</v>
      </c>
      <c r="CL320" s="14">
        <f>[1]Sheet2!BP319</f>
        <v>0</v>
      </c>
      <c r="CM320" s="14">
        <f>[1]Sheet2!BQ319</f>
        <v>0</v>
      </c>
      <c r="CN320" s="16">
        <f>Demand_SW!B$13/30</f>
        <v>144.23076923076923</v>
      </c>
      <c r="CO320" s="16">
        <f>Demand_SW!C$13/30</f>
        <v>0</v>
      </c>
      <c r="CP320" s="16">
        <f>Demand_SW!D$13/30</f>
        <v>0</v>
      </c>
      <c r="CQ320" s="16">
        <f>Demand_SW!E$13/30</f>
        <v>0</v>
      </c>
      <c r="CR320" s="16">
        <f>Demand_SW!F$13/30</f>
        <v>0</v>
      </c>
      <c r="CS320" s="16">
        <f>Demand_SW!G$13/30</f>
        <v>144.23076923076923</v>
      </c>
      <c r="CT320" s="16">
        <f>Demand_SW!H$13/30</f>
        <v>0</v>
      </c>
      <c r="CU320" s="16">
        <f>Demand_SW!I$13/30</f>
        <v>0</v>
      </c>
      <c r="CV320" s="16">
        <f>Demand_SW!J$13/30</f>
        <v>0</v>
      </c>
      <c r="CW320" s="16">
        <f>Demand_SW!K$13/30</f>
        <v>0</v>
      </c>
      <c r="CX320" s="16">
        <f t="shared" si="146"/>
        <v>-20249.615384615423</v>
      </c>
      <c r="CY320" s="16">
        <f t="shared" si="147"/>
        <v>76.923076923077133</v>
      </c>
      <c r="CZ320" s="16">
        <f t="shared" si="148"/>
        <v>0</v>
      </c>
      <c r="DA320" s="16">
        <f t="shared" si="149"/>
        <v>0</v>
      </c>
      <c r="DB320" s="16">
        <f t="shared" si="150"/>
        <v>0</v>
      </c>
      <c r="DC320" s="16">
        <f t="shared" si="151"/>
        <v>-21480.846153846192</v>
      </c>
      <c r="DD320" s="16">
        <f t="shared" si="152"/>
        <v>76.923076923077133</v>
      </c>
      <c r="DE320" s="16">
        <f t="shared" si="153"/>
        <v>0</v>
      </c>
      <c r="DF320" s="16">
        <f t="shared" si="154"/>
        <v>0</v>
      </c>
      <c r="DG320" s="16">
        <f t="shared" si="155"/>
        <v>0</v>
      </c>
      <c r="DH320" s="14">
        <f>IF([1]Sheet2!DS319=999999,"NA",[1]Sheet2!DS319)</f>
        <v>0</v>
      </c>
      <c r="DI320" s="14">
        <f>IF([1]Sheet2!DT319=999999,"NA",[1]Sheet2!DT319)</f>
        <v>48</v>
      </c>
      <c r="DJ320" s="14" t="str">
        <f>IF([1]Sheet2!DU319=999999,"NA",[1]Sheet2!DU319)</f>
        <v>NA</v>
      </c>
      <c r="DK320" s="14" t="str">
        <f>IF([1]Sheet2!DV319=999999,"NA",[1]Sheet2!DV319)</f>
        <v>NA</v>
      </c>
      <c r="DL320" s="14" t="str">
        <f>IF([1]Sheet2!DW319=999999,"NA",[1]Sheet2!DW319)</f>
        <v>NA</v>
      </c>
      <c r="DM320" s="14">
        <f>IF([1]Sheet2!DX319=999999,"NA",[1]Sheet2!DX319)</f>
        <v>0</v>
      </c>
      <c r="DN320" s="14">
        <f>IF([1]Sheet2!DY319=999999,"NA",[1]Sheet2!DY319)</f>
        <v>48</v>
      </c>
      <c r="DO320" s="14" t="str">
        <f>IF([1]Sheet2!DZ319=999999,"NA",[1]Sheet2!DZ319)</f>
        <v>NA</v>
      </c>
      <c r="DP320" s="14" t="str">
        <f>IF([1]Sheet2!EA319=999999,"NA",[1]Sheet2!EA319)</f>
        <v>NA</v>
      </c>
      <c r="DQ320" s="14" t="str">
        <f>IF([1]Sheet2!EB319=999999,"NA",[1]Sheet2!EB319)</f>
        <v>NA</v>
      </c>
      <c r="DR320" s="14">
        <f>[1]Sheet2!CY319</f>
        <v>0</v>
      </c>
      <c r="DS320" s="14">
        <f>[1]Sheet2!CZ319</f>
        <v>0</v>
      </c>
      <c r="DT320" s="14">
        <f>[1]Sheet2!DA319</f>
        <v>0</v>
      </c>
      <c r="DU320" s="14">
        <f>[1]Sheet2!DB319</f>
        <v>0</v>
      </c>
      <c r="DV320" s="14">
        <f>[1]Sheet2!DC319</f>
        <v>0</v>
      </c>
      <c r="DW320" s="14">
        <f>[1]Sheet2!DD319</f>
        <v>0</v>
      </c>
      <c r="DX320" s="14">
        <f>[1]Sheet2!DE319</f>
        <v>0</v>
      </c>
      <c r="DY320" s="14">
        <f>[1]Sheet2!DF319</f>
        <v>0</v>
      </c>
      <c r="DZ320" s="14">
        <f>[1]Sheet2!DG319</f>
        <v>0</v>
      </c>
      <c r="EA320" s="14">
        <f>[1]Sheet2!DH319</f>
        <v>0</v>
      </c>
      <c r="EB320" s="6">
        <f>[1]Sheet2!EC319</f>
        <v>0</v>
      </c>
      <c r="EC320" s="6">
        <f>[1]Sheet2!ED319</f>
        <v>0</v>
      </c>
      <c r="ED320" s="6">
        <f>[1]Sheet2!EE319</f>
        <v>0</v>
      </c>
      <c r="EE320" s="6">
        <f>[1]Sheet2!EF319</f>
        <v>0</v>
      </c>
      <c r="EF320" s="6">
        <f>[1]Sheet2!EG319</f>
        <v>0</v>
      </c>
      <c r="EG320" s="6">
        <f>[1]Sheet2!EH319</f>
        <v>0</v>
      </c>
      <c r="EH320" s="6">
        <f>[1]Sheet2!EI319</f>
        <v>0</v>
      </c>
      <c r="EI320" s="6">
        <f>[1]Sheet2!EJ319</f>
        <v>0</v>
      </c>
      <c r="EJ320" s="6">
        <f>[1]Sheet2!EK319</f>
        <v>0</v>
      </c>
      <c r="EK320" s="6">
        <f>[1]Sheet2!EL319</f>
        <v>0</v>
      </c>
      <c r="EL320" s="6" t="str">
        <f>[1]Sheet2!EM319</f>
        <v/>
      </c>
      <c r="EM320" s="6" t="str">
        <f>[1]Sheet2!EN319</f>
        <v/>
      </c>
      <c r="EN320" s="6" t="str">
        <f>[1]Sheet2!EO319</f>
        <v/>
      </c>
      <c r="EO320" s="6" t="str">
        <f>[1]Sheet2!EP319</f>
        <v/>
      </c>
      <c r="EP320" s="6" t="str">
        <f>[1]Sheet2!EQ319</f>
        <v/>
      </c>
      <c r="EQ320" s="6" t="str">
        <f>[1]Sheet2!ER319</f>
        <v/>
      </c>
      <c r="ER320" s="6" t="str">
        <f>[1]Sheet2!ES319</f>
        <v/>
      </c>
      <c r="ES320" s="6" t="str">
        <f>[1]Sheet2!ET319</f>
        <v/>
      </c>
      <c r="ET320" s="6" t="str">
        <f>[1]Sheet2!EU319</f>
        <v/>
      </c>
      <c r="EU320" s="6" t="str">
        <f>[1]Sheet2!EV319</f>
        <v/>
      </c>
      <c r="EV320" s="6" t="str">
        <f>[1]Sheet2!EW319</f>
        <v/>
      </c>
      <c r="EW320" s="6" t="str">
        <f>[1]Sheet2!EX319</f>
        <v/>
      </c>
      <c r="EX320" s="6" t="str">
        <f>[1]Sheet2!EY319</f>
        <v/>
      </c>
      <c r="EY320" s="6" t="str">
        <f>[1]Sheet2!EZ319</f>
        <v/>
      </c>
      <c r="EZ320" s="6" t="str">
        <f>[1]Sheet2!FA319</f>
        <v/>
      </c>
      <c r="FA320" s="6" t="str">
        <f>[1]Sheet2!FB319</f>
        <v/>
      </c>
      <c r="FB320" s="6" t="str">
        <f>[1]Sheet2!FC319</f>
        <v/>
      </c>
      <c r="FC320" s="6" t="str">
        <f>[1]Sheet2!FD319</f>
        <v/>
      </c>
      <c r="FD320" s="6" t="str">
        <f>[1]Sheet2!FE319</f>
        <v/>
      </c>
      <c r="FE320" s="6" t="str">
        <f>[1]Sheet2!FF319</f>
        <v/>
      </c>
      <c r="FF320" s="6" t="str">
        <f>[1]Sheet2!FG319</f>
        <v/>
      </c>
      <c r="FG320" s="6" t="str">
        <f>[1]Sheet2!FH319</f>
        <v/>
      </c>
      <c r="FH320" s="6" t="str">
        <f>[1]Sheet2!FI319</f>
        <v/>
      </c>
      <c r="FI320" s="6" t="str">
        <f>[1]Sheet2!FJ319</f>
        <v/>
      </c>
      <c r="FJ320" s="6" t="str">
        <f>[1]Sheet2!FK319</f>
        <v/>
      </c>
      <c r="FK320" s="6" t="str">
        <f>[1]Sheet2!FL319</f>
        <v/>
      </c>
      <c r="FL320" s="6" t="str">
        <f>[1]Sheet2!FM319</f>
        <v/>
      </c>
      <c r="FM320" s="6" t="str">
        <f>[1]Sheet2!FN319</f>
        <v/>
      </c>
      <c r="FN320" s="6" t="str">
        <f>[1]Sheet2!FO319</f>
        <v/>
      </c>
      <c r="FO320" s="6" t="str">
        <f>[1]Sheet2!FP319</f>
        <v/>
      </c>
    </row>
    <row r="321" spans="1:171" x14ac:dyDescent="0.25">
      <c r="A321" s="15">
        <v>43783</v>
      </c>
      <c r="B321" s="1"/>
      <c r="C321" s="1"/>
      <c r="D321" s="1"/>
      <c r="E321" s="14">
        <f>[1]Sheet2!N320</f>
        <v>0</v>
      </c>
      <c r="F321" s="14">
        <f>[1]Sheet2!BE320</f>
        <v>0</v>
      </c>
      <c r="G321" s="14">
        <f>[1]Sheet2!CW320</f>
        <v>0</v>
      </c>
      <c r="H321" s="1"/>
      <c r="I321" s="1"/>
      <c r="J321" s="1"/>
      <c r="K321" s="16"/>
      <c r="L321" s="16">
        <f>Demand_CWRS!B$13/30</f>
        <v>111.92954594017094</v>
      </c>
      <c r="M321" s="16">
        <f>Demand_CWRS!C$13/30</f>
        <v>550.01145299145287</v>
      </c>
      <c r="N321" s="16">
        <f>Demand_CWRS!D$13/30</f>
        <v>0</v>
      </c>
      <c r="O321" s="16">
        <f>Demand_CWRS!E$13/30</f>
        <v>105.42606837606837</v>
      </c>
      <c r="P321" s="16">
        <f>Demand_CWRS!F$13/30</f>
        <v>220.33041399572647</v>
      </c>
      <c r="Q321" s="16">
        <f>Demand_CWRS!G$13/30</f>
        <v>111.92954594017094</v>
      </c>
      <c r="R321" s="16">
        <f>Demand_CWRS!H$13/30</f>
        <v>220.33041399572647</v>
      </c>
      <c r="S321" s="16">
        <f>Demand_CWRS!I$13/30</f>
        <v>220.33041399572647</v>
      </c>
      <c r="T321" s="16">
        <f>Demand_CWRS!J$13/30</f>
        <v>220.33041399572647</v>
      </c>
      <c r="U321" s="16">
        <f>Demand_CWRS!K$13/30</f>
        <v>220.33041399572647</v>
      </c>
      <c r="V321" s="16">
        <f t="shared" si="126"/>
        <v>-36160.628225430642</v>
      </c>
      <c r="W321" s="16">
        <f t="shared" si="127"/>
        <v>-143808.91162393117</v>
      </c>
      <c r="X321" s="16">
        <f t="shared" si="128"/>
        <v>0</v>
      </c>
      <c r="Y321" s="16">
        <f t="shared" si="129"/>
        <v>-27616.395353240292</v>
      </c>
      <c r="Z321" s="16">
        <f t="shared" si="130"/>
        <v>-63615.941233298196</v>
      </c>
      <c r="AA321" s="16">
        <f t="shared" si="131"/>
        <v>-34688.695701392258</v>
      </c>
      <c r="AB321" s="16">
        <f t="shared" si="132"/>
        <v>-67925.106008939227</v>
      </c>
      <c r="AC321" s="16">
        <f t="shared" si="133"/>
        <v>-62132.095752528963</v>
      </c>
      <c r="AD321" s="16">
        <f t="shared" si="134"/>
        <v>-62232.095752528956</v>
      </c>
      <c r="AE321" s="16">
        <f t="shared" si="135"/>
        <v>-62832.095752528949</v>
      </c>
      <c r="AF321" s="14">
        <f>IF([1]Sheet2!AJ320=999999,"NA",[1]Sheet2!AJ320)</f>
        <v>0</v>
      </c>
      <c r="AG321" s="14">
        <f>IF([1]Sheet2!AK320=999999,"NA",[1]Sheet2!AK320)</f>
        <v>0</v>
      </c>
      <c r="AH321" s="14" t="str">
        <f>IF([1]Sheet2!AL320=999999,"NA",[1]Sheet2!AL320)</f>
        <v>NA</v>
      </c>
      <c r="AI321" s="14">
        <f>IF([1]Sheet2!AM320=999999,"NA",[1]Sheet2!AM320)</f>
        <v>0</v>
      </c>
      <c r="AJ321" s="14">
        <f>IF([1]Sheet2!AN320=999999,"NA",[1]Sheet2!AN320)</f>
        <v>0</v>
      </c>
      <c r="AK321" s="14">
        <f>IF([1]Sheet2!AO320=999999,"NA",[1]Sheet2!AO320)</f>
        <v>0</v>
      </c>
      <c r="AL321" s="14">
        <f>IF([1]Sheet2!AP320=999999,"NA",[1]Sheet2!AP320)</f>
        <v>0</v>
      </c>
      <c r="AM321" s="14">
        <f>IF([1]Sheet2!AQ320=999999,"NA",[1]Sheet2!AQ320)</f>
        <v>0</v>
      </c>
      <c r="AN321" s="14">
        <f>IF([1]Sheet2!AR320=999999,"NA",[1]Sheet2!AR320)</f>
        <v>0</v>
      </c>
      <c r="AO321" s="14">
        <f>IF([1]Sheet2!AS320=999999,"NA",[1]Sheet2!AS320)</f>
        <v>0</v>
      </c>
      <c r="AP321" s="14">
        <f>[1]Sheet2!P320</f>
        <v>0</v>
      </c>
      <c r="AQ321" s="14">
        <f>[1]Sheet2!Q320</f>
        <v>0</v>
      </c>
      <c r="AR321" s="14">
        <f>[1]Sheet2!R320</f>
        <v>0</v>
      </c>
      <c r="AS321" s="14">
        <f>[1]Sheet2!S320</f>
        <v>0</v>
      </c>
      <c r="AT321" s="14">
        <f>[1]Sheet2!T320</f>
        <v>0</v>
      </c>
      <c r="AU321" s="14">
        <f>[1]Sheet2!U320</f>
        <v>0</v>
      </c>
      <c r="AV321" s="14">
        <f>[1]Sheet2!V320</f>
        <v>0</v>
      </c>
      <c r="AW321" s="14">
        <f>[1]Sheet2!W320</f>
        <v>0</v>
      </c>
      <c r="AX321" s="14">
        <f>[1]Sheet2!X320</f>
        <v>0</v>
      </c>
      <c r="AY321" s="14">
        <f>[1]Sheet2!Y320</f>
        <v>0</v>
      </c>
      <c r="AZ321" s="16">
        <f>Demand_LP!B$13/30</f>
        <v>849.16414262820524</v>
      </c>
      <c r="BA321" s="16">
        <f>Demand_LP!C$13/30</f>
        <v>632.84239316239314</v>
      </c>
      <c r="BB321" s="16">
        <f>Demand_LP!D$13/30</f>
        <v>269.64247863247863</v>
      </c>
      <c r="BC321" s="16">
        <f>Demand_LP!E$13/30</f>
        <v>815.03102564102551</v>
      </c>
      <c r="BD321" s="16">
        <f>Demand_LP!F$13/30</f>
        <v>536.05500267094021</v>
      </c>
      <c r="BE321" s="16">
        <f>Demand_LP!G$13/30</f>
        <v>536.05500267094021</v>
      </c>
      <c r="BF321" s="16">
        <f>Demand_LP!H$13/30</f>
        <v>632.84239316239314</v>
      </c>
      <c r="BG321" s="16">
        <f>Demand_LP!I$13/30</f>
        <v>536.05500267094021</v>
      </c>
      <c r="BH321" s="16">
        <f>Demand_LP!J$13/30</f>
        <v>536.05500267094021</v>
      </c>
      <c r="BI321" s="16">
        <f>Demand_LP!K$13/30</f>
        <v>536.05500267094021</v>
      </c>
      <c r="BJ321" s="16">
        <f t="shared" si="136"/>
        <v>-237492.69353502264</v>
      </c>
      <c r="BK321" s="16">
        <f t="shared" si="137"/>
        <v>-178972.2986324784</v>
      </c>
      <c r="BL321" s="16">
        <f t="shared" si="138"/>
        <v>-85879.471623931968</v>
      </c>
      <c r="BM321" s="16">
        <f t="shared" si="139"/>
        <v>-229377.90613761664</v>
      </c>
      <c r="BN321" s="16">
        <f t="shared" si="140"/>
        <v>-140153.06241709957</v>
      </c>
      <c r="BO321" s="16">
        <f t="shared" si="141"/>
        <v>-138610.74633547035</v>
      </c>
      <c r="BP321" s="16">
        <f t="shared" si="142"/>
        <v>-173329.87811965775</v>
      </c>
      <c r="BQ321" s="16">
        <f t="shared" si="143"/>
        <v>-134439.74633547038</v>
      </c>
      <c r="BR321" s="16">
        <f t="shared" si="144"/>
        <v>-136210.74633547041</v>
      </c>
      <c r="BS321" s="16">
        <f t="shared" si="145"/>
        <v>-136910.74633547041</v>
      </c>
      <c r="BT321" s="14">
        <f>IF([1]Sheet2!CB320=999999,"NA",[1]Sheet2!CB320)</f>
        <v>0</v>
      </c>
      <c r="BU321" s="14">
        <f>IF([1]Sheet2!CC320=999999,"NA",[1]Sheet2!CC320)</f>
        <v>0</v>
      </c>
      <c r="BV321" s="14">
        <f>IF([1]Sheet2!CD320=999999,"NA",[1]Sheet2!CD320)</f>
        <v>0</v>
      </c>
      <c r="BW321" s="14">
        <f>IF([1]Sheet2!CE320=999999,"NA",[1]Sheet2!CE320)</f>
        <v>0</v>
      </c>
      <c r="BX321" s="14">
        <f>IF([1]Sheet2!CF320=999999,"NA",[1]Sheet2!CF320)</f>
        <v>0</v>
      </c>
      <c r="BY321" s="14">
        <f>IF([1]Sheet2!CG320=999999,"NA",[1]Sheet2!CG320)</f>
        <v>0</v>
      </c>
      <c r="BZ321" s="14">
        <f>IF([1]Sheet2!CH320=999999,"NA",[1]Sheet2!CH320)</f>
        <v>0</v>
      </c>
      <c r="CA321" s="14">
        <f>IF([1]Sheet2!CI320=999999,"NA",[1]Sheet2!CI320)</f>
        <v>0</v>
      </c>
      <c r="CB321" s="14">
        <f>IF([1]Sheet2!CJ320=999999,"NA",[1]Sheet2!CJ320)</f>
        <v>0</v>
      </c>
      <c r="CC321" s="14">
        <f>IF([1]Sheet2!CK320=999999,"NA",[1]Sheet2!CK320)</f>
        <v>0</v>
      </c>
      <c r="CD321" s="14">
        <f>[1]Sheet2!BH320</f>
        <v>0</v>
      </c>
      <c r="CE321" s="14">
        <f>[1]Sheet2!BI320</f>
        <v>0</v>
      </c>
      <c r="CF321" s="14">
        <f>[1]Sheet2!BJ320</f>
        <v>0</v>
      </c>
      <c r="CG321" s="14">
        <f>[1]Sheet2!BK320</f>
        <v>0</v>
      </c>
      <c r="CH321" s="14">
        <f>[1]Sheet2!BL320</f>
        <v>0</v>
      </c>
      <c r="CI321" s="14">
        <f>[1]Sheet2!BM320</f>
        <v>0</v>
      </c>
      <c r="CJ321" s="14">
        <f>[1]Sheet2!BN320</f>
        <v>0</v>
      </c>
      <c r="CK321" s="14">
        <f>[1]Sheet2!BO320</f>
        <v>0</v>
      </c>
      <c r="CL321" s="14">
        <f>[1]Sheet2!BP320</f>
        <v>0</v>
      </c>
      <c r="CM321" s="14">
        <f>[1]Sheet2!BQ320</f>
        <v>0</v>
      </c>
      <c r="CN321" s="16">
        <f>Demand_SW!B$13/30</f>
        <v>144.23076923076923</v>
      </c>
      <c r="CO321" s="16">
        <f>Demand_SW!C$13/30</f>
        <v>0</v>
      </c>
      <c r="CP321" s="16">
        <f>Demand_SW!D$13/30</f>
        <v>0</v>
      </c>
      <c r="CQ321" s="16">
        <f>Demand_SW!E$13/30</f>
        <v>0</v>
      </c>
      <c r="CR321" s="16">
        <f>Demand_SW!F$13/30</f>
        <v>0</v>
      </c>
      <c r="CS321" s="16">
        <f>Demand_SW!G$13/30</f>
        <v>144.23076923076923</v>
      </c>
      <c r="CT321" s="16">
        <f>Demand_SW!H$13/30</f>
        <v>0</v>
      </c>
      <c r="CU321" s="16">
        <f>Demand_SW!I$13/30</f>
        <v>0</v>
      </c>
      <c r="CV321" s="16">
        <f>Demand_SW!J$13/30</f>
        <v>0</v>
      </c>
      <c r="CW321" s="16">
        <f>Demand_SW!K$13/30</f>
        <v>0</v>
      </c>
      <c r="CX321" s="16">
        <f t="shared" si="146"/>
        <v>-20393.846153846192</v>
      </c>
      <c r="CY321" s="16">
        <f t="shared" si="147"/>
        <v>76.923076923077133</v>
      </c>
      <c r="CZ321" s="16">
        <f t="shared" si="148"/>
        <v>0</v>
      </c>
      <c r="DA321" s="16">
        <f t="shared" si="149"/>
        <v>0</v>
      </c>
      <c r="DB321" s="16">
        <f t="shared" si="150"/>
        <v>0</v>
      </c>
      <c r="DC321" s="16">
        <f t="shared" si="151"/>
        <v>-21625.076923076962</v>
      </c>
      <c r="DD321" s="16">
        <f t="shared" si="152"/>
        <v>76.923076923077133</v>
      </c>
      <c r="DE321" s="16">
        <f t="shared" si="153"/>
        <v>0</v>
      </c>
      <c r="DF321" s="16">
        <f t="shared" si="154"/>
        <v>0</v>
      </c>
      <c r="DG321" s="16">
        <f t="shared" si="155"/>
        <v>0</v>
      </c>
      <c r="DH321" s="14">
        <f>IF([1]Sheet2!DS320=999999,"NA",[1]Sheet2!DS320)</f>
        <v>0</v>
      </c>
      <c r="DI321" s="14">
        <f>IF([1]Sheet2!DT320=999999,"NA",[1]Sheet2!DT320)</f>
        <v>47</v>
      </c>
      <c r="DJ321" s="14" t="str">
        <f>IF([1]Sheet2!DU320=999999,"NA",[1]Sheet2!DU320)</f>
        <v>NA</v>
      </c>
      <c r="DK321" s="14" t="str">
        <f>IF([1]Sheet2!DV320=999999,"NA",[1]Sheet2!DV320)</f>
        <v>NA</v>
      </c>
      <c r="DL321" s="14" t="str">
        <f>IF([1]Sheet2!DW320=999999,"NA",[1]Sheet2!DW320)</f>
        <v>NA</v>
      </c>
      <c r="DM321" s="14">
        <f>IF([1]Sheet2!DX320=999999,"NA",[1]Sheet2!DX320)</f>
        <v>0</v>
      </c>
      <c r="DN321" s="14">
        <f>IF([1]Sheet2!DY320=999999,"NA",[1]Sheet2!DY320)</f>
        <v>47</v>
      </c>
      <c r="DO321" s="14" t="str">
        <f>IF([1]Sheet2!DZ320=999999,"NA",[1]Sheet2!DZ320)</f>
        <v>NA</v>
      </c>
      <c r="DP321" s="14" t="str">
        <f>IF([1]Sheet2!EA320=999999,"NA",[1]Sheet2!EA320)</f>
        <v>NA</v>
      </c>
      <c r="DQ321" s="14" t="str">
        <f>IF([1]Sheet2!EB320=999999,"NA",[1]Sheet2!EB320)</f>
        <v>NA</v>
      </c>
      <c r="DR321" s="14">
        <f>[1]Sheet2!CY320</f>
        <v>0</v>
      </c>
      <c r="DS321" s="14">
        <f>[1]Sheet2!CZ320</f>
        <v>0</v>
      </c>
      <c r="DT321" s="14">
        <f>[1]Sheet2!DA320</f>
        <v>0</v>
      </c>
      <c r="DU321" s="14">
        <f>[1]Sheet2!DB320</f>
        <v>0</v>
      </c>
      <c r="DV321" s="14">
        <f>[1]Sheet2!DC320</f>
        <v>0</v>
      </c>
      <c r="DW321" s="14">
        <f>[1]Sheet2!DD320</f>
        <v>0</v>
      </c>
      <c r="DX321" s="14">
        <f>[1]Sheet2!DE320</f>
        <v>0</v>
      </c>
      <c r="DY321" s="14">
        <f>[1]Sheet2!DF320</f>
        <v>0</v>
      </c>
      <c r="DZ321" s="14">
        <f>[1]Sheet2!DG320</f>
        <v>0</v>
      </c>
      <c r="EA321" s="14">
        <f>[1]Sheet2!DH320</f>
        <v>0</v>
      </c>
      <c r="EB321" s="6">
        <f>[1]Sheet2!EC320</f>
        <v>0</v>
      </c>
      <c r="EC321" s="6">
        <f>[1]Sheet2!ED320</f>
        <v>0</v>
      </c>
      <c r="ED321" s="6">
        <f>[1]Sheet2!EE320</f>
        <v>0</v>
      </c>
      <c r="EE321" s="6">
        <f>[1]Sheet2!EF320</f>
        <v>0</v>
      </c>
      <c r="EF321" s="6">
        <f>[1]Sheet2!EG320</f>
        <v>0</v>
      </c>
      <c r="EG321" s="6">
        <f>[1]Sheet2!EH320</f>
        <v>0</v>
      </c>
      <c r="EH321" s="6">
        <f>[1]Sheet2!EI320</f>
        <v>0</v>
      </c>
      <c r="EI321" s="6">
        <f>[1]Sheet2!EJ320</f>
        <v>0</v>
      </c>
      <c r="EJ321" s="6">
        <f>[1]Sheet2!EK320</f>
        <v>0</v>
      </c>
      <c r="EK321" s="6">
        <f>[1]Sheet2!EL320</f>
        <v>0</v>
      </c>
      <c r="EL321" s="6" t="str">
        <f>[1]Sheet2!EM320</f>
        <v/>
      </c>
      <c r="EM321" s="6" t="str">
        <f>[1]Sheet2!EN320</f>
        <v/>
      </c>
      <c r="EN321" s="6" t="str">
        <f>[1]Sheet2!EO320</f>
        <v/>
      </c>
      <c r="EO321" s="6" t="str">
        <f>[1]Sheet2!EP320</f>
        <v/>
      </c>
      <c r="EP321" s="6" t="str">
        <f>[1]Sheet2!EQ320</f>
        <v/>
      </c>
      <c r="EQ321" s="6" t="str">
        <f>[1]Sheet2!ER320</f>
        <v/>
      </c>
      <c r="ER321" s="6" t="str">
        <f>[1]Sheet2!ES320</f>
        <v/>
      </c>
      <c r="ES321" s="6" t="str">
        <f>[1]Sheet2!ET320</f>
        <v/>
      </c>
      <c r="ET321" s="6" t="str">
        <f>[1]Sheet2!EU320</f>
        <v/>
      </c>
      <c r="EU321" s="6" t="str">
        <f>[1]Sheet2!EV320</f>
        <v/>
      </c>
      <c r="EV321" s="6" t="str">
        <f>[1]Sheet2!EW320</f>
        <v/>
      </c>
      <c r="EW321" s="6" t="str">
        <f>[1]Sheet2!EX320</f>
        <v/>
      </c>
      <c r="EX321" s="6" t="str">
        <f>[1]Sheet2!EY320</f>
        <v/>
      </c>
      <c r="EY321" s="6" t="str">
        <f>[1]Sheet2!EZ320</f>
        <v/>
      </c>
      <c r="EZ321" s="6" t="str">
        <f>[1]Sheet2!FA320</f>
        <v/>
      </c>
      <c r="FA321" s="6" t="str">
        <f>[1]Sheet2!FB320</f>
        <v/>
      </c>
      <c r="FB321" s="6" t="str">
        <f>[1]Sheet2!FC320</f>
        <v/>
      </c>
      <c r="FC321" s="6" t="str">
        <f>[1]Sheet2!FD320</f>
        <v/>
      </c>
      <c r="FD321" s="6" t="str">
        <f>[1]Sheet2!FE320</f>
        <v/>
      </c>
      <c r="FE321" s="6" t="str">
        <f>[1]Sheet2!FF320</f>
        <v/>
      </c>
      <c r="FF321" s="6" t="str">
        <f>[1]Sheet2!FG320</f>
        <v/>
      </c>
      <c r="FG321" s="6" t="str">
        <f>[1]Sheet2!FH320</f>
        <v/>
      </c>
      <c r="FH321" s="6" t="str">
        <f>[1]Sheet2!FI320</f>
        <v/>
      </c>
      <c r="FI321" s="6" t="str">
        <f>[1]Sheet2!FJ320</f>
        <v/>
      </c>
      <c r="FJ321" s="6" t="str">
        <f>[1]Sheet2!FK320</f>
        <v/>
      </c>
      <c r="FK321" s="6" t="str">
        <f>[1]Sheet2!FL320</f>
        <v/>
      </c>
      <c r="FL321" s="6" t="str">
        <f>[1]Sheet2!FM320</f>
        <v/>
      </c>
      <c r="FM321" s="6" t="str">
        <f>[1]Sheet2!FN320</f>
        <v/>
      </c>
      <c r="FN321" s="6" t="str">
        <f>[1]Sheet2!FO320</f>
        <v/>
      </c>
      <c r="FO321" s="6" t="str">
        <f>[1]Sheet2!FP320</f>
        <v/>
      </c>
    </row>
    <row r="322" spans="1:171" x14ac:dyDescent="0.25">
      <c r="A322" s="15">
        <v>43784</v>
      </c>
      <c r="B322" s="1"/>
      <c r="C322" s="1"/>
      <c r="D322" s="1"/>
      <c r="E322" s="14">
        <f>[1]Sheet2!N321</f>
        <v>0</v>
      </c>
      <c r="F322" s="14">
        <f>[1]Sheet2!BE321</f>
        <v>48000</v>
      </c>
      <c r="G322" s="14">
        <f>[1]Sheet2!CW321</f>
        <v>0</v>
      </c>
      <c r="H322" s="1"/>
      <c r="I322" s="1"/>
      <c r="J322" s="1"/>
      <c r="K322" s="16"/>
      <c r="L322" s="16">
        <f>Demand_CWRS!B$13/30</f>
        <v>111.92954594017094</v>
      </c>
      <c r="M322" s="16">
        <f>Demand_CWRS!C$13/30</f>
        <v>550.01145299145287</v>
      </c>
      <c r="N322" s="16">
        <f>Demand_CWRS!D$13/30</f>
        <v>0</v>
      </c>
      <c r="O322" s="16">
        <f>Demand_CWRS!E$13/30</f>
        <v>105.42606837606837</v>
      </c>
      <c r="P322" s="16">
        <f>Demand_CWRS!F$13/30</f>
        <v>220.33041399572647</v>
      </c>
      <c r="Q322" s="16">
        <f>Demand_CWRS!G$13/30</f>
        <v>111.92954594017094</v>
      </c>
      <c r="R322" s="16">
        <f>Demand_CWRS!H$13/30</f>
        <v>220.33041399572647</v>
      </c>
      <c r="S322" s="16">
        <f>Demand_CWRS!I$13/30</f>
        <v>220.33041399572647</v>
      </c>
      <c r="T322" s="16">
        <f>Demand_CWRS!J$13/30</f>
        <v>220.33041399572647</v>
      </c>
      <c r="U322" s="16">
        <f>Demand_CWRS!K$13/30</f>
        <v>220.33041399572647</v>
      </c>
      <c r="V322" s="16">
        <f t="shared" si="126"/>
        <v>-36272.557771370812</v>
      </c>
      <c r="W322" s="16">
        <f t="shared" si="127"/>
        <v>-144358.92307692263</v>
      </c>
      <c r="X322" s="16">
        <f t="shared" si="128"/>
        <v>0</v>
      </c>
      <c r="Y322" s="16">
        <f t="shared" si="129"/>
        <v>-27721.821421616361</v>
      </c>
      <c r="Z322" s="16">
        <f t="shared" si="130"/>
        <v>-63836.271647293921</v>
      </c>
      <c r="AA322" s="16">
        <f t="shared" si="131"/>
        <v>-34800.625247332428</v>
      </c>
      <c r="AB322" s="16">
        <f t="shared" si="132"/>
        <v>-68145.436422934959</v>
      </c>
      <c r="AC322" s="16">
        <f t="shared" si="133"/>
        <v>-62352.426166524689</v>
      </c>
      <c r="AD322" s="16">
        <f t="shared" si="134"/>
        <v>-62452.426166524681</v>
      </c>
      <c r="AE322" s="16">
        <f t="shared" si="135"/>
        <v>-63052.426166524674</v>
      </c>
      <c r="AF322" s="14">
        <f>IF([1]Sheet2!AJ321=999999,"NA",[1]Sheet2!AJ321)</f>
        <v>0</v>
      </c>
      <c r="AG322" s="14">
        <f>IF([1]Sheet2!AK321=999999,"NA",[1]Sheet2!AK321)</f>
        <v>0</v>
      </c>
      <c r="AH322" s="14" t="str">
        <f>IF([1]Sheet2!AL321=999999,"NA",[1]Sheet2!AL321)</f>
        <v>NA</v>
      </c>
      <c r="AI322" s="14">
        <f>IF([1]Sheet2!AM321=999999,"NA",[1]Sheet2!AM321)</f>
        <v>0</v>
      </c>
      <c r="AJ322" s="14">
        <f>IF([1]Sheet2!AN321=999999,"NA",[1]Sheet2!AN321)</f>
        <v>0</v>
      </c>
      <c r="AK322" s="14">
        <f>IF([1]Sheet2!AO321=999999,"NA",[1]Sheet2!AO321)</f>
        <v>0</v>
      </c>
      <c r="AL322" s="14">
        <f>IF([1]Sheet2!AP321=999999,"NA",[1]Sheet2!AP321)</f>
        <v>0</v>
      </c>
      <c r="AM322" s="14">
        <f>IF([1]Sheet2!AQ321=999999,"NA",[1]Sheet2!AQ321)</f>
        <v>0</v>
      </c>
      <c r="AN322" s="14">
        <f>IF([1]Sheet2!AR321=999999,"NA",[1]Sheet2!AR321)</f>
        <v>0</v>
      </c>
      <c r="AO322" s="14">
        <f>IF([1]Sheet2!AS321=999999,"NA",[1]Sheet2!AS321)</f>
        <v>0</v>
      </c>
      <c r="AP322" s="14">
        <f>[1]Sheet2!P321</f>
        <v>0</v>
      </c>
      <c r="AQ322" s="14">
        <f>[1]Sheet2!Q321</f>
        <v>0</v>
      </c>
      <c r="AR322" s="14">
        <f>[1]Sheet2!R321</f>
        <v>0</v>
      </c>
      <c r="AS322" s="14">
        <f>[1]Sheet2!S321</f>
        <v>0</v>
      </c>
      <c r="AT322" s="14">
        <f>[1]Sheet2!T321</f>
        <v>0</v>
      </c>
      <c r="AU322" s="14">
        <f>[1]Sheet2!U321</f>
        <v>0</v>
      </c>
      <c r="AV322" s="14">
        <f>[1]Sheet2!V321</f>
        <v>0</v>
      </c>
      <c r="AW322" s="14">
        <f>[1]Sheet2!W321</f>
        <v>0</v>
      </c>
      <c r="AX322" s="14">
        <f>[1]Sheet2!X321</f>
        <v>0</v>
      </c>
      <c r="AY322" s="14">
        <f>[1]Sheet2!Y321</f>
        <v>0</v>
      </c>
      <c r="AZ322" s="16">
        <f>Demand_LP!B$13/30</f>
        <v>849.16414262820524</v>
      </c>
      <c r="BA322" s="16">
        <f>Demand_LP!C$13/30</f>
        <v>632.84239316239314</v>
      </c>
      <c r="BB322" s="16">
        <f>Demand_LP!D$13/30</f>
        <v>269.64247863247863</v>
      </c>
      <c r="BC322" s="16">
        <f>Demand_LP!E$13/30</f>
        <v>815.03102564102551</v>
      </c>
      <c r="BD322" s="16">
        <f>Demand_LP!F$13/30</f>
        <v>536.05500267094021</v>
      </c>
      <c r="BE322" s="16">
        <f>Demand_LP!G$13/30</f>
        <v>536.05500267094021</v>
      </c>
      <c r="BF322" s="16">
        <f>Demand_LP!H$13/30</f>
        <v>632.84239316239314</v>
      </c>
      <c r="BG322" s="16">
        <f>Demand_LP!I$13/30</f>
        <v>536.05500267094021</v>
      </c>
      <c r="BH322" s="16">
        <f>Demand_LP!J$13/30</f>
        <v>536.05500267094021</v>
      </c>
      <c r="BI322" s="16">
        <f>Demand_LP!K$13/30</f>
        <v>536.05500267094021</v>
      </c>
      <c r="BJ322" s="16">
        <f t="shared" si="136"/>
        <v>-238341.85767765084</v>
      </c>
      <c r="BK322" s="16">
        <f t="shared" si="137"/>
        <v>-179605.1410256408</v>
      </c>
      <c r="BL322" s="16">
        <f t="shared" si="138"/>
        <v>-86149.114102564447</v>
      </c>
      <c r="BM322" s="16">
        <f t="shared" si="139"/>
        <v>-230192.93716325765</v>
      </c>
      <c r="BN322" s="16">
        <f t="shared" si="140"/>
        <v>-140689.11741977051</v>
      </c>
      <c r="BO322" s="16">
        <f t="shared" si="141"/>
        <v>-139146.80133814129</v>
      </c>
      <c r="BP322" s="16">
        <f t="shared" si="142"/>
        <v>-173962.72051282015</v>
      </c>
      <c r="BQ322" s="16">
        <f t="shared" si="143"/>
        <v>-134975.80133814132</v>
      </c>
      <c r="BR322" s="16">
        <f t="shared" si="144"/>
        <v>-136746.80133814135</v>
      </c>
      <c r="BS322" s="16">
        <f t="shared" si="145"/>
        <v>-137446.80133814135</v>
      </c>
      <c r="BT322" s="14">
        <f>IF([1]Sheet2!CB321=999999,"NA",[1]Sheet2!CB321)</f>
        <v>0</v>
      </c>
      <c r="BU322" s="14">
        <f>IF([1]Sheet2!CC321=999999,"NA",[1]Sheet2!CC321)</f>
        <v>0</v>
      </c>
      <c r="BV322" s="14">
        <f>IF([1]Sheet2!CD321=999999,"NA",[1]Sheet2!CD321)</f>
        <v>0</v>
      </c>
      <c r="BW322" s="14">
        <f>IF([1]Sheet2!CE321=999999,"NA",[1]Sheet2!CE321)</f>
        <v>0</v>
      </c>
      <c r="BX322" s="14">
        <f>IF([1]Sheet2!CF321=999999,"NA",[1]Sheet2!CF321)</f>
        <v>0</v>
      </c>
      <c r="BY322" s="14">
        <f>IF([1]Sheet2!CG321=999999,"NA",[1]Sheet2!CG321)</f>
        <v>0</v>
      </c>
      <c r="BZ322" s="14">
        <f>IF([1]Sheet2!CH321=999999,"NA",[1]Sheet2!CH321)</f>
        <v>0</v>
      </c>
      <c r="CA322" s="14">
        <f>IF([1]Sheet2!CI321=999999,"NA",[1]Sheet2!CI321)</f>
        <v>0</v>
      </c>
      <c r="CB322" s="14">
        <f>IF([1]Sheet2!CJ321=999999,"NA",[1]Sheet2!CJ321)</f>
        <v>0</v>
      </c>
      <c r="CC322" s="14">
        <f>IF([1]Sheet2!CK321=999999,"NA",[1]Sheet2!CK321)</f>
        <v>0</v>
      </c>
      <c r="CD322" s="14">
        <f>[1]Sheet2!BH321</f>
        <v>0</v>
      </c>
      <c r="CE322" s="14">
        <f>[1]Sheet2!BI321</f>
        <v>0</v>
      </c>
      <c r="CF322" s="14">
        <f>[1]Sheet2!BJ321</f>
        <v>0</v>
      </c>
      <c r="CG322" s="14">
        <f>[1]Sheet2!BK321</f>
        <v>0</v>
      </c>
      <c r="CH322" s="14">
        <f>[1]Sheet2!BL321</f>
        <v>0</v>
      </c>
      <c r="CI322" s="14">
        <f>[1]Sheet2!BM321</f>
        <v>0</v>
      </c>
      <c r="CJ322" s="14">
        <f>[1]Sheet2!BN321</f>
        <v>0</v>
      </c>
      <c r="CK322" s="14">
        <f>[1]Sheet2!BO321</f>
        <v>0</v>
      </c>
      <c r="CL322" s="14">
        <f>[1]Sheet2!BP321</f>
        <v>0</v>
      </c>
      <c r="CM322" s="14">
        <f>[1]Sheet2!BQ321</f>
        <v>0</v>
      </c>
      <c r="CN322" s="16">
        <f>Demand_SW!B$13/30</f>
        <v>144.23076923076923</v>
      </c>
      <c r="CO322" s="16">
        <f>Demand_SW!C$13/30</f>
        <v>0</v>
      </c>
      <c r="CP322" s="16">
        <f>Demand_SW!D$13/30</f>
        <v>0</v>
      </c>
      <c r="CQ322" s="16">
        <f>Demand_SW!E$13/30</f>
        <v>0</v>
      </c>
      <c r="CR322" s="16">
        <f>Demand_SW!F$13/30</f>
        <v>0</v>
      </c>
      <c r="CS322" s="16">
        <f>Demand_SW!G$13/30</f>
        <v>144.23076923076923</v>
      </c>
      <c r="CT322" s="16">
        <f>Demand_SW!H$13/30</f>
        <v>0</v>
      </c>
      <c r="CU322" s="16">
        <f>Demand_SW!I$13/30</f>
        <v>0</v>
      </c>
      <c r="CV322" s="16">
        <f>Demand_SW!J$13/30</f>
        <v>0</v>
      </c>
      <c r="CW322" s="16">
        <f>Demand_SW!K$13/30</f>
        <v>0</v>
      </c>
      <c r="CX322" s="16">
        <f t="shared" si="146"/>
        <v>-20538.076923076962</v>
      </c>
      <c r="CY322" s="16">
        <f t="shared" si="147"/>
        <v>76.923076923077133</v>
      </c>
      <c r="CZ322" s="16">
        <f t="shared" si="148"/>
        <v>0</v>
      </c>
      <c r="DA322" s="16">
        <f t="shared" si="149"/>
        <v>0</v>
      </c>
      <c r="DB322" s="16">
        <f t="shared" si="150"/>
        <v>0</v>
      </c>
      <c r="DC322" s="16">
        <f t="shared" si="151"/>
        <v>-21769.307692307731</v>
      </c>
      <c r="DD322" s="16">
        <f t="shared" si="152"/>
        <v>76.923076923077133</v>
      </c>
      <c r="DE322" s="16">
        <f t="shared" si="153"/>
        <v>0</v>
      </c>
      <c r="DF322" s="16">
        <f t="shared" si="154"/>
        <v>0</v>
      </c>
      <c r="DG322" s="16">
        <f t="shared" si="155"/>
        <v>0</v>
      </c>
      <c r="DH322" s="14">
        <f>IF([1]Sheet2!DS321=999999,"NA",[1]Sheet2!DS321)</f>
        <v>0</v>
      </c>
      <c r="DI322" s="14">
        <f>IF([1]Sheet2!DT321=999999,"NA",[1]Sheet2!DT321)</f>
        <v>46</v>
      </c>
      <c r="DJ322" s="14" t="str">
        <f>IF([1]Sheet2!DU321=999999,"NA",[1]Sheet2!DU321)</f>
        <v>NA</v>
      </c>
      <c r="DK322" s="14" t="str">
        <f>IF([1]Sheet2!DV321=999999,"NA",[1]Sheet2!DV321)</f>
        <v>NA</v>
      </c>
      <c r="DL322" s="14" t="str">
        <f>IF([1]Sheet2!DW321=999999,"NA",[1]Sheet2!DW321)</f>
        <v>NA</v>
      </c>
      <c r="DM322" s="14">
        <f>IF([1]Sheet2!DX321=999999,"NA",[1]Sheet2!DX321)</f>
        <v>0</v>
      </c>
      <c r="DN322" s="14">
        <f>IF([1]Sheet2!DY321=999999,"NA",[1]Sheet2!DY321)</f>
        <v>46</v>
      </c>
      <c r="DO322" s="14" t="str">
        <f>IF([1]Sheet2!DZ321=999999,"NA",[1]Sheet2!DZ321)</f>
        <v>NA</v>
      </c>
      <c r="DP322" s="14" t="str">
        <f>IF([1]Sheet2!EA321=999999,"NA",[1]Sheet2!EA321)</f>
        <v>NA</v>
      </c>
      <c r="DQ322" s="14" t="str">
        <f>IF([1]Sheet2!EB321=999999,"NA",[1]Sheet2!EB321)</f>
        <v>NA</v>
      </c>
      <c r="DR322" s="14">
        <f>[1]Sheet2!CY321</f>
        <v>0</v>
      </c>
      <c r="DS322" s="14">
        <f>[1]Sheet2!CZ321</f>
        <v>0</v>
      </c>
      <c r="DT322" s="14">
        <f>[1]Sheet2!DA321</f>
        <v>0</v>
      </c>
      <c r="DU322" s="14">
        <f>[1]Sheet2!DB321</f>
        <v>0</v>
      </c>
      <c r="DV322" s="14">
        <f>[1]Sheet2!DC321</f>
        <v>0</v>
      </c>
      <c r="DW322" s="14">
        <f>[1]Sheet2!DD321</f>
        <v>0</v>
      </c>
      <c r="DX322" s="14">
        <f>[1]Sheet2!DE321</f>
        <v>0</v>
      </c>
      <c r="DY322" s="14">
        <f>[1]Sheet2!DF321</f>
        <v>0</v>
      </c>
      <c r="DZ322" s="14">
        <f>[1]Sheet2!DG321</f>
        <v>0</v>
      </c>
      <c r="EA322" s="14">
        <f>[1]Sheet2!DH321</f>
        <v>0</v>
      </c>
      <c r="EB322" s="6">
        <f>[1]Sheet2!EC321</f>
        <v>0</v>
      </c>
      <c r="EC322" s="6">
        <f>[1]Sheet2!ED321</f>
        <v>0</v>
      </c>
      <c r="ED322" s="6">
        <f>[1]Sheet2!EE321</f>
        <v>0</v>
      </c>
      <c r="EE322" s="6">
        <f>[1]Sheet2!EF321</f>
        <v>0</v>
      </c>
      <c r="EF322" s="6">
        <f>[1]Sheet2!EG321</f>
        <v>0</v>
      </c>
      <c r="EG322" s="6">
        <f>[1]Sheet2!EH321</f>
        <v>0</v>
      </c>
      <c r="EH322" s="6">
        <f>[1]Sheet2!EI321</f>
        <v>0</v>
      </c>
      <c r="EI322" s="6">
        <f>[1]Sheet2!EJ321</f>
        <v>0</v>
      </c>
      <c r="EJ322" s="6">
        <f>[1]Sheet2!EK321</f>
        <v>0</v>
      </c>
      <c r="EK322" s="6">
        <f>[1]Sheet2!EL321</f>
        <v>0</v>
      </c>
      <c r="EL322" s="6" t="str">
        <f>[1]Sheet2!EM321</f>
        <v/>
      </c>
      <c r="EM322" s="6" t="str">
        <f>[1]Sheet2!EN321</f>
        <v/>
      </c>
      <c r="EN322" s="6" t="str">
        <f>[1]Sheet2!EO321</f>
        <v/>
      </c>
      <c r="EO322" s="6" t="str">
        <f>[1]Sheet2!EP321</f>
        <v/>
      </c>
      <c r="EP322" s="6" t="str">
        <f>[1]Sheet2!EQ321</f>
        <v/>
      </c>
      <c r="EQ322" s="6" t="str">
        <f>[1]Sheet2!ER321</f>
        <v/>
      </c>
      <c r="ER322" s="6" t="str">
        <f>[1]Sheet2!ES321</f>
        <v/>
      </c>
      <c r="ES322" s="6" t="str">
        <f>[1]Sheet2!ET321</f>
        <v/>
      </c>
      <c r="ET322" s="6" t="str">
        <f>[1]Sheet2!EU321</f>
        <v/>
      </c>
      <c r="EU322" s="6" t="str">
        <f>[1]Sheet2!EV321</f>
        <v/>
      </c>
      <c r="EV322" s="6" t="str">
        <f>[1]Sheet2!EW321</f>
        <v/>
      </c>
      <c r="EW322" s="6" t="str">
        <f>[1]Sheet2!EX321</f>
        <v/>
      </c>
      <c r="EX322" s="6" t="str">
        <f>[1]Sheet2!EY321</f>
        <v/>
      </c>
      <c r="EY322" s="6" t="str">
        <f>[1]Sheet2!EZ321</f>
        <v/>
      </c>
      <c r="EZ322" s="6" t="str">
        <f>[1]Sheet2!FA321</f>
        <v/>
      </c>
      <c r="FA322" s="6" t="str">
        <f>[1]Sheet2!FB321</f>
        <v/>
      </c>
      <c r="FB322" s="6" t="str">
        <f>[1]Sheet2!FC321</f>
        <v/>
      </c>
      <c r="FC322" s="6" t="str">
        <f>[1]Sheet2!FD321</f>
        <v/>
      </c>
      <c r="FD322" s="6" t="str">
        <f>[1]Sheet2!FE321</f>
        <v/>
      </c>
      <c r="FE322" s="6" t="str">
        <f>[1]Sheet2!FF321</f>
        <v/>
      </c>
      <c r="FF322" s="6" t="str">
        <f>[1]Sheet2!FG321</f>
        <v/>
      </c>
      <c r="FG322" s="6" t="str">
        <f>[1]Sheet2!FH321</f>
        <v/>
      </c>
      <c r="FH322" s="6" t="str">
        <f>[1]Sheet2!FI321</f>
        <v/>
      </c>
      <c r="FI322" s="6" t="str">
        <f>[1]Sheet2!FJ321</f>
        <v/>
      </c>
      <c r="FJ322" s="6" t="str">
        <f>[1]Sheet2!FK321</f>
        <v/>
      </c>
      <c r="FK322" s="6" t="str">
        <f>[1]Sheet2!FL321</f>
        <v/>
      </c>
      <c r="FL322" s="6" t="str">
        <f>[1]Sheet2!FM321</f>
        <v/>
      </c>
      <c r="FM322" s="6" t="str">
        <f>[1]Sheet2!FN321</f>
        <v/>
      </c>
      <c r="FN322" s="6" t="str">
        <f>[1]Sheet2!FO321</f>
        <v/>
      </c>
      <c r="FO322" s="6" t="str">
        <f>[1]Sheet2!FP321</f>
        <v/>
      </c>
    </row>
    <row r="323" spans="1:171" x14ac:dyDescent="0.25">
      <c r="A323" s="15">
        <v>43785</v>
      </c>
      <c r="B323" s="1"/>
      <c r="C323" s="1"/>
      <c r="D323" s="1"/>
      <c r="E323" s="14">
        <f>[1]Sheet2!N322</f>
        <v>0</v>
      </c>
      <c r="F323" s="14">
        <f>[1]Sheet2!BE322</f>
        <v>0</v>
      </c>
      <c r="G323" s="14">
        <f>[1]Sheet2!CW322</f>
        <v>0</v>
      </c>
      <c r="H323" s="1"/>
      <c r="I323" s="1"/>
      <c r="J323" s="1"/>
      <c r="K323" s="16"/>
      <c r="L323" s="16">
        <f>Demand_CWRS!B$13/30</f>
        <v>111.92954594017094</v>
      </c>
      <c r="M323" s="16">
        <f>Demand_CWRS!C$13/30</f>
        <v>550.01145299145287</v>
      </c>
      <c r="N323" s="16">
        <f>Demand_CWRS!D$13/30</f>
        <v>0</v>
      </c>
      <c r="O323" s="16">
        <f>Demand_CWRS!E$13/30</f>
        <v>105.42606837606837</v>
      </c>
      <c r="P323" s="16">
        <f>Demand_CWRS!F$13/30</f>
        <v>220.33041399572647</v>
      </c>
      <c r="Q323" s="16">
        <f>Demand_CWRS!G$13/30</f>
        <v>111.92954594017094</v>
      </c>
      <c r="R323" s="16">
        <f>Demand_CWRS!H$13/30</f>
        <v>220.33041399572647</v>
      </c>
      <c r="S323" s="16">
        <f>Demand_CWRS!I$13/30</f>
        <v>220.33041399572647</v>
      </c>
      <c r="T323" s="16">
        <f>Demand_CWRS!J$13/30</f>
        <v>220.33041399572647</v>
      </c>
      <c r="U323" s="16">
        <f>Demand_CWRS!K$13/30</f>
        <v>220.33041399572647</v>
      </c>
      <c r="V323" s="16">
        <f t="shared" si="126"/>
        <v>-36384.487317310981</v>
      </c>
      <c r="W323" s="16">
        <f t="shared" si="127"/>
        <v>-144908.93452991408</v>
      </c>
      <c r="X323" s="16">
        <f t="shared" si="128"/>
        <v>0</v>
      </c>
      <c r="Y323" s="16">
        <f t="shared" si="129"/>
        <v>-27827.247489992431</v>
      </c>
      <c r="Z323" s="16">
        <f t="shared" si="130"/>
        <v>-64056.602061289646</v>
      </c>
      <c r="AA323" s="16">
        <f t="shared" si="131"/>
        <v>-34912.554793272597</v>
      </c>
      <c r="AB323" s="16">
        <f t="shared" si="132"/>
        <v>-68365.766836930692</v>
      </c>
      <c r="AC323" s="16">
        <f t="shared" si="133"/>
        <v>-62572.756580520414</v>
      </c>
      <c r="AD323" s="16">
        <f t="shared" si="134"/>
        <v>-62672.756580520407</v>
      </c>
      <c r="AE323" s="16">
        <f t="shared" si="135"/>
        <v>-63272.756580520399</v>
      </c>
      <c r="AF323" s="14">
        <f>IF([1]Sheet2!AJ322=999999,"NA",[1]Sheet2!AJ322)</f>
        <v>0</v>
      </c>
      <c r="AG323" s="14">
        <f>IF([1]Sheet2!AK322=999999,"NA",[1]Sheet2!AK322)</f>
        <v>0</v>
      </c>
      <c r="AH323" s="14" t="str">
        <f>IF([1]Sheet2!AL322=999999,"NA",[1]Sheet2!AL322)</f>
        <v>NA</v>
      </c>
      <c r="AI323" s="14">
        <f>IF([1]Sheet2!AM322=999999,"NA",[1]Sheet2!AM322)</f>
        <v>0</v>
      </c>
      <c r="AJ323" s="14">
        <f>IF([1]Sheet2!AN322=999999,"NA",[1]Sheet2!AN322)</f>
        <v>0</v>
      </c>
      <c r="AK323" s="14">
        <f>IF([1]Sheet2!AO322=999999,"NA",[1]Sheet2!AO322)</f>
        <v>0</v>
      </c>
      <c r="AL323" s="14">
        <f>IF([1]Sheet2!AP322=999999,"NA",[1]Sheet2!AP322)</f>
        <v>0</v>
      </c>
      <c r="AM323" s="14">
        <f>IF([1]Sheet2!AQ322=999999,"NA",[1]Sheet2!AQ322)</f>
        <v>0</v>
      </c>
      <c r="AN323" s="14">
        <f>IF([1]Sheet2!AR322=999999,"NA",[1]Sheet2!AR322)</f>
        <v>0</v>
      </c>
      <c r="AO323" s="14">
        <f>IF([1]Sheet2!AS322=999999,"NA",[1]Sheet2!AS322)</f>
        <v>0</v>
      </c>
      <c r="AP323" s="14">
        <f>[1]Sheet2!P322</f>
        <v>0</v>
      </c>
      <c r="AQ323" s="14">
        <f>[1]Sheet2!Q322</f>
        <v>0</v>
      </c>
      <c r="AR323" s="14">
        <f>[1]Sheet2!R322</f>
        <v>0</v>
      </c>
      <c r="AS323" s="14">
        <f>[1]Sheet2!S322</f>
        <v>0</v>
      </c>
      <c r="AT323" s="14">
        <f>[1]Sheet2!T322</f>
        <v>0</v>
      </c>
      <c r="AU323" s="14">
        <f>[1]Sheet2!U322</f>
        <v>0</v>
      </c>
      <c r="AV323" s="14">
        <f>[1]Sheet2!V322</f>
        <v>0</v>
      </c>
      <c r="AW323" s="14">
        <f>[1]Sheet2!W322</f>
        <v>0</v>
      </c>
      <c r="AX323" s="14">
        <f>[1]Sheet2!X322</f>
        <v>0</v>
      </c>
      <c r="AY323" s="14">
        <f>[1]Sheet2!Y322</f>
        <v>0</v>
      </c>
      <c r="AZ323" s="16">
        <f>Demand_LP!B$13/30</f>
        <v>849.16414262820524</v>
      </c>
      <c r="BA323" s="16">
        <f>Demand_LP!C$13/30</f>
        <v>632.84239316239314</v>
      </c>
      <c r="BB323" s="16">
        <f>Demand_LP!D$13/30</f>
        <v>269.64247863247863</v>
      </c>
      <c r="BC323" s="16">
        <f>Demand_LP!E$13/30</f>
        <v>815.03102564102551</v>
      </c>
      <c r="BD323" s="16">
        <f>Demand_LP!F$13/30</f>
        <v>536.05500267094021</v>
      </c>
      <c r="BE323" s="16">
        <f>Demand_LP!G$13/30</f>
        <v>536.05500267094021</v>
      </c>
      <c r="BF323" s="16">
        <f>Demand_LP!H$13/30</f>
        <v>632.84239316239314</v>
      </c>
      <c r="BG323" s="16">
        <f>Demand_LP!I$13/30</f>
        <v>536.05500267094021</v>
      </c>
      <c r="BH323" s="16">
        <f>Demand_LP!J$13/30</f>
        <v>536.05500267094021</v>
      </c>
      <c r="BI323" s="16">
        <f>Demand_LP!K$13/30</f>
        <v>536.05500267094021</v>
      </c>
      <c r="BJ323" s="16">
        <f t="shared" si="136"/>
        <v>-239191.02182027904</v>
      </c>
      <c r="BK323" s="16">
        <f t="shared" si="137"/>
        <v>-180237.9834188032</v>
      </c>
      <c r="BL323" s="16">
        <f t="shared" si="138"/>
        <v>-86418.756581196925</v>
      </c>
      <c r="BM323" s="16">
        <f t="shared" si="139"/>
        <v>-231007.96818889867</v>
      </c>
      <c r="BN323" s="16">
        <f t="shared" si="140"/>
        <v>-141225.17242244145</v>
      </c>
      <c r="BO323" s="16">
        <f t="shared" si="141"/>
        <v>-139682.85634081223</v>
      </c>
      <c r="BP323" s="16">
        <f t="shared" si="142"/>
        <v>-174595.56290598254</v>
      </c>
      <c r="BQ323" s="16">
        <f t="shared" si="143"/>
        <v>-135511.85634081226</v>
      </c>
      <c r="BR323" s="16">
        <f t="shared" si="144"/>
        <v>-137282.85634081229</v>
      </c>
      <c r="BS323" s="16">
        <f t="shared" si="145"/>
        <v>-137982.85634081229</v>
      </c>
      <c r="BT323" s="14">
        <f>IF([1]Sheet2!CB322=999999,"NA",[1]Sheet2!CB322)</f>
        <v>0</v>
      </c>
      <c r="BU323" s="14">
        <f>IF([1]Sheet2!CC322=999999,"NA",[1]Sheet2!CC322)</f>
        <v>0</v>
      </c>
      <c r="BV323" s="14">
        <f>IF([1]Sheet2!CD322=999999,"NA",[1]Sheet2!CD322)</f>
        <v>0</v>
      </c>
      <c r="BW323" s="14">
        <f>IF([1]Sheet2!CE322=999999,"NA",[1]Sheet2!CE322)</f>
        <v>0</v>
      </c>
      <c r="BX323" s="14">
        <f>IF([1]Sheet2!CF322=999999,"NA",[1]Sheet2!CF322)</f>
        <v>0</v>
      </c>
      <c r="BY323" s="14">
        <f>IF([1]Sheet2!CG322=999999,"NA",[1]Sheet2!CG322)</f>
        <v>0</v>
      </c>
      <c r="BZ323" s="14">
        <f>IF([1]Sheet2!CH322=999999,"NA",[1]Sheet2!CH322)</f>
        <v>0</v>
      </c>
      <c r="CA323" s="14">
        <f>IF([1]Sheet2!CI322=999999,"NA",[1]Sheet2!CI322)</f>
        <v>0</v>
      </c>
      <c r="CB323" s="14">
        <f>IF([1]Sheet2!CJ322=999999,"NA",[1]Sheet2!CJ322)</f>
        <v>0</v>
      </c>
      <c r="CC323" s="14">
        <f>IF([1]Sheet2!CK322=999999,"NA",[1]Sheet2!CK322)</f>
        <v>0</v>
      </c>
      <c r="CD323" s="14">
        <f>[1]Sheet2!BH322</f>
        <v>0</v>
      </c>
      <c r="CE323" s="14">
        <f>[1]Sheet2!BI322</f>
        <v>0</v>
      </c>
      <c r="CF323" s="14">
        <f>[1]Sheet2!BJ322</f>
        <v>0</v>
      </c>
      <c r="CG323" s="14">
        <f>[1]Sheet2!BK322</f>
        <v>0</v>
      </c>
      <c r="CH323" s="14">
        <f>[1]Sheet2!BL322</f>
        <v>0</v>
      </c>
      <c r="CI323" s="14">
        <f>[1]Sheet2!BM322</f>
        <v>0</v>
      </c>
      <c r="CJ323" s="14">
        <f>[1]Sheet2!BN322</f>
        <v>0</v>
      </c>
      <c r="CK323" s="14">
        <f>[1]Sheet2!BO322</f>
        <v>0</v>
      </c>
      <c r="CL323" s="14">
        <f>[1]Sheet2!BP322</f>
        <v>0</v>
      </c>
      <c r="CM323" s="14">
        <f>[1]Sheet2!BQ322</f>
        <v>0</v>
      </c>
      <c r="CN323" s="16">
        <f>Demand_SW!B$13/30</f>
        <v>144.23076923076923</v>
      </c>
      <c r="CO323" s="16">
        <f>Demand_SW!C$13/30</f>
        <v>0</v>
      </c>
      <c r="CP323" s="16">
        <f>Demand_SW!D$13/30</f>
        <v>0</v>
      </c>
      <c r="CQ323" s="16">
        <f>Demand_SW!E$13/30</f>
        <v>0</v>
      </c>
      <c r="CR323" s="16">
        <f>Demand_SW!F$13/30</f>
        <v>0</v>
      </c>
      <c r="CS323" s="16">
        <f>Demand_SW!G$13/30</f>
        <v>144.23076923076923</v>
      </c>
      <c r="CT323" s="16">
        <f>Demand_SW!H$13/30</f>
        <v>0</v>
      </c>
      <c r="CU323" s="16">
        <f>Demand_SW!I$13/30</f>
        <v>0</v>
      </c>
      <c r="CV323" s="16">
        <f>Demand_SW!J$13/30</f>
        <v>0</v>
      </c>
      <c r="CW323" s="16">
        <f>Demand_SW!K$13/30</f>
        <v>0</v>
      </c>
      <c r="CX323" s="16">
        <f t="shared" si="146"/>
        <v>-20682.307692307731</v>
      </c>
      <c r="CY323" s="16">
        <f t="shared" si="147"/>
        <v>76.923076923077133</v>
      </c>
      <c r="CZ323" s="16">
        <f t="shared" si="148"/>
        <v>0</v>
      </c>
      <c r="DA323" s="16">
        <f t="shared" si="149"/>
        <v>0</v>
      </c>
      <c r="DB323" s="16">
        <f t="shared" si="150"/>
        <v>0</v>
      </c>
      <c r="DC323" s="16">
        <f t="shared" si="151"/>
        <v>-21913.538461538501</v>
      </c>
      <c r="DD323" s="16">
        <f t="shared" si="152"/>
        <v>76.923076923077133</v>
      </c>
      <c r="DE323" s="16">
        <f t="shared" si="153"/>
        <v>0</v>
      </c>
      <c r="DF323" s="16">
        <f t="shared" si="154"/>
        <v>0</v>
      </c>
      <c r="DG323" s="16">
        <f t="shared" si="155"/>
        <v>0</v>
      </c>
      <c r="DH323" s="14">
        <f>IF([1]Sheet2!DS322=999999,"NA",[1]Sheet2!DS322)</f>
        <v>0</v>
      </c>
      <c r="DI323" s="14">
        <f>IF([1]Sheet2!DT322=999999,"NA",[1]Sheet2!DT322)</f>
        <v>45</v>
      </c>
      <c r="DJ323" s="14" t="str">
        <f>IF([1]Sheet2!DU322=999999,"NA",[1]Sheet2!DU322)</f>
        <v>NA</v>
      </c>
      <c r="DK323" s="14" t="str">
        <f>IF([1]Sheet2!DV322=999999,"NA",[1]Sheet2!DV322)</f>
        <v>NA</v>
      </c>
      <c r="DL323" s="14" t="str">
        <f>IF([1]Sheet2!DW322=999999,"NA",[1]Sheet2!DW322)</f>
        <v>NA</v>
      </c>
      <c r="DM323" s="14">
        <f>IF([1]Sheet2!DX322=999999,"NA",[1]Sheet2!DX322)</f>
        <v>0</v>
      </c>
      <c r="DN323" s="14">
        <f>IF([1]Sheet2!DY322=999999,"NA",[1]Sheet2!DY322)</f>
        <v>45</v>
      </c>
      <c r="DO323" s="14" t="str">
        <f>IF([1]Sheet2!DZ322=999999,"NA",[1]Sheet2!DZ322)</f>
        <v>NA</v>
      </c>
      <c r="DP323" s="14" t="str">
        <f>IF([1]Sheet2!EA322=999999,"NA",[1]Sheet2!EA322)</f>
        <v>NA</v>
      </c>
      <c r="DQ323" s="14" t="str">
        <f>IF([1]Sheet2!EB322=999999,"NA",[1]Sheet2!EB322)</f>
        <v>NA</v>
      </c>
      <c r="DR323" s="14">
        <f>[1]Sheet2!CY322</f>
        <v>0</v>
      </c>
      <c r="DS323" s="14">
        <f>[1]Sheet2!CZ322</f>
        <v>0</v>
      </c>
      <c r="DT323" s="14">
        <f>[1]Sheet2!DA322</f>
        <v>0</v>
      </c>
      <c r="DU323" s="14">
        <f>[1]Sheet2!DB322</f>
        <v>0</v>
      </c>
      <c r="DV323" s="14">
        <f>[1]Sheet2!DC322</f>
        <v>0</v>
      </c>
      <c r="DW323" s="14">
        <f>[1]Sheet2!DD322</f>
        <v>0</v>
      </c>
      <c r="DX323" s="14">
        <f>[1]Sheet2!DE322</f>
        <v>0</v>
      </c>
      <c r="DY323" s="14">
        <f>[1]Sheet2!DF322</f>
        <v>0</v>
      </c>
      <c r="DZ323" s="14">
        <f>[1]Sheet2!DG322</f>
        <v>0</v>
      </c>
      <c r="EA323" s="14">
        <f>[1]Sheet2!DH322</f>
        <v>0</v>
      </c>
      <c r="EB323" s="6">
        <f>[1]Sheet2!EC322</f>
        <v>0</v>
      </c>
      <c r="EC323" s="6">
        <f>[1]Sheet2!ED322</f>
        <v>0</v>
      </c>
      <c r="ED323" s="6">
        <f>[1]Sheet2!EE322</f>
        <v>0</v>
      </c>
      <c r="EE323" s="6">
        <f>[1]Sheet2!EF322</f>
        <v>0</v>
      </c>
      <c r="EF323" s="6">
        <f>[1]Sheet2!EG322</f>
        <v>0</v>
      </c>
      <c r="EG323" s="6">
        <f>[1]Sheet2!EH322</f>
        <v>0</v>
      </c>
      <c r="EH323" s="6">
        <f>[1]Sheet2!EI322</f>
        <v>0</v>
      </c>
      <c r="EI323" s="6">
        <f>[1]Sheet2!EJ322</f>
        <v>0</v>
      </c>
      <c r="EJ323" s="6">
        <f>[1]Sheet2!EK322</f>
        <v>0</v>
      </c>
      <c r="EK323" s="6">
        <f>[1]Sheet2!EL322</f>
        <v>0</v>
      </c>
      <c r="EL323" s="6" t="str">
        <f>[1]Sheet2!EM322</f>
        <v/>
      </c>
      <c r="EM323" s="6" t="str">
        <f>[1]Sheet2!EN322</f>
        <v/>
      </c>
      <c r="EN323" s="6" t="str">
        <f>[1]Sheet2!EO322</f>
        <v/>
      </c>
      <c r="EO323" s="6" t="str">
        <f>[1]Sheet2!EP322</f>
        <v/>
      </c>
      <c r="EP323" s="6" t="str">
        <f>[1]Sheet2!EQ322</f>
        <v/>
      </c>
      <c r="EQ323" s="6" t="str">
        <f>[1]Sheet2!ER322</f>
        <v/>
      </c>
      <c r="ER323" s="6" t="str">
        <f>[1]Sheet2!ES322</f>
        <v/>
      </c>
      <c r="ES323" s="6" t="str">
        <f>[1]Sheet2!ET322</f>
        <v/>
      </c>
      <c r="ET323" s="6" t="str">
        <f>[1]Sheet2!EU322</f>
        <v/>
      </c>
      <c r="EU323" s="6" t="str">
        <f>[1]Sheet2!EV322</f>
        <v/>
      </c>
      <c r="EV323" s="6" t="str">
        <f>[1]Sheet2!EW322</f>
        <v/>
      </c>
      <c r="EW323" s="6" t="str">
        <f>[1]Sheet2!EX322</f>
        <v/>
      </c>
      <c r="EX323" s="6" t="str">
        <f>[1]Sheet2!EY322</f>
        <v/>
      </c>
      <c r="EY323" s="6" t="str">
        <f>[1]Sheet2!EZ322</f>
        <v/>
      </c>
      <c r="EZ323" s="6" t="str">
        <f>[1]Sheet2!FA322</f>
        <v/>
      </c>
      <c r="FA323" s="6" t="str">
        <f>[1]Sheet2!FB322</f>
        <v/>
      </c>
      <c r="FB323" s="6" t="str">
        <f>[1]Sheet2!FC322</f>
        <v/>
      </c>
      <c r="FC323" s="6" t="str">
        <f>[1]Sheet2!FD322</f>
        <v/>
      </c>
      <c r="FD323" s="6" t="str">
        <f>[1]Sheet2!FE322</f>
        <v/>
      </c>
      <c r="FE323" s="6" t="str">
        <f>[1]Sheet2!FF322</f>
        <v/>
      </c>
      <c r="FF323" s="6" t="str">
        <f>[1]Sheet2!FG322</f>
        <v/>
      </c>
      <c r="FG323" s="6" t="str">
        <f>[1]Sheet2!FH322</f>
        <v/>
      </c>
      <c r="FH323" s="6" t="str">
        <f>[1]Sheet2!FI322</f>
        <v/>
      </c>
      <c r="FI323" s="6" t="str">
        <f>[1]Sheet2!FJ322</f>
        <v/>
      </c>
      <c r="FJ323" s="6" t="str">
        <f>[1]Sheet2!FK322</f>
        <v/>
      </c>
      <c r="FK323" s="6" t="str">
        <f>[1]Sheet2!FL322</f>
        <v/>
      </c>
      <c r="FL323" s="6" t="str">
        <f>[1]Sheet2!FM322</f>
        <v/>
      </c>
      <c r="FM323" s="6" t="str">
        <f>[1]Sheet2!FN322</f>
        <v/>
      </c>
      <c r="FN323" s="6" t="str">
        <f>[1]Sheet2!FO322</f>
        <v/>
      </c>
      <c r="FO323" s="6" t="str">
        <f>[1]Sheet2!FP322</f>
        <v/>
      </c>
    </row>
    <row r="324" spans="1:171" x14ac:dyDescent="0.25">
      <c r="A324" s="15">
        <v>43786</v>
      </c>
      <c r="B324" s="1"/>
      <c r="C324" s="1"/>
      <c r="D324" s="1"/>
      <c r="E324" s="14">
        <f>[1]Sheet2!N323</f>
        <v>0</v>
      </c>
      <c r="F324" s="14">
        <f>[1]Sheet2!BE323</f>
        <v>0</v>
      </c>
      <c r="G324" s="14">
        <f>[1]Sheet2!CW323</f>
        <v>0</v>
      </c>
      <c r="H324" s="1"/>
      <c r="I324" s="1"/>
      <c r="J324" s="1"/>
      <c r="K324" s="16"/>
      <c r="L324" s="16">
        <f>Demand_CWRS!B$13/30</f>
        <v>111.92954594017094</v>
      </c>
      <c r="M324" s="16">
        <f>Demand_CWRS!C$13/30</f>
        <v>550.01145299145287</v>
      </c>
      <c r="N324" s="16">
        <f>Demand_CWRS!D$13/30</f>
        <v>0</v>
      </c>
      <c r="O324" s="16">
        <f>Demand_CWRS!E$13/30</f>
        <v>105.42606837606837</v>
      </c>
      <c r="P324" s="16">
        <f>Demand_CWRS!F$13/30</f>
        <v>220.33041399572647</v>
      </c>
      <c r="Q324" s="16">
        <f>Demand_CWRS!G$13/30</f>
        <v>111.92954594017094</v>
      </c>
      <c r="R324" s="16">
        <f>Demand_CWRS!H$13/30</f>
        <v>220.33041399572647</v>
      </c>
      <c r="S324" s="16">
        <f>Demand_CWRS!I$13/30</f>
        <v>220.33041399572647</v>
      </c>
      <c r="T324" s="16">
        <f>Demand_CWRS!J$13/30</f>
        <v>220.33041399572647</v>
      </c>
      <c r="U324" s="16">
        <f>Demand_CWRS!K$13/30</f>
        <v>220.33041399572647</v>
      </c>
      <c r="V324" s="16">
        <f t="shared" si="126"/>
        <v>-36496.41686325115</v>
      </c>
      <c r="W324" s="16">
        <f t="shared" si="127"/>
        <v>-145458.94598290554</v>
      </c>
      <c r="X324" s="16">
        <f t="shared" si="128"/>
        <v>0</v>
      </c>
      <c r="Y324" s="16">
        <f t="shared" si="129"/>
        <v>-27932.6735583685</v>
      </c>
      <c r="Z324" s="16">
        <f t="shared" si="130"/>
        <v>-64276.932475285372</v>
      </c>
      <c r="AA324" s="16">
        <f t="shared" si="131"/>
        <v>-35024.484339212766</v>
      </c>
      <c r="AB324" s="16">
        <f t="shared" si="132"/>
        <v>-68586.097250926425</v>
      </c>
      <c r="AC324" s="16">
        <f t="shared" si="133"/>
        <v>-62793.086994516139</v>
      </c>
      <c r="AD324" s="16">
        <f t="shared" si="134"/>
        <v>-62893.086994516132</v>
      </c>
      <c r="AE324" s="16">
        <f t="shared" si="135"/>
        <v>-63493.086994516125</v>
      </c>
      <c r="AF324" s="14">
        <f>IF([1]Sheet2!AJ323=999999,"NA",[1]Sheet2!AJ323)</f>
        <v>0</v>
      </c>
      <c r="AG324" s="14">
        <f>IF([1]Sheet2!AK323=999999,"NA",[1]Sheet2!AK323)</f>
        <v>0</v>
      </c>
      <c r="AH324" s="14" t="str">
        <f>IF([1]Sheet2!AL323=999999,"NA",[1]Sheet2!AL323)</f>
        <v>NA</v>
      </c>
      <c r="AI324" s="14">
        <f>IF([1]Sheet2!AM323=999999,"NA",[1]Sheet2!AM323)</f>
        <v>0</v>
      </c>
      <c r="AJ324" s="14">
        <f>IF([1]Sheet2!AN323=999999,"NA",[1]Sheet2!AN323)</f>
        <v>0</v>
      </c>
      <c r="AK324" s="14">
        <f>IF([1]Sheet2!AO323=999999,"NA",[1]Sheet2!AO323)</f>
        <v>0</v>
      </c>
      <c r="AL324" s="14">
        <f>IF([1]Sheet2!AP323=999999,"NA",[1]Sheet2!AP323)</f>
        <v>0</v>
      </c>
      <c r="AM324" s="14">
        <f>IF([1]Sheet2!AQ323=999999,"NA",[1]Sheet2!AQ323)</f>
        <v>0</v>
      </c>
      <c r="AN324" s="14">
        <f>IF([1]Sheet2!AR323=999999,"NA",[1]Sheet2!AR323)</f>
        <v>0</v>
      </c>
      <c r="AO324" s="14">
        <f>IF([1]Sheet2!AS323=999999,"NA",[1]Sheet2!AS323)</f>
        <v>0</v>
      </c>
      <c r="AP324" s="14">
        <f>[1]Sheet2!P323</f>
        <v>0</v>
      </c>
      <c r="AQ324" s="14">
        <f>[1]Sheet2!Q323</f>
        <v>0</v>
      </c>
      <c r="AR324" s="14">
        <f>[1]Sheet2!R323</f>
        <v>0</v>
      </c>
      <c r="AS324" s="14">
        <f>[1]Sheet2!S323</f>
        <v>0</v>
      </c>
      <c r="AT324" s="14">
        <f>[1]Sheet2!T323</f>
        <v>0</v>
      </c>
      <c r="AU324" s="14">
        <f>[1]Sheet2!U323</f>
        <v>0</v>
      </c>
      <c r="AV324" s="14">
        <f>[1]Sheet2!V323</f>
        <v>0</v>
      </c>
      <c r="AW324" s="14">
        <f>[1]Sheet2!W323</f>
        <v>0</v>
      </c>
      <c r="AX324" s="14">
        <f>[1]Sheet2!X323</f>
        <v>0</v>
      </c>
      <c r="AY324" s="14">
        <f>[1]Sheet2!Y323</f>
        <v>0</v>
      </c>
      <c r="AZ324" s="16">
        <f>Demand_LP!B$13/30</f>
        <v>849.16414262820524</v>
      </c>
      <c r="BA324" s="16">
        <f>Demand_LP!C$13/30</f>
        <v>632.84239316239314</v>
      </c>
      <c r="BB324" s="16">
        <f>Demand_LP!D$13/30</f>
        <v>269.64247863247863</v>
      </c>
      <c r="BC324" s="16">
        <f>Demand_LP!E$13/30</f>
        <v>815.03102564102551</v>
      </c>
      <c r="BD324" s="16">
        <f>Demand_LP!F$13/30</f>
        <v>536.05500267094021</v>
      </c>
      <c r="BE324" s="16">
        <f>Demand_LP!G$13/30</f>
        <v>536.05500267094021</v>
      </c>
      <c r="BF324" s="16">
        <f>Demand_LP!H$13/30</f>
        <v>632.84239316239314</v>
      </c>
      <c r="BG324" s="16">
        <f>Demand_LP!I$13/30</f>
        <v>536.05500267094021</v>
      </c>
      <c r="BH324" s="16">
        <f>Demand_LP!J$13/30</f>
        <v>536.05500267094021</v>
      </c>
      <c r="BI324" s="16">
        <f>Demand_LP!K$13/30</f>
        <v>536.05500267094021</v>
      </c>
      <c r="BJ324" s="16">
        <f t="shared" si="136"/>
        <v>-240040.18596290724</v>
      </c>
      <c r="BK324" s="16">
        <f t="shared" si="137"/>
        <v>-180870.82581196559</v>
      </c>
      <c r="BL324" s="16">
        <f t="shared" si="138"/>
        <v>-86688.399059829404</v>
      </c>
      <c r="BM324" s="16">
        <f t="shared" si="139"/>
        <v>-231822.99921453968</v>
      </c>
      <c r="BN324" s="16">
        <f t="shared" si="140"/>
        <v>-141761.22742511239</v>
      </c>
      <c r="BO324" s="16">
        <f t="shared" si="141"/>
        <v>-140218.91134348317</v>
      </c>
      <c r="BP324" s="16">
        <f t="shared" si="142"/>
        <v>-175228.40529914494</v>
      </c>
      <c r="BQ324" s="16">
        <f t="shared" si="143"/>
        <v>-136047.9113434832</v>
      </c>
      <c r="BR324" s="16">
        <f t="shared" si="144"/>
        <v>-137818.91134348323</v>
      </c>
      <c r="BS324" s="16">
        <f t="shared" si="145"/>
        <v>-138518.91134348323</v>
      </c>
      <c r="BT324" s="14">
        <f>IF([1]Sheet2!CB323=999999,"NA",[1]Sheet2!CB323)</f>
        <v>0</v>
      </c>
      <c r="BU324" s="14">
        <f>IF([1]Sheet2!CC323=999999,"NA",[1]Sheet2!CC323)</f>
        <v>0</v>
      </c>
      <c r="BV324" s="14">
        <f>IF([1]Sheet2!CD323=999999,"NA",[1]Sheet2!CD323)</f>
        <v>0</v>
      </c>
      <c r="BW324" s="14">
        <f>IF([1]Sheet2!CE323=999999,"NA",[1]Sheet2!CE323)</f>
        <v>0</v>
      </c>
      <c r="BX324" s="14">
        <f>IF([1]Sheet2!CF323=999999,"NA",[1]Sheet2!CF323)</f>
        <v>0</v>
      </c>
      <c r="BY324" s="14">
        <f>IF([1]Sheet2!CG323=999999,"NA",[1]Sheet2!CG323)</f>
        <v>0</v>
      </c>
      <c r="BZ324" s="14">
        <f>IF([1]Sheet2!CH323=999999,"NA",[1]Sheet2!CH323)</f>
        <v>0</v>
      </c>
      <c r="CA324" s="14">
        <f>IF([1]Sheet2!CI323=999999,"NA",[1]Sheet2!CI323)</f>
        <v>0</v>
      </c>
      <c r="CB324" s="14">
        <f>IF([1]Sheet2!CJ323=999999,"NA",[1]Sheet2!CJ323)</f>
        <v>0</v>
      </c>
      <c r="CC324" s="14">
        <f>IF([1]Sheet2!CK323=999999,"NA",[1]Sheet2!CK323)</f>
        <v>0</v>
      </c>
      <c r="CD324" s="14">
        <f>[1]Sheet2!BH323</f>
        <v>0</v>
      </c>
      <c r="CE324" s="14">
        <f>[1]Sheet2!BI323</f>
        <v>0</v>
      </c>
      <c r="CF324" s="14">
        <f>[1]Sheet2!BJ323</f>
        <v>0</v>
      </c>
      <c r="CG324" s="14">
        <f>[1]Sheet2!BK323</f>
        <v>0</v>
      </c>
      <c r="CH324" s="14">
        <f>[1]Sheet2!BL323</f>
        <v>0</v>
      </c>
      <c r="CI324" s="14">
        <f>[1]Sheet2!BM323</f>
        <v>0</v>
      </c>
      <c r="CJ324" s="14">
        <f>[1]Sheet2!BN323</f>
        <v>0</v>
      </c>
      <c r="CK324" s="14">
        <f>[1]Sheet2!BO323</f>
        <v>0</v>
      </c>
      <c r="CL324" s="14">
        <f>[1]Sheet2!BP323</f>
        <v>0</v>
      </c>
      <c r="CM324" s="14">
        <f>[1]Sheet2!BQ323</f>
        <v>0</v>
      </c>
      <c r="CN324" s="16">
        <f>Demand_SW!B$13/30</f>
        <v>144.23076923076923</v>
      </c>
      <c r="CO324" s="16">
        <f>Demand_SW!C$13/30</f>
        <v>0</v>
      </c>
      <c r="CP324" s="16">
        <f>Demand_SW!D$13/30</f>
        <v>0</v>
      </c>
      <c r="CQ324" s="16">
        <f>Demand_SW!E$13/30</f>
        <v>0</v>
      </c>
      <c r="CR324" s="16">
        <f>Demand_SW!F$13/30</f>
        <v>0</v>
      </c>
      <c r="CS324" s="16">
        <f>Demand_SW!G$13/30</f>
        <v>144.23076923076923</v>
      </c>
      <c r="CT324" s="16">
        <f>Demand_SW!H$13/30</f>
        <v>0</v>
      </c>
      <c r="CU324" s="16">
        <f>Demand_SW!I$13/30</f>
        <v>0</v>
      </c>
      <c r="CV324" s="16">
        <f>Demand_SW!J$13/30</f>
        <v>0</v>
      </c>
      <c r="CW324" s="16">
        <f>Demand_SW!K$13/30</f>
        <v>0</v>
      </c>
      <c r="CX324" s="16">
        <f t="shared" si="146"/>
        <v>-20826.538461538501</v>
      </c>
      <c r="CY324" s="16">
        <f t="shared" si="147"/>
        <v>76.923076923077133</v>
      </c>
      <c r="CZ324" s="16">
        <f t="shared" si="148"/>
        <v>0</v>
      </c>
      <c r="DA324" s="16">
        <f t="shared" si="149"/>
        <v>0</v>
      </c>
      <c r="DB324" s="16">
        <f t="shared" si="150"/>
        <v>0</v>
      </c>
      <c r="DC324" s="16">
        <f t="shared" si="151"/>
        <v>-22057.769230769271</v>
      </c>
      <c r="DD324" s="16">
        <f t="shared" si="152"/>
        <v>76.923076923077133</v>
      </c>
      <c r="DE324" s="16">
        <f t="shared" si="153"/>
        <v>0</v>
      </c>
      <c r="DF324" s="16">
        <f t="shared" si="154"/>
        <v>0</v>
      </c>
      <c r="DG324" s="16">
        <f t="shared" si="155"/>
        <v>0</v>
      </c>
      <c r="DH324" s="14">
        <f>IF([1]Sheet2!DS323=999999,"NA",[1]Sheet2!DS323)</f>
        <v>0</v>
      </c>
      <c r="DI324" s="14">
        <f>IF([1]Sheet2!DT323=999999,"NA",[1]Sheet2!DT323)</f>
        <v>44</v>
      </c>
      <c r="DJ324" s="14" t="str">
        <f>IF([1]Sheet2!DU323=999999,"NA",[1]Sheet2!DU323)</f>
        <v>NA</v>
      </c>
      <c r="DK324" s="14" t="str">
        <f>IF([1]Sheet2!DV323=999999,"NA",[1]Sheet2!DV323)</f>
        <v>NA</v>
      </c>
      <c r="DL324" s="14" t="str">
        <f>IF([1]Sheet2!DW323=999999,"NA",[1]Sheet2!DW323)</f>
        <v>NA</v>
      </c>
      <c r="DM324" s="14">
        <f>IF([1]Sheet2!DX323=999999,"NA",[1]Sheet2!DX323)</f>
        <v>0</v>
      </c>
      <c r="DN324" s="14">
        <f>IF([1]Sheet2!DY323=999999,"NA",[1]Sheet2!DY323)</f>
        <v>44</v>
      </c>
      <c r="DO324" s="14" t="str">
        <f>IF([1]Sheet2!DZ323=999999,"NA",[1]Sheet2!DZ323)</f>
        <v>NA</v>
      </c>
      <c r="DP324" s="14" t="str">
        <f>IF([1]Sheet2!EA323=999999,"NA",[1]Sheet2!EA323)</f>
        <v>NA</v>
      </c>
      <c r="DQ324" s="14" t="str">
        <f>IF([1]Sheet2!EB323=999999,"NA",[1]Sheet2!EB323)</f>
        <v>NA</v>
      </c>
      <c r="DR324" s="14">
        <f>[1]Sheet2!CY323</f>
        <v>0</v>
      </c>
      <c r="DS324" s="14">
        <f>[1]Sheet2!CZ323</f>
        <v>0</v>
      </c>
      <c r="DT324" s="14">
        <f>[1]Sheet2!DA323</f>
        <v>0</v>
      </c>
      <c r="DU324" s="14">
        <f>[1]Sheet2!DB323</f>
        <v>0</v>
      </c>
      <c r="DV324" s="14">
        <f>[1]Sheet2!DC323</f>
        <v>0</v>
      </c>
      <c r="DW324" s="14">
        <f>[1]Sheet2!DD323</f>
        <v>0</v>
      </c>
      <c r="DX324" s="14">
        <f>[1]Sheet2!DE323</f>
        <v>0</v>
      </c>
      <c r="DY324" s="14">
        <f>[1]Sheet2!DF323</f>
        <v>0</v>
      </c>
      <c r="DZ324" s="14">
        <f>[1]Sheet2!DG323</f>
        <v>0</v>
      </c>
      <c r="EA324" s="14">
        <f>[1]Sheet2!DH323</f>
        <v>0</v>
      </c>
      <c r="EB324" s="6">
        <f>[1]Sheet2!EC323</f>
        <v>0</v>
      </c>
      <c r="EC324" s="6">
        <f>[1]Sheet2!ED323</f>
        <v>0</v>
      </c>
      <c r="ED324" s="6">
        <f>[1]Sheet2!EE323</f>
        <v>0</v>
      </c>
      <c r="EE324" s="6">
        <f>[1]Sheet2!EF323</f>
        <v>0</v>
      </c>
      <c r="EF324" s="6">
        <f>[1]Sheet2!EG323</f>
        <v>0</v>
      </c>
      <c r="EG324" s="6">
        <f>[1]Sheet2!EH323</f>
        <v>0</v>
      </c>
      <c r="EH324" s="6">
        <f>[1]Sheet2!EI323</f>
        <v>0</v>
      </c>
      <c r="EI324" s="6">
        <f>[1]Sheet2!EJ323</f>
        <v>0</v>
      </c>
      <c r="EJ324" s="6">
        <f>[1]Sheet2!EK323</f>
        <v>0</v>
      </c>
      <c r="EK324" s="6">
        <f>[1]Sheet2!EL323</f>
        <v>0</v>
      </c>
      <c r="EL324" s="6" t="str">
        <f>[1]Sheet2!EM323</f>
        <v/>
      </c>
      <c r="EM324" s="6" t="str">
        <f>[1]Sheet2!EN323</f>
        <v/>
      </c>
      <c r="EN324" s="6" t="str">
        <f>[1]Sheet2!EO323</f>
        <v/>
      </c>
      <c r="EO324" s="6" t="str">
        <f>[1]Sheet2!EP323</f>
        <v/>
      </c>
      <c r="EP324" s="6" t="str">
        <f>[1]Sheet2!EQ323</f>
        <v/>
      </c>
      <c r="EQ324" s="6" t="str">
        <f>[1]Sheet2!ER323</f>
        <v/>
      </c>
      <c r="ER324" s="6" t="str">
        <f>[1]Sheet2!ES323</f>
        <v/>
      </c>
      <c r="ES324" s="6" t="str">
        <f>[1]Sheet2!ET323</f>
        <v/>
      </c>
      <c r="ET324" s="6" t="str">
        <f>[1]Sheet2!EU323</f>
        <v/>
      </c>
      <c r="EU324" s="6" t="str">
        <f>[1]Sheet2!EV323</f>
        <v/>
      </c>
      <c r="EV324" s="6" t="str">
        <f>[1]Sheet2!EW323</f>
        <v/>
      </c>
      <c r="EW324" s="6" t="str">
        <f>[1]Sheet2!EX323</f>
        <v/>
      </c>
      <c r="EX324" s="6" t="str">
        <f>[1]Sheet2!EY323</f>
        <v/>
      </c>
      <c r="EY324" s="6" t="str">
        <f>[1]Sheet2!EZ323</f>
        <v/>
      </c>
      <c r="EZ324" s="6" t="str">
        <f>[1]Sheet2!FA323</f>
        <v/>
      </c>
      <c r="FA324" s="6" t="str">
        <f>[1]Sheet2!FB323</f>
        <v/>
      </c>
      <c r="FB324" s="6" t="str">
        <f>[1]Sheet2!FC323</f>
        <v/>
      </c>
      <c r="FC324" s="6" t="str">
        <f>[1]Sheet2!FD323</f>
        <v/>
      </c>
      <c r="FD324" s="6" t="str">
        <f>[1]Sheet2!FE323</f>
        <v/>
      </c>
      <c r="FE324" s="6" t="str">
        <f>[1]Sheet2!FF323</f>
        <v/>
      </c>
      <c r="FF324" s="6" t="str">
        <f>[1]Sheet2!FG323</f>
        <v/>
      </c>
      <c r="FG324" s="6" t="str">
        <f>[1]Sheet2!FH323</f>
        <v/>
      </c>
      <c r="FH324" s="6" t="str">
        <f>[1]Sheet2!FI323</f>
        <v/>
      </c>
      <c r="FI324" s="6" t="str">
        <f>[1]Sheet2!FJ323</f>
        <v/>
      </c>
      <c r="FJ324" s="6" t="str">
        <f>[1]Sheet2!FK323</f>
        <v/>
      </c>
      <c r="FK324" s="6" t="str">
        <f>[1]Sheet2!FL323</f>
        <v/>
      </c>
      <c r="FL324" s="6" t="str">
        <f>[1]Sheet2!FM323</f>
        <v/>
      </c>
      <c r="FM324" s="6" t="str">
        <f>[1]Sheet2!FN323</f>
        <v/>
      </c>
      <c r="FN324" s="6" t="str">
        <f>[1]Sheet2!FO323</f>
        <v/>
      </c>
      <c r="FO324" s="6" t="str">
        <f>[1]Sheet2!FP323</f>
        <v/>
      </c>
    </row>
    <row r="325" spans="1:171" x14ac:dyDescent="0.25">
      <c r="A325" s="15">
        <v>43787</v>
      </c>
      <c r="B325" s="1"/>
      <c r="C325" s="1"/>
      <c r="D325" s="1"/>
      <c r="E325" s="14">
        <f>[1]Sheet2!N324</f>
        <v>0</v>
      </c>
      <c r="F325" s="14">
        <f>[1]Sheet2!BE324</f>
        <v>0</v>
      </c>
      <c r="G325" s="14">
        <f>[1]Sheet2!CW324</f>
        <v>0</v>
      </c>
      <c r="H325" s="1"/>
      <c r="I325" s="1"/>
      <c r="J325" s="1"/>
      <c r="K325" s="16"/>
      <c r="L325" s="16">
        <f>Demand_CWRS!B$13/30</f>
        <v>111.92954594017094</v>
      </c>
      <c r="M325" s="16">
        <f>Demand_CWRS!C$13/30</f>
        <v>550.01145299145287</v>
      </c>
      <c r="N325" s="16">
        <f>Demand_CWRS!D$13/30</f>
        <v>0</v>
      </c>
      <c r="O325" s="16">
        <f>Demand_CWRS!E$13/30</f>
        <v>105.42606837606837</v>
      </c>
      <c r="P325" s="16">
        <f>Demand_CWRS!F$13/30</f>
        <v>220.33041399572647</v>
      </c>
      <c r="Q325" s="16">
        <f>Demand_CWRS!G$13/30</f>
        <v>111.92954594017094</v>
      </c>
      <c r="R325" s="16">
        <f>Demand_CWRS!H$13/30</f>
        <v>220.33041399572647</v>
      </c>
      <c r="S325" s="16">
        <f>Demand_CWRS!I$13/30</f>
        <v>220.33041399572647</v>
      </c>
      <c r="T325" s="16">
        <f>Demand_CWRS!J$13/30</f>
        <v>220.33041399572647</v>
      </c>
      <c r="U325" s="16">
        <f>Demand_CWRS!K$13/30</f>
        <v>220.33041399572647</v>
      </c>
      <c r="V325" s="16">
        <f t="shared" ref="V325:V368" si="156">IF(EL325="",V324-L325+AP325,EL325)</f>
        <v>-36608.346409191319</v>
      </c>
      <c r="W325" s="16">
        <f t="shared" ref="W325:W368" si="157">IF(EM325="",W324-M325+AQ325,EM325)</f>
        <v>-146008.957435897</v>
      </c>
      <c r="X325" s="16">
        <f t="shared" ref="X325:X368" si="158">IF(EN325="",X324-N325+AR325,EN325)</f>
        <v>0</v>
      </c>
      <c r="Y325" s="16">
        <f t="shared" ref="Y325:Y368" si="159">IF(EO325="",Y324-O325+AS325,EO325)</f>
        <v>-28038.09962674457</v>
      </c>
      <c r="Z325" s="16">
        <f t="shared" ref="Z325:Z368" si="160">IF(EP325="",Z324-P325+AT325,EP325)</f>
        <v>-64497.262889281097</v>
      </c>
      <c r="AA325" s="16">
        <f t="shared" ref="AA325:AA368" si="161">IF(EQ325="",AA324-Q325+AU325,EQ325)</f>
        <v>-35136.413885152935</v>
      </c>
      <c r="AB325" s="16">
        <f t="shared" ref="AB325:AB368" si="162">IF(ER325="",AB324-R325+AV325,ER325)</f>
        <v>-68806.427664922157</v>
      </c>
      <c r="AC325" s="16">
        <f t="shared" ref="AC325:AC368" si="163">IF(ES325="",AC324-S325+AW325,ES325)</f>
        <v>-63013.417408511865</v>
      </c>
      <c r="AD325" s="16">
        <f t="shared" ref="AD325:AD368" si="164">IF(ET325="",AD324-T325+AX325,ET325)</f>
        <v>-63113.417408511858</v>
      </c>
      <c r="AE325" s="16">
        <f t="shared" ref="AE325:AE368" si="165">IF(EU325="",AE324-U325+AY325,EU325)</f>
        <v>-63713.41740851185</v>
      </c>
      <c r="AF325" s="14">
        <f>IF([1]Sheet2!AJ324=999999,"NA",[1]Sheet2!AJ324)</f>
        <v>0</v>
      </c>
      <c r="AG325" s="14">
        <f>IF([1]Sheet2!AK324=999999,"NA",[1]Sheet2!AK324)</f>
        <v>0</v>
      </c>
      <c r="AH325" s="14" t="str">
        <f>IF([1]Sheet2!AL324=999999,"NA",[1]Sheet2!AL324)</f>
        <v>NA</v>
      </c>
      <c r="AI325" s="14">
        <f>IF([1]Sheet2!AM324=999999,"NA",[1]Sheet2!AM324)</f>
        <v>0</v>
      </c>
      <c r="AJ325" s="14">
        <f>IF([1]Sheet2!AN324=999999,"NA",[1]Sheet2!AN324)</f>
        <v>0</v>
      </c>
      <c r="AK325" s="14">
        <f>IF([1]Sheet2!AO324=999999,"NA",[1]Sheet2!AO324)</f>
        <v>0</v>
      </c>
      <c r="AL325" s="14">
        <f>IF([1]Sheet2!AP324=999999,"NA",[1]Sheet2!AP324)</f>
        <v>0</v>
      </c>
      <c r="AM325" s="14">
        <f>IF([1]Sheet2!AQ324=999999,"NA",[1]Sheet2!AQ324)</f>
        <v>0</v>
      </c>
      <c r="AN325" s="14">
        <f>IF([1]Sheet2!AR324=999999,"NA",[1]Sheet2!AR324)</f>
        <v>0</v>
      </c>
      <c r="AO325" s="14">
        <f>IF([1]Sheet2!AS324=999999,"NA",[1]Sheet2!AS324)</f>
        <v>0</v>
      </c>
      <c r="AP325" s="14">
        <f>[1]Sheet2!P324</f>
        <v>0</v>
      </c>
      <c r="AQ325" s="14">
        <f>[1]Sheet2!Q324</f>
        <v>0</v>
      </c>
      <c r="AR325" s="14">
        <f>[1]Sheet2!R324</f>
        <v>0</v>
      </c>
      <c r="AS325" s="14">
        <f>[1]Sheet2!S324</f>
        <v>0</v>
      </c>
      <c r="AT325" s="14">
        <f>[1]Sheet2!T324</f>
        <v>0</v>
      </c>
      <c r="AU325" s="14">
        <f>[1]Sheet2!U324</f>
        <v>0</v>
      </c>
      <c r="AV325" s="14">
        <f>[1]Sheet2!V324</f>
        <v>0</v>
      </c>
      <c r="AW325" s="14">
        <f>[1]Sheet2!W324</f>
        <v>0</v>
      </c>
      <c r="AX325" s="14">
        <f>[1]Sheet2!X324</f>
        <v>0</v>
      </c>
      <c r="AY325" s="14">
        <f>[1]Sheet2!Y324</f>
        <v>0</v>
      </c>
      <c r="AZ325" s="16">
        <f>Demand_LP!B$13/30</f>
        <v>849.16414262820524</v>
      </c>
      <c r="BA325" s="16">
        <f>Demand_LP!C$13/30</f>
        <v>632.84239316239314</v>
      </c>
      <c r="BB325" s="16">
        <f>Demand_LP!D$13/30</f>
        <v>269.64247863247863</v>
      </c>
      <c r="BC325" s="16">
        <f>Demand_LP!E$13/30</f>
        <v>815.03102564102551</v>
      </c>
      <c r="BD325" s="16">
        <f>Demand_LP!F$13/30</f>
        <v>536.05500267094021</v>
      </c>
      <c r="BE325" s="16">
        <f>Demand_LP!G$13/30</f>
        <v>536.05500267094021</v>
      </c>
      <c r="BF325" s="16">
        <f>Demand_LP!H$13/30</f>
        <v>632.84239316239314</v>
      </c>
      <c r="BG325" s="16">
        <f>Demand_LP!I$13/30</f>
        <v>536.05500267094021</v>
      </c>
      <c r="BH325" s="16">
        <f>Demand_LP!J$13/30</f>
        <v>536.05500267094021</v>
      </c>
      <c r="BI325" s="16">
        <f>Demand_LP!K$13/30</f>
        <v>536.05500267094021</v>
      </c>
      <c r="BJ325" s="16">
        <f t="shared" ref="BJ325:BJ368" si="166">IF(EV325="",BJ324-AZ325+CD325,EV325)</f>
        <v>-240889.35010553544</v>
      </c>
      <c r="BK325" s="16">
        <f t="shared" ref="BK325:BK368" si="167">IF(EW325="",BK324-BA325+CE325,EW325)</f>
        <v>-181503.66820512799</v>
      </c>
      <c r="BL325" s="16">
        <f t="shared" ref="BL325:BL368" si="168">IF(EX325="",BL324-BB325+CF325,EX325)</f>
        <v>-86958.041538461883</v>
      </c>
      <c r="BM325" s="16">
        <f t="shared" ref="BM325:BM368" si="169">IF(EY325="",BM324-BC325+CG325,EY325)</f>
        <v>-232638.0302401807</v>
      </c>
      <c r="BN325" s="16">
        <f t="shared" ref="BN325:BN368" si="170">IF(EZ325="",BN324-BD325+CH325,EZ325)</f>
        <v>-142297.28242778333</v>
      </c>
      <c r="BO325" s="16">
        <f t="shared" ref="BO325:BO368" si="171">IF(FA325="",BO324-BE325+CI325,FA325)</f>
        <v>-140754.96634615411</v>
      </c>
      <c r="BP325" s="16">
        <f t="shared" ref="BP325:BP368" si="172">IF(FB325="",BP324-BF325+CJ325,FB325)</f>
        <v>-175861.24769230734</v>
      </c>
      <c r="BQ325" s="16">
        <f t="shared" ref="BQ325:BQ368" si="173">IF(FC325="",BQ324-BG325+CK325,FC325)</f>
        <v>-136583.96634615413</v>
      </c>
      <c r="BR325" s="16">
        <f t="shared" ref="BR325:BR368" si="174">IF(FD325="",BR324-BH325+CL325,FD325)</f>
        <v>-138354.96634615416</v>
      </c>
      <c r="BS325" s="16">
        <f t="shared" ref="BS325:BS368" si="175">IF(FE325="",BS324-BI325+CM325,FE325)</f>
        <v>-139054.96634615416</v>
      </c>
      <c r="BT325" s="14">
        <f>IF([1]Sheet2!CB324=999999,"NA",[1]Sheet2!CB324)</f>
        <v>0</v>
      </c>
      <c r="BU325" s="14">
        <f>IF([1]Sheet2!CC324=999999,"NA",[1]Sheet2!CC324)</f>
        <v>0</v>
      </c>
      <c r="BV325" s="14">
        <f>IF([1]Sheet2!CD324=999999,"NA",[1]Sheet2!CD324)</f>
        <v>0</v>
      </c>
      <c r="BW325" s="14">
        <f>IF([1]Sheet2!CE324=999999,"NA",[1]Sheet2!CE324)</f>
        <v>0</v>
      </c>
      <c r="BX325" s="14">
        <f>IF([1]Sheet2!CF324=999999,"NA",[1]Sheet2!CF324)</f>
        <v>0</v>
      </c>
      <c r="BY325" s="14">
        <f>IF([1]Sheet2!CG324=999999,"NA",[1]Sheet2!CG324)</f>
        <v>0</v>
      </c>
      <c r="BZ325" s="14">
        <f>IF([1]Sheet2!CH324=999999,"NA",[1]Sheet2!CH324)</f>
        <v>0</v>
      </c>
      <c r="CA325" s="14">
        <f>IF([1]Sheet2!CI324=999999,"NA",[1]Sheet2!CI324)</f>
        <v>0</v>
      </c>
      <c r="CB325" s="14">
        <f>IF([1]Sheet2!CJ324=999999,"NA",[1]Sheet2!CJ324)</f>
        <v>0</v>
      </c>
      <c r="CC325" s="14">
        <f>IF([1]Sheet2!CK324=999999,"NA",[1]Sheet2!CK324)</f>
        <v>0</v>
      </c>
      <c r="CD325" s="14">
        <f>[1]Sheet2!BH324</f>
        <v>0</v>
      </c>
      <c r="CE325" s="14">
        <f>[1]Sheet2!BI324</f>
        <v>0</v>
      </c>
      <c r="CF325" s="14">
        <f>[1]Sheet2!BJ324</f>
        <v>0</v>
      </c>
      <c r="CG325" s="14">
        <f>[1]Sheet2!BK324</f>
        <v>0</v>
      </c>
      <c r="CH325" s="14">
        <f>[1]Sheet2!BL324</f>
        <v>0</v>
      </c>
      <c r="CI325" s="14">
        <f>[1]Sheet2!BM324</f>
        <v>0</v>
      </c>
      <c r="CJ325" s="14">
        <f>[1]Sheet2!BN324</f>
        <v>0</v>
      </c>
      <c r="CK325" s="14">
        <f>[1]Sheet2!BO324</f>
        <v>0</v>
      </c>
      <c r="CL325" s="14">
        <f>[1]Sheet2!BP324</f>
        <v>0</v>
      </c>
      <c r="CM325" s="14">
        <f>[1]Sheet2!BQ324</f>
        <v>0</v>
      </c>
      <c r="CN325" s="16">
        <f>Demand_SW!B$13/30</f>
        <v>144.23076923076923</v>
      </c>
      <c r="CO325" s="16">
        <f>Demand_SW!C$13/30</f>
        <v>0</v>
      </c>
      <c r="CP325" s="16">
        <f>Demand_SW!D$13/30</f>
        <v>0</v>
      </c>
      <c r="CQ325" s="16">
        <f>Demand_SW!E$13/30</f>
        <v>0</v>
      </c>
      <c r="CR325" s="16">
        <f>Demand_SW!F$13/30</f>
        <v>0</v>
      </c>
      <c r="CS325" s="16">
        <f>Demand_SW!G$13/30</f>
        <v>144.23076923076923</v>
      </c>
      <c r="CT325" s="16">
        <f>Demand_SW!H$13/30</f>
        <v>0</v>
      </c>
      <c r="CU325" s="16">
        <f>Demand_SW!I$13/30</f>
        <v>0</v>
      </c>
      <c r="CV325" s="16">
        <f>Demand_SW!J$13/30</f>
        <v>0</v>
      </c>
      <c r="CW325" s="16">
        <f>Demand_SW!K$13/30</f>
        <v>0</v>
      </c>
      <c r="CX325" s="16">
        <f t="shared" ref="CX325:CX368" si="176">IF(FF325="",CX324-CN325+DR325,FF325)</f>
        <v>-20970.769230769271</v>
      </c>
      <c r="CY325" s="16">
        <f t="shared" ref="CY325:CY368" si="177">IF(FG325="",CY324-CO325+DS325,FG325)</f>
        <v>76.923076923077133</v>
      </c>
      <c r="CZ325" s="16">
        <f t="shared" ref="CZ325:CZ368" si="178">IF(FH325="",CZ324-CP325+DT325,FH325)</f>
        <v>0</v>
      </c>
      <c r="DA325" s="16">
        <f t="shared" ref="DA325:DA368" si="179">IF(FI325="",DA324-CQ325+DU325,FI325)</f>
        <v>0</v>
      </c>
      <c r="DB325" s="16">
        <f t="shared" ref="DB325:DB368" si="180">IF(FJ325="",DB324-CR325+DV325,FJ325)</f>
        <v>0</v>
      </c>
      <c r="DC325" s="16">
        <f t="shared" ref="DC325:DC368" si="181">IF(FK325="",DC324-CS325+DW325,FK325)</f>
        <v>-22202.00000000004</v>
      </c>
      <c r="DD325" s="16">
        <f t="shared" ref="DD325:DD368" si="182">IF(FL325="",DD324-CT325+DX325,FL325)</f>
        <v>76.923076923077133</v>
      </c>
      <c r="DE325" s="16">
        <f t="shared" ref="DE325:DE368" si="183">IF(FM325="",DE324-CU325+DY325,FM325)</f>
        <v>0</v>
      </c>
      <c r="DF325" s="16">
        <f t="shared" ref="DF325:DF368" si="184">IF(FN325="",DF324-CV325+DZ325,FN325)</f>
        <v>0</v>
      </c>
      <c r="DG325" s="16">
        <f t="shared" ref="DG325:DG368" si="185">IF(FO325="",DG324-CW325+EA325,FO325)</f>
        <v>0</v>
      </c>
      <c r="DH325" s="14">
        <f>IF([1]Sheet2!DS324=999999,"NA",[1]Sheet2!DS324)</f>
        <v>0</v>
      </c>
      <c r="DI325" s="14">
        <f>IF([1]Sheet2!DT324=999999,"NA",[1]Sheet2!DT324)</f>
        <v>43</v>
      </c>
      <c r="DJ325" s="14" t="str">
        <f>IF([1]Sheet2!DU324=999999,"NA",[1]Sheet2!DU324)</f>
        <v>NA</v>
      </c>
      <c r="DK325" s="14" t="str">
        <f>IF([1]Sheet2!DV324=999999,"NA",[1]Sheet2!DV324)</f>
        <v>NA</v>
      </c>
      <c r="DL325" s="14" t="str">
        <f>IF([1]Sheet2!DW324=999999,"NA",[1]Sheet2!DW324)</f>
        <v>NA</v>
      </c>
      <c r="DM325" s="14">
        <f>IF([1]Sheet2!DX324=999999,"NA",[1]Sheet2!DX324)</f>
        <v>0</v>
      </c>
      <c r="DN325" s="14">
        <f>IF([1]Sheet2!DY324=999999,"NA",[1]Sheet2!DY324)</f>
        <v>43</v>
      </c>
      <c r="DO325" s="14" t="str">
        <f>IF([1]Sheet2!DZ324=999999,"NA",[1]Sheet2!DZ324)</f>
        <v>NA</v>
      </c>
      <c r="DP325" s="14" t="str">
        <f>IF([1]Sheet2!EA324=999999,"NA",[1]Sheet2!EA324)</f>
        <v>NA</v>
      </c>
      <c r="DQ325" s="14" t="str">
        <f>IF([1]Sheet2!EB324=999999,"NA",[1]Sheet2!EB324)</f>
        <v>NA</v>
      </c>
      <c r="DR325" s="14">
        <f>[1]Sheet2!CY324</f>
        <v>0</v>
      </c>
      <c r="DS325" s="14">
        <f>[1]Sheet2!CZ324</f>
        <v>0</v>
      </c>
      <c r="DT325" s="14">
        <f>[1]Sheet2!DA324</f>
        <v>0</v>
      </c>
      <c r="DU325" s="14">
        <f>[1]Sheet2!DB324</f>
        <v>0</v>
      </c>
      <c r="DV325" s="14">
        <f>[1]Sheet2!DC324</f>
        <v>0</v>
      </c>
      <c r="DW325" s="14">
        <f>[1]Sheet2!DD324</f>
        <v>0</v>
      </c>
      <c r="DX325" s="14">
        <f>[1]Sheet2!DE324</f>
        <v>0</v>
      </c>
      <c r="DY325" s="14">
        <f>[1]Sheet2!DF324</f>
        <v>0</v>
      </c>
      <c r="DZ325" s="14">
        <f>[1]Sheet2!DG324</f>
        <v>0</v>
      </c>
      <c r="EA325" s="14">
        <f>[1]Sheet2!DH324</f>
        <v>0</v>
      </c>
      <c r="EB325" s="6">
        <f>[1]Sheet2!EC324</f>
        <v>0</v>
      </c>
      <c r="EC325" s="6">
        <f>[1]Sheet2!ED324</f>
        <v>0</v>
      </c>
      <c r="ED325" s="6">
        <f>[1]Sheet2!EE324</f>
        <v>0</v>
      </c>
      <c r="EE325" s="6">
        <f>[1]Sheet2!EF324</f>
        <v>0</v>
      </c>
      <c r="EF325" s="6">
        <f>[1]Sheet2!EG324</f>
        <v>0</v>
      </c>
      <c r="EG325" s="6">
        <f>[1]Sheet2!EH324</f>
        <v>0</v>
      </c>
      <c r="EH325" s="6">
        <f>[1]Sheet2!EI324</f>
        <v>0</v>
      </c>
      <c r="EI325" s="6">
        <f>[1]Sheet2!EJ324</f>
        <v>0</v>
      </c>
      <c r="EJ325" s="6">
        <f>[1]Sheet2!EK324</f>
        <v>0</v>
      </c>
      <c r="EK325" s="6">
        <f>[1]Sheet2!EL324</f>
        <v>0</v>
      </c>
      <c r="EL325" s="6" t="str">
        <f>[1]Sheet2!EM324</f>
        <v/>
      </c>
      <c r="EM325" s="6" t="str">
        <f>[1]Sheet2!EN324</f>
        <v/>
      </c>
      <c r="EN325" s="6" t="str">
        <f>[1]Sheet2!EO324</f>
        <v/>
      </c>
      <c r="EO325" s="6" t="str">
        <f>[1]Sheet2!EP324</f>
        <v/>
      </c>
      <c r="EP325" s="6" t="str">
        <f>[1]Sheet2!EQ324</f>
        <v/>
      </c>
      <c r="EQ325" s="6" t="str">
        <f>[1]Sheet2!ER324</f>
        <v/>
      </c>
      <c r="ER325" s="6" t="str">
        <f>[1]Sheet2!ES324</f>
        <v/>
      </c>
      <c r="ES325" s="6" t="str">
        <f>[1]Sheet2!ET324</f>
        <v/>
      </c>
      <c r="ET325" s="6" t="str">
        <f>[1]Sheet2!EU324</f>
        <v/>
      </c>
      <c r="EU325" s="6" t="str">
        <f>[1]Sheet2!EV324</f>
        <v/>
      </c>
      <c r="EV325" s="6" t="str">
        <f>[1]Sheet2!EW324</f>
        <v/>
      </c>
      <c r="EW325" s="6" t="str">
        <f>[1]Sheet2!EX324</f>
        <v/>
      </c>
      <c r="EX325" s="6" t="str">
        <f>[1]Sheet2!EY324</f>
        <v/>
      </c>
      <c r="EY325" s="6" t="str">
        <f>[1]Sheet2!EZ324</f>
        <v/>
      </c>
      <c r="EZ325" s="6" t="str">
        <f>[1]Sheet2!FA324</f>
        <v/>
      </c>
      <c r="FA325" s="6" t="str">
        <f>[1]Sheet2!FB324</f>
        <v/>
      </c>
      <c r="FB325" s="6" t="str">
        <f>[1]Sheet2!FC324</f>
        <v/>
      </c>
      <c r="FC325" s="6" t="str">
        <f>[1]Sheet2!FD324</f>
        <v/>
      </c>
      <c r="FD325" s="6" t="str">
        <f>[1]Sheet2!FE324</f>
        <v/>
      </c>
      <c r="FE325" s="6" t="str">
        <f>[1]Sheet2!FF324</f>
        <v/>
      </c>
      <c r="FF325" s="6" t="str">
        <f>[1]Sheet2!FG324</f>
        <v/>
      </c>
      <c r="FG325" s="6" t="str">
        <f>[1]Sheet2!FH324</f>
        <v/>
      </c>
      <c r="FH325" s="6" t="str">
        <f>[1]Sheet2!FI324</f>
        <v/>
      </c>
      <c r="FI325" s="6" t="str">
        <f>[1]Sheet2!FJ324</f>
        <v/>
      </c>
      <c r="FJ325" s="6" t="str">
        <f>[1]Sheet2!FK324</f>
        <v/>
      </c>
      <c r="FK325" s="6" t="str">
        <f>[1]Sheet2!FL324</f>
        <v/>
      </c>
      <c r="FL325" s="6" t="str">
        <f>[1]Sheet2!FM324</f>
        <v/>
      </c>
      <c r="FM325" s="6" t="str">
        <f>[1]Sheet2!FN324</f>
        <v/>
      </c>
      <c r="FN325" s="6" t="str">
        <f>[1]Sheet2!FO324</f>
        <v/>
      </c>
      <c r="FO325" s="6" t="str">
        <f>[1]Sheet2!FP324</f>
        <v/>
      </c>
    </row>
    <row r="326" spans="1:171" x14ac:dyDescent="0.25">
      <c r="A326" s="15">
        <v>43788</v>
      </c>
      <c r="B326" s="1"/>
      <c r="C326" s="1"/>
      <c r="D326" s="1"/>
      <c r="E326" s="14">
        <f>[1]Sheet2!N325</f>
        <v>0</v>
      </c>
      <c r="F326" s="14">
        <f>[1]Sheet2!BE325</f>
        <v>0</v>
      </c>
      <c r="G326" s="14">
        <f>[1]Sheet2!CW325</f>
        <v>0</v>
      </c>
      <c r="H326" s="1"/>
      <c r="I326" s="1"/>
      <c r="J326" s="1"/>
      <c r="K326" s="16"/>
      <c r="L326" s="16">
        <f>Demand_CWRS!B$13/30</f>
        <v>111.92954594017094</v>
      </c>
      <c r="M326" s="16">
        <f>Demand_CWRS!C$13/30</f>
        <v>550.01145299145287</v>
      </c>
      <c r="N326" s="16">
        <f>Demand_CWRS!D$13/30</f>
        <v>0</v>
      </c>
      <c r="O326" s="16">
        <f>Demand_CWRS!E$13/30</f>
        <v>105.42606837606837</v>
      </c>
      <c r="P326" s="16">
        <f>Demand_CWRS!F$13/30</f>
        <v>220.33041399572647</v>
      </c>
      <c r="Q326" s="16">
        <f>Demand_CWRS!G$13/30</f>
        <v>111.92954594017094</v>
      </c>
      <c r="R326" s="16">
        <f>Demand_CWRS!H$13/30</f>
        <v>220.33041399572647</v>
      </c>
      <c r="S326" s="16">
        <f>Demand_CWRS!I$13/30</f>
        <v>220.33041399572647</v>
      </c>
      <c r="T326" s="16">
        <f>Demand_CWRS!J$13/30</f>
        <v>220.33041399572647</v>
      </c>
      <c r="U326" s="16">
        <f>Demand_CWRS!K$13/30</f>
        <v>220.33041399572647</v>
      </c>
      <c r="V326" s="16">
        <f t="shared" si="156"/>
        <v>-36720.275955131488</v>
      </c>
      <c r="W326" s="16">
        <f t="shared" si="157"/>
        <v>-146558.96888888846</v>
      </c>
      <c r="X326" s="16">
        <f t="shared" si="158"/>
        <v>0</v>
      </c>
      <c r="Y326" s="16">
        <f t="shared" si="159"/>
        <v>-28143.525695120639</v>
      </c>
      <c r="Z326" s="16">
        <f t="shared" si="160"/>
        <v>-64717.593303276823</v>
      </c>
      <c r="AA326" s="16">
        <f t="shared" si="161"/>
        <v>-35248.343431093104</v>
      </c>
      <c r="AB326" s="16">
        <f t="shared" si="162"/>
        <v>-69026.75807891789</v>
      </c>
      <c r="AC326" s="16">
        <f t="shared" si="163"/>
        <v>-63233.74782250759</v>
      </c>
      <c r="AD326" s="16">
        <f t="shared" si="164"/>
        <v>-63333.747822507583</v>
      </c>
      <c r="AE326" s="16">
        <f t="shared" si="165"/>
        <v>-63933.747822507576</v>
      </c>
      <c r="AF326" s="14">
        <f>IF([1]Sheet2!AJ325=999999,"NA",[1]Sheet2!AJ325)</f>
        <v>0</v>
      </c>
      <c r="AG326" s="14">
        <f>IF([1]Sheet2!AK325=999999,"NA",[1]Sheet2!AK325)</f>
        <v>0</v>
      </c>
      <c r="AH326" s="14" t="str">
        <f>IF([1]Sheet2!AL325=999999,"NA",[1]Sheet2!AL325)</f>
        <v>NA</v>
      </c>
      <c r="AI326" s="14">
        <f>IF([1]Sheet2!AM325=999999,"NA",[1]Sheet2!AM325)</f>
        <v>0</v>
      </c>
      <c r="AJ326" s="14">
        <f>IF([1]Sheet2!AN325=999999,"NA",[1]Sheet2!AN325)</f>
        <v>0</v>
      </c>
      <c r="AK326" s="14">
        <f>IF([1]Sheet2!AO325=999999,"NA",[1]Sheet2!AO325)</f>
        <v>0</v>
      </c>
      <c r="AL326" s="14">
        <f>IF([1]Sheet2!AP325=999999,"NA",[1]Sheet2!AP325)</f>
        <v>0</v>
      </c>
      <c r="AM326" s="14">
        <f>IF([1]Sheet2!AQ325=999999,"NA",[1]Sheet2!AQ325)</f>
        <v>0</v>
      </c>
      <c r="AN326" s="14">
        <f>IF([1]Sheet2!AR325=999999,"NA",[1]Sheet2!AR325)</f>
        <v>0</v>
      </c>
      <c r="AO326" s="14">
        <f>IF([1]Sheet2!AS325=999999,"NA",[1]Sheet2!AS325)</f>
        <v>0</v>
      </c>
      <c r="AP326" s="14">
        <f>[1]Sheet2!P325</f>
        <v>0</v>
      </c>
      <c r="AQ326" s="14">
        <f>[1]Sheet2!Q325</f>
        <v>0</v>
      </c>
      <c r="AR326" s="14">
        <f>[1]Sheet2!R325</f>
        <v>0</v>
      </c>
      <c r="AS326" s="14">
        <f>[1]Sheet2!S325</f>
        <v>0</v>
      </c>
      <c r="AT326" s="14">
        <f>[1]Sheet2!T325</f>
        <v>0</v>
      </c>
      <c r="AU326" s="14">
        <f>[1]Sheet2!U325</f>
        <v>0</v>
      </c>
      <c r="AV326" s="14">
        <f>[1]Sheet2!V325</f>
        <v>0</v>
      </c>
      <c r="AW326" s="14">
        <f>[1]Sheet2!W325</f>
        <v>0</v>
      </c>
      <c r="AX326" s="14">
        <f>[1]Sheet2!X325</f>
        <v>0</v>
      </c>
      <c r="AY326" s="14">
        <f>[1]Sheet2!Y325</f>
        <v>0</v>
      </c>
      <c r="AZ326" s="16">
        <f>Demand_LP!B$13/30</f>
        <v>849.16414262820524</v>
      </c>
      <c r="BA326" s="16">
        <f>Demand_LP!C$13/30</f>
        <v>632.84239316239314</v>
      </c>
      <c r="BB326" s="16">
        <f>Demand_LP!D$13/30</f>
        <v>269.64247863247863</v>
      </c>
      <c r="BC326" s="16">
        <f>Demand_LP!E$13/30</f>
        <v>815.03102564102551</v>
      </c>
      <c r="BD326" s="16">
        <f>Demand_LP!F$13/30</f>
        <v>536.05500267094021</v>
      </c>
      <c r="BE326" s="16">
        <f>Demand_LP!G$13/30</f>
        <v>536.05500267094021</v>
      </c>
      <c r="BF326" s="16">
        <f>Demand_LP!H$13/30</f>
        <v>632.84239316239314</v>
      </c>
      <c r="BG326" s="16">
        <f>Demand_LP!I$13/30</f>
        <v>536.05500267094021</v>
      </c>
      <c r="BH326" s="16">
        <f>Demand_LP!J$13/30</f>
        <v>536.05500267094021</v>
      </c>
      <c r="BI326" s="16">
        <f>Demand_LP!K$13/30</f>
        <v>536.05500267094021</v>
      </c>
      <c r="BJ326" s="16">
        <f t="shared" si="166"/>
        <v>-241738.51424816364</v>
      </c>
      <c r="BK326" s="16">
        <f t="shared" si="167"/>
        <v>-182136.51059829039</v>
      </c>
      <c r="BL326" s="16">
        <f t="shared" si="168"/>
        <v>-87227.684017094361</v>
      </c>
      <c r="BM326" s="16">
        <f t="shared" si="169"/>
        <v>-233453.06126582171</v>
      </c>
      <c r="BN326" s="16">
        <f t="shared" si="170"/>
        <v>-142833.33743045427</v>
      </c>
      <c r="BO326" s="16">
        <f t="shared" si="171"/>
        <v>-141291.02134882504</v>
      </c>
      <c r="BP326" s="16">
        <f t="shared" si="172"/>
        <v>-176494.09008546974</v>
      </c>
      <c r="BQ326" s="16">
        <f t="shared" si="173"/>
        <v>-137120.02134882507</v>
      </c>
      <c r="BR326" s="16">
        <f t="shared" si="174"/>
        <v>-138891.0213488251</v>
      </c>
      <c r="BS326" s="16">
        <f t="shared" si="175"/>
        <v>-139591.0213488251</v>
      </c>
      <c r="BT326" s="14">
        <f>IF([1]Sheet2!CB325=999999,"NA",[1]Sheet2!CB325)</f>
        <v>0</v>
      </c>
      <c r="BU326" s="14">
        <f>IF([1]Sheet2!CC325=999999,"NA",[1]Sheet2!CC325)</f>
        <v>0</v>
      </c>
      <c r="BV326" s="14">
        <f>IF([1]Sheet2!CD325=999999,"NA",[1]Sheet2!CD325)</f>
        <v>0</v>
      </c>
      <c r="BW326" s="14">
        <f>IF([1]Sheet2!CE325=999999,"NA",[1]Sheet2!CE325)</f>
        <v>0</v>
      </c>
      <c r="BX326" s="14">
        <f>IF([1]Sheet2!CF325=999999,"NA",[1]Sheet2!CF325)</f>
        <v>0</v>
      </c>
      <c r="BY326" s="14">
        <f>IF([1]Sheet2!CG325=999999,"NA",[1]Sheet2!CG325)</f>
        <v>0</v>
      </c>
      <c r="BZ326" s="14">
        <f>IF([1]Sheet2!CH325=999999,"NA",[1]Sheet2!CH325)</f>
        <v>0</v>
      </c>
      <c r="CA326" s="14">
        <f>IF([1]Sheet2!CI325=999999,"NA",[1]Sheet2!CI325)</f>
        <v>0</v>
      </c>
      <c r="CB326" s="14">
        <f>IF([1]Sheet2!CJ325=999999,"NA",[1]Sheet2!CJ325)</f>
        <v>0</v>
      </c>
      <c r="CC326" s="14">
        <f>IF([1]Sheet2!CK325=999999,"NA",[1]Sheet2!CK325)</f>
        <v>0</v>
      </c>
      <c r="CD326" s="14">
        <f>[1]Sheet2!BH325</f>
        <v>0</v>
      </c>
      <c r="CE326" s="14">
        <f>[1]Sheet2!BI325</f>
        <v>0</v>
      </c>
      <c r="CF326" s="14">
        <f>[1]Sheet2!BJ325</f>
        <v>0</v>
      </c>
      <c r="CG326" s="14">
        <f>[1]Sheet2!BK325</f>
        <v>0</v>
      </c>
      <c r="CH326" s="14">
        <f>[1]Sheet2!BL325</f>
        <v>0</v>
      </c>
      <c r="CI326" s="14">
        <f>[1]Sheet2!BM325</f>
        <v>0</v>
      </c>
      <c r="CJ326" s="14">
        <f>[1]Sheet2!BN325</f>
        <v>0</v>
      </c>
      <c r="CK326" s="14">
        <f>[1]Sheet2!BO325</f>
        <v>0</v>
      </c>
      <c r="CL326" s="14">
        <f>[1]Sheet2!BP325</f>
        <v>0</v>
      </c>
      <c r="CM326" s="14">
        <f>[1]Sheet2!BQ325</f>
        <v>0</v>
      </c>
      <c r="CN326" s="16">
        <f>Demand_SW!B$13/30</f>
        <v>144.23076923076923</v>
      </c>
      <c r="CO326" s="16">
        <f>Demand_SW!C$13/30</f>
        <v>0</v>
      </c>
      <c r="CP326" s="16">
        <f>Demand_SW!D$13/30</f>
        <v>0</v>
      </c>
      <c r="CQ326" s="16">
        <f>Demand_SW!E$13/30</f>
        <v>0</v>
      </c>
      <c r="CR326" s="16">
        <f>Demand_SW!F$13/30</f>
        <v>0</v>
      </c>
      <c r="CS326" s="16">
        <f>Demand_SW!G$13/30</f>
        <v>144.23076923076923</v>
      </c>
      <c r="CT326" s="16">
        <f>Demand_SW!H$13/30</f>
        <v>0</v>
      </c>
      <c r="CU326" s="16">
        <f>Demand_SW!I$13/30</f>
        <v>0</v>
      </c>
      <c r="CV326" s="16">
        <f>Demand_SW!J$13/30</f>
        <v>0</v>
      </c>
      <c r="CW326" s="16">
        <f>Demand_SW!K$13/30</f>
        <v>0</v>
      </c>
      <c r="CX326" s="16">
        <f t="shared" si="176"/>
        <v>-21115.00000000004</v>
      </c>
      <c r="CY326" s="16">
        <f t="shared" si="177"/>
        <v>76.923076923077133</v>
      </c>
      <c r="CZ326" s="16">
        <f t="shared" si="178"/>
        <v>0</v>
      </c>
      <c r="DA326" s="16">
        <f t="shared" si="179"/>
        <v>0</v>
      </c>
      <c r="DB326" s="16">
        <f t="shared" si="180"/>
        <v>0</v>
      </c>
      <c r="DC326" s="16">
        <f t="shared" si="181"/>
        <v>-22346.23076923081</v>
      </c>
      <c r="DD326" s="16">
        <f t="shared" si="182"/>
        <v>76.923076923077133</v>
      </c>
      <c r="DE326" s="16">
        <f t="shared" si="183"/>
        <v>0</v>
      </c>
      <c r="DF326" s="16">
        <f t="shared" si="184"/>
        <v>0</v>
      </c>
      <c r="DG326" s="16">
        <f t="shared" si="185"/>
        <v>0</v>
      </c>
      <c r="DH326" s="14">
        <f>IF([1]Sheet2!DS325=999999,"NA",[1]Sheet2!DS325)</f>
        <v>0</v>
      </c>
      <c r="DI326" s="14">
        <f>IF([1]Sheet2!DT325=999999,"NA",[1]Sheet2!DT325)</f>
        <v>42</v>
      </c>
      <c r="DJ326" s="14" t="str">
        <f>IF([1]Sheet2!DU325=999999,"NA",[1]Sheet2!DU325)</f>
        <v>NA</v>
      </c>
      <c r="DK326" s="14" t="str">
        <f>IF([1]Sheet2!DV325=999999,"NA",[1]Sheet2!DV325)</f>
        <v>NA</v>
      </c>
      <c r="DL326" s="14" t="str">
        <f>IF([1]Sheet2!DW325=999999,"NA",[1]Sheet2!DW325)</f>
        <v>NA</v>
      </c>
      <c r="DM326" s="14">
        <f>IF([1]Sheet2!DX325=999999,"NA",[1]Sheet2!DX325)</f>
        <v>0</v>
      </c>
      <c r="DN326" s="14">
        <f>IF([1]Sheet2!DY325=999999,"NA",[1]Sheet2!DY325)</f>
        <v>42</v>
      </c>
      <c r="DO326" s="14" t="str">
        <f>IF([1]Sheet2!DZ325=999999,"NA",[1]Sheet2!DZ325)</f>
        <v>NA</v>
      </c>
      <c r="DP326" s="14" t="str">
        <f>IF([1]Sheet2!EA325=999999,"NA",[1]Sheet2!EA325)</f>
        <v>NA</v>
      </c>
      <c r="DQ326" s="14" t="str">
        <f>IF([1]Sheet2!EB325=999999,"NA",[1]Sheet2!EB325)</f>
        <v>NA</v>
      </c>
      <c r="DR326" s="14">
        <f>[1]Sheet2!CY325</f>
        <v>0</v>
      </c>
      <c r="DS326" s="14">
        <f>[1]Sheet2!CZ325</f>
        <v>0</v>
      </c>
      <c r="DT326" s="14">
        <f>[1]Sheet2!DA325</f>
        <v>0</v>
      </c>
      <c r="DU326" s="14">
        <f>[1]Sheet2!DB325</f>
        <v>0</v>
      </c>
      <c r="DV326" s="14">
        <f>[1]Sheet2!DC325</f>
        <v>0</v>
      </c>
      <c r="DW326" s="14">
        <f>[1]Sheet2!DD325</f>
        <v>0</v>
      </c>
      <c r="DX326" s="14">
        <f>[1]Sheet2!DE325</f>
        <v>0</v>
      </c>
      <c r="DY326" s="14">
        <f>[1]Sheet2!DF325</f>
        <v>0</v>
      </c>
      <c r="DZ326" s="14">
        <f>[1]Sheet2!DG325</f>
        <v>0</v>
      </c>
      <c r="EA326" s="14">
        <f>[1]Sheet2!DH325</f>
        <v>0</v>
      </c>
      <c r="EB326" s="6">
        <f>[1]Sheet2!EC325</f>
        <v>0</v>
      </c>
      <c r="EC326" s="6">
        <f>[1]Sheet2!ED325</f>
        <v>0</v>
      </c>
      <c r="ED326" s="6">
        <f>[1]Sheet2!EE325</f>
        <v>0</v>
      </c>
      <c r="EE326" s="6">
        <f>[1]Sheet2!EF325</f>
        <v>0</v>
      </c>
      <c r="EF326" s="6">
        <f>[1]Sheet2!EG325</f>
        <v>0</v>
      </c>
      <c r="EG326" s="6">
        <f>[1]Sheet2!EH325</f>
        <v>0</v>
      </c>
      <c r="EH326" s="6">
        <f>[1]Sheet2!EI325</f>
        <v>0</v>
      </c>
      <c r="EI326" s="6">
        <f>[1]Sheet2!EJ325</f>
        <v>0</v>
      </c>
      <c r="EJ326" s="6">
        <f>[1]Sheet2!EK325</f>
        <v>0</v>
      </c>
      <c r="EK326" s="6">
        <f>[1]Sheet2!EL325</f>
        <v>0</v>
      </c>
      <c r="EL326" s="6" t="str">
        <f>[1]Sheet2!EM325</f>
        <v/>
      </c>
      <c r="EM326" s="6" t="str">
        <f>[1]Sheet2!EN325</f>
        <v/>
      </c>
      <c r="EN326" s="6" t="str">
        <f>[1]Sheet2!EO325</f>
        <v/>
      </c>
      <c r="EO326" s="6" t="str">
        <f>[1]Sheet2!EP325</f>
        <v/>
      </c>
      <c r="EP326" s="6" t="str">
        <f>[1]Sheet2!EQ325</f>
        <v/>
      </c>
      <c r="EQ326" s="6" t="str">
        <f>[1]Sheet2!ER325</f>
        <v/>
      </c>
      <c r="ER326" s="6" t="str">
        <f>[1]Sheet2!ES325</f>
        <v/>
      </c>
      <c r="ES326" s="6" t="str">
        <f>[1]Sheet2!ET325</f>
        <v/>
      </c>
      <c r="ET326" s="6" t="str">
        <f>[1]Sheet2!EU325</f>
        <v/>
      </c>
      <c r="EU326" s="6" t="str">
        <f>[1]Sheet2!EV325</f>
        <v/>
      </c>
      <c r="EV326" s="6" t="str">
        <f>[1]Sheet2!EW325</f>
        <v/>
      </c>
      <c r="EW326" s="6" t="str">
        <f>[1]Sheet2!EX325</f>
        <v/>
      </c>
      <c r="EX326" s="6" t="str">
        <f>[1]Sheet2!EY325</f>
        <v/>
      </c>
      <c r="EY326" s="6" t="str">
        <f>[1]Sheet2!EZ325</f>
        <v/>
      </c>
      <c r="EZ326" s="6" t="str">
        <f>[1]Sheet2!FA325</f>
        <v/>
      </c>
      <c r="FA326" s="6" t="str">
        <f>[1]Sheet2!FB325</f>
        <v/>
      </c>
      <c r="FB326" s="6" t="str">
        <f>[1]Sheet2!FC325</f>
        <v/>
      </c>
      <c r="FC326" s="6" t="str">
        <f>[1]Sheet2!FD325</f>
        <v/>
      </c>
      <c r="FD326" s="6" t="str">
        <f>[1]Sheet2!FE325</f>
        <v/>
      </c>
      <c r="FE326" s="6" t="str">
        <f>[1]Sheet2!FF325</f>
        <v/>
      </c>
      <c r="FF326" s="6" t="str">
        <f>[1]Sheet2!FG325</f>
        <v/>
      </c>
      <c r="FG326" s="6" t="str">
        <f>[1]Sheet2!FH325</f>
        <v/>
      </c>
      <c r="FH326" s="6" t="str">
        <f>[1]Sheet2!FI325</f>
        <v/>
      </c>
      <c r="FI326" s="6" t="str">
        <f>[1]Sheet2!FJ325</f>
        <v/>
      </c>
      <c r="FJ326" s="6" t="str">
        <f>[1]Sheet2!FK325</f>
        <v/>
      </c>
      <c r="FK326" s="6" t="str">
        <f>[1]Sheet2!FL325</f>
        <v/>
      </c>
      <c r="FL326" s="6" t="str">
        <f>[1]Sheet2!FM325</f>
        <v/>
      </c>
      <c r="FM326" s="6" t="str">
        <f>[1]Sheet2!FN325</f>
        <v/>
      </c>
      <c r="FN326" s="6" t="str">
        <f>[1]Sheet2!FO325</f>
        <v/>
      </c>
      <c r="FO326" s="6" t="str">
        <f>[1]Sheet2!FP325</f>
        <v/>
      </c>
    </row>
    <row r="327" spans="1:171" x14ac:dyDescent="0.25">
      <c r="A327" s="15">
        <v>43789</v>
      </c>
      <c r="B327" s="1"/>
      <c r="C327" s="1"/>
      <c r="D327" s="1"/>
      <c r="E327" s="14">
        <f>[1]Sheet2!N326</f>
        <v>0</v>
      </c>
      <c r="F327" s="14">
        <f>[1]Sheet2!BE326</f>
        <v>0</v>
      </c>
      <c r="G327" s="14">
        <f>[1]Sheet2!CW326</f>
        <v>0</v>
      </c>
      <c r="H327" s="1"/>
      <c r="I327" s="1"/>
      <c r="J327" s="1"/>
      <c r="K327" s="16"/>
      <c r="L327" s="16">
        <f>Demand_CWRS!B$13/30</f>
        <v>111.92954594017094</v>
      </c>
      <c r="M327" s="16">
        <f>Demand_CWRS!C$13/30</f>
        <v>550.01145299145287</v>
      </c>
      <c r="N327" s="16">
        <f>Demand_CWRS!D$13/30</f>
        <v>0</v>
      </c>
      <c r="O327" s="16">
        <f>Demand_CWRS!E$13/30</f>
        <v>105.42606837606837</v>
      </c>
      <c r="P327" s="16">
        <f>Demand_CWRS!F$13/30</f>
        <v>220.33041399572647</v>
      </c>
      <c r="Q327" s="16">
        <f>Demand_CWRS!G$13/30</f>
        <v>111.92954594017094</v>
      </c>
      <c r="R327" s="16">
        <f>Demand_CWRS!H$13/30</f>
        <v>220.33041399572647</v>
      </c>
      <c r="S327" s="16">
        <f>Demand_CWRS!I$13/30</f>
        <v>220.33041399572647</v>
      </c>
      <c r="T327" s="16">
        <f>Demand_CWRS!J$13/30</f>
        <v>220.33041399572647</v>
      </c>
      <c r="U327" s="16">
        <f>Demand_CWRS!K$13/30</f>
        <v>220.33041399572647</v>
      </c>
      <c r="V327" s="16">
        <f t="shared" si="156"/>
        <v>-36832.205501071658</v>
      </c>
      <c r="W327" s="16">
        <f t="shared" si="157"/>
        <v>-147108.98034187991</v>
      </c>
      <c r="X327" s="16">
        <f t="shared" si="158"/>
        <v>0</v>
      </c>
      <c r="Y327" s="16">
        <f t="shared" si="159"/>
        <v>-28248.951763496709</v>
      </c>
      <c r="Z327" s="16">
        <f t="shared" si="160"/>
        <v>-64937.923717272548</v>
      </c>
      <c r="AA327" s="16">
        <f t="shared" si="161"/>
        <v>-35360.272977033273</v>
      </c>
      <c r="AB327" s="16">
        <f t="shared" si="162"/>
        <v>-69247.088492913623</v>
      </c>
      <c r="AC327" s="16">
        <f t="shared" si="163"/>
        <v>-63454.078236503316</v>
      </c>
      <c r="AD327" s="16">
        <f t="shared" si="164"/>
        <v>-63554.078236503308</v>
      </c>
      <c r="AE327" s="16">
        <f t="shared" si="165"/>
        <v>-64154.078236503301</v>
      </c>
      <c r="AF327" s="14">
        <f>IF([1]Sheet2!AJ326=999999,"NA",[1]Sheet2!AJ326)</f>
        <v>0</v>
      </c>
      <c r="AG327" s="14">
        <f>IF([1]Sheet2!AK326=999999,"NA",[1]Sheet2!AK326)</f>
        <v>0</v>
      </c>
      <c r="AH327" s="14" t="str">
        <f>IF([1]Sheet2!AL326=999999,"NA",[1]Sheet2!AL326)</f>
        <v>NA</v>
      </c>
      <c r="AI327" s="14">
        <f>IF([1]Sheet2!AM326=999999,"NA",[1]Sheet2!AM326)</f>
        <v>0</v>
      </c>
      <c r="AJ327" s="14">
        <f>IF([1]Sheet2!AN326=999999,"NA",[1]Sheet2!AN326)</f>
        <v>0</v>
      </c>
      <c r="AK327" s="14">
        <f>IF([1]Sheet2!AO326=999999,"NA",[1]Sheet2!AO326)</f>
        <v>0</v>
      </c>
      <c r="AL327" s="14">
        <f>IF([1]Sheet2!AP326=999999,"NA",[1]Sheet2!AP326)</f>
        <v>0</v>
      </c>
      <c r="AM327" s="14">
        <f>IF([1]Sheet2!AQ326=999999,"NA",[1]Sheet2!AQ326)</f>
        <v>0</v>
      </c>
      <c r="AN327" s="14">
        <f>IF([1]Sheet2!AR326=999999,"NA",[1]Sheet2!AR326)</f>
        <v>0</v>
      </c>
      <c r="AO327" s="14">
        <f>IF([1]Sheet2!AS326=999999,"NA",[1]Sheet2!AS326)</f>
        <v>0</v>
      </c>
      <c r="AP327" s="14">
        <f>[1]Sheet2!P326</f>
        <v>0</v>
      </c>
      <c r="AQ327" s="14">
        <f>[1]Sheet2!Q326</f>
        <v>0</v>
      </c>
      <c r="AR327" s="14">
        <f>[1]Sheet2!R326</f>
        <v>0</v>
      </c>
      <c r="AS327" s="14">
        <f>[1]Sheet2!S326</f>
        <v>0</v>
      </c>
      <c r="AT327" s="14">
        <f>[1]Sheet2!T326</f>
        <v>0</v>
      </c>
      <c r="AU327" s="14">
        <f>[1]Sheet2!U326</f>
        <v>0</v>
      </c>
      <c r="AV327" s="14">
        <f>[1]Sheet2!V326</f>
        <v>0</v>
      </c>
      <c r="AW327" s="14">
        <f>[1]Sheet2!W326</f>
        <v>0</v>
      </c>
      <c r="AX327" s="14">
        <f>[1]Sheet2!X326</f>
        <v>0</v>
      </c>
      <c r="AY327" s="14">
        <f>[1]Sheet2!Y326</f>
        <v>0</v>
      </c>
      <c r="AZ327" s="16">
        <f>Demand_LP!B$13/30</f>
        <v>849.16414262820524</v>
      </c>
      <c r="BA327" s="16">
        <f>Demand_LP!C$13/30</f>
        <v>632.84239316239314</v>
      </c>
      <c r="BB327" s="16">
        <f>Demand_LP!D$13/30</f>
        <v>269.64247863247863</v>
      </c>
      <c r="BC327" s="16">
        <f>Demand_LP!E$13/30</f>
        <v>815.03102564102551</v>
      </c>
      <c r="BD327" s="16">
        <f>Demand_LP!F$13/30</f>
        <v>536.05500267094021</v>
      </c>
      <c r="BE327" s="16">
        <f>Demand_LP!G$13/30</f>
        <v>536.05500267094021</v>
      </c>
      <c r="BF327" s="16">
        <f>Demand_LP!H$13/30</f>
        <v>632.84239316239314</v>
      </c>
      <c r="BG327" s="16">
        <f>Demand_LP!I$13/30</f>
        <v>536.05500267094021</v>
      </c>
      <c r="BH327" s="16">
        <f>Demand_LP!J$13/30</f>
        <v>536.05500267094021</v>
      </c>
      <c r="BI327" s="16">
        <f>Demand_LP!K$13/30</f>
        <v>536.05500267094021</v>
      </c>
      <c r="BJ327" s="16">
        <f t="shared" si="166"/>
        <v>-242587.67839079184</v>
      </c>
      <c r="BK327" s="16">
        <f t="shared" si="167"/>
        <v>-182769.35299145279</v>
      </c>
      <c r="BL327" s="16">
        <f t="shared" si="168"/>
        <v>-87497.32649572684</v>
      </c>
      <c r="BM327" s="16">
        <f t="shared" si="169"/>
        <v>-234268.09229146273</v>
      </c>
      <c r="BN327" s="16">
        <f t="shared" si="170"/>
        <v>-143369.39243312521</v>
      </c>
      <c r="BO327" s="16">
        <f t="shared" si="171"/>
        <v>-141827.07635149598</v>
      </c>
      <c r="BP327" s="16">
        <f t="shared" si="172"/>
        <v>-177126.93247863214</v>
      </c>
      <c r="BQ327" s="16">
        <f t="shared" si="173"/>
        <v>-137656.07635149601</v>
      </c>
      <c r="BR327" s="16">
        <f t="shared" si="174"/>
        <v>-139427.07635149604</v>
      </c>
      <c r="BS327" s="16">
        <f t="shared" si="175"/>
        <v>-140127.07635149604</v>
      </c>
      <c r="BT327" s="14">
        <f>IF([1]Sheet2!CB326=999999,"NA",[1]Sheet2!CB326)</f>
        <v>0</v>
      </c>
      <c r="BU327" s="14">
        <f>IF([1]Sheet2!CC326=999999,"NA",[1]Sheet2!CC326)</f>
        <v>0</v>
      </c>
      <c r="BV327" s="14">
        <f>IF([1]Sheet2!CD326=999999,"NA",[1]Sheet2!CD326)</f>
        <v>0</v>
      </c>
      <c r="BW327" s="14">
        <f>IF([1]Sheet2!CE326=999999,"NA",[1]Sheet2!CE326)</f>
        <v>0</v>
      </c>
      <c r="BX327" s="14">
        <f>IF([1]Sheet2!CF326=999999,"NA",[1]Sheet2!CF326)</f>
        <v>0</v>
      </c>
      <c r="BY327" s="14">
        <f>IF([1]Sheet2!CG326=999999,"NA",[1]Sheet2!CG326)</f>
        <v>0</v>
      </c>
      <c r="BZ327" s="14">
        <f>IF([1]Sheet2!CH326=999999,"NA",[1]Sheet2!CH326)</f>
        <v>0</v>
      </c>
      <c r="CA327" s="14">
        <f>IF([1]Sheet2!CI326=999999,"NA",[1]Sheet2!CI326)</f>
        <v>0</v>
      </c>
      <c r="CB327" s="14">
        <f>IF([1]Sheet2!CJ326=999999,"NA",[1]Sheet2!CJ326)</f>
        <v>0</v>
      </c>
      <c r="CC327" s="14">
        <f>IF([1]Sheet2!CK326=999999,"NA",[1]Sheet2!CK326)</f>
        <v>0</v>
      </c>
      <c r="CD327" s="14">
        <f>[1]Sheet2!BH326</f>
        <v>0</v>
      </c>
      <c r="CE327" s="14">
        <f>[1]Sheet2!BI326</f>
        <v>0</v>
      </c>
      <c r="CF327" s="14">
        <f>[1]Sheet2!BJ326</f>
        <v>0</v>
      </c>
      <c r="CG327" s="14">
        <f>[1]Sheet2!BK326</f>
        <v>0</v>
      </c>
      <c r="CH327" s="14">
        <f>[1]Sheet2!BL326</f>
        <v>0</v>
      </c>
      <c r="CI327" s="14">
        <f>[1]Sheet2!BM326</f>
        <v>0</v>
      </c>
      <c r="CJ327" s="14">
        <f>[1]Sheet2!BN326</f>
        <v>0</v>
      </c>
      <c r="CK327" s="14">
        <f>[1]Sheet2!BO326</f>
        <v>0</v>
      </c>
      <c r="CL327" s="14">
        <f>[1]Sheet2!BP326</f>
        <v>0</v>
      </c>
      <c r="CM327" s="14">
        <f>[1]Sheet2!BQ326</f>
        <v>0</v>
      </c>
      <c r="CN327" s="16">
        <f>Demand_SW!B$13/30</f>
        <v>144.23076923076923</v>
      </c>
      <c r="CO327" s="16">
        <f>Demand_SW!C$13/30</f>
        <v>0</v>
      </c>
      <c r="CP327" s="16">
        <f>Demand_SW!D$13/30</f>
        <v>0</v>
      </c>
      <c r="CQ327" s="16">
        <f>Demand_SW!E$13/30</f>
        <v>0</v>
      </c>
      <c r="CR327" s="16">
        <f>Demand_SW!F$13/30</f>
        <v>0</v>
      </c>
      <c r="CS327" s="16">
        <f>Demand_SW!G$13/30</f>
        <v>144.23076923076923</v>
      </c>
      <c r="CT327" s="16">
        <f>Demand_SW!H$13/30</f>
        <v>0</v>
      </c>
      <c r="CU327" s="16">
        <f>Demand_SW!I$13/30</f>
        <v>0</v>
      </c>
      <c r="CV327" s="16">
        <f>Demand_SW!J$13/30</f>
        <v>0</v>
      </c>
      <c r="CW327" s="16">
        <f>Demand_SW!K$13/30</f>
        <v>0</v>
      </c>
      <c r="CX327" s="16">
        <f t="shared" si="176"/>
        <v>-21259.23076923081</v>
      </c>
      <c r="CY327" s="16">
        <f t="shared" si="177"/>
        <v>76.923076923077133</v>
      </c>
      <c r="CZ327" s="16">
        <f t="shared" si="178"/>
        <v>0</v>
      </c>
      <c r="DA327" s="16">
        <f t="shared" si="179"/>
        <v>0</v>
      </c>
      <c r="DB327" s="16">
        <f t="shared" si="180"/>
        <v>0</v>
      </c>
      <c r="DC327" s="16">
        <f t="shared" si="181"/>
        <v>-22490.461538461579</v>
      </c>
      <c r="DD327" s="16">
        <f t="shared" si="182"/>
        <v>76.923076923077133</v>
      </c>
      <c r="DE327" s="16">
        <f t="shared" si="183"/>
        <v>0</v>
      </c>
      <c r="DF327" s="16">
        <f t="shared" si="184"/>
        <v>0</v>
      </c>
      <c r="DG327" s="16">
        <f t="shared" si="185"/>
        <v>0</v>
      </c>
      <c r="DH327" s="14">
        <f>IF([1]Sheet2!DS326=999999,"NA",[1]Sheet2!DS326)</f>
        <v>0</v>
      </c>
      <c r="DI327" s="14">
        <f>IF([1]Sheet2!DT326=999999,"NA",[1]Sheet2!DT326)</f>
        <v>41</v>
      </c>
      <c r="DJ327" s="14" t="str">
        <f>IF([1]Sheet2!DU326=999999,"NA",[1]Sheet2!DU326)</f>
        <v>NA</v>
      </c>
      <c r="DK327" s="14" t="str">
        <f>IF([1]Sheet2!DV326=999999,"NA",[1]Sheet2!DV326)</f>
        <v>NA</v>
      </c>
      <c r="DL327" s="14" t="str">
        <f>IF([1]Sheet2!DW326=999999,"NA",[1]Sheet2!DW326)</f>
        <v>NA</v>
      </c>
      <c r="DM327" s="14">
        <f>IF([1]Sheet2!DX326=999999,"NA",[1]Sheet2!DX326)</f>
        <v>0</v>
      </c>
      <c r="DN327" s="14">
        <f>IF([1]Sheet2!DY326=999999,"NA",[1]Sheet2!DY326)</f>
        <v>41</v>
      </c>
      <c r="DO327" s="14" t="str">
        <f>IF([1]Sheet2!DZ326=999999,"NA",[1]Sheet2!DZ326)</f>
        <v>NA</v>
      </c>
      <c r="DP327" s="14" t="str">
        <f>IF([1]Sheet2!EA326=999999,"NA",[1]Sheet2!EA326)</f>
        <v>NA</v>
      </c>
      <c r="DQ327" s="14" t="str">
        <f>IF([1]Sheet2!EB326=999999,"NA",[1]Sheet2!EB326)</f>
        <v>NA</v>
      </c>
      <c r="DR327" s="14">
        <f>[1]Sheet2!CY326</f>
        <v>0</v>
      </c>
      <c r="DS327" s="14">
        <f>[1]Sheet2!CZ326</f>
        <v>0</v>
      </c>
      <c r="DT327" s="14">
        <f>[1]Sheet2!DA326</f>
        <v>0</v>
      </c>
      <c r="DU327" s="14">
        <f>[1]Sheet2!DB326</f>
        <v>0</v>
      </c>
      <c r="DV327" s="14">
        <f>[1]Sheet2!DC326</f>
        <v>0</v>
      </c>
      <c r="DW327" s="14">
        <f>[1]Sheet2!DD326</f>
        <v>0</v>
      </c>
      <c r="DX327" s="14">
        <f>[1]Sheet2!DE326</f>
        <v>0</v>
      </c>
      <c r="DY327" s="14">
        <f>[1]Sheet2!DF326</f>
        <v>0</v>
      </c>
      <c r="DZ327" s="14">
        <f>[1]Sheet2!DG326</f>
        <v>0</v>
      </c>
      <c r="EA327" s="14">
        <f>[1]Sheet2!DH326</f>
        <v>0</v>
      </c>
      <c r="EB327" s="6">
        <f>[1]Sheet2!EC326</f>
        <v>0</v>
      </c>
      <c r="EC327" s="6">
        <f>[1]Sheet2!ED326</f>
        <v>0</v>
      </c>
      <c r="ED327" s="6">
        <f>[1]Sheet2!EE326</f>
        <v>0</v>
      </c>
      <c r="EE327" s="6">
        <f>[1]Sheet2!EF326</f>
        <v>0</v>
      </c>
      <c r="EF327" s="6">
        <f>[1]Sheet2!EG326</f>
        <v>0</v>
      </c>
      <c r="EG327" s="6">
        <f>[1]Sheet2!EH326</f>
        <v>0</v>
      </c>
      <c r="EH327" s="6">
        <f>[1]Sheet2!EI326</f>
        <v>0</v>
      </c>
      <c r="EI327" s="6">
        <f>[1]Sheet2!EJ326</f>
        <v>0</v>
      </c>
      <c r="EJ327" s="6">
        <f>[1]Sheet2!EK326</f>
        <v>0</v>
      </c>
      <c r="EK327" s="6">
        <f>[1]Sheet2!EL326</f>
        <v>0</v>
      </c>
      <c r="EL327" s="6" t="str">
        <f>[1]Sheet2!EM326</f>
        <v/>
      </c>
      <c r="EM327" s="6" t="str">
        <f>[1]Sheet2!EN326</f>
        <v/>
      </c>
      <c r="EN327" s="6" t="str">
        <f>[1]Sheet2!EO326</f>
        <v/>
      </c>
      <c r="EO327" s="6" t="str">
        <f>[1]Sheet2!EP326</f>
        <v/>
      </c>
      <c r="EP327" s="6" t="str">
        <f>[1]Sheet2!EQ326</f>
        <v/>
      </c>
      <c r="EQ327" s="6" t="str">
        <f>[1]Sheet2!ER326</f>
        <v/>
      </c>
      <c r="ER327" s="6" t="str">
        <f>[1]Sheet2!ES326</f>
        <v/>
      </c>
      <c r="ES327" s="6" t="str">
        <f>[1]Sheet2!ET326</f>
        <v/>
      </c>
      <c r="ET327" s="6" t="str">
        <f>[1]Sheet2!EU326</f>
        <v/>
      </c>
      <c r="EU327" s="6" t="str">
        <f>[1]Sheet2!EV326</f>
        <v/>
      </c>
      <c r="EV327" s="6" t="str">
        <f>[1]Sheet2!EW326</f>
        <v/>
      </c>
      <c r="EW327" s="6" t="str">
        <f>[1]Sheet2!EX326</f>
        <v/>
      </c>
      <c r="EX327" s="6" t="str">
        <f>[1]Sheet2!EY326</f>
        <v/>
      </c>
      <c r="EY327" s="6" t="str">
        <f>[1]Sheet2!EZ326</f>
        <v/>
      </c>
      <c r="EZ327" s="6" t="str">
        <f>[1]Sheet2!FA326</f>
        <v/>
      </c>
      <c r="FA327" s="6" t="str">
        <f>[1]Sheet2!FB326</f>
        <v/>
      </c>
      <c r="FB327" s="6" t="str">
        <f>[1]Sheet2!FC326</f>
        <v/>
      </c>
      <c r="FC327" s="6" t="str">
        <f>[1]Sheet2!FD326</f>
        <v/>
      </c>
      <c r="FD327" s="6" t="str">
        <f>[1]Sheet2!FE326</f>
        <v/>
      </c>
      <c r="FE327" s="6" t="str">
        <f>[1]Sheet2!FF326</f>
        <v/>
      </c>
      <c r="FF327" s="6" t="str">
        <f>[1]Sheet2!FG326</f>
        <v/>
      </c>
      <c r="FG327" s="6" t="str">
        <f>[1]Sheet2!FH326</f>
        <v/>
      </c>
      <c r="FH327" s="6" t="str">
        <f>[1]Sheet2!FI326</f>
        <v/>
      </c>
      <c r="FI327" s="6" t="str">
        <f>[1]Sheet2!FJ326</f>
        <v/>
      </c>
      <c r="FJ327" s="6" t="str">
        <f>[1]Sheet2!FK326</f>
        <v/>
      </c>
      <c r="FK327" s="6" t="str">
        <f>[1]Sheet2!FL326</f>
        <v/>
      </c>
      <c r="FL327" s="6" t="str">
        <f>[1]Sheet2!FM326</f>
        <v/>
      </c>
      <c r="FM327" s="6" t="str">
        <f>[1]Sheet2!FN326</f>
        <v/>
      </c>
      <c r="FN327" s="6" t="str">
        <f>[1]Sheet2!FO326</f>
        <v/>
      </c>
      <c r="FO327" s="6" t="str">
        <f>[1]Sheet2!FP326</f>
        <v/>
      </c>
    </row>
    <row r="328" spans="1:171" x14ac:dyDescent="0.25">
      <c r="A328" s="15">
        <v>43790</v>
      </c>
      <c r="B328" s="1"/>
      <c r="C328" s="1"/>
      <c r="D328" s="1"/>
      <c r="E328" s="14">
        <f>[1]Sheet2!N327</f>
        <v>0</v>
      </c>
      <c r="F328" s="14">
        <f>[1]Sheet2!BE327</f>
        <v>0</v>
      </c>
      <c r="G328" s="14">
        <f>[1]Sheet2!CW327</f>
        <v>0</v>
      </c>
      <c r="H328" s="1"/>
      <c r="I328" s="1"/>
      <c r="J328" s="1"/>
      <c r="K328" s="16"/>
      <c r="L328" s="16">
        <f>Demand_CWRS!B$13/30</f>
        <v>111.92954594017094</v>
      </c>
      <c r="M328" s="16">
        <f>Demand_CWRS!C$13/30</f>
        <v>550.01145299145287</v>
      </c>
      <c r="N328" s="16">
        <f>Demand_CWRS!D$13/30</f>
        <v>0</v>
      </c>
      <c r="O328" s="16">
        <f>Demand_CWRS!E$13/30</f>
        <v>105.42606837606837</v>
      </c>
      <c r="P328" s="16">
        <f>Demand_CWRS!F$13/30</f>
        <v>220.33041399572647</v>
      </c>
      <c r="Q328" s="16">
        <f>Demand_CWRS!G$13/30</f>
        <v>111.92954594017094</v>
      </c>
      <c r="R328" s="16">
        <f>Demand_CWRS!H$13/30</f>
        <v>220.33041399572647</v>
      </c>
      <c r="S328" s="16">
        <f>Demand_CWRS!I$13/30</f>
        <v>220.33041399572647</v>
      </c>
      <c r="T328" s="16">
        <f>Demand_CWRS!J$13/30</f>
        <v>220.33041399572647</v>
      </c>
      <c r="U328" s="16">
        <f>Demand_CWRS!K$13/30</f>
        <v>220.33041399572647</v>
      </c>
      <c r="V328" s="16">
        <f t="shared" si="156"/>
        <v>-36944.135047011827</v>
      </c>
      <c r="W328" s="16">
        <f t="shared" si="157"/>
        <v>-147658.99179487137</v>
      </c>
      <c r="X328" s="16">
        <f t="shared" si="158"/>
        <v>0</v>
      </c>
      <c r="Y328" s="16">
        <f t="shared" si="159"/>
        <v>-28354.377831872778</v>
      </c>
      <c r="Z328" s="16">
        <f t="shared" si="160"/>
        <v>-65158.254131268273</v>
      </c>
      <c r="AA328" s="16">
        <f t="shared" si="161"/>
        <v>-35472.202522973443</v>
      </c>
      <c r="AB328" s="16">
        <f t="shared" si="162"/>
        <v>-69467.418906909355</v>
      </c>
      <c r="AC328" s="16">
        <f t="shared" si="163"/>
        <v>-63674.408650499041</v>
      </c>
      <c r="AD328" s="16">
        <f t="shared" si="164"/>
        <v>-63774.408650499034</v>
      </c>
      <c r="AE328" s="16">
        <f t="shared" si="165"/>
        <v>-64374.408650499026</v>
      </c>
      <c r="AF328" s="14">
        <f>IF([1]Sheet2!AJ327=999999,"NA",[1]Sheet2!AJ327)</f>
        <v>0</v>
      </c>
      <c r="AG328" s="14">
        <f>IF([1]Sheet2!AK327=999999,"NA",[1]Sheet2!AK327)</f>
        <v>0</v>
      </c>
      <c r="AH328" s="14" t="str">
        <f>IF([1]Sheet2!AL327=999999,"NA",[1]Sheet2!AL327)</f>
        <v>NA</v>
      </c>
      <c r="AI328" s="14">
        <f>IF([1]Sheet2!AM327=999999,"NA",[1]Sheet2!AM327)</f>
        <v>0</v>
      </c>
      <c r="AJ328" s="14">
        <f>IF([1]Sheet2!AN327=999999,"NA",[1]Sheet2!AN327)</f>
        <v>0</v>
      </c>
      <c r="AK328" s="14">
        <f>IF([1]Sheet2!AO327=999999,"NA",[1]Sheet2!AO327)</f>
        <v>0</v>
      </c>
      <c r="AL328" s="14">
        <f>IF([1]Sheet2!AP327=999999,"NA",[1]Sheet2!AP327)</f>
        <v>0</v>
      </c>
      <c r="AM328" s="14">
        <f>IF([1]Sheet2!AQ327=999999,"NA",[1]Sheet2!AQ327)</f>
        <v>0</v>
      </c>
      <c r="AN328" s="14">
        <f>IF([1]Sheet2!AR327=999999,"NA",[1]Sheet2!AR327)</f>
        <v>0</v>
      </c>
      <c r="AO328" s="14">
        <f>IF([1]Sheet2!AS327=999999,"NA",[1]Sheet2!AS327)</f>
        <v>0</v>
      </c>
      <c r="AP328" s="14">
        <f>[1]Sheet2!P327</f>
        <v>0</v>
      </c>
      <c r="AQ328" s="14">
        <f>[1]Sheet2!Q327</f>
        <v>0</v>
      </c>
      <c r="AR328" s="14">
        <f>[1]Sheet2!R327</f>
        <v>0</v>
      </c>
      <c r="AS328" s="14">
        <f>[1]Sheet2!S327</f>
        <v>0</v>
      </c>
      <c r="AT328" s="14">
        <f>[1]Sheet2!T327</f>
        <v>0</v>
      </c>
      <c r="AU328" s="14">
        <f>[1]Sheet2!U327</f>
        <v>0</v>
      </c>
      <c r="AV328" s="14">
        <f>[1]Sheet2!V327</f>
        <v>0</v>
      </c>
      <c r="AW328" s="14">
        <f>[1]Sheet2!W327</f>
        <v>0</v>
      </c>
      <c r="AX328" s="14">
        <f>[1]Sheet2!X327</f>
        <v>0</v>
      </c>
      <c r="AY328" s="14">
        <f>[1]Sheet2!Y327</f>
        <v>0</v>
      </c>
      <c r="AZ328" s="16">
        <f>Demand_LP!B$13/30</f>
        <v>849.16414262820524</v>
      </c>
      <c r="BA328" s="16">
        <f>Demand_LP!C$13/30</f>
        <v>632.84239316239314</v>
      </c>
      <c r="BB328" s="16">
        <f>Demand_LP!D$13/30</f>
        <v>269.64247863247863</v>
      </c>
      <c r="BC328" s="16">
        <f>Demand_LP!E$13/30</f>
        <v>815.03102564102551</v>
      </c>
      <c r="BD328" s="16">
        <f>Demand_LP!F$13/30</f>
        <v>536.05500267094021</v>
      </c>
      <c r="BE328" s="16">
        <f>Demand_LP!G$13/30</f>
        <v>536.05500267094021</v>
      </c>
      <c r="BF328" s="16">
        <f>Demand_LP!H$13/30</f>
        <v>632.84239316239314</v>
      </c>
      <c r="BG328" s="16">
        <f>Demand_LP!I$13/30</f>
        <v>536.05500267094021</v>
      </c>
      <c r="BH328" s="16">
        <f>Demand_LP!J$13/30</f>
        <v>536.05500267094021</v>
      </c>
      <c r="BI328" s="16">
        <f>Demand_LP!K$13/30</f>
        <v>536.05500267094021</v>
      </c>
      <c r="BJ328" s="16">
        <f t="shared" si="166"/>
        <v>-243436.84253342004</v>
      </c>
      <c r="BK328" s="16">
        <f t="shared" si="167"/>
        <v>-183402.19538461519</v>
      </c>
      <c r="BL328" s="16">
        <f t="shared" si="168"/>
        <v>-87766.968974359319</v>
      </c>
      <c r="BM328" s="16">
        <f t="shared" si="169"/>
        <v>-235083.12331710375</v>
      </c>
      <c r="BN328" s="16">
        <f t="shared" si="170"/>
        <v>-143905.44743579614</v>
      </c>
      <c r="BO328" s="16">
        <f t="shared" si="171"/>
        <v>-142363.13135416692</v>
      </c>
      <c r="BP328" s="16">
        <f t="shared" si="172"/>
        <v>-177759.77487179454</v>
      </c>
      <c r="BQ328" s="16">
        <f t="shared" si="173"/>
        <v>-138192.13135416695</v>
      </c>
      <c r="BR328" s="16">
        <f t="shared" si="174"/>
        <v>-139963.13135416698</v>
      </c>
      <c r="BS328" s="16">
        <f t="shared" si="175"/>
        <v>-140663.13135416698</v>
      </c>
      <c r="BT328" s="14">
        <f>IF([1]Sheet2!CB327=999999,"NA",[1]Sheet2!CB327)</f>
        <v>0</v>
      </c>
      <c r="BU328" s="14">
        <f>IF([1]Sheet2!CC327=999999,"NA",[1]Sheet2!CC327)</f>
        <v>0</v>
      </c>
      <c r="BV328" s="14">
        <f>IF([1]Sheet2!CD327=999999,"NA",[1]Sheet2!CD327)</f>
        <v>0</v>
      </c>
      <c r="BW328" s="14">
        <f>IF([1]Sheet2!CE327=999999,"NA",[1]Sheet2!CE327)</f>
        <v>0</v>
      </c>
      <c r="BX328" s="14">
        <f>IF([1]Sheet2!CF327=999999,"NA",[1]Sheet2!CF327)</f>
        <v>0</v>
      </c>
      <c r="BY328" s="14">
        <f>IF([1]Sheet2!CG327=999999,"NA",[1]Sheet2!CG327)</f>
        <v>0</v>
      </c>
      <c r="BZ328" s="14">
        <f>IF([1]Sheet2!CH327=999999,"NA",[1]Sheet2!CH327)</f>
        <v>0</v>
      </c>
      <c r="CA328" s="14">
        <f>IF([1]Sheet2!CI327=999999,"NA",[1]Sheet2!CI327)</f>
        <v>0</v>
      </c>
      <c r="CB328" s="14">
        <f>IF([1]Sheet2!CJ327=999999,"NA",[1]Sheet2!CJ327)</f>
        <v>0</v>
      </c>
      <c r="CC328" s="14">
        <f>IF([1]Sheet2!CK327=999999,"NA",[1]Sheet2!CK327)</f>
        <v>0</v>
      </c>
      <c r="CD328" s="14">
        <f>[1]Sheet2!BH327</f>
        <v>0</v>
      </c>
      <c r="CE328" s="14">
        <f>[1]Sheet2!BI327</f>
        <v>0</v>
      </c>
      <c r="CF328" s="14">
        <f>[1]Sheet2!BJ327</f>
        <v>0</v>
      </c>
      <c r="CG328" s="14">
        <f>[1]Sheet2!BK327</f>
        <v>0</v>
      </c>
      <c r="CH328" s="14">
        <f>[1]Sheet2!BL327</f>
        <v>0</v>
      </c>
      <c r="CI328" s="14">
        <f>[1]Sheet2!BM327</f>
        <v>0</v>
      </c>
      <c r="CJ328" s="14">
        <f>[1]Sheet2!BN327</f>
        <v>0</v>
      </c>
      <c r="CK328" s="14">
        <f>[1]Sheet2!BO327</f>
        <v>0</v>
      </c>
      <c r="CL328" s="14">
        <f>[1]Sheet2!BP327</f>
        <v>0</v>
      </c>
      <c r="CM328" s="14">
        <f>[1]Sheet2!BQ327</f>
        <v>0</v>
      </c>
      <c r="CN328" s="16">
        <f>Demand_SW!B$13/30</f>
        <v>144.23076923076923</v>
      </c>
      <c r="CO328" s="16">
        <f>Demand_SW!C$13/30</f>
        <v>0</v>
      </c>
      <c r="CP328" s="16">
        <f>Demand_SW!D$13/30</f>
        <v>0</v>
      </c>
      <c r="CQ328" s="16">
        <f>Demand_SW!E$13/30</f>
        <v>0</v>
      </c>
      <c r="CR328" s="16">
        <f>Demand_SW!F$13/30</f>
        <v>0</v>
      </c>
      <c r="CS328" s="16">
        <f>Demand_SW!G$13/30</f>
        <v>144.23076923076923</v>
      </c>
      <c r="CT328" s="16">
        <f>Demand_SW!H$13/30</f>
        <v>0</v>
      </c>
      <c r="CU328" s="16">
        <f>Demand_SW!I$13/30</f>
        <v>0</v>
      </c>
      <c r="CV328" s="16">
        <f>Demand_SW!J$13/30</f>
        <v>0</v>
      </c>
      <c r="CW328" s="16">
        <f>Demand_SW!K$13/30</f>
        <v>0</v>
      </c>
      <c r="CX328" s="16">
        <f t="shared" si="176"/>
        <v>-21403.461538461579</v>
      </c>
      <c r="CY328" s="16">
        <f t="shared" si="177"/>
        <v>76.923076923077133</v>
      </c>
      <c r="CZ328" s="16">
        <f t="shared" si="178"/>
        <v>0</v>
      </c>
      <c r="DA328" s="16">
        <f t="shared" si="179"/>
        <v>0</v>
      </c>
      <c r="DB328" s="16">
        <f t="shared" si="180"/>
        <v>0</v>
      </c>
      <c r="DC328" s="16">
        <f t="shared" si="181"/>
        <v>-22634.692307692349</v>
      </c>
      <c r="DD328" s="16">
        <f t="shared" si="182"/>
        <v>76.923076923077133</v>
      </c>
      <c r="DE328" s="16">
        <f t="shared" si="183"/>
        <v>0</v>
      </c>
      <c r="DF328" s="16">
        <f t="shared" si="184"/>
        <v>0</v>
      </c>
      <c r="DG328" s="16">
        <f t="shared" si="185"/>
        <v>0</v>
      </c>
      <c r="DH328" s="14">
        <f>IF([1]Sheet2!DS327=999999,"NA",[1]Sheet2!DS327)</f>
        <v>0</v>
      </c>
      <c r="DI328" s="14">
        <f>IF([1]Sheet2!DT327=999999,"NA",[1]Sheet2!DT327)</f>
        <v>40</v>
      </c>
      <c r="DJ328" s="14" t="str">
        <f>IF([1]Sheet2!DU327=999999,"NA",[1]Sheet2!DU327)</f>
        <v>NA</v>
      </c>
      <c r="DK328" s="14" t="str">
        <f>IF([1]Sheet2!DV327=999999,"NA",[1]Sheet2!DV327)</f>
        <v>NA</v>
      </c>
      <c r="DL328" s="14" t="str">
        <f>IF([1]Sheet2!DW327=999999,"NA",[1]Sheet2!DW327)</f>
        <v>NA</v>
      </c>
      <c r="DM328" s="14">
        <f>IF([1]Sheet2!DX327=999999,"NA",[1]Sheet2!DX327)</f>
        <v>0</v>
      </c>
      <c r="DN328" s="14">
        <f>IF([1]Sheet2!DY327=999999,"NA",[1]Sheet2!DY327)</f>
        <v>40</v>
      </c>
      <c r="DO328" s="14" t="str">
        <f>IF([1]Sheet2!DZ327=999999,"NA",[1]Sheet2!DZ327)</f>
        <v>NA</v>
      </c>
      <c r="DP328" s="14" t="str">
        <f>IF([1]Sheet2!EA327=999999,"NA",[1]Sheet2!EA327)</f>
        <v>NA</v>
      </c>
      <c r="DQ328" s="14" t="str">
        <f>IF([1]Sheet2!EB327=999999,"NA",[1]Sheet2!EB327)</f>
        <v>NA</v>
      </c>
      <c r="DR328" s="14">
        <f>[1]Sheet2!CY327</f>
        <v>0</v>
      </c>
      <c r="DS328" s="14">
        <f>[1]Sheet2!CZ327</f>
        <v>0</v>
      </c>
      <c r="DT328" s="14">
        <f>[1]Sheet2!DA327</f>
        <v>0</v>
      </c>
      <c r="DU328" s="14">
        <f>[1]Sheet2!DB327</f>
        <v>0</v>
      </c>
      <c r="DV328" s="14">
        <f>[1]Sheet2!DC327</f>
        <v>0</v>
      </c>
      <c r="DW328" s="14">
        <f>[1]Sheet2!DD327</f>
        <v>0</v>
      </c>
      <c r="DX328" s="14">
        <f>[1]Sheet2!DE327</f>
        <v>0</v>
      </c>
      <c r="DY328" s="14">
        <f>[1]Sheet2!DF327</f>
        <v>0</v>
      </c>
      <c r="DZ328" s="14">
        <f>[1]Sheet2!DG327</f>
        <v>0</v>
      </c>
      <c r="EA328" s="14">
        <f>[1]Sheet2!DH327</f>
        <v>0</v>
      </c>
      <c r="EB328" s="6">
        <f>[1]Sheet2!EC327</f>
        <v>0</v>
      </c>
      <c r="EC328" s="6">
        <f>[1]Sheet2!ED327</f>
        <v>0</v>
      </c>
      <c r="ED328" s="6">
        <f>[1]Sheet2!EE327</f>
        <v>0</v>
      </c>
      <c r="EE328" s="6">
        <f>[1]Sheet2!EF327</f>
        <v>0</v>
      </c>
      <c r="EF328" s="6">
        <f>[1]Sheet2!EG327</f>
        <v>0</v>
      </c>
      <c r="EG328" s="6">
        <f>[1]Sheet2!EH327</f>
        <v>0</v>
      </c>
      <c r="EH328" s="6">
        <f>[1]Sheet2!EI327</f>
        <v>0</v>
      </c>
      <c r="EI328" s="6">
        <f>[1]Sheet2!EJ327</f>
        <v>0</v>
      </c>
      <c r="EJ328" s="6">
        <f>[1]Sheet2!EK327</f>
        <v>0</v>
      </c>
      <c r="EK328" s="6">
        <f>[1]Sheet2!EL327</f>
        <v>0</v>
      </c>
      <c r="EL328" s="6" t="str">
        <f>[1]Sheet2!EM327</f>
        <v/>
      </c>
      <c r="EM328" s="6" t="str">
        <f>[1]Sheet2!EN327</f>
        <v/>
      </c>
      <c r="EN328" s="6" t="str">
        <f>[1]Sheet2!EO327</f>
        <v/>
      </c>
      <c r="EO328" s="6" t="str">
        <f>[1]Sheet2!EP327</f>
        <v/>
      </c>
      <c r="EP328" s="6" t="str">
        <f>[1]Sheet2!EQ327</f>
        <v/>
      </c>
      <c r="EQ328" s="6" t="str">
        <f>[1]Sheet2!ER327</f>
        <v/>
      </c>
      <c r="ER328" s="6" t="str">
        <f>[1]Sheet2!ES327</f>
        <v/>
      </c>
      <c r="ES328" s="6" t="str">
        <f>[1]Sheet2!ET327</f>
        <v/>
      </c>
      <c r="ET328" s="6" t="str">
        <f>[1]Sheet2!EU327</f>
        <v/>
      </c>
      <c r="EU328" s="6" t="str">
        <f>[1]Sheet2!EV327</f>
        <v/>
      </c>
      <c r="EV328" s="6" t="str">
        <f>[1]Sheet2!EW327</f>
        <v/>
      </c>
      <c r="EW328" s="6" t="str">
        <f>[1]Sheet2!EX327</f>
        <v/>
      </c>
      <c r="EX328" s="6" t="str">
        <f>[1]Sheet2!EY327</f>
        <v/>
      </c>
      <c r="EY328" s="6" t="str">
        <f>[1]Sheet2!EZ327</f>
        <v/>
      </c>
      <c r="EZ328" s="6" t="str">
        <f>[1]Sheet2!FA327</f>
        <v/>
      </c>
      <c r="FA328" s="6" t="str">
        <f>[1]Sheet2!FB327</f>
        <v/>
      </c>
      <c r="FB328" s="6" t="str">
        <f>[1]Sheet2!FC327</f>
        <v/>
      </c>
      <c r="FC328" s="6" t="str">
        <f>[1]Sheet2!FD327</f>
        <v/>
      </c>
      <c r="FD328" s="6" t="str">
        <f>[1]Sheet2!FE327</f>
        <v/>
      </c>
      <c r="FE328" s="6" t="str">
        <f>[1]Sheet2!FF327</f>
        <v/>
      </c>
      <c r="FF328" s="6" t="str">
        <f>[1]Sheet2!FG327</f>
        <v/>
      </c>
      <c r="FG328" s="6" t="str">
        <f>[1]Sheet2!FH327</f>
        <v/>
      </c>
      <c r="FH328" s="6" t="str">
        <f>[1]Sheet2!FI327</f>
        <v/>
      </c>
      <c r="FI328" s="6" t="str">
        <f>[1]Sheet2!FJ327</f>
        <v/>
      </c>
      <c r="FJ328" s="6" t="str">
        <f>[1]Sheet2!FK327</f>
        <v/>
      </c>
      <c r="FK328" s="6" t="str">
        <f>[1]Sheet2!FL327</f>
        <v/>
      </c>
      <c r="FL328" s="6" t="str">
        <f>[1]Sheet2!FM327</f>
        <v/>
      </c>
      <c r="FM328" s="6" t="str">
        <f>[1]Sheet2!FN327</f>
        <v/>
      </c>
      <c r="FN328" s="6" t="str">
        <f>[1]Sheet2!FO327</f>
        <v/>
      </c>
      <c r="FO328" s="6" t="str">
        <f>[1]Sheet2!FP327</f>
        <v/>
      </c>
    </row>
    <row r="329" spans="1:171" x14ac:dyDescent="0.25">
      <c r="A329" s="15">
        <v>43791</v>
      </c>
      <c r="B329" s="1"/>
      <c r="C329" s="1"/>
      <c r="D329" s="1"/>
      <c r="E329" s="14">
        <f>[1]Sheet2!N328</f>
        <v>0</v>
      </c>
      <c r="F329" s="14">
        <f>[1]Sheet2!BE328</f>
        <v>0</v>
      </c>
      <c r="G329" s="14">
        <f>[1]Sheet2!CW328</f>
        <v>0</v>
      </c>
      <c r="H329" s="1"/>
      <c r="I329" s="1"/>
      <c r="J329" s="1"/>
      <c r="K329" s="16"/>
      <c r="L329" s="16">
        <f>Demand_CWRS!B$13/30</f>
        <v>111.92954594017094</v>
      </c>
      <c r="M329" s="16">
        <f>Demand_CWRS!C$13/30</f>
        <v>550.01145299145287</v>
      </c>
      <c r="N329" s="16">
        <f>Demand_CWRS!D$13/30</f>
        <v>0</v>
      </c>
      <c r="O329" s="16">
        <f>Demand_CWRS!E$13/30</f>
        <v>105.42606837606837</v>
      </c>
      <c r="P329" s="16">
        <f>Demand_CWRS!F$13/30</f>
        <v>220.33041399572647</v>
      </c>
      <c r="Q329" s="16">
        <f>Demand_CWRS!G$13/30</f>
        <v>111.92954594017094</v>
      </c>
      <c r="R329" s="16">
        <f>Demand_CWRS!H$13/30</f>
        <v>220.33041399572647</v>
      </c>
      <c r="S329" s="16">
        <f>Demand_CWRS!I$13/30</f>
        <v>220.33041399572647</v>
      </c>
      <c r="T329" s="16">
        <f>Demand_CWRS!J$13/30</f>
        <v>220.33041399572647</v>
      </c>
      <c r="U329" s="16">
        <f>Demand_CWRS!K$13/30</f>
        <v>220.33041399572647</v>
      </c>
      <c r="V329" s="16">
        <f t="shared" si="156"/>
        <v>-37056.064592951996</v>
      </c>
      <c r="W329" s="16">
        <f t="shared" si="157"/>
        <v>-148209.00324786283</v>
      </c>
      <c r="X329" s="16">
        <f t="shared" si="158"/>
        <v>0</v>
      </c>
      <c r="Y329" s="16">
        <f t="shared" si="159"/>
        <v>-28459.803900248848</v>
      </c>
      <c r="Z329" s="16">
        <f t="shared" si="160"/>
        <v>-65378.584545263999</v>
      </c>
      <c r="AA329" s="16">
        <f t="shared" si="161"/>
        <v>-35584.132068913612</v>
      </c>
      <c r="AB329" s="16">
        <f t="shared" si="162"/>
        <v>-69687.749320905088</v>
      </c>
      <c r="AC329" s="16">
        <f t="shared" si="163"/>
        <v>-63894.739064494766</v>
      </c>
      <c r="AD329" s="16">
        <f t="shared" si="164"/>
        <v>-63994.739064494759</v>
      </c>
      <c r="AE329" s="16">
        <f t="shared" si="165"/>
        <v>-64594.739064494752</v>
      </c>
      <c r="AF329" s="14">
        <f>IF([1]Sheet2!AJ328=999999,"NA",[1]Sheet2!AJ328)</f>
        <v>0</v>
      </c>
      <c r="AG329" s="14">
        <f>IF([1]Sheet2!AK328=999999,"NA",[1]Sheet2!AK328)</f>
        <v>0</v>
      </c>
      <c r="AH329" s="14" t="str">
        <f>IF([1]Sheet2!AL328=999999,"NA",[1]Sheet2!AL328)</f>
        <v>NA</v>
      </c>
      <c r="AI329" s="14">
        <f>IF([1]Sheet2!AM328=999999,"NA",[1]Sheet2!AM328)</f>
        <v>0</v>
      </c>
      <c r="AJ329" s="14">
        <f>IF([1]Sheet2!AN328=999999,"NA",[1]Sheet2!AN328)</f>
        <v>0</v>
      </c>
      <c r="AK329" s="14">
        <f>IF([1]Sheet2!AO328=999999,"NA",[1]Sheet2!AO328)</f>
        <v>0</v>
      </c>
      <c r="AL329" s="14">
        <f>IF([1]Sheet2!AP328=999999,"NA",[1]Sheet2!AP328)</f>
        <v>0</v>
      </c>
      <c r="AM329" s="14">
        <f>IF([1]Sheet2!AQ328=999999,"NA",[1]Sheet2!AQ328)</f>
        <v>0</v>
      </c>
      <c r="AN329" s="14">
        <f>IF([1]Sheet2!AR328=999999,"NA",[1]Sheet2!AR328)</f>
        <v>0</v>
      </c>
      <c r="AO329" s="14">
        <f>IF([1]Sheet2!AS328=999999,"NA",[1]Sheet2!AS328)</f>
        <v>0</v>
      </c>
      <c r="AP329" s="14">
        <f>[1]Sheet2!P328</f>
        <v>0</v>
      </c>
      <c r="AQ329" s="14">
        <f>[1]Sheet2!Q328</f>
        <v>0</v>
      </c>
      <c r="AR329" s="14">
        <f>[1]Sheet2!R328</f>
        <v>0</v>
      </c>
      <c r="AS329" s="14">
        <f>[1]Sheet2!S328</f>
        <v>0</v>
      </c>
      <c r="AT329" s="14">
        <f>[1]Sheet2!T328</f>
        <v>0</v>
      </c>
      <c r="AU329" s="14">
        <f>[1]Sheet2!U328</f>
        <v>0</v>
      </c>
      <c r="AV329" s="14">
        <f>[1]Sheet2!V328</f>
        <v>0</v>
      </c>
      <c r="AW329" s="14">
        <f>[1]Sheet2!W328</f>
        <v>0</v>
      </c>
      <c r="AX329" s="14">
        <f>[1]Sheet2!X328</f>
        <v>0</v>
      </c>
      <c r="AY329" s="14">
        <f>[1]Sheet2!Y328</f>
        <v>0</v>
      </c>
      <c r="AZ329" s="16">
        <f>Demand_LP!B$13/30</f>
        <v>849.16414262820524</v>
      </c>
      <c r="BA329" s="16">
        <f>Demand_LP!C$13/30</f>
        <v>632.84239316239314</v>
      </c>
      <c r="BB329" s="16">
        <f>Demand_LP!D$13/30</f>
        <v>269.64247863247863</v>
      </c>
      <c r="BC329" s="16">
        <f>Demand_LP!E$13/30</f>
        <v>815.03102564102551</v>
      </c>
      <c r="BD329" s="16">
        <f>Demand_LP!F$13/30</f>
        <v>536.05500267094021</v>
      </c>
      <c r="BE329" s="16">
        <f>Demand_LP!G$13/30</f>
        <v>536.05500267094021</v>
      </c>
      <c r="BF329" s="16">
        <f>Demand_LP!H$13/30</f>
        <v>632.84239316239314</v>
      </c>
      <c r="BG329" s="16">
        <f>Demand_LP!I$13/30</f>
        <v>536.05500267094021</v>
      </c>
      <c r="BH329" s="16">
        <f>Demand_LP!J$13/30</f>
        <v>536.05500267094021</v>
      </c>
      <c r="BI329" s="16">
        <f>Demand_LP!K$13/30</f>
        <v>536.05500267094021</v>
      </c>
      <c r="BJ329" s="16">
        <f t="shared" si="166"/>
        <v>-244286.00667604824</v>
      </c>
      <c r="BK329" s="16">
        <f t="shared" si="167"/>
        <v>-184035.03777777759</v>
      </c>
      <c r="BL329" s="16">
        <f t="shared" si="168"/>
        <v>-88036.611452991798</v>
      </c>
      <c r="BM329" s="16">
        <f t="shared" si="169"/>
        <v>-235898.15434274476</v>
      </c>
      <c r="BN329" s="16">
        <f t="shared" si="170"/>
        <v>-144441.50243846708</v>
      </c>
      <c r="BO329" s="16">
        <f t="shared" si="171"/>
        <v>-142899.18635683786</v>
      </c>
      <c r="BP329" s="16">
        <f t="shared" si="172"/>
        <v>-178392.61726495693</v>
      </c>
      <c r="BQ329" s="16">
        <f t="shared" si="173"/>
        <v>-138728.18635683789</v>
      </c>
      <c r="BR329" s="16">
        <f t="shared" si="174"/>
        <v>-140499.18635683792</v>
      </c>
      <c r="BS329" s="16">
        <f t="shared" si="175"/>
        <v>-141199.18635683792</v>
      </c>
      <c r="BT329" s="14">
        <f>IF([1]Sheet2!CB328=999999,"NA",[1]Sheet2!CB328)</f>
        <v>0</v>
      </c>
      <c r="BU329" s="14">
        <f>IF([1]Sheet2!CC328=999999,"NA",[1]Sheet2!CC328)</f>
        <v>0</v>
      </c>
      <c r="BV329" s="14">
        <f>IF([1]Sheet2!CD328=999999,"NA",[1]Sheet2!CD328)</f>
        <v>0</v>
      </c>
      <c r="BW329" s="14">
        <f>IF([1]Sheet2!CE328=999999,"NA",[1]Sheet2!CE328)</f>
        <v>0</v>
      </c>
      <c r="BX329" s="14">
        <f>IF([1]Sheet2!CF328=999999,"NA",[1]Sheet2!CF328)</f>
        <v>0</v>
      </c>
      <c r="BY329" s="14">
        <f>IF([1]Sheet2!CG328=999999,"NA",[1]Sheet2!CG328)</f>
        <v>0</v>
      </c>
      <c r="BZ329" s="14">
        <f>IF([1]Sheet2!CH328=999999,"NA",[1]Sheet2!CH328)</f>
        <v>0</v>
      </c>
      <c r="CA329" s="14">
        <f>IF([1]Sheet2!CI328=999999,"NA",[1]Sheet2!CI328)</f>
        <v>0</v>
      </c>
      <c r="CB329" s="14">
        <f>IF([1]Sheet2!CJ328=999999,"NA",[1]Sheet2!CJ328)</f>
        <v>0</v>
      </c>
      <c r="CC329" s="14">
        <f>IF([1]Sheet2!CK328=999999,"NA",[1]Sheet2!CK328)</f>
        <v>0</v>
      </c>
      <c r="CD329" s="14">
        <f>[1]Sheet2!BH328</f>
        <v>0</v>
      </c>
      <c r="CE329" s="14">
        <f>[1]Sheet2!BI328</f>
        <v>0</v>
      </c>
      <c r="CF329" s="14">
        <f>[1]Sheet2!BJ328</f>
        <v>0</v>
      </c>
      <c r="CG329" s="14">
        <f>[1]Sheet2!BK328</f>
        <v>0</v>
      </c>
      <c r="CH329" s="14">
        <f>[1]Sheet2!BL328</f>
        <v>0</v>
      </c>
      <c r="CI329" s="14">
        <f>[1]Sheet2!BM328</f>
        <v>0</v>
      </c>
      <c r="CJ329" s="14">
        <f>[1]Sheet2!BN328</f>
        <v>0</v>
      </c>
      <c r="CK329" s="14">
        <f>[1]Sheet2!BO328</f>
        <v>0</v>
      </c>
      <c r="CL329" s="14">
        <f>[1]Sheet2!BP328</f>
        <v>0</v>
      </c>
      <c r="CM329" s="14">
        <f>[1]Sheet2!BQ328</f>
        <v>0</v>
      </c>
      <c r="CN329" s="16">
        <f>Demand_SW!B$13/30</f>
        <v>144.23076923076923</v>
      </c>
      <c r="CO329" s="16">
        <f>Demand_SW!C$13/30</f>
        <v>0</v>
      </c>
      <c r="CP329" s="16">
        <f>Demand_SW!D$13/30</f>
        <v>0</v>
      </c>
      <c r="CQ329" s="16">
        <f>Demand_SW!E$13/30</f>
        <v>0</v>
      </c>
      <c r="CR329" s="16">
        <f>Demand_SW!F$13/30</f>
        <v>0</v>
      </c>
      <c r="CS329" s="16">
        <f>Demand_SW!G$13/30</f>
        <v>144.23076923076923</v>
      </c>
      <c r="CT329" s="16">
        <f>Demand_SW!H$13/30</f>
        <v>0</v>
      </c>
      <c r="CU329" s="16">
        <f>Demand_SW!I$13/30</f>
        <v>0</v>
      </c>
      <c r="CV329" s="16">
        <f>Demand_SW!J$13/30</f>
        <v>0</v>
      </c>
      <c r="CW329" s="16">
        <f>Demand_SW!K$13/30</f>
        <v>0</v>
      </c>
      <c r="CX329" s="16">
        <f t="shared" si="176"/>
        <v>-21547.692307692349</v>
      </c>
      <c r="CY329" s="16">
        <f t="shared" si="177"/>
        <v>76.923076923077133</v>
      </c>
      <c r="CZ329" s="16">
        <f t="shared" si="178"/>
        <v>0</v>
      </c>
      <c r="DA329" s="16">
        <f t="shared" si="179"/>
        <v>0</v>
      </c>
      <c r="DB329" s="16">
        <f t="shared" si="180"/>
        <v>0</v>
      </c>
      <c r="DC329" s="16">
        <f t="shared" si="181"/>
        <v>-22778.923076923118</v>
      </c>
      <c r="DD329" s="16">
        <f t="shared" si="182"/>
        <v>76.923076923077133</v>
      </c>
      <c r="DE329" s="16">
        <f t="shared" si="183"/>
        <v>0</v>
      </c>
      <c r="DF329" s="16">
        <f t="shared" si="184"/>
        <v>0</v>
      </c>
      <c r="DG329" s="16">
        <f t="shared" si="185"/>
        <v>0</v>
      </c>
      <c r="DH329" s="14">
        <f>IF([1]Sheet2!DS328=999999,"NA",[1]Sheet2!DS328)</f>
        <v>0</v>
      </c>
      <c r="DI329" s="14">
        <f>IF([1]Sheet2!DT328=999999,"NA",[1]Sheet2!DT328)</f>
        <v>39</v>
      </c>
      <c r="DJ329" s="14" t="str">
        <f>IF([1]Sheet2!DU328=999999,"NA",[1]Sheet2!DU328)</f>
        <v>NA</v>
      </c>
      <c r="DK329" s="14" t="str">
        <f>IF([1]Sheet2!DV328=999999,"NA",[1]Sheet2!DV328)</f>
        <v>NA</v>
      </c>
      <c r="DL329" s="14" t="str">
        <f>IF([1]Sheet2!DW328=999999,"NA",[1]Sheet2!DW328)</f>
        <v>NA</v>
      </c>
      <c r="DM329" s="14">
        <f>IF([1]Sheet2!DX328=999999,"NA",[1]Sheet2!DX328)</f>
        <v>0</v>
      </c>
      <c r="DN329" s="14">
        <f>IF([1]Sheet2!DY328=999999,"NA",[1]Sheet2!DY328)</f>
        <v>39</v>
      </c>
      <c r="DO329" s="14" t="str">
        <f>IF([1]Sheet2!DZ328=999999,"NA",[1]Sheet2!DZ328)</f>
        <v>NA</v>
      </c>
      <c r="DP329" s="14" t="str">
        <f>IF([1]Sheet2!EA328=999999,"NA",[1]Sheet2!EA328)</f>
        <v>NA</v>
      </c>
      <c r="DQ329" s="14" t="str">
        <f>IF([1]Sheet2!EB328=999999,"NA",[1]Sheet2!EB328)</f>
        <v>NA</v>
      </c>
      <c r="DR329" s="14">
        <f>[1]Sheet2!CY328</f>
        <v>0</v>
      </c>
      <c r="DS329" s="14">
        <f>[1]Sheet2!CZ328</f>
        <v>0</v>
      </c>
      <c r="DT329" s="14">
        <f>[1]Sheet2!DA328</f>
        <v>0</v>
      </c>
      <c r="DU329" s="14">
        <f>[1]Sheet2!DB328</f>
        <v>0</v>
      </c>
      <c r="DV329" s="14">
        <f>[1]Sheet2!DC328</f>
        <v>0</v>
      </c>
      <c r="DW329" s="14">
        <f>[1]Sheet2!DD328</f>
        <v>0</v>
      </c>
      <c r="DX329" s="14">
        <f>[1]Sheet2!DE328</f>
        <v>0</v>
      </c>
      <c r="DY329" s="14">
        <f>[1]Sheet2!DF328</f>
        <v>0</v>
      </c>
      <c r="DZ329" s="14">
        <f>[1]Sheet2!DG328</f>
        <v>0</v>
      </c>
      <c r="EA329" s="14">
        <f>[1]Sheet2!DH328</f>
        <v>0</v>
      </c>
      <c r="EB329" s="6">
        <f>[1]Sheet2!EC328</f>
        <v>0</v>
      </c>
      <c r="EC329" s="6">
        <f>[1]Sheet2!ED328</f>
        <v>0</v>
      </c>
      <c r="ED329" s="6">
        <f>[1]Sheet2!EE328</f>
        <v>0</v>
      </c>
      <c r="EE329" s="6">
        <f>[1]Sheet2!EF328</f>
        <v>0</v>
      </c>
      <c r="EF329" s="6">
        <f>[1]Sheet2!EG328</f>
        <v>0</v>
      </c>
      <c r="EG329" s="6">
        <f>[1]Sheet2!EH328</f>
        <v>0</v>
      </c>
      <c r="EH329" s="6">
        <f>[1]Sheet2!EI328</f>
        <v>0</v>
      </c>
      <c r="EI329" s="6">
        <f>[1]Sheet2!EJ328</f>
        <v>0</v>
      </c>
      <c r="EJ329" s="6">
        <f>[1]Sheet2!EK328</f>
        <v>0</v>
      </c>
      <c r="EK329" s="6">
        <f>[1]Sheet2!EL328</f>
        <v>0</v>
      </c>
      <c r="EL329" s="6" t="str">
        <f>[1]Sheet2!EM328</f>
        <v/>
      </c>
      <c r="EM329" s="6" t="str">
        <f>[1]Sheet2!EN328</f>
        <v/>
      </c>
      <c r="EN329" s="6" t="str">
        <f>[1]Sheet2!EO328</f>
        <v/>
      </c>
      <c r="EO329" s="6" t="str">
        <f>[1]Sheet2!EP328</f>
        <v/>
      </c>
      <c r="EP329" s="6" t="str">
        <f>[1]Sheet2!EQ328</f>
        <v/>
      </c>
      <c r="EQ329" s="6" t="str">
        <f>[1]Sheet2!ER328</f>
        <v/>
      </c>
      <c r="ER329" s="6" t="str">
        <f>[1]Sheet2!ES328</f>
        <v/>
      </c>
      <c r="ES329" s="6" t="str">
        <f>[1]Sheet2!ET328</f>
        <v/>
      </c>
      <c r="ET329" s="6" t="str">
        <f>[1]Sheet2!EU328</f>
        <v/>
      </c>
      <c r="EU329" s="6" t="str">
        <f>[1]Sheet2!EV328</f>
        <v/>
      </c>
      <c r="EV329" s="6" t="str">
        <f>[1]Sheet2!EW328</f>
        <v/>
      </c>
      <c r="EW329" s="6" t="str">
        <f>[1]Sheet2!EX328</f>
        <v/>
      </c>
      <c r="EX329" s="6" t="str">
        <f>[1]Sheet2!EY328</f>
        <v/>
      </c>
      <c r="EY329" s="6" t="str">
        <f>[1]Sheet2!EZ328</f>
        <v/>
      </c>
      <c r="EZ329" s="6" t="str">
        <f>[1]Sheet2!FA328</f>
        <v/>
      </c>
      <c r="FA329" s="6" t="str">
        <f>[1]Sheet2!FB328</f>
        <v/>
      </c>
      <c r="FB329" s="6" t="str">
        <f>[1]Sheet2!FC328</f>
        <v/>
      </c>
      <c r="FC329" s="6" t="str">
        <f>[1]Sheet2!FD328</f>
        <v/>
      </c>
      <c r="FD329" s="6" t="str">
        <f>[1]Sheet2!FE328</f>
        <v/>
      </c>
      <c r="FE329" s="6" t="str">
        <f>[1]Sheet2!FF328</f>
        <v/>
      </c>
      <c r="FF329" s="6" t="str">
        <f>[1]Sheet2!FG328</f>
        <v/>
      </c>
      <c r="FG329" s="6" t="str">
        <f>[1]Sheet2!FH328</f>
        <v/>
      </c>
      <c r="FH329" s="6" t="str">
        <f>[1]Sheet2!FI328</f>
        <v/>
      </c>
      <c r="FI329" s="6" t="str">
        <f>[1]Sheet2!FJ328</f>
        <v/>
      </c>
      <c r="FJ329" s="6" t="str">
        <f>[1]Sheet2!FK328</f>
        <v/>
      </c>
      <c r="FK329" s="6" t="str">
        <f>[1]Sheet2!FL328</f>
        <v/>
      </c>
      <c r="FL329" s="6" t="str">
        <f>[1]Sheet2!FM328</f>
        <v/>
      </c>
      <c r="FM329" s="6" t="str">
        <f>[1]Sheet2!FN328</f>
        <v/>
      </c>
      <c r="FN329" s="6" t="str">
        <f>[1]Sheet2!FO328</f>
        <v/>
      </c>
      <c r="FO329" s="6" t="str">
        <f>[1]Sheet2!FP328</f>
        <v/>
      </c>
    </row>
    <row r="330" spans="1:171" x14ac:dyDescent="0.25">
      <c r="A330" s="15">
        <v>43792</v>
      </c>
      <c r="B330" s="1"/>
      <c r="C330" s="1"/>
      <c r="D330" s="1"/>
      <c r="E330" s="14">
        <f>[1]Sheet2!N329</f>
        <v>0</v>
      </c>
      <c r="F330" s="14">
        <f>[1]Sheet2!BE329</f>
        <v>48000</v>
      </c>
      <c r="G330" s="14">
        <f>[1]Sheet2!CW329</f>
        <v>0</v>
      </c>
      <c r="H330" s="1"/>
      <c r="I330" s="1"/>
      <c r="J330" s="1"/>
      <c r="K330" s="16"/>
      <c r="L330" s="16">
        <f>Demand_CWRS!B$13/30</f>
        <v>111.92954594017094</v>
      </c>
      <c r="M330" s="16">
        <f>Demand_CWRS!C$13/30</f>
        <v>550.01145299145287</v>
      </c>
      <c r="N330" s="16">
        <f>Demand_CWRS!D$13/30</f>
        <v>0</v>
      </c>
      <c r="O330" s="16">
        <f>Demand_CWRS!E$13/30</f>
        <v>105.42606837606837</v>
      </c>
      <c r="P330" s="16">
        <f>Demand_CWRS!F$13/30</f>
        <v>220.33041399572647</v>
      </c>
      <c r="Q330" s="16">
        <f>Demand_CWRS!G$13/30</f>
        <v>111.92954594017094</v>
      </c>
      <c r="R330" s="16">
        <f>Demand_CWRS!H$13/30</f>
        <v>220.33041399572647</v>
      </c>
      <c r="S330" s="16">
        <f>Demand_CWRS!I$13/30</f>
        <v>220.33041399572647</v>
      </c>
      <c r="T330" s="16">
        <f>Demand_CWRS!J$13/30</f>
        <v>220.33041399572647</v>
      </c>
      <c r="U330" s="16">
        <f>Demand_CWRS!K$13/30</f>
        <v>220.33041399572647</v>
      </c>
      <c r="V330" s="16">
        <f t="shared" si="156"/>
        <v>-37167.994138892165</v>
      </c>
      <c r="W330" s="16">
        <f t="shared" si="157"/>
        <v>-148759.01470085428</v>
      </c>
      <c r="X330" s="16">
        <f t="shared" si="158"/>
        <v>0</v>
      </c>
      <c r="Y330" s="16">
        <f t="shared" si="159"/>
        <v>-28565.229968624917</v>
      </c>
      <c r="Z330" s="16">
        <f t="shared" si="160"/>
        <v>-65598.914959259724</v>
      </c>
      <c r="AA330" s="16">
        <f t="shared" si="161"/>
        <v>-35696.061614853781</v>
      </c>
      <c r="AB330" s="16">
        <f t="shared" si="162"/>
        <v>-69908.079734900821</v>
      </c>
      <c r="AC330" s="16">
        <f t="shared" si="163"/>
        <v>-64115.069478490492</v>
      </c>
      <c r="AD330" s="16">
        <f t="shared" si="164"/>
        <v>-64215.069478490484</v>
      </c>
      <c r="AE330" s="16">
        <f t="shared" si="165"/>
        <v>-64815.069478490477</v>
      </c>
      <c r="AF330" s="14">
        <f>IF([1]Sheet2!AJ329=999999,"NA",[1]Sheet2!AJ329)</f>
        <v>0</v>
      </c>
      <c r="AG330" s="14">
        <f>IF([1]Sheet2!AK329=999999,"NA",[1]Sheet2!AK329)</f>
        <v>0</v>
      </c>
      <c r="AH330" s="14" t="str">
        <f>IF([1]Sheet2!AL329=999999,"NA",[1]Sheet2!AL329)</f>
        <v>NA</v>
      </c>
      <c r="AI330" s="14">
        <f>IF([1]Sheet2!AM329=999999,"NA",[1]Sheet2!AM329)</f>
        <v>0</v>
      </c>
      <c r="AJ330" s="14">
        <f>IF([1]Sheet2!AN329=999999,"NA",[1]Sheet2!AN329)</f>
        <v>0</v>
      </c>
      <c r="AK330" s="14">
        <f>IF([1]Sheet2!AO329=999999,"NA",[1]Sheet2!AO329)</f>
        <v>0</v>
      </c>
      <c r="AL330" s="14">
        <f>IF([1]Sheet2!AP329=999999,"NA",[1]Sheet2!AP329)</f>
        <v>0</v>
      </c>
      <c r="AM330" s="14">
        <f>IF([1]Sheet2!AQ329=999999,"NA",[1]Sheet2!AQ329)</f>
        <v>0</v>
      </c>
      <c r="AN330" s="14">
        <f>IF([1]Sheet2!AR329=999999,"NA",[1]Sheet2!AR329)</f>
        <v>0</v>
      </c>
      <c r="AO330" s="14">
        <f>IF([1]Sheet2!AS329=999999,"NA",[1]Sheet2!AS329)</f>
        <v>0</v>
      </c>
      <c r="AP330" s="14">
        <f>[1]Sheet2!P329</f>
        <v>0</v>
      </c>
      <c r="AQ330" s="14">
        <f>[1]Sheet2!Q329</f>
        <v>0</v>
      </c>
      <c r="AR330" s="14">
        <f>[1]Sheet2!R329</f>
        <v>0</v>
      </c>
      <c r="AS330" s="14">
        <f>[1]Sheet2!S329</f>
        <v>0</v>
      </c>
      <c r="AT330" s="14">
        <f>[1]Sheet2!T329</f>
        <v>0</v>
      </c>
      <c r="AU330" s="14">
        <f>[1]Sheet2!U329</f>
        <v>0</v>
      </c>
      <c r="AV330" s="14">
        <f>[1]Sheet2!V329</f>
        <v>0</v>
      </c>
      <c r="AW330" s="14">
        <f>[1]Sheet2!W329</f>
        <v>0</v>
      </c>
      <c r="AX330" s="14">
        <f>[1]Sheet2!X329</f>
        <v>0</v>
      </c>
      <c r="AY330" s="14">
        <f>[1]Sheet2!Y329</f>
        <v>0</v>
      </c>
      <c r="AZ330" s="16">
        <f>Demand_LP!B$13/30</f>
        <v>849.16414262820524</v>
      </c>
      <c r="BA330" s="16">
        <f>Demand_LP!C$13/30</f>
        <v>632.84239316239314</v>
      </c>
      <c r="BB330" s="16">
        <f>Demand_LP!D$13/30</f>
        <v>269.64247863247863</v>
      </c>
      <c r="BC330" s="16">
        <f>Demand_LP!E$13/30</f>
        <v>815.03102564102551</v>
      </c>
      <c r="BD330" s="16">
        <f>Demand_LP!F$13/30</f>
        <v>536.05500267094021</v>
      </c>
      <c r="BE330" s="16">
        <f>Demand_LP!G$13/30</f>
        <v>536.05500267094021</v>
      </c>
      <c r="BF330" s="16">
        <f>Demand_LP!H$13/30</f>
        <v>632.84239316239314</v>
      </c>
      <c r="BG330" s="16">
        <f>Demand_LP!I$13/30</f>
        <v>536.05500267094021</v>
      </c>
      <c r="BH330" s="16">
        <f>Demand_LP!J$13/30</f>
        <v>536.05500267094021</v>
      </c>
      <c r="BI330" s="16">
        <f>Demand_LP!K$13/30</f>
        <v>536.05500267094021</v>
      </c>
      <c r="BJ330" s="16">
        <f t="shared" si="166"/>
        <v>-245135.17081867644</v>
      </c>
      <c r="BK330" s="16">
        <f t="shared" si="167"/>
        <v>-184667.88017093998</v>
      </c>
      <c r="BL330" s="16">
        <f t="shared" si="168"/>
        <v>-88306.253931624276</v>
      </c>
      <c r="BM330" s="16">
        <f t="shared" si="169"/>
        <v>-236713.18536838578</v>
      </c>
      <c r="BN330" s="16">
        <f t="shared" si="170"/>
        <v>-144977.55744113802</v>
      </c>
      <c r="BO330" s="16">
        <f t="shared" si="171"/>
        <v>-143435.2413595088</v>
      </c>
      <c r="BP330" s="16">
        <f t="shared" si="172"/>
        <v>-179025.45965811933</v>
      </c>
      <c r="BQ330" s="16">
        <f t="shared" si="173"/>
        <v>-139264.24135950883</v>
      </c>
      <c r="BR330" s="16">
        <f t="shared" si="174"/>
        <v>-141035.24135950886</v>
      </c>
      <c r="BS330" s="16">
        <f t="shared" si="175"/>
        <v>-141735.24135950886</v>
      </c>
      <c r="BT330" s="14">
        <f>IF([1]Sheet2!CB329=999999,"NA",[1]Sheet2!CB329)</f>
        <v>0</v>
      </c>
      <c r="BU330" s="14">
        <f>IF([1]Sheet2!CC329=999999,"NA",[1]Sheet2!CC329)</f>
        <v>0</v>
      </c>
      <c r="BV330" s="14">
        <f>IF([1]Sheet2!CD329=999999,"NA",[1]Sheet2!CD329)</f>
        <v>0</v>
      </c>
      <c r="BW330" s="14">
        <f>IF([1]Sheet2!CE329=999999,"NA",[1]Sheet2!CE329)</f>
        <v>0</v>
      </c>
      <c r="BX330" s="14">
        <f>IF([1]Sheet2!CF329=999999,"NA",[1]Sheet2!CF329)</f>
        <v>0</v>
      </c>
      <c r="BY330" s="14">
        <f>IF([1]Sheet2!CG329=999999,"NA",[1]Sheet2!CG329)</f>
        <v>0</v>
      </c>
      <c r="BZ330" s="14">
        <f>IF([1]Sheet2!CH329=999999,"NA",[1]Sheet2!CH329)</f>
        <v>0</v>
      </c>
      <c r="CA330" s="14">
        <f>IF([1]Sheet2!CI329=999999,"NA",[1]Sheet2!CI329)</f>
        <v>0</v>
      </c>
      <c r="CB330" s="14">
        <f>IF([1]Sheet2!CJ329=999999,"NA",[1]Sheet2!CJ329)</f>
        <v>0</v>
      </c>
      <c r="CC330" s="14">
        <f>IF([1]Sheet2!CK329=999999,"NA",[1]Sheet2!CK329)</f>
        <v>0</v>
      </c>
      <c r="CD330" s="14">
        <f>[1]Sheet2!BH329</f>
        <v>0</v>
      </c>
      <c r="CE330" s="14">
        <f>[1]Sheet2!BI329</f>
        <v>0</v>
      </c>
      <c r="CF330" s="14">
        <f>[1]Sheet2!BJ329</f>
        <v>0</v>
      </c>
      <c r="CG330" s="14">
        <f>[1]Sheet2!BK329</f>
        <v>0</v>
      </c>
      <c r="CH330" s="14">
        <f>[1]Sheet2!BL329</f>
        <v>0</v>
      </c>
      <c r="CI330" s="14">
        <f>[1]Sheet2!BM329</f>
        <v>0</v>
      </c>
      <c r="CJ330" s="14">
        <f>[1]Sheet2!BN329</f>
        <v>0</v>
      </c>
      <c r="CK330" s="14">
        <f>[1]Sheet2!BO329</f>
        <v>0</v>
      </c>
      <c r="CL330" s="14">
        <f>[1]Sheet2!BP329</f>
        <v>0</v>
      </c>
      <c r="CM330" s="14">
        <f>[1]Sheet2!BQ329</f>
        <v>0</v>
      </c>
      <c r="CN330" s="16">
        <f>Demand_SW!B$13/30</f>
        <v>144.23076923076923</v>
      </c>
      <c r="CO330" s="16">
        <f>Demand_SW!C$13/30</f>
        <v>0</v>
      </c>
      <c r="CP330" s="16">
        <f>Demand_SW!D$13/30</f>
        <v>0</v>
      </c>
      <c r="CQ330" s="16">
        <f>Demand_SW!E$13/30</f>
        <v>0</v>
      </c>
      <c r="CR330" s="16">
        <f>Demand_SW!F$13/30</f>
        <v>0</v>
      </c>
      <c r="CS330" s="16">
        <f>Demand_SW!G$13/30</f>
        <v>144.23076923076923</v>
      </c>
      <c r="CT330" s="16">
        <f>Demand_SW!H$13/30</f>
        <v>0</v>
      </c>
      <c r="CU330" s="16">
        <f>Demand_SW!I$13/30</f>
        <v>0</v>
      </c>
      <c r="CV330" s="16">
        <f>Demand_SW!J$13/30</f>
        <v>0</v>
      </c>
      <c r="CW330" s="16">
        <f>Demand_SW!K$13/30</f>
        <v>0</v>
      </c>
      <c r="CX330" s="16">
        <f t="shared" si="176"/>
        <v>-21691.923076923118</v>
      </c>
      <c r="CY330" s="16">
        <f t="shared" si="177"/>
        <v>76.923076923077133</v>
      </c>
      <c r="CZ330" s="16">
        <f t="shared" si="178"/>
        <v>0</v>
      </c>
      <c r="DA330" s="16">
        <f t="shared" si="179"/>
        <v>0</v>
      </c>
      <c r="DB330" s="16">
        <f t="shared" si="180"/>
        <v>0</v>
      </c>
      <c r="DC330" s="16">
        <f t="shared" si="181"/>
        <v>-22923.153846153888</v>
      </c>
      <c r="DD330" s="16">
        <f t="shared" si="182"/>
        <v>76.923076923077133</v>
      </c>
      <c r="DE330" s="16">
        <f t="shared" si="183"/>
        <v>0</v>
      </c>
      <c r="DF330" s="16">
        <f t="shared" si="184"/>
        <v>0</v>
      </c>
      <c r="DG330" s="16">
        <f t="shared" si="185"/>
        <v>0</v>
      </c>
      <c r="DH330" s="14">
        <f>IF([1]Sheet2!DS329=999999,"NA",[1]Sheet2!DS329)</f>
        <v>0</v>
      </c>
      <c r="DI330" s="14">
        <f>IF([1]Sheet2!DT329=999999,"NA",[1]Sheet2!DT329)</f>
        <v>38</v>
      </c>
      <c r="DJ330" s="14" t="str">
        <f>IF([1]Sheet2!DU329=999999,"NA",[1]Sheet2!DU329)</f>
        <v>NA</v>
      </c>
      <c r="DK330" s="14" t="str">
        <f>IF([1]Sheet2!DV329=999999,"NA",[1]Sheet2!DV329)</f>
        <v>NA</v>
      </c>
      <c r="DL330" s="14" t="str">
        <f>IF([1]Sheet2!DW329=999999,"NA",[1]Sheet2!DW329)</f>
        <v>NA</v>
      </c>
      <c r="DM330" s="14">
        <f>IF([1]Sheet2!DX329=999999,"NA",[1]Sheet2!DX329)</f>
        <v>0</v>
      </c>
      <c r="DN330" s="14">
        <f>IF([1]Sheet2!DY329=999999,"NA",[1]Sheet2!DY329)</f>
        <v>38</v>
      </c>
      <c r="DO330" s="14" t="str">
        <f>IF([1]Sheet2!DZ329=999999,"NA",[1]Sheet2!DZ329)</f>
        <v>NA</v>
      </c>
      <c r="DP330" s="14" t="str">
        <f>IF([1]Sheet2!EA329=999999,"NA",[1]Sheet2!EA329)</f>
        <v>NA</v>
      </c>
      <c r="DQ330" s="14" t="str">
        <f>IF([1]Sheet2!EB329=999999,"NA",[1]Sheet2!EB329)</f>
        <v>NA</v>
      </c>
      <c r="DR330" s="14">
        <f>[1]Sheet2!CY329</f>
        <v>0</v>
      </c>
      <c r="DS330" s="14">
        <f>[1]Sheet2!CZ329</f>
        <v>0</v>
      </c>
      <c r="DT330" s="14">
        <f>[1]Sheet2!DA329</f>
        <v>0</v>
      </c>
      <c r="DU330" s="14">
        <f>[1]Sheet2!DB329</f>
        <v>0</v>
      </c>
      <c r="DV330" s="14">
        <f>[1]Sheet2!DC329</f>
        <v>0</v>
      </c>
      <c r="DW330" s="14">
        <f>[1]Sheet2!DD329</f>
        <v>0</v>
      </c>
      <c r="DX330" s="14">
        <f>[1]Sheet2!DE329</f>
        <v>0</v>
      </c>
      <c r="DY330" s="14">
        <f>[1]Sheet2!DF329</f>
        <v>0</v>
      </c>
      <c r="DZ330" s="14">
        <f>[1]Sheet2!DG329</f>
        <v>0</v>
      </c>
      <c r="EA330" s="14">
        <f>[1]Sheet2!DH329</f>
        <v>0</v>
      </c>
      <c r="EB330" s="6">
        <f>[1]Sheet2!EC329</f>
        <v>0</v>
      </c>
      <c r="EC330" s="6">
        <f>[1]Sheet2!ED329</f>
        <v>0</v>
      </c>
      <c r="ED330" s="6">
        <f>[1]Sheet2!EE329</f>
        <v>0</v>
      </c>
      <c r="EE330" s="6">
        <f>[1]Sheet2!EF329</f>
        <v>0</v>
      </c>
      <c r="EF330" s="6">
        <f>[1]Sheet2!EG329</f>
        <v>0</v>
      </c>
      <c r="EG330" s="6">
        <f>[1]Sheet2!EH329</f>
        <v>0</v>
      </c>
      <c r="EH330" s="6">
        <f>[1]Sheet2!EI329</f>
        <v>0</v>
      </c>
      <c r="EI330" s="6">
        <f>[1]Sheet2!EJ329</f>
        <v>0</v>
      </c>
      <c r="EJ330" s="6">
        <f>[1]Sheet2!EK329</f>
        <v>0</v>
      </c>
      <c r="EK330" s="6">
        <f>[1]Sheet2!EL329</f>
        <v>0</v>
      </c>
      <c r="EL330" s="6" t="str">
        <f>[1]Sheet2!EM329</f>
        <v/>
      </c>
      <c r="EM330" s="6" t="str">
        <f>[1]Sheet2!EN329</f>
        <v/>
      </c>
      <c r="EN330" s="6" t="str">
        <f>[1]Sheet2!EO329</f>
        <v/>
      </c>
      <c r="EO330" s="6" t="str">
        <f>[1]Sheet2!EP329</f>
        <v/>
      </c>
      <c r="EP330" s="6" t="str">
        <f>[1]Sheet2!EQ329</f>
        <v/>
      </c>
      <c r="EQ330" s="6" t="str">
        <f>[1]Sheet2!ER329</f>
        <v/>
      </c>
      <c r="ER330" s="6" t="str">
        <f>[1]Sheet2!ES329</f>
        <v/>
      </c>
      <c r="ES330" s="6" t="str">
        <f>[1]Sheet2!ET329</f>
        <v/>
      </c>
      <c r="ET330" s="6" t="str">
        <f>[1]Sheet2!EU329</f>
        <v/>
      </c>
      <c r="EU330" s="6" t="str">
        <f>[1]Sheet2!EV329</f>
        <v/>
      </c>
      <c r="EV330" s="6" t="str">
        <f>[1]Sheet2!EW329</f>
        <v/>
      </c>
      <c r="EW330" s="6" t="str">
        <f>[1]Sheet2!EX329</f>
        <v/>
      </c>
      <c r="EX330" s="6" t="str">
        <f>[1]Sheet2!EY329</f>
        <v/>
      </c>
      <c r="EY330" s="6" t="str">
        <f>[1]Sheet2!EZ329</f>
        <v/>
      </c>
      <c r="EZ330" s="6" t="str">
        <f>[1]Sheet2!FA329</f>
        <v/>
      </c>
      <c r="FA330" s="6" t="str">
        <f>[1]Sheet2!FB329</f>
        <v/>
      </c>
      <c r="FB330" s="6" t="str">
        <f>[1]Sheet2!FC329</f>
        <v/>
      </c>
      <c r="FC330" s="6" t="str">
        <f>[1]Sheet2!FD329</f>
        <v/>
      </c>
      <c r="FD330" s="6" t="str">
        <f>[1]Sheet2!FE329</f>
        <v/>
      </c>
      <c r="FE330" s="6" t="str">
        <f>[1]Sheet2!FF329</f>
        <v/>
      </c>
      <c r="FF330" s="6" t="str">
        <f>[1]Sheet2!FG329</f>
        <v/>
      </c>
      <c r="FG330" s="6" t="str">
        <f>[1]Sheet2!FH329</f>
        <v/>
      </c>
      <c r="FH330" s="6" t="str">
        <f>[1]Sheet2!FI329</f>
        <v/>
      </c>
      <c r="FI330" s="6" t="str">
        <f>[1]Sheet2!FJ329</f>
        <v/>
      </c>
      <c r="FJ330" s="6" t="str">
        <f>[1]Sheet2!FK329</f>
        <v/>
      </c>
      <c r="FK330" s="6" t="str">
        <f>[1]Sheet2!FL329</f>
        <v/>
      </c>
      <c r="FL330" s="6" t="str">
        <f>[1]Sheet2!FM329</f>
        <v/>
      </c>
      <c r="FM330" s="6" t="str">
        <f>[1]Sheet2!FN329</f>
        <v/>
      </c>
      <c r="FN330" s="6" t="str">
        <f>[1]Sheet2!FO329</f>
        <v/>
      </c>
      <c r="FO330" s="6" t="str">
        <f>[1]Sheet2!FP329</f>
        <v/>
      </c>
    </row>
    <row r="331" spans="1:171" x14ac:dyDescent="0.25">
      <c r="A331" s="15">
        <v>43793</v>
      </c>
      <c r="B331" s="1"/>
      <c r="C331" s="1"/>
      <c r="D331" s="1"/>
      <c r="E331" s="14">
        <f>[1]Sheet2!N330</f>
        <v>0</v>
      </c>
      <c r="F331" s="14">
        <f>[1]Sheet2!BE330</f>
        <v>0</v>
      </c>
      <c r="G331" s="14">
        <f>[1]Sheet2!CW330</f>
        <v>0</v>
      </c>
      <c r="H331" s="1"/>
      <c r="I331" s="1"/>
      <c r="J331" s="1"/>
      <c r="K331" s="16"/>
      <c r="L331" s="16">
        <f>Demand_CWRS!B$13/30</f>
        <v>111.92954594017094</v>
      </c>
      <c r="M331" s="16">
        <f>Demand_CWRS!C$13/30</f>
        <v>550.01145299145287</v>
      </c>
      <c r="N331" s="16">
        <f>Demand_CWRS!D$13/30</f>
        <v>0</v>
      </c>
      <c r="O331" s="16">
        <f>Demand_CWRS!E$13/30</f>
        <v>105.42606837606837</v>
      </c>
      <c r="P331" s="16">
        <f>Demand_CWRS!F$13/30</f>
        <v>220.33041399572647</v>
      </c>
      <c r="Q331" s="16">
        <f>Demand_CWRS!G$13/30</f>
        <v>111.92954594017094</v>
      </c>
      <c r="R331" s="16">
        <f>Demand_CWRS!H$13/30</f>
        <v>220.33041399572647</v>
      </c>
      <c r="S331" s="16">
        <f>Demand_CWRS!I$13/30</f>
        <v>220.33041399572647</v>
      </c>
      <c r="T331" s="16">
        <f>Demand_CWRS!J$13/30</f>
        <v>220.33041399572647</v>
      </c>
      <c r="U331" s="16">
        <f>Demand_CWRS!K$13/30</f>
        <v>220.33041399572647</v>
      </c>
      <c r="V331" s="16">
        <f t="shared" si="156"/>
        <v>-37279.923684832334</v>
      </c>
      <c r="W331" s="16">
        <f t="shared" si="157"/>
        <v>-149309.02615384574</v>
      </c>
      <c r="X331" s="16">
        <f t="shared" si="158"/>
        <v>0</v>
      </c>
      <c r="Y331" s="16">
        <f t="shared" si="159"/>
        <v>-28670.656037000987</v>
      </c>
      <c r="Z331" s="16">
        <f t="shared" si="160"/>
        <v>-65819.245373255457</v>
      </c>
      <c r="AA331" s="16">
        <f t="shared" si="161"/>
        <v>-35807.99116079395</v>
      </c>
      <c r="AB331" s="16">
        <f t="shared" si="162"/>
        <v>-70128.410148896553</v>
      </c>
      <c r="AC331" s="16">
        <f t="shared" si="163"/>
        <v>-64335.399892486217</v>
      </c>
      <c r="AD331" s="16">
        <f t="shared" si="164"/>
        <v>-64435.39989248621</v>
      </c>
      <c r="AE331" s="16">
        <f t="shared" si="165"/>
        <v>-65035.399892486203</v>
      </c>
      <c r="AF331" s="14">
        <f>IF([1]Sheet2!AJ330=999999,"NA",[1]Sheet2!AJ330)</f>
        <v>0</v>
      </c>
      <c r="AG331" s="14">
        <f>IF([1]Sheet2!AK330=999999,"NA",[1]Sheet2!AK330)</f>
        <v>0</v>
      </c>
      <c r="AH331" s="14" t="str">
        <f>IF([1]Sheet2!AL330=999999,"NA",[1]Sheet2!AL330)</f>
        <v>NA</v>
      </c>
      <c r="AI331" s="14">
        <f>IF([1]Sheet2!AM330=999999,"NA",[1]Sheet2!AM330)</f>
        <v>0</v>
      </c>
      <c r="AJ331" s="14">
        <f>IF([1]Sheet2!AN330=999999,"NA",[1]Sheet2!AN330)</f>
        <v>0</v>
      </c>
      <c r="AK331" s="14">
        <f>IF([1]Sheet2!AO330=999999,"NA",[1]Sheet2!AO330)</f>
        <v>0</v>
      </c>
      <c r="AL331" s="14">
        <f>IF([1]Sheet2!AP330=999999,"NA",[1]Sheet2!AP330)</f>
        <v>0</v>
      </c>
      <c r="AM331" s="14">
        <f>IF([1]Sheet2!AQ330=999999,"NA",[1]Sheet2!AQ330)</f>
        <v>0</v>
      </c>
      <c r="AN331" s="14">
        <f>IF([1]Sheet2!AR330=999999,"NA",[1]Sheet2!AR330)</f>
        <v>0</v>
      </c>
      <c r="AO331" s="14">
        <f>IF([1]Sheet2!AS330=999999,"NA",[1]Sheet2!AS330)</f>
        <v>0</v>
      </c>
      <c r="AP331" s="14">
        <f>[1]Sheet2!P330</f>
        <v>0</v>
      </c>
      <c r="AQ331" s="14">
        <f>[1]Sheet2!Q330</f>
        <v>0</v>
      </c>
      <c r="AR331" s="14">
        <f>[1]Sheet2!R330</f>
        <v>0</v>
      </c>
      <c r="AS331" s="14">
        <f>[1]Sheet2!S330</f>
        <v>0</v>
      </c>
      <c r="AT331" s="14">
        <f>[1]Sheet2!T330</f>
        <v>0</v>
      </c>
      <c r="AU331" s="14">
        <f>[1]Sheet2!U330</f>
        <v>0</v>
      </c>
      <c r="AV331" s="14">
        <f>[1]Sheet2!V330</f>
        <v>0</v>
      </c>
      <c r="AW331" s="14">
        <f>[1]Sheet2!W330</f>
        <v>0</v>
      </c>
      <c r="AX331" s="14">
        <f>[1]Sheet2!X330</f>
        <v>0</v>
      </c>
      <c r="AY331" s="14">
        <f>[1]Sheet2!Y330</f>
        <v>0</v>
      </c>
      <c r="AZ331" s="16">
        <f>Demand_LP!B$13/30</f>
        <v>849.16414262820524</v>
      </c>
      <c r="BA331" s="16">
        <f>Demand_LP!C$13/30</f>
        <v>632.84239316239314</v>
      </c>
      <c r="BB331" s="16">
        <f>Demand_LP!D$13/30</f>
        <v>269.64247863247863</v>
      </c>
      <c r="BC331" s="16">
        <f>Demand_LP!E$13/30</f>
        <v>815.03102564102551</v>
      </c>
      <c r="BD331" s="16">
        <f>Demand_LP!F$13/30</f>
        <v>536.05500267094021</v>
      </c>
      <c r="BE331" s="16">
        <f>Demand_LP!G$13/30</f>
        <v>536.05500267094021</v>
      </c>
      <c r="BF331" s="16">
        <f>Demand_LP!H$13/30</f>
        <v>632.84239316239314</v>
      </c>
      <c r="BG331" s="16">
        <f>Demand_LP!I$13/30</f>
        <v>536.05500267094021</v>
      </c>
      <c r="BH331" s="16">
        <f>Demand_LP!J$13/30</f>
        <v>536.05500267094021</v>
      </c>
      <c r="BI331" s="16">
        <f>Demand_LP!K$13/30</f>
        <v>536.05500267094021</v>
      </c>
      <c r="BJ331" s="16">
        <f t="shared" si="166"/>
        <v>-245984.33496130464</v>
      </c>
      <c r="BK331" s="16">
        <f t="shared" si="167"/>
        <v>-185300.72256410238</v>
      </c>
      <c r="BL331" s="16">
        <f t="shared" si="168"/>
        <v>-88575.896410256755</v>
      </c>
      <c r="BM331" s="16">
        <f t="shared" si="169"/>
        <v>-237528.21639402679</v>
      </c>
      <c r="BN331" s="16">
        <f t="shared" si="170"/>
        <v>-145513.61244380896</v>
      </c>
      <c r="BO331" s="16">
        <f t="shared" si="171"/>
        <v>-143971.29636217974</v>
      </c>
      <c r="BP331" s="16">
        <f t="shared" si="172"/>
        <v>-179658.30205128173</v>
      </c>
      <c r="BQ331" s="16">
        <f t="shared" si="173"/>
        <v>-139800.29636217977</v>
      </c>
      <c r="BR331" s="16">
        <f t="shared" si="174"/>
        <v>-141571.2963621798</v>
      </c>
      <c r="BS331" s="16">
        <f t="shared" si="175"/>
        <v>-142271.2963621798</v>
      </c>
      <c r="BT331" s="14">
        <f>IF([1]Sheet2!CB330=999999,"NA",[1]Sheet2!CB330)</f>
        <v>0</v>
      </c>
      <c r="BU331" s="14">
        <f>IF([1]Sheet2!CC330=999999,"NA",[1]Sheet2!CC330)</f>
        <v>0</v>
      </c>
      <c r="BV331" s="14">
        <f>IF([1]Sheet2!CD330=999999,"NA",[1]Sheet2!CD330)</f>
        <v>0</v>
      </c>
      <c r="BW331" s="14">
        <f>IF([1]Sheet2!CE330=999999,"NA",[1]Sheet2!CE330)</f>
        <v>0</v>
      </c>
      <c r="BX331" s="14">
        <f>IF([1]Sheet2!CF330=999999,"NA",[1]Sheet2!CF330)</f>
        <v>0</v>
      </c>
      <c r="BY331" s="14">
        <f>IF([1]Sheet2!CG330=999999,"NA",[1]Sheet2!CG330)</f>
        <v>0</v>
      </c>
      <c r="BZ331" s="14">
        <f>IF([1]Sheet2!CH330=999999,"NA",[1]Sheet2!CH330)</f>
        <v>0</v>
      </c>
      <c r="CA331" s="14">
        <f>IF([1]Sheet2!CI330=999999,"NA",[1]Sheet2!CI330)</f>
        <v>0</v>
      </c>
      <c r="CB331" s="14">
        <f>IF([1]Sheet2!CJ330=999999,"NA",[1]Sheet2!CJ330)</f>
        <v>0</v>
      </c>
      <c r="CC331" s="14">
        <f>IF([1]Sheet2!CK330=999999,"NA",[1]Sheet2!CK330)</f>
        <v>0</v>
      </c>
      <c r="CD331" s="14">
        <f>[1]Sheet2!BH330</f>
        <v>0</v>
      </c>
      <c r="CE331" s="14">
        <f>[1]Sheet2!BI330</f>
        <v>0</v>
      </c>
      <c r="CF331" s="14">
        <f>[1]Sheet2!BJ330</f>
        <v>0</v>
      </c>
      <c r="CG331" s="14">
        <f>[1]Sheet2!BK330</f>
        <v>0</v>
      </c>
      <c r="CH331" s="14">
        <f>[1]Sheet2!BL330</f>
        <v>0</v>
      </c>
      <c r="CI331" s="14">
        <f>[1]Sheet2!BM330</f>
        <v>0</v>
      </c>
      <c r="CJ331" s="14">
        <f>[1]Sheet2!BN330</f>
        <v>0</v>
      </c>
      <c r="CK331" s="14">
        <f>[1]Sheet2!BO330</f>
        <v>0</v>
      </c>
      <c r="CL331" s="14">
        <f>[1]Sheet2!BP330</f>
        <v>0</v>
      </c>
      <c r="CM331" s="14">
        <f>[1]Sheet2!BQ330</f>
        <v>0</v>
      </c>
      <c r="CN331" s="16">
        <f>Demand_SW!B$13/30</f>
        <v>144.23076923076923</v>
      </c>
      <c r="CO331" s="16">
        <f>Demand_SW!C$13/30</f>
        <v>0</v>
      </c>
      <c r="CP331" s="16">
        <f>Demand_SW!D$13/30</f>
        <v>0</v>
      </c>
      <c r="CQ331" s="16">
        <f>Demand_SW!E$13/30</f>
        <v>0</v>
      </c>
      <c r="CR331" s="16">
        <f>Demand_SW!F$13/30</f>
        <v>0</v>
      </c>
      <c r="CS331" s="16">
        <f>Demand_SW!G$13/30</f>
        <v>144.23076923076923</v>
      </c>
      <c r="CT331" s="16">
        <f>Demand_SW!H$13/30</f>
        <v>0</v>
      </c>
      <c r="CU331" s="16">
        <f>Demand_SW!I$13/30</f>
        <v>0</v>
      </c>
      <c r="CV331" s="16">
        <f>Demand_SW!J$13/30</f>
        <v>0</v>
      </c>
      <c r="CW331" s="16">
        <f>Demand_SW!K$13/30</f>
        <v>0</v>
      </c>
      <c r="CX331" s="16">
        <f t="shared" si="176"/>
        <v>-21836.153846153888</v>
      </c>
      <c r="CY331" s="16">
        <f t="shared" si="177"/>
        <v>76.923076923077133</v>
      </c>
      <c r="CZ331" s="16">
        <f t="shared" si="178"/>
        <v>0</v>
      </c>
      <c r="DA331" s="16">
        <f t="shared" si="179"/>
        <v>0</v>
      </c>
      <c r="DB331" s="16">
        <f t="shared" si="180"/>
        <v>0</v>
      </c>
      <c r="DC331" s="16">
        <f t="shared" si="181"/>
        <v>-23067.384615384657</v>
      </c>
      <c r="DD331" s="16">
        <f t="shared" si="182"/>
        <v>76.923076923077133</v>
      </c>
      <c r="DE331" s="16">
        <f t="shared" si="183"/>
        <v>0</v>
      </c>
      <c r="DF331" s="16">
        <f t="shared" si="184"/>
        <v>0</v>
      </c>
      <c r="DG331" s="16">
        <f t="shared" si="185"/>
        <v>0</v>
      </c>
      <c r="DH331" s="14">
        <f>IF([1]Sheet2!DS330=999999,"NA",[1]Sheet2!DS330)</f>
        <v>0</v>
      </c>
      <c r="DI331" s="14">
        <f>IF([1]Sheet2!DT330=999999,"NA",[1]Sheet2!DT330)</f>
        <v>37</v>
      </c>
      <c r="DJ331" s="14" t="str">
        <f>IF([1]Sheet2!DU330=999999,"NA",[1]Sheet2!DU330)</f>
        <v>NA</v>
      </c>
      <c r="DK331" s="14" t="str">
        <f>IF([1]Sheet2!DV330=999999,"NA",[1]Sheet2!DV330)</f>
        <v>NA</v>
      </c>
      <c r="DL331" s="14" t="str">
        <f>IF([1]Sheet2!DW330=999999,"NA",[1]Sheet2!DW330)</f>
        <v>NA</v>
      </c>
      <c r="DM331" s="14">
        <f>IF([1]Sheet2!DX330=999999,"NA",[1]Sheet2!DX330)</f>
        <v>0</v>
      </c>
      <c r="DN331" s="14">
        <f>IF([1]Sheet2!DY330=999999,"NA",[1]Sheet2!DY330)</f>
        <v>37</v>
      </c>
      <c r="DO331" s="14" t="str">
        <f>IF([1]Sheet2!DZ330=999999,"NA",[1]Sheet2!DZ330)</f>
        <v>NA</v>
      </c>
      <c r="DP331" s="14" t="str">
        <f>IF([1]Sheet2!EA330=999999,"NA",[1]Sheet2!EA330)</f>
        <v>NA</v>
      </c>
      <c r="DQ331" s="14" t="str">
        <f>IF([1]Sheet2!EB330=999999,"NA",[1]Sheet2!EB330)</f>
        <v>NA</v>
      </c>
      <c r="DR331" s="14">
        <f>[1]Sheet2!CY330</f>
        <v>0</v>
      </c>
      <c r="DS331" s="14">
        <f>[1]Sheet2!CZ330</f>
        <v>0</v>
      </c>
      <c r="DT331" s="14">
        <f>[1]Sheet2!DA330</f>
        <v>0</v>
      </c>
      <c r="DU331" s="14">
        <f>[1]Sheet2!DB330</f>
        <v>0</v>
      </c>
      <c r="DV331" s="14">
        <f>[1]Sheet2!DC330</f>
        <v>0</v>
      </c>
      <c r="DW331" s="14">
        <f>[1]Sheet2!DD330</f>
        <v>0</v>
      </c>
      <c r="DX331" s="14">
        <f>[1]Sheet2!DE330</f>
        <v>0</v>
      </c>
      <c r="DY331" s="14">
        <f>[1]Sheet2!DF330</f>
        <v>0</v>
      </c>
      <c r="DZ331" s="14">
        <f>[1]Sheet2!DG330</f>
        <v>0</v>
      </c>
      <c r="EA331" s="14">
        <f>[1]Sheet2!DH330</f>
        <v>0</v>
      </c>
      <c r="EB331" s="6">
        <f>[1]Sheet2!EC330</f>
        <v>0</v>
      </c>
      <c r="EC331" s="6">
        <f>[1]Sheet2!ED330</f>
        <v>0</v>
      </c>
      <c r="ED331" s="6">
        <f>[1]Sheet2!EE330</f>
        <v>0</v>
      </c>
      <c r="EE331" s="6">
        <f>[1]Sheet2!EF330</f>
        <v>0</v>
      </c>
      <c r="EF331" s="6">
        <f>[1]Sheet2!EG330</f>
        <v>0</v>
      </c>
      <c r="EG331" s="6">
        <f>[1]Sheet2!EH330</f>
        <v>0</v>
      </c>
      <c r="EH331" s="6">
        <f>[1]Sheet2!EI330</f>
        <v>0</v>
      </c>
      <c r="EI331" s="6">
        <f>[1]Sheet2!EJ330</f>
        <v>0</v>
      </c>
      <c r="EJ331" s="6">
        <f>[1]Sheet2!EK330</f>
        <v>0</v>
      </c>
      <c r="EK331" s="6">
        <f>[1]Sheet2!EL330</f>
        <v>0</v>
      </c>
      <c r="EL331" s="6" t="str">
        <f>[1]Sheet2!EM330</f>
        <v/>
      </c>
      <c r="EM331" s="6" t="str">
        <f>[1]Sheet2!EN330</f>
        <v/>
      </c>
      <c r="EN331" s="6" t="str">
        <f>[1]Sheet2!EO330</f>
        <v/>
      </c>
      <c r="EO331" s="6" t="str">
        <f>[1]Sheet2!EP330</f>
        <v/>
      </c>
      <c r="EP331" s="6" t="str">
        <f>[1]Sheet2!EQ330</f>
        <v/>
      </c>
      <c r="EQ331" s="6" t="str">
        <f>[1]Sheet2!ER330</f>
        <v/>
      </c>
      <c r="ER331" s="6" t="str">
        <f>[1]Sheet2!ES330</f>
        <v/>
      </c>
      <c r="ES331" s="6" t="str">
        <f>[1]Sheet2!ET330</f>
        <v/>
      </c>
      <c r="ET331" s="6" t="str">
        <f>[1]Sheet2!EU330</f>
        <v/>
      </c>
      <c r="EU331" s="6" t="str">
        <f>[1]Sheet2!EV330</f>
        <v/>
      </c>
      <c r="EV331" s="6" t="str">
        <f>[1]Sheet2!EW330</f>
        <v/>
      </c>
      <c r="EW331" s="6" t="str">
        <f>[1]Sheet2!EX330</f>
        <v/>
      </c>
      <c r="EX331" s="6" t="str">
        <f>[1]Sheet2!EY330</f>
        <v/>
      </c>
      <c r="EY331" s="6" t="str">
        <f>[1]Sheet2!EZ330</f>
        <v/>
      </c>
      <c r="EZ331" s="6" t="str">
        <f>[1]Sheet2!FA330</f>
        <v/>
      </c>
      <c r="FA331" s="6" t="str">
        <f>[1]Sheet2!FB330</f>
        <v/>
      </c>
      <c r="FB331" s="6" t="str">
        <f>[1]Sheet2!FC330</f>
        <v/>
      </c>
      <c r="FC331" s="6" t="str">
        <f>[1]Sheet2!FD330</f>
        <v/>
      </c>
      <c r="FD331" s="6" t="str">
        <f>[1]Sheet2!FE330</f>
        <v/>
      </c>
      <c r="FE331" s="6" t="str">
        <f>[1]Sheet2!FF330</f>
        <v/>
      </c>
      <c r="FF331" s="6" t="str">
        <f>[1]Sheet2!FG330</f>
        <v/>
      </c>
      <c r="FG331" s="6" t="str">
        <f>[1]Sheet2!FH330</f>
        <v/>
      </c>
      <c r="FH331" s="6" t="str">
        <f>[1]Sheet2!FI330</f>
        <v/>
      </c>
      <c r="FI331" s="6" t="str">
        <f>[1]Sheet2!FJ330</f>
        <v/>
      </c>
      <c r="FJ331" s="6" t="str">
        <f>[1]Sheet2!FK330</f>
        <v/>
      </c>
      <c r="FK331" s="6" t="str">
        <f>[1]Sheet2!FL330</f>
        <v/>
      </c>
      <c r="FL331" s="6" t="str">
        <f>[1]Sheet2!FM330</f>
        <v/>
      </c>
      <c r="FM331" s="6" t="str">
        <f>[1]Sheet2!FN330</f>
        <v/>
      </c>
      <c r="FN331" s="6" t="str">
        <f>[1]Sheet2!FO330</f>
        <v/>
      </c>
      <c r="FO331" s="6" t="str">
        <f>[1]Sheet2!FP330</f>
        <v/>
      </c>
    </row>
    <row r="332" spans="1:171" x14ac:dyDescent="0.25">
      <c r="A332" s="15">
        <v>43794</v>
      </c>
      <c r="B332" s="1"/>
      <c r="C332" s="1"/>
      <c r="D332" s="1"/>
      <c r="E332" s="14">
        <f>[1]Sheet2!N331</f>
        <v>48000</v>
      </c>
      <c r="F332" s="14">
        <f>[1]Sheet2!BE331</f>
        <v>0</v>
      </c>
      <c r="G332" s="14">
        <f>[1]Sheet2!CW331</f>
        <v>0</v>
      </c>
      <c r="H332" s="1"/>
      <c r="I332" s="1"/>
      <c r="J332" s="1"/>
      <c r="K332" s="16"/>
      <c r="L332" s="16">
        <f>Demand_CWRS!B$13/30</f>
        <v>111.92954594017094</v>
      </c>
      <c r="M332" s="16">
        <f>Demand_CWRS!C$13/30</f>
        <v>550.01145299145287</v>
      </c>
      <c r="N332" s="16">
        <f>Demand_CWRS!D$13/30</f>
        <v>0</v>
      </c>
      <c r="O332" s="16">
        <f>Demand_CWRS!E$13/30</f>
        <v>105.42606837606837</v>
      </c>
      <c r="P332" s="16">
        <f>Demand_CWRS!F$13/30</f>
        <v>220.33041399572647</v>
      </c>
      <c r="Q332" s="16">
        <f>Demand_CWRS!G$13/30</f>
        <v>111.92954594017094</v>
      </c>
      <c r="R332" s="16">
        <f>Demand_CWRS!H$13/30</f>
        <v>220.33041399572647</v>
      </c>
      <c r="S332" s="16">
        <f>Demand_CWRS!I$13/30</f>
        <v>220.33041399572647</v>
      </c>
      <c r="T332" s="16">
        <f>Demand_CWRS!J$13/30</f>
        <v>220.33041399572647</v>
      </c>
      <c r="U332" s="16">
        <f>Demand_CWRS!K$13/30</f>
        <v>220.33041399572647</v>
      </c>
      <c r="V332" s="16">
        <f t="shared" si="156"/>
        <v>-37391.853230772504</v>
      </c>
      <c r="W332" s="16">
        <f t="shared" si="157"/>
        <v>-149859.0376068372</v>
      </c>
      <c r="X332" s="16">
        <f t="shared" si="158"/>
        <v>0</v>
      </c>
      <c r="Y332" s="16">
        <f t="shared" si="159"/>
        <v>-28776.082105377056</v>
      </c>
      <c r="Z332" s="16">
        <f t="shared" si="160"/>
        <v>-66039.575787251189</v>
      </c>
      <c r="AA332" s="16">
        <f t="shared" si="161"/>
        <v>-35919.920706734119</v>
      </c>
      <c r="AB332" s="16">
        <f t="shared" si="162"/>
        <v>-70348.740562892286</v>
      </c>
      <c r="AC332" s="16">
        <f t="shared" si="163"/>
        <v>-64555.730306481943</v>
      </c>
      <c r="AD332" s="16">
        <f t="shared" si="164"/>
        <v>-64655.730306481935</v>
      </c>
      <c r="AE332" s="16">
        <f t="shared" si="165"/>
        <v>-65255.730306481928</v>
      </c>
      <c r="AF332" s="14">
        <f>IF([1]Sheet2!AJ331=999999,"NA",[1]Sheet2!AJ331)</f>
        <v>0</v>
      </c>
      <c r="AG332" s="14">
        <f>IF([1]Sheet2!AK331=999999,"NA",[1]Sheet2!AK331)</f>
        <v>0</v>
      </c>
      <c r="AH332" s="14" t="str">
        <f>IF([1]Sheet2!AL331=999999,"NA",[1]Sheet2!AL331)</f>
        <v>NA</v>
      </c>
      <c r="AI332" s="14">
        <f>IF([1]Sheet2!AM331=999999,"NA",[1]Sheet2!AM331)</f>
        <v>0</v>
      </c>
      <c r="AJ332" s="14">
        <f>IF([1]Sheet2!AN331=999999,"NA",[1]Sheet2!AN331)</f>
        <v>0</v>
      </c>
      <c r="AK332" s="14">
        <f>IF([1]Sheet2!AO331=999999,"NA",[1]Sheet2!AO331)</f>
        <v>0</v>
      </c>
      <c r="AL332" s="14">
        <f>IF([1]Sheet2!AP331=999999,"NA",[1]Sheet2!AP331)</f>
        <v>0</v>
      </c>
      <c r="AM332" s="14">
        <f>IF([1]Sheet2!AQ331=999999,"NA",[1]Sheet2!AQ331)</f>
        <v>0</v>
      </c>
      <c r="AN332" s="14">
        <f>IF([1]Sheet2!AR331=999999,"NA",[1]Sheet2!AR331)</f>
        <v>0</v>
      </c>
      <c r="AO332" s="14">
        <f>IF([1]Sheet2!AS331=999999,"NA",[1]Sheet2!AS331)</f>
        <v>0</v>
      </c>
      <c r="AP332" s="14">
        <f>[1]Sheet2!P331</f>
        <v>0</v>
      </c>
      <c r="AQ332" s="14">
        <f>[1]Sheet2!Q331</f>
        <v>0</v>
      </c>
      <c r="AR332" s="14">
        <f>[1]Sheet2!R331</f>
        <v>0</v>
      </c>
      <c r="AS332" s="14">
        <f>[1]Sheet2!S331</f>
        <v>0</v>
      </c>
      <c r="AT332" s="14">
        <f>[1]Sheet2!T331</f>
        <v>0</v>
      </c>
      <c r="AU332" s="14">
        <f>[1]Sheet2!U331</f>
        <v>0</v>
      </c>
      <c r="AV332" s="14">
        <f>[1]Sheet2!V331</f>
        <v>0</v>
      </c>
      <c r="AW332" s="14">
        <f>[1]Sheet2!W331</f>
        <v>0</v>
      </c>
      <c r="AX332" s="14">
        <f>[1]Sheet2!X331</f>
        <v>0</v>
      </c>
      <c r="AY332" s="14">
        <f>[1]Sheet2!Y331</f>
        <v>0</v>
      </c>
      <c r="AZ332" s="16">
        <f>Demand_LP!B$13/30</f>
        <v>849.16414262820524</v>
      </c>
      <c r="BA332" s="16">
        <f>Demand_LP!C$13/30</f>
        <v>632.84239316239314</v>
      </c>
      <c r="BB332" s="16">
        <f>Demand_LP!D$13/30</f>
        <v>269.64247863247863</v>
      </c>
      <c r="BC332" s="16">
        <f>Demand_LP!E$13/30</f>
        <v>815.03102564102551</v>
      </c>
      <c r="BD332" s="16">
        <f>Demand_LP!F$13/30</f>
        <v>536.05500267094021</v>
      </c>
      <c r="BE332" s="16">
        <f>Demand_LP!G$13/30</f>
        <v>536.05500267094021</v>
      </c>
      <c r="BF332" s="16">
        <f>Demand_LP!H$13/30</f>
        <v>632.84239316239314</v>
      </c>
      <c r="BG332" s="16">
        <f>Demand_LP!I$13/30</f>
        <v>536.05500267094021</v>
      </c>
      <c r="BH332" s="16">
        <f>Demand_LP!J$13/30</f>
        <v>536.05500267094021</v>
      </c>
      <c r="BI332" s="16">
        <f>Demand_LP!K$13/30</f>
        <v>536.05500267094021</v>
      </c>
      <c r="BJ332" s="16">
        <f t="shared" si="166"/>
        <v>-246833.49910393285</v>
      </c>
      <c r="BK332" s="16">
        <f t="shared" si="167"/>
        <v>-185933.56495726478</v>
      </c>
      <c r="BL332" s="16">
        <f t="shared" si="168"/>
        <v>-88845.538888889234</v>
      </c>
      <c r="BM332" s="16">
        <f t="shared" si="169"/>
        <v>-238343.24741966781</v>
      </c>
      <c r="BN332" s="16">
        <f t="shared" si="170"/>
        <v>-146049.6674464799</v>
      </c>
      <c r="BO332" s="16">
        <f t="shared" si="171"/>
        <v>-144507.35136485068</v>
      </c>
      <c r="BP332" s="16">
        <f t="shared" si="172"/>
        <v>-180291.14444444413</v>
      </c>
      <c r="BQ332" s="16">
        <f t="shared" si="173"/>
        <v>-140336.35136485071</v>
      </c>
      <c r="BR332" s="16">
        <f t="shared" si="174"/>
        <v>-142107.35136485074</v>
      </c>
      <c r="BS332" s="16">
        <f t="shared" si="175"/>
        <v>-142807.35136485074</v>
      </c>
      <c r="BT332" s="14">
        <f>IF([1]Sheet2!CB331=999999,"NA",[1]Sheet2!CB331)</f>
        <v>0</v>
      </c>
      <c r="BU332" s="14">
        <f>IF([1]Sheet2!CC331=999999,"NA",[1]Sheet2!CC331)</f>
        <v>0</v>
      </c>
      <c r="BV332" s="14">
        <f>IF([1]Sheet2!CD331=999999,"NA",[1]Sheet2!CD331)</f>
        <v>0</v>
      </c>
      <c r="BW332" s="14">
        <f>IF([1]Sheet2!CE331=999999,"NA",[1]Sheet2!CE331)</f>
        <v>0</v>
      </c>
      <c r="BX332" s="14">
        <f>IF([1]Sheet2!CF331=999999,"NA",[1]Sheet2!CF331)</f>
        <v>0</v>
      </c>
      <c r="BY332" s="14">
        <f>IF([1]Sheet2!CG331=999999,"NA",[1]Sheet2!CG331)</f>
        <v>0</v>
      </c>
      <c r="BZ332" s="14">
        <f>IF([1]Sheet2!CH331=999999,"NA",[1]Sheet2!CH331)</f>
        <v>0</v>
      </c>
      <c r="CA332" s="14">
        <f>IF([1]Sheet2!CI331=999999,"NA",[1]Sheet2!CI331)</f>
        <v>0</v>
      </c>
      <c r="CB332" s="14">
        <f>IF([1]Sheet2!CJ331=999999,"NA",[1]Sheet2!CJ331)</f>
        <v>0</v>
      </c>
      <c r="CC332" s="14">
        <f>IF([1]Sheet2!CK331=999999,"NA",[1]Sheet2!CK331)</f>
        <v>0</v>
      </c>
      <c r="CD332" s="14">
        <f>[1]Sheet2!BH331</f>
        <v>0</v>
      </c>
      <c r="CE332" s="14">
        <f>[1]Sheet2!BI331</f>
        <v>0</v>
      </c>
      <c r="CF332" s="14">
        <f>[1]Sheet2!BJ331</f>
        <v>0</v>
      </c>
      <c r="CG332" s="14">
        <f>[1]Sheet2!BK331</f>
        <v>0</v>
      </c>
      <c r="CH332" s="14">
        <f>[1]Sheet2!BL331</f>
        <v>0</v>
      </c>
      <c r="CI332" s="14">
        <f>[1]Sheet2!BM331</f>
        <v>0</v>
      </c>
      <c r="CJ332" s="14">
        <f>[1]Sheet2!BN331</f>
        <v>0</v>
      </c>
      <c r="CK332" s="14">
        <f>[1]Sheet2!BO331</f>
        <v>0</v>
      </c>
      <c r="CL332" s="14">
        <f>[1]Sheet2!BP331</f>
        <v>0</v>
      </c>
      <c r="CM332" s="14">
        <f>[1]Sheet2!BQ331</f>
        <v>0</v>
      </c>
      <c r="CN332" s="16">
        <f>Demand_SW!B$13/30</f>
        <v>144.23076923076923</v>
      </c>
      <c r="CO332" s="16">
        <f>Demand_SW!C$13/30</f>
        <v>0</v>
      </c>
      <c r="CP332" s="16">
        <f>Demand_SW!D$13/30</f>
        <v>0</v>
      </c>
      <c r="CQ332" s="16">
        <f>Demand_SW!E$13/30</f>
        <v>0</v>
      </c>
      <c r="CR332" s="16">
        <f>Demand_SW!F$13/30</f>
        <v>0</v>
      </c>
      <c r="CS332" s="16">
        <f>Demand_SW!G$13/30</f>
        <v>144.23076923076923</v>
      </c>
      <c r="CT332" s="16">
        <f>Demand_SW!H$13/30</f>
        <v>0</v>
      </c>
      <c r="CU332" s="16">
        <f>Demand_SW!I$13/30</f>
        <v>0</v>
      </c>
      <c r="CV332" s="16">
        <f>Demand_SW!J$13/30</f>
        <v>0</v>
      </c>
      <c r="CW332" s="16">
        <f>Demand_SW!K$13/30</f>
        <v>0</v>
      </c>
      <c r="CX332" s="16">
        <f t="shared" si="176"/>
        <v>-21980.384615384657</v>
      </c>
      <c r="CY332" s="16">
        <f t="shared" si="177"/>
        <v>76.923076923077133</v>
      </c>
      <c r="CZ332" s="16">
        <f t="shared" si="178"/>
        <v>0</v>
      </c>
      <c r="DA332" s="16">
        <f t="shared" si="179"/>
        <v>0</v>
      </c>
      <c r="DB332" s="16">
        <f t="shared" si="180"/>
        <v>0</v>
      </c>
      <c r="DC332" s="16">
        <f t="shared" si="181"/>
        <v>-23211.615384615427</v>
      </c>
      <c r="DD332" s="16">
        <f t="shared" si="182"/>
        <v>76.923076923077133</v>
      </c>
      <c r="DE332" s="16">
        <f t="shared" si="183"/>
        <v>0</v>
      </c>
      <c r="DF332" s="16">
        <f t="shared" si="184"/>
        <v>0</v>
      </c>
      <c r="DG332" s="16">
        <f t="shared" si="185"/>
        <v>0</v>
      </c>
      <c r="DH332" s="14">
        <f>IF([1]Sheet2!DS331=999999,"NA",[1]Sheet2!DS331)</f>
        <v>0</v>
      </c>
      <c r="DI332" s="14">
        <f>IF([1]Sheet2!DT331=999999,"NA",[1]Sheet2!DT331)</f>
        <v>36</v>
      </c>
      <c r="DJ332" s="14" t="str">
        <f>IF([1]Sheet2!DU331=999999,"NA",[1]Sheet2!DU331)</f>
        <v>NA</v>
      </c>
      <c r="DK332" s="14" t="str">
        <f>IF([1]Sheet2!DV331=999999,"NA",[1]Sheet2!DV331)</f>
        <v>NA</v>
      </c>
      <c r="DL332" s="14" t="str">
        <f>IF([1]Sheet2!DW331=999999,"NA",[1]Sheet2!DW331)</f>
        <v>NA</v>
      </c>
      <c r="DM332" s="14">
        <f>IF([1]Sheet2!DX331=999999,"NA",[1]Sheet2!DX331)</f>
        <v>0</v>
      </c>
      <c r="DN332" s="14">
        <f>IF([1]Sheet2!DY331=999999,"NA",[1]Sheet2!DY331)</f>
        <v>36</v>
      </c>
      <c r="DO332" s="14" t="str">
        <f>IF([1]Sheet2!DZ331=999999,"NA",[1]Sheet2!DZ331)</f>
        <v>NA</v>
      </c>
      <c r="DP332" s="14" t="str">
        <f>IF([1]Sheet2!EA331=999999,"NA",[1]Sheet2!EA331)</f>
        <v>NA</v>
      </c>
      <c r="DQ332" s="14" t="str">
        <f>IF([1]Sheet2!EB331=999999,"NA",[1]Sheet2!EB331)</f>
        <v>NA</v>
      </c>
      <c r="DR332" s="14">
        <f>[1]Sheet2!CY331</f>
        <v>0</v>
      </c>
      <c r="DS332" s="14">
        <f>[1]Sheet2!CZ331</f>
        <v>0</v>
      </c>
      <c r="DT332" s="14">
        <f>[1]Sheet2!DA331</f>
        <v>0</v>
      </c>
      <c r="DU332" s="14">
        <f>[1]Sheet2!DB331</f>
        <v>0</v>
      </c>
      <c r="DV332" s="14">
        <f>[1]Sheet2!DC331</f>
        <v>0</v>
      </c>
      <c r="DW332" s="14">
        <f>[1]Sheet2!DD331</f>
        <v>0</v>
      </c>
      <c r="DX332" s="14">
        <f>[1]Sheet2!DE331</f>
        <v>0</v>
      </c>
      <c r="DY332" s="14">
        <f>[1]Sheet2!DF331</f>
        <v>0</v>
      </c>
      <c r="DZ332" s="14">
        <f>[1]Sheet2!DG331</f>
        <v>0</v>
      </c>
      <c r="EA332" s="14">
        <f>[1]Sheet2!DH331</f>
        <v>0</v>
      </c>
      <c r="EB332" s="6">
        <f>[1]Sheet2!EC331</f>
        <v>0</v>
      </c>
      <c r="EC332" s="6">
        <f>[1]Sheet2!ED331</f>
        <v>0</v>
      </c>
      <c r="ED332" s="6">
        <f>[1]Sheet2!EE331</f>
        <v>0</v>
      </c>
      <c r="EE332" s="6">
        <f>[1]Sheet2!EF331</f>
        <v>0</v>
      </c>
      <c r="EF332" s="6">
        <f>[1]Sheet2!EG331</f>
        <v>0</v>
      </c>
      <c r="EG332" s="6">
        <f>[1]Sheet2!EH331</f>
        <v>0</v>
      </c>
      <c r="EH332" s="6">
        <f>[1]Sheet2!EI331</f>
        <v>0</v>
      </c>
      <c r="EI332" s="6">
        <f>[1]Sheet2!EJ331</f>
        <v>0</v>
      </c>
      <c r="EJ332" s="6">
        <f>[1]Sheet2!EK331</f>
        <v>0</v>
      </c>
      <c r="EK332" s="6">
        <f>[1]Sheet2!EL331</f>
        <v>0</v>
      </c>
      <c r="EL332" s="6" t="str">
        <f>[1]Sheet2!EM331</f>
        <v/>
      </c>
      <c r="EM332" s="6" t="str">
        <f>[1]Sheet2!EN331</f>
        <v/>
      </c>
      <c r="EN332" s="6" t="str">
        <f>[1]Sheet2!EO331</f>
        <v/>
      </c>
      <c r="EO332" s="6" t="str">
        <f>[1]Sheet2!EP331</f>
        <v/>
      </c>
      <c r="EP332" s="6" t="str">
        <f>[1]Sheet2!EQ331</f>
        <v/>
      </c>
      <c r="EQ332" s="6" t="str">
        <f>[1]Sheet2!ER331</f>
        <v/>
      </c>
      <c r="ER332" s="6" t="str">
        <f>[1]Sheet2!ES331</f>
        <v/>
      </c>
      <c r="ES332" s="6" t="str">
        <f>[1]Sheet2!ET331</f>
        <v/>
      </c>
      <c r="ET332" s="6" t="str">
        <f>[1]Sheet2!EU331</f>
        <v/>
      </c>
      <c r="EU332" s="6" t="str">
        <f>[1]Sheet2!EV331</f>
        <v/>
      </c>
      <c r="EV332" s="6" t="str">
        <f>[1]Sheet2!EW331</f>
        <v/>
      </c>
      <c r="EW332" s="6" t="str">
        <f>[1]Sheet2!EX331</f>
        <v/>
      </c>
      <c r="EX332" s="6" t="str">
        <f>[1]Sheet2!EY331</f>
        <v/>
      </c>
      <c r="EY332" s="6" t="str">
        <f>[1]Sheet2!EZ331</f>
        <v/>
      </c>
      <c r="EZ332" s="6" t="str">
        <f>[1]Sheet2!FA331</f>
        <v/>
      </c>
      <c r="FA332" s="6" t="str">
        <f>[1]Sheet2!FB331</f>
        <v/>
      </c>
      <c r="FB332" s="6" t="str">
        <f>[1]Sheet2!FC331</f>
        <v/>
      </c>
      <c r="FC332" s="6" t="str">
        <f>[1]Sheet2!FD331</f>
        <v/>
      </c>
      <c r="FD332" s="6" t="str">
        <f>[1]Sheet2!FE331</f>
        <v/>
      </c>
      <c r="FE332" s="6" t="str">
        <f>[1]Sheet2!FF331</f>
        <v/>
      </c>
      <c r="FF332" s="6" t="str">
        <f>[1]Sheet2!FG331</f>
        <v/>
      </c>
      <c r="FG332" s="6" t="str">
        <f>[1]Sheet2!FH331</f>
        <v/>
      </c>
      <c r="FH332" s="6" t="str">
        <f>[1]Sheet2!FI331</f>
        <v/>
      </c>
      <c r="FI332" s="6" t="str">
        <f>[1]Sheet2!FJ331</f>
        <v/>
      </c>
      <c r="FJ332" s="6" t="str">
        <f>[1]Sheet2!FK331</f>
        <v/>
      </c>
      <c r="FK332" s="6" t="str">
        <f>[1]Sheet2!FL331</f>
        <v/>
      </c>
      <c r="FL332" s="6" t="str">
        <f>[1]Sheet2!FM331</f>
        <v/>
      </c>
      <c r="FM332" s="6" t="str">
        <f>[1]Sheet2!FN331</f>
        <v/>
      </c>
      <c r="FN332" s="6" t="str">
        <f>[1]Sheet2!FO331</f>
        <v/>
      </c>
      <c r="FO332" s="6" t="str">
        <f>[1]Sheet2!FP331</f>
        <v/>
      </c>
    </row>
    <row r="333" spans="1:171" x14ac:dyDescent="0.25">
      <c r="A333" s="15">
        <v>43795</v>
      </c>
      <c r="B333" s="1"/>
      <c r="C333" s="1"/>
      <c r="D333" s="1"/>
      <c r="E333" s="14">
        <f>[1]Sheet2!N332</f>
        <v>0</v>
      </c>
      <c r="F333" s="14">
        <f>[1]Sheet2!BE332</f>
        <v>0</v>
      </c>
      <c r="G333" s="14">
        <f>[1]Sheet2!CW332</f>
        <v>0</v>
      </c>
      <c r="H333" s="1"/>
      <c r="I333" s="1"/>
      <c r="J333" s="1"/>
      <c r="K333" s="16"/>
      <c r="L333" s="16">
        <f>Demand_CWRS!B$13/30</f>
        <v>111.92954594017094</v>
      </c>
      <c r="M333" s="16">
        <f>Demand_CWRS!C$13/30</f>
        <v>550.01145299145287</v>
      </c>
      <c r="N333" s="16">
        <f>Demand_CWRS!D$13/30</f>
        <v>0</v>
      </c>
      <c r="O333" s="16">
        <f>Demand_CWRS!E$13/30</f>
        <v>105.42606837606837</v>
      </c>
      <c r="P333" s="16">
        <f>Demand_CWRS!F$13/30</f>
        <v>220.33041399572647</v>
      </c>
      <c r="Q333" s="16">
        <f>Demand_CWRS!G$13/30</f>
        <v>111.92954594017094</v>
      </c>
      <c r="R333" s="16">
        <f>Demand_CWRS!H$13/30</f>
        <v>220.33041399572647</v>
      </c>
      <c r="S333" s="16">
        <f>Demand_CWRS!I$13/30</f>
        <v>220.33041399572647</v>
      </c>
      <c r="T333" s="16">
        <f>Demand_CWRS!J$13/30</f>
        <v>220.33041399572647</v>
      </c>
      <c r="U333" s="16">
        <f>Demand_CWRS!K$13/30</f>
        <v>220.33041399572647</v>
      </c>
      <c r="V333" s="16">
        <f t="shared" si="156"/>
        <v>-37503.782776712673</v>
      </c>
      <c r="W333" s="16">
        <f t="shared" si="157"/>
        <v>-150409.04905982866</v>
      </c>
      <c r="X333" s="16">
        <f t="shared" si="158"/>
        <v>0</v>
      </c>
      <c r="Y333" s="16">
        <f t="shared" si="159"/>
        <v>-28881.508173753125</v>
      </c>
      <c r="Z333" s="16">
        <f t="shared" si="160"/>
        <v>-66259.906201246922</v>
      </c>
      <c r="AA333" s="16">
        <f t="shared" si="161"/>
        <v>-36031.850252674289</v>
      </c>
      <c r="AB333" s="16">
        <f t="shared" si="162"/>
        <v>-70569.070976888019</v>
      </c>
      <c r="AC333" s="16">
        <f t="shared" si="163"/>
        <v>-64776.060720477668</v>
      </c>
      <c r="AD333" s="16">
        <f t="shared" si="164"/>
        <v>-64876.060720477661</v>
      </c>
      <c r="AE333" s="16">
        <f t="shared" si="165"/>
        <v>-65476.060720477653</v>
      </c>
      <c r="AF333" s="14">
        <f>IF([1]Sheet2!AJ332=999999,"NA",[1]Sheet2!AJ332)</f>
        <v>0</v>
      </c>
      <c r="AG333" s="14">
        <f>IF([1]Sheet2!AK332=999999,"NA",[1]Sheet2!AK332)</f>
        <v>0</v>
      </c>
      <c r="AH333" s="14" t="str">
        <f>IF([1]Sheet2!AL332=999999,"NA",[1]Sheet2!AL332)</f>
        <v>NA</v>
      </c>
      <c r="AI333" s="14">
        <f>IF([1]Sheet2!AM332=999999,"NA",[1]Sheet2!AM332)</f>
        <v>0</v>
      </c>
      <c r="AJ333" s="14">
        <f>IF([1]Sheet2!AN332=999999,"NA",[1]Sheet2!AN332)</f>
        <v>0</v>
      </c>
      <c r="AK333" s="14">
        <f>IF([1]Sheet2!AO332=999999,"NA",[1]Sheet2!AO332)</f>
        <v>0</v>
      </c>
      <c r="AL333" s="14">
        <f>IF([1]Sheet2!AP332=999999,"NA",[1]Sheet2!AP332)</f>
        <v>0</v>
      </c>
      <c r="AM333" s="14">
        <f>IF([1]Sheet2!AQ332=999999,"NA",[1]Sheet2!AQ332)</f>
        <v>0</v>
      </c>
      <c r="AN333" s="14">
        <f>IF([1]Sheet2!AR332=999999,"NA",[1]Sheet2!AR332)</f>
        <v>0</v>
      </c>
      <c r="AO333" s="14">
        <f>IF([1]Sheet2!AS332=999999,"NA",[1]Sheet2!AS332)</f>
        <v>0</v>
      </c>
      <c r="AP333" s="14">
        <f>[1]Sheet2!P332</f>
        <v>0</v>
      </c>
      <c r="AQ333" s="14">
        <f>[1]Sheet2!Q332</f>
        <v>0</v>
      </c>
      <c r="AR333" s="14">
        <f>[1]Sheet2!R332</f>
        <v>0</v>
      </c>
      <c r="AS333" s="14">
        <f>[1]Sheet2!S332</f>
        <v>0</v>
      </c>
      <c r="AT333" s="14">
        <f>[1]Sheet2!T332</f>
        <v>0</v>
      </c>
      <c r="AU333" s="14">
        <f>[1]Sheet2!U332</f>
        <v>0</v>
      </c>
      <c r="AV333" s="14">
        <f>[1]Sheet2!V332</f>
        <v>0</v>
      </c>
      <c r="AW333" s="14">
        <f>[1]Sheet2!W332</f>
        <v>0</v>
      </c>
      <c r="AX333" s="14">
        <f>[1]Sheet2!X332</f>
        <v>0</v>
      </c>
      <c r="AY333" s="14">
        <f>[1]Sheet2!Y332</f>
        <v>0</v>
      </c>
      <c r="AZ333" s="16">
        <f>Demand_LP!B$13/30</f>
        <v>849.16414262820524</v>
      </c>
      <c r="BA333" s="16">
        <f>Demand_LP!C$13/30</f>
        <v>632.84239316239314</v>
      </c>
      <c r="BB333" s="16">
        <f>Demand_LP!D$13/30</f>
        <v>269.64247863247863</v>
      </c>
      <c r="BC333" s="16">
        <f>Demand_LP!E$13/30</f>
        <v>815.03102564102551</v>
      </c>
      <c r="BD333" s="16">
        <f>Demand_LP!F$13/30</f>
        <v>536.05500267094021</v>
      </c>
      <c r="BE333" s="16">
        <f>Demand_LP!G$13/30</f>
        <v>536.05500267094021</v>
      </c>
      <c r="BF333" s="16">
        <f>Demand_LP!H$13/30</f>
        <v>632.84239316239314</v>
      </c>
      <c r="BG333" s="16">
        <f>Demand_LP!I$13/30</f>
        <v>536.05500267094021</v>
      </c>
      <c r="BH333" s="16">
        <f>Demand_LP!J$13/30</f>
        <v>536.05500267094021</v>
      </c>
      <c r="BI333" s="16">
        <f>Demand_LP!K$13/30</f>
        <v>536.05500267094021</v>
      </c>
      <c r="BJ333" s="16">
        <f t="shared" si="166"/>
        <v>-247682.66324656105</v>
      </c>
      <c r="BK333" s="16">
        <f t="shared" si="167"/>
        <v>-186566.40735042718</v>
      </c>
      <c r="BL333" s="16">
        <f t="shared" si="168"/>
        <v>-89115.181367521713</v>
      </c>
      <c r="BM333" s="16">
        <f t="shared" si="169"/>
        <v>-239158.27844530882</v>
      </c>
      <c r="BN333" s="16">
        <f t="shared" si="170"/>
        <v>-146585.72244915084</v>
      </c>
      <c r="BO333" s="16">
        <f t="shared" si="171"/>
        <v>-145043.40636752162</v>
      </c>
      <c r="BP333" s="16">
        <f t="shared" si="172"/>
        <v>-180923.98683760653</v>
      </c>
      <c r="BQ333" s="16">
        <f t="shared" si="173"/>
        <v>-140872.40636752165</v>
      </c>
      <c r="BR333" s="16">
        <f t="shared" si="174"/>
        <v>-142643.40636752167</v>
      </c>
      <c r="BS333" s="16">
        <f t="shared" si="175"/>
        <v>-143343.40636752167</v>
      </c>
      <c r="BT333" s="14">
        <f>IF([1]Sheet2!CB332=999999,"NA",[1]Sheet2!CB332)</f>
        <v>0</v>
      </c>
      <c r="BU333" s="14">
        <f>IF([1]Sheet2!CC332=999999,"NA",[1]Sheet2!CC332)</f>
        <v>0</v>
      </c>
      <c r="BV333" s="14">
        <f>IF([1]Sheet2!CD332=999999,"NA",[1]Sheet2!CD332)</f>
        <v>0</v>
      </c>
      <c r="BW333" s="14">
        <f>IF([1]Sheet2!CE332=999999,"NA",[1]Sheet2!CE332)</f>
        <v>0</v>
      </c>
      <c r="BX333" s="14">
        <f>IF([1]Sheet2!CF332=999999,"NA",[1]Sheet2!CF332)</f>
        <v>0</v>
      </c>
      <c r="BY333" s="14">
        <f>IF([1]Sheet2!CG332=999999,"NA",[1]Sheet2!CG332)</f>
        <v>0</v>
      </c>
      <c r="BZ333" s="14">
        <f>IF([1]Sheet2!CH332=999999,"NA",[1]Sheet2!CH332)</f>
        <v>0</v>
      </c>
      <c r="CA333" s="14">
        <f>IF([1]Sheet2!CI332=999999,"NA",[1]Sheet2!CI332)</f>
        <v>0</v>
      </c>
      <c r="CB333" s="14">
        <f>IF([1]Sheet2!CJ332=999999,"NA",[1]Sheet2!CJ332)</f>
        <v>0</v>
      </c>
      <c r="CC333" s="14">
        <f>IF([1]Sheet2!CK332=999999,"NA",[1]Sheet2!CK332)</f>
        <v>0</v>
      </c>
      <c r="CD333" s="14">
        <f>[1]Sheet2!BH332</f>
        <v>0</v>
      </c>
      <c r="CE333" s="14">
        <f>[1]Sheet2!BI332</f>
        <v>0</v>
      </c>
      <c r="CF333" s="14">
        <f>[1]Sheet2!BJ332</f>
        <v>0</v>
      </c>
      <c r="CG333" s="14">
        <f>[1]Sheet2!BK332</f>
        <v>0</v>
      </c>
      <c r="CH333" s="14">
        <f>[1]Sheet2!BL332</f>
        <v>0</v>
      </c>
      <c r="CI333" s="14">
        <f>[1]Sheet2!BM332</f>
        <v>0</v>
      </c>
      <c r="CJ333" s="14">
        <f>[1]Sheet2!BN332</f>
        <v>0</v>
      </c>
      <c r="CK333" s="14">
        <f>[1]Sheet2!BO332</f>
        <v>0</v>
      </c>
      <c r="CL333" s="14">
        <f>[1]Sheet2!BP332</f>
        <v>0</v>
      </c>
      <c r="CM333" s="14">
        <f>[1]Sheet2!BQ332</f>
        <v>0</v>
      </c>
      <c r="CN333" s="16">
        <f>Demand_SW!B$13/30</f>
        <v>144.23076923076923</v>
      </c>
      <c r="CO333" s="16">
        <f>Demand_SW!C$13/30</f>
        <v>0</v>
      </c>
      <c r="CP333" s="16">
        <f>Demand_SW!D$13/30</f>
        <v>0</v>
      </c>
      <c r="CQ333" s="16">
        <f>Demand_SW!E$13/30</f>
        <v>0</v>
      </c>
      <c r="CR333" s="16">
        <f>Demand_SW!F$13/30</f>
        <v>0</v>
      </c>
      <c r="CS333" s="16">
        <f>Demand_SW!G$13/30</f>
        <v>144.23076923076923</v>
      </c>
      <c r="CT333" s="16">
        <f>Demand_SW!H$13/30</f>
        <v>0</v>
      </c>
      <c r="CU333" s="16">
        <f>Demand_SW!I$13/30</f>
        <v>0</v>
      </c>
      <c r="CV333" s="16">
        <f>Demand_SW!J$13/30</f>
        <v>0</v>
      </c>
      <c r="CW333" s="16">
        <f>Demand_SW!K$13/30</f>
        <v>0</v>
      </c>
      <c r="CX333" s="16">
        <f t="shared" si="176"/>
        <v>-22124.615384615427</v>
      </c>
      <c r="CY333" s="16">
        <f t="shared" si="177"/>
        <v>76.923076923077133</v>
      </c>
      <c r="CZ333" s="16">
        <f t="shared" si="178"/>
        <v>0</v>
      </c>
      <c r="DA333" s="16">
        <f t="shared" si="179"/>
        <v>0</v>
      </c>
      <c r="DB333" s="16">
        <f t="shared" si="180"/>
        <v>0</v>
      </c>
      <c r="DC333" s="16">
        <f t="shared" si="181"/>
        <v>-23355.846153846196</v>
      </c>
      <c r="DD333" s="16">
        <f t="shared" si="182"/>
        <v>76.923076923077133</v>
      </c>
      <c r="DE333" s="16">
        <f t="shared" si="183"/>
        <v>0</v>
      </c>
      <c r="DF333" s="16">
        <f t="shared" si="184"/>
        <v>0</v>
      </c>
      <c r="DG333" s="16">
        <f t="shared" si="185"/>
        <v>0</v>
      </c>
      <c r="DH333" s="14">
        <f>IF([1]Sheet2!DS332=999999,"NA",[1]Sheet2!DS332)</f>
        <v>0</v>
      </c>
      <c r="DI333" s="14">
        <f>IF([1]Sheet2!DT332=999999,"NA",[1]Sheet2!DT332)</f>
        <v>35</v>
      </c>
      <c r="DJ333" s="14" t="str">
        <f>IF([1]Sheet2!DU332=999999,"NA",[1]Sheet2!DU332)</f>
        <v>NA</v>
      </c>
      <c r="DK333" s="14" t="str">
        <f>IF([1]Sheet2!DV332=999999,"NA",[1]Sheet2!DV332)</f>
        <v>NA</v>
      </c>
      <c r="DL333" s="14" t="str">
        <f>IF([1]Sheet2!DW332=999999,"NA",[1]Sheet2!DW332)</f>
        <v>NA</v>
      </c>
      <c r="DM333" s="14">
        <f>IF([1]Sheet2!DX332=999999,"NA",[1]Sheet2!DX332)</f>
        <v>0</v>
      </c>
      <c r="DN333" s="14">
        <f>IF([1]Sheet2!DY332=999999,"NA",[1]Sheet2!DY332)</f>
        <v>35</v>
      </c>
      <c r="DO333" s="14" t="str">
        <f>IF([1]Sheet2!DZ332=999999,"NA",[1]Sheet2!DZ332)</f>
        <v>NA</v>
      </c>
      <c r="DP333" s="14" t="str">
        <f>IF([1]Sheet2!EA332=999999,"NA",[1]Sheet2!EA332)</f>
        <v>NA</v>
      </c>
      <c r="DQ333" s="14" t="str">
        <f>IF([1]Sheet2!EB332=999999,"NA",[1]Sheet2!EB332)</f>
        <v>NA</v>
      </c>
      <c r="DR333" s="14">
        <f>[1]Sheet2!CY332</f>
        <v>0</v>
      </c>
      <c r="DS333" s="14">
        <f>[1]Sheet2!CZ332</f>
        <v>0</v>
      </c>
      <c r="DT333" s="14">
        <f>[1]Sheet2!DA332</f>
        <v>0</v>
      </c>
      <c r="DU333" s="14">
        <f>[1]Sheet2!DB332</f>
        <v>0</v>
      </c>
      <c r="DV333" s="14">
        <f>[1]Sheet2!DC332</f>
        <v>0</v>
      </c>
      <c r="DW333" s="14">
        <f>[1]Sheet2!DD332</f>
        <v>0</v>
      </c>
      <c r="DX333" s="14">
        <f>[1]Sheet2!DE332</f>
        <v>0</v>
      </c>
      <c r="DY333" s="14">
        <f>[1]Sheet2!DF332</f>
        <v>0</v>
      </c>
      <c r="DZ333" s="14">
        <f>[1]Sheet2!DG332</f>
        <v>0</v>
      </c>
      <c r="EA333" s="14">
        <f>[1]Sheet2!DH332</f>
        <v>0</v>
      </c>
      <c r="EB333" s="6">
        <f>[1]Sheet2!EC332</f>
        <v>0</v>
      </c>
      <c r="EC333" s="6">
        <f>[1]Sheet2!ED332</f>
        <v>0</v>
      </c>
      <c r="ED333" s="6">
        <f>[1]Sheet2!EE332</f>
        <v>0</v>
      </c>
      <c r="EE333" s="6">
        <f>[1]Sheet2!EF332</f>
        <v>0</v>
      </c>
      <c r="EF333" s="6">
        <f>[1]Sheet2!EG332</f>
        <v>0</v>
      </c>
      <c r="EG333" s="6">
        <f>[1]Sheet2!EH332</f>
        <v>0</v>
      </c>
      <c r="EH333" s="6">
        <f>[1]Sheet2!EI332</f>
        <v>0</v>
      </c>
      <c r="EI333" s="6">
        <f>[1]Sheet2!EJ332</f>
        <v>0</v>
      </c>
      <c r="EJ333" s="6">
        <f>[1]Sheet2!EK332</f>
        <v>0</v>
      </c>
      <c r="EK333" s="6">
        <f>[1]Sheet2!EL332</f>
        <v>0</v>
      </c>
      <c r="EL333" s="6" t="str">
        <f>[1]Sheet2!EM332</f>
        <v/>
      </c>
      <c r="EM333" s="6" t="str">
        <f>[1]Sheet2!EN332</f>
        <v/>
      </c>
      <c r="EN333" s="6" t="str">
        <f>[1]Sheet2!EO332</f>
        <v/>
      </c>
      <c r="EO333" s="6" t="str">
        <f>[1]Sheet2!EP332</f>
        <v/>
      </c>
      <c r="EP333" s="6" t="str">
        <f>[1]Sheet2!EQ332</f>
        <v/>
      </c>
      <c r="EQ333" s="6" t="str">
        <f>[1]Sheet2!ER332</f>
        <v/>
      </c>
      <c r="ER333" s="6" t="str">
        <f>[1]Sheet2!ES332</f>
        <v/>
      </c>
      <c r="ES333" s="6" t="str">
        <f>[1]Sheet2!ET332</f>
        <v/>
      </c>
      <c r="ET333" s="6" t="str">
        <f>[1]Sheet2!EU332</f>
        <v/>
      </c>
      <c r="EU333" s="6" t="str">
        <f>[1]Sheet2!EV332</f>
        <v/>
      </c>
      <c r="EV333" s="6" t="str">
        <f>[1]Sheet2!EW332</f>
        <v/>
      </c>
      <c r="EW333" s="6" t="str">
        <f>[1]Sheet2!EX332</f>
        <v/>
      </c>
      <c r="EX333" s="6" t="str">
        <f>[1]Sheet2!EY332</f>
        <v/>
      </c>
      <c r="EY333" s="6" t="str">
        <f>[1]Sheet2!EZ332</f>
        <v/>
      </c>
      <c r="EZ333" s="6" t="str">
        <f>[1]Sheet2!FA332</f>
        <v/>
      </c>
      <c r="FA333" s="6" t="str">
        <f>[1]Sheet2!FB332</f>
        <v/>
      </c>
      <c r="FB333" s="6" t="str">
        <f>[1]Sheet2!FC332</f>
        <v/>
      </c>
      <c r="FC333" s="6" t="str">
        <f>[1]Sheet2!FD332</f>
        <v/>
      </c>
      <c r="FD333" s="6" t="str">
        <f>[1]Sheet2!FE332</f>
        <v/>
      </c>
      <c r="FE333" s="6" t="str">
        <f>[1]Sheet2!FF332</f>
        <v/>
      </c>
      <c r="FF333" s="6" t="str">
        <f>[1]Sheet2!FG332</f>
        <v/>
      </c>
      <c r="FG333" s="6" t="str">
        <f>[1]Sheet2!FH332</f>
        <v/>
      </c>
      <c r="FH333" s="6" t="str">
        <f>[1]Sheet2!FI332</f>
        <v/>
      </c>
      <c r="FI333" s="6" t="str">
        <f>[1]Sheet2!FJ332</f>
        <v/>
      </c>
      <c r="FJ333" s="6" t="str">
        <f>[1]Sheet2!FK332</f>
        <v/>
      </c>
      <c r="FK333" s="6" t="str">
        <f>[1]Sheet2!FL332</f>
        <v/>
      </c>
      <c r="FL333" s="6" t="str">
        <f>[1]Sheet2!FM332</f>
        <v/>
      </c>
      <c r="FM333" s="6" t="str">
        <f>[1]Sheet2!FN332</f>
        <v/>
      </c>
      <c r="FN333" s="6" t="str">
        <f>[1]Sheet2!FO332</f>
        <v/>
      </c>
      <c r="FO333" s="6" t="str">
        <f>[1]Sheet2!FP332</f>
        <v/>
      </c>
    </row>
    <row r="334" spans="1:171" x14ac:dyDescent="0.25">
      <c r="A334" s="15">
        <v>43796</v>
      </c>
      <c r="B334" s="1"/>
      <c r="C334" s="1"/>
      <c r="D334" s="1"/>
      <c r="E334" s="14">
        <f>[1]Sheet2!N333</f>
        <v>0</v>
      </c>
      <c r="F334" s="14">
        <f>[1]Sheet2!BE333</f>
        <v>0</v>
      </c>
      <c r="G334" s="14">
        <f>[1]Sheet2!CW333</f>
        <v>0</v>
      </c>
      <c r="H334" s="1"/>
      <c r="I334" s="1"/>
      <c r="J334" s="1"/>
      <c r="K334" s="16"/>
      <c r="L334" s="16">
        <f>Demand_CWRS!B$13/30</f>
        <v>111.92954594017094</v>
      </c>
      <c r="M334" s="16">
        <f>Demand_CWRS!C$13/30</f>
        <v>550.01145299145287</v>
      </c>
      <c r="N334" s="16">
        <f>Demand_CWRS!D$13/30</f>
        <v>0</v>
      </c>
      <c r="O334" s="16">
        <f>Demand_CWRS!E$13/30</f>
        <v>105.42606837606837</v>
      </c>
      <c r="P334" s="16">
        <f>Demand_CWRS!F$13/30</f>
        <v>220.33041399572647</v>
      </c>
      <c r="Q334" s="16">
        <f>Demand_CWRS!G$13/30</f>
        <v>111.92954594017094</v>
      </c>
      <c r="R334" s="16">
        <f>Demand_CWRS!H$13/30</f>
        <v>220.33041399572647</v>
      </c>
      <c r="S334" s="16">
        <f>Demand_CWRS!I$13/30</f>
        <v>220.33041399572647</v>
      </c>
      <c r="T334" s="16">
        <f>Demand_CWRS!J$13/30</f>
        <v>220.33041399572647</v>
      </c>
      <c r="U334" s="16">
        <f>Demand_CWRS!K$13/30</f>
        <v>220.33041399572647</v>
      </c>
      <c r="V334" s="16">
        <f t="shared" si="156"/>
        <v>-37615.712322652842</v>
      </c>
      <c r="W334" s="16">
        <f t="shared" si="157"/>
        <v>-150959.06051282011</v>
      </c>
      <c r="X334" s="16">
        <f t="shared" si="158"/>
        <v>0</v>
      </c>
      <c r="Y334" s="16">
        <f t="shared" si="159"/>
        <v>-28986.934242129195</v>
      </c>
      <c r="Z334" s="16">
        <f t="shared" si="160"/>
        <v>-66480.236615242655</v>
      </c>
      <c r="AA334" s="16">
        <f t="shared" si="161"/>
        <v>-36143.779798614458</v>
      </c>
      <c r="AB334" s="16">
        <f t="shared" si="162"/>
        <v>-70789.401390883751</v>
      </c>
      <c r="AC334" s="16">
        <f t="shared" si="163"/>
        <v>-64996.391134473393</v>
      </c>
      <c r="AD334" s="16">
        <f t="shared" si="164"/>
        <v>-65096.391134473386</v>
      </c>
      <c r="AE334" s="16">
        <f t="shared" si="165"/>
        <v>-65696.391134473379</v>
      </c>
      <c r="AF334" s="14">
        <f>IF([1]Sheet2!AJ333=999999,"NA",[1]Sheet2!AJ333)</f>
        <v>0</v>
      </c>
      <c r="AG334" s="14">
        <f>IF([1]Sheet2!AK333=999999,"NA",[1]Sheet2!AK333)</f>
        <v>0</v>
      </c>
      <c r="AH334" s="14" t="str">
        <f>IF([1]Sheet2!AL333=999999,"NA",[1]Sheet2!AL333)</f>
        <v>NA</v>
      </c>
      <c r="AI334" s="14">
        <f>IF([1]Sheet2!AM333=999999,"NA",[1]Sheet2!AM333)</f>
        <v>0</v>
      </c>
      <c r="AJ334" s="14">
        <f>IF([1]Sheet2!AN333=999999,"NA",[1]Sheet2!AN333)</f>
        <v>0</v>
      </c>
      <c r="AK334" s="14">
        <f>IF([1]Sheet2!AO333=999999,"NA",[1]Sheet2!AO333)</f>
        <v>0</v>
      </c>
      <c r="AL334" s="14">
        <f>IF([1]Sheet2!AP333=999999,"NA",[1]Sheet2!AP333)</f>
        <v>0</v>
      </c>
      <c r="AM334" s="14">
        <f>IF([1]Sheet2!AQ333=999999,"NA",[1]Sheet2!AQ333)</f>
        <v>0</v>
      </c>
      <c r="AN334" s="14">
        <f>IF([1]Sheet2!AR333=999999,"NA",[1]Sheet2!AR333)</f>
        <v>0</v>
      </c>
      <c r="AO334" s="14">
        <f>IF([1]Sheet2!AS333=999999,"NA",[1]Sheet2!AS333)</f>
        <v>0</v>
      </c>
      <c r="AP334" s="14">
        <f>[1]Sheet2!P333</f>
        <v>0</v>
      </c>
      <c r="AQ334" s="14">
        <f>[1]Sheet2!Q333</f>
        <v>0</v>
      </c>
      <c r="AR334" s="14">
        <f>[1]Sheet2!R333</f>
        <v>0</v>
      </c>
      <c r="AS334" s="14">
        <f>[1]Sheet2!S333</f>
        <v>0</v>
      </c>
      <c r="AT334" s="14">
        <f>[1]Sheet2!T333</f>
        <v>0</v>
      </c>
      <c r="AU334" s="14">
        <f>[1]Sheet2!U333</f>
        <v>0</v>
      </c>
      <c r="AV334" s="14">
        <f>[1]Sheet2!V333</f>
        <v>0</v>
      </c>
      <c r="AW334" s="14">
        <f>[1]Sheet2!W333</f>
        <v>0</v>
      </c>
      <c r="AX334" s="14">
        <f>[1]Sheet2!X333</f>
        <v>0</v>
      </c>
      <c r="AY334" s="14">
        <f>[1]Sheet2!Y333</f>
        <v>0</v>
      </c>
      <c r="AZ334" s="16">
        <f>Demand_LP!B$13/30</f>
        <v>849.16414262820524</v>
      </c>
      <c r="BA334" s="16">
        <f>Demand_LP!C$13/30</f>
        <v>632.84239316239314</v>
      </c>
      <c r="BB334" s="16">
        <f>Demand_LP!D$13/30</f>
        <v>269.64247863247863</v>
      </c>
      <c r="BC334" s="16">
        <f>Demand_LP!E$13/30</f>
        <v>815.03102564102551</v>
      </c>
      <c r="BD334" s="16">
        <f>Demand_LP!F$13/30</f>
        <v>536.05500267094021</v>
      </c>
      <c r="BE334" s="16">
        <f>Demand_LP!G$13/30</f>
        <v>536.05500267094021</v>
      </c>
      <c r="BF334" s="16">
        <f>Demand_LP!H$13/30</f>
        <v>632.84239316239314</v>
      </c>
      <c r="BG334" s="16">
        <f>Demand_LP!I$13/30</f>
        <v>536.05500267094021</v>
      </c>
      <c r="BH334" s="16">
        <f>Demand_LP!J$13/30</f>
        <v>536.05500267094021</v>
      </c>
      <c r="BI334" s="16">
        <f>Demand_LP!K$13/30</f>
        <v>536.05500267094021</v>
      </c>
      <c r="BJ334" s="16">
        <f t="shared" si="166"/>
        <v>-248531.82738918925</v>
      </c>
      <c r="BK334" s="16">
        <f t="shared" si="167"/>
        <v>-187199.24974358958</v>
      </c>
      <c r="BL334" s="16">
        <f t="shared" si="168"/>
        <v>-89384.823846154191</v>
      </c>
      <c r="BM334" s="16">
        <f t="shared" si="169"/>
        <v>-239973.30947094984</v>
      </c>
      <c r="BN334" s="16">
        <f t="shared" si="170"/>
        <v>-147121.77745182178</v>
      </c>
      <c r="BO334" s="16">
        <f t="shared" si="171"/>
        <v>-145579.46137019256</v>
      </c>
      <c r="BP334" s="16">
        <f t="shared" si="172"/>
        <v>-181556.82923076893</v>
      </c>
      <c r="BQ334" s="16">
        <f t="shared" si="173"/>
        <v>-141408.46137019258</v>
      </c>
      <c r="BR334" s="16">
        <f t="shared" si="174"/>
        <v>-143179.46137019261</v>
      </c>
      <c r="BS334" s="16">
        <f t="shared" si="175"/>
        <v>-143879.46137019261</v>
      </c>
      <c r="BT334" s="14">
        <f>IF([1]Sheet2!CB333=999999,"NA",[1]Sheet2!CB333)</f>
        <v>0</v>
      </c>
      <c r="BU334" s="14">
        <f>IF([1]Sheet2!CC333=999999,"NA",[1]Sheet2!CC333)</f>
        <v>0</v>
      </c>
      <c r="BV334" s="14">
        <f>IF([1]Sheet2!CD333=999999,"NA",[1]Sheet2!CD333)</f>
        <v>0</v>
      </c>
      <c r="BW334" s="14">
        <f>IF([1]Sheet2!CE333=999999,"NA",[1]Sheet2!CE333)</f>
        <v>0</v>
      </c>
      <c r="BX334" s="14">
        <f>IF([1]Sheet2!CF333=999999,"NA",[1]Sheet2!CF333)</f>
        <v>0</v>
      </c>
      <c r="BY334" s="14">
        <f>IF([1]Sheet2!CG333=999999,"NA",[1]Sheet2!CG333)</f>
        <v>0</v>
      </c>
      <c r="BZ334" s="14">
        <f>IF([1]Sheet2!CH333=999999,"NA",[1]Sheet2!CH333)</f>
        <v>0</v>
      </c>
      <c r="CA334" s="14">
        <f>IF([1]Sheet2!CI333=999999,"NA",[1]Sheet2!CI333)</f>
        <v>0</v>
      </c>
      <c r="CB334" s="14">
        <f>IF([1]Sheet2!CJ333=999999,"NA",[1]Sheet2!CJ333)</f>
        <v>0</v>
      </c>
      <c r="CC334" s="14">
        <f>IF([1]Sheet2!CK333=999999,"NA",[1]Sheet2!CK333)</f>
        <v>0</v>
      </c>
      <c r="CD334" s="14">
        <f>[1]Sheet2!BH333</f>
        <v>0</v>
      </c>
      <c r="CE334" s="14">
        <f>[1]Sheet2!BI333</f>
        <v>0</v>
      </c>
      <c r="CF334" s="14">
        <f>[1]Sheet2!BJ333</f>
        <v>0</v>
      </c>
      <c r="CG334" s="14">
        <f>[1]Sheet2!BK333</f>
        <v>0</v>
      </c>
      <c r="CH334" s="14">
        <f>[1]Sheet2!BL333</f>
        <v>0</v>
      </c>
      <c r="CI334" s="14">
        <f>[1]Sheet2!BM333</f>
        <v>0</v>
      </c>
      <c r="CJ334" s="14">
        <f>[1]Sheet2!BN333</f>
        <v>0</v>
      </c>
      <c r="CK334" s="14">
        <f>[1]Sheet2!BO333</f>
        <v>0</v>
      </c>
      <c r="CL334" s="14">
        <f>[1]Sheet2!BP333</f>
        <v>0</v>
      </c>
      <c r="CM334" s="14">
        <f>[1]Sheet2!BQ333</f>
        <v>0</v>
      </c>
      <c r="CN334" s="16">
        <f>Demand_SW!B$13/30</f>
        <v>144.23076923076923</v>
      </c>
      <c r="CO334" s="16">
        <f>Demand_SW!C$13/30</f>
        <v>0</v>
      </c>
      <c r="CP334" s="16">
        <f>Demand_SW!D$13/30</f>
        <v>0</v>
      </c>
      <c r="CQ334" s="16">
        <f>Demand_SW!E$13/30</f>
        <v>0</v>
      </c>
      <c r="CR334" s="16">
        <f>Demand_SW!F$13/30</f>
        <v>0</v>
      </c>
      <c r="CS334" s="16">
        <f>Demand_SW!G$13/30</f>
        <v>144.23076923076923</v>
      </c>
      <c r="CT334" s="16">
        <f>Demand_SW!H$13/30</f>
        <v>0</v>
      </c>
      <c r="CU334" s="16">
        <f>Demand_SW!I$13/30</f>
        <v>0</v>
      </c>
      <c r="CV334" s="16">
        <f>Demand_SW!J$13/30</f>
        <v>0</v>
      </c>
      <c r="CW334" s="16">
        <f>Demand_SW!K$13/30</f>
        <v>0</v>
      </c>
      <c r="CX334" s="16">
        <f t="shared" si="176"/>
        <v>-22268.846153846196</v>
      </c>
      <c r="CY334" s="16">
        <f t="shared" si="177"/>
        <v>76.923076923077133</v>
      </c>
      <c r="CZ334" s="16">
        <f t="shared" si="178"/>
        <v>0</v>
      </c>
      <c r="DA334" s="16">
        <f t="shared" si="179"/>
        <v>0</v>
      </c>
      <c r="DB334" s="16">
        <f t="shared" si="180"/>
        <v>0</v>
      </c>
      <c r="DC334" s="16">
        <f t="shared" si="181"/>
        <v>-23500.076923076966</v>
      </c>
      <c r="DD334" s="16">
        <f t="shared" si="182"/>
        <v>76.923076923077133</v>
      </c>
      <c r="DE334" s="16">
        <f t="shared" si="183"/>
        <v>0</v>
      </c>
      <c r="DF334" s="16">
        <f t="shared" si="184"/>
        <v>0</v>
      </c>
      <c r="DG334" s="16">
        <f t="shared" si="185"/>
        <v>0</v>
      </c>
      <c r="DH334" s="14">
        <f>IF([1]Sheet2!DS333=999999,"NA",[1]Sheet2!DS333)</f>
        <v>0</v>
      </c>
      <c r="DI334" s="14">
        <f>IF([1]Sheet2!DT333=999999,"NA",[1]Sheet2!DT333)</f>
        <v>34</v>
      </c>
      <c r="DJ334" s="14" t="str">
        <f>IF([1]Sheet2!DU333=999999,"NA",[1]Sheet2!DU333)</f>
        <v>NA</v>
      </c>
      <c r="DK334" s="14" t="str">
        <f>IF([1]Sheet2!DV333=999999,"NA",[1]Sheet2!DV333)</f>
        <v>NA</v>
      </c>
      <c r="DL334" s="14" t="str">
        <f>IF([1]Sheet2!DW333=999999,"NA",[1]Sheet2!DW333)</f>
        <v>NA</v>
      </c>
      <c r="DM334" s="14">
        <f>IF([1]Sheet2!DX333=999999,"NA",[1]Sheet2!DX333)</f>
        <v>0</v>
      </c>
      <c r="DN334" s="14">
        <f>IF([1]Sheet2!DY333=999999,"NA",[1]Sheet2!DY333)</f>
        <v>34</v>
      </c>
      <c r="DO334" s="14" t="str">
        <f>IF([1]Sheet2!DZ333=999999,"NA",[1]Sheet2!DZ333)</f>
        <v>NA</v>
      </c>
      <c r="DP334" s="14" t="str">
        <f>IF([1]Sheet2!EA333=999999,"NA",[1]Sheet2!EA333)</f>
        <v>NA</v>
      </c>
      <c r="DQ334" s="14" t="str">
        <f>IF([1]Sheet2!EB333=999999,"NA",[1]Sheet2!EB333)</f>
        <v>NA</v>
      </c>
      <c r="DR334" s="14">
        <f>[1]Sheet2!CY333</f>
        <v>0</v>
      </c>
      <c r="DS334" s="14">
        <f>[1]Sheet2!CZ333</f>
        <v>0</v>
      </c>
      <c r="DT334" s="14">
        <f>[1]Sheet2!DA333</f>
        <v>0</v>
      </c>
      <c r="DU334" s="14">
        <f>[1]Sheet2!DB333</f>
        <v>0</v>
      </c>
      <c r="DV334" s="14">
        <f>[1]Sheet2!DC333</f>
        <v>0</v>
      </c>
      <c r="DW334" s="14">
        <f>[1]Sheet2!DD333</f>
        <v>0</v>
      </c>
      <c r="DX334" s="14">
        <f>[1]Sheet2!DE333</f>
        <v>0</v>
      </c>
      <c r="DY334" s="14">
        <f>[1]Sheet2!DF333</f>
        <v>0</v>
      </c>
      <c r="DZ334" s="14">
        <f>[1]Sheet2!DG333</f>
        <v>0</v>
      </c>
      <c r="EA334" s="14">
        <f>[1]Sheet2!DH333</f>
        <v>0</v>
      </c>
      <c r="EB334" s="6">
        <f>[1]Sheet2!EC333</f>
        <v>0</v>
      </c>
      <c r="EC334" s="6">
        <f>[1]Sheet2!ED333</f>
        <v>0</v>
      </c>
      <c r="ED334" s="6">
        <f>[1]Sheet2!EE333</f>
        <v>0</v>
      </c>
      <c r="EE334" s="6">
        <f>[1]Sheet2!EF333</f>
        <v>0</v>
      </c>
      <c r="EF334" s="6">
        <f>[1]Sheet2!EG333</f>
        <v>0</v>
      </c>
      <c r="EG334" s="6">
        <f>[1]Sheet2!EH333</f>
        <v>0</v>
      </c>
      <c r="EH334" s="6">
        <f>[1]Sheet2!EI333</f>
        <v>0</v>
      </c>
      <c r="EI334" s="6">
        <f>[1]Sheet2!EJ333</f>
        <v>0</v>
      </c>
      <c r="EJ334" s="6">
        <f>[1]Sheet2!EK333</f>
        <v>0</v>
      </c>
      <c r="EK334" s="6">
        <f>[1]Sheet2!EL333</f>
        <v>0</v>
      </c>
      <c r="EL334" s="6" t="str">
        <f>[1]Sheet2!EM333</f>
        <v/>
      </c>
      <c r="EM334" s="6" t="str">
        <f>[1]Sheet2!EN333</f>
        <v/>
      </c>
      <c r="EN334" s="6" t="str">
        <f>[1]Sheet2!EO333</f>
        <v/>
      </c>
      <c r="EO334" s="6" t="str">
        <f>[1]Sheet2!EP333</f>
        <v/>
      </c>
      <c r="EP334" s="6" t="str">
        <f>[1]Sheet2!EQ333</f>
        <v/>
      </c>
      <c r="EQ334" s="6" t="str">
        <f>[1]Sheet2!ER333</f>
        <v/>
      </c>
      <c r="ER334" s="6" t="str">
        <f>[1]Sheet2!ES333</f>
        <v/>
      </c>
      <c r="ES334" s="6" t="str">
        <f>[1]Sheet2!ET333</f>
        <v/>
      </c>
      <c r="ET334" s="6" t="str">
        <f>[1]Sheet2!EU333</f>
        <v/>
      </c>
      <c r="EU334" s="6" t="str">
        <f>[1]Sheet2!EV333</f>
        <v/>
      </c>
      <c r="EV334" s="6" t="str">
        <f>[1]Sheet2!EW333</f>
        <v/>
      </c>
      <c r="EW334" s="6" t="str">
        <f>[1]Sheet2!EX333</f>
        <v/>
      </c>
      <c r="EX334" s="6" t="str">
        <f>[1]Sheet2!EY333</f>
        <v/>
      </c>
      <c r="EY334" s="6" t="str">
        <f>[1]Sheet2!EZ333</f>
        <v/>
      </c>
      <c r="EZ334" s="6" t="str">
        <f>[1]Sheet2!FA333</f>
        <v/>
      </c>
      <c r="FA334" s="6" t="str">
        <f>[1]Sheet2!FB333</f>
        <v/>
      </c>
      <c r="FB334" s="6" t="str">
        <f>[1]Sheet2!FC333</f>
        <v/>
      </c>
      <c r="FC334" s="6" t="str">
        <f>[1]Sheet2!FD333</f>
        <v/>
      </c>
      <c r="FD334" s="6" t="str">
        <f>[1]Sheet2!FE333</f>
        <v/>
      </c>
      <c r="FE334" s="6" t="str">
        <f>[1]Sheet2!FF333</f>
        <v/>
      </c>
      <c r="FF334" s="6" t="str">
        <f>[1]Sheet2!FG333</f>
        <v/>
      </c>
      <c r="FG334" s="6" t="str">
        <f>[1]Sheet2!FH333</f>
        <v/>
      </c>
      <c r="FH334" s="6" t="str">
        <f>[1]Sheet2!FI333</f>
        <v/>
      </c>
      <c r="FI334" s="6" t="str">
        <f>[1]Sheet2!FJ333</f>
        <v/>
      </c>
      <c r="FJ334" s="6" t="str">
        <f>[1]Sheet2!FK333</f>
        <v/>
      </c>
      <c r="FK334" s="6" t="str">
        <f>[1]Sheet2!FL333</f>
        <v/>
      </c>
      <c r="FL334" s="6" t="str">
        <f>[1]Sheet2!FM333</f>
        <v/>
      </c>
      <c r="FM334" s="6" t="str">
        <f>[1]Sheet2!FN333</f>
        <v/>
      </c>
      <c r="FN334" s="6" t="str">
        <f>[1]Sheet2!FO333</f>
        <v/>
      </c>
      <c r="FO334" s="6" t="str">
        <f>[1]Sheet2!FP333</f>
        <v/>
      </c>
    </row>
    <row r="335" spans="1:171" x14ac:dyDescent="0.25">
      <c r="A335" s="15">
        <v>43797</v>
      </c>
      <c r="B335" s="1"/>
      <c r="C335" s="1"/>
      <c r="D335" s="1"/>
      <c r="E335" s="14">
        <f>[1]Sheet2!N334</f>
        <v>0</v>
      </c>
      <c r="F335" s="14">
        <f>[1]Sheet2!BE334</f>
        <v>0</v>
      </c>
      <c r="G335" s="14">
        <f>[1]Sheet2!CW334</f>
        <v>0</v>
      </c>
      <c r="H335" s="1"/>
      <c r="I335" s="1"/>
      <c r="J335" s="1"/>
      <c r="K335" s="16"/>
      <c r="L335" s="16">
        <f>Demand_CWRS!B$13/30</f>
        <v>111.92954594017094</v>
      </c>
      <c r="M335" s="16">
        <f>Demand_CWRS!C$13/30</f>
        <v>550.01145299145287</v>
      </c>
      <c r="N335" s="16">
        <f>Demand_CWRS!D$13/30</f>
        <v>0</v>
      </c>
      <c r="O335" s="16">
        <f>Demand_CWRS!E$13/30</f>
        <v>105.42606837606837</v>
      </c>
      <c r="P335" s="16">
        <f>Demand_CWRS!F$13/30</f>
        <v>220.33041399572647</v>
      </c>
      <c r="Q335" s="16">
        <f>Demand_CWRS!G$13/30</f>
        <v>111.92954594017094</v>
      </c>
      <c r="R335" s="16">
        <f>Demand_CWRS!H$13/30</f>
        <v>220.33041399572647</v>
      </c>
      <c r="S335" s="16">
        <f>Demand_CWRS!I$13/30</f>
        <v>220.33041399572647</v>
      </c>
      <c r="T335" s="16">
        <f>Demand_CWRS!J$13/30</f>
        <v>220.33041399572647</v>
      </c>
      <c r="U335" s="16">
        <f>Demand_CWRS!K$13/30</f>
        <v>220.33041399572647</v>
      </c>
      <c r="V335" s="16">
        <f t="shared" si="156"/>
        <v>-37727.641868593011</v>
      </c>
      <c r="W335" s="16">
        <f t="shared" si="157"/>
        <v>-151509.07196581157</v>
      </c>
      <c r="X335" s="16">
        <f t="shared" si="158"/>
        <v>0</v>
      </c>
      <c r="Y335" s="16">
        <f t="shared" si="159"/>
        <v>-29092.360310505264</v>
      </c>
      <c r="Z335" s="16">
        <f t="shared" si="160"/>
        <v>-66700.567029238387</v>
      </c>
      <c r="AA335" s="16">
        <f t="shared" si="161"/>
        <v>-36255.709344554627</v>
      </c>
      <c r="AB335" s="16">
        <f t="shared" si="162"/>
        <v>-71009.731804879484</v>
      </c>
      <c r="AC335" s="16">
        <f t="shared" si="163"/>
        <v>-65216.721548469119</v>
      </c>
      <c r="AD335" s="16">
        <f t="shared" si="164"/>
        <v>-65316.721548469111</v>
      </c>
      <c r="AE335" s="16">
        <f t="shared" si="165"/>
        <v>-65916.721548469111</v>
      </c>
      <c r="AF335" s="14">
        <f>IF([1]Sheet2!AJ334=999999,"NA",[1]Sheet2!AJ334)</f>
        <v>0</v>
      </c>
      <c r="AG335" s="14">
        <f>IF([1]Sheet2!AK334=999999,"NA",[1]Sheet2!AK334)</f>
        <v>0</v>
      </c>
      <c r="AH335" s="14" t="str">
        <f>IF([1]Sheet2!AL334=999999,"NA",[1]Sheet2!AL334)</f>
        <v>NA</v>
      </c>
      <c r="AI335" s="14">
        <f>IF([1]Sheet2!AM334=999999,"NA",[1]Sheet2!AM334)</f>
        <v>0</v>
      </c>
      <c r="AJ335" s="14">
        <f>IF([1]Sheet2!AN334=999999,"NA",[1]Sheet2!AN334)</f>
        <v>0</v>
      </c>
      <c r="AK335" s="14">
        <f>IF([1]Sheet2!AO334=999999,"NA",[1]Sheet2!AO334)</f>
        <v>0</v>
      </c>
      <c r="AL335" s="14">
        <f>IF([1]Sheet2!AP334=999999,"NA",[1]Sheet2!AP334)</f>
        <v>0</v>
      </c>
      <c r="AM335" s="14">
        <f>IF([1]Sheet2!AQ334=999999,"NA",[1]Sheet2!AQ334)</f>
        <v>0</v>
      </c>
      <c r="AN335" s="14">
        <f>IF([1]Sheet2!AR334=999999,"NA",[1]Sheet2!AR334)</f>
        <v>0</v>
      </c>
      <c r="AO335" s="14">
        <f>IF([1]Sheet2!AS334=999999,"NA",[1]Sheet2!AS334)</f>
        <v>0</v>
      </c>
      <c r="AP335" s="14">
        <f>[1]Sheet2!P334</f>
        <v>0</v>
      </c>
      <c r="AQ335" s="14">
        <f>[1]Sheet2!Q334</f>
        <v>0</v>
      </c>
      <c r="AR335" s="14">
        <f>[1]Sheet2!R334</f>
        <v>0</v>
      </c>
      <c r="AS335" s="14">
        <f>[1]Sheet2!S334</f>
        <v>0</v>
      </c>
      <c r="AT335" s="14">
        <f>[1]Sheet2!T334</f>
        <v>0</v>
      </c>
      <c r="AU335" s="14">
        <f>[1]Sheet2!U334</f>
        <v>0</v>
      </c>
      <c r="AV335" s="14">
        <f>[1]Sheet2!V334</f>
        <v>0</v>
      </c>
      <c r="AW335" s="14">
        <f>[1]Sheet2!W334</f>
        <v>0</v>
      </c>
      <c r="AX335" s="14">
        <f>[1]Sheet2!X334</f>
        <v>0</v>
      </c>
      <c r="AY335" s="14">
        <f>[1]Sheet2!Y334</f>
        <v>0</v>
      </c>
      <c r="AZ335" s="16">
        <f>Demand_LP!B$13/30</f>
        <v>849.16414262820524</v>
      </c>
      <c r="BA335" s="16">
        <f>Demand_LP!C$13/30</f>
        <v>632.84239316239314</v>
      </c>
      <c r="BB335" s="16">
        <f>Demand_LP!D$13/30</f>
        <v>269.64247863247863</v>
      </c>
      <c r="BC335" s="16">
        <f>Demand_LP!E$13/30</f>
        <v>815.03102564102551</v>
      </c>
      <c r="BD335" s="16">
        <f>Demand_LP!F$13/30</f>
        <v>536.05500267094021</v>
      </c>
      <c r="BE335" s="16">
        <f>Demand_LP!G$13/30</f>
        <v>536.05500267094021</v>
      </c>
      <c r="BF335" s="16">
        <f>Demand_LP!H$13/30</f>
        <v>632.84239316239314</v>
      </c>
      <c r="BG335" s="16">
        <f>Demand_LP!I$13/30</f>
        <v>536.05500267094021</v>
      </c>
      <c r="BH335" s="16">
        <f>Demand_LP!J$13/30</f>
        <v>536.05500267094021</v>
      </c>
      <c r="BI335" s="16">
        <f>Demand_LP!K$13/30</f>
        <v>536.05500267094021</v>
      </c>
      <c r="BJ335" s="16">
        <f t="shared" si="166"/>
        <v>-249380.99153181745</v>
      </c>
      <c r="BK335" s="16">
        <f t="shared" si="167"/>
        <v>-187832.09213675198</v>
      </c>
      <c r="BL335" s="16">
        <f t="shared" si="168"/>
        <v>-89654.46632478667</v>
      </c>
      <c r="BM335" s="16">
        <f t="shared" si="169"/>
        <v>-240788.34049659086</v>
      </c>
      <c r="BN335" s="16">
        <f t="shared" si="170"/>
        <v>-147657.83245449272</v>
      </c>
      <c r="BO335" s="16">
        <f t="shared" si="171"/>
        <v>-146115.51637286349</v>
      </c>
      <c r="BP335" s="16">
        <f t="shared" si="172"/>
        <v>-182189.67162393132</v>
      </c>
      <c r="BQ335" s="16">
        <f t="shared" si="173"/>
        <v>-141944.51637286352</v>
      </c>
      <c r="BR335" s="16">
        <f t="shared" si="174"/>
        <v>-143715.51637286355</v>
      </c>
      <c r="BS335" s="16">
        <f t="shared" si="175"/>
        <v>-144415.51637286355</v>
      </c>
      <c r="BT335" s="14">
        <f>IF([1]Sheet2!CB334=999999,"NA",[1]Sheet2!CB334)</f>
        <v>0</v>
      </c>
      <c r="BU335" s="14">
        <f>IF([1]Sheet2!CC334=999999,"NA",[1]Sheet2!CC334)</f>
        <v>0</v>
      </c>
      <c r="BV335" s="14">
        <f>IF([1]Sheet2!CD334=999999,"NA",[1]Sheet2!CD334)</f>
        <v>0</v>
      </c>
      <c r="BW335" s="14">
        <f>IF([1]Sheet2!CE334=999999,"NA",[1]Sheet2!CE334)</f>
        <v>0</v>
      </c>
      <c r="BX335" s="14">
        <f>IF([1]Sheet2!CF334=999999,"NA",[1]Sheet2!CF334)</f>
        <v>0</v>
      </c>
      <c r="BY335" s="14">
        <f>IF([1]Sheet2!CG334=999999,"NA",[1]Sheet2!CG334)</f>
        <v>0</v>
      </c>
      <c r="BZ335" s="14">
        <f>IF([1]Sheet2!CH334=999999,"NA",[1]Sheet2!CH334)</f>
        <v>0</v>
      </c>
      <c r="CA335" s="14">
        <f>IF([1]Sheet2!CI334=999999,"NA",[1]Sheet2!CI334)</f>
        <v>0</v>
      </c>
      <c r="CB335" s="14">
        <f>IF([1]Sheet2!CJ334=999999,"NA",[1]Sheet2!CJ334)</f>
        <v>0</v>
      </c>
      <c r="CC335" s="14">
        <f>IF([1]Sheet2!CK334=999999,"NA",[1]Sheet2!CK334)</f>
        <v>0</v>
      </c>
      <c r="CD335" s="14">
        <f>[1]Sheet2!BH334</f>
        <v>0</v>
      </c>
      <c r="CE335" s="14">
        <f>[1]Sheet2!BI334</f>
        <v>0</v>
      </c>
      <c r="CF335" s="14">
        <f>[1]Sheet2!BJ334</f>
        <v>0</v>
      </c>
      <c r="CG335" s="14">
        <f>[1]Sheet2!BK334</f>
        <v>0</v>
      </c>
      <c r="CH335" s="14">
        <f>[1]Sheet2!BL334</f>
        <v>0</v>
      </c>
      <c r="CI335" s="14">
        <f>[1]Sheet2!BM334</f>
        <v>0</v>
      </c>
      <c r="CJ335" s="14">
        <f>[1]Sheet2!BN334</f>
        <v>0</v>
      </c>
      <c r="CK335" s="14">
        <f>[1]Sheet2!BO334</f>
        <v>0</v>
      </c>
      <c r="CL335" s="14">
        <f>[1]Sheet2!BP334</f>
        <v>0</v>
      </c>
      <c r="CM335" s="14">
        <f>[1]Sheet2!BQ334</f>
        <v>0</v>
      </c>
      <c r="CN335" s="16">
        <f>Demand_SW!B$13/30</f>
        <v>144.23076923076923</v>
      </c>
      <c r="CO335" s="16">
        <f>Demand_SW!C$13/30</f>
        <v>0</v>
      </c>
      <c r="CP335" s="16">
        <f>Demand_SW!D$13/30</f>
        <v>0</v>
      </c>
      <c r="CQ335" s="16">
        <f>Demand_SW!E$13/30</f>
        <v>0</v>
      </c>
      <c r="CR335" s="16">
        <f>Demand_SW!F$13/30</f>
        <v>0</v>
      </c>
      <c r="CS335" s="16">
        <f>Demand_SW!G$13/30</f>
        <v>144.23076923076923</v>
      </c>
      <c r="CT335" s="16">
        <f>Demand_SW!H$13/30</f>
        <v>0</v>
      </c>
      <c r="CU335" s="16">
        <f>Demand_SW!I$13/30</f>
        <v>0</v>
      </c>
      <c r="CV335" s="16">
        <f>Demand_SW!J$13/30</f>
        <v>0</v>
      </c>
      <c r="CW335" s="16">
        <f>Demand_SW!K$13/30</f>
        <v>0</v>
      </c>
      <c r="CX335" s="16">
        <f t="shared" si="176"/>
        <v>-22413.076923076966</v>
      </c>
      <c r="CY335" s="16">
        <f t="shared" si="177"/>
        <v>76.923076923077133</v>
      </c>
      <c r="CZ335" s="16">
        <f t="shared" si="178"/>
        <v>0</v>
      </c>
      <c r="DA335" s="16">
        <f t="shared" si="179"/>
        <v>0</v>
      </c>
      <c r="DB335" s="16">
        <f t="shared" si="180"/>
        <v>0</v>
      </c>
      <c r="DC335" s="16">
        <f t="shared" si="181"/>
        <v>-23644.307692307735</v>
      </c>
      <c r="DD335" s="16">
        <f t="shared" si="182"/>
        <v>76.923076923077133</v>
      </c>
      <c r="DE335" s="16">
        <f t="shared" si="183"/>
        <v>0</v>
      </c>
      <c r="DF335" s="16">
        <f t="shared" si="184"/>
        <v>0</v>
      </c>
      <c r="DG335" s="16">
        <f t="shared" si="185"/>
        <v>0</v>
      </c>
      <c r="DH335" s="14">
        <f>IF([1]Sheet2!DS334=999999,"NA",[1]Sheet2!DS334)</f>
        <v>0</v>
      </c>
      <c r="DI335" s="14">
        <f>IF([1]Sheet2!DT334=999999,"NA",[1]Sheet2!DT334)</f>
        <v>33</v>
      </c>
      <c r="DJ335" s="14" t="str">
        <f>IF([1]Sheet2!DU334=999999,"NA",[1]Sheet2!DU334)</f>
        <v>NA</v>
      </c>
      <c r="DK335" s="14" t="str">
        <f>IF([1]Sheet2!DV334=999999,"NA",[1]Sheet2!DV334)</f>
        <v>NA</v>
      </c>
      <c r="DL335" s="14" t="str">
        <f>IF([1]Sheet2!DW334=999999,"NA",[1]Sheet2!DW334)</f>
        <v>NA</v>
      </c>
      <c r="DM335" s="14">
        <f>IF([1]Sheet2!DX334=999999,"NA",[1]Sheet2!DX334)</f>
        <v>0</v>
      </c>
      <c r="DN335" s="14">
        <f>IF([1]Sheet2!DY334=999999,"NA",[1]Sheet2!DY334)</f>
        <v>33</v>
      </c>
      <c r="DO335" s="14" t="str">
        <f>IF([1]Sheet2!DZ334=999999,"NA",[1]Sheet2!DZ334)</f>
        <v>NA</v>
      </c>
      <c r="DP335" s="14" t="str">
        <f>IF([1]Sheet2!EA334=999999,"NA",[1]Sheet2!EA334)</f>
        <v>NA</v>
      </c>
      <c r="DQ335" s="14" t="str">
        <f>IF([1]Sheet2!EB334=999999,"NA",[1]Sheet2!EB334)</f>
        <v>NA</v>
      </c>
      <c r="DR335" s="14">
        <f>[1]Sheet2!CY334</f>
        <v>0</v>
      </c>
      <c r="DS335" s="14">
        <f>[1]Sheet2!CZ334</f>
        <v>0</v>
      </c>
      <c r="DT335" s="14">
        <f>[1]Sheet2!DA334</f>
        <v>0</v>
      </c>
      <c r="DU335" s="14">
        <f>[1]Sheet2!DB334</f>
        <v>0</v>
      </c>
      <c r="DV335" s="14">
        <f>[1]Sheet2!DC334</f>
        <v>0</v>
      </c>
      <c r="DW335" s="14">
        <f>[1]Sheet2!DD334</f>
        <v>0</v>
      </c>
      <c r="DX335" s="14">
        <f>[1]Sheet2!DE334</f>
        <v>0</v>
      </c>
      <c r="DY335" s="14">
        <f>[1]Sheet2!DF334</f>
        <v>0</v>
      </c>
      <c r="DZ335" s="14">
        <f>[1]Sheet2!DG334</f>
        <v>0</v>
      </c>
      <c r="EA335" s="14">
        <f>[1]Sheet2!DH334</f>
        <v>0</v>
      </c>
      <c r="EB335" s="6">
        <f>[1]Sheet2!EC334</f>
        <v>0</v>
      </c>
      <c r="EC335" s="6">
        <f>[1]Sheet2!ED334</f>
        <v>0</v>
      </c>
      <c r="ED335" s="6">
        <f>[1]Sheet2!EE334</f>
        <v>0</v>
      </c>
      <c r="EE335" s="6">
        <f>[1]Sheet2!EF334</f>
        <v>0</v>
      </c>
      <c r="EF335" s="6">
        <f>[1]Sheet2!EG334</f>
        <v>0</v>
      </c>
      <c r="EG335" s="6">
        <f>[1]Sheet2!EH334</f>
        <v>0</v>
      </c>
      <c r="EH335" s="6">
        <f>[1]Sheet2!EI334</f>
        <v>0</v>
      </c>
      <c r="EI335" s="6">
        <f>[1]Sheet2!EJ334</f>
        <v>0</v>
      </c>
      <c r="EJ335" s="6">
        <f>[1]Sheet2!EK334</f>
        <v>0</v>
      </c>
      <c r="EK335" s="6">
        <f>[1]Sheet2!EL334</f>
        <v>0</v>
      </c>
      <c r="EL335" s="6" t="str">
        <f>[1]Sheet2!EM334</f>
        <v/>
      </c>
      <c r="EM335" s="6" t="str">
        <f>[1]Sheet2!EN334</f>
        <v/>
      </c>
      <c r="EN335" s="6" t="str">
        <f>[1]Sheet2!EO334</f>
        <v/>
      </c>
      <c r="EO335" s="6" t="str">
        <f>[1]Sheet2!EP334</f>
        <v/>
      </c>
      <c r="EP335" s="6" t="str">
        <f>[1]Sheet2!EQ334</f>
        <v/>
      </c>
      <c r="EQ335" s="6" t="str">
        <f>[1]Sheet2!ER334</f>
        <v/>
      </c>
      <c r="ER335" s="6" t="str">
        <f>[1]Sheet2!ES334</f>
        <v/>
      </c>
      <c r="ES335" s="6" t="str">
        <f>[1]Sheet2!ET334</f>
        <v/>
      </c>
      <c r="ET335" s="6" t="str">
        <f>[1]Sheet2!EU334</f>
        <v/>
      </c>
      <c r="EU335" s="6" t="str">
        <f>[1]Sheet2!EV334</f>
        <v/>
      </c>
      <c r="EV335" s="6" t="str">
        <f>[1]Sheet2!EW334</f>
        <v/>
      </c>
      <c r="EW335" s="6" t="str">
        <f>[1]Sheet2!EX334</f>
        <v/>
      </c>
      <c r="EX335" s="6" t="str">
        <f>[1]Sheet2!EY334</f>
        <v/>
      </c>
      <c r="EY335" s="6" t="str">
        <f>[1]Sheet2!EZ334</f>
        <v/>
      </c>
      <c r="EZ335" s="6" t="str">
        <f>[1]Sheet2!FA334</f>
        <v/>
      </c>
      <c r="FA335" s="6" t="str">
        <f>[1]Sheet2!FB334</f>
        <v/>
      </c>
      <c r="FB335" s="6" t="str">
        <f>[1]Sheet2!FC334</f>
        <v/>
      </c>
      <c r="FC335" s="6" t="str">
        <f>[1]Sheet2!FD334</f>
        <v/>
      </c>
      <c r="FD335" s="6" t="str">
        <f>[1]Sheet2!FE334</f>
        <v/>
      </c>
      <c r="FE335" s="6" t="str">
        <f>[1]Sheet2!FF334</f>
        <v/>
      </c>
      <c r="FF335" s="6" t="str">
        <f>[1]Sheet2!FG334</f>
        <v/>
      </c>
      <c r="FG335" s="6" t="str">
        <f>[1]Sheet2!FH334</f>
        <v/>
      </c>
      <c r="FH335" s="6" t="str">
        <f>[1]Sheet2!FI334</f>
        <v/>
      </c>
      <c r="FI335" s="6" t="str">
        <f>[1]Sheet2!FJ334</f>
        <v/>
      </c>
      <c r="FJ335" s="6" t="str">
        <f>[1]Sheet2!FK334</f>
        <v/>
      </c>
      <c r="FK335" s="6" t="str">
        <f>[1]Sheet2!FL334</f>
        <v/>
      </c>
      <c r="FL335" s="6" t="str">
        <f>[1]Sheet2!FM334</f>
        <v/>
      </c>
      <c r="FM335" s="6" t="str">
        <f>[1]Sheet2!FN334</f>
        <v/>
      </c>
      <c r="FN335" s="6" t="str">
        <f>[1]Sheet2!FO334</f>
        <v/>
      </c>
      <c r="FO335" s="6" t="str">
        <f>[1]Sheet2!FP334</f>
        <v/>
      </c>
    </row>
    <row r="336" spans="1:171" x14ac:dyDescent="0.25">
      <c r="A336" s="15">
        <v>43798</v>
      </c>
      <c r="B336" s="1"/>
      <c r="C336" s="1"/>
      <c r="D336" s="1"/>
      <c r="E336" s="14">
        <f>[1]Sheet2!N335</f>
        <v>0</v>
      </c>
      <c r="F336" s="14">
        <f>[1]Sheet2!BE335</f>
        <v>0</v>
      </c>
      <c r="G336" s="14">
        <f>[1]Sheet2!CW335</f>
        <v>0</v>
      </c>
      <c r="H336" s="1"/>
      <c r="I336" s="1"/>
      <c r="J336" s="1"/>
      <c r="K336" s="16"/>
      <c r="L336" s="16">
        <f>Demand_CWRS!B$13/30</f>
        <v>111.92954594017094</v>
      </c>
      <c r="M336" s="16">
        <f>Demand_CWRS!C$13/30</f>
        <v>550.01145299145287</v>
      </c>
      <c r="N336" s="16">
        <f>Demand_CWRS!D$13/30</f>
        <v>0</v>
      </c>
      <c r="O336" s="16">
        <f>Demand_CWRS!E$13/30</f>
        <v>105.42606837606837</v>
      </c>
      <c r="P336" s="16">
        <f>Demand_CWRS!F$13/30</f>
        <v>220.33041399572647</v>
      </c>
      <c r="Q336" s="16">
        <f>Demand_CWRS!G$13/30</f>
        <v>111.92954594017094</v>
      </c>
      <c r="R336" s="16">
        <f>Demand_CWRS!H$13/30</f>
        <v>220.33041399572647</v>
      </c>
      <c r="S336" s="16">
        <f>Demand_CWRS!I$13/30</f>
        <v>220.33041399572647</v>
      </c>
      <c r="T336" s="16">
        <f>Demand_CWRS!J$13/30</f>
        <v>220.33041399572647</v>
      </c>
      <c r="U336" s="16">
        <f>Demand_CWRS!K$13/30</f>
        <v>220.33041399572647</v>
      </c>
      <c r="V336" s="16">
        <f t="shared" si="156"/>
        <v>-37839.57141453318</v>
      </c>
      <c r="W336" s="16">
        <f t="shared" si="157"/>
        <v>-152059.08341880303</v>
      </c>
      <c r="X336" s="16">
        <f t="shared" si="158"/>
        <v>0</v>
      </c>
      <c r="Y336" s="16">
        <f t="shared" si="159"/>
        <v>-29197.786378881334</v>
      </c>
      <c r="Z336" s="16">
        <f t="shared" si="160"/>
        <v>-66920.89744323412</v>
      </c>
      <c r="AA336" s="16">
        <f t="shared" si="161"/>
        <v>-36367.638890494796</v>
      </c>
      <c r="AB336" s="16">
        <f t="shared" si="162"/>
        <v>-71230.062218875217</v>
      </c>
      <c r="AC336" s="16">
        <f t="shared" si="163"/>
        <v>-65437.051962464844</v>
      </c>
      <c r="AD336" s="16">
        <f t="shared" si="164"/>
        <v>-65537.051962464844</v>
      </c>
      <c r="AE336" s="16">
        <f t="shared" si="165"/>
        <v>-66137.051962464844</v>
      </c>
      <c r="AF336" s="14">
        <f>IF([1]Sheet2!AJ335=999999,"NA",[1]Sheet2!AJ335)</f>
        <v>0</v>
      </c>
      <c r="AG336" s="14">
        <f>IF([1]Sheet2!AK335=999999,"NA",[1]Sheet2!AK335)</f>
        <v>0</v>
      </c>
      <c r="AH336" s="14" t="str">
        <f>IF([1]Sheet2!AL335=999999,"NA",[1]Sheet2!AL335)</f>
        <v>NA</v>
      </c>
      <c r="AI336" s="14">
        <f>IF([1]Sheet2!AM335=999999,"NA",[1]Sheet2!AM335)</f>
        <v>0</v>
      </c>
      <c r="AJ336" s="14">
        <f>IF([1]Sheet2!AN335=999999,"NA",[1]Sheet2!AN335)</f>
        <v>0</v>
      </c>
      <c r="AK336" s="14">
        <f>IF([1]Sheet2!AO335=999999,"NA",[1]Sheet2!AO335)</f>
        <v>0</v>
      </c>
      <c r="AL336" s="14">
        <f>IF([1]Sheet2!AP335=999999,"NA",[1]Sheet2!AP335)</f>
        <v>0</v>
      </c>
      <c r="AM336" s="14">
        <f>IF([1]Sheet2!AQ335=999999,"NA",[1]Sheet2!AQ335)</f>
        <v>0</v>
      </c>
      <c r="AN336" s="14">
        <f>IF([1]Sheet2!AR335=999999,"NA",[1]Sheet2!AR335)</f>
        <v>0</v>
      </c>
      <c r="AO336" s="14">
        <f>IF([1]Sheet2!AS335=999999,"NA",[1]Sheet2!AS335)</f>
        <v>0</v>
      </c>
      <c r="AP336" s="14">
        <f>[1]Sheet2!P335</f>
        <v>0</v>
      </c>
      <c r="AQ336" s="14">
        <f>[1]Sheet2!Q335</f>
        <v>0</v>
      </c>
      <c r="AR336" s="14">
        <f>[1]Sheet2!R335</f>
        <v>0</v>
      </c>
      <c r="AS336" s="14">
        <f>[1]Sheet2!S335</f>
        <v>0</v>
      </c>
      <c r="AT336" s="14">
        <f>[1]Sheet2!T335</f>
        <v>0</v>
      </c>
      <c r="AU336" s="14">
        <f>[1]Sheet2!U335</f>
        <v>0</v>
      </c>
      <c r="AV336" s="14">
        <f>[1]Sheet2!V335</f>
        <v>0</v>
      </c>
      <c r="AW336" s="14">
        <f>[1]Sheet2!W335</f>
        <v>0</v>
      </c>
      <c r="AX336" s="14">
        <f>[1]Sheet2!X335</f>
        <v>0</v>
      </c>
      <c r="AY336" s="14">
        <f>[1]Sheet2!Y335</f>
        <v>0</v>
      </c>
      <c r="AZ336" s="16">
        <f>Demand_LP!B$13/30</f>
        <v>849.16414262820524</v>
      </c>
      <c r="BA336" s="16">
        <f>Demand_LP!C$13/30</f>
        <v>632.84239316239314</v>
      </c>
      <c r="BB336" s="16">
        <f>Demand_LP!D$13/30</f>
        <v>269.64247863247863</v>
      </c>
      <c r="BC336" s="16">
        <f>Demand_LP!E$13/30</f>
        <v>815.03102564102551</v>
      </c>
      <c r="BD336" s="16">
        <f>Demand_LP!F$13/30</f>
        <v>536.05500267094021</v>
      </c>
      <c r="BE336" s="16">
        <f>Demand_LP!G$13/30</f>
        <v>536.05500267094021</v>
      </c>
      <c r="BF336" s="16">
        <f>Demand_LP!H$13/30</f>
        <v>632.84239316239314</v>
      </c>
      <c r="BG336" s="16">
        <f>Demand_LP!I$13/30</f>
        <v>536.05500267094021</v>
      </c>
      <c r="BH336" s="16">
        <f>Demand_LP!J$13/30</f>
        <v>536.05500267094021</v>
      </c>
      <c r="BI336" s="16">
        <f>Demand_LP!K$13/30</f>
        <v>536.05500267094021</v>
      </c>
      <c r="BJ336" s="16">
        <f t="shared" si="166"/>
        <v>-250230.15567444565</v>
      </c>
      <c r="BK336" s="16">
        <f t="shared" si="167"/>
        <v>-188464.93452991438</v>
      </c>
      <c r="BL336" s="16">
        <f t="shared" si="168"/>
        <v>-89924.108803419149</v>
      </c>
      <c r="BM336" s="16">
        <f t="shared" si="169"/>
        <v>-241603.37152223187</v>
      </c>
      <c r="BN336" s="16">
        <f t="shared" si="170"/>
        <v>-148193.88745716366</v>
      </c>
      <c r="BO336" s="16">
        <f t="shared" si="171"/>
        <v>-146651.57137553443</v>
      </c>
      <c r="BP336" s="16">
        <f t="shared" si="172"/>
        <v>-182822.51401709372</v>
      </c>
      <c r="BQ336" s="16">
        <f t="shared" si="173"/>
        <v>-142480.57137553446</v>
      </c>
      <c r="BR336" s="16">
        <f t="shared" si="174"/>
        <v>-144251.57137553449</v>
      </c>
      <c r="BS336" s="16">
        <f t="shared" si="175"/>
        <v>-144951.57137553449</v>
      </c>
      <c r="BT336" s="14">
        <f>IF([1]Sheet2!CB335=999999,"NA",[1]Sheet2!CB335)</f>
        <v>0</v>
      </c>
      <c r="BU336" s="14">
        <f>IF([1]Sheet2!CC335=999999,"NA",[1]Sheet2!CC335)</f>
        <v>0</v>
      </c>
      <c r="BV336" s="14">
        <f>IF([1]Sheet2!CD335=999999,"NA",[1]Sheet2!CD335)</f>
        <v>0</v>
      </c>
      <c r="BW336" s="14">
        <f>IF([1]Sheet2!CE335=999999,"NA",[1]Sheet2!CE335)</f>
        <v>0</v>
      </c>
      <c r="BX336" s="14">
        <f>IF([1]Sheet2!CF335=999999,"NA",[1]Sheet2!CF335)</f>
        <v>0</v>
      </c>
      <c r="BY336" s="14">
        <f>IF([1]Sheet2!CG335=999999,"NA",[1]Sheet2!CG335)</f>
        <v>0</v>
      </c>
      <c r="BZ336" s="14">
        <f>IF([1]Sheet2!CH335=999999,"NA",[1]Sheet2!CH335)</f>
        <v>0</v>
      </c>
      <c r="CA336" s="14">
        <f>IF([1]Sheet2!CI335=999999,"NA",[1]Sheet2!CI335)</f>
        <v>0</v>
      </c>
      <c r="CB336" s="14">
        <f>IF([1]Sheet2!CJ335=999999,"NA",[1]Sheet2!CJ335)</f>
        <v>0</v>
      </c>
      <c r="CC336" s="14">
        <f>IF([1]Sheet2!CK335=999999,"NA",[1]Sheet2!CK335)</f>
        <v>0</v>
      </c>
      <c r="CD336" s="14">
        <f>[1]Sheet2!BH335</f>
        <v>0</v>
      </c>
      <c r="CE336" s="14">
        <f>[1]Sheet2!BI335</f>
        <v>0</v>
      </c>
      <c r="CF336" s="14">
        <f>[1]Sheet2!BJ335</f>
        <v>0</v>
      </c>
      <c r="CG336" s="14">
        <f>[1]Sheet2!BK335</f>
        <v>0</v>
      </c>
      <c r="CH336" s="14">
        <f>[1]Sheet2!BL335</f>
        <v>0</v>
      </c>
      <c r="CI336" s="14">
        <f>[1]Sheet2!BM335</f>
        <v>0</v>
      </c>
      <c r="CJ336" s="14">
        <f>[1]Sheet2!BN335</f>
        <v>0</v>
      </c>
      <c r="CK336" s="14">
        <f>[1]Sheet2!BO335</f>
        <v>0</v>
      </c>
      <c r="CL336" s="14">
        <f>[1]Sheet2!BP335</f>
        <v>0</v>
      </c>
      <c r="CM336" s="14">
        <f>[1]Sheet2!BQ335</f>
        <v>0</v>
      </c>
      <c r="CN336" s="16">
        <f>Demand_SW!B$13/30</f>
        <v>144.23076923076923</v>
      </c>
      <c r="CO336" s="16">
        <f>Demand_SW!C$13/30</f>
        <v>0</v>
      </c>
      <c r="CP336" s="16">
        <f>Demand_SW!D$13/30</f>
        <v>0</v>
      </c>
      <c r="CQ336" s="16">
        <f>Demand_SW!E$13/30</f>
        <v>0</v>
      </c>
      <c r="CR336" s="16">
        <f>Demand_SW!F$13/30</f>
        <v>0</v>
      </c>
      <c r="CS336" s="16">
        <f>Demand_SW!G$13/30</f>
        <v>144.23076923076923</v>
      </c>
      <c r="CT336" s="16">
        <f>Demand_SW!H$13/30</f>
        <v>0</v>
      </c>
      <c r="CU336" s="16">
        <f>Demand_SW!I$13/30</f>
        <v>0</v>
      </c>
      <c r="CV336" s="16">
        <f>Demand_SW!J$13/30</f>
        <v>0</v>
      </c>
      <c r="CW336" s="16">
        <f>Demand_SW!K$13/30</f>
        <v>0</v>
      </c>
      <c r="CX336" s="16">
        <f t="shared" si="176"/>
        <v>-22557.307692307735</v>
      </c>
      <c r="CY336" s="16">
        <f t="shared" si="177"/>
        <v>76.923076923077133</v>
      </c>
      <c r="CZ336" s="16">
        <f t="shared" si="178"/>
        <v>0</v>
      </c>
      <c r="DA336" s="16">
        <f t="shared" si="179"/>
        <v>0</v>
      </c>
      <c r="DB336" s="16">
        <f t="shared" si="180"/>
        <v>0</v>
      </c>
      <c r="DC336" s="16">
        <f t="shared" si="181"/>
        <v>-23788.538461538505</v>
      </c>
      <c r="DD336" s="16">
        <f t="shared" si="182"/>
        <v>76.923076923077133</v>
      </c>
      <c r="DE336" s="16">
        <f t="shared" si="183"/>
        <v>0</v>
      </c>
      <c r="DF336" s="16">
        <f t="shared" si="184"/>
        <v>0</v>
      </c>
      <c r="DG336" s="16">
        <f t="shared" si="185"/>
        <v>0</v>
      </c>
      <c r="DH336" s="14">
        <f>IF([1]Sheet2!DS335=999999,"NA",[1]Sheet2!DS335)</f>
        <v>0</v>
      </c>
      <c r="DI336" s="14">
        <f>IF([1]Sheet2!DT335=999999,"NA",[1]Sheet2!DT335)</f>
        <v>32</v>
      </c>
      <c r="DJ336" s="14" t="str">
        <f>IF([1]Sheet2!DU335=999999,"NA",[1]Sheet2!DU335)</f>
        <v>NA</v>
      </c>
      <c r="DK336" s="14" t="str">
        <f>IF([1]Sheet2!DV335=999999,"NA",[1]Sheet2!DV335)</f>
        <v>NA</v>
      </c>
      <c r="DL336" s="14" t="str">
        <f>IF([1]Sheet2!DW335=999999,"NA",[1]Sheet2!DW335)</f>
        <v>NA</v>
      </c>
      <c r="DM336" s="14">
        <f>IF([1]Sheet2!DX335=999999,"NA",[1]Sheet2!DX335)</f>
        <v>0</v>
      </c>
      <c r="DN336" s="14">
        <f>IF([1]Sheet2!DY335=999999,"NA",[1]Sheet2!DY335)</f>
        <v>32</v>
      </c>
      <c r="DO336" s="14" t="str">
        <f>IF([1]Sheet2!DZ335=999999,"NA",[1]Sheet2!DZ335)</f>
        <v>NA</v>
      </c>
      <c r="DP336" s="14" t="str">
        <f>IF([1]Sheet2!EA335=999999,"NA",[1]Sheet2!EA335)</f>
        <v>NA</v>
      </c>
      <c r="DQ336" s="14" t="str">
        <f>IF([1]Sheet2!EB335=999999,"NA",[1]Sheet2!EB335)</f>
        <v>NA</v>
      </c>
      <c r="DR336" s="14">
        <f>[1]Sheet2!CY335</f>
        <v>0</v>
      </c>
      <c r="DS336" s="14">
        <f>[1]Sheet2!CZ335</f>
        <v>0</v>
      </c>
      <c r="DT336" s="14">
        <f>[1]Sheet2!DA335</f>
        <v>0</v>
      </c>
      <c r="DU336" s="14">
        <f>[1]Sheet2!DB335</f>
        <v>0</v>
      </c>
      <c r="DV336" s="14">
        <f>[1]Sheet2!DC335</f>
        <v>0</v>
      </c>
      <c r="DW336" s="14">
        <f>[1]Sheet2!DD335</f>
        <v>0</v>
      </c>
      <c r="DX336" s="14">
        <f>[1]Sheet2!DE335</f>
        <v>0</v>
      </c>
      <c r="DY336" s="14">
        <f>[1]Sheet2!DF335</f>
        <v>0</v>
      </c>
      <c r="DZ336" s="14">
        <f>[1]Sheet2!DG335</f>
        <v>0</v>
      </c>
      <c r="EA336" s="14">
        <f>[1]Sheet2!DH335</f>
        <v>0</v>
      </c>
      <c r="EB336" s="6">
        <f>[1]Sheet2!EC335</f>
        <v>0</v>
      </c>
      <c r="EC336" s="6">
        <f>[1]Sheet2!ED335</f>
        <v>0</v>
      </c>
      <c r="ED336" s="6">
        <f>[1]Sheet2!EE335</f>
        <v>0</v>
      </c>
      <c r="EE336" s="6">
        <f>[1]Sheet2!EF335</f>
        <v>0</v>
      </c>
      <c r="EF336" s="6">
        <f>[1]Sheet2!EG335</f>
        <v>0</v>
      </c>
      <c r="EG336" s="6">
        <f>[1]Sheet2!EH335</f>
        <v>0</v>
      </c>
      <c r="EH336" s="6">
        <f>[1]Sheet2!EI335</f>
        <v>0</v>
      </c>
      <c r="EI336" s="6">
        <f>[1]Sheet2!EJ335</f>
        <v>0</v>
      </c>
      <c r="EJ336" s="6">
        <f>[1]Sheet2!EK335</f>
        <v>0</v>
      </c>
      <c r="EK336" s="6">
        <f>[1]Sheet2!EL335</f>
        <v>0</v>
      </c>
      <c r="EL336" s="6" t="str">
        <f>[1]Sheet2!EM335</f>
        <v/>
      </c>
      <c r="EM336" s="6" t="str">
        <f>[1]Sheet2!EN335</f>
        <v/>
      </c>
      <c r="EN336" s="6" t="str">
        <f>[1]Sheet2!EO335</f>
        <v/>
      </c>
      <c r="EO336" s="6" t="str">
        <f>[1]Sheet2!EP335</f>
        <v/>
      </c>
      <c r="EP336" s="6" t="str">
        <f>[1]Sheet2!EQ335</f>
        <v/>
      </c>
      <c r="EQ336" s="6" t="str">
        <f>[1]Sheet2!ER335</f>
        <v/>
      </c>
      <c r="ER336" s="6" t="str">
        <f>[1]Sheet2!ES335</f>
        <v/>
      </c>
      <c r="ES336" s="6" t="str">
        <f>[1]Sheet2!ET335</f>
        <v/>
      </c>
      <c r="ET336" s="6" t="str">
        <f>[1]Sheet2!EU335</f>
        <v/>
      </c>
      <c r="EU336" s="6" t="str">
        <f>[1]Sheet2!EV335</f>
        <v/>
      </c>
      <c r="EV336" s="6" t="str">
        <f>[1]Sheet2!EW335</f>
        <v/>
      </c>
      <c r="EW336" s="6" t="str">
        <f>[1]Sheet2!EX335</f>
        <v/>
      </c>
      <c r="EX336" s="6" t="str">
        <f>[1]Sheet2!EY335</f>
        <v/>
      </c>
      <c r="EY336" s="6" t="str">
        <f>[1]Sheet2!EZ335</f>
        <v/>
      </c>
      <c r="EZ336" s="6" t="str">
        <f>[1]Sheet2!FA335</f>
        <v/>
      </c>
      <c r="FA336" s="6" t="str">
        <f>[1]Sheet2!FB335</f>
        <v/>
      </c>
      <c r="FB336" s="6" t="str">
        <f>[1]Sheet2!FC335</f>
        <v/>
      </c>
      <c r="FC336" s="6" t="str">
        <f>[1]Sheet2!FD335</f>
        <v/>
      </c>
      <c r="FD336" s="6" t="str">
        <f>[1]Sheet2!FE335</f>
        <v/>
      </c>
      <c r="FE336" s="6" t="str">
        <f>[1]Sheet2!FF335</f>
        <v/>
      </c>
      <c r="FF336" s="6" t="str">
        <f>[1]Sheet2!FG335</f>
        <v/>
      </c>
      <c r="FG336" s="6" t="str">
        <f>[1]Sheet2!FH335</f>
        <v/>
      </c>
      <c r="FH336" s="6" t="str">
        <f>[1]Sheet2!FI335</f>
        <v/>
      </c>
      <c r="FI336" s="6" t="str">
        <f>[1]Sheet2!FJ335</f>
        <v/>
      </c>
      <c r="FJ336" s="6" t="str">
        <f>[1]Sheet2!FK335</f>
        <v/>
      </c>
      <c r="FK336" s="6" t="str">
        <f>[1]Sheet2!FL335</f>
        <v/>
      </c>
      <c r="FL336" s="6" t="str">
        <f>[1]Sheet2!FM335</f>
        <v/>
      </c>
      <c r="FM336" s="6" t="str">
        <f>[1]Sheet2!FN335</f>
        <v/>
      </c>
      <c r="FN336" s="6" t="str">
        <f>[1]Sheet2!FO335</f>
        <v/>
      </c>
      <c r="FO336" s="6" t="str">
        <f>[1]Sheet2!FP335</f>
        <v/>
      </c>
    </row>
    <row r="337" spans="1:171" x14ac:dyDescent="0.25">
      <c r="A337" s="15">
        <v>43799</v>
      </c>
      <c r="B337" s="1"/>
      <c r="C337" s="1"/>
      <c r="D337" s="1"/>
      <c r="E337" s="14">
        <f>[1]Sheet2!N336</f>
        <v>0</v>
      </c>
      <c r="F337" s="14">
        <f>[1]Sheet2!BE336</f>
        <v>0</v>
      </c>
      <c r="G337" s="14">
        <f>[1]Sheet2!CW336</f>
        <v>0</v>
      </c>
      <c r="H337" s="1"/>
      <c r="I337" s="1"/>
      <c r="J337" s="1"/>
      <c r="K337" s="16"/>
      <c r="L337" s="16">
        <f>Demand_CWRS!B$13/30</f>
        <v>111.92954594017094</v>
      </c>
      <c r="M337" s="16">
        <f>Demand_CWRS!C$13/30</f>
        <v>550.01145299145287</v>
      </c>
      <c r="N337" s="16">
        <f>Demand_CWRS!D$13/30</f>
        <v>0</v>
      </c>
      <c r="O337" s="16">
        <f>Demand_CWRS!E$13/30</f>
        <v>105.42606837606837</v>
      </c>
      <c r="P337" s="16">
        <f>Demand_CWRS!F$13/30</f>
        <v>220.33041399572647</v>
      </c>
      <c r="Q337" s="16">
        <f>Demand_CWRS!G$13/30</f>
        <v>111.92954594017094</v>
      </c>
      <c r="R337" s="16">
        <f>Demand_CWRS!H$13/30</f>
        <v>220.33041399572647</v>
      </c>
      <c r="S337" s="16">
        <f>Demand_CWRS!I$13/30</f>
        <v>220.33041399572647</v>
      </c>
      <c r="T337" s="16">
        <f>Demand_CWRS!J$13/30</f>
        <v>220.33041399572647</v>
      </c>
      <c r="U337" s="16">
        <f>Demand_CWRS!K$13/30</f>
        <v>220.33041399572647</v>
      </c>
      <c r="V337" s="16">
        <f t="shared" si="156"/>
        <v>-37951.50096047335</v>
      </c>
      <c r="W337" s="16">
        <f t="shared" si="157"/>
        <v>-152609.09487179448</v>
      </c>
      <c r="X337" s="16">
        <f t="shared" si="158"/>
        <v>0</v>
      </c>
      <c r="Y337" s="16">
        <f t="shared" si="159"/>
        <v>-29303.212447257403</v>
      </c>
      <c r="Z337" s="16">
        <f t="shared" si="160"/>
        <v>-67141.227857229853</v>
      </c>
      <c r="AA337" s="16">
        <f t="shared" si="161"/>
        <v>-36479.568436434965</v>
      </c>
      <c r="AB337" s="16">
        <f t="shared" si="162"/>
        <v>-71450.392632870949</v>
      </c>
      <c r="AC337" s="16">
        <f t="shared" si="163"/>
        <v>-65657.382376460577</v>
      </c>
      <c r="AD337" s="16">
        <f t="shared" si="164"/>
        <v>-65757.382376460577</v>
      </c>
      <c r="AE337" s="16">
        <f t="shared" si="165"/>
        <v>-66357.382376460577</v>
      </c>
      <c r="AF337" s="14">
        <f>IF([1]Sheet2!AJ336=999999,"NA",[1]Sheet2!AJ336)</f>
        <v>0</v>
      </c>
      <c r="AG337" s="14">
        <f>IF([1]Sheet2!AK336=999999,"NA",[1]Sheet2!AK336)</f>
        <v>0</v>
      </c>
      <c r="AH337" s="14" t="str">
        <f>IF([1]Sheet2!AL336=999999,"NA",[1]Sheet2!AL336)</f>
        <v>NA</v>
      </c>
      <c r="AI337" s="14">
        <f>IF([1]Sheet2!AM336=999999,"NA",[1]Sheet2!AM336)</f>
        <v>0</v>
      </c>
      <c r="AJ337" s="14">
        <f>IF([1]Sheet2!AN336=999999,"NA",[1]Sheet2!AN336)</f>
        <v>0</v>
      </c>
      <c r="AK337" s="14">
        <f>IF([1]Sheet2!AO336=999999,"NA",[1]Sheet2!AO336)</f>
        <v>0</v>
      </c>
      <c r="AL337" s="14">
        <f>IF([1]Sheet2!AP336=999999,"NA",[1]Sheet2!AP336)</f>
        <v>0</v>
      </c>
      <c r="AM337" s="14">
        <f>IF([1]Sheet2!AQ336=999999,"NA",[1]Sheet2!AQ336)</f>
        <v>0</v>
      </c>
      <c r="AN337" s="14">
        <f>IF([1]Sheet2!AR336=999999,"NA",[1]Sheet2!AR336)</f>
        <v>0</v>
      </c>
      <c r="AO337" s="14">
        <f>IF([1]Sheet2!AS336=999999,"NA",[1]Sheet2!AS336)</f>
        <v>0</v>
      </c>
      <c r="AP337" s="14">
        <f>[1]Sheet2!P336</f>
        <v>0</v>
      </c>
      <c r="AQ337" s="14">
        <f>[1]Sheet2!Q336</f>
        <v>0</v>
      </c>
      <c r="AR337" s="14">
        <f>[1]Sheet2!R336</f>
        <v>0</v>
      </c>
      <c r="AS337" s="14">
        <f>[1]Sheet2!S336</f>
        <v>0</v>
      </c>
      <c r="AT337" s="14">
        <f>[1]Sheet2!T336</f>
        <v>0</v>
      </c>
      <c r="AU337" s="14">
        <f>[1]Sheet2!U336</f>
        <v>0</v>
      </c>
      <c r="AV337" s="14">
        <f>[1]Sheet2!V336</f>
        <v>0</v>
      </c>
      <c r="AW337" s="14">
        <f>[1]Sheet2!W336</f>
        <v>0</v>
      </c>
      <c r="AX337" s="14">
        <f>[1]Sheet2!X336</f>
        <v>0</v>
      </c>
      <c r="AY337" s="14">
        <f>[1]Sheet2!Y336</f>
        <v>0</v>
      </c>
      <c r="AZ337" s="16">
        <f>Demand_LP!B$13/30</f>
        <v>849.16414262820524</v>
      </c>
      <c r="BA337" s="16">
        <f>Demand_LP!C$13/30</f>
        <v>632.84239316239314</v>
      </c>
      <c r="BB337" s="16">
        <f>Demand_LP!D$13/30</f>
        <v>269.64247863247863</v>
      </c>
      <c r="BC337" s="16">
        <f>Demand_LP!E$13/30</f>
        <v>815.03102564102551</v>
      </c>
      <c r="BD337" s="16">
        <f>Demand_LP!F$13/30</f>
        <v>536.05500267094021</v>
      </c>
      <c r="BE337" s="16">
        <f>Demand_LP!G$13/30</f>
        <v>536.05500267094021</v>
      </c>
      <c r="BF337" s="16">
        <f>Demand_LP!H$13/30</f>
        <v>632.84239316239314</v>
      </c>
      <c r="BG337" s="16">
        <f>Demand_LP!I$13/30</f>
        <v>536.05500267094021</v>
      </c>
      <c r="BH337" s="16">
        <f>Demand_LP!J$13/30</f>
        <v>536.05500267094021</v>
      </c>
      <c r="BI337" s="16">
        <f>Demand_LP!K$13/30</f>
        <v>536.05500267094021</v>
      </c>
      <c r="BJ337" s="16">
        <f t="shared" si="166"/>
        <v>-251079.31981707385</v>
      </c>
      <c r="BK337" s="16">
        <f t="shared" si="167"/>
        <v>-189097.77692307677</v>
      </c>
      <c r="BL337" s="16">
        <f t="shared" si="168"/>
        <v>-90193.751282051628</v>
      </c>
      <c r="BM337" s="16">
        <f t="shared" si="169"/>
        <v>-242418.40254787289</v>
      </c>
      <c r="BN337" s="16">
        <f t="shared" si="170"/>
        <v>-148729.94245983459</v>
      </c>
      <c r="BO337" s="16">
        <f t="shared" si="171"/>
        <v>-147187.62637820537</v>
      </c>
      <c r="BP337" s="16">
        <f t="shared" si="172"/>
        <v>-183455.35641025612</v>
      </c>
      <c r="BQ337" s="16">
        <f t="shared" si="173"/>
        <v>-143016.6263782054</v>
      </c>
      <c r="BR337" s="16">
        <f t="shared" si="174"/>
        <v>-144787.62637820543</v>
      </c>
      <c r="BS337" s="16">
        <f t="shared" si="175"/>
        <v>-145487.62637820543</v>
      </c>
      <c r="BT337" s="14">
        <f>IF([1]Sheet2!CB336=999999,"NA",[1]Sheet2!CB336)</f>
        <v>0</v>
      </c>
      <c r="BU337" s="14">
        <f>IF([1]Sheet2!CC336=999999,"NA",[1]Sheet2!CC336)</f>
        <v>0</v>
      </c>
      <c r="BV337" s="14">
        <f>IF([1]Sheet2!CD336=999999,"NA",[1]Sheet2!CD336)</f>
        <v>0</v>
      </c>
      <c r="BW337" s="14">
        <f>IF([1]Sheet2!CE336=999999,"NA",[1]Sheet2!CE336)</f>
        <v>0</v>
      </c>
      <c r="BX337" s="14">
        <f>IF([1]Sheet2!CF336=999999,"NA",[1]Sheet2!CF336)</f>
        <v>0</v>
      </c>
      <c r="BY337" s="14">
        <f>IF([1]Sheet2!CG336=999999,"NA",[1]Sheet2!CG336)</f>
        <v>0</v>
      </c>
      <c r="BZ337" s="14">
        <f>IF([1]Sheet2!CH336=999999,"NA",[1]Sheet2!CH336)</f>
        <v>0</v>
      </c>
      <c r="CA337" s="14">
        <f>IF([1]Sheet2!CI336=999999,"NA",[1]Sheet2!CI336)</f>
        <v>0</v>
      </c>
      <c r="CB337" s="14">
        <f>IF([1]Sheet2!CJ336=999999,"NA",[1]Sheet2!CJ336)</f>
        <v>0</v>
      </c>
      <c r="CC337" s="14">
        <f>IF([1]Sheet2!CK336=999999,"NA",[1]Sheet2!CK336)</f>
        <v>0</v>
      </c>
      <c r="CD337" s="14">
        <f>[1]Sheet2!BH336</f>
        <v>0</v>
      </c>
      <c r="CE337" s="14">
        <f>[1]Sheet2!BI336</f>
        <v>0</v>
      </c>
      <c r="CF337" s="14">
        <f>[1]Sheet2!BJ336</f>
        <v>0</v>
      </c>
      <c r="CG337" s="14">
        <f>[1]Sheet2!BK336</f>
        <v>0</v>
      </c>
      <c r="CH337" s="14">
        <f>[1]Sheet2!BL336</f>
        <v>0</v>
      </c>
      <c r="CI337" s="14">
        <f>[1]Sheet2!BM336</f>
        <v>0</v>
      </c>
      <c r="CJ337" s="14">
        <f>[1]Sheet2!BN336</f>
        <v>0</v>
      </c>
      <c r="CK337" s="14">
        <f>[1]Sheet2!BO336</f>
        <v>0</v>
      </c>
      <c r="CL337" s="14">
        <f>[1]Sheet2!BP336</f>
        <v>0</v>
      </c>
      <c r="CM337" s="14">
        <f>[1]Sheet2!BQ336</f>
        <v>0</v>
      </c>
      <c r="CN337" s="16">
        <f>Demand_SW!B$13/30</f>
        <v>144.23076923076923</v>
      </c>
      <c r="CO337" s="16">
        <f>Demand_SW!C$13/30</f>
        <v>0</v>
      </c>
      <c r="CP337" s="16">
        <f>Demand_SW!D$13/30</f>
        <v>0</v>
      </c>
      <c r="CQ337" s="16">
        <f>Demand_SW!E$13/30</f>
        <v>0</v>
      </c>
      <c r="CR337" s="16">
        <f>Demand_SW!F$13/30</f>
        <v>0</v>
      </c>
      <c r="CS337" s="16">
        <f>Demand_SW!G$13/30</f>
        <v>144.23076923076923</v>
      </c>
      <c r="CT337" s="16">
        <f>Demand_SW!H$13/30</f>
        <v>0</v>
      </c>
      <c r="CU337" s="16">
        <f>Demand_SW!I$13/30</f>
        <v>0</v>
      </c>
      <c r="CV337" s="16">
        <f>Demand_SW!J$13/30</f>
        <v>0</v>
      </c>
      <c r="CW337" s="16">
        <f>Demand_SW!K$13/30</f>
        <v>0</v>
      </c>
      <c r="CX337" s="16">
        <f t="shared" si="176"/>
        <v>-22701.538461538505</v>
      </c>
      <c r="CY337" s="16">
        <f t="shared" si="177"/>
        <v>76.923076923077133</v>
      </c>
      <c r="CZ337" s="16">
        <f t="shared" si="178"/>
        <v>0</v>
      </c>
      <c r="DA337" s="16">
        <f t="shared" si="179"/>
        <v>0</v>
      </c>
      <c r="DB337" s="16">
        <f t="shared" si="180"/>
        <v>0</v>
      </c>
      <c r="DC337" s="16">
        <f t="shared" si="181"/>
        <v>-23932.769230769274</v>
      </c>
      <c r="DD337" s="16">
        <f t="shared" si="182"/>
        <v>76.923076923077133</v>
      </c>
      <c r="DE337" s="16">
        <f t="shared" si="183"/>
        <v>0</v>
      </c>
      <c r="DF337" s="16">
        <f t="shared" si="184"/>
        <v>0</v>
      </c>
      <c r="DG337" s="16">
        <f t="shared" si="185"/>
        <v>0</v>
      </c>
      <c r="DH337" s="14">
        <f>IF([1]Sheet2!DS336=999999,"NA",[1]Sheet2!DS336)</f>
        <v>0</v>
      </c>
      <c r="DI337" s="14">
        <f>IF([1]Sheet2!DT336=999999,"NA",[1]Sheet2!DT336)</f>
        <v>31</v>
      </c>
      <c r="DJ337" s="14" t="str">
        <f>IF([1]Sheet2!DU336=999999,"NA",[1]Sheet2!DU336)</f>
        <v>NA</v>
      </c>
      <c r="DK337" s="14" t="str">
        <f>IF([1]Sheet2!DV336=999999,"NA",[1]Sheet2!DV336)</f>
        <v>NA</v>
      </c>
      <c r="DL337" s="14" t="str">
        <f>IF([1]Sheet2!DW336=999999,"NA",[1]Sheet2!DW336)</f>
        <v>NA</v>
      </c>
      <c r="DM337" s="14">
        <f>IF([1]Sheet2!DX336=999999,"NA",[1]Sheet2!DX336)</f>
        <v>0</v>
      </c>
      <c r="DN337" s="14">
        <f>IF([1]Sheet2!DY336=999999,"NA",[1]Sheet2!DY336)</f>
        <v>31</v>
      </c>
      <c r="DO337" s="14" t="str">
        <f>IF([1]Sheet2!DZ336=999999,"NA",[1]Sheet2!DZ336)</f>
        <v>NA</v>
      </c>
      <c r="DP337" s="14" t="str">
        <f>IF([1]Sheet2!EA336=999999,"NA",[1]Sheet2!EA336)</f>
        <v>NA</v>
      </c>
      <c r="DQ337" s="14" t="str">
        <f>IF([1]Sheet2!EB336=999999,"NA",[1]Sheet2!EB336)</f>
        <v>NA</v>
      </c>
      <c r="DR337" s="14">
        <f>[1]Sheet2!CY336</f>
        <v>0</v>
      </c>
      <c r="DS337" s="14">
        <f>[1]Sheet2!CZ336</f>
        <v>0</v>
      </c>
      <c r="DT337" s="14">
        <f>[1]Sheet2!DA336</f>
        <v>0</v>
      </c>
      <c r="DU337" s="14">
        <f>[1]Sheet2!DB336</f>
        <v>0</v>
      </c>
      <c r="DV337" s="14">
        <f>[1]Sheet2!DC336</f>
        <v>0</v>
      </c>
      <c r="DW337" s="14">
        <f>[1]Sheet2!DD336</f>
        <v>0</v>
      </c>
      <c r="DX337" s="14">
        <f>[1]Sheet2!DE336</f>
        <v>0</v>
      </c>
      <c r="DY337" s="14">
        <f>[1]Sheet2!DF336</f>
        <v>0</v>
      </c>
      <c r="DZ337" s="14">
        <f>[1]Sheet2!DG336</f>
        <v>0</v>
      </c>
      <c r="EA337" s="14">
        <f>[1]Sheet2!DH336</f>
        <v>0</v>
      </c>
      <c r="EB337" s="6">
        <f>[1]Sheet2!EC336</f>
        <v>0</v>
      </c>
      <c r="EC337" s="6">
        <f>[1]Sheet2!ED336</f>
        <v>0</v>
      </c>
      <c r="ED337" s="6">
        <f>[1]Sheet2!EE336</f>
        <v>0</v>
      </c>
      <c r="EE337" s="6">
        <f>[1]Sheet2!EF336</f>
        <v>0</v>
      </c>
      <c r="EF337" s="6">
        <f>[1]Sheet2!EG336</f>
        <v>0</v>
      </c>
      <c r="EG337" s="6">
        <f>[1]Sheet2!EH336</f>
        <v>0</v>
      </c>
      <c r="EH337" s="6">
        <f>[1]Sheet2!EI336</f>
        <v>0</v>
      </c>
      <c r="EI337" s="6">
        <f>[1]Sheet2!EJ336</f>
        <v>0</v>
      </c>
      <c r="EJ337" s="6">
        <f>[1]Sheet2!EK336</f>
        <v>0</v>
      </c>
      <c r="EK337" s="6">
        <f>[1]Sheet2!EL336</f>
        <v>0</v>
      </c>
      <c r="EL337" s="6" t="str">
        <f>[1]Sheet2!EM336</f>
        <v/>
      </c>
      <c r="EM337" s="6" t="str">
        <f>[1]Sheet2!EN336</f>
        <v/>
      </c>
      <c r="EN337" s="6" t="str">
        <f>[1]Sheet2!EO336</f>
        <v/>
      </c>
      <c r="EO337" s="6" t="str">
        <f>[1]Sheet2!EP336</f>
        <v/>
      </c>
      <c r="EP337" s="6" t="str">
        <f>[1]Sheet2!EQ336</f>
        <v/>
      </c>
      <c r="EQ337" s="6" t="str">
        <f>[1]Sheet2!ER336</f>
        <v/>
      </c>
      <c r="ER337" s="6" t="str">
        <f>[1]Sheet2!ES336</f>
        <v/>
      </c>
      <c r="ES337" s="6" t="str">
        <f>[1]Sheet2!ET336</f>
        <v/>
      </c>
      <c r="ET337" s="6" t="str">
        <f>[1]Sheet2!EU336</f>
        <v/>
      </c>
      <c r="EU337" s="6" t="str">
        <f>[1]Sheet2!EV336</f>
        <v/>
      </c>
      <c r="EV337" s="6" t="str">
        <f>[1]Sheet2!EW336</f>
        <v/>
      </c>
      <c r="EW337" s="6" t="str">
        <f>[1]Sheet2!EX336</f>
        <v/>
      </c>
      <c r="EX337" s="6" t="str">
        <f>[1]Sheet2!EY336</f>
        <v/>
      </c>
      <c r="EY337" s="6" t="str">
        <f>[1]Sheet2!EZ336</f>
        <v/>
      </c>
      <c r="EZ337" s="6" t="str">
        <f>[1]Sheet2!FA336</f>
        <v/>
      </c>
      <c r="FA337" s="6" t="str">
        <f>[1]Sheet2!FB336</f>
        <v/>
      </c>
      <c r="FB337" s="6" t="str">
        <f>[1]Sheet2!FC336</f>
        <v/>
      </c>
      <c r="FC337" s="6" t="str">
        <f>[1]Sheet2!FD336</f>
        <v/>
      </c>
      <c r="FD337" s="6" t="str">
        <f>[1]Sheet2!FE336</f>
        <v/>
      </c>
      <c r="FE337" s="6" t="str">
        <f>[1]Sheet2!FF336</f>
        <v/>
      </c>
      <c r="FF337" s="6" t="str">
        <f>[1]Sheet2!FG336</f>
        <v/>
      </c>
      <c r="FG337" s="6" t="str">
        <f>[1]Sheet2!FH336</f>
        <v/>
      </c>
      <c r="FH337" s="6" t="str">
        <f>[1]Sheet2!FI336</f>
        <v/>
      </c>
      <c r="FI337" s="6" t="str">
        <f>[1]Sheet2!FJ336</f>
        <v/>
      </c>
      <c r="FJ337" s="6" t="str">
        <f>[1]Sheet2!FK336</f>
        <v/>
      </c>
      <c r="FK337" s="6" t="str">
        <f>[1]Sheet2!FL336</f>
        <v/>
      </c>
      <c r="FL337" s="6" t="str">
        <f>[1]Sheet2!FM336</f>
        <v/>
      </c>
      <c r="FM337" s="6" t="str">
        <f>[1]Sheet2!FN336</f>
        <v/>
      </c>
      <c r="FN337" s="6" t="str">
        <f>[1]Sheet2!FO336</f>
        <v/>
      </c>
      <c r="FO337" s="6" t="str">
        <f>[1]Sheet2!FP336</f>
        <v/>
      </c>
    </row>
    <row r="338" spans="1:171" x14ac:dyDescent="0.25">
      <c r="A338" s="15">
        <v>43800</v>
      </c>
      <c r="B338" s="1"/>
      <c r="C338" s="1"/>
      <c r="D338" s="1"/>
      <c r="E338" s="14">
        <f>[1]Sheet2!N337</f>
        <v>0</v>
      </c>
      <c r="F338" s="14">
        <f>[1]Sheet2!BE337</f>
        <v>48000</v>
      </c>
      <c r="G338" s="14">
        <f>[1]Sheet2!CW337</f>
        <v>0</v>
      </c>
      <c r="H338" s="1"/>
      <c r="I338" s="1"/>
      <c r="J338" s="1"/>
      <c r="K338" s="16"/>
      <c r="L338" s="16">
        <f>Demand_CWRS!B$14/31</f>
        <v>95.176711124896599</v>
      </c>
      <c r="M338" s="16">
        <f>Demand_CWRS!C$14/31</f>
        <v>526.22795698924722</v>
      </c>
      <c r="N338" s="16">
        <f>Demand_CWRS!D$14/31</f>
        <v>0</v>
      </c>
      <c r="O338" s="16">
        <f>Demand_CWRS!E$14/31</f>
        <v>102.37076095947063</v>
      </c>
      <c r="P338" s="16">
        <f>Demand_CWRS!F$14/31</f>
        <v>219.86823562861866</v>
      </c>
      <c r="Q338" s="16">
        <f>Demand_CWRS!G$14/31</f>
        <v>95.176711124896599</v>
      </c>
      <c r="R338" s="16">
        <f>Demand_CWRS!H$14/31</f>
        <v>219.86823562861866</v>
      </c>
      <c r="S338" s="16">
        <f>Demand_CWRS!I$14/31</f>
        <v>219.86823562861866</v>
      </c>
      <c r="T338" s="16">
        <f>Demand_CWRS!J$14/31</f>
        <v>219.86823562861866</v>
      </c>
      <c r="U338" s="16">
        <f>Demand_CWRS!K$14/31</f>
        <v>219.86823562861866</v>
      </c>
      <c r="V338" s="16">
        <f t="shared" si="156"/>
        <v>-38046.677671598249</v>
      </c>
      <c r="W338" s="16">
        <f t="shared" si="157"/>
        <v>-153135.32282878374</v>
      </c>
      <c r="X338" s="16">
        <f t="shared" si="158"/>
        <v>0</v>
      </c>
      <c r="Y338" s="16">
        <f t="shared" si="159"/>
        <v>-29405.583208216874</v>
      </c>
      <c r="Z338" s="16">
        <f t="shared" si="160"/>
        <v>-67361.096092858468</v>
      </c>
      <c r="AA338" s="16">
        <f t="shared" si="161"/>
        <v>-36574.745147559865</v>
      </c>
      <c r="AB338" s="16">
        <f t="shared" si="162"/>
        <v>-71670.260868499565</v>
      </c>
      <c r="AC338" s="16">
        <f t="shared" si="163"/>
        <v>-65877.250612089192</v>
      </c>
      <c r="AD338" s="16">
        <f t="shared" si="164"/>
        <v>-65977.250612089192</v>
      </c>
      <c r="AE338" s="16">
        <f t="shared" si="165"/>
        <v>-66577.250612089192</v>
      </c>
      <c r="AF338" s="14">
        <f>IF([1]Sheet2!AJ337=999999,"NA",[1]Sheet2!AJ337)</f>
        <v>0</v>
      </c>
      <c r="AG338" s="14">
        <f>IF([1]Sheet2!AK337=999999,"NA",[1]Sheet2!AK337)</f>
        <v>0</v>
      </c>
      <c r="AH338" s="14" t="str">
        <f>IF([1]Sheet2!AL337=999999,"NA",[1]Sheet2!AL337)</f>
        <v>NA</v>
      </c>
      <c r="AI338" s="14">
        <f>IF([1]Sheet2!AM337=999999,"NA",[1]Sheet2!AM337)</f>
        <v>0</v>
      </c>
      <c r="AJ338" s="14">
        <f>IF([1]Sheet2!AN337=999999,"NA",[1]Sheet2!AN337)</f>
        <v>0</v>
      </c>
      <c r="AK338" s="14">
        <f>IF([1]Sheet2!AO337=999999,"NA",[1]Sheet2!AO337)</f>
        <v>0</v>
      </c>
      <c r="AL338" s="14">
        <f>IF([1]Sheet2!AP337=999999,"NA",[1]Sheet2!AP337)</f>
        <v>0</v>
      </c>
      <c r="AM338" s="14">
        <f>IF([1]Sheet2!AQ337=999999,"NA",[1]Sheet2!AQ337)</f>
        <v>0</v>
      </c>
      <c r="AN338" s="14">
        <f>IF([1]Sheet2!AR337=999999,"NA",[1]Sheet2!AR337)</f>
        <v>0</v>
      </c>
      <c r="AO338" s="14">
        <f>IF([1]Sheet2!AS337=999999,"NA",[1]Sheet2!AS337)</f>
        <v>0</v>
      </c>
      <c r="AP338" s="14">
        <f>[1]Sheet2!P337</f>
        <v>0</v>
      </c>
      <c r="AQ338" s="14">
        <f>[1]Sheet2!Q337</f>
        <v>0</v>
      </c>
      <c r="AR338" s="14">
        <f>[1]Sheet2!R337</f>
        <v>0</v>
      </c>
      <c r="AS338" s="14">
        <f>[1]Sheet2!S337</f>
        <v>0</v>
      </c>
      <c r="AT338" s="14">
        <f>[1]Sheet2!T337</f>
        <v>0</v>
      </c>
      <c r="AU338" s="14">
        <f>[1]Sheet2!U337</f>
        <v>0</v>
      </c>
      <c r="AV338" s="14">
        <f>[1]Sheet2!V337</f>
        <v>0</v>
      </c>
      <c r="AW338" s="14">
        <f>[1]Sheet2!W337</f>
        <v>0</v>
      </c>
      <c r="AX338" s="14">
        <f>[1]Sheet2!X337</f>
        <v>0</v>
      </c>
      <c r="AY338" s="14">
        <f>[1]Sheet2!Y337</f>
        <v>0</v>
      </c>
      <c r="AZ338" s="16">
        <f>Demand_LP!B$14/31</f>
        <v>868.56315911910667</v>
      </c>
      <c r="BA338" s="16">
        <f>Demand_LP!C$14/31</f>
        <v>608.40066170388752</v>
      </c>
      <c r="BB338" s="16">
        <f>Demand_LP!D$14/31</f>
        <v>251.20087262200158</v>
      </c>
      <c r="BC338" s="16">
        <f>Demand_LP!E$14/31</f>
        <v>807.45938378825463</v>
      </c>
      <c r="BD338" s="16">
        <f>Demand_LP!F$14/31</f>
        <v>539.59842069892466</v>
      </c>
      <c r="BE338" s="16">
        <f>Demand_LP!G$14/31</f>
        <v>539.59842069892466</v>
      </c>
      <c r="BF338" s="16">
        <f>Demand_LP!H$14/31</f>
        <v>608.40066170388752</v>
      </c>
      <c r="BG338" s="16">
        <f>Demand_LP!I$14/31</f>
        <v>539.59842069892466</v>
      </c>
      <c r="BH338" s="16">
        <f>Demand_LP!J$14/31</f>
        <v>539.59842069892466</v>
      </c>
      <c r="BI338" s="16">
        <f>Demand_LP!K$14/31</f>
        <v>539.59842069892466</v>
      </c>
      <c r="BJ338" s="16">
        <f t="shared" si="166"/>
        <v>-251947.88297619295</v>
      </c>
      <c r="BK338" s="16">
        <f t="shared" si="167"/>
        <v>-189706.17758478067</v>
      </c>
      <c r="BL338" s="16">
        <f t="shared" si="168"/>
        <v>-90444.952154673636</v>
      </c>
      <c r="BM338" s="16">
        <f t="shared" si="169"/>
        <v>-243225.86193166114</v>
      </c>
      <c r="BN338" s="16">
        <f t="shared" si="170"/>
        <v>-149269.54088053352</v>
      </c>
      <c r="BO338" s="16">
        <f t="shared" si="171"/>
        <v>-147727.2247989043</v>
      </c>
      <c r="BP338" s="16">
        <f t="shared" si="172"/>
        <v>-184063.75707196002</v>
      </c>
      <c r="BQ338" s="16">
        <f t="shared" si="173"/>
        <v>-143556.22479890432</v>
      </c>
      <c r="BR338" s="16">
        <f t="shared" si="174"/>
        <v>-145327.22479890435</v>
      </c>
      <c r="BS338" s="16">
        <f t="shared" si="175"/>
        <v>-146027.22479890435</v>
      </c>
      <c r="BT338" s="14">
        <f>IF([1]Sheet2!CB337=999999,"NA",[1]Sheet2!CB337)</f>
        <v>0</v>
      </c>
      <c r="BU338" s="14">
        <f>IF([1]Sheet2!CC337=999999,"NA",[1]Sheet2!CC337)</f>
        <v>0</v>
      </c>
      <c r="BV338" s="14">
        <f>IF([1]Sheet2!CD337=999999,"NA",[1]Sheet2!CD337)</f>
        <v>0</v>
      </c>
      <c r="BW338" s="14">
        <f>IF([1]Sheet2!CE337=999999,"NA",[1]Sheet2!CE337)</f>
        <v>0</v>
      </c>
      <c r="BX338" s="14">
        <f>IF([1]Sheet2!CF337=999999,"NA",[1]Sheet2!CF337)</f>
        <v>0</v>
      </c>
      <c r="BY338" s="14">
        <f>IF([1]Sheet2!CG337=999999,"NA",[1]Sheet2!CG337)</f>
        <v>0</v>
      </c>
      <c r="BZ338" s="14">
        <f>IF([1]Sheet2!CH337=999999,"NA",[1]Sheet2!CH337)</f>
        <v>0</v>
      </c>
      <c r="CA338" s="14">
        <f>IF([1]Sheet2!CI337=999999,"NA",[1]Sheet2!CI337)</f>
        <v>0</v>
      </c>
      <c r="CB338" s="14">
        <f>IF([1]Sheet2!CJ337=999999,"NA",[1]Sheet2!CJ337)</f>
        <v>0</v>
      </c>
      <c r="CC338" s="14">
        <f>IF([1]Sheet2!CK337=999999,"NA",[1]Sheet2!CK337)</f>
        <v>0</v>
      </c>
      <c r="CD338" s="14">
        <f>[1]Sheet2!BH337</f>
        <v>0</v>
      </c>
      <c r="CE338" s="14">
        <f>[1]Sheet2!BI337</f>
        <v>0</v>
      </c>
      <c r="CF338" s="14">
        <f>[1]Sheet2!BJ337</f>
        <v>0</v>
      </c>
      <c r="CG338" s="14">
        <f>[1]Sheet2!BK337</f>
        <v>0</v>
      </c>
      <c r="CH338" s="14">
        <f>[1]Sheet2!BL337</f>
        <v>0</v>
      </c>
      <c r="CI338" s="14">
        <f>[1]Sheet2!BM337</f>
        <v>0</v>
      </c>
      <c r="CJ338" s="14">
        <f>[1]Sheet2!BN337</f>
        <v>0</v>
      </c>
      <c r="CK338" s="14">
        <f>[1]Sheet2!BO337</f>
        <v>0</v>
      </c>
      <c r="CL338" s="14">
        <f>[1]Sheet2!BP337</f>
        <v>0</v>
      </c>
      <c r="CM338" s="14">
        <f>[1]Sheet2!BQ337</f>
        <v>0</v>
      </c>
      <c r="CN338" s="16">
        <f>Demand_SW!B$14/31</f>
        <v>139.57816377171216</v>
      </c>
      <c r="CO338" s="16">
        <f>Demand_SW!C$14/31</f>
        <v>0</v>
      </c>
      <c r="CP338" s="16">
        <f>Demand_SW!D$14/31</f>
        <v>0</v>
      </c>
      <c r="CQ338" s="16">
        <f>Demand_SW!E$14/31</f>
        <v>0</v>
      </c>
      <c r="CR338" s="16">
        <f>Demand_SW!F$14/31</f>
        <v>0</v>
      </c>
      <c r="CS338" s="16">
        <f>Demand_SW!G$14/31</f>
        <v>139.57816377171216</v>
      </c>
      <c r="CT338" s="16">
        <f>Demand_SW!H$14/31</f>
        <v>0</v>
      </c>
      <c r="CU338" s="16">
        <f>Demand_SW!I$14/31</f>
        <v>0</v>
      </c>
      <c r="CV338" s="16">
        <f>Demand_SW!J$14/31</f>
        <v>0</v>
      </c>
      <c r="CW338" s="16">
        <f>Demand_SW!K$14/31</f>
        <v>0</v>
      </c>
      <c r="CX338" s="16">
        <f t="shared" si="176"/>
        <v>-22841.116625310216</v>
      </c>
      <c r="CY338" s="16">
        <f t="shared" si="177"/>
        <v>76.923076923077133</v>
      </c>
      <c r="CZ338" s="16">
        <f t="shared" si="178"/>
        <v>0</v>
      </c>
      <c r="DA338" s="16">
        <f t="shared" si="179"/>
        <v>0</v>
      </c>
      <c r="DB338" s="16">
        <f t="shared" si="180"/>
        <v>0</v>
      </c>
      <c r="DC338" s="16">
        <f t="shared" si="181"/>
        <v>-24072.347394540986</v>
      </c>
      <c r="DD338" s="16">
        <f t="shared" si="182"/>
        <v>76.923076923077133</v>
      </c>
      <c r="DE338" s="16">
        <f t="shared" si="183"/>
        <v>0</v>
      </c>
      <c r="DF338" s="16">
        <f t="shared" si="184"/>
        <v>0</v>
      </c>
      <c r="DG338" s="16">
        <f t="shared" si="185"/>
        <v>0</v>
      </c>
      <c r="DH338" s="14">
        <f>IF([1]Sheet2!DS337=999999,"NA",[1]Sheet2!DS337)</f>
        <v>0</v>
      </c>
      <c r="DI338" s="14">
        <f>IF([1]Sheet2!DT337=999999,"NA",[1]Sheet2!DT337)</f>
        <v>30</v>
      </c>
      <c r="DJ338" s="14" t="str">
        <f>IF([1]Sheet2!DU337=999999,"NA",[1]Sheet2!DU337)</f>
        <v>NA</v>
      </c>
      <c r="DK338" s="14" t="str">
        <f>IF([1]Sheet2!DV337=999999,"NA",[1]Sheet2!DV337)</f>
        <v>NA</v>
      </c>
      <c r="DL338" s="14" t="str">
        <f>IF([1]Sheet2!DW337=999999,"NA",[1]Sheet2!DW337)</f>
        <v>NA</v>
      </c>
      <c r="DM338" s="14">
        <f>IF([1]Sheet2!DX337=999999,"NA",[1]Sheet2!DX337)</f>
        <v>0</v>
      </c>
      <c r="DN338" s="14">
        <f>IF([1]Sheet2!DY337=999999,"NA",[1]Sheet2!DY337)</f>
        <v>30</v>
      </c>
      <c r="DO338" s="14" t="str">
        <f>IF([1]Sheet2!DZ337=999999,"NA",[1]Sheet2!DZ337)</f>
        <v>NA</v>
      </c>
      <c r="DP338" s="14" t="str">
        <f>IF([1]Sheet2!EA337=999999,"NA",[1]Sheet2!EA337)</f>
        <v>NA</v>
      </c>
      <c r="DQ338" s="14" t="str">
        <f>IF([1]Sheet2!EB337=999999,"NA",[1]Sheet2!EB337)</f>
        <v>NA</v>
      </c>
      <c r="DR338" s="14">
        <f>[1]Sheet2!CY337</f>
        <v>0</v>
      </c>
      <c r="DS338" s="14">
        <f>[1]Sheet2!CZ337</f>
        <v>0</v>
      </c>
      <c r="DT338" s="14">
        <f>[1]Sheet2!DA337</f>
        <v>0</v>
      </c>
      <c r="DU338" s="14">
        <f>[1]Sheet2!DB337</f>
        <v>0</v>
      </c>
      <c r="DV338" s="14">
        <f>[1]Sheet2!DC337</f>
        <v>0</v>
      </c>
      <c r="DW338" s="14">
        <f>[1]Sheet2!DD337</f>
        <v>0</v>
      </c>
      <c r="DX338" s="14">
        <f>[1]Sheet2!DE337</f>
        <v>0</v>
      </c>
      <c r="DY338" s="14">
        <f>[1]Sheet2!DF337</f>
        <v>0</v>
      </c>
      <c r="DZ338" s="14">
        <f>[1]Sheet2!DG337</f>
        <v>0</v>
      </c>
      <c r="EA338" s="14">
        <f>[1]Sheet2!DH337</f>
        <v>0</v>
      </c>
      <c r="EB338" s="6">
        <f>[1]Sheet2!EC337</f>
        <v>0</v>
      </c>
      <c r="EC338" s="6">
        <f>[1]Sheet2!ED337</f>
        <v>0</v>
      </c>
      <c r="ED338" s="6">
        <f>[1]Sheet2!EE337</f>
        <v>0</v>
      </c>
      <c r="EE338" s="6">
        <f>[1]Sheet2!EF337</f>
        <v>0</v>
      </c>
      <c r="EF338" s="6">
        <f>[1]Sheet2!EG337</f>
        <v>0</v>
      </c>
      <c r="EG338" s="6">
        <f>[1]Sheet2!EH337</f>
        <v>0</v>
      </c>
      <c r="EH338" s="6">
        <f>[1]Sheet2!EI337</f>
        <v>0</v>
      </c>
      <c r="EI338" s="6">
        <f>[1]Sheet2!EJ337</f>
        <v>0</v>
      </c>
      <c r="EJ338" s="6">
        <f>[1]Sheet2!EK337</f>
        <v>0</v>
      </c>
      <c r="EK338" s="6">
        <f>[1]Sheet2!EL337</f>
        <v>0</v>
      </c>
      <c r="EL338" s="6" t="str">
        <f>[1]Sheet2!EM337</f>
        <v/>
      </c>
      <c r="EM338" s="6" t="str">
        <f>[1]Sheet2!EN337</f>
        <v/>
      </c>
      <c r="EN338" s="6" t="str">
        <f>[1]Sheet2!EO337</f>
        <v/>
      </c>
      <c r="EO338" s="6" t="str">
        <f>[1]Sheet2!EP337</f>
        <v/>
      </c>
      <c r="EP338" s="6" t="str">
        <f>[1]Sheet2!EQ337</f>
        <v/>
      </c>
      <c r="EQ338" s="6" t="str">
        <f>[1]Sheet2!ER337</f>
        <v/>
      </c>
      <c r="ER338" s="6" t="str">
        <f>[1]Sheet2!ES337</f>
        <v/>
      </c>
      <c r="ES338" s="6" t="str">
        <f>[1]Sheet2!ET337</f>
        <v/>
      </c>
      <c r="ET338" s="6" t="str">
        <f>[1]Sheet2!EU337</f>
        <v/>
      </c>
      <c r="EU338" s="6" t="str">
        <f>[1]Sheet2!EV337</f>
        <v/>
      </c>
      <c r="EV338" s="6" t="str">
        <f>[1]Sheet2!EW337</f>
        <v/>
      </c>
      <c r="EW338" s="6" t="str">
        <f>[1]Sheet2!EX337</f>
        <v/>
      </c>
      <c r="EX338" s="6" t="str">
        <f>[1]Sheet2!EY337</f>
        <v/>
      </c>
      <c r="EY338" s="6" t="str">
        <f>[1]Sheet2!EZ337</f>
        <v/>
      </c>
      <c r="EZ338" s="6" t="str">
        <f>[1]Sheet2!FA337</f>
        <v/>
      </c>
      <c r="FA338" s="6" t="str">
        <f>[1]Sheet2!FB337</f>
        <v/>
      </c>
      <c r="FB338" s="6" t="str">
        <f>[1]Sheet2!FC337</f>
        <v/>
      </c>
      <c r="FC338" s="6" t="str">
        <f>[1]Sheet2!FD337</f>
        <v/>
      </c>
      <c r="FD338" s="6" t="str">
        <f>[1]Sheet2!FE337</f>
        <v/>
      </c>
      <c r="FE338" s="6" t="str">
        <f>[1]Sheet2!FF337</f>
        <v/>
      </c>
      <c r="FF338" s="6" t="str">
        <f>[1]Sheet2!FG337</f>
        <v/>
      </c>
      <c r="FG338" s="6" t="str">
        <f>[1]Sheet2!FH337</f>
        <v/>
      </c>
      <c r="FH338" s="6" t="str">
        <f>[1]Sheet2!FI337</f>
        <v/>
      </c>
      <c r="FI338" s="6" t="str">
        <f>[1]Sheet2!FJ337</f>
        <v/>
      </c>
      <c r="FJ338" s="6" t="str">
        <f>[1]Sheet2!FK337</f>
        <v/>
      </c>
      <c r="FK338" s="6" t="str">
        <f>[1]Sheet2!FL337</f>
        <v/>
      </c>
      <c r="FL338" s="6" t="str">
        <f>[1]Sheet2!FM337</f>
        <v/>
      </c>
      <c r="FM338" s="6" t="str">
        <f>[1]Sheet2!FN337</f>
        <v/>
      </c>
      <c r="FN338" s="6" t="str">
        <f>[1]Sheet2!FO337</f>
        <v/>
      </c>
      <c r="FO338" s="6" t="str">
        <f>[1]Sheet2!FP337</f>
        <v/>
      </c>
    </row>
    <row r="339" spans="1:171" x14ac:dyDescent="0.25">
      <c r="A339" s="15">
        <v>43801</v>
      </c>
      <c r="B339" s="1"/>
      <c r="C339" s="1"/>
      <c r="D339" s="1"/>
      <c r="E339" s="14">
        <f>[1]Sheet2!N338</f>
        <v>0</v>
      </c>
      <c r="F339" s="14">
        <f>[1]Sheet2!BE338</f>
        <v>0</v>
      </c>
      <c r="G339" s="14">
        <f>[1]Sheet2!CW338</f>
        <v>0</v>
      </c>
      <c r="H339" s="1"/>
      <c r="I339" s="1"/>
      <c r="J339" s="1"/>
      <c r="K339" s="16"/>
      <c r="L339" s="16">
        <f>Demand_CWRS!B$14/31</f>
        <v>95.176711124896599</v>
      </c>
      <c r="M339" s="16">
        <f>Demand_CWRS!C$14/31</f>
        <v>526.22795698924722</v>
      </c>
      <c r="N339" s="16">
        <f>Demand_CWRS!D$14/31</f>
        <v>0</v>
      </c>
      <c r="O339" s="16">
        <f>Demand_CWRS!E$14/31</f>
        <v>102.37076095947063</v>
      </c>
      <c r="P339" s="16">
        <f>Demand_CWRS!F$14/31</f>
        <v>219.86823562861866</v>
      </c>
      <c r="Q339" s="16">
        <f>Demand_CWRS!G$14/31</f>
        <v>95.176711124896599</v>
      </c>
      <c r="R339" s="16">
        <f>Demand_CWRS!H$14/31</f>
        <v>219.86823562861866</v>
      </c>
      <c r="S339" s="16">
        <f>Demand_CWRS!I$14/31</f>
        <v>219.86823562861866</v>
      </c>
      <c r="T339" s="16">
        <f>Demand_CWRS!J$14/31</f>
        <v>219.86823562861866</v>
      </c>
      <c r="U339" s="16">
        <f>Demand_CWRS!K$14/31</f>
        <v>219.86823562861866</v>
      </c>
      <c r="V339" s="16">
        <f t="shared" si="156"/>
        <v>-38141.854382723148</v>
      </c>
      <c r="W339" s="16">
        <f t="shared" si="157"/>
        <v>-153661.550785773</v>
      </c>
      <c r="X339" s="16">
        <f t="shared" si="158"/>
        <v>0</v>
      </c>
      <c r="Y339" s="16">
        <f t="shared" si="159"/>
        <v>-29507.953969176346</v>
      </c>
      <c r="Z339" s="16">
        <f t="shared" si="160"/>
        <v>-67580.964328487084</v>
      </c>
      <c r="AA339" s="16">
        <f t="shared" si="161"/>
        <v>-36669.921858684764</v>
      </c>
      <c r="AB339" s="16">
        <f t="shared" si="162"/>
        <v>-71890.12910412818</v>
      </c>
      <c r="AC339" s="16">
        <f t="shared" si="163"/>
        <v>-66097.118847717808</v>
      </c>
      <c r="AD339" s="16">
        <f t="shared" si="164"/>
        <v>-66197.118847717808</v>
      </c>
      <c r="AE339" s="16">
        <f t="shared" si="165"/>
        <v>-66797.118847717808</v>
      </c>
      <c r="AF339" s="14">
        <f>IF([1]Sheet2!AJ338=999999,"NA",[1]Sheet2!AJ338)</f>
        <v>0</v>
      </c>
      <c r="AG339" s="14">
        <f>IF([1]Sheet2!AK338=999999,"NA",[1]Sheet2!AK338)</f>
        <v>0</v>
      </c>
      <c r="AH339" s="14" t="str">
        <f>IF([1]Sheet2!AL338=999999,"NA",[1]Sheet2!AL338)</f>
        <v>NA</v>
      </c>
      <c r="AI339" s="14">
        <f>IF([1]Sheet2!AM338=999999,"NA",[1]Sheet2!AM338)</f>
        <v>0</v>
      </c>
      <c r="AJ339" s="14">
        <f>IF([1]Sheet2!AN338=999999,"NA",[1]Sheet2!AN338)</f>
        <v>0</v>
      </c>
      <c r="AK339" s="14">
        <f>IF([1]Sheet2!AO338=999999,"NA",[1]Sheet2!AO338)</f>
        <v>0</v>
      </c>
      <c r="AL339" s="14">
        <f>IF([1]Sheet2!AP338=999999,"NA",[1]Sheet2!AP338)</f>
        <v>0</v>
      </c>
      <c r="AM339" s="14">
        <f>IF([1]Sheet2!AQ338=999999,"NA",[1]Sheet2!AQ338)</f>
        <v>0</v>
      </c>
      <c r="AN339" s="14">
        <f>IF([1]Sheet2!AR338=999999,"NA",[1]Sheet2!AR338)</f>
        <v>0</v>
      </c>
      <c r="AO339" s="14">
        <f>IF([1]Sheet2!AS338=999999,"NA",[1]Sheet2!AS338)</f>
        <v>0</v>
      </c>
      <c r="AP339" s="14">
        <f>[1]Sheet2!P338</f>
        <v>0</v>
      </c>
      <c r="AQ339" s="14">
        <f>[1]Sheet2!Q338</f>
        <v>0</v>
      </c>
      <c r="AR339" s="14">
        <f>[1]Sheet2!R338</f>
        <v>0</v>
      </c>
      <c r="AS339" s="14">
        <f>[1]Sheet2!S338</f>
        <v>0</v>
      </c>
      <c r="AT339" s="14">
        <f>[1]Sheet2!T338</f>
        <v>0</v>
      </c>
      <c r="AU339" s="14">
        <f>[1]Sheet2!U338</f>
        <v>0</v>
      </c>
      <c r="AV339" s="14">
        <f>[1]Sheet2!V338</f>
        <v>0</v>
      </c>
      <c r="AW339" s="14">
        <f>[1]Sheet2!W338</f>
        <v>0</v>
      </c>
      <c r="AX339" s="14">
        <f>[1]Sheet2!X338</f>
        <v>0</v>
      </c>
      <c r="AY339" s="14">
        <f>[1]Sheet2!Y338</f>
        <v>0</v>
      </c>
      <c r="AZ339" s="16">
        <f>Demand_LP!B$14/31</f>
        <v>868.56315911910667</v>
      </c>
      <c r="BA339" s="16">
        <f>Demand_LP!C$14/31</f>
        <v>608.40066170388752</v>
      </c>
      <c r="BB339" s="16">
        <f>Demand_LP!D$14/31</f>
        <v>251.20087262200158</v>
      </c>
      <c r="BC339" s="16">
        <f>Demand_LP!E$14/31</f>
        <v>807.45938378825463</v>
      </c>
      <c r="BD339" s="16">
        <f>Demand_LP!F$14/31</f>
        <v>539.59842069892466</v>
      </c>
      <c r="BE339" s="16">
        <f>Demand_LP!G$14/31</f>
        <v>539.59842069892466</v>
      </c>
      <c r="BF339" s="16">
        <f>Demand_LP!H$14/31</f>
        <v>608.40066170388752</v>
      </c>
      <c r="BG339" s="16">
        <f>Demand_LP!I$14/31</f>
        <v>539.59842069892466</v>
      </c>
      <c r="BH339" s="16">
        <f>Demand_LP!J$14/31</f>
        <v>539.59842069892466</v>
      </c>
      <c r="BI339" s="16">
        <f>Demand_LP!K$14/31</f>
        <v>539.59842069892466</v>
      </c>
      <c r="BJ339" s="16">
        <f t="shared" si="166"/>
        <v>-252816.44613531206</v>
      </c>
      <c r="BK339" s="16">
        <f t="shared" si="167"/>
        <v>-190314.57824648457</v>
      </c>
      <c r="BL339" s="16">
        <f t="shared" si="168"/>
        <v>-90696.153027295644</v>
      </c>
      <c r="BM339" s="16">
        <f t="shared" si="169"/>
        <v>-244033.3213154494</v>
      </c>
      <c r="BN339" s="16">
        <f t="shared" si="170"/>
        <v>-149809.13930123244</v>
      </c>
      <c r="BO339" s="16">
        <f t="shared" si="171"/>
        <v>-148266.82321960322</v>
      </c>
      <c r="BP339" s="16">
        <f t="shared" si="172"/>
        <v>-184672.15773366392</v>
      </c>
      <c r="BQ339" s="16">
        <f t="shared" si="173"/>
        <v>-144095.82321960325</v>
      </c>
      <c r="BR339" s="16">
        <f t="shared" si="174"/>
        <v>-145866.82321960328</v>
      </c>
      <c r="BS339" s="16">
        <f t="shared" si="175"/>
        <v>-146566.82321960328</v>
      </c>
      <c r="BT339" s="14">
        <f>IF([1]Sheet2!CB338=999999,"NA",[1]Sheet2!CB338)</f>
        <v>0</v>
      </c>
      <c r="BU339" s="14">
        <f>IF([1]Sheet2!CC338=999999,"NA",[1]Sheet2!CC338)</f>
        <v>0</v>
      </c>
      <c r="BV339" s="14">
        <f>IF([1]Sheet2!CD338=999999,"NA",[1]Sheet2!CD338)</f>
        <v>0</v>
      </c>
      <c r="BW339" s="14">
        <f>IF([1]Sheet2!CE338=999999,"NA",[1]Sheet2!CE338)</f>
        <v>0</v>
      </c>
      <c r="BX339" s="14">
        <f>IF([1]Sheet2!CF338=999999,"NA",[1]Sheet2!CF338)</f>
        <v>0</v>
      </c>
      <c r="BY339" s="14">
        <f>IF([1]Sheet2!CG338=999999,"NA",[1]Sheet2!CG338)</f>
        <v>0</v>
      </c>
      <c r="BZ339" s="14">
        <f>IF([1]Sheet2!CH338=999999,"NA",[1]Sheet2!CH338)</f>
        <v>0</v>
      </c>
      <c r="CA339" s="14">
        <f>IF([1]Sheet2!CI338=999999,"NA",[1]Sheet2!CI338)</f>
        <v>0</v>
      </c>
      <c r="CB339" s="14">
        <f>IF([1]Sheet2!CJ338=999999,"NA",[1]Sheet2!CJ338)</f>
        <v>0</v>
      </c>
      <c r="CC339" s="14">
        <f>IF([1]Sheet2!CK338=999999,"NA",[1]Sheet2!CK338)</f>
        <v>0</v>
      </c>
      <c r="CD339" s="14">
        <f>[1]Sheet2!BH338</f>
        <v>0</v>
      </c>
      <c r="CE339" s="14">
        <f>[1]Sheet2!BI338</f>
        <v>0</v>
      </c>
      <c r="CF339" s="14">
        <f>[1]Sheet2!BJ338</f>
        <v>0</v>
      </c>
      <c r="CG339" s="14">
        <f>[1]Sheet2!BK338</f>
        <v>0</v>
      </c>
      <c r="CH339" s="14">
        <f>[1]Sheet2!BL338</f>
        <v>0</v>
      </c>
      <c r="CI339" s="14">
        <f>[1]Sheet2!BM338</f>
        <v>0</v>
      </c>
      <c r="CJ339" s="14">
        <f>[1]Sheet2!BN338</f>
        <v>0</v>
      </c>
      <c r="CK339" s="14">
        <f>[1]Sheet2!BO338</f>
        <v>0</v>
      </c>
      <c r="CL339" s="14">
        <f>[1]Sheet2!BP338</f>
        <v>0</v>
      </c>
      <c r="CM339" s="14">
        <f>[1]Sheet2!BQ338</f>
        <v>0</v>
      </c>
      <c r="CN339" s="16">
        <f>Demand_SW!B$14/31</f>
        <v>139.57816377171216</v>
      </c>
      <c r="CO339" s="16">
        <f>Demand_SW!C$14/31</f>
        <v>0</v>
      </c>
      <c r="CP339" s="16">
        <f>Demand_SW!D$14/31</f>
        <v>0</v>
      </c>
      <c r="CQ339" s="16">
        <f>Demand_SW!E$14/31</f>
        <v>0</v>
      </c>
      <c r="CR339" s="16">
        <f>Demand_SW!F$14/31</f>
        <v>0</v>
      </c>
      <c r="CS339" s="16">
        <f>Demand_SW!G$14/31</f>
        <v>139.57816377171216</v>
      </c>
      <c r="CT339" s="16">
        <f>Demand_SW!H$14/31</f>
        <v>0</v>
      </c>
      <c r="CU339" s="16">
        <f>Demand_SW!I$14/31</f>
        <v>0</v>
      </c>
      <c r="CV339" s="16">
        <f>Demand_SW!J$14/31</f>
        <v>0</v>
      </c>
      <c r="CW339" s="16">
        <f>Demand_SW!K$14/31</f>
        <v>0</v>
      </c>
      <c r="CX339" s="16">
        <f t="shared" si="176"/>
        <v>-22980.694789081928</v>
      </c>
      <c r="CY339" s="16">
        <f t="shared" si="177"/>
        <v>76.923076923077133</v>
      </c>
      <c r="CZ339" s="16">
        <f t="shared" si="178"/>
        <v>0</v>
      </c>
      <c r="DA339" s="16">
        <f t="shared" si="179"/>
        <v>0</v>
      </c>
      <c r="DB339" s="16">
        <f t="shared" si="180"/>
        <v>0</v>
      </c>
      <c r="DC339" s="16">
        <f t="shared" si="181"/>
        <v>-24211.925558312698</v>
      </c>
      <c r="DD339" s="16">
        <f t="shared" si="182"/>
        <v>76.923076923077133</v>
      </c>
      <c r="DE339" s="16">
        <f t="shared" si="183"/>
        <v>0</v>
      </c>
      <c r="DF339" s="16">
        <f t="shared" si="184"/>
        <v>0</v>
      </c>
      <c r="DG339" s="16">
        <f t="shared" si="185"/>
        <v>0</v>
      </c>
      <c r="DH339" s="14">
        <f>IF([1]Sheet2!DS338=999999,"NA",[1]Sheet2!DS338)</f>
        <v>0</v>
      </c>
      <c r="DI339" s="14">
        <f>IF([1]Sheet2!DT338=999999,"NA",[1]Sheet2!DT338)</f>
        <v>29</v>
      </c>
      <c r="DJ339" s="14" t="str">
        <f>IF([1]Sheet2!DU338=999999,"NA",[1]Sheet2!DU338)</f>
        <v>NA</v>
      </c>
      <c r="DK339" s="14" t="str">
        <f>IF([1]Sheet2!DV338=999999,"NA",[1]Sheet2!DV338)</f>
        <v>NA</v>
      </c>
      <c r="DL339" s="14" t="str">
        <f>IF([1]Sheet2!DW338=999999,"NA",[1]Sheet2!DW338)</f>
        <v>NA</v>
      </c>
      <c r="DM339" s="14">
        <f>IF([1]Sheet2!DX338=999999,"NA",[1]Sheet2!DX338)</f>
        <v>0</v>
      </c>
      <c r="DN339" s="14">
        <f>IF([1]Sheet2!DY338=999999,"NA",[1]Sheet2!DY338)</f>
        <v>29</v>
      </c>
      <c r="DO339" s="14" t="str">
        <f>IF([1]Sheet2!DZ338=999999,"NA",[1]Sheet2!DZ338)</f>
        <v>NA</v>
      </c>
      <c r="DP339" s="14" t="str">
        <f>IF([1]Sheet2!EA338=999999,"NA",[1]Sheet2!EA338)</f>
        <v>NA</v>
      </c>
      <c r="DQ339" s="14" t="str">
        <f>IF([1]Sheet2!EB338=999999,"NA",[1]Sheet2!EB338)</f>
        <v>NA</v>
      </c>
      <c r="DR339" s="14">
        <f>[1]Sheet2!CY338</f>
        <v>0</v>
      </c>
      <c r="DS339" s="14">
        <f>[1]Sheet2!CZ338</f>
        <v>0</v>
      </c>
      <c r="DT339" s="14">
        <f>[1]Sheet2!DA338</f>
        <v>0</v>
      </c>
      <c r="DU339" s="14">
        <f>[1]Sheet2!DB338</f>
        <v>0</v>
      </c>
      <c r="DV339" s="14">
        <f>[1]Sheet2!DC338</f>
        <v>0</v>
      </c>
      <c r="DW339" s="14">
        <f>[1]Sheet2!DD338</f>
        <v>0</v>
      </c>
      <c r="DX339" s="14">
        <f>[1]Sheet2!DE338</f>
        <v>0</v>
      </c>
      <c r="DY339" s="14">
        <f>[1]Sheet2!DF338</f>
        <v>0</v>
      </c>
      <c r="DZ339" s="14">
        <f>[1]Sheet2!DG338</f>
        <v>0</v>
      </c>
      <c r="EA339" s="14">
        <f>[1]Sheet2!DH338</f>
        <v>0</v>
      </c>
      <c r="EB339" s="6">
        <f>[1]Sheet2!EC338</f>
        <v>0</v>
      </c>
      <c r="EC339" s="6">
        <f>[1]Sheet2!ED338</f>
        <v>0</v>
      </c>
      <c r="ED339" s="6">
        <f>[1]Sheet2!EE338</f>
        <v>0</v>
      </c>
      <c r="EE339" s="6">
        <f>[1]Sheet2!EF338</f>
        <v>0</v>
      </c>
      <c r="EF339" s="6">
        <f>[1]Sheet2!EG338</f>
        <v>0</v>
      </c>
      <c r="EG339" s="6">
        <f>[1]Sheet2!EH338</f>
        <v>0</v>
      </c>
      <c r="EH339" s="6">
        <f>[1]Sheet2!EI338</f>
        <v>0</v>
      </c>
      <c r="EI339" s="6">
        <f>[1]Sheet2!EJ338</f>
        <v>0</v>
      </c>
      <c r="EJ339" s="6">
        <f>[1]Sheet2!EK338</f>
        <v>0</v>
      </c>
      <c r="EK339" s="6">
        <f>[1]Sheet2!EL338</f>
        <v>0</v>
      </c>
      <c r="EL339" s="6" t="str">
        <f>[1]Sheet2!EM338</f>
        <v/>
      </c>
      <c r="EM339" s="6" t="str">
        <f>[1]Sheet2!EN338</f>
        <v/>
      </c>
      <c r="EN339" s="6" t="str">
        <f>[1]Sheet2!EO338</f>
        <v/>
      </c>
      <c r="EO339" s="6" t="str">
        <f>[1]Sheet2!EP338</f>
        <v/>
      </c>
      <c r="EP339" s="6" t="str">
        <f>[1]Sheet2!EQ338</f>
        <v/>
      </c>
      <c r="EQ339" s="6" t="str">
        <f>[1]Sheet2!ER338</f>
        <v/>
      </c>
      <c r="ER339" s="6" t="str">
        <f>[1]Sheet2!ES338</f>
        <v/>
      </c>
      <c r="ES339" s="6" t="str">
        <f>[1]Sheet2!ET338</f>
        <v/>
      </c>
      <c r="ET339" s="6" t="str">
        <f>[1]Sheet2!EU338</f>
        <v/>
      </c>
      <c r="EU339" s="6" t="str">
        <f>[1]Sheet2!EV338</f>
        <v/>
      </c>
      <c r="EV339" s="6" t="str">
        <f>[1]Sheet2!EW338</f>
        <v/>
      </c>
      <c r="EW339" s="6" t="str">
        <f>[1]Sheet2!EX338</f>
        <v/>
      </c>
      <c r="EX339" s="6" t="str">
        <f>[1]Sheet2!EY338</f>
        <v/>
      </c>
      <c r="EY339" s="6" t="str">
        <f>[1]Sheet2!EZ338</f>
        <v/>
      </c>
      <c r="EZ339" s="6" t="str">
        <f>[1]Sheet2!FA338</f>
        <v/>
      </c>
      <c r="FA339" s="6" t="str">
        <f>[1]Sheet2!FB338</f>
        <v/>
      </c>
      <c r="FB339" s="6" t="str">
        <f>[1]Sheet2!FC338</f>
        <v/>
      </c>
      <c r="FC339" s="6" t="str">
        <f>[1]Sheet2!FD338</f>
        <v/>
      </c>
      <c r="FD339" s="6" t="str">
        <f>[1]Sheet2!FE338</f>
        <v/>
      </c>
      <c r="FE339" s="6" t="str">
        <f>[1]Sheet2!FF338</f>
        <v/>
      </c>
      <c r="FF339" s="6" t="str">
        <f>[1]Sheet2!FG338</f>
        <v/>
      </c>
      <c r="FG339" s="6" t="str">
        <f>[1]Sheet2!FH338</f>
        <v/>
      </c>
      <c r="FH339" s="6" t="str">
        <f>[1]Sheet2!FI338</f>
        <v/>
      </c>
      <c r="FI339" s="6" t="str">
        <f>[1]Sheet2!FJ338</f>
        <v/>
      </c>
      <c r="FJ339" s="6" t="str">
        <f>[1]Sheet2!FK338</f>
        <v/>
      </c>
      <c r="FK339" s="6" t="str">
        <f>[1]Sheet2!FL338</f>
        <v/>
      </c>
      <c r="FL339" s="6" t="str">
        <f>[1]Sheet2!FM338</f>
        <v/>
      </c>
      <c r="FM339" s="6" t="str">
        <f>[1]Sheet2!FN338</f>
        <v/>
      </c>
      <c r="FN339" s="6" t="str">
        <f>[1]Sheet2!FO338</f>
        <v/>
      </c>
      <c r="FO339" s="6" t="str">
        <f>[1]Sheet2!FP338</f>
        <v/>
      </c>
    </row>
    <row r="340" spans="1:171" x14ac:dyDescent="0.25">
      <c r="A340" s="15">
        <v>43802</v>
      </c>
      <c r="B340" s="1"/>
      <c r="C340" s="1"/>
      <c r="D340" s="1"/>
      <c r="E340" s="14">
        <f>[1]Sheet2!N339</f>
        <v>0</v>
      </c>
      <c r="F340" s="14">
        <f>[1]Sheet2!BE339</f>
        <v>0</v>
      </c>
      <c r="G340" s="14">
        <f>[1]Sheet2!CW339</f>
        <v>0</v>
      </c>
      <c r="H340" s="1"/>
      <c r="I340" s="1"/>
      <c r="J340" s="1"/>
      <c r="K340" s="16"/>
      <c r="L340" s="16">
        <f>Demand_CWRS!B$14/31</f>
        <v>95.176711124896599</v>
      </c>
      <c r="M340" s="16">
        <f>Demand_CWRS!C$14/31</f>
        <v>526.22795698924722</v>
      </c>
      <c r="N340" s="16">
        <f>Demand_CWRS!D$14/31</f>
        <v>0</v>
      </c>
      <c r="O340" s="16">
        <f>Demand_CWRS!E$14/31</f>
        <v>102.37076095947063</v>
      </c>
      <c r="P340" s="16">
        <f>Demand_CWRS!F$14/31</f>
        <v>219.86823562861866</v>
      </c>
      <c r="Q340" s="16">
        <f>Demand_CWRS!G$14/31</f>
        <v>95.176711124896599</v>
      </c>
      <c r="R340" s="16">
        <f>Demand_CWRS!H$14/31</f>
        <v>219.86823562861866</v>
      </c>
      <c r="S340" s="16">
        <f>Demand_CWRS!I$14/31</f>
        <v>219.86823562861866</v>
      </c>
      <c r="T340" s="16">
        <f>Demand_CWRS!J$14/31</f>
        <v>219.86823562861866</v>
      </c>
      <c r="U340" s="16">
        <f>Demand_CWRS!K$14/31</f>
        <v>219.86823562861866</v>
      </c>
      <c r="V340" s="16">
        <f t="shared" si="156"/>
        <v>-38237.031093848047</v>
      </c>
      <c r="W340" s="16">
        <f t="shared" si="157"/>
        <v>-154187.77874276225</v>
      </c>
      <c r="X340" s="16">
        <f t="shared" si="158"/>
        <v>0</v>
      </c>
      <c r="Y340" s="16">
        <f t="shared" si="159"/>
        <v>-29610.324730135817</v>
      </c>
      <c r="Z340" s="16">
        <f t="shared" si="160"/>
        <v>-67800.832564115699</v>
      </c>
      <c r="AA340" s="16">
        <f t="shared" si="161"/>
        <v>-36765.098569809663</v>
      </c>
      <c r="AB340" s="16">
        <f t="shared" si="162"/>
        <v>-72109.997339756796</v>
      </c>
      <c r="AC340" s="16">
        <f t="shared" si="163"/>
        <v>-66316.987083346423</v>
      </c>
      <c r="AD340" s="16">
        <f t="shared" si="164"/>
        <v>-66416.987083346423</v>
      </c>
      <c r="AE340" s="16">
        <f t="shared" si="165"/>
        <v>-67016.987083346423</v>
      </c>
      <c r="AF340" s="14">
        <f>IF([1]Sheet2!AJ339=999999,"NA",[1]Sheet2!AJ339)</f>
        <v>0</v>
      </c>
      <c r="AG340" s="14">
        <f>IF([1]Sheet2!AK339=999999,"NA",[1]Sheet2!AK339)</f>
        <v>0</v>
      </c>
      <c r="AH340" s="14" t="str">
        <f>IF([1]Sheet2!AL339=999999,"NA",[1]Sheet2!AL339)</f>
        <v>NA</v>
      </c>
      <c r="AI340" s="14">
        <f>IF([1]Sheet2!AM339=999999,"NA",[1]Sheet2!AM339)</f>
        <v>0</v>
      </c>
      <c r="AJ340" s="14">
        <f>IF([1]Sheet2!AN339=999999,"NA",[1]Sheet2!AN339)</f>
        <v>0</v>
      </c>
      <c r="AK340" s="14">
        <f>IF([1]Sheet2!AO339=999999,"NA",[1]Sheet2!AO339)</f>
        <v>0</v>
      </c>
      <c r="AL340" s="14">
        <f>IF([1]Sheet2!AP339=999999,"NA",[1]Sheet2!AP339)</f>
        <v>0</v>
      </c>
      <c r="AM340" s="14">
        <f>IF([1]Sheet2!AQ339=999999,"NA",[1]Sheet2!AQ339)</f>
        <v>0</v>
      </c>
      <c r="AN340" s="14">
        <f>IF([1]Sheet2!AR339=999999,"NA",[1]Sheet2!AR339)</f>
        <v>0</v>
      </c>
      <c r="AO340" s="14">
        <f>IF([1]Sheet2!AS339=999999,"NA",[1]Sheet2!AS339)</f>
        <v>0</v>
      </c>
      <c r="AP340" s="14">
        <f>[1]Sheet2!P339</f>
        <v>0</v>
      </c>
      <c r="AQ340" s="14">
        <f>[1]Sheet2!Q339</f>
        <v>0</v>
      </c>
      <c r="AR340" s="14">
        <f>[1]Sheet2!R339</f>
        <v>0</v>
      </c>
      <c r="AS340" s="14">
        <f>[1]Sheet2!S339</f>
        <v>0</v>
      </c>
      <c r="AT340" s="14">
        <f>[1]Sheet2!T339</f>
        <v>0</v>
      </c>
      <c r="AU340" s="14">
        <f>[1]Sheet2!U339</f>
        <v>0</v>
      </c>
      <c r="AV340" s="14">
        <f>[1]Sheet2!V339</f>
        <v>0</v>
      </c>
      <c r="AW340" s="14">
        <f>[1]Sheet2!W339</f>
        <v>0</v>
      </c>
      <c r="AX340" s="14">
        <f>[1]Sheet2!X339</f>
        <v>0</v>
      </c>
      <c r="AY340" s="14">
        <f>[1]Sheet2!Y339</f>
        <v>0</v>
      </c>
      <c r="AZ340" s="16">
        <f>Demand_LP!B$14/31</f>
        <v>868.56315911910667</v>
      </c>
      <c r="BA340" s="16">
        <f>Demand_LP!C$14/31</f>
        <v>608.40066170388752</v>
      </c>
      <c r="BB340" s="16">
        <f>Demand_LP!D$14/31</f>
        <v>251.20087262200158</v>
      </c>
      <c r="BC340" s="16">
        <f>Demand_LP!E$14/31</f>
        <v>807.45938378825463</v>
      </c>
      <c r="BD340" s="16">
        <f>Demand_LP!F$14/31</f>
        <v>539.59842069892466</v>
      </c>
      <c r="BE340" s="16">
        <f>Demand_LP!G$14/31</f>
        <v>539.59842069892466</v>
      </c>
      <c r="BF340" s="16">
        <f>Demand_LP!H$14/31</f>
        <v>608.40066170388752</v>
      </c>
      <c r="BG340" s="16">
        <f>Demand_LP!I$14/31</f>
        <v>539.59842069892466</v>
      </c>
      <c r="BH340" s="16">
        <f>Demand_LP!J$14/31</f>
        <v>539.59842069892466</v>
      </c>
      <c r="BI340" s="16">
        <f>Demand_LP!K$14/31</f>
        <v>539.59842069892466</v>
      </c>
      <c r="BJ340" s="16">
        <f t="shared" si="166"/>
        <v>-253685.00929443116</v>
      </c>
      <c r="BK340" s="16">
        <f t="shared" si="167"/>
        <v>-190922.97890818847</v>
      </c>
      <c r="BL340" s="16">
        <f t="shared" si="168"/>
        <v>-90947.353899917653</v>
      </c>
      <c r="BM340" s="16">
        <f t="shared" si="169"/>
        <v>-244840.78069923766</v>
      </c>
      <c r="BN340" s="16">
        <f t="shared" si="170"/>
        <v>-150348.73772193136</v>
      </c>
      <c r="BO340" s="16">
        <f t="shared" si="171"/>
        <v>-148806.42164030214</v>
      </c>
      <c r="BP340" s="16">
        <f t="shared" si="172"/>
        <v>-185280.55839536781</v>
      </c>
      <c r="BQ340" s="16">
        <f t="shared" si="173"/>
        <v>-144635.42164030217</v>
      </c>
      <c r="BR340" s="16">
        <f t="shared" si="174"/>
        <v>-146406.4216403022</v>
      </c>
      <c r="BS340" s="16">
        <f t="shared" si="175"/>
        <v>-147106.4216403022</v>
      </c>
      <c r="BT340" s="14">
        <f>IF([1]Sheet2!CB339=999999,"NA",[1]Sheet2!CB339)</f>
        <v>0</v>
      </c>
      <c r="BU340" s="14">
        <f>IF([1]Sheet2!CC339=999999,"NA",[1]Sheet2!CC339)</f>
        <v>0</v>
      </c>
      <c r="BV340" s="14">
        <f>IF([1]Sheet2!CD339=999999,"NA",[1]Sheet2!CD339)</f>
        <v>0</v>
      </c>
      <c r="BW340" s="14">
        <f>IF([1]Sheet2!CE339=999999,"NA",[1]Sheet2!CE339)</f>
        <v>0</v>
      </c>
      <c r="BX340" s="14">
        <f>IF([1]Sheet2!CF339=999999,"NA",[1]Sheet2!CF339)</f>
        <v>0</v>
      </c>
      <c r="BY340" s="14">
        <f>IF([1]Sheet2!CG339=999999,"NA",[1]Sheet2!CG339)</f>
        <v>0</v>
      </c>
      <c r="BZ340" s="14">
        <f>IF([1]Sheet2!CH339=999999,"NA",[1]Sheet2!CH339)</f>
        <v>0</v>
      </c>
      <c r="CA340" s="14">
        <f>IF([1]Sheet2!CI339=999999,"NA",[1]Sheet2!CI339)</f>
        <v>0</v>
      </c>
      <c r="CB340" s="14">
        <f>IF([1]Sheet2!CJ339=999999,"NA",[1]Sheet2!CJ339)</f>
        <v>0</v>
      </c>
      <c r="CC340" s="14">
        <f>IF([1]Sheet2!CK339=999999,"NA",[1]Sheet2!CK339)</f>
        <v>0</v>
      </c>
      <c r="CD340" s="14">
        <f>[1]Sheet2!BH339</f>
        <v>0</v>
      </c>
      <c r="CE340" s="14">
        <f>[1]Sheet2!BI339</f>
        <v>0</v>
      </c>
      <c r="CF340" s="14">
        <f>[1]Sheet2!BJ339</f>
        <v>0</v>
      </c>
      <c r="CG340" s="14">
        <f>[1]Sheet2!BK339</f>
        <v>0</v>
      </c>
      <c r="CH340" s="14">
        <f>[1]Sheet2!BL339</f>
        <v>0</v>
      </c>
      <c r="CI340" s="14">
        <f>[1]Sheet2!BM339</f>
        <v>0</v>
      </c>
      <c r="CJ340" s="14">
        <f>[1]Sheet2!BN339</f>
        <v>0</v>
      </c>
      <c r="CK340" s="14">
        <f>[1]Sheet2!BO339</f>
        <v>0</v>
      </c>
      <c r="CL340" s="14">
        <f>[1]Sheet2!BP339</f>
        <v>0</v>
      </c>
      <c r="CM340" s="14">
        <f>[1]Sheet2!BQ339</f>
        <v>0</v>
      </c>
      <c r="CN340" s="16">
        <f>Demand_SW!B$14/31</f>
        <v>139.57816377171216</v>
      </c>
      <c r="CO340" s="16">
        <f>Demand_SW!C$14/31</f>
        <v>0</v>
      </c>
      <c r="CP340" s="16">
        <f>Demand_SW!D$14/31</f>
        <v>0</v>
      </c>
      <c r="CQ340" s="16">
        <f>Demand_SW!E$14/31</f>
        <v>0</v>
      </c>
      <c r="CR340" s="16">
        <f>Demand_SW!F$14/31</f>
        <v>0</v>
      </c>
      <c r="CS340" s="16">
        <f>Demand_SW!G$14/31</f>
        <v>139.57816377171216</v>
      </c>
      <c r="CT340" s="16">
        <f>Demand_SW!H$14/31</f>
        <v>0</v>
      </c>
      <c r="CU340" s="16">
        <f>Demand_SW!I$14/31</f>
        <v>0</v>
      </c>
      <c r="CV340" s="16">
        <f>Demand_SW!J$14/31</f>
        <v>0</v>
      </c>
      <c r="CW340" s="16">
        <f>Demand_SW!K$14/31</f>
        <v>0</v>
      </c>
      <c r="CX340" s="16">
        <f t="shared" si="176"/>
        <v>-23120.27295285364</v>
      </c>
      <c r="CY340" s="16">
        <f t="shared" si="177"/>
        <v>76.923076923077133</v>
      </c>
      <c r="CZ340" s="16">
        <f t="shared" si="178"/>
        <v>0</v>
      </c>
      <c r="DA340" s="16">
        <f t="shared" si="179"/>
        <v>0</v>
      </c>
      <c r="DB340" s="16">
        <f t="shared" si="180"/>
        <v>0</v>
      </c>
      <c r="DC340" s="16">
        <f t="shared" si="181"/>
        <v>-24351.50372208441</v>
      </c>
      <c r="DD340" s="16">
        <f t="shared" si="182"/>
        <v>76.923076923077133</v>
      </c>
      <c r="DE340" s="16">
        <f t="shared" si="183"/>
        <v>0</v>
      </c>
      <c r="DF340" s="16">
        <f t="shared" si="184"/>
        <v>0</v>
      </c>
      <c r="DG340" s="16">
        <f t="shared" si="185"/>
        <v>0</v>
      </c>
      <c r="DH340" s="14">
        <f>IF([1]Sheet2!DS339=999999,"NA",[1]Sheet2!DS339)</f>
        <v>0</v>
      </c>
      <c r="DI340" s="14">
        <f>IF([1]Sheet2!DT339=999999,"NA",[1]Sheet2!DT339)</f>
        <v>28</v>
      </c>
      <c r="DJ340" s="14" t="str">
        <f>IF([1]Sheet2!DU339=999999,"NA",[1]Sheet2!DU339)</f>
        <v>NA</v>
      </c>
      <c r="DK340" s="14" t="str">
        <f>IF([1]Sheet2!DV339=999999,"NA",[1]Sheet2!DV339)</f>
        <v>NA</v>
      </c>
      <c r="DL340" s="14" t="str">
        <f>IF([1]Sheet2!DW339=999999,"NA",[1]Sheet2!DW339)</f>
        <v>NA</v>
      </c>
      <c r="DM340" s="14">
        <f>IF([1]Sheet2!DX339=999999,"NA",[1]Sheet2!DX339)</f>
        <v>0</v>
      </c>
      <c r="DN340" s="14">
        <f>IF([1]Sheet2!DY339=999999,"NA",[1]Sheet2!DY339)</f>
        <v>28</v>
      </c>
      <c r="DO340" s="14" t="str">
        <f>IF([1]Sheet2!DZ339=999999,"NA",[1]Sheet2!DZ339)</f>
        <v>NA</v>
      </c>
      <c r="DP340" s="14" t="str">
        <f>IF([1]Sheet2!EA339=999999,"NA",[1]Sheet2!EA339)</f>
        <v>NA</v>
      </c>
      <c r="DQ340" s="14" t="str">
        <f>IF([1]Sheet2!EB339=999999,"NA",[1]Sheet2!EB339)</f>
        <v>NA</v>
      </c>
      <c r="DR340" s="14">
        <f>[1]Sheet2!CY339</f>
        <v>0</v>
      </c>
      <c r="DS340" s="14">
        <f>[1]Sheet2!CZ339</f>
        <v>0</v>
      </c>
      <c r="DT340" s="14">
        <f>[1]Sheet2!DA339</f>
        <v>0</v>
      </c>
      <c r="DU340" s="14">
        <f>[1]Sheet2!DB339</f>
        <v>0</v>
      </c>
      <c r="DV340" s="14">
        <f>[1]Sheet2!DC339</f>
        <v>0</v>
      </c>
      <c r="DW340" s="14">
        <f>[1]Sheet2!DD339</f>
        <v>0</v>
      </c>
      <c r="DX340" s="14">
        <f>[1]Sheet2!DE339</f>
        <v>0</v>
      </c>
      <c r="DY340" s="14">
        <f>[1]Sheet2!DF339</f>
        <v>0</v>
      </c>
      <c r="DZ340" s="14">
        <f>[1]Sheet2!DG339</f>
        <v>0</v>
      </c>
      <c r="EA340" s="14">
        <f>[1]Sheet2!DH339</f>
        <v>0</v>
      </c>
      <c r="EB340" s="6">
        <f>[1]Sheet2!EC339</f>
        <v>0</v>
      </c>
      <c r="EC340" s="6">
        <f>[1]Sheet2!ED339</f>
        <v>0</v>
      </c>
      <c r="ED340" s="6">
        <f>[1]Sheet2!EE339</f>
        <v>0</v>
      </c>
      <c r="EE340" s="6">
        <f>[1]Sheet2!EF339</f>
        <v>0</v>
      </c>
      <c r="EF340" s="6">
        <f>[1]Sheet2!EG339</f>
        <v>0</v>
      </c>
      <c r="EG340" s="6">
        <f>[1]Sheet2!EH339</f>
        <v>0</v>
      </c>
      <c r="EH340" s="6">
        <f>[1]Sheet2!EI339</f>
        <v>0</v>
      </c>
      <c r="EI340" s="6">
        <f>[1]Sheet2!EJ339</f>
        <v>0</v>
      </c>
      <c r="EJ340" s="6">
        <f>[1]Sheet2!EK339</f>
        <v>0</v>
      </c>
      <c r="EK340" s="6">
        <f>[1]Sheet2!EL339</f>
        <v>0</v>
      </c>
      <c r="EL340" s="6" t="str">
        <f>[1]Sheet2!EM339</f>
        <v/>
      </c>
      <c r="EM340" s="6" t="str">
        <f>[1]Sheet2!EN339</f>
        <v/>
      </c>
      <c r="EN340" s="6" t="str">
        <f>[1]Sheet2!EO339</f>
        <v/>
      </c>
      <c r="EO340" s="6" t="str">
        <f>[1]Sheet2!EP339</f>
        <v/>
      </c>
      <c r="EP340" s="6" t="str">
        <f>[1]Sheet2!EQ339</f>
        <v/>
      </c>
      <c r="EQ340" s="6" t="str">
        <f>[1]Sheet2!ER339</f>
        <v/>
      </c>
      <c r="ER340" s="6" t="str">
        <f>[1]Sheet2!ES339</f>
        <v/>
      </c>
      <c r="ES340" s="6" t="str">
        <f>[1]Sheet2!ET339</f>
        <v/>
      </c>
      <c r="ET340" s="6" t="str">
        <f>[1]Sheet2!EU339</f>
        <v/>
      </c>
      <c r="EU340" s="6" t="str">
        <f>[1]Sheet2!EV339</f>
        <v/>
      </c>
      <c r="EV340" s="6" t="str">
        <f>[1]Sheet2!EW339</f>
        <v/>
      </c>
      <c r="EW340" s="6" t="str">
        <f>[1]Sheet2!EX339</f>
        <v/>
      </c>
      <c r="EX340" s="6" t="str">
        <f>[1]Sheet2!EY339</f>
        <v/>
      </c>
      <c r="EY340" s="6" t="str">
        <f>[1]Sheet2!EZ339</f>
        <v/>
      </c>
      <c r="EZ340" s="6" t="str">
        <f>[1]Sheet2!FA339</f>
        <v/>
      </c>
      <c r="FA340" s="6" t="str">
        <f>[1]Sheet2!FB339</f>
        <v/>
      </c>
      <c r="FB340" s="6" t="str">
        <f>[1]Sheet2!FC339</f>
        <v/>
      </c>
      <c r="FC340" s="6" t="str">
        <f>[1]Sheet2!FD339</f>
        <v/>
      </c>
      <c r="FD340" s="6" t="str">
        <f>[1]Sheet2!FE339</f>
        <v/>
      </c>
      <c r="FE340" s="6" t="str">
        <f>[1]Sheet2!FF339</f>
        <v/>
      </c>
      <c r="FF340" s="6" t="str">
        <f>[1]Sheet2!FG339</f>
        <v/>
      </c>
      <c r="FG340" s="6" t="str">
        <f>[1]Sheet2!FH339</f>
        <v/>
      </c>
      <c r="FH340" s="6" t="str">
        <f>[1]Sheet2!FI339</f>
        <v/>
      </c>
      <c r="FI340" s="6" t="str">
        <f>[1]Sheet2!FJ339</f>
        <v/>
      </c>
      <c r="FJ340" s="6" t="str">
        <f>[1]Sheet2!FK339</f>
        <v/>
      </c>
      <c r="FK340" s="6" t="str">
        <f>[1]Sheet2!FL339</f>
        <v/>
      </c>
      <c r="FL340" s="6" t="str">
        <f>[1]Sheet2!FM339</f>
        <v/>
      </c>
      <c r="FM340" s="6" t="str">
        <f>[1]Sheet2!FN339</f>
        <v/>
      </c>
      <c r="FN340" s="6" t="str">
        <f>[1]Sheet2!FO339</f>
        <v/>
      </c>
      <c r="FO340" s="6" t="str">
        <f>[1]Sheet2!FP339</f>
        <v/>
      </c>
    </row>
    <row r="341" spans="1:171" x14ac:dyDescent="0.25">
      <c r="A341" s="15">
        <v>43803</v>
      </c>
      <c r="B341" s="1"/>
      <c r="C341" s="1"/>
      <c r="D341" s="1"/>
      <c r="E341" s="14">
        <f>[1]Sheet2!N340</f>
        <v>0</v>
      </c>
      <c r="F341" s="14">
        <f>[1]Sheet2!BE340</f>
        <v>0</v>
      </c>
      <c r="G341" s="14">
        <f>[1]Sheet2!CW340</f>
        <v>0</v>
      </c>
      <c r="H341" s="1"/>
      <c r="I341" s="1"/>
      <c r="J341" s="1"/>
      <c r="K341" s="16"/>
      <c r="L341" s="16">
        <f>Demand_CWRS!B$14/31</f>
        <v>95.176711124896599</v>
      </c>
      <c r="M341" s="16">
        <f>Demand_CWRS!C$14/31</f>
        <v>526.22795698924722</v>
      </c>
      <c r="N341" s="16">
        <f>Demand_CWRS!D$14/31</f>
        <v>0</v>
      </c>
      <c r="O341" s="16">
        <f>Demand_CWRS!E$14/31</f>
        <v>102.37076095947063</v>
      </c>
      <c r="P341" s="16">
        <f>Demand_CWRS!F$14/31</f>
        <v>219.86823562861866</v>
      </c>
      <c r="Q341" s="16">
        <f>Demand_CWRS!G$14/31</f>
        <v>95.176711124896599</v>
      </c>
      <c r="R341" s="16">
        <f>Demand_CWRS!H$14/31</f>
        <v>219.86823562861866</v>
      </c>
      <c r="S341" s="16">
        <f>Demand_CWRS!I$14/31</f>
        <v>219.86823562861866</v>
      </c>
      <c r="T341" s="16">
        <f>Demand_CWRS!J$14/31</f>
        <v>219.86823562861866</v>
      </c>
      <c r="U341" s="16">
        <f>Demand_CWRS!K$14/31</f>
        <v>219.86823562861866</v>
      </c>
      <c r="V341" s="16">
        <f t="shared" si="156"/>
        <v>-38332.207804972946</v>
      </c>
      <c r="W341" s="16">
        <f t="shared" si="157"/>
        <v>-154714.00669975151</v>
      </c>
      <c r="X341" s="16">
        <f t="shared" si="158"/>
        <v>0</v>
      </c>
      <c r="Y341" s="16">
        <f t="shared" si="159"/>
        <v>-29712.695491095288</v>
      </c>
      <c r="Z341" s="16">
        <f t="shared" si="160"/>
        <v>-68020.700799744314</v>
      </c>
      <c r="AA341" s="16">
        <f t="shared" si="161"/>
        <v>-36860.275280934562</v>
      </c>
      <c r="AB341" s="16">
        <f t="shared" si="162"/>
        <v>-72329.865575385411</v>
      </c>
      <c r="AC341" s="16">
        <f t="shared" si="163"/>
        <v>-66536.855318975038</v>
      </c>
      <c r="AD341" s="16">
        <f t="shared" si="164"/>
        <v>-66636.855318975038</v>
      </c>
      <c r="AE341" s="16">
        <f t="shared" si="165"/>
        <v>-67236.855318975038</v>
      </c>
      <c r="AF341" s="14">
        <f>IF([1]Sheet2!AJ340=999999,"NA",[1]Sheet2!AJ340)</f>
        <v>0</v>
      </c>
      <c r="AG341" s="14">
        <f>IF([1]Sheet2!AK340=999999,"NA",[1]Sheet2!AK340)</f>
        <v>0</v>
      </c>
      <c r="AH341" s="14" t="str">
        <f>IF([1]Sheet2!AL340=999999,"NA",[1]Sheet2!AL340)</f>
        <v>NA</v>
      </c>
      <c r="AI341" s="14">
        <f>IF([1]Sheet2!AM340=999999,"NA",[1]Sheet2!AM340)</f>
        <v>0</v>
      </c>
      <c r="AJ341" s="14">
        <f>IF([1]Sheet2!AN340=999999,"NA",[1]Sheet2!AN340)</f>
        <v>0</v>
      </c>
      <c r="AK341" s="14">
        <f>IF([1]Sheet2!AO340=999999,"NA",[1]Sheet2!AO340)</f>
        <v>0</v>
      </c>
      <c r="AL341" s="14">
        <f>IF([1]Sheet2!AP340=999999,"NA",[1]Sheet2!AP340)</f>
        <v>0</v>
      </c>
      <c r="AM341" s="14">
        <f>IF([1]Sheet2!AQ340=999999,"NA",[1]Sheet2!AQ340)</f>
        <v>0</v>
      </c>
      <c r="AN341" s="14">
        <f>IF([1]Sheet2!AR340=999999,"NA",[1]Sheet2!AR340)</f>
        <v>0</v>
      </c>
      <c r="AO341" s="14">
        <f>IF([1]Sheet2!AS340=999999,"NA",[1]Sheet2!AS340)</f>
        <v>0</v>
      </c>
      <c r="AP341" s="14">
        <f>[1]Sheet2!P340</f>
        <v>0</v>
      </c>
      <c r="AQ341" s="14">
        <f>[1]Sheet2!Q340</f>
        <v>0</v>
      </c>
      <c r="AR341" s="14">
        <f>[1]Sheet2!R340</f>
        <v>0</v>
      </c>
      <c r="AS341" s="14">
        <f>[1]Sheet2!S340</f>
        <v>0</v>
      </c>
      <c r="AT341" s="14">
        <f>[1]Sheet2!T340</f>
        <v>0</v>
      </c>
      <c r="AU341" s="14">
        <f>[1]Sheet2!U340</f>
        <v>0</v>
      </c>
      <c r="AV341" s="14">
        <f>[1]Sheet2!V340</f>
        <v>0</v>
      </c>
      <c r="AW341" s="14">
        <f>[1]Sheet2!W340</f>
        <v>0</v>
      </c>
      <c r="AX341" s="14">
        <f>[1]Sheet2!X340</f>
        <v>0</v>
      </c>
      <c r="AY341" s="14">
        <f>[1]Sheet2!Y340</f>
        <v>0</v>
      </c>
      <c r="AZ341" s="16">
        <f>Demand_LP!B$14/31</f>
        <v>868.56315911910667</v>
      </c>
      <c r="BA341" s="16">
        <f>Demand_LP!C$14/31</f>
        <v>608.40066170388752</v>
      </c>
      <c r="BB341" s="16">
        <f>Demand_LP!D$14/31</f>
        <v>251.20087262200158</v>
      </c>
      <c r="BC341" s="16">
        <f>Demand_LP!E$14/31</f>
        <v>807.45938378825463</v>
      </c>
      <c r="BD341" s="16">
        <f>Demand_LP!F$14/31</f>
        <v>539.59842069892466</v>
      </c>
      <c r="BE341" s="16">
        <f>Demand_LP!G$14/31</f>
        <v>539.59842069892466</v>
      </c>
      <c r="BF341" s="16">
        <f>Demand_LP!H$14/31</f>
        <v>608.40066170388752</v>
      </c>
      <c r="BG341" s="16">
        <f>Demand_LP!I$14/31</f>
        <v>539.59842069892466</v>
      </c>
      <c r="BH341" s="16">
        <f>Demand_LP!J$14/31</f>
        <v>539.59842069892466</v>
      </c>
      <c r="BI341" s="16">
        <f>Demand_LP!K$14/31</f>
        <v>539.59842069892466</v>
      </c>
      <c r="BJ341" s="16">
        <f t="shared" si="166"/>
        <v>-254553.57245355027</v>
      </c>
      <c r="BK341" s="16">
        <f t="shared" si="167"/>
        <v>-191531.37956989236</v>
      </c>
      <c r="BL341" s="16">
        <f t="shared" si="168"/>
        <v>-91198.554772539661</v>
      </c>
      <c r="BM341" s="16">
        <f t="shared" si="169"/>
        <v>-245648.24008302591</v>
      </c>
      <c r="BN341" s="16">
        <f t="shared" si="170"/>
        <v>-150888.33614263029</v>
      </c>
      <c r="BO341" s="16">
        <f t="shared" si="171"/>
        <v>-149346.02006100107</v>
      </c>
      <c r="BP341" s="16">
        <f t="shared" si="172"/>
        <v>-185888.95905707171</v>
      </c>
      <c r="BQ341" s="16">
        <f t="shared" si="173"/>
        <v>-145175.02006100109</v>
      </c>
      <c r="BR341" s="16">
        <f t="shared" si="174"/>
        <v>-146946.02006100112</v>
      </c>
      <c r="BS341" s="16">
        <f t="shared" si="175"/>
        <v>-147646.02006100112</v>
      </c>
      <c r="BT341" s="14">
        <f>IF([1]Sheet2!CB340=999999,"NA",[1]Sheet2!CB340)</f>
        <v>0</v>
      </c>
      <c r="BU341" s="14">
        <f>IF([1]Sheet2!CC340=999999,"NA",[1]Sheet2!CC340)</f>
        <v>0</v>
      </c>
      <c r="BV341" s="14">
        <f>IF([1]Sheet2!CD340=999999,"NA",[1]Sheet2!CD340)</f>
        <v>0</v>
      </c>
      <c r="BW341" s="14">
        <f>IF([1]Sheet2!CE340=999999,"NA",[1]Sheet2!CE340)</f>
        <v>0</v>
      </c>
      <c r="BX341" s="14">
        <f>IF([1]Sheet2!CF340=999999,"NA",[1]Sheet2!CF340)</f>
        <v>0</v>
      </c>
      <c r="BY341" s="14">
        <f>IF([1]Sheet2!CG340=999999,"NA",[1]Sheet2!CG340)</f>
        <v>0</v>
      </c>
      <c r="BZ341" s="14">
        <f>IF([1]Sheet2!CH340=999999,"NA",[1]Sheet2!CH340)</f>
        <v>0</v>
      </c>
      <c r="CA341" s="14">
        <f>IF([1]Sheet2!CI340=999999,"NA",[1]Sheet2!CI340)</f>
        <v>0</v>
      </c>
      <c r="CB341" s="14">
        <f>IF([1]Sheet2!CJ340=999999,"NA",[1]Sheet2!CJ340)</f>
        <v>0</v>
      </c>
      <c r="CC341" s="14">
        <f>IF([1]Sheet2!CK340=999999,"NA",[1]Sheet2!CK340)</f>
        <v>0</v>
      </c>
      <c r="CD341" s="14">
        <f>[1]Sheet2!BH340</f>
        <v>0</v>
      </c>
      <c r="CE341" s="14">
        <f>[1]Sheet2!BI340</f>
        <v>0</v>
      </c>
      <c r="CF341" s="14">
        <f>[1]Sheet2!BJ340</f>
        <v>0</v>
      </c>
      <c r="CG341" s="14">
        <f>[1]Sheet2!BK340</f>
        <v>0</v>
      </c>
      <c r="CH341" s="14">
        <f>[1]Sheet2!BL340</f>
        <v>0</v>
      </c>
      <c r="CI341" s="14">
        <f>[1]Sheet2!BM340</f>
        <v>0</v>
      </c>
      <c r="CJ341" s="14">
        <f>[1]Sheet2!BN340</f>
        <v>0</v>
      </c>
      <c r="CK341" s="14">
        <f>[1]Sheet2!BO340</f>
        <v>0</v>
      </c>
      <c r="CL341" s="14">
        <f>[1]Sheet2!BP340</f>
        <v>0</v>
      </c>
      <c r="CM341" s="14">
        <f>[1]Sheet2!BQ340</f>
        <v>0</v>
      </c>
      <c r="CN341" s="16">
        <f>Demand_SW!B$14/31</f>
        <v>139.57816377171216</v>
      </c>
      <c r="CO341" s="16">
        <f>Demand_SW!C$14/31</f>
        <v>0</v>
      </c>
      <c r="CP341" s="16">
        <f>Demand_SW!D$14/31</f>
        <v>0</v>
      </c>
      <c r="CQ341" s="16">
        <f>Demand_SW!E$14/31</f>
        <v>0</v>
      </c>
      <c r="CR341" s="16">
        <f>Demand_SW!F$14/31</f>
        <v>0</v>
      </c>
      <c r="CS341" s="16">
        <f>Demand_SW!G$14/31</f>
        <v>139.57816377171216</v>
      </c>
      <c r="CT341" s="16">
        <f>Demand_SW!H$14/31</f>
        <v>0</v>
      </c>
      <c r="CU341" s="16">
        <f>Demand_SW!I$14/31</f>
        <v>0</v>
      </c>
      <c r="CV341" s="16">
        <f>Demand_SW!J$14/31</f>
        <v>0</v>
      </c>
      <c r="CW341" s="16">
        <f>Demand_SW!K$14/31</f>
        <v>0</v>
      </c>
      <c r="CX341" s="16">
        <f t="shared" si="176"/>
        <v>-23259.851116625352</v>
      </c>
      <c r="CY341" s="16">
        <f t="shared" si="177"/>
        <v>76.923076923077133</v>
      </c>
      <c r="CZ341" s="16">
        <f t="shared" si="178"/>
        <v>0</v>
      </c>
      <c r="DA341" s="16">
        <f t="shared" si="179"/>
        <v>0</v>
      </c>
      <c r="DB341" s="16">
        <f t="shared" si="180"/>
        <v>0</v>
      </c>
      <c r="DC341" s="16">
        <f t="shared" si="181"/>
        <v>-24491.081885856122</v>
      </c>
      <c r="DD341" s="16">
        <f t="shared" si="182"/>
        <v>76.923076923077133</v>
      </c>
      <c r="DE341" s="16">
        <f t="shared" si="183"/>
        <v>0</v>
      </c>
      <c r="DF341" s="16">
        <f t="shared" si="184"/>
        <v>0</v>
      </c>
      <c r="DG341" s="16">
        <f t="shared" si="185"/>
        <v>0</v>
      </c>
      <c r="DH341" s="14">
        <f>IF([1]Sheet2!DS340=999999,"NA",[1]Sheet2!DS340)</f>
        <v>0</v>
      </c>
      <c r="DI341" s="14">
        <f>IF([1]Sheet2!DT340=999999,"NA",[1]Sheet2!DT340)</f>
        <v>27</v>
      </c>
      <c r="DJ341" s="14" t="str">
        <f>IF([1]Sheet2!DU340=999999,"NA",[1]Sheet2!DU340)</f>
        <v>NA</v>
      </c>
      <c r="DK341" s="14" t="str">
        <f>IF([1]Sheet2!DV340=999999,"NA",[1]Sheet2!DV340)</f>
        <v>NA</v>
      </c>
      <c r="DL341" s="14" t="str">
        <f>IF([1]Sheet2!DW340=999999,"NA",[1]Sheet2!DW340)</f>
        <v>NA</v>
      </c>
      <c r="DM341" s="14">
        <f>IF([1]Sheet2!DX340=999999,"NA",[1]Sheet2!DX340)</f>
        <v>0</v>
      </c>
      <c r="DN341" s="14">
        <f>IF([1]Sheet2!DY340=999999,"NA",[1]Sheet2!DY340)</f>
        <v>27</v>
      </c>
      <c r="DO341" s="14" t="str">
        <f>IF([1]Sheet2!DZ340=999999,"NA",[1]Sheet2!DZ340)</f>
        <v>NA</v>
      </c>
      <c r="DP341" s="14" t="str">
        <f>IF([1]Sheet2!EA340=999999,"NA",[1]Sheet2!EA340)</f>
        <v>NA</v>
      </c>
      <c r="DQ341" s="14" t="str">
        <f>IF([1]Sheet2!EB340=999999,"NA",[1]Sheet2!EB340)</f>
        <v>NA</v>
      </c>
      <c r="DR341" s="14">
        <f>[1]Sheet2!CY340</f>
        <v>0</v>
      </c>
      <c r="DS341" s="14">
        <f>[1]Sheet2!CZ340</f>
        <v>0</v>
      </c>
      <c r="DT341" s="14">
        <f>[1]Sheet2!DA340</f>
        <v>0</v>
      </c>
      <c r="DU341" s="14">
        <f>[1]Sheet2!DB340</f>
        <v>0</v>
      </c>
      <c r="DV341" s="14">
        <f>[1]Sheet2!DC340</f>
        <v>0</v>
      </c>
      <c r="DW341" s="14">
        <f>[1]Sheet2!DD340</f>
        <v>0</v>
      </c>
      <c r="DX341" s="14">
        <f>[1]Sheet2!DE340</f>
        <v>0</v>
      </c>
      <c r="DY341" s="14">
        <f>[1]Sheet2!DF340</f>
        <v>0</v>
      </c>
      <c r="DZ341" s="14">
        <f>[1]Sheet2!DG340</f>
        <v>0</v>
      </c>
      <c r="EA341" s="14">
        <f>[1]Sheet2!DH340</f>
        <v>0</v>
      </c>
      <c r="EB341" s="6">
        <f>[1]Sheet2!EC340</f>
        <v>0</v>
      </c>
      <c r="EC341" s="6">
        <f>[1]Sheet2!ED340</f>
        <v>0</v>
      </c>
      <c r="ED341" s="6">
        <f>[1]Sheet2!EE340</f>
        <v>0</v>
      </c>
      <c r="EE341" s="6">
        <f>[1]Sheet2!EF340</f>
        <v>0</v>
      </c>
      <c r="EF341" s="6">
        <f>[1]Sheet2!EG340</f>
        <v>0</v>
      </c>
      <c r="EG341" s="6">
        <f>[1]Sheet2!EH340</f>
        <v>0</v>
      </c>
      <c r="EH341" s="6">
        <f>[1]Sheet2!EI340</f>
        <v>0</v>
      </c>
      <c r="EI341" s="6">
        <f>[1]Sheet2!EJ340</f>
        <v>0</v>
      </c>
      <c r="EJ341" s="6">
        <f>[1]Sheet2!EK340</f>
        <v>0</v>
      </c>
      <c r="EK341" s="6">
        <f>[1]Sheet2!EL340</f>
        <v>0</v>
      </c>
      <c r="EL341" s="6" t="str">
        <f>[1]Sheet2!EM340</f>
        <v/>
      </c>
      <c r="EM341" s="6" t="str">
        <f>[1]Sheet2!EN340</f>
        <v/>
      </c>
      <c r="EN341" s="6" t="str">
        <f>[1]Sheet2!EO340</f>
        <v/>
      </c>
      <c r="EO341" s="6" t="str">
        <f>[1]Sheet2!EP340</f>
        <v/>
      </c>
      <c r="EP341" s="6" t="str">
        <f>[1]Sheet2!EQ340</f>
        <v/>
      </c>
      <c r="EQ341" s="6" t="str">
        <f>[1]Sheet2!ER340</f>
        <v/>
      </c>
      <c r="ER341" s="6" t="str">
        <f>[1]Sheet2!ES340</f>
        <v/>
      </c>
      <c r="ES341" s="6" t="str">
        <f>[1]Sheet2!ET340</f>
        <v/>
      </c>
      <c r="ET341" s="6" t="str">
        <f>[1]Sheet2!EU340</f>
        <v/>
      </c>
      <c r="EU341" s="6" t="str">
        <f>[1]Sheet2!EV340</f>
        <v/>
      </c>
      <c r="EV341" s="6" t="str">
        <f>[1]Sheet2!EW340</f>
        <v/>
      </c>
      <c r="EW341" s="6" t="str">
        <f>[1]Sheet2!EX340</f>
        <v/>
      </c>
      <c r="EX341" s="6" t="str">
        <f>[1]Sheet2!EY340</f>
        <v/>
      </c>
      <c r="EY341" s="6" t="str">
        <f>[1]Sheet2!EZ340</f>
        <v/>
      </c>
      <c r="EZ341" s="6" t="str">
        <f>[1]Sheet2!FA340</f>
        <v/>
      </c>
      <c r="FA341" s="6" t="str">
        <f>[1]Sheet2!FB340</f>
        <v/>
      </c>
      <c r="FB341" s="6" t="str">
        <f>[1]Sheet2!FC340</f>
        <v/>
      </c>
      <c r="FC341" s="6" t="str">
        <f>[1]Sheet2!FD340</f>
        <v/>
      </c>
      <c r="FD341" s="6" t="str">
        <f>[1]Sheet2!FE340</f>
        <v/>
      </c>
      <c r="FE341" s="6" t="str">
        <f>[1]Sheet2!FF340</f>
        <v/>
      </c>
      <c r="FF341" s="6" t="str">
        <f>[1]Sheet2!FG340</f>
        <v/>
      </c>
      <c r="FG341" s="6" t="str">
        <f>[1]Sheet2!FH340</f>
        <v/>
      </c>
      <c r="FH341" s="6" t="str">
        <f>[1]Sheet2!FI340</f>
        <v/>
      </c>
      <c r="FI341" s="6" t="str">
        <f>[1]Sheet2!FJ340</f>
        <v/>
      </c>
      <c r="FJ341" s="6" t="str">
        <f>[1]Sheet2!FK340</f>
        <v/>
      </c>
      <c r="FK341" s="6" t="str">
        <f>[1]Sheet2!FL340</f>
        <v/>
      </c>
      <c r="FL341" s="6" t="str">
        <f>[1]Sheet2!FM340</f>
        <v/>
      </c>
      <c r="FM341" s="6" t="str">
        <f>[1]Sheet2!FN340</f>
        <v/>
      </c>
      <c r="FN341" s="6" t="str">
        <f>[1]Sheet2!FO340</f>
        <v/>
      </c>
      <c r="FO341" s="6" t="str">
        <f>[1]Sheet2!FP340</f>
        <v/>
      </c>
    </row>
    <row r="342" spans="1:171" x14ac:dyDescent="0.25">
      <c r="A342" s="15">
        <v>43804</v>
      </c>
      <c r="B342" s="1"/>
      <c r="C342" s="1"/>
      <c r="D342" s="1"/>
      <c r="E342" s="14">
        <f>[1]Sheet2!N341</f>
        <v>0</v>
      </c>
      <c r="F342" s="14">
        <f>[1]Sheet2!BE341</f>
        <v>0</v>
      </c>
      <c r="G342" s="14">
        <f>[1]Sheet2!CW341</f>
        <v>0</v>
      </c>
      <c r="H342" s="1"/>
      <c r="I342" s="1"/>
      <c r="J342" s="1"/>
      <c r="K342" s="16"/>
      <c r="L342" s="16">
        <f>Demand_CWRS!B$14/31</f>
        <v>95.176711124896599</v>
      </c>
      <c r="M342" s="16">
        <f>Demand_CWRS!C$14/31</f>
        <v>526.22795698924722</v>
      </c>
      <c r="N342" s="16">
        <f>Demand_CWRS!D$14/31</f>
        <v>0</v>
      </c>
      <c r="O342" s="16">
        <f>Demand_CWRS!E$14/31</f>
        <v>102.37076095947063</v>
      </c>
      <c r="P342" s="16">
        <f>Demand_CWRS!F$14/31</f>
        <v>219.86823562861866</v>
      </c>
      <c r="Q342" s="16">
        <f>Demand_CWRS!G$14/31</f>
        <v>95.176711124896599</v>
      </c>
      <c r="R342" s="16">
        <f>Demand_CWRS!H$14/31</f>
        <v>219.86823562861866</v>
      </c>
      <c r="S342" s="16">
        <f>Demand_CWRS!I$14/31</f>
        <v>219.86823562861866</v>
      </c>
      <c r="T342" s="16">
        <f>Demand_CWRS!J$14/31</f>
        <v>219.86823562861866</v>
      </c>
      <c r="U342" s="16">
        <f>Demand_CWRS!K$14/31</f>
        <v>219.86823562861866</v>
      </c>
      <c r="V342" s="16">
        <f t="shared" si="156"/>
        <v>-38427.384516097845</v>
      </c>
      <c r="W342" s="16">
        <f t="shared" si="157"/>
        <v>-155240.23465674077</v>
      </c>
      <c r="X342" s="16">
        <f t="shared" si="158"/>
        <v>0</v>
      </c>
      <c r="Y342" s="16">
        <f t="shared" si="159"/>
        <v>-29815.066252054759</v>
      </c>
      <c r="Z342" s="16">
        <f t="shared" si="160"/>
        <v>-68240.56903537293</v>
      </c>
      <c r="AA342" s="16">
        <f t="shared" si="161"/>
        <v>-36955.451992059461</v>
      </c>
      <c r="AB342" s="16">
        <f t="shared" si="162"/>
        <v>-72549.733811014026</v>
      </c>
      <c r="AC342" s="16">
        <f t="shared" si="163"/>
        <v>-66756.723554603654</v>
      </c>
      <c r="AD342" s="16">
        <f t="shared" si="164"/>
        <v>-66856.723554603654</v>
      </c>
      <c r="AE342" s="16">
        <f t="shared" si="165"/>
        <v>-67456.723554603654</v>
      </c>
      <c r="AF342" s="14">
        <f>IF([1]Sheet2!AJ341=999999,"NA",[1]Sheet2!AJ341)</f>
        <v>0</v>
      </c>
      <c r="AG342" s="14">
        <f>IF([1]Sheet2!AK341=999999,"NA",[1]Sheet2!AK341)</f>
        <v>0</v>
      </c>
      <c r="AH342" s="14" t="str">
        <f>IF([1]Sheet2!AL341=999999,"NA",[1]Sheet2!AL341)</f>
        <v>NA</v>
      </c>
      <c r="AI342" s="14">
        <f>IF([1]Sheet2!AM341=999999,"NA",[1]Sheet2!AM341)</f>
        <v>0</v>
      </c>
      <c r="AJ342" s="14">
        <f>IF([1]Sheet2!AN341=999999,"NA",[1]Sheet2!AN341)</f>
        <v>0</v>
      </c>
      <c r="AK342" s="14">
        <f>IF([1]Sheet2!AO341=999999,"NA",[1]Sheet2!AO341)</f>
        <v>0</v>
      </c>
      <c r="AL342" s="14">
        <f>IF([1]Sheet2!AP341=999999,"NA",[1]Sheet2!AP341)</f>
        <v>0</v>
      </c>
      <c r="AM342" s="14">
        <f>IF([1]Sheet2!AQ341=999999,"NA",[1]Sheet2!AQ341)</f>
        <v>0</v>
      </c>
      <c r="AN342" s="14">
        <f>IF([1]Sheet2!AR341=999999,"NA",[1]Sheet2!AR341)</f>
        <v>0</v>
      </c>
      <c r="AO342" s="14">
        <f>IF([1]Sheet2!AS341=999999,"NA",[1]Sheet2!AS341)</f>
        <v>0</v>
      </c>
      <c r="AP342" s="14">
        <f>[1]Sheet2!P341</f>
        <v>0</v>
      </c>
      <c r="AQ342" s="14">
        <f>[1]Sheet2!Q341</f>
        <v>0</v>
      </c>
      <c r="AR342" s="14">
        <f>[1]Sheet2!R341</f>
        <v>0</v>
      </c>
      <c r="AS342" s="14">
        <f>[1]Sheet2!S341</f>
        <v>0</v>
      </c>
      <c r="AT342" s="14">
        <f>[1]Sheet2!T341</f>
        <v>0</v>
      </c>
      <c r="AU342" s="14">
        <f>[1]Sheet2!U341</f>
        <v>0</v>
      </c>
      <c r="AV342" s="14">
        <f>[1]Sheet2!V341</f>
        <v>0</v>
      </c>
      <c r="AW342" s="14">
        <f>[1]Sheet2!W341</f>
        <v>0</v>
      </c>
      <c r="AX342" s="14">
        <f>[1]Sheet2!X341</f>
        <v>0</v>
      </c>
      <c r="AY342" s="14">
        <f>[1]Sheet2!Y341</f>
        <v>0</v>
      </c>
      <c r="AZ342" s="16">
        <f>Demand_LP!B$14/31</f>
        <v>868.56315911910667</v>
      </c>
      <c r="BA342" s="16">
        <f>Demand_LP!C$14/31</f>
        <v>608.40066170388752</v>
      </c>
      <c r="BB342" s="16">
        <f>Demand_LP!D$14/31</f>
        <v>251.20087262200158</v>
      </c>
      <c r="BC342" s="16">
        <f>Demand_LP!E$14/31</f>
        <v>807.45938378825463</v>
      </c>
      <c r="BD342" s="16">
        <f>Demand_LP!F$14/31</f>
        <v>539.59842069892466</v>
      </c>
      <c r="BE342" s="16">
        <f>Demand_LP!G$14/31</f>
        <v>539.59842069892466</v>
      </c>
      <c r="BF342" s="16">
        <f>Demand_LP!H$14/31</f>
        <v>608.40066170388752</v>
      </c>
      <c r="BG342" s="16">
        <f>Demand_LP!I$14/31</f>
        <v>539.59842069892466</v>
      </c>
      <c r="BH342" s="16">
        <f>Demand_LP!J$14/31</f>
        <v>539.59842069892466</v>
      </c>
      <c r="BI342" s="16">
        <f>Demand_LP!K$14/31</f>
        <v>539.59842069892466</v>
      </c>
      <c r="BJ342" s="16">
        <f t="shared" si="166"/>
        <v>-255422.13561266937</v>
      </c>
      <c r="BK342" s="16">
        <f t="shared" si="167"/>
        <v>-192139.78023159626</v>
      </c>
      <c r="BL342" s="16">
        <f t="shared" si="168"/>
        <v>-91449.755645161669</v>
      </c>
      <c r="BM342" s="16">
        <f t="shared" si="169"/>
        <v>-246455.69946681417</v>
      </c>
      <c r="BN342" s="16">
        <f t="shared" si="170"/>
        <v>-151427.93456332921</v>
      </c>
      <c r="BO342" s="16">
        <f t="shared" si="171"/>
        <v>-149885.61848169999</v>
      </c>
      <c r="BP342" s="16">
        <f t="shared" si="172"/>
        <v>-186497.35971877561</v>
      </c>
      <c r="BQ342" s="16">
        <f t="shared" si="173"/>
        <v>-145714.61848170002</v>
      </c>
      <c r="BR342" s="16">
        <f t="shared" si="174"/>
        <v>-147485.61848170005</v>
      </c>
      <c r="BS342" s="16">
        <f t="shared" si="175"/>
        <v>-148185.61848170005</v>
      </c>
      <c r="BT342" s="14">
        <f>IF([1]Sheet2!CB341=999999,"NA",[1]Sheet2!CB341)</f>
        <v>0</v>
      </c>
      <c r="BU342" s="14">
        <f>IF([1]Sheet2!CC341=999999,"NA",[1]Sheet2!CC341)</f>
        <v>0</v>
      </c>
      <c r="BV342" s="14">
        <f>IF([1]Sheet2!CD341=999999,"NA",[1]Sheet2!CD341)</f>
        <v>0</v>
      </c>
      <c r="BW342" s="14">
        <f>IF([1]Sheet2!CE341=999999,"NA",[1]Sheet2!CE341)</f>
        <v>0</v>
      </c>
      <c r="BX342" s="14">
        <f>IF([1]Sheet2!CF341=999999,"NA",[1]Sheet2!CF341)</f>
        <v>0</v>
      </c>
      <c r="BY342" s="14">
        <f>IF([1]Sheet2!CG341=999999,"NA",[1]Sheet2!CG341)</f>
        <v>0</v>
      </c>
      <c r="BZ342" s="14">
        <f>IF([1]Sheet2!CH341=999999,"NA",[1]Sheet2!CH341)</f>
        <v>0</v>
      </c>
      <c r="CA342" s="14">
        <f>IF([1]Sheet2!CI341=999999,"NA",[1]Sheet2!CI341)</f>
        <v>0</v>
      </c>
      <c r="CB342" s="14">
        <f>IF([1]Sheet2!CJ341=999999,"NA",[1]Sheet2!CJ341)</f>
        <v>0</v>
      </c>
      <c r="CC342" s="14">
        <f>IF([1]Sheet2!CK341=999999,"NA",[1]Sheet2!CK341)</f>
        <v>0</v>
      </c>
      <c r="CD342" s="14">
        <f>[1]Sheet2!BH341</f>
        <v>0</v>
      </c>
      <c r="CE342" s="14">
        <f>[1]Sheet2!BI341</f>
        <v>0</v>
      </c>
      <c r="CF342" s="14">
        <f>[1]Sheet2!BJ341</f>
        <v>0</v>
      </c>
      <c r="CG342" s="14">
        <f>[1]Sheet2!BK341</f>
        <v>0</v>
      </c>
      <c r="CH342" s="14">
        <f>[1]Sheet2!BL341</f>
        <v>0</v>
      </c>
      <c r="CI342" s="14">
        <f>[1]Sheet2!BM341</f>
        <v>0</v>
      </c>
      <c r="CJ342" s="14">
        <f>[1]Sheet2!BN341</f>
        <v>0</v>
      </c>
      <c r="CK342" s="14">
        <f>[1]Sheet2!BO341</f>
        <v>0</v>
      </c>
      <c r="CL342" s="14">
        <f>[1]Sheet2!BP341</f>
        <v>0</v>
      </c>
      <c r="CM342" s="14">
        <f>[1]Sheet2!BQ341</f>
        <v>0</v>
      </c>
      <c r="CN342" s="16">
        <f>Demand_SW!B$14/31</f>
        <v>139.57816377171216</v>
      </c>
      <c r="CO342" s="16">
        <f>Demand_SW!C$14/31</f>
        <v>0</v>
      </c>
      <c r="CP342" s="16">
        <f>Demand_SW!D$14/31</f>
        <v>0</v>
      </c>
      <c r="CQ342" s="16">
        <f>Demand_SW!E$14/31</f>
        <v>0</v>
      </c>
      <c r="CR342" s="16">
        <f>Demand_SW!F$14/31</f>
        <v>0</v>
      </c>
      <c r="CS342" s="16">
        <f>Demand_SW!G$14/31</f>
        <v>139.57816377171216</v>
      </c>
      <c r="CT342" s="16">
        <f>Demand_SW!H$14/31</f>
        <v>0</v>
      </c>
      <c r="CU342" s="16">
        <f>Demand_SW!I$14/31</f>
        <v>0</v>
      </c>
      <c r="CV342" s="16">
        <f>Demand_SW!J$14/31</f>
        <v>0</v>
      </c>
      <c r="CW342" s="16">
        <f>Demand_SW!K$14/31</f>
        <v>0</v>
      </c>
      <c r="CX342" s="16">
        <f t="shared" si="176"/>
        <v>-23399.429280397064</v>
      </c>
      <c r="CY342" s="16">
        <f t="shared" si="177"/>
        <v>76.923076923077133</v>
      </c>
      <c r="CZ342" s="16">
        <f t="shared" si="178"/>
        <v>0</v>
      </c>
      <c r="DA342" s="16">
        <f t="shared" si="179"/>
        <v>0</v>
      </c>
      <c r="DB342" s="16">
        <f t="shared" si="180"/>
        <v>0</v>
      </c>
      <c r="DC342" s="16">
        <f t="shared" si="181"/>
        <v>-24630.660049627833</v>
      </c>
      <c r="DD342" s="16">
        <f t="shared" si="182"/>
        <v>76.923076923077133</v>
      </c>
      <c r="DE342" s="16">
        <f t="shared" si="183"/>
        <v>0</v>
      </c>
      <c r="DF342" s="16">
        <f t="shared" si="184"/>
        <v>0</v>
      </c>
      <c r="DG342" s="16">
        <f t="shared" si="185"/>
        <v>0</v>
      </c>
      <c r="DH342" s="14">
        <f>IF([1]Sheet2!DS341=999999,"NA",[1]Sheet2!DS341)</f>
        <v>0</v>
      </c>
      <c r="DI342" s="14">
        <f>IF([1]Sheet2!DT341=999999,"NA",[1]Sheet2!DT341)</f>
        <v>26</v>
      </c>
      <c r="DJ342" s="14" t="str">
        <f>IF([1]Sheet2!DU341=999999,"NA",[1]Sheet2!DU341)</f>
        <v>NA</v>
      </c>
      <c r="DK342" s="14" t="str">
        <f>IF([1]Sheet2!DV341=999999,"NA",[1]Sheet2!DV341)</f>
        <v>NA</v>
      </c>
      <c r="DL342" s="14" t="str">
        <f>IF([1]Sheet2!DW341=999999,"NA",[1]Sheet2!DW341)</f>
        <v>NA</v>
      </c>
      <c r="DM342" s="14">
        <f>IF([1]Sheet2!DX341=999999,"NA",[1]Sheet2!DX341)</f>
        <v>0</v>
      </c>
      <c r="DN342" s="14">
        <f>IF([1]Sheet2!DY341=999999,"NA",[1]Sheet2!DY341)</f>
        <v>26</v>
      </c>
      <c r="DO342" s="14" t="str">
        <f>IF([1]Sheet2!DZ341=999999,"NA",[1]Sheet2!DZ341)</f>
        <v>NA</v>
      </c>
      <c r="DP342" s="14" t="str">
        <f>IF([1]Sheet2!EA341=999999,"NA",[1]Sheet2!EA341)</f>
        <v>NA</v>
      </c>
      <c r="DQ342" s="14" t="str">
        <f>IF([1]Sheet2!EB341=999999,"NA",[1]Sheet2!EB341)</f>
        <v>NA</v>
      </c>
      <c r="DR342" s="14">
        <f>[1]Sheet2!CY341</f>
        <v>0</v>
      </c>
      <c r="DS342" s="14">
        <f>[1]Sheet2!CZ341</f>
        <v>0</v>
      </c>
      <c r="DT342" s="14">
        <f>[1]Sheet2!DA341</f>
        <v>0</v>
      </c>
      <c r="DU342" s="14">
        <f>[1]Sheet2!DB341</f>
        <v>0</v>
      </c>
      <c r="DV342" s="14">
        <f>[1]Sheet2!DC341</f>
        <v>0</v>
      </c>
      <c r="DW342" s="14">
        <f>[1]Sheet2!DD341</f>
        <v>0</v>
      </c>
      <c r="DX342" s="14">
        <f>[1]Sheet2!DE341</f>
        <v>0</v>
      </c>
      <c r="DY342" s="14">
        <f>[1]Sheet2!DF341</f>
        <v>0</v>
      </c>
      <c r="DZ342" s="14">
        <f>[1]Sheet2!DG341</f>
        <v>0</v>
      </c>
      <c r="EA342" s="14">
        <f>[1]Sheet2!DH341</f>
        <v>0</v>
      </c>
      <c r="EB342" s="6">
        <f>[1]Sheet2!EC341</f>
        <v>0</v>
      </c>
      <c r="EC342" s="6">
        <f>[1]Sheet2!ED341</f>
        <v>0</v>
      </c>
      <c r="ED342" s="6">
        <f>[1]Sheet2!EE341</f>
        <v>0</v>
      </c>
      <c r="EE342" s="6">
        <f>[1]Sheet2!EF341</f>
        <v>0</v>
      </c>
      <c r="EF342" s="6">
        <f>[1]Sheet2!EG341</f>
        <v>0</v>
      </c>
      <c r="EG342" s="6">
        <f>[1]Sheet2!EH341</f>
        <v>0</v>
      </c>
      <c r="EH342" s="6">
        <f>[1]Sheet2!EI341</f>
        <v>0</v>
      </c>
      <c r="EI342" s="6">
        <f>[1]Sheet2!EJ341</f>
        <v>0</v>
      </c>
      <c r="EJ342" s="6">
        <f>[1]Sheet2!EK341</f>
        <v>0</v>
      </c>
      <c r="EK342" s="6">
        <f>[1]Sheet2!EL341</f>
        <v>0</v>
      </c>
      <c r="EL342" s="6" t="str">
        <f>[1]Sheet2!EM341</f>
        <v/>
      </c>
      <c r="EM342" s="6" t="str">
        <f>[1]Sheet2!EN341</f>
        <v/>
      </c>
      <c r="EN342" s="6" t="str">
        <f>[1]Sheet2!EO341</f>
        <v/>
      </c>
      <c r="EO342" s="6" t="str">
        <f>[1]Sheet2!EP341</f>
        <v/>
      </c>
      <c r="EP342" s="6" t="str">
        <f>[1]Sheet2!EQ341</f>
        <v/>
      </c>
      <c r="EQ342" s="6" t="str">
        <f>[1]Sheet2!ER341</f>
        <v/>
      </c>
      <c r="ER342" s="6" t="str">
        <f>[1]Sheet2!ES341</f>
        <v/>
      </c>
      <c r="ES342" s="6" t="str">
        <f>[1]Sheet2!ET341</f>
        <v/>
      </c>
      <c r="ET342" s="6" t="str">
        <f>[1]Sheet2!EU341</f>
        <v/>
      </c>
      <c r="EU342" s="6" t="str">
        <f>[1]Sheet2!EV341</f>
        <v/>
      </c>
      <c r="EV342" s="6" t="str">
        <f>[1]Sheet2!EW341</f>
        <v/>
      </c>
      <c r="EW342" s="6" t="str">
        <f>[1]Sheet2!EX341</f>
        <v/>
      </c>
      <c r="EX342" s="6" t="str">
        <f>[1]Sheet2!EY341</f>
        <v/>
      </c>
      <c r="EY342" s="6" t="str">
        <f>[1]Sheet2!EZ341</f>
        <v/>
      </c>
      <c r="EZ342" s="6" t="str">
        <f>[1]Sheet2!FA341</f>
        <v/>
      </c>
      <c r="FA342" s="6" t="str">
        <f>[1]Sheet2!FB341</f>
        <v/>
      </c>
      <c r="FB342" s="6" t="str">
        <f>[1]Sheet2!FC341</f>
        <v/>
      </c>
      <c r="FC342" s="6" t="str">
        <f>[1]Sheet2!FD341</f>
        <v/>
      </c>
      <c r="FD342" s="6" t="str">
        <f>[1]Sheet2!FE341</f>
        <v/>
      </c>
      <c r="FE342" s="6" t="str">
        <f>[1]Sheet2!FF341</f>
        <v/>
      </c>
      <c r="FF342" s="6" t="str">
        <f>[1]Sheet2!FG341</f>
        <v/>
      </c>
      <c r="FG342" s="6" t="str">
        <f>[1]Sheet2!FH341</f>
        <v/>
      </c>
      <c r="FH342" s="6" t="str">
        <f>[1]Sheet2!FI341</f>
        <v/>
      </c>
      <c r="FI342" s="6" t="str">
        <f>[1]Sheet2!FJ341</f>
        <v/>
      </c>
      <c r="FJ342" s="6" t="str">
        <f>[1]Sheet2!FK341</f>
        <v/>
      </c>
      <c r="FK342" s="6" t="str">
        <f>[1]Sheet2!FL341</f>
        <v/>
      </c>
      <c r="FL342" s="6" t="str">
        <f>[1]Sheet2!FM341</f>
        <v/>
      </c>
      <c r="FM342" s="6" t="str">
        <f>[1]Sheet2!FN341</f>
        <v/>
      </c>
      <c r="FN342" s="6" t="str">
        <f>[1]Sheet2!FO341</f>
        <v/>
      </c>
      <c r="FO342" s="6" t="str">
        <f>[1]Sheet2!FP341</f>
        <v/>
      </c>
    </row>
    <row r="343" spans="1:171" x14ac:dyDescent="0.25">
      <c r="A343" s="15">
        <v>43805</v>
      </c>
      <c r="B343" s="1"/>
      <c r="C343" s="1"/>
      <c r="D343" s="1"/>
      <c r="E343" s="14">
        <f>[1]Sheet2!N342</f>
        <v>0</v>
      </c>
      <c r="F343" s="14">
        <f>[1]Sheet2!BE342</f>
        <v>0</v>
      </c>
      <c r="G343" s="14">
        <f>[1]Sheet2!CW342</f>
        <v>0</v>
      </c>
      <c r="H343" s="1"/>
      <c r="I343" s="1"/>
      <c r="J343" s="1"/>
      <c r="K343" s="16"/>
      <c r="L343" s="16">
        <f>Demand_CWRS!B$14/31</f>
        <v>95.176711124896599</v>
      </c>
      <c r="M343" s="16">
        <f>Demand_CWRS!C$14/31</f>
        <v>526.22795698924722</v>
      </c>
      <c r="N343" s="16">
        <f>Demand_CWRS!D$14/31</f>
        <v>0</v>
      </c>
      <c r="O343" s="16">
        <f>Demand_CWRS!E$14/31</f>
        <v>102.37076095947063</v>
      </c>
      <c r="P343" s="16">
        <f>Demand_CWRS!F$14/31</f>
        <v>219.86823562861866</v>
      </c>
      <c r="Q343" s="16">
        <f>Demand_CWRS!G$14/31</f>
        <v>95.176711124896599</v>
      </c>
      <c r="R343" s="16">
        <f>Demand_CWRS!H$14/31</f>
        <v>219.86823562861866</v>
      </c>
      <c r="S343" s="16">
        <f>Demand_CWRS!I$14/31</f>
        <v>219.86823562861866</v>
      </c>
      <c r="T343" s="16">
        <f>Demand_CWRS!J$14/31</f>
        <v>219.86823562861866</v>
      </c>
      <c r="U343" s="16">
        <f>Demand_CWRS!K$14/31</f>
        <v>219.86823562861866</v>
      </c>
      <c r="V343" s="16">
        <f t="shared" si="156"/>
        <v>-38522.561227222744</v>
      </c>
      <c r="W343" s="16">
        <f t="shared" si="157"/>
        <v>-155766.46261373002</v>
      </c>
      <c r="X343" s="16">
        <f t="shared" si="158"/>
        <v>0</v>
      </c>
      <c r="Y343" s="16">
        <f t="shared" si="159"/>
        <v>-29917.437013014231</v>
      </c>
      <c r="Z343" s="16">
        <f t="shared" si="160"/>
        <v>-68460.437271001545</v>
      </c>
      <c r="AA343" s="16">
        <f t="shared" si="161"/>
        <v>-37050.62870318436</v>
      </c>
      <c r="AB343" s="16">
        <f t="shared" si="162"/>
        <v>-72769.602046642642</v>
      </c>
      <c r="AC343" s="16">
        <f t="shared" si="163"/>
        <v>-66976.591790232269</v>
      </c>
      <c r="AD343" s="16">
        <f t="shared" si="164"/>
        <v>-67076.591790232269</v>
      </c>
      <c r="AE343" s="16">
        <f t="shared" si="165"/>
        <v>-67676.591790232269</v>
      </c>
      <c r="AF343" s="14">
        <f>IF([1]Sheet2!AJ342=999999,"NA",[1]Sheet2!AJ342)</f>
        <v>0</v>
      </c>
      <c r="AG343" s="14">
        <f>IF([1]Sheet2!AK342=999999,"NA",[1]Sheet2!AK342)</f>
        <v>0</v>
      </c>
      <c r="AH343" s="14" t="str">
        <f>IF([1]Sheet2!AL342=999999,"NA",[1]Sheet2!AL342)</f>
        <v>NA</v>
      </c>
      <c r="AI343" s="14">
        <f>IF([1]Sheet2!AM342=999999,"NA",[1]Sheet2!AM342)</f>
        <v>0</v>
      </c>
      <c r="AJ343" s="14">
        <f>IF([1]Sheet2!AN342=999999,"NA",[1]Sheet2!AN342)</f>
        <v>0</v>
      </c>
      <c r="AK343" s="14">
        <f>IF([1]Sheet2!AO342=999999,"NA",[1]Sheet2!AO342)</f>
        <v>0</v>
      </c>
      <c r="AL343" s="14">
        <f>IF([1]Sheet2!AP342=999999,"NA",[1]Sheet2!AP342)</f>
        <v>0</v>
      </c>
      <c r="AM343" s="14">
        <f>IF([1]Sheet2!AQ342=999999,"NA",[1]Sheet2!AQ342)</f>
        <v>0</v>
      </c>
      <c r="AN343" s="14">
        <f>IF([1]Sheet2!AR342=999999,"NA",[1]Sheet2!AR342)</f>
        <v>0</v>
      </c>
      <c r="AO343" s="14">
        <f>IF([1]Sheet2!AS342=999999,"NA",[1]Sheet2!AS342)</f>
        <v>0</v>
      </c>
      <c r="AP343" s="14">
        <f>[1]Sheet2!P342</f>
        <v>0</v>
      </c>
      <c r="AQ343" s="14">
        <f>[1]Sheet2!Q342</f>
        <v>0</v>
      </c>
      <c r="AR343" s="14">
        <f>[1]Sheet2!R342</f>
        <v>0</v>
      </c>
      <c r="AS343" s="14">
        <f>[1]Sheet2!S342</f>
        <v>0</v>
      </c>
      <c r="AT343" s="14">
        <f>[1]Sheet2!T342</f>
        <v>0</v>
      </c>
      <c r="AU343" s="14">
        <f>[1]Sheet2!U342</f>
        <v>0</v>
      </c>
      <c r="AV343" s="14">
        <f>[1]Sheet2!V342</f>
        <v>0</v>
      </c>
      <c r="AW343" s="14">
        <f>[1]Sheet2!W342</f>
        <v>0</v>
      </c>
      <c r="AX343" s="14">
        <f>[1]Sheet2!X342</f>
        <v>0</v>
      </c>
      <c r="AY343" s="14">
        <f>[1]Sheet2!Y342</f>
        <v>0</v>
      </c>
      <c r="AZ343" s="16">
        <f>Demand_LP!B$14/31</f>
        <v>868.56315911910667</v>
      </c>
      <c r="BA343" s="16">
        <f>Demand_LP!C$14/31</f>
        <v>608.40066170388752</v>
      </c>
      <c r="BB343" s="16">
        <f>Demand_LP!D$14/31</f>
        <v>251.20087262200158</v>
      </c>
      <c r="BC343" s="16">
        <f>Demand_LP!E$14/31</f>
        <v>807.45938378825463</v>
      </c>
      <c r="BD343" s="16">
        <f>Demand_LP!F$14/31</f>
        <v>539.59842069892466</v>
      </c>
      <c r="BE343" s="16">
        <f>Demand_LP!G$14/31</f>
        <v>539.59842069892466</v>
      </c>
      <c r="BF343" s="16">
        <f>Demand_LP!H$14/31</f>
        <v>608.40066170388752</v>
      </c>
      <c r="BG343" s="16">
        <f>Demand_LP!I$14/31</f>
        <v>539.59842069892466</v>
      </c>
      <c r="BH343" s="16">
        <f>Demand_LP!J$14/31</f>
        <v>539.59842069892466</v>
      </c>
      <c r="BI343" s="16">
        <f>Demand_LP!K$14/31</f>
        <v>539.59842069892466</v>
      </c>
      <c r="BJ343" s="16">
        <f t="shared" si="166"/>
        <v>-256290.69877178848</v>
      </c>
      <c r="BK343" s="16">
        <f t="shared" si="167"/>
        <v>-192748.18089330016</v>
      </c>
      <c r="BL343" s="16">
        <f t="shared" si="168"/>
        <v>-91700.956517783678</v>
      </c>
      <c r="BM343" s="16">
        <f t="shared" si="169"/>
        <v>-247263.15885060243</v>
      </c>
      <c r="BN343" s="16">
        <f t="shared" si="170"/>
        <v>-151967.53298402813</v>
      </c>
      <c r="BO343" s="16">
        <f t="shared" si="171"/>
        <v>-150425.21690239891</v>
      </c>
      <c r="BP343" s="16">
        <f t="shared" si="172"/>
        <v>-187105.76038047951</v>
      </c>
      <c r="BQ343" s="16">
        <f t="shared" si="173"/>
        <v>-146254.21690239894</v>
      </c>
      <c r="BR343" s="16">
        <f t="shared" si="174"/>
        <v>-148025.21690239897</v>
      </c>
      <c r="BS343" s="16">
        <f t="shared" si="175"/>
        <v>-148725.21690239897</v>
      </c>
      <c r="BT343" s="14">
        <f>IF([1]Sheet2!CB342=999999,"NA",[1]Sheet2!CB342)</f>
        <v>0</v>
      </c>
      <c r="BU343" s="14">
        <f>IF([1]Sheet2!CC342=999999,"NA",[1]Sheet2!CC342)</f>
        <v>0</v>
      </c>
      <c r="BV343" s="14">
        <f>IF([1]Sheet2!CD342=999999,"NA",[1]Sheet2!CD342)</f>
        <v>0</v>
      </c>
      <c r="BW343" s="14">
        <f>IF([1]Sheet2!CE342=999999,"NA",[1]Sheet2!CE342)</f>
        <v>0</v>
      </c>
      <c r="BX343" s="14">
        <f>IF([1]Sheet2!CF342=999999,"NA",[1]Sheet2!CF342)</f>
        <v>0</v>
      </c>
      <c r="BY343" s="14">
        <f>IF([1]Sheet2!CG342=999999,"NA",[1]Sheet2!CG342)</f>
        <v>0</v>
      </c>
      <c r="BZ343" s="14">
        <f>IF([1]Sheet2!CH342=999999,"NA",[1]Sheet2!CH342)</f>
        <v>0</v>
      </c>
      <c r="CA343" s="14">
        <f>IF([1]Sheet2!CI342=999999,"NA",[1]Sheet2!CI342)</f>
        <v>0</v>
      </c>
      <c r="CB343" s="14">
        <f>IF([1]Sheet2!CJ342=999999,"NA",[1]Sheet2!CJ342)</f>
        <v>0</v>
      </c>
      <c r="CC343" s="14">
        <f>IF([1]Sheet2!CK342=999999,"NA",[1]Sheet2!CK342)</f>
        <v>0</v>
      </c>
      <c r="CD343" s="14">
        <f>[1]Sheet2!BH342</f>
        <v>0</v>
      </c>
      <c r="CE343" s="14">
        <f>[1]Sheet2!BI342</f>
        <v>0</v>
      </c>
      <c r="CF343" s="14">
        <f>[1]Sheet2!BJ342</f>
        <v>0</v>
      </c>
      <c r="CG343" s="14">
        <f>[1]Sheet2!BK342</f>
        <v>0</v>
      </c>
      <c r="CH343" s="14">
        <f>[1]Sheet2!BL342</f>
        <v>0</v>
      </c>
      <c r="CI343" s="14">
        <f>[1]Sheet2!BM342</f>
        <v>0</v>
      </c>
      <c r="CJ343" s="14">
        <f>[1]Sheet2!BN342</f>
        <v>0</v>
      </c>
      <c r="CK343" s="14">
        <f>[1]Sheet2!BO342</f>
        <v>0</v>
      </c>
      <c r="CL343" s="14">
        <f>[1]Sheet2!BP342</f>
        <v>0</v>
      </c>
      <c r="CM343" s="14">
        <f>[1]Sheet2!BQ342</f>
        <v>0</v>
      </c>
      <c r="CN343" s="16">
        <f>Demand_SW!B$14/31</f>
        <v>139.57816377171216</v>
      </c>
      <c r="CO343" s="16">
        <f>Demand_SW!C$14/31</f>
        <v>0</v>
      </c>
      <c r="CP343" s="16">
        <f>Demand_SW!D$14/31</f>
        <v>0</v>
      </c>
      <c r="CQ343" s="16">
        <f>Demand_SW!E$14/31</f>
        <v>0</v>
      </c>
      <c r="CR343" s="16">
        <f>Demand_SW!F$14/31</f>
        <v>0</v>
      </c>
      <c r="CS343" s="16">
        <f>Demand_SW!G$14/31</f>
        <v>139.57816377171216</v>
      </c>
      <c r="CT343" s="16">
        <f>Demand_SW!H$14/31</f>
        <v>0</v>
      </c>
      <c r="CU343" s="16">
        <f>Demand_SW!I$14/31</f>
        <v>0</v>
      </c>
      <c r="CV343" s="16">
        <f>Demand_SW!J$14/31</f>
        <v>0</v>
      </c>
      <c r="CW343" s="16">
        <f>Demand_SW!K$14/31</f>
        <v>0</v>
      </c>
      <c r="CX343" s="16">
        <f t="shared" si="176"/>
        <v>-23539.007444168776</v>
      </c>
      <c r="CY343" s="16">
        <f t="shared" si="177"/>
        <v>76.923076923077133</v>
      </c>
      <c r="CZ343" s="16">
        <f t="shared" si="178"/>
        <v>0</v>
      </c>
      <c r="DA343" s="16">
        <f t="shared" si="179"/>
        <v>0</v>
      </c>
      <c r="DB343" s="16">
        <f t="shared" si="180"/>
        <v>0</v>
      </c>
      <c r="DC343" s="16">
        <f t="shared" si="181"/>
        <v>-24770.238213399545</v>
      </c>
      <c r="DD343" s="16">
        <f t="shared" si="182"/>
        <v>76.923076923077133</v>
      </c>
      <c r="DE343" s="16">
        <f t="shared" si="183"/>
        <v>0</v>
      </c>
      <c r="DF343" s="16">
        <f t="shared" si="184"/>
        <v>0</v>
      </c>
      <c r="DG343" s="16">
        <f t="shared" si="185"/>
        <v>0</v>
      </c>
      <c r="DH343" s="14">
        <f>IF([1]Sheet2!DS342=999999,"NA",[1]Sheet2!DS342)</f>
        <v>0</v>
      </c>
      <c r="DI343" s="14">
        <f>IF([1]Sheet2!DT342=999999,"NA",[1]Sheet2!DT342)</f>
        <v>25</v>
      </c>
      <c r="DJ343" s="14" t="str">
        <f>IF([1]Sheet2!DU342=999999,"NA",[1]Sheet2!DU342)</f>
        <v>NA</v>
      </c>
      <c r="DK343" s="14" t="str">
        <f>IF([1]Sheet2!DV342=999999,"NA",[1]Sheet2!DV342)</f>
        <v>NA</v>
      </c>
      <c r="DL343" s="14" t="str">
        <f>IF([1]Sheet2!DW342=999999,"NA",[1]Sheet2!DW342)</f>
        <v>NA</v>
      </c>
      <c r="DM343" s="14">
        <f>IF([1]Sheet2!DX342=999999,"NA",[1]Sheet2!DX342)</f>
        <v>0</v>
      </c>
      <c r="DN343" s="14">
        <f>IF([1]Sheet2!DY342=999999,"NA",[1]Sheet2!DY342)</f>
        <v>25</v>
      </c>
      <c r="DO343" s="14" t="str">
        <f>IF([1]Sheet2!DZ342=999999,"NA",[1]Sheet2!DZ342)</f>
        <v>NA</v>
      </c>
      <c r="DP343" s="14" t="str">
        <f>IF([1]Sheet2!EA342=999999,"NA",[1]Sheet2!EA342)</f>
        <v>NA</v>
      </c>
      <c r="DQ343" s="14" t="str">
        <f>IF([1]Sheet2!EB342=999999,"NA",[1]Sheet2!EB342)</f>
        <v>NA</v>
      </c>
      <c r="DR343" s="14">
        <f>[1]Sheet2!CY342</f>
        <v>0</v>
      </c>
      <c r="DS343" s="14">
        <f>[1]Sheet2!CZ342</f>
        <v>0</v>
      </c>
      <c r="DT343" s="14">
        <f>[1]Sheet2!DA342</f>
        <v>0</v>
      </c>
      <c r="DU343" s="14">
        <f>[1]Sheet2!DB342</f>
        <v>0</v>
      </c>
      <c r="DV343" s="14">
        <f>[1]Sheet2!DC342</f>
        <v>0</v>
      </c>
      <c r="DW343" s="14">
        <f>[1]Sheet2!DD342</f>
        <v>0</v>
      </c>
      <c r="DX343" s="14">
        <f>[1]Sheet2!DE342</f>
        <v>0</v>
      </c>
      <c r="DY343" s="14">
        <f>[1]Sheet2!DF342</f>
        <v>0</v>
      </c>
      <c r="DZ343" s="14">
        <f>[1]Sheet2!DG342</f>
        <v>0</v>
      </c>
      <c r="EA343" s="14">
        <f>[1]Sheet2!DH342</f>
        <v>0</v>
      </c>
      <c r="EB343" s="6">
        <f>[1]Sheet2!EC342</f>
        <v>0</v>
      </c>
      <c r="EC343" s="6">
        <f>[1]Sheet2!ED342</f>
        <v>0</v>
      </c>
      <c r="ED343" s="6">
        <f>[1]Sheet2!EE342</f>
        <v>0</v>
      </c>
      <c r="EE343" s="6">
        <f>[1]Sheet2!EF342</f>
        <v>0</v>
      </c>
      <c r="EF343" s="6">
        <f>[1]Sheet2!EG342</f>
        <v>0</v>
      </c>
      <c r="EG343" s="6">
        <f>[1]Sheet2!EH342</f>
        <v>0</v>
      </c>
      <c r="EH343" s="6">
        <f>[1]Sheet2!EI342</f>
        <v>0</v>
      </c>
      <c r="EI343" s="6">
        <f>[1]Sheet2!EJ342</f>
        <v>0</v>
      </c>
      <c r="EJ343" s="6">
        <f>[1]Sheet2!EK342</f>
        <v>0</v>
      </c>
      <c r="EK343" s="6">
        <f>[1]Sheet2!EL342</f>
        <v>0</v>
      </c>
      <c r="EL343" s="6" t="str">
        <f>[1]Sheet2!EM342</f>
        <v/>
      </c>
      <c r="EM343" s="6" t="str">
        <f>[1]Sheet2!EN342</f>
        <v/>
      </c>
      <c r="EN343" s="6" t="str">
        <f>[1]Sheet2!EO342</f>
        <v/>
      </c>
      <c r="EO343" s="6" t="str">
        <f>[1]Sheet2!EP342</f>
        <v/>
      </c>
      <c r="EP343" s="6" t="str">
        <f>[1]Sheet2!EQ342</f>
        <v/>
      </c>
      <c r="EQ343" s="6" t="str">
        <f>[1]Sheet2!ER342</f>
        <v/>
      </c>
      <c r="ER343" s="6" t="str">
        <f>[1]Sheet2!ES342</f>
        <v/>
      </c>
      <c r="ES343" s="6" t="str">
        <f>[1]Sheet2!ET342</f>
        <v/>
      </c>
      <c r="ET343" s="6" t="str">
        <f>[1]Sheet2!EU342</f>
        <v/>
      </c>
      <c r="EU343" s="6" t="str">
        <f>[1]Sheet2!EV342</f>
        <v/>
      </c>
      <c r="EV343" s="6" t="str">
        <f>[1]Sheet2!EW342</f>
        <v/>
      </c>
      <c r="EW343" s="6" t="str">
        <f>[1]Sheet2!EX342</f>
        <v/>
      </c>
      <c r="EX343" s="6" t="str">
        <f>[1]Sheet2!EY342</f>
        <v/>
      </c>
      <c r="EY343" s="6" t="str">
        <f>[1]Sheet2!EZ342</f>
        <v/>
      </c>
      <c r="EZ343" s="6" t="str">
        <f>[1]Sheet2!FA342</f>
        <v/>
      </c>
      <c r="FA343" s="6" t="str">
        <f>[1]Sheet2!FB342</f>
        <v/>
      </c>
      <c r="FB343" s="6" t="str">
        <f>[1]Sheet2!FC342</f>
        <v/>
      </c>
      <c r="FC343" s="6" t="str">
        <f>[1]Sheet2!FD342</f>
        <v/>
      </c>
      <c r="FD343" s="6" t="str">
        <f>[1]Sheet2!FE342</f>
        <v/>
      </c>
      <c r="FE343" s="6" t="str">
        <f>[1]Sheet2!FF342</f>
        <v/>
      </c>
      <c r="FF343" s="6" t="str">
        <f>[1]Sheet2!FG342</f>
        <v/>
      </c>
      <c r="FG343" s="6" t="str">
        <f>[1]Sheet2!FH342</f>
        <v/>
      </c>
      <c r="FH343" s="6" t="str">
        <f>[1]Sheet2!FI342</f>
        <v/>
      </c>
      <c r="FI343" s="6" t="str">
        <f>[1]Sheet2!FJ342</f>
        <v/>
      </c>
      <c r="FJ343" s="6" t="str">
        <f>[1]Sheet2!FK342</f>
        <v/>
      </c>
      <c r="FK343" s="6" t="str">
        <f>[1]Sheet2!FL342</f>
        <v/>
      </c>
      <c r="FL343" s="6" t="str">
        <f>[1]Sheet2!FM342</f>
        <v/>
      </c>
      <c r="FM343" s="6" t="str">
        <f>[1]Sheet2!FN342</f>
        <v/>
      </c>
      <c r="FN343" s="6" t="str">
        <f>[1]Sheet2!FO342</f>
        <v/>
      </c>
      <c r="FO343" s="6" t="str">
        <f>[1]Sheet2!FP342</f>
        <v/>
      </c>
    </row>
    <row r="344" spans="1:171" x14ac:dyDescent="0.25">
      <c r="A344" s="15">
        <v>43806</v>
      </c>
      <c r="B344" s="1"/>
      <c r="C344" s="1"/>
      <c r="D344" s="1"/>
      <c r="E344" s="14">
        <f>[1]Sheet2!N343</f>
        <v>0</v>
      </c>
      <c r="F344" s="14">
        <f>[1]Sheet2!BE343</f>
        <v>0</v>
      </c>
      <c r="G344" s="14">
        <f>[1]Sheet2!CW343</f>
        <v>0</v>
      </c>
      <c r="H344" s="1"/>
      <c r="I344" s="1"/>
      <c r="J344" s="1"/>
      <c r="K344" s="16"/>
      <c r="L344" s="16">
        <f>Demand_CWRS!B$14/31</f>
        <v>95.176711124896599</v>
      </c>
      <c r="M344" s="16">
        <f>Demand_CWRS!C$14/31</f>
        <v>526.22795698924722</v>
      </c>
      <c r="N344" s="16">
        <f>Demand_CWRS!D$14/31</f>
        <v>0</v>
      </c>
      <c r="O344" s="16">
        <f>Demand_CWRS!E$14/31</f>
        <v>102.37076095947063</v>
      </c>
      <c r="P344" s="16">
        <f>Demand_CWRS!F$14/31</f>
        <v>219.86823562861866</v>
      </c>
      <c r="Q344" s="16">
        <f>Demand_CWRS!G$14/31</f>
        <v>95.176711124896599</v>
      </c>
      <c r="R344" s="16">
        <f>Demand_CWRS!H$14/31</f>
        <v>219.86823562861866</v>
      </c>
      <c r="S344" s="16">
        <f>Demand_CWRS!I$14/31</f>
        <v>219.86823562861866</v>
      </c>
      <c r="T344" s="16">
        <f>Demand_CWRS!J$14/31</f>
        <v>219.86823562861866</v>
      </c>
      <c r="U344" s="16">
        <f>Demand_CWRS!K$14/31</f>
        <v>219.86823562861866</v>
      </c>
      <c r="V344" s="16">
        <f t="shared" si="156"/>
        <v>-38617.737938347644</v>
      </c>
      <c r="W344" s="16">
        <f t="shared" si="157"/>
        <v>-156292.69057071928</v>
      </c>
      <c r="X344" s="16">
        <f t="shared" si="158"/>
        <v>0</v>
      </c>
      <c r="Y344" s="16">
        <f t="shared" si="159"/>
        <v>-30019.807773973702</v>
      </c>
      <c r="Z344" s="16">
        <f t="shared" si="160"/>
        <v>-68680.30550663016</v>
      </c>
      <c r="AA344" s="16">
        <f t="shared" si="161"/>
        <v>-37145.80541430926</v>
      </c>
      <c r="AB344" s="16">
        <f t="shared" si="162"/>
        <v>-72989.470282271257</v>
      </c>
      <c r="AC344" s="16">
        <f t="shared" si="163"/>
        <v>-67196.460025860884</v>
      </c>
      <c r="AD344" s="16">
        <f t="shared" si="164"/>
        <v>-67296.460025860884</v>
      </c>
      <c r="AE344" s="16">
        <f t="shared" si="165"/>
        <v>-67896.460025860884</v>
      </c>
      <c r="AF344" s="14">
        <f>IF([1]Sheet2!AJ343=999999,"NA",[1]Sheet2!AJ343)</f>
        <v>0</v>
      </c>
      <c r="AG344" s="14">
        <f>IF([1]Sheet2!AK343=999999,"NA",[1]Sheet2!AK343)</f>
        <v>0</v>
      </c>
      <c r="AH344" s="14" t="str">
        <f>IF([1]Sheet2!AL343=999999,"NA",[1]Sheet2!AL343)</f>
        <v>NA</v>
      </c>
      <c r="AI344" s="14">
        <f>IF([1]Sheet2!AM343=999999,"NA",[1]Sheet2!AM343)</f>
        <v>0</v>
      </c>
      <c r="AJ344" s="14">
        <f>IF([1]Sheet2!AN343=999999,"NA",[1]Sheet2!AN343)</f>
        <v>0</v>
      </c>
      <c r="AK344" s="14">
        <f>IF([1]Sheet2!AO343=999999,"NA",[1]Sheet2!AO343)</f>
        <v>0</v>
      </c>
      <c r="AL344" s="14">
        <f>IF([1]Sheet2!AP343=999999,"NA",[1]Sheet2!AP343)</f>
        <v>0</v>
      </c>
      <c r="AM344" s="14">
        <f>IF([1]Sheet2!AQ343=999999,"NA",[1]Sheet2!AQ343)</f>
        <v>0</v>
      </c>
      <c r="AN344" s="14">
        <f>IF([1]Sheet2!AR343=999999,"NA",[1]Sheet2!AR343)</f>
        <v>0</v>
      </c>
      <c r="AO344" s="14">
        <f>IF([1]Sheet2!AS343=999999,"NA",[1]Sheet2!AS343)</f>
        <v>0</v>
      </c>
      <c r="AP344" s="14">
        <f>[1]Sheet2!P343</f>
        <v>0</v>
      </c>
      <c r="AQ344" s="14">
        <f>[1]Sheet2!Q343</f>
        <v>0</v>
      </c>
      <c r="AR344" s="14">
        <f>[1]Sheet2!R343</f>
        <v>0</v>
      </c>
      <c r="AS344" s="14">
        <f>[1]Sheet2!S343</f>
        <v>0</v>
      </c>
      <c r="AT344" s="14">
        <f>[1]Sheet2!T343</f>
        <v>0</v>
      </c>
      <c r="AU344" s="14">
        <f>[1]Sheet2!U343</f>
        <v>0</v>
      </c>
      <c r="AV344" s="14">
        <f>[1]Sheet2!V343</f>
        <v>0</v>
      </c>
      <c r="AW344" s="14">
        <f>[1]Sheet2!W343</f>
        <v>0</v>
      </c>
      <c r="AX344" s="14">
        <f>[1]Sheet2!X343</f>
        <v>0</v>
      </c>
      <c r="AY344" s="14">
        <f>[1]Sheet2!Y343</f>
        <v>0</v>
      </c>
      <c r="AZ344" s="16">
        <f>Demand_LP!B$14/31</f>
        <v>868.56315911910667</v>
      </c>
      <c r="BA344" s="16">
        <f>Demand_LP!C$14/31</f>
        <v>608.40066170388752</v>
      </c>
      <c r="BB344" s="16">
        <f>Demand_LP!D$14/31</f>
        <v>251.20087262200158</v>
      </c>
      <c r="BC344" s="16">
        <f>Demand_LP!E$14/31</f>
        <v>807.45938378825463</v>
      </c>
      <c r="BD344" s="16">
        <f>Demand_LP!F$14/31</f>
        <v>539.59842069892466</v>
      </c>
      <c r="BE344" s="16">
        <f>Demand_LP!G$14/31</f>
        <v>539.59842069892466</v>
      </c>
      <c r="BF344" s="16">
        <f>Demand_LP!H$14/31</f>
        <v>608.40066170388752</v>
      </c>
      <c r="BG344" s="16">
        <f>Demand_LP!I$14/31</f>
        <v>539.59842069892466</v>
      </c>
      <c r="BH344" s="16">
        <f>Demand_LP!J$14/31</f>
        <v>539.59842069892466</v>
      </c>
      <c r="BI344" s="16">
        <f>Demand_LP!K$14/31</f>
        <v>539.59842069892466</v>
      </c>
      <c r="BJ344" s="16">
        <f t="shared" si="166"/>
        <v>-257159.26193090758</v>
      </c>
      <c r="BK344" s="16">
        <f t="shared" si="167"/>
        <v>-193356.58155500406</v>
      </c>
      <c r="BL344" s="16">
        <f t="shared" si="168"/>
        <v>-91952.157390405686</v>
      </c>
      <c r="BM344" s="16">
        <f t="shared" si="169"/>
        <v>-248070.61823439068</v>
      </c>
      <c r="BN344" s="16">
        <f t="shared" si="170"/>
        <v>-152507.13140472706</v>
      </c>
      <c r="BO344" s="16">
        <f t="shared" si="171"/>
        <v>-150964.81532309784</v>
      </c>
      <c r="BP344" s="16">
        <f t="shared" si="172"/>
        <v>-187714.1610421834</v>
      </c>
      <c r="BQ344" s="16">
        <f t="shared" si="173"/>
        <v>-146793.81532309786</v>
      </c>
      <c r="BR344" s="16">
        <f t="shared" si="174"/>
        <v>-148564.81532309789</v>
      </c>
      <c r="BS344" s="16">
        <f t="shared" si="175"/>
        <v>-149264.81532309789</v>
      </c>
      <c r="BT344" s="14">
        <f>IF([1]Sheet2!CB343=999999,"NA",[1]Sheet2!CB343)</f>
        <v>0</v>
      </c>
      <c r="BU344" s="14">
        <f>IF([1]Sheet2!CC343=999999,"NA",[1]Sheet2!CC343)</f>
        <v>0</v>
      </c>
      <c r="BV344" s="14">
        <f>IF([1]Sheet2!CD343=999999,"NA",[1]Sheet2!CD343)</f>
        <v>0</v>
      </c>
      <c r="BW344" s="14">
        <f>IF([1]Sheet2!CE343=999999,"NA",[1]Sheet2!CE343)</f>
        <v>0</v>
      </c>
      <c r="BX344" s="14">
        <f>IF([1]Sheet2!CF343=999999,"NA",[1]Sheet2!CF343)</f>
        <v>0</v>
      </c>
      <c r="BY344" s="14">
        <f>IF([1]Sheet2!CG343=999999,"NA",[1]Sheet2!CG343)</f>
        <v>0</v>
      </c>
      <c r="BZ344" s="14">
        <f>IF([1]Sheet2!CH343=999999,"NA",[1]Sheet2!CH343)</f>
        <v>0</v>
      </c>
      <c r="CA344" s="14">
        <f>IF([1]Sheet2!CI343=999999,"NA",[1]Sheet2!CI343)</f>
        <v>0</v>
      </c>
      <c r="CB344" s="14">
        <f>IF([1]Sheet2!CJ343=999999,"NA",[1]Sheet2!CJ343)</f>
        <v>0</v>
      </c>
      <c r="CC344" s="14">
        <f>IF([1]Sheet2!CK343=999999,"NA",[1]Sheet2!CK343)</f>
        <v>0</v>
      </c>
      <c r="CD344" s="14">
        <f>[1]Sheet2!BH343</f>
        <v>0</v>
      </c>
      <c r="CE344" s="14">
        <f>[1]Sheet2!BI343</f>
        <v>0</v>
      </c>
      <c r="CF344" s="14">
        <f>[1]Sheet2!BJ343</f>
        <v>0</v>
      </c>
      <c r="CG344" s="14">
        <f>[1]Sheet2!BK343</f>
        <v>0</v>
      </c>
      <c r="CH344" s="14">
        <f>[1]Sheet2!BL343</f>
        <v>0</v>
      </c>
      <c r="CI344" s="14">
        <f>[1]Sheet2!BM343</f>
        <v>0</v>
      </c>
      <c r="CJ344" s="14">
        <f>[1]Sheet2!BN343</f>
        <v>0</v>
      </c>
      <c r="CK344" s="14">
        <f>[1]Sheet2!BO343</f>
        <v>0</v>
      </c>
      <c r="CL344" s="14">
        <f>[1]Sheet2!BP343</f>
        <v>0</v>
      </c>
      <c r="CM344" s="14">
        <f>[1]Sheet2!BQ343</f>
        <v>0</v>
      </c>
      <c r="CN344" s="16">
        <f>Demand_SW!B$14/31</f>
        <v>139.57816377171216</v>
      </c>
      <c r="CO344" s="16">
        <f>Demand_SW!C$14/31</f>
        <v>0</v>
      </c>
      <c r="CP344" s="16">
        <f>Demand_SW!D$14/31</f>
        <v>0</v>
      </c>
      <c r="CQ344" s="16">
        <f>Demand_SW!E$14/31</f>
        <v>0</v>
      </c>
      <c r="CR344" s="16">
        <f>Demand_SW!F$14/31</f>
        <v>0</v>
      </c>
      <c r="CS344" s="16">
        <f>Demand_SW!G$14/31</f>
        <v>139.57816377171216</v>
      </c>
      <c r="CT344" s="16">
        <f>Demand_SW!H$14/31</f>
        <v>0</v>
      </c>
      <c r="CU344" s="16">
        <f>Demand_SW!I$14/31</f>
        <v>0</v>
      </c>
      <c r="CV344" s="16">
        <f>Demand_SW!J$14/31</f>
        <v>0</v>
      </c>
      <c r="CW344" s="16">
        <f>Demand_SW!K$14/31</f>
        <v>0</v>
      </c>
      <c r="CX344" s="16">
        <f t="shared" si="176"/>
        <v>-23678.585607940488</v>
      </c>
      <c r="CY344" s="16">
        <f t="shared" si="177"/>
        <v>76.923076923077133</v>
      </c>
      <c r="CZ344" s="16">
        <f t="shared" si="178"/>
        <v>0</v>
      </c>
      <c r="DA344" s="16">
        <f t="shared" si="179"/>
        <v>0</v>
      </c>
      <c r="DB344" s="16">
        <f t="shared" si="180"/>
        <v>0</v>
      </c>
      <c r="DC344" s="16">
        <f t="shared" si="181"/>
        <v>-24909.816377171257</v>
      </c>
      <c r="DD344" s="16">
        <f t="shared" si="182"/>
        <v>76.923076923077133</v>
      </c>
      <c r="DE344" s="16">
        <f t="shared" si="183"/>
        <v>0</v>
      </c>
      <c r="DF344" s="16">
        <f t="shared" si="184"/>
        <v>0</v>
      </c>
      <c r="DG344" s="16">
        <f t="shared" si="185"/>
        <v>0</v>
      </c>
      <c r="DH344" s="14">
        <f>IF([1]Sheet2!DS343=999999,"NA",[1]Sheet2!DS343)</f>
        <v>0</v>
      </c>
      <c r="DI344" s="14">
        <f>IF([1]Sheet2!DT343=999999,"NA",[1]Sheet2!DT343)</f>
        <v>24</v>
      </c>
      <c r="DJ344" s="14" t="str">
        <f>IF([1]Sheet2!DU343=999999,"NA",[1]Sheet2!DU343)</f>
        <v>NA</v>
      </c>
      <c r="DK344" s="14" t="str">
        <f>IF([1]Sheet2!DV343=999999,"NA",[1]Sheet2!DV343)</f>
        <v>NA</v>
      </c>
      <c r="DL344" s="14" t="str">
        <f>IF([1]Sheet2!DW343=999999,"NA",[1]Sheet2!DW343)</f>
        <v>NA</v>
      </c>
      <c r="DM344" s="14">
        <f>IF([1]Sheet2!DX343=999999,"NA",[1]Sheet2!DX343)</f>
        <v>0</v>
      </c>
      <c r="DN344" s="14">
        <f>IF([1]Sheet2!DY343=999999,"NA",[1]Sheet2!DY343)</f>
        <v>24</v>
      </c>
      <c r="DO344" s="14" t="str">
        <f>IF([1]Sheet2!DZ343=999999,"NA",[1]Sheet2!DZ343)</f>
        <v>NA</v>
      </c>
      <c r="DP344" s="14" t="str">
        <f>IF([1]Sheet2!EA343=999999,"NA",[1]Sheet2!EA343)</f>
        <v>NA</v>
      </c>
      <c r="DQ344" s="14" t="str">
        <f>IF([1]Sheet2!EB343=999999,"NA",[1]Sheet2!EB343)</f>
        <v>NA</v>
      </c>
      <c r="DR344" s="14">
        <f>[1]Sheet2!CY343</f>
        <v>0</v>
      </c>
      <c r="DS344" s="14">
        <f>[1]Sheet2!CZ343</f>
        <v>0</v>
      </c>
      <c r="DT344" s="14">
        <f>[1]Sheet2!DA343</f>
        <v>0</v>
      </c>
      <c r="DU344" s="14">
        <f>[1]Sheet2!DB343</f>
        <v>0</v>
      </c>
      <c r="DV344" s="14">
        <f>[1]Sheet2!DC343</f>
        <v>0</v>
      </c>
      <c r="DW344" s="14">
        <f>[1]Sheet2!DD343</f>
        <v>0</v>
      </c>
      <c r="DX344" s="14">
        <f>[1]Sheet2!DE343</f>
        <v>0</v>
      </c>
      <c r="DY344" s="14">
        <f>[1]Sheet2!DF343</f>
        <v>0</v>
      </c>
      <c r="DZ344" s="14">
        <f>[1]Sheet2!DG343</f>
        <v>0</v>
      </c>
      <c r="EA344" s="14">
        <f>[1]Sheet2!DH343</f>
        <v>0</v>
      </c>
      <c r="EB344" s="6">
        <f>[1]Sheet2!EC343</f>
        <v>0</v>
      </c>
      <c r="EC344" s="6">
        <f>[1]Sheet2!ED343</f>
        <v>0</v>
      </c>
      <c r="ED344" s="6">
        <f>[1]Sheet2!EE343</f>
        <v>0</v>
      </c>
      <c r="EE344" s="6">
        <f>[1]Sheet2!EF343</f>
        <v>0</v>
      </c>
      <c r="EF344" s="6">
        <f>[1]Sheet2!EG343</f>
        <v>0</v>
      </c>
      <c r="EG344" s="6">
        <f>[1]Sheet2!EH343</f>
        <v>0</v>
      </c>
      <c r="EH344" s="6">
        <f>[1]Sheet2!EI343</f>
        <v>0</v>
      </c>
      <c r="EI344" s="6">
        <f>[1]Sheet2!EJ343</f>
        <v>0</v>
      </c>
      <c r="EJ344" s="6">
        <f>[1]Sheet2!EK343</f>
        <v>0</v>
      </c>
      <c r="EK344" s="6">
        <f>[1]Sheet2!EL343</f>
        <v>0</v>
      </c>
      <c r="EL344" s="6" t="str">
        <f>[1]Sheet2!EM343</f>
        <v/>
      </c>
      <c r="EM344" s="6" t="str">
        <f>[1]Sheet2!EN343</f>
        <v/>
      </c>
      <c r="EN344" s="6" t="str">
        <f>[1]Sheet2!EO343</f>
        <v/>
      </c>
      <c r="EO344" s="6" t="str">
        <f>[1]Sheet2!EP343</f>
        <v/>
      </c>
      <c r="EP344" s="6" t="str">
        <f>[1]Sheet2!EQ343</f>
        <v/>
      </c>
      <c r="EQ344" s="6" t="str">
        <f>[1]Sheet2!ER343</f>
        <v/>
      </c>
      <c r="ER344" s="6" t="str">
        <f>[1]Sheet2!ES343</f>
        <v/>
      </c>
      <c r="ES344" s="6" t="str">
        <f>[1]Sheet2!ET343</f>
        <v/>
      </c>
      <c r="ET344" s="6" t="str">
        <f>[1]Sheet2!EU343</f>
        <v/>
      </c>
      <c r="EU344" s="6" t="str">
        <f>[1]Sheet2!EV343</f>
        <v/>
      </c>
      <c r="EV344" s="6" t="str">
        <f>[1]Sheet2!EW343</f>
        <v/>
      </c>
      <c r="EW344" s="6" t="str">
        <f>[1]Sheet2!EX343</f>
        <v/>
      </c>
      <c r="EX344" s="6" t="str">
        <f>[1]Sheet2!EY343</f>
        <v/>
      </c>
      <c r="EY344" s="6" t="str">
        <f>[1]Sheet2!EZ343</f>
        <v/>
      </c>
      <c r="EZ344" s="6" t="str">
        <f>[1]Sheet2!FA343</f>
        <v/>
      </c>
      <c r="FA344" s="6" t="str">
        <f>[1]Sheet2!FB343</f>
        <v/>
      </c>
      <c r="FB344" s="6" t="str">
        <f>[1]Sheet2!FC343</f>
        <v/>
      </c>
      <c r="FC344" s="6" t="str">
        <f>[1]Sheet2!FD343</f>
        <v/>
      </c>
      <c r="FD344" s="6" t="str">
        <f>[1]Sheet2!FE343</f>
        <v/>
      </c>
      <c r="FE344" s="6" t="str">
        <f>[1]Sheet2!FF343</f>
        <v/>
      </c>
      <c r="FF344" s="6" t="str">
        <f>[1]Sheet2!FG343</f>
        <v/>
      </c>
      <c r="FG344" s="6" t="str">
        <f>[1]Sheet2!FH343</f>
        <v/>
      </c>
      <c r="FH344" s="6" t="str">
        <f>[1]Sheet2!FI343</f>
        <v/>
      </c>
      <c r="FI344" s="6" t="str">
        <f>[1]Sheet2!FJ343</f>
        <v/>
      </c>
      <c r="FJ344" s="6" t="str">
        <f>[1]Sheet2!FK343</f>
        <v/>
      </c>
      <c r="FK344" s="6" t="str">
        <f>[1]Sheet2!FL343</f>
        <v/>
      </c>
      <c r="FL344" s="6" t="str">
        <f>[1]Sheet2!FM343</f>
        <v/>
      </c>
      <c r="FM344" s="6" t="str">
        <f>[1]Sheet2!FN343</f>
        <v/>
      </c>
      <c r="FN344" s="6" t="str">
        <f>[1]Sheet2!FO343</f>
        <v/>
      </c>
      <c r="FO344" s="6" t="str">
        <f>[1]Sheet2!FP343</f>
        <v/>
      </c>
    </row>
    <row r="345" spans="1:171" x14ac:dyDescent="0.25">
      <c r="A345" s="15">
        <v>43807</v>
      </c>
      <c r="B345" s="1"/>
      <c r="C345" s="1"/>
      <c r="D345" s="1"/>
      <c r="E345" s="14">
        <f>[1]Sheet2!N344</f>
        <v>0</v>
      </c>
      <c r="F345" s="14">
        <f>[1]Sheet2!BE344</f>
        <v>0</v>
      </c>
      <c r="G345" s="14">
        <f>[1]Sheet2!CW344</f>
        <v>0</v>
      </c>
      <c r="H345" s="1"/>
      <c r="I345" s="1"/>
      <c r="J345" s="1"/>
      <c r="K345" s="16"/>
      <c r="L345" s="16">
        <f>Demand_CWRS!B$14/31</f>
        <v>95.176711124896599</v>
      </c>
      <c r="M345" s="16">
        <f>Demand_CWRS!C$14/31</f>
        <v>526.22795698924722</v>
      </c>
      <c r="N345" s="16">
        <f>Demand_CWRS!D$14/31</f>
        <v>0</v>
      </c>
      <c r="O345" s="16">
        <f>Demand_CWRS!E$14/31</f>
        <v>102.37076095947063</v>
      </c>
      <c r="P345" s="16">
        <f>Demand_CWRS!F$14/31</f>
        <v>219.86823562861866</v>
      </c>
      <c r="Q345" s="16">
        <f>Demand_CWRS!G$14/31</f>
        <v>95.176711124896599</v>
      </c>
      <c r="R345" s="16">
        <f>Demand_CWRS!H$14/31</f>
        <v>219.86823562861866</v>
      </c>
      <c r="S345" s="16">
        <f>Demand_CWRS!I$14/31</f>
        <v>219.86823562861866</v>
      </c>
      <c r="T345" s="16">
        <f>Demand_CWRS!J$14/31</f>
        <v>219.86823562861866</v>
      </c>
      <c r="U345" s="16">
        <f>Demand_CWRS!K$14/31</f>
        <v>219.86823562861866</v>
      </c>
      <c r="V345" s="16">
        <f t="shared" si="156"/>
        <v>-38712.914649472543</v>
      </c>
      <c r="W345" s="16">
        <f t="shared" si="157"/>
        <v>-156818.91852770853</v>
      </c>
      <c r="X345" s="16">
        <f t="shared" si="158"/>
        <v>0</v>
      </c>
      <c r="Y345" s="16">
        <f t="shared" si="159"/>
        <v>-30122.178534933173</v>
      </c>
      <c r="Z345" s="16">
        <f t="shared" si="160"/>
        <v>-68900.173742258776</v>
      </c>
      <c r="AA345" s="16">
        <f t="shared" si="161"/>
        <v>-37240.982125434159</v>
      </c>
      <c r="AB345" s="16">
        <f t="shared" si="162"/>
        <v>-73209.338517899872</v>
      </c>
      <c r="AC345" s="16">
        <f t="shared" si="163"/>
        <v>-67416.3282614895</v>
      </c>
      <c r="AD345" s="16">
        <f t="shared" si="164"/>
        <v>-67516.3282614895</v>
      </c>
      <c r="AE345" s="16">
        <f t="shared" si="165"/>
        <v>-68116.3282614895</v>
      </c>
      <c r="AF345" s="14">
        <f>IF([1]Sheet2!AJ344=999999,"NA",[1]Sheet2!AJ344)</f>
        <v>0</v>
      </c>
      <c r="AG345" s="14">
        <f>IF([1]Sheet2!AK344=999999,"NA",[1]Sheet2!AK344)</f>
        <v>0</v>
      </c>
      <c r="AH345" s="14" t="str">
        <f>IF([1]Sheet2!AL344=999999,"NA",[1]Sheet2!AL344)</f>
        <v>NA</v>
      </c>
      <c r="AI345" s="14">
        <f>IF([1]Sheet2!AM344=999999,"NA",[1]Sheet2!AM344)</f>
        <v>0</v>
      </c>
      <c r="AJ345" s="14">
        <f>IF([1]Sheet2!AN344=999999,"NA",[1]Sheet2!AN344)</f>
        <v>0</v>
      </c>
      <c r="AK345" s="14">
        <f>IF([1]Sheet2!AO344=999999,"NA",[1]Sheet2!AO344)</f>
        <v>0</v>
      </c>
      <c r="AL345" s="14">
        <f>IF([1]Sheet2!AP344=999999,"NA",[1]Sheet2!AP344)</f>
        <v>0</v>
      </c>
      <c r="AM345" s="14">
        <f>IF([1]Sheet2!AQ344=999999,"NA",[1]Sheet2!AQ344)</f>
        <v>0</v>
      </c>
      <c r="AN345" s="14">
        <f>IF([1]Sheet2!AR344=999999,"NA",[1]Sheet2!AR344)</f>
        <v>0</v>
      </c>
      <c r="AO345" s="14">
        <f>IF([1]Sheet2!AS344=999999,"NA",[1]Sheet2!AS344)</f>
        <v>0</v>
      </c>
      <c r="AP345" s="14">
        <f>[1]Sheet2!P344</f>
        <v>0</v>
      </c>
      <c r="AQ345" s="14">
        <f>[1]Sheet2!Q344</f>
        <v>0</v>
      </c>
      <c r="AR345" s="14">
        <f>[1]Sheet2!R344</f>
        <v>0</v>
      </c>
      <c r="AS345" s="14">
        <f>[1]Sheet2!S344</f>
        <v>0</v>
      </c>
      <c r="AT345" s="14">
        <f>[1]Sheet2!T344</f>
        <v>0</v>
      </c>
      <c r="AU345" s="14">
        <f>[1]Sheet2!U344</f>
        <v>0</v>
      </c>
      <c r="AV345" s="14">
        <f>[1]Sheet2!V344</f>
        <v>0</v>
      </c>
      <c r="AW345" s="14">
        <f>[1]Sheet2!W344</f>
        <v>0</v>
      </c>
      <c r="AX345" s="14">
        <f>[1]Sheet2!X344</f>
        <v>0</v>
      </c>
      <c r="AY345" s="14">
        <f>[1]Sheet2!Y344</f>
        <v>0</v>
      </c>
      <c r="AZ345" s="16">
        <f>Demand_LP!B$14/31</f>
        <v>868.56315911910667</v>
      </c>
      <c r="BA345" s="16">
        <f>Demand_LP!C$14/31</f>
        <v>608.40066170388752</v>
      </c>
      <c r="BB345" s="16">
        <f>Demand_LP!D$14/31</f>
        <v>251.20087262200158</v>
      </c>
      <c r="BC345" s="16">
        <f>Demand_LP!E$14/31</f>
        <v>807.45938378825463</v>
      </c>
      <c r="BD345" s="16">
        <f>Demand_LP!F$14/31</f>
        <v>539.59842069892466</v>
      </c>
      <c r="BE345" s="16">
        <f>Demand_LP!G$14/31</f>
        <v>539.59842069892466</v>
      </c>
      <c r="BF345" s="16">
        <f>Demand_LP!H$14/31</f>
        <v>608.40066170388752</v>
      </c>
      <c r="BG345" s="16">
        <f>Demand_LP!I$14/31</f>
        <v>539.59842069892466</v>
      </c>
      <c r="BH345" s="16">
        <f>Demand_LP!J$14/31</f>
        <v>539.59842069892466</v>
      </c>
      <c r="BI345" s="16">
        <f>Demand_LP!K$14/31</f>
        <v>539.59842069892466</v>
      </c>
      <c r="BJ345" s="16">
        <f t="shared" si="166"/>
        <v>-258027.82509002669</v>
      </c>
      <c r="BK345" s="16">
        <f t="shared" si="167"/>
        <v>-193964.98221670795</v>
      </c>
      <c r="BL345" s="16">
        <f t="shared" si="168"/>
        <v>-92203.358263027694</v>
      </c>
      <c r="BM345" s="16">
        <f t="shared" si="169"/>
        <v>-248878.07761817894</v>
      </c>
      <c r="BN345" s="16">
        <f t="shared" si="170"/>
        <v>-153046.72982542598</v>
      </c>
      <c r="BO345" s="16">
        <f t="shared" si="171"/>
        <v>-151504.41374379676</v>
      </c>
      <c r="BP345" s="16">
        <f t="shared" si="172"/>
        <v>-188322.5617038873</v>
      </c>
      <c r="BQ345" s="16">
        <f t="shared" si="173"/>
        <v>-147333.41374379679</v>
      </c>
      <c r="BR345" s="16">
        <f t="shared" si="174"/>
        <v>-149104.41374379682</v>
      </c>
      <c r="BS345" s="16">
        <f t="shared" si="175"/>
        <v>-149804.41374379682</v>
      </c>
      <c r="BT345" s="14">
        <f>IF([1]Sheet2!CB344=999999,"NA",[1]Sheet2!CB344)</f>
        <v>0</v>
      </c>
      <c r="BU345" s="14">
        <f>IF([1]Sheet2!CC344=999999,"NA",[1]Sheet2!CC344)</f>
        <v>0</v>
      </c>
      <c r="BV345" s="14">
        <f>IF([1]Sheet2!CD344=999999,"NA",[1]Sheet2!CD344)</f>
        <v>0</v>
      </c>
      <c r="BW345" s="14">
        <f>IF([1]Sheet2!CE344=999999,"NA",[1]Sheet2!CE344)</f>
        <v>0</v>
      </c>
      <c r="BX345" s="14">
        <f>IF([1]Sheet2!CF344=999999,"NA",[1]Sheet2!CF344)</f>
        <v>0</v>
      </c>
      <c r="BY345" s="14">
        <f>IF([1]Sheet2!CG344=999999,"NA",[1]Sheet2!CG344)</f>
        <v>0</v>
      </c>
      <c r="BZ345" s="14">
        <f>IF([1]Sheet2!CH344=999999,"NA",[1]Sheet2!CH344)</f>
        <v>0</v>
      </c>
      <c r="CA345" s="14">
        <f>IF([1]Sheet2!CI344=999999,"NA",[1]Sheet2!CI344)</f>
        <v>0</v>
      </c>
      <c r="CB345" s="14">
        <f>IF([1]Sheet2!CJ344=999999,"NA",[1]Sheet2!CJ344)</f>
        <v>0</v>
      </c>
      <c r="CC345" s="14">
        <f>IF([1]Sheet2!CK344=999999,"NA",[1]Sheet2!CK344)</f>
        <v>0</v>
      </c>
      <c r="CD345" s="14">
        <f>[1]Sheet2!BH344</f>
        <v>0</v>
      </c>
      <c r="CE345" s="14">
        <f>[1]Sheet2!BI344</f>
        <v>0</v>
      </c>
      <c r="CF345" s="14">
        <f>[1]Sheet2!BJ344</f>
        <v>0</v>
      </c>
      <c r="CG345" s="14">
        <f>[1]Sheet2!BK344</f>
        <v>0</v>
      </c>
      <c r="CH345" s="14">
        <f>[1]Sheet2!BL344</f>
        <v>0</v>
      </c>
      <c r="CI345" s="14">
        <f>[1]Sheet2!BM344</f>
        <v>0</v>
      </c>
      <c r="CJ345" s="14">
        <f>[1]Sheet2!BN344</f>
        <v>0</v>
      </c>
      <c r="CK345" s="14">
        <f>[1]Sheet2!BO344</f>
        <v>0</v>
      </c>
      <c r="CL345" s="14">
        <f>[1]Sheet2!BP344</f>
        <v>0</v>
      </c>
      <c r="CM345" s="14">
        <f>[1]Sheet2!BQ344</f>
        <v>0</v>
      </c>
      <c r="CN345" s="16">
        <f>Demand_SW!B$14/31</f>
        <v>139.57816377171216</v>
      </c>
      <c r="CO345" s="16">
        <f>Demand_SW!C$14/31</f>
        <v>0</v>
      </c>
      <c r="CP345" s="16">
        <f>Demand_SW!D$14/31</f>
        <v>0</v>
      </c>
      <c r="CQ345" s="16">
        <f>Demand_SW!E$14/31</f>
        <v>0</v>
      </c>
      <c r="CR345" s="16">
        <f>Demand_SW!F$14/31</f>
        <v>0</v>
      </c>
      <c r="CS345" s="16">
        <f>Demand_SW!G$14/31</f>
        <v>139.57816377171216</v>
      </c>
      <c r="CT345" s="16">
        <f>Demand_SW!H$14/31</f>
        <v>0</v>
      </c>
      <c r="CU345" s="16">
        <f>Demand_SW!I$14/31</f>
        <v>0</v>
      </c>
      <c r="CV345" s="16">
        <f>Demand_SW!J$14/31</f>
        <v>0</v>
      </c>
      <c r="CW345" s="16">
        <f>Demand_SW!K$14/31</f>
        <v>0</v>
      </c>
      <c r="CX345" s="16">
        <f t="shared" si="176"/>
        <v>-23818.163771712199</v>
      </c>
      <c r="CY345" s="16">
        <f t="shared" si="177"/>
        <v>76.923076923077133</v>
      </c>
      <c r="CZ345" s="16">
        <f t="shared" si="178"/>
        <v>0</v>
      </c>
      <c r="DA345" s="16">
        <f t="shared" si="179"/>
        <v>0</v>
      </c>
      <c r="DB345" s="16">
        <f t="shared" si="180"/>
        <v>0</v>
      </c>
      <c r="DC345" s="16">
        <f t="shared" si="181"/>
        <v>-25049.394540942969</v>
      </c>
      <c r="DD345" s="16">
        <f t="shared" si="182"/>
        <v>76.923076923077133</v>
      </c>
      <c r="DE345" s="16">
        <f t="shared" si="183"/>
        <v>0</v>
      </c>
      <c r="DF345" s="16">
        <f t="shared" si="184"/>
        <v>0</v>
      </c>
      <c r="DG345" s="16">
        <f t="shared" si="185"/>
        <v>0</v>
      </c>
      <c r="DH345" s="14">
        <f>IF([1]Sheet2!DS344=999999,"NA",[1]Sheet2!DS344)</f>
        <v>0</v>
      </c>
      <c r="DI345" s="14">
        <f>IF([1]Sheet2!DT344=999999,"NA",[1]Sheet2!DT344)</f>
        <v>23</v>
      </c>
      <c r="DJ345" s="14" t="str">
        <f>IF([1]Sheet2!DU344=999999,"NA",[1]Sheet2!DU344)</f>
        <v>NA</v>
      </c>
      <c r="DK345" s="14" t="str">
        <f>IF([1]Sheet2!DV344=999999,"NA",[1]Sheet2!DV344)</f>
        <v>NA</v>
      </c>
      <c r="DL345" s="14" t="str">
        <f>IF([1]Sheet2!DW344=999999,"NA",[1]Sheet2!DW344)</f>
        <v>NA</v>
      </c>
      <c r="DM345" s="14">
        <f>IF([1]Sheet2!DX344=999999,"NA",[1]Sheet2!DX344)</f>
        <v>0</v>
      </c>
      <c r="DN345" s="14">
        <f>IF([1]Sheet2!DY344=999999,"NA",[1]Sheet2!DY344)</f>
        <v>23</v>
      </c>
      <c r="DO345" s="14" t="str">
        <f>IF([1]Sheet2!DZ344=999999,"NA",[1]Sheet2!DZ344)</f>
        <v>NA</v>
      </c>
      <c r="DP345" s="14" t="str">
        <f>IF([1]Sheet2!EA344=999999,"NA",[1]Sheet2!EA344)</f>
        <v>NA</v>
      </c>
      <c r="DQ345" s="14" t="str">
        <f>IF([1]Sheet2!EB344=999999,"NA",[1]Sheet2!EB344)</f>
        <v>NA</v>
      </c>
      <c r="DR345" s="14">
        <f>[1]Sheet2!CY344</f>
        <v>0</v>
      </c>
      <c r="DS345" s="14">
        <f>[1]Sheet2!CZ344</f>
        <v>0</v>
      </c>
      <c r="DT345" s="14">
        <f>[1]Sheet2!DA344</f>
        <v>0</v>
      </c>
      <c r="DU345" s="14">
        <f>[1]Sheet2!DB344</f>
        <v>0</v>
      </c>
      <c r="DV345" s="14">
        <f>[1]Sheet2!DC344</f>
        <v>0</v>
      </c>
      <c r="DW345" s="14">
        <f>[1]Sheet2!DD344</f>
        <v>0</v>
      </c>
      <c r="DX345" s="14">
        <f>[1]Sheet2!DE344</f>
        <v>0</v>
      </c>
      <c r="DY345" s="14">
        <f>[1]Sheet2!DF344</f>
        <v>0</v>
      </c>
      <c r="DZ345" s="14">
        <f>[1]Sheet2!DG344</f>
        <v>0</v>
      </c>
      <c r="EA345" s="14">
        <f>[1]Sheet2!DH344</f>
        <v>0</v>
      </c>
      <c r="EB345" s="6">
        <f>[1]Sheet2!EC344</f>
        <v>0</v>
      </c>
      <c r="EC345" s="6">
        <f>[1]Sheet2!ED344</f>
        <v>0</v>
      </c>
      <c r="ED345" s="6">
        <f>[1]Sheet2!EE344</f>
        <v>0</v>
      </c>
      <c r="EE345" s="6">
        <f>[1]Sheet2!EF344</f>
        <v>0</v>
      </c>
      <c r="EF345" s="6">
        <f>[1]Sheet2!EG344</f>
        <v>0</v>
      </c>
      <c r="EG345" s="6">
        <f>[1]Sheet2!EH344</f>
        <v>0</v>
      </c>
      <c r="EH345" s="6">
        <f>[1]Sheet2!EI344</f>
        <v>0</v>
      </c>
      <c r="EI345" s="6">
        <f>[1]Sheet2!EJ344</f>
        <v>0</v>
      </c>
      <c r="EJ345" s="6">
        <f>[1]Sheet2!EK344</f>
        <v>0</v>
      </c>
      <c r="EK345" s="6">
        <f>[1]Sheet2!EL344</f>
        <v>0</v>
      </c>
      <c r="EL345" s="6" t="str">
        <f>[1]Sheet2!EM344</f>
        <v/>
      </c>
      <c r="EM345" s="6" t="str">
        <f>[1]Sheet2!EN344</f>
        <v/>
      </c>
      <c r="EN345" s="6" t="str">
        <f>[1]Sheet2!EO344</f>
        <v/>
      </c>
      <c r="EO345" s="6" t="str">
        <f>[1]Sheet2!EP344</f>
        <v/>
      </c>
      <c r="EP345" s="6" t="str">
        <f>[1]Sheet2!EQ344</f>
        <v/>
      </c>
      <c r="EQ345" s="6" t="str">
        <f>[1]Sheet2!ER344</f>
        <v/>
      </c>
      <c r="ER345" s="6" t="str">
        <f>[1]Sheet2!ES344</f>
        <v/>
      </c>
      <c r="ES345" s="6" t="str">
        <f>[1]Sheet2!ET344</f>
        <v/>
      </c>
      <c r="ET345" s="6" t="str">
        <f>[1]Sheet2!EU344</f>
        <v/>
      </c>
      <c r="EU345" s="6" t="str">
        <f>[1]Sheet2!EV344</f>
        <v/>
      </c>
      <c r="EV345" s="6" t="str">
        <f>[1]Sheet2!EW344</f>
        <v/>
      </c>
      <c r="EW345" s="6" t="str">
        <f>[1]Sheet2!EX344</f>
        <v/>
      </c>
      <c r="EX345" s="6" t="str">
        <f>[1]Sheet2!EY344</f>
        <v/>
      </c>
      <c r="EY345" s="6" t="str">
        <f>[1]Sheet2!EZ344</f>
        <v/>
      </c>
      <c r="EZ345" s="6" t="str">
        <f>[1]Sheet2!FA344</f>
        <v/>
      </c>
      <c r="FA345" s="6" t="str">
        <f>[1]Sheet2!FB344</f>
        <v/>
      </c>
      <c r="FB345" s="6" t="str">
        <f>[1]Sheet2!FC344</f>
        <v/>
      </c>
      <c r="FC345" s="6" t="str">
        <f>[1]Sheet2!FD344</f>
        <v/>
      </c>
      <c r="FD345" s="6" t="str">
        <f>[1]Sheet2!FE344</f>
        <v/>
      </c>
      <c r="FE345" s="6" t="str">
        <f>[1]Sheet2!FF344</f>
        <v/>
      </c>
      <c r="FF345" s="6" t="str">
        <f>[1]Sheet2!FG344</f>
        <v/>
      </c>
      <c r="FG345" s="6" t="str">
        <f>[1]Sheet2!FH344</f>
        <v/>
      </c>
      <c r="FH345" s="6" t="str">
        <f>[1]Sheet2!FI344</f>
        <v/>
      </c>
      <c r="FI345" s="6" t="str">
        <f>[1]Sheet2!FJ344</f>
        <v/>
      </c>
      <c r="FJ345" s="6" t="str">
        <f>[1]Sheet2!FK344</f>
        <v/>
      </c>
      <c r="FK345" s="6" t="str">
        <f>[1]Sheet2!FL344</f>
        <v/>
      </c>
      <c r="FL345" s="6" t="str">
        <f>[1]Sheet2!FM344</f>
        <v/>
      </c>
      <c r="FM345" s="6" t="str">
        <f>[1]Sheet2!FN344</f>
        <v/>
      </c>
      <c r="FN345" s="6" t="str">
        <f>[1]Sheet2!FO344</f>
        <v/>
      </c>
      <c r="FO345" s="6" t="str">
        <f>[1]Sheet2!FP344</f>
        <v/>
      </c>
    </row>
    <row r="346" spans="1:171" x14ac:dyDescent="0.25">
      <c r="A346" s="15">
        <v>43808</v>
      </c>
      <c r="B346" s="1"/>
      <c r="C346" s="1"/>
      <c r="D346" s="1"/>
      <c r="E346" s="14">
        <f>[1]Sheet2!N345</f>
        <v>0</v>
      </c>
      <c r="F346" s="14">
        <f>[1]Sheet2!BE345</f>
        <v>48000</v>
      </c>
      <c r="G346" s="14">
        <f>[1]Sheet2!CW345</f>
        <v>0</v>
      </c>
      <c r="H346" s="1"/>
      <c r="I346" s="1"/>
      <c r="J346" s="1"/>
      <c r="K346" s="16"/>
      <c r="L346" s="16">
        <f>Demand_CWRS!B$14/31</f>
        <v>95.176711124896599</v>
      </c>
      <c r="M346" s="16">
        <f>Demand_CWRS!C$14/31</f>
        <v>526.22795698924722</v>
      </c>
      <c r="N346" s="16">
        <f>Demand_CWRS!D$14/31</f>
        <v>0</v>
      </c>
      <c r="O346" s="16">
        <f>Demand_CWRS!E$14/31</f>
        <v>102.37076095947063</v>
      </c>
      <c r="P346" s="16">
        <f>Demand_CWRS!F$14/31</f>
        <v>219.86823562861866</v>
      </c>
      <c r="Q346" s="16">
        <f>Demand_CWRS!G$14/31</f>
        <v>95.176711124896599</v>
      </c>
      <c r="R346" s="16">
        <f>Demand_CWRS!H$14/31</f>
        <v>219.86823562861866</v>
      </c>
      <c r="S346" s="16">
        <f>Demand_CWRS!I$14/31</f>
        <v>219.86823562861866</v>
      </c>
      <c r="T346" s="16">
        <f>Demand_CWRS!J$14/31</f>
        <v>219.86823562861866</v>
      </c>
      <c r="U346" s="16">
        <f>Demand_CWRS!K$14/31</f>
        <v>219.86823562861866</v>
      </c>
      <c r="V346" s="16">
        <f t="shared" si="156"/>
        <v>-38808.091360597442</v>
      </c>
      <c r="W346" s="16">
        <f t="shared" si="157"/>
        <v>-157345.14648469779</v>
      </c>
      <c r="X346" s="16">
        <f t="shared" si="158"/>
        <v>0</v>
      </c>
      <c r="Y346" s="16">
        <f t="shared" si="159"/>
        <v>-30224.549295892644</v>
      </c>
      <c r="Z346" s="16">
        <f t="shared" si="160"/>
        <v>-69120.041977887391</v>
      </c>
      <c r="AA346" s="16">
        <f t="shared" si="161"/>
        <v>-37336.158836559058</v>
      </c>
      <c r="AB346" s="16">
        <f t="shared" si="162"/>
        <v>-73429.206753528488</v>
      </c>
      <c r="AC346" s="16">
        <f t="shared" si="163"/>
        <v>-67636.196497118115</v>
      </c>
      <c r="AD346" s="16">
        <f t="shared" si="164"/>
        <v>-67736.196497118115</v>
      </c>
      <c r="AE346" s="16">
        <f t="shared" si="165"/>
        <v>-68336.196497118115</v>
      </c>
      <c r="AF346" s="14">
        <f>IF([1]Sheet2!AJ345=999999,"NA",[1]Sheet2!AJ345)</f>
        <v>0</v>
      </c>
      <c r="AG346" s="14">
        <f>IF([1]Sheet2!AK345=999999,"NA",[1]Sheet2!AK345)</f>
        <v>0</v>
      </c>
      <c r="AH346" s="14" t="str">
        <f>IF([1]Sheet2!AL345=999999,"NA",[1]Sheet2!AL345)</f>
        <v>NA</v>
      </c>
      <c r="AI346" s="14">
        <f>IF([1]Sheet2!AM345=999999,"NA",[1]Sheet2!AM345)</f>
        <v>0</v>
      </c>
      <c r="AJ346" s="14">
        <f>IF([1]Sheet2!AN345=999999,"NA",[1]Sheet2!AN345)</f>
        <v>0</v>
      </c>
      <c r="AK346" s="14">
        <f>IF([1]Sheet2!AO345=999999,"NA",[1]Sheet2!AO345)</f>
        <v>0</v>
      </c>
      <c r="AL346" s="14">
        <f>IF([1]Sheet2!AP345=999999,"NA",[1]Sheet2!AP345)</f>
        <v>0</v>
      </c>
      <c r="AM346" s="14">
        <f>IF([1]Sheet2!AQ345=999999,"NA",[1]Sheet2!AQ345)</f>
        <v>0</v>
      </c>
      <c r="AN346" s="14">
        <f>IF([1]Sheet2!AR345=999999,"NA",[1]Sheet2!AR345)</f>
        <v>0</v>
      </c>
      <c r="AO346" s="14">
        <f>IF([1]Sheet2!AS345=999999,"NA",[1]Sheet2!AS345)</f>
        <v>0</v>
      </c>
      <c r="AP346" s="14">
        <f>[1]Sheet2!P345</f>
        <v>0</v>
      </c>
      <c r="AQ346" s="14">
        <f>[1]Sheet2!Q345</f>
        <v>0</v>
      </c>
      <c r="AR346" s="14">
        <f>[1]Sheet2!R345</f>
        <v>0</v>
      </c>
      <c r="AS346" s="14">
        <f>[1]Sheet2!S345</f>
        <v>0</v>
      </c>
      <c r="AT346" s="14">
        <f>[1]Sheet2!T345</f>
        <v>0</v>
      </c>
      <c r="AU346" s="14">
        <f>[1]Sheet2!U345</f>
        <v>0</v>
      </c>
      <c r="AV346" s="14">
        <f>[1]Sheet2!V345</f>
        <v>0</v>
      </c>
      <c r="AW346" s="14">
        <f>[1]Sheet2!W345</f>
        <v>0</v>
      </c>
      <c r="AX346" s="14">
        <f>[1]Sheet2!X345</f>
        <v>0</v>
      </c>
      <c r="AY346" s="14">
        <f>[1]Sheet2!Y345</f>
        <v>0</v>
      </c>
      <c r="AZ346" s="16">
        <f>Demand_LP!B$14/31</f>
        <v>868.56315911910667</v>
      </c>
      <c r="BA346" s="16">
        <f>Demand_LP!C$14/31</f>
        <v>608.40066170388752</v>
      </c>
      <c r="BB346" s="16">
        <f>Demand_LP!D$14/31</f>
        <v>251.20087262200158</v>
      </c>
      <c r="BC346" s="16">
        <f>Demand_LP!E$14/31</f>
        <v>807.45938378825463</v>
      </c>
      <c r="BD346" s="16">
        <f>Demand_LP!F$14/31</f>
        <v>539.59842069892466</v>
      </c>
      <c r="BE346" s="16">
        <f>Demand_LP!G$14/31</f>
        <v>539.59842069892466</v>
      </c>
      <c r="BF346" s="16">
        <f>Demand_LP!H$14/31</f>
        <v>608.40066170388752</v>
      </c>
      <c r="BG346" s="16">
        <f>Demand_LP!I$14/31</f>
        <v>539.59842069892466</v>
      </c>
      <c r="BH346" s="16">
        <f>Demand_LP!J$14/31</f>
        <v>539.59842069892466</v>
      </c>
      <c r="BI346" s="16">
        <f>Demand_LP!K$14/31</f>
        <v>539.59842069892466</v>
      </c>
      <c r="BJ346" s="16">
        <f t="shared" si="166"/>
        <v>-258896.38824914579</v>
      </c>
      <c r="BK346" s="16">
        <f t="shared" si="167"/>
        <v>-194573.38287841185</v>
      </c>
      <c r="BL346" s="16">
        <f t="shared" si="168"/>
        <v>-92454.559135649703</v>
      </c>
      <c r="BM346" s="16">
        <f t="shared" si="169"/>
        <v>-249685.5370019672</v>
      </c>
      <c r="BN346" s="16">
        <f t="shared" si="170"/>
        <v>-153586.3282461249</v>
      </c>
      <c r="BO346" s="16">
        <f t="shared" si="171"/>
        <v>-152044.01216449568</v>
      </c>
      <c r="BP346" s="16">
        <f t="shared" si="172"/>
        <v>-188930.9623655912</v>
      </c>
      <c r="BQ346" s="16">
        <f t="shared" si="173"/>
        <v>-147873.01216449571</v>
      </c>
      <c r="BR346" s="16">
        <f t="shared" si="174"/>
        <v>-149644.01216449574</v>
      </c>
      <c r="BS346" s="16">
        <f t="shared" si="175"/>
        <v>-150344.01216449574</v>
      </c>
      <c r="BT346" s="14">
        <f>IF([1]Sheet2!CB345=999999,"NA",[1]Sheet2!CB345)</f>
        <v>0</v>
      </c>
      <c r="BU346" s="14">
        <f>IF([1]Sheet2!CC345=999999,"NA",[1]Sheet2!CC345)</f>
        <v>0</v>
      </c>
      <c r="BV346" s="14">
        <f>IF([1]Sheet2!CD345=999999,"NA",[1]Sheet2!CD345)</f>
        <v>0</v>
      </c>
      <c r="BW346" s="14">
        <f>IF([1]Sheet2!CE345=999999,"NA",[1]Sheet2!CE345)</f>
        <v>0</v>
      </c>
      <c r="BX346" s="14">
        <f>IF([1]Sheet2!CF345=999999,"NA",[1]Sheet2!CF345)</f>
        <v>0</v>
      </c>
      <c r="BY346" s="14">
        <f>IF([1]Sheet2!CG345=999999,"NA",[1]Sheet2!CG345)</f>
        <v>0</v>
      </c>
      <c r="BZ346" s="14">
        <f>IF([1]Sheet2!CH345=999999,"NA",[1]Sheet2!CH345)</f>
        <v>0</v>
      </c>
      <c r="CA346" s="14">
        <f>IF([1]Sheet2!CI345=999999,"NA",[1]Sheet2!CI345)</f>
        <v>0</v>
      </c>
      <c r="CB346" s="14">
        <f>IF([1]Sheet2!CJ345=999999,"NA",[1]Sheet2!CJ345)</f>
        <v>0</v>
      </c>
      <c r="CC346" s="14">
        <f>IF([1]Sheet2!CK345=999999,"NA",[1]Sheet2!CK345)</f>
        <v>0</v>
      </c>
      <c r="CD346" s="14">
        <f>[1]Sheet2!BH345</f>
        <v>0</v>
      </c>
      <c r="CE346" s="14">
        <f>[1]Sheet2!BI345</f>
        <v>0</v>
      </c>
      <c r="CF346" s="14">
        <f>[1]Sheet2!BJ345</f>
        <v>0</v>
      </c>
      <c r="CG346" s="14">
        <f>[1]Sheet2!BK345</f>
        <v>0</v>
      </c>
      <c r="CH346" s="14">
        <f>[1]Sheet2!BL345</f>
        <v>0</v>
      </c>
      <c r="CI346" s="14">
        <f>[1]Sheet2!BM345</f>
        <v>0</v>
      </c>
      <c r="CJ346" s="14">
        <f>[1]Sheet2!BN345</f>
        <v>0</v>
      </c>
      <c r="CK346" s="14">
        <f>[1]Sheet2!BO345</f>
        <v>0</v>
      </c>
      <c r="CL346" s="14">
        <f>[1]Sheet2!BP345</f>
        <v>0</v>
      </c>
      <c r="CM346" s="14">
        <f>[1]Sheet2!BQ345</f>
        <v>0</v>
      </c>
      <c r="CN346" s="16">
        <f>Demand_SW!B$14/31</f>
        <v>139.57816377171216</v>
      </c>
      <c r="CO346" s="16">
        <f>Demand_SW!C$14/31</f>
        <v>0</v>
      </c>
      <c r="CP346" s="16">
        <f>Demand_SW!D$14/31</f>
        <v>0</v>
      </c>
      <c r="CQ346" s="16">
        <f>Demand_SW!E$14/31</f>
        <v>0</v>
      </c>
      <c r="CR346" s="16">
        <f>Demand_SW!F$14/31</f>
        <v>0</v>
      </c>
      <c r="CS346" s="16">
        <f>Demand_SW!G$14/31</f>
        <v>139.57816377171216</v>
      </c>
      <c r="CT346" s="16">
        <f>Demand_SW!H$14/31</f>
        <v>0</v>
      </c>
      <c r="CU346" s="16">
        <f>Demand_SW!I$14/31</f>
        <v>0</v>
      </c>
      <c r="CV346" s="16">
        <f>Demand_SW!J$14/31</f>
        <v>0</v>
      </c>
      <c r="CW346" s="16">
        <f>Demand_SW!K$14/31</f>
        <v>0</v>
      </c>
      <c r="CX346" s="16">
        <f t="shared" si="176"/>
        <v>-23957.741935483911</v>
      </c>
      <c r="CY346" s="16">
        <f t="shared" si="177"/>
        <v>76.923076923077133</v>
      </c>
      <c r="CZ346" s="16">
        <f t="shared" si="178"/>
        <v>0</v>
      </c>
      <c r="DA346" s="16">
        <f t="shared" si="179"/>
        <v>0</v>
      </c>
      <c r="DB346" s="16">
        <f t="shared" si="180"/>
        <v>0</v>
      </c>
      <c r="DC346" s="16">
        <f t="shared" si="181"/>
        <v>-25188.972704714681</v>
      </c>
      <c r="DD346" s="16">
        <f t="shared" si="182"/>
        <v>76.923076923077133</v>
      </c>
      <c r="DE346" s="16">
        <f t="shared" si="183"/>
        <v>0</v>
      </c>
      <c r="DF346" s="16">
        <f t="shared" si="184"/>
        <v>0</v>
      </c>
      <c r="DG346" s="16">
        <f t="shared" si="185"/>
        <v>0</v>
      </c>
      <c r="DH346" s="14">
        <f>IF([1]Sheet2!DS345=999999,"NA",[1]Sheet2!DS345)</f>
        <v>0</v>
      </c>
      <c r="DI346" s="14">
        <f>IF([1]Sheet2!DT345=999999,"NA",[1]Sheet2!DT345)</f>
        <v>22</v>
      </c>
      <c r="DJ346" s="14" t="str">
        <f>IF([1]Sheet2!DU345=999999,"NA",[1]Sheet2!DU345)</f>
        <v>NA</v>
      </c>
      <c r="DK346" s="14" t="str">
        <f>IF([1]Sheet2!DV345=999999,"NA",[1]Sheet2!DV345)</f>
        <v>NA</v>
      </c>
      <c r="DL346" s="14" t="str">
        <f>IF([1]Sheet2!DW345=999999,"NA",[1]Sheet2!DW345)</f>
        <v>NA</v>
      </c>
      <c r="DM346" s="14">
        <f>IF([1]Sheet2!DX345=999999,"NA",[1]Sheet2!DX345)</f>
        <v>0</v>
      </c>
      <c r="DN346" s="14">
        <f>IF([1]Sheet2!DY345=999999,"NA",[1]Sheet2!DY345)</f>
        <v>22</v>
      </c>
      <c r="DO346" s="14" t="str">
        <f>IF([1]Sheet2!DZ345=999999,"NA",[1]Sheet2!DZ345)</f>
        <v>NA</v>
      </c>
      <c r="DP346" s="14" t="str">
        <f>IF([1]Sheet2!EA345=999999,"NA",[1]Sheet2!EA345)</f>
        <v>NA</v>
      </c>
      <c r="DQ346" s="14" t="str">
        <f>IF([1]Sheet2!EB345=999999,"NA",[1]Sheet2!EB345)</f>
        <v>NA</v>
      </c>
      <c r="DR346" s="14">
        <f>[1]Sheet2!CY345</f>
        <v>0</v>
      </c>
      <c r="DS346" s="14">
        <f>[1]Sheet2!CZ345</f>
        <v>0</v>
      </c>
      <c r="DT346" s="14">
        <f>[1]Sheet2!DA345</f>
        <v>0</v>
      </c>
      <c r="DU346" s="14">
        <f>[1]Sheet2!DB345</f>
        <v>0</v>
      </c>
      <c r="DV346" s="14">
        <f>[1]Sheet2!DC345</f>
        <v>0</v>
      </c>
      <c r="DW346" s="14">
        <f>[1]Sheet2!DD345</f>
        <v>0</v>
      </c>
      <c r="DX346" s="14">
        <f>[1]Sheet2!DE345</f>
        <v>0</v>
      </c>
      <c r="DY346" s="14">
        <f>[1]Sheet2!DF345</f>
        <v>0</v>
      </c>
      <c r="DZ346" s="14">
        <f>[1]Sheet2!DG345</f>
        <v>0</v>
      </c>
      <c r="EA346" s="14">
        <f>[1]Sheet2!DH345</f>
        <v>0</v>
      </c>
      <c r="EB346" s="6">
        <f>[1]Sheet2!EC345</f>
        <v>0</v>
      </c>
      <c r="EC346" s="6">
        <f>[1]Sheet2!ED345</f>
        <v>0</v>
      </c>
      <c r="ED346" s="6">
        <f>[1]Sheet2!EE345</f>
        <v>0</v>
      </c>
      <c r="EE346" s="6">
        <f>[1]Sheet2!EF345</f>
        <v>0</v>
      </c>
      <c r="EF346" s="6">
        <f>[1]Sheet2!EG345</f>
        <v>0</v>
      </c>
      <c r="EG346" s="6">
        <f>[1]Sheet2!EH345</f>
        <v>0</v>
      </c>
      <c r="EH346" s="6">
        <f>[1]Sheet2!EI345</f>
        <v>0</v>
      </c>
      <c r="EI346" s="6">
        <f>[1]Sheet2!EJ345</f>
        <v>0</v>
      </c>
      <c r="EJ346" s="6">
        <f>[1]Sheet2!EK345</f>
        <v>0</v>
      </c>
      <c r="EK346" s="6">
        <f>[1]Sheet2!EL345</f>
        <v>0</v>
      </c>
      <c r="EL346" s="6" t="str">
        <f>[1]Sheet2!EM345</f>
        <v/>
      </c>
      <c r="EM346" s="6" t="str">
        <f>[1]Sheet2!EN345</f>
        <v/>
      </c>
      <c r="EN346" s="6" t="str">
        <f>[1]Sheet2!EO345</f>
        <v/>
      </c>
      <c r="EO346" s="6" t="str">
        <f>[1]Sheet2!EP345</f>
        <v/>
      </c>
      <c r="EP346" s="6" t="str">
        <f>[1]Sheet2!EQ345</f>
        <v/>
      </c>
      <c r="EQ346" s="6" t="str">
        <f>[1]Sheet2!ER345</f>
        <v/>
      </c>
      <c r="ER346" s="6" t="str">
        <f>[1]Sheet2!ES345</f>
        <v/>
      </c>
      <c r="ES346" s="6" t="str">
        <f>[1]Sheet2!ET345</f>
        <v/>
      </c>
      <c r="ET346" s="6" t="str">
        <f>[1]Sheet2!EU345</f>
        <v/>
      </c>
      <c r="EU346" s="6" t="str">
        <f>[1]Sheet2!EV345</f>
        <v/>
      </c>
      <c r="EV346" s="6" t="str">
        <f>[1]Sheet2!EW345</f>
        <v/>
      </c>
      <c r="EW346" s="6" t="str">
        <f>[1]Sheet2!EX345</f>
        <v/>
      </c>
      <c r="EX346" s="6" t="str">
        <f>[1]Sheet2!EY345</f>
        <v/>
      </c>
      <c r="EY346" s="6" t="str">
        <f>[1]Sheet2!EZ345</f>
        <v/>
      </c>
      <c r="EZ346" s="6" t="str">
        <f>[1]Sheet2!FA345</f>
        <v/>
      </c>
      <c r="FA346" s="6" t="str">
        <f>[1]Sheet2!FB345</f>
        <v/>
      </c>
      <c r="FB346" s="6" t="str">
        <f>[1]Sheet2!FC345</f>
        <v/>
      </c>
      <c r="FC346" s="6" t="str">
        <f>[1]Sheet2!FD345</f>
        <v/>
      </c>
      <c r="FD346" s="6" t="str">
        <f>[1]Sheet2!FE345</f>
        <v/>
      </c>
      <c r="FE346" s="6" t="str">
        <f>[1]Sheet2!FF345</f>
        <v/>
      </c>
      <c r="FF346" s="6" t="str">
        <f>[1]Sheet2!FG345</f>
        <v/>
      </c>
      <c r="FG346" s="6" t="str">
        <f>[1]Sheet2!FH345</f>
        <v/>
      </c>
      <c r="FH346" s="6" t="str">
        <f>[1]Sheet2!FI345</f>
        <v/>
      </c>
      <c r="FI346" s="6" t="str">
        <f>[1]Sheet2!FJ345</f>
        <v/>
      </c>
      <c r="FJ346" s="6" t="str">
        <f>[1]Sheet2!FK345</f>
        <v/>
      </c>
      <c r="FK346" s="6" t="str">
        <f>[1]Sheet2!FL345</f>
        <v/>
      </c>
      <c r="FL346" s="6" t="str">
        <f>[1]Sheet2!FM345</f>
        <v/>
      </c>
      <c r="FM346" s="6" t="str">
        <f>[1]Sheet2!FN345</f>
        <v/>
      </c>
      <c r="FN346" s="6" t="str">
        <f>[1]Sheet2!FO345</f>
        <v/>
      </c>
      <c r="FO346" s="6" t="str">
        <f>[1]Sheet2!FP345</f>
        <v/>
      </c>
    </row>
    <row r="347" spans="1:171" x14ac:dyDescent="0.25">
      <c r="A347" s="15">
        <v>43809</v>
      </c>
      <c r="B347" s="1"/>
      <c r="C347" s="1"/>
      <c r="D347" s="1"/>
      <c r="E347" s="14">
        <f>[1]Sheet2!N346</f>
        <v>0</v>
      </c>
      <c r="F347" s="14">
        <f>[1]Sheet2!BE346</f>
        <v>0</v>
      </c>
      <c r="G347" s="14">
        <f>[1]Sheet2!CW346</f>
        <v>0</v>
      </c>
      <c r="H347" s="1"/>
      <c r="I347" s="1"/>
      <c r="J347" s="1"/>
      <c r="K347" s="16"/>
      <c r="L347" s="16">
        <f>Demand_CWRS!B$14/31</f>
        <v>95.176711124896599</v>
      </c>
      <c r="M347" s="16">
        <f>Demand_CWRS!C$14/31</f>
        <v>526.22795698924722</v>
      </c>
      <c r="N347" s="16">
        <f>Demand_CWRS!D$14/31</f>
        <v>0</v>
      </c>
      <c r="O347" s="16">
        <f>Demand_CWRS!E$14/31</f>
        <v>102.37076095947063</v>
      </c>
      <c r="P347" s="16">
        <f>Demand_CWRS!F$14/31</f>
        <v>219.86823562861866</v>
      </c>
      <c r="Q347" s="16">
        <f>Demand_CWRS!G$14/31</f>
        <v>95.176711124896599</v>
      </c>
      <c r="R347" s="16">
        <f>Demand_CWRS!H$14/31</f>
        <v>219.86823562861866</v>
      </c>
      <c r="S347" s="16">
        <f>Demand_CWRS!I$14/31</f>
        <v>219.86823562861866</v>
      </c>
      <c r="T347" s="16">
        <f>Demand_CWRS!J$14/31</f>
        <v>219.86823562861866</v>
      </c>
      <c r="U347" s="16">
        <f>Demand_CWRS!K$14/31</f>
        <v>219.86823562861866</v>
      </c>
      <c r="V347" s="16">
        <f t="shared" si="156"/>
        <v>-38903.268071722341</v>
      </c>
      <c r="W347" s="16">
        <f t="shared" si="157"/>
        <v>-157871.37444168705</v>
      </c>
      <c r="X347" s="16">
        <f t="shared" si="158"/>
        <v>0</v>
      </c>
      <c r="Y347" s="16">
        <f t="shared" si="159"/>
        <v>-30326.920056852116</v>
      </c>
      <c r="Z347" s="16">
        <f t="shared" si="160"/>
        <v>-69339.910213516006</v>
      </c>
      <c r="AA347" s="16">
        <f t="shared" si="161"/>
        <v>-37431.335547683957</v>
      </c>
      <c r="AB347" s="16">
        <f t="shared" si="162"/>
        <v>-73649.074989157103</v>
      </c>
      <c r="AC347" s="16">
        <f t="shared" si="163"/>
        <v>-67856.06473274673</v>
      </c>
      <c r="AD347" s="16">
        <f t="shared" si="164"/>
        <v>-67956.06473274673</v>
      </c>
      <c r="AE347" s="16">
        <f t="shared" si="165"/>
        <v>-68556.06473274673</v>
      </c>
      <c r="AF347" s="14">
        <f>IF([1]Sheet2!AJ346=999999,"NA",[1]Sheet2!AJ346)</f>
        <v>0</v>
      </c>
      <c r="AG347" s="14">
        <f>IF([1]Sheet2!AK346=999999,"NA",[1]Sheet2!AK346)</f>
        <v>0</v>
      </c>
      <c r="AH347" s="14" t="str">
        <f>IF([1]Sheet2!AL346=999999,"NA",[1]Sheet2!AL346)</f>
        <v>NA</v>
      </c>
      <c r="AI347" s="14">
        <f>IF([1]Sheet2!AM346=999999,"NA",[1]Sheet2!AM346)</f>
        <v>0</v>
      </c>
      <c r="AJ347" s="14">
        <f>IF([1]Sheet2!AN346=999999,"NA",[1]Sheet2!AN346)</f>
        <v>0</v>
      </c>
      <c r="AK347" s="14">
        <f>IF([1]Sheet2!AO346=999999,"NA",[1]Sheet2!AO346)</f>
        <v>0</v>
      </c>
      <c r="AL347" s="14">
        <f>IF([1]Sheet2!AP346=999999,"NA",[1]Sheet2!AP346)</f>
        <v>0</v>
      </c>
      <c r="AM347" s="14">
        <f>IF([1]Sheet2!AQ346=999999,"NA",[1]Sheet2!AQ346)</f>
        <v>0</v>
      </c>
      <c r="AN347" s="14">
        <f>IF([1]Sheet2!AR346=999999,"NA",[1]Sheet2!AR346)</f>
        <v>0</v>
      </c>
      <c r="AO347" s="14">
        <f>IF([1]Sheet2!AS346=999999,"NA",[1]Sheet2!AS346)</f>
        <v>0</v>
      </c>
      <c r="AP347" s="14">
        <f>[1]Sheet2!P346</f>
        <v>0</v>
      </c>
      <c r="AQ347" s="14">
        <f>[1]Sheet2!Q346</f>
        <v>0</v>
      </c>
      <c r="AR347" s="14">
        <f>[1]Sheet2!R346</f>
        <v>0</v>
      </c>
      <c r="AS347" s="14">
        <f>[1]Sheet2!S346</f>
        <v>0</v>
      </c>
      <c r="AT347" s="14">
        <f>[1]Sheet2!T346</f>
        <v>0</v>
      </c>
      <c r="AU347" s="14">
        <f>[1]Sheet2!U346</f>
        <v>0</v>
      </c>
      <c r="AV347" s="14">
        <f>[1]Sheet2!V346</f>
        <v>0</v>
      </c>
      <c r="AW347" s="14">
        <f>[1]Sheet2!W346</f>
        <v>0</v>
      </c>
      <c r="AX347" s="14">
        <f>[1]Sheet2!X346</f>
        <v>0</v>
      </c>
      <c r="AY347" s="14">
        <f>[1]Sheet2!Y346</f>
        <v>0</v>
      </c>
      <c r="AZ347" s="16">
        <f>Demand_LP!B$14/31</f>
        <v>868.56315911910667</v>
      </c>
      <c r="BA347" s="16">
        <f>Demand_LP!C$14/31</f>
        <v>608.40066170388752</v>
      </c>
      <c r="BB347" s="16">
        <f>Demand_LP!D$14/31</f>
        <v>251.20087262200158</v>
      </c>
      <c r="BC347" s="16">
        <f>Demand_LP!E$14/31</f>
        <v>807.45938378825463</v>
      </c>
      <c r="BD347" s="16">
        <f>Demand_LP!F$14/31</f>
        <v>539.59842069892466</v>
      </c>
      <c r="BE347" s="16">
        <f>Demand_LP!G$14/31</f>
        <v>539.59842069892466</v>
      </c>
      <c r="BF347" s="16">
        <f>Demand_LP!H$14/31</f>
        <v>608.40066170388752</v>
      </c>
      <c r="BG347" s="16">
        <f>Demand_LP!I$14/31</f>
        <v>539.59842069892466</v>
      </c>
      <c r="BH347" s="16">
        <f>Demand_LP!J$14/31</f>
        <v>539.59842069892466</v>
      </c>
      <c r="BI347" s="16">
        <f>Demand_LP!K$14/31</f>
        <v>539.59842069892466</v>
      </c>
      <c r="BJ347" s="16">
        <f t="shared" si="166"/>
        <v>-259764.9514082649</v>
      </c>
      <c r="BK347" s="16">
        <f t="shared" si="167"/>
        <v>-195181.78354011575</v>
      </c>
      <c r="BL347" s="16">
        <f t="shared" si="168"/>
        <v>-92705.760008271711</v>
      </c>
      <c r="BM347" s="16">
        <f t="shared" si="169"/>
        <v>-250492.99638575545</v>
      </c>
      <c r="BN347" s="16">
        <f t="shared" si="170"/>
        <v>-154125.92666682383</v>
      </c>
      <c r="BO347" s="16">
        <f t="shared" si="171"/>
        <v>-152583.6105851946</v>
      </c>
      <c r="BP347" s="16">
        <f t="shared" si="172"/>
        <v>-189539.3630272951</v>
      </c>
      <c r="BQ347" s="16">
        <f t="shared" si="173"/>
        <v>-148412.61058519463</v>
      </c>
      <c r="BR347" s="16">
        <f t="shared" si="174"/>
        <v>-150183.61058519466</v>
      </c>
      <c r="BS347" s="16">
        <f t="shared" si="175"/>
        <v>-150883.61058519466</v>
      </c>
      <c r="BT347" s="14">
        <f>IF([1]Sheet2!CB346=999999,"NA",[1]Sheet2!CB346)</f>
        <v>0</v>
      </c>
      <c r="BU347" s="14">
        <f>IF([1]Sheet2!CC346=999999,"NA",[1]Sheet2!CC346)</f>
        <v>0</v>
      </c>
      <c r="BV347" s="14">
        <f>IF([1]Sheet2!CD346=999999,"NA",[1]Sheet2!CD346)</f>
        <v>0</v>
      </c>
      <c r="BW347" s="14">
        <f>IF([1]Sheet2!CE346=999999,"NA",[1]Sheet2!CE346)</f>
        <v>0</v>
      </c>
      <c r="BX347" s="14">
        <f>IF([1]Sheet2!CF346=999999,"NA",[1]Sheet2!CF346)</f>
        <v>0</v>
      </c>
      <c r="BY347" s="14">
        <f>IF([1]Sheet2!CG346=999999,"NA",[1]Sheet2!CG346)</f>
        <v>0</v>
      </c>
      <c r="BZ347" s="14">
        <f>IF([1]Sheet2!CH346=999999,"NA",[1]Sheet2!CH346)</f>
        <v>0</v>
      </c>
      <c r="CA347" s="14">
        <f>IF([1]Sheet2!CI346=999999,"NA",[1]Sheet2!CI346)</f>
        <v>0</v>
      </c>
      <c r="CB347" s="14">
        <f>IF([1]Sheet2!CJ346=999999,"NA",[1]Sheet2!CJ346)</f>
        <v>0</v>
      </c>
      <c r="CC347" s="14">
        <f>IF([1]Sheet2!CK346=999999,"NA",[1]Sheet2!CK346)</f>
        <v>0</v>
      </c>
      <c r="CD347" s="14">
        <f>[1]Sheet2!BH346</f>
        <v>0</v>
      </c>
      <c r="CE347" s="14">
        <f>[1]Sheet2!BI346</f>
        <v>0</v>
      </c>
      <c r="CF347" s="14">
        <f>[1]Sheet2!BJ346</f>
        <v>0</v>
      </c>
      <c r="CG347" s="14">
        <f>[1]Sheet2!BK346</f>
        <v>0</v>
      </c>
      <c r="CH347" s="14">
        <f>[1]Sheet2!BL346</f>
        <v>0</v>
      </c>
      <c r="CI347" s="14">
        <f>[1]Sheet2!BM346</f>
        <v>0</v>
      </c>
      <c r="CJ347" s="14">
        <f>[1]Sheet2!BN346</f>
        <v>0</v>
      </c>
      <c r="CK347" s="14">
        <f>[1]Sheet2!BO346</f>
        <v>0</v>
      </c>
      <c r="CL347" s="14">
        <f>[1]Sheet2!BP346</f>
        <v>0</v>
      </c>
      <c r="CM347" s="14">
        <f>[1]Sheet2!BQ346</f>
        <v>0</v>
      </c>
      <c r="CN347" s="16">
        <f>Demand_SW!B$14/31</f>
        <v>139.57816377171216</v>
      </c>
      <c r="CO347" s="16">
        <f>Demand_SW!C$14/31</f>
        <v>0</v>
      </c>
      <c r="CP347" s="16">
        <f>Demand_SW!D$14/31</f>
        <v>0</v>
      </c>
      <c r="CQ347" s="16">
        <f>Demand_SW!E$14/31</f>
        <v>0</v>
      </c>
      <c r="CR347" s="16">
        <f>Demand_SW!F$14/31</f>
        <v>0</v>
      </c>
      <c r="CS347" s="16">
        <f>Demand_SW!G$14/31</f>
        <v>139.57816377171216</v>
      </c>
      <c r="CT347" s="16">
        <f>Demand_SW!H$14/31</f>
        <v>0</v>
      </c>
      <c r="CU347" s="16">
        <f>Demand_SW!I$14/31</f>
        <v>0</v>
      </c>
      <c r="CV347" s="16">
        <f>Demand_SW!J$14/31</f>
        <v>0</v>
      </c>
      <c r="CW347" s="16">
        <f>Demand_SW!K$14/31</f>
        <v>0</v>
      </c>
      <c r="CX347" s="16">
        <f t="shared" si="176"/>
        <v>-24097.320099255623</v>
      </c>
      <c r="CY347" s="16">
        <f t="shared" si="177"/>
        <v>76.923076923077133</v>
      </c>
      <c r="CZ347" s="16">
        <f t="shared" si="178"/>
        <v>0</v>
      </c>
      <c r="DA347" s="16">
        <f t="shared" si="179"/>
        <v>0</v>
      </c>
      <c r="DB347" s="16">
        <f t="shared" si="180"/>
        <v>0</v>
      </c>
      <c r="DC347" s="16">
        <f t="shared" si="181"/>
        <v>-25328.550868486393</v>
      </c>
      <c r="DD347" s="16">
        <f t="shared" si="182"/>
        <v>76.923076923077133</v>
      </c>
      <c r="DE347" s="16">
        <f t="shared" si="183"/>
        <v>0</v>
      </c>
      <c r="DF347" s="16">
        <f t="shared" si="184"/>
        <v>0</v>
      </c>
      <c r="DG347" s="16">
        <f t="shared" si="185"/>
        <v>0</v>
      </c>
      <c r="DH347" s="14">
        <f>IF([1]Sheet2!DS346=999999,"NA",[1]Sheet2!DS346)</f>
        <v>0</v>
      </c>
      <c r="DI347" s="14">
        <f>IF([1]Sheet2!DT346=999999,"NA",[1]Sheet2!DT346)</f>
        <v>21</v>
      </c>
      <c r="DJ347" s="14" t="str">
        <f>IF([1]Sheet2!DU346=999999,"NA",[1]Sheet2!DU346)</f>
        <v>NA</v>
      </c>
      <c r="DK347" s="14" t="str">
        <f>IF([1]Sheet2!DV346=999999,"NA",[1]Sheet2!DV346)</f>
        <v>NA</v>
      </c>
      <c r="DL347" s="14" t="str">
        <f>IF([1]Sheet2!DW346=999999,"NA",[1]Sheet2!DW346)</f>
        <v>NA</v>
      </c>
      <c r="DM347" s="14">
        <f>IF([1]Sheet2!DX346=999999,"NA",[1]Sheet2!DX346)</f>
        <v>0</v>
      </c>
      <c r="DN347" s="14">
        <f>IF([1]Sheet2!DY346=999999,"NA",[1]Sheet2!DY346)</f>
        <v>21</v>
      </c>
      <c r="DO347" s="14" t="str">
        <f>IF([1]Sheet2!DZ346=999999,"NA",[1]Sheet2!DZ346)</f>
        <v>NA</v>
      </c>
      <c r="DP347" s="14" t="str">
        <f>IF([1]Sheet2!EA346=999999,"NA",[1]Sheet2!EA346)</f>
        <v>NA</v>
      </c>
      <c r="DQ347" s="14" t="str">
        <f>IF([1]Sheet2!EB346=999999,"NA",[1]Sheet2!EB346)</f>
        <v>NA</v>
      </c>
      <c r="DR347" s="14">
        <f>[1]Sheet2!CY346</f>
        <v>0</v>
      </c>
      <c r="DS347" s="14">
        <f>[1]Sheet2!CZ346</f>
        <v>0</v>
      </c>
      <c r="DT347" s="14">
        <f>[1]Sheet2!DA346</f>
        <v>0</v>
      </c>
      <c r="DU347" s="14">
        <f>[1]Sheet2!DB346</f>
        <v>0</v>
      </c>
      <c r="DV347" s="14">
        <f>[1]Sheet2!DC346</f>
        <v>0</v>
      </c>
      <c r="DW347" s="14">
        <f>[1]Sheet2!DD346</f>
        <v>0</v>
      </c>
      <c r="DX347" s="14">
        <f>[1]Sheet2!DE346</f>
        <v>0</v>
      </c>
      <c r="DY347" s="14">
        <f>[1]Sheet2!DF346</f>
        <v>0</v>
      </c>
      <c r="DZ347" s="14">
        <f>[1]Sheet2!DG346</f>
        <v>0</v>
      </c>
      <c r="EA347" s="14">
        <f>[1]Sheet2!DH346</f>
        <v>0</v>
      </c>
      <c r="EB347" s="6">
        <f>[1]Sheet2!EC346</f>
        <v>0</v>
      </c>
      <c r="EC347" s="6">
        <f>[1]Sheet2!ED346</f>
        <v>0</v>
      </c>
      <c r="ED347" s="6">
        <f>[1]Sheet2!EE346</f>
        <v>0</v>
      </c>
      <c r="EE347" s="6">
        <f>[1]Sheet2!EF346</f>
        <v>0</v>
      </c>
      <c r="EF347" s="6">
        <f>[1]Sheet2!EG346</f>
        <v>0</v>
      </c>
      <c r="EG347" s="6">
        <f>[1]Sheet2!EH346</f>
        <v>0</v>
      </c>
      <c r="EH347" s="6">
        <f>[1]Sheet2!EI346</f>
        <v>0</v>
      </c>
      <c r="EI347" s="6">
        <f>[1]Sheet2!EJ346</f>
        <v>0</v>
      </c>
      <c r="EJ347" s="6">
        <f>[1]Sheet2!EK346</f>
        <v>0</v>
      </c>
      <c r="EK347" s="6">
        <f>[1]Sheet2!EL346</f>
        <v>0</v>
      </c>
      <c r="EL347" s="6" t="str">
        <f>[1]Sheet2!EM346</f>
        <v/>
      </c>
      <c r="EM347" s="6" t="str">
        <f>[1]Sheet2!EN346</f>
        <v/>
      </c>
      <c r="EN347" s="6" t="str">
        <f>[1]Sheet2!EO346</f>
        <v/>
      </c>
      <c r="EO347" s="6" t="str">
        <f>[1]Sheet2!EP346</f>
        <v/>
      </c>
      <c r="EP347" s="6" t="str">
        <f>[1]Sheet2!EQ346</f>
        <v/>
      </c>
      <c r="EQ347" s="6" t="str">
        <f>[1]Sheet2!ER346</f>
        <v/>
      </c>
      <c r="ER347" s="6" t="str">
        <f>[1]Sheet2!ES346</f>
        <v/>
      </c>
      <c r="ES347" s="6" t="str">
        <f>[1]Sheet2!ET346</f>
        <v/>
      </c>
      <c r="ET347" s="6" t="str">
        <f>[1]Sheet2!EU346</f>
        <v/>
      </c>
      <c r="EU347" s="6" t="str">
        <f>[1]Sheet2!EV346</f>
        <v/>
      </c>
      <c r="EV347" s="6" t="str">
        <f>[1]Sheet2!EW346</f>
        <v/>
      </c>
      <c r="EW347" s="6" t="str">
        <f>[1]Sheet2!EX346</f>
        <v/>
      </c>
      <c r="EX347" s="6" t="str">
        <f>[1]Sheet2!EY346</f>
        <v/>
      </c>
      <c r="EY347" s="6" t="str">
        <f>[1]Sheet2!EZ346</f>
        <v/>
      </c>
      <c r="EZ347" s="6" t="str">
        <f>[1]Sheet2!FA346</f>
        <v/>
      </c>
      <c r="FA347" s="6" t="str">
        <f>[1]Sheet2!FB346</f>
        <v/>
      </c>
      <c r="FB347" s="6" t="str">
        <f>[1]Sheet2!FC346</f>
        <v/>
      </c>
      <c r="FC347" s="6" t="str">
        <f>[1]Sheet2!FD346</f>
        <v/>
      </c>
      <c r="FD347" s="6" t="str">
        <f>[1]Sheet2!FE346</f>
        <v/>
      </c>
      <c r="FE347" s="6" t="str">
        <f>[1]Sheet2!FF346</f>
        <v/>
      </c>
      <c r="FF347" s="6" t="str">
        <f>[1]Sheet2!FG346</f>
        <v/>
      </c>
      <c r="FG347" s="6" t="str">
        <f>[1]Sheet2!FH346</f>
        <v/>
      </c>
      <c r="FH347" s="6" t="str">
        <f>[1]Sheet2!FI346</f>
        <v/>
      </c>
      <c r="FI347" s="6" t="str">
        <f>[1]Sheet2!FJ346</f>
        <v/>
      </c>
      <c r="FJ347" s="6" t="str">
        <f>[1]Sheet2!FK346</f>
        <v/>
      </c>
      <c r="FK347" s="6" t="str">
        <f>[1]Sheet2!FL346</f>
        <v/>
      </c>
      <c r="FL347" s="6" t="str">
        <f>[1]Sheet2!FM346</f>
        <v/>
      </c>
      <c r="FM347" s="6" t="str">
        <f>[1]Sheet2!FN346</f>
        <v/>
      </c>
      <c r="FN347" s="6" t="str">
        <f>[1]Sheet2!FO346</f>
        <v/>
      </c>
      <c r="FO347" s="6" t="str">
        <f>[1]Sheet2!FP346</f>
        <v/>
      </c>
    </row>
    <row r="348" spans="1:171" x14ac:dyDescent="0.25">
      <c r="A348" s="15">
        <v>43810</v>
      </c>
      <c r="B348" s="1"/>
      <c r="C348" s="1"/>
      <c r="D348" s="1"/>
      <c r="E348" s="14">
        <f>[1]Sheet2!N347</f>
        <v>0</v>
      </c>
      <c r="F348" s="14">
        <f>[1]Sheet2!BE347</f>
        <v>0</v>
      </c>
      <c r="G348" s="14">
        <f>[1]Sheet2!CW347</f>
        <v>0</v>
      </c>
      <c r="H348" s="1"/>
      <c r="I348" s="1"/>
      <c r="J348" s="1"/>
      <c r="K348" s="16"/>
      <c r="L348" s="16">
        <f>Demand_CWRS!B$14/31</f>
        <v>95.176711124896599</v>
      </c>
      <c r="M348" s="16">
        <f>Demand_CWRS!C$14/31</f>
        <v>526.22795698924722</v>
      </c>
      <c r="N348" s="16">
        <f>Demand_CWRS!D$14/31</f>
        <v>0</v>
      </c>
      <c r="O348" s="16">
        <f>Demand_CWRS!E$14/31</f>
        <v>102.37076095947063</v>
      </c>
      <c r="P348" s="16">
        <f>Demand_CWRS!F$14/31</f>
        <v>219.86823562861866</v>
      </c>
      <c r="Q348" s="16">
        <f>Demand_CWRS!G$14/31</f>
        <v>95.176711124896599</v>
      </c>
      <c r="R348" s="16">
        <f>Demand_CWRS!H$14/31</f>
        <v>219.86823562861866</v>
      </c>
      <c r="S348" s="16">
        <f>Demand_CWRS!I$14/31</f>
        <v>219.86823562861866</v>
      </c>
      <c r="T348" s="16">
        <f>Demand_CWRS!J$14/31</f>
        <v>219.86823562861866</v>
      </c>
      <c r="U348" s="16">
        <f>Demand_CWRS!K$14/31</f>
        <v>219.86823562861866</v>
      </c>
      <c r="V348" s="16">
        <f t="shared" si="156"/>
        <v>-38998.44478284724</v>
      </c>
      <c r="W348" s="16">
        <f t="shared" si="157"/>
        <v>-158397.6023986763</v>
      </c>
      <c r="X348" s="16">
        <f t="shared" si="158"/>
        <v>0</v>
      </c>
      <c r="Y348" s="16">
        <f t="shared" si="159"/>
        <v>-30429.290817811587</v>
      </c>
      <c r="Z348" s="16">
        <f t="shared" si="160"/>
        <v>-69559.778449144622</v>
      </c>
      <c r="AA348" s="16">
        <f t="shared" si="161"/>
        <v>-37526.512258808856</v>
      </c>
      <c r="AB348" s="16">
        <f t="shared" si="162"/>
        <v>-73868.943224785718</v>
      </c>
      <c r="AC348" s="16">
        <f t="shared" si="163"/>
        <v>-68075.932968375346</v>
      </c>
      <c r="AD348" s="16">
        <f t="shared" si="164"/>
        <v>-68175.932968375346</v>
      </c>
      <c r="AE348" s="16">
        <f t="shared" si="165"/>
        <v>-68775.932968375346</v>
      </c>
      <c r="AF348" s="14">
        <f>IF([1]Sheet2!AJ347=999999,"NA",[1]Sheet2!AJ347)</f>
        <v>0</v>
      </c>
      <c r="AG348" s="14">
        <f>IF([1]Sheet2!AK347=999999,"NA",[1]Sheet2!AK347)</f>
        <v>0</v>
      </c>
      <c r="AH348" s="14" t="str">
        <f>IF([1]Sheet2!AL347=999999,"NA",[1]Sheet2!AL347)</f>
        <v>NA</v>
      </c>
      <c r="AI348" s="14">
        <f>IF([1]Sheet2!AM347=999999,"NA",[1]Sheet2!AM347)</f>
        <v>0</v>
      </c>
      <c r="AJ348" s="14">
        <f>IF([1]Sheet2!AN347=999999,"NA",[1]Sheet2!AN347)</f>
        <v>0</v>
      </c>
      <c r="AK348" s="14">
        <f>IF([1]Sheet2!AO347=999999,"NA",[1]Sheet2!AO347)</f>
        <v>0</v>
      </c>
      <c r="AL348" s="14">
        <f>IF([1]Sheet2!AP347=999999,"NA",[1]Sheet2!AP347)</f>
        <v>0</v>
      </c>
      <c r="AM348" s="14">
        <f>IF([1]Sheet2!AQ347=999999,"NA",[1]Sheet2!AQ347)</f>
        <v>0</v>
      </c>
      <c r="AN348" s="14">
        <f>IF([1]Sheet2!AR347=999999,"NA",[1]Sheet2!AR347)</f>
        <v>0</v>
      </c>
      <c r="AO348" s="14">
        <f>IF([1]Sheet2!AS347=999999,"NA",[1]Sheet2!AS347)</f>
        <v>0</v>
      </c>
      <c r="AP348" s="14">
        <f>[1]Sheet2!P347</f>
        <v>0</v>
      </c>
      <c r="AQ348" s="14">
        <f>[1]Sheet2!Q347</f>
        <v>0</v>
      </c>
      <c r="AR348" s="14">
        <f>[1]Sheet2!R347</f>
        <v>0</v>
      </c>
      <c r="AS348" s="14">
        <f>[1]Sheet2!S347</f>
        <v>0</v>
      </c>
      <c r="AT348" s="14">
        <f>[1]Sheet2!T347</f>
        <v>0</v>
      </c>
      <c r="AU348" s="14">
        <f>[1]Sheet2!U347</f>
        <v>0</v>
      </c>
      <c r="AV348" s="14">
        <f>[1]Sheet2!V347</f>
        <v>0</v>
      </c>
      <c r="AW348" s="14">
        <f>[1]Sheet2!W347</f>
        <v>0</v>
      </c>
      <c r="AX348" s="14">
        <f>[1]Sheet2!X347</f>
        <v>0</v>
      </c>
      <c r="AY348" s="14">
        <f>[1]Sheet2!Y347</f>
        <v>0</v>
      </c>
      <c r="AZ348" s="16">
        <f>Demand_LP!B$14/31</f>
        <v>868.56315911910667</v>
      </c>
      <c r="BA348" s="16">
        <f>Demand_LP!C$14/31</f>
        <v>608.40066170388752</v>
      </c>
      <c r="BB348" s="16">
        <f>Demand_LP!D$14/31</f>
        <v>251.20087262200158</v>
      </c>
      <c r="BC348" s="16">
        <f>Demand_LP!E$14/31</f>
        <v>807.45938378825463</v>
      </c>
      <c r="BD348" s="16">
        <f>Demand_LP!F$14/31</f>
        <v>539.59842069892466</v>
      </c>
      <c r="BE348" s="16">
        <f>Demand_LP!G$14/31</f>
        <v>539.59842069892466</v>
      </c>
      <c r="BF348" s="16">
        <f>Demand_LP!H$14/31</f>
        <v>608.40066170388752</v>
      </c>
      <c r="BG348" s="16">
        <f>Demand_LP!I$14/31</f>
        <v>539.59842069892466</v>
      </c>
      <c r="BH348" s="16">
        <f>Demand_LP!J$14/31</f>
        <v>539.59842069892466</v>
      </c>
      <c r="BI348" s="16">
        <f>Demand_LP!K$14/31</f>
        <v>539.59842069892466</v>
      </c>
      <c r="BJ348" s="16">
        <f t="shared" si="166"/>
        <v>-260633.514567384</v>
      </c>
      <c r="BK348" s="16">
        <f t="shared" si="167"/>
        <v>-195790.18420181965</v>
      </c>
      <c r="BL348" s="16">
        <f t="shared" si="168"/>
        <v>-92956.960880893719</v>
      </c>
      <c r="BM348" s="16">
        <f t="shared" si="169"/>
        <v>-251300.45576954371</v>
      </c>
      <c r="BN348" s="16">
        <f t="shared" si="170"/>
        <v>-154665.52508752275</v>
      </c>
      <c r="BO348" s="16">
        <f t="shared" si="171"/>
        <v>-153123.20900589353</v>
      </c>
      <c r="BP348" s="16">
        <f t="shared" si="172"/>
        <v>-190147.763688999</v>
      </c>
      <c r="BQ348" s="16">
        <f t="shared" si="173"/>
        <v>-148952.20900589356</v>
      </c>
      <c r="BR348" s="16">
        <f t="shared" si="174"/>
        <v>-150723.20900589359</v>
      </c>
      <c r="BS348" s="16">
        <f t="shared" si="175"/>
        <v>-151423.20900589359</v>
      </c>
      <c r="BT348" s="14">
        <f>IF([1]Sheet2!CB347=999999,"NA",[1]Sheet2!CB347)</f>
        <v>0</v>
      </c>
      <c r="BU348" s="14">
        <f>IF([1]Sheet2!CC347=999999,"NA",[1]Sheet2!CC347)</f>
        <v>0</v>
      </c>
      <c r="BV348" s="14">
        <f>IF([1]Sheet2!CD347=999999,"NA",[1]Sheet2!CD347)</f>
        <v>0</v>
      </c>
      <c r="BW348" s="14">
        <f>IF([1]Sheet2!CE347=999999,"NA",[1]Sheet2!CE347)</f>
        <v>0</v>
      </c>
      <c r="BX348" s="14">
        <f>IF([1]Sheet2!CF347=999999,"NA",[1]Sheet2!CF347)</f>
        <v>0</v>
      </c>
      <c r="BY348" s="14">
        <f>IF([1]Sheet2!CG347=999999,"NA",[1]Sheet2!CG347)</f>
        <v>0</v>
      </c>
      <c r="BZ348" s="14">
        <f>IF([1]Sheet2!CH347=999999,"NA",[1]Sheet2!CH347)</f>
        <v>0</v>
      </c>
      <c r="CA348" s="14">
        <f>IF([1]Sheet2!CI347=999999,"NA",[1]Sheet2!CI347)</f>
        <v>0</v>
      </c>
      <c r="CB348" s="14">
        <f>IF([1]Sheet2!CJ347=999999,"NA",[1]Sheet2!CJ347)</f>
        <v>0</v>
      </c>
      <c r="CC348" s="14">
        <f>IF([1]Sheet2!CK347=999999,"NA",[1]Sheet2!CK347)</f>
        <v>0</v>
      </c>
      <c r="CD348" s="14">
        <f>[1]Sheet2!BH347</f>
        <v>0</v>
      </c>
      <c r="CE348" s="14">
        <f>[1]Sheet2!BI347</f>
        <v>0</v>
      </c>
      <c r="CF348" s="14">
        <f>[1]Sheet2!BJ347</f>
        <v>0</v>
      </c>
      <c r="CG348" s="14">
        <f>[1]Sheet2!BK347</f>
        <v>0</v>
      </c>
      <c r="CH348" s="14">
        <f>[1]Sheet2!BL347</f>
        <v>0</v>
      </c>
      <c r="CI348" s="14">
        <f>[1]Sheet2!BM347</f>
        <v>0</v>
      </c>
      <c r="CJ348" s="14">
        <f>[1]Sheet2!BN347</f>
        <v>0</v>
      </c>
      <c r="CK348" s="14">
        <f>[1]Sheet2!BO347</f>
        <v>0</v>
      </c>
      <c r="CL348" s="14">
        <f>[1]Sheet2!BP347</f>
        <v>0</v>
      </c>
      <c r="CM348" s="14">
        <f>[1]Sheet2!BQ347</f>
        <v>0</v>
      </c>
      <c r="CN348" s="16">
        <f>Demand_SW!B$14/31</f>
        <v>139.57816377171216</v>
      </c>
      <c r="CO348" s="16">
        <f>Demand_SW!C$14/31</f>
        <v>0</v>
      </c>
      <c r="CP348" s="16">
        <f>Demand_SW!D$14/31</f>
        <v>0</v>
      </c>
      <c r="CQ348" s="16">
        <f>Demand_SW!E$14/31</f>
        <v>0</v>
      </c>
      <c r="CR348" s="16">
        <f>Demand_SW!F$14/31</f>
        <v>0</v>
      </c>
      <c r="CS348" s="16">
        <f>Demand_SW!G$14/31</f>
        <v>139.57816377171216</v>
      </c>
      <c r="CT348" s="16">
        <f>Demand_SW!H$14/31</f>
        <v>0</v>
      </c>
      <c r="CU348" s="16">
        <f>Demand_SW!I$14/31</f>
        <v>0</v>
      </c>
      <c r="CV348" s="16">
        <f>Demand_SW!J$14/31</f>
        <v>0</v>
      </c>
      <c r="CW348" s="16">
        <f>Demand_SW!K$14/31</f>
        <v>0</v>
      </c>
      <c r="CX348" s="16">
        <f t="shared" si="176"/>
        <v>-24236.898263027335</v>
      </c>
      <c r="CY348" s="16">
        <f t="shared" si="177"/>
        <v>76.923076923077133</v>
      </c>
      <c r="CZ348" s="16">
        <f t="shared" si="178"/>
        <v>0</v>
      </c>
      <c r="DA348" s="16">
        <f t="shared" si="179"/>
        <v>0</v>
      </c>
      <c r="DB348" s="16">
        <f t="shared" si="180"/>
        <v>0</v>
      </c>
      <c r="DC348" s="16">
        <f t="shared" si="181"/>
        <v>-25468.129032258104</v>
      </c>
      <c r="DD348" s="16">
        <f t="shared" si="182"/>
        <v>76.923076923077133</v>
      </c>
      <c r="DE348" s="16">
        <f t="shared" si="183"/>
        <v>0</v>
      </c>
      <c r="DF348" s="16">
        <f t="shared" si="184"/>
        <v>0</v>
      </c>
      <c r="DG348" s="16">
        <f t="shared" si="185"/>
        <v>0</v>
      </c>
      <c r="DH348" s="14">
        <f>IF([1]Sheet2!DS347=999999,"NA",[1]Sheet2!DS347)</f>
        <v>0</v>
      </c>
      <c r="DI348" s="14">
        <f>IF([1]Sheet2!DT347=999999,"NA",[1]Sheet2!DT347)</f>
        <v>20</v>
      </c>
      <c r="DJ348" s="14" t="str">
        <f>IF([1]Sheet2!DU347=999999,"NA",[1]Sheet2!DU347)</f>
        <v>NA</v>
      </c>
      <c r="DK348" s="14" t="str">
        <f>IF([1]Sheet2!DV347=999999,"NA",[1]Sheet2!DV347)</f>
        <v>NA</v>
      </c>
      <c r="DL348" s="14" t="str">
        <f>IF([1]Sheet2!DW347=999999,"NA",[1]Sheet2!DW347)</f>
        <v>NA</v>
      </c>
      <c r="DM348" s="14">
        <f>IF([1]Sheet2!DX347=999999,"NA",[1]Sheet2!DX347)</f>
        <v>0</v>
      </c>
      <c r="DN348" s="14">
        <f>IF([1]Sheet2!DY347=999999,"NA",[1]Sheet2!DY347)</f>
        <v>20</v>
      </c>
      <c r="DO348" s="14" t="str">
        <f>IF([1]Sheet2!DZ347=999999,"NA",[1]Sheet2!DZ347)</f>
        <v>NA</v>
      </c>
      <c r="DP348" s="14" t="str">
        <f>IF([1]Sheet2!EA347=999999,"NA",[1]Sheet2!EA347)</f>
        <v>NA</v>
      </c>
      <c r="DQ348" s="14" t="str">
        <f>IF([1]Sheet2!EB347=999999,"NA",[1]Sheet2!EB347)</f>
        <v>NA</v>
      </c>
      <c r="DR348" s="14">
        <f>[1]Sheet2!CY347</f>
        <v>0</v>
      </c>
      <c r="DS348" s="14">
        <f>[1]Sheet2!CZ347</f>
        <v>0</v>
      </c>
      <c r="DT348" s="14">
        <f>[1]Sheet2!DA347</f>
        <v>0</v>
      </c>
      <c r="DU348" s="14">
        <f>[1]Sheet2!DB347</f>
        <v>0</v>
      </c>
      <c r="DV348" s="14">
        <f>[1]Sheet2!DC347</f>
        <v>0</v>
      </c>
      <c r="DW348" s="14">
        <f>[1]Sheet2!DD347</f>
        <v>0</v>
      </c>
      <c r="DX348" s="14">
        <f>[1]Sheet2!DE347</f>
        <v>0</v>
      </c>
      <c r="DY348" s="14">
        <f>[1]Sheet2!DF347</f>
        <v>0</v>
      </c>
      <c r="DZ348" s="14">
        <f>[1]Sheet2!DG347</f>
        <v>0</v>
      </c>
      <c r="EA348" s="14">
        <f>[1]Sheet2!DH347</f>
        <v>0</v>
      </c>
      <c r="EB348" s="6">
        <f>[1]Sheet2!EC347</f>
        <v>0</v>
      </c>
      <c r="EC348" s="6">
        <f>[1]Sheet2!ED347</f>
        <v>0</v>
      </c>
      <c r="ED348" s="6">
        <f>[1]Sheet2!EE347</f>
        <v>0</v>
      </c>
      <c r="EE348" s="6">
        <f>[1]Sheet2!EF347</f>
        <v>0</v>
      </c>
      <c r="EF348" s="6">
        <f>[1]Sheet2!EG347</f>
        <v>0</v>
      </c>
      <c r="EG348" s="6">
        <f>[1]Sheet2!EH347</f>
        <v>0</v>
      </c>
      <c r="EH348" s="6">
        <f>[1]Sheet2!EI347</f>
        <v>0</v>
      </c>
      <c r="EI348" s="6">
        <f>[1]Sheet2!EJ347</f>
        <v>0</v>
      </c>
      <c r="EJ348" s="6">
        <f>[1]Sheet2!EK347</f>
        <v>0</v>
      </c>
      <c r="EK348" s="6">
        <f>[1]Sheet2!EL347</f>
        <v>0</v>
      </c>
      <c r="EL348" s="6" t="str">
        <f>[1]Sheet2!EM347</f>
        <v/>
      </c>
      <c r="EM348" s="6" t="str">
        <f>[1]Sheet2!EN347</f>
        <v/>
      </c>
      <c r="EN348" s="6" t="str">
        <f>[1]Sheet2!EO347</f>
        <v/>
      </c>
      <c r="EO348" s="6" t="str">
        <f>[1]Sheet2!EP347</f>
        <v/>
      </c>
      <c r="EP348" s="6" t="str">
        <f>[1]Sheet2!EQ347</f>
        <v/>
      </c>
      <c r="EQ348" s="6" t="str">
        <f>[1]Sheet2!ER347</f>
        <v/>
      </c>
      <c r="ER348" s="6" t="str">
        <f>[1]Sheet2!ES347</f>
        <v/>
      </c>
      <c r="ES348" s="6" t="str">
        <f>[1]Sheet2!ET347</f>
        <v/>
      </c>
      <c r="ET348" s="6" t="str">
        <f>[1]Sheet2!EU347</f>
        <v/>
      </c>
      <c r="EU348" s="6" t="str">
        <f>[1]Sheet2!EV347</f>
        <v/>
      </c>
      <c r="EV348" s="6" t="str">
        <f>[1]Sheet2!EW347</f>
        <v/>
      </c>
      <c r="EW348" s="6" t="str">
        <f>[1]Sheet2!EX347</f>
        <v/>
      </c>
      <c r="EX348" s="6" t="str">
        <f>[1]Sheet2!EY347</f>
        <v/>
      </c>
      <c r="EY348" s="6" t="str">
        <f>[1]Sheet2!EZ347</f>
        <v/>
      </c>
      <c r="EZ348" s="6" t="str">
        <f>[1]Sheet2!FA347</f>
        <v/>
      </c>
      <c r="FA348" s="6" t="str">
        <f>[1]Sheet2!FB347</f>
        <v/>
      </c>
      <c r="FB348" s="6" t="str">
        <f>[1]Sheet2!FC347</f>
        <v/>
      </c>
      <c r="FC348" s="6" t="str">
        <f>[1]Sheet2!FD347</f>
        <v/>
      </c>
      <c r="FD348" s="6" t="str">
        <f>[1]Sheet2!FE347</f>
        <v/>
      </c>
      <c r="FE348" s="6" t="str">
        <f>[1]Sheet2!FF347</f>
        <v/>
      </c>
      <c r="FF348" s="6" t="str">
        <f>[1]Sheet2!FG347</f>
        <v/>
      </c>
      <c r="FG348" s="6" t="str">
        <f>[1]Sheet2!FH347</f>
        <v/>
      </c>
      <c r="FH348" s="6" t="str">
        <f>[1]Sheet2!FI347</f>
        <v/>
      </c>
      <c r="FI348" s="6" t="str">
        <f>[1]Sheet2!FJ347</f>
        <v/>
      </c>
      <c r="FJ348" s="6" t="str">
        <f>[1]Sheet2!FK347</f>
        <v/>
      </c>
      <c r="FK348" s="6" t="str">
        <f>[1]Sheet2!FL347</f>
        <v/>
      </c>
      <c r="FL348" s="6" t="str">
        <f>[1]Sheet2!FM347</f>
        <v/>
      </c>
      <c r="FM348" s="6" t="str">
        <f>[1]Sheet2!FN347</f>
        <v/>
      </c>
      <c r="FN348" s="6" t="str">
        <f>[1]Sheet2!FO347</f>
        <v/>
      </c>
      <c r="FO348" s="6" t="str">
        <f>[1]Sheet2!FP347</f>
        <v/>
      </c>
    </row>
    <row r="349" spans="1:171" x14ac:dyDescent="0.25">
      <c r="A349" s="15">
        <v>43811</v>
      </c>
      <c r="B349" s="1"/>
      <c r="C349" s="1"/>
      <c r="D349" s="1"/>
      <c r="E349" s="14">
        <f>[1]Sheet2!N348</f>
        <v>0</v>
      </c>
      <c r="F349" s="14">
        <f>[1]Sheet2!BE348</f>
        <v>0</v>
      </c>
      <c r="G349" s="14">
        <f>[1]Sheet2!CW348</f>
        <v>0</v>
      </c>
      <c r="H349" s="1"/>
      <c r="I349" s="1"/>
      <c r="J349" s="1"/>
      <c r="K349" s="16"/>
      <c r="L349" s="16">
        <f>Demand_CWRS!B$14/31</f>
        <v>95.176711124896599</v>
      </c>
      <c r="M349" s="16">
        <f>Demand_CWRS!C$14/31</f>
        <v>526.22795698924722</v>
      </c>
      <c r="N349" s="16">
        <f>Demand_CWRS!D$14/31</f>
        <v>0</v>
      </c>
      <c r="O349" s="16">
        <f>Demand_CWRS!E$14/31</f>
        <v>102.37076095947063</v>
      </c>
      <c r="P349" s="16">
        <f>Demand_CWRS!F$14/31</f>
        <v>219.86823562861866</v>
      </c>
      <c r="Q349" s="16">
        <f>Demand_CWRS!G$14/31</f>
        <v>95.176711124896599</v>
      </c>
      <c r="R349" s="16">
        <f>Demand_CWRS!H$14/31</f>
        <v>219.86823562861866</v>
      </c>
      <c r="S349" s="16">
        <f>Demand_CWRS!I$14/31</f>
        <v>219.86823562861866</v>
      </c>
      <c r="T349" s="16">
        <f>Demand_CWRS!J$14/31</f>
        <v>219.86823562861866</v>
      </c>
      <c r="U349" s="16">
        <f>Demand_CWRS!K$14/31</f>
        <v>219.86823562861866</v>
      </c>
      <c r="V349" s="16">
        <f t="shared" si="156"/>
        <v>-39093.621493972139</v>
      </c>
      <c r="W349" s="16">
        <f t="shared" si="157"/>
        <v>-158923.83035566556</v>
      </c>
      <c r="X349" s="16">
        <f t="shared" si="158"/>
        <v>0</v>
      </c>
      <c r="Y349" s="16">
        <f t="shared" si="159"/>
        <v>-30531.661578771058</v>
      </c>
      <c r="Z349" s="16">
        <f t="shared" si="160"/>
        <v>-69779.646684773237</v>
      </c>
      <c r="AA349" s="16">
        <f t="shared" si="161"/>
        <v>-37621.688969933755</v>
      </c>
      <c r="AB349" s="16">
        <f t="shared" si="162"/>
        <v>-74088.811460414334</v>
      </c>
      <c r="AC349" s="16">
        <f t="shared" si="163"/>
        <v>-68295.801204003961</v>
      </c>
      <c r="AD349" s="16">
        <f t="shared" si="164"/>
        <v>-68395.801204003961</v>
      </c>
      <c r="AE349" s="16">
        <f t="shared" si="165"/>
        <v>-68995.801204003961</v>
      </c>
      <c r="AF349" s="14">
        <f>IF([1]Sheet2!AJ348=999999,"NA",[1]Sheet2!AJ348)</f>
        <v>0</v>
      </c>
      <c r="AG349" s="14">
        <f>IF([1]Sheet2!AK348=999999,"NA",[1]Sheet2!AK348)</f>
        <v>0</v>
      </c>
      <c r="AH349" s="14" t="str">
        <f>IF([1]Sheet2!AL348=999999,"NA",[1]Sheet2!AL348)</f>
        <v>NA</v>
      </c>
      <c r="AI349" s="14">
        <f>IF([1]Sheet2!AM348=999999,"NA",[1]Sheet2!AM348)</f>
        <v>0</v>
      </c>
      <c r="AJ349" s="14">
        <f>IF([1]Sheet2!AN348=999999,"NA",[1]Sheet2!AN348)</f>
        <v>0</v>
      </c>
      <c r="AK349" s="14">
        <f>IF([1]Sheet2!AO348=999999,"NA",[1]Sheet2!AO348)</f>
        <v>0</v>
      </c>
      <c r="AL349" s="14">
        <f>IF([1]Sheet2!AP348=999999,"NA",[1]Sheet2!AP348)</f>
        <v>0</v>
      </c>
      <c r="AM349" s="14">
        <f>IF([1]Sheet2!AQ348=999999,"NA",[1]Sheet2!AQ348)</f>
        <v>0</v>
      </c>
      <c r="AN349" s="14">
        <f>IF([1]Sheet2!AR348=999999,"NA",[1]Sheet2!AR348)</f>
        <v>0</v>
      </c>
      <c r="AO349" s="14">
        <f>IF([1]Sheet2!AS348=999999,"NA",[1]Sheet2!AS348)</f>
        <v>0</v>
      </c>
      <c r="AP349" s="14">
        <f>[1]Sheet2!P348</f>
        <v>0</v>
      </c>
      <c r="AQ349" s="14">
        <f>[1]Sheet2!Q348</f>
        <v>0</v>
      </c>
      <c r="AR349" s="14">
        <f>[1]Sheet2!R348</f>
        <v>0</v>
      </c>
      <c r="AS349" s="14">
        <f>[1]Sheet2!S348</f>
        <v>0</v>
      </c>
      <c r="AT349" s="14">
        <f>[1]Sheet2!T348</f>
        <v>0</v>
      </c>
      <c r="AU349" s="14">
        <f>[1]Sheet2!U348</f>
        <v>0</v>
      </c>
      <c r="AV349" s="14">
        <f>[1]Sheet2!V348</f>
        <v>0</v>
      </c>
      <c r="AW349" s="14">
        <f>[1]Sheet2!W348</f>
        <v>0</v>
      </c>
      <c r="AX349" s="14">
        <f>[1]Sheet2!X348</f>
        <v>0</v>
      </c>
      <c r="AY349" s="14">
        <f>[1]Sheet2!Y348</f>
        <v>0</v>
      </c>
      <c r="AZ349" s="16">
        <f>Demand_LP!B$14/31</f>
        <v>868.56315911910667</v>
      </c>
      <c r="BA349" s="16">
        <f>Demand_LP!C$14/31</f>
        <v>608.40066170388752</v>
      </c>
      <c r="BB349" s="16">
        <f>Demand_LP!D$14/31</f>
        <v>251.20087262200158</v>
      </c>
      <c r="BC349" s="16">
        <f>Demand_LP!E$14/31</f>
        <v>807.45938378825463</v>
      </c>
      <c r="BD349" s="16">
        <f>Demand_LP!F$14/31</f>
        <v>539.59842069892466</v>
      </c>
      <c r="BE349" s="16">
        <f>Demand_LP!G$14/31</f>
        <v>539.59842069892466</v>
      </c>
      <c r="BF349" s="16">
        <f>Demand_LP!H$14/31</f>
        <v>608.40066170388752</v>
      </c>
      <c r="BG349" s="16">
        <f>Demand_LP!I$14/31</f>
        <v>539.59842069892466</v>
      </c>
      <c r="BH349" s="16">
        <f>Demand_LP!J$14/31</f>
        <v>539.59842069892466</v>
      </c>
      <c r="BI349" s="16">
        <f>Demand_LP!K$14/31</f>
        <v>539.59842069892466</v>
      </c>
      <c r="BJ349" s="16">
        <f t="shared" si="166"/>
        <v>-261502.07772650311</v>
      </c>
      <c r="BK349" s="16">
        <f t="shared" si="167"/>
        <v>-196398.58486352355</v>
      </c>
      <c r="BL349" s="16">
        <f t="shared" si="168"/>
        <v>-93208.161753515727</v>
      </c>
      <c r="BM349" s="16">
        <f t="shared" si="169"/>
        <v>-252107.91515333197</v>
      </c>
      <c r="BN349" s="16">
        <f t="shared" si="170"/>
        <v>-155205.12350822167</v>
      </c>
      <c r="BO349" s="16">
        <f t="shared" si="171"/>
        <v>-153662.80742659245</v>
      </c>
      <c r="BP349" s="16">
        <f t="shared" si="172"/>
        <v>-190756.16435070289</v>
      </c>
      <c r="BQ349" s="16">
        <f t="shared" si="173"/>
        <v>-149491.80742659248</v>
      </c>
      <c r="BR349" s="16">
        <f t="shared" si="174"/>
        <v>-151262.80742659251</v>
      </c>
      <c r="BS349" s="16">
        <f t="shared" si="175"/>
        <v>-151962.80742659251</v>
      </c>
      <c r="BT349" s="14">
        <f>IF([1]Sheet2!CB348=999999,"NA",[1]Sheet2!CB348)</f>
        <v>0</v>
      </c>
      <c r="BU349" s="14">
        <f>IF([1]Sheet2!CC348=999999,"NA",[1]Sheet2!CC348)</f>
        <v>0</v>
      </c>
      <c r="BV349" s="14">
        <f>IF([1]Sheet2!CD348=999999,"NA",[1]Sheet2!CD348)</f>
        <v>0</v>
      </c>
      <c r="BW349" s="14">
        <f>IF([1]Sheet2!CE348=999999,"NA",[1]Sheet2!CE348)</f>
        <v>0</v>
      </c>
      <c r="BX349" s="14">
        <f>IF([1]Sheet2!CF348=999999,"NA",[1]Sheet2!CF348)</f>
        <v>0</v>
      </c>
      <c r="BY349" s="14">
        <f>IF([1]Sheet2!CG348=999999,"NA",[1]Sheet2!CG348)</f>
        <v>0</v>
      </c>
      <c r="BZ349" s="14">
        <f>IF([1]Sheet2!CH348=999999,"NA",[1]Sheet2!CH348)</f>
        <v>0</v>
      </c>
      <c r="CA349" s="14">
        <f>IF([1]Sheet2!CI348=999999,"NA",[1]Sheet2!CI348)</f>
        <v>0</v>
      </c>
      <c r="CB349" s="14">
        <f>IF([1]Sheet2!CJ348=999999,"NA",[1]Sheet2!CJ348)</f>
        <v>0</v>
      </c>
      <c r="CC349" s="14">
        <f>IF([1]Sheet2!CK348=999999,"NA",[1]Sheet2!CK348)</f>
        <v>0</v>
      </c>
      <c r="CD349" s="14">
        <f>[1]Sheet2!BH348</f>
        <v>0</v>
      </c>
      <c r="CE349" s="14">
        <f>[1]Sheet2!BI348</f>
        <v>0</v>
      </c>
      <c r="CF349" s="14">
        <f>[1]Sheet2!BJ348</f>
        <v>0</v>
      </c>
      <c r="CG349" s="14">
        <f>[1]Sheet2!BK348</f>
        <v>0</v>
      </c>
      <c r="CH349" s="14">
        <f>[1]Sheet2!BL348</f>
        <v>0</v>
      </c>
      <c r="CI349" s="14">
        <f>[1]Sheet2!BM348</f>
        <v>0</v>
      </c>
      <c r="CJ349" s="14">
        <f>[1]Sheet2!BN348</f>
        <v>0</v>
      </c>
      <c r="CK349" s="14">
        <f>[1]Sheet2!BO348</f>
        <v>0</v>
      </c>
      <c r="CL349" s="14">
        <f>[1]Sheet2!BP348</f>
        <v>0</v>
      </c>
      <c r="CM349" s="14">
        <f>[1]Sheet2!BQ348</f>
        <v>0</v>
      </c>
      <c r="CN349" s="16">
        <f>Demand_SW!B$14/31</f>
        <v>139.57816377171216</v>
      </c>
      <c r="CO349" s="16">
        <f>Demand_SW!C$14/31</f>
        <v>0</v>
      </c>
      <c r="CP349" s="16">
        <f>Demand_SW!D$14/31</f>
        <v>0</v>
      </c>
      <c r="CQ349" s="16">
        <f>Demand_SW!E$14/31</f>
        <v>0</v>
      </c>
      <c r="CR349" s="16">
        <f>Demand_SW!F$14/31</f>
        <v>0</v>
      </c>
      <c r="CS349" s="16">
        <f>Demand_SW!G$14/31</f>
        <v>139.57816377171216</v>
      </c>
      <c r="CT349" s="16">
        <f>Demand_SW!H$14/31</f>
        <v>0</v>
      </c>
      <c r="CU349" s="16">
        <f>Demand_SW!I$14/31</f>
        <v>0</v>
      </c>
      <c r="CV349" s="16">
        <f>Demand_SW!J$14/31</f>
        <v>0</v>
      </c>
      <c r="CW349" s="16">
        <f>Demand_SW!K$14/31</f>
        <v>0</v>
      </c>
      <c r="CX349" s="16">
        <f t="shared" si="176"/>
        <v>-24376.476426799047</v>
      </c>
      <c r="CY349" s="16">
        <f t="shared" si="177"/>
        <v>76.923076923077133</v>
      </c>
      <c r="CZ349" s="16">
        <f t="shared" si="178"/>
        <v>0</v>
      </c>
      <c r="DA349" s="16">
        <f t="shared" si="179"/>
        <v>0</v>
      </c>
      <c r="DB349" s="16">
        <f t="shared" si="180"/>
        <v>0</v>
      </c>
      <c r="DC349" s="16">
        <f t="shared" si="181"/>
        <v>-25607.707196029816</v>
      </c>
      <c r="DD349" s="16">
        <f t="shared" si="182"/>
        <v>76.923076923077133</v>
      </c>
      <c r="DE349" s="16">
        <f t="shared" si="183"/>
        <v>0</v>
      </c>
      <c r="DF349" s="16">
        <f t="shared" si="184"/>
        <v>0</v>
      </c>
      <c r="DG349" s="16">
        <f t="shared" si="185"/>
        <v>0</v>
      </c>
      <c r="DH349" s="14">
        <f>IF([1]Sheet2!DS348=999999,"NA",[1]Sheet2!DS348)</f>
        <v>0</v>
      </c>
      <c r="DI349" s="14">
        <f>IF([1]Sheet2!DT348=999999,"NA",[1]Sheet2!DT348)</f>
        <v>19</v>
      </c>
      <c r="DJ349" s="14" t="str">
        <f>IF([1]Sheet2!DU348=999999,"NA",[1]Sheet2!DU348)</f>
        <v>NA</v>
      </c>
      <c r="DK349" s="14" t="str">
        <f>IF([1]Sheet2!DV348=999999,"NA",[1]Sheet2!DV348)</f>
        <v>NA</v>
      </c>
      <c r="DL349" s="14" t="str">
        <f>IF([1]Sheet2!DW348=999999,"NA",[1]Sheet2!DW348)</f>
        <v>NA</v>
      </c>
      <c r="DM349" s="14">
        <f>IF([1]Sheet2!DX348=999999,"NA",[1]Sheet2!DX348)</f>
        <v>0</v>
      </c>
      <c r="DN349" s="14">
        <f>IF([1]Sheet2!DY348=999999,"NA",[1]Sheet2!DY348)</f>
        <v>19</v>
      </c>
      <c r="DO349" s="14" t="str">
        <f>IF([1]Sheet2!DZ348=999999,"NA",[1]Sheet2!DZ348)</f>
        <v>NA</v>
      </c>
      <c r="DP349" s="14" t="str">
        <f>IF([1]Sheet2!EA348=999999,"NA",[1]Sheet2!EA348)</f>
        <v>NA</v>
      </c>
      <c r="DQ349" s="14" t="str">
        <f>IF([1]Sheet2!EB348=999999,"NA",[1]Sheet2!EB348)</f>
        <v>NA</v>
      </c>
      <c r="DR349" s="14">
        <f>[1]Sheet2!CY348</f>
        <v>0</v>
      </c>
      <c r="DS349" s="14">
        <f>[1]Sheet2!CZ348</f>
        <v>0</v>
      </c>
      <c r="DT349" s="14">
        <f>[1]Sheet2!DA348</f>
        <v>0</v>
      </c>
      <c r="DU349" s="14">
        <f>[1]Sheet2!DB348</f>
        <v>0</v>
      </c>
      <c r="DV349" s="14">
        <f>[1]Sheet2!DC348</f>
        <v>0</v>
      </c>
      <c r="DW349" s="14">
        <f>[1]Sheet2!DD348</f>
        <v>0</v>
      </c>
      <c r="DX349" s="14">
        <f>[1]Sheet2!DE348</f>
        <v>0</v>
      </c>
      <c r="DY349" s="14">
        <f>[1]Sheet2!DF348</f>
        <v>0</v>
      </c>
      <c r="DZ349" s="14">
        <f>[1]Sheet2!DG348</f>
        <v>0</v>
      </c>
      <c r="EA349" s="14">
        <f>[1]Sheet2!DH348</f>
        <v>0</v>
      </c>
      <c r="EB349" s="6">
        <f>[1]Sheet2!EC348</f>
        <v>0</v>
      </c>
      <c r="EC349" s="6">
        <f>[1]Sheet2!ED348</f>
        <v>0</v>
      </c>
      <c r="ED349" s="6">
        <f>[1]Sheet2!EE348</f>
        <v>0</v>
      </c>
      <c r="EE349" s="6">
        <f>[1]Sheet2!EF348</f>
        <v>0</v>
      </c>
      <c r="EF349" s="6">
        <f>[1]Sheet2!EG348</f>
        <v>0</v>
      </c>
      <c r="EG349" s="6">
        <f>[1]Sheet2!EH348</f>
        <v>0</v>
      </c>
      <c r="EH349" s="6">
        <f>[1]Sheet2!EI348</f>
        <v>0</v>
      </c>
      <c r="EI349" s="6">
        <f>[1]Sheet2!EJ348</f>
        <v>0</v>
      </c>
      <c r="EJ349" s="6">
        <f>[1]Sheet2!EK348</f>
        <v>0</v>
      </c>
      <c r="EK349" s="6">
        <f>[1]Sheet2!EL348</f>
        <v>0</v>
      </c>
      <c r="EL349" s="6" t="str">
        <f>[1]Sheet2!EM348</f>
        <v/>
      </c>
      <c r="EM349" s="6" t="str">
        <f>[1]Sheet2!EN348</f>
        <v/>
      </c>
      <c r="EN349" s="6" t="str">
        <f>[1]Sheet2!EO348</f>
        <v/>
      </c>
      <c r="EO349" s="6" t="str">
        <f>[1]Sheet2!EP348</f>
        <v/>
      </c>
      <c r="EP349" s="6" t="str">
        <f>[1]Sheet2!EQ348</f>
        <v/>
      </c>
      <c r="EQ349" s="6" t="str">
        <f>[1]Sheet2!ER348</f>
        <v/>
      </c>
      <c r="ER349" s="6" t="str">
        <f>[1]Sheet2!ES348</f>
        <v/>
      </c>
      <c r="ES349" s="6" t="str">
        <f>[1]Sheet2!ET348</f>
        <v/>
      </c>
      <c r="ET349" s="6" t="str">
        <f>[1]Sheet2!EU348</f>
        <v/>
      </c>
      <c r="EU349" s="6" t="str">
        <f>[1]Sheet2!EV348</f>
        <v/>
      </c>
      <c r="EV349" s="6" t="str">
        <f>[1]Sheet2!EW348</f>
        <v/>
      </c>
      <c r="EW349" s="6" t="str">
        <f>[1]Sheet2!EX348</f>
        <v/>
      </c>
      <c r="EX349" s="6" t="str">
        <f>[1]Sheet2!EY348</f>
        <v/>
      </c>
      <c r="EY349" s="6" t="str">
        <f>[1]Sheet2!EZ348</f>
        <v/>
      </c>
      <c r="EZ349" s="6" t="str">
        <f>[1]Sheet2!FA348</f>
        <v/>
      </c>
      <c r="FA349" s="6" t="str">
        <f>[1]Sheet2!FB348</f>
        <v/>
      </c>
      <c r="FB349" s="6" t="str">
        <f>[1]Sheet2!FC348</f>
        <v/>
      </c>
      <c r="FC349" s="6" t="str">
        <f>[1]Sheet2!FD348</f>
        <v/>
      </c>
      <c r="FD349" s="6" t="str">
        <f>[1]Sheet2!FE348</f>
        <v/>
      </c>
      <c r="FE349" s="6" t="str">
        <f>[1]Sheet2!FF348</f>
        <v/>
      </c>
      <c r="FF349" s="6" t="str">
        <f>[1]Sheet2!FG348</f>
        <v/>
      </c>
      <c r="FG349" s="6" t="str">
        <f>[1]Sheet2!FH348</f>
        <v/>
      </c>
      <c r="FH349" s="6" t="str">
        <f>[1]Sheet2!FI348</f>
        <v/>
      </c>
      <c r="FI349" s="6" t="str">
        <f>[1]Sheet2!FJ348</f>
        <v/>
      </c>
      <c r="FJ349" s="6" t="str">
        <f>[1]Sheet2!FK348</f>
        <v/>
      </c>
      <c r="FK349" s="6" t="str">
        <f>[1]Sheet2!FL348</f>
        <v/>
      </c>
      <c r="FL349" s="6" t="str">
        <f>[1]Sheet2!FM348</f>
        <v/>
      </c>
      <c r="FM349" s="6" t="str">
        <f>[1]Sheet2!FN348</f>
        <v/>
      </c>
      <c r="FN349" s="6" t="str">
        <f>[1]Sheet2!FO348</f>
        <v/>
      </c>
      <c r="FO349" s="6" t="str">
        <f>[1]Sheet2!FP348</f>
        <v/>
      </c>
    </row>
    <row r="350" spans="1:171" x14ac:dyDescent="0.25">
      <c r="A350" s="15">
        <v>43812</v>
      </c>
      <c r="B350" s="1"/>
      <c r="C350" s="1"/>
      <c r="D350" s="1"/>
      <c r="E350" s="14">
        <f>[1]Sheet2!N349</f>
        <v>0</v>
      </c>
      <c r="F350" s="14">
        <f>[1]Sheet2!BE349</f>
        <v>0</v>
      </c>
      <c r="G350" s="14">
        <f>[1]Sheet2!CW349</f>
        <v>0</v>
      </c>
      <c r="H350" s="1"/>
      <c r="I350" s="1"/>
      <c r="J350" s="1"/>
      <c r="K350" s="16"/>
      <c r="L350" s="16">
        <f>Demand_CWRS!B$14/31</f>
        <v>95.176711124896599</v>
      </c>
      <c r="M350" s="16">
        <f>Demand_CWRS!C$14/31</f>
        <v>526.22795698924722</v>
      </c>
      <c r="N350" s="16">
        <f>Demand_CWRS!D$14/31</f>
        <v>0</v>
      </c>
      <c r="O350" s="16">
        <f>Demand_CWRS!E$14/31</f>
        <v>102.37076095947063</v>
      </c>
      <c r="P350" s="16">
        <f>Demand_CWRS!F$14/31</f>
        <v>219.86823562861866</v>
      </c>
      <c r="Q350" s="16">
        <f>Demand_CWRS!G$14/31</f>
        <v>95.176711124896599</v>
      </c>
      <c r="R350" s="16">
        <f>Demand_CWRS!H$14/31</f>
        <v>219.86823562861866</v>
      </c>
      <c r="S350" s="16">
        <f>Demand_CWRS!I$14/31</f>
        <v>219.86823562861866</v>
      </c>
      <c r="T350" s="16">
        <f>Demand_CWRS!J$14/31</f>
        <v>219.86823562861866</v>
      </c>
      <c r="U350" s="16">
        <f>Demand_CWRS!K$14/31</f>
        <v>219.86823562861866</v>
      </c>
      <c r="V350" s="16">
        <f t="shared" si="156"/>
        <v>-39188.798205097039</v>
      </c>
      <c r="W350" s="16">
        <f t="shared" si="157"/>
        <v>-159450.05831265482</v>
      </c>
      <c r="X350" s="16">
        <f t="shared" si="158"/>
        <v>0</v>
      </c>
      <c r="Y350" s="16">
        <f t="shared" si="159"/>
        <v>-30634.032339730529</v>
      </c>
      <c r="Z350" s="16">
        <f t="shared" si="160"/>
        <v>-69999.514920401853</v>
      </c>
      <c r="AA350" s="16">
        <f t="shared" si="161"/>
        <v>-37716.865681058654</v>
      </c>
      <c r="AB350" s="16">
        <f t="shared" si="162"/>
        <v>-74308.679696042949</v>
      </c>
      <c r="AC350" s="16">
        <f t="shared" si="163"/>
        <v>-68515.669439632577</v>
      </c>
      <c r="AD350" s="16">
        <f t="shared" si="164"/>
        <v>-68615.669439632577</v>
      </c>
      <c r="AE350" s="16">
        <f t="shared" si="165"/>
        <v>-69215.669439632577</v>
      </c>
      <c r="AF350" s="14">
        <f>IF([1]Sheet2!AJ349=999999,"NA",[1]Sheet2!AJ349)</f>
        <v>0</v>
      </c>
      <c r="AG350" s="14">
        <f>IF([1]Sheet2!AK349=999999,"NA",[1]Sheet2!AK349)</f>
        <v>0</v>
      </c>
      <c r="AH350" s="14" t="str">
        <f>IF([1]Sheet2!AL349=999999,"NA",[1]Sheet2!AL349)</f>
        <v>NA</v>
      </c>
      <c r="AI350" s="14">
        <f>IF([1]Sheet2!AM349=999999,"NA",[1]Sheet2!AM349)</f>
        <v>0</v>
      </c>
      <c r="AJ350" s="14">
        <f>IF([1]Sheet2!AN349=999999,"NA",[1]Sheet2!AN349)</f>
        <v>0</v>
      </c>
      <c r="AK350" s="14">
        <f>IF([1]Sheet2!AO349=999999,"NA",[1]Sheet2!AO349)</f>
        <v>0</v>
      </c>
      <c r="AL350" s="14">
        <f>IF([1]Sheet2!AP349=999999,"NA",[1]Sheet2!AP349)</f>
        <v>0</v>
      </c>
      <c r="AM350" s="14">
        <f>IF([1]Sheet2!AQ349=999999,"NA",[1]Sheet2!AQ349)</f>
        <v>0</v>
      </c>
      <c r="AN350" s="14">
        <f>IF([1]Sheet2!AR349=999999,"NA",[1]Sheet2!AR349)</f>
        <v>0</v>
      </c>
      <c r="AO350" s="14">
        <f>IF([1]Sheet2!AS349=999999,"NA",[1]Sheet2!AS349)</f>
        <v>0</v>
      </c>
      <c r="AP350" s="14">
        <f>[1]Sheet2!P349</f>
        <v>0</v>
      </c>
      <c r="AQ350" s="14">
        <f>[1]Sheet2!Q349</f>
        <v>0</v>
      </c>
      <c r="AR350" s="14">
        <f>[1]Sheet2!R349</f>
        <v>0</v>
      </c>
      <c r="AS350" s="14">
        <f>[1]Sheet2!S349</f>
        <v>0</v>
      </c>
      <c r="AT350" s="14">
        <f>[1]Sheet2!T349</f>
        <v>0</v>
      </c>
      <c r="AU350" s="14">
        <f>[1]Sheet2!U349</f>
        <v>0</v>
      </c>
      <c r="AV350" s="14">
        <f>[1]Sheet2!V349</f>
        <v>0</v>
      </c>
      <c r="AW350" s="14">
        <f>[1]Sheet2!W349</f>
        <v>0</v>
      </c>
      <c r="AX350" s="14">
        <f>[1]Sheet2!X349</f>
        <v>0</v>
      </c>
      <c r="AY350" s="14">
        <f>[1]Sheet2!Y349</f>
        <v>0</v>
      </c>
      <c r="AZ350" s="16">
        <f>Demand_LP!B$14/31</f>
        <v>868.56315911910667</v>
      </c>
      <c r="BA350" s="16">
        <f>Demand_LP!C$14/31</f>
        <v>608.40066170388752</v>
      </c>
      <c r="BB350" s="16">
        <f>Demand_LP!D$14/31</f>
        <v>251.20087262200158</v>
      </c>
      <c r="BC350" s="16">
        <f>Demand_LP!E$14/31</f>
        <v>807.45938378825463</v>
      </c>
      <c r="BD350" s="16">
        <f>Demand_LP!F$14/31</f>
        <v>539.59842069892466</v>
      </c>
      <c r="BE350" s="16">
        <f>Demand_LP!G$14/31</f>
        <v>539.59842069892466</v>
      </c>
      <c r="BF350" s="16">
        <f>Demand_LP!H$14/31</f>
        <v>608.40066170388752</v>
      </c>
      <c r="BG350" s="16">
        <f>Demand_LP!I$14/31</f>
        <v>539.59842069892466</v>
      </c>
      <c r="BH350" s="16">
        <f>Demand_LP!J$14/31</f>
        <v>539.59842069892466</v>
      </c>
      <c r="BI350" s="16">
        <f>Demand_LP!K$14/31</f>
        <v>539.59842069892466</v>
      </c>
      <c r="BJ350" s="16">
        <f t="shared" si="166"/>
        <v>-262370.64088562224</v>
      </c>
      <c r="BK350" s="16">
        <f t="shared" si="167"/>
        <v>-197006.98552522744</v>
      </c>
      <c r="BL350" s="16">
        <f t="shared" si="168"/>
        <v>-93459.362626137736</v>
      </c>
      <c r="BM350" s="16">
        <f t="shared" si="169"/>
        <v>-252915.37453712022</v>
      </c>
      <c r="BN350" s="16">
        <f t="shared" si="170"/>
        <v>-155744.7219289206</v>
      </c>
      <c r="BO350" s="16">
        <f t="shared" si="171"/>
        <v>-154202.40584729137</v>
      </c>
      <c r="BP350" s="16">
        <f t="shared" si="172"/>
        <v>-191364.56501240679</v>
      </c>
      <c r="BQ350" s="16">
        <f t="shared" si="173"/>
        <v>-150031.4058472914</v>
      </c>
      <c r="BR350" s="16">
        <f t="shared" si="174"/>
        <v>-151802.40584729143</v>
      </c>
      <c r="BS350" s="16">
        <f t="shared" si="175"/>
        <v>-152502.40584729143</v>
      </c>
      <c r="BT350" s="14">
        <f>IF([1]Sheet2!CB349=999999,"NA",[1]Sheet2!CB349)</f>
        <v>0</v>
      </c>
      <c r="BU350" s="14">
        <f>IF([1]Sheet2!CC349=999999,"NA",[1]Sheet2!CC349)</f>
        <v>0</v>
      </c>
      <c r="BV350" s="14">
        <f>IF([1]Sheet2!CD349=999999,"NA",[1]Sheet2!CD349)</f>
        <v>0</v>
      </c>
      <c r="BW350" s="14">
        <f>IF([1]Sheet2!CE349=999999,"NA",[1]Sheet2!CE349)</f>
        <v>0</v>
      </c>
      <c r="BX350" s="14">
        <f>IF([1]Sheet2!CF349=999999,"NA",[1]Sheet2!CF349)</f>
        <v>0</v>
      </c>
      <c r="BY350" s="14">
        <f>IF([1]Sheet2!CG349=999999,"NA",[1]Sheet2!CG349)</f>
        <v>0</v>
      </c>
      <c r="BZ350" s="14">
        <f>IF([1]Sheet2!CH349=999999,"NA",[1]Sheet2!CH349)</f>
        <v>0</v>
      </c>
      <c r="CA350" s="14">
        <f>IF([1]Sheet2!CI349=999999,"NA",[1]Sheet2!CI349)</f>
        <v>0</v>
      </c>
      <c r="CB350" s="14">
        <f>IF([1]Sheet2!CJ349=999999,"NA",[1]Sheet2!CJ349)</f>
        <v>0</v>
      </c>
      <c r="CC350" s="14">
        <f>IF([1]Sheet2!CK349=999999,"NA",[1]Sheet2!CK349)</f>
        <v>0</v>
      </c>
      <c r="CD350" s="14">
        <f>[1]Sheet2!BH349</f>
        <v>0</v>
      </c>
      <c r="CE350" s="14">
        <f>[1]Sheet2!BI349</f>
        <v>0</v>
      </c>
      <c r="CF350" s="14">
        <f>[1]Sheet2!BJ349</f>
        <v>0</v>
      </c>
      <c r="CG350" s="14">
        <f>[1]Sheet2!BK349</f>
        <v>0</v>
      </c>
      <c r="CH350" s="14">
        <f>[1]Sheet2!BL349</f>
        <v>0</v>
      </c>
      <c r="CI350" s="14">
        <f>[1]Sheet2!BM349</f>
        <v>0</v>
      </c>
      <c r="CJ350" s="14">
        <f>[1]Sheet2!BN349</f>
        <v>0</v>
      </c>
      <c r="CK350" s="14">
        <f>[1]Sheet2!BO349</f>
        <v>0</v>
      </c>
      <c r="CL350" s="14">
        <f>[1]Sheet2!BP349</f>
        <v>0</v>
      </c>
      <c r="CM350" s="14">
        <f>[1]Sheet2!BQ349</f>
        <v>0</v>
      </c>
      <c r="CN350" s="16">
        <f>Demand_SW!B$14/31</f>
        <v>139.57816377171216</v>
      </c>
      <c r="CO350" s="16">
        <f>Demand_SW!C$14/31</f>
        <v>0</v>
      </c>
      <c r="CP350" s="16">
        <f>Demand_SW!D$14/31</f>
        <v>0</v>
      </c>
      <c r="CQ350" s="16">
        <f>Demand_SW!E$14/31</f>
        <v>0</v>
      </c>
      <c r="CR350" s="16">
        <f>Demand_SW!F$14/31</f>
        <v>0</v>
      </c>
      <c r="CS350" s="16">
        <f>Demand_SW!G$14/31</f>
        <v>139.57816377171216</v>
      </c>
      <c r="CT350" s="16">
        <f>Demand_SW!H$14/31</f>
        <v>0</v>
      </c>
      <c r="CU350" s="16">
        <f>Demand_SW!I$14/31</f>
        <v>0</v>
      </c>
      <c r="CV350" s="16">
        <f>Demand_SW!J$14/31</f>
        <v>0</v>
      </c>
      <c r="CW350" s="16">
        <f>Demand_SW!K$14/31</f>
        <v>0</v>
      </c>
      <c r="CX350" s="16">
        <f t="shared" si="176"/>
        <v>-24516.054590570759</v>
      </c>
      <c r="CY350" s="16">
        <f t="shared" si="177"/>
        <v>76.923076923077133</v>
      </c>
      <c r="CZ350" s="16">
        <f t="shared" si="178"/>
        <v>0</v>
      </c>
      <c r="DA350" s="16">
        <f t="shared" si="179"/>
        <v>0</v>
      </c>
      <c r="DB350" s="16">
        <f t="shared" si="180"/>
        <v>0</v>
      </c>
      <c r="DC350" s="16">
        <f t="shared" si="181"/>
        <v>-25747.285359801528</v>
      </c>
      <c r="DD350" s="16">
        <f t="shared" si="182"/>
        <v>76.923076923077133</v>
      </c>
      <c r="DE350" s="16">
        <f t="shared" si="183"/>
        <v>0</v>
      </c>
      <c r="DF350" s="16">
        <f t="shared" si="184"/>
        <v>0</v>
      </c>
      <c r="DG350" s="16">
        <f t="shared" si="185"/>
        <v>0</v>
      </c>
      <c r="DH350" s="14">
        <f>IF([1]Sheet2!DS349=999999,"NA",[1]Sheet2!DS349)</f>
        <v>0</v>
      </c>
      <c r="DI350" s="14">
        <f>IF([1]Sheet2!DT349=999999,"NA",[1]Sheet2!DT349)</f>
        <v>18</v>
      </c>
      <c r="DJ350" s="14" t="str">
        <f>IF([1]Sheet2!DU349=999999,"NA",[1]Sheet2!DU349)</f>
        <v>NA</v>
      </c>
      <c r="DK350" s="14" t="str">
        <f>IF([1]Sheet2!DV349=999999,"NA",[1]Sheet2!DV349)</f>
        <v>NA</v>
      </c>
      <c r="DL350" s="14" t="str">
        <f>IF([1]Sheet2!DW349=999999,"NA",[1]Sheet2!DW349)</f>
        <v>NA</v>
      </c>
      <c r="DM350" s="14">
        <f>IF([1]Sheet2!DX349=999999,"NA",[1]Sheet2!DX349)</f>
        <v>0</v>
      </c>
      <c r="DN350" s="14">
        <f>IF([1]Sheet2!DY349=999999,"NA",[1]Sheet2!DY349)</f>
        <v>18</v>
      </c>
      <c r="DO350" s="14" t="str">
        <f>IF([1]Sheet2!DZ349=999999,"NA",[1]Sheet2!DZ349)</f>
        <v>NA</v>
      </c>
      <c r="DP350" s="14" t="str">
        <f>IF([1]Sheet2!EA349=999999,"NA",[1]Sheet2!EA349)</f>
        <v>NA</v>
      </c>
      <c r="DQ350" s="14" t="str">
        <f>IF([1]Sheet2!EB349=999999,"NA",[1]Sheet2!EB349)</f>
        <v>NA</v>
      </c>
      <c r="DR350" s="14">
        <f>[1]Sheet2!CY349</f>
        <v>0</v>
      </c>
      <c r="DS350" s="14">
        <f>[1]Sheet2!CZ349</f>
        <v>0</v>
      </c>
      <c r="DT350" s="14">
        <f>[1]Sheet2!DA349</f>
        <v>0</v>
      </c>
      <c r="DU350" s="14">
        <f>[1]Sheet2!DB349</f>
        <v>0</v>
      </c>
      <c r="DV350" s="14">
        <f>[1]Sheet2!DC349</f>
        <v>0</v>
      </c>
      <c r="DW350" s="14">
        <f>[1]Sheet2!DD349</f>
        <v>0</v>
      </c>
      <c r="DX350" s="14">
        <f>[1]Sheet2!DE349</f>
        <v>0</v>
      </c>
      <c r="DY350" s="14">
        <f>[1]Sheet2!DF349</f>
        <v>0</v>
      </c>
      <c r="DZ350" s="14">
        <f>[1]Sheet2!DG349</f>
        <v>0</v>
      </c>
      <c r="EA350" s="14">
        <f>[1]Sheet2!DH349</f>
        <v>0</v>
      </c>
      <c r="EB350" s="6">
        <f>[1]Sheet2!EC349</f>
        <v>0</v>
      </c>
      <c r="EC350" s="6">
        <f>[1]Sheet2!ED349</f>
        <v>0</v>
      </c>
      <c r="ED350" s="6">
        <f>[1]Sheet2!EE349</f>
        <v>0</v>
      </c>
      <c r="EE350" s="6">
        <f>[1]Sheet2!EF349</f>
        <v>0</v>
      </c>
      <c r="EF350" s="6">
        <f>[1]Sheet2!EG349</f>
        <v>0</v>
      </c>
      <c r="EG350" s="6">
        <f>[1]Sheet2!EH349</f>
        <v>0</v>
      </c>
      <c r="EH350" s="6">
        <f>[1]Sheet2!EI349</f>
        <v>0</v>
      </c>
      <c r="EI350" s="6">
        <f>[1]Sheet2!EJ349</f>
        <v>0</v>
      </c>
      <c r="EJ350" s="6">
        <f>[1]Sheet2!EK349</f>
        <v>0</v>
      </c>
      <c r="EK350" s="6">
        <f>[1]Sheet2!EL349</f>
        <v>0</v>
      </c>
      <c r="EL350" s="6" t="str">
        <f>[1]Sheet2!EM349</f>
        <v/>
      </c>
      <c r="EM350" s="6" t="str">
        <f>[1]Sheet2!EN349</f>
        <v/>
      </c>
      <c r="EN350" s="6" t="str">
        <f>[1]Sheet2!EO349</f>
        <v/>
      </c>
      <c r="EO350" s="6" t="str">
        <f>[1]Sheet2!EP349</f>
        <v/>
      </c>
      <c r="EP350" s="6" t="str">
        <f>[1]Sheet2!EQ349</f>
        <v/>
      </c>
      <c r="EQ350" s="6" t="str">
        <f>[1]Sheet2!ER349</f>
        <v/>
      </c>
      <c r="ER350" s="6" t="str">
        <f>[1]Sheet2!ES349</f>
        <v/>
      </c>
      <c r="ES350" s="6" t="str">
        <f>[1]Sheet2!ET349</f>
        <v/>
      </c>
      <c r="ET350" s="6" t="str">
        <f>[1]Sheet2!EU349</f>
        <v/>
      </c>
      <c r="EU350" s="6" t="str">
        <f>[1]Sheet2!EV349</f>
        <v/>
      </c>
      <c r="EV350" s="6" t="str">
        <f>[1]Sheet2!EW349</f>
        <v/>
      </c>
      <c r="EW350" s="6" t="str">
        <f>[1]Sheet2!EX349</f>
        <v/>
      </c>
      <c r="EX350" s="6" t="str">
        <f>[1]Sheet2!EY349</f>
        <v/>
      </c>
      <c r="EY350" s="6" t="str">
        <f>[1]Sheet2!EZ349</f>
        <v/>
      </c>
      <c r="EZ350" s="6" t="str">
        <f>[1]Sheet2!FA349</f>
        <v/>
      </c>
      <c r="FA350" s="6" t="str">
        <f>[1]Sheet2!FB349</f>
        <v/>
      </c>
      <c r="FB350" s="6" t="str">
        <f>[1]Sheet2!FC349</f>
        <v/>
      </c>
      <c r="FC350" s="6" t="str">
        <f>[1]Sheet2!FD349</f>
        <v/>
      </c>
      <c r="FD350" s="6" t="str">
        <f>[1]Sheet2!FE349</f>
        <v/>
      </c>
      <c r="FE350" s="6" t="str">
        <f>[1]Sheet2!FF349</f>
        <v/>
      </c>
      <c r="FF350" s="6" t="str">
        <f>[1]Sheet2!FG349</f>
        <v/>
      </c>
      <c r="FG350" s="6" t="str">
        <f>[1]Sheet2!FH349</f>
        <v/>
      </c>
      <c r="FH350" s="6" t="str">
        <f>[1]Sheet2!FI349</f>
        <v/>
      </c>
      <c r="FI350" s="6" t="str">
        <f>[1]Sheet2!FJ349</f>
        <v/>
      </c>
      <c r="FJ350" s="6" t="str">
        <f>[1]Sheet2!FK349</f>
        <v/>
      </c>
      <c r="FK350" s="6" t="str">
        <f>[1]Sheet2!FL349</f>
        <v/>
      </c>
      <c r="FL350" s="6" t="str">
        <f>[1]Sheet2!FM349</f>
        <v/>
      </c>
      <c r="FM350" s="6" t="str">
        <f>[1]Sheet2!FN349</f>
        <v/>
      </c>
      <c r="FN350" s="6" t="str">
        <f>[1]Sheet2!FO349</f>
        <v/>
      </c>
      <c r="FO350" s="6" t="str">
        <f>[1]Sheet2!FP349</f>
        <v/>
      </c>
    </row>
    <row r="351" spans="1:171" x14ac:dyDescent="0.25">
      <c r="A351" s="15">
        <v>43813</v>
      </c>
      <c r="B351" s="1"/>
      <c r="C351" s="1"/>
      <c r="D351" s="1"/>
      <c r="E351" s="14">
        <f>[1]Sheet2!N350</f>
        <v>0</v>
      </c>
      <c r="F351" s="14">
        <f>[1]Sheet2!BE350</f>
        <v>0</v>
      </c>
      <c r="G351" s="14">
        <f>[1]Sheet2!CW350</f>
        <v>0</v>
      </c>
      <c r="H351" s="1"/>
      <c r="I351" s="1"/>
      <c r="J351" s="1"/>
      <c r="K351" s="16"/>
      <c r="L351" s="16">
        <f>Demand_CWRS!B$14/31</f>
        <v>95.176711124896599</v>
      </c>
      <c r="M351" s="16">
        <f>Demand_CWRS!C$14/31</f>
        <v>526.22795698924722</v>
      </c>
      <c r="N351" s="16">
        <f>Demand_CWRS!D$14/31</f>
        <v>0</v>
      </c>
      <c r="O351" s="16">
        <f>Demand_CWRS!E$14/31</f>
        <v>102.37076095947063</v>
      </c>
      <c r="P351" s="16">
        <f>Demand_CWRS!F$14/31</f>
        <v>219.86823562861866</v>
      </c>
      <c r="Q351" s="16">
        <f>Demand_CWRS!G$14/31</f>
        <v>95.176711124896599</v>
      </c>
      <c r="R351" s="16">
        <f>Demand_CWRS!H$14/31</f>
        <v>219.86823562861866</v>
      </c>
      <c r="S351" s="16">
        <f>Demand_CWRS!I$14/31</f>
        <v>219.86823562861866</v>
      </c>
      <c r="T351" s="16">
        <f>Demand_CWRS!J$14/31</f>
        <v>219.86823562861866</v>
      </c>
      <c r="U351" s="16">
        <f>Demand_CWRS!K$14/31</f>
        <v>219.86823562861866</v>
      </c>
      <c r="V351" s="16">
        <f t="shared" si="156"/>
        <v>-39283.974916221938</v>
      </c>
      <c r="W351" s="16">
        <f t="shared" si="157"/>
        <v>-159976.28626964407</v>
      </c>
      <c r="X351" s="16">
        <f t="shared" si="158"/>
        <v>0</v>
      </c>
      <c r="Y351" s="16">
        <f t="shared" si="159"/>
        <v>-30736.40310069</v>
      </c>
      <c r="Z351" s="16">
        <f t="shared" si="160"/>
        <v>-70219.383156030468</v>
      </c>
      <c r="AA351" s="16">
        <f t="shared" si="161"/>
        <v>-37812.042392183554</v>
      </c>
      <c r="AB351" s="16">
        <f t="shared" si="162"/>
        <v>-74528.547931671565</v>
      </c>
      <c r="AC351" s="16">
        <f t="shared" si="163"/>
        <v>-68735.537675261192</v>
      </c>
      <c r="AD351" s="16">
        <f t="shared" si="164"/>
        <v>-68835.537675261192</v>
      </c>
      <c r="AE351" s="16">
        <f t="shared" si="165"/>
        <v>-69435.537675261192</v>
      </c>
      <c r="AF351" s="14">
        <f>IF([1]Sheet2!AJ350=999999,"NA",[1]Sheet2!AJ350)</f>
        <v>0</v>
      </c>
      <c r="AG351" s="14">
        <f>IF([1]Sheet2!AK350=999999,"NA",[1]Sheet2!AK350)</f>
        <v>0</v>
      </c>
      <c r="AH351" s="14" t="str">
        <f>IF([1]Sheet2!AL350=999999,"NA",[1]Sheet2!AL350)</f>
        <v>NA</v>
      </c>
      <c r="AI351" s="14">
        <f>IF([1]Sheet2!AM350=999999,"NA",[1]Sheet2!AM350)</f>
        <v>0</v>
      </c>
      <c r="AJ351" s="14">
        <f>IF([1]Sheet2!AN350=999999,"NA",[1]Sheet2!AN350)</f>
        <v>0</v>
      </c>
      <c r="AK351" s="14">
        <f>IF([1]Sheet2!AO350=999999,"NA",[1]Sheet2!AO350)</f>
        <v>0</v>
      </c>
      <c r="AL351" s="14">
        <f>IF([1]Sheet2!AP350=999999,"NA",[1]Sheet2!AP350)</f>
        <v>0</v>
      </c>
      <c r="AM351" s="14">
        <f>IF([1]Sheet2!AQ350=999999,"NA",[1]Sheet2!AQ350)</f>
        <v>0</v>
      </c>
      <c r="AN351" s="14">
        <f>IF([1]Sheet2!AR350=999999,"NA",[1]Sheet2!AR350)</f>
        <v>0</v>
      </c>
      <c r="AO351" s="14">
        <f>IF([1]Sheet2!AS350=999999,"NA",[1]Sheet2!AS350)</f>
        <v>0</v>
      </c>
      <c r="AP351" s="14">
        <f>[1]Sheet2!P350</f>
        <v>0</v>
      </c>
      <c r="AQ351" s="14">
        <f>[1]Sheet2!Q350</f>
        <v>0</v>
      </c>
      <c r="AR351" s="14">
        <f>[1]Sheet2!R350</f>
        <v>0</v>
      </c>
      <c r="AS351" s="14">
        <f>[1]Sheet2!S350</f>
        <v>0</v>
      </c>
      <c r="AT351" s="14">
        <f>[1]Sheet2!T350</f>
        <v>0</v>
      </c>
      <c r="AU351" s="14">
        <f>[1]Sheet2!U350</f>
        <v>0</v>
      </c>
      <c r="AV351" s="14">
        <f>[1]Sheet2!V350</f>
        <v>0</v>
      </c>
      <c r="AW351" s="14">
        <f>[1]Sheet2!W350</f>
        <v>0</v>
      </c>
      <c r="AX351" s="14">
        <f>[1]Sheet2!X350</f>
        <v>0</v>
      </c>
      <c r="AY351" s="14">
        <f>[1]Sheet2!Y350</f>
        <v>0</v>
      </c>
      <c r="AZ351" s="16">
        <f>Demand_LP!B$14/31</f>
        <v>868.56315911910667</v>
      </c>
      <c r="BA351" s="16">
        <f>Demand_LP!C$14/31</f>
        <v>608.40066170388752</v>
      </c>
      <c r="BB351" s="16">
        <f>Demand_LP!D$14/31</f>
        <v>251.20087262200158</v>
      </c>
      <c r="BC351" s="16">
        <f>Demand_LP!E$14/31</f>
        <v>807.45938378825463</v>
      </c>
      <c r="BD351" s="16">
        <f>Demand_LP!F$14/31</f>
        <v>539.59842069892466</v>
      </c>
      <c r="BE351" s="16">
        <f>Demand_LP!G$14/31</f>
        <v>539.59842069892466</v>
      </c>
      <c r="BF351" s="16">
        <f>Demand_LP!H$14/31</f>
        <v>608.40066170388752</v>
      </c>
      <c r="BG351" s="16">
        <f>Demand_LP!I$14/31</f>
        <v>539.59842069892466</v>
      </c>
      <c r="BH351" s="16">
        <f>Demand_LP!J$14/31</f>
        <v>539.59842069892466</v>
      </c>
      <c r="BI351" s="16">
        <f>Demand_LP!K$14/31</f>
        <v>539.59842069892466</v>
      </c>
      <c r="BJ351" s="16">
        <f t="shared" si="166"/>
        <v>-263239.20404474135</v>
      </c>
      <c r="BK351" s="16">
        <f t="shared" si="167"/>
        <v>-197615.38618693134</v>
      </c>
      <c r="BL351" s="16">
        <f t="shared" si="168"/>
        <v>-93710.563498759744</v>
      </c>
      <c r="BM351" s="16">
        <f t="shared" si="169"/>
        <v>-253722.83392090848</v>
      </c>
      <c r="BN351" s="16">
        <f t="shared" si="170"/>
        <v>-156284.32034961952</v>
      </c>
      <c r="BO351" s="16">
        <f t="shared" si="171"/>
        <v>-154742.0042679903</v>
      </c>
      <c r="BP351" s="16">
        <f t="shared" si="172"/>
        <v>-191972.96567411069</v>
      </c>
      <c r="BQ351" s="16">
        <f t="shared" si="173"/>
        <v>-150571.00426799033</v>
      </c>
      <c r="BR351" s="16">
        <f t="shared" si="174"/>
        <v>-152342.00426799036</v>
      </c>
      <c r="BS351" s="16">
        <f t="shared" si="175"/>
        <v>-153042.00426799036</v>
      </c>
      <c r="BT351" s="14">
        <f>IF([1]Sheet2!CB350=999999,"NA",[1]Sheet2!CB350)</f>
        <v>0</v>
      </c>
      <c r="BU351" s="14">
        <f>IF([1]Sheet2!CC350=999999,"NA",[1]Sheet2!CC350)</f>
        <v>0</v>
      </c>
      <c r="BV351" s="14">
        <f>IF([1]Sheet2!CD350=999999,"NA",[1]Sheet2!CD350)</f>
        <v>0</v>
      </c>
      <c r="BW351" s="14">
        <f>IF([1]Sheet2!CE350=999999,"NA",[1]Sheet2!CE350)</f>
        <v>0</v>
      </c>
      <c r="BX351" s="14">
        <f>IF([1]Sheet2!CF350=999999,"NA",[1]Sheet2!CF350)</f>
        <v>0</v>
      </c>
      <c r="BY351" s="14">
        <f>IF([1]Sheet2!CG350=999999,"NA",[1]Sheet2!CG350)</f>
        <v>0</v>
      </c>
      <c r="BZ351" s="14">
        <f>IF([1]Sheet2!CH350=999999,"NA",[1]Sheet2!CH350)</f>
        <v>0</v>
      </c>
      <c r="CA351" s="14">
        <f>IF([1]Sheet2!CI350=999999,"NA",[1]Sheet2!CI350)</f>
        <v>0</v>
      </c>
      <c r="CB351" s="14">
        <f>IF([1]Sheet2!CJ350=999999,"NA",[1]Sheet2!CJ350)</f>
        <v>0</v>
      </c>
      <c r="CC351" s="14">
        <f>IF([1]Sheet2!CK350=999999,"NA",[1]Sheet2!CK350)</f>
        <v>0</v>
      </c>
      <c r="CD351" s="14">
        <f>[1]Sheet2!BH350</f>
        <v>0</v>
      </c>
      <c r="CE351" s="14">
        <f>[1]Sheet2!BI350</f>
        <v>0</v>
      </c>
      <c r="CF351" s="14">
        <f>[1]Sheet2!BJ350</f>
        <v>0</v>
      </c>
      <c r="CG351" s="14">
        <f>[1]Sheet2!BK350</f>
        <v>0</v>
      </c>
      <c r="CH351" s="14">
        <f>[1]Sheet2!BL350</f>
        <v>0</v>
      </c>
      <c r="CI351" s="14">
        <f>[1]Sheet2!BM350</f>
        <v>0</v>
      </c>
      <c r="CJ351" s="14">
        <f>[1]Sheet2!BN350</f>
        <v>0</v>
      </c>
      <c r="CK351" s="14">
        <f>[1]Sheet2!BO350</f>
        <v>0</v>
      </c>
      <c r="CL351" s="14">
        <f>[1]Sheet2!BP350</f>
        <v>0</v>
      </c>
      <c r="CM351" s="14">
        <f>[1]Sheet2!BQ350</f>
        <v>0</v>
      </c>
      <c r="CN351" s="16">
        <f>Demand_SW!B$14/31</f>
        <v>139.57816377171216</v>
      </c>
      <c r="CO351" s="16">
        <f>Demand_SW!C$14/31</f>
        <v>0</v>
      </c>
      <c r="CP351" s="16">
        <f>Demand_SW!D$14/31</f>
        <v>0</v>
      </c>
      <c r="CQ351" s="16">
        <f>Demand_SW!E$14/31</f>
        <v>0</v>
      </c>
      <c r="CR351" s="16">
        <f>Demand_SW!F$14/31</f>
        <v>0</v>
      </c>
      <c r="CS351" s="16">
        <f>Demand_SW!G$14/31</f>
        <v>139.57816377171216</v>
      </c>
      <c r="CT351" s="16">
        <f>Demand_SW!H$14/31</f>
        <v>0</v>
      </c>
      <c r="CU351" s="16">
        <f>Demand_SW!I$14/31</f>
        <v>0</v>
      </c>
      <c r="CV351" s="16">
        <f>Demand_SW!J$14/31</f>
        <v>0</v>
      </c>
      <c r="CW351" s="16">
        <f>Demand_SW!K$14/31</f>
        <v>0</v>
      </c>
      <c r="CX351" s="16">
        <f t="shared" si="176"/>
        <v>-24655.63275434247</v>
      </c>
      <c r="CY351" s="16">
        <f t="shared" si="177"/>
        <v>76.923076923077133</v>
      </c>
      <c r="CZ351" s="16">
        <f t="shared" si="178"/>
        <v>0</v>
      </c>
      <c r="DA351" s="16">
        <f t="shared" si="179"/>
        <v>0</v>
      </c>
      <c r="DB351" s="16">
        <f t="shared" si="180"/>
        <v>0</v>
      </c>
      <c r="DC351" s="16">
        <f t="shared" si="181"/>
        <v>-25886.86352357324</v>
      </c>
      <c r="DD351" s="16">
        <f t="shared" si="182"/>
        <v>76.923076923077133</v>
      </c>
      <c r="DE351" s="16">
        <f t="shared" si="183"/>
        <v>0</v>
      </c>
      <c r="DF351" s="16">
        <f t="shared" si="184"/>
        <v>0</v>
      </c>
      <c r="DG351" s="16">
        <f t="shared" si="185"/>
        <v>0</v>
      </c>
      <c r="DH351" s="14">
        <f>IF([1]Sheet2!DS350=999999,"NA",[1]Sheet2!DS350)</f>
        <v>0</v>
      </c>
      <c r="DI351" s="14">
        <f>IF([1]Sheet2!DT350=999999,"NA",[1]Sheet2!DT350)</f>
        <v>17</v>
      </c>
      <c r="DJ351" s="14" t="str">
        <f>IF([1]Sheet2!DU350=999999,"NA",[1]Sheet2!DU350)</f>
        <v>NA</v>
      </c>
      <c r="DK351" s="14" t="str">
        <f>IF([1]Sheet2!DV350=999999,"NA",[1]Sheet2!DV350)</f>
        <v>NA</v>
      </c>
      <c r="DL351" s="14" t="str">
        <f>IF([1]Sheet2!DW350=999999,"NA",[1]Sheet2!DW350)</f>
        <v>NA</v>
      </c>
      <c r="DM351" s="14">
        <f>IF([1]Sheet2!DX350=999999,"NA",[1]Sheet2!DX350)</f>
        <v>0</v>
      </c>
      <c r="DN351" s="14">
        <f>IF([1]Sheet2!DY350=999999,"NA",[1]Sheet2!DY350)</f>
        <v>17</v>
      </c>
      <c r="DO351" s="14" t="str">
        <f>IF([1]Sheet2!DZ350=999999,"NA",[1]Sheet2!DZ350)</f>
        <v>NA</v>
      </c>
      <c r="DP351" s="14" t="str">
        <f>IF([1]Sheet2!EA350=999999,"NA",[1]Sheet2!EA350)</f>
        <v>NA</v>
      </c>
      <c r="DQ351" s="14" t="str">
        <f>IF([1]Sheet2!EB350=999999,"NA",[1]Sheet2!EB350)</f>
        <v>NA</v>
      </c>
      <c r="DR351" s="14">
        <f>[1]Sheet2!CY350</f>
        <v>0</v>
      </c>
      <c r="DS351" s="14">
        <f>[1]Sheet2!CZ350</f>
        <v>0</v>
      </c>
      <c r="DT351" s="14">
        <f>[1]Sheet2!DA350</f>
        <v>0</v>
      </c>
      <c r="DU351" s="14">
        <f>[1]Sheet2!DB350</f>
        <v>0</v>
      </c>
      <c r="DV351" s="14">
        <f>[1]Sheet2!DC350</f>
        <v>0</v>
      </c>
      <c r="DW351" s="14">
        <f>[1]Sheet2!DD350</f>
        <v>0</v>
      </c>
      <c r="DX351" s="14">
        <f>[1]Sheet2!DE350</f>
        <v>0</v>
      </c>
      <c r="DY351" s="14">
        <f>[1]Sheet2!DF350</f>
        <v>0</v>
      </c>
      <c r="DZ351" s="14">
        <f>[1]Sheet2!DG350</f>
        <v>0</v>
      </c>
      <c r="EA351" s="14">
        <f>[1]Sheet2!DH350</f>
        <v>0</v>
      </c>
      <c r="EB351" s="6">
        <f>[1]Sheet2!EC350</f>
        <v>0</v>
      </c>
      <c r="EC351" s="6">
        <f>[1]Sheet2!ED350</f>
        <v>0</v>
      </c>
      <c r="ED351" s="6">
        <f>[1]Sheet2!EE350</f>
        <v>0</v>
      </c>
      <c r="EE351" s="6">
        <f>[1]Sheet2!EF350</f>
        <v>0</v>
      </c>
      <c r="EF351" s="6">
        <f>[1]Sheet2!EG350</f>
        <v>0</v>
      </c>
      <c r="EG351" s="6">
        <f>[1]Sheet2!EH350</f>
        <v>0</v>
      </c>
      <c r="EH351" s="6">
        <f>[1]Sheet2!EI350</f>
        <v>0</v>
      </c>
      <c r="EI351" s="6">
        <f>[1]Sheet2!EJ350</f>
        <v>0</v>
      </c>
      <c r="EJ351" s="6">
        <f>[1]Sheet2!EK350</f>
        <v>0</v>
      </c>
      <c r="EK351" s="6">
        <f>[1]Sheet2!EL350</f>
        <v>0</v>
      </c>
      <c r="EL351" s="6" t="str">
        <f>[1]Sheet2!EM350</f>
        <v/>
      </c>
      <c r="EM351" s="6" t="str">
        <f>[1]Sheet2!EN350</f>
        <v/>
      </c>
      <c r="EN351" s="6" t="str">
        <f>[1]Sheet2!EO350</f>
        <v/>
      </c>
      <c r="EO351" s="6" t="str">
        <f>[1]Sheet2!EP350</f>
        <v/>
      </c>
      <c r="EP351" s="6" t="str">
        <f>[1]Sheet2!EQ350</f>
        <v/>
      </c>
      <c r="EQ351" s="6" t="str">
        <f>[1]Sheet2!ER350</f>
        <v/>
      </c>
      <c r="ER351" s="6" t="str">
        <f>[1]Sheet2!ES350</f>
        <v/>
      </c>
      <c r="ES351" s="6" t="str">
        <f>[1]Sheet2!ET350</f>
        <v/>
      </c>
      <c r="ET351" s="6" t="str">
        <f>[1]Sheet2!EU350</f>
        <v/>
      </c>
      <c r="EU351" s="6" t="str">
        <f>[1]Sheet2!EV350</f>
        <v/>
      </c>
      <c r="EV351" s="6" t="str">
        <f>[1]Sheet2!EW350</f>
        <v/>
      </c>
      <c r="EW351" s="6" t="str">
        <f>[1]Sheet2!EX350</f>
        <v/>
      </c>
      <c r="EX351" s="6" t="str">
        <f>[1]Sheet2!EY350</f>
        <v/>
      </c>
      <c r="EY351" s="6" t="str">
        <f>[1]Sheet2!EZ350</f>
        <v/>
      </c>
      <c r="EZ351" s="6" t="str">
        <f>[1]Sheet2!FA350</f>
        <v/>
      </c>
      <c r="FA351" s="6" t="str">
        <f>[1]Sheet2!FB350</f>
        <v/>
      </c>
      <c r="FB351" s="6" t="str">
        <f>[1]Sheet2!FC350</f>
        <v/>
      </c>
      <c r="FC351" s="6" t="str">
        <f>[1]Sheet2!FD350</f>
        <v/>
      </c>
      <c r="FD351" s="6" t="str">
        <f>[1]Sheet2!FE350</f>
        <v/>
      </c>
      <c r="FE351" s="6" t="str">
        <f>[1]Sheet2!FF350</f>
        <v/>
      </c>
      <c r="FF351" s="6" t="str">
        <f>[1]Sheet2!FG350</f>
        <v/>
      </c>
      <c r="FG351" s="6" t="str">
        <f>[1]Sheet2!FH350</f>
        <v/>
      </c>
      <c r="FH351" s="6" t="str">
        <f>[1]Sheet2!FI350</f>
        <v/>
      </c>
      <c r="FI351" s="6" t="str">
        <f>[1]Sheet2!FJ350</f>
        <v/>
      </c>
      <c r="FJ351" s="6" t="str">
        <f>[1]Sheet2!FK350</f>
        <v/>
      </c>
      <c r="FK351" s="6" t="str">
        <f>[1]Sheet2!FL350</f>
        <v/>
      </c>
      <c r="FL351" s="6" t="str">
        <f>[1]Sheet2!FM350</f>
        <v/>
      </c>
      <c r="FM351" s="6" t="str">
        <f>[1]Sheet2!FN350</f>
        <v/>
      </c>
      <c r="FN351" s="6" t="str">
        <f>[1]Sheet2!FO350</f>
        <v/>
      </c>
      <c r="FO351" s="6" t="str">
        <f>[1]Sheet2!FP350</f>
        <v/>
      </c>
    </row>
    <row r="352" spans="1:171" x14ac:dyDescent="0.25">
      <c r="A352" s="15">
        <v>43814</v>
      </c>
      <c r="B352" s="1"/>
      <c r="C352" s="1"/>
      <c r="D352" s="1"/>
      <c r="E352" s="14">
        <f>[1]Sheet2!N351</f>
        <v>0</v>
      </c>
      <c r="F352" s="14">
        <f>[1]Sheet2!BE351</f>
        <v>0</v>
      </c>
      <c r="G352" s="14">
        <f>[1]Sheet2!CW351</f>
        <v>0</v>
      </c>
      <c r="H352" s="1"/>
      <c r="I352" s="1"/>
      <c r="J352" s="1"/>
      <c r="K352" s="16"/>
      <c r="L352" s="16">
        <f>Demand_CWRS!B$14/31</f>
        <v>95.176711124896599</v>
      </c>
      <c r="M352" s="16">
        <f>Demand_CWRS!C$14/31</f>
        <v>526.22795698924722</v>
      </c>
      <c r="N352" s="16">
        <f>Demand_CWRS!D$14/31</f>
        <v>0</v>
      </c>
      <c r="O352" s="16">
        <f>Demand_CWRS!E$14/31</f>
        <v>102.37076095947063</v>
      </c>
      <c r="P352" s="16">
        <f>Demand_CWRS!F$14/31</f>
        <v>219.86823562861866</v>
      </c>
      <c r="Q352" s="16">
        <f>Demand_CWRS!G$14/31</f>
        <v>95.176711124896599</v>
      </c>
      <c r="R352" s="16">
        <f>Demand_CWRS!H$14/31</f>
        <v>219.86823562861866</v>
      </c>
      <c r="S352" s="16">
        <f>Demand_CWRS!I$14/31</f>
        <v>219.86823562861866</v>
      </c>
      <c r="T352" s="16">
        <f>Demand_CWRS!J$14/31</f>
        <v>219.86823562861866</v>
      </c>
      <c r="U352" s="16">
        <f>Demand_CWRS!K$14/31</f>
        <v>219.86823562861866</v>
      </c>
      <c r="V352" s="16">
        <f t="shared" si="156"/>
        <v>-39379.151627346837</v>
      </c>
      <c r="W352" s="16">
        <f t="shared" si="157"/>
        <v>-160502.51422663333</v>
      </c>
      <c r="X352" s="16">
        <f t="shared" si="158"/>
        <v>0</v>
      </c>
      <c r="Y352" s="16">
        <f t="shared" si="159"/>
        <v>-30838.773861649472</v>
      </c>
      <c r="Z352" s="16">
        <f t="shared" si="160"/>
        <v>-70439.251391659083</v>
      </c>
      <c r="AA352" s="16">
        <f t="shared" si="161"/>
        <v>-37907.219103308453</v>
      </c>
      <c r="AB352" s="16">
        <f t="shared" si="162"/>
        <v>-74748.41616730018</v>
      </c>
      <c r="AC352" s="16">
        <f t="shared" si="163"/>
        <v>-68955.405910889807</v>
      </c>
      <c r="AD352" s="16">
        <f t="shared" si="164"/>
        <v>-69055.405910889807</v>
      </c>
      <c r="AE352" s="16">
        <f t="shared" si="165"/>
        <v>-69655.405910889807</v>
      </c>
      <c r="AF352" s="14">
        <f>IF([1]Sheet2!AJ351=999999,"NA",[1]Sheet2!AJ351)</f>
        <v>0</v>
      </c>
      <c r="AG352" s="14">
        <f>IF([1]Sheet2!AK351=999999,"NA",[1]Sheet2!AK351)</f>
        <v>0</v>
      </c>
      <c r="AH352" s="14" t="str">
        <f>IF([1]Sheet2!AL351=999999,"NA",[1]Sheet2!AL351)</f>
        <v>NA</v>
      </c>
      <c r="AI352" s="14">
        <f>IF([1]Sheet2!AM351=999999,"NA",[1]Sheet2!AM351)</f>
        <v>0</v>
      </c>
      <c r="AJ352" s="14">
        <f>IF([1]Sheet2!AN351=999999,"NA",[1]Sheet2!AN351)</f>
        <v>0</v>
      </c>
      <c r="AK352" s="14">
        <f>IF([1]Sheet2!AO351=999999,"NA",[1]Sheet2!AO351)</f>
        <v>0</v>
      </c>
      <c r="AL352" s="14">
        <f>IF([1]Sheet2!AP351=999999,"NA",[1]Sheet2!AP351)</f>
        <v>0</v>
      </c>
      <c r="AM352" s="14">
        <f>IF([1]Sheet2!AQ351=999999,"NA",[1]Sheet2!AQ351)</f>
        <v>0</v>
      </c>
      <c r="AN352" s="14">
        <f>IF([1]Sheet2!AR351=999999,"NA",[1]Sheet2!AR351)</f>
        <v>0</v>
      </c>
      <c r="AO352" s="14">
        <f>IF([1]Sheet2!AS351=999999,"NA",[1]Sheet2!AS351)</f>
        <v>0</v>
      </c>
      <c r="AP352" s="14">
        <f>[1]Sheet2!P351</f>
        <v>0</v>
      </c>
      <c r="AQ352" s="14">
        <f>[1]Sheet2!Q351</f>
        <v>0</v>
      </c>
      <c r="AR352" s="14">
        <f>[1]Sheet2!R351</f>
        <v>0</v>
      </c>
      <c r="AS352" s="14">
        <f>[1]Sheet2!S351</f>
        <v>0</v>
      </c>
      <c r="AT352" s="14">
        <f>[1]Sheet2!T351</f>
        <v>0</v>
      </c>
      <c r="AU352" s="14">
        <f>[1]Sheet2!U351</f>
        <v>0</v>
      </c>
      <c r="AV352" s="14">
        <f>[1]Sheet2!V351</f>
        <v>0</v>
      </c>
      <c r="AW352" s="14">
        <f>[1]Sheet2!W351</f>
        <v>0</v>
      </c>
      <c r="AX352" s="14">
        <f>[1]Sheet2!X351</f>
        <v>0</v>
      </c>
      <c r="AY352" s="14">
        <f>[1]Sheet2!Y351</f>
        <v>0</v>
      </c>
      <c r="AZ352" s="16">
        <f>Demand_LP!B$14/31</f>
        <v>868.56315911910667</v>
      </c>
      <c r="BA352" s="16">
        <f>Demand_LP!C$14/31</f>
        <v>608.40066170388752</v>
      </c>
      <c r="BB352" s="16">
        <f>Demand_LP!D$14/31</f>
        <v>251.20087262200158</v>
      </c>
      <c r="BC352" s="16">
        <f>Demand_LP!E$14/31</f>
        <v>807.45938378825463</v>
      </c>
      <c r="BD352" s="16">
        <f>Demand_LP!F$14/31</f>
        <v>539.59842069892466</v>
      </c>
      <c r="BE352" s="16">
        <f>Demand_LP!G$14/31</f>
        <v>539.59842069892466</v>
      </c>
      <c r="BF352" s="16">
        <f>Demand_LP!H$14/31</f>
        <v>608.40066170388752</v>
      </c>
      <c r="BG352" s="16">
        <f>Demand_LP!I$14/31</f>
        <v>539.59842069892466</v>
      </c>
      <c r="BH352" s="16">
        <f>Demand_LP!J$14/31</f>
        <v>539.59842069892466</v>
      </c>
      <c r="BI352" s="16">
        <f>Demand_LP!K$14/31</f>
        <v>539.59842069892466</v>
      </c>
      <c r="BJ352" s="16">
        <f t="shared" si="166"/>
        <v>-264107.76720386045</v>
      </c>
      <c r="BK352" s="16">
        <f t="shared" si="167"/>
        <v>-198223.78684863524</v>
      </c>
      <c r="BL352" s="16">
        <f t="shared" si="168"/>
        <v>-93961.764371381752</v>
      </c>
      <c r="BM352" s="16">
        <f t="shared" si="169"/>
        <v>-254530.29330469674</v>
      </c>
      <c r="BN352" s="16">
        <f t="shared" si="170"/>
        <v>-156823.91877031844</v>
      </c>
      <c r="BO352" s="16">
        <f t="shared" si="171"/>
        <v>-155281.60268868922</v>
      </c>
      <c r="BP352" s="16">
        <f t="shared" si="172"/>
        <v>-192581.36633581459</v>
      </c>
      <c r="BQ352" s="16">
        <f t="shared" si="173"/>
        <v>-151110.60268868925</v>
      </c>
      <c r="BR352" s="16">
        <f t="shared" si="174"/>
        <v>-152881.60268868928</v>
      </c>
      <c r="BS352" s="16">
        <f t="shared" si="175"/>
        <v>-153581.60268868928</v>
      </c>
      <c r="BT352" s="14">
        <f>IF([1]Sheet2!CB351=999999,"NA",[1]Sheet2!CB351)</f>
        <v>0</v>
      </c>
      <c r="BU352" s="14">
        <f>IF([1]Sheet2!CC351=999999,"NA",[1]Sheet2!CC351)</f>
        <v>0</v>
      </c>
      <c r="BV352" s="14">
        <f>IF([1]Sheet2!CD351=999999,"NA",[1]Sheet2!CD351)</f>
        <v>0</v>
      </c>
      <c r="BW352" s="14">
        <f>IF([1]Sheet2!CE351=999999,"NA",[1]Sheet2!CE351)</f>
        <v>0</v>
      </c>
      <c r="BX352" s="14">
        <f>IF([1]Sheet2!CF351=999999,"NA",[1]Sheet2!CF351)</f>
        <v>0</v>
      </c>
      <c r="BY352" s="14">
        <f>IF([1]Sheet2!CG351=999999,"NA",[1]Sheet2!CG351)</f>
        <v>0</v>
      </c>
      <c r="BZ352" s="14">
        <f>IF([1]Sheet2!CH351=999999,"NA",[1]Sheet2!CH351)</f>
        <v>0</v>
      </c>
      <c r="CA352" s="14">
        <f>IF([1]Sheet2!CI351=999999,"NA",[1]Sheet2!CI351)</f>
        <v>0</v>
      </c>
      <c r="CB352" s="14">
        <f>IF([1]Sheet2!CJ351=999999,"NA",[1]Sheet2!CJ351)</f>
        <v>0</v>
      </c>
      <c r="CC352" s="14">
        <f>IF([1]Sheet2!CK351=999999,"NA",[1]Sheet2!CK351)</f>
        <v>0</v>
      </c>
      <c r="CD352" s="14">
        <f>[1]Sheet2!BH351</f>
        <v>0</v>
      </c>
      <c r="CE352" s="14">
        <f>[1]Sheet2!BI351</f>
        <v>0</v>
      </c>
      <c r="CF352" s="14">
        <f>[1]Sheet2!BJ351</f>
        <v>0</v>
      </c>
      <c r="CG352" s="14">
        <f>[1]Sheet2!BK351</f>
        <v>0</v>
      </c>
      <c r="CH352" s="14">
        <f>[1]Sheet2!BL351</f>
        <v>0</v>
      </c>
      <c r="CI352" s="14">
        <f>[1]Sheet2!BM351</f>
        <v>0</v>
      </c>
      <c r="CJ352" s="14">
        <f>[1]Sheet2!BN351</f>
        <v>0</v>
      </c>
      <c r="CK352" s="14">
        <f>[1]Sheet2!BO351</f>
        <v>0</v>
      </c>
      <c r="CL352" s="14">
        <f>[1]Sheet2!BP351</f>
        <v>0</v>
      </c>
      <c r="CM352" s="14">
        <f>[1]Sheet2!BQ351</f>
        <v>0</v>
      </c>
      <c r="CN352" s="16">
        <f>Demand_SW!B$14/31</f>
        <v>139.57816377171216</v>
      </c>
      <c r="CO352" s="16">
        <f>Demand_SW!C$14/31</f>
        <v>0</v>
      </c>
      <c r="CP352" s="16">
        <f>Demand_SW!D$14/31</f>
        <v>0</v>
      </c>
      <c r="CQ352" s="16">
        <f>Demand_SW!E$14/31</f>
        <v>0</v>
      </c>
      <c r="CR352" s="16">
        <f>Demand_SW!F$14/31</f>
        <v>0</v>
      </c>
      <c r="CS352" s="16">
        <f>Demand_SW!G$14/31</f>
        <v>139.57816377171216</v>
      </c>
      <c r="CT352" s="16">
        <f>Demand_SW!H$14/31</f>
        <v>0</v>
      </c>
      <c r="CU352" s="16">
        <f>Demand_SW!I$14/31</f>
        <v>0</v>
      </c>
      <c r="CV352" s="16">
        <f>Demand_SW!J$14/31</f>
        <v>0</v>
      </c>
      <c r="CW352" s="16">
        <f>Demand_SW!K$14/31</f>
        <v>0</v>
      </c>
      <c r="CX352" s="16">
        <f t="shared" si="176"/>
        <v>-24795.210918114182</v>
      </c>
      <c r="CY352" s="16">
        <f t="shared" si="177"/>
        <v>76.923076923077133</v>
      </c>
      <c r="CZ352" s="16">
        <f t="shared" si="178"/>
        <v>0</v>
      </c>
      <c r="DA352" s="16">
        <f t="shared" si="179"/>
        <v>0</v>
      </c>
      <c r="DB352" s="16">
        <f t="shared" si="180"/>
        <v>0</v>
      </c>
      <c r="DC352" s="16">
        <f t="shared" si="181"/>
        <v>-26026.441687344952</v>
      </c>
      <c r="DD352" s="16">
        <f t="shared" si="182"/>
        <v>76.923076923077133</v>
      </c>
      <c r="DE352" s="16">
        <f t="shared" si="183"/>
        <v>0</v>
      </c>
      <c r="DF352" s="16">
        <f t="shared" si="184"/>
        <v>0</v>
      </c>
      <c r="DG352" s="16">
        <f t="shared" si="185"/>
        <v>0</v>
      </c>
      <c r="DH352" s="14">
        <f>IF([1]Sheet2!DS351=999999,"NA",[1]Sheet2!DS351)</f>
        <v>0</v>
      </c>
      <c r="DI352" s="14">
        <f>IF([1]Sheet2!DT351=999999,"NA",[1]Sheet2!DT351)</f>
        <v>16</v>
      </c>
      <c r="DJ352" s="14" t="str">
        <f>IF([1]Sheet2!DU351=999999,"NA",[1]Sheet2!DU351)</f>
        <v>NA</v>
      </c>
      <c r="DK352" s="14" t="str">
        <f>IF([1]Sheet2!DV351=999999,"NA",[1]Sheet2!DV351)</f>
        <v>NA</v>
      </c>
      <c r="DL352" s="14" t="str">
        <f>IF([1]Sheet2!DW351=999999,"NA",[1]Sheet2!DW351)</f>
        <v>NA</v>
      </c>
      <c r="DM352" s="14">
        <f>IF([1]Sheet2!DX351=999999,"NA",[1]Sheet2!DX351)</f>
        <v>0</v>
      </c>
      <c r="DN352" s="14">
        <f>IF([1]Sheet2!DY351=999999,"NA",[1]Sheet2!DY351)</f>
        <v>16</v>
      </c>
      <c r="DO352" s="14" t="str">
        <f>IF([1]Sheet2!DZ351=999999,"NA",[1]Sheet2!DZ351)</f>
        <v>NA</v>
      </c>
      <c r="DP352" s="14" t="str">
        <f>IF([1]Sheet2!EA351=999999,"NA",[1]Sheet2!EA351)</f>
        <v>NA</v>
      </c>
      <c r="DQ352" s="14" t="str">
        <f>IF([1]Sheet2!EB351=999999,"NA",[1]Sheet2!EB351)</f>
        <v>NA</v>
      </c>
      <c r="DR352" s="14">
        <f>[1]Sheet2!CY351</f>
        <v>0</v>
      </c>
      <c r="DS352" s="14">
        <f>[1]Sheet2!CZ351</f>
        <v>0</v>
      </c>
      <c r="DT352" s="14">
        <f>[1]Sheet2!DA351</f>
        <v>0</v>
      </c>
      <c r="DU352" s="14">
        <f>[1]Sheet2!DB351</f>
        <v>0</v>
      </c>
      <c r="DV352" s="14">
        <f>[1]Sheet2!DC351</f>
        <v>0</v>
      </c>
      <c r="DW352" s="14">
        <f>[1]Sheet2!DD351</f>
        <v>0</v>
      </c>
      <c r="DX352" s="14">
        <f>[1]Sheet2!DE351</f>
        <v>0</v>
      </c>
      <c r="DY352" s="14">
        <f>[1]Sheet2!DF351</f>
        <v>0</v>
      </c>
      <c r="DZ352" s="14">
        <f>[1]Sheet2!DG351</f>
        <v>0</v>
      </c>
      <c r="EA352" s="14">
        <f>[1]Sheet2!DH351</f>
        <v>0</v>
      </c>
      <c r="EB352" s="6">
        <f>[1]Sheet2!EC351</f>
        <v>0</v>
      </c>
      <c r="EC352" s="6">
        <f>[1]Sheet2!ED351</f>
        <v>0</v>
      </c>
      <c r="ED352" s="6">
        <f>[1]Sheet2!EE351</f>
        <v>0</v>
      </c>
      <c r="EE352" s="6">
        <f>[1]Sheet2!EF351</f>
        <v>0</v>
      </c>
      <c r="EF352" s="6">
        <f>[1]Sheet2!EG351</f>
        <v>0</v>
      </c>
      <c r="EG352" s="6">
        <f>[1]Sheet2!EH351</f>
        <v>0</v>
      </c>
      <c r="EH352" s="6">
        <f>[1]Sheet2!EI351</f>
        <v>0</v>
      </c>
      <c r="EI352" s="6">
        <f>[1]Sheet2!EJ351</f>
        <v>0</v>
      </c>
      <c r="EJ352" s="6">
        <f>[1]Sheet2!EK351</f>
        <v>0</v>
      </c>
      <c r="EK352" s="6">
        <f>[1]Sheet2!EL351</f>
        <v>0</v>
      </c>
      <c r="EL352" s="6" t="str">
        <f>[1]Sheet2!EM351</f>
        <v/>
      </c>
      <c r="EM352" s="6" t="str">
        <f>[1]Sheet2!EN351</f>
        <v/>
      </c>
      <c r="EN352" s="6" t="str">
        <f>[1]Sheet2!EO351</f>
        <v/>
      </c>
      <c r="EO352" s="6" t="str">
        <f>[1]Sheet2!EP351</f>
        <v/>
      </c>
      <c r="EP352" s="6" t="str">
        <f>[1]Sheet2!EQ351</f>
        <v/>
      </c>
      <c r="EQ352" s="6" t="str">
        <f>[1]Sheet2!ER351</f>
        <v/>
      </c>
      <c r="ER352" s="6" t="str">
        <f>[1]Sheet2!ES351</f>
        <v/>
      </c>
      <c r="ES352" s="6" t="str">
        <f>[1]Sheet2!ET351</f>
        <v/>
      </c>
      <c r="ET352" s="6" t="str">
        <f>[1]Sheet2!EU351</f>
        <v/>
      </c>
      <c r="EU352" s="6" t="str">
        <f>[1]Sheet2!EV351</f>
        <v/>
      </c>
      <c r="EV352" s="6" t="str">
        <f>[1]Sheet2!EW351</f>
        <v/>
      </c>
      <c r="EW352" s="6" t="str">
        <f>[1]Sheet2!EX351</f>
        <v/>
      </c>
      <c r="EX352" s="6" t="str">
        <f>[1]Sheet2!EY351</f>
        <v/>
      </c>
      <c r="EY352" s="6" t="str">
        <f>[1]Sheet2!EZ351</f>
        <v/>
      </c>
      <c r="EZ352" s="6" t="str">
        <f>[1]Sheet2!FA351</f>
        <v/>
      </c>
      <c r="FA352" s="6" t="str">
        <f>[1]Sheet2!FB351</f>
        <v/>
      </c>
      <c r="FB352" s="6" t="str">
        <f>[1]Sheet2!FC351</f>
        <v/>
      </c>
      <c r="FC352" s="6" t="str">
        <f>[1]Sheet2!FD351</f>
        <v/>
      </c>
      <c r="FD352" s="6" t="str">
        <f>[1]Sheet2!FE351</f>
        <v/>
      </c>
      <c r="FE352" s="6" t="str">
        <f>[1]Sheet2!FF351</f>
        <v/>
      </c>
      <c r="FF352" s="6" t="str">
        <f>[1]Sheet2!FG351</f>
        <v/>
      </c>
      <c r="FG352" s="6" t="str">
        <f>[1]Sheet2!FH351</f>
        <v/>
      </c>
      <c r="FH352" s="6" t="str">
        <f>[1]Sheet2!FI351</f>
        <v/>
      </c>
      <c r="FI352" s="6" t="str">
        <f>[1]Sheet2!FJ351</f>
        <v/>
      </c>
      <c r="FJ352" s="6" t="str">
        <f>[1]Sheet2!FK351</f>
        <v/>
      </c>
      <c r="FK352" s="6" t="str">
        <f>[1]Sheet2!FL351</f>
        <v/>
      </c>
      <c r="FL352" s="6" t="str">
        <f>[1]Sheet2!FM351</f>
        <v/>
      </c>
      <c r="FM352" s="6" t="str">
        <f>[1]Sheet2!FN351</f>
        <v/>
      </c>
      <c r="FN352" s="6" t="str">
        <f>[1]Sheet2!FO351</f>
        <v/>
      </c>
      <c r="FO352" s="6" t="str">
        <f>[1]Sheet2!FP351</f>
        <v/>
      </c>
    </row>
    <row r="353" spans="1:171" x14ac:dyDescent="0.25">
      <c r="A353" s="15">
        <v>43815</v>
      </c>
      <c r="B353" s="1"/>
      <c r="C353" s="1"/>
      <c r="D353" s="1"/>
      <c r="E353" s="14">
        <f>[1]Sheet2!N352</f>
        <v>0</v>
      </c>
      <c r="F353" s="14">
        <f>[1]Sheet2!BE352</f>
        <v>0</v>
      </c>
      <c r="G353" s="14">
        <f>[1]Sheet2!CW352</f>
        <v>0</v>
      </c>
      <c r="H353" s="1"/>
      <c r="I353" s="1"/>
      <c r="J353" s="1"/>
      <c r="K353" s="16"/>
      <c r="L353" s="16">
        <f>Demand_CWRS!B$14/31</f>
        <v>95.176711124896599</v>
      </c>
      <c r="M353" s="16">
        <f>Demand_CWRS!C$14/31</f>
        <v>526.22795698924722</v>
      </c>
      <c r="N353" s="16">
        <f>Demand_CWRS!D$14/31</f>
        <v>0</v>
      </c>
      <c r="O353" s="16">
        <f>Demand_CWRS!E$14/31</f>
        <v>102.37076095947063</v>
      </c>
      <c r="P353" s="16">
        <f>Demand_CWRS!F$14/31</f>
        <v>219.86823562861866</v>
      </c>
      <c r="Q353" s="16">
        <f>Demand_CWRS!G$14/31</f>
        <v>95.176711124896599</v>
      </c>
      <c r="R353" s="16">
        <f>Demand_CWRS!H$14/31</f>
        <v>219.86823562861866</v>
      </c>
      <c r="S353" s="16">
        <f>Demand_CWRS!I$14/31</f>
        <v>219.86823562861866</v>
      </c>
      <c r="T353" s="16">
        <f>Demand_CWRS!J$14/31</f>
        <v>219.86823562861866</v>
      </c>
      <c r="U353" s="16">
        <f>Demand_CWRS!K$14/31</f>
        <v>219.86823562861866</v>
      </c>
      <c r="V353" s="16">
        <f t="shared" si="156"/>
        <v>-39474.328338471736</v>
      </c>
      <c r="W353" s="16">
        <f t="shared" si="157"/>
        <v>-161028.74218362258</v>
      </c>
      <c r="X353" s="16">
        <f t="shared" si="158"/>
        <v>0</v>
      </c>
      <c r="Y353" s="16">
        <f t="shared" si="159"/>
        <v>-30941.144622608943</v>
      </c>
      <c r="Z353" s="16">
        <f t="shared" si="160"/>
        <v>-70659.119627287699</v>
      </c>
      <c r="AA353" s="16">
        <f t="shared" si="161"/>
        <v>-38002.395814433352</v>
      </c>
      <c r="AB353" s="16">
        <f t="shared" si="162"/>
        <v>-74968.284402928795</v>
      </c>
      <c r="AC353" s="16">
        <f t="shared" si="163"/>
        <v>-69175.274146518423</v>
      </c>
      <c r="AD353" s="16">
        <f t="shared" si="164"/>
        <v>-69275.274146518423</v>
      </c>
      <c r="AE353" s="16">
        <f t="shared" si="165"/>
        <v>-69875.274146518423</v>
      </c>
      <c r="AF353" s="14">
        <f>IF([1]Sheet2!AJ352=999999,"NA",[1]Sheet2!AJ352)</f>
        <v>0</v>
      </c>
      <c r="AG353" s="14">
        <f>IF([1]Sheet2!AK352=999999,"NA",[1]Sheet2!AK352)</f>
        <v>0</v>
      </c>
      <c r="AH353" s="14" t="str">
        <f>IF([1]Sheet2!AL352=999999,"NA",[1]Sheet2!AL352)</f>
        <v>NA</v>
      </c>
      <c r="AI353" s="14">
        <f>IF([1]Sheet2!AM352=999999,"NA",[1]Sheet2!AM352)</f>
        <v>0</v>
      </c>
      <c r="AJ353" s="14">
        <f>IF([1]Sheet2!AN352=999999,"NA",[1]Sheet2!AN352)</f>
        <v>0</v>
      </c>
      <c r="AK353" s="14">
        <f>IF([1]Sheet2!AO352=999999,"NA",[1]Sheet2!AO352)</f>
        <v>0</v>
      </c>
      <c r="AL353" s="14">
        <f>IF([1]Sheet2!AP352=999999,"NA",[1]Sheet2!AP352)</f>
        <v>0</v>
      </c>
      <c r="AM353" s="14">
        <f>IF([1]Sheet2!AQ352=999999,"NA",[1]Sheet2!AQ352)</f>
        <v>0</v>
      </c>
      <c r="AN353" s="14">
        <f>IF([1]Sheet2!AR352=999999,"NA",[1]Sheet2!AR352)</f>
        <v>0</v>
      </c>
      <c r="AO353" s="14">
        <f>IF([1]Sheet2!AS352=999999,"NA",[1]Sheet2!AS352)</f>
        <v>0</v>
      </c>
      <c r="AP353" s="14">
        <f>[1]Sheet2!P352</f>
        <v>0</v>
      </c>
      <c r="AQ353" s="14">
        <f>[1]Sheet2!Q352</f>
        <v>0</v>
      </c>
      <c r="AR353" s="14">
        <f>[1]Sheet2!R352</f>
        <v>0</v>
      </c>
      <c r="AS353" s="14">
        <f>[1]Sheet2!S352</f>
        <v>0</v>
      </c>
      <c r="AT353" s="14">
        <f>[1]Sheet2!T352</f>
        <v>0</v>
      </c>
      <c r="AU353" s="14">
        <f>[1]Sheet2!U352</f>
        <v>0</v>
      </c>
      <c r="AV353" s="14">
        <f>[1]Sheet2!V352</f>
        <v>0</v>
      </c>
      <c r="AW353" s="14">
        <f>[1]Sheet2!W352</f>
        <v>0</v>
      </c>
      <c r="AX353" s="14">
        <f>[1]Sheet2!X352</f>
        <v>0</v>
      </c>
      <c r="AY353" s="14">
        <f>[1]Sheet2!Y352</f>
        <v>0</v>
      </c>
      <c r="AZ353" s="16">
        <f>Demand_LP!B$14/31</f>
        <v>868.56315911910667</v>
      </c>
      <c r="BA353" s="16">
        <f>Demand_LP!C$14/31</f>
        <v>608.40066170388752</v>
      </c>
      <c r="BB353" s="16">
        <f>Demand_LP!D$14/31</f>
        <v>251.20087262200158</v>
      </c>
      <c r="BC353" s="16">
        <f>Demand_LP!E$14/31</f>
        <v>807.45938378825463</v>
      </c>
      <c r="BD353" s="16">
        <f>Demand_LP!F$14/31</f>
        <v>539.59842069892466</v>
      </c>
      <c r="BE353" s="16">
        <f>Demand_LP!G$14/31</f>
        <v>539.59842069892466</v>
      </c>
      <c r="BF353" s="16">
        <f>Demand_LP!H$14/31</f>
        <v>608.40066170388752</v>
      </c>
      <c r="BG353" s="16">
        <f>Demand_LP!I$14/31</f>
        <v>539.59842069892466</v>
      </c>
      <c r="BH353" s="16">
        <f>Demand_LP!J$14/31</f>
        <v>539.59842069892466</v>
      </c>
      <c r="BI353" s="16">
        <f>Demand_LP!K$14/31</f>
        <v>539.59842069892466</v>
      </c>
      <c r="BJ353" s="16">
        <f t="shared" si="166"/>
        <v>-264976.33036297956</v>
      </c>
      <c r="BK353" s="16">
        <f t="shared" si="167"/>
        <v>-198832.18751033914</v>
      </c>
      <c r="BL353" s="16">
        <f t="shared" si="168"/>
        <v>-94212.965244003761</v>
      </c>
      <c r="BM353" s="16">
        <f t="shared" si="169"/>
        <v>-255337.75268848499</v>
      </c>
      <c r="BN353" s="16">
        <f t="shared" si="170"/>
        <v>-157363.51719101737</v>
      </c>
      <c r="BO353" s="16">
        <f t="shared" si="171"/>
        <v>-155821.20110938814</v>
      </c>
      <c r="BP353" s="16">
        <f t="shared" si="172"/>
        <v>-193189.76699751848</v>
      </c>
      <c r="BQ353" s="16">
        <f t="shared" si="173"/>
        <v>-151650.20110938817</v>
      </c>
      <c r="BR353" s="16">
        <f t="shared" si="174"/>
        <v>-153421.2011093882</v>
      </c>
      <c r="BS353" s="16">
        <f t="shared" si="175"/>
        <v>-154121.2011093882</v>
      </c>
      <c r="BT353" s="14">
        <f>IF([1]Sheet2!CB352=999999,"NA",[1]Sheet2!CB352)</f>
        <v>0</v>
      </c>
      <c r="BU353" s="14">
        <f>IF([1]Sheet2!CC352=999999,"NA",[1]Sheet2!CC352)</f>
        <v>0</v>
      </c>
      <c r="BV353" s="14">
        <f>IF([1]Sheet2!CD352=999999,"NA",[1]Sheet2!CD352)</f>
        <v>0</v>
      </c>
      <c r="BW353" s="14">
        <f>IF([1]Sheet2!CE352=999999,"NA",[1]Sheet2!CE352)</f>
        <v>0</v>
      </c>
      <c r="BX353" s="14">
        <f>IF([1]Sheet2!CF352=999999,"NA",[1]Sheet2!CF352)</f>
        <v>0</v>
      </c>
      <c r="BY353" s="14">
        <f>IF([1]Sheet2!CG352=999999,"NA",[1]Sheet2!CG352)</f>
        <v>0</v>
      </c>
      <c r="BZ353" s="14">
        <f>IF([1]Sheet2!CH352=999999,"NA",[1]Sheet2!CH352)</f>
        <v>0</v>
      </c>
      <c r="CA353" s="14">
        <f>IF([1]Sheet2!CI352=999999,"NA",[1]Sheet2!CI352)</f>
        <v>0</v>
      </c>
      <c r="CB353" s="14">
        <f>IF([1]Sheet2!CJ352=999999,"NA",[1]Sheet2!CJ352)</f>
        <v>0</v>
      </c>
      <c r="CC353" s="14">
        <f>IF([1]Sheet2!CK352=999999,"NA",[1]Sheet2!CK352)</f>
        <v>0</v>
      </c>
      <c r="CD353" s="14">
        <f>[1]Sheet2!BH352</f>
        <v>0</v>
      </c>
      <c r="CE353" s="14">
        <f>[1]Sheet2!BI352</f>
        <v>0</v>
      </c>
      <c r="CF353" s="14">
        <f>[1]Sheet2!BJ352</f>
        <v>0</v>
      </c>
      <c r="CG353" s="14">
        <f>[1]Sheet2!BK352</f>
        <v>0</v>
      </c>
      <c r="CH353" s="14">
        <f>[1]Sheet2!BL352</f>
        <v>0</v>
      </c>
      <c r="CI353" s="14">
        <f>[1]Sheet2!BM352</f>
        <v>0</v>
      </c>
      <c r="CJ353" s="14">
        <f>[1]Sheet2!BN352</f>
        <v>0</v>
      </c>
      <c r="CK353" s="14">
        <f>[1]Sheet2!BO352</f>
        <v>0</v>
      </c>
      <c r="CL353" s="14">
        <f>[1]Sheet2!BP352</f>
        <v>0</v>
      </c>
      <c r="CM353" s="14">
        <f>[1]Sheet2!BQ352</f>
        <v>0</v>
      </c>
      <c r="CN353" s="16">
        <f>Demand_SW!B$14/31</f>
        <v>139.57816377171216</v>
      </c>
      <c r="CO353" s="16">
        <f>Demand_SW!C$14/31</f>
        <v>0</v>
      </c>
      <c r="CP353" s="16">
        <f>Demand_SW!D$14/31</f>
        <v>0</v>
      </c>
      <c r="CQ353" s="16">
        <f>Demand_SW!E$14/31</f>
        <v>0</v>
      </c>
      <c r="CR353" s="16">
        <f>Demand_SW!F$14/31</f>
        <v>0</v>
      </c>
      <c r="CS353" s="16">
        <f>Demand_SW!G$14/31</f>
        <v>139.57816377171216</v>
      </c>
      <c r="CT353" s="16">
        <f>Demand_SW!H$14/31</f>
        <v>0</v>
      </c>
      <c r="CU353" s="16">
        <f>Demand_SW!I$14/31</f>
        <v>0</v>
      </c>
      <c r="CV353" s="16">
        <f>Demand_SW!J$14/31</f>
        <v>0</v>
      </c>
      <c r="CW353" s="16">
        <f>Demand_SW!K$14/31</f>
        <v>0</v>
      </c>
      <c r="CX353" s="16">
        <f t="shared" si="176"/>
        <v>-24934.789081885894</v>
      </c>
      <c r="CY353" s="16">
        <f t="shared" si="177"/>
        <v>76.923076923077133</v>
      </c>
      <c r="CZ353" s="16">
        <f t="shared" si="178"/>
        <v>0</v>
      </c>
      <c r="DA353" s="16">
        <f t="shared" si="179"/>
        <v>0</v>
      </c>
      <c r="DB353" s="16">
        <f t="shared" si="180"/>
        <v>0</v>
      </c>
      <c r="DC353" s="16">
        <f t="shared" si="181"/>
        <v>-26166.019851116664</v>
      </c>
      <c r="DD353" s="16">
        <f t="shared" si="182"/>
        <v>76.923076923077133</v>
      </c>
      <c r="DE353" s="16">
        <f t="shared" si="183"/>
        <v>0</v>
      </c>
      <c r="DF353" s="16">
        <f t="shared" si="184"/>
        <v>0</v>
      </c>
      <c r="DG353" s="16">
        <f t="shared" si="185"/>
        <v>0</v>
      </c>
      <c r="DH353" s="14">
        <f>IF([1]Sheet2!DS352=999999,"NA",[1]Sheet2!DS352)</f>
        <v>0</v>
      </c>
      <c r="DI353" s="14">
        <f>IF([1]Sheet2!DT352=999999,"NA",[1]Sheet2!DT352)</f>
        <v>15</v>
      </c>
      <c r="DJ353" s="14" t="str">
        <f>IF([1]Sheet2!DU352=999999,"NA",[1]Sheet2!DU352)</f>
        <v>NA</v>
      </c>
      <c r="DK353" s="14" t="str">
        <f>IF([1]Sheet2!DV352=999999,"NA",[1]Sheet2!DV352)</f>
        <v>NA</v>
      </c>
      <c r="DL353" s="14" t="str">
        <f>IF([1]Sheet2!DW352=999999,"NA",[1]Sheet2!DW352)</f>
        <v>NA</v>
      </c>
      <c r="DM353" s="14">
        <f>IF([1]Sheet2!DX352=999999,"NA",[1]Sheet2!DX352)</f>
        <v>0</v>
      </c>
      <c r="DN353" s="14">
        <f>IF([1]Sheet2!DY352=999999,"NA",[1]Sheet2!DY352)</f>
        <v>15</v>
      </c>
      <c r="DO353" s="14" t="str">
        <f>IF([1]Sheet2!DZ352=999999,"NA",[1]Sheet2!DZ352)</f>
        <v>NA</v>
      </c>
      <c r="DP353" s="14" t="str">
        <f>IF([1]Sheet2!EA352=999999,"NA",[1]Sheet2!EA352)</f>
        <v>NA</v>
      </c>
      <c r="DQ353" s="14" t="str">
        <f>IF([1]Sheet2!EB352=999999,"NA",[1]Sheet2!EB352)</f>
        <v>NA</v>
      </c>
      <c r="DR353" s="14">
        <f>[1]Sheet2!CY352</f>
        <v>0</v>
      </c>
      <c r="DS353" s="14">
        <f>[1]Sheet2!CZ352</f>
        <v>0</v>
      </c>
      <c r="DT353" s="14">
        <f>[1]Sheet2!DA352</f>
        <v>0</v>
      </c>
      <c r="DU353" s="14">
        <f>[1]Sheet2!DB352</f>
        <v>0</v>
      </c>
      <c r="DV353" s="14">
        <f>[1]Sheet2!DC352</f>
        <v>0</v>
      </c>
      <c r="DW353" s="14">
        <f>[1]Sheet2!DD352</f>
        <v>0</v>
      </c>
      <c r="DX353" s="14">
        <f>[1]Sheet2!DE352</f>
        <v>0</v>
      </c>
      <c r="DY353" s="14">
        <f>[1]Sheet2!DF352</f>
        <v>0</v>
      </c>
      <c r="DZ353" s="14">
        <f>[1]Sheet2!DG352</f>
        <v>0</v>
      </c>
      <c r="EA353" s="14">
        <f>[1]Sheet2!DH352</f>
        <v>0</v>
      </c>
      <c r="EB353" s="6">
        <f>[1]Sheet2!EC352</f>
        <v>0</v>
      </c>
      <c r="EC353" s="6">
        <f>[1]Sheet2!ED352</f>
        <v>0</v>
      </c>
      <c r="ED353" s="6">
        <f>[1]Sheet2!EE352</f>
        <v>0</v>
      </c>
      <c r="EE353" s="6">
        <f>[1]Sheet2!EF352</f>
        <v>0</v>
      </c>
      <c r="EF353" s="6">
        <f>[1]Sheet2!EG352</f>
        <v>0</v>
      </c>
      <c r="EG353" s="6">
        <f>[1]Sheet2!EH352</f>
        <v>0</v>
      </c>
      <c r="EH353" s="6">
        <f>[1]Sheet2!EI352</f>
        <v>0</v>
      </c>
      <c r="EI353" s="6">
        <f>[1]Sheet2!EJ352</f>
        <v>0</v>
      </c>
      <c r="EJ353" s="6">
        <f>[1]Sheet2!EK352</f>
        <v>0</v>
      </c>
      <c r="EK353" s="6">
        <f>[1]Sheet2!EL352</f>
        <v>0</v>
      </c>
      <c r="EL353" s="6" t="str">
        <f>[1]Sheet2!EM352</f>
        <v/>
      </c>
      <c r="EM353" s="6" t="str">
        <f>[1]Sheet2!EN352</f>
        <v/>
      </c>
      <c r="EN353" s="6" t="str">
        <f>[1]Sheet2!EO352</f>
        <v/>
      </c>
      <c r="EO353" s="6" t="str">
        <f>[1]Sheet2!EP352</f>
        <v/>
      </c>
      <c r="EP353" s="6" t="str">
        <f>[1]Sheet2!EQ352</f>
        <v/>
      </c>
      <c r="EQ353" s="6" t="str">
        <f>[1]Sheet2!ER352</f>
        <v/>
      </c>
      <c r="ER353" s="6" t="str">
        <f>[1]Sheet2!ES352</f>
        <v/>
      </c>
      <c r="ES353" s="6" t="str">
        <f>[1]Sheet2!ET352</f>
        <v/>
      </c>
      <c r="ET353" s="6" t="str">
        <f>[1]Sheet2!EU352</f>
        <v/>
      </c>
      <c r="EU353" s="6" t="str">
        <f>[1]Sheet2!EV352</f>
        <v/>
      </c>
      <c r="EV353" s="6" t="str">
        <f>[1]Sheet2!EW352</f>
        <v/>
      </c>
      <c r="EW353" s="6" t="str">
        <f>[1]Sheet2!EX352</f>
        <v/>
      </c>
      <c r="EX353" s="6" t="str">
        <f>[1]Sheet2!EY352</f>
        <v/>
      </c>
      <c r="EY353" s="6" t="str">
        <f>[1]Sheet2!EZ352</f>
        <v/>
      </c>
      <c r="EZ353" s="6" t="str">
        <f>[1]Sheet2!FA352</f>
        <v/>
      </c>
      <c r="FA353" s="6" t="str">
        <f>[1]Sheet2!FB352</f>
        <v/>
      </c>
      <c r="FB353" s="6" t="str">
        <f>[1]Sheet2!FC352</f>
        <v/>
      </c>
      <c r="FC353" s="6" t="str">
        <f>[1]Sheet2!FD352</f>
        <v/>
      </c>
      <c r="FD353" s="6" t="str">
        <f>[1]Sheet2!FE352</f>
        <v/>
      </c>
      <c r="FE353" s="6" t="str">
        <f>[1]Sheet2!FF352</f>
        <v/>
      </c>
      <c r="FF353" s="6" t="str">
        <f>[1]Sheet2!FG352</f>
        <v/>
      </c>
      <c r="FG353" s="6" t="str">
        <f>[1]Sheet2!FH352</f>
        <v/>
      </c>
      <c r="FH353" s="6" t="str">
        <f>[1]Sheet2!FI352</f>
        <v/>
      </c>
      <c r="FI353" s="6" t="str">
        <f>[1]Sheet2!FJ352</f>
        <v/>
      </c>
      <c r="FJ353" s="6" t="str">
        <f>[1]Sheet2!FK352</f>
        <v/>
      </c>
      <c r="FK353" s="6" t="str">
        <f>[1]Sheet2!FL352</f>
        <v/>
      </c>
      <c r="FL353" s="6" t="str">
        <f>[1]Sheet2!FM352</f>
        <v/>
      </c>
      <c r="FM353" s="6" t="str">
        <f>[1]Sheet2!FN352</f>
        <v/>
      </c>
      <c r="FN353" s="6" t="str">
        <f>[1]Sheet2!FO352</f>
        <v/>
      </c>
      <c r="FO353" s="6" t="str">
        <f>[1]Sheet2!FP352</f>
        <v/>
      </c>
    </row>
    <row r="354" spans="1:171" x14ac:dyDescent="0.25">
      <c r="A354" s="15">
        <v>43816</v>
      </c>
      <c r="B354" s="1"/>
      <c r="C354" s="1"/>
      <c r="D354" s="1"/>
      <c r="E354" s="14">
        <f>[1]Sheet2!N353</f>
        <v>0</v>
      </c>
      <c r="F354" s="14">
        <f>[1]Sheet2!BE353</f>
        <v>48000</v>
      </c>
      <c r="G354" s="14">
        <f>[1]Sheet2!CW353</f>
        <v>0</v>
      </c>
      <c r="H354" s="1"/>
      <c r="I354" s="1"/>
      <c r="J354" s="1"/>
      <c r="K354" s="16"/>
      <c r="L354" s="16">
        <f>Demand_CWRS!B$14/31</f>
        <v>95.176711124896599</v>
      </c>
      <c r="M354" s="16">
        <f>Demand_CWRS!C$14/31</f>
        <v>526.22795698924722</v>
      </c>
      <c r="N354" s="16">
        <f>Demand_CWRS!D$14/31</f>
        <v>0</v>
      </c>
      <c r="O354" s="16">
        <f>Demand_CWRS!E$14/31</f>
        <v>102.37076095947063</v>
      </c>
      <c r="P354" s="16">
        <f>Demand_CWRS!F$14/31</f>
        <v>219.86823562861866</v>
      </c>
      <c r="Q354" s="16">
        <f>Demand_CWRS!G$14/31</f>
        <v>95.176711124896599</v>
      </c>
      <c r="R354" s="16">
        <f>Demand_CWRS!H$14/31</f>
        <v>219.86823562861866</v>
      </c>
      <c r="S354" s="16">
        <f>Demand_CWRS!I$14/31</f>
        <v>219.86823562861866</v>
      </c>
      <c r="T354" s="16">
        <f>Demand_CWRS!J$14/31</f>
        <v>219.86823562861866</v>
      </c>
      <c r="U354" s="16">
        <f>Demand_CWRS!K$14/31</f>
        <v>219.86823562861866</v>
      </c>
      <c r="V354" s="16">
        <f t="shared" si="156"/>
        <v>-39569.505049596635</v>
      </c>
      <c r="W354" s="16">
        <f t="shared" si="157"/>
        <v>-161554.97014061184</v>
      </c>
      <c r="X354" s="16">
        <f t="shared" si="158"/>
        <v>0</v>
      </c>
      <c r="Y354" s="16">
        <f t="shared" si="159"/>
        <v>-31043.515383568414</v>
      </c>
      <c r="Z354" s="16">
        <f t="shared" si="160"/>
        <v>-70878.987862916314</v>
      </c>
      <c r="AA354" s="16">
        <f t="shared" si="161"/>
        <v>-38097.572525558251</v>
      </c>
      <c r="AB354" s="16">
        <f t="shared" si="162"/>
        <v>-75188.152638557411</v>
      </c>
      <c r="AC354" s="16">
        <f t="shared" si="163"/>
        <v>-69395.142382147038</v>
      </c>
      <c r="AD354" s="16">
        <f t="shared" si="164"/>
        <v>-69495.142382147038</v>
      </c>
      <c r="AE354" s="16">
        <f t="shared" si="165"/>
        <v>-70095.142382147038</v>
      </c>
      <c r="AF354" s="14">
        <f>IF([1]Sheet2!AJ353=999999,"NA",[1]Sheet2!AJ353)</f>
        <v>0</v>
      </c>
      <c r="AG354" s="14">
        <f>IF([1]Sheet2!AK353=999999,"NA",[1]Sheet2!AK353)</f>
        <v>0</v>
      </c>
      <c r="AH354" s="14" t="str">
        <f>IF([1]Sheet2!AL353=999999,"NA",[1]Sheet2!AL353)</f>
        <v>NA</v>
      </c>
      <c r="AI354" s="14">
        <f>IF([1]Sheet2!AM353=999999,"NA",[1]Sheet2!AM353)</f>
        <v>0</v>
      </c>
      <c r="AJ354" s="14">
        <f>IF([1]Sheet2!AN353=999999,"NA",[1]Sheet2!AN353)</f>
        <v>0</v>
      </c>
      <c r="AK354" s="14">
        <f>IF([1]Sheet2!AO353=999999,"NA",[1]Sheet2!AO353)</f>
        <v>0</v>
      </c>
      <c r="AL354" s="14">
        <f>IF([1]Sheet2!AP353=999999,"NA",[1]Sheet2!AP353)</f>
        <v>0</v>
      </c>
      <c r="AM354" s="14">
        <f>IF([1]Sheet2!AQ353=999999,"NA",[1]Sheet2!AQ353)</f>
        <v>0</v>
      </c>
      <c r="AN354" s="14">
        <f>IF([1]Sheet2!AR353=999999,"NA",[1]Sheet2!AR353)</f>
        <v>0</v>
      </c>
      <c r="AO354" s="14">
        <f>IF([1]Sheet2!AS353=999999,"NA",[1]Sheet2!AS353)</f>
        <v>0</v>
      </c>
      <c r="AP354" s="14">
        <f>[1]Sheet2!P353</f>
        <v>0</v>
      </c>
      <c r="AQ354" s="14">
        <f>[1]Sheet2!Q353</f>
        <v>0</v>
      </c>
      <c r="AR354" s="14">
        <f>[1]Sheet2!R353</f>
        <v>0</v>
      </c>
      <c r="AS354" s="14">
        <f>[1]Sheet2!S353</f>
        <v>0</v>
      </c>
      <c r="AT354" s="14">
        <f>[1]Sheet2!T353</f>
        <v>0</v>
      </c>
      <c r="AU354" s="14">
        <f>[1]Sheet2!U353</f>
        <v>0</v>
      </c>
      <c r="AV354" s="14">
        <f>[1]Sheet2!V353</f>
        <v>0</v>
      </c>
      <c r="AW354" s="14">
        <f>[1]Sheet2!W353</f>
        <v>0</v>
      </c>
      <c r="AX354" s="14">
        <f>[1]Sheet2!X353</f>
        <v>0</v>
      </c>
      <c r="AY354" s="14">
        <f>[1]Sheet2!Y353</f>
        <v>0</v>
      </c>
      <c r="AZ354" s="16">
        <f>Demand_LP!B$14/31</f>
        <v>868.56315911910667</v>
      </c>
      <c r="BA354" s="16">
        <f>Demand_LP!C$14/31</f>
        <v>608.40066170388752</v>
      </c>
      <c r="BB354" s="16">
        <f>Demand_LP!D$14/31</f>
        <v>251.20087262200158</v>
      </c>
      <c r="BC354" s="16">
        <f>Demand_LP!E$14/31</f>
        <v>807.45938378825463</v>
      </c>
      <c r="BD354" s="16">
        <f>Demand_LP!F$14/31</f>
        <v>539.59842069892466</v>
      </c>
      <c r="BE354" s="16">
        <f>Demand_LP!G$14/31</f>
        <v>539.59842069892466</v>
      </c>
      <c r="BF354" s="16">
        <f>Demand_LP!H$14/31</f>
        <v>608.40066170388752</v>
      </c>
      <c r="BG354" s="16">
        <f>Demand_LP!I$14/31</f>
        <v>539.59842069892466</v>
      </c>
      <c r="BH354" s="16">
        <f>Demand_LP!J$14/31</f>
        <v>539.59842069892466</v>
      </c>
      <c r="BI354" s="16">
        <f>Demand_LP!K$14/31</f>
        <v>539.59842069892466</v>
      </c>
      <c r="BJ354" s="16">
        <f t="shared" si="166"/>
        <v>-265844.89352209866</v>
      </c>
      <c r="BK354" s="16">
        <f t="shared" si="167"/>
        <v>-199440.58817204303</v>
      </c>
      <c r="BL354" s="16">
        <f t="shared" si="168"/>
        <v>-94464.166116625769</v>
      </c>
      <c r="BM354" s="16">
        <f t="shared" si="169"/>
        <v>-256145.21207227325</v>
      </c>
      <c r="BN354" s="16">
        <f t="shared" si="170"/>
        <v>-157903.11561171629</v>
      </c>
      <c r="BO354" s="16">
        <f t="shared" si="171"/>
        <v>-156360.79953008707</v>
      </c>
      <c r="BP354" s="16">
        <f t="shared" si="172"/>
        <v>-193798.16765922238</v>
      </c>
      <c r="BQ354" s="16">
        <f t="shared" si="173"/>
        <v>-152189.7995300871</v>
      </c>
      <c r="BR354" s="16">
        <f t="shared" si="174"/>
        <v>-153960.79953008713</v>
      </c>
      <c r="BS354" s="16">
        <f t="shared" si="175"/>
        <v>-154660.79953008713</v>
      </c>
      <c r="BT354" s="14">
        <f>IF([1]Sheet2!CB353=999999,"NA",[1]Sheet2!CB353)</f>
        <v>0</v>
      </c>
      <c r="BU354" s="14">
        <f>IF([1]Sheet2!CC353=999999,"NA",[1]Sheet2!CC353)</f>
        <v>0</v>
      </c>
      <c r="BV354" s="14">
        <f>IF([1]Sheet2!CD353=999999,"NA",[1]Sheet2!CD353)</f>
        <v>0</v>
      </c>
      <c r="BW354" s="14">
        <f>IF([1]Sheet2!CE353=999999,"NA",[1]Sheet2!CE353)</f>
        <v>0</v>
      </c>
      <c r="BX354" s="14">
        <f>IF([1]Sheet2!CF353=999999,"NA",[1]Sheet2!CF353)</f>
        <v>0</v>
      </c>
      <c r="BY354" s="14">
        <f>IF([1]Sheet2!CG353=999999,"NA",[1]Sheet2!CG353)</f>
        <v>0</v>
      </c>
      <c r="BZ354" s="14">
        <f>IF([1]Sheet2!CH353=999999,"NA",[1]Sheet2!CH353)</f>
        <v>0</v>
      </c>
      <c r="CA354" s="14">
        <f>IF([1]Sheet2!CI353=999999,"NA",[1]Sheet2!CI353)</f>
        <v>0</v>
      </c>
      <c r="CB354" s="14">
        <f>IF([1]Sheet2!CJ353=999999,"NA",[1]Sheet2!CJ353)</f>
        <v>0</v>
      </c>
      <c r="CC354" s="14">
        <f>IF([1]Sheet2!CK353=999999,"NA",[1]Sheet2!CK353)</f>
        <v>0</v>
      </c>
      <c r="CD354" s="14">
        <f>[1]Sheet2!BH353</f>
        <v>0</v>
      </c>
      <c r="CE354" s="14">
        <f>[1]Sheet2!BI353</f>
        <v>0</v>
      </c>
      <c r="CF354" s="14">
        <f>[1]Sheet2!BJ353</f>
        <v>0</v>
      </c>
      <c r="CG354" s="14">
        <f>[1]Sheet2!BK353</f>
        <v>0</v>
      </c>
      <c r="CH354" s="14">
        <f>[1]Sheet2!BL353</f>
        <v>0</v>
      </c>
      <c r="CI354" s="14">
        <f>[1]Sheet2!BM353</f>
        <v>0</v>
      </c>
      <c r="CJ354" s="14">
        <f>[1]Sheet2!BN353</f>
        <v>0</v>
      </c>
      <c r="CK354" s="14">
        <f>[1]Sheet2!BO353</f>
        <v>0</v>
      </c>
      <c r="CL354" s="14">
        <f>[1]Sheet2!BP353</f>
        <v>0</v>
      </c>
      <c r="CM354" s="14">
        <f>[1]Sheet2!BQ353</f>
        <v>0</v>
      </c>
      <c r="CN354" s="16">
        <f>Demand_SW!B$14/31</f>
        <v>139.57816377171216</v>
      </c>
      <c r="CO354" s="16">
        <f>Demand_SW!C$14/31</f>
        <v>0</v>
      </c>
      <c r="CP354" s="16">
        <f>Demand_SW!D$14/31</f>
        <v>0</v>
      </c>
      <c r="CQ354" s="16">
        <f>Demand_SW!E$14/31</f>
        <v>0</v>
      </c>
      <c r="CR354" s="16">
        <f>Demand_SW!F$14/31</f>
        <v>0</v>
      </c>
      <c r="CS354" s="16">
        <f>Demand_SW!G$14/31</f>
        <v>139.57816377171216</v>
      </c>
      <c r="CT354" s="16">
        <f>Demand_SW!H$14/31</f>
        <v>0</v>
      </c>
      <c r="CU354" s="16">
        <f>Demand_SW!I$14/31</f>
        <v>0</v>
      </c>
      <c r="CV354" s="16">
        <f>Demand_SW!J$14/31</f>
        <v>0</v>
      </c>
      <c r="CW354" s="16">
        <f>Demand_SW!K$14/31</f>
        <v>0</v>
      </c>
      <c r="CX354" s="16">
        <f t="shared" si="176"/>
        <v>-25074.367245657606</v>
      </c>
      <c r="CY354" s="16">
        <f t="shared" si="177"/>
        <v>76.923076923077133</v>
      </c>
      <c r="CZ354" s="16">
        <f t="shared" si="178"/>
        <v>0</v>
      </c>
      <c r="DA354" s="16">
        <f t="shared" si="179"/>
        <v>0</v>
      </c>
      <c r="DB354" s="16">
        <f t="shared" si="180"/>
        <v>0</v>
      </c>
      <c r="DC354" s="16">
        <f t="shared" si="181"/>
        <v>-26305.598014888375</v>
      </c>
      <c r="DD354" s="16">
        <f t="shared" si="182"/>
        <v>76.923076923077133</v>
      </c>
      <c r="DE354" s="16">
        <f t="shared" si="183"/>
        <v>0</v>
      </c>
      <c r="DF354" s="16">
        <f t="shared" si="184"/>
        <v>0</v>
      </c>
      <c r="DG354" s="16">
        <f t="shared" si="185"/>
        <v>0</v>
      </c>
      <c r="DH354" s="14">
        <f>IF([1]Sheet2!DS353=999999,"NA",[1]Sheet2!DS353)</f>
        <v>0</v>
      </c>
      <c r="DI354" s="14">
        <f>IF([1]Sheet2!DT353=999999,"NA",[1]Sheet2!DT353)</f>
        <v>14</v>
      </c>
      <c r="DJ354" s="14" t="str">
        <f>IF([1]Sheet2!DU353=999999,"NA",[1]Sheet2!DU353)</f>
        <v>NA</v>
      </c>
      <c r="DK354" s="14" t="str">
        <f>IF([1]Sheet2!DV353=999999,"NA",[1]Sheet2!DV353)</f>
        <v>NA</v>
      </c>
      <c r="DL354" s="14" t="str">
        <f>IF([1]Sheet2!DW353=999999,"NA",[1]Sheet2!DW353)</f>
        <v>NA</v>
      </c>
      <c r="DM354" s="14">
        <f>IF([1]Sheet2!DX353=999999,"NA",[1]Sheet2!DX353)</f>
        <v>0</v>
      </c>
      <c r="DN354" s="14">
        <f>IF([1]Sheet2!DY353=999999,"NA",[1]Sheet2!DY353)</f>
        <v>14</v>
      </c>
      <c r="DO354" s="14" t="str">
        <f>IF([1]Sheet2!DZ353=999999,"NA",[1]Sheet2!DZ353)</f>
        <v>NA</v>
      </c>
      <c r="DP354" s="14" t="str">
        <f>IF([1]Sheet2!EA353=999999,"NA",[1]Sheet2!EA353)</f>
        <v>NA</v>
      </c>
      <c r="DQ354" s="14" t="str">
        <f>IF([1]Sheet2!EB353=999999,"NA",[1]Sheet2!EB353)</f>
        <v>NA</v>
      </c>
      <c r="DR354" s="14">
        <f>[1]Sheet2!CY353</f>
        <v>0</v>
      </c>
      <c r="DS354" s="14">
        <f>[1]Sheet2!CZ353</f>
        <v>0</v>
      </c>
      <c r="DT354" s="14">
        <f>[1]Sheet2!DA353</f>
        <v>0</v>
      </c>
      <c r="DU354" s="14">
        <f>[1]Sheet2!DB353</f>
        <v>0</v>
      </c>
      <c r="DV354" s="14">
        <f>[1]Sheet2!DC353</f>
        <v>0</v>
      </c>
      <c r="DW354" s="14">
        <f>[1]Sheet2!DD353</f>
        <v>0</v>
      </c>
      <c r="DX354" s="14">
        <f>[1]Sheet2!DE353</f>
        <v>0</v>
      </c>
      <c r="DY354" s="14">
        <f>[1]Sheet2!DF353</f>
        <v>0</v>
      </c>
      <c r="DZ354" s="14">
        <f>[1]Sheet2!DG353</f>
        <v>0</v>
      </c>
      <c r="EA354" s="14">
        <f>[1]Sheet2!DH353</f>
        <v>0</v>
      </c>
      <c r="EB354" s="6">
        <f>[1]Sheet2!EC353</f>
        <v>0</v>
      </c>
      <c r="EC354" s="6">
        <f>[1]Sheet2!ED353</f>
        <v>0</v>
      </c>
      <c r="ED354" s="6">
        <f>[1]Sheet2!EE353</f>
        <v>0</v>
      </c>
      <c r="EE354" s="6">
        <f>[1]Sheet2!EF353</f>
        <v>0</v>
      </c>
      <c r="EF354" s="6">
        <f>[1]Sheet2!EG353</f>
        <v>0</v>
      </c>
      <c r="EG354" s="6">
        <f>[1]Sheet2!EH353</f>
        <v>0</v>
      </c>
      <c r="EH354" s="6">
        <f>[1]Sheet2!EI353</f>
        <v>0</v>
      </c>
      <c r="EI354" s="6">
        <f>[1]Sheet2!EJ353</f>
        <v>0</v>
      </c>
      <c r="EJ354" s="6">
        <f>[1]Sheet2!EK353</f>
        <v>0</v>
      </c>
      <c r="EK354" s="6">
        <f>[1]Sheet2!EL353</f>
        <v>0</v>
      </c>
      <c r="EL354" s="6" t="str">
        <f>[1]Sheet2!EM353</f>
        <v/>
      </c>
      <c r="EM354" s="6" t="str">
        <f>[1]Sheet2!EN353</f>
        <v/>
      </c>
      <c r="EN354" s="6" t="str">
        <f>[1]Sheet2!EO353</f>
        <v/>
      </c>
      <c r="EO354" s="6" t="str">
        <f>[1]Sheet2!EP353</f>
        <v/>
      </c>
      <c r="EP354" s="6" t="str">
        <f>[1]Sheet2!EQ353</f>
        <v/>
      </c>
      <c r="EQ354" s="6" t="str">
        <f>[1]Sheet2!ER353</f>
        <v/>
      </c>
      <c r="ER354" s="6" t="str">
        <f>[1]Sheet2!ES353</f>
        <v/>
      </c>
      <c r="ES354" s="6" t="str">
        <f>[1]Sheet2!ET353</f>
        <v/>
      </c>
      <c r="ET354" s="6" t="str">
        <f>[1]Sheet2!EU353</f>
        <v/>
      </c>
      <c r="EU354" s="6" t="str">
        <f>[1]Sheet2!EV353</f>
        <v/>
      </c>
      <c r="EV354" s="6" t="str">
        <f>[1]Sheet2!EW353</f>
        <v/>
      </c>
      <c r="EW354" s="6" t="str">
        <f>[1]Sheet2!EX353</f>
        <v/>
      </c>
      <c r="EX354" s="6" t="str">
        <f>[1]Sheet2!EY353</f>
        <v/>
      </c>
      <c r="EY354" s="6" t="str">
        <f>[1]Sheet2!EZ353</f>
        <v/>
      </c>
      <c r="EZ354" s="6" t="str">
        <f>[1]Sheet2!FA353</f>
        <v/>
      </c>
      <c r="FA354" s="6" t="str">
        <f>[1]Sheet2!FB353</f>
        <v/>
      </c>
      <c r="FB354" s="6" t="str">
        <f>[1]Sheet2!FC353</f>
        <v/>
      </c>
      <c r="FC354" s="6" t="str">
        <f>[1]Sheet2!FD353</f>
        <v/>
      </c>
      <c r="FD354" s="6" t="str">
        <f>[1]Sheet2!FE353</f>
        <v/>
      </c>
      <c r="FE354" s="6" t="str">
        <f>[1]Sheet2!FF353</f>
        <v/>
      </c>
      <c r="FF354" s="6" t="str">
        <f>[1]Sheet2!FG353</f>
        <v/>
      </c>
      <c r="FG354" s="6" t="str">
        <f>[1]Sheet2!FH353</f>
        <v/>
      </c>
      <c r="FH354" s="6" t="str">
        <f>[1]Sheet2!FI353</f>
        <v/>
      </c>
      <c r="FI354" s="6" t="str">
        <f>[1]Sheet2!FJ353</f>
        <v/>
      </c>
      <c r="FJ354" s="6" t="str">
        <f>[1]Sheet2!FK353</f>
        <v/>
      </c>
      <c r="FK354" s="6" t="str">
        <f>[1]Sheet2!FL353</f>
        <v/>
      </c>
      <c r="FL354" s="6" t="str">
        <f>[1]Sheet2!FM353</f>
        <v/>
      </c>
      <c r="FM354" s="6" t="str">
        <f>[1]Sheet2!FN353</f>
        <v/>
      </c>
      <c r="FN354" s="6" t="str">
        <f>[1]Sheet2!FO353</f>
        <v/>
      </c>
      <c r="FO354" s="6" t="str">
        <f>[1]Sheet2!FP353</f>
        <v/>
      </c>
    </row>
    <row r="355" spans="1:171" x14ac:dyDescent="0.25">
      <c r="A355" s="15">
        <v>43817</v>
      </c>
      <c r="B355" s="1"/>
      <c r="C355" s="1"/>
      <c r="D355" s="1"/>
      <c r="E355" s="14">
        <f>[1]Sheet2!N354</f>
        <v>0</v>
      </c>
      <c r="F355" s="14">
        <f>[1]Sheet2!BE354</f>
        <v>0</v>
      </c>
      <c r="G355" s="14">
        <f>[1]Sheet2!CW354</f>
        <v>0</v>
      </c>
      <c r="H355" s="1"/>
      <c r="I355" s="1"/>
      <c r="J355" s="1"/>
      <c r="K355" s="16"/>
      <c r="L355" s="16">
        <f>Demand_CWRS!B$14/31</f>
        <v>95.176711124896599</v>
      </c>
      <c r="M355" s="16">
        <f>Demand_CWRS!C$14/31</f>
        <v>526.22795698924722</v>
      </c>
      <c r="N355" s="16">
        <f>Demand_CWRS!D$14/31</f>
        <v>0</v>
      </c>
      <c r="O355" s="16">
        <f>Demand_CWRS!E$14/31</f>
        <v>102.37076095947063</v>
      </c>
      <c r="P355" s="16">
        <f>Demand_CWRS!F$14/31</f>
        <v>219.86823562861866</v>
      </c>
      <c r="Q355" s="16">
        <f>Demand_CWRS!G$14/31</f>
        <v>95.176711124896599</v>
      </c>
      <c r="R355" s="16">
        <f>Demand_CWRS!H$14/31</f>
        <v>219.86823562861866</v>
      </c>
      <c r="S355" s="16">
        <f>Demand_CWRS!I$14/31</f>
        <v>219.86823562861866</v>
      </c>
      <c r="T355" s="16">
        <f>Demand_CWRS!J$14/31</f>
        <v>219.86823562861866</v>
      </c>
      <c r="U355" s="16">
        <f>Demand_CWRS!K$14/31</f>
        <v>219.86823562861866</v>
      </c>
      <c r="V355" s="16">
        <f t="shared" si="156"/>
        <v>-39664.681760721534</v>
      </c>
      <c r="W355" s="16">
        <f t="shared" si="157"/>
        <v>-162081.1980976011</v>
      </c>
      <c r="X355" s="16">
        <f t="shared" si="158"/>
        <v>0</v>
      </c>
      <c r="Y355" s="16">
        <f t="shared" si="159"/>
        <v>-31145.886144527885</v>
      </c>
      <c r="Z355" s="16">
        <f t="shared" si="160"/>
        <v>-71098.856098544929</v>
      </c>
      <c r="AA355" s="16">
        <f t="shared" si="161"/>
        <v>-38192.74923668315</v>
      </c>
      <c r="AB355" s="16">
        <f t="shared" si="162"/>
        <v>-75408.020874186026</v>
      </c>
      <c r="AC355" s="16">
        <f t="shared" si="163"/>
        <v>-69615.010617775653</v>
      </c>
      <c r="AD355" s="16">
        <f t="shared" si="164"/>
        <v>-69715.010617775653</v>
      </c>
      <c r="AE355" s="16">
        <f t="shared" si="165"/>
        <v>-70315.010617775653</v>
      </c>
      <c r="AF355" s="14">
        <f>IF([1]Sheet2!AJ354=999999,"NA",[1]Sheet2!AJ354)</f>
        <v>0</v>
      </c>
      <c r="AG355" s="14">
        <f>IF([1]Sheet2!AK354=999999,"NA",[1]Sheet2!AK354)</f>
        <v>0</v>
      </c>
      <c r="AH355" s="14" t="str">
        <f>IF([1]Sheet2!AL354=999999,"NA",[1]Sheet2!AL354)</f>
        <v>NA</v>
      </c>
      <c r="AI355" s="14">
        <f>IF([1]Sheet2!AM354=999999,"NA",[1]Sheet2!AM354)</f>
        <v>0</v>
      </c>
      <c r="AJ355" s="14">
        <f>IF([1]Sheet2!AN354=999999,"NA",[1]Sheet2!AN354)</f>
        <v>0</v>
      </c>
      <c r="AK355" s="14">
        <f>IF([1]Sheet2!AO354=999999,"NA",[1]Sheet2!AO354)</f>
        <v>0</v>
      </c>
      <c r="AL355" s="14">
        <f>IF([1]Sheet2!AP354=999999,"NA",[1]Sheet2!AP354)</f>
        <v>0</v>
      </c>
      <c r="AM355" s="14">
        <f>IF([1]Sheet2!AQ354=999999,"NA",[1]Sheet2!AQ354)</f>
        <v>0</v>
      </c>
      <c r="AN355" s="14">
        <f>IF([1]Sheet2!AR354=999999,"NA",[1]Sheet2!AR354)</f>
        <v>0</v>
      </c>
      <c r="AO355" s="14">
        <f>IF([1]Sheet2!AS354=999999,"NA",[1]Sheet2!AS354)</f>
        <v>0</v>
      </c>
      <c r="AP355" s="14">
        <f>[1]Sheet2!P354</f>
        <v>0</v>
      </c>
      <c r="AQ355" s="14">
        <f>[1]Sheet2!Q354</f>
        <v>0</v>
      </c>
      <c r="AR355" s="14">
        <f>[1]Sheet2!R354</f>
        <v>0</v>
      </c>
      <c r="AS355" s="14">
        <f>[1]Sheet2!S354</f>
        <v>0</v>
      </c>
      <c r="AT355" s="14">
        <f>[1]Sheet2!T354</f>
        <v>0</v>
      </c>
      <c r="AU355" s="14">
        <f>[1]Sheet2!U354</f>
        <v>0</v>
      </c>
      <c r="AV355" s="14">
        <f>[1]Sheet2!V354</f>
        <v>0</v>
      </c>
      <c r="AW355" s="14">
        <f>[1]Sheet2!W354</f>
        <v>0</v>
      </c>
      <c r="AX355" s="14">
        <f>[1]Sheet2!X354</f>
        <v>0</v>
      </c>
      <c r="AY355" s="14">
        <f>[1]Sheet2!Y354</f>
        <v>0</v>
      </c>
      <c r="AZ355" s="16">
        <f>Demand_LP!B$14/31</f>
        <v>868.56315911910667</v>
      </c>
      <c r="BA355" s="16">
        <f>Demand_LP!C$14/31</f>
        <v>608.40066170388752</v>
      </c>
      <c r="BB355" s="16">
        <f>Demand_LP!D$14/31</f>
        <v>251.20087262200158</v>
      </c>
      <c r="BC355" s="16">
        <f>Demand_LP!E$14/31</f>
        <v>807.45938378825463</v>
      </c>
      <c r="BD355" s="16">
        <f>Demand_LP!F$14/31</f>
        <v>539.59842069892466</v>
      </c>
      <c r="BE355" s="16">
        <f>Demand_LP!G$14/31</f>
        <v>539.59842069892466</v>
      </c>
      <c r="BF355" s="16">
        <f>Demand_LP!H$14/31</f>
        <v>608.40066170388752</v>
      </c>
      <c r="BG355" s="16">
        <f>Demand_LP!I$14/31</f>
        <v>539.59842069892466</v>
      </c>
      <c r="BH355" s="16">
        <f>Demand_LP!J$14/31</f>
        <v>539.59842069892466</v>
      </c>
      <c r="BI355" s="16">
        <f>Demand_LP!K$14/31</f>
        <v>539.59842069892466</v>
      </c>
      <c r="BJ355" s="16">
        <f t="shared" si="166"/>
        <v>-266713.45668121777</v>
      </c>
      <c r="BK355" s="16">
        <f t="shared" si="167"/>
        <v>-200048.98883374693</v>
      </c>
      <c r="BL355" s="16">
        <f t="shared" si="168"/>
        <v>-94715.366989247777</v>
      </c>
      <c r="BM355" s="16">
        <f t="shared" si="169"/>
        <v>-256952.67145606151</v>
      </c>
      <c r="BN355" s="16">
        <f t="shared" si="170"/>
        <v>-158442.71403241521</v>
      </c>
      <c r="BO355" s="16">
        <f t="shared" si="171"/>
        <v>-156900.39795078599</v>
      </c>
      <c r="BP355" s="16">
        <f t="shared" si="172"/>
        <v>-194406.56832092628</v>
      </c>
      <c r="BQ355" s="16">
        <f t="shared" si="173"/>
        <v>-152729.39795078602</v>
      </c>
      <c r="BR355" s="16">
        <f t="shared" si="174"/>
        <v>-154500.39795078605</v>
      </c>
      <c r="BS355" s="16">
        <f t="shared" si="175"/>
        <v>-155200.39795078605</v>
      </c>
      <c r="BT355" s="14">
        <f>IF([1]Sheet2!CB354=999999,"NA",[1]Sheet2!CB354)</f>
        <v>0</v>
      </c>
      <c r="BU355" s="14">
        <f>IF([1]Sheet2!CC354=999999,"NA",[1]Sheet2!CC354)</f>
        <v>0</v>
      </c>
      <c r="BV355" s="14">
        <f>IF([1]Sheet2!CD354=999999,"NA",[1]Sheet2!CD354)</f>
        <v>0</v>
      </c>
      <c r="BW355" s="14">
        <f>IF([1]Sheet2!CE354=999999,"NA",[1]Sheet2!CE354)</f>
        <v>0</v>
      </c>
      <c r="BX355" s="14">
        <f>IF([1]Sheet2!CF354=999999,"NA",[1]Sheet2!CF354)</f>
        <v>0</v>
      </c>
      <c r="BY355" s="14">
        <f>IF([1]Sheet2!CG354=999999,"NA",[1]Sheet2!CG354)</f>
        <v>0</v>
      </c>
      <c r="BZ355" s="14">
        <f>IF([1]Sheet2!CH354=999999,"NA",[1]Sheet2!CH354)</f>
        <v>0</v>
      </c>
      <c r="CA355" s="14">
        <f>IF([1]Sheet2!CI354=999999,"NA",[1]Sheet2!CI354)</f>
        <v>0</v>
      </c>
      <c r="CB355" s="14">
        <f>IF([1]Sheet2!CJ354=999999,"NA",[1]Sheet2!CJ354)</f>
        <v>0</v>
      </c>
      <c r="CC355" s="14">
        <f>IF([1]Sheet2!CK354=999999,"NA",[1]Sheet2!CK354)</f>
        <v>0</v>
      </c>
      <c r="CD355" s="14">
        <f>[1]Sheet2!BH354</f>
        <v>0</v>
      </c>
      <c r="CE355" s="14">
        <f>[1]Sheet2!BI354</f>
        <v>0</v>
      </c>
      <c r="CF355" s="14">
        <f>[1]Sheet2!BJ354</f>
        <v>0</v>
      </c>
      <c r="CG355" s="14">
        <f>[1]Sheet2!BK354</f>
        <v>0</v>
      </c>
      <c r="CH355" s="14">
        <f>[1]Sheet2!BL354</f>
        <v>0</v>
      </c>
      <c r="CI355" s="14">
        <f>[1]Sheet2!BM354</f>
        <v>0</v>
      </c>
      <c r="CJ355" s="14">
        <f>[1]Sheet2!BN354</f>
        <v>0</v>
      </c>
      <c r="CK355" s="14">
        <f>[1]Sheet2!BO354</f>
        <v>0</v>
      </c>
      <c r="CL355" s="14">
        <f>[1]Sheet2!BP354</f>
        <v>0</v>
      </c>
      <c r="CM355" s="14">
        <f>[1]Sheet2!BQ354</f>
        <v>0</v>
      </c>
      <c r="CN355" s="16">
        <f>Demand_SW!B$14/31</f>
        <v>139.57816377171216</v>
      </c>
      <c r="CO355" s="16">
        <f>Demand_SW!C$14/31</f>
        <v>0</v>
      </c>
      <c r="CP355" s="16">
        <f>Demand_SW!D$14/31</f>
        <v>0</v>
      </c>
      <c r="CQ355" s="16">
        <f>Demand_SW!E$14/31</f>
        <v>0</v>
      </c>
      <c r="CR355" s="16">
        <f>Demand_SW!F$14/31</f>
        <v>0</v>
      </c>
      <c r="CS355" s="16">
        <f>Demand_SW!G$14/31</f>
        <v>139.57816377171216</v>
      </c>
      <c r="CT355" s="16">
        <f>Demand_SW!H$14/31</f>
        <v>0</v>
      </c>
      <c r="CU355" s="16">
        <f>Demand_SW!I$14/31</f>
        <v>0</v>
      </c>
      <c r="CV355" s="16">
        <f>Demand_SW!J$14/31</f>
        <v>0</v>
      </c>
      <c r="CW355" s="16">
        <f>Demand_SW!K$14/31</f>
        <v>0</v>
      </c>
      <c r="CX355" s="16">
        <f t="shared" si="176"/>
        <v>-25213.945409429318</v>
      </c>
      <c r="CY355" s="16">
        <f t="shared" si="177"/>
        <v>76.923076923077133</v>
      </c>
      <c r="CZ355" s="16">
        <f t="shared" si="178"/>
        <v>0</v>
      </c>
      <c r="DA355" s="16">
        <f t="shared" si="179"/>
        <v>0</v>
      </c>
      <c r="DB355" s="16">
        <f t="shared" si="180"/>
        <v>0</v>
      </c>
      <c r="DC355" s="16">
        <f t="shared" si="181"/>
        <v>-26445.176178660087</v>
      </c>
      <c r="DD355" s="16">
        <f t="shared" si="182"/>
        <v>76.923076923077133</v>
      </c>
      <c r="DE355" s="16">
        <f t="shared" si="183"/>
        <v>0</v>
      </c>
      <c r="DF355" s="16">
        <f t="shared" si="184"/>
        <v>0</v>
      </c>
      <c r="DG355" s="16">
        <f t="shared" si="185"/>
        <v>0</v>
      </c>
      <c r="DH355" s="14">
        <f>IF([1]Sheet2!DS354=999999,"NA",[1]Sheet2!DS354)</f>
        <v>0</v>
      </c>
      <c r="DI355" s="14">
        <f>IF([1]Sheet2!DT354=999999,"NA",[1]Sheet2!DT354)</f>
        <v>13</v>
      </c>
      <c r="DJ355" s="14" t="str">
        <f>IF([1]Sheet2!DU354=999999,"NA",[1]Sheet2!DU354)</f>
        <v>NA</v>
      </c>
      <c r="DK355" s="14" t="str">
        <f>IF([1]Sheet2!DV354=999999,"NA",[1]Sheet2!DV354)</f>
        <v>NA</v>
      </c>
      <c r="DL355" s="14" t="str">
        <f>IF([1]Sheet2!DW354=999999,"NA",[1]Sheet2!DW354)</f>
        <v>NA</v>
      </c>
      <c r="DM355" s="14">
        <f>IF([1]Sheet2!DX354=999999,"NA",[1]Sheet2!DX354)</f>
        <v>0</v>
      </c>
      <c r="DN355" s="14">
        <f>IF([1]Sheet2!DY354=999999,"NA",[1]Sheet2!DY354)</f>
        <v>13</v>
      </c>
      <c r="DO355" s="14" t="str">
        <f>IF([1]Sheet2!DZ354=999999,"NA",[1]Sheet2!DZ354)</f>
        <v>NA</v>
      </c>
      <c r="DP355" s="14" t="str">
        <f>IF([1]Sheet2!EA354=999999,"NA",[1]Sheet2!EA354)</f>
        <v>NA</v>
      </c>
      <c r="DQ355" s="14" t="str">
        <f>IF([1]Sheet2!EB354=999999,"NA",[1]Sheet2!EB354)</f>
        <v>NA</v>
      </c>
      <c r="DR355" s="14">
        <f>[1]Sheet2!CY354</f>
        <v>0</v>
      </c>
      <c r="DS355" s="14">
        <f>[1]Sheet2!CZ354</f>
        <v>0</v>
      </c>
      <c r="DT355" s="14">
        <f>[1]Sheet2!DA354</f>
        <v>0</v>
      </c>
      <c r="DU355" s="14">
        <f>[1]Sheet2!DB354</f>
        <v>0</v>
      </c>
      <c r="DV355" s="14">
        <f>[1]Sheet2!DC354</f>
        <v>0</v>
      </c>
      <c r="DW355" s="14">
        <f>[1]Sheet2!DD354</f>
        <v>0</v>
      </c>
      <c r="DX355" s="14">
        <f>[1]Sheet2!DE354</f>
        <v>0</v>
      </c>
      <c r="DY355" s="14">
        <f>[1]Sheet2!DF354</f>
        <v>0</v>
      </c>
      <c r="DZ355" s="14">
        <f>[1]Sheet2!DG354</f>
        <v>0</v>
      </c>
      <c r="EA355" s="14">
        <f>[1]Sheet2!DH354</f>
        <v>0</v>
      </c>
      <c r="EB355" s="6">
        <f>[1]Sheet2!EC354</f>
        <v>0</v>
      </c>
      <c r="EC355" s="6">
        <f>[1]Sheet2!ED354</f>
        <v>0</v>
      </c>
      <c r="ED355" s="6">
        <f>[1]Sheet2!EE354</f>
        <v>0</v>
      </c>
      <c r="EE355" s="6">
        <f>[1]Sheet2!EF354</f>
        <v>0</v>
      </c>
      <c r="EF355" s="6">
        <f>[1]Sheet2!EG354</f>
        <v>0</v>
      </c>
      <c r="EG355" s="6">
        <f>[1]Sheet2!EH354</f>
        <v>0</v>
      </c>
      <c r="EH355" s="6">
        <f>[1]Sheet2!EI354</f>
        <v>0</v>
      </c>
      <c r="EI355" s="6">
        <f>[1]Sheet2!EJ354</f>
        <v>0</v>
      </c>
      <c r="EJ355" s="6">
        <f>[1]Sheet2!EK354</f>
        <v>0</v>
      </c>
      <c r="EK355" s="6">
        <f>[1]Sheet2!EL354</f>
        <v>0</v>
      </c>
      <c r="EL355" s="6" t="str">
        <f>[1]Sheet2!EM354</f>
        <v/>
      </c>
      <c r="EM355" s="6" t="str">
        <f>[1]Sheet2!EN354</f>
        <v/>
      </c>
      <c r="EN355" s="6" t="str">
        <f>[1]Sheet2!EO354</f>
        <v/>
      </c>
      <c r="EO355" s="6" t="str">
        <f>[1]Sheet2!EP354</f>
        <v/>
      </c>
      <c r="EP355" s="6" t="str">
        <f>[1]Sheet2!EQ354</f>
        <v/>
      </c>
      <c r="EQ355" s="6" t="str">
        <f>[1]Sheet2!ER354</f>
        <v/>
      </c>
      <c r="ER355" s="6" t="str">
        <f>[1]Sheet2!ES354</f>
        <v/>
      </c>
      <c r="ES355" s="6" t="str">
        <f>[1]Sheet2!ET354</f>
        <v/>
      </c>
      <c r="ET355" s="6" t="str">
        <f>[1]Sheet2!EU354</f>
        <v/>
      </c>
      <c r="EU355" s="6" t="str">
        <f>[1]Sheet2!EV354</f>
        <v/>
      </c>
      <c r="EV355" s="6" t="str">
        <f>[1]Sheet2!EW354</f>
        <v/>
      </c>
      <c r="EW355" s="6" t="str">
        <f>[1]Sheet2!EX354</f>
        <v/>
      </c>
      <c r="EX355" s="6" t="str">
        <f>[1]Sheet2!EY354</f>
        <v/>
      </c>
      <c r="EY355" s="6" t="str">
        <f>[1]Sheet2!EZ354</f>
        <v/>
      </c>
      <c r="EZ355" s="6" t="str">
        <f>[1]Sheet2!FA354</f>
        <v/>
      </c>
      <c r="FA355" s="6" t="str">
        <f>[1]Sheet2!FB354</f>
        <v/>
      </c>
      <c r="FB355" s="6" t="str">
        <f>[1]Sheet2!FC354</f>
        <v/>
      </c>
      <c r="FC355" s="6" t="str">
        <f>[1]Sheet2!FD354</f>
        <v/>
      </c>
      <c r="FD355" s="6" t="str">
        <f>[1]Sheet2!FE354</f>
        <v/>
      </c>
      <c r="FE355" s="6" t="str">
        <f>[1]Sheet2!FF354</f>
        <v/>
      </c>
      <c r="FF355" s="6" t="str">
        <f>[1]Sheet2!FG354</f>
        <v/>
      </c>
      <c r="FG355" s="6" t="str">
        <f>[1]Sheet2!FH354</f>
        <v/>
      </c>
      <c r="FH355" s="6" t="str">
        <f>[1]Sheet2!FI354</f>
        <v/>
      </c>
      <c r="FI355" s="6" t="str">
        <f>[1]Sheet2!FJ354</f>
        <v/>
      </c>
      <c r="FJ355" s="6" t="str">
        <f>[1]Sheet2!FK354</f>
        <v/>
      </c>
      <c r="FK355" s="6" t="str">
        <f>[1]Sheet2!FL354</f>
        <v/>
      </c>
      <c r="FL355" s="6" t="str">
        <f>[1]Sheet2!FM354</f>
        <v/>
      </c>
      <c r="FM355" s="6" t="str">
        <f>[1]Sheet2!FN354</f>
        <v/>
      </c>
      <c r="FN355" s="6" t="str">
        <f>[1]Sheet2!FO354</f>
        <v/>
      </c>
      <c r="FO355" s="6" t="str">
        <f>[1]Sheet2!FP354</f>
        <v/>
      </c>
    </row>
    <row r="356" spans="1:171" x14ac:dyDescent="0.25">
      <c r="A356" s="15">
        <v>43818</v>
      </c>
      <c r="B356" s="1"/>
      <c r="C356" s="1"/>
      <c r="D356" s="1"/>
      <c r="E356" s="14">
        <f>[1]Sheet2!N355</f>
        <v>48000</v>
      </c>
      <c r="F356" s="14">
        <f>[1]Sheet2!BE355</f>
        <v>0</v>
      </c>
      <c r="G356" s="14">
        <f>[1]Sheet2!CW355</f>
        <v>0</v>
      </c>
      <c r="H356" s="1"/>
      <c r="I356" s="1"/>
      <c r="J356" s="1"/>
      <c r="K356" s="16"/>
      <c r="L356" s="16">
        <f>Demand_CWRS!B$14/31</f>
        <v>95.176711124896599</v>
      </c>
      <c r="M356" s="16">
        <f>Demand_CWRS!C$14/31</f>
        <v>526.22795698924722</v>
      </c>
      <c r="N356" s="16">
        <f>Demand_CWRS!D$14/31</f>
        <v>0</v>
      </c>
      <c r="O356" s="16">
        <f>Demand_CWRS!E$14/31</f>
        <v>102.37076095947063</v>
      </c>
      <c r="P356" s="16">
        <f>Demand_CWRS!F$14/31</f>
        <v>219.86823562861866</v>
      </c>
      <c r="Q356" s="16">
        <f>Demand_CWRS!G$14/31</f>
        <v>95.176711124896599</v>
      </c>
      <c r="R356" s="16">
        <f>Demand_CWRS!H$14/31</f>
        <v>219.86823562861866</v>
      </c>
      <c r="S356" s="16">
        <f>Demand_CWRS!I$14/31</f>
        <v>219.86823562861866</v>
      </c>
      <c r="T356" s="16">
        <f>Demand_CWRS!J$14/31</f>
        <v>219.86823562861866</v>
      </c>
      <c r="U356" s="16">
        <f>Demand_CWRS!K$14/31</f>
        <v>219.86823562861866</v>
      </c>
      <c r="V356" s="16">
        <f t="shared" si="156"/>
        <v>-39759.858471846434</v>
      </c>
      <c r="W356" s="16">
        <f t="shared" si="157"/>
        <v>-162607.42605459035</v>
      </c>
      <c r="X356" s="16">
        <f t="shared" si="158"/>
        <v>0</v>
      </c>
      <c r="Y356" s="16">
        <f t="shared" si="159"/>
        <v>-31248.256905487357</v>
      </c>
      <c r="Z356" s="16">
        <f t="shared" si="160"/>
        <v>-71318.724334173545</v>
      </c>
      <c r="AA356" s="16">
        <f t="shared" si="161"/>
        <v>-38287.925947808049</v>
      </c>
      <c r="AB356" s="16">
        <f t="shared" si="162"/>
        <v>-75627.889109814641</v>
      </c>
      <c r="AC356" s="16">
        <f t="shared" si="163"/>
        <v>-69834.878853404269</v>
      </c>
      <c r="AD356" s="16">
        <f t="shared" si="164"/>
        <v>-69934.878853404269</v>
      </c>
      <c r="AE356" s="16">
        <f t="shared" si="165"/>
        <v>-70534.878853404269</v>
      </c>
      <c r="AF356" s="14">
        <f>IF([1]Sheet2!AJ355=999999,"NA",[1]Sheet2!AJ355)</f>
        <v>0</v>
      </c>
      <c r="AG356" s="14">
        <f>IF([1]Sheet2!AK355=999999,"NA",[1]Sheet2!AK355)</f>
        <v>0</v>
      </c>
      <c r="AH356" s="14" t="str">
        <f>IF([1]Sheet2!AL355=999999,"NA",[1]Sheet2!AL355)</f>
        <v>NA</v>
      </c>
      <c r="AI356" s="14">
        <f>IF([1]Sheet2!AM355=999999,"NA",[1]Sheet2!AM355)</f>
        <v>0</v>
      </c>
      <c r="AJ356" s="14">
        <f>IF([1]Sheet2!AN355=999999,"NA",[1]Sheet2!AN355)</f>
        <v>0</v>
      </c>
      <c r="AK356" s="14">
        <f>IF([1]Sheet2!AO355=999999,"NA",[1]Sheet2!AO355)</f>
        <v>0</v>
      </c>
      <c r="AL356" s="14">
        <f>IF([1]Sheet2!AP355=999999,"NA",[1]Sheet2!AP355)</f>
        <v>0</v>
      </c>
      <c r="AM356" s="14">
        <f>IF([1]Sheet2!AQ355=999999,"NA",[1]Sheet2!AQ355)</f>
        <v>0</v>
      </c>
      <c r="AN356" s="14">
        <f>IF([1]Sheet2!AR355=999999,"NA",[1]Sheet2!AR355)</f>
        <v>0</v>
      </c>
      <c r="AO356" s="14">
        <f>IF([1]Sheet2!AS355=999999,"NA",[1]Sheet2!AS355)</f>
        <v>0</v>
      </c>
      <c r="AP356" s="14">
        <f>[1]Sheet2!P355</f>
        <v>0</v>
      </c>
      <c r="AQ356" s="14">
        <f>[1]Sheet2!Q355</f>
        <v>0</v>
      </c>
      <c r="AR356" s="14">
        <f>[1]Sheet2!R355</f>
        <v>0</v>
      </c>
      <c r="AS356" s="14">
        <f>[1]Sheet2!S355</f>
        <v>0</v>
      </c>
      <c r="AT356" s="14">
        <f>[1]Sheet2!T355</f>
        <v>0</v>
      </c>
      <c r="AU356" s="14">
        <f>[1]Sheet2!U355</f>
        <v>0</v>
      </c>
      <c r="AV356" s="14">
        <f>[1]Sheet2!V355</f>
        <v>0</v>
      </c>
      <c r="AW356" s="14">
        <f>[1]Sheet2!W355</f>
        <v>0</v>
      </c>
      <c r="AX356" s="14">
        <f>[1]Sheet2!X355</f>
        <v>0</v>
      </c>
      <c r="AY356" s="14">
        <f>[1]Sheet2!Y355</f>
        <v>0</v>
      </c>
      <c r="AZ356" s="16">
        <f>Demand_LP!B$14/31</f>
        <v>868.56315911910667</v>
      </c>
      <c r="BA356" s="16">
        <f>Demand_LP!C$14/31</f>
        <v>608.40066170388752</v>
      </c>
      <c r="BB356" s="16">
        <f>Demand_LP!D$14/31</f>
        <v>251.20087262200158</v>
      </c>
      <c r="BC356" s="16">
        <f>Demand_LP!E$14/31</f>
        <v>807.45938378825463</v>
      </c>
      <c r="BD356" s="16">
        <f>Demand_LP!F$14/31</f>
        <v>539.59842069892466</v>
      </c>
      <c r="BE356" s="16">
        <f>Demand_LP!G$14/31</f>
        <v>539.59842069892466</v>
      </c>
      <c r="BF356" s="16">
        <f>Demand_LP!H$14/31</f>
        <v>608.40066170388752</v>
      </c>
      <c r="BG356" s="16">
        <f>Demand_LP!I$14/31</f>
        <v>539.59842069892466</v>
      </c>
      <c r="BH356" s="16">
        <f>Demand_LP!J$14/31</f>
        <v>539.59842069892466</v>
      </c>
      <c r="BI356" s="16">
        <f>Demand_LP!K$14/31</f>
        <v>539.59842069892466</v>
      </c>
      <c r="BJ356" s="16">
        <f t="shared" si="166"/>
        <v>-267582.01984033687</v>
      </c>
      <c r="BK356" s="16">
        <f t="shared" si="167"/>
        <v>-200657.38949545083</v>
      </c>
      <c r="BL356" s="16">
        <f t="shared" si="168"/>
        <v>-94966.567861869786</v>
      </c>
      <c r="BM356" s="16">
        <f t="shared" si="169"/>
        <v>-257760.13083984976</v>
      </c>
      <c r="BN356" s="16">
        <f t="shared" si="170"/>
        <v>-158982.31245311414</v>
      </c>
      <c r="BO356" s="16">
        <f t="shared" si="171"/>
        <v>-157439.99637148491</v>
      </c>
      <c r="BP356" s="16">
        <f t="shared" si="172"/>
        <v>-195014.96898263018</v>
      </c>
      <c r="BQ356" s="16">
        <f t="shared" si="173"/>
        <v>-153268.99637148494</v>
      </c>
      <c r="BR356" s="16">
        <f t="shared" si="174"/>
        <v>-155039.99637148497</v>
      </c>
      <c r="BS356" s="16">
        <f t="shared" si="175"/>
        <v>-155739.99637148497</v>
      </c>
      <c r="BT356" s="14">
        <f>IF([1]Sheet2!CB355=999999,"NA",[1]Sheet2!CB355)</f>
        <v>0</v>
      </c>
      <c r="BU356" s="14">
        <f>IF([1]Sheet2!CC355=999999,"NA",[1]Sheet2!CC355)</f>
        <v>0</v>
      </c>
      <c r="BV356" s="14">
        <f>IF([1]Sheet2!CD355=999999,"NA",[1]Sheet2!CD355)</f>
        <v>0</v>
      </c>
      <c r="BW356" s="14">
        <f>IF([1]Sheet2!CE355=999999,"NA",[1]Sheet2!CE355)</f>
        <v>0</v>
      </c>
      <c r="BX356" s="14">
        <f>IF([1]Sheet2!CF355=999999,"NA",[1]Sheet2!CF355)</f>
        <v>0</v>
      </c>
      <c r="BY356" s="14">
        <f>IF([1]Sheet2!CG355=999999,"NA",[1]Sheet2!CG355)</f>
        <v>0</v>
      </c>
      <c r="BZ356" s="14">
        <f>IF([1]Sheet2!CH355=999999,"NA",[1]Sheet2!CH355)</f>
        <v>0</v>
      </c>
      <c r="CA356" s="14">
        <f>IF([1]Sheet2!CI355=999999,"NA",[1]Sheet2!CI355)</f>
        <v>0</v>
      </c>
      <c r="CB356" s="14">
        <f>IF([1]Sheet2!CJ355=999999,"NA",[1]Sheet2!CJ355)</f>
        <v>0</v>
      </c>
      <c r="CC356" s="14">
        <f>IF([1]Sheet2!CK355=999999,"NA",[1]Sheet2!CK355)</f>
        <v>0</v>
      </c>
      <c r="CD356" s="14">
        <f>[1]Sheet2!BH355</f>
        <v>0</v>
      </c>
      <c r="CE356" s="14">
        <f>[1]Sheet2!BI355</f>
        <v>0</v>
      </c>
      <c r="CF356" s="14">
        <f>[1]Sheet2!BJ355</f>
        <v>0</v>
      </c>
      <c r="CG356" s="14">
        <f>[1]Sheet2!BK355</f>
        <v>0</v>
      </c>
      <c r="CH356" s="14">
        <f>[1]Sheet2!BL355</f>
        <v>0</v>
      </c>
      <c r="CI356" s="14">
        <f>[1]Sheet2!BM355</f>
        <v>0</v>
      </c>
      <c r="CJ356" s="14">
        <f>[1]Sheet2!BN355</f>
        <v>0</v>
      </c>
      <c r="CK356" s="14">
        <f>[1]Sheet2!BO355</f>
        <v>0</v>
      </c>
      <c r="CL356" s="14">
        <f>[1]Sheet2!BP355</f>
        <v>0</v>
      </c>
      <c r="CM356" s="14">
        <f>[1]Sheet2!BQ355</f>
        <v>0</v>
      </c>
      <c r="CN356" s="16">
        <f>Demand_SW!B$14/31</f>
        <v>139.57816377171216</v>
      </c>
      <c r="CO356" s="16">
        <f>Demand_SW!C$14/31</f>
        <v>0</v>
      </c>
      <c r="CP356" s="16">
        <f>Demand_SW!D$14/31</f>
        <v>0</v>
      </c>
      <c r="CQ356" s="16">
        <f>Demand_SW!E$14/31</f>
        <v>0</v>
      </c>
      <c r="CR356" s="16">
        <f>Demand_SW!F$14/31</f>
        <v>0</v>
      </c>
      <c r="CS356" s="16">
        <f>Demand_SW!G$14/31</f>
        <v>139.57816377171216</v>
      </c>
      <c r="CT356" s="16">
        <f>Demand_SW!H$14/31</f>
        <v>0</v>
      </c>
      <c r="CU356" s="16">
        <f>Demand_SW!I$14/31</f>
        <v>0</v>
      </c>
      <c r="CV356" s="16">
        <f>Demand_SW!J$14/31</f>
        <v>0</v>
      </c>
      <c r="CW356" s="16">
        <f>Demand_SW!K$14/31</f>
        <v>0</v>
      </c>
      <c r="CX356" s="16">
        <f t="shared" si="176"/>
        <v>-25353.52357320103</v>
      </c>
      <c r="CY356" s="16">
        <f t="shared" si="177"/>
        <v>76.923076923077133</v>
      </c>
      <c r="CZ356" s="16">
        <f t="shared" si="178"/>
        <v>0</v>
      </c>
      <c r="DA356" s="16">
        <f t="shared" si="179"/>
        <v>0</v>
      </c>
      <c r="DB356" s="16">
        <f t="shared" si="180"/>
        <v>0</v>
      </c>
      <c r="DC356" s="16">
        <f t="shared" si="181"/>
        <v>-26584.754342431799</v>
      </c>
      <c r="DD356" s="16">
        <f t="shared" si="182"/>
        <v>76.923076923077133</v>
      </c>
      <c r="DE356" s="16">
        <f t="shared" si="183"/>
        <v>0</v>
      </c>
      <c r="DF356" s="16">
        <f t="shared" si="184"/>
        <v>0</v>
      </c>
      <c r="DG356" s="16">
        <f t="shared" si="185"/>
        <v>0</v>
      </c>
      <c r="DH356" s="14">
        <f>IF([1]Sheet2!DS355=999999,"NA",[1]Sheet2!DS355)</f>
        <v>0</v>
      </c>
      <c r="DI356" s="14">
        <f>IF([1]Sheet2!DT355=999999,"NA",[1]Sheet2!DT355)</f>
        <v>12</v>
      </c>
      <c r="DJ356" s="14" t="str">
        <f>IF([1]Sheet2!DU355=999999,"NA",[1]Sheet2!DU355)</f>
        <v>NA</v>
      </c>
      <c r="DK356" s="14" t="str">
        <f>IF([1]Sheet2!DV355=999999,"NA",[1]Sheet2!DV355)</f>
        <v>NA</v>
      </c>
      <c r="DL356" s="14" t="str">
        <f>IF([1]Sheet2!DW355=999999,"NA",[1]Sheet2!DW355)</f>
        <v>NA</v>
      </c>
      <c r="DM356" s="14">
        <f>IF([1]Sheet2!DX355=999999,"NA",[1]Sheet2!DX355)</f>
        <v>0</v>
      </c>
      <c r="DN356" s="14">
        <f>IF([1]Sheet2!DY355=999999,"NA",[1]Sheet2!DY355)</f>
        <v>12</v>
      </c>
      <c r="DO356" s="14" t="str">
        <f>IF([1]Sheet2!DZ355=999999,"NA",[1]Sheet2!DZ355)</f>
        <v>NA</v>
      </c>
      <c r="DP356" s="14" t="str">
        <f>IF([1]Sheet2!EA355=999999,"NA",[1]Sheet2!EA355)</f>
        <v>NA</v>
      </c>
      <c r="DQ356" s="14" t="str">
        <f>IF([1]Sheet2!EB355=999999,"NA",[1]Sheet2!EB355)</f>
        <v>NA</v>
      </c>
      <c r="DR356" s="14">
        <f>[1]Sheet2!CY355</f>
        <v>0</v>
      </c>
      <c r="DS356" s="14">
        <f>[1]Sheet2!CZ355</f>
        <v>0</v>
      </c>
      <c r="DT356" s="14">
        <f>[1]Sheet2!DA355</f>
        <v>0</v>
      </c>
      <c r="DU356" s="14">
        <f>[1]Sheet2!DB355</f>
        <v>0</v>
      </c>
      <c r="DV356" s="14">
        <f>[1]Sheet2!DC355</f>
        <v>0</v>
      </c>
      <c r="DW356" s="14">
        <f>[1]Sheet2!DD355</f>
        <v>0</v>
      </c>
      <c r="DX356" s="14">
        <f>[1]Sheet2!DE355</f>
        <v>0</v>
      </c>
      <c r="DY356" s="14">
        <f>[1]Sheet2!DF355</f>
        <v>0</v>
      </c>
      <c r="DZ356" s="14">
        <f>[1]Sheet2!DG355</f>
        <v>0</v>
      </c>
      <c r="EA356" s="14">
        <f>[1]Sheet2!DH355</f>
        <v>0</v>
      </c>
      <c r="EB356" s="6">
        <f>[1]Sheet2!EC355</f>
        <v>0</v>
      </c>
      <c r="EC356" s="6">
        <f>[1]Sheet2!ED355</f>
        <v>0</v>
      </c>
      <c r="ED356" s="6">
        <f>[1]Sheet2!EE355</f>
        <v>0</v>
      </c>
      <c r="EE356" s="6">
        <f>[1]Sheet2!EF355</f>
        <v>0</v>
      </c>
      <c r="EF356" s="6">
        <f>[1]Sheet2!EG355</f>
        <v>0</v>
      </c>
      <c r="EG356" s="6">
        <f>[1]Sheet2!EH355</f>
        <v>0</v>
      </c>
      <c r="EH356" s="6">
        <f>[1]Sheet2!EI355</f>
        <v>0</v>
      </c>
      <c r="EI356" s="6">
        <f>[1]Sheet2!EJ355</f>
        <v>0</v>
      </c>
      <c r="EJ356" s="6">
        <f>[1]Sheet2!EK355</f>
        <v>0</v>
      </c>
      <c r="EK356" s="6">
        <f>[1]Sheet2!EL355</f>
        <v>0</v>
      </c>
      <c r="EL356" s="6" t="str">
        <f>[1]Sheet2!EM355</f>
        <v/>
      </c>
      <c r="EM356" s="6" t="str">
        <f>[1]Sheet2!EN355</f>
        <v/>
      </c>
      <c r="EN356" s="6" t="str">
        <f>[1]Sheet2!EO355</f>
        <v/>
      </c>
      <c r="EO356" s="6" t="str">
        <f>[1]Sheet2!EP355</f>
        <v/>
      </c>
      <c r="EP356" s="6" t="str">
        <f>[1]Sheet2!EQ355</f>
        <v/>
      </c>
      <c r="EQ356" s="6" t="str">
        <f>[1]Sheet2!ER355</f>
        <v/>
      </c>
      <c r="ER356" s="6" t="str">
        <f>[1]Sheet2!ES355</f>
        <v/>
      </c>
      <c r="ES356" s="6" t="str">
        <f>[1]Sheet2!ET355</f>
        <v/>
      </c>
      <c r="ET356" s="6" t="str">
        <f>[1]Sheet2!EU355</f>
        <v/>
      </c>
      <c r="EU356" s="6" t="str">
        <f>[1]Sheet2!EV355</f>
        <v/>
      </c>
      <c r="EV356" s="6" t="str">
        <f>[1]Sheet2!EW355</f>
        <v/>
      </c>
      <c r="EW356" s="6" t="str">
        <f>[1]Sheet2!EX355</f>
        <v/>
      </c>
      <c r="EX356" s="6" t="str">
        <f>[1]Sheet2!EY355</f>
        <v/>
      </c>
      <c r="EY356" s="6" t="str">
        <f>[1]Sheet2!EZ355</f>
        <v/>
      </c>
      <c r="EZ356" s="6" t="str">
        <f>[1]Sheet2!FA355</f>
        <v/>
      </c>
      <c r="FA356" s="6" t="str">
        <f>[1]Sheet2!FB355</f>
        <v/>
      </c>
      <c r="FB356" s="6" t="str">
        <f>[1]Sheet2!FC355</f>
        <v/>
      </c>
      <c r="FC356" s="6" t="str">
        <f>[1]Sheet2!FD355</f>
        <v/>
      </c>
      <c r="FD356" s="6" t="str">
        <f>[1]Sheet2!FE355</f>
        <v/>
      </c>
      <c r="FE356" s="6" t="str">
        <f>[1]Sheet2!FF355</f>
        <v/>
      </c>
      <c r="FF356" s="6" t="str">
        <f>[1]Sheet2!FG355</f>
        <v/>
      </c>
      <c r="FG356" s="6" t="str">
        <f>[1]Sheet2!FH355</f>
        <v/>
      </c>
      <c r="FH356" s="6" t="str">
        <f>[1]Sheet2!FI355</f>
        <v/>
      </c>
      <c r="FI356" s="6" t="str">
        <f>[1]Sheet2!FJ355</f>
        <v/>
      </c>
      <c r="FJ356" s="6" t="str">
        <f>[1]Sheet2!FK355</f>
        <v/>
      </c>
      <c r="FK356" s="6" t="str">
        <f>[1]Sheet2!FL355</f>
        <v/>
      </c>
      <c r="FL356" s="6" t="str">
        <f>[1]Sheet2!FM355</f>
        <v/>
      </c>
      <c r="FM356" s="6" t="str">
        <f>[1]Sheet2!FN355</f>
        <v/>
      </c>
      <c r="FN356" s="6" t="str">
        <f>[1]Sheet2!FO355</f>
        <v/>
      </c>
      <c r="FO356" s="6" t="str">
        <f>[1]Sheet2!FP355</f>
        <v/>
      </c>
    </row>
    <row r="357" spans="1:171" x14ac:dyDescent="0.25">
      <c r="A357" s="15">
        <v>43819</v>
      </c>
      <c r="B357" s="1"/>
      <c r="C357" s="1"/>
      <c r="D357" s="1"/>
      <c r="E357" s="14">
        <f>[1]Sheet2!N356</f>
        <v>0</v>
      </c>
      <c r="F357" s="14">
        <f>[1]Sheet2!BE356</f>
        <v>0</v>
      </c>
      <c r="G357" s="14">
        <f>[1]Sheet2!CW356</f>
        <v>0</v>
      </c>
      <c r="H357" s="1"/>
      <c r="I357" s="1"/>
      <c r="J357" s="1"/>
      <c r="K357" s="16"/>
      <c r="L357" s="16">
        <f>Demand_CWRS!B$14/31</f>
        <v>95.176711124896599</v>
      </c>
      <c r="M357" s="16">
        <f>Demand_CWRS!C$14/31</f>
        <v>526.22795698924722</v>
      </c>
      <c r="N357" s="16">
        <f>Demand_CWRS!D$14/31</f>
        <v>0</v>
      </c>
      <c r="O357" s="16">
        <f>Demand_CWRS!E$14/31</f>
        <v>102.37076095947063</v>
      </c>
      <c r="P357" s="16">
        <f>Demand_CWRS!F$14/31</f>
        <v>219.86823562861866</v>
      </c>
      <c r="Q357" s="16">
        <f>Demand_CWRS!G$14/31</f>
        <v>95.176711124896599</v>
      </c>
      <c r="R357" s="16">
        <f>Demand_CWRS!H$14/31</f>
        <v>219.86823562861866</v>
      </c>
      <c r="S357" s="16">
        <f>Demand_CWRS!I$14/31</f>
        <v>219.86823562861866</v>
      </c>
      <c r="T357" s="16">
        <f>Demand_CWRS!J$14/31</f>
        <v>219.86823562861866</v>
      </c>
      <c r="U357" s="16">
        <f>Demand_CWRS!K$14/31</f>
        <v>219.86823562861866</v>
      </c>
      <c r="V357" s="16">
        <f t="shared" si="156"/>
        <v>-39855.035182971333</v>
      </c>
      <c r="W357" s="16">
        <f t="shared" si="157"/>
        <v>-163133.65401157961</v>
      </c>
      <c r="X357" s="16">
        <f t="shared" si="158"/>
        <v>0</v>
      </c>
      <c r="Y357" s="16">
        <f t="shared" si="159"/>
        <v>-31350.627666446828</v>
      </c>
      <c r="Z357" s="16">
        <f t="shared" si="160"/>
        <v>-71538.59256980216</v>
      </c>
      <c r="AA357" s="16">
        <f t="shared" si="161"/>
        <v>-38383.102658932949</v>
      </c>
      <c r="AB357" s="16">
        <f t="shared" si="162"/>
        <v>-75847.757345443257</v>
      </c>
      <c r="AC357" s="16">
        <f t="shared" si="163"/>
        <v>-70054.747089032884</v>
      </c>
      <c r="AD357" s="16">
        <f t="shared" si="164"/>
        <v>-70154.747089032884</v>
      </c>
      <c r="AE357" s="16">
        <f t="shared" si="165"/>
        <v>-70754.747089032884</v>
      </c>
      <c r="AF357" s="14">
        <f>IF([1]Sheet2!AJ356=999999,"NA",[1]Sheet2!AJ356)</f>
        <v>0</v>
      </c>
      <c r="AG357" s="14">
        <f>IF([1]Sheet2!AK356=999999,"NA",[1]Sheet2!AK356)</f>
        <v>0</v>
      </c>
      <c r="AH357" s="14" t="str">
        <f>IF([1]Sheet2!AL356=999999,"NA",[1]Sheet2!AL356)</f>
        <v>NA</v>
      </c>
      <c r="AI357" s="14">
        <f>IF([1]Sheet2!AM356=999999,"NA",[1]Sheet2!AM356)</f>
        <v>0</v>
      </c>
      <c r="AJ357" s="14">
        <f>IF([1]Sheet2!AN356=999999,"NA",[1]Sheet2!AN356)</f>
        <v>0</v>
      </c>
      <c r="AK357" s="14">
        <f>IF([1]Sheet2!AO356=999999,"NA",[1]Sheet2!AO356)</f>
        <v>0</v>
      </c>
      <c r="AL357" s="14">
        <f>IF([1]Sheet2!AP356=999999,"NA",[1]Sheet2!AP356)</f>
        <v>0</v>
      </c>
      <c r="AM357" s="14">
        <f>IF([1]Sheet2!AQ356=999999,"NA",[1]Sheet2!AQ356)</f>
        <v>0</v>
      </c>
      <c r="AN357" s="14">
        <f>IF([1]Sheet2!AR356=999999,"NA",[1]Sheet2!AR356)</f>
        <v>0</v>
      </c>
      <c r="AO357" s="14">
        <f>IF([1]Sheet2!AS356=999999,"NA",[1]Sheet2!AS356)</f>
        <v>0</v>
      </c>
      <c r="AP357" s="14">
        <f>[1]Sheet2!P356</f>
        <v>0</v>
      </c>
      <c r="AQ357" s="14">
        <f>[1]Sheet2!Q356</f>
        <v>0</v>
      </c>
      <c r="AR357" s="14">
        <f>[1]Sheet2!R356</f>
        <v>0</v>
      </c>
      <c r="AS357" s="14">
        <f>[1]Sheet2!S356</f>
        <v>0</v>
      </c>
      <c r="AT357" s="14">
        <f>[1]Sheet2!T356</f>
        <v>0</v>
      </c>
      <c r="AU357" s="14">
        <f>[1]Sheet2!U356</f>
        <v>0</v>
      </c>
      <c r="AV357" s="14">
        <f>[1]Sheet2!V356</f>
        <v>0</v>
      </c>
      <c r="AW357" s="14">
        <f>[1]Sheet2!W356</f>
        <v>0</v>
      </c>
      <c r="AX357" s="14">
        <f>[1]Sheet2!X356</f>
        <v>0</v>
      </c>
      <c r="AY357" s="14">
        <f>[1]Sheet2!Y356</f>
        <v>0</v>
      </c>
      <c r="AZ357" s="16">
        <f>Demand_LP!B$14/31</f>
        <v>868.56315911910667</v>
      </c>
      <c r="BA357" s="16">
        <f>Demand_LP!C$14/31</f>
        <v>608.40066170388752</v>
      </c>
      <c r="BB357" s="16">
        <f>Demand_LP!D$14/31</f>
        <v>251.20087262200158</v>
      </c>
      <c r="BC357" s="16">
        <f>Demand_LP!E$14/31</f>
        <v>807.45938378825463</v>
      </c>
      <c r="BD357" s="16">
        <f>Demand_LP!F$14/31</f>
        <v>539.59842069892466</v>
      </c>
      <c r="BE357" s="16">
        <f>Demand_LP!G$14/31</f>
        <v>539.59842069892466</v>
      </c>
      <c r="BF357" s="16">
        <f>Demand_LP!H$14/31</f>
        <v>608.40066170388752</v>
      </c>
      <c r="BG357" s="16">
        <f>Demand_LP!I$14/31</f>
        <v>539.59842069892466</v>
      </c>
      <c r="BH357" s="16">
        <f>Demand_LP!J$14/31</f>
        <v>539.59842069892466</v>
      </c>
      <c r="BI357" s="16">
        <f>Demand_LP!K$14/31</f>
        <v>539.59842069892466</v>
      </c>
      <c r="BJ357" s="16">
        <f t="shared" si="166"/>
        <v>-268450.58299945598</v>
      </c>
      <c r="BK357" s="16">
        <f t="shared" si="167"/>
        <v>-201265.79015715473</v>
      </c>
      <c r="BL357" s="16">
        <f t="shared" si="168"/>
        <v>-95217.768734491794</v>
      </c>
      <c r="BM357" s="16">
        <f t="shared" si="169"/>
        <v>-258567.59022363802</v>
      </c>
      <c r="BN357" s="16">
        <f t="shared" si="170"/>
        <v>-159521.91087381306</v>
      </c>
      <c r="BO357" s="16">
        <f t="shared" si="171"/>
        <v>-157979.59479218384</v>
      </c>
      <c r="BP357" s="16">
        <f t="shared" si="172"/>
        <v>-195623.36964433407</v>
      </c>
      <c r="BQ357" s="16">
        <f t="shared" si="173"/>
        <v>-153808.59479218387</v>
      </c>
      <c r="BR357" s="16">
        <f t="shared" si="174"/>
        <v>-155579.5947921839</v>
      </c>
      <c r="BS357" s="16">
        <f t="shared" si="175"/>
        <v>-156279.5947921839</v>
      </c>
      <c r="BT357" s="14">
        <f>IF([1]Sheet2!CB356=999999,"NA",[1]Sheet2!CB356)</f>
        <v>0</v>
      </c>
      <c r="BU357" s="14">
        <f>IF([1]Sheet2!CC356=999999,"NA",[1]Sheet2!CC356)</f>
        <v>0</v>
      </c>
      <c r="BV357" s="14">
        <f>IF([1]Sheet2!CD356=999999,"NA",[1]Sheet2!CD356)</f>
        <v>0</v>
      </c>
      <c r="BW357" s="14">
        <f>IF([1]Sheet2!CE356=999999,"NA",[1]Sheet2!CE356)</f>
        <v>0</v>
      </c>
      <c r="BX357" s="14">
        <f>IF([1]Sheet2!CF356=999999,"NA",[1]Sheet2!CF356)</f>
        <v>0</v>
      </c>
      <c r="BY357" s="14">
        <f>IF([1]Sheet2!CG356=999999,"NA",[1]Sheet2!CG356)</f>
        <v>0</v>
      </c>
      <c r="BZ357" s="14">
        <f>IF([1]Sheet2!CH356=999999,"NA",[1]Sheet2!CH356)</f>
        <v>0</v>
      </c>
      <c r="CA357" s="14">
        <f>IF([1]Sheet2!CI356=999999,"NA",[1]Sheet2!CI356)</f>
        <v>0</v>
      </c>
      <c r="CB357" s="14">
        <f>IF([1]Sheet2!CJ356=999999,"NA",[1]Sheet2!CJ356)</f>
        <v>0</v>
      </c>
      <c r="CC357" s="14">
        <f>IF([1]Sheet2!CK356=999999,"NA",[1]Sheet2!CK356)</f>
        <v>0</v>
      </c>
      <c r="CD357" s="14">
        <f>[1]Sheet2!BH356</f>
        <v>0</v>
      </c>
      <c r="CE357" s="14">
        <f>[1]Sheet2!BI356</f>
        <v>0</v>
      </c>
      <c r="CF357" s="14">
        <f>[1]Sheet2!BJ356</f>
        <v>0</v>
      </c>
      <c r="CG357" s="14">
        <f>[1]Sheet2!BK356</f>
        <v>0</v>
      </c>
      <c r="CH357" s="14">
        <f>[1]Sheet2!BL356</f>
        <v>0</v>
      </c>
      <c r="CI357" s="14">
        <f>[1]Sheet2!BM356</f>
        <v>0</v>
      </c>
      <c r="CJ357" s="14">
        <f>[1]Sheet2!BN356</f>
        <v>0</v>
      </c>
      <c r="CK357" s="14">
        <f>[1]Sheet2!BO356</f>
        <v>0</v>
      </c>
      <c r="CL357" s="14">
        <f>[1]Sheet2!BP356</f>
        <v>0</v>
      </c>
      <c r="CM357" s="14">
        <f>[1]Sheet2!BQ356</f>
        <v>0</v>
      </c>
      <c r="CN357" s="16">
        <f>Demand_SW!B$14/31</f>
        <v>139.57816377171216</v>
      </c>
      <c r="CO357" s="16">
        <f>Demand_SW!C$14/31</f>
        <v>0</v>
      </c>
      <c r="CP357" s="16">
        <f>Demand_SW!D$14/31</f>
        <v>0</v>
      </c>
      <c r="CQ357" s="16">
        <f>Demand_SW!E$14/31</f>
        <v>0</v>
      </c>
      <c r="CR357" s="16">
        <f>Demand_SW!F$14/31</f>
        <v>0</v>
      </c>
      <c r="CS357" s="16">
        <f>Demand_SW!G$14/31</f>
        <v>139.57816377171216</v>
      </c>
      <c r="CT357" s="16">
        <f>Demand_SW!H$14/31</f>
        <v>0</v>
      </c>
      <c r="CU357" s="16">
        <f>Demand_SW!I$14/31</f>
        <v>0</v>
      </c>
      <c r="CV357" s="16">
        <f>Demand_SW!J$14/31</f>
        <v>0</v>
      </c>
      <c r="CW357" s="16">
        <f>Demand_SW!K$14/31</f>
        <v>0</v>
      </c>
      <c r="CX357" s="16">
        <f t="shared" si="176"/>
        <v>-25493.101736972741</v>
      </c>
      <c r="CY357" s="16">
        <f t="shared" si="177"/>
        <v>76.923076923077133</v>
      </c>
      <c r="CZ357" s="16">
        <f t="shared" si="178"/>
        <v>0</v>
      </c>
      <c r="DA357" s="16">
        <f t="shared" si="179"/>
        <v>0</v>
      </c>
      <c r="DB357" s="16">
        <f t="shared" si="180"/>
        <v>0</v>
      </c>
      <c r="DC357" s="16">
        <f t="shared" si="181"/>
        <v>-26724.332506203511</v>
      </c>
      <c r="DD357" s="16">
        <f t="shared" si="182"/>
        <v>76.923076923077133</v>
      </c>
      <c r="DE357" s="16">
        <f t="shared" si="183"/>
        <v>0</v>
      </c>
      <c r="DF357" s="16">
        <f t="shared" si="184"/>
        <v>0</v>
      </c>
      <c r="DG357" s="16">
        <f t="shared" si="185"/>
        <v>0</v>
      </c>
      <c r="DH357" s="14">
        <f>IF([1]Sheet2!DS356=999999,"NA",[1]Sheet2!DS356)</f>
        <v>0</v>
      </c>
      <c r="DI357" s="14">
        <f>IF([1]Sheet2!DT356=999999,"NA",[1]Sheet2!DT356)</f>
        <v>11</v>
      </c>
      <c r="DJ357" s="14" t="str">
        <f>IF([1]Sheet2!DU356=999999,"NA",[1]Sheet2!DU356)</f>
        <v>NA</v>
      </c>
      <c r="DK357" s="14" t="str">
        <f>IF([1]Sheet2!DV356=999999,"NA",[1]Sheet2!DV356)</f>
        <v>NA</v>
      </c>
      <c r="DL357" s="14" t="str">
        <f>IF([1]Sheet2!DW356=999999,"NA",[1]Sheet2!DW356)</f>
        <v>NA</v>
      </c>
      <c r="DM357" s="14">
        <f>IF([1]Sheet2!DX356=999999,"NA",[1]Sheet2!DX356)</f>
        <v>0</v>
      </c>
      <c r="DN357" s="14">
        <f>IF([1]Sheet2!DY356=999999,"NA",[1]Sheet2!DY356)</f>
        <v>11</v>
      </c>
      <c r="DO357" s="14" t="str">
        <f>IF([1]Sheet2!DZ356=999999,"NA",[1]Sheet2!DZ356)</f>
        <v>NA</v>
      </c>
      <c r="DP357" s="14" t="str">
        <f>IF([1]Sheet2!EA356=999999,"NA",[1]Sheet2!EA356)</f>
        <v>NA</v>
      </c>
      <c r="DQ357" s="14" t="str">
        <f>IF([1]Sheet2!EB356=999999,"NA",[1]Sheet2!EB356)</f>
        <v>NA</v>
      </c>
      <c r="DR357" s="14">
        <f>[1]Sheet2!CY356</f>
        <v>0</v>
      </c>
      <c r="DS357" s="14">
        <f>[1]Sheet2!CZ356</f>
        <v>0</v>
      </c>
      <c r="DT357" s="14">
        <f>[1]Sheet2!DA356</f>
        <v>0</v>
      </c>
      <c r="DU357" s="14">
        <f>[1]Sheet2!DB356</f>
        <v>0</v>
      </c>
      <c r="DV357" s="14">
        <f>[1]Sheet2!DC356</f>
        <v>0</v>
      </c>
      <c r="DW357" s="14">
        <f>[1]Sheet2!DD356</f>
        <v>0</v>
      </c>
      <c r="DX357" s="14">
        <f>[1]Sheet2!DE356</f>
        <v>0</v>
      </c>
      <c r="DY357" s="14">
        <f>[1]Sheet2!DF356</f>
        <v>0</v>
      </c>
      <c r="DZ357" s="14">
        <f>[1]Sheet2!DG356</f>
        <v>0</v>
      </c>
      <c r="EA357" s="14">
        <f>[1]Sheet2!DH356</f>
        <v>0</v>
      </c>
      <c r="EB357" s="6">
        <f>[1]Sheet2!EC356</f>
        <v>0</v>
      </c>
      <c r="EC357" s="6">
        <f>[1]Sheet2!ED356</f>
        <v>0</v>
      </c>
      <c r="ED357" s="6">
        <f>[1]Sheet2!EE356</f>
        <v>0</v>
      </c>
      <c r="EE357" s="6">
        <f>[1]Sheet2!EF356</f>
        <v>0</v>
      </c>
      <c r="EF357" s="6">
        <f>[1]Sheet2!EG356</f>
        <v>0</v>
      </c>
      <c r="EG357" s="6">
        <f>[1]Sheet2!EH356</f>
        <v>0</v>
      </c>
      <c r="EH357" s="6">
        <f>[1]Sheet2!EI356</f>
        <v>0</v>
      </c>
      <c r="EI357" s="6">
        <f>[1]Sheet2!EJ356</f>
        <v>0</v>
      </c>
      <c r="EJ357" s="6">
        <f>[1]Sheet2!EK356</f>
        <v>0</v>
      </c>
      <c r="EK357" s="6">
        <f>[1]Sheet2!EL356</f>
        <v>0</v>
      </c>
      <c r="EL357" s="6" t="str">
        <f>[1]Sheet2!EM356</f>
        <v/>
      </c>
      <c r="EM357" s="6" t="str">
        <f>[1]Sheet2!EN356</f>
        <v/>
      </c>
      <c r="EN357" s="6" t="str">
        <f>[1]Sheet2!EO356</f>
        <v/>
      </c>
      <c r="EO357" s="6" t="str">
        <f>[1]Sheet2!EP356</f>
        <v/>
      </c>
      <c r="EP357" s="6" t="str">
        <f>[1]Sheet2!EQ356</f>
        <v/>
      </c>
      <c r="EQ357" s="6" t="str">
        <f>[1]Sheet2!ER356</f>
        <v/>
      </c>
      <c r="ER357" s="6" t="str">
        <f>[1]Sheet2!ES356</f>
        <v/>
      </c>
      <c r="ES357" s="6" t="str">
        <f>[1]Sheet2!ET356</f>
        <v/>
      </c>
      <c r="ET357" s="6" t="str">
        <f>[1]Sheet2!EU356</f>
        <v/>
      </c>
      <c r="EU357" s="6" t="str">
        <f>[1]Sheet2!EV356</f>
        <v/>
      </c>
      <c r="EV357" s="6" t="str">
        <f>[1]Sheet2!EW356</f>
        <v/>
      </c>
      <c r="EW357" s="6" t="str">
        <f>[1]Sheet2!EX356</f>
        <v/>
      </c>
      <c r="EX357" s="6" t="str">
        <f>[1]Sheet2!EY356</f>
        <v/>
      </c>
      <c r="EY357" s="6" t="str">
        <f>[1]Sheet2!EZ356</f>
        <v/>
      </c>
      <c r="EZ357" s="6" t="str">
        <f>[1]Sheet2!FA356</f>
        <v/>
      </c>
      <c r="FA357" s="6" t="str">
        <f>[1]Sheet2!FB356</f>
        <v/>
      </c>
      <c r="FB357" s="6" t="str">
        <f>[1]Sheet2!FC356</f>
        <v/>
      </c>
      <c r="FC357" s="6" t="str">
        <f>[1]Sheet2!FD356</f>
        <v/>
      </c>
      <c r="FD357" s="6" t="str">
        <f>[1]Sheet2!FE356</f>
        <v/>
      </c>
      <c r="FE357" s="6" t="str">
        <f>[1]Sheet2!FF356</f>
        <v/>
      </c>
      <c r="FF357" s="6" t="str">
        <f>[1]Sheet2!FG356</f>
        <v/>
      </c>
      <c r="FG357" s="6" t="str">
        <f>[1]Sheet2!FH356</f>
        <v/>
      </c>
      <c r="FH357" s="6" t="str">
        <f>[1]Sheet2!FI356</f>
        <v/>
      </c>
      <c r="FI357" s="6" t="str">
        <f>[1]Sheet2!FJ356</f>
        <v/>
      </c>
      <c r="FJ357" s="6" t="str">
        <f>[1]Sheet2!FK356</f>
        <v/>
      </c>
      <c r="FK357" s="6" t="str">
        <f>[1]Sheet2!FL356</f>
        <v/>
      </c>
      <c r="FL357" s="6" t="str">
        <f>[1]Sheet2!FM356</f>
        <v/>
      </c>
      <c r="FM357" s="6" t="str">
        <f>[1]Sheet2!FN356</f>
        <v/>
      </c>
      <c r="FN357" s="6" t="str">
        <f>[1]Sheet2!FO356</f>
        <v/>
      </c>
      <c r="FO357" s="6" t="str">
        <f>[1]Sheet2!FP356</f>
        <v/>
      </c>
    </row>
    <row r="358" spans="1:171" x14ac:dyDescent="0.25">
      <c r="A358" s="15">
        <v>43820</v>
      </c>
      <c r="B358" s="1"/>
      <c r="C358" s="1"/>
      <c r="D358" s="1"/>
      <c r="E358" s="14">
        <f>[1]Sheet2!N357</f>
        <v>0</v>
      </c>
      <c r="F358" s="14">
        <f>[1]Sheet2!BE357</f>
        <v>0</v>
      </c>
      <c r="G358" s="14">
        <f>[1]Sheet2!CW357</f>
        <v>0</v>
      </c>
      <c r="H358" s="1"/>
      <c r="I358" s="1"/>
      <c r="J358" s="1"/>
      <c r="K358" s="16"/>
      <c r="L358" s="16">
        <f>Demand_CWRS!B$14/31</f>
        <v>95.176711124896599</v>
      </c>
      <c r="M358" s="16">
        <f>Demand_CWRS!C$14/31</f>
        <v>526.22795698924722</v>
      </c>
      <c r="N358" s="16">
        <f>Demand_CWRS!D$14/31</f>
        <v>0</v>
      </c>
      <c r="O358" s="16">
        <f>Demand_CWRS!E$14/31</f>
        <v>102.37076095947063</v>
      </c>
      <c r="P358" s="16">
        <f>Demand_CWRS!F$14/31</f>
        <v>219.86823562861866</v>
      </c>
      <c r="Q358" s="16">
        <f>Demand_CWRS!G$14/31</f>
        <v>95.176711124896599</v>
      </c>
      <c r="R358" s="16">
        <f>Demand_CWRS!H$14/31</f>
        <v>219.86823562861866</v>
      </c>
      <c r="S358" s="16">
        <f>Demand_CWRS!I$14/31</f>
        <v>219.86823562861866</v>
      </c>
      <c r="T358" s="16">
        <f>Demand_CWRS!J$14/31</f>
        <v>219.86823562861866</v>
      </c>
      <c r="U358" s="16">
        <f>Demand_CWRS!K$14/31</f>
        <v>219.86823562861866</v>
      </c>
      <c r="V358" s="16">
        <f t="shared" si="156"/>
        <v>-39950.211894096232</v>
      </c>
      <c r="W358" s="16">
        <f t="shared" si="157"/>
        <v>-163659.88196856886</v>
      </c>
      <c r="X358" s="16">
        <f t="shared" si="158"/>
        <v>0</v>
      </c>
      <c r="Y358" s="16">
        <f t="shared" si="159"/>
        <v>-31452.998427406299</v>
      </c>
      <c r="Z358" s="16">
        <f t="shared" si="160"/>
        <v>-71758.460805430776</v>
      </c>
      <c r="AA358" s="16">
        <f t="shared" si="161"/>
        <v>-38478.279370057848</v>
      </c>
      <c r="AB358" s="16">
        <f t="shared" si="162"/>
        <v>-76067.625581071872</v>
      </c>
      <c r="AC358" s="16">
        <f t="shared" si="163"/>
        <v>-70274.615324661499</v>
      </c>
      <c r="AD358" s="16">
        <f t="shared" si="164"/>
        <v>-70374.615324661499</v>
      </c>
      <c r="AE358" s="16">
        <f t="shared" si="165"/>
        <v>-70974.615324661499</v>
      </c>
      <c r="AF358" s="14">
        <f>IF([1]Sheet2!AJ357=999999,"NA",[1]Sheet2!AJ357)</f>
        <v>0</v>
      </c>
      <c r="AG358" s="14">
        <f>IF([1]Sheet2!AK357=999999,"NA",[1]Sheet2!AK357)</f>
        <v>0</v>
      </c>
      <c r="AH358" s="14" t="str">
        <f>IF([1]Sheet2!AL357=999999,"NA",[1]Sheet2!AL357)</f>
        <v>NA</v>
      </c>
      <c r="AI358" s="14">
        <f>IF([1]Sheet2!AM357=999999,"NA",[1]Sheet2!AM357)</f>
        <v>0</v>
      </c>
      <c r="AJ358" s="14">
        <f>IF([1]Sheet2!AN357=999999,"NA",[1]Sheet2!AN357)</f>
        <v>0</v>
      </c>
      <c r="AK358" s="14">
        <f>IF([1]Sheet2!AO357=999999,"NA",[1]Sheet2!AO357)</f>
        <v>0</v>
      </c>
      <c r="AL358" s="14">
        <f>IF([1]Sheet2!AP357=999999,"NA",[1]Sheet2!AP357)</f>
        <v>0</v>
      </c>
      <c r="AM358" s="14">
        <f>IF([1]Sheet2!AQ357=999999,"NA",[1]Sheet2!AQ357)</f>
        <v>0</v>
      </c>
      <c r="AN358" s="14">
        <f>IF([1]Sheet2!AR357=999999,"NA",[1]Sheet2!AR357)</f>
        <v>0</v>
      </c>
      <c r="AO358" s="14">
        <f>IF([1]Sheet2!AS357=999999,"NA",[1]Sheet2!AS357)</f>
        <v>0</v>
      </c>
      <c r="AP358" s="14">
        <f>[1]Sheet2!P357</f>
        <v>0</v>
      </c>
      <c r="AQ358" s="14">
        <f>[1]Sheet2!Q357</f>
        <v>0</v>
      </c>
      <c r="AR358" s="14">
        <f>[1]Sheet2!R357</f>
        <v>0</v>
      </c>
      <c r="AS358" s="14">
        <f>[1]Sheet2!S357</f>
        <v>0</v>
      </c>
      <c r="AT358" s="14">
        <f>[1]Sheet2!T357</f>
        <v>0</v>
      </c>
      <c r="AU358" s="14">
        <f>[1]Sheet2!U357</f>
        <v>0</v>
      </c>
      <c r="AV358" s="14">
        <f>[1]Sheet2!V357</f>
        <v>0</v>
      </c>
      <c r="AW358" s="14">
        <f>[1]Sheet2!W357</f>
        <v>0</v>
      </c>
      <c r="AX358" s="14">
        <f>[1]Sheet2!X357</f>
        <v>0</v>
      </c>
      <c r="AY358" s="14">
        <f>[1]Sheet2!Y357</f>
        <v>0</v>
      </c>
      <c r="AZ358" s="16">
        <f>Demand_LP!B$14/31</f>
        <v>868.56315911910667</v>
      </c>
      <c r="BA358" s="16">
        <f>Demand_LP!C$14/31</f>
        <v>608.40066170388752</v>
      </c>
      <c r="BB358" s="16">
        <f>Demand_LP!D$14/31</f>
        <v>251.20087262200158</v>
      </c>
      <c r="BC358" s="16">
        <f>Demand_LP!E$14/31</f>
        <v>807.45938378825463</v>
      </c>
      <c r="BD358" s="16">
        <f>Demand_LP!F$14/31</f>
        <v>539.59842069892466</v>
      </c>
      <c r="BE358" s="16">
        <f>Demand_LP!G$14/31</f>
        <v>539.59842069892466</v>
      </c>
      <c r="BF358" s="16">
        <f>Demand_LP!H$14/31</f>
        <v>608.40066170388752</v>
      </c>
      <c r="BG358" s="16">
        <f>Demand_LP!I$14/31</f>
        <v>539.59842069892466</v>
      </c>
      <c r="BH358" s="16">
        <f>Demand_LP!J$14/31</f>
        <v>539.59842069892466</v>
      </c>
      <c r="BI358" s="16">
        <f>Demand_LP!K$14/31</f>
        <v>539.59842069892466</v>
      </c>
      <c r="BJ358" s="16">
        <f t="shared" si="166"/>
        <v>-269319.14615857508</v>
      </c>
      <c r="BK358" s="16">
        <f t="shared" si="167"/>
        <v>-201874.19081885862</v>
      </c>
      <c r="BL358" s="16">
        <f t="shared" si="168"/>
        <v>-95468.969607113802</v>
      </c>
      <c r="BM358" s="16">
        <f t="shared" si="169"/>
        <v>-259375.04960742628</v>
      </c>
      <c r="BN358" s="16">
        <f t="shared" si="170"/>
        <v>-160061.50929451198</v>
      </c>
      <c r="BO358" s="16">
        <f t="shared" si="171"/>
        <v>-158519.19321288276</v>
      </c>
      <c r="BP358" s="16">
        <f t="shared" si="172"/>
        <v>-196231.77030603797</v>
      </c>
      <c r="BQ358" s="16">
        <f t="shared" si="173"/>
        <v>-154348.19321288279</v>
      </c>
      <c r="BR358" s="16">
        <f t="shared" si="174"/>
        <v>-156119.19321288282</v>
      </c>
      <c r="BS358" s="16">
        <f t="shared" si="175"/>
        <v>-156819.19321288282</v>
      </c>
      <c r="BT358" s="14">
        <f>IF([1]Sheet2!CB357=999999,"NA",[1]Sheet2!CB357)</f>
        <v>0</v>
      </c>
      <c r="BU358" s="14">
        <f>IF([1]Sheet2!CC357=999999,"NA",[1]Sheet2!CC357)</f>
        <v>0</v>
      </c>
      <c r="BV358" s="14">
        <f>IF([1]Sheet2!CD357=999999,"NA",[1]Sheet2!CD357)</f>
        <v>0</v>
      </c>
      <c r="BW358" s="14">
        <f>IF([1]Sheet2!CE357=999999,"NA",[1]Sheet2!CE357)</f>
        <v>0</v>
      </c>
      <c r="BX358" s="14">
        <f>IF([1]Sheet2!CF357=999999,"NA",[1]Sheet2!CF357)</f>
        <v>0</v>
      </c>
      <c r="BY358" s="14">
        <f>IF([1]Sheet2!CG357=999999,"NA",[1]Sheet2!CG357)</f>
        <v>0</v>
      </c>
      <c r="BZ358" s="14">
        <f>IF([1]Sheet2!CH357=999999,"NA",[1]Sheet2!CH357)</f>
        <v>0</v>
      </c>
      <c r="CA358" s="14">
        <f>IF([1]Sheet2!CI357=999999,"NA",[1]Sheet2!CI357)</f>
        <v>0</v>
      </c>
      <c r="CB358" s="14">
        <f>IF([1]Sheet2!CJ357=999999,"NA",[1]Sheet2!CJ357)</f>
        <v>0</v>
      </c>
      <c r="CC358" s="14">
        <f>IF([1]Sheet2!CK357=999999,"NA",[1]Sheet2!CK357)</f>
        <v>0</v>
      </c>
      <c r="CD358" s="14">
        <f>[1]Sheet2!BH357</f>
        <v>0</v>
      </c>
      <c r="CE358" s="14">
        <f>[1]Sheet2!BI357</f>
        <v>0</v>
      </c>
      <c r="CF358" s="14">
        <f>[1]Sheet2!BJ357</f>
        <v>0</v>
      </c>
      <c r="CG358" s="14">
        <f>[1]Sheet2!BK357</f>
        <v>0</v>
      </c>
      <c r="CH358" s="14">
        <f>[1]Sheet2!BL357</f>
        <v>0</v>
      </c>
      <c r="CI358" s="14">
        <f>[1]Sheet2!BM357</f>
        <v>0</v>
      </c>
      <c r="CJ358" s="14">
        <f>[1]Sheet2!BN357</f>
        <v>0</v>
      </c>
      <c r="CK358" s="14">
        <f>[1]Sheet2!BO357</f>
        <v>0</v>
      </c>
      <c r="CL358" s="14">
        <f>[1]Sheet2!BP357</f>
        <v>0</v>
      </c>
      <c r="CM358" s="14">
        <f>[1]Sheet2!BQ357</f>
        <v>0</v>
      </c>
      <c r="CN358" s="16">
        <f>Demand_SW!B$14/31</f>
        <v>139.57816377171216</v>
      </c>
      <c r="CO358" s="16">
        <f>Demand_SW!C$14/31</f>
        <v>0</v>
      </c>
      <c r="CP358" s="16">
        <f>Demand_SW!D$14/31</f>
        <v>0</v>
      </c>
      <c r="CQ358" s="16">
        <f>Demand_SW!E$14/31</f>
        <v>0</v>
      </c>
      <c r="CR358" s="16">
        <f>Demand_SW!F$14/31</f>
        <v>0</v>
      </c>
      <c r="CS358" s="16">
        <f>Demand_SW!G$14/31</f>
        <v>139.57816377171216</v>
      </c>
      <c r="CT358" s="16">
        <f>Demand_SW!H$14/31</f>
        <v>0</v>
      </c>
      <c r="CU358" s="16">
        <f>Demand_SW!I$14/31</f>
        <v>0</v>
      </c>
      <c r="CV358" s="16">
        <f>Demand_SW!J$14/31</f>
        <v>0</v>
      </c>
      <c r="CW358" s="16">
        <f>Demand_SW!K$14/31</f>
        <v>0</v>
      </c>
      <c r="CX358" s="16">
        <f t="shared" si="176"/>
        <v>-25632.679900744453</v>
      </c>
      <c r="CY358" s="16">
        <f t="shared" si="177"/>
        <v>76.923076923077133</v>
      </c>
      <c r="CZ358" s="16">
        <f t="shared" si="178"/>
        <v>0</v>
      </c>
      <c r="DA358" s="16">
        <f t="shared" si="179"/>
        <v>0</v>
      </c>
      <c r="DB358" s="16">
        <f t="shared" si="180"/>
        <v>0</v>
      </c>
      <c r="DC358" s="16">
        <f t="shared" si="181"/>
        <v>-26863.910669975223</v>
      </c>
      <c r="DD358" s="16">
        <f t="shared" si="182"/>
        <v>76.923076923077133</v>
      </c>
      <c r="DE358" s="16">
        <f t="shared" si="183"/>
        <v>0</v>
      </c>
      <c r="DF358" s="16">
        <f t="shared" si="184"/>
        <v>0</v>
      </c>
      <c r="DG358" s="16">
        <f t="shared" si="185"/>
        <v>0</v>
      </c>
      <c r="DH358" s="14">
        <f>IF([1]Sheet2!DS357=999999,"NA",[1]Sheet2!DS357)</f>
        <v>0</v>
      </c>
      <c r="DI358" s="14">
        <f>IF([1]Sheet2!DT357=999999,"NA",[1]Sheet2!DT357)</f>
        <v>10</v>
      </c>
      <c r="DJ358" s="14" t="str">
        <f>IF([1]Sheet2!DU357=999999,"NA",[1]Sheet2!DU357)</f>
        <v>NA</v>
      </c>
      <c r="DK358" s="14" t="str">
        <f>IF([1]Sheet2!DV357=999999,"NA",[1]Sheet2!DV357)</f>
        <v>NA</v>
      </c>
      <c r="DL358" s="14" t="str">
        <f>IF([1]Sheet2!DW357=999999,"NA",[1]Sheet2!DW357)</f>
        <v>NA</v>
      </c>
      <c r="DM358" s="14">
        <f>IF([1]Sheet2!DX357=999999,"NA",[1]Sheet2!DX357)</f>
        <v>0</v>
      </c>
      <c r="DN358" s="14">
        <f>IF([1]Sheet2!DY357=999999,"NA",[1]Sheet2!DY357)</f>
        <v>10</v>
      </c>
      <c r="DO358" s="14" t="str">
        <f>IF([1]Sheet2!DZ357=999999,"NA",[1]Sheet2!DZ357)</f>
        <v>NA</v>
      </c>
      <c r="DP358" s="14" t="str">
        <f>IF([1]Sheet2!EA357=999999,"NA",[1]Sheet2!EA357)</f>
        <v>NA</v>
      </c>
      <c r="DQ358" s="14" t="str">
        <f>IF([1]Sheet2!EB357=999999,"NA",[1]Sheet2!EB357)</f>
        <v>NA</v>
      </c>
      <c r="DR358" s="14">
        <f>[1]Sheet2!CY357</f>
        <v>0</v>
      </c>
      <c r="DS358" s="14">
        <f>[1]Sheet2!CZ357</f>
        <v>0</v>
      </c>
      <c r="DT358" s="14">
        <f>[1]Sheet2!DA357</f>
        <v>0</v>
      </c>
      <c r="DU358" s="14">
        <f>[1]Sheet2!DB357</f>
        <v>0</v>
      </c>
      <c r="DV358" s="14">
        <f>[1]Sheet2!DC357</f>
        <v>0</v>
      </c>
      <c r="DW358" s="14">
        <f>[1]Sheet2!DD357</f>
        <v>0</v>
      </c>
      <c r="DX358" s="14">
        <f>[1]Sheet2!DE357</f>
        <v>0</v>
      </c>
      <c r="DY358" s="14">
        <f>[1]Sheet2!DF357</f>
        <v>0</v>
      </c>
      <c r="DZ358" s="14">
        <f>[1]Sheet2!DG357</f>
        <v>0</v>
      </c>
      <c r="EA358" s="14">
        <f>[1]Sheet2!DH357</f>
        <v>0</v>
      </c>
      <c r="EB358" s="6">
        <f>[1]Sheet2!EC357</f>
        <v>0</v>
      </c>
      <c r="EC358" s="6">
        <f>[1]Sheet2!ED357</f>
        <v>0</v>
      </c>
      <c r="ED358" s="6">
        <f>[1]Sheet2!EE357</f>
        <v>0</v>
      </c>
      <c r="EE358" s="6">
        <f>[1]Sheet2!EF357</f>
        <v>0</v>
      </c>
      <c r="EF358" s="6">
        <f>[1]Sheet2!EG357</f>
        <v>0</v>
      </c>
      <c r="EG358" s="6">
        <f>[1]Sheet2!EH357</f>
        <v>0</v>
      </c>
      <c r="EH358" s="6">
        <f>[1]Sheet2!EI357</f>
        <v>0</v>
      </c>
      <c r="EI358" s="6">
        <f>[1]Sheet2!EJ357</f>
        <v>0</v>
      </c>
      <c r="EJ358" s="6">
        <f>[1]Sheet2!EK357</f>
        <v>0</v>
      </c>
      <c r="EK358" s="6">
        <f>[1]Sheet2!EL357</f>
        <v>0</v>
      </c>
      <c r="EL358" s="6" t="str">
        <f>[1]Sheet2!EM357</f>
        <v/>
      </c>
      <c r="EM358" s="6" t="str">
        <f>[1]Sheet2!EN357</f>
        <v/>
      </c>
      <c r="EN358" s="6" t="str">
        <f>[1]Sheet2!EO357</f>
        <v/>
      </c>
      <c r="EO358" s="6" t="str">
        <f>[1]Sheet2!EP357</f>
        <v/>
      </c>
      <c r="EP358" s="6" t="str">
        <f>[1]Sheet2!EQ357</f>
        <v/>
      </c>
      <c r="EQ358" s="6" t="str">
        <f>[1]Sheet2!ER357</f>
        <v/>
      </c>
      <c r="ER358" s="6" t="str">
        <f>[1]Sheet2!ES357</f>
        <v/>
      </c>
      <c r="ES358" s="6" t="str">
        <f>[1]Sheet2!ET357</f>
        <v/>
      </c>
      <c r="ET358" s="6" t="str">
        <f>[1]Sheet2!EU357</f>
        <v/>
      </c>
      <c r="EU358" s="6" t="str">
        <f>[1]Sheet2!EV357</f>
        <v/>
      </c>
      <c r="EV358" s="6" t="str">
        <f>[1]Sheet2!EW357</f>
        <v/>
      </c>
      <c r="EW358" s="6" t="str">
        <f>[1]Sheet2!EX357</f>
        <v/>
      </c>
      <c r="EX358" s="6" t="str">
        <f>[1]Sheet2!EY357</f>
        <v/>
      </c>
      <c r="EY358" s="6" t="str">
        <f>[1]Sheet2!EZ357</f>
        <v/>
      </c>
      <c r="EZ358" s="6" t="str">
        <f>[1]Sheet2!FA357</f>
        <v/>
      </c>
      <c r="FA358" s="6" t="str">
        <f>[1]Sheet2!FB357</f>
        <v/>
      </c>
      <c r="FB358" s="6" t="str">
        <f>[1]Sheet2!FC357</f>
        <v/>
      </c>
      <c r="FC358" s="6" t="str">
        <f>[1]Sheet2!FD357</f>
        <v/>
      </c>
      <c r="FD358" s="6" t="str">
        <f>[1]Sheet2!FE357</f>
        <v/>
      </c>
      <c r="FE358" s="6" t="str">
        <f>[1]Sheet2!FF357</f>
        <v/>
      </c>
      <c r="FF358" s="6" t="str">
        <f>[1]Sheet2!FG357</f>
        <v/>
      </c>
      <c r="FG358" s="6" t="str">
        <f>[1]Sheet2!FH357</f>
        <v/>
      </c>
      <c r="FH358" s="6" t="str">
        <f>[1]Sheet2!FI357</f>
        <v/>
      </c>
      <c r="FI358" s="6" t="str">
        <f>[1]Sheet2!FJ357</f>
        <v/>
      </c>
      <c r="FJ358" s="6" t="str">
        <f>[1]Sheet2!FK357</f>
        <v/>
      </c>
      <c r="FK358" s="6" t="str">
        <f>[1]Sheet2!FL357</f>
        <v/>
      </c>
      <c r="FL358" s="6" t="str">
        <f>[1]Sheet2!FM357</f>
        <v/>
      </c>
      <c r="FM358" s="6" t="str">
        <f>[1]Sheet2!FN357</f>
        <v/>
      </c>
      <c r="FN358" s="6" t="str">
        <f>[1]Sheet2!FO357</f>
        <v/>
      </c>
      <c r="FO358" s="6" t="str">
        <f>[1]Sheet2!FP357</f>
        <v/>
      </c>
    </row>
    <row r="359" spans="1:171" x14ac:dyDescent="0.25">
      <c r="A359" s="15">
        <v>43821</v>
      </c>
      <c r="B359" s="1"/>
      <c r="C359" s="1"/>
      <c r="D359" s="1"/>
      <c r="E359" s="14">
        <f>[1]Sheet2!N358</f>
        <v>0</v>
      </c>
      <c r="F359" s="14">
        <f>[1]Sheet2!BE358</f>
        <v>0</v>
      </c>
      <c r="G359" s="14">
        <f>[1]Sheet2!CW358</f>
        <v>0</v>
      </c>
      <c r="H359" s="1"/>
      <c r="I359" s="1"/>
      <c r="J359" s="1"/>
      <c r="K359" s="16"/>
      <c r="L359" s="16">
        <f>Demand_CWRS!B$14/31</f>
        <v>95.176711124896599</v>
      </c>
      <c r="M359" s="16">
        <f>Demand_CWRS!C$14/31</f>
        <v>526.22795698924722</v>
      </c>
      <c r="N359" s="16">
        <f>Demand_CWRS!D$14/31</f>
        <v>0</v>
      </c>
      <c r="O359" s="16">
        <f>Demand_CWRS!E$14/31</f>
        <v>102.37076095947063</v>
      </c>
      <c r="P359" s="16">
        <f>Demand_CWRS!F$14/31</f>
        <v>219.86823562861866</v>
      </c>
      <c r="Q359" s="16">
        <f>Demand_CWRS!G$14/31</f>
        <v>95.176711124896599</v>
      </c>
      <c r="R359" s="16">
        <f>Demand_CWRS!H$14/31</f>
        <v>219.86823562861866</v>
      </c>
      <c r="S359" s="16">
        <f>Demand_CWRS!I$14/31</f>
        <v>219.86823562861866</v>
      </c>
      <c r="T359" s="16">
        <f>Demand_CWRS!J$14/31</f>
        <v>219.86823562861866</v>
      </c>
      <c r="U359" s="16">
        <f>Demand_CWRS!K$14/31</f>
        <v>219.86823562861866</v>
      </c>
      <c r="V359" s="16">
        <f t="shared" si="156"/>
        <v>-40045.388605221131</v>
      </c>
      <c r="W359" s="16">
        <f t="shared" si="157"/>
        <v>-164186.10992555812</v>
      </c>
      <c r="X359" s="16">
        <f t="shared" si="158"/>
        <v>0</v>
      </c>
      <c r="Y359" s="16">
        <f t="shared" si="159"/>
        <v>-31555.36918836577</v>
      </c>
      <c r="Z359" s="16">
        <f t="shared" si="160"/>
        <v>-71978.329041059391</v>
      </c>
      <c r="AA359" s="16">
        <f t="shared" si="161"/>
        <v>-38573.456081182747</v>
      </c>
      <c r="AB359" s="16">
        <f t="shared" si="162"/>
        <v>-76287.493816700488</v>
      </c>
      <c r="AC359" s="16">
        <f t="shared" si="163"/>
        <v>-70494.483560290115</v>
      </c>
      <c r="AD359" s="16">
        <f t="shared" si="164"/>
        <v>-70594.483560290115</v>
      </c>
      <c r="AE359" s="16">
        <f t="shared" si="165"/>
        <v>-71194.483560290115</v>
      </c>
      <c r="AF359" s="14">
        <f>IF([1]Sheet2!AJ358=999999,"NA",[1]Sheet2!AJ358)</f>
        <v>0</v>
      </c>
      <c r="AG359" s="14">
        <f>IF([1]Sheet2!AK358=999999,"NA",[1]Sheet2!AK358)</f>
        <v>0</v>
      </c>
      <c r="AH359" s="14" t="str">
        <f>IF([1]Sheet2!AL358=999999,"NA",[1]Sheet2!AL358)</f>
        <v>NA</v>
      </c>
      <c r="AI359" s="14">
        <f>IF([1]Sheet2!AM358=999999,"NA",[1]Sheet2!AM358)</f>
        <v>0</v>
      </c>
      <c r="AJ359" s="14">
        <f>IF([1]Sheet2!AN358=999999,"NA",[1]Sheet2!AN358)</f>
        <v>0</v>
      </c>
      <c r="AK359" s="14">
        <f>IF([1]Sheet2!AO358=999999,"NA",[1]Sheet2!AO358)</f>
        <v>0</v>
      </c>
      <c r="AL359" s="14">
        <f>IF([1]Sheet2!AP358=999999,"NA",[1]Sheet2!AP358)</f>
        <v>0</v>
      </c>
      <c r="AM359" s="14">
        <f>IF([1]Sheet2!AQ358=999999,"NA",[1]Sheet2!AQ358)</f>
        <v>0</v>
      </c>
      <c r="AN359" s="14">
        <f>IF([1]Sheet2!AR358=999999,"NA",[1]Sheet2!AR358)</f>
        <v>0</v>
      </c>
      <c r="AO359" s="14">
        <f>IF([1]Sheet2!AS358=999999,"NA",[1]Sheet2!AS358)</f>
        <v>0</v>
      </c>
      <c r="AP359" s="14">
        <f>[1]Sheet2!P358</f>
        <v>0</v>
      </c>
      <c r="AQ359" s="14">
        <f>[1]Sheet2!Q358</f>
        <v>0</v>
      </c>
      <c r="AR359" s="14">
        <f>[1]Sheet2!R358</f>
        <v>0</v>
      </c>
      <c r="AS359" s="14">
        <f>[1]Sheet2!S358</f>
        <v>0</v>
      </c>
      <c r="AT359" s="14">
        <f>[1]Sheet2!T358</f>
        <v>0</v>
      </c>
      <c r="AU359" s="14">
        <f>[1]Sheet2!U358</f>
        <v>0</v>
      </c>
      <c r="AV359" s="14">
        <f>[1]Sheet2!V358</f>
        <v>0</v>
      </c>
      <c r="AW359" s="14">
        <f>[1]Sheet2!W358</f>
        <v>0</v>
      </c>
      <c r="AX359" s="14">
        <f>[1]Sheet2!X358</f>
        <v>0</v>
      </c>
      <c r="AY359" s="14">
        <f>[1]Sheet2!Y358</f>
        <v>0</v>
      </c>
      <c r="AZ359" s="16">
        <f>Demand_LP!B$14/31</f>
        <v>868.56315911910667</v>
      </c>
      <c r="BA359" s="16">
        <f>Demand_LP!C$14/31</f>
        <v>608.40066170388752</v>
      </c>
      <c r="BB359" s="16">
        <f>Demand_LP!D$14/31</f>
        <v>251.20087262200158</v>
      </c>
      <c r="BC359" s="16">
        <f>Demand_LP!E$14/31</f>
        <v>807.45938378825463</v>
      </c>
      <c r="BD359" s="16">
        <f>Demand_LP!F$14/31</f>
        <v>539.59842069892466</v>
      </c>
      <c r="BE359" s="16">
        <f>Demand_LP!G$14/31</f>
        <v>539.59842069892466</v>
      </c>
      <c r="BF359" s="16">
        <f>Demand_LP!H$14/31</f>
        <v>608.40066170388752</v>
      </c>
      <c r="BG359" s="16">
        <f>Demand_LP!I$14/31</f>
        <v>539.59842069892466</v>
      </c>
      <c r="BH359" s="16">
        <f>Demand_LP!J$14/31</f>
        <v>539.59842069892466</v>
      </c>
      <c r="BI359" s="16">
        <f>Demand_LP!K$14/31</f>
        <v>539.59842069892466</v>
      </c>
      <c r="BJ359" s="16">
        <f t="shared" si="166"/>
        <v>-270187.70931769419</v>
      </c>
      <c r="BK359" s="16">
        <f t="shared" si="167"/>
        <v>-202482.59148056252</v>
      </c>
      <c r="BL359" s="16">
        <f t="shared" si="168"/>
        <v>-95720.170479735811</v>
      </c>
      <c r="BM359" s="16">
        <f t="shared" si="169"/>
        <v>-260182.50899121453</v>
      </c>
      <c r="BN359" s="16">
        <f t="shared" si="170"/>
        <v>-160601.10771521091</v>
      </c>
      <c r="BO359" s="16">
        <f t="shared" si="171"/>
        <v>-159058.79163358168</v>
      </c>
      <c r="BP359" s="16">
        <f t="shared" si="172"/>
        <v>-196840.17096774187</v>
      </c>
      <c r="BQ359" s="16">
        <f t="shared" si="173"/>
        <v>-154887.79163358171</v>
      </c>
      <c r="BR359" s="16">
        <f t="shared" si="174"/>
        <v>-156658.79163358174</v>
      </c>
      <c r="BS359" s="16">
        <f t="shared" si="175"/>
        <v>-157358.79163358174</v>
      </c>
      <c r="BT359" s="14">
        <f>IF([1]Sheet2!CB358=999999,"NA",[1]Sheet2!CB358)</f>
        <v>0</v>
      </c>
      <c r="BU359" s="14">
        <f>IF([1]Sheet2!CC358=999999,"NA",[1]Sheet2!CC358)</f>
        <v>0</v>
      </c>
      <c r="BV359" s="14">
        <f>IF([1]Sheet2!CD358=999999,"NA",[1]Sheet2!CD358)</f>
        <v>0</v>
      </c>
      <c r="BW359" s="14">
        <f>IF([1]Sheet2!CE358=999999,"NA",[1]Sheet2!CE358)</f>
        <v>0</v>
      </c>
      <c r="BX359" s="14">
        <f>IF([1]Sheet2!CF358=999999,"NA",[1]Sheet2!CF358)</f>
        <v>0</v>
      </c>
      <c r="BY359" s="14">
        <f>IF([1]Sheet2!CG358=999999,"NA",[1]Sheet2!CG358)</f>
        <v>0</v>
      </c>
      <c r="BZ359" s="14">
        <f>IF([1]Sheet2!CH358=999999,"NA",[1]Sheet2!CH358)</f>
        <v>0</v>
      </c>
      <c r="CA359" s="14">
        <f>IF([1]Sheet2!CI358=999999,"NA",[1]Sheet2!CI358)</f>
        <v>0</v>
      </c>
      <c r="CB359" s="14">
        <f>IF([1]Sheet2!CJ358=999999,"NA",[1]Sheet2!CJ358)</f>
        <v>0</v>
      </c>
      <c r="CC359" s="14">
        <f>IF([1]Sheet2!CK358=999999,"NA",[1]Sheet2!CK358)</f>
        <v>0</v>
      </c>
      <c r="CD359" s="14">
        <f>[1]Sheet2!BH358</f>
        <v>0</v>
      </c>
      <c r="CE359" s="14">
        <f>[1]Sheet2!BI358</f>
        <v>0</v>
      </c>
      <c r="CF359" s="14">
        <f>[1]Sheet2!BJ358</f>
        <v>0</v>
      </c>
      <c r="CG359" s="14">
        <f>[1]Sheet2!BK358</f>
        <v>0</v>
      </c>
      <c r="CH359" s="14">
        <f>[1]Sheet2!BL358</f>
        <v>0</v>
      </c>
      <c r="CI359" s="14">
        <f>[1]Sheet2!BM358</f>
        <v>0</v>
      </c>
      <c r="CJ359" s="14">
        <f>[1]Sheet2!BN358</f>
        <v>0</v>
      </c>
      <c r="CK359" s="14">
        <f>[1]Sheet2!BO358</f>
        <v>0</v>
      </c>
      <c r="CL359" s="14">
        <f>[1]Sheet2!BP358</f>
        <v>0</v>
      </c>
      <c r="CM359" s="14">
        <f>[1]Sheet2!BQ358</f>
        <v>0</v>
      </c>
      <c r="CN359" s="16">
        <f>Demand_SW!B$14/31</f>
        <v>139.57816377171216</v>
      </c>
      <c r="CO359" s="16">
        <f>Demand_SW!C$14/31</f>
        <v>0</v>
      </c>
      <c r="CP359" s="16">
        <f>Demand_SW!D$14/31</f>
        <v>0</v>
      </c>
      <c r="CQ359" s="16">
        <f>Demand_SW!E$14/31</f>
        <v>0</v>
      </c>
      <c r="CR359" s="16">
        <f>Demand_SW!F$14/31</f>
        <v>0</v>
      </c>
      <c r="CS359" s="16">
        <f>Demand_SW!G$14/31</f>
        <v>139.57816377171216</v>
      </c>
      <c r="CT359" s="16">
        <f>Demand_SW!H$14/31</f>
        <v>0</v>
      </c>
      <c r="CU359" s="16">
        <f>Demand_SW!I$14/31</f>
        <v>0</v>
      </c>
      <c r="CV359" s="16">
        <f>Demand_SW!J$14/31</f>
        <v>0</v>
      </c>
      <c r="CW359" s="16">
        <f>Demand_SW!K$14/31</f>
        <v>0</v>
      </c>
      <c r="CX359" s="16">
        <f t="shared" si="176"/>
        <v>-25772.258064516165</v>
      </c>
      <c r="CY359" s="16">
        <f t="shared" si="177"/>
        <v>76.923076923077133</v>
      </c>
      <c r="CZ359" s="16">
        <f t="shared" si="178"/>
        <v>0</v>
      </c>
      <c r="DA359" s="16">
        <f t="shared" si="179"/>
        <v>0</v>
      </c>
      <c r="DB359" s="16">
        <f t="shared" si="180"/>
        <v>0</v>
      </c>
      <c r="DC359" s="16">
        <f t="shared" si="181"/>
        <v>-27003.488833746935</v>
      </c>
      <c r="DD359" s="16">
        <f t="shared" si="182"/>
        <v>76.923076923077133</v>
      </c>
      <c r="DE359" s="16">
        <f t="shared" si="183"/>
        <v>0</v>
      </c>
      <c r="DF359" s="16">
        <f t="shared" si="184"/>
        <v>0</v>
      </c>
      <c r="DG359" s="16">
        <f t="shared" si="185"/>
        <v>0</v>
      </c>
      <c r="DH359" s="14">
        <f>IF([1]Sheet2!DS358=999999,"NA",[1]Sheet2!DS358)</f>
        <v>0</v>
      </c>
      <c r="DI359" s="14">
        <f>IF([1]Sheet2!DT358=999999,"NA",[1]Sheet2!DT358)</f>
        <v>9</v>
      </c>
      <c r="DJ359" s="14" t="str">
        <f>IF([1]Sheet2!DU358=999999,"NA",[1]Sheet2!DU358)</f>
        <v>NA</v>
      </c>
      <c r="DK359" s="14" t="str">
        <f>IF([1]Sheet2!DV358=999999,"NA",[1]Sheet2!DV358)</f>
        <v>NA</v>
      </c>
      <c r="DL359" s="14" t="str">
        <f>IF([1]Sheet2!DW358=999999,"NA",[1]Sheet2!DW358)</f>
        <v>NA</v>
      </c>
      <c r="DM359" s="14">
        <f>IF([1]Sheet2!DX358=999999,"NA",[1]Sheet2!DX358)</f>
        <v>0</v>
      </c>
      <c r="DN359" s="14">
        <f>IF([1]Sheet2!DY358=999999,"NA",[1]Sheet2!DY358)</f>
        <v>9</v>
      </c>
      <c r="DO359" s="14" t="str">
        <f>IF([1]Sheet2!DZ358=999999,"NA",[1]Sheet2!DZ358)</f>
        <v>NA</v>
      </c>
      <c r="DP359" s="14" t="str">
        <f>IF([1]Sheet2!EA358=999999,"NA",[1]Sheet2!EA358)</f>
        <v>NA</v>
      </c>
      <c r="DQ359" s="14" t="str">
        <f>IF([1]Sheet2!EB358=999999,"NA",[1]Sheet2!EB358)</f>
        <v>NA</v>
      </c>
      <c r="DR359" s="14">
        <f>[1]Sheet2!CY358</f>
        <v>0</v>
      </c>
      <c r="DS359" s="14">
        <f>[1]Sheet2!CZ358</f>
        <v>0</v>
      </c>
      <c r="DT359" s="14">
        <f>[1]Sheet2!DA358</f>
        <v>0</v>
      </c>
      <c r="DU359" s="14">
        <f>[1]Sheet2!DB358</f>
        <v>0</v>
      </c>
      <c r="DV359" s="14">
        <f>[1]Sheet2!DC358</f>
        <v>0</v>
      </c>
      <c r="DW359" s="14">
        <f>[1]Sheet2!DD358</f>
        <v>0</v>
      </c>
      <c r="DX359" s="14">
        <f>[1]Sheet2!DE358</f>
        <v>0</v>
      </c>
      <c r="DY359" s="14">
        <f>[1]Sheet2!DF358</f>
        <v>0</v>
      </c>
      <c r="DZ359" s="14">
        <f>[1]Sheet2!DG358</f>
        <v>0</v>
      </c>
      <c r="EA359" s="14">
        <f>[1]Sheet2!DH358</f>
        <v>0</v>
      </c>
      <c r="EB359" s="6">
        <f>[1]Sheet2!EC358</f>
        <v>0</v>
      </c>
      <c r="EC359" s="6">
        <f>[1]Sheet2!ED358</f>
        <v>0</v>
      </c>
      <c r="ED359" s="6">
        <f>[1]Sheet2!EE358</f>
        <v>0</v>
      </c>
      <c r="EE359" s="6">
        <f>[1]Sheet2!EF358</f>
        <v>0</v>
      </c>
      <c r="EF359" s="6">
        <f>[1]Sheet2!EG358</f>
        <v>0</v>
      </c>
      <c r="EG359" s="6">
        <f>[1]Sheet2!EH358</f>
        <v>0</v>
      </c>
      <c r="EH359" s="6">
        <f>[1]Sheet2!EI358</f>
        <v>0</v>
      </c>
      <c r="EI359" s="6">
        <f>[1]Sheet2!EJ358</f>
        <v>0</v>
      </c>
      <c r="EJ359" s="6">
        <f>[1]Sheet2!EK358</f>
        <v>0</v>
      </c>
      <c r="EK359" s="6">
        <f>[1]Sheet2!EL358</f>
        <v>0</v>
      </c>
      <c r="EL359" s="6" t="str">
        <f>[1]Sheet2!EM358</f>
        <v/>
      </c>
      <c r="EM359" s="6" t="str">
        <f>[1]Sheet2!EN358</f>
        <v/>
      </c>
      <c r="EN359" s="6" t="str">
        <f>[1]Sheet2!EO358</f>
        <v/>
      </c>
      <c r="EO359" s="6" t="str">
        <f>[1]Sheet2!EP358</f>
        <v/>
      </c>
      <c r="EP359" s="6" t="str">
        <f>[1]Sheet2!EQ358</f>
        <v/>
      </c>
      <c r="EQ359" s="6" t="str">
        <f>[1]Sheet2!ER358</f>
        <v/>
      </c>
      <c r="ER359" s="6" t="str">
        <f>[1]Sheet2!ES358</f>
        <v/>
      </c>
      <c r="ES359" s="6" t="str">
        <f>[1]Sheet2!ET358</f>
        <v/>
      </c>
      <c r="ET359" s="6" t="str">
        <f>[1]Sheet2!EU358</f>
        <v/>
      </c>
      <c r="EU359" s="6" t="str">
        <f>[1]Sheet2!EV358</f>
        <v/>
      </c>
      <c r="EV359" s="6" t="str">
        <f>[1]Sheet2!EW358</f>
        <v/>
      </c>
      <c r="EW359" s="6" t="str">
        <f>[1]Sheet2!EX358</f>
        <v/>
      </c>
      <c r="EX359" s="6" t="str">
        <f>[1]Sheet2!EY358</f>
        <v/>
      </c>
      <c r="EY359" s="6" t="str">
        <f>[1]Sheet2!EZ358</f>
        <v/>
      </c>
      <c r="EZ359" s="6" t="str">
        <f>[1]Sheet2!FA358</f>
        <v/>
      </c>
      <c r="FA359" s="6" t="str">
        <f>[1]Sheet2!FB358</f>
        <v/>
      </c>
      <c r="FB359" s="6" t="str">
        <f>[1]Sheet2!FC358</f>
        <v/>
      </c>
      <c r="FC359" s="6" t="str">
        <f>[1]Sheet2!FD358</f>
        <v/>
      </c>
      <c r="FD359" s="6" t="str">
        <f>[1]Sheet2!FE358</f>
        <v/>
      </c>
      <c r="FE359" s="6" t="str">
        <f>[1]Sheet2!FF358</f>
        <v/>
      </c>
      <c r="FF359" s="6" t="str">
        <f>[1]Sheet2!FG358</f>
        <v/>
      </c>
      <c r="FG359" s="6" t="str">
        <f>[1]Sheet2!FH358</f>
        <v/>
      </c>
      <c r="FH359" s="6" t="str">
        <f>[1]Sheet2!FI358</f>
        <v/>
      </c>
      <c r="FI359" s="6" t="str">
        <f>[1]Sheet2!FJ358</f>
        <v/>
      </c>
      <c r="FJ359" s="6" t="str">
        <f>[1]Sheet2!FK358</f>
        <v/>
      </c>
      <c r="FK359" s="6" t="str">
        <f>[1]Sheet2!FL358</f>
        <v/>
      </c>
      <c r="FL359" s="6" t="str">
        <f>[1]Sheet2!FM358</f>
        <v/>
      </c>
      <c r="FM359" s="6" t="str">
        <f>[1]Sheet2!FN358</f>
        <v/>
      </c>
      <c r="FN359" s="6" t="str">
        <f>[1]Sheet2!FO358</f>
        <v/>
      </c>
      <c r="FO359" s="6" t="str">
        <f>[1]Sheet2!FP358</f>
        <v/>
      </c>
    </row>
    <row r="360" spans="1:171" x14ac:dyDescent="0.25">
      <c r="A360" s="15">
        <v>43822</v>
      </c>
      <c r="B360" s="1"/>
      <c r="C360" s="1"/>
      <c r="D360" s="1"/>
      <c r="E360" s="14">
        <f>[1]Sheet2!N359</f>
        <v>0</v>
      </c>
      <c r="F360" s="14">
        <f>[1]Sheet2!BE359</f>
        <v>0</v>
      </c>
      <c r="G360" s="14">
        <f>[1]Sheet2!CW359</f>
        <v>0</v>
      </c>
      <c r="H360" s="1"/>
      <c r="I360" s="1"/>
      <c r="J360" s="1"/>
      <c r="K360" s="16"/>
      <c r="L360" s="16">
        <f>Demand_CWRS!B$14/31</f>
        <v>95.176711124896599</v>
      </c>
      <c r="M360" s="16">
        <f>Demand_CWRS!C$14/31</f>
        <v>526.22795698924722</v>
      </c>
      <c r="N360" s="16">
        <f>Demand_CWRS!D$14/31</f>
        <v>0</v>
      </c>
      <c r="O360" s="16">
        <f>Demand_CWRS!E$14/31</f>
        <v>102.37076095947063</v>
      </c>
      <c r="P360" s="16">
        <f>Demand_CWRS!F$14/31</f>
        <v>219.86823562861866</v>
      </c>
      <c r="Q360" s="16">
        <f>Demand_CWRS!G$14/31</f>
        <v>95.176711124896599</v>
      </c>
      <c r="R360" s="16">
        <f>Demand_CWRS!H$14/31</f>
        <v>219.86823562861866</v>
      </c>
      <c r="S360" s="16">
        <f>Demand_CWRS!I$14/31</f>
        <v>219.86823562861866</v>
      </c>
      <c r="T360" s="16">
        <f>Demand_CWRS!J$14/31</f>
        <v>219.86823562861866</v>
      </c>
      <c r="U360" s="16">
        <f>Demand_CWRS!K$14/31</f>
        <v>219.86823562861866</v>
      </c>
      <c r="V360" s="16">
        <f t="shared" si="156"/>
        <v>-40140.56531634603</v>
      </c>
      <c r="W360" s="16">
        <f t="shared" si="157"/>
        <v>-164712.33788254738</v>
      </c>
      <c r="X360" s="16">
        <f t="shared" si="158"/>
        <v>0</v>
      </c>
      <c r="Y360" s="16">
        <f t="shared" si="159"/>
        <v>-31657.739949325241</v>
      </c>
      <c r="Z360" s="16">
        <f t="shared" si="160"/>
        <v>-72198.197276688006</v>
      </c>
      <c r="AA360" s="16">
        <f t="shared" si="161"/>
        <v>-38668.632792307646</v>
      </c>
      <c r="AB360" s="16">
        <f t="shared" si="162"/>
        <v>-76507.362052329103</v>
      </c>
      <c r="AC360" s="16">
        <f t="shared" si="163"/>
        <v>-70714.35179591873</v>
      </c>
      <c r="AD360" s="16">
        <f t="shared" si="164"/>
        <v>-70814.35179591873</v>
      </c>
      <c r="AE360" s="16">
        <f t="shared" si="165"/>
        <v>-71414.35179591873</v>
      </c>
      <c r="AF360" s="14">
        <f>IF([1]Sheet2!AJ359=999999,"NA",[1]Sheet2!AJ359)</f>
        <v>0</v>
      </c>
      <c r="AG360" s="14">
        <f>IF([1]Sheet2!AK359=999999,"NA",[1]Sheet2!AK359)</f>
        <v>0</v>
      </c>
      <c r="AH360" s="14" t="str">
        <f>IF([1]Sheet2!AL359=999999,"NA",[1]Sheet2!AL359)</f>
        <v>NA</v>
      </c>
      <c r="AI360" s="14">
        <f>IF([1]Sheet2!AM359=999999,"NA",[1]Sheet2!AM359)</f>
        <v>0</v>
      </c>
      <c r="AJ360" s="14">
        <f>IF([1]Sheet2!AN359=999999,"NA",[1]Sheet2!AN359)</f>
        <v>0</v>
      </c>
      <c r="AK360" s="14">
        <f>IF([1]Sheet2!AO359=999999,"NA",[1]Sheet2!AO359)</f>
        <v>0</v>
      </c>
      <c r="AL360" s="14">
        <f>IF([1]Sheet2!AP359=999999,"NA",[1]Sheet2!AP359)</f>
        <v>0</v>
      </c>
      <c r="AM360" s="14">
        <f>IF([1]Sheet2!AQ359=999999,"NA",[1]Sheet2!AQ359)</f>
        <v>0</v>
      </c>
      <c r="AN360" s="14">
        <f>IF([1]Sheet2!AR359=999999,"NA",[1]Sheet2!AR359)</f>
        <v>0</v>
      </c>
      <c r="AO360" s="14">
        <f>IF([1]Sheet2!AS359=999999,"NA",[1]Sheet2!AS359)</f>
        <v>0</v>
      </c>
      <c r="AP360" s="14">
        <f>[1]Sheet2!P359</f>
        <v>0</v>
      </c>
      <c r="AQ360" s="14">
        <f>[1]Sheet2!Q359</f>
        <v>0</v>
      </c>
      <c r="AR360" s="14">
        <f>[1]Sheet2!R359</f>
        <v>0</v>
      </c>
      <c r="AS360" s="14">
        <f>[1]Sheet2!S359</f>
        <v>0</v>
      </c>
      <c r="AT360" s="14">
        <f>[1]Sheet2!T359</f>
        <v>0</v>
      </c>
      <c r="AU360" s="14">
        <f>[1]Sheet2!U359</f>
        <v>0</v>
      </c>
      <c r="AV360" s="14">
        <f>[1]Sheet2!V359</f>
        <v>0</v>
      </c>
      <c r="AW360" s="14">
        <f>[1]Sheet2!W359</f>
        <v>0</v>
      </c>
      <c r="AX360" s="14">
        <f>[1]Sheet2!X359</f>
        <v>0</v>
      </c>
      <c r="AY360" s="14">
        <f>[1]Sheet2!Y359</f>
        <v>0</v>
      </c>
      <c r="AZ360" s="16">
        <f>Demand_LP!B$14/31</f>
        <v>868.56315911910667</v>
      </c>
      <c r="BA360" s="16">
        <f>Demand_LP!C$14/31</f>
        <v>608.40066170388752</v>
      </c>
      <c r="BB360" s="16">
        <f>Demand_LP!D$14/31</f>
        <v>251.20087262200158</v>
      </c>
      <c r="BC360" s="16">
        <f>Demand_LP!E$14/31</f>
        <v>807.45938378825463</v>
      </c>
      <c r="BD360" s="16">
        <f>Demand_LP!F$14/31</f>
        <v>539.59842069892466</v>
      </c>
      <c r="BE360" s="16">
        <f>Demand_LP!G$14/31</f>
        <v>539.59842069892466</v>
      </c>
      <c r="BF360" s="16">
        <f>Demand_LP!H$14/31</f>
        <v>608.40066170388752</v>
      </c>
      <c r="BG360" s="16">
        <f>Demand_LP!I$14/31</f>
        <v>539.59842069892466</v>
      </c>
      <c r="BH360" s="16">
        <f>Demand_LP!J$14/31</f>
        <v>539.59842069892466</v>
      </c>
      <c r="BI360" s="16">
        <f>Demand_LP!K$14/31</f>
        <v>539.59842069892466</v>
      </c>
      <c r="BJ360" s="16">
        <f t="shared" si="166"/>
        <v>-271056.27247681329</v>
      </c>
      <c r="BK360" s="16">
        <f t="shared" si="167"/>
        <v>-203090.99214226642</v>
      </c>
      <c r="BL360" s="16">
        <f t="shared" si="168"/>
        <v>-95971.371352357819</v>
      </c>
      <c r="BM360" s="16">
        <f t="shared" si="169"/>
        <v>-260989.96837500279</v>
      </c>
      <c r="BN360" s="16">
        <f t="shared" si="170"/>
        <v>-161140.70613590983</v>
      </c>
      <c r="BO360" s="16">
        <f t="shared" si="171"/>
        <v>-159598.39005428061</v>
      </c>
      <c r="BP360" s="16">
        <f t="shared" si="172"/>
        <v>-197448.57162944577</v>
      </c>
      <c r="BQ360" s="16">
        <f t="shared" si="173"/>
        <v>-155427.39005428064</v>
      </c>
      <c r="BR360" s="16">
        <f t="shared" si="174"/>
        <v>-157198.39005428067</v>
      </c>
      <c r="BS360" s="16">
        <f t="shared" si="175"/>
        <v>-157898.39005428067</v>
      </c>
      <c r="BT360" s="14">
        <f>IF([1]Sheet2!CB359=999999,"NA",[1]Sheet2!CB359)</f>
        <v>0</v>
      </c>
      <c r="BU360" s="14">
        <f>IF([1]Sheet2!CC359=999999,"NA",[1]Sheet2!CC359)</f>
        <v>0</v>
      </c>
      <c r="BV360" s="14">
        <f>IF([1]Sheet2!CD359=999999,"NA",[1]Sheet2!CD359)</f>
        <v>0</v>
      </c>
      <c r="BW360" s="14">
        <f>IF([1]Sheet2!CE359=999999,"NA",[1]Sheet2!CE359)</f>
        <v>0</v>
      </c>
      <c r="BX360" s="14">
        <f>IF([1]Sheet2!CF359=999999,"NA",[1]Sheet2!CF359)</f>
        <v>0</v>
      </c>
      <c r="BY360" s="14">
        <f>IF([1]Sheet2!CG359=999999,"NA",[1]Sheet2!CG359)</f>
        <v>0</v>
      </c>
      <c r="BZ360" s="14">
        <f>IF([1]Sheet2!CH359=999999,"NA",[1]Sheet2!CH359)</f>
        <v>0</v>
      </c>
      <c r="CA360" s="14">
        <f>IF([1]Sheet2!CI359=999999,"NA",[1]Sheet2!CI359)</f>
        <v>0</v>
      </c>
      <c r="CB360" s="14">
        <f>IF([1]Sheet2!CJ359=999999,"NA",[1]Sheet2!CJ359)</f>
        <v>0</v>
      </c>
      <c r="CC360" s="14">
        <f>IF([1]Sheet2!CK359=999999,"NA",[1]Sheet2!CK359)</f>
        <v>0</v>
      </c>
      <c r="CD360" s="14">
        <f>[1]Sheet2!BH359</f>
        <v>0</v>
      </c>
      <c r="CE360" s="14">
        <f>[1]Sheet2!BI359</f>
        <v>0</v>
      </c>
      <c r="CF360" s="14">
        <f>[1]Sheet2!BJ359</f>
        <v>0</v>
      </c>
      <c r="CG360" s="14">
        <f>[1]Sheet2!BK359</f>
        <v>0</v>
      </c>
      <c r="CH360" s="14">
        <f>[1]Sheet2!BL359</f>
        <v>0</v>
      </c>
      <c r="CI360" s="14">
        <f>[1]Sheet2!BM359</f>
        <v>0</v>
      </c>
      <c r="CJ360" s="14">
        <f>[1]Sheet2!BN359</f>
        <v>0</v>
      </c>
      <c r="CK360" s="14">
        <f>[1]Sheet2!BO359</f>
        <v>0</v>
      </c>
      <c r="CL360" s="14">
        <f>[1]Sheet2!BP359</f>
        <v>0</v>
      </c>
      <c r="CM360" s="14">
        <f>[1]Sheet2!BQ359</f>
        <v>0</v>
      </c>
      <c r="CN360" s="16">
        <f>Demand_SW!B$14/31</f>
        <v>139.57816377171216</v>
      </c>
      <c r="CO360" s="16">
        <f>Demand_SW!C$14/31</f>
        <v>0</v>
      </c>
      <c r="CP360" s="16">
        <f>Demand_SW!D$14/31</f>
        <v>0</v>
      </c>
      <c r="CQ360" s="16">
        <f>Demand_SW!E$14/31</f>
        <v>0</v>
      </c>
      <c r="CR360" s="16">
        <f>Demand_SW!F$14/31</f>
        <v>0</v>
      </c>
      <c r="CS360" s="16">
        <f>Demand_SW!G$14/31</f>
        <v>139.57816377171216</v>
      </c>
      <c r="CT360" s="16">
        <f>Demand_SW!H$14/31</f>
        <v>0</v>
      </c>
      <c r="CU360" s="16">
        <f>Demand_SW!I$14/31</f>
        <v>0</v>
      </c>
      <c r="CV360" s="16">
        <f>Demand_SW!J$14/31</f>
        <v>0</v>
      </c>
      <c r="CW360" s="16">
        <f>Demand_SW!K$14/31</f>
        <v>0</v>
      </c>
      <c r="CX360" s="16">
        <f t="shared" si="176"/>
        <v>-25911.836228287877</v>
      </c>
      <c r="CY360" s="16">
        <f t="shared" si="177"/>
        <v>76.923076923077133</v>
      </c>
      <c r="CZ360" s="16">
        <f t="shared" si="178"/>
        <v>0</v>
      </c>
      <c r="DA360" s="16">
        <f t="shared" si="179"/>
        <v>0</v>
      </c>
      <c r="DB360" s="16">
        <f t="shared" si="180"/>
        <v>0</v>
      </c>
      <c r="DC360" s="16">
        <f t="shared" si="181"/>
        <v>-27143.066997518647</v>
      </c>
      <c r="DD360" s="16">
        <f t="shared" si="182"/>
        <v>76.923076923077133</v>
      </c>
      <c r="DE360" s="16">
        <f t="shared" si="183"/>
        <v>0</v>
      </c>
      <c r="DF360" s="16">
        <f t="shared" si="184"/>
        <v>0</v>
      </c>
      <c r="DG360" s="16">
        <f t="shared" si="185"/>
        <v>0</v>
      </c>
      <c r="DH360" s="14">
        <f>IF([1]Sheet2!DS359=999999,"NA",[1]Sheet2!DS359)</f>
        <v>0</v>
      </c>
      <c r="DI360" s="14">
        <f>IF([1]Sheet2!DT359=999999,"NA",[1]Sheet2!DT359)</f>
        <v>8</v>
      </c>
      <c r="DJ360" s="14" t="str">
        <f>IF([1]Sheet2!DU359=999999,"NA",[1]Sheet2!DU359)</f>
        <v>NA</v>
      </c>
      <c r="DK360" s="14" t="str">
        <f>IF([1]Sheet2!DV359=999999,"NA",[1]Sheet2!DV359)</f>
        <v>NA</v>
      </c>
      <c r="DL360" s="14" t="str">
        <f>IF([1]Sheet2!DW359=999999,"NA",[1]Sheet2!DW359)</f>
        <v>NA</v>
      </c>
      <c r="DM360" s="14">
        <f>IF([1]Sheet2!DX359=999999,"NA",[1]Sheet2!DX359)</f>
        <v>0</v>
      </c>
      <c r="DN360" s="14">
        <f>IF([1]Sheet2!DY359=999999,"NA",[1]Sheet2!DY359)</f>
        <v>8</v>
      </c>
      <c r="DO360" s="14" t="str">
        <f>IF([1]Sheet2!DZ359=999999,"NA",[1]Sheet2!DZ359)</f>
        <v>NA</v>
      </c>
      <c r="DP360" s="14" t="str">
        <f>IF([1]Sheet2!EA359=999999,"NA",[1]Sheet2!EA359)</f>
        <v>NA</v>
      </c>
      <c r="DQ360" s="14" t="str">
        <f>IF([1]Sheet2!EB359=999999,"NA",[1]Sheet2!EB359)</f>
        <v>NA</v>
      </c>
      <c r="DR360" s="14">
        <f>[1]Sheet2!CY359</f>
        <v>0</v>
      </c>
      <c r="DS360" s="14">
        <f>[1]Sheet2!CZ359</f>
        <v>0</v>
      </c>
      <c r="DT360" s="14">
        <f>[1]Sheet2!DA359</f>
        <v>0</v>
      </c>
      <c r="DU360" s="14">
        <f>[1]Sheet2!DB359</f>
        <v>0</v>
      </c>
      <c r="DV360" s="14">
        <f>[1]Sheet2!DC359</f>
        <v>0</v>
      </c>
      <c r="DW360" s="14">
        <f>[1]Sheet2!DD359</f>
        <v>0</v>
      </c>
      <c r="DX360" s="14">
        <f>[1]Sheet2!DE359</f>
        <v>0</v>
      </c>
      <c r="DY360" s="14">
        <f>[1]Sheet2!DF359</f>
        <v>0</v>
      </c>
      <c r="DZ360" s="14">
        <f>[1]Sheet2!DG359</f>
        <v>0</v>
      </c>
      <c r="EA360" s="14">
        <f>[1]Sheet2!DH359</f>
        <v>0</v>
      </c>
      <c r="EB360" s="6">
        <f>[1]Sheet2!EC359</f>
        <v>0</v>
      </c>
      <c r="EC360" s="6">
        <f>[1]Sheet2!ED359</f>
        <v>0</v>
      </c>
      <c r="ED360" s="6">
        <f>[1]Sheet2!EE359</f>
        <v>0</v>
      </c>
      <c r="EE360" s="6">
        <f>[1]Sheet2!EF359</f>
        <v>0</v>
      </c>
      <c r="EF360" s="6">
        <f>[1]Sheet2!EG359</f>
        <v>0</v>
      </c>
      <c r="EG360" s="6">
        <f>[1]Sheet2!EH359</f>
        <v>0</v>
      </c>
      <c r="EH360" s="6">
        <f>[1]Sheet2!EI359</f>
        <v>0</v>
      </c>
      <c r="EI360" s="6">
        <f>[1]Sheet2!EJ359</f>
        <v>0</v>
      </c>
      <c r="EJ360" s="6">
        <f>[1]Sheet2!EK359</f>
        <v>0</v>
      </c>
      <c r="EK360" s="6">
        <f>[1]Sheet2!EL359</f>
        <v>0</v>
      </c>
      <c r="EL360" s="6" t="str">
        <f>[1]Sheet2!EM359</f>
        <v/>
      </c>
      <c r="EM360" s="6" t="str">
        <f>[1]Sheet2!EN359</f>
        <v/>
      </c>
      <c r="EN360" s="6" t="str">
        <f>[1]Sheet2!EO359</f>
        <v/>
      </c>
      <c r="EO360" s="6" t="str">
        <f>[1]Sheet2!EP359</f>
        <v/>
      </c>
      <c r="EP360" s="6" t="str">
        <f>[1]Sheet2!EQ359</f>
        <v/>
      </c>
      <c r="EQ360" s="6" t="str">
        <f>[1]Sheet2!ER359</f>
        <v/>
      </c>
      <c r="ER360" s="6" t="str">
        <f>[1]Sheet2!ES359</f>
        <v/>
      </c>
      <c r="ES360" s="6" t="str">
        <f>[1]Sheet2!ET359</f>
        <v/>
      </c>
      <c r="ET360" s="6" t="str">
        <f>[1]Sheet2!EU359</f>
        <v/>
      </c>
      <c r="EU360" s="6" t="str">
        <f>[1]Sheet2!EV359</f>
        <v/>
      </c>
      <c r="EV360" s="6" t="str">
        <f>[1]Sheet2!EW359</f>
        <v/>
      </c>
      <c r="EW360" s="6" t="str">
        <f>[1]Sheet2!EX359</f>
        <v/>
      </c>
      <c r="EX360" s="6" t="str">
        <f>[1]Sheet2!EY359</f>
        <v/>
      </c>
      <c r="EY360" s="6" t="str">
        <f>[1]Sheet2!EZ359</f>
        <v/>
      </c>
      <c r="EZ360" s="6" t="str">
        <f>[1]Sheet2!FA359</f>
        <v/>
      </c>
      <c r="FA360" s="6" t="str">
        <f>[1]Sheet2!FB359</f>
        <v/>
      </c>
      <c r="FB360" s="6" t="str">
        <f>[1]Sheet2!FC359</f>
        <v/>
      </c>
      <c r="FC360" s="6" t="str">
        <f>[1]Sheet2!FD359</f>
        <v/>
      </c>
      <c r="FD360" s="6" t="str">
        <f>[1]Sheet2!FE359</f>
        <v/>
      </c>
      <c r="FE360" s="6" t="str">
        <f>[1]Sheet2!FF359</f>
        <v/>
      </c>
      <c r="FF360" s="6" t="str">
        <f>[1]Sheet2!FG359</f>
        <v/>
      </c>
      <c r="FG360" s="6" t="str">
        <f>[1]Sheet2!FH359</f>
        <v/>
      </c>
      <c r="FH360" s="6" t="str">
        <f>[1]Sheet2!FI359</f>
        <v/>
      </c>
      <c r="FI360" s="6" t="str">
        <f>[1]Sheet2!FJ359</f>
        <v/>
      </c>
      <c r="FJ360" s="6" t="str">
        <f>[1]Sheet2!FK359</f>
        <v/>
      </c>
      <c r="FK360" s="6" t="str">
        <f>[1]Sheet2!FL359</f>
        <v/>
      </c>
      <c r="FL360" s="6" t="str">
        <f>[1]Sheet2!FM359</f>
        <v/>
      </c>
      <c r="FM360" s="6" t="str">
        <f>[1]Sheet2!FN359</f>
        <v/>
      </c>
      <c r="FN360" s="6" t="str">
        <f>[1]Sheet2!FO359</f>
        <v/>
      </c>
      <c r="FO360" s="6" t="str">
        <f>[1]Sheet2!FP359</f>
        <v/>
      </c>
    </row>
    <row r="361" spans="1:171" x14ac:dyDescent="0.25">
      <c r="A361" s="15">
        <v>43823</v>
      </c>
      <c r="B361" s="1"/>
      <c r="C361" s="1"/>
      <c r="D361" s="1"/>
      <c r="E361" s="14">
        <f>[1]Sheet2!N360</f>
        <v>0</v>
      </c>
      <c r="F361" s="14">
        <f>[1]Sheet2!BE360</f>
        <v>0</v>
      </c>
      <c r="G361" s="14">
        <f>[1]Sheet2!CW360</f>
        <v>0</v>
      </c>
      <c r="H361" s="1"/>
      <c r="I361" s="1"/>
      <c r="J361" s="1"/>
      <c r="K361" s="16"/>
      <c r="L361" s="16">
        <f>Demand_CWRS!B$14/31</f>
        <v>95.176711124896599</v>
      </c>
      <c r="M361" s="16">
        <f>Demand_CWRS!C$14/31</f>
        <v>526.22795698924722</v>
      </c>
      <c r="N361" s="16">
        <f>Demand_CWRS!D$14/31</f>
        <v>0</v>
      </c>
      <c r="O361" s="16">
        <f>Demand_CWRS!E$14/31</f>
        <v>102.37076095947063</v>
      </c>
      <c r="P361" s="16">
        <f>Demand_CWRS!F$14/31</f>
        <v>219.86823562861866</v>
      </c>
      <c r="Q361" s="16">
        <f>Demand_CWRS!G$14/31</f>
        <v>95.176711124896599</v>
      </c>
      <c r="R361" s="16">
        <f>Demand_CWRS!H$14/31</f>
        <v>219.86823562861866</v>
      </c>
      <c r="S361" s="16">
        <f>Demand_CWRS!I$14/31</f>
        <v>219.86823562861866</v>
      </c>
      <c r="T361" s="16">
        <f>Demand_CWRS!J$14/31</f>
        <v>219.86823562861866</v>
      </c>
      <c r="U361" s="16">
        <f>Demand_CWRS!K$14/31</f>
        <v>219.86823562861866</v>
      </c>
      <c r="V361" s="16">
        <f t="shared" si="156"/>
        <v>-40235.742027470929</v>
      </c>
      <c r="W361" s="16">
        <f t="shared" si="157"/>
        <v>-165238.56583953663</v>
      </c>
      <c r="X361" s="16">
        <f t="shared" si="158"/>
        <v>0</v>
      </c>
      <c r="Y361" s="16">
        <f t="shared" si="159"/>
        <v>-31760.110710284713</v>
      </c>
      <c r="Z361" s="16">
        <f t="shared" si="160"/>
        <v>-72418.065512316622</v>
      </c>
      <c r="AA361" s="16">
        <f t="shared" si="161"/>
        <v>-38763.809503432545</v>
      </c>
      <c r="AB361" s="16">
        <f t="shared" si="162"/>
        <v>-76727.230287957718</v>
      </c>
      <c r="AC361" s="16">
        <f t="shared" si="163"/>
        <v>-70934.220031547346</v>
      </c>
      <c r="AD361" s="16">
        <f t="shared" si="164"/>
        <v>-71034.220031547346</v>
      </c>
      <c r="AE361" s="16">
        <f t="shared" si="165"/>
        <v>-71634.220031547346</v>
      </c>
      <c r="AF361" s="14">
        <f>IF([1]Sheet2!AJ360=999999,"NA",[1]Sheet2!AJ360)</f>
        <v>0</v>
      </c>
      <c r="AG361" s="14">
        <f>IF([1]Sheet2!AK360=999999,"NA",[1]Sheet2!AK360)</f>
        <v>0</v>
      </c>
      <c r="AH361" s="14" t="str">
        <f>IF([1]Sheet2!AL360=999999,"NA",[1]Sheet2!AL360)</f>
        <v>NA</v>
      </c>
      <c r="AI361" s="14">
        <f>IF([1]Sheet2!AM360=999999,"NA",[1]Sheet2!AM360)</f>
        <v>0</v>
      </c>
      <c r="AJ361" s="14">
        <f>IF([1]Sheet2!AN360=999999,"NA",[1]Sheet2!AN360)</f>
        <v>0</v>
      </c>
      <c r="AK361" s="14">
        <f>IF([1]Sheet2!AO360=999999,"NA",[1]Sheet2!AO360)</f>
        <v>0</v>
      </c>
      <c r="AL361" s="14">
        <f>IF([1]Sheet2!AP360=999999,"NA",[1]Sheet2!AP360)</f>
        <v>0</v>
      </c>
      <c r="AM361" s="14">
        <f>IF([1]Sheet2!AQ360=999999,"NA",[1]Sheet2!AQ360)</f>
        <v>0</v>
      </c>
      <c r="AN361" s="14">
        <f>IF([1]Sheet2!AR360=999999,"NA",[1]Sheet2!AR360)</f>
        <v>0</v>
      </c>
      <c r="AO361" s="14">
        <f>IF([1]Sheet2!AS360=999999,"NA",[1]Sheet2!AS360)</f>
        <v>0</v>
      </c>
      <c r="AP361" s="14">
        <f>[1]Sheet2!P360</f>
        <v>0</v>
      </c>
      <c r="AQ361" s="14">
        <f>[1]Sheet2!Q360</f>
        <v>0</v>
      </c>
      <c r="AR361" s="14">
        <f>[1]Sheet2!R360</f>
        <v>0</v>
      </c>
      <c r="AS361" s="14">
        <f>[1]Sheet2!S360</f>
        <v>0</v>
      </c>
      <c r="AT361" s="14">
        <f>[1]Sheet2!T360</f>
        <v>0</v>
      </c>
      <c r="AU361" s="14">
        <f>[1]Sheet2!U360</f>
        <v>0</v>
      </c>
      <c r="AV361" s="14">
        <f>[1]Sheet2!V360</f>
        <v>0</v>
      </c>
      <c r="AW361" s="14">
        <f>[1]Sheet2!W360</f>
        <v>0</v>
      </c>
      <c r="AX361" s="14">
        <f>[1]Sheet2!X360</f>
        <v>0</v>
      </c>
      <c r="AY361" s="14">
        <f>[1]Sheet2!Y360</f>
        <v>0</v>
      </c>
      <c r="AZ361" s="16">
        <f>Demand_LP!B$14/31</f>
        <v>868.56315911910667</v>
      </c>
      <c r="BA361" s="16">
        <f>Demand_LP!C$14/31</f>
        <v>608.40066170388752</v>
      </c>
      <c r="BB361" s="16">
        <f>Demand_LP!D$14/31</f>
        <v>251.20087262200158</v>
      </c>
      <c r="BC361" s="16">
        <f>Demand_LP!E$14/31</f>
        <v>807.45938378825463</v>
      </c>
      <c r="BD361" s="16">
        <f>Demand_LP!F$14/31</f>
        <v>539.59842069892466</v>
      </c>
      <c r="BE361" s="16">
        <f>Demand_LP!G$14/31</f>
        <v>539.59842069892466</v>
      </c>
      <c r="BF361" s="16">
        <f>Demand_LP!H$14/31</f>
        <v>608.40066170388752</v>
      </c>
      <c r="BG361" s="16">
        <f>Demand_LP!I$14/31</f>
        <v>539.59842069892466</v>
      </c>
      <c r="BH361" s="16">
        <f>Demand_LP!J$14/31</f>
        <v>539.59842069892466</v>
      </c>
      <c r="BI361" s="16">
        <f>Demand_LP!K$14/31</f>
        <v>539.59842069892466</v>
      </c>
      <c r="BJ361" s="16">
        <f t="shared" si="166"/>
        <v>-271924.8356359324</v>
      </c>
      <c r="BK361" s="16">
        <f t="shared" si="167"/>
        <v>-203699.39280397032</v>
      </c>
      <c r="BL361" s="16">
        <f t="shared" si="168"/>
        <v>-96222.572224979827</v>
      </c>
      <c r="BM361" s="16">
        <f t="shared" si="169"/>
        <v>-261797.42775879105</v>
      </c>
      <c r="BN361" s="16">
        <f t="shared" si="170"/>
        <v>-161680.30455660875</v>
      </c>
      <c r="BO361" s="16">
        <f t="shared" si="171"/>
        <v>-160137.98847497953</v>
      </c>
      <c r="BP361" s="16">
        <f t="shared" si="172"/>
        <v>-198056.97229114966</v>
      </c>
      <c r="BQ361" s="16">
        <f t="shared" si="173"/>
        <v>-155966.98847497956</v>
      </c>
      <c r="BR361" s="16">
        <f t="shared" si="174"/>
        <v>-157737.98847497959</v>
      </c>
      <c r="BS361" s="16">
        <f t="shared" si="175"/>
        <v>-158437.98847497959</v>
      </c>
      <c r="BT361" s="14">
        <f>IF([1]Sheet2!CB360=999999,"NA",[1]Sheet2!CB360)</f>
        <v>0</v>
      </c>
      <c r="BU361" s="14">
        <f>IF([1]Sheet2!CC360=999999,"NA",[1]Sheet2!CC360)</f>
        <v>0</v>
      </c>
      <c r="BV361" s="14">
        <f>IF([1]Sheet2!CD360=999999,"NA",[1]Sheet2!CD360)</f>
        <v>0</v>
      </c>
      <c r="BW361" s="14">
        <f>IF([1]Sheet2!CE360=999999,"NA",[1]Sheet2!CE360)</f>
        <v>0</v>
      </c>
      <c r="BX361" s="14">
        <f>IF([1]Sheet2!CF360=999999,"NA",[1]Sheet2!CF360)</f>
        <v>0</v>
      </c>
      <c r="BY361" s="14">
        <f>IF([1]Sheet2!CG360=999999,"NA",[1]Sheet2!CG360)</f>
        <v>0</v>
      </c>
      <c r="BZ361" s="14">
        <f>IF([1]Sheet2!CH360=999999,"NA",[1]Sheet2!CH360)</f>
        <v>0</v>
      </c>
      <c r="CA361" s="14">
        <f>IF([1]Sheet2!CI360=999999,"NA",[1]Sheet2!CI360)</f>
        <v>0</v>
      </c>
      <c r="CB361" s="14">
        <f>IF([1]Sheet2!CJ360=999999,"NA",[1]Sheet2!CJ360)</f>
        <v>0</v>
      </c>
      <c r="CC361" s="14">
        <f>IF([1]Sheet2!CK360=999999,"NA",[1]Sheet2!CK360)</f>
        <v>0</v>
      </c>
      <c r="CD361" s="14">
        <f>[1]Sheet2!BH360</f>
        <v>0</v>
      </c>
      <c r="CE361" s="14">
        <f>[1]Sheet2!BI360</f>
        <v>0</v>
      </c>
      <c r="CF361" s="14">
        <f>[1]Sheet2!BJ360</f>
        <v>0</v>
      </c>
      <c r="CG361" s="14">
        <f>[1]Sheet2!BK360</f>
        <v>0</v>
      </c>
      <c r="CH361" s="14">
        <f>[1]Sheet2!BL360</f>
        <v>0</v>
      </c>
      <c r="CI361" s="14">
        <f>[1]Sheet2!BM360</f>
        <v>0</v>
      </c>
      <c r="CJ361" s="14">
        <f>[1]Sheet2!BN360</f>
        <v>0</v>
      </c>
      <c r="CK361" s="14">
        <f>[1]Sheet2!BO360</f>
        <v>0</v>
      </c>
      <c r="CL361" s="14">
        <f>[1]Sheet2!BP360</f>
        <v>0</v>
      </c>
      <c r="CM361" s="14">
        <f>[1]Sheet2!BQ360</f>
        <v>0</v>
      </c>
      <c r="CN361" s="16">
        <f>Demand_SW!B$14/31</f>
        <v>139.57816377171216</v>
      </c>
      <c r="CO361" s="16">
        <f>Demand_SW!C$14/31</f>
        <v>0</v>
      </c>
      <c r="CP361" s="16">
        <f>Demand_SW!D$14/31</f>
        <v>0</v>
      </c>
      <c r="CQ361" s="16">
        <f>Demand_SW!E$14/31</f>
        <v>0</v>
      </c>
      <c r="CR361" s="16">
        <f>Demand_SW!F$14/31</f>
        <v>0</v>
      </c>
      <c r="CS361" s="16">
        <f>Demand_SW!G$14/31</f>
        <v>139.57816377171216</v>
      </c>
      <c r="CT361" s="16">
        <f>Demand_SW!H$14/31</f>
        <v>0</v>
      </c>
      <c r="CU361" s="16">
        <f>Demand_SW!I$14/31</f>
        <v>0</v>
      </c>
      <c r="CV361" s="16">
        <f>Demand_SW!J$14/31</f>
        <v>0</v>
      </c>
      <c r="CW361" s="16">
        <f>Demand_SW!K$14/31</f>
        <v>0</v>
      </c>
      <c r="CX361" s="16">
        <f t="shared" si="176"/>
        <v>-26051.414392059589</v>
      </c>
      <c r="CY361" s="16">
        <f t="shared" si="177"/>
        <v>76.923076923077133</v>
      </c>
      <c r="CZ361" s="16">
        <f t="shared" si="178"/>
        <v>0</v>
      </c>
      <c r="DA361" s="16">
        <f t="shared" si="179"/>
        <v>0</v>
      </c>
      <c r="DB361" s="16">
        <f t="shared" si="180"/>
        <v>0</v>
      </c>
      <c r="DC361" s="16">
        <f t="shared" si="181"/>
        <v>-27282.645161290358</v>
      </c>
      <c r="DD361" s="16">
        <f t="shared" si="182"/>
        <v>76.923076923077133</v>
      </c>
      <c r="DE361" s="16">
        <f t="shared" si="183"/>
        <v>0</v>
      </c>
      <c r="DF361" s="16">
        <f t="shared" si="184"/>
        <v>0</v>
      </c>
      <c r="DG361" s="16">
        <f t="shared" si="185"/>
        <v>0</v>
      </c>
      <c r="DH361" s="14">
        <f>IF([1]Sheet2!DS360=999999,"NA",[1]Sheet2!DS360)</f>
        <v>0</v>
      </c>
      <c r="DI361" s="14">
        <f>IF([1]Sheet2!DT360=999999,"NA",[1]Sheet2!DT360)</f>
        <v>7</v>
      </c>
      <c r="DJ361" s="14" t="str">
        <f>IF([1]Sheet2!DU360=999999,"NA",[1]Sheet2!DU360)</f>
        <v>NA</v>
      </c>
      <c r="DK361" s="14" t="str">
        <f>IF([1]Sheet2!DV360=999999,"NA",[1]Sheet2!DV360)</f>
        <v>NA</v>
      </c>
      <c r="DL361" s="14" t="str">
        <f>IF([1]Sheet2!DW360=999999,"NA",[1]Sheet2!DW360)</f>
        <v>NA</v>
      </c>
      <c r="DM361" s="14">
        <f>IF([1]Sheet2!DX360=999999,"NA",[1]Sheet2!DX360)</f>
        <v>0</v>
      </c>
      <c r="DN361" s="14">
        <f>IF([1]Sheet2!DY360=999999,"NA",[1]Sheet2!DY360)</f>
        <v>7</v>
      </c>
      <c r="DO361" s="14" t="str">
        <f>IF([1]Sheet2!DZ360=999999,"NA",[1]Sheet2!DZ360)</f>
        <v>NA</v>
      </c>
      <c r="DP361" s="14" t="str">
        <f>IF([1]Sheet2!EA360=999999,"NA",[1]Sheet2!EA360)</f>
        <v>NA</v>
      </c>
      <c r="DQ361" s="14" t="str">
        <f>IF([1]Sheet2!EB360=999999,"NA",[1]Sheet2!EB360)</f>
        <v>NA</v>
      </c>
      <c r="DR361" s="14">
        <f>[1]Sheet2!CY360</f>
        <v>0</v>
      </c>
      <c r="DS361" s="14">
        <f>[1]Sheet2!CZ360</f>
        <v>0</v>
      </c>
      <c r="DT361" s="14">
        <f>[1]Sheet2!DA360</f>
        <v>0</v>
      </c>
      <c r="DU361" s="14">
        <f>[1]Sheet2!DB360</f>
        <v>0</v>
      </c>
      <c r="DV361" s="14">
        <f>[1]Sheet2!DC360</f>
        <v>0</v>
      </c>
      <c r="DW361" s="14">
        <f>[1]Sheet2!DD360</f>
        <v>0</v>
      </c>
      <c r="DX361" s="14">
        <f>[1]Sheet2!DE360</f>
        <v>0</v>
      </c>
      <c r="DY361" s="14">
        <f>[1]Sheet2!DF360</f>
        <v>0</v>
      </c>
      <c r="DZ361" s="14">
        <f>[1]Sheet2!DG360</f>
        <v>0</v>
      </c>
      <c r="EA361" s="14">
        <f>[1]Sheet2!DH360</f>
        <v>0</v>
      </c>
      <c r="EB361" s="6">
        <f>[1]Sheet2!EC360</f>
        <v>0</v>
      </c>
      <c r="EC361" s="6">
        <f>[1]Sheet2!ED360</f>
        <v>0</v>
      </c>
      <c r="ED361" s="6">
        <f>[1]Sheet2!EE360</f>
        <v>0</v>
      </c>
      <c r="EE361" s="6">
        <f>[1]Sheet2!EF360</f>
        <v>0</v>
      </c>
      <c r="EF361" s="6">
        <f>[1]Sheet2!EG360</f>
        <v>0</v>
      </c>
      <c r="EG361" s="6">
        <f>[1]Sheet2!EH360</f>
        <v>0</v>
      </c>
      <c r="EH361" s="6">
        <f>[1]Sheet2!EI360</f>
        <v>0</v>
      </c>
      <c r="EI361" s="6">
        <f>[1]Sheet2!EJ360</f>
        <v>0</v>
      </c>
      <c r="EJ361" s="6">
        <f>[1]Sheet2!EK360</f>
        <v>0</v>
      </c>
      <c r="EK361" s="6">
        <f>[1]Sheet2!EL360</f>
        <v>0</v>
      </c>
      <c r="EL361" s="6" t="str">
        <f>[1]Sheet2!EM360</f>
        <v/>
      </c>
      <c r="EM361" s="6" t="str">
        <f>[1]Sheet2!EN360</f>
        <v/>
      </c>
      <c r="EN361" s="6" t="str">
        <f>[1]Sheet2!EO360</f>
        <v/>
      </c>
      <c r="EO361" s="6" t="str">
        <f>[1]Sheet2!EP360</f>
        <v/>
      </c>
      <c r="EP361" s="6" t="str">
        <f>[1]Sheet2!EQ360</f>
        <v/>
      </c>
      <c r="EQ361" s="6" t="str">
        <f>[1]Sheet2!ER360</f>
        <v/>
      </c>
      <c r="ER361" s="6" t="str">
        <f>[1]Sheet2!ES360</f>
        <v/>
      </c>
      <c r="ES361" s="6" t="str">
        <f>[1]Sheet2!ET360</f>
        <v/>
      </c>
      <c r="ET361" s="6" t="str">
        <f>[1]Sheet2!EU360</f>
        <v/>
      </c>
      <c r="EU361" s="6" t="str">
        <f>[1]Sheet2!EV360</f>
        <v/>
      </c>
      <c r="EV361" s="6" t="str">
        <f>[1]Sheet2!EW360</f>
        <v/>
      </c>
      <c r="EW361" s="6" t="str">
        <f>[1]Sheet2!EX360</f>
        <v/>
      </c>
      <c r="EX361" s="6" t="str">
        <f>[1]Sheet2!EY360</f>
        <v/>
      </c>
      <c r="EY361" s="6" t="str">
        <f>[1]Sheet2!EZ360</f>
        <v/>
      </c>
      <c r="EZ361" s="6" t="str">
        <f>[1]Sheet2!FA360</f>
        <v/>
      </c>
      <c r="FA361" s="6" t="str">
        <f>[1]Sheet2!FB360</f>
        <v/>
      </c>
      <c r="FB361" s="6" t="str">
        <f>[1]Sheet2!FC360</f>
        <v/>
      </c>
      <c r="FC361" s="6" t="str">
        <f>[1]Sheet2!FD360</f>
        <v/>
      </c>
      <c r="FD361" s="6" t="str">
        <f>[1]Sheet2!FE360</f>
        <v/>
      </c>
      <c r="FE361" s="6" t="str">
        <f>[1]Sheet2!FF360</f>
        <v/>
      </c>
      <c r="FF361" s="6" t="str">
        <f>[1]Sheet2!FG360</f>
        <v/>
      </c>
      <c r="FG361" s="6" t="str">
        <f>[1]Sheet2!FH360</f>
        <v/>
      </c>
      <c r="FH361" s="6" t="str">
        <f>[1]Sheet2!FI360</f>
        <v/>
      </c>
      <c r="FI361" s="6" t="str">
        <f>[1]Sheet2!FJ360</f>
        <v/>
      </c>
      <c r="FJ361" s="6" t="str">
        <f>[1]Sheet2!FK360</f>
        <v/>
      </c>
      <c r="FK361" s="6" t="str">
        <f>[1]Sheet2!FL360</f>
        <v/>
      </c>
      <c r="FL361" s="6" t="str">
        <f>[1]Sheet2!FM360</f>
        <v/>
      </c>
      <c r="FM361" s="6" t="str">
        <f>[1]Sheet2!FN360</f>
        <v/>
      </c>
      <c r="FN361" s="6" t="str">
        <f>[1]Sheet2!FO360</f>
        <v/>
      </c>
      <c r="FO361" s="6" t="str">
        <f>[1]Sheet2!FP360</f>
        <v/>
      </c>
    </row>
    <row r="362" spans="1:171" x14ac:dyDescent="0.25">
      <c r="A362" s="15">
        <v>43824</v>
      </c>
      <c r="B362" s="1"/>
      <c r="C362" s="1"/>
      <c r="D362" s="1"/>
      <c r="E362" s="14">
        <f>[1]Sheet2!N361</f>
        <v>0</v>
      </c>
      <c r="F362" s="14">
        <f>[1]Sheet2!BE361</f>
        <v>48000</v>
      </c>
      <c r="G362" s="14">
        <f>[1]Sheet2!CW361</f>
        <v>0</v>
      </c>
      <c r="H362" s="1"/>
      <c r="I362" s="1"/>
      <c r="J362" s="1"/>
      <c r="K362" s="16"/>
      <c r="L362" s="16">
        <f>Demand_CWRS!B$14/31</f>
        <v>95.176711124896599</v>
      </c>
      <c r="M362" s="16">
        <f>Demand_CWRS!C$14/31</f>
        <v>526.22795698924722</v>
      </c>
      <c r="N362" s="16">
        <f>Demand_CWRS!D$14/31</f>
        <v>0</v>
      </c>
      <c r="O362" s="16">
        <f>Demand_CWRS!E$14/31</f>
        <v>102.37076095947063</v>
      </c>
      <c r="P362" s="16">
        <f>Demand_CWRS!F$14/31</f>
        <v>219.86823562861866</v>
      </c>
      <c r="Q362" s="16">
        <f>Demand_CWRS!G$14/31</f>
        <v>95.176711124896599</v>
      </c>
      <c r="R362" s="16">
        <f>Demand_CWRS!H$14/31</f>
        <v>219.86823562861866</v>
      </c>
      <c r="S362" s="16">
        <f>Demand_CWRS!I$14/31</f>
        <v>219.86823562861866</v>
      </c>
      <c r="T362" s="16">
        <f>Demand_CWRS!J$14/31</f>
        <v>219.86823562861866</v>
      </c>
      <c r="U362" s="16">
        <f>Demand_CWRS!K$14/31</f>
        <v>219.86823562861866</v>
      </c>
      <c r="V362" s="16">
        <f t="shared" si="156"/>
        <v>-40330.918738595828</v>
      </c>
      <c r="W362" s="16">
        <f t="shared" si="157"/>
        <v>-165764.79379652589</v>
      </c>
      <c r="X362" s="16">
        <f t="shared" si="158"/>
        <v>0</v>
      </c>
      <c r="Y362" s="16">
        <f t="shared" si="159"/>
        <v>-31862.481471244184</v>
      </c>
      <c r="Z362" s="16">
        <f t="shared" si="160"/>
        <v>-72637.933747945237</v>
      </c>
      <c r="AA362" s="16">
        <f t="shared" si="161"/>
        <v>-38858.986214557444</v>
      </c>
      <c r="AB362" s="16">
        <f t="shared" si="162"/>
        <v>-76947.098523586334</v>
      </c>
      <c r="AC362" s="16">
        <f t="shared" si="163"/>
        <v>-71154.088267175961</v>
      </c>
      <c r="AD362" s="16">
        <f t="shared" si="164"/>
        <v>-71254.088267175961</v>
      </c>
      <c r="AE362" s="16">
        <f t="shared" si="165"/>
        <v>-71854.088267175961</v>
      </c>
      <c r="AF362" s="14">
        <f>IF([1]Sheet2!AJ361=999999,"NA",[1]Sheet2!AJ361)</f>
        <v>0</v>
      </c>
      <c r="AG362" s="14">
        <f>IF([1]Sheet2!AK361=999999,"NA",[1]Sheet2!AK361)</f>
        <v>0</v>
      </c>
      <c r="AH362" s="14" t="str">
        <f>IF([1]Sheet2!AL361=999999,"NA",[1]Sheet2!AL361)</f>
        <v>NA</v>
      </c>
      <c r="AI362" s="14">
        <f>IF([1]Sheet2!AM361=999999,"NA",[1]Sheet2!AM361)</f>
        <v>0</v>
      </c>
      <c r="AJ362" s="14">
        <f>IF([1]Sheet2!AN361=999999,"NA",[1]Sheet2!AN361)</f>
        <v>0</v>
      </c>
      <c r="AK362" s="14">
        <f>IF([1]Sheet2!AO361=999999,"NA",[1]Sheet2!AO361)</f>
        <v>0</v>
      </c>
      <c r="AL362" s="14">
        <f>IF([1]Sheet2!AP361=999999,"NA",[1]Sheet2!AP361)</f>
        <v>0</v>
      </c>
      <c r="AM362" s="14">
        <f>IF([1]Sheet2!AQ361=999999,"NA",[1]Sheet2!AQ361)</f>
        <v>0</v>
      </c>
      <c r="AN362" s="14">
        <f>IF([1]Sheet2!AR361=999999,"NA",[1]Sheet2!AR361)</f>
        <v>0</v>
      </c>
      <c r="AO362" s="14">
        <f>IF([1]Sheet2!AS361=999999,"NA",[1]Sheet2!AS361)</f>
        <v>0</v>
      </c>
      <c r="AP362" s="14">
        <f>[1]Sheet2!P361</f>
        <v>0</v>
      </c>
      <c r="AQ362" s="14">
        <f>[1]Sheet2!Q361</f>
        <v>0</v>
      </c>
      <c r="AR362" s="14">
        <f>[1]Sheet2!R361</f>
        <v>0</v>
      </c>
      <c r="AS362" s="14">
        <f>[1]Sheet2!S361</f>
        <v>0</v>
      </c>
      <c r="AT362" s="14">
        <f>[1]Sheet2!T361</f>
        <v>0</v>
      </c>
      <c r="AU362" s="14">
        <f>[1]Sheet2!U361</f>
        <v>0</v>
      </c>
      <c r="AV362" s="14">
        <f>[1]Sheet2!V361</f>
        <v>0</v>
      </c>
      <c r="AW362" s="14">
        <f>[1]Sheet2!W361</f>
        <v>0</v>
      </c>
      <c r="AX362" s="14">
        <f>[1]Sheet2!X361</f>
        <v>0</v>
      </c>
      <c r="AY362" s="14">
        <f>[1]Sheet2!Y361</f>
        <v>0</v>
      </c>
      <c r="AZ362" s="16">
        <f>Demand_LP!B$14/31</f>
        <v>868.56315911910667</v>
      </c>
      <c r="BA362" s="16">
        <f>Demand_LP!C$14/31</f>
        <v>608.40066170388752</v>
      </c>
      <c r="BB362" s="16">
        <f>Demand_LP!D$14/31</f>
        <v>251.20087262200158</v>
      </c>
      <c r="BC362" s="16">
        <f>Demand_LP!E$14/31</f>
        <v>807.45938378825463</v>
      </c>
      <c r="BD362" s="16">
        <f>Demand_LP!F$14/31</f>
        <v>539.59842069892466</v>
      </c>
      <c r="BE362" s="16">
        <f>Demand_LP!G$14/31</f>
        <v>539.59842069892466</v>
      </c>
      <c r="BF362" s="16">
        <f>Demand_LP!H$14/31</f>
        <v>608.40066170388752</v>
      </c>
      <c r="BG362" s="16">
        <f>Demand_LP!I$14/31</f>
        <v>539.59842069892466</v>
      </c>
      <c r="BH362" s="16">
        <f>Demand_LP!J$14/31</f>
        <v>539.59842069892466</v>
      </c>
      <c r="BI362" s="16">
        <f>Demand_LP!K$14/31</f>
        <v>539.59842069892466</v>
      </c>
      <c r="BJ362" s="16">
        <f t="shared" si="166"/>
        <v>-272793.3987950515</v>
      </c>
      <c r="BK362" s="16">
        <f t="shared" si="167"/>
        <v>-204307.79346567421</v>
      </c>
      <c r="BL362" s="16">
        <f t="shared" si="168"/>
        <v>-96473.773097601836</v>
      </c>
      <c r="BM362" s="16">
        <f t="shared" si="169"/>
        <v>-262604.8871425793</v>
      </c>
      <c r="BN362" s="16">
        <f t="shared" si="170"/>
        <v>-162219.90297730768</v>
      </c>
      <c r="BO362" s="16">
        <f t="shared" si="171"/>
        <v>-160677.58689567845</v>
      </c>
      <c r="BP362" s="16">
        <f t="shared" si="172"/>
        <v>-198665.37295285356</v>
      </c>
      <c r="BQ362" s="16">
        <f t="shared" si="173"/>
        <v>-156506.58689567848</v>
      </c>
      <c r="BR362" s="16">
        <f t="shared" si="174"/>
        <v>-158277.58689567851</v>
      </c>
      <c r="BS362" s="16">
        <f t="shared" si="175"/>
        <v>-158977.58689567851</v>
      </c>
      <c r="BT362" s="14">
        <f>IF([1]Sheet2!CB361=999999,"NA",[1]Sheet2!CB361)</f>
        <v>0</v>
      </c>
      <c r="BU362" s="14">
        <f>IF([1]Sheet2!CC361=999999,"NA",[1]Sheet2!CC361)</f>
        <v>0</v>
      </c>
      <c r="BV362" s="14">
        <f>IF([1]Sheet2!CD361=999999,"NA",[1]Sheet2!CD361)</f>
        <v>0</v>
      </c>
      <c r="BW362" s="14">
        <f>IF([1]Sheet2!CE361=999999,"NA",[1]Sheet2!CE361)</f>
        <v>0</v>
      </c>
      <c r="BX362" s="14">
        <f>IF([1]Sheet2!CF361=999999,"NA",[1]Sheet2!CF361)</f>
        <v>0</v>
      </c>
      <c r="BY362" s="14">
        <f>IF([1]Sheet2!CG361=999999,"NA",[1]Sheet2!CG361)</f>
        <v>0</v>
      </c>
      <c r="BZ362" s="14">
        <f>IF([1]Sheet2!CH361=999999,"NA",[1]Sheet2!CH361)</f>
        <v>0</v>
      </c>
      <c r="CA362" s="14">
        <f>IF([1]Sheet2!CI361=999999,"NA",[1]Sheet2!CI361)</f>
        <v>0</v>
      </c>
      <c r="CB362" s="14">
        <f>IF([1]Sheet2!CJ361=999999,"NA",[1]Sheet2!CJ361)</f>
        <v>0</v>
      </c>
      <c r="CC362" s="14">
        <f>IF([1]Sheet2!CK361=999999,"NA",[1]Sheet2!CK361)</f>
        <v>0</v>
      </c>
      <c r="CD362" s="14">
        <f>[1]Sheet2!BH361</f>
        <v>0</v>
      </c>
      <c r="CE362" s="14">
        <f>[1]Sheet2!BI361</f>
        <v>0</v>
      </c>
      <c r="CF362" s="14">
        <f>[1]Sheet2!BJ361</f>
        <v>0</v>
      </c>
      <c r="CG362" s="14">
        <f>[1]Sheet2!BK361</f>
        <v>0</v>
      </c>
      <c r="CH362" s="14">
        <f>[1]Sheet2!BL361</f>
        <v>0</v>
      </c>
      <c r="CI362" s="14">
        <f>[1]Sheet2!BM361</f>
        <v>0</v>
      </c>
      <c r="CJ362" s="14">
        <f>[1]Sheet2!BN361</f>
        <v>0</v>
      </c>
      <c r="CK362" s="14">
        <f>[1]Sheet2!BO361</f>
        <v>0</v>
      </c>
      <c r="CL362" s="14">
        <f>[1]Sheet2!BP361</f>
        <v>0</v>
      </c>
      <c r="CM362" s="14">
        <f>[1]Sheet2!BQ361</f>
        <v>0</v>
      </c>
      <c r="CN362" s="16">
        <f>Demand_SW!B$14/31</f>
        <v>139.57816377171216</v>
      </c>
      <c r="CO362" s="16">
        <f>Demand_SW!C$14/31</f>
        <v>0</v>
      </c>
      <c r="CP362" s="16">
        <f>Demand_SW!D$14/31</f>
        <v>0</v>
      </c>
      <c r="CQ362" s="16">
        <f>Demand_SW!E$14/31</f>
        <v>0</v>
      </c>
      <c r="CR362" s="16">
        <f>Demand_SW!F$14/31</f>
        <v>0</v>
      </c>
      <c r="CS362" s="16">
        <f>Demand_SW!G$14/31</f>
        <v>139.57816377171216</v>
      </c>
      <c r="CT362" s="16">
        <f>Demand_SW!H$14/31</f>
        <v>0</v>
      </c>
      <c r="CU362" s="16">
        <f>Demand_SW!I$14/31</f>
        <v>0</v>
      </c>
      <c r="CV362" s="16">
        <f>Demand_SW!J$14/31</f>
        <v>0</v>
      </c>
      <c r="CW362" s="16">
        <f>Demand_SW!K$14/31</f>
        <v>0</v>
      </c>
      <c r="CX362" s="16">
        <f t="shared" si="176"/>
        <v>-26190.992555831301</v>
      </c>
      <c r="CY362" s="16">
        <f t="shared" si="177"/>
        <v>76.923076923077133</v>
      </c>
      <c r="CZ362" s="16">
        <f t="shared" si="178"/>
        <v>0</v>
      </c>
      <c r="DA362" s="16">
        <f t="shared" si="179"/>
        <v>0</v>
      </c>
      <c r="DB362" s="16">
        <f t="shared" si="180"/>
        <v>0</v>
      </c>
      <c r="DC362" s="16">
        <f t="shared" si="181"/>
        <v>-27422.22332506207</v>
      </c>
      <c r="DD362" s="16">
        <f t="shared" si="182"/>
        <v>76.923076923077133</v>
      </c>
      <c r="DE362" s="16">
        <f t="shared" si="183"/>
        <v>0</v>
      </c>
      <c r="DF362" s="16">
        <f t="shared" si="184"/>
        <v>0</v>
      </c>
      <c r="DG362" s="16">
        <f t="shared" si="185"/>
        <v>0</v>
      </c>
      <c r="DH362" s="14">
        <f>IF([1]Sheet2!DS361=999999,"NA",[1]Sheet2!DS361)</f>
        <v>0</v>
      </c>
      <c r="DI362" s="14">
        <f>IF([1]Sheet2!DT361=999999,"NA",[1]Sheet2!DT361)</f>
        <v>6</v>
      </c>
      <c r="DJ362" s="14" t="str">
        <f>IF([1]Sheet2!DU361=999999,"NA",[1]Sheet2!DU361)</f>
        <v>NA</v>
      </c>
      <c r="DK362" s="14" t="str">
        <f>IF([1]Sheet2!DV361=999999,"NA",[1]Sheet2!DV361)</f>
        <v>NA</v>
      </c>
      <c r="DL362" s="14" t="str">
        <f>IF([1]Sheet2!DW361=999999,"NA",[1]Sheet2!DW361)</f>
        <v>NA</v>
      </c>
      <c r="DM362" s="14">
        <f>IF([1]Sheet2!DX361=999999,"NA",[1]Sheet2!DX361)</f>
        <v>0</v>
      </c>
      <c r="DN362" s="14">
        <f>IF([1]Sheet2!DY361=999999,"NA",[1]Sheet2!DY361)</f>
        <v>6</v>
      </c>
      <c r="DO362" s="14" t="str">
        <f>IF([1]Sheet2!DZ361=999999,"NA",[1]Sheet2!DZ361)</f>
        <v>NA</v>
      </c>
      <c r="DP362" s="14" t="str">
        <f>IF([1]Sheet2!EA361=999999,"NA",[1]Sheet2!EA361)</f>
        <v>NA</v>
      </c>
      <c r="DQ362" s="14" t="str">
        <f>IF([1]Sheet2!EB361=999999,"NA",[1]Sheet2!EB361)</f>
        <v>NA</v>
      </c>
      <c r="DR362" s="14">
        <f>[1]Sheet2!CY361</f>
        <v>0</v>
      </c>
      <c r="DS362" s="14">
        <f>[1]Sheet2!CZ361</f>
        <v>0</v>
      </c>
      <c r="DT362" s="14">
        <f>[1]Sheet2!DA361</f>
        <v>0</v>
      </c>
      <c r="DU362" s="14">
        <f>[1]Sheet2!DB361</f>
        <v>0</v>
      </c>
      <c r="DV362" s="14">
        <f>[1]Sheet2!DC361</f>
        <v>0</v>
      </c>
      <c r="DW362" s="14">
        <f>[1]Sheet2!DD361</f>
        <v>0</v>
      </c>
      <c r="DX362" s="14">
        <f>[1]Sheet2!DE361</f>
        <v>0</v>
      </c>
      <c r="DY362" s="14">
        <f>[1]Sheet2!DF361</f>
        <v>0</v>
      </c>
      <c r="DZ362" s="14">
        <f>[1]Sheet2!DG361</f>
        <v>0</v>
      </c>
      <c r="EA362" s="14">
        <f>[1]Sheet2!DH361</f>
        <v>0</v>
      </c>
      <c r="EB362" s="6">
        <f>[1]Sheet2!EC361</f>
        <v>0</v>
      </c>
      <c r="EC362" s="6">
        <f>[1]Sheet2!ED361</f>
        <v>0</v>
      </c>
      <c r="ED362" s="6">
        <f>[1]Sheet2!EE361</f>
        <v>0</v>
      </c>
      <c r="EE362" s="6">
        <f>[1]Sheet2!EF361</f>
        <v>0</v>
      </c>
      <c r="EF362" s="6">
        <f>[1]Sheet2!EG361</f>
        <v>0</v>
      </c>
      <c r="EG362" s="6">
        <f>[1]Sheet2!EH361</f>
        <v>0</v>
      </c>
      <c r="EH362" s="6">
        <f>[1]Sheet2!EI361</f>
        <v>0</v>
      </c>
      <c r="EI362" s="6">
        <f>[1]Sheet2!EJ361</f>
        <v>0</v>
      </c>
      <c r="EJ362" s="6">
        <f>[1]Sheet2!EK361</f>
        <v>0</v>
      </c>
      <c r="EK362" s="6">
        <f>[1]Sheet2!EL361</f>
        <v>0</v>
      </c>
      <c r="EL362" s="6" t="str">
        <f>[1]Sheet2!EM361</f>
        <v/>
      </c>
      <c r="EM362" s="6" t="str">
        <f>[1]Sheet2!EN361</f>
        <v/>
      </c>
      <c r="EN362" s="6" t="str">
        <f>[1]Sheet2!EO361</f>
        <v/>
      </c>
      <c r="EO362" s="6" t="str">
        <f>[1]Sheet2!EP361</f>
        <v/>
      </c>
      <c r="EP362" s="6" t="str">
        <f>[1]Sheet2!EQ361</f>
        <v/>
      </c>
      <c r="EQ362" s="6" t="str">
        <f>[1]Sheet2!ER361</f>
        <v/>
      </c>
      <c r="ER362" s="6" t="str">
        <f>[1]Sheet2!ES361</f>
        <v/>
      </c>
      <c r="ES362" s="6" t="str">
        <f>[1]Sheet2!ET361</f>
        <v/>
      </c>
      <c r="ET362" s="6" t="str">
        <f>[1]Sheet2!EU361</f>
        <v/>
      </c>
      <c r="EU362" s="6" t="str">
        <f>[1]Sheet2!EV361</f>
        <v/>
      </c>
      <c r="EV362" s="6" t="str">
        <f>[1]Sheet2!EW361</f>
        <v/>
      </c>
      <c r="EW362" s="6" t="str">
        <f>[1]Sheet2!EX361</f>
        <v/>
      </c>
      <c r="EX362" s="6" t="str">
        <f>[1]Sheet2!EY361</f>
        <v/>
      </c>
      <c r="EY362" s="6" t="str">
        <f>[1]Sheet2!EZ361</f>
        <v/>
      </c>
      <c r="EZ362" s="6" t="str">
        <f>[1]Sheet2!FA361</f>
        <v/>
      </c>
      <c r="FA362" s="6" t="str">
        <f>[1]Sheet2!FB361</f>
        <v/>
      </c>
      <c r="FB362" s="6" t="str">
        <f>[1]Sheet2!FC361</f>
        <v/>
      </c>
      <c r="FC362" s="6" t="str">
        <f>[1]Sheet2!FD361</f>
        <v/>
      </c>
      <c r="FD362" s="6" t="str">
        <f>[1]Sheet2!FE361</f>
        <v/>
      </c>
      <c r="FE362" s="6" t="str">
        <f>[1]Sheet2!FF361</f>
        <v/>
      </c>
      <c r="FF362" s="6" t="str">
        <f>[1]Sheet2!FG361</f>
        <v/>
      </c>
      <c r="FG362" s="6" t="str">
        <f>[1]Sheet2!FH361</f>
        <v/>
      </c>
      <c r="FH362" s="6" t="str">
        <f>[1]Sheet2!FI361</f>
        <v/>
      </c>
      <c r="FI362" s="6" t="str">
        <f>[1]Sheet2!FJ361</f>
        <v/>
      </c>
      <c r="FJ362" s="6" t="str">
        <f>[1]Sheet2!FK361</f>
        <v/>
      </c>
      <c r="FK362" s="6" t="str">
        <f>[1]Sheet2!FL361</f>
        <v/>
      </c>
      <c r="FL362" s="6" t="str">
        <f>[1]Sheet2!FM361</f>
        <v/>
      </c>
      <c r="FM362" s="6" t="str">
        <f>[1]Sheet2!FN361</f>
        <v/>
      </c>
      <c r="FN362" s="6" t="str">
        <f>[1]Sheet2!FO361</f>
        <v/>
      </c>
      <c r="FO362" s="6" t="str">
        <f>[1]Sheet2!FP361</f>
        <v/>
      </c>
    </row>
    <row r="363" spans="1:171" x14ac:dyDescent="0.25">
      <c r="A363" s="15">
        <v>43825</v>
      </c>
      <c r="B363" s="1"/>
      <c r="C363" s="1"/>
      <c r="D363" s="1"/>
      <c r="E363" s="14">
        <f>[1]Sheet2!N362</f>
        <v>0</v>
      </c>
      <c r="F363" s="14">
        <f>[1]Sheet2!BE362</f>
        <v>0</v>
      </c>
      <c r="G363" s="14">
        <f>[1]Sheet2!CW362</f>
        <v>0</v>
      </c>
      <c r="H363" s="1"/>
      <c r="I363" s="1"/>
      <c r="J363" s="1"/>
      <c r="K363" s="16"/>
      <c r="L363" s="16">
        <f>Demand_CWRS!B$14/31</f>
        <v>95.176711124896599</v>
      </c>
      <c r="M363" s="16">
        <f>Demand_CWRS!C$14/31</f>
        <v>526.22795698924722</v>
      </c>
      <c r="N363" s="16">
        <f>Demand_CWRS!D$14/31</f>
        <v>0</v>
      </c>
      <c r="O363" s="16">
        <f>Demand_CWRS!E$14/31</f>
        <v>102.37076095947063</v>
      </c>
      <c r="P363" s="16">
        <f>Demand_CWRS!F$14/31</f>
        <v>219.86823562861866</v>
      </c>
      <c r="Q363" s="16">
        <f>Demand_CWRS!G$14/31</f>
        <v>95.176711124896599</v>
      </c>
      <c r="R363" s="16">
        <f>Demand_CWRS!H$14/31</f>
        <v>219.86823562861866</v>
      </c>
      <c r="S363" s="16">
        <f>Demand_CWRS!I$14/31</f>
        <v>219.86823562861866</v>
      </c>
      <c r="T363" s="16">
        <f>Demand_CWRS!J$14/31</f>
        <v>219.86823562861866</v>
      </c>
      <c r="U363" s="16">
        <f>Demand_CWRS!K$14/31</f>
        <v>219.86823562861866</v>
      </c>
      <c r="V363" s="16">
        <f t="shared" si="156"/>
        <v>-40426.095449720728</v>
      </c>
      <c r="W363" s="16">
        <f t="shared" si="157"/>
        <v>-166291.02175351515</v>
      </c>
      <c r="X363" s="16">
        <f t="shared" si="158"/>
        <v>0</v>
      </c>
      <c r="Y363" s="16">
        <f t="shared" si="159"/>
        <v>-31964.852232203655</v>
      </c>
      <c r="Z363" s="16">
        <f t="shared" si="160"/>
        <v>-72857.801983573852</v>
      </c>
      <c r="AA363" s="16">
        <f t="shared" si="161"/>
        <v>-38954.162925682343</v>
      </c>
      <c r="AB363" s="16">
        <f t="shared" si="162"/>
        <v>-77166.966759214949</v>
      </c>
      <c r="AC363" s="16">
        <f t="shared" si="163"/>
        <v>-71373.956502804576</v>
      </c>
      <c r="AD363" s="16">
        <f t="shared" si="164"/>
        <v>-71473.956502804576</v>
      </c>
      <c r="AE363" s="16">
        <f t="shared" si="165"/>
        <v>-72073.956502804576</v>
      </c>
      <c r="AF363" s="14">
        <f>IF([1]Sheet2!AJ362=999999,"NA",[1]Sheet2!AJ362)</f>
        <v>0</v>
      </c>
      <c r="AG363" s="14">
        <f>IF([1]Sheet2!AK362=999999,"NA",[1]Sheet2!AK362)</f>
        <v>0</v>
      </c>
      <c r="AH363" s="14" t="str">
        <f>IF([1]Sheet2!AL362=999999,"NA",[1]Sheet2!AL362)</f>
        <v>NA</v>
      </c>
      <c r="AI363" s="14">
        <f>IF([1]Sheet2!AM362=999999,"NA",[1]Sheet2!AM362)</f>
        <v>0</v>
      </c>
      <c r="AJ363" s="14">
        <f>IF([1]Sheet2!AN362=999999,"NA",[1]Sheet2!AN362)</f>
        <v>0</v>
      </c>
      <c r="AK363" s="14">
        <f>IF([1]Sheet2!AO362=999999,"NA",[1]Sheet2!AO362)</f>
        <v>0</v>
      </c>
      <c r="AL363" s="14">
        <f>IF([1]Sheet2!AP362=999999,"NA",[1]Sheet2!AP362)</f>
        <v>0</v>
      </c>
      <c r="AM363" s="14">
        <f>IF([1]Sheet2!AQ362=999999,"NA",[1]Sheet2!AQ362)</f>
        <v>0</v>
      </c>
      <c r="AN363" s="14">
        <f>IF([1]Sheet2!AR362=999999,"NA",[1]Sheet2!AR362)</f>
        <v>0</v>
      </c>
      <c r="AO363" s="14">
        <f>IF([1]Sheet2!AS362=999999,"NA",[1]Sheet2!AS362)</f>
        <v>0</v>
      </c>
      <c r="AP363" s="14">
        <f>[1]Sheet2!P362</f>
        <v>0</v>
      </c>
      <c r="AQ363" s="14">
        <f>[1]Sheet2!Q362</f>
        <v>0</v>
      </c>
      <c r="AR363" s="14">
        <f>[1]Sheet2!R362</f>
        <v>0</v>
      </c>
      <c r="AS363" s="14">
        <f>[1]Sheet2!S362</f>
        <v>0</v>
      </c>
      <c r="AT363" s="14">
        <f>[1]Sheet2!T362</f>
        <v>0</v>
      </c>
      <c r="AU363" s="14">
        <f>[1]Sheet2!U362</f>
        <v>0</v>
      </c>
      <c r="AV363" s="14">
        <f>[1]Sheet2!V362</f>
        <v>0</v>
      </c>
      <c r="AW363" s="14">
        <f>[1]Sheet2!W362</f>
        <v>0</v>
      </c>
      <c r="AX363" s="14">
        <f>[1]Sheet2!X362</f>
        <v>0</v>
      </c>
      <c r="AY363" s="14">
        <f>[1]Sheet2!Y362</f>
        <v>0</v>
      </c>
      <c r="AZ363" s="16">
        <f>Demand_LP!B$14/31</f>
        <v>868.56315911910667</v>
      </c>
      <c r="BA363" s="16">
        <f>Demand_LP!C$14/31</f>
        <v>608.40066170388752</v>
      </c>
      <c r="BB363" s="16">
        <f>Demand_LP!D$14/31</f>
        <v>251.20087262200158</v>
      </c>
      <c r="BC363" s="16">
        <f>Demand_LP!E$14/31</f>
        <v>807.45938378825463</v>
      </c>
      <c r="BD363" s="16">
        <f>Demand_LP!F$14/31</f>
        <v>539.59842069892466</v>
      </c>
      <c r="BE363" s="16">
        <f>Demand_LP!G$14/31</f>
        <v>539.59842069892466</v>
      </c>
      <c r="BF363" s="16">
        <f>Demand_LP!H$14/31</f>
        <v>608.40066170388752</v>
      </c>
      <c r="BG363" s="16">
        <f>Demand_LP!I$14/31</f>
        <v>539.59842069892466</v>
      </c>
      <c r="BH363" s="16">
        <f>Demand_LP!J$14/31</f>
        <v>539.59842069892466</v>
      </c>
      <c r="BI363" s="16">
        <f>Demand_LP!K$14/31</f>
        <v>539.59842069892466</v>
      </c>
      <c r="BJ363" s="16">
        <f t="shared" si="166"/>
        <v>-273661.96195417061</v>
      </c>
      <c r="BK363" s="16">
        <f t="shared" si="167"/>
        <v>-204916.19412737811</v>
      </c>
      <c r="BL363" s="16">
        <f t="shared" si="168"/>
        <v>-96724.973970223844</v>
      </c>
      <c r="BM363" s="16">
        <f t="shared" si="169"/>
        <v>-263412.34652636753</v>
      </c>
      <c r="BN363" s="16">
        <f t="shared" si="170"/>
        <v>-162759.5013980066</v>
      </c>
      <c r="BO363" s="16">
        <f t="shared" si="171"/>
        <v>-161217.18531637738</v>
      </c>
      <c r="BP363" s="16">
        <f t="shared" si="172"/>
        <v>-199273.77361455746</v>
      </c>
      <c r="BQ363" s="16">
        <f t="shared" si="173"/>
        <v>-157046.18531637741</v>
      </c>
      <c r="BR363" s="16">
        <f t="shared" si="174"/>
        <v>-158817.18531637744</v>
      </c>
      <c r="BS363" s="16">
        <f t="shared" si="175"/>
        <v>-159517.18531637744</v>
      </c>
      <c r="BT363" s="14">
        <f>IF([1]Sheet2!CB362=999999,"NA",[1]Sheet2!CB362)</f>
        <v>0</v>
      </c>
      <c r="BU363" s="14">
        <f>IF([1]Sheet2!CC362=999999,"NA",[1]Sheet2!CC362)</f>
        <v>0</v>
      </c>
      <c r="BV363" s="14">
        <f>IF([1]Sheet2!CD362=999999,"NA",[1]Sheet2!CD362)</f>
        <v>0</v>
      </c>
      <c r="BW363" s="14">
        <f>IF([1]Sheet2!CE362=999999,"NA",[1]Sheet2!CE362)</f>
        <v>0</v>
      </c>
      <c r="BX363" s="14">
        <f>IF([1]Sheet2!CF362=999999,"NA",[1]Sheet2!CF362)</f>
        <v>0</v>
      </c>
      <c r="BY363" s="14">
        <f>IF([1]Sheet2!CG362=999999,"NA",[1]Sheet2!CG362)</f>
        <v>0</v>
      </c>
      <c r="BZ363" s="14">
        <f>IF([1]Sheet2!CH362=999999,"NA",[1]Sheet2!CH362)</f>
        <v>0</v>
      </c>
      <c r="CA363" s="14">
        <f>IF([1]Sheet2!CI362=999999,"NA",[1]Sheet2!CI362)</f>
        <v>0</v>
      </c>
      <c r="CB363" s="14">
        <f>IF([1]Sheet2!CJ362=999999,"NA",[1]Sheet2!CJ362)</f>
        <v>0</v>
      </c>
      <c r="CC363" s="14">
        <f>IF([1]Sheet2!CK362=999999,"NA",[1]Sheet2!CK362)</f>
        <v>0</v>
      </c>
      <c r="CD363" s="14">
        <f>[1]Sheet2!BH362</f>
        <v>0</v>
      </c>
      <c r="CE363" s="14">
        <f>[1]Sheet2!BI362</f>
        <v>0</v>
      </c>
      <c r="CF363" s="14">
        <f>[1]Sheet2!BJ362</f>
        <v>0</v>
      </c>
      <c r="CG363" s="14">
        <f>[1]Sheet2!BK362</f>
        <v>0</v>
      </c>
      <c r="CH363" s="14">
        <f>[1]Sheet2!BL362</f>
        <v>0</v>
      </c>
      <c r="CI363" s="14">
        <f>[1]Sheet2!BM362</f>
        <v>0</v>
      </c>
      <c r="CJ363" s="14">
        <f>[1]Sheet2!BN362</f>
        <v>0</v>
      </c>
      <c r="CK363" s="14">
        <f>[1]Sheet2!BO362</f>
        <v>0</v>
      </c>
      <c r="CL363" s="14">
        <f>[1]Sheet2!BP362</f>
        <v>0</v>
      </c>
      <c r="CM363" s="14">
        <f>[1]Sheet2!BQ362</f>
        <v>0</v>
      </c>
      <c r="CN363" s="16">
        <f>Demand_SW!B$14/31</f>
        <v>139.57816377171216</v>
      </c>
      <c r="CO363" s="16">
        <f>Demand_SW!C$14/31</f>
        <v>0</v>
      </c>
      <c r="CP363" s="16">
        <f>Demand_SW!D$14/31</f>
        <v>0</v>
      </c>
      <c r="CQ363" s="16">
        <f>Demand_SW!E$14/31</f>
        <v>0</v>
      </c>
      <c r="CR363" s="16">
        <f>Demand_SW!F$14/31</f>
        <v>0</v>
      </c>
      <c r="CS363" s="16">
        <f>Demand_SW!G$14/31</f>
        <v>139.57816377171216</v>
      </c>
      <c r="CT363" s="16">
        <f>Demand_SW!H$14/31</f>
        <v>0</v>
      </c>
      <c r="CU363" s="16">
        <f>Demand_SW!I$14/31</f>
        <v>0</v>
      </c>
      <c r="CV363" s="16">
        <f>Demand_SW!J$14/31</f>
        <v>0</v>
      </c>
      <c r="CW363" s="16">
        <f>Demand_SW!K$14/31</f>
        <v>0</v>
      </c>
      <c r="CX363" s="16">
        <f t="shared" si="176"/>
        <v>-26330.570719603013</v>
      </c>
      <c r="CY363" s="16">
        <f t="shared" si="177"/>
        <v>76.923076923077133</v>
      </c>
      <c r="CZ363" s="16">
        <f t="shared" si="178"/>
        <v>0</v>
      </c>
      <c r="DA363" s="16">
        <f t="shared" si="179"/>
        <v>0</v>
      </c>
      <c r="DB363" s="16">
        <f t="shared" si="180"/>
        <v>0</v>
      </c>
      <c r="DC363" s="16">
        <f t="shared" si="181"/>
        <v>-27561.801488833782</v>
      </c>
      <c r="DD363" s="16">
        <f t="shared" si="182"/>
        <v>76.923076923077133</v>
      </c>
      <c r="DE363" s="16">
        <f t="shared" si="183"/>
        <v>0</v>
      </c>
      <c r="DF363" s="16">
        <f t="shared" si="184"/>
        <v>0</v>
      </c>
      <c r="DG363" s="16">
        <f t="shared" si="185"/>
        <v>0</v>
      </c>
      <c r="DH363" s="14">
        <f>IF([1]Sheet2!DS362=999999,"NA",[1]Sheet2!DS362)</f>
        <v>0</v>
      </c>
      <c r="DI363" s="14">
        <f>IF([1]Sheet2!DT362=999999,"NA",[1]Sheet2!DT362)</f>
        <v>5</v>
      </c>
      <c r="DJ363" s="14" t="str">
        <f>IF([1]Sheet2!DU362=999999,"NA",[1]Sheet2!DU362)</f>
        <v>NA</v>
      </c>
      <c r="DK363" s="14" t="str">
        <f>IF([1]Sheet2!DV362=999999,"NA",[1]Sheet2!DV362)</f>
        <v>NA</v>
      </c>
      <c r="DL363" s="14" t="str">
        <f>IF([1]Sheet2!DW362=999999,"NA",[1]Sheet2!DW362)</f>
        <v>NA</v>
      </c>
      <c r="DM363" s="14">
        <f>IF([1]Sheet2!DX362=999999,"NA",[1]Sheet2!DX362)</f>
        <v>0</v>
      </c>
      <c r="DN363" s="14">
        <f>IF([1]Sheet2!DY362=999999,"NA",[1]Sheet2!DY362)</f>
        <v>5</v>
      </c>
      <c r="DO363" s="14" t="str">
        <f>IF([1]Sheet2!DZ362=999999,"NA",[1]Sheet2!DZ362)</f>
        <v>NA</v>
      </c>
      <c r="DP363" s="14" t="str">
        <f>IF([1]Sheet2!EA362=999999,"NA",[1]Sheet2!EA362)</f>
        <v>NA</v>
      </c>
      <c r="DQ363" s="14" t="str">
        <f>IF([1]Sheet2!EB362=999999,"NA",[1]Sheet2!EB362)</f>
        <v>NA</v>
      </c>
      <c r="DR363" s="14">
        <f>[1]Sheet2!CY362</f>
        <v>0</v>
      </c>
      <c r="DS363" s="14">
        <f>[1]Sheet2!CZ362</f>
        <v>0</v>
      </c>
      <c r="DT363" s="14">
        <f>[1]Sheet2!DA362</f>
        <v>0</v>
      </c>
      <c r="DU363" s="14">
        <f>[1]Sheet2!DB362</f>
        <v>0</v>
      </c>
      <c r="DV363" s="14">
        <f>[1]Sheet2!DC362</f>
        <v>0</v>
      </c>
      <c r="DW363" s="14">
        <f>[1]Sheet2!DD362</f>
        <v>0</v>
      </c>
      <c r="DX363" s="14">
        <f>[1]Sheet2!DE362</f>
        <v>0</v>
      </c>
      <c r="DY363" s="14">
        <f>[1]Sheet2!DF362</f>
        <v>0</v>
      </c>
      <c r="DZ363" s="14">
        <f>[1]Sheet2!DG362</f>
        <v>0</v>
      </c>
      <c r="EA363" s="14">
        <f>[1]Sheet2!DH362</f>
        <v>0</v>
      </c>
      <c r="EB363" s="6">
        <f>[1]Sheet2!EC362</f>
        <v>0</v>
      </c>
      <c r="EC363" s="6">
        <f>[1]Sheet2!ED362</f>
        <v>0</v>
      </c>
      <c r="ED363" s="6">
        <f>[1]Sheet2!EE362</f>
        <v>0</v>
      </c>
      <c r="EE363" s="6">
        <f>[1]Sheet2!EF362</f>
        <v>0</v>
      </c>
      <c r="EF363" s="6">
        <f>[1]Sheet2!EG362</f>
        <v>0</v>
      </c>
      <c r="EG363" s="6">
        <f>[1]Sheet2!EH362</f>
        <v>0</v>
      </c>
      <c r="EH363" s="6">
        <f>[1]Sheet2!EI362</f>
        <v>0</v>
      </c>
      <c r="EI363" s="6">
        <f>[1]Sheet2!EJ362</f>
        <v>0</v>
      </c>
      <c r="EJ363" s="6">
        <f>[1]Sheet2!EK362</f>
        <v>0</v>
      </c>
      <c r="EK363" s="6">
        <f>[1]Sheet2!EL362</f>
        <v>0</v>
      </c>
      <c r="EL363" s="6" t="str">
        <f>[1]Sheet2!EM362</f>
        <v/>
      </c>
      <c r="EM363" s="6" t="str">
        <f>[1]Sheet2!EN362</f>
        <v/>
      </c>
      <c r="EN363" s="6" t="str">
        <f>[1]Sheet2!EO362</f>
        <v/>
      </c>
      <c r="EO363" s="6" t="str">
        <f>[1]Sheet2!EP362</f>
        <v/>
      </c>
      <c r="EP363" s="6" t="str">
        <f>[1]Sheet2!EQ362</f>
        <v/>
      </c>
      <c r="EQ363" s="6" t="str">
        <f>[1]Sheet2!ER362</f>
        <v/>
      </c>
      <c r="ER363" s="6" t="str">
        <f>[1]Sheet2!ES362</f>
        <v/>
      </c>
      <c r="ES363" s="6" t="str">
        <f>[1]Sheet2!ET362</f>
        <v/>
      </c>
      <c r="ET363" s="6" t="str">
        <f>[1]Sheet2!EU362</f>
        <v/>
      </c>
      <c r="EU363" s="6" t="str">
        <f>[1]Sheet2!EV362</f>
        <v/>
      </c>
      <c r="EV363" s="6" t="str">
        <f>[1]Sheet2!EW362</f>
        <v/>
      </c>
      <c r="EW363" s="6" t="str">
        <f>[1]Sheet2!EX362</f>
        <v/>
      </c>
      <c r="EX363" s="6" t="str">
        <f>[1]Sheet2!EY362</f>
        <v/>
      </c>
      <c r="EY363" s="6" t="str">
        <f>[1]Sheet2!EZ362</f>
        <v/>
      </c>
      <c r="EZ363" s="6" t="str">
        <f>[1]Sheet2!FA362</f>
        <v/>
      </c>
      <c r="FA363" s="6" t="str">
        <f>[1]Sheet2!FB362</f>
        <v/>
      </c>
      <c r="FB363" s="6" t="str">
        <f>[1]Sheet2!FC362</f>
        <v/>
      </c>
      <c r="FC363" s="6" t="str">
        <f>[1]Sheet2!FD362</f>
        <v/>
      </c>
      <c r="FD363" s="6" t="str">
        <f>[1]Sheet2!FE362</f>
        <v/>
      </c>
      <c r="FE363" s="6" t="str">
        <f>[1]Sheet2!FF362</f>
        <v/>
      </c>
      <c r="FF363" s="6" t="str">
        <f>[1]Sheet2!FG362</f>
        <v/>
      </c>
      <c r="FG363" s="6" t="str">
        <f>[1]Sheet2!FH362</f>
        <v/>
      </c>
      <c r="FH363" s="6" t="str">
        <f>[1]Sheet2!FI362</f>
        <v/>
      </c>
      <c r="FI363" s="6" t="str">
        <f>[1]Sheet2!FJ362</f>
        <v/>
      </c>
      <c r="FJ363" s="6" t="str">
        <f>[1]Sheet2!FK362</f>
        <v/>
      </c>
      <c r="FK363" s="6" t="str">
        <f>[1]Sheet2!FL362</f>
        <v/>
      </c>
      <c r="FL363" s="6" t="str">
        <f>[1]Sheet2!FM362</f>
        <v/>
      </c>
      <c r="FM363" s="6" t="str">
        <f>[1]Sheet2!FN362</f>
        <v/>
      </c>
      <c r="FN363" s="6" t="str">
        <f>[1]Sheet2!FO362</f>
        <v/>
      </c>
      <c r="FO363" s="6" t="str">
        <f>[1]Sheet2!FP362</f>
        <v/>
      </c>
    </row>
    <row r="364" spans="1:171" x14ac:dyDescent="0.25">
      <c r="A364" s="15">
        <v>43826</v>
      </c>
      <c r="B364" s="1"/>
      <c r="C364" s="1"/>
      <c r="D364" s="1"/>
      <c r="E364" s="14">
        <f>[1]Sheet2!N363</f>
        <v>0</v>
      </c>
      <c r="F364" s="14">
        <f>[1]Sheet2!BE363</f>
        <v>0</v>
      </c>
      <c r="G364" s="14">
        <f>[1]Sheet2!CW363</f>
        <v>0</v>
      </c>
      <c r="H364" s="1"/>
      <c r="I364" s="1"/>
      <c r="J364" s="1"/>
      <c r="K364" s="16"/>
      <c r="L364" s="16">
        <f>Demand_CWRS!B$14/31</f>
        <v>95.176711124896599</v>
      </c>
      <c r="M364" s="16">
        <f>Demand_CWRS!C$14/31</f>
        <v>526.22795698924722</v>
      </c>
      <c r="N364" s="16">
        <f>Demand_CWRS!D$14/31</f>
        <v>0</v>
      </c>
      <c r="O364" s="16">
        <f>Demand_CWRS!E$14/31</f>
        <v>102.37076095947063</v>
      </c>
      <c r="P364" s="16">
        <f>Demand_CWRS!F$14/31</f>
        <v>219.86823562861866</v>
      </c>
      <c r="Q364" s="16">
        <f>Demand_CWRS!G$14/31</f>
        <v>95.176711124896599</v>
      </c>
      <c r="R364" s="16">
        <f>Demand_CWRS!H$14/31</f>
        <v>219.86823562861866</v>
      </c>
      <c r="S364" s="16">
        <f>Demand_CWRS!I$14/31</f>
        <v>219.86823562861866</v>
      </c>
      <c r="T364" s="16">
        <f>Demand_CWRS!J$14/31</f>
        <v>219.86823562861866</v>
      </c>
      <c r="U364" s="16">
        <f>Demand_CWRS!K$14/31</f>
        <v>219.86823562861866</v>
      </c>
      <c r="V364" s="16">
        <f t="shared" si="156"/>
        <v>-40521.272160845627</v>
      </c>
      <c r="W364" s="16">
        <f t="shared" si="157"/>
        <v>-166817.2497105044</v>
      </c>
      <c r="X364" s="16">
        <f t="shared" si="158"/>
        <v>0</v>
      </c>
      <c r="Y364" s="16">
        <f t="shared" si="159"/>
        <v>-32067.222993163126</v>
      </c>
      <c r="Z364" s="16">
        <f t="shared" si="160"/>
        <v>-73077.670219202468</v>
      </c>
      <c r="AA364" s="16">
        <f t="shared" si="161"/>
        <v>-39049.339636807243</v>
      </c>
      <c r="AB364" s="16">
        <f t="shared" si="162"/>
        <v>-77386.834994843564</v>
      </c>
      <c r="AC364" s="16">
        <f t="shared" si="163"/>
        <v>-71593.824738433192</v>
      </c>
      <c r="AD364" s="16">
        <f t="shared" si="164"/>
        <v>-71693.824738433192</v>
      </c>
      <c r="AE364" s="16">
        <f t="shared" si="165"/>
        <v>-72293.824738433192</v>
      </c>
      <c r="AF364" s="14">
        <f>IF([1]Sheet2!AJ363=999999,"NA",[1]Sheet2!AJ363)</f>
        <v>0</v>
      </c>
      <c r="AG364" s="14">
        <f>IF([1]Sheet2!AK363=999999,"NA",[1]Sheet2!AK363)</f>
        <v>0</v>
      </c>
      <c r="AH364" s="14" t="str">
        <f>IF([1]Sheet2!AL363=999999,"NA",[1]Sheet2!AL363)</f>
        <v>NA</v>
      </c>
      <c r="AI364" s="14">
        <f>IF([1]Sheet2!AM363=999999,"NA",[1]Sheet2!AM363)</f>
        <v>0</v>
      </c>
      <c r="AJ364" s="14">
        <f>IF([1]Sheet2!AN363=999999,"NA",[1]Sheet2!AN363)</f>
        <v>0</v>
      </c>
      <c r="AK364" s="14">
        <f>IF([1]Sheet2!AO363=999999,"NA",[1]Sheet2!AO363)</f>
        <v>0</v>
      </c>
      <c r="AL364" s="14">
        <f>IF([1]Sheet2!AP363=999999,"NA",[1]Sheet2!AP363)</f>
        <v>0</v>
      </c>
      <c r="AM364" s="14">
        <f>IF([1]Sheet2!AQ363=999999,"NA",[1]Sheet2!AQ363)</f>
        <v>0</v>
      </c>
      <c r="AN364" s="14">
        <f>IF([1]Sheet2!AR363=999999,"NA",[1]Sheet2!AR363)</f>
        <v>0</v>
      </c>
      <c r="AO364" s="14">
        <f>IF([1]Sheet2!AS363=999999,"NA",[1]Sheet2!AS363)</f>
        <v>0</v>
      </c>
      <c r="AP364" s="14">
        <f>[1]Sheet2!P363</f>
        <v>0</v>
      </c>
      <c r="AQ364" s="14">
        <f>[1]Sheet2!Q363</f>
        <v>0</v>
      </c>
      <c r="AR364" s="14">
        <f>[1]Sheet2!R363</f>
        <v>0</v>
      </c>
      <c r="AS364" s="14">
        <f>[1]Sheet2!S363</f>
        <v>0</v>
      </c>
      <c r="AT364" s="14">
        <f>[1]Sheet2!T363</f>
        <v>0</v>
      </c>
      <c r="AU364" s="14">
        <f>[1]Sheet2!U363</f>
        <v>0</v>
      </c>
      <c r="AV364" s="14">
        <f>[1]Sheet2!V363</f>
        <v>0</v>
      </c>
      <c r="AW364" s="14">
        <f>[1]Sheet2!W363</f>
        <v>0</v>
      </c>
      <c r="AX364" s="14">
        <f>[1]Sheet2!X363</f>
        <v>0</v>
      </c>
      <c r="AY364" s="14">
        <f>[1]Sheet2!Y363</f>
        <v>0</v>
      </c>
      <c r="AZ364" s="16">
        <f>Demand_LP!B$14/31</f>
        <v>868.56315911910667</v>
      </c>
      <c r="BA364" s="16">
        <f>Demand_LP!C$14/31</f>
        <v>608.40066170388752</v>
      </c>
      <c r="BB364" s="16">
        <f>Demand_LP!D$14/31</f>
        <v>251.20087262200158</v>
      </c>
      <c r="BC364" s="16">
        <f>Demand_LP!E$14/31</f>
        <v>807.45938378825463</v>
      </c>
      <c r="BD364" s="16">
        <f>Demand_LP!F$14/31</f>
        <v>539.59842069892466</v>
      </c>
      <c r="BE364" s="16">
        <f>Demand_LP!G$14/31</f>
        <v>539.59842069892466</v>
      </c>
      <c r="BF364" s="16">
        <f>Demand_LP!H$14/31</f>
        <v>608.40066170388752</v>
      </c>
      <c r="BG364" s="16">
        <f>Demand_LP!I$14/31</f>
        <v>539.59842069892466</v>
      </c>
      <c r="BH364" s="16">
        <f>Demand_LP!J$14/31</f>
        <v>539.59842069892466</v>
      </c>
      <c r="BI364" s="16">
        <f>Demand_LP!K$14/31</f>
        <v>539.59842069892466</v>
      </c>
      <c r="BJ364" s="16">
        <f t="shared" si="166"/>
        <v>-274530.52511328971</v>
      </c>
      <c r="BK364" s="16">
        <f t="shared" si="167"/>
        <v>-205524.59478908201</v>
      </c>
      <c r="BL364" s="16">
        <f t="shared" si="168"/>
        <v>-96976.174842845852</v>
      </c>
      <c r="BM364" s="16">
        <f t="shared" si="169"/>
        <v>-264219.80591015576</v>
      </c>
      <c r="BN364" s="16">
        <f t="shared" si="170"/>
        <v>-163299.09981870552</v>
      </c>
      <c r="BO364" s="16">
        <f t="shared" si="171"/>
        <v>-161756.7837370763</v>
      </c>
      <c r="BP364" s="16">
        <f t="shared" si="172"/>
        <v>-199882.17427626136</v>
      </c>
      <c r="BQ364" s="16">
        <f t="shared" si="173"/>
        <v>-157585.78373707633</v>
      </c>
      <c r="BR364" s="16">
        <f t="shared" si="174"/>
        <v>-159356.78373707636</v>
      </c>
      <c r="BS364" s="16">
        <f t="shared" si="175"/>
        <v>-160056.78373707636</v>
      </c>
      <c r="BT364" s="14">
        <f>IF([1]Sheet2!CB363=999999,"NA",[1]Sheet2!CB363)</f>
        <v>0</v>
      </c>
      <c r="BU364" s="14">
        <f>IF([1]Sheet2!CC363=999999,"NA",[1]Sheet2!CC363)</f>
        <v>0</v>
      </c>
      <c r="BV364" s="14">
        <f>IF([1]Sheet2!CD363=999999,"NA",[1]Sheet2!CD363)</f>
        <v>0</v>
      </c>
      <c r="BW364" s="14">
        <f>IF([1]Sheet2!CE363=999999,"NA",[1]Sheet2!CE363)</f>
        <v>0</v>
      </c>
      <c r="BX364" s="14">
        <f>IF([1]Sheet2!CF363=999999,"NA",[1]Sheet2!CF363)</f>
        <v>0</v>
      </c>
      <c r="BY364" s="14">
        <f>IF([1]Sheet2!CG363=999999,"NA",[1]Sheet2!CG363)</f>
        <v>0</v>
      </c>
      <c r="BZ364" s="14">
        <f>IF([1]Sheet2!CH363=999999,"NA",[1]Sheet2!CH363)</f>
        <v>0</v>
      </c>
      <c r="CA364" s="14">
        <f>IF([1]Sheet2!CI363=999999,"NA",[1]Sheet2!CI363)</f>
        <v>0</v>
      </c>
      <c r="CB364" s="14">
        <f>IF([1]Sheet2!CJ363=999999,"NA",[1]Sheet2!CJ363)</f>
        <v>0</v>
      </c>
      <c r="CC364" s="14">
        <f>IF([1]Sheet2!CK363=999999,"NA",[1]Sheet2!CK363)</f>
        <v>0</v>
      </c>
      <c r="CD364" s="14">
        <f>[1]Sheet2!BH363</f>
        <v>0</v>
      </c>
      <c r="CE364" s="14">
        <f>[1]Sheet2!BI363</f>
        <v>0</v>
      </c>
      <c r="CF364" s="14">
        <f>[1]Sheet2!BJ363</f>
        <v>0</v>
      </c>
      <c r="CG364" s="14">
        <f>[1]Sheet2!BK363</f>
        <v>0</v>
      </c>
      <c r="CH364" s="14">
        <f>[1]Sheet2!BL363</f>
        <v>0</v>
      </c>
      <c r="CI364" s="14">
        <f>[1]Sheet2!BM363</f>
        <v>0</v>
      </c>
      <c r="CJ364" s="14">
        <f>[1]Sheet2!BN363</f>
        <v>0</v>
      </c>
      <c r="CK364" s="14">
        <f>[1]Sheet2!BO363</f>
        <v>0</v>
      </c>
      <c r="CL364" s="14">
        <f>[1]Sheet2!BP363</f>
        <v>0</v>
      </c>
      <c r="CM364" s="14">
        <f>[1]Sheet2!BQ363</f>
        <v>0</v>
      </c>
      <c r="CN364" s="16">
        <f>Demand_SW!B$14/31</f>
        <v>139.57816377171216</v>
      </c>
      <c r="CO364" s="16">
        <f>Demand_SW!C$14/31</f>
        <v>0</v>
      </c>
      <c r="CP364" s="16">
        <f>Demand_SW!D$14/31</f>
        <v>0</v>
      </c>
      <c r="CQ364" s="16">
        <f>Demand_SW!E$14/31</f>
        <v>0</v>
      </c>
      <c r="CR364" s="16">
        <f>Demand_SW!F$14/31</f>
        <v>0</v>
      </c>
      <c r="CS364" s="16">
        <f>Demand_SW!G$14/31</f>
        <v>139.57816377171216</v>
      </c>
      <c r="CT364" s="16">
        <f>Demand_SW!H$14/31</f>
        <v>0</v>
      </c>
      <c r="CU364" s="16">
        <f>Demand_SW!I$14/31</f>
        <v>0</v>
      </c>
      <c r="CV364" s="16">
        <f>Demand_SW!J$14/31</f>
        <v>0</v>
      </c>
      <c r="CW364" s="16">
        <f>Demand_SW!K$14/31</f>
        <v>0</v>
      </c>
      <c r="CX364" s="16">
        <f t="shared" si="176"/>
        <v>-26470.148883374724</v>
      </c>
      <c r="CY364" s="16">
        <f t="shared" si="177"/>
        <v>76.923076923077133</v>
      </c>
      <c r="CZ364" s="16">
        <f t="shared" si="178"/>
        <v>0</v>
      </c>
      <c r="DA364" s="16">
        <f t="shared" si="179"/>
        <v>0</v>
      </c>
      <c r="DB364" s="16">
        <f t="shared" si="180"/>
        <v>0</v>
      </c>
      <c r="DC364" s="16">
        <f t="shared" si="181"/>
        <v>-27701.379652605494</v>
      </c>
      <c r="DD364" s="16">
        <f t="shared" si="182"/>
        <v>76.923076923077133</v>
      </c>
      <c r="DE364" s="16">
        <f t="shared" si="183"/>
        <v>0</v>
      </c>
      <c r="DF364" s="16">
        <f t="shared" si="184"/>
        <v>0</v>
      </c>
      <c r="DG364" s="16">
        <f t="shared" si="185"/>
        <v>0</v>
      </c>
      <c r="DH364" s="14">
        <f>IF([1]Sheet2!DS363=999999,"NA",[1]Sheet2!DS363)</f>
        <v>0</v>
      </c>
      <c r="DI364" s="14">
        <f>IF([1]Sheet2!DT363=999999,"NA",[1]Sheet2!DT363)</f>
        <v>4</v>
      </c>
      <c r="DJ364" s="14" t="str">
        <f>IF([1]Sheet2!DU363=999999,"NA",[1]Sheet2!DU363)</f>
        <v>NA</v>
      </c>
      <c r="DK364" s="14" t="str">
        <f>IF([1]Sheet2!DV363=999999,"NA",[1]Sheet2!DV363)</f>
        <v>NA</v>
      </c>
      <c r="DL364" s="14" t="str">
        <f>IF([1]Sheet2!DW363=999999,"NA",[1]Sheet2!DW363)</f>
        <v>NA</v>
      </c>
      <c r="DM364" s="14">
        <f>IF([1]Sheet2!DX363=999999,"NA",[1]Sheet2!DX363)</f>
        <v>0</v>
      </c>
      <c r="DN364" s="14">
        <f>IF([1]Sheet2!DY363=999999,"NA",[1]Sheet2!DY363)</f>
        <v>4</v>
      </c>
      <c r="DO364" s="14" t="str">
        <f>IF([1]Sheet2!DZ363=999999,"NA",[1]Sheet2!DZ363)</f>
        <v>NA</v>
      </c>
      <c r="DP364" s="14" t="str">
        <f>IF([1]Sheet2!EA363=999999,"NA",[1]Sheet2!EA363)</f>
        <v>NA</v>
      </c>
      <c r="DQ364" s="14" t="str">
        <f>IF([1]Sheet2!EB363=999999,"NA",[1]Sheet2!EB363)</f>
        <v>NA</v>
      </c>
      <c r="DR364" s="14">
        <f>[1]Sheet2!CY363</f>
        <v>0</v>
      </c>
      <c r="DS364" s="14">
        <f>[1]Sheet2!CZ363</f>
        <v>0</v>
      </c>
      <c r="DT364" s="14">
        <f>[1]Sheet2!DA363</f>
        <v>0</v>
      </c>
      <c r="DU364" s="14">
        <f>[1]Sheet2!DB363</f>
        <v>0</v>
      </c>
      <c r="DV364" s="14">
        <f>[1]Sheet2!DC363</f>
        <v>0</v>
      </c>
      <c r="DW364" s="14">
        <f>[1]Sheet2!DD363</f>
        <v>0</v>
      </c>
      <c r="DX364" s="14">
        <f>[1]Sheet2!DE363</f>
        <v>0</v>
      </c>
      <c r="DY364" s="14">
        <f>[1]Sheet2!DF363</f>
        <v>0</v>
      </c>
      <c r="DZ364" s="14">
        <f>[1]Sheet2!DG363</f>
        <v>0</v>
      </c>
      <c r="EA364" s="14">
        <f>[1]Sheet2!DH363</f>
        <v>0</v>
      </c>
      <c r="EB364" s="6">
        <f>[1]Sheet2!EC363</f>
        <v>0</v>
      </c>
      <c r="EC364" s="6">
        <f>[1]Sheet2!ED363</f>
        <v>0</v>
      </c>
      <c r="ED364" s="6">
        <f>[1]Sheet2!EE363</f>
        <v>0</v>
      </c>
      <c r="EE364" s="6">
        <f>[1]Sheet2!EF363</f>
        <v>0</v>
      </c>
      <c r="EF364" s="6">
        <f>[1]Sheet2!EG363</f>
        <v>0</v>
      </c>
      <c r="EG364" s="6">
        <f>[1]Sheet2!EH363</f>
        <v>0</v>
      </c>
      <c r="EH364" s="6">
        <f>[1]Sheet2!EI363</f>
        <v>0</v>
      </c>
      <c r="EI364" s="6">
        <f>[1]Sheet2!EJ363</f>
        <v>0</v>
      </c>
      <c r="EJ364" s="6">
        <f>[1]Sheet2!EK363</f>
        <v>0</v>
      </c>
      <c r="EK364" s="6">
        <f>[1]Sheet2!EL363</f>
        <v>0</v>
      </c>
      <c r="EL364" s="6" t="str">
        <f>[1]Sheet2!EM363</f>
        <v/>
      </c>
      <c r="EM364" s="6" t="str">
        <f>[1]Sheet2!EN363</f>
        <v/>
      </c>
      <c r="EN364" s="6" t="str">
        <f>[1]Sheet2!EO363</f>
        <v/>
      </c>
      <c r="EO364" s="6" t="str">
        <f>[1]Sheet2!EP363</f>
        <v/>
      </c>
      <c r="EP364" s="6" t="str">
        <f>[1]Sheet2!EQ363</f>
        <v/>
      </c>
      <c r="EQ364" s="6" t="str">
        <f>[1]Sheet2!ER363</f>
        <v/>
      </c>
      <c r="ER364" s="6" t="str">
        <f>[1]Sheet2!ES363</f>
        <v/>
      </c>
      <c r="ES364" s="6" t="str">
        <f>[1]Sheet2!ET363</f>
        <v/>
      </c>
      <c r="ET364" s="6" t="str">
        <f>[1]Sheet2!EU363</f>
        <v/>
      </c>
      <c r="EU364" s="6" t="str">
        <f>[1]Sheet2!EV363</f>
        <v/>
      </c>
      <c r="EV364" s="6" t="str">
        <f>[1]Sheet2!EW363</f>
        <v/>
      </c>
      <c r="EW364" s="6" t="str">
        <f>[1]Sheet2!EX363</f>
        <v/>
      </c>
      <c r="EX364" s="6" t="str">
        <f>[1]Sheet2!EY363</f>
        <v/>
      </c>
      <c r="EY364" s="6" t="str">
        <f>[1]Sheet2!EZ363</f>
        <v/>
      </c>
      <c r="EZ364" s="6" t="str">
        <f>[1]Sheet2!FA363</f>
        <v/>
      </c>
      <c r="FA364" s="6" t="str">
        <f>[1]Sheet2!FB363</f>
        <v/>
      </c>
      <c r="FB364" s="6" t="str">
        <f>[1]Sheet2!FC363</f>
        <v/>
      </c>
      <c r="FC364" s="6" t="str">
        <f>[1]Sheet2!FD363</f>
        <v/>
      </c>
      <c r="FD364" s="6" t="str">
        <f>[1]Sheet2!FE363</f>
        <v/>
      </c>
      <c r="FE364" s="6" t="str">
        <f>[1]Sheet2!FF363</f>
        <v/>
      </c>
      <c r="FF364" s="6" t="str">
        <f>[1]Sheet2!FG363</f>
        <v/>
      </c>
      <c r="FG364" s="6" t="str">
        <f>[1]Sheet2!FH363</f>
        <v/>
      </c>
      <c r="FH364" s="6" t="str">
        <f>[1]Sheet2!FI363</f>
        <v/>
      </c>
      <c r="FI364" s="6" t="str">
        <f>[1]Sheet2!FJ363</f>
        <v/>
      </c>
      <c r="FJ364" s="6" t="str">
        <f>[1]Sheet2!FK363</f>
        <v/>
      </c>
      <c r="FK364" s="6" t="str">
        <f>[1]Sheet2!FL363</f>
        <v/>
      </c>
      <c r="FL364" s="6" t="str">
        <f>[1]Sheet2!FM363</f>
        <v/>
      </c>
      <c r="FM364" s="6" t="str">
        <f>[1]Sheet2!FN363</f>
        <v/>
      </c>
      <c r="FN364" s="6" t="str">
        <f>[1]Sheet2!FO363</f>
        <v/>
      </c>
      <c r="FO364" s="6" t="str">
        <f>[1]Sheet2!FP363</f>
        <v/>
      </c>
    </row>
    <row r="365" spans="1:171" x14ac:dyDescent="0.25">
      <c r="A365" s="15">
        <v>43827</v>
      </c>
      <c r="B365" s="1"/>
      <c r="C365" s="1"/>
      <c r="D365" s="1"/>
      <c r="E365" s="14">
        <f>[1]Sheet2!N364</f>
        <v>0</v>
      </c>
      <c r="F365" s="14">
        <f>[1]Sheet2!BE364</f>
        <v>0</v>
      </c>
      <c r="G365" s="14">
        <f>[1]Sheet2!CW364</f>
        <v>0</v>
      </c>
      <c r="H365" s="1"/>
      <c r="I365" s="1"/>
      <c r="J365" s="1"/>
      <c r="K365" s="16"/>
      <c r="L365" s="16">
        <f>Demand_CWRS!B$14/31</f>
        <v>95.176711124896599</v>
      </c>
      <c r="M365" s="16">
        <f>Demand_CWRS!C$14/31</f>
        <v>526.22795698924722</v>
      </c>
      <c r="N365" s="16">
        <f>Demand_CWRS!D$14/31</f>
        <v>0</v>
      </c>
      <c r="O365" s="16">
        <f>Demand_CWRS!E$14/31</f>
        <v>102.37076095947063</v>
      </c>
      <c r="P365" s="16">
        <f>Demand_CWRS!F$14/31</f>
        <v>219.86823562861866</v>
      </c>
      <c r="Q365" s="16">
        <f>Demand_CWRS!G$14/31</f>
        <v>95.176711124896599</v>
      </c>
      <c r="R365" s="16">
        <f>Demand_CWRS!H$14/31</f>
        <v>219.86823562861866</v>
      </c>
      <c r="S365" s="16">
        <f>Demand_CWRS!I$14/31</f>
        <v>219.86823562861866</v>
      </c>
      <c r="T365" s="16">
        <f>Demand_CWRS!J$14/31</f>
        <v>219.86823562861866</v>
      </c>
      <c r="U365" s="16">
        <f>Demand_CWRS!K$14/31</f>
        <v>219.86823562861866</v>
      </c>
      <c r="V365" s="16">
        <f t="shared" si="156"/>
        <v>-40616.448871970526</v>
      </c>
      <c r="W365" s="16">
        <f t="shared" si="157"/>
        <v>-167343.47766749366</v>
      </c>
      <c r="X365" s="16">
        <f t="shared" si="158"/>
        <v>0</v>
      </c>
      <c r="Y365" s="16">
        <f t="shared" si="159"/>
        <v>-32169.593754122598</v>
      </c>
      <c r="Z365" s="16">
        <f t="shared" si="160"/>
        <v>-73297.538454831083</v>
      </c>
      <c r="AA365" s="16">
        <f t="shared" si="161"/>
        <v>-39144.516347932142</v>
      </c>
      <c r="AB365" s="16">
        <f t="shared" si="162"/>
        <v>-77606.70323047218</v>
      </c>
      <c r="AC365" s="16">
        <f t="shared" si="163"/>
        <v>-71813.692974061807</v>
      </c>
      <c r="AD365" s="16">
        <f t="shared" si="164"/>
        <v>-71913.692974061807</v>
      </c>
      <c r="AE365" s="16">
        <f t="shared" si="165"/>
        <v>-72513.692974061807</v>
      </c>
      <c r="AF365" s="14">
        <f>IF([1]Sheet2!AJ364=999999,"NA",[1]Sheet2!AJ364)</f>
        <v>0</v>
      </c>
      <c r="AG365" s="14">
        <f>IF([1]Sheet2!AK364=999999,"NA",[1]Sheet2!AK364)</f>
        <v>0</v>
      </c>
      <c r="AH365" s="14" t="str">
        <f>IF([1]Sheet2!AL364=999999,"NA",[1]Sheet2!AL364)</f>
        <v>NA</v>
      </c>
      <c r="AI365" s="14">
        <f>IF([1]Sheet2!AM364=999999,"NA",[1]Sheet2!AM364)</f>
        <v>0</v>
      </c>
      <c r="AJ365" s="14">
        <f>IF([1]Sheet2!AN364=999999,"NA",[1]Sheet2!AN364)</f>
        <v>0</v>
      </c>
      <c r="AK365" s="14">
        <f>IF([1]Sheet2!AO364=999999,"NA",[1]Sheet2!AO364)</f>
        <v>0</v>
      </c>
      <c r="AL365" s="14">
        <f>IF([1]Sheet2!AP364=999999,"NA",[1]Sheet2!AP364)</f>
        <v>0</v>
      </c>
      <c r="AM365" s="14">
        <f>IF([1]Sheet2!AQ364=999999,"NA",[1]Sheet2!AQ364)</f>
        <v>0</v>
      </c>
      <c r="AN365" s="14">
        <f>IF([1]Sheet2!AR364=999999,"NA",[1]Sheet2!AR364)</f>
        <v>0</v>
      </c>
      <c r="AO365" s="14">
        <f>IF([1]Sheet2!AS364=999999,"NA",[1]Sheet2!AS364)</f>
        <v>0</v>
      </c>
      <c r="AP365" s="14">
        <f>[1]Sheet2!P364</f>
        <v>0</v>
      </c>
      <c r="AQ365" s="14">
        <f>[1]Sheet2!Q364</f>
        <v>0</v>
      </c>
      <c r="AR365" s="14">
        <f>[1]Sheet2!R364</f>
        <v>0</v>
      </c>
      <c r="AS365" s="14">
        <f>[1]Sheet2!S364</f>
        <v>0</v>
      </c>
      <c r="AT365" s="14">
        <f>[1]Sheet2!T364</f>
        <v>0</v>
      </c>
      <c r="AU365" s="14">
        <f>[1]Sheet2!U364</f>
        <v>0</v>
      </c>
      <c r="AV365" s="14">
        <f>[1]Sheet2!V364</f>
        <v>0</v>
      </c>
      <c r="AW365" s="14">
        <f>[1]Sheet2!W364</f>
        <v>0</v>
      </c>
      <c r="AX365" s="14">
        <f>[1]Sheet2!X364</f>
        <v>0</v>
      </c>
      <c r="AY365" s="14">
        <f>[1]Sheet2!Y364</f>
        <v>0</v>
      </c>
      <c r="AZ365" s="16">
        <f>Demand_LP!B$14/31</f>
        <v>868.56315911910667</v>
      </c>
      <c r="BA365" s="16">
        <f>Demand_LP!C$14/31</f>
        <v>608.40066170388752</v>
      </c>
      <c r="BB365" s="16">
        <f>Demand_LP!D$14/31</f>
        <v>251.20087262200158</v>
      </c>
      <c r="BC365" s="16">
        <f>Demand_LP!E$14/31</f>
        <v>807.45938378825463</v>
      </c>
      <c r="BD365" s="16">
        <f>Demand_LP!F$14/31</f>
        <v>539.59842069892466</v>
      </c>
      <c r="BE365" s="16">
        <f>Demand_LP!G$14/31</f>
        <v>539.59842069892466</v>
      </c>
      <c r="BF365" s="16">
        <f>Demand_LP!H$14/31</f>
        <v>608.40066170388752</v>
      </c>
      <c r="BG365" s="16">
        <f>Demand_LP!I$14/31</f>
        <v>539.59842069892466</v>
      </c>
      <c r="BH365" s="16">
        <f>Demand_LP!J$14/31</f>
        <v>539.59842069892466</v>
      </c>
      <c r="BI365" s="16">
        <f>Demand_LP!K$14/31</f>
        <v>539.59842069892466</v>
      </c>
      <c r="BJ365" s="16">
        <f t="shared" si="166"/>
        <v>-275399.08827240882</v>
      </c>
      <c r="BK365" s="16">
        <f t="shared" si="167"/>
        <v>-206132.99545078591</v>
      </c>
      <c r="BL365" s="16">
        <f t="shared" si="168"/>
        <v>-97227.375715467861</v>
      </c>
      <c r="BM365" s="16">
        <f t="shared" si="169"/>
        <v>-265027.26529394399</v>
      </c>
      <c r="BN365" s="16">
        <f t="shared" si="170"/>
        <v>-163838.69823940445</v>
      </c>
      <c r="BO365" s="16">
        <f t="shared" si="171"/>
        <v>-162296.38215777522</v>
      </c>
      <c r="BP365" s="16">
        <f t="shared" si="172"/>
        <v>-200490.57493796526</v>
      </c>
      <c r="BQ365" s="16">
        <f t="shared" si="173"/>
        <v>-158125.38215777525</v>
      </c>
      <c r="BR365" s="16">
        <f t="shared" si="174"/>
        <v>-159896.38215777528</v>
      </c>
      <c r="BS365" s="16">
        <f t="shared" si="175"/>
        <v>-160596.38215777528</v>
      </c>
      <c r="BT365" s="14">
        <f>IF([1]Sheet2!CB364=999999,"NA",[1]Sheet2!CB364)</f>
        <v>0</v>
      </c>
      <c r="BU365" s="14">
        <f>IF([1]Sheet2!CC364=999999,"NA",[1]Sheet2!CC364)</f>
        <v>0</v>
      </c>
      <c r="BV365" s="14">
        <f>IF([1]Sheet2!CD364=999999,"NA",[1]Sheet2!CD364)</f>
        <v>0</v>
      </c>
      <c r="BW365" s="14">
        <f>IF([1]Sheet2!CE364=999999,"NA",[1]Sheet2!CE364)</f>
        <v>0</v>
      </c>
      <c r="BX365" s="14">
        <f>IF([1]Sheet2!CF364=999999,"NA",[1]Sheet2!CF364)</f>
        <v>0</v>
      </c>
      <c r="BY365" s="14">
        <f>IF([1]Sheet2!CG364=999999,"NA",[1]Sheet2!CG364)</f>
        <v>0</v>
      </c>
      <c r="BZ365" s="14">
        <f>IF([1]Sheet2!CH364=999999,"NA",[1]Sheet2!CH364)</f>
        <v>0</v>
      </c>
      <c r="CA365" s="14">
        <f>IF([1]Sheet2!CI364=999999,"NA",[1]Sheet2!CI364)</f>
        <v>0</v>
      </c>
      <c r="CB365" s="14">
        <f>IF([1]Sheet2!CJ364=999999,"NA",[1]Sheet2!CJ364)</f>
        <v>0</v>
      </c>
      <c r="CC365" s="14">
        <f>IF([1]Sheet2!CK364=999999,"NA",[1]Sheet2!CK364)</f>
        <v>0</v>
      </c>
      <c r="CD365" s="14">
        <f>[1]Sheet2!BH364</f>
        <v>0</v>
      </c>
      <c r="CE365" s="14">
        <f>[1]Sheet2!BI364</f>
        <v>0</v>
      </c>
      <c r="CF365" s="14">
        <f>[1]Sheet2!BJ364</f>
        <v>0</v>
      </c>
      <c r="CG365" s="14">
        <f>[1]Sheet2!BK364</f>
        <v>0</v>
      </c>
      <c r="CH365" s="14">
        <f>[1]Sheet2!BL364</f>
        <v>0</v>
      </c>
      <c r="CI365" s="14">
        <f>[1]Sheet2!BM364</f>
        <v>0</v>
      </c>
      <c r="CJ365" s="14">
        <f>[1]Sheet2!BN364</f>
        <v>0</v>
      </c>
      <c r="CK365" s="14">
        <f>[1]Sheet2!BO364</f>
        <v>0</v>
      </c>
      <c r="CL365" s="14">
        <f>[1]Sheet2!BP364</f>
        <v>0</v>
      </c>
      <c r="CM365" s="14">
        <f>[1]Sheet2!BQ364</f>
        <v>0</v>
      </c>
      <c r="CN365" s="16">
        <f>Demand_SW!B$14/31</f>
        <v>139.57816377171216</v>
      </c>
      <c r="CO365" s="16">
        <f>Demand_SW!C$14/31</f>
        <v>0</v>
      </c>
      <c r="CP365" s="16">
        <f>Demand_SW!D$14/31</f>
        <v>0</v>
      </c>
      <c r="CQ365" s="16">
        <f>Demand_SW!E$14/31</f>
        <v>0</v>
      </c>
      <c r="CR365" s="16">
        <f>Demand_SW!F$14/31</f>
        <v>0</v>
      </c>
      <c r="CS365" s="16">
        <f>Demand_SW!G$14/31</f>
        <v>139.57816377171216</v>
      </c>
      <c r="CT365" s="16">
        <f>Demand_SW!H$14/31</f>
        <v>0</v>
      </c>
      <c r="CU365" s="16">
        <f>Demand_SW!I$14/31</f>
        <v>0</v>
      </c>
      <c r="CV365" s="16">
        <f>Demand_SW!J$14/31</f>
        <v>0</v>
      </c>
      <c r="CW365" s="16">
        <f>Demand_SW!K$14/31</f>
        <v>0</v>
      </c>
      <c r="CX365" s="16">
        <f t="shared" si="176"/>
        <v>-26609.727047146436</v>
      </c>
      <c r="CY365" s="16">
        <f t="shared" si="177"/>
        <v>76.923076923077133</v>
      </c>
      <c r="CZ365" s="16">
        <f t="shared" si="178"/>
        <v>0</v>
      </c>
      <c r="DA365" s="16">
        <f t="shared" si="179"/>
        <v>0</v>
      </c>
      <c r="DB365" s="16">
        <f t="shared" si="180"/>
        <v>0</v>
      </c>
      <c r="DC365" s="16">
        <f t="shared" si="181"/>
        <v>-27840.957816377206</v>
      </c>
      <c r="DD365" s="16">
        <f t="shared" si="182"/>
        <v>76.923076923077133</v>
      </c>
      <c r="DE365" s="16">
        <f t="shared" si="183"/>
        <v>0</v>
      </c>
      <c r="DF365" s="16">
        <f t="shared" si="184"/>
        <v>0</v>
      </c>
      <c r="DG365" s="16">
        <f t="shared" si="185"/>
        <v>0</v>
      </c>
      <c r="DH365" s="14">
        <f>IF([1]Sheet2!DS364=999999,"NA",[1]Sheet2!DS364)</f>
        <v>0</v>
      </c>
      <c r="DI365" s="14">
        <f>IF([1]Sheet2!DT364=999999,"NA",[1]Sheet2!DT364)</f>
        <v>3</v>
      </c>
      <c r="DJ365" s="14" t="str">
        <f>IF([1]Sheet2!DU364=999999,"NA",[1]Sheet2!DU364)</f>
        <v>NA</v>
      </c>
      <c r="DK365" s="14" t="str">
        <f>IF([1]Sheet2!DV364=999999,"NA",[1]Sheet2!DV364)</f>
        <v>NA</v>
      </c>
      <c r="DL365" s="14" t="str">
        <f>IF([1]Sheet2!DW364=999999,"NA",[1]Sheet2!DW364)</f>
        <v>NA</v>
      </c>
      <c r="DM365" s="14">
        <f>IF([1]Sheet2!DX364=999999,"NA",[1]Sheet2!DX364)</f>
        <v>0</v>
      </c>
      <c r="DN365" s="14">
        <f>IF([1]Sheet2!DY364=999999,"NA",[1]Sheet2!DY364)</f>
        <v>3</v>
      </c>
      <c r="DO365" s="14" t="str">
        <f>IF([1]Sheet2!DZ364=999999,"NA",[1]Sheet2!DZ364)</f>
        <v>NA</v>
      </c>
      <c r="DP365" s="14" t="str">
        <f>IF([1]Sheet2!EA364=999999,"NA",[1]Sheet2!EA364)</f>
        <v>NA</v>
      </c>
      <c r="DQ365" s="14" t="str">
        <f>IF([1]Sheet2!EB364=999999,"NA",[1]Sheet2!EB364)</f>
        <v>NA</v>
      </c>
      <c r="DR365" s="14">
        <f>[1]Sheet2!CY364</f>
        <v>0</v>
      </c>
      <c r="DS365" s="14">
        <f>[1]Sheet2!CZ364</f>
        <v>0</v>
      </c>
      <c r="DT365" s="14">
        <f>[1]Sheet2!DA364</f>
        <v>0</v>
      </c>
      <c r="DU365" s="14">
        <f>[1]Sheet2!DB364</f>
        <v>0</v>
      </c>
      <c r="DV365" s="14">
        <f>[1]Sheet2!DC364</f>
        <v>0</v>
      </c>
      <c r="DW365" s="14">
        <f>[1]Sheet2!DD364</f>
        <v>0</v>
      </c>
      <c r="DX365" s="14">
        <f>[1]Sheet2!DE364</f>
        <v>0</v>
      </c>
      <c r="DY365" s="14">
        <f>[1]Sheet2!DF364</f>
        <v>0</v>
      </c>
      <c r="DZ365" s="14">
        <f>[1]Sheet2!DG364</f>
        <v>0</v>
      </c>
      <c r="EA365" s="14">
        <f>[1]Sheet2!DH364</f>
        <v>0</v>
      </c>
      <c r="EB365" s="6">
        <f>[1]Sheet2!EC364</f>
        <v>0</v>
      </c>
      <c r="EC365" s="6">
        <f>[1]Sheet2!ED364</f>
        <v>0</v>
      </c>
      <c r="ED365" s="6">
        <f>[1]Sheet2!EE364</f>
        <v>0</v>
      </c>
      <c r="EE365" s="6">
        <f>[1]Sheet2!EF364</f>
        <v>0</v>
      </c>
      <c r="EF365" s="6">
        <f>[1]Sheet2!EG364</f>
        <v>0</v>
      </c>
      <c r="EG365" s="6">
        <f>[1]Sheet2!EH364</f>
        <v>0</v>
      </c>
      <c r="EH365" s="6">
        <f>[1]Sheet2!EI364</f>
        <v>0</v>
      </c>
      <c r="EI365" s="6">
        <f>[1]Sheet2!EJ364</f>
        <v>0</v>
      </c>
      <c r="EJ365" s="6">
        <f>[1]Sheet2!EK364</f>
        <v>0</v>
      </c>
      <c r="EK365" s="6">
        <f>[1]Sheet2!EL364</f>
        <v>0</v>
      </c>
      <c r="EL365" s="6" t="str">
        <f>[1]Sheet2!EM364</f>
        <v/>
      </c>
      <c r="EM365" s="6" t="str">
        <f>[1]Sheet2!EN364</f>
        <v/>
      </c>
      <c r="EN365" s="6" t="str">
        <f>[1]Sheet2!EO364</f>
        <v/>
      </c>
      <c r="EO365" s="6" t="str">
        <f>[1]Sheet2!EP364</f>
        <v/>
      </c>
      <c r="EP365" s="6" t="str">
        <f>[1]Sheet2!EQ364</f>
        <v/>
      </c>
      <c r="EQ365" s="6" t="str">
        <f>[1]Sheet2!ER364</f>
        <v/>
      </c>
      <c r="ER365" s="6" t="str">
        <f>[1]Sheet2!ES364</f>
        <v/>
      </c>
      <c r="ES365" s="6" t="str">
        <f>[1]Sheet2!ET364</f>
        <v/>
      </c>
      <c r="ET365" s="6" t="str">
        <f>[1]Sheet2!EU364</f>
        <v/>
      </c>
      <c r="EU365" s="6" t="str">
        <f>[1]Sheet2!EV364</f>
        <v/>
      </c>
      <c r="EV365" s="6" t="str">
        <f>[1]Sheet2!EW364</f>
        <v/>
      </c>
      <c r="EW365" s="6" t="str">
        <f>[1]Sheet2!EX364</f>
        <v/>
      </c>
      <c r="EX365" s="6" t="str">
        <f>[1]Sheet2!EY364</f>
        <v/>
      </c>
      <c r="EY365" s="6" t="str">
        <f>[1]Sheet2!EZ364</f>
        <v/>
      </c>
      <c r="EZ365" s="6" t="str">
        <f>[1]Sheet2!FA364</f>
        <v/>
      </c>
      <c r="FA365" s="6" t="str">
        <f>[1]Sheet2!FB364</f>
        <v/>
      </c>
      <c r="FB365" s="6" t="str">
        <f>[1]Sheet2!FC364</f>
        <v/>
      </c>
      <c r="FC365" s="6" t="str">
        <f>[1]Sheet2!FD364</f>
        <v/>
      </c>
      <c r="FD365" s="6" t="str">
        <f>[1]Sheet2!FE364</f>
        <v/>
      </c>
      <c r="FE365" s="6" t="str">
        <f>[1]Sheet2!FF364</f>
        <v/>
      </c>
      <c r="FF365" s="6" t="str">
        <f>[1]Sheet2!FG364</f>
        <v/>
      </c>
      <c r="FG365" s="6" t="str">
        <f>[1]Sheet2!FH364</f>
        <v/>
      </c>
      <c r="FH365" s="6" t="str">
        <f>[1]Sheet2!FI364</f>
        <v/>
      </c>
      <c r="FI365" s="6" t="str">
        <f>[1]Sheet2!FJ364</f>
        <v/>
      </c>
      <c r="FJ365" s="6" t="str">
        <f>[1]Sheet2!FK364</f>
        <v/>
      </c>
      <c r="FK365" s="6" t="str">
        <f>[1]Sheet2!FL364</f>
        <v/>
      </c>
      <c r="FL365" s="6" t="str">
        <f>[1]Sheet2!FM364</f>
        <v/>
      </c>
      <c r="FM365" s="6" t="str">
        <f>[1]Sheet2!FN364</f>
        <v/>
      </c>
      <c r="FN365" s="6" t="str">
        <f>[1]Sheet2!FO364</f>
        <v/>
      </c>
      <c r="FO365" s="6" t="str">
        <f>[1]Sheet2!FP364</f>
        <v/>
      </c>
    </row>
    <row r="366" spans="1:171" x14ac:dyDescent="0.25">
      <c r="A366" s="15">
        <v>43828</v>
      </c>
      <c r="B366" s="1"/>
      <c r="C366" s="1"/>
      <c r="D366" s="1"/>
      <c r="E366" s="14">
        <f>[1]Sheet2!N365</f>
        <v>0</v>
      </c>
      <c r="F366" s="14">
        <f>[1]Sheet2!BE365</f>
        <v>0</v>
      </c>
      <c r="G366" s="14">
        <f>[1]Sheet2!CW365</f>
        <v>0</v>
      </c>
      <c r="H366" s="1"/>
      <c r="I366" s="1"/>
      <c r="J366" s="1"/>
      <c r="K366" s="16"/>
      <c r="L366" s="16">
        <f>Demand_CWRS!B$14/31</f>
        <v>95.176711124896599</v>
      </c>
      <c r="M366" s="16">
        <f>Demand_CWRS!C$14/31</f>
        <v>526.22795698924722</v>
      </c>
      <c r="N366" s="16">
        <f>Demand_CWRS!D$14/31</f>
        <v>0</v>
      </c>
      <c r="O366" s="16">
        <f>Demand_CWRS!E$14/31</f>
        <v>102.37076095947063</v>
      </c>
      <c r="P366" s="16">
        <f>Demand_CWRS!F$14/31</f>
        <v>219.86823562861866</v>
      </c>
      <c r="Q366" s="16">
        <f>Demand_CWRS!G$14/31</f>
        <v>95.176711124896599</v>
      </c>
      <c r="R366" s="16">
        <f>Demand_CWRS!H$14/31</f>
        <v>219.86823562861866</v>
      </c>
      <c r="S366" s="16">
        <f>Demand_CWRS!I$14/31</f>
        <v>219.86823562861866</v>
      </c>
      <c r="T366" s="16">
        <f>Demand_CWRS!J$14/31</f>
        <v>219.86823562861866</v>
      </c>
      <c r="U366" s="16">
        <f>Demand_CWRS!K$14/31</f>
        <v>219.86823562861866</v>
      </c>
      <c r="V366" s="16">
        <f t="shared" si="156"/>
        <v>-40711.625583095425</v>
      </c>
      <c r="W366" s="16">
        <f t="shared" si="157"/>
        <v>-167869.70562448291</v>
      </c>
      <c r="X366" s="16">
        <f t="shared" si="158"/>
        <v>0</v>
      </c>
      <c r="Y366" s="16">
        <f t="shared" si="159"/>
        <v>-32271.964515082069</v>
      </c>
      <c r="Z366" s="16">
        <f t="shared" si="160"/>
        <v>-73517.406690459698</v>
      </c>
      <c r="AA366" s="16">
        <f t="shared" si="161"/>
        <v>-39239.693059057041</v>
      </c>
      <c r="AB366" s="16">
        <f t="shared" si="162"/>
        <v>-77826.571466100795</v>
      </c>
      <c r="AC366" s="16">
        <f t="shared" si="163"/>
        <v>-72033.561209690422</v>
      </c>
      <c r="AD366" s="16">
        <f t="shared" si="164"/>
        <v>-72133.561209690422</v>
      </c>
      <c r="AE366" s="16">
        <f t="shared" si="165"/>
        <v>-72733.561209690422</v>
      </c>
      <c r="AF366" s="14">
        <f>IF([1]Sheet2!AJ365=999999,"NA",[1]Sheet2!AJ365)</f>
        <v>0</v>
      </c>
      <c r="AG366" s="14">
        <f>IF([1]Sheet2!AK365=999999,"NA",[1]Sheet2!AK365)</f>
        <v>0</v>
      </c>
      <c r="AH366" s="14" t="str">
        <f>IF([1]Sheet2!AL365=999999,"NA",[1]Sheet2!AL365)</f>
        <v>NA</v>
      </c>
      <c r="AI366" s="14">
        <f>IF([1]Sheet2!AM365=999999,"NA",[1]Sheet2!AM365)</f>
        <v>0</v>
      </c>
      <c r="AJ366" s="14">
        <f>IF([1]Sheet2!AN365=999999,"NA",[1]Sheet2!AN365)</f>
        <v>0</v>
      </c>
      <c r="AK366" s="14">
        <f>IF([1]Sheet2!AO365=999999,"NA",[1]Sheet2!AO365)</f>
        <v>0</v>
      </c>
      <c r="AL366" s="14">
        <f>IF([1]Sheet2!AP365=999999,"NA",[1]Sheet2!AP365)</f>
        <v>0</v>
      </c>
      <c r="AM366" s="14">
        <f>IF([1]Sheet2!AQ365=999999,"NA",[1]Sheet2!AQ365)</f>
        <v>0</v>
      </c>
      <c r="AN366" s="14">
        <f>IF([1]Sheet2!AR365=999999,"NA",[1]Sheet2!AR365)</f>
        <v>0</v>
      </c>
      <c r="AO366" s="14">
        <f>IF([1]Sheet2!AS365=999999,"NA",[1]Sheet2!AS365)</f>
        <v>0</v>
      </c>
      <c r="AP366" s="14">
        <f>[1]Sheet2!P365</f>
        <v>0</v>
      </c>
      <c r="AQ366" s="14">
        <f>[1]Sheet2!Q365</f>
        <v>0</v>
      </c>
      <c r="AR366" s="14">
        <f>[1]Sheet2!R365</f>
        <v>0</v>
      </c>
      <c r="AS366" s="14">
        <f>[1]Sheet2!S365</f>
        <v>0</v>
      </c>
      <c r="AT366" s="14">
        <f>[1]Sheet2!T365</f>
        <v>0</v>
      </c>
      <c r="AU366" s="14">
        <f>[1]Sheet2!U365</f>
        <v>0</v>
      </c>
      <c r="AV366" s="14">
        <f>[1]Sheet2!V365</f>
        <v>0</v>
      </c>
      <c r="AW366" s="14">
        <f>[1]Sheet2!W365</f>
        <v>0</v>
      </c>
      <c r="AX366" s="14">
        <f>[1]Sheet2!X365</f>
        <v>0</v>
      </c>
      <c r="AY366" s="14">
        <f>[1]Sheet2!Y365</f>
        <v>0</v>
      </c>
      <c r="AZ366" s="16">
        <f>Demand_LP!B$14/31</f>
        <v>868.56315911910667</v>
      </c>
      <c r="BA366" s="16">
        <f>Demand_LP!C$14/31</f>
        <v>608.40066170388752</v>
      </c>
      <c r="BB366" s="16">
        <f>Demand_LP!D$14/31</f>
        <v>251.20087262200158</v>
      </c>
      <c r="BC366" s="16">
        <f>Demand_LP!E$14/31</f>
        <v>807.45938378825463</v>
      </c>
      <c r="BD366" s="16">
        <f>Demand_LP!F$14/31</f>
        <v>539.59842069892466</v>
      </c>
      <c r="BE366" s="16">
        <f>Demand_LP!G$14/31</f>
        <v>539.59842069892466</v>
      </c>
      <c r="BF366" s="16">
        <f>Demand_LP!H$14/31</f>
        <v>608.40066170388752</v>
      </c>
      <c r="BG366" s="16">
        <f>Demand_LP!I$14/31</f>
        <v>539.59842069892466</v>
      </c>
      <c r="BH366" s="16">
        <f>Demand_LP!J$14/31</f>
        <v>539.59842069892466</v>
      </c>
      <c r="BI366" s="16">
        <f>Demand_LP!K$14/31</f>
        <v>539.59842069892466</v>
      </c>
      <c r="BJ366" s="16">
        <f t="shared" si="166"/>
        <v>-276267.65143152792</v>
      </c>
      <c r="BK366" s="16">
        <f t="shared" si="167"/>
        <v>-206741.39611248981</v>
      </c>
      <c r="BL366" s="16">
        <f t="shared" si="168"/>
        <v>-97478.576588089869</v>
      </c>
      <c r="BM366" s="16">
        <f t="shared" si="169"/>
        <v>-265834.72467773221</v>
      </c>
      <c r="BN366" s="16">
        <f t="shared" si="170"/>
        <v>-164378.29666010337</v>
      </c>
      <c r="BO366" s="16">
        <f t="shared" si="171"/>
        <v>-162835.98057847415</v>
      </c>
      <c r="BP366" s="16">
        <f t="shared" si="172"/>
        <v>-201098.97559966915</v>
      </c>
      <c r="BQ366" s="16">
        <f t="shared" si="173"/>
        <v>-158664.98057847418</v>
      </c>
      <c r="BR366" s="16">
        <f t="shared" si="174"/>
        <v>-160435.98057847421</v>
      </c>
      <c r="BS366" s="16">
        <f t="shared" si="175"/>
        <v>-161135.98057847421</v>
      </c>
      <c r="BT366" s="14">
        <f>IF([1]Sheet2!CB365=999999,"NA",[1]Sheet2!CB365)</f>
        <v>0</v>
      </c>
      <c r="BU366" s="14">
        <f>IF([1]Sheet2!CC365=999999,"NA",[1]Sheet2!CC365)</f>
        <v>0</v>
      </c>
      <c r="BV366" s="14">
        <f>IF([1]Sheet2!CD365=999999,"NA",[1]Sheet2!CD365)</f>
        <v>0</v>
      </c>
      <c r="BW366" s="14">
        <f>IF([1]Sheet2!CE365=999999,"NA",[1]Sheet2!CE365)</f>
        <v>0</v>
      </c>
      <c r="BX366" s="14">
        <f>IF([1]Sheet2!CF365=999999,"NA",[1]Sheet2!CF365)</f>
        <v>0</v>
      </c>
      <c r="BY366" s="14">
        <f>IF([1]Sheet2!CG365=999999,"NA",[1]Sheet2!CG365)</f>
        <v>0</v>
      </c>
      <c r="BZ366" s="14">
        <f>IF([1]Sheet2!CH365=999999,"NA",[1]Sheet2!CH365)</f>
        <v>0</v>
      </c>
      <c r="CA366" s="14">
        <f>IF([1]Sheet2!CI365=999999,"NA",[1]Sheet2!CI365)</f>
        <v>0</v>
      </c>
      <c r="CB366" s="14">
        <f>IF([1]Sheet2!CJ365=999999,"NA",[1]Sheet2!CJ365)</f>
        <v>0</v>
      </c>
      <c r="CC366" s="14">
        <f>IF([1]Sheet2!CK365=999999,"NA",[1]Sheet2!CK365)</f>
        <v>0</v>
      </c>
      <c r="CD366" s="14">
        <f>[1]Sheet2!BH365</f>
        <v>0</v>
      </c>
      <c r="CE366" s="14">
        <f>[1]Sheet2!BI365</f>
        <v>0</v>
      </c>
      <c r="CF366" s="14">
        <f>[1]Sheet2!BJ365</f>
        <v>0</v>
      </c>
      <c r="CG366" s="14">
        <f>[1]Sheet2!BK365</f>
        <v>0</v>
      </c>
      <c r="CH366" s="14">
        <f>[1]Sheet2!BL365</f>
        <v>0</v>
      </c>
      <c r="CI366" s="14">
        <f>[1]Sheet2!BM365</f>
        <v>0</v>
      </c>
      <c r="CJ366" s="14">
        <f>[1]Sheet2!BN365</f>
        <v>0</v>
      </c>
      <c r="CK366" s="14">
        <f>[1]Sheet2!BO365</f>
        <v>0</v>
      </c>
      <c r="CL366" s="14">
        <f>[1]Sheet2!BP365</f>
        <v>0</v>
      </c>
      <c r="CM366" s="14">
        <f>[1]Sheet2!BQ365</f>
        <v>0</v>
      </c>
      <c r="CN366" s="16">
        <f>Demand_SW!B$14/31</f>
        <v>139.57816377171216</v>
      </c>
      <c r="CO366" s="16">
        <f>Demand_SW!C$14/31</f>
        <v>0</v>
      </c>
      <c r="CP366" s="16">
        <f>Demand_SW!D$14/31</f>
        <v>0</v>
      </c>
      <c r="CQ366" s="16">
        <f>Demand_SW!E$14/31</f>
        <v>0</v>
      </c>
      <c r="CR366" s="16">
        <f>Demand_SW!F$14/31</f>
        <v>0</v>
      </c>
      <c r="CS366" s="16">
        <f>Demand_SW!G$14/31</f>
        <v>139.57816377171216</v>
      </c>
      <c r="CT366" s="16">
        <f>Demand_SW!H$14/31</f>
        <v>0</v>
      </c>
      <c r="CU366" s="16">
        <f>Demand_SW!I$14/31</f>
        <v>0</v>
      </c>
      <c r="CV366" s="16">
        <f>Demand_SW!J$14/31</f>
        <v>0</v>
      </c>
      <c r="CW366" s="16">
        <f>Demand_SW!K$14/31</f>
        <v>0</v>
      </c>
      <c r="CX366" s="16">
        <f t="shared" si="176"/>
        <v>-26749.305210918148</v>
      </c>
      <c r="CY366" s="16">
        <f t="shared" si="177"/>
        <v>76.923076923077133</v>
      </c>
      <c r="CZ366" s="16">
        <f t="shared" si="178"/>
        <v>0</v>
      </c>
      <c r="DA366" s="16">
        <f t="shared" si="179"/>
        <v>0</v>
      </c>
      <c r="DB366" s="16">
        <f t="shared" si="180"/>
        <v>0</v>
      </c>
      <c r="DC366" s="16">
        <f t="shared" si="181"/>
        <v>-27980.535980148918</v>
      </c>
      <c r="DD366" s="16">
        <f t="shared" si="182"/>
        <v>76.923076923077133</v>
      </c>
      <c r="DE366" s="16">
        <f t="shared" si="183"/>
        <v>0</v>
      </c>
      <c r="DF366" s="16">
        <f t="shared" si="184"/>
        <v>0</v>
      </c>
      <c r="DG366" s="16">
        <f t="shared" si="185"/>
        <v>0</v>
      </c>
      <c r="DH366" s="14">
        <f>IF([1]Sheet2!DS365=999999,"NA",[1]Sheet2!DS365)</f>
        <v>0</v>
      </c>
      <c r="DI366" s="14">
        <f>IF([1]Sheet2!DT365=999999,"NA",[1]Sheet2!DT365)</f>
        <v>2</v>
      </c>
      <c r="DJ366" s="14" t="str">
        <f>IF([1]Sheet2!DU365=999999,"NA",[1]Sheet2!DU365)</f>
        <v>NA</v>
      </c>
      <c r="DK366" s="14" t="str">
        <f>IF([1]Sheet2!DV365=999999,"NA",[1]Sheet2!DV365)</f>
        <v>NA</v>
      </c>
      <c r="DL366" s="14" t="str">
        <f>IF([1]Sheet2!DW365=999999,"NA",[1]Sheet2!DW365)</f>
        <v>NA</v>
      </c>
      <c r="DM366" s="14">
        <f>IF([1]Sheet2!DX365=999999,"NA",[1]Sheet2!DX365)</f>
        <v>0</v>
      </c>
      <c r="DN366" s="14">
        <f>IF([1]Sheet2!DY365=999999,"NA",[1]Sheet2!DY365)</f>
        <v>2</v>
      </c>
      <c r="DO366" s="14" t="str">
        <f>IF([1]Sheet2!DZ365=999999,"NA",[1]Sheet2!DZ365)</f>
        <v>NA</v>
      </c>
      <c r="DP366" s="14" t="str">
        <f>IF([1]Sheet2!EA365=999999,"NA",[1]Sheet2!EA365)</f>
        <v>NA</v>
      </c>
      <c r="DQ366" s="14" t="str">
        <f>IF([1]Sheet2!EB365=999999,"NA",[1]Sheet2!EB365)</f>
        <v>NA</v>
      </c>
      <c r="DR366" s="14">
        <f>[1]Sheet2!CY365</f>
        <v>0</v>
      </c>
      <c r="DS366" s="14">
        <f>[1]Sheet2!CZ365</f>
        <v>0</v>
      </c>
      <c r="DT366" s="14">
        <f>[1]Sheet2!DA365</f>
        <v>0</v>
      </c>
      <c r="DU366" s="14">
        <f>[1]Sheet2!DB365</f>
        <v>0</v>
      </c>
      <c r="DV366" s="14">
        <f>[1]Sheet2!DC365</f>
        <v>0</v>
      </c>
      <c r="DW366" s="14">
        <f>[1]Sheet2!DD365</f>
        <v>0</v>
      </c>
      <c r="DX366" s="14">
        <f>[1]Sheet2!DE365</f>
        <v>0</v>
      </c>
      <c r="DY366" s="14">
        <f>[1]Sheet2!DF365</f>
        <v>0</v>
      </c>
      <c r="DZ366" s="14">
        <f>[1]Sheet2!DG365</f>
        <v>0</v>
      </c>
      <c r="EA366" s="14">
        <f>[1]Sheet2!DH365</f>
        <v>0</v>
      </c>
      <c r="EB366" s="6">
        <f>[1]Sheet2!EC365</f>
        <v>0</v>
      </c>
      <c r="EC366" s="6">
        <f>[1]Sheet2!ED365</f>
        <v>0</v>
      </c>
      <c r="ED366" s="6">
        <f>[1]Sheet2!EE365</f>
        <v>0</v>
      </c>
      <c r="EE366" s="6">
        <f>[1]Sheet2!EF365</f>
        <v>0</v>
      </c>
      <c r="EF366" s="6">
        <f>[1]Sheet2!EG365</f>
        <v>0</v>
      </c>
      <c r="EG366" s="6">
        <f>[1]Sheet2!EH365</f>
        <v>0</v>
      </c>
      <c r="EH366" s="6">
        <f>[1]Sheet2!EI365</f>
        <v>0</v>
      </c>
      <c r="EI366" s="6">
        <f>[1]Sheet2!EJ365</f>
        <v>0</v>
      </c>
      <c r="EJ366" s="6">
        <f>[1]Sheet2!EK365</f>
        <v>0</v>
      </c>
      <c r="EK366" s="6">
        <f>[1]Sheet2!EL365</f>
        <v>0</v>
      </c>
      <c r="EL366" s="6" t="str">
        <f>[1]Sheet2!EM365</f>
        <v/>
      </c>
      <c r="EM366" s="6" t="str">
        <f>[1]Sheet2!EN365</f>
        <v/>
      </c>
      <c r="EN366" s="6" t="str">
        <f>[1]Sheet2!EO365</f>
        <v/>
      </c>
      <c r="EO366" s="6" t="str">
        <f>[1]Sheet2!EP365</f>
        <v/>
      </c>
      <c r="EP366" s="6" t="str">
        <f>[1]Sheet2!EQ365</f>
        <v/>
      </c>
      <c r="EQ366" s="6" t="str">
        <f>[1]Sheet2!ER365</f>
        <v/>
      </c>
      <c r="ER366" s="6" t="str">
        <f>[1]Sheet2!ES365</f>
        <v/>
      </c>
      <c r="ES366" s="6" t="str">
        <f>[1]Sheet2!ET365</f>
        <v/>
      </c>
      <c r="ET366" s="6" t="str">
        <f>[1]Sheet2!EU365</f>
        <v/>
      </c>
      <c r="EU366" s="6" t="str">
        <f>[1]Sheet2!EV365</f>
        <v/>
      </c>
      <c r="EV366" s="6" t="str">
        <f>[1]Sheet2!EW365</f>
        <v/>
      </c>
      <c r="EW366" s="6" t="str">
        <f>[1]Sheet2!EX365</f>
        <v/>
      </c>
      <c r="EX366" s="6" t="str">
        <f>[1]Sheet2!EY365</f>
        <v/>
      </c>
      <c r="EY366" s="6" t="str">
        <f>[1]Sheet2!EZ365</f>
        <v/>
      </c>
      <c r="EZ366" s="6" t="str">
        <f>[1]Sheet2!FA365</f>
        <v/>
      </c>
      <c r="FA366" s="6" t="str">
        <f>[1]Sheet2!FB365</f>
        <v/>
      </c>
      <c r="FB366" s="6" t="str">
        <f>[1]Sheet2!FC365</f>
        <v/>
      </c>
      <c r="FC366" s="6" t="str">
        <f>[1]Sheet2!FD365</f>
        <v/>
      </c>
      <c r="FD366" s="6" t="str">
        <f>[1]Sheet2!FE365</f>
        <v/>
      </c>
      <c r="FE366" s="6" t="str">
        <f>[1]Sheet2!FF365</f>
        <v/>
      </c>
      <c r="FF366" s="6" t="str">
        <f>[1]Sheet2!FG365</f>
        <v/>
      </c>
      <c r="FG366" s="6" t="str">
        <f>[1]Sheet2!FH365</f>
        <v/>
      </c>
      <c r="FH366" s="6" t="str">
        <f>[1]Sheet2!FI365</f>
        <v/>
      </c>
      <c r="FI366" s="6" t="str">
        <f>[1]Sheet2!FJ365</f>
        <v/>
      </c>
      <c r="FJ366" s="6" t="str">
        <f>[1]Sheet2!FK365</f>
        <v/>
      </c>
      <c r="FK366" s="6" t="str">
        <f>[1]Sheet2!FL365</f>
        <v/>
      </c>
      <c r="FL366" s="6" t="str">
        <f>[1]Sheet2!FM365</f>
        <v/>
      </c>
      <c r="FM366" s="6" t="str">
        <f>[1]Sheet2!FN365</f>
        <v/>
      </c>
      <c r="FN366" s="6" t="str">
        <f>[1]Sheet2!FO365</f>
        <v/>
      </c>
      <c r="FO366" s="6" t="str">
        <f>[1]Sheet2!FP365</f>
        <v/>
      </c>
    </row>
    <row r="367" spans="1:171" x14ac:dyDescent="0.25">
      <c r="A367" s="15">
        <v>43829</v>
      </c>
      <c r="B367" s="1"/>
      <c r="C367" s="1"/>
      <c r="D367" s="1"/>
      <c r="E367" s="14">
        <f>[1]Sheet2!N366</f>
        <v>0</v>
      </c>
      <c r="F367" s="14">
        <f>[1]Sheet2!BE366</f>
        <v>0</v>
      </c>
      <c r="G367" s="14">
        <f>[1]Sheet2!CW366</f>
        <v>0</v>
      </c>
      <c r="H367" s="1"/>
      <c r="I367" s="1"/>
      <c r="J367" s="1"/>
      <c r="K367" s="16"/>
      <c r="L367" s="16">
        <f>Demand_CWRS!B$14/31</f>
        <v>95.176711124896599</v>
      </c>
      <c r="M367" s="16">
        <f>Demand_CWRS!C$14/31</f>
        <v>526.22795698924722</v>
      </c>
      <c r="N367" s="16">
        <f>Demand_CWRS!D$14/31</f>
        <v>0</v>
      </c>
      <c r="O367" s="16">
        <f>Demand_CWRS!E$14/31</f>
        <v>102.37076095947063</v>
      </c>
      <c r="P367" s="16">
        <f>Demand_CWRS!F$14/31</f>
        <v>219.86823562861866</v>
      </c>
      <c r="Q367" s="16">
        <f>Demand_CWRS!G$14/31</f>
        <v>95.176711124896599</v>
      </c>
      <c r="R367" s="16">
        <f>Demand_CWRS!H$14/31</f>
        <v>219.86823562861866</v>
      </c>
      <c r="S367" s="16">
        <f>Demand_CWRS!I$14/31</f>
        <v>219.86823562861866</v>
      </c>
      <c r="T367" s="16">
        <f>Demand_CWRS!J$14/31</f>
        <v>219.86823562861866</v>
      </c>
      <c r="U367" s="16">
        <f>Demand_CWRS!K$14/31</f>
        <v>219.86823562861866</v>
      </c>
      <c r="V367" s="16">
        <f t="shared" si="156"/>
        <v>-40806.802294220324</v>
      </c>
      <c r="W367" s="16">
        <f t="shared" si="157"/>
        <v>-168395.93358147217</v>
      </c>
      <c r="X367" s="16">
        <f t="shared" si="158"/>
        <v>0</v>
      </c>
      <c r="Y367" s="16">
        <f t="shared" si="159"/>
        <v>-32374.33527604154</v>
      </c>
      <c r="Z367" s="16">
        <f t="shared" si="160"/>
        <v>-73737.274926088314</v>
      </c>
      <c r="AA367" s="16">
        <f t="shared" si="161"/>
        <v>-39334.86977018194</v>
      </c>
      <c r="AB367" s="16">
        <f t="shared" si="162"/>
        <v>-78046.43970172941</v>
      </c>
      <c r="AC367" s="16">
        <f t="shared" si="163"/>
        <v>-72253.429445319038</v>
      </c>
      <c r="AD367" s="16">
        <f t="shared" si="164"/>
        <v>-72353.429445319038</v>
      </c>
      <c r="AE367" s="16">
        <f t="shared" si="165"/>
        <v>-72953.429445319038</v>
      </c>
      <c r="AF367" s="14">
        <f>IF([1]Sheet2!AJ366=999999,"NA",[1]Sheet2!AJ366)</f>
        <v>0</v>
      </c>
      <c r="AG367" s="14">
        <f>IF([1]Sheet2!AK366=999999,"NA",[1]Sheet2!AK366)</f>
        <v>0</v>
      </c>
      <c r="AH367" s="14" t="str">
        <f>IF([1]Sheet2!AL366=999999,"NA",[1]Sheet2!AL366)</f>
        <v>NA</v>
      </c>
      <c r="AI367" s="14">
        <f>IF([1]Sheet2!AM366=999999,"NA",[1]Sheet2!AM366)</f>
        <v>0</v>
      </c>
      <c r="AJ367" s="14">
        <f>IF([1]Sheet2!AN366=999999,"NA",[1]Sheet2!AN366)</f>
        <v>0</v>
      </c>
      <c r="AK367" s="14">
        <f>IF([1]Sheet2!AO366=999999,"NA",[1]Sheet2!AO366)</f>
        <v>0</v>
      </c>
      <c r="AL367" s="14">
        <f>IF([1]Sheet2!AP366=999999,"NA",[1]Sheet2!AP366)</f>
        <v>0</v>
      </c>
      <c r="AM367" s="14">
        <f>IF([1]Sheet2!AQ366=999999,"NA",[1]Sheet2!AQ366)</f>
        <v>0</v>
      </c>
      <c r="AN367" s="14">
        <f>IF([1]Sheet2!AR366=999999,"NA",[1]Sheet2!AR366)</f>
        <v>0</v>
      </c>
      <c r="AO367" s="14">
        <f>IF([1]Sheet2!AS366=999999,"NA",[1]Sheet2!AS366)</f>
        <v>0</v>
      </c>
      <c r="AP367" s="14">
        <f>[1]Sheet2!P366</f>
        <v>0</v>
      </c>
      <c r="AQ367" s="14">
        <f>[1]Sheet2!Q366</f>
        <v>0</v>
      </c>
      <c r="AR367" s="14">
        <f>[1]Sheet2!R366</f>
        <v>0</v>
      </c>
      <c r="AS367" s="14">
        <f>[1]Sheet2!S366</f>
        <v>0</v>
      </c>
      <c r="AT367" s="14">
        <f>[1]Sheet2!T366</f>
        <v>0</v>
      </c>
      <c r="AU367" s="14">
        <f>[1]Sheet2!U366</f>
        <v>0</v>
      </c>
      <c r="AV367" s="14">
        <f>[1]Sheet2!V366</f>
        <v>0</v>
      </c>
      <c r="AW367" s="14">
        <f>[1]Sheet2!W366</f>
        <v>0</v>
      </c>
      <c r="AX367" s="14">
        <f>[1]Sheet2!X366</f>
        <v>0</v>
      </c>
      <c r="AY367" s="14">
        <f>[1]Sheet2!Y366</f>
        <v>0</v>
      </c>
      <c r="AZ367" s="16">
        <f>Demand_LP!B$14/31</f>
        <v>868.56315911910667</v>
      </c>
      <c r="BA367" s="16">
        <f>Demand_LP!C$14/31</f>
        <v>608.40066170388752</v>
      </c>
      <c r="BB367" s="16">
        <f>Demand_LP!D$14/31</f>
        <v>251.20087262200158</v>
      </c>
      <c r="BC367" s="16">
        <f>Demand_LP!E$14/31</f>
        <v>807.45938378825463</v>
      </c>
      <c r="BD367" s="16">
        <f>Demand_LP!F$14/31</f>
        <v>539.59842069892466</v>
      </c>
      <c r="BE367" s="16">
        <f>Demand_LP!G$14/31</f>
        <v>539.59842069892466</v>
      </c>
      <c r="BF367" s="16">
        <f>Demand_LP!H$14/31</f>
        <v>608.40066170388752</v>
      </c>
      <c r="BG367" s="16">
        <f>Demand_LP!I$14/31</f>
        <v>539.59842069892466</v>
      </c>
      <c r="BH367" s="16">
        <f>Demand_LP!J$14/31</f>
        <v>539.59842069892466</v>
      </c>
      <c r="BI367" s="16">
        <f>Demand_LP!K$14/31</f>
        <v>539.59842069892466</v>
      </c>
      <c r="BJ367" s="16">
        <f t="shared" si="166"/>
        <v>-277136.21459064703</v>
      </c>
      <c r="BK367" s="16">
        <f t="shared" si="167"/>
        <v>-207349.7967741937</v>
      </c>
      <c r="BL367" s="16">
        <f t="shared" si="168"/>
        <v>-97729.777460711877</v>
      </c>
      <c r="BM367" s="16">
        <f t="shared" si="169"/>
        <v>-266642.18406152044</v>
      </c>
      <c r="BN367" s="16">
        <f t="shared" si="170"/>
        <v>-164917.89508080229</v>
      </c>
      <c r="BO367" s="16">
        <f t="shared" si="171"/>
        <v>-163375.57899917307</v>
      </c>
      <c r="BP367" s="16">
        <f t="shared" si="172"/>
        <v>-201707.37626137305</v>
      </c>
      <c r="BQ367" s="16">
        <f t="shared" si="173"/>
        <v>-159204.5789991731</v>
      </c>
      <c r="BR367" s="16">
        <f t="shared" si="174"/>
        <v>-160975.57899917313</v>
      </c>
      <c r="BS367" s="16">
        <f t="shared" si="175"/>
        <v>-161675.57899917313</v>
      </c>
      <c r="BT367" s="14">
        <f>IF([1]Sheet2!CB366=999999,"NA",[1]Sheet2!CB366)</f>
        <v>0</v>
      </c>
      <c r="BU367" s="14">
        <f>IF([1]Sheet2!CC366=999999,"NA",[1]Sheet2!CC366)</f>
        <v>0</v>
      </c>
      <c r="BV367" s="14">
        <f>IF([1]Sheet2!CD366=999999,"NA",[1]Sheet2!CD366)</f>
        <v>0</v>
      </c>
      <c r="BW367" s="14">
        <f>IF([1]Sheet2!CE366=999999,"NA",[1]Sheet2!CE366)</f>
        <v>0</v>
      </c>
      <c r="BX367" s="14">
        <f>IF([1]Sheet2!CF366=999999,"NA",[1]Sheet2!CF366)</f>
        <v>0</v>
      </c>
      <c r="BY367" s="14">
        <f>IF([1]Sheet2!CG366=999999,"NA",[1]Sheet2!CG366)</f>
        <v>0</v>
      </c>
      <c r="BZ367" s="14">
        <f>IF([1]Sheet2!CH366=999999,"NA",[1]Sheet2!CH366)</f>
        <v>0</v>
      </c>
      <c r="CA367" s="14">
        <f>IF([1]Sheet2!CI366=999999,"NA",[1]Sheet2!CI366)</f>
        <v>0</v>
      </c>
      <c r="CB367" s="14">
        <f>IF([1]Sheet2!CJ366=999999,"NA",[1]Sheet2!CJ366)</f>
        <v>0</v>
      </c>
      <c r="CC367" s="14">
        <f>IF([1]Sheet2!CK366=999999,"NA",[1]Sheet2!CK366)</f>
        <v>0</v>
      </c>
      <c r="CD367" s="14">
        <f>[1]Sheet2!BH366</f>
        <v>0</v>
      </c>
      <c r="CE367" s="14">
        <f>[1]Sheet2!BI366</f>
        <v>0</v>
      </c>
      <c r="CF367" s="14">
        <f>[1]Sheet2!BJ366</f>
        <v>0</v>
      </c>
      <c r="CG367" s="14">
        <f>[1]Sheet2!BK366</f>
        <v>0</v>
      </c>
      <c r="CH367" s="14">
        <f>[1]Sheet2!BL366</f>
        <v>0</v>
      </c>
      <c r="CI367" s="14">
        <f>[1]Sheet2!BM366</f>
        <v>0</v>
      </c>
      <c r="CJ367" s="14">
        <f>[1]Sheet2!BN366</f>
        <v>0</v>
      </c>
      <c r="CK367" s="14">
        <f>[1]Sheet2!BO366</f>
        <v>0</v>
      </c>
      <c r="CL367" s="14">
        <f>[1]Sheet2!BP366</f>
        <v>0</v>
      </c>
      <c r="CM367" s="14">
        <f>[1]Sheet2!BQ366</f>
        <v>0</v>
      </c>
      <c r="CN367" s="16">
        <f>Demand_SW!B$14/31</f>
        <v>139.57816377171216</v>
      </c>
      <c r="CO367" s="16">
        <f>Demand_SW!C$14/31</f>
        <v>0</v>
      </c>
      <c r="CP367" s="16">
        <f>Demand_SW!D$14/31</f>
        <v>0</v>
      </c>
      <c r="CQ367" s="16">
        <f>Demand_SW!E$14/31</f>
        <v>0</v>
      </c>
      <c r="CR367" s="16">
        <f>Demand_SW!F$14/31</f>
        <v>0</v>
      </c>
      <c r="CS367" s="16">
        <f>Demand_SW!G$14/31</f>
        <v>139.57816377171216</v>
      </c>
      <c r="CT367" s="16">
        <f>Demand_SW!H$14/31</f>
        <v>0</v>
      </c>
      <c r="CU367" s="16">
        <f>Demand_SW!I$14/31</f>
        <v>0</v>
      </c>
      <c r="CV367" s="16">
        <f>Demand_SW!J$14/31</f>
        <v>0</v>
      </c>
      <c r="CW367" s="16">
        <f>Demand_SW!K$14/31</f>
        <v>0</v>
      </c>
      <c r="CX367" s="16">
        <f t="shared" si="176"/>
        <v>-26888.88337468986</v>
      </c>
      <c r="CY367" s="16">
        <f t="shared" si="177"/>
        <v>76.923076923077133</v>
      </c>
      <c r="CZ367" s="16">
        <f t="shared" si="178"/>
        <v>0</v>
      </c>
      <c r="DA367" s="16">
        <f t="shared" si="179"/>
        <v>0</v>
      </c>
      <c r="DB367" s="16">
        <f t="shared" si="180"/>
        <v>0</v>
      </c>
      <c r="DC367" s="16">
        <f t="shared" si="181"/>
        <v>-28120.114143920629</v>
      </c>
      <c r="DD367" s="16">
        <f t="shared" si="182"/>
        <v>76.923076923077133</v>
      </c>
      <c r="DE367" s="16">
        <f t="shared" si="183"/>
        <v>0</v>
      </c>
      <c r="DF367" s="16">
        <f t="shared" si="184"/>
        <v>0</v>
      </c>
      <c r="DG367" s="16">
        <f t="shared" si="185"/>
        <v>0</v>
      </c>
      <c r="DH367" s="14">
        <f>IF([1]Sheet2!DS366=999999,"NA",[1]Sheet2!DS366)</f>
        <v>0</v>
      </c>
      <c r="DI367" s="14">
        <f>IF([1]Sheet2!DT366=999999,"NA",[1]Sheet2!DT366)</f>
        <v>1</v>
      </c>
      <c r="DJ367" s="14" t="str">
        <f>IF([1]Sheet2!DU366=999999,"NA",[1]Sheet2!DU366)</f>
        <v>NA</v>
      </c>
      <c r="DK367" s="14" t="str">
        <f>IF([1]Sheet2!DV366=999999,"NA",[1]Sheet2!DV366)</f>
        <v>NA</v>
      </c>
      <c r="DL367" s="14" t="str">
        <f>IF([1]Sheet2!DW366=999999,"NA",[1]Sheet2!DW366)</f>
        <v>NA</v>
      </c>
      <c r="DM367" s="14">
        <f>IF([1]Sheet2!DX366=999999,"NA",[1]Sheet2!DX366)</f>
        <v>0</v>
      </c>
      <c r="DN367" s="14">
        <f>IF([1]Sheet2!DY366=999999,"NA",[1]Sheet2!DY366)</f>
        <v>1</v>
      </c>
      <c r="DO367" s="14" t="str">
        <f>IF([1]Sheet2!DZ366=999999,"NA",[1]Sheet2!DZ366)</f>
        <v>NA</v>
      </c>
      <c r="DP367" s="14" t="str">
        <f>IF([1]Sheet2!EA366=999999,"NA",[1]Sheet2!EA366)</f>
        <v>NA</v>
      </c>
      <c r="DQ367" s="14" t="str">
        <f>IF([1]Sheet2!EB366=999999,"NA",[1]Sheet2!EB366)</f>
        <v>NA</v>
      </c>
      <c r="DR367" s="14">
        <f>[1]Sheet2!CY366</f>
        <v>0</v>
      </c>
      <c r="DS367" s="14">
        <f>[1]Sheet2!CZ366</f>
        <v>0</v>
      </c>
      <c r="DT367" s="14">
        <f>[1]Sheet2!DA366</f>
        <v>0</v>
      </c>
      <c r="DU367" s="14">
        <f>[1]Sheet2!DB366</f>
        <v>0</v>
      </c>
      <c r="DV367" s="14">
        <f>[1]Sheet2!DC366</f>
        <v>0</v>
      </c>
      <c r="DW367" s="14">
        <f>[1]Sheet2!DD366</f>
        <v>0</v>
      </c>
      <c r="DX367" s="14">
        <f>[1]Sheet2!DE366</f>
        <v>0</v>
      </c>
      <c r="DY367" s="14">
        <f>[1]Sheet2!DF366</f>
        <v>0</v>
      </c>
      <c r="DZ367" s="14">
        <f>[1]Sheet2!DG366</f>
        <v>0</v>
      </c>
      <c r="EA367" s="14">
        <f>[1]Sheet2!DH366</f>
        <v>0</v>
      </c>
      <c r="EB367" s="6">
        <f>[1]Sheet2!EC366</f>
        <v>0</v>
      </c>
      <c r="EC367" s="6">
        <f>[1]Sheet2!ED366</f>
        <v>0</v>
      </c>
      <c r="ED367" s="6">
        <f>[1]Sheet2!EE366</f>
        <v>0</v>
      </c>
      <c r="EE367" s="6">
        <f>[1]Sheet2!EF366</f>
        <v>0</v>
      </c>
      <c r="EF367" s="6">
        <f>[1]Sheet2!EG366</f>
        <v>0</v>
      </c>
      <c r="EG367" s="6">
        <f>[1]Sheet2!EH366</f>
        <v>0</v>
      </c>
      <c r="EH367" s="6">
        <f>[1]Sheet2!EI366</f>
        <v>0</v>
      </c>
      <c r="EI367" s="6">
        <f>[1]Sheet2!EJ366</f>
        <v>0</v>
      </c>
      <c r="EJ367" s="6">
        <f>[1]Sheet2!EK366</f>
        <v>0</v>
      </c>
      <c r="EK367" s="6">
        <f>[1]Sheet2!EL366</f>
        <v>0</v>
      </c>
      <c r="EL367" s="6" t="str">
        <f>[1]Sheet2!EM366</f>
        <v/>
      </c>
      <c r="EM367" s="6" t="str">
        <f>[1]Sheet2!EN366</f>
        <v/>
      </c>
      <c r="EN367" s="6" t="str">
        <f>[1]Sheet2!EO366</f>
        <v/>
      </c>
      <c r="EO367" s="6" t="str">
        <f>[1]Sheet2!EP366</f>
        <v/>
      </c>
      <c r="EP367" s="6" t="str">
        <f>[1]Sheet2!EQ366</f>
        <v/>
      </c>
      <c r="EQ367" s="6" t="str">
        <f>[1]Sheet2!ER366</f>
        <v/>
      </c>
      <c r="ER367" s="6" t="str">
        <f>[1]Sheet2!ES366</f>
        <v/>
      </c>
      <c r="ES367" s="6" t="str">
        <f>[1]Sheet2!ET366</f>
        <v/>
      </c>
      <c r="ET367" s="6" t="str">
        <f>[1]Sheet2!EU366</f>
        <v/>
      </c>
      <c r="EU367" s="6" t="str">
        <f>[1]Sheet2!EV366</f>
        <v/>
      </c>
      <c r="EV367" s="6" t="str">
        <f>[1]Sheet2!EW366</f>
        <v/>
      </c>
      <c r="EW367" s="6" t="str">
        <f>[1]Sheet2!EX366</f>
        <v/>
      </c>
      <c r="EX367" s="6" t="str">
        <f>[1]Sheet2!EY366</f>
        <v/>
      </c>
      <c r="EY367" s="6" t="str">
        <f>[1]Sheet2!EZ366</f>
        <v/>
      </c>
      <c r="EZ367" s="6" t="str">
        <f>[1]Sheet2!FA366</f>
        <v/>
      </c>
      <c r="FA367" s="6" t="str">
        <f>[1]Sheet2!FB366</f>
        <v/>
      </c>
      <c r="FB367" s="6" t="str">
        <f>[1]Sheet2!FC366</f>
        <v/>
      </c>
      <c r="FC367" s="6" t="str">
        <f>[1]Sheet2!FD366</f>
        <v/>
      </c>
      <c r="FD367" s="6" t="str">
        <f>[1]Sheet2!FE366</f>
        <v/>
      </c>
      <c r="FE367" s="6" t="str">
        <f>[1]Sheet2!FF366</f>
        <v/>
      </c>
      <c r="FF367" s="6" t="str">
        <f>[1]Sheet2!FG366</f>
        <v/>
      </c>
      <c r="FG367" s="6" t="str">
        <f>[1]Sheet2!FH366</f>
        <v/>
      </c>
      <c r="FH367" s="6" t="str">
        <f>[1]Sheet2!FI366</f>
        <v/>
      </c>
      <c r="FI367" s="6" t="str">
        <f>[1]Sheet2!FJ366</f>
        <v/>
      </c>
      <c r="FJ367" s="6" t="str">
        <f>[1]Sheet2!FK366</f>
        <v/>
      </c>
      <c r="FK367" s="6" t="str">
        <f>[1]Sheet2!FL366</f>
        <v/>
      </c>
      <c r="FL367" s="6" t="str">
        <f>[1]Sheet2!FM366</f>
        <v/>
      </c>
      <c r="FM367" s="6" t="str">
        <f>[1]Sheet2!FN366</f>
        <v/>
      </c>
      <c r="FN367" s="6" t="str">
        <f>[1]Sheet2!FO366</f>
        <v/>
      </c>
      <c r="FO367" s="6" t="str">
        <f>[1]Sheet2!FP366</f>
        <v/>
      </c>
    </row>
    <row r="368" spans="1:171" x14ac:dyDescent="0.25">
      <c r="A368" s="15">
        <v>43830</v>
      </c>
      <c r="B368" s="1"/>
      <c r="C368" s="1"/>
      <c r="D368" s="1"/>
      <c r="E368" s="14">
        <f>[1]Sheet2!N367</f>
        <v>0</v>
      </c>
      <c r="F368" s="14">
        <f>[1]Sheet2!BE367</f>
        <v>0</v>
      </c>
      <c r="G368" s="14">
        <f>[1]Sheet2!CW367</f>
        <v>0</v>
      </c>
      <c r="H368" s="1"/>
      <c r="I368" s="1"/>
      <c r="J368" s="1"/>
      <c r="K368" s="16"/>
      <c r="L368" s="16">
        <f>Demand_CWRS!B$14/31</f>
        <v>95.176711124896599</v>
      </c>
      <c r="M368" s="16">
        <f>Demand_CWRS!C$14/31</f>
        <v>526.22795698924722</v>
      </c>
      <c r="N368" s="16">
        <f>Demand_CWRS!D$14/31</f>
        <v>0</v>
      </c>
      <c r="O368" s="16">
        <f>Demand_CWRS!E$14/31</f>
        <v>102.37076095947063</v>
      </c>
      <c r="P368" s="16">
        <f>Demand_CWRS!F$14/31</f>
        <v>219.86823562861866</v>
      </c>
      <c r="Q368" s="16">
        <f>Demand_CWRS!G$14/31</f>
        <v>95.176711124896599</v>
      </c>
      <c r="R368" s="16">
        <f>Demand_CWRS!H$14/31</f>
        <v>219.86823562861866</v>
      </c>
      <c r="S368" s="16">
        <f>Demand_CWRS!I$14/31</f>
        <v>219.86823562861866</v>
      </c>
      <c r="T368" s="16">
        <f>Demand_CWRS!J$14/31</f>
        <v>219.86823562861866</v>
      </c>
      <c r="U368" s="16">
        <f>Demand_CWRS!K$14/31</f>
        <v>219.86823562861866</v>
      </c>
      <c r="V368" s="16">
        <f t="shared" si="156"/>
        <v>-40901.979005345223</v>
      </c>
      <c r="W368" s="16">
        <f t="shared" si="157"/>
        <v>-168922.16153846143</v>
      </c>
      <c r="X368" s="16">
        <f t="shared" si="158"/>
        <v>0</v>
      </c>
      <c r="Y368" s="16">
        <f t="shared" si="159"/>
        <v>-32476.706037001011</v>
      </c>
      <c r="Z368" s="16">
        <f t="shared" si="160"/>
        <v>-73957.143161716929</v>
      </c>
      <c r="AA368" s="16">
        <f t="shared" si="161"/>
        <v>-39430.046481306839</v>
      </c>
      <c r="AB368" s="16">
        <f t="shared" si="162"/>
        <v>-78266.307937358026</v>
      </c>
      <c r="AC368" s="16">
        <f t="shared" si="163"/>
        <v>-72473.297680947653</v>
      </c>
      <c r="AD368" s="16">
        <f t="shared" si="164"/>
        <v>-72573.297680947653</v>
      </c>
      <c r="AE368" s="16">
        <f t="shared" si="165"/>
        <v>-73173.297680947653</v>
      </c>
      <c r="AF368" s="14">
        <f>IF([1]Sheet2!AJ367=999999,"NA",[1]Sheet2!AJ367)</f>
        <v>0</v>
      </c>
      <c r="AG368" s="14">
        <f>IF([1]Sheet2!AK367=999999,"NA",[1]Sheet2!AK367)</f>
        <v>0</v>
      </c>
      <c r="AH368" s="14" t="str">
        <f>IF([1]Sheet2!AL367=999999,"NA",[1]Sheet2!AL367)</f>
        <v>NA</v>
      </c>
      <c r="AI368" s="14">
        <f>IF([1]Sheet2!AM367=999999,"NA",[1]Sheet2!AM367)</f>
        <v>0</v>
      </c>
      <c r="AJ368" s="14">
        <f>IF([1]Sheet2!AN367=999999,"NA",[1]Sheet2!AN367)</f>
        <v>0</v>
      </c>
      <c r="AK368" s="14">
        <f>IF([1]Sheet2!AO367=999999,"NA",[1]Sheet2!AO367)</f>
        <v>0</v>
      </c>
      <c r="AL368" s="14">
        <f>IF([1]Sheet2!AP367=999999,"NA",[1]Sheet2!AP367)</f>
        <v>0</v>
      </c>
      <c r="AM368" s="14">
        <f>IF([1]Sheet2!AQ367=999999,"NA",[1]Sheet2!AQ367)</f>
        <v>0</v>
      </c>
      <c r="AN368" s="14">
        <f>IF([1]Sheet2!AR367=999999,"NA",[1]Sheet2!AR367)</f>
        <v>0</v>
      </c>
      <c r="AO368" s="14">
        <f>IF([1]Sheet2!AS367=999999,"NA",[1]Sheet2!AS367)</f>
        <v>0</v>
      </c>
      <c r="AP368" s="14">
        <f>[1]Sheet2!P367</f>
        <v>0</v>
      </c>
      <c r="AQ368" s="14">
        <f>[1]Sheet2!Q367</f>
        <v>0</v>
      </c>
      <c r="AR368" s="14">
        <f>[1]Sheet2!R367</f>
        <v>0</v>
      </c>
      <c r="AS368" s="14">
        <f>[1]Sheet2!S367</f>
        <v>0</v>
      </c>
      <c r="AT368" s="14">
        <f>[1]Sheet2!T367</f>
        <v>0</v>
      </c>
      <c r="AU368" s="14">
        <f>[1]Sheet2!U367</f>
        <v>0</v>
      </c>
      <c r="AV368" s="14">
        <f>[1]Sheet2!V367</f>
        <v>0</v>
      </c>
      <c r="AW368" s="14">
        <f>[1]Sheet2!W367</f>
        <v>0</v>
      </c>
      <c r="AX368" s="14">
        <f>[1]Sheet2!X367</f>
        <v>0</v>
      </c>
      <c r="AY368" s="14">
        <f>[1]Sheet2!Y367</f>
        <v>0</v>
      </c>
      <c r="AZ368" s="16">
        <f>Demand_LP!B$14/31</f>
        <v>868.56315911910667</v>
      </c>
      <c r="BA368" s="16">
        <f>Demand_LP!C$14/31</f>
        <v>608.40066170388752</v>
      </c>
      <c r="BB368" s="16">
        <f>Demand_LP!D$14/31</f>
        <v>251.20087262200158</v>
      </c>
      <c r="BC368" s="16">
        <f>Demand_LP!E$14/31</f>
        <v>807.45938378825463</v>
      </c>
      <c r="BD368" s="16">
        <f>Demand_LP!F$14/31</f>
        <v>539.59842069892466</v>
      </c>
      <c r="BE368" s="16">
        <f>Demand_LP!G$14/31</f>
        <v>539.59842069892466</v>
      </c>
      <c r="BF368" s="16">
        <f>Demand_LP!H$14/31</f>
        <v>608.40066170388752</v>
      </c>
      <c r="BG368" s="16">
        <f>Demand_LP!I$14/31</f>
        <v>539.59842069892466</v>
      </c>
      <c r="BH368" s="16">
        <f>Demand_LP!J$14/31</f>
        <v>539.59842069892466</v>
      </c>
      <c r="BI368" s="16">
        <f>Demand_LP!K$14/31</f>
        <v>539.59842069892466</v>
      </c>
      <c r="BJ368" s="16">
        <f t="shared" si="166"/>
        <v>-278004.77774976613</v>
      </c>
      <c r="BK368" s="16">
        <f t="shared" si="167"/>
        <v>-207958.1974358976</v>
      </c>
      <c r="BL368" s="16">
        <f t="shared" si="168"/>
        <v>-97980.978333333886</v>
      </c>
      <c r="BM368" s="16">
        <f t="shared" si="169"/>
        <v>-267449.64344530867</v>
      </c>
      <c r="BN368" s="16">
        <f t="shared" si="170"/>
        <v>-165457.49350150122</v>
      </c>
      <c r="BO368" s="16">
        <f t="shared" si="171"/>
        <v>-163915.17741987199</v>
      </c>
      <c r="BP368" s="16">
        <f t="shared" si="172"/>
        <v>-202315.77692307695</v>
      </c>
      <c r="BQ368" s="16">
        <f t="shared" si="173"/>
        <v>-159744.17741987202</v>
      </c>
      <c r="BR368" s="16">
        <f t="shared" si="174"/>
        <v>-161515.17741987205</v>
      </c>
      <c r="BS368" s="16">
        <f t="shared" si="175"/>
        <v>-162215.17741987205</v>
      </c>
      <c r="BT368" s="14">
        <f>IF([1]Sheet2!CB367=999999,"NA",[1]Sheet2!CB367)</f>
        <v>0</v>
      </c>
      <c r="BU368" s="14">
        <f>IF([1]Sheet2!CC367=999999,"NA",[1]Sheet2!CC367)</f>
        <v>0</v>
      </c>
      <c r="BV368" s="14">
        <f>IF([1]Sheet2!CD367=999999,"NA",[1]Sheet2!CD367)</f>
        <v>0</v>
      </c>
      <c r="BW368" s="14">
        <f>IF([1]Sheet2!CE367=999999,"NA",[1]Sheet2!CE367)</f>
        <v>0</v>
      </c>
      <c r="BX368" s="14">
        <f>IF([1]Sheet2!CF367=999999,"NA",[1]Sheet2!CF367)</f>
        <v>0</v>
      </c>
      <c r="BY368" s="14">
        <f>IF([1]Sheet2!CG367=999999,"NA",[1]Sheet2!CG367)</f>
        <v>0</v>
      </c>
      <c r="BZ368" s="14">
        <f>IF([1]Sheet2!CH367=999999,"NA",[1]Sheet2!CH367)</f>
        <v>0</v>
      </c>
      <c r="CA368" s="14">
        <f>IF([1]Sheet2!CI367=999999,"NA",[1]Sheet2!CI367)</f>
        <v>0</v>
      </c>
      <c r="CB368" s="14">
        <f>IF([1]Sheet2!CJ367=999999,"NA",[1]Sheet2!CJ367)</f>
        <v>0</v>
      </c>
      <c r="CC368" s="14">
        <f>IF([1]Sheet2!CK367=999999,"NA",[1]Sheet2!CK367)</f>
        <v>0</v>
      </c>
      <c r="CD368" s="14">
        <f>[1]Sheet2!BH367</f>
        <v>0</v>
      </c>
      <c r="CE368" s="14">
        <f>[1]Sheet2!BI367</f>
        <v>0</v>
      </c>
      <c r="CF368" s="14">
        <f>[1]Sheet2!BJ367</f>
        <v>0</v>
      </c>
      <c r="CG368" s="14">
        <f>[1]Sheet2!BK367</f>
        <v>0</v>
      </c>
      <c r="CH368" s="14">
        <f>[1]Sheet2!BL367</f>
        <v>0</v>
      </c>
      <c r="CI368" s="14">
        <f>[1]Sheet2!BM367</f>
        <v>0</v>
      </c>
      <c r="CJ368" s="14">
        <f>[1]Sheet2!BN367</f>
        <v>0</v>
      </c>
      <c r="CK368" s="14">
        <f>[1]Sheet2!BO367</f>
        <v>0</v>
      </c>
      <c r="CL368" s="14">
        <f>[1]Sheet2!BP367</f>
        <v>0</v>
      </c>
      <c r="CM368" s="14">
        <f>[1]Sheet2!BQ367</f>
        <v>0</v>
      </c>
      <c r="CN368" s="16">
        <f>Demand_SW!B$14/31</f>
        <v>139.57816377171216</v>
      </c>
      <c r="CO368" s="16">
        <f>Demand_SW!C$14/31</f>
        <v>0</v>
      </c>
      <c r="CP368" s="16">
        <f>Demand_SW!D$14/31</f>
        <v>0</v>
      </c>
      <c r="CQ368" s="16">
        <f>Demand_SW!E$14/31</f>
        <v>0</v>
      </c>
      <c r="CR368" s="16">
        <f>Demand_SW!F$14/31</f>
        <v>0</v>
      </c>
      <c r="CS368" s="16">
        <f>Demand_SW!G$14/31</f>
        <v>139.57816377171216</v>
      </c>
      <c r="CT368" s="16">
        <f>Demand_SW!H$14/31</f>
        <v>0</v>
      </c>
      <c r="CU368" s="16">
        <f>Demand_SW!I$14/31</f>
        <v>0</v>
      </c>
      <c r="CV368" s="16">
        <f>Demand_SW!J$14/31</f>
        <v>0</v>
      </c>
      <c r="CW368" s="16">
        <f>Demand_SW!K$14/31</f>
        <v>0</v>
      </c>
      <c r="CX368" s="16">
        <f t="shared" si="176"/>
        <v>-27028.461538461572</v>
      </c>
      <c r="CY368" s="16">
        <f t="shared" si="177"/>
        <v>76.923076923077133</v>
      </c>
      <c r="CZ368" s="16">
        <f t="shared" si="178"/>
        <v>0</v>
      </c>
      <c r="DA368" s="16">
        <f t="shared" si="179"/>
        <v>0</v>
      </c>
      <c r="DB368" s="16">
        <f t="shared" si="180"/>
        <v>0</v>
      </c>
      <c r="DC368" s="16">
        <f t="shared" si="181"/>
        <v>-28259.692307692341</v>
      </c>
      <c r="DD368" s="16">
        <f t="shared" si="182"/>
        <v>76.923076923077133</v>
      </c>
      <c r="DE368" s="16">
        <f t="shared" si="183"/>
        <v>0</v>
      </c>
      <c r="DF368" s="16">
        <f t="shared" si="184"/>
        <v>0</v>
      </c>
      <c r="DG368" s="16">
        <f t="shared" si="185"/>
        <v>0</v>
      </c>
      <c r="DH368" s="14">
        <f>IF([1]Sheet2!DS367=999999,"NA",[1]Sheet2!DS367)</f>
        <v>0</v>
      </c>
      <c r="DI368" s="14">
        <f>IF([1]Sheet2!DT367=999999,"NA",[1]Sheet2!DT367)</f>
        <v>0</v>
      </c>
      <c r="DJ368" s="14" t="str">
        <f>IF([1]Sheet2!DU367=999999,"NA",[1]Sheet2!DU367)</f>
        <v>NA</v>
      </c>
      <c r="DK368" s="14" t="str">
        <f>IF([1]Sheet2!DV367=999999,"NA",[1]Sheet2!DV367)</f>
        <v>NA</v>
      </c>
      <c r="DL368" s="14" t="str">
        <f>IF([1]Sheet2!DW367=999999,"NA",[1]Sheet2!DW367)</f>
        <v>NA</v>
      </c>
      <c r="DM368" s="14">
        <f>IF([1]Sheet2!DX367=999999,"NA",[1]Sheet2!DX367)</f>
        <v>0</v>
      </c>
      <c r="DN368" s="14">
        <f>IF([1]Sheet2!DY367=999999,"NA",[1]Sheet2!DY367)</f>
        <v>0</v>
      </c>
      <c r="DO368" s="14" t="str">
        <f>IF([1]Sheet2!DZ367=999999,"NA",[1]Sheet2!DZ367)</f>
        <v>NA</v>
      </c>
      <c r="DP368" s="14" t="str">
        <f>IF([1]Sheet2!EA367=999999,"NA",[1]Sheet2!EA367)</f>
        <v>NA</v>
      </c>
      <c r="DQ368" s="14" t="str">
        <f>IF([1]Sheet2!EB367=999999,"NA",[1]Sheet2!EB367)</f>
        <v>NA</v>
      </c>
      <c r="DR368" s="14">
        <f>[1]Sheet2!CY367</f>
        <v>0</v>
      </c>
      <c r="DS368" s="14">
        <f>[1]Sheet2!CZ367</f>
        <v>0</v>
      </c>
      <c r="DT368" s="14">
        <f>[1]Sheet2!DA367</f>
        <v>0</v>
      </c>
      <c r="DU368" s="14">
        <f>[1]Sheet2!DB367</f>
        <v>0</v>
      </c>
      <c r="DV368" s="14">
        <f>[1]Sheet2!DC367</f>
        <v>0</v>
      </c>
      <c r="DW368" s="14">
        <f>[1]Sheet2!DD367</f>
        <v>0</v>
      </c>
      <c r="DX368" s="14">
        <f>[1]Sheet2!DE367</f>
        <v>0</v>
      </c>
      <c r="DY368" s="14">
        <f>[1]Sheet2!DF367</f>
        <v>0</v>
      </c>
      <c r="DZ368" s="14">
        <f>[1]Sheet2!DG367</f>
        <v>0</v>
      </c>
      <c r="EA368" s="14">
        <f>[1]Sheet2!DH367</f>
        <v>0</v>
      </c>
      <c r="EB368" s="6">
        <f>[1]Sheet2!EC367</f>
        <v>0</v>
      </c>
      <c r="EC368" s="6">
        <f>[1]Sheet2!ED367</f>
        <v>0</v>
      </c>
      <c r="ED368" s="6">
        <f>[1]Sheet2!EE367</f>
        <v>0</v>
      </c>
      <c r="EE368" s="6">
        <f>[1]Sheet2!EF367</f>
        <v>0</v>
      </c>
      <c r="EF368" s="6">
        <f>[1]Sheet2!EG367</f>
        <v>0</v>
      </c>
      <c r="EG368" s="6">
        <f>[1]Sheet2!EH367</f>
        <v>0</v>
      </c>
      <c r="EH368" s="6">
        <f>[1]Sheet2!EI367</f>
        <v>0</v>
      </c>
      <c r="EI368" s="6">
        <f>[1]Sheet2!EJ367</f>
        <v>0</v>
      </c>
      <c r="EJ368" s="6">
        <f>[1]Sheet2!EK367</f>
        <v>0</v>
      </c>
      <c r="EK368" s="6">
        <f>[1]Sheet2!EL367</f>
        <v>0</v>
      </c>
      <c r="EL368" s="6" t="str">
        <f>[1]Sheet2!EM367</f>
        <v/>
      </c>
      <c r="EM368" s="6" t="str">
        <f>[1]Sheet2!EN367</f>
        <v/>
      </c>
      <c r="EN368" s="6" t="str">
        <f>[1]Sheet2!EO367</f>
        <v/>
      </c>
      <c r="EO368" s="6" t="str">
        <f>[1]Sheet2!EP367</f>
        <v/>
      </c>
      <c r="EP368" s="6" t="str">
        <f>[1]Sheet2!EQ367</f>
        <v/>
      </c>
      <c r="EQ368" s="6" t="str">
        <f>[1]Sheet2!ER367</f>
        <v/>
      </c>
      <c r="ER368" s="6" t="str">
        <f>[1]Sheet2!ES367</f>
        <v/>
      </c>
      <c r="ES368" s="6" t="str">
        <f>[1]Sheet2!ET367</f>
        <v/>
      </c>
      <c r="ET368" s="6" t="str">
        <f>[1]Sheet2!EU367</f>
        <v/>
      </c>
      <c r="EU368" s="6" t="str">
        <f>[1]Sheet2!EV367</f>
        <v/>
      </c>
      <c r="EV368" s="6" t="str">
        <f>[1]Sheet2!EW367</f>
        <v/>
      </c>
      <c r="EW368" s="6" t="str">
        <f>[1]Sheet2!EX367</f>
        <v/>
      </c>
      <c r="EX368" s="6" t="str">
        <f>[1]Sheet2!EY367</f>
        <v/>
      </c>
      <c r="EY368" s="6" t="str">
        <f>[1]Sheet2!EZ367</f>
        <v/>
      </c>
      <c r="EZ368" s="6" t="str">
        <f>[1]Sheet2!FA367</f>
        <v/>
      </c>
      <c r="FA368" s="6" t="str">
        <f>[1]Sheet2!FB367</f>
        <v/>
      </c>
      <c r="FB368" s="6" t="str">
        <f>[1]Sheet2!FC367</f>
        <v/>
      </c>
      <c r="FC368" s="6" t="str">
        <f>[1]Sheet2!FD367</f>
        <v/>
      </c>
      <c r="FD368" s="6" t="str">
        <f>[1]Sheet2!FE367</f>
        <v/>
      </c>
      <c r="FE368" s="6" t="str">
        <f>[1]Sheet2!FF367</f>
        <v/>
      </c>
      <c r="FF368" s="6" t="str">
        <f>[1]Sheet2!FG367</f>
        <v/>
      </c>
      <c r="FG368" s="6" t="str">
        <f>[1]Sheet2!FH367</f>
        <v/>
      </c>
      <c r="FH368" s="6" t="str">
        <f>[1]Sheet2!FI367</f>
        <v/>
      </c>
      <c r="FI368" s="6" t="str">
        <f>[1]Sheet2!FJ367</f>
        <v/>
      </c>
      <c r="FJ368" s="6" t="str">
        <f>[1]Sheet2!FK367</f>
        <v/>
      </c>
      <c r="FK368" s="6" t="str">
        <f>[1]Sheet2!FL367</f>
        <v/>
      </c>
      <c r="FL368" s="6" t="str">
        <f>[1]Sheet2!FM367</f>
        <v/>
      </c>
      <c r="FM368" s="6" t="str">
        <f>[1]Sheet2!FN367</f>
        <v/>
      </c>
      <c r="FN368" s="6" t="str">
        <f>[1]Sheet2!FO367</f>
        <v/>
      </c>
      <c r="FO368" s="6" t="str">
        <f>[1]Sheet2!FP367</f>
        <v/>
      </c>
    </row>
  </sheetData>
  <mergeCells count="23">
    <mergeCell ref="FP1:FY1"/>
    <mergeCell ref="FZ1:GI1"/>
    <mergeCell ref="GJ1:GS1"/>
    <mergeCell ref="A1:A2"/>
    <mergeCell ref="L1:U1"/>
    <mergeCell ref="EB1:EK1"/>
    <mergeCell ref="DR1:EA1"/>
    <mergeCell ref="DH1:DQ1"/>
    <mergeCell ref="AF1:AO1"/>
    <mergeCell ref="AZ1:BI1"/>
    <mergeCell ref="BJ1:BS1"/>
    <mergeCell ref="BT1:CC1"/>
    <mergeCell ref="CN1:CW1"/>
    <mergeCell ref="CX1:DG1"/>
    <mergeCell ref="AP1:AY1"/>
    <mergeCell ref="CD1:CM1"/>
    <mergeCell ref="EL1:EU1"/>
    <mergeCell ref="EV1:FE1"/>
    <mergeCell ref="FF1:FO1"/>
    <mergeCell ref="V1:AE1"/>
    <mergeCell ref="B1:D1"/>
    <mergeCell ref="E1:G1"/>
    <mergeCell ref="H1:K1"/>
  </mergeCells>
  <dataValidations count="1">
    <dataValidation type="list" showInputMessage="1" showErrorMessage="1" sqref="J3:J368" xr:uid="{F083F0EB-C4F1-423B-AA18-7F4CE7D83637}">
      <formula1>$XFD$1:$XFD$5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>
    <tabColor rgb="FFFFC000"/>
  </sheetPr>
  <dimension ref="A1:K14"/>
  <sheetViews>
    <sheetView workbookViewId="0">
      <selection activeCell="G19" sqref="G19"/>
    </sheetView>
  </sheetViews>
  <sheetFormatPr defaultRowHeight="15" x14ac:dyDescent="0.25"/>
  <cols>
    <col min="1" max="1" width="12" style="3" customWidth="1"/>
    <col min="4" max="4" width="10.28515625" customWidth="1"/>
  </cols>
  <sheetData>
    <row r="1" spans="1:11" x14ac:dyDescent="0.25">
      <c r="A1" s="57" t="s">
        <v>9</v>
      </c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</row>
    <row r="2" spans="1:11" x14ac:dyDescent="0.25">
      <c r="A2" s="57"/>
      <c r="B2" s="2" t="s">
        <v>4</v>
      </c>
      <c r="C2" s="2" t="s">
        <v>7</v>
      </c>
      <c r="D2" s="2" t="s">
        <v>8</v>
      </c>
      <c r="E2" s="17" t="s">
        <v>6</v>
      </c>
      <c r="F2" s="17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f>'[2]Jan (rev)'!$BC$40</f>
        <v>9709.8626602564109</v>
      </c>
      <c r="C3" s="5">
        <f>'[2]Jan (rev)'!$BD$40</f>
        <v>7493.0102564102563</v>
      </c>
      <c r="D3" s="5">
        <f>'[2]Jan (rev)'!$BE$40</f>
        <v>0</v>
      </c>
      <c r="E3" s="5">
        <f>'[2]Jan (rev)'!$BG$40</f>
        <v>3065.0320512820513</v>
      </c>
      <c r="F3" s="5">
        <f>'[2]Jan (rev)'!$BF$40</f>
        <v>6149.4390224358967</v>
      </c>
      <c r="G3" s="5">
        <v>9600</v>
      </c>
      <c r="H3" s="5">
        <v>7493.0102564102563</v>
      </c>
      <c r="I3" s="5">
        <v>6200</v>
      </c>
      <c r="J3" s="5">
        <v>6500</v>
      </c>
      <c r="K3" s="5">
        <v>6700</v>
      </c>
    </row>
    <row r="4" spans="1:11" x14ac:dyDescent="0.25">
      <c r="A4" s="4">
        <v>43497</v>
      </c>
      <c r="B4" s="5">
        <f>[2]Feb!$BC$40</f>
        <v>3687.0811498397434</v>
      </c>
      <c r="C4" s="5">
        <f>[2]Feb!$BD$40</f>
        <v>14035.620512820513</v>
      </c>
      <c r="D4" s="5">
        <f>[2]Feb!$BE$40</f>
        <v>0</v>
      </c>
      <c r="E4" s="5">
        <f>[2]Feb!$BG$40</f>
        <v>3644.8923076923074</v>
      </c>
      <c r="F4" s="5">
        <f>[2]Feb!$BF$40</f>
        <v>7362.5275641025637</v>
      </c>
      <c r="G4" s="5">
        <v>3580</v>
      </c>
      <c r="H4" s="5">
        <v>5800</v>
      </c>
      <c r="I4" s="5">
        <v>6000</v>
      </c>
      <c r="J4" s="5">
        <v>5800</v>
      </c>
      <c r="K4" s="5">
        <v>6200</v>
      </c>
    </row>
    <row r="5" spans="1:11" x14ac:dyDescent="0.25">
      <c r="A5" s="4">
        <v>43525</v>
      </c>
      <c r="B5" s="5">
        <f>[2]Mar!$BC$40</f>
        <v>4082.0604917234668</v>
      </c>
      <c r="C5" s="5">
        <f>[2]Mar!$BD$40</f>
        <v>16653.492307692308</v>
      </c>
      <c r="D5" s="5">
        <f>[2]Mar!$BE$40</f>
        <v>0</v>
      </c>
      <c r="E5" s="5">
        <f>[2]Mar!$BG$40</f>
        <v>3769.4803959753331</v>
      </c>
      <c r="F5" s="5">
        <f>[2]Mar!$BF$40</f>
        <v>7597.5506296656913</v>
      </c>
      <c r="G5" s="5">
        <v>4082.0604917234668</v>
      </c>
      <c r="H5" s="5">
        <v>7597.5506296656913</v>
      </c>
      <c r="I5" s="5">
        <v>7597.5506296656913</v>
      </c>
      <c r="J5" s="5">
        <v>7597.5506296656913</v>
      </c>
      <c r="K5" s="5">
        <v>7597.5506296656913</v>
      </c>
    </row>
    <row r="6" spans="1:11" x14ac:dyDescent="0.25">
      <c r="A6" s="4">
        <v>43556</v>
      </c>
      <c r="B6" s="5">
        <f>[2]Apr!$BC$40</f>
        <v>4108.829338942307</v>
      </c>
      <c r="C6" s="5">
        <f>[2]Apr!$BD$40</f>
        <v>16333.01282051282</v>
      </c>
      <c r="D6" s="5">
        <f>[2]Apr!$BE$40</f>
        <v>0</v>
      </c>
      <c r="E6" s="5">
        <f>[2]Apr!$BG$40</f>
        <v>3269.2307692307691</v>
      </c>
      <c r="F6" s="5">
        <f>[2]Apr!$BF$40</f>
        <v>6400.8640424679479</v>
      </c>
      <c r="G6" s="5">
        <v>4000</v>
      </c>
      <c r="H6" s="5">
        <v>6400.8640424679479</v>
      </c>
      <c r="I6" s="5">
        <v>6400.8640424679479</v>
      </c>
      <c r="J6" s="5">
        <v>6400.8640424679479</v>
      </c>
      <c r="K6" s="5">
        <v>6400.8640424679479</v>
      </c>
    </row>
    <row r="7" spans="1:11" x14ac:dyDescent="0.25">
      <c r="A7" s="4">
        <v>43586</v>
      </c>
      <c r="B7" s="5">
        <f>[2]May!$BC$40</f>
        <v>4026.8820793269224</v>
      </c>
      <c r="C7" s="5">
        <f>[2]May!$BD$40</f>
        <v>16844.871794871793</v>
      </c>
      <c r="D7" s="5">
        <f>[2]May!$BE$40</f>
        <v>0</v>
      </c>
      <c r="E7" s="5">
        <f>[2]May!$BG$40</f>
        <v>4087.1923076923076</v>
      </c>
      <c r="F7" s="5">
        <f>[2]May!$BF$40</f>
        <v>7195.9036818910254</v>
      </c>
      <c r="G7" s="5">
        <v>4026.8820793269224</v>
      </c>
      <c r="H7" s="5">
        <v>7195.9036818910254</v>
      </c>
      <c r="I7" s="5">
        <v>7195.9036818910254</v>
      </c>
      <c r="J7" s="5">
        <v>7195.9036818910254</v>
      </c>
      <c r="K7" s="5">
        <v>7195.9036818910254</v>
      </c>
    </row>
    <row r="8" spans="1:11" x14ac:dyDescent="0.25">
      <c r="A8" s="4">
        <v>43617</v>
      </c>
      <c r="B8" s="5">
        <f>[2]June!$BC$40</f>
        <v>3746.0458173076922</v>
      </c>
      <c r="C8" s="5">
        <f>[2]June!$BD$40</f>
        <v>17496.153846153848</v>
      </c>
      <c r="D8" s="5">
        <f>[2]June!$BE$40</f>
        <v>0</v>
      </c>
      <c r="E8" s="5">
        <f>[2]June!$BG$40</f>
        <v>4705.4487179487187</v>
      </c>
      <c r="F8" s="5">
        <f>[2]June!$BF$40</f>
        <v>7571.8788942307674</v>
      </c>
      <c r="G8" s="5">
        <v>3746.0458173076922</v>
      </c>
      <c r="H8" s="5">
        <v>7400</v>
      </c>
      <c r="I8" s="5">
        <v>7400</v>
      </c>
      <c r="J8" s="5">
        <v>7400</v>
      </c>
      <c r="K8" s="5">
        <v>7400</v>
      </c>
    </row>
    <row r="9" spans="1:11" x14ac:dyDescent="0.25">
      <c r="A9" s="4">
        <v>43647</v>
      </c>
      <c r="B9" s="5">
        <f>[2]July!$BC$40</f>
        <v>4260.7112980769225</v>
      </c>
      <c r="C9" s="5">
        <f>[2]July!$BD$40</f>
        <v>19112.820512820508</v>
      </c>
      <c r="D9" s="5">
        <f>[2]July!$BE$40</f>
        <v>0</v>
      </c>
      <c r="E9" s="5">
        <f>[2]July!$BG$40</f>
        <v>4352.1666666666661</v>
      </c>
      <c r="F9" s="5">
        <f>[2]July!$BF$40</f>
        <v>7598.4254006410256</v>
      </c>
      <c r="G9" s="5">
        <v>4260.7112980769225</v>
      </c>
      <c r="H9" s="5">
        <v>7598.4254006410256</v>
      </c>
      <c r="I9" s="5">
        <v>7598.4254006410256</v>
      </c>
      <c r="J9" s="5">
        <v>7598.4254006410256</v>
      </c>
      <c r="K9" s="5">
        <v>7598.4254006410256</v>
      </c>
    </row>
    <row r="10" spans="1:11" x14ac:dyDescent="0.25">
      <c r="A10" s="4">
        <v>43678</v>
      </c>
      <c r="B10" s="5">
        <f>[2]Aug!$BC$40</f>
        <v>3746.1593749999997</v>
      </c>
      <c r="C10" s="5">
        <f>[2]Aug!$BD$40</f>
        <v>17136.851282051277</v>
      </c>
      <c r="D10" s="5">
        <f>[2]Aug!$BE$40</f>
        <v>0</v>
      </c>
      <c r="E10" s="5">
        <f>[2]Aug!$BG$40</f>
        <v>4394.5512820512813</v>
      </c>
      <c r="F10" s="5">
        <f>[2]Aug!$BF$40</f>
        <v>7833.9350160256417</v>
      </c>
      <c r="G10" s="5">
        <v>3600</v>
      </c>
      <c r="H10" s="5">
        <v>7833.9350160256417</v>
      </c>
      <c r="I10" s="5">
        <v>7833.9350160256417</v>
      </c>
      <c r="J10" s="5">
        <v>7833.9350160256417</v>
      </c>
      <c r="K10" s="5">
        <v>7833.9350160256417</v>
      </c>
    </row>
    <row r="11" spans="1:11" x14ac:dyDescent="0.25">
      <c r="A11" s="4">
        <v>43709</v>
      </c>
      <c r="B11" s="5">
        <f>[2]Sept!$BC$40</f>
        <v>3541.363942307692</v>
      </c>
      <c r="C11" s="5">
        <f>[2]Sept!$BD$40</f>
        <v>14741.820512820512</v>
      </c>
      <c r="D11" s="5">
        <f>[2]Sept!$BE$40</f>
        <v>0</v>
      </c>
      <c r="E11" s="5">
        <f>[2]Sept!$BG$40</f>
        <v>3235.4807692307695</v>
      </c>
      <c r="F11" s="5">
        <f>[2]Sept!$BF$40</f>
        <v>6546.6822916666661</v>
      </c>
      <c r="G11" s="5">
        <v>3541.363942307692</v>
      </c>
      <c r="H11" s="5">
        <v>6546.6822916666661</v>
      </c>
      <c r="I11" s="5">
        <v>6546.6822916666661</v>
      </c>
      <c r="J11" s="5">
        <v>6546.6822916666661</v>
      </c>
      <c r="K11" s="5">
        <v>6546.6822916666661</v>
      </c>
    </row>
    <row r="12" spans="1:11" x14ac:dyDescent="0.25">
      <c r="A12" s="4">
        <v>43739</v>
      </c>
      <c r="B12" s="5">
        <f>[2]Oct!$BC$40</f>
        <v>3512.6184294871796</v>
      </c>
      <c r="C12" s="5">
        <f>[2]Oct!$BD$40</f>
        <v>14882.097435897433</v>
      </c>
      <c r="D12" s="5">
        <f>[2]Oct!$BE$40</f>
        <v>0</v>
      </c>
      <c r="E12" s="5">
        <f>[2]Oct!$BG$40</f>
        <v>3199.9551282051284</v>
      </c>
      <c r="F12" s="5">
        <f>[2]Oct!$BF$40</f>
        <v>6502.1088942307688</v>
      </c>
      <c r="G12" s="5">
        <v>3512.6184294871796</v>
      </c>
      <c r="H12" s="5">
        <v>6502.1088942307688</v>
      </c>
      <c r="I12" s="5">
        <v>6502.1088942307688</v>
      </c>
      <c r="J12" s="5">
        <v>6502.1088942307688</v>
      </c>
      <c r="K12" s="5">
        <v>6502.1088942307688</v>
      </c>
    </row>
    <row r="13" spans="1:11" x14ac:dyDescent="0.25">
      <c r="A13" s="4">
        <v>43770</v>
      </c>
      <c r="B13" s="5">
        <f>[2]Nov!$BC$40</f>
        <v>3357.886378205128</v>
      </c>
      <c r="C13" s="5">
        <f>[2]Nov!$BD$40</f>
        <v>16500.343589743585</v>
      </c>
      <c r="D13" s="5">
        <f>[2]Nov!$BE$40</f>
        <v>0</v>
      </c>
      <c r="E13" s="5">
        <f>[2]Nov!$BG$40</f>
        <v>3162.7820512820513</v>
      </c>
      <c r="F13" s="5">
        <f>[2]Nov!$BF$40</f>
        <v>6609.9124198717946</v>
      </c>
      <c r="G13" s="5">
        <v>3357.886378205128</v>
      </c>
      <c r="H13" s="5">
        <v>6609.9124198717946</v>
      </c>
      <c r="I13" s="5">
        <v>6609.9124198717946</v>
      </c>
      <c r="J13" s="5">
        <v>6609.9124198717946</v>
      </c>
      <c r="K13" s="5">
        <v>6609.9124198717946</v>
      </c>
    </row>
    <row r="14" spans="1:11" x14ac:dyDescent="0.25">
      <c r="A14" s="4">
        <v>43800</v>
      </c>
      <c r="B14" s="5">
        <f>[2]Dec!$BC$40</f>
        <v>2950.4780448717947</v>
      </c>
      <c r="C14" s="5">
        <f>[2]Dec!$BD$40</f>
        <v>16313.066666666664</v>
      </c>
      <c r="D14" s="5">
        <f>[2]Dec!$BE$40</f>
        <v>0</v>
      </c>
      <c r="E14" s="5">
        <f>[2]Dec!$BG$40</f>
        <v>3173.4935897435894</v>
      </c>
      <c r="F14" s="5">
        <f>[2]Dec!$BF$40</f>
        <v>6815.9153044871782</v>
      </c>
      <c r="G14" s="5">
        <v>2950.4780448717947</v>
      </c>
      <c r="H14" s="5">
        <v>6815.9153044871782</v>
      </c>
      <c r="I14" s="5">
        <v>6815.9153044871782</v>
      </c>
      <c r="J14" s="5">
        <v>6815.9153044871782</v>
      </c>
      <c r="K14" s="5">
        <v>6815.9153044871782</v>
      </c>
    </row>
  </sheetData>
  <mergeCells count="2">
    <mergeCell ref="B1:K1"/>
    <mergeCell ref="A1:A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>
    <tabColor rgb="FFFFC000"/>
  </sheetPr>
  <dimension ref="A1:K14"/>
  <sheetViews>
    <sheetView workbookViewId="0">
      <selection activeCell="F14" sqref="F14"/>
    </sheetView>
  </sheetViews>
  <sheetFormatPr defaultRowHeight="15" x14ac:dyDescent="0.25"/>
  <cols>
    <col min="1" max="1" width="12" style="3" customWidth="1"/>
    <col min="4" max="4" width="10.42578125" customWidth="1"/>
  </cols>
  <sheetData>
    <row r="1" spans="1:11" x14ac:dyDescent="0.25">
      <c r="A1" s="57" t="s">
        <v>9</v>
      </c>
      <c r="B1" s="56" t="s">
        <v>1</v>
      </c>
      <c r="C1" s="56"/>
      <c r="D1" s="56"/>
      <c r="E1" s="56"/>
      <c r="F1" s="56"/>
      <c r="G1" s="56"/>
      <c r="H1" s="56"/>
      <c r="I1" s="56"/>
      <c r="J1" s="56"/>
      <c r="K1" s="56"/>
    </row>
    <row r="2" spans="1:11" x14ac:dyDescent="0.25">
      <c r="A2" s="57"/>
      <c r="B2" s="2" t="s">
        <v>4</v>
      </c>
      <c r="C2" s="2" t="s">
        <v>7</v>
      </c>
      <c r="D2" s="2" t="s">
        <v>8</v>
      </c>
      <c r="E2" s="17" t="s">
        <v>6</v>
      </c>
      <c r="F2" s="17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f>'[2]Jan (rev)'!$BO$40</f>
        <v>15593.053445512822</v>
      </c>
      <c r="C3" s="5">
        <f>'[2]Jan (rev)'!$BP$40</f>
        <v>24563.117948717947</v>
      </c>
      <c r="D3" s="5">
        <f>'[2]Jan (rev)'!$BQ$40</f>
        <v>7167.5000000000009</v>
      </c>
      <c r="E3" s="5">
        <f>'[2]Jan (rev)'!$BS$40</f>
        <v>21592.724358974356</v>
      </c>
      <c r="F3" s="5">
        <f>'[2]Jan (rev)'!$BR$40</f>
        <v>14950.399118589743</v>
      </c>
      <c r="G3" s="5">
        <v>14000</v>
      </c>
      <c r="H3" s="5">
        <v>24000</v>
      </c>
      <c r="I3" s="5">
        <v>14000</v>
      </c>
      <c r="J3" s="5">
        <v>12000</v>
      </c>
      <c r="K3" s="5">
        <v>13000</v>
      </c>
    </row>
    <row r="4" spans="1:11" x14ac:dyDescent="0.25">
      <c r="A4" s="4">
        <v>43497</v>
      </c>
      <c r="B4" s="5">
        <f>[2]Feb!$BO$40</f>
        <v>22710.747776442309</v>
      </c>
      <c r="C4" s="5">
        <f>[2]Feb!$BP$40</f>
        <v>14079.302564102563</v>
      </c>
      <c r="D4" s="5">
        <f>[2]Feb!$BQ$40</f>
        <v>7911.0256410256407</v>
      </c>
      <c r="E4" s="5">
        <f>[2]Feb!$BS$40</f>
        <v>21272.697435897433</v>
      </c>
      <c r="F4" s="5">
        <f>[2]Feb!$BR$40</f>
        <v>13867.899919871794</v>
      </c>
      <c r="G4" s="5">
        <v>13900</v>
      </c>
      <c r="H4" s="5">
        <v>15000</v>
      </c>
      <c r="I4" s="5">
        <v>13900</v>
      </c>
      <c r="J4" s="5">
        <v>13500</v>
      </c>
      <c r="K4" s="5">
        <v>13200</v>
      </c>
    </row>
    <row r="5" spans="1:11" x14ac:dyDescent="0.25">
      <c r="A5" s="4">
        <v>43525</v>
      </c>
      <c r="B5" s="5">
        <f>[2]Mar!$BO$40</f>
        <v>23398.223506978258</v>
      </c>
      <c r="C5" s="5">
        <f>[2]Mar!$BP$40</f>
        <v>16974.123076923075</v>
      </c>
      <c r="D5" s="5">
        <f>[2]Mar!$BQ$40</f>
        <v>9695.4397435897426</v>
      </c>
      <c r="E5" s="5">
        <f>[2]Mar!$BS$40</f>
        <v>23941.125624797147</v>
      </c>
      <c r="F5" s="5">
        <f>[2]Mar!$BR$40</f>
        <v>14624.017043167802</v>
      </c>
      <c r="G5" s="5">
        <v>14000</v>
      </c>
      <c r="H5" s="5">
        <v>16974.123076923075</v>
      </c>
      <c r="I5" s="5">
        <v>14000</v>
      </c>
      <c r="J5" s="5">
        <v>14000</v>
      </c>
      <c r="K5" s="5">
        <v>14000</v>
      </c>
    </row>
    <row r="6" spans="1:11" x14ac:dyDescent="0.25">
      <c r="A6" s="4">
        <v>43556</v>
      </c>
      <c r="B6" s="5">
        <f>[2]Apr!$BO$40</f>
        <v>23718.483721955126</v>
      </c>
      <c r="C6" s="5">
        <f>[2]Apr!$BP$40</f>
        <v>24493.910256410254</v>
      </c>
      <c r="D6" s="5">
        <f>[2]Apr!$BQ$40</f>
        <v>10399.038461538461</v>
      </c>
      <c r="E6" s="5">
        <f>[2]Apr!$BS$40</f>
        <v>23864.423076923078</v>
      </c>
      <c r="F6" s="5">
        <f>[2]Apr!$BR$40</f>
        <v>14175.669050480768</v>
      </c>
      <c r="G6" s="5">
        <v>14175.669050480768</v>
      </c>
      <c r="H6" s="5">
        <v>24493.910256410254</v>
      </c>
      <c r="I6" s="5">
        <v>14175.669050480768</v>
      </c>
      <c r="J6" s="5">
        <v>14175.669050480768</v>
      </c>
      <c r="K6" s="5">
        <v>14175.669050480768</v>
      </c>
    </row>
    <row r="7" spans="1:11" x14ac:dyDescent="0.25">
      <c r="A7" s="4">
        <v>43586</v>
      </c>
      <c r="B7" s="5">
        <f>[2]May!$BO$40</f>
        <v>26530.719122596154</v>
      </c>
      <c r="C7" s="5">
        <f>[2]May!$BP$40</f>
        <v>14841.025641025641</v>
      </c>
      <c r="D7" s="5">
        <f>[2]May!$BQ$40</f>
        <v>11347.115384615385</v>
      </c>
      <c r="E7" s="5">
        <f>[2]May!$BS$40</f>
        <v>25976.846153846156</v>
      </c>
      <c r="F7" s="5">
        <f>[2]May!$BR$40</f>
        <v>13862.905372596153</v>
      </c>
      <c r="G7" s="5">
        <v>13862.905372596153</v>
      </c>
      <c r="H7" s="5">
        <v>14841.025641025641</v>
      </c>
      <c r="I7" s="5">
        <v>13862.905372596153</v>
      </c>
      <c r="J7" s="5">
        <v>13862.905372596153</v>
      </c>
      <c r="K7" s="5">
        <v>13862.905372596153</v>
      </c>
    </row>
    <row r="8" spans="1:11" x14ac:dyDescent="0.25">
      <c r="A8" s="4">
        <v>43617</v>
      </c>
      <c r="B8" s="5">
        <f>[2]June!$BO$40</f>
        <v>24234.483349358972</v>
      </c>
      <c r="C8" s="5">
        <f>[2]June!$BP$40</f>
        <v>17234.615384615387</v>
      </c>
      <c r="D8" s="5">
        <f>[2]June!$BQ$40</f>
        <v>10171.48717948718</v>
      </c>
      <c r="E8" s="5">
        <f>[2]June!$BS$40</f>
        <v>24914.089743589739</v>
      </c>
      <c r="F8" s="5">
        <f>[2]June!$BR$40</f>
        <v>14300.156041666665</v>
      </c>
      <c r="G8" s="5">
        <v>14300.156041666665</v>
      </c>
      <c r="H8" s="5">
        <v>17234.615384615387</v>
      </c>
      <c r="I8" s="5">
        <v>14300.156041666665</v>
      </c>
      <c r="J8" s="5">
        <v>14300.156041666665</v>
      </c>
      <c r="K8" s="5">
        <v>14300.156041666665</v>
      </c>
    </row>
    <row r="9" spans="1:11" x14ac:dyDescent="0.25">
      <c r="A9" s="4">
        <v>43647</v>
      </c>
      <c r="B9" s="5">
        <f>[2]July!$BO$40</f>
        <v>27227.194150641026</v>
      </c>
      <c r="C9" s="5">
        <f>[2]July!$BP$40</f>
        <v>20579.487179487176</v>
      </c>
      <c r="D9" s="5">
        <f>[2]July!$BQ$40</f>
        <v>10397.333333333336</v>
      </c>
      <c r="E9" s="5">
        <f>[2]July!$BS$40</f>
        <v>22482.294871794868</v>
      </c>
      <c r="F9" s="5">
        <f>[2]July!$BR$40</f>
        <v>14156.233253205128</v>
      </c>
      <c r="G9" s="5">
        <v>14156.233253205128</v>
      </c>
      <c r="H9" s="5">
        <v>20579.487179487176</v>
      </c>
      <c r="I9" s="5">
        <v>14156.233253205128</v>
      </c>
      <c r="J9" s="5">
        <v>14156.233253205128</v>
      </c>
      <c r="K9" s="5">
        <v>14156.233253205128</v>
      </c>
    </row>
    <row r="10" spans="1:11" x14ac:dyDescent="0.25">
      <c r="A10" s="4">
        <v>43678</v>
      </c>
      <c r="B10" s="5">
        <f>[2]Aug!$BO$40</f>
        <v>26572.656330128204</v>
      </c>
      <c r="C10" s="5">
        <f>[2]Aug!$BP$40</f>
        <v>16377.558974358974</v>
      </c>
      <c r="D10" s="5">
        <f>[2]Aug!$BQ$40</f>
        <v>10501.660256410258</v>
      </c>
      <c r="E10" s="5">
        <f>[2]Aug!$BS$40</f>
        <v>22786.480769230766</v>
      </c>
      <c r="F10" s="5">
        <f>[2]Aug!$BR$40</f>
        <v>14864.890304487179</v>
      </c>
      <c r="G10" s="5">
        <v>14864.890304487179</v>
      </c>
      <c r="H10" s="5">
        <v>16377.558974358974</v>
      </c>
      <c r="I10" s="5">
        <v>14864.890304487179</v>
      </c>
      <c r="J10" s="5">
        <v>14864.890304487179</v>
      </c>
      <c r="K10" s="5">
        <v>14864.890304487179</v>
      </c>
    </row>
    <row r="11" spans="1:11" x14ac:dyDescent="0.25">
      <c r="A11" s="4">
        <v>43709</v>
      </c>
      <c r="B11" s="5">
        <f>[2]Sept!$BO$40</f>
        <v>27078.177483974356</v>
      </c>
      <c r="C11" s="5">
        <f>[2]Sept!$BP$40</f>
        <v>17812.923076923078</v>
      </c>
      <c r="D11" s="5">
        <f>[2]Sept!$BQ$40</f>
        <v>8708.1410256410254</v>
      </c>
      <c r="E11" s="5">
        <f>[2]Sept!$BS$40</f>
        <v>23712.788461538461</v>
      </c>
      <c r="F11" s="5">
        <f>[2]Sept!$BR$40</f>
        <v>16153.86738782051</v>
      </c>
      <c r="G11" s="5">
        <v>16153.86738782051</v>
      </c>
      <c r="H11" s="5">
        <v>17812.923076923078</v>
      </c>
      <c r="I11" s="5">
        <v>16153.86738782051</v>
      </c>
      <c r="J11" s="5">
        <v>16153.86738782051</v>
      </c>
      <c r="K11" s="5">
        <v>16153.86738782051</v>
      </c>
    </row>
    <row r="12" spans="1:11" x14ac:dyDescent="0.25">
      <c r="A12" s="4">
        <v>43739</v>
      </c>
      <c r="B12" s="5">
        <f>[2]Oct!$BO$40</f>
        <v>26860.656650641027</v>
      </c>
      <c r="C12" s="5">
        <f>[2]Oct!$BP$40</f>
        <v>17906.441025641026</v>
      </c>
      <c r="D12" s="5">
        <f>[2]Oct!$BQ$40</f>
        <v>8127.7358974358976</v>
      </c>
      <c r="E12" s="5">
        <f>[2]Oct!$BS$40</f>
        <v>23747.001282051282</v>
      </c>
      <c r="F12" s="5">
        <f>[2]Oct!$BR$40</f>
        <v>15999.254887820511</v>
      </c>
      <c r="G12" s="5">
        <v>15999.254887820511</v>
      </c>
      <c r="H12" s="5">
        <v>17906.441025641026</v>
      </c>
      <c r="I12" s="5">
        <v>15999.254887820511</v>
      </c>
      <c r="J12" s="5">
        <v>15999.254887820511</v>
      </c>
      <c r="K12" s="5">
        <v>15999.254887820511</v>
      </c>
    </row>
    <row r="13" spans="1:11" x14ac:dyDescent="0.25">
      <c r="A13" s="4">
        <v>43770</v>
      </c>
      <c r="B13" s="5">
        <f>[2]Nov!$BO$40</f>
        <v>25474.924278846156</v>
      </c>
      <c r="C13" s="5">
        <f>[2]Nov!$BP$40</f>
        <v>18985.271794871795</v>
      </c>
      <c r="D13" s="5">
        <f>[2]Nov!$BQ$40</f>
        <v>8089.2743589743586</v>
      </c>
      <c r="E13" s="5">
        <f>[2]Nov!$BS$40</f>
        <v>24450.930769230767</v>
      </c>
      <c r="F13" s="5">
        <f>[2]Nov!$BR$40</f>
        <v>16081.650080128205</v>
      </c>
      <c r="G13" s="5">
        <v>16081.650080128205</v>
      </c>
      <c r="H13" s="5">
        <v>18985.271794871795</v>
      </c>
      <c r="I13" s="5">
        <v>16081.650080128205</v>
      </c>
      <c r="J13" s="5">
        <v>16081.650080128205</v>
      </c>
      <c r="K13" s="5">
        <v>16081.650080128205</v>
      </c>
    </row>
    <row r="14" spans="1:11" x14ac:dyDescent="0.25">
      <c r="A14" s="4">
        <v>43800</v>
      </c>
      <c r="B14" s="5">
        <f>[2]Dec!$BO$40</f>
        <v>26925.457932692309</v>
      </c>
      <c r="C14" s="5">
        <f>[2]Dec!$BP$40</f>
        <v>18860.420512820514</v>
      </c>
      <c r="D14" s="5">
        <f>[2]Dec!$BQ$40</f>
        <v>7787.2270512820487</v>
      </c>
      <c r="E14" s="5">
        <f>[2]Dec!$BS$40</f>
        <v>25031.240897435895</v>
      </c>
      <c r="F14" s="5">
        <f>[2]Dec!$BR$40</f>
        <v>16727.551041666666</v>
      </c>
      <c r="G14" s="5">
        <v>16727.551041666666</v>
      </c>
      <c r="H14" s="5">
        <v>18860.420512820514</v>
      </c>
      <c r="I14" s="5">
        <v>16727.551041666666</v>
      </c>
      <c r="J14" s="5">
        <v>16727.551041666666</v>
      </c>
      <c r="K14" s="5">
        <v>16727.551041666666</v>
      </c>
    </row>
  </sheetData>
  <mergeCells count="2">
    <mergeCell ref="A1:A2"/>
    <mergeCell ref="B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rgb="FFFFC000"/>
  </sheetPr>
  <dimension ref="A1:K14"/>
  <sheetViews>
    <sheetView workbookViewId="0">
      <selection activeCell="I19" sqref="I19"/>
    </sheetView>
  </sheetViews>
  <sheetFormatPr defaultRowHeight="15" x14ac:dyDescent="0.25"/>
  <cols>
    <col min="1" max="1" width="12" style="3" customWidth="1"/>
    <col min="4" max="4" width="10.85546875" customWidth="1"/>
  </cols>
  <sheetData>
    <row r="1" spans="1:11" x14ac:dyDescent="0.25">
      <c r="A1" s="57" t="s">
        <v>9</v>
      </c>
      <c r="B1" s="56" t="s">
        <v>2</v>
      </c>
      <c r="C1" s="56"/>
      <c r="D1" s="56"/>
      <c r="E1" s="56"/>
      <c r="F1" s="56"/>
      <c r="G1" s="56"/>
      <c r="H1" s="56"/>
      <c r="I1" s="56"/>
      <c r="J1" s="56"/>
      <c r="K1" s="56"/>
    </row>
    <row r="2" spans="1:11" x14ac:dyDescent="0.25">
      <c r="A2" s="57"/>
      <c r="B2" s="2" t="s">
        <v>4</v>
      </c>
      <c r="C2" s="2" t="s">
        <v>7</v>
      </c>
      <c r="D2" s="2" t="s">
        <v>8</v>
      </c>
      <c r="E2" s="2" t="s">
        <v>6</v>
      </c>
      <c r="F2" s="2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f>'[2]Jan (rev)'!$CA$40</f>
        <v>4326.9230769230771</v>
      </c>
      <c r="C3" s="5">
        <f>'[2]Jan (rev)'!$CB$40</f>
        <v>0</v>
      </c>
      <c r="D3" s="5">
        <f>'[2]Jan (rev)'!$CC$40</f>
        <v>0</v>
      </c>
      <c r="E3" s="5">
        <f>'[2]Jan (rev)'!$CE$40</f>
        <v>0</v>
      </c>
      <c r="F3" s="5">
        <f>'[2]Jan (rev)'!$CD$40</f>
        <v>0</v>
      </c>
      <c r="G3" s="5">
        <v>4100</v>
      </c>
      <c r="H3" s="5">
        <v>0</v>
      </c>
      <c r="I3" s="5">
        <v>0</v>
      </c>
      <c r="J3" s="5">
        <v>0</v>
      </c>
      <c r="K3" s="5">
        <v>0</v>
      </c>
    </row>
    <row r="4" spans="1:11" x14ac:dyDescent="0.25">
      <c r="A4" s="4">
        <v>43497</v>
      </c>
      <c r="B4" s="5">
        <f>[2]Feb!$CA$40</f>
        <v>2651.5384615384614</v>
      </c>
      <c r="C4" s="5">
        <f>[2]Feb!$CB$40</f>
        <v>0</v>
      </c>
      <c r="D4" s="5">
        <f>'[2]Jan (rev)'!$CC$40</f>
        <v>0</v>
      </c>
      <c r="E4" s="5">
        <f>[2]Feb!$CE$40</f>
        <v>0</v>
      </c>
      <c r="F4" s="5">
        <f>[2]Feb!$CD$40</f>
        <v>0</v>
      </c>
      <c r="G4" s="5">
        <v>2400</v>
      </c>
      <c r="H4" s="5">
        <v>0</v>
      </c>
      <c r="I4" s="5">
        <v>0</v>
      </c>
      <c r="J4" s="5">
        <v>0</v>
      </c>
      <c r="K4" s="5">
        <v>0</v>
      </c>
    </row>
    <row r="5" spans="1:11" x14ac:dyDescent="0.25">
      <c r="A5" s="4">
        <v>43525</v>
      </c>
      <c r="B5" s="5">
        <f>[2]Mar!$CA$40</f>
        <v>4292.3076923076924</v>
      </c>
      <c r="C5" s="5">
        <f>[2]Mar!$CB$40</f>
        <v>923.07692307692309</v>
      </c>
      <c r="D5" s="5">
        <f>[2]Mar!$CC$40</f>
        <v>0</v>
      </c>
      <c r="E5" s="5">
        <f>[2]Mar!$CE$40</f>
        <v>0</v>
      </c>
      <c r="F5" s="5">
        <f>[2]Mar!$CD$40</f>
        <v>0</v>
      </c>
      <c r="G5" s="5">
        <v>4300</v>
      </c>
      <c r="H5" s="5">
        <v>923.07692307692309</v>
      </c>
      <c r="I5" s="5">
        <v>0</v>
      </c>
      <c r="J5" s="5">
        <v>0</v>
      </c>
      <c r="K5" s="5">
        <v>0</v>
      </c>
    </row>
    <row r="6" spans="1:11" x14ac:dyDescent="0.25">
      <c r="A6" s="4">
        <v>43556</v>
      </c>
      <c r="B6" s="5">
        <f>[2]Apr!$CA$40</f>
        <v>5192.3076923076915</v>
      </c>
      <c r="C6" s="5">
        <f>[2]Apr!$CB$40</f>
        <v>0</v>
      </c>
      <c r="D6" s="5">
        <f>[2]Apr!$CC$40</f>
        <v>0</v>
      </c>
      <c r="E6" s="5">
        <f>[2]Apr!$CE$40</f>
        <v>0</v>
      </c>
      <c r="F6" s="5">
        <f>[2]Apr!$CD$40</f>
        <v>0</v>
      </c>
      <c r="G6" s="5">
        <v>5192.3076923076915</v>
      </c>
      <c r="H6" s="5">
        <v>0</v>
      </c>
      <c r="I6" s="5">
        <v>0</v>
      </c>
      <c r="J6" s="5">
        <v>0</v>
      </c>
      <c r="K6" s="5">
        <v>0</v>
      </c>
    </row>
    <row r="7" spans="1:11" x14ac:dyDescent="0.25">
      <c r="A7" s="4">
        <v>43586</v>
      </c>
      <c r="B7" s="5">
        <f>[2]May!$CA$40</f>
        <v>3807.6923076923076</v>
      </c>
      <c r="C7" s="5">
        <f>[2]May!$CB$40</f>
        <v>0</v>
      </c>
      <c r="D7" s="5">
        <f>[2]May!$CC$40</f>
        <v>0</v>
      </c>
      <c r="E7" s="5">
        <f>[2]May!$CE$40</f>
        <v>0</v>
      </c>
      <c r="F7" s="5">
        <f>[2]May!$CD$40</f>
        <v>0</v>
      </c>
      <c r="G7" s="5">
        <v>3807.6923076923076</v>
      </c>
      <c r="H7" s="5">
        <v>0</v>
      </c>
      <c r="I7" s="5">
        <v>0</v>
      </c>
      <c r="J7" s="5">
        <v>0</v>
      </c>
      <c r="K7" s="5">
        <v>0</v>
      </c>
    </row>
    <row r="8" spans="1:11" x14ac:dyDescent="0.25">
      <c r="A8" s="4">
        <v>43617</v>
      </c>
      <c r="B8" s="5">
        <f>[2]June!$CA$40</f>
        <v>4326.9230769230771</v>
      </c>
      <c r="C8" s="5">
        <f>[2]June!$CB$40</f>
        <v>0</v>
      </c>
      <c r="D8" s="5">
        <f>[2]June!$CC$40</f>
        <v>0</v>
      </c>
      <c r="E8" s="5">
        <f>[2]June!$CE$40</f>
        <v>0</v>
      </c>
      <c r="F8" s="5">
        <f>[2]June!$CD$40</f>
        <v>0</v>
      </c>
      <c r="G8" s="5">
        <v>4326.9230769230771</v>
      </c>
      <c r="H8" s="5">
        <v>0</v>
      </c>
      <c r="I8" s="5">
        <v>0</v>
      </c>
      <c r="J8" s="5">
        <v>0</v>
      </c>
      <c r="K8" s="5">
        <v>0</v>
      </c>
    </row>
    <row r="9" spans="1:11" x14ac:dyDescent="0.25">
      <c r="A9" s="4">
        <v>43647</v>
      </c>
      <c r="B9" s="5">
        <f>[2]July!$CA$40</f>
        <v>4061.5384615384614</v>
      </c>
      <c r="C9" s="5">
        <f>[2]July!$CB$40</f>
        <v>0</v>
      </c>
      <c r="D9" s="5">
        <f>[2]July!$CC$40</f>
        <v>0</v>
      </c>
      <c r="E9" s="5">
        <f>[2]July!$CE$40</f>
        <v>0</v>
      </c>
      <c r="F9" s="5">
        <f>[2]July!$CD$40</f>
        <v>0</v>
      </c>
      <c r="G9" s="5">
        <v>4061.5384615384614</v>
      </c>
      <c r="H9" s="5">
        <v>0</v>
      </c>
      <c r="I9" s="5">
        <v>0</v>
      </c>
      <c r="J9" s="5">
        <v>0</v>
      </c>
      <c r="K9" s="5">
        <v>0</v>
      </c>
    </row>
    <row r="10" spans="1:11" x14ac:dyDescent="0.25">
      <c r="A10" s="4">
        <v>43678</v>
      </c>
      <c r="B10" s="5">
        <f>[2]Aug!$CA$40</f>
        <v>4061.5384615384614</v>
      </c>
      <c r="C10" s="5">
        <f>[2]Aug!$CB$40</f>
        <v>0</v>
      </c>
      <c r="D10" s="5">
        <f>[2]Aug!$CC$40</f>
        <v>0</v>
      </c>
      <c r="E10" s="5">
        <f>[2]Aug!$CE$40</f>
        <v>0</v>
      </c>
      <c r="F10" s="5">
        <f>[2]Aug!$CD$40</f>
        <v>0</v>
      </c>
      <c r="G10" s="5">
        <v>4061.5384615384614</v>
      </c>
      <c r="H10" s="5">
        <v>0</v>
      </c>
      <c r="I10" s="5">
        <v>0</v>
      </c>
      <c r="J10" s="5">
        <v>0</v>
      </c>
      <c r="K10" s="5">
        <v>0</v>
      </c>
    </row>
    <row r="11" spans="1:11" x14ac:dyDescent="0.25">
      <c r="A11" s="4">
        <v>43709</v>
      </c>
      <c r="B11" s="5">
        <f>[2]Sept!$CA$40</f>
        <v>4326.9230769230771</v>
      </c>
      <c r="C11" s="5">
        <f>[2]Sept!$CB$40</f>
        <v>0</v>
      </c>
      <c r="D11" s="5">
        <f>[2]Sept!$CC$40</f>
        <v>0</v>
      </c>
      <c r="E11" s="5">
        <f>[2]Sept!$CE$40</f>
        <v>0</v>
      </c>
      <c r="F11" s="5">
        <f>[2]Sept!$CD$40</f>
        <v>0</v>
      </c>
      <c r="G11" s="5">
        <v>4326.9230769230771</v>
      </c>
      <c r="H11" s="5">
        <v>0</v>
      </c>
      <c r="I11" s="5">
        <v>0</v>
      </c>
      <c r="J11" s="5">
        <v>0</v>
      </c>
      <c r="K11" s="5">
        <v>0</v>
      </c>
    </row>
    <row r="12" spans="1:11" x14ac:dyDescent="0.25">
      <c r="A12" s="4">
        <v>43739</v>
      </c>
      <c r="B12" s="5">
        <f>[2]Oct!$CA$40</f>
        <v>4326.9230769230771</v>
      </c>
      <c r="C12" s="5">
        <f>[2]Oct!$CB$40</f>
        <v>0</v>
      </c>
      <c r="D12" s="5">
        <f>[2]Oct!$CC$40</f>
        <v>0</v>
      </c>
      <c r="E12" s="5">
        <f>[2]Oct!$CE$40</f>
        <v>0</v>
      </c>
      <c r="F12" s="5">
        <f>[2]Oct!$CD$40</f>
        <v>0</v>
      </c>
      <c r="G12" s="5">
        <v>4326.9230769230771</v>
      </c>
      <c r="H12" s="5">
        <v>0</v>
      </c>
      <c r="I12" s="5">
        <v>0</v>
      </c>
      <c r="J12" s="5">
        <v>0</v>
      </c>
      <c r="K12" s="5">
        <v>0</v>
      </c>
    </row>
    <row r="13" spans="1:11" x14ac:dyDescent="0.25">
      <c r="A13" s="4">
        <v>43770</v>
      </c>
      <c r="B13" s="5">
        <f>[2]Nov!$CA$40</f>
        <v>4326.9230769230771</v>
      </c>
      <c r="C13" s="5">
        <f>[2]Nov!$CB$40</f>
        <v>0</v>
      </c>
      <c r="D13" s="5">
        <f>[2]Nov!$CC$40</f>
        <v>0</v>
      </c>
      <c r="E13" s="5">
        <f>[2]Nov!$CE$40</f>
        <v>0</v>
      </c>
      <c r="F13" s="5">
        <f>[2]Nov!$CD$40</f>
        <v>0</v>
      </c>
      <c r="G13" s="5">
        <v>4326.9230769230771</v>
      </c>
      <c r="H13" s="5">
        <v>0</v>
      </c>
      <c r="I13" s="5">
        <v>0</v>
      </c>
      <c r="J13" s="5">
        <v>0</v>
      </c>
      <c r="K13" s="5">
        <v>0</v>
      </c>
    </row>
    <row r="14" spans="1:11" x14ac:dyDescent="0.25">
      <c r="A14" s="4">
        <v>43800</v>
      </c>
      <c r="B14" s="5">
        <f>[2]Dec!$CA$40</f>
        <v>4326.9230769230771</v>
      </c>
      <c r="C14" s="5">
        <f>[2]Dec!$CB$40</f>
        <v>0</v>
      </c>
      <c r="D14" s="5">
        <f>[2]Dec!$CC$40</f>
        <v>0</v>
      </c>
      <c r="E14" s="5">
        <f>[2]Dec!$CE$40</f>
        <v>0</v>
      </c>
      <c r="F14" s="5">
        <f>[2]Dec!$CD$40</f>
        <v>0</v>
      </c>
      <c r="G14" s="5">
        <v>4326.9230769230771</v>
      </c>
      <c r="H14" s="5">
        <v>0</v>
      </c>
      <c r="I14" s="5">
        <v>0</v>
      </c>
      <c r="J14" s="5">
        <v>0</v>
      </c>
      <c r="K14" s="5">
        <v>0</v>
      </c>
    </row>
  </sheetData>
  <mergeCells count="2">
    <mergeCell ref="A1:A2"/>
    <mergeCell ref="B1: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XEY23"/>
  <sheetViews>
    <sheetView topLeftCell="C1" workbookViewId="0">
      <selection activeCell="U18" sqref="U18"/>
    </sheetView>
  </sheetViews>
  <sheetFormatPr defaultRowHeight="15" x14ac:dyDescent="0.25"/>
  <cols>
    <col min="1" max="1" width="32.28515625" bestFit="1" customWidth="1"/>
    <col min="2" max="2" width="14.42578125" bestFit="1" customWidth="1"/>
    <col min="16" max="16" width="12.28515625" customWidth="1"/>
  </cols>
  <sheetData>
    <row r="1" spans="1:17 16379:16379" x14ac:dyDescent="0.25">
      <c r="A1" s="1" t="s">
        <v>30</v>
      </c>
      <c r="B1" s="39" t="str">
        <f>_xlfn.IFS(B2="TCA","Lagos",B2="TCB","Lagos",B2="Beachland","Lagos",B2="PH","PH",B2="Warri","Warri",B2="Calabar","Port4",B2="Apapa","Port4",B2="Ikorodu","Port4",B2="Ilorin","Port5",B2="Kano","Port5")</f>
        <v>Warri</v>
      </c>
      <c r="C1" s="39" t="str">
        <f t="shared" ref="C1:K1" si="0">_xlfn.IFS(C2="TCA","Lagos",C2="TCB","Lagos",C2="Beachland","Lagos",C2="PH","PH",C2="Warri","Warri",C2="Calabar","Port4",C2="Apapa","Port4",C2="Ikorodu","Port4",C2="Ilorin","Port5",C2="Kano","Port5")</f>
        <v>PH</v>
      </c>
      <c r="D1" s="39" t="str">
        <f t="shared" si="0"/>
        <v>Lagos</v>
      </c>
      <c r="E1" s="39" t="str">
        <f t="shared" si="0"/>
        <v>Lagos</v>
      </c>
      <c r="F1" s="39" t="str">
        <f t="shared" si="0"/>
        <v>Lagos</v>
      </c>
      <c r="G1" s="39" t="str">
        <f t="shared" si="0"/>
        <v>Port4</v>
      </c>
      <c r="H1" s="39" t="str">
        <f t="shared" si="0"/>
        <v>Port4</v>
      </c>
      <c r="I1" s="39" t="str">
        <f t="shared" si="0"/>
        <v>Port4</v>
      </c>
      <c r="J1" s="39" t="str">
        <f t="shared" si="0"/>
        <v>Port5</v>
      </c>
      <c r="K1" s="39" t="str">
        <f t="shared" si="0"/>
        <v>Port5</v>
      </c>
      <c r="N1" s="35" t="s">
        <v>54</v>
      </c>
      <c r="O1" s="35" t="s">
        <v>55</v>
      </c>
      <c r="P1" t="s">
        <v>56</v>
      </c>
      <c r="Q1" t="s">
        <v>57</v>
      </c>
      <c r="XEY1" s="18" t="s">
        <v>4</v>
      </c>
    </row>
    <row r="2" spans="1:17 16379:16379" x14ac:dyDescent="0.25">
      <c r="A2" s="16" t="s">
        <v>32</v>
      </c>
      <c r="B2" s="18" t="s">
        <v>5</v>
      </c>
      <c r="C2" s="18" t="s">
        <v>6</v>
      </c>
      <c r="D2" s="18" t="s">
        <v>4</v>
      </c>
      <c r="E2" s="18" t="s">
        <v>7</v>
      </c>
      <c r="F2" s="18" t="s">
        <v>8</v>
      </c>
      <c r="G2" s="18" t="s">
        <v>10</v>
      </c>
      <c r="H2" s="18" t="s">
        <v>11</v>
      </c>
      <c r="I2" s="18" t="s">
        <v>12</v>
      </c>
      <c r="J2" s="18" t="s">
        <v>13</v>
      </c>
      <c r="K2" s="18" t="s">
        <v>14</v>
      </c>
      <c r="N2" s="40" t="s">
        <v>5</v>
      </c>
      <c r="O2">
        <v>3</v>
      </c>
      <c r="P2">
        <v>0</v>
      </c>
      <c r="Q2">
        <f>SUM(O2:P2)</f>
        <v>3</v>
      </c>
      <c r="XEY2" s="18" t="s">
        <v>7</v>
      </c>
    </row>
    <row r="3" spans="1:17 16379:16379" x14ac:dyDescent="0.25">
      <c r="A3" s="16" t="s">
        <v>33</v>
      </c>
      <c r="B3" s="59">
        <v>5</v>
      </c>
      <c r="C3" s="60"/>
      <c r="D3" s="61"/>
      <c r="E3" s="1">
        <v>4</v>
      </c>
      <c r="F3" s="1">
        <v>3</v>
      </c>
      <c r="G3" s="62">
        <v>3</v>
      </c>
      <c r="H3" s="63"/>
      <c r="I3" s="64"/>
      <c r="J3" s="59">
        <v>2</v>
      </c>
      <c r="K3" s="61"/>
      <c r="N3" t="s">
        <v>6</v>
      </c>
      <c r="O3">
        <v>2</v>
      </c>
      <c r="P3">
        <v>1</v>
      </c>
      <c r="Q3">
        <f>SUM(O3:P3)</f>
        <v>3</v>
      </c>
      <c r="XEY3" s="18" t="s">
        <v>8</v>
      </c>
    </row>
    <row r="4" spans="1:17 16379:16379" x14ac:dyDescent="0.25">
      <c r="A4" s="16" t="s">
        <v>34</v>
      </c>
      <c r="B4" s="59">
        <v>1</v>
      </c>
      <c r="C4" s="60"/>
      <c r="D4" s="61"/>
      <c r="E4" s="1">
        <v>1</v>
      </c>
      <c r="F4" s="1">
        <v>1</v>
      </c>
      <c r="G4" s="62">
        <v>1</v>
      </c>
      <c r="H4" s="63"/>
      <c r="I4" s="64"/>
      <c r="J4" s="59" t="s">
        <v>35</v>
      </c>
      <c r="K4" s="61"/>
      <c r="N4" t="s">
        <v>31</v>
      </c>
      <c r="O4">
        <v>5</v>
      </c>
      <c r="P4">
        <v>1</v>
      </c>
      <c r="Q4">
        <f>SUM(O4:P4)</f>
        <v>6</v>
      </c>
      <c r="XEY4" s="18" t="s">
        <v>6</v>
      </c>
    </row>
    <row r="5" spans="1:17 16379:16379" x14ac:dyDescent="0.25">
      <c r="A5" s="16" t="s">
        <v>36</v>
      </c>
      <c r="B5" s="1">
        <v>0</v>
      </c>
      <c r="C5" s="1">
        <v>0</v>
      </c>
      <c r="D5" s="16">
        <v>0</v>
      </c>
      <c r="E5" s="16">
        <f>D5+B4+B3</f>
        <v>6</v>
      </c>
      <c r="F5" s="16">
        <f>E5+E4+E3</f>
        <v>11</v>
      </c>
      <c r="G5" s="16">
        <f>F5+F4+F3</f>
        <v>15</v>
      </c>
      <c r="H5" s="16">
        <f>F5+F4+F3</f>
        <v>15</v>
      </c>
      <c r="I5" s="16">
        <f>F5+F4+F3</f>
        <v>15</v>
      </c>
      <c r="J5" s="16">
        <f>I5+G4+G3</f>
        <v>19</v>
      </c>
      <c r="K5" s="16">
        <f>I5+G4+G3</f>
        <v>19</v>
      </c>
      <c r="N5" t="s">
        <v>52</v>
      </c>
      <c r="O5">
        <v>3</v>
      </c>
      <c r="P5">
        <v>1</v>
      </c>
      <c r="Q5">
        <f>SUM(O5:P5)</f>
        <v>4</v>
      </c>
      <c r="XEY5" s="18" t="s">
        <v>5</v>
      </c>
    </row>
    <row r="6" spans="1:17 16379:16379" x14ac:dyDescent="0.25">
      <c r="A6" s="19" t="s">
        <v>37</v>
      </c>
      <c r="B6" s="1">
        <v>3</v>
      </c>
      <c r="C6" s="1">
        <v>3</v>
      </c>
      <c r="D6" s="1">
        <v>3</v>
      </c>
      <c r="E6" s="16">
        <f>D6+E5-1</f>
        <v>8</v>
      </c>
      <c r="F6" s="16">
        <f>D6+F5-1</f>
        <v>13</v>
      </c>
      <c r="G6" s="16">
        <f>D6+G5-1</f>
        <v>17</v>
      </c>
      <c r="H6" s="16">
        <f>D6+H5-1</f>
        <v>17</v>
      </c>
      <c r="I6" s="16">
        <f>D6+I5-1</f>
        <v>17</v>
      </c>
      <c r="J6" s="16">
        <f>D6+J5-1</f>
        <v>21</v>
      </c>
      <c r="K6" s="16">
        <f>D6+K5-1</f>
        <v>21</v>
      </c>
      <c r="N6" t="s">
        <v>53</v>
      </c>
      <c r="O6">
        <v>3</v>
      </c>
      <c r="P6">
        <v>1</v>
      </c>
      <c r="Q6">
        <f>SUM(O6:P6)</f>
        <v>4</v>
      </c>
      <c r="XEY6" s="18" t="s">
        <v>10</v>
      </c>
    </row>
    <row r="7" spans="1:17 16379:16379" x14ac:dyDescent="0.25">
      <c r="A7" s="19" t="s">
        <v>51</v>
      </c>
      <c r="B7" s="1">
        <v>2</v>
      </c>
      <c r="C7" s="1">
        <v>3</v>
      </c>
      <c r="D7" s="1">
        <v>3</v>
      </c>
      <c r="E7" s="16">
        <v>3</v>
      </c>
      <c r="F7" s="16"/>
      <c r="G7" s="16"/>
      <c r="H7" s="16"/>
      <c r="I7" s="16"/>
      <c r="J7" s="16"/>
      <c r="K7" s="16"/>
      <c r="XEY7" s="18" t="s">
        <v>11</v>
      </c>
    </row>
    <row r="8" spans="1:17 16379:16379" x14ac:dyDescent="0.25">
      <c r="A8" s="19" t="s">
        <v>29</v>
      </c>
      <c r="B8" s="58">
        <v>48000</v>
      </c>
      <c r="C8" s="58"/>
      <c r="D8" s="58"/>
      <c r="E8" s="58"/>
      <c r="F8" s="58"/>
      <c r="G8" s="58"/>
      <c r="H8" s="58"/>
      <c r="I8" s="58"/>
      <c r="J8" s="58"/>
      <c r="K8" s="58"/>
      <c r="XEY8" s="18" t="s">
        <v>12</v>
      </c>
    </row>
    <row r="9" spans="1:17 16379:16379" x14ac:dyDescent="0.25">
      <c r="XEY9" s="18" t="s">
        <v>13</v>
      </c>
    </row>
    <row r="10" spans="1:17 16379:16379" x14ac:dyDescent="0.25">
      <c r="XEY10" s="18" t="s">
        <v>14</v>
      </c>
    </row>
    <row r="11" spans="1:17 16379:16379" x14ac:dyDescent="0.25">
      <c r="XEY11" s="36" t="s">
        <v>47</v>
      </c>
    </row>
    <row r="12" spans="1:17 16379:16379" x14ac:dyDescent="0.25">
      <c r="O12" s="41"/>
    </row>
    <row r="13" spans="1:17 16379:16379" x14ac:dyDescent="0.25">
      <c r="O13" s="41"/>
    </row>
    <row r="14" spans="1:17 16379:16379" x14ac:dyDescent="0.25">
      <c r="O14" s="41"/>
    </row>
    <row r="15" spans="1:17 16379:16379" x14ac:dyDescent="0.25">
      <c r="O15" s="42"/>
    </row>
    <row r="16" spans="1:17 16379:16379" x14ac:dyDescent="0.25">
      <c r="O16" s="42"/>
    </row>
    <row r="17" spans="15:16" x14ac:dyDescent="0.25">
      <c r="O17" s="42"/>
    </row>
    <row r="18" spans="15:16" x14ac:dyDescent="0.25">
      <c r="P18" s="43"/>
    </row>
    <row r="19" spans="15:16" x14ac:dyDescent="0.25">
      <c r="P19" s="41"/>
    </row>
    <row r="20" spans="15:16" x14ac:dyDescent="0.25">
      <c r="P20" s="41"/>
    </row>
    <row r="21" spans="15:16" x14ac:dyDescent="0.25">
      <c r="P21" s="42"/>
    </row>
    <row r="22" spans="15:16" x14ac:dyDescent="0.25">
      <c r="P22" s="42"/>
    </row>
    <row r="23" spans="15:16" x14ac:dyDescent="0.25">
      <c r="P23" s="42"/>
    </row>
  </sheetData>
  <mergeCells count="7">
    <mergeCell ref="B8:K8"/>
    <mergeCell ref="B4:D4"/>
    <mergeCell ref="G4:I4"/>
    <mergeCell ref="J4:K4"/>
    <mergeCell ref="B3:D3"/>
    <mergeCell ref="G3:I3"/>
    <mergeCell ref="J3:K3"/>
  </mergeCells>
  <dataValidations count="1">
    <dataValidation type="list" allowBlank="1" showInputMessage="1" showErrorMessage="1" sqref="B2:K2" xr:uid="{C842AA1E-1504-45E4-A196-F33356906761}">
      <formula1>$XEY$1:$XEY$11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Aggregated</vt:lpstr>
      <vt:lpstr>Demand_CWRS</vt:lpstr>
      <vt:lpstr>Demand_LP</vt:lpstr>
      <vt:lpstr>Demand_SW</vt:lpstr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2019-09-11T13:35:52Z</dcterms:modified>
</cp:coreProperties>
</file>